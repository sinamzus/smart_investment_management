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T:\SabadGardan\1-Investment Funds\Firouzeh 30\4- گزارش پرتفو ماهانه\1405\مرداد\"/>
    </mc:Choice>
  </mc:AlternateContent>
  <xr:revisionPtr revIDLastSave="0" documentId="13_ncr:1_{E11849A8-2044-4E0E-BB39-609726AA67C2}" xr6:coauthVersionLast="47" xr6:coauthVersionMax="47" xr10:uidLastSave="{00000000-0000-0000-0000-000000000000}"/>
  <bookViews>
    <workbookView xWindow="-120" yWindow="-120" windowWidth="29040" windowHeight="15720" tabRatio="778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تعدیل قیمت " sheetId="18" r:id="rId8"/>
    <sheet name="درآمد سرمایه گذاری در سهام " sheetId="5" r:id="rId9"/>
    <sheet name="درآمد سود سهام" sheetId="12" r:id="rId10"/>
    <sheet name="درآمد ناشی از تغییر قیمت اوراق " sheetId="14" r:id="rId11"/>
    <sheet name="درآمد ناشی ازفروش" sheetId="15" r:id="rId12"/>
    <sheet name="سود اوراق بهادار و سپرده بانکی" sheetId="13" r:id="rId13"/>
    <sheet name="درآمد سرمایه گذاری در اوراق بها" sheetId="6" state="hidden" r:id="rId14"/>
    <sheet name="درآمد سپرده بانکی" sheetId="7" r:id="rId15"/>
    <sheet name="Sheet1" sheetId="16" state="hidden" r:id="rId16"/>
    <sheet name="سایر درآمدها" sheetId="8" r:id="rId17"/>
  </sheets>
  <definedNames>
    <definedName name="_xlnm._FilterDatabase" localSheetId="8" hidden="1">'درآمد سرمایه گذاری در سهام '!#REF!</definedName>
    <definedName name="_xlnm._FilterDatabase" localSheetId="9" hidden="1">'درآمد سود سهام'!$V$6:$W$6</definedName>
    <definedName name="_xlnm._FilterDatabase" localSheetId="10" hidden="1">'درآمد ناشی از تغییر قیمت اوراق '!$B$6:$Z$60</definedName>
    <definedName name="_xlnm.Print_Area" localSheetId="0">' سهام'!$A$1:$Z$64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7">'تعدیل قیمت '!$A$1:$N$12</definedName>
    <definedName name="_xlnm.Print_Area" localSheetId="14">'درآمد سپرده بانکی'!$A$1:$M$15</definedName>
    <definedName name="_xlnm.Print_Area" localSheetId="13">'درآمد سرمایه گذاری در اوراق بها'!$A$1:$S$12</definedName>
    <definedName name="_xlnm.Print_Area" localSheetId="8">'درآمد سرمایه گذاری در سهام '!$A$1:$V$108</definedName>
    <definedName name="_xlnm.Print_Area" localSheetId="9">'درآمد سود سهام'!$A$1:$U$41</definedName>
    <definedName name="_xlnm.Print_Area" localSheetId="10">'درآمد ناشی از تغییر قیمت اوراق '!$A$1:$R$59</definedName>
    <definedName name="_xlnm.Print_Area" localSheetId="11">'درآمد ناشی ازفروش'!$A$1:$R$67</definedName>
    <definedName name="_xlnm.Print_Area" localSheetId="6">درآمدها!$A$1:$J$11</definedName>
    <definedName name="_xlnm.Print_Area" localSheetId="16">'سایر درآمدها'!$A$1:$F$9</definedName>
    <definedName name="_xlnm.Print_Area" localSheetId="5">سپرده!$A$1:$R$18</definedName>
    <definedName name="_xlnm.Print_Area" localSheetId="12">'سود اوراق بهادار و سپرده بانکی'!$A$1:$U$13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J7" i="11"/>
  <c r="H60" i="14"/>
  <c r="K12" i="13"/>
  <c r="T85" i="5"/>
  <c r="J85" i="5"/>
  <c r="L85" i="5" s="1"/>
  <c r="R15" i="2"/>
  <c r="R40" i="12"/>
  <c r="D61" i="15"/>
  <c r="F61" i="15"/>
  <c r="H61" i="15"/>
  <c r="J61" i="15"/>
  <c r="L61" i="15"/>
  <c r="N61" i="15"/>
  <c r="P61" i="15"/>
  <c r="D45" i="5"/>
  <c r="D53" i="5" s="1"/>
  <c r="D87" i="5" s="1"/>
  <c r="R61" i="15" l="1"/>
  <c r="J40" i="12"/>
  <c r="L40" i="12"/>
  <c r="N40" i="12"/>
  <c r="R45" i="14"/>
  <c r="R46" i="14"/>
  <c r="R47" i="14"/>
  <c r="R48" i="14"/>
  <c r="R49" i="14"/>
  <c r="R50" i="14"/>
  <c r="R51" i="14"/>
  <c r="R52" i="14"/>
  <c r="R53" i="14"/>
  <c r="R54" i="14"/>
  <c r="R55" i="14"/>
  <c r="R56" i="14"/>
  <c r="R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44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7" i="14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6" i="5"/>
  <c r="T54" i="5"/>
  <c r="J55" i="5"/>
  <c r="J56" i="5"/>
  <c r="J57" i="5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6" i="5"/>
  <c r="J54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11" i="5"/>
  <c r="Z59" i="1"/>
  <c r="Z60" i="1"/>
  <c r="Z61" i="1"/>
  <c r="Z62" i="1"/>
  <c r="Z63" i="1"/>
  <c r="F11" i="18"/>
  <c r="L29" i="7"/>
  <c r="L11" i="18"/>
  <c r="D11" i="18"/>
  <c r="L10" i="7"/>
  <c r="L12" i="7" l="1"/>
  <c r="H12" i="7"/>
  <c r="H11" i="7"/>
  <c r="L9" i="7"/>
  <c r="H13" i="7"/>
  <c r="L11" i="7"/>
  <c r="L13" i="7"/>
  <c r="H9" i="7"/>
  <c r="H10" i="7"/>
  <c r="B7" i="18"/>
  <c r="B3" i="18"/>
  <c r="F40" i="12"/>
  <c r="P40" i="12"/>
  <c r="L14" i="7" l="1"/>
  <c r="H14" i="7"/>
  <c r="P49" i="1" l="1"/>
  <c r="P56" i="1" s="1"/>
  <c r="P64" i="1" s="1"/>
  <c r="N49" i="1"/>
  <c r="N56" i="1" s="1"/>
  <c r="N64" i="1" s="1"/>
  <c r="L82" i="5"/>
  <c r="L83" i="5"/>
  <c r="R7" i="14"/>
  <c r="R38" i="14" s="1"/>
  <c r="I64" i="1" l="1"/>
  <c r="Z14" i="1"/>
  <c r="T40" i="12"/>
  <c r="F38" i="14" l="1"/>
  <c r="F43" i="14" s="1"/>
  <c r="D38" i="14"/>
  <c r="D43" i="14" s="1"/>
  <c r="J17" i="2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R14" i="2"/>
  <c r="N45" i="5"/>
  <c r="R16" i="2"/>
  <c r="R13" i="2"/>
  <c r="E49" i="1"/>
  <c r="Z9" i="1"/>
  <c r="X49" i="1"/>
  <c r="X56" i="1" s="1"/>
  <c r="X64" i="1" s="1"/>
  <c r="V49" i="1"/>
  <c r="V56" i="1" s="1"/>
  <c r="V64" i="1" s="1"/>
  <c r="T49" i="1"/>
  <c r="T56" i="1" s="1"/>
  <c r="T64" i="1" s="1"/>
  <c r="R49" i="1"/>
  <c r="R56" i="1" s="1"/>
  <c r="R64" i="1" s="1"/>
  <c r="L49" i="1"/>
  <c r="L56" i="1" s="1"/>
  <c r="L64" i="1" s="1"/>
  <c r="J49" i="1"/>
  <c r="J56" i="1" s="1"/>
  <c r="J64" i="1" s="1"/>
  <c r="H49" i="1"/>
  <c r="H56" i="1" s="1"/>
  <c r="H64" i="1" s="1"/>
  <c r="F49" i="1"/>
  <c r="F56" i="1" s="1"/>
  <c r="F64" i="1" s="1"/>
  <c r="D49" i="1"/>
  <c r="D56" i="1" s="1"/>
  <c r="D64" i="1" s="1"/>
  <c r="Y49" i="1"/>
  <c r="W49" i="1"/>
  <c r="U49" i="1"/>
  <c r="S49" i="1"/>
  <c r="Q49" i="1"/>
  <c r="O49" i="1"/>
  <c r="M49" i="1"/>
  <c r="K49" i="1"/>
  <c r="G49" i="1"/>
  <c r="F14" i="7" l="1"/>
  <c r="J38" i="14" l="1"/>
  <c r="N53" i="5"/>
  <c r="N87" i="5" s="1"/>
  <c r="N95" i="5" l="1"/>
  <c r="N96" i="5" s="1"/>
  <c r="J43" i="14"/>
  <c r="J57" i="14" s="1"/>
  <c r="C105" i="5"/>
  <c r="R11" i="2"/>
  <c r="R12" i="2"/>
  <c r="D8" i="8"/>
  <c r="R66" i="15" l="1"/>
  <c r="R67" i="15" s="1"/>
  <c r="L11" i="5"/>
  <c r="L45" i="5" s="1"/>
  <c r="A2" i="11"/>
  <c r="B3" i="14"/>
  <c r="H38" i="14"/>
  <c r="R45" i="5"/>
  <c r="R53" i="5" s="1"/>
  <c r="R87" i="5" s="1"/>
  <c r="P45" i="5"/>
  <c r="H45" i="5"/>
  <c r="F45" i="5"/>
  <c r="R9" i="2"/>
  <c r="R10" i="2"/>
  <c r="R95" i="5" l="1"/>
  <c r="R96" i="5" s="1"/>
  <c r="D95" i="5"/>
  <c r="D96" i="5" s="1"/>
  <c r="H43" i="14"/>
  <c r="H57" i="14" s="1"/>
  <c r="E64" i="1"/>
  <c r="G64" i="1"/>
  <c r="K64" i="1"/>
  <c r="M64" i="1"/>
  <c r="O64" i="1"/>
  <c r="Q64" i="1"/>
  <c r="S64" i="1"/>
  <c r="U64" i="1"/>
  <c r="W64" i="1"/>
  <c r="Y64" i="1"/>
  <c r="P66" i="15" l="1"/>
  <c r="P67" i="15" s="1"/>
  <c r="H66" i="15"/>
  <c r="H67" i="15" s="1"/>
  <c r="F66" i="15"/>
  <c r="F67" i="15" s="1"/>
  <c r="D66" i="15"/>
  <c r="D67" i="15" s="1"/>
  <c r="P38" i="14"/>
  <c r="P43" i="14" s="1"/>
  <c r="N38" i="14"/>
  <c r="N43" i="14" s="1"/>
  <c r="L38" i="14"/>
  <c r="L43" i="14" s="1"/>
  <c r="F57" i="14"/>
  <c r="D57" i="14"/>
  <c r="P53" i="5"/>
  <c r="P87" i="5" s="1"/>
  <c r="H53" i="5"/>
  <c r="H87" i="5" s="1"/>
  <c r="F53" i="5"/>
  <c r="F87" i="5" s="1"/>
  <c r="H95" i="5" l="1"/>
  <c r="H96" i="5" s="1"/>
  <c r="P95" i="5"/>
  <c r="P96" i="5" s="1"/>
  <c r="F95" i="5"/>
  <c r="F96" i="5" s="1"/>
  <c r="J53" i="5"/>
  <c r="T53" i="5"/>
  <c r="T87" i="5" s="1"/>
  <c r="T95" i="5" s="1"/>
  <c r="T96" i="5" s="1"/>
  <c r="F6" i="11" s="1"/>
  <c r="J6" i="11" s="1"/>
  <c r="J45" i="5"/>
  <c r="L66" i="15"/>
  <c r="L67" i="15" s="1"/>
  <c r="N66" i="15"/>
  <c r="N67" i="15" s="1"/>
  <c r="L57" i="14"/>
  <c r="N57" i="14"/>
  <c r="P57" i="14"/>
  <c r="T97" i="5" l="1"/>
  <c r="J87" i="5"/>
  <c r="J95" i="5" l="1"/>
  <c r="J96" i="5" s="1"/>
  <c r="L54" i="5"/>
  <c r="L55" i="5"/>
  <c r="L56" i="5"/>
  <c r="Z35" i="1"/>
  <c r="Z34" i="1"/>
  <c r="Z33" i="1"/>
  <c r="Z32" i="1"/>
  <c r="Z31" i="1"/>
  <c r="Z30" i="1"/>
  <c r="Z29" i="1"/>
  <c r="Z28" i="1"/>
  <c r="F8" i="8"/>
  <c r="Q12" i="13"/>
  <c r="L80" i="5"/>
  <c r="L81" i="5"/>
  <c r="L84" i="5"/>
  <c r="L86" i="5"/>
  <c r="Z10" i="1"/>
  <c r="Z11" i="1"/>
  <c r="Z12" i="1"/>
  <c r="Z13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57" i="1"/>
  <c r="Z58" i="1"/>
  <c r="J14" i="7"/>
  <c r="F8" i="11" l="1"/>
  <c r="J8" i="11" s="1"/>
  <c r="F7" i="11"/>
  <c r="Z49" i="1"/>
  <c r="Z56" i="1" s="1"/>
  <c r="Z64" i="1" s="1"/>
  <c r="H7" i="11" l="1"/>
  <c r="L17" i="2"/>
  <c r="N17" i="2"/>
  <c r="P17" i="2"/>
  <c r="L57" i="5"/>
  <c r="L68" i="5"/>
  <c r="L69" i="5"/>
  <c r="L70" i="5"/>
  <c r="L71" i="5"/>
  <c r="L72" i="5"/>
  <c r="L73" i="5"/>
  <c r="L74" i="5"/>
  <c r="L75" i="5"/>
  <c r="L76" i="5"/>
  <c r="L77" i="5"/>
  <c r="L78" i="5"/>
  <c r="L79" i="5"/>
  <c r="T45" i="5" l="1"/>
  <c r="C106" i="5"/>
  <c r="R43" i="14"/>
  <c r="R57" i="14" s="1"/>
  <c r="O12" i="13"/>
  <c r="U12" i="13"/>
  <c r="R17" i="2"/>
  <c r="J66" i="15" l="1"/>
  <c r="J67" i="15" s="1"/>
  <c r="L53" i="5"/>
  <c r="L87" i="5" s="1"/>
  <c r="L95" i="5" s="1"/>
  <c r="L96" i="5" s="1"/>
  <c r="B3" i="1"/>
  <c r="R6" i="1" l="1"/>
  <c r="R53" i="1" s="1"/>
  <c r="S10" i="6" l="1"/>
  <c r="D6" i="1" l="1"/>
  <c r="D53" i="1" s="1"/>
  <c r="D5" i="8"/>
  <c r="H6" i="11" l="1"/>
  <c r="K11" i="6"/>
  <c r="S11" i="6"/>
  <c r="F6" i="7"/>
  <c r="F5" i="8"/>
  <c r="B3" i="8"/>
  <c r="J6" i="7"/>
  <c r="B3" i="7"/>
  <c r="Q5" i="13"/>
  <c r="K5" i="13"/>
  <c r="B3" i="13"/>
  <c r="A3" i="6"/>
  <c r="M6" i="6"/>
  <c r="C6" i="6"/>
  <c r="L5" i="15"/>
  <c r="L64" i="15" s="1"/>
  <c r="D5" i="15"/>
  <c r="D64" i="15" s="1"/>
  <c r="B3" i="15"/>
  <c r="D5" i="14"/>
  <c r="D41" i="14" s="1"/>
  <c r="J5" i="12"/>
  <c r="B3" i="12"/>
  <c r="N7" i="5"/>
  <c r="N49" i="5" s="1"/>
  <c r="N91" i="5" s="1"/>
  <c r="D7" i="5"/>
  <c r="D49" i="5" s="1"/>
  <c r="D91" i="5" s="1"/>
  <c r="B3" i="5"/>
  <c r="L5" i="14"/>
  <c r="L41" i="14" s="1"/>
  <c r="P5" i="12"/>
  <c r="P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G11" i="6" l="1"/>
  <c r="I11" i="6"/>
  <c r="O11" i="6"/>
  <c r="Q11" i="6"/>
  <c r="M11" i="6" l="1"/>
  <c r="C11" i="6"/>
  <c r="N9" i="9" l="1"/>
  <c r="L9" i="9"/>
  <c r="F9" i="9"/>
  <c r="D9" i="9"/>
  <c r="F9" i="11" l="1"/>
  <c r="V85" i="5" s="1"/>
  <c r="B1" i="5"/>
  <c r="V86" i="5" l="1"/>
  <c r="V76" i="5"/>
  <c r="V72" i="5"/>
  <c r="V63" i="5"/>
  <c r="V61" i="5"/>
  <c r="V64" i="5"/>
  <c r="V65" i="5"/>
  <c r="V66" i="5"/>
  <c r="V58" i="5"/>
  <c r="V59" i="5"/>
  <c r="V60" i="5"/>
  <c r="V62" i="5"/>
  <c r="V18" i="5"/>
  <c r="V42" i="5"/>
  <c r="V82" i="5"/>
  <c r="V83" i="5"/>
  <c r="V44" i="5"/>
  <c r="V12" i="5"/>
  <c r="V20" i="5"/>
  <c r="V31" i="5"/>
  <c r="V39" i="5"/>
  <c r="V43" i="5"/>
  <c r="V22" i="5"/>
  <c r="V71" i="5"/>
  <c r="V67" i="5"/>
  <c r="V27" i="5"/>
  <c r="V79" i="5"/>
  <c r="V68" i="5"/>
  <c r="V57" i="5"/>
  <c r="V55" i="5"/>
  <c r="V15" i="5"/>
  <c r="V84" i="5"/>
  <c r="V37" i="5"/>
  <c r="V33" i="5"/>
  <c r="V41" i="5"/>
  <c r="V70" i="5"/>
  <c r="V29" i="5"/>
  <c r="V23" i="5"/>
  <c r="V78" i="5"/>
  <c r="V28" i="5"/>
  <c r="V80" i="5"/>
  <c r="V16" i="5"/>
  <c r="V24" i="5"/>
  <c r="V13" i="5"/>
  <c r="V21" i="5"/>
  <c r="V75" i="5"/>
  <c r="V74" i="5"/>
  <c r="V26" i="5"/>
  <c r="V77" i="5"/>
  <c r="V35" i="5"/>
  <c r="V25" i="5"/>
  <c r="V73" i="5"/>
  <c r="V81" i="5"/>
  <c r="V56" i="5"/>
  <c r="V19" i="5"/>
  <c r="V38" i="5"/>
  <c r="V36" i="5"/>
  <c r="V69" i="5"/>
  <c r="V30" i="5"/>
  <c r="V14" i="5"/>
  <c r="V32" i="5"/>
  <c r="V40" i="5"/>
  <c r="V17" i="5"/>
  <c r="V34" i="5"/>
  <c r="V54" i="5"/>
  <c r="V11" i="5"/>
  <c r="B1" i="3"/>
  <c r="A1" i="4" s="1"/>
  <c r="A1" i="10" s="1"/>
  <c r="B1" i="9"/>
  <c r="V45" i="5" l="1"/>
  <c r="H9" i="11"/>
  <c r="J9" i="11"/>
  <c r="B1" i="12"/>
  <c r="B1" i="13" s="1"/>
  <c r="B1" i="7" s="1"/>
  <c r="V53" i="5" l="1"/>
  <c r="V87" i="5" s="1"/>
  <c r="V95" i="5" s="1"/>
  <c r="V96" i="5" s="1"/>
  <c r="B1" i="8"/>
  <c r="B1" i="15"/>
  <c r="B1" i="14" l="1"/>
</calcChain>
</file>

<file path=xl/sharedStrings.xml><?xml version="1.0" encoding="utf-8"?>
<sst xmlns="http://schemas.openxmlformats.org/spreadsheetml/2006/main" count="748" uniqueCount="251">
  <si>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</si>
  <si>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</si>
  <si>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</si>
  <si>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</si>
  <si>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</si>
  <si>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</si>
  <si>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</si>
  <si>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</si>
  <si>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</si>
  <si>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</si>
  <si>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</si>
  <si>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</si>
  <si>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</si>
  <si>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</si>
  <si>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</si>
  <si>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</si>
  <si>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</si>
  <si>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</si>
  <si>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</si>
  <si>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</si>
  <si>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</si>
  <si>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</si>
  <si>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</si>
  <si>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</si>
  <si>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</si>
  <si>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</si>
  <si>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</si>
  <si>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</si>
  <si>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</si>
  <si>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</si>
  <si>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</si>
  <si>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</si>
  <si>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</si>
  <si>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</si>
  <si>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</si>
  <si>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</si>
  <si>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</si>
  <si>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</si>
  <si>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</si>
  <si>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</si>
  <si>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</si>
  <si>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</si>
  <si>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</si>
  <si>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</si>
  <si>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</si>
  <si>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</si>
  <si>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</si>
  <si>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</si>
  <si>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</si>
  <si>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</si>
  <si>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</si>
  <si>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</si>
  <si>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</si>
  <si>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</si>
  <si>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</si>
  <si>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</si>
  <si>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</si>
  <si>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</si>
  <si>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</si>
  <si>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</si>
  <si>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</si>
  <si>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</si>
  <si>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</si>
  <si>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</si>
  <si>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</si>
  <si>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</si>
  <si>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</si>
  <si>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</si>
  <si>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</si>
  <si>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</si>
  <si>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</si>
  <si>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</si>
  <si>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</si>
  <si>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</si>
  <si>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</si>
  <si>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</si>
  <si>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</si>
  <si>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</si>
  <si>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</si>
  <si>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</si>
  <si>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</si>
  <si>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</si>
  <si>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</si>
  <si>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</si>
  <si>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</si>
  <si>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</si>
  <si>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</si>
  <si>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</si>
  <si>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</si>
  <si>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</si>
  <si>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</si>
  <si>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</si>
  <si>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</si>
  <si>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</si>
  <si>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</si>
  <si>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</si>
  <si>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</si>
  <si>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</si>
  <si>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</si>
  <si>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</si>
  <si>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</si>
  <si>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</si>
  <si>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</si>
  <si>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</si>
  <si>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</si>
  <si>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</si>
  <si>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</si>
  <si>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</si>
  <si>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</si>
  <si>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</si>
  <si>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</si>
  <si>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</si>
  <si>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</si>
  <si>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</si>
  <si>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</si>
  <si>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</si>
  <si>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</si>
  <si>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</si>
  <si>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</si>
  <si>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</si>
  <si>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</si>
  <si>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</si>
  <si>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</si>
  <si>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</si>
  <si>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</si>
  <si>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</si>
  <si>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</si>
  <si>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</si>
  <si>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</si>
  <si>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</si>
  <si>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</si>
  <si>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</si>
  <si>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</si>
  <si>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</si>
  <si>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</si>
  <si>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</si>
  <si>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</si>
  <si>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</si>
  <si>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</si>
  <si>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</si>
  <si>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</si>
  <si>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</si>
  <si>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</si>
  <si>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</si>
  <si>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</si>
  <si>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</si>
  <si>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گروه مدیریت سرمایه گذاری امید</t>
  </si>
  <si>
    <t>تعدیل کارمزد کارگزار</t>
  </si>
  <si>
    <t>ح . معدنی و صنعتی گل گهر</t>
  </si>
  <si>
    <t>درصد از کل درآمدها</t>
  </si>
  <si>
    <t>2-2-درآمد حاصل از سرمایه گذاری در اوراق بهادار با درآمد ثابت:</t>
  </si>
  <si>
    <t>بیمه اتکایی ایران معین</t>
  </si>
  <si>
    <t>فروشگاههای زنجیره ای افق کوروش</t>
  </si>
  <si>
    <t>سرمایه گذاری سبحان</t>
  </si>
  <si>
    <t>گروه س توسعه صنعتی ایران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</si>
  <si>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</si>
  <si>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</si>
  <si>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</si>
  <si>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</si>
  <si>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</si>
  <si>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</si>
  <si>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سپرده کوتاه مدت بانک خاورمیانه مهستان</t>
  </si>
  <si>
    <t>سپرده کوتاه مدت بانک گردشگری سعادت آباد</t>
  </si>
  <si>
    <t>سود اوراق بهادار با درآمد ثابت و سپرده بانکی</t>
  </si>
  <si>
    <t>1404/04/31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</si>
  <si>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</si>
  <si>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</si>
  <si>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</si>
  <si>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</si>
  <si>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</si>
  <si>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</si>
  <si>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</si>
  <si>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</si>
  <si>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1404/06/31</t>
  </si>
  <si>
    <t>برای ماه منتهی به 1404/06/31</t>
  </si>
  <si>
    <t>سرمایه‌ گذاری‌ آتیه‌ دماوند</t>
  </si>
  <si>
    <t>تایدواترخاورمیانه</t>
  </si>
  <si>
    <t>1404/07/30</t>
  </si>
  <si>
    <t>برای ماه منتهی به 1404/07/30</t>
  </si>
  <si>
    <t>از ابتدای سال مالی تا پایان مهر ماه</t>
  </si>
  <si>
    <t>طی مهر  ماه</t>
  </si>
  <si>
    <t>کشت وصنعت و دامپروری پگاه فارس</t>
  </si>
  <si>
    <t>س. و توسعه صنایع لاستیک</t>
  </si>
  <si>
    <t>سپرده کوتاه مدت بانک صادرات بلوار میرداماد</t>
  </si>
  <si>
    <t>1404/08/01</t>
  </si>
  <si>
    <t>ایران خودرو دیزل</t>
  </si>
  <si>
    <t>کیمیا کالای رازی</t>
  </si>
  <si>
    <t>نیان باتری خاوران</t>
  </si>
  <si>
    <t>تولیدی کوچین</t>
  </si>
  <si>
    <t>1404/09/19</t>
  </si>
  <si>
    <t>سرمایه گذاری خوارزمی</t>
  </si>
  <si>
    <t>آلیاژ گستر هامون</t>
  </si>
  <si>
    <t>پتروشیمی خراسان</t>
  </si>
  <si>
    <t>آلومینیوم‌ایران‌</t>
  </si>
  <si>
    <t>گروه صنعتی درپاد تبریز</t>
  </si>
  <si>
    <t>1404/10/15</t>
  </si>
  <si>
    <t>حساب جاری بانک خاورمیانه مهستان</t>
  </si>
  <si>
    <t>سپرده کوتاه مدت بانک تجارت مطهری دریای نور</t>
  </si>
  <si>
    <t>حساب جاری بانک گردشگری سعادت آباد</t>
  </si>
  <si>
    <t>سپرده کوتاه مدت بانک خاورمیانه نیاوران</t>
  </si>
  <si>
    <t>کارخانجات تولیدی نیروترانسفو</t>
  </si>
  <si>
    <t xml:space="preserve">سایر درآمد ها </t>
  </si>
  <si>
    <t>ح . سرمایه گذاری صدرتامین</t>
  </si>
  <si>
    <t>1405/01/30</t>
  </si>
  <si>
    <t xml:space="preserve">جمع </t>
  </si>
  <si>
    <t>1405/02/31</t>
  </si>
  <si>
    <t>ح . معدنی‌وصنعتی‌چادرملو</t>
  </si>
  <si>
    <t>ح . توسعه‌معادن‌وفلزات‌</t>
  </si>
  <si>
    <t>1405/02/30</t>
  </si>
  <si>
    <t>1405/02/10</t>
  </si>
  <si>
    <t xml:space="preserve">اوراق بهاداری که ارزش آنها در تاریخ گذشته تعدیل شده </t>
  </si>
  <si>
    <t>(بر اساس دستورالعمل نحوه تعیین قیمت خرید و فروش اوراق بهادار در صندوق های سرمایه گذاری )</t>
  </si>
  <si>
    <t xml:space="preserve">تعداد </t>
  </si>
  <si>
    <t xml:space="preserve">قیمت پایانی </t>
  </si>
  <si>
    <t xml:space="preserve">درصد تعدیل </t>
  </si>
  <si>
    <t xml:space="preserve">خالص ارزش فروش تعدیل شده </t>
  </si>
  <si>
    <t xml:space="preserve">دلایل تعدیل </t>
  </si>
  <si>
    <t xml:space="preserve">نام اوراق بهادار </t>
  </si>
  <si>
    <t>درصد سود به میانگین سپرده</t>
  </si>
  <si>
    <t>1405/03/31</t>
  </si>
  <si>
    <t>نشاسته و گلوکز آردینه</t>
  </si>
  <si>
    <t>کشت و صنعت هلال</t>
  </si>
  <si>
    <t>پتروشیمی اروند</t>
  </si>
  <si>
    <t>تراکتورسازی‌ایران‌</t>
  </si>
  <si>
    <t>گسترش سوخت سبززاگرس(سهامی عام)</t>
  </si>
  <si>
    <t>گروه توسعه مالی فیروزه</t>
  </si>
  <si>
    <t>ح.سرمایه گذاری خوارزمی</t>
  </si>
  <si>
    <t>ح . سرمایه‌گذاری‌ سپه‌</t>
  </si>
  <si>
    <t>رهیاب پیام گستران</t>
  </si>
  <si>
    <t>1405/03/27</t>
  </si>
  <si>
    <t>1405/03/30</t>
  </si>
  <si>
    <t>1405/04/31</t>
  </si>
  <si>
    <t>سرمایه‌گذاری‌ سپه‌</t>
  </si>
  <si>
    <t>1405/04/23</t>
  </si>
  <si>
    <t>1405/04/29</t>
  </si>
  <si>
    <t>1405/04/30</t>
  </si>
  <si>
    <t>1405/04/17</t>
  </si>
  <si>
    <t>1405/04/22</t>
  </si>
  <si>
    <t>1405/04/20</t>
  </si>
  <si>
    <t>1405/04/27</t>
  </si>
  <si>
    <t>1405/04/21</t>
  </si>
  <si>
    <t>1405/04/24</t>
  </si>
  <si>
    <t>1405/04/10</t>
  </si>
  <si>
    <t>1405/04/09</t>
  </si>
  <si>
    <t xml:space="preserve">بسته بودن سهم </t>
  </si>
  <si>
    <t>1405/05/31</t>
  </si>
  <si>
    <t>برای ماه منتهی به 1405/05/31</t>
  </si>
  <si>
    <t>از ابتدای سال مالی تا پایان مرداد  ماه</t>
  </si>
  <si>
    <t>1405/05/11</t>
  </si>
  <si>
    <t>1405/05/18</t>
  </si>
  <si>
    <t>1405/05/06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</si>
</sst>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  <numFmt numFmtId="175" formatCode="_-* #,##0.00000_-;_-* #,##0.00000\-;_-* &quot;-&quot;??_-;_-@_-"/>
    <numFmt numFmtId="176" formatCode="#,##0\ ;[Black]\(#,##0\)\ %"/>
  </numFmts>
  <fonts count="6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6"/>
      <color rgb="FF92D050"/>
      <name val="B Nazanin"/>
      <charset val="178"/>
    </font>
    <font>
      <sz val="14"/>
      <color rgb="FF92D050"/>
      <name val="B Nazanin"/>
      <charset val="178"/>
    </font>
    <font>
      <sz val="18"/>
      <color theme="1" tint="0.14999847407452621"/>
      <name val="B Nazanin"/>
      <charset val="178"/>
    </font>
    <font>
      <sz val="14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0"/>
      <color rgb="FF333333"/>
      <name val="IRANSans"/>
      <family val="2"/>
    </font>
    <font>
      <sz val="14"/>
      <color theme="2" tint="-0.249977111117893"/>
      <name val="B Nazanin"/>
      <charset val="178"/>
    </font>
    <font>
      <sz val="14"/>
      <color theme="2" tint="-0.749992370372631"/>
      <name val="B Nazanin"/>
      <charset val="178"/>
    </font>
    <font>
      <b/>
      <sz val="14"/>
      <color theme="2" tint="-0.749992370372631"/>
      <name val="B Nazanin"/>
      <charset val="178"/>
    </font>
    <font>
      <sz val="14"/>
      <color theme="2" tint="-0.89999084444715716"/>
      <name val="B Nazanin"/>
      <charset val="178"/>
    </font>
    <font>
      <sz val="16"/>
      <color theme="2" tint="-0.89999084444715716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1" tint="0.14999847407452621"/>
      <name val="B Nazanin"/>
      <charset val="178"/>
    </font>
    <font>
      <b/>
      <sz val="10"/>
      <color theme="1" tint="0.14999847407452621"/>
      <name val="IRANSans"/>
      <family val="2"/>
    </font>
    <font>
      <sz val="18"/>
      <color theme="2" tint="-0.249977111117893"/>
      <name val="B Nazanin"/>
      <charset val="178"/>
    </font>
    <font>
      <sz val="22"/>
      <color theme="2" tint="-0.249977111117893"/>
      <name val="B Nazanin"/>
      <charset val="178"/>
    </font>
    <font>
      <sz val="14"/>
      <color theme="1" tint="0.249977111117893"/>
      <name val="B Nazanin"/>
      <charset val="178"/>
    </font>
    <font>
      <sz val="10"/>
      <color rgb="FF000000"/>
      <name val="Arial"/>
      <family val="2"/>
    </font>
    <font>
      <sz val="16"/>
      <color theme="0" tint="-0.34998626667073579"/>
      <name val="B Nazanin"/>
      <charset val="178"/>
    </font>
    <font>
      <sz val="14"/>
      <color theme="0" tint="-0.34998626667073579"/>
      <name val="B Nazanin"/>
      <charset val="178"/>
    </font>
    <font>
      <b/>
      <sz val="14"/>
      <color theme="2" tint="-0.89999084444715716"/>
      <name val="B Nazanin"/>
      <charset val="178"/>
    </font>
    <font>
      <sz val="18"/>
      <color theme="2" tint="-0.89999084444715716"/>
      <name val="B Nazanin"/>
      <charset val="178"/>
    </font>
    <font>
      <b/>
      <sz val="18"/>
      <color theme="2" tint="-0.89999084444715716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55" fillId="0" borderId="0"/>
  </cellStyleXfs>
  <cellXfs count="430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5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165" fontId="35" fillId="0" borderId="6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 vertical="center" readingOrder="2"/>
    </xf>
    <xf numFmtId="0" fontId="34" fillId="0" borderId="0" xfId="0" applyFont="1" applyAlignment="1">
      <alignment horizontal="right" vertical="center" wrapText="1" readingOrder="2"/>
    </xf>
    <xf numFmtId="0" fontId="34" fillId="0" borderId="0" xfId="0" applyFont="1" applyAlignment="1">
      <alignment horizontal="center" vertical="center" wrapText="1" readingOrder="2"/>
    </xf>
    <xf numFmtId="0" fontId="35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2" fontId="35" fillId="0" borderId="0" xfId="0" applyNumberFormat="1" applyFont="1" applyAlignment="1">
      <alignment horizontal="center" vertical="center" readingOrder="2"/>
    </xf>
    <xf numFmtId="0" fontId="35" fillId="0" borderId="0" xfId="0" applyFont="1" applyAlignment="1">
      <alignment horizontal="center" vertical="center" readingOrder="2"/>
    </xf>
    <xf numFmtId="10" fontId="35" fillId="0" borderId="0" xfId="0" applyNumberFormat="1" applyFont="1" applyAlignment="1">
      <alignment horizontal="center" vertical="center" wrapText="1" readingOrder="2"/>
    </xf>
    <xf numFmtId="3" fontId="35" fillId="0" borderId="0" xfId="0" applyNumberFormat="1" applyFont="1" applyAlignment="1">
      <alignment horizontal="center"/>
    </xf>
    <xf numFmtId="4" fontId="35" fillId="0" borderId="0" xfId="0" applyNumberFormat="1" applyFont="1" applyAlignment="1">
      <alignment horizontal="center"/>
    </xf>
    <xf numFmtId="172" fontId="35" fillId="0" borderId="0" xfId="0" applyNumberFormat="1" applyFont="1" applyAlignment="1">
      <alignment horizontal="center" vertical="center" wrapText="1" readingOrder="2"/>
    </xf>
    <xf numFmtId="10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right"/>
    </xf>
    <xf numFmtId="165" fontId="35" fillId="0" borderId="0" xfId="0" applyNumberFormat="1" applyFont="1" applyAlignment="1">
      <alignment horizontal="center"/>
    </xf>
    <xf numFmtId="9" fontId="35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72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5" fontId="6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38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167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0" fontId="32" fillId="3" borderId="14" xfId="0" applyFont="1" applyFill="1" applyBorder="1" applyAlignment="1">
      <alignment horizontal="left" vertical="center" wrapText="1" shrinkToFit="1" readingOrder="2"/>
    </xf>
    <xf numFmtId="49" fontId="32" fillId="3" borderId="14" xfId="0" applyNumberFormat="1" applyFont="1" applyFill="1" applyBorder="1" applyAlignment="1">
      <alignment horizontal="right" vertical="center" wrapText="1" shrinkToFit="1" readingOrder="2"/>
    </xf>
    <xf numFmtId="0" fontId="32" fillId="3" borderId="14" xfId="0" applyFont="1" applyFill="1" applyBorder="1" applyAlignment="1">
      <alignment horizontal="right" vertical="center" wrapText="1" shrinkToFit="1" readingOrder="2"/>
    </xf>
    <xf numFmtId="3" fontId="32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0" fontId="40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172" fontId="42" fillId="0" borderId="0" xfId="0" applyNumberFormat="1" applyFont="1" applyAlignment="1">
      <alignment horizontal="center" vertical="center" readingOrder="2"/>
    </xf>
    <xf numFmtId="165" fontId="42" fillId="0" borderId="0" xfId="0" applyNumberFormat="1" applyFont="1" applyAlignment="1">
      <alignment horizontal="center" vertical="center"/>
    </xf>
    <xf numFmtId="165" fontId="42" fillId="0" borderId="0" xfId="1" applyNumberFormat="1" applyFont="1" applyFill="1" applyAlignment="1">
      <alignment horizontal="center" vertical="center"/>
    </xf>
    <xf numFmtId="0" fontId="39" fillId="0" borderId="0" xfId="0" applyFont="1"/>
    <xf numFmtId="165" fontId="39" fillId="0" borderId="0" xfId="0" applyNumberFormat="1" applyFont="1"/>
    <xf numFmtId="168" fontId="39" fillId="0" borderId="0" xfId="0" applyNumberFormat="1" applyFont="1"/>
    <xf numFmtId="3" fontId="38" fillId="0" borderId="0" xfId="0" applyNumberFormat="1" applyFont="1"/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43" fillId="0" borderId="0" xfId="0" applyNumberFormat="1" applyFont="1"/>
    <xf numFmtId="168" fontId="9" fillId="0" borderId="0" xfId="0" applyNumberFormat="1" applyFont="1"/>
    <xf numFmtId="172" fontId="9" fillId="0" borderId="0" xfId="1" applyNumberFormat="1" applyFont="1" applyFill="1" applyBorder="1" applyAlignment="1">
      <alignment horizontal="center" vertical="center" wrapText="1" readingOrder="2"/>
    </xf>
    <xf numFmtId="171" fontId="13" fillId="0" borderId="0" xfId="0" applyNumberFormat="1" applyFont="1" applyAlignment="1">
      <alignment horizontal="center" vertical="center" wrapText="1" readingOrder="2"/>
    </xf>
    <xf numFmtId="10" fontId="41" fillId="0" borderId="0" xfId="0" applyNumberFormat="1" applyFont="1" applyAlignment="1">
      <alignment horizontal="center"/>
    </xf>
    <xf numFmtId="10" fontId="35" fillId="0" borderId="0" xfId="2" applyNumberFormat="1" applyFont="1" applyFill="1" applyBorder="1" applyAlignment="1">
      <alignment horizontal="center" vertical="center" wrapText="1" readingOrder="2"/>
    </xf>
    <xf numFmtId="165" fontId="34" fillId="0" borderId="0" xfId="0" applyNumberFormat="1" applyFont="1" applyAlignment="1">
      <alignment horizontal="center"/>
    </xf>
    <xf numFmtId="165" fontId="34" fillId="2" borderId="0" xfId="1" applyNumberFormat="1" applyFont="1" applyFill="1" applyAlignment="1">
      <alignment horizontal="center"/>
    </xf>
    <xf numFmtId="3" fontId="34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0" fontId="44" fillId="0" borderId="0" xfId="0" applyFont="1"/>
    <xf numFmtId="9" fontId="35" fillId="0" borderId="6" xfId="2" applyFont="1" applyFill="1" applyBorder="1" applyAlignment="1">
      <alignment horizontal="center" vertical="center" wrapText="1" readingOrder="2"/>
    </xf>
    <xf numFmtId="9" fontId="35" fillId="0" borderId="0" xfId="2" applyFont="1" applyAlignment="1">
      <alignment horizontal="center" vertical="center" readingOrder="2"/>
    </xf>
    <xf numFmtId="0" fontId="45" fillId="0" borderId="0" xfId="0" applyFont="1"/>
    <xf numFmtId="0" fontId="46" fillId="0" borderId="0" xfId="0" applyFont="1" applyAlignment="1">
      <alignment vertical="center" readingOrder="2"/>
    </xf>
    <xf numFmtId="172" fontId="38" fillId="0" borderId="0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/>
    </xf>
    <xf numFmtId="3" fontId="35" fillId="2" borderId="0" xfId="0" applyNumberFormat="1" applyFont="1" applyFill="1" applyAlignment="1">
      <alignment horizontal="center"/>
    </xf>
    <xf numFmtId="172" fontId="9" fillId="0" borderId="0" xfId="0" applyNumberFormat="1" applyFont="1" applyAlignment="1">
      <alignment horizontal="center" vertical="center" wrapText="1"/>
    </xf>
    <xf numFmtId="175" fontId="35" fillId="0" borderId="0" xfId="1" applyNumberFormat="1" applyFont="1" applyFill="1" applyAlignment="1">
      <alignment horizontal="center"/>
    </xf>
    <xf numFmtId="0" fontId="47" fillId="0" borderId="0" xfId="0" applyFont="1"/>
    <xf numFmtId="165" fontId="48" fillId="0" borderId="0" xfId="1" applyNumberFormat="1" applyFont="1" applyFill="1" applyAlignment="1">
      <alignment horizontal="center" vertical="center"/>
    </xf>
    <xf numFmtId="165" fontId="6" fillId="4" borderId="0" xfId="1" applyNumberFormat="1" applyFont="1" applyFill="1"/>
    <xf numFmtId="172" fontId="35" fillId="0" borderId="15" xfId="0" applyNumberFormat="1" applyFont="1" applyBorder="1" applyAlignment="1">
      <alignment horizontal="center" vertical="center" readingOrder="2"/>
    </xf>
    <xf numFmtId="172" fontId="49" fillId="0" borderId="0" xfId="0" applyNumberFormat="1" applyFont="1" applyAlignment="1">
      <alignment horizontal="center" vertical="center" readingOrder="2"/>
    </xf>
    <xf numFmtId="165" fontId="49" fillId="0" borderId="0" xfId="1" applyNumberFormat="1" applyFont="1" applyFill="1" applyAlignment="1">
      <alignment horizontal="center" vertical="center"/>
    </xf>
    <xf numFmtId="165" fontId="41" fillId="6" borderId="0" xfId="1" applyNumberFormat="1" applyFont="1" applyFill="1" applyAlignment="1">
      <alignment horizontal="center" vertical="center"/>
    </xf>
    <xf numFmtId="3" fontId="5" fillId="0" borderId="0" xfId="0" applyNumberFormat="1" applyFont="1"/>
    <xf numFmtId="3" fontId="51" fillId="0" borderId="0" xfId="0" applyNumberFormat="1" applyFont="1"/>
    <xf numFmtId="0" fontId="41" fillId="0" borderId="0" xfId="0" applyFont="1" applyAlignment="1">
      <alignment horizontal="center" vertical="center"/>
    </xf>
    <xf numFmtId="172" fontId="42" fillId="0" borderId="0" xfId="1" applyNumberFormat="1" applyFont="1" applyFill="1" applyBorder="1" applyAlignment="1">
      <alignment horizontal="center" vertical="center" wrapText="1" readingOrder="2"/>
    </xf>
    <xf numFmtId="165" fontId="41" fillId="2" borderId="0" xfId="1" applyNumberFormat="1" applyFont="1" applyFill="1" applyAlignment="1">
      <alignment horizontal="center" vertical="center"/>
    </xf>
    <xf numFmtId="165" fontId="50" fillId="0" borderId="0" xfId="1" applyNumberFormat="1" applyFont="1" applyFill="1" applyAlignment="1">
      <alignment horizontal="center" vertical="center"/>
    </xf>
    <xf numFmtId="165" fontId="41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72" fontId="23" fillId="0" borderId="0" xfId="0" applyNumberFormat="1" applyFont="1" applyAlignment="1">
      <alignment horizontal="center" vertical="center"/>
    </xf>
    <xf numFmtId="165" fontId="22" fillId="0" borderId="0" xfId="1" applyNumberFormat="1" applyFont="1" applyFill="1" applyAlignment="1">
      <alignment horizontal="center" vertical="center"/>
    </xf>
    <xf numFmtId="10" fontId="35" fillId="0" borderId="6" xfId="2" applyNumberFormat="1" applyFont="1" applyFill="1" applyBorder="1" applyAlignment="1">
      <alignment horizontal="center" vertical="center" wrapText="1" readingOrder="2"/>
    </xf>
    <xf numFmtId="37" fontId="9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/>
    </xf>
    <xf numFmtId="172" fontId="52" fillId="0" borderId="0" xfId="0" applyNumberFormat="1" applyFont="1" applyAlignment="1">
      <alignment horizontal="center" vertical="center" readingOrder="2"/>
    </xf>
    <xf numFmtId="43" fontId="52" fillId="0" borderId="0" xfId="0" applyNumberFormat="1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172" fontId="53" fillId="0" borderId="0" xfId="0" applyNumberFormat="1" applyFont="1" applyAlignment="1">
      <alignment horizontal="center" vertical="center"/>
    </xf>
    <xf numFmtId="0" fontId="54" fillId="0" borderId="0" xfId="0" applyFont="1"/>
    <xf numFmtId="10" fontId="10" fillId="0" borderId="2" xfId="2" applyNumberFormat="1" applyFont="1" applyFill="1" applyBorder="1" applyAlignment="1">
      <alignment horizontal="center" vertical="center" wrapText="1" readingOrder="2"/>
    </xf>
    <xf numFmtId="165" fontId="7" fillId="0" borderId="0" xfId="1" applyNumberFormat="1" applyFont="1" applyAlignment="1">
      <alignment horizontal="center"/>
    </xf>
    <xf numFmtId="0" fontId="7" fillId="0" borderId="0" xfId="3" applyFont="1" applyFill="1" applyBorder="1" applyAlignment="1">
      <alignment horizontal="center" vertical="center" wrapText="1" readingOrder="2"/>
    </xf>
    <xf numFmtId="9" fontId="6" fillId="0" borderId="0" xfId="2" applyFont="1" applyAlignment="1">
      <alignment horizontal="center" vertical="center"/>
    </xf>
    <xf numFmtId="9" fontId="6" fillId="0" borderId="0" xfId="2" applyFont="1" applyAlignment="1">
      <alignment horizontal="center"/>
    </xf>
    <xf numFmtId="0" fontId="4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35" fillId="0" borderId="15" xfId="1" applyNumberFormat="1" applyFont="1" applyFill="1" applyBorder="1" applyAlignment="1">
      <alignment horizontal="center" vertical="center" wrapText="1" readingOrder="2"/>
    </xf>
    <xf numFmtId="172" fontId="35" fillId="0" borderId="6" xfId="0" applyNumberFormat="1" applyFont="1" applyBorder="1" applyAlignment="1">
      <alignment horizontal="center" vertical="center" readingOrder="2"/>
    </xf>
    <xf numFmtId="165" fontId="35" fillId="0" borderId="0" xfId="1" applyNumberFormat="1" applyFont="1" applyFill="1" applyBorder="1" applyAlignment="1">
      <alignment horizontal="center" vertical="center" wrapText="1" readingOrder="2"/>
    </xf>
    <xf numFmtId="0" fontId="57" fillId="0" borderId="0" xfId="0" applyFont="1"/>
    <xf numFmtId="165" fontId="56" fillId="0" borderId="0" xfId="1" applyNumberFormat="1" applyFont="1" applyFill="1" applyAlignment="1">
      <alignment horizontal="center" vertical="center"/>
    </xf>
    <xf numFmtId="164" fontId="57" fillId="0" borderId="0" xfId="1" applyFont="1" applyFill="1"/>
    <xf numFmtId="43" fontId="57" fillId="0" borderId="0" xfId="0" applyNumberFormat="1" applyFont="1"/>
    <xf numFmtId="0" fontId="7" fillId="0" borderId="0" xfId="0" applyFont="1" applyAlignment="1">
      <alignment horizontal="right" indent="6"/>
    </xf>
    <xf numFmtId="165" fontId="41" fillId="0" borderId="0" xfId="1" applyNumberFormat="1" applyFont="1"/>
    <xf numFmtId="165" fontId="41" fillId="0" borderId="0" xfId="1" applyNumberFormat="1" applyFont="1" applyAlignment="1">
      <alignment vertical="center"/>
    </xf>
    <xf numFmtId="165" fontId="41" fillId="0" borderId="0" xfId="1" applyNumberFormat="1" applyFont="1" applyAlignment="1">
      <alignment horizontal="center"/>
    </xf>
    <xf numFmtId="176" fontId="7" fillId="0" borderId="0" xfId="1" applyNumberFormat="1" applyFont="1" applyAlignment="1">
      <alignment horizontal="center"/>
    </xf>
    <xf numFmtId="0" fontId="58" fillId="0" borderId="0" xfId="0" applyFont="1" applyAlignment="1">
      <alignment vertical="center" readingOrder="2"/>
    </xf>
    <xf numFmtId="3" fontId="58" fillId="7" borderId="0" xfId="0" applyNumberFormat="1" applyFont="1" applyFill="1"/>
    <xf numFmtId="165" fontId="48" fillId="5" borderId="0" xfId="1" applyNumberFormat="1" applyFont="1" applyFill="1" applyAlignment="1">
      <alignment horizontal="center" vertical="center"/>
    </xf>
    <xf numFmtId="3" fontId="58" fillId="8" borderId="0" xfId="0" applyNumberFormat="1" applyFont="1" applyFill="1"/>
    <xf numFmtId="10" fontId="59" fillId="0" borderId="0" xfId="2" applyNumberFormat="1" applyFont="1" applyFill="1" applyBorder="1" applyAlignment="1">
      <alignment horizontal="center" vertical="center" wrapText="1" readingOrder="2"/>
    </xf>
    <xf numFmtId="0" fontId="59" fillId="0" borderId="0" xfId="0" applyFont="1" applyAlignment="1">
      <alignment horizontal="center"/>
    </xf>
    <xf numFmtId="10" fontId="59" fillId="0" borderId="0" xfId="0" applyNumberFormat="1" applyFont="1" applyAlignment="1">
      <alignment horizontal="center"/>
    </xf>
    <xf numFmtId="3" fontId="60" fillId="0" borderId="0" xfId="0" applyNumberFormat="1" applyFont="1" applyAlignment="1">
      <alignment horizontal="center" wrapText="1"/>
    </xf>
    <xf numFmtId="3" fontId="59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right" indent="6"/>
    </xf>
    <xf numFmtId="0" fontId="15" fillId="0" borderId="0" xfId="0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 wrapText="1" readingOrder="2"/>
    </xf>
    <xf numFmtId="0" fontId="35" fillId="0" borderId="8" xfId="0" applyFont="1" applyBorder="1" applyAlignment="1">
      <alignment horizontal="center" vertical="center" wrapText="1" readingOrder="2"/>
    </xf>
    <xf numFmtId="0" fontId="35" fillId="0" borderId="13" xfId="0" applyFont="1" applyBorder="1" applyAlignment="1">
      <alignment horizontal="center" vertical="center" wrapText="1" readingOrder="2"/>
    </xf>
    <xf numFmtId="0" fontId="35" fillId="0" borderId="10" xfId="0" applyFont="1" applyBorder="1" applyAlignment="1">
      <alignment horizontal="center" vertical="center" wrapText="1" readingOrder="2"/>
    </xf>
    <xf numFmtId="0" fontId="34" fillId="0" borderId="0" xfId="0" applyFont="1" applyAlignment="1">
      <alignment horizontal="center" vertical="center"/>
    </xf>
    <xf numFmtId="0" fontId="35" fillId="0" borderId="11" xfId="0" applyFont="1" applyBorder="1" applyAlignment="1">
      <alignment horizontal="center" vertical="center" wrapText="1" readingOrder="2"/>
    </xf>
    <xf numFmtId="0" fontId="35" fillId="0" borderId="9" xfId="0" applyFont="1" applyBorder="1" applyAlignment="1">
      <alignment horizontal="center" vertical="center" wrapText="1" readingOrder="2"/>
    </xf>
    <xf numFmtId="0" fontId="35" fillId="0" borderId="12" xfId="0" applyFont="1" applyBorder="1" applyAlignment="1">
      <alignment horizontal="center" vertical="center"/>
    </xf>
    <xf numFmtId="165" fontId="35" fillId="0" borderId="12" xfId="1" applyNumberFormat="1" applyFont="1" applyFill="1" applyBorder="1" applyAlignment="1">
      <alignment horizontal="center" vertical="center" readingOrder="2"/>
    </xf>
    <xf numFmtId="165" fontId="35" fillId="0" borderId="8" xfId="1" applyNumberFormat="1" applyFont="1" applyFill="1" applyBorder="1" applyAlignment="1">
      <alignment horizontal="center" vertical="center" readingOrder="2"/>
    </xf>
    <xf numFmtId="0" fontId="35" fillId="0" borderId="12" xfId="0" applyFont="1" applyBorder="1" applyAlignment="1">
      <alignment horizontal="center" vertical="center" readingOrder="2"/>
    </xf>
    <xf numFmtId="0" fontId="35" fillId="0" borderId="8" xfId="0" applyFont="1" applyBorder="1" applyAlignment="1">
      <alignment horizontal="center" vertical="center" readingOrder="2"/>
    </xf>
    <xf numFmtId="0" fontId="36" fillId="0" borderId="0" xfId="0" applyFont="1" applyAlignment="1">
      <alignment horizontal="right" vertical="center" readingOrder="2"/>
    </xf>
    <xf numFmtId="0" fontId="3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0" fontId="23" fillId="0" borderId="0" xfId="0" applyFont="1" applyAlignment="1">
      <alignment horizontal="center" vertical="center" wrapText="1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3" xfId="0" applyFont="1" applyBorder="1" applyAlignment="1">
      <alignment horizontal="center" vertical="center" wrapText="1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49" fontId="5" fillId="0" borderId="0" xfId="0" applyNumberFormat="1" applyFont="1" applyAlignment="1">
      <alignment horizontal="center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</cellXfs>
  <cellStyles count="7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Normal 4" xfId="6" xr:uid="{4354BF1A-018D-4F5C-AA5F-B7A38CB8151F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17"/>
  <sheetViews>
    <sheetView rightToLeft="1" tabSelected="1" view="pageBreakPreview" zoomScale="60" zoomScaleNormal="40" zoomScalePageLayoutView="10" workbookViewId="0">
      <selection activeCell="J16" sqref="J16"/>
    </sheetView>
  </sheetViews>
  <sheetFormatPr defaultColWidth="9.140625" defaultRowHeight="27.75" x14ac:dyDescent="0.65"/>
  <cols>
    <col min="1" max="1" width="3.7109375" style="133" customWidth="1"/>
    <col min="2" max="2" width="43.42578125" style="153" bestFit="1" customWidth="1"/>
    <col min="3" max="3" width="2.140625" style="133" customWidth="1"/>
    <col min="4" max="4" width="24.140625" style="133" bestFit="1" customWidth="1"/>
    <col min="5" max="5" width="0.7109375" style="133" customWidth="1"/>
    <col min="6" max="6" width="30.85546875" style="124" customWidth="1"/>
    <col min="7" max="7" width="1.140625" style="133" customWidth="1"/>
    <col min="8" max="8" width="34.85546875" style="133" bestFit="1" customWidth="1"/>
    <col min="9" max="9" width="0.7109375" style="133" customWidth="1"/>
    <col min="10" max="10" width="26" style="133" customWidth="1"/>
    <col min="11" max="11" width="1.140625" style="133" customWidth="1"/>
    <col min="12" max="12" width="29" style="133" bestFit="1" customWidth="1"/>
    <col min="13" max="13" width="0.42578125" style="133" customWidth="1"/>
    <col min="14" max="14" width="23.42578125" style="133" bestFit="1" customWidth="1"/>
    <col min="15" max="15" width="0.85546875" style="133" customWidth="1"/>
    <col min="16" max="16" width="28.42578125" style="133" bestFit="1" customWidth="1"/>
    <col min="17" max="17" width="0.85546875" style="133" customWidth="1"/>
    <col min="18" max="18" width="24.140625" style="124" bestFit="1" customWidth="1"/>
    <col min="19" max="19" width="0.7109375" style="133" customWidth="1"/>
    <col min="20" max="20" width="23" style="133" customWidth="1"/>
    <col min="21" max="21" width="0.85546875" style="133" customWidth="1"/>
    <col min="22" max="22" width="30.5703125" style="124" bestFit="1" customWidth="1"/>
    <col min="23" max="23" width="0.85546875" style="133" customWidth="1"/>
    <col min="24" max="24" width="30.85546875" style="133" bestFit="1" customWidth="1"/>
    <col min="25" max="25" width="1.140625" style="133" customWidth="1"/>
    <col min="26" max="26" width="28.7109375" style="133" bestFit="1" customWidth="1"/>
    <col min="27" max="27" width="7.28515625" style="133" customWidth="1"/>
    <col min="28" max="28" width="9.140625" style="133"/>
    <col min="29" max="29" width="41.42578125" style="133" bestFit="1" customWidth="1"/>
    <col min="30" max="30" width="12.140625" style="133" bestFit="1" customWidth="1"/>
    <col min="31" max="32" width="30" style="133" bestFit="1" customWidth="1"/>
    <col min="33" max="33" width="12.28515625" style="133" bestFit="1" customWidth="1"/>
    <col min="34" max="16384" width="9.140625" style="133"/>
  </cols>
  <sheetData>
    <row r="1" spans="2:34" ht="30" x14ac:dyDescent="0.75">
      <c r="B1" s="349" t="s">
        <v>102</v>
      </c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132"/>
    </row>
    <row r="2" spans="2:34" ht="30" x14ac:dyDescent="0.75">
      <c r="B2" s="349" t="s">
        <v>80</v>
      </c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132"/>
      <c r="AC2" s="249"/>
    </row>
    <row r="3" spans="2:34" ht="30" x14ac:dyDescent="0.75">
      <c r="B3" s="349" t="str">
        <f>AC6</f>
        <v>برای ماه منتهی به 1405/05/31</v>
      </c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132"/>
      <c r="AC3" s="249"/>
    </row>
    <row r="4" spans="2:34" ht="36.75" customHeight="1" x14ac:dyDescent="0.65">
      <c r="B4" s="357" t="s">
        <v>36</v>
      </c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134"/>
      <c r="AC4" s="249" t="s">
        <v>231</v>
      </c>
    </row>
    <row r="5" spans="2:34" ht="30" x14ac:dyDescent="0.65">
      <c r="B5" s="357" t="s">
        <v>37</v>
      </c>
      <c r="C5" s="357"/>
      <c r="D5" s="357"/>
      <c r="E5" s="357"/>
      <c r="F5" s="357"/>
      <c r="G5" s="357"/>
      <c r="H5" s="357"/>
      <c r="I5" s="357"/>
      <c r="J5" s="357"/>
      <c r="K5" s="357"/>
      <c r="L5" s="357"/>
      <c r="M5" s="357"/>
      <c r="N5" s="357"/>
      <c r="O5" s="357"/>
      <c r="P5" s="357"/>
      <c r="Q5" s="357"/>
      <c r="R5" s="357"/>
      <c r="S5" s="357"/>
      <c r="T5" s="357"/>
      <c r="U5" s="357"/>
      <c r="V5" s="357"/>
      <c r="W5" s="357"/>
      <c r="X5" s="357"/>
      <c r="Y5" s="357"/>
      <c r="Z5" s="357"/>
      <c r="AA5" s="134"/>
      <c r="AC5" s="249" t="s">
        <v>245</v>
      </c>
    </row>
    <row r="6" spans="2:34" ht="30" x14ac:dyDescent="0.65">
      <c r="B6" s="135"/>
      <c r="C6" s="136"/>
      <c r="D6" s="344" t="str">
        <f>AC4</f>
        <v>1405/04/31</v>
      </c>
      <c r="E6" s="344"/>
      <c r="F6" s="344"/>
      <c r="G6" s="344"/>
      <c r="H6" s="344"/>
      <c r="I6" s="136"/>
      <c r="J6" s="358" t="s">
        <v>16</v>
      </c>
      <c r="K6" s="358"/>
      <c r="L6" s="358"/>
      <c r="M6" s="358"/>
      <c r="N6" s="358"/>
      <c r="O6" s="358"/>
      <c r="P6" s="358"/>
      <c r="Q6" s="137"/>
      <c r="R6" s="344" t="str">
        <f>AC5</f>
        <v>1405/05/31</v>
      </c>
      <c r="S6" s="344"/>
      <c r="T6" s="344"/>
      <c r="U6" s="344"/>
      <c r="V6" s="344"/>
      <c r="W6" s="344"/>
      <c r="X6" s="344"/>
      <c r="Y6" s="344"/>
      <c r="Z6" s="344"/>
      <c r="AA6" s="136"/>
      <c r="AC6" s="249" t="s">
        <v>246</v>
      </c>
    </row>
    <row r="7" spans="2:34" x14ac:dyDescent="0.65">
      <c r="B7" s="350" t="s">
        <v>5</v>
      </c>
      <c r="C7" s="138"/>
      <c r="D7" s="355" t="s">
        <v>8</v>
      </c>
      <c r="E7" s="345"/>
      <c r="F7" s="353" t="s">
        <v>3</v>
      </c>
      <c r="G7" s="345"/>
      <c r="H7" s="345" t="s">
        <v>31</v>
      </c>
      <c r="I7" s="139"/>
      <c r="J7" s="352" t="s">
        <v>9</v>
      </c>
      <c r="K7" s="352"/>
      <c r="L7" s="352"/>
      <c r="M7" s="140"/>
      <c r="N7" s="352" t="s">
        <v>10</v>
      </c>
      <c r="O7" s="352"/>
      <c r="P7" s="352"/>
      <c r="Q7" s="140"/>
      <c r="R7" s="353" t="s">
        <v>8</v>
      </c>
      <c r="S7" s="345"/>
      <c r="T7" s="345" t="s">
        <v>41</v>
      </c>
      <c r="U7" s="138"/>
      <c r="V7" s="353" t="s">
        <v>3</v>
      </c>
      <c r="W7" s="345"/>
      <c r="X7" s="345" t="s">
        <v>31</v>
      </c>
      <c r="Y7" s="139"/>
      <c r="Z7" s="347" t="s">
        <v>34</v>
      </c>
      <c r="AA7" s="141"/>
      <c r="AC7" s="249" t="s">
        <v>171</v>
      </c>
    </row>
    <row r="8" spans="2:34" x14ac:dyDescent="0.65">
      <c r="B8" s="351"/>
      <c r="C8" s="141"/>
      <c r="D8" s="356"/>
      <c r="E8" s="346"/>
      <c r="F8" s="354"/>
      <c r="G8" s="346"/>
      <c r="H8" s="346"/>
      <c r="I8" s="142"/>
      <c r="J8" s="144" t="s">
        <v>8</v>
      </c>
      <c r="K8" s="144"/>
      <c r="L8" s="144" t="s">
        <v>3</v>
      </c>
      <c r="M8" s="144"/>
      <c r="N8" s="144" t="s">
        <v>8</v>
      </c>
      <c r="O8" s="144"/>
      <c r="P8" s="144" t="s">
        <v>79</v>
      </c>
      <c r="Q8" s="144"/>
      <c r="R8" s="354"/>
      <c r="S8" s="346"/>
      <c r="T8" s="346"/>
      <c r="U8" s="143"/>
      <c r="V8" s="354"/>
      <c r="W8" s="346"/>
      <c r="X8" s="346"/>
      <c r="Y8" s="142"/>
      <c r="Z8" s="348"/>
      <c r="AA8" s="141"/>
      <c r="AC8" s="249" t="s">
        <v>247</v>
      </c>
    </row>
    <row r="9" spans="2:34" ht="41.25" customHeight="1" x14ac:dyDescent="0.65">
      <c r="B9" s="145" t="s">
        <v>108</v>
      </c>
      <c r="C9" s="141"/>
      <c r="D9" s="146">
        <v>200000000</v>
      </c>
      <c r="E9" s="104"/>
      <c r="F9" s="146">
        <v>96230105555</v>
      </c>
      <c r="G9" s="104"/>
      <c r="H9" s="146">
        <v>100020816000</v>
      </c>
      <c r="I9" s="104"/>
      <c r="J9" s="146">
        <v>0</v>
      </c>
      <c r="K9" s="146"/>
      <c r="L9" s="146">
        <v>0</v>
      </c>
      <c r="M9" s="104"/>
      <c r="N9" s="146">
        <v>0</v>
      </c>
      <c r="O9" s="146"/>
      <c r="P9" s="146">
        <v>0</v>
      </c>
      <c r="Q9" s="146"/>
      <c r="R9" s="146">
        <v>200000000</v>
      </c>
      <c r="S9" s="146"/>
      <c r="T9" s="146">
        <v>647</v>
      </c>
      <c r="U9" s="146"/>
      <c r="V9" s="146">
        <v>96230105555</v>
      </c>
      <c r="W9" s="146"/>
      <c r="X9" s="146">
        <v>128399738000</v>
      </c>
      <c r="Y9" s="147"/>
      <c r="Z9" s="148">
        <f t="shared" ref="Z9:Z48" si="0">X9/$Z$71</f>
        <v>8.1365588740979246E-3</v>
      </c>
      <c r="AA9" s="141"/>
      <c r="AC9" s="250"/>
      <c r="AE9" s="150"/>
      <c r="AF9" s="149"/>
      <c r="AH9" s="149"/>
    </row>
    <row r="10" spans="2:34" ht="41.25" customHeight="1" x14ac:dyDescent="0.65">
      <c r="B10" s="145" t="s">
        <v>109</v>
      </c>
      <c r="C10" s="141"/>
      <c r="D10" s="146">
        <v>1000</v>
      </c>
      <c r="E10" s="146"/>
      <c r="F10" s="146">
        <v>1915216</v>
      </c>
      <c r="G10" s="146"/>
      <c r="H10" s="146">
        <v>8533522</v>
      </c>
      <c r="I10" s="146"/>
      <c r="J10" s="146">
        <v>0</v>
      </c>
      <c r="K10" s="146"/>
      <c r="L10" s="146">
        <v>0</v>
      </c>
      <c r="M10" s="146"/>
      <c r="N10" s="146">
        <v>0</v>
      </c>
      <c r="O10" s="146"/>
      <c r="P10" s="146">
        <v>0</v>
      </c>
      <c r="Q10" s="146"/>
      <c r="R10" s="146">
        <v>1000</v>
      </c>
      <c r="S10" s="146"/>
      <c r="T10" s="151">
        <v>10890</v>
      </c>
      <c r="U10" s="146"/>
      <c r="V10" s="146">
        <v>1915216</v>
      </c>
      <c r="W10" s="146"/>
      <c r="X10" s="146">
        <v>10805820.300000001</v>
      </c>
      <c r="Y10" s="147"/>
      <c r="Z10" s="148">
        <f t="shared" si="0"/>
        <v>6.8475367958984864E-7</v>
      </c>
      <c r="AA10" s="141"/>
      <c r="AC10" s="249"/>
      <c r="AE10" s="149"/>
      <c r="AF10" s="149"/>
      <c r="AH10" s="149"/>
    </row>
    <row r="11" spans="2:34" ht="41.25" customHeight="1" x14ac:dyDescent="0.65">
      <c r="B11" s="145" t="s">
        <v>142</v>
      </c>
      <c r="C11" s="141"/>
      <c r="D11" s="146">
        <v>80000000</v>
      </c>
      <c r="E11" s="146"/>
      <c r="F11" s="146">
        <v>44799841988</v>
      </c>
      <c r="G11" s="146"/>
      <c r="H11" s="146">
        <v>41913484800</v>
      </c>
      <c r="I11" s="146"/>
      <c r="J11" s="146">
        <v>0</v>
      </c>
      <c r="K11" s="146"/>
      <c r="L11" s="146">
        <v>0</v>
      </c>
      <c r="M11" s="146"/>
      <c r="N11" s="146">
        <v>-30000000</v>
      </c>
      <c r="O11" s="146"/>
      <c r="P11" s="146">
        <v>17037134491</v>
      </c>
      <c r="Q11" s="146"/>
      <c r="R11" s="146">
        <v>50000000</v>
      </c>
      <c r="S11" s="146"/>
      <c r="T11" s="146">
        <v>850</v>
      </c>
      <c r="U11" s="146"/>
      <c r="V11" s="146">
        <v>27999901246</v>
      </c>
      <c r="W11" s="146"/>
      <c r="X11" s="146">
        <v>42171475000</v>
      </c>
      <c r="Y11" s="147"/>
      <c r="Z11" s="148">
        <f t="shared" si="0"/>
        <v>2.6723628450476184E-3</v>
      </c>
      <c r="AA11" s="141"/>
      <c r="AE11" s="149"/>
      <c r="AF11" s="149"/>
      <c r="AH11" s="149"/>
    </row>
    <row r="12" spans="2:34" ht="41.25" customHeight="1" x14ac:dyDescent="0.65">
      <c r="B12" s="145" t="s">
        <v>110</v>
      </c>
      <c r="C12" s="141"/>
      <c r="D12" s="146">
        <v>670000000</v>
      </c>
      <c r="E12" s="146"/>
      <c r="F12" s="146">
        <v>745280053458</v>
      </c>
      <c r="G12" s="146"/>
      <c r="H12" s="146">
        <v>743269766200</v>
      </c>
      <c r="I12" s="146"/>
      <c r="J12" s="146">
        <v>0</v>
      </c>
      <c r="K12" s="146"/>
      <c r="L12" s="146">
        <v>0</v>
      </c>
      <c r="M12" s="146"/>
      <c r="N12" s="146">
        <v>-170000000</v>
      </c>
      <c r="O12" s="146"/>
      <c r="P12" s="146">
        <v>214152596688</v>
      </c>
      <c r="Q12" s="146"/>
      <c r="R12" s="146">
        <v>500000000</v>
      </c>
      <c r="S12" s="146"/>
      <c r="T12" s="146">
        <v>1369</v>
      </c>
      <c r="U12" s="146"/>
      <c r="V12" s="146">
        <v>556179144373</v>
      </c>
      <c r="W12" s="146"/>
      <c r="X12" s="146">
        <v>679208815000</v>
      </c>
      <c r="Y12" s="147"/>
      <c r="Z12" s="148">
        <f t="shared" si="0"/>
        <v>4.3040761586708109E-2</v>
      </c>
      <c r="AA12" s="141"/>
      <c r="AE12" s="149"/>
      <c r="AF12" s="149"/>
      <c r="AH12" s="149"/>
    </row>
    <row r="13" spans="2:34" ht="41.25" customHeight="1" x14ac:dyDescent="0.65">
      <c r="B13" s="145" t="s">
        <v>160</v>
      </c>
      <c r="C13" s="141"/>
      <c r="D13" s="146">
        <v>61283274</v>
      </c>
      <c r="E13" s="146"/>
      <c r="F13" s="146">
        <v>83775398362</v>
      </c>
      <c r="G13" s="146"/>
      <c r="H13" s="146">
        <v>169354608703.164</v>
      </c>
      <c r="I13" s="146"/>
      <c r="J13" s="146">
        <v>0</v>
      </c>
      <c r="K13" s="146"/>
      <c r="L13" s="146">
        <v>0</v>
      </c>
      <c r="M13" s="146"/>
      <c r="N13" s="146">
        <v>-1</v>
      </c>
      <c r="O13" s="146"/>
      <c r="P13" s="146">
        <v>1</v>
      </c>
      <c r="Q13" s="146"/>
      <c r="R13" s="146">
        <v>61283273</v>
      </c>
      <c r="S13" s="146"/>
      <c r="T13" s="146">
        <v>3390</v>
      </c>
      <c r="U13" s="146"/>
      <c r="V13" s="146">
        <v>83775396995</v>
      </c>
      <c r="W13" s="146"/>
      <c r="X13" s="146">
        <v>206144385686.017</v>
      </c>
      <c r="Y13" s="147"/>
      <c r="Z13" s="148">
        <f t="shared" si="0"/>
        <v>1.3063156956745713E-2</v>
      </c>
      <c r="AA13" s="141"/>
      <c r="AE13" s="149"/>
      <c r="AF13" s="149"/>
      <c r="AH13" s="149"/>
    </row>
    <row r="14" spans="2:34" ht="41.25" customHeight="1" x14ac:dyDescent="0.65">
      <c r="B14" s="145" t="s">
        <v>143</v>
      </c>
      <c r="C14" s="141"/>
      <c r="D14" s="146">
        <v>1000</v>
      </c>
      <c r="E14" s="146"/>
      <c r="F14" s="146">
        <v>5411279</v>
      </c>
      <c r="G14" s="146"/>
      <c r="H14" s="146">
        <v>3135573.2</v>
      </c>
      <c r="I14" s="146"/>
      <c r="J14" s="146">
        <v>0</v>
      </c>
      <c r="K14" s="146"/>
      <c r="L14" s="146">
        <v>0</v>
      </c>
      <c r="M14" s="146"/>
      <c r="N14" s="146">
        <v>0</v>
      </c>
      <c r="O14" s="146"/>
      <c r="P14" s="146">
        <v>0</v>
      </c>
      <c r="Q14" s="146"/>
      <c r="R14" s="146">
        <v>1000</v>
      </c>
      <c r="S14" s="146"/>
      <c r="T14" s="146">
        <v>4790</v>
      </c>
      <c r="U14" s="146"/>
      <c r="V14" s="146">
        <v>5411279</v>
      </c>
      <c r="W14" s="146"/>
      <c r="X14" s="146">
        <v>4752973.3</v>
      </c>
      <c r="Y14" s="147"/>
      <c r="Z14" s="148">
        <f t="shared" si="0"/>
        <v>3.0119101241830805E-7</v>
      </c>
      <c r="AA14" s="141"/>
      <c r="AE14" s="149"/>
      <c r="AF14" s="149"/>
      <c r="AH14" s="149"/>
    </row>
    <row r="15" spans="2:34" ht="41.25" customHeight="1" x14ac:dyDescent="0.65">
      <c r="B15" s="145" t="s">
        <v>111</v>
      </c>
      <c r="C15" s="141"/>
      <c r="D15" s="146">
        <v>60000000</v>
      </c>
      <c r="E15" s="146"/>
      <c r="F15" s="146">
        <v>197378016384</v>
      </c>
      <c r="G15" s="146"/>
      <c r="H15" s="146">
        <v>560831004000</v>
      </c>
      <c r="I15" s="146"/>
      <c r="J15" s="146">
        <v>0</v>
      </c>
      <c r="K15" s="146"/>
      <c r="L15" s="146">
        <v>0</v>
      </c>
      <c r="M15" s="146"/>
      <c r="N15" s="146">
        <v>-5000000</v>
      </c>
      <c r="O15" s="146"/>
      <c r="P15" s="146">
        <v>49200655432</v>
      </c>
      <c r="Q15" s="146"/>
      <c r="R15" s="146">
        <v>55000000</v>
      </c>
      <c r="S15" s="146"/>
      <c r="T15" s="146">
        <v>11300</v>
      </c>
      <c r="U15" s="146"/>
      <c r="V15" s="146">
        <v>180929848351</v>
      </c>
      <c r="W15" s="146"/>
      <c r="X15" s="146">
        <v>616695805000</v>
      </c>
      <c r="Y15" s="147"/>
      <c r="Z15" s="148">
        <f t="shared" si="0"/>
        <v>3.9079376663461056E-2</v>
      </c>
      <c r="AA15" s="141"/>
      <c r="AE15" s="149"/>
      <c r="AF15" s="149"/>
      <c r="AH15" s="149"/>
    </row>
    <row r="16" spans="2:34" ht="41.25" customHeight="1" x14ac:dyDescent="0.65">
      <c r="B16" s="145" t="s">
        <v>112</v>
      </c>
      <c r="C16" s="141"/>
      <c r="D16" s="146">
        <v>60000000</v>
      </c>
      <c r="E16" s="146"/>
      <c r="F16" s="146">
        <v>260309174270</v>
      </c>
      <c r="G16" s="146"/>
      <c r="H16" s="146">
        <v>659661096000</v>
      </c>
      <c r="I16" s="146"/>
      <c r="J16" s="146">
        <v>0</v>
      </c>
      <c r="K16" s="146"/>
      <c r="L16" s="146">
        <v>0</v>
      </c>
      <c r="M16" s="146"/>
      <c r="N16" s="146">
        <v>-10000000</v>
      </c>
      <c r="O16" s="146"/>
      <c r="P16" s="146">
        <v>120034356745</v>
      </c>
      <c r="Q16" s="146"/>
      <c r="R16" s="146">
        <v>50000000</v>
      </c>
      <c r="S16" s="146"/>
      <c r="T16" s="146">
        <v>12050</v>
      </c>
      <c r="U16" s="146"/>
      <c r="V16" s="146">
        <v>216924311880</v>
      </c>
      <c r="W16" s="146"/>
      <c r="X16" s="146">
        <v>597842675000</v>
      </c>
      <c r="Y16" s="147"/>
      <c r="Z16" s="148">
        <f t="shared" si="0"/>
        <v>3.7884673273910353E-2</v>
      </c>
      <c r="AA16" s="141"/>
      <c r="AE16" s="149"/>
      <c r="AF16" s="149"/>
      <c r="AH16" s="149"/>
    </row>
    <row r="17" spans="2:34" ht="41.25" customHeight="1" x14ac:dyDescent="0.65">
      <c r="B17" s="145" t="s">
        <v>135</v>
      </c>
      <c r="C17" s="141"/>
      <c r="D17" s="146">
        <v>1000</v>
      </c>
      <c r="E17" s="146"/>
      <c r="F17" s="146">
        <v>20873618</v>
      </c>
      <c r="G17" s="146"/>
      <c r="H17" s="146">
        <v>38658839.200000003</v>
      </c>
      <c r="I17" s="146"/>
      <c r="J17" s="146">
        <v>0</v>
      </c>
      <c r="K17" s="146"/>
      <c r="L17" s="146">
        <v>0</v>
      </c>
      <c r="M17" s="146"/>
      <c r="N17" s="146">
        <v>0</v>
      </c>
      <c r="O17" s="146"/>
      <c r="P17" s="146">
        <v>0</v>
      </c>
      <c r="Q17" s="146"/>
      <c r="R17" s="146">
        <v>1000</v>
      </c>
      <c r="S17" s="146"/>
      <c r="T17" s="146">
        <v>46050</v>
      </c>
      <c r="U17" s="146"/>
      <c r="V17" s="146">
        <v>20873618</v>
      </c>
      <c r="W17" s="146"/>
      <c r="X17" s="146">
        <v>45694033.5</v>
      </c>
      <c r="Y17" s="147"/>
      <c r="Z17" s="148">
        <f t="shared" si="0"/>
        <v>2.8955837415163018E-6</v>
      </c>
      <c r="AA17" s="141"/>
      <c r="AE17" s="149"/>
      <c r="AF17" s="149"/>
      <c r="AH17" s="149"/>
    </row>
    <row r="18" spans="2:34" ht="41.25" customHeight="1" x14ac:dyDescent="0.65">
      <c r="B18" s="145" t="s">
        <v>113</v>
      </c>
      <c r="C18" s="141"/>
      <c r="D18" s="146">
        <v>50000000</v>
      </c>
      <c r="E18" s="146"/>
      <c r="F18" s="146">
        <v>148963424259</v>
      </c>
      <c r="G18" s="146"/>
      <c r="H18" s="146">
        <v>236160260000</v>
      </c>
      <c r="I18" s="146"/>
      <c r="J18" s="146">
        <v>0</v>
      </c>
      <c r="K18" s="146"/>
      <c r="L18" s="146">
        <v>0</v>
      </c>
      <c r="M18" s="146"/>
      <c r="N18" s="146">
        <v>-20000000</v>
      </c>
      <c r="O18" s="146"/>
      <c r="P18" s="146">
        <v>94195395579</v>
      </c>
      <c r="Q18" s="146"/>
      <c r="R18" s="146">
        <v>30000000</v>
      </c>
      <c r="S18" s="146"/>
      <c r="T18" s="146">
        <v>5470</v>
      </c>
      <c r="U18" s="146"/>
      <c r="V18" s="146">
        <v>89378054551</v>
      </c>
      <c r="W18" s="146"/>
      <c r="X18" s="146">
        <v>162831507000</v>
      </c>
      <c r="Y18" s="147"/>
      <c r="Z18" s="148">
        <f t="shared" si="0"/>
        <v>1.0318464538172098E-2</v>
      </c>
      <c r="AA18" s="141"/>
      <c r="AE18" s="149"/>
      <c r="AF18" s="149"/>
      <c r="AH18" s="149"/>
    </row>
    <row r="19" spans="2:34" ht="41.25" customHeight="1" x14ac:dyDescent="0.65">
      <c r="B19" s="145" t="s">
        <v>222</v>
      </c>
      <c r="C19" s="141"/>
      <c r="D19" s="146">
        <v>2700000</v>
      </c>
      <c r="E19" s="146"/>
      <c r="F19" s="146">
        <v>203490878141</v>
      </c>
      <c r="G19" s="146"/>
      <c r="H19" s="146">
        <v>119140866630</v>
      </c>
      <c r="I19" s="146"/>
      <c r="J19" s="146">
        <v>0</v>
      </c>
      <c r="K19" s="146"/>
      <c r="L19" s="146">
        <v>0</v>
      </c>
      <c r="M19" s="146"/>
      <c r="N19" s="146">
        <v>-2700000</v>
      </c>
      <c r="O19" s="146"/>
      <c r="P19" s="146">
        <v>118055390380</v>
      </c>
      <c r="Q19" s="146"/>
      <c r="R19" s="146">
        <v>0</v>
      </c>
      <c r="S19" s="146"/>
      <c r="T19" s="146">
        <v>0</v>
      </c>
      <c r="U19" s="146"/>
      <c r="V19" s="146">
        <v>0</v>
      </c>
      <c r="W19" s="146"/>
      <c r="X19" s="146">
        <v>0</v>
      </c>
      <c r="Y19" s="147"/>
      <c r="Z19" s="148">
        <f t="shared" si="0"/>
        <v>0</v>
      </c>
      <c r="AA19" s="141"/>
      <c r="AE19" s="149"/>
      <c r="AF19" s="149"/>
      <c r="AH19" s="149"/>
    </row>
    <row r="20" spans="2:34" ht="41.25" customHeight="1" x14ac:dyDescent="0.65">
      <c r="B20" s="145" t="s">
        <v>139</v>
      </c>
      <c r="C20" s="141"/>
      <c r="D20" s="146">
        <v>1400</v>
      </c>
      <c r="E20" s="146"/>
      <c r="F20" s="146">
        <v>68624286</v>
      </c>
      <c r="G20" s="146"/>
      <c r="H20" s="146">
        <v>35951926.640000001</v>
      </c>
      <c r="I20" s="146"/>
      <c r="J20" s="146">
        <v>28600</v>
      </c>
      <c r="K20" s="146"/>
      <c r="L20" s="146">
        <v>1118869243</v>
      </c>
      <c r="M20" s="146"/>
      <c r="N20" s="146">
        <v>0</v>
      </c>
      <c r="O20" s="146"/>
      <c r="P20" s="146">
        <v>0</v>
      </c>
      <c r="Q20" s="146"/>
      <c r="R20" s="146">
        <v>30000</v>
      </c>
      <c r="S20" s="146"/>
      <c r="T20" s="146">
        <v>38140</v>
      </c>
      <c r="U20" s="146"/>
      <c r="V20" s="146">
        <v>1187493529</v>
      </c>
      <c r="W20" s="146"/>
      <c r="X20" s="146">
        <v>1135355334</v>
      </c>
      <c r="Y20" s="147"/>
      <c r="Z20" s="148">
        <f t="shared" si="0"/>
        <v>7.1946295701258474E-5</v>
      </c>
      <c r="AA20" s="141"/>
      <c r="AE20" s="149"/>
      <c r="AF20" s="149"/>
      <c r="AH20" s="149"/>
    </row>
    <row r="21" spans="2:34" ht="41.25" customHeight="1" x14ac:dyDescent="0.65">
      <c r="B21" s="145" t="s">
        <v>114</v>
      </c>
      <c r="C21" s="141"/>
      <c r="D21" s="146">
        <v>1147</v>
      </c>
      <c r="E21" s="146"/>
      <c r="F21" s="146">
        <v>2873060</v>
      </c>
      <c r="G21" s="146"/>
      <c r="H21" s="146">
        <v>2143105.7382700001</v>
      </c>
      <c r="I21" s="146"/>
      <c r="J21" s="146">
        <v>998853</v>
      </c>
      <c r="K21" s="146"/>
      <c r="L21" s="146">
        <v>2118999706</v>
      </c>
      <c r="M21" s="146"/>
      <c r="N21" s="146">
        <v>-999000</v>
      </c>
      <c r="O21" s="146"/>
      <c r="P21" s="146">
        <v>2191982253</v>
      </c>
      <c r="Q21" s="146"/>
      <c r="R21" s="146">
        <v>1000</v>
      </c>
      <c r="S21" s="146"/>
      <c r="T21" s="146">
        <v>2319</v>
      </c>
      <c r="U21" s="146"/>
      <c r="V21" s="146">
        <v>2121872</v>
      </c>
      <c r="W21" s="146"/>
      <c r="X21" s="146">
        <v>2301074.13</v>
      </c>
      <c r="Y21" s="147"/>
      <c r="Z21" s="148">
        <f t="shared" si="0"/>
        <v>1.4581669265095121E-7</v>
      </c>
      <c r="AA21" s="141"/>
      <c r="AE21" s="149"/>
      <c r="AF21" s="149"/>
      <c r="AH21" s="149"/>
    </row>
    <row r="22" spans="2:34" ht="41.25" customHeight="1" x14ac:dyDescent="0.65">
      <c r="B22" s="145" t="s">
        <v>115</v>
      </c>
      <c r="C22" s="141"/>
      <c r="D22" s="146">
        <v>45000000</v>
      </c>
      <c r="E22" s="146"/>
      <c r="F22" s="146">
        <v>415860964889</v>
      </c>
      <c r="G22" s="146"/>
      <c r="H22" s="146">
        <v>467508010500</v>
      </c>
      <c r="I22" s="146"/>
      <c r="J22" s="146">
        <v>0</v>
      </c>
      <c r="K22" s="146"/>
      <c r="L22" s="146">
        <v>0</v>
      </c>
      <c r="M22" s="146"/>
      <c r="N22" s="146">
        <v>-44999000</v>
      </c>
      <c r="O22" s="146"/>
      <c r="P22" s="146">
        <v>464418214431</v>
      </c>
      <c r="Q22" s="146"/>
      <c r="R22" s="146">
        <v>1000</v>
      </c>
      <c r="S22" s="146"/>
      <c r="T22" s="146">
        <v>10490</v>
      </c>
      <c r="U22" s="146"/>
      <c r="V22" s="146">
        <v>9241351</v>
      </c>
      <c r="W22" s="146"/>
      <c r="X22" s="146">
        <v>10408912.300000001</v>
      </c>
      <c r="Y22" s="147"/>
      <c r="Z22" s="148">
        <f t="shared" si="0"/>
        <v>6.5960202928351808E-7</v>
      </c>
      <c r="AA22" s="141"/>
      <c r="AE22" s="149"/>
      <c r="AF22" s="149"/>
      <c r="AH22" s="149"/>
    </row>
    <row r="23" spans="2:34" ht="41.25" customHeight="1" x14ac:dyDescent="0.65">
      <c r="B23" s="145" t="s">
        <v>116</v>
      </c>
      <c r="C23" s="141"/>
      <c r="D23" s="146">
        <v>1000</v>
      </c>
      <c r="E23" s="146"/>
      <c r="F23" s="146">
        <v>56369410</v>
      </c>
      <c r="G23" s="146"/>
      <c r="H23" s="146">
        <v>35622493</v>
      </c>
      <c r="I23" s="146"/>
      <c r="J23" s="146">
        <v>0</v>
      </c>
      <c r="K23" s="146"/>
      <c r="L23" s="146">
        <v>0</v>
      </c>
      <c r="M23" s="146"/>
      <c r="N23" s="146">
        <v>0</v>
      </c>
      <c r="O23" s="146"/>
      <c r="P23" s="146">
        <v>0</v>
      </c>
      <c r="Q23" s="146"/>
      <c r="R23" s="146">
        <v>1000</v>
      </c>
      <c r="S23" s="146"/>
      <c r="T23" s="146">
        <v>47440</v>
      </c>
      <c r="U23" s="146"/>
      <c r="V23" s="146">
        <v>56369410</v>
      </c>
      <c r="W23" s="146"/>
      <c r="X23" s="146">
        <v>47073288.799999997</v>
      </c>
      <c r="Y23" s="147"/>
      <c r="Z23" s="148">
        <f t="shared" si="0"/>
        <v>2.9829857263308004E-6</v>
      </c>
      <c r="AA23" s="141"/>
      <c r="AE23" s="149"/>
      <c r="AF23" s="149"/>
      <c r="AH23" s="149"/>
    </row>
    <row r="24" spans="2:34" ht="41.25" customHeight="1" x14ac:dyDescent="0.65">
      <c r="B24" s="145" t="s">
        <v>117</v>
      </c>
      <c r="C24" s="141"/>
      <c r="D24" s="146">
        <v>5000000</v>
      </c>
      <c r="E24" s="146"/>
      <c r="F24" s="146">
        <v>263663813246</v>
      </c>
      <c r="G24" s="146"/>
      <c r="H24" s="146">
        <v>238690548500</v>
      </c>
      <c r="I24" s="146"/>
      <c r="J24" s="146">
        <v>3000000</v>
      </c>
      <c r="K24" s="146"/>
      <c r="L24" s="146">
        <v>0</v>
      </c>
      <c r="M24" s="146"/>
      <c r="N24" s="146">
        <v>-240000</v>
      </c>
      <c r="O24" s="146"/>
      <c r="P24" s="146">
        <v>8155835232</v>
      </c>
      <c r="Q24" s="146"/>
      <c r="R24" s="146">
        <v>7760000</v>
      </c>
      <c r="S24" s="146"/>
      <c r="T24" s="146">
        <v>34390</v>
      </c>
      <c r="U24" s="146"/>
      <c r="V24" s="146">
        <v>255753898845</v>
      </c>
      <c r="W24" s="146"/>
      <c r="X24" s="146">
        <v>264803522728</v>
      </c>
      <c r="Y24" s="147"/>
      <c r="Z24" s="148">
        <f t="shared" si="0"/>
        <v>1.6780325928273311E-2</v>
      </c>
      <c r="AA24" s="141"/>
      <c r="AE24" s="149"/>
      <c r="AF24" s="149"/>
      <c r="AH24" s="149"/>
    </row>
    <row r="25" spans="2:34" ht="41.25" customHeight="1" x14ac:dyDescent="0.65">
      <c r="B25" s="145" t="s">
        <v>140</v>
      </c>
      <c r="C25" s="141"/>
      <c r="D25" s="146">
        <v>9000000</v>
      </c>
      <c r="E25" s="146"/>
      <c r="F25" s="146">
        <v>500886517901</v>
      </c>
      <c r="G25" s="146"/>
      <c r="H25" s="146">
        <v>548417706300</v>
      </c>
      <c r="I25" s="146"/>
      <c r="J25" s="146">
        <v>0</v>
      </c>
      <c r="K25" s="146"/>
      <c r="L25" s="146">
        <v>0</v>
      </c>
      <c r="M25" s="146"/>
      <c r="N25" s="146">
        <v>-8999000</v>
      </c>
      <c r="O25" s="146"/>
      <c r="P25" s="146">
        <v>544855580858</v>
      </c>
      <c r="Q25" s="146"/>
      <c r="R25" s="146">
        <v>1000</v>
      </c>
      <c r="S25" s="146"/>
      <c r="T25" s="146">
        <v>61270</v>
      </c>
      <c r="U25" s="146"/>
      <c r="V25" s="146">
        <v>55654058</v>
      </c>
      <c r="W25" s="146"/>
      <c r="X25" s="146">
        <v>60796382.899999999</v>
      </c>
      <c r="Y25" s="147"/>
      <c r="Z25" s="148">
        <f t="shared" si="0"/>
        <v>3.8526040356721779E-6</v>
      </c>
      <c r="AA25" s="141"/>
      <c r="AE25" s="149"/>
      <c r="AF25" s="149"/>
      <c r="AH25" s="149"/>
    </row>
    <row r="26" spans="2:34" ht="41.25" customHeight="1" x14ac:dyDescent="0.65">
      <c r="B26" s="145" t="s">
        <v>176</v>
      </c>
      <c r="C26" s="141"/>
      <c r="D26" s="146">
        <v>25000000</v>
      </c>
      <c r="E26" s="146"/>
      <c r="F26" s="146">
        <v>191656788314</v>
      </c>
      <c r="G26" s="146"/>
      <c r="H26" s="146">
        <v>184066085000</v>
      </c>
      <c r="I26" s="146"/>
      <c r="J26" s="146">
        <v>0</v>
      </c>
      <c r="K26" s="146"/>
      <c r="L26" s="146">
        <v>0</v>
      </c>
      <c r="M26" s="146"/>
      <c r="N26" s="146">
        <v>-5000000</v>
      </c>
      <c r="O26" s="146"/>
      <c r="P26" s="146">
        <v>37637189502</v>
      </c>
      <c r="Q26" s="146"/>
      <c r="R26" s="146">
        <v>20000000</v>
      </c>
      <c r="S26" s="146"/>
      <c r="T26" s="146">
        <v>7360</v>
      </c>
      <c r="U26" s="146"/>
      <c r="V26" s="146">
        <v>153325430648</v>
      </c>
      <c r="W26" s="146"/>
      <c r="X26" s="146">
        <v>146062144000</v>
      </c>
      <c r="Y26" s="147"/>
      <c r="Z26" s="148">
        <f t="shared" si="0"/>
        <v>9.2558073127296334E-3</v>
      </c>
      <c r="AA26" s="141"/>
      <c r="AE26" s="149"/>
      <c r="AF26" s="149"/>
      <c r="AH26" s="149"/>
    </row>
    <row r="27" spans="2:34" ht="41.25" customHeight="1" x14ac:dyDescent="0.65">
      <c r="B27" s="145" t="s">
        <v>223</v>
      </c>
      <c r="C27" s="141"/>
      <c r="D27" s="146">
        <v>80000000</v>
      </c>
      <c r="E27" s="146"/>
      <c r="F27" s="146">
        <v>193753279329</v>
      </c>
      <c r="G27" s="146"/>
      <c r="H27" s="146">
        <v>184165312000</v>
      </c>
      <c r="I27" s="146"/>
      <c r="J27" s="146">
        <v>0</v>
      </c>
      <c r="K27" s="146"/>
      <c r="L27" s="146">
        <v>0</v>
      </c>
      <c r="M27" s="146"/>
      <c r="N27" s="146">
        <v>-80000000</v>
      </c>
      <c r="O27" s="146"/>
      <c r="P27" s="146">
        <v>214400185183</v>
      </c>
      <c r="Q27" s="146"/>
      <c r="R27" s="146">
        <v>0</v>
      </c>
      <c r="S27" s="146"/>
      <c r="T27" s="146">
        <v>0</v>
      </c>
      <c r="U27" s="146"/>
      <c r="V27" s="146">
        <v>0</v>
      </c>
      <c r="W27" s="146"/>
      <c r="X27" s="146">
        <v>0</v>
      </c>
      <c r="Y27" s="147"/>
      <c r="Z27" s="148">
        <f t="shared" si="0"/>
        <v>0</v>
      </c>
      <c r="AA27" s="141"/>
      <c r="AE27" s="149"/>
      <c r="AF27" s="149"/>
      <c r="AH27" s="149"/>
    </row>
    <row r="28" spans="2:34" ht="41.25" customHeight="1" x14ac:dyDescent="0.65">
      <c r="B28" s="145" t="s">
        <v>133</v>
      </c>
      <c r="C28" s="141"/>
      <c r="D28" s="146">
        <v>1000</v>
      </c>
      <c r="E28" s="146"/>
      <c r="F28" s="146">
        <v>4947385</v>
      </c>
      <c r="G28" s="146"/>
      <c r="H28" s="146">
        <v>5606325.5</v>
      </c>
      <c r="I28" s="146"/>
      <c r="J28" s="146">
        <v>0</v>
      </c>
      <c r="K28" s="146"/>
      <c r="L28" s="146">
        <v>0</v>
      </c>
      <c r="M28" s="146"/>
      <c r="N28" s="146">
        <v>0</v>
      </c>
      <c r="O28" s="146"/>
      <c r="P28" s="146">
        <v>0</v>
      </c>
      <c r="Q28" s="146"/>
      <c r="R28" s="146">
        <v>1000</v>
      </c>
      <c r="S28" s="146"/>
      <c r="T28" s="146">
        <v>6930</v>
      </c>
      <c r="U28" s="146"/>
      <c r="V28" s="146">
        <v>4947385</v>
      </c>
      <c r="W28" s="146"/>
      <c r="X28" s="146">
        <v>6876431.0999999996</v>
      </c>
      <c r="Y28" s="147"/>
      <c r="Z28" s="148">
        <f t="shared" si="0"/>
        <v>4.3575234155717636E-7</v>
      </c>
      <c r="AA28" s="141"/>
      <c r="AE28" s="149"/>
      <c r="AF28" s="149"/>
      <c r="AH28" s="149"/>
    </row>
    <row r="29" spans="2:34" ht="41.25" customHeight="1" x14ac:dyDescent="0.65">
      <c r="B29" s="145" t="s">
        <v>103</v>
      </c>
      <c r="C29" s="141"/>
      <c r="D29" s="146">
        <v>380045097</v>
      </c>
      <c r="E29" s="146"/>
      <c r="F29" s="146">
        <v>868634059589</v>
      </c>
      <c r="G29" s="146"/>
      <c r="H29" s="146">
        <v>748935193922.77698</v>
      </c>
      <c r="I29" s="146"/>
      <c r="J29" s="146">
        <v>0</v>
      </c>
      <c r="K29" s="146"/>
      <c r="L29" s="146">
        <v>0</v>
      </c>
      <c r="M29" s="146"/>
      <c r="N29" s="146">
        <v>-110000000</v>
      </c>
      <c r="O29" s="146"/>
      <c r="P29" s="146">
        <v>249192912489</v>
      </c>
      <c r="Q29" s="146"/>
      <c r="R29" s="146">
        <v>270045097</v>
      </c>
      <c r="S29" s="146"/>
      <c r="T29" s="146">
        <v>2848</v>
      </c>
      <c r="U29" s="146"/>
      <c r="V29" s="146">
        <v>617217195364</v>
      </c>
      <c r="W29" s="146"/>
      <c r="X29" s="146">
        <v>763143382643.74097</v>
      </c>
      <c r="Y29" s="147"/>
      <c r="Z29" s="148">
        <f t="shared" si="0"/>
        <v>4.8359608508383709E-2</v>
      </c>
      <c r="AA29" s="141"/>
      <c r="AE29" s="149"/>
      <c r="AF29" s="149"/>
      <c r="AH29" s="149"/>
    </row>
    <row r="30" spans="2:34" ht="41.25" customHeight="1" x14ac:dyDescent="0.65">
      <c r="B30" s="145" t="s">
        <v>202</v>
      </c>
      <c r="C30" s="141"/>
      <c r="D30" s="146">
        <v>2400000</v>
      </c>
      <c r="E30" s="146"/>
      <c r="F30" s="146">
        <v>19257600000</v>
      </c>
      <c r="G30" s="146"/>
      <c r="H30" s="146">
        <v>36674299200</v>
      </c>
      <c r="I30" s="146"/>
      <c r="J30" s="146">
        <v>0</v>
      </c>
      <c r="K30" s="146"/>
      <c r="L30" s="146">
        <v>0</v>
      </c>
      <c r="M30" s="146"/>
      <c r="N30" s="146">
        <v>0</v>
      </c>
      <c r="O30" s="146"/>
      <c r="P30" s="146">
        <v>0</v>
      </c>
      <c r="Q30" s="146"/>
      <c r="R30" s="146">
        <v>2400000</v>
      </c>
      <c r="S30" s="146"/>
      <c r="T30" s="146">
        <v>19900</v>
      </c>
      <c r="U30" s="146"/>
      <c r="V30" s="146">
        <v>19257600000</v>
      </c>
      <c r="W30" s="146"/>
      <c r="X30" s="146">
        <v>47390815200</v>
      </c>
      <c r="Y30" s="147"/>
      <c r="Z30" s="148">
        <f t="shared" si="0"/>
        <v>3.0031070465758648E-3</v>
      </c>
      <c r="AA30" s="141"/>
      <c r="AE30" s="149"/>
      <c r="AF30" s="149"/>
      <c r="AH30" s="149"/>
    </row>
    <row r="31" spans="2:34" ht="41.25" customHeight="1" x14ac:dyDescent="0.65">
      <c r="B31" s="145" t="s">
        <v>228</v>
      </c>
      <c r="C31" s="141"/>
      <c r="D31" s="146">
        <v>585000</v>
      </c>
      <c r="E31" s="146"/>
      <c r="F31" s="146">
        <v>3927629043</v>
      </c>
      <c r="G31" s="146"/>
      <c r="H31" s="146">
        <v>3591417076.6500001</v>
      </c>
      <c r="I31" s="146"/>
      <c r="J31" s="146">
        <v>0</v>
      </c>
      <c r="K31" s="146"/>
      <c r="L31" s="146">
        <v>0</v>
      </c>
      <c r="M31" s="146"/>
      <c r="N31" s="146">
        <v>0</v>
      </c>
      <c r="O31" s="146"/>
      <c r="P31" s="146">
        <v>0</v>
      </c>
      <c r="Q31" s="146"/>
      <c r="R31" s="146">
        <v>585000</v>
      </c>
      <c r="S31" s="146"/>
      <c r="T31" s="146">
        <v>6187</v>
      </c>
      <c r="U31" s="146"/>
      <c r="V31" s="146">
        <v>3927629043</v>
      </c>
      <c r="W31" s="146"/>
      <c r="X31" s="146">
        <v>3591417076.6500001</v>
      </c>
      <c r="Y31" s="147"/>
      <c r="Z31" s="148">
        <f t="shared" si="0"/>
        <v>2.2758439340120294E-4</v>
      </c>
      <c r="AA31" s="141"/>
      <c r="AE31" s="149"/>
      <c r="AF31" s="149"/>
      <c r="AH31" s="149"/>
    </row>
    <row r="32" spans="2:34" ht="41.25" customHeight="1" x14ac:dyDescent="0.65">
      <c r="B32" s="145" t="s">
        <v>118</v>
      </c>
      <c r="C32" s="141"/>
      <c r="D32" s="146">
        <v>5000000</v>
      </c>
      <c r="E32" s="146"/>
      <c r="F32" s="146">
        <v>99981901348</v>
      </c>
      <c r="G32" s="146"/>
      <c r="H32" s="146">
        <v>133559542000</v>
      </c>
      <c r="I32" s="146"/>
      <c r="J32" s="146">
        <v>10400000</v>
      </c>
      <c r="K32" s="146"/>
      <c r="L32" s="146">
        <v>358535201480</v>
      </c>
      <c r="M32" s="146"/>
      <c r="N32" s="146">
        <v>0</v>
      </c>
      <c r="O32" s="146"/>
      <c r="P32" s="146">
        <v>0</v>
      </c>
      <c r="Q32" s="146"/>
      <c r="R32" s="146">
        <v>15400000</v>
      </c>
      <c r="S32" s="146"/>
      <c r="T32" s="146">
        <v>37840</v>
      </c>
      <c r="U32" s="146"/>
      <c r="V32" s="146">
        <v>458517102828</v>
      </c>
      <c r="W32" s="146"/>
      <c r="X32" s="146">
        <v>578231450720</v>
      </c>
      <c r="Y32" s="147"/>
      <c r="Z32" s="148">
        <f t="shared" si="0"/>
        <v>3.6641930232274564E-2</v>
      </c>
      <c r="AA32" s="141"/>
      <c r="AE32" s="149"/>
      <c r="AF32" s="149"/>
      <c r="AH32" s="149"/>
    </row>
    <row r="33" spans="2:34" ht="41.25" customHeight="1" x14ac:dyDescent="0.65">
      <c r="B33" s="145" t="s">
        <v>128</v>
      </c>
      <c r="C33" s="141"/>
      <c r="D33" s="146">
        <v>600000000</v>
      </c>
      <c r="E33" s="146"/>
      <c r="F33" s="146">
        <v>1121340453668</v>
      </c>
      <c r="G33" s="146"/>
      <c r="H33" s="146">
        <v>1296698436000</v>
      </c>
      <c r="I33" s="146"/>
      <c r="J33" s="146">
        <v>0</v>
      </c>
      <c r="K33" s="146"/>
      <c r="L33" s="146">
        <v>0</v>
      </c>
      <c r="M33" s="146"/>
      <c r="N33" s="146">
        <v>0</v>
      </c>
      <c r="O33" s="146"/>
      <c r="P33" s="146">
        <v>0</v>
      </c>
      <c r="Q33" s="146"/>
      <c r="R33" s="146">
        <v>600000000</v>
      </c>
      <c r="S33" s="146"/>
      <c r="T33" s="146">
        <v>2883</v>
      </c>
      <c r="U33" s="146"/>
      <c r="V33" s="146">
        <v>1121340453668</v>
      </c>
      <c r="W33" s="146"/>
      <c r="X33" s="146">
        <v>1716428646000</v>
      </c>
      <c r="Y33" s="147"/>
      <c r="Z33" s="148">
        <f t="shared" si="0"/>
        <v>0.10876831174972636</v>
      </c>
      <c r="AA33" s="141"/>
      <c r="AE33" s="149"/>
      <c r="AF33" s="149"/>
      <c r="AH33" s="149"/>
    </row>
    <row r="34" spans="2:34" ht="41.25" customHeight="1" x14ac:dyDescent="0.65">
      <c r="B34" s="145" t="s">
        <v>190</v>
      </c>
      <c r="C34" s="141"/>
      <c r="D34" s="146">
        <v>279982360</v>
      </c>
      <c r="E34" s="146"/>
      <c r="F34" s="146">
        <v>1165365722529</v>
      </c>
      <c r="G34" s="146"/>
      <c r="H34" s="146">
        <v>1519664987073.8799</v>
      </c>
      <c r="I34" s="146"/>
      <c r="J34" s="146">
        <v>20017640</v>
      </c>
      <c r="K34" s="146"/>
      <c r="L34" s="146">
        <v>121593778090</v>
      </c>
      <c r="M34" s="146"/>
      <c r="N34" s="146">
        <v>0</v>
      </c>
      <c r="O34" s="146"/>
      <c r="P34" s="146">
        <v>0</v>
      </c>
      <c r="Q34" s="146"/>
      <c r="R34" s="146">
        <v>300000000</v>
      </c>
      <c r="S34" s="146"/>
      <c r="T34" s="146">
        <v>7520</v>
      </c>
      <c r="U34" s="146"/>
      <c r="V34" s="146">
        <v>1286959500619</v>
      </c>
      <c r="W34" s="146"/>
      <c r="X34" s="146">
        <v>2238561120000</v>
      </c>
      <c r="Y34" s="147"/>
      <c r="Z34" s="148">
        <f t="shared" si="0"/>
        <v>0.14185530772770416</v>
      </c>
      <c r="AA34" s="141"/>
      <c r="AE34" s="149"/>
      <c r="AF34" s="149"/>
      <c r="AH34" s="149"/>
    </row>
    <row r="35" spans="2:34" ht="41.25" customHeight="1" x14ac:dyDescent="0.65">
      <c r="B35" s="145" t="s">
        <v>153</v>
      </c>
      <c r="C35" s="141"/>
      <c r="D35" s="146">
        <v>30000000</v>
      </c>
      <c r="E35" s="146"/>
      <c r="F35" s="146">
        <v>42787491384</v>
      </c>
      <c r="G35" s="146"/>
      <c r="H35" s="146">
        <v>61709271300</v>
      </c>
      <c r="I35" s="146"/>
      <c r="J35" s="146">
        <v>0</v>
      </c>
      <c r="K35" s="146"/>
      <c r="L35" s="146">
        <v>0</v>
      </c>
      <c r="M35" s="146"/>
      <c r="N35" s="146">
        <v>-30000000</v>
      </c>
      <c r="O35" s="146"/>
      <c r="P35" s="146">
        <v>86012049850</v>
      </c>
      <c r="Q35" s="146"/>
      <c r="R35" s="146">
        <v>0</v>
      </c>
      <c r="S35" s="146"/>
      <c r="T35" s="146">
        <v>0</v>
      </c>
      <c r="U35" s="146"/>
      <c r="V35" s="146">
        <v>0</v>
      </c>
      <c r="W35" s="146"/>
      <c r="X35" s="146">
        <v>0</v>
      </c>
      <c r="Y35" s="147"/>
      <c r="Z35" s="148">
        <f t="shared" si="0"/>
        <v>0</v>
      </c>
      <c r="AA35" s="141"/>
      <c r="AE35" s="149"/>
      <c r="AF35" s="149"/>
      <c r="AH35" s="149"/>
    </row>
    <row r="36" spans="2:34" ht="41.25" customHeight="1" x14ac:dyDescent="0.65">
      <c r="B36" s="145" t="s">
        <v>141</v>
      </c>
      <c r="C36" s="141"/>
      <c r="D36" s="146">
        <v>25414814</v>
      </c>
      <c r="E36" s="146"/>
      <c r="F36" s="146">
        <v>311831166198</v>
      </c>
      <c r="G36" s="146"/>
      <c r="H36" s="146">
        <v>413581062799.59198</v>
      </c>
      <c r="I36" s="146"/>
      <c r="J36" s="146">
        <v>1400000</v>
      </c>
      <c r="K36" s="146"/>
      <c r="L36" s="146">
        <v>23854465076</v>
      </c>
      <c r="M36" s="146"/>
      <c r="N36" s="146">
        <v>-3400000</v>
      </c>
      <c r="O36" s="146"/>
      <c r="P36" s="146">
        <v>71085640391</v>
      </c>
      <c r="Q36" s="146"/>
      <c r="R36" s="146">
        <v>23414814</v>
      </c>
      <c r="S36" s="146"/>
      <c r="T36" s="146">
        <v>20900</v>
      </c>
      <c r="U36" s="146"/>
      <c r="V36" s="146">
        <v>293122175634</v>
      </c>
      <c r="W36" s="146"/>
      <c r="X36" s="146">
        <v>485586785494.60199</v>
      </c>
      <c r="Y36" s="147"/>
      <c r="Z36" s="148">
        <f t="shared" si="0"/>
        <v>3.0771133416649103E-2</v>
      </c>
      <c r="AA36" s="141"/>
      <c r="AE36" s="149"/>
      <c r="AF36" s="149"/>
      <c r="AH36" s="149"/>
    </row>
    <row r="37" spans="2:34" ht="41.25" customHeight="1" x14ac:dyDescent="0.65">
      <c r="B37" s="145" t="s">
        <v>232</v>
      </c>
      <c r="C37" s="141"/>
      <c r="D37" s="146">
        <v>23000000</v>
      </c>
      <c r="E37" s="146"/>
      <c r="F37" s="146">
        <v>111689326960</v>
      </c>
      <c r="G37" s="146"/>
      <c r="H37" s="146">
        <v>98135503000</v>
      </c>
      <c r="I37" s="146"/>
      <c r="J37" s="146">
        <v>0</v>
      </c>
      <c r="K37" s="146"/>
      <c r="L37" s="146">
        <v>0</v>
      </c>
      <c r="M37" s="146">
        <v>9102861790</v>
      </c>
      <c r="N37" s="146">
        <v>-8000000</v>
      </c>
      <c r="O37" s="146"/>
      <c r="P37" s="146">
        <v>39569278324</v>
      </c>
      <c r="Q37" s="146"/>
      <c r="R37" s="146">
        <v>15000000</v>
      </c>
      <c r="S37" s="146"/>
      <c r="T37" s="146">
        <v>5910</v>
      </c>
      <c r="U37" s="146"/>
      <c r="V37" s="146">
        <v>72840865405</v>
      </c>
      <c r="W37" s="146"/>
      <c r="X37" s="146">
        <v>87964735500</v>
      </c>
      <c r="Y37" s="147"/>
      <c r="Z37" s="148">
        <f t="shared" si="0"/>
        <v>5.5742344991405032E-3</v>
      </c>
      <c r="AA37" s="141"/>
      <c r="AE37" s="149"/>
      <c r="AF37" s="149"/>
      <c r="AH37" s="149"/>
    </row>
    <row r="38" spans="2:34" ht="41.25" customHeight="1" x14ac:dyDescent="0.65">
      <c r="B38" s="145" t="s">
        <v>129</v>
      </c>
      <c r="C38" s="141"/>
      <c r="D38" s="146">
        <v>1000</v>
      </c>
      <c r="E38" s="146"/>
      <c r="F38" s="146">
        <v>21678521</v>
      </c>
      <c r="G38" s="146"/>
      <c r="H38" s="146">
        <v>14814591.1</v>
      </c>
      <c r="I38" s="146"/>
      <c r="J38" s="146">
        <v>0</v>
      </c>
      <c r="K38" s="146"/>
      <c r="L38" s="146">
        <v>0</v>
      </c>
      <c r="M38" s="146"/>
      <c r="N38" s="146">
        <v>0</v>
      </c>
      <c r="O38" s="146"/>
      <c r="P38" s="146">
        <v>0</v>
      </c>
      <c r="Q38" s="146"/>
      <c r="R38" s="146">
        <v>1000</v>
      </c>
      <c r="S38" s="146"/>
      <c r="T38" s="146">
        <v>18260</v>
      </c>
      <c r="U38" s="146"/>
      <c r="V38" s="146">
        <v>21678521</v>
      </c>
      <c r="W38" s="146"/>
      <c r="X38" s="146">
        <v>18118850.199999999</v>
      </c>
      <c r="Y38" s="147"/>
      <c r="Z38" s="148">
        <f t="shared" si="0"/>
        <v>1.1481728364839885E-6</v>
      </c>
      <c r="AA38" s="141"/>
      <c r="AE38" s="149"/>
      <c r="AF38" s="149"/>
      <c r="AH38" s="149"/>
    </row>
    <row r="39" spans="2:34" ht="41.25" customHeight="1" x14ac:dyDescent="0.65">
      <c r="B39" s="145" t="s">
        <v>119</v>
      </c>
      <c r="C39" s="141"/>
      <c r="D39" s="146">
        <v>30000000</v>
      </c>
      <c r="E39" s="146"/>
      <c r="F39" s="146">
        <v>320794769231</v>
      </c>
      <c r="G39" s="146"/>
      <c r="H39" s="146">
        <v>408120651000</v>
      </c>
      <c r="I39" s="146"/>
      <c r="J39" s="146">
        <v>0</v>
      </c>
      <c r="K39" s="146"/>
      <c r="L39" s="146">
        <v>0</v>
      </c>
      <c r="M39" s="146"/>
      <c r="N39" s="146">
        <v>0</v>
      </c>
      <c r="O39" s="146"/>
      <c r="P39" s="146">
        <v>0</v>
      </c>
      <c r="Q39" s="146"/>
      <c r="R39" s="146">
        <v>30000000</v>
      </c>
      <c r="S39" s="146"/>
      <c r="T39" s="146">
        <v>18970</v>
      </c>
      <c r="U39" s="146"/>
      <c r="V39" s="146">
        <v>320794769231</v>
      </c>
      <c r="W39" s="146"/>
      <c r="X39" s="146">
        <v>564700857000</v>
      </c>
      <c r="Y39" s="147"/>
      <c r="Z39" s="148">
        <f t="shared" si="0"/>
        <v>3.5784510473331754E-2</v>
      </c>
      <c r="AA39" s="141"/>
      <c r="AE39" s="149"/>
      <c r="AF39" s="149"/>
      <c r="AH39" s="149"/>
    </row>
    <row r="40" spans="2:34" ht="41.25" customHeight="1" x14ac:dyDescent="0.65">
      <c r="B40" s="145" t="s">
        <v>120</v>
      </c>
      <c r="C40" s="141"/>
      <c r="D40" s="146">
        <v>39000000</v>
      </c>
      <c r="E40" s="146"/>
      <c r="F40" s="146">
        <v>284985746797</v>
      </c>
      <c r="G40" s="146"/>
      <c r="H40" s="146">
        <v>402464712000</v>
      </c>
      <c r="I40" s="146"/>
      <c r="J40" s="146">
        <v>9500000</v>
      </c>
      <c r="K40" s="146"/>
      <c r="L40" s="146">
        <v>0</v>
      </c>
      <c r="M40" s="146"/>
      <c r="N40" s="146">
        <v>-9000000</v>
      </c>
      <c r="O40" s="146"/>
      <c r="P40" s="146">
        <v>84250330858</v>
      </c>
      <c r="Q40" s="146"/>
      <c r="R40" s="146">
        <v>39500000</v>
      </c>
      <c r="S40" s="146"/>
      <c r="T40" s="146">
        <v>9590</v>
      </c>
      <c r="U40" s="146"/>
      <c r="V40" s="146">
        <v>230911528183</v>
      </c>
      <c r="W40" s="146"/>
      <c r="X40" s="146">
        <v>375876837350</v>
      </c>
      <c r="Y40" s="147"/>
      <c r="Z40" s="148">
        <f t="shared" si="0"/>
        <v>2.3818927235723836E-2</v>
      </c>
      <c r="AA40" s="141"/>
      <c r="AE40" s="149"/>
      <c r="AF40" s="149"/>
      <c r="AH40" s="149"/>
    </row>
    <row r="41" spans="2:34" ht="41.25" customHeight="1" x14ac:dyDescent="0.65">
      <c r="B41" s="145" t="s">
        <v>152</v>
      </c>
      <c r="C41" s="141"/>
      <c r="D41" s="146">
        <v>1044</v>
      </c>
      <c r="E41" s="146"/>
      <c r="F41" s="146">
        <v>26314878</v>
      </c>
      <c r="G41" s="146"/>
      <c r="H41" s="146">
        <v>63989388.687600002</v>
      </c>
      <c r="I41" s="146"/>
      <c r="J41" s="146">
        <v>500</v>
      </c>
      <c r="K41" s="146"/>
      <c r="L41" s="146">
        <v>31565961</v>
      </c>
      <c r="M41" s="146"/>
      <c r="N41" s="146">
        <v>-544</v>
      </c>
      <c r="O41" s="146"/>
      <c r="P41" s="146">
        <v>34123834</v>
      </c>
      <c r="Q41" s="146"/>
      <c r="R41" s="146">
        <v>1000</v>
      </c>
      <c r="S41" s="146"/>
      <c r="T41" s="146">
        <v>72140</v>
      </c>
      <c r="U41" s="146"/>
      <c r="V41" s="146">
        <v>37487590</v>
      </c>
      <c r="W41" s="146"/>
      <c r="X41" s="146">
        <v>71582357.799999997</v>
      </c>
      <c r="Y41" s="147"/>
      <c r="Z41" s="148">
        <f t="shared" si="0"/>
        <v>4.5361001327467101E-6</v>
      </c>
      <c r="AA41" s="141"/>
      <c r="AE41" s="149"/>
      <c r="AF41" s="149"/>
      <c r="AH41" s="149"/>
    </row>
    <row r="42" spans="2:34" ht="41.25" customHeight="1" x14ac:dyDescent="0.65">
      <c r="B42" s="145" t="s">
        <v>121</v>
      </c>
      <c r="C42" s="141"/>
      <c r="D42" s="146">
        <v>12900000</v>
      </c>
      <c r="E42" s="146"/>
      <c r="F42" s="146">
        <v>34912740601</v>
      </c>
      <c r="G42" s="146"/>
      <c r="H42" s="146">
        <v>20045243178</v>
      </c>
      <c r="I42" s="146"/>
      <c r="J42" s="146">
        <v>0</v>
      </c>
      <c r="K42" s="146"/>
      <c r="L42" s="146">
        <v>0</v>
      </c>
      <c r="M42" s="146"/>
      <c r="N42" s="146">
        <v>-5900000</v>
      </c>
      <c r="O42" s="146"/>
      <c r="P42" s="146">
        <v>13805341002</v>
      </c>
      <c r="Q42" s="146"/>
      <c r="R42" s="146">
        <v>7000000</v>
      </c>
      <c r="S42" s="146"/>
      <c r="T42" s="146">
        <v>2533</v>
      </c>
      <c r="U42" s="146"/>
      <c r="V42" s="146">
        <v>18944898001</v>
      </c>
      <c r="W42" s="146"/>
      <c r="X42" s="146">
        <v>17593939370</v>
      </c>
      <c r="Y42" s="147"/>
      <c r="Z42" s="148">
        <f t="shared" si="0"/>
        <v>1.1149097789538663E-3</v>
      </c>
      <c r="AA42" s="141"/>
      <c r="AE42" s="149"/>
      <c r="AF42" s="149"/>
      <c r="AH42" s="149"/>
    </row>
    <row r="43" spans="2:34" ht="41.25" customHeight="1" x14ac:dyDescent="0.65">
      <c r="B43" s="145" t="s">
        <v>225</v>
      </c>
      <c r="C43" s="141"/>
      <c r="D43" s="146">
        <v>20000000</v>
      </c>
      <c r="E43" s="146"/>
      <c r="F43" s="146">
        <v>84174415854</v>
      </c>
      <c r="G43" s="146"/>
      <c r="H43" s="146">
        <v>91685748000</v>
      </c>
      <c r="I43" s="146"/>
      <c r="J43" s="146">
        <v>12600000</v>
      </c>
      <c r="K43" s="146"/>
      <c r="L43" s="146">
        <v>58119700695</v>
      </c>
      <c r="M43" s="146"/>
      <c r="N43" s="146">
        <v>0</v>
      </c>
      <c r="O43" s="146"/>
      <c r="P43" s="146">
        <v>0</v>
      </c>
      <c r="Q43" s="146"/>
      <c r="R43" s="146">
        <v>32600000</v>
      </c>
      <c r="S43" s="146"/>
      <c r="T43" s="146">
        <v>5010</v>
      </c>
      <c r="U43" s="146"/>
      <c r="V43" s="146">
        <v>142294116549</v>
      </c>
      <c r="W43" s="146"/>
      <c r="X43" s="146">
        <v>162063490020</v>
      </c>
      <c r="Y43" s="147"/>
      <c r="Z43" s="148">
        <f t="shared" si="0"/>
        <v>1.0269796094829349E-2</v>
      </c>
      <c r="AA43" s="141"/>
      <c r="AE43" s="149"/>
      <c r="AF43" s="149"/>
      <c r="AH43" s="149"/>
    </row>
    <row r="44" spans="2:34" ht="41.25" customHeight="1" x14ac:dyDescent="0.65">
      <c r="B44" s="145" t="s">
        <v>154</v>
      </c>
      <c r="C44" s="141"/>
      <c r="D44" s="146">
        <v>60000000</v>
      </c>
      <c r="E44" s="146"/>
      <c r="F44" s="146">
        <v>98042294767</v>
      </c>
      <c r="G44" s="146"/>
      <c r="H44" s="146">
        <v>116155126200</v>
      </c>
      <c r="I44" s="146"/>
      <c r="J44" s="146">
        <v>0</v>
      </c>
      <c r="K44" s="146"/>
      <c r="L44" s="146">
        <v>0</v>
      </c>
      <c r="M44" s="146"/>
      <c r="N44" s="146">
        <v>0</v>
      </c>
      <c r="O44" s="146"/>
      <c r="P44" s="146">
        <v>0</v>
      </c>
      <c r="Q44" s="146"/>
      <c r="R44" s="146">
        <v>60000000</v>
      </c>
      <c r="S44" s="146"/>
      <c r="T44" s="146">
        <v>3043</v>
      </c>
      <c r="U44" s="146"/>
      <c r="V44" s="146">
        <v>98042294767</v>
      </c>
      <c r="W44" s="146"/>
      <c r="X44" s="146">
        <v>181168656600</v>
      </c>
      <c r="Y44" s="147"/>
      <c r="Z44" s="148">
        <f t="shared" si="0"/>
        <v>1.1480470782324569E-2</v>
      </c>
      <c r="AA44" s="141"/>
      <c r="AE44" s="149"/>
      <c r="AF44" s="149"/>
      <c r="AH44" s="149"/>
    </row>
    <row r="45" spans="2:34" ht="41.25" customHeight="1" x14ac:dyDescent="0.65">
      <c r="B45" s="145" t="s">
        <v>122</v>
      </c>
      <c r="C45" s="141"/>
      <c r="D45" s="146">
        <v>1000</v>
      </c>
      <c r="E45" s="146"/>
      <c r="F45" s="146">
        <v>16436086</v>
      </c>
      <c r="G45" s="146"/>
      <c r="H45" s="146">
        <v>20599525.199999999</v>
      </c>
      <c r="I45" s="146"/>
      <c r="J45" s="146">
        <v>0</v>
      </c>
      <c r="K45" s="146"/>
      <c r="L45" s="146">
        <v>0</v>
      </c>
      <c r="M45" s="146"/>
      <c r="N45" s="146">
        <v>0</v>
      </c>
      <c r="O45" s="146"/>
      <c r="P45" s="146">
        <v>0</v>
      </c>
      <c r="Q45" s="146"/>
      <c r="R45" s="146">
        <v>1000</v>
      </c>
      <c r="S45" s="146"/>
      <c r="T45" s="146">
        <v>29420</v>
      </c>
      <c r="U45" s="146"/>
      <c r="V45" s="146">
        <v>16436086</v>
      </c>
      <c r="W45" s="146"/>
      <c r="X45" s="146">
        <v>29192583.399999999</v>
      </c>
      <c r="Y45" s="147"/>
      <c r="Z45" s="148">
        <f t="shared" si="0"/>
        <v>1.84990388003061E-6</v>
      </c>
      <c r="AA45" s="141"/>
      <c r="AE45" s="149"/>
      <c r="AF45" s="149"/>
      <c r="AH45" s="149"/>
    </row>
    <row r="46" spans="2:34" ht="41.25" customHeight="1" x14ac:dyDescent="0.65">
      <c r="B46" s="145" t="s">
        <v>146</v>
      </c>
      <c r="C46" s="141"/>
      <c r="D46" s="146">
        <v>1782</v>
      </c>
      <c r="E46" s="146"/>
      <c r="F46" s="146">
        <v>8899545</v>
      </c>
      <c r="G46" s="146"/>
      <c r="H46" s="146">
        <v>8664303.1860000007</v>
      </c>
      <c r="I46" s="146"/>
      <c r="J46" s="146">
        <v>0</v>
      </c>
      <c r="K46" s="146"/>
      <c r="L46" s="146">
        <v>0</v>
      </c>
      <c r="M46" s="146"/>
      <c r="N46" s="146">
        <v>0</v>
      </c>
      <c r="O46" s="146"/>
      <c r="P46" s="146">
        <v>0</v>
      </c>
      <c r="Q46" s="146"/>
      <c r="R46" s="146">
        <v>1782</v>
      </c>
      <c r="S46" s="146"/>
      <c r="T46" s="146">
        <v>5270</v>
      </c>
      <c r="U46" s="146"/>
      <c r="V46" s="146">
        <v>8899545</v>
      </c>
      <c r="W46" s="146"/>
      <c r="X46" s="146">
        <v>9318546.4878000002</v>
      </c>
      <c r="Y46" s="147"/>
      <c r="Z46" s="148">
        <f t="shared" si="0"/>
        <v>5.9050667314448218E-7</v>
      </c>
      <c r="AA46" s="141"/>
      <c r="AE46" s="149"/>
      <c r="AF46" s="149"/>
      <c r="AH46" s="149"/>
    </row>
    <row r="47" spans="2:34" ht="41.25" customHeight="1" x14ac:dyDescent="0.65">
      <c r="B47" s="145" t="s">
        <v>224</v>
      </c>
      <c r="C47" s="141"/>
      <c r="D47" s="146">
        <v>170000000</v>
      </c>
      <c r="E47" s="146"/>
      <c r="F47" s="146">
        <v>174126065194</v>
      </c>
      <c r="G47" s="146"/>
      <c r="H47" s="146">
        <v>155191028000</v>
      </c>
      <c r="I47" s="146"/>
      <c r="J47" s="146">
        <v>10000000</v>
      </c>
      <c r="K47" s="146"/>
      <c r="L47" s="146">
        <v>10732426662</v>
      </c>
      <c r="M47" s="146"/>
      <c r="N47" s="146">
        <v>0</v>
      </c>
      <c r="O47" s="146"/>
      <c r="P47" s="146">
        <v>0</v>
      </c>
      <c r="Q47" s="146"/>
      <c r="R47" s="146">
        <v>180000000</v>
      </c>
      <c r="S47" s="146"/>
      <c r="T47" s="146">
        <v>1332</v>
      </c>
      <c r="U47" s="146"/>
      <c r="V47" s="146">
        <v>184858491856</v>
      </c>
      <c r="W47" s="146"/>
      <c r="X47" s="146">
        <v>237906655200</v>
      </c>
      <c r="Y47" s="147"/>
      <c r="Z47" s="148">
        <f t="shared" si="0"/>
        <v>1.5075899193614517E-2</v>
      </c>
      <c r="AA47" s="141"/>
      <c r="AE47" s="149"/>
      <c r="AF47" s="149"/>
      <c r="AH47" s="149"/>
    </row>
    <row r="48" spans="2:34" ht="41.25" customHeight="1" x14ac:dyDescent="0.65">
      <c r="B48" s="145" t="s">
        <v>123</v>
      </c>
      <c r="C48" s="141"/>
      <c r="D48" s="146">
        <v>8000000</v>
      </c>
      <c r="E48" s="146"/>
      <c r="F48" s="146">
        <v>147918055705</v>
      </c>
      <c r="G48" s="146"/>
      <c r="H48" s="146">
        <v>185832325600</v>
      </c>
      <c r="I48" s="146"/>
      <c r="J48" s="146">
        <v>0</v>
      </c>
      <c r="K48" s="146"/>
      <c r="L48" s="146">
        <v>0</v>
      </c>
      <c r="M48" s="146"/>
      <c r="N48" s="146">
        <v>-2000000</v>
      </c>
      <c r="O48" s="146"/>
      <c r="P48" s="146">
        <v>53000967586</v>
      </c>
      <c r="Q48" s="146"/>
      <c r="R48" s="146">
        <v>6000000</v>
      </c>
      <c r="S48" s="146"/>
      <c r="T48" s="146">
        <v>29470</v>
      </c>
      <c r="U48" s="146"/>
      <c r="V48" s="146">
        <v>110938541779</v>
      </c>
      <c r="W48" s="146"/>
      <c r="X48" s="146">
        <v>175453181400</v>
      </c>
      <c r="Y48" s="147"/>
      <c r="Z48" s="148">
        <f t="shared" si="0"/>
        <v>1.111828701791341E-2</v>
      </c>
      <c r="AA48" s="141"/>
      <c r="AE48" s="149"/>
      <c r="AF48" s="149"/>
      <c r="AH48" s="149"/>
    </row>
    <row r="49" spans="2:34" ht="41.25" customHeight="1" thickBot="1" x14ac:dyDescent="0.7">
      <c r="B49" s="135" t="s">
        <v>167</v>
      </c>
      <c r="C49" s="141">
        <v>0</v>
      </c>
      <c r="D49" s="127">
        <f>SUM(D9:D48)</f>
        <v>3034322918</v>
      </c>
      <c r="E49" s="127" t="e">
        <f>AC48=SUM(#REF!)</f>
        <v>#REF!</v>
      </c>
      <c r="F49" s="127">
        <f>SUM(F9:F48)</f>
        <v>8236052038248</v>
      </c>
      <c r="G49" s="127" t="e">
        <f t="shared" ref="G49" si="1">SUM(#REF!)</f>
        <v>#REF!</v>
      </c>
      <c r="H49" s="127">
        <f>SUM(H9:H48)</f>
        <v>9945481830577.5137</v>
      </c>
      <c r="I49" s="127"/>
      <c r="J49" s="127">
        <f>SUM(J9:J48)</f>
        <v>67945593</v>
      </c>
      <c r="K49" s="322" t="e">
        <f t="shared" ref="K49" si="2">SUM(#REF!)</f>
        <v>#REF!</v>
      </c>
      <c r="L49" s="127">
        <f>SUM(L9:L48)</f>
        <v>576105006913</v>
      </c>
      <c r="M49" s="127" t="e">
        <f t="shared" ref="M49" si="3">SUM(#REF!)</f>
        <v>#REF!</v>
      </c>
      <c r="N49" s="321">
        <f>SUM(N9:N48)</f>
        <v>-546237545</v>
      </c>
      <c r="O49" s="320" t="e">
        <f t="shared" ref="O49" si="4">SUM(#REF!)</f>
        <v>#REF!</v>
      </c>
      <c r="P49" s="127">
        <f>SUM(P9:P48)</f>
        <v>2481285161109</v>
      </c>
      <c r="Q49" s="127" t="e">
        <f t="shared" ref="Q49" si="5">SUM(#REF!)</f>
        <v>#REF!</v>
      </c>
      <c r="R49" s="127">
        <f>SUM(R9:R48)</f>
        <v>2556030966</v>
      </c>
      <c r="S49" s="127" t="e">
        <f t="shared" ref="S49" si="6">SUM(#REF!)</f>
        <v>#REF!</v>
      </c>
      <c r="T49" s="127">
        <f>SUM(T9:T48)</f>
        <v>604171</v>
      </c>
      <c r="U49" s="127" t="e">
        <f t="shared" ref="U49" si="7">SUM(#REF!)</f>
        <v>#REF!</v>
      </c>
      <c r="V49" s="127">
        <f>SUM(V9:V48)</f>
        <v>6641891784831</v>
      </c>
      <c r="W49" s="127" t="e">
        <f t="shared" ref="W49" si="8">SUM(#REF!)</f>
        <v>#REF!</v>
      </c>
      <c r="X49" s="127">
        <f>SUM(X9:X48)</f>
        <v>10481274313577.229</v>
      </c>
      <c r="Y49" s="127" t="e">
        <f t="shared" ref="Y49" si="9">SUM(#REF!)</f>
        <v>#REF!</v>
      </c>
      <c r="Z49" s="275">
        <f>SUM(Z9:Z48)</f>
        <v>0.66418753539817532</v>
      </c>
      <c r="AA49" s="141"/>
      <c r="AE49" s="149"/>
      <c r="AF49" s="149"/>
      <c r="AH49" s="149"/>
    </row>
    <row r="50" spans="2:34" ht="45" customHeight="1" thickTop="1" x14ac:dyDescent="0.65">
      <c r="B50" s="145"/>
      <c r="C50" s="141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7"/>
      <c r="Z50" s="148"/>
      <c r="AA50" s="141"/>
      <c r="AE50" s="149"/>
      <c r="AF50" s="149"/>
      <c r="AH50" s="149"/>
    </row>
    <row r="51" spans="2:34" ht="41.25" customHeight="1" x14ac:dyDescent="0.65">
      <c r="B51" s="357" t="s">
        <v>36</v>
      </c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357"/>
      <c r="N51" s="357"/>
      <c r="O51" s="357"/>
      <c r="P51" s="357"/>
      <c r="Q51" s="357"/>
      <c r="R51" s="357"/>
      <c r="S51" s="357"/>
      <c r="T51" s="357"/>
      <c r="U51" s="357"/>
      <c r="V51" s="357"/>
      <c r="W51" s="357"/>
      <c r="X51" s="357"/>
      <c r="Y51" s="357"/>
      <c r="Z51" s="357"/>
      <c r="AA51" s="141"/>
      <c r="AE51" s="149"/>
      <c r="AF51" s="149"/>
      <c r="AH51" s="149"/>
    </row>
    <row r="52" spans="2:34" ht="41.25" customHeight="1" x14ac:dyDescent="0.65">
      <c r="B52" s="357" t="s">
        <v>37</v>
      </c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357"/>
      <c r="O52" s="357"/>
      <c r="P52" s="357"/>
      <c r="Q52" s="357"/>
      <c r="R52" s="357"/>
      <c r="S52" s="357"/>
      <c r="T52" s="357"/>
      <c r="U52" s="357"/>
      <c r="V52" s="357"/>
      <c r="W52" s="357"/>
      <c r="X52" s="357"/>
      <c r="Y52" s="357"/>
      <c r="Z52" s="357"/>
      <c r="AA52" s="141"/>
      <c r="AE52" s="149"/>
      <c r="AF52" s="149"/>
      <c r="AH52" s="149"/>
    </row>
    <row r="53" spans="2:34" ht="41.25" customHeight="1" x14ac:dyDescent="0.65">
      <c r="B53" s="135"/>
      <c r="C53" s="136"/>
      <c r="D53" s="344" t="str">
        <f>D6</f>
        <v>1405/04/31</v>
      </c>
      <c r="E53" s="344"/>
      <c r="F53" s="344"/>
      <c r="G53" s="344"/>
      <c r="H53" s="344"/>
      <c r="I53" s="136"/>
      <c r="J53" s="358" t="s">
        <v>16</v>
      </c>
      <c r="K53" s="358"/>
      <c r="L53" s="358"/>
      <c r="M53" s="358"/>
      <c r="N53" s="358"/>
      <c r="O53" s="358"/>
      <c r="P53" s="358"/>
      <c r="Q53" s="137"/>
      <c r="R53" s="344" t="str">
        <f>R6</f>
        <v>1405/05/31</v>
      </c>
      <c r="S53" s="344"/>
      <c r="T53" s="344"/>
      <c r="U53" s="344"/>
      <c r="V53" s="344"/>
      <c r="W53" s="344"/>
      <c r="X53" s="344"/>
      <c r="Y53" s="344"/>
      <c r="Z53" s="344"/>
      <c r="AA53" s="141"/>
      <c r="AE53" s="149"/>
      <c r="AF53" s="149"/>
      <c r="AH53" s="149"/>
    </row>
    <row r="54" spans="2:34" ht="41.25" customHeight="1" x14ac:dyDescent="0.65">
      <c r="B54" s="350" t="s">
        <v>5</v>
      </c>
      <c r="C54" s="138"/>
      <c r="D54" s="355" t="s">
        <v>8</v>
      </c>
      <c r="E54" s="345"/>
      <c r="F54" s="353" t="s">
        <v>3</v>
      </c>
      <c r="G54" s="345"/>
      <c r="H54" s="345" t="s">
        <v>31</v>
      </c>
      <c r="I54" s="139"/>
      <c r="J54" s="352" t="s">
        <v>9</v>
      </c>
      <c r="K54" s="352"/>
      <c r="L54" s="352"/>
      <c r="M54" s="140"/>
      <c r="N54" s="352" t="s">
        <v>10</v>
      </c>
      <c r="O54" s="352"/>
      <c r="P54" s="352"/>
      <c r="Q54" s="140"/>
      <c r="R54" s="353" t="s">
        <v>8</v>
      </c>
      <c r="S54" s="345"/>
      <c r="T54" s="345" t="s">
        <v>41</v>
      </c>
      <c r="U54" s="138"/>
      <c r="V54" s="353" t="s">
        <v>3</v>
      </c>
      <c r="W54" s="345"/>
      <c r="X54" s="345" t="s">
        <v>31</v>
      </c>
      <c r="Y54" s="139"/>
      <c r="Z54" s="347" t="s">
        <v>34</v>
      </c>
      <c r="AA54" s="141"/>
      <c r="AE54" s="149"/>
      <c r="AF54" s="149"/>
      <c r="AH54" s="149"/>
    </row>
    <row r="55" spans="2:34" ht="41.25" customHeight="1" x14ac:dyDescent="0.65">
      <c r="B55" s="351"/>
      <c r="C55" s="141"/>
      <c r="D55" s="356"/>
      <c r="E55" s="346"/>
      <c r="F55" s="354"/>
      <c r="G55" s="346"/>
      <c r="H55" s="346"/>
      <c r="I55" s="142"/>
      <c r="J55" s="144" t="s">
        <v>8</v>
      </c>
      <c r="K55" s="144"/>
      <c r="L55" s="144" t="s">
        <v>3</v>
      </c>
      <c r="M55" s="144"/>
      <c r="N55" s="144" t="s">
        <v>8</v>
      </c>
      <c r="O55" s="144"/>
      <c r="P55" s="144" t="s">
        <v>79</v>
      </c>
      <c r="Q55" s="144"/>
      <c r="R55" s="354"/>
      <c r="S55" s="346"/>
      <c r="T55" s="346"/>
      <c r="U55" s="143"/>
      <c r="V55" s="354"/>
      <c r="W55" s="346"/>
      <c r="X55" s="346"/>
      <c r="Y55" s="142"/>
      <c r="Z55" s="348"/>
      <c r="AA55" s="141"/>
      <c r="AE55" s="149"/>
      <c r="AF55" s="149"/>
      <c r="AH55" s="149"/>
    </row>
    <row r="56" spans="2:34" ht="41.25" customHeight="1" x14ac:dyDescent="0.65">
      <c r="B56" s="191" t="s">
        <v>166</v>
      </c>
      <c r="C56" s="141"/>
      <c r="D56" s="146">
        <f>D49</f>
        <v>3034322918</v>
      </c>
      <c r="E56" s="146"/>
      <c r="F56" s="146">
        <f>F49</f>
        <v>8236052038248</v>
      </c>
      <c r="G56" s="146"/>
      <c r="H56" s="146">
        <f>H49</f>
        <v>9945481830577.5137</v>
      </c>
      <c r="I56" s="146"/>
      <c r="J56" s="146">
        <f>J49</f>
        <v>67945593</v>
      </c>
      <c r="K56" s="146"/>
      <c r="L56" s="146">
        <f>L49</f>
        <v>576105006913</v>
      </c>
      <c r="M56" s="146"/>
      <c r="N56" s="146">
        <f>N49</f>
        <v>-546237545</v>
      </c>
      <c r="O56" s="146"/>
      <c r="P56" s="146">
        <f>P49</f>
        <v>2481285161109</v>
      </c>
      <c r="Q56" s="146"/>
      <c r="R56" s="146">
        <f>R49</f>
        <v>2556030966</v>
      </c>
      <c r="S56" s="146"/>
      <c r="T56" s="146">
        <f>T49</f>
        <v>604171</v>
      </c>
      <c r="U56" s="146"/>
      <c r="V56" s="146">
        <f>V49</f>
        <v>6641891784831</v>
      </c>
      <c r="W56" s="146"/>
      <c r="X56" s="146">
        <f>X49</f>
        <v>10481274313577.229</v>
      </c>
      <c r="Y56" s="147"/>
      <c r="Z56" s="276">
        <f>Z49</f>
        <v>0.66418753539817532</v>
      </c>
      <c r="AA56" s="141"/>
      <c r="AE56" s="149"/>
      <c r="AF56" s="149"/>
      <c r="AH56" s="149"/>
    </row>
    <row r="57" spans="2:34" ht="41.25" customHeight="1" x14ac:dyDescent="0.65">
      <c r="B57" s="145" t="s">
        <v>132</v>
      </c>
      <c r="C57" s="141"/>
      <c r="D57" s="146">
        <v>10000000</v>
      </c>
      <c r="E57" s="146"/>
      <c r="F57" s="146">
        <v>118942519994</v>
      </c>
      <c r="G57" s="146"/>
      <c r="H57" s="146">
        <v>78945001200</v>
      </c>
      <c r="I57" s="146">
        <v>97426840500</v>
      </c>
      <c r="J57" s="146">
        <v>0</v>
      </c>
      <c r="K57" s="146"/>
      <c r="L57" s="146">
        <v>0</v>
      </c>
      <c r="M57" s="146"/>
      <c r="N57" s="146">
        <v>0</v>
      </c>
      <c r="O57" s="146"/>
      <c r="P57" s="146">
        <v>0</v>
      </c>
      <c r="Q57" s="146"/>
      <c r="R57" s="146">
        <v>10000000</v>
      </c>
      <c r="S57" s="146"/>
      <c r="T57" s="146">
        <v>7956</v>
      </c>
      <c r="U57" s="146"/>
      <c r="V57" s="146">
        <v>118942519994</v>
      </c>
      <c r="W57" s="146"/>
      <c r="X57" s="146">
        <v>78945001200</v>
      </c>
      <c r="Y57" s="147"/>
      <c r="Z57" s="148">
        <f t="shared" ref="Z57:Z63" si="10">X57/$Z$71</f>
        <v>5.0026632459291417E-3</v>
      </c>
      <c r="AA57" s="141"/>
      <c r="AE57" s="149"/>
      <c r="AF57" s="149"/>
      <c r="AH57" s="149"/>
    </row>
    <row r="58" spans="2:34" ht="41.25" customHeight="1" x14ac:dyDescent="0.65">
      <c r="B58" s="145" t="s">
        <v>124</v>
      </c>
      <c r="C58" s="141"/>
      <c r="D58" s="146">
        <v>1000</v>
      </c>
      <c r="E58" s="146"/>
      <c r="F58" s="146">
        <v>483356</v>
      </c>
      <c r="G58" s="146"/>
      <c r="H58" s="146">
        <v>619176.48</v>
      </c>
      <c r="I58" s="146">
        <v>56813933700</v>
      </c>
      <c r="J58" s="146">
        <v>0</v>
      </c>
      <c r="K58" s="146"/>
      <c r="L58" s="146">
        <v>0</v>
      </c>
      <c r="M58" s="146"/>
      <c r="N58" s="146">
        <v>0</v>
      </c>
      <c r="O58" s="146"/>
      <c r="P58" s="146">
        <v>0</v>
      </c>
      <c r="Q58" s="146"/>
      <c r="R58" s="146">
        <v>1000</v>
      </c>
      <c r="S58" s="146"/>
      <c r="T58" s="146">
        <v>953</v>
      </c>
      <c r="U58" s="146"/>
      <c r="V58" s="146">
        <v>483356</v>
      </c>
      <c r="W58" s="146"/>
      <c r="X58" s="146">
        <v>945630</v>
      </c>
      <c r="Y58" s="147"/>
      <c r="Z58" s="148">
        <f t="shared" si="10"/>
        <v>5.9923597103548767E-8</v>
      </c>
      <c r="AA58" s="141"/>
      <c r="AE58" s="149"/>
      <c r="AF58" s="149"/>
      <c r="AH58" s="149"/>
    </row>
    <row r="59" spans="2:34" ht="41.25" customHeight="1" x14ac:dyDescent="0.65">
      <c r="B59" s="145" t="s">
        <v>125</v>
      </c>
      <c r="C59" s="141"/>
      <c r="D59" s="146">
        <v>1068</v>
      </c>
      <c r="E59" s="146"/>
      <c r="F59" s="146">
        <v>2495918</v>
      </c>
      <c r="G59" s="146"/>
      <c r="H59" s="146">
        <v>2273150</v>
      </c>
      <c r="I59" s="146"/>
      <c r="J59" s="146">
        <v>998932</v>
      </c>
      <c r="K59" s="146"/>
      <c r="L59" s="146">
        <v>2825890063</v>
      </c>
      <c r="M59" s="146"/>
      <c r="N59" s="146">
        <v>0</v>
      </c>
      <c r="O59" s="146"/>
      <c r="P59" s="146">
        <v>0</v>
      </c>
      <c r="Q59" s="146"/>
      <c r="R59" s="146">
        <v>1000000</v>
      </c>
      <c r="S59" s="146"/>
      <c r="T59" s="146">
        <v>2788</v>
      </c>
      <c r="U59" s="146"/>
      <c r="V59" s="146">
        <v>2828385981</v>
      </c>
      <c r="W59" s="146"/>
      <c r="X59" s="146">
        <v>2766448760</v>
      </c>
      <c r="Y59" s="147"/>
      <c r="Z59" s="148">
        <f t="shared" si="10"/>
        <v>1.7530700263512376E-4</v>
      </c>
      <c r="AA59" s="141"/>
      <c r="AE59" s="149"/>
      <c r="AF59" s="149"/>
      <c r="AH59" s="149"/>
    </row>
    <row r="60" spans="2:34" ht="41.25" customHeight="1" x14ac:dyDescent="0.65">
      <c r="B60" s="145" t="s">
        <v>126</v>
      </c>
      <c r="C60" s="141"/>
      <c r="D60" s="146">
        <v>1092</v>
      </c>
      <c r="E60" s="146"/>
      <c r="F60" s="146">
        <v>2626403</v>
      </c>
      <c r="G60" s="146"/>
      <c r="H60" s="146">
        <v>2276550</v>
      </c>
      <c r="I60" s="146"/>
      <c r="J60" s="146">
        <v>998908</v>
      </c>
      <c r="K60" s="146"/>
      <c r="L60" s="146">
        <v>2492489279</v>
      </c>
      <c r="M60" s="146"/>
      <c r="N60" s="146">
        <v>-999000</v>
      </c>
      <c r="O60" s="146"/>
      <c r="P60" s="146">
        <v>2517846300</v>
      </c>
      <c r="Q60" s="146"/>
      <c r="R60" s="146">
        <v>1000</v>
      </c>
      <c r="S60" s="146"/>
      <c r="T60" s="146">
        <v>2487</v>
      </c>
      <c r="U60" s="146"/>
      <c r="V60" s="146">
        <v>2495116</v>
      </c>
      <c r="W60" s="146"/>
      <c r="X60" s="146">
        <v>2467770</v>
      </c>
      <c r="Y60" s="147"/>
      <c r="Z60" s="148">
        <f t="shared" si="10"/>
        <v>1.5638003788397635E-7</v>
      </c>
      <c r="AA60" s="141"/>
      <c r="AE60" s="149"/>
      <c r="AF60" s="149"/>
      <c r="AH60" s="149"/>
    </row>
    <row r="61" spans="2:34" ht="41.25" customHeight="1" x14ac:dyDescent="0.65">
      <c r="B61" s="145" t="s">
        <v>127</v>
      </c>
      <c r="C61" s="141"/>
      <c r="D61" s="146">
        <v>205714285</v>
      </c>
      <c r="E61" s="146"/>
      <c r="F61" s="146">
        <v>1593902497581</v>
      </c>
      <c r="G61" s="146"/>
      <c r="H61" s="146">
        <v>3046756519249.5601</v>
      </c>
      <c r="I61" s="146"/>
      <c r="J61" s="146">
        <v>0</v>
      </c>
      <c r="K61" s="146"/>
      <c r="L61" s="146">
        <v>0</v>
      </c>
      <c r="M61" s="146"/>
      <c r="N61" s="146">
        <v>0</v>
      </c>
      <c r="O61" s="146"/>
      <c r="P61" s="146">
        <v>0</v>
      </c>
      <c r="Q61" s="146"/>
      <c r="R61" s="146">
        <v>205714285</v>
      </c>
      <c r="S61" s="146"/>
      <c r="T61" s="146">
        <v>19250</v>
      </c>
      <c r="U61" s="146"/>
      <c r="V61" s="146">
        <v>1593902497581</v>
      </c>
      <c r="W61" s="146"/>
      <c r="X61" s="146">
        <v>3929389186356.29</v>
      </c>
      <c r="Y61" s="147"/>
      <c r="Z61" s="148">
        <f t="shared" si="10"/>
        <v>0.2490013371680844</v>
      </c>
      <c r="AA61" s="141"/>
      <c r="AE61" s="149"/>
      <c r="AF61" s="149"/>
      <c r="AH61" s="149"/>
    </row>
    <row r="62" spans="2:34" ht="41.25" customHeight="1" x14ac:dyDescent="0.65">
      <c r="B62" s="145" t="s">
        <v>221</v>
      </c>
      <c r="C62" s="141"/>
      <c r="D62" s="146">
        <v>125000</v>
      </c>
      <c r="E62" s="146"/>
      <c r="F62" s="146">
        <v>4784903350</v>
      </c>
      <c r="G62" s="146"/>
      <c r="H62" s="146">
        <v>5392987450</v>
      </c>
      <c r="I62" s="146"/>
      <c r="J62" s="146">
        <v>0</v>
      </c>
      <c r="K62" s="146"/>
      <c r="L62" s="146">
        <v>0</v>
      </c>
      <c r="M62" s="146"/>
      <c r="N62" s="146">
        <v>0</v>
      </c>
      <c r="O62" s="146"/>
      <c r="P62" s="146">
        <v>0</v>
      </c>
      <c r="Q62" s="146"/>
      <c r="R62" s="146">
        <v>125000</v>
      </c>
      <c r="S62" s="146"/>
      <c r="T62" s="146">
        <v>48840</v>
      </c>
      <c r="U62" s="146"/>
      <c r="V62" s="146">
        <v>4784903350</v>
      </c>
      <c r="W62" s="146"/>
      <c r="X62" s="146">
        <v>6057808350</v>
      </c>
      <c r="Y62" s="147"/>
      <c r="Z62" s="148">
        <f t="shared" si="10"/>
        <v>3.8387706280036964E-4</v>
      </c>
      <c r="AA62" s="141"/>
      <c r="AE62" s="149"/>
      <c r="AF62" s="149"/>
      <c r="AH62" s="149"/>
    </row>
    <row r="63" spans="2:34" ht="41.25" customHeight="1" x14ac:dyDescent="0.65">
      <c r="B63" s="145" t="s">
        <v>137</v>
      </c>
      <c r="C63" s="141"/>
      <c r="D63" s="146">
        <v>18000000</v>
      </c>
      <c r="E63" s="146"/>
      <c r="F63" s="146">
        <v>134498889052</v>
      </c>
      <c r="G63" s="146"/>
      <c r="H63" s="146">
        <v>127169323200</v>
      </c>
      <c r="I63" s="146"/>
      <c r="J63" s="146">
        <v>0</v>
      </c>
      <c r="K63" s="146"/>
      <c r="L63" s="146">
        <v>0</v>
      </c>
      <c r="M63" s="146"/>
      <c r="N63" s="146">
        <v>-3000000</v>
      </c>
      <c r="O63" s="146"/>
      <c r="P63" s="146">
        <v>24126012156</v>
      </c>
      <c r="Q63" s="146"/>
      <c r="R63" s="146">
        <v>15000000</v>
      </c>
      <c r="S63" s="146"/>
      <c r="T63" s="146">
        <v>8080</v>
      </c>
      <c r="U63" s="146"/>
      <c r="V63" s="146">
        <v>112082407545</v>
      </c>
      <c r="W63" s="146"/>
      <c r="X63" s="146">
        <v>120263124000</v>
      </c>
      <c r="Y63" s="147"/>
      <c r="Z63" s="148">
        <f t="shared" si="10"/>
        <v>7.6209500428181497E-3</v>
      </c>
      <c r="AA63" s="141"/>
      <c r="AE63" s="149"/>
      <c r="AF63" s="149"/>
      <c r="AH63" s="149"/>
    </row>
    <row r="64" spans="2:34" ht="41.25" customHeight="1" thickBot="1" x14ac:dyDescent="0.7">
      <c r="B64" s="135" t="s">
        <v>7</v>
      </c>
      <c r="C64" s="141"/>
      <c r="D64" s="127">
        <f>SUM(D56:D63)</f>
        <v>3268165363</v>
      </c>
      <c r="E64" s="127" t="e">
        <f>SUM(E9:E63)</f>
        <v>#REF!</v>
      </c>
      <c r="F64" s="127">
        <f>SUM(F56:F63)</f>
        <v>10088186453902</v>
      </c>
      <c r="G64" s="127" t="e">
        <f>SUM(G9:G63)</f>
        <v>#REF!</v>
      </c>
      <c r="H64" s="127">
        <f>SUM(H56:H63)</f>
        <v>13203750830553.555</v>
      </c>
      <c r="I64" s="127">
        <f>SUM(I9:I63)</f>
        <v>154240774200</v>
      </c>
      <c r="J64" s="127">
        <f>SUM(J56:J63)</f>
        <v>69943433</v>
      </c>
      <c r="K64" s="127" t="e">
        <f>SUM(K9:K63)</f>
        <v>#REF!</v>
      </c>
      <c r="L64" s="127">
        <f>SUM(L56:L63)</f>
        <v>581423386255</v>
      </c>
      <c r="M64" s="127" t="e">
        <f>SUM(M9:M63)</f>
        <v>#REF!</v>
      </c>
      <c r="N64" s="288">
        <f>SUM(N56:N63)</f>
        <v>-550236545</v>
      </c>
      <c r="O64" s="127" t="e">
        <f>SUM(O9:O63)</f>
        <v>#REF!</v>
      </c>
      <c r="P64" s="127">
        <f>SUM(P56:P63)</f>
        <v>2507929019565</v>
      </c>
      <c r="Q64" s="127" t="e">
        <f>SUM(Q9:Q63)</f>
        <v>#REF!</v>
      </c>
      <c r="R64" s="127">
        <f>SUM(R56:R63)</f>
        <v>2787872251</v>
      </c>
      <c r="S64" s="127" t="e">
        <f>SUM(S9:S63)</f>
        <v>#REF!</v>
      </c>
      <c r="T64" s="127">
        <f>SUM(T56:T63)</f>
        <v>694525</v>
      </c>
      <c r="U64" s="127" t="e">
        <f>SUM(U9:U63)</f>
        <v>#REF!</v>
      </c>
      <c r="V64" s="127">
        <f>SUM(V56:V63)</f>
        <v>8474435477754</v>
      </c>
      <c r="W64" s="127" t="e">
        <f>SUM(W9:W63)</f>
        <v>#REF!</v>
      </c>
      <c r="X64" s="127">
        <f>SUM(X56:X63)</f>
        <v>14618699295643.52</v>
      </c>
      <c r="Y64" s="127" t="e">
        <f>SUM(Y9:Y63)</f>
        <v>#REF!</v>
      </c>
      <c r="Z64" s="302">
        <f>SUM(Z56:Z63)</f>
        <v>0.92637188622407751</v>
      </c>
      <c r="AC64" s="152"/>
    </row>
    <row r="65" spans="4:29" ht="30.75" thickTop="1" x14ac:dyDescent="0.75">
      <c r="H65" s="281"/>
      <c r="J65" s="149"/>
      <c r="L65" s="149"/>
      <c r="N65" s="124"/>
      <c r="O65" s="124"/>
      <c r="P65" s="149"/>
      <c r="X65" s="149"/>
      <c r="Z65" s="267"/>
      <c r="AC65" s="152"/>
    </row>
    <row r="66" spans="4:29" ht="30" hidden="1" customHeight="1" x14ac:dyDescent="0.75">
      <c r="H66" s="281"/>
      <c r="W66" s="124"/>
      <c r="X66" s="124"/>
      <c r="Z66" s="267"/>
      <c r="AC66" s="152"/>
    </row>
    <row r="67" spans="4:29" ht="42.75" customHeight="1" x14ac:dyDescent="0.75">
      <c r="D67" s="149"/>
      <c r="F67" s="149"/>
      <c r="H67" s="268"/>
      <c r="J67" s="149"/>
      <c r="L67" s="149"/>
      <c r="M67" s="149"/>
      <c r="N67" s="149"/>
      <c r="O67" s="149"/>
      <c r="P67" s="149"/>
      <c r="R67" s="149"/>
      <c r="T67" s="149"/>
      <c r="V67" s="149"/>
      <c r="X67" s="282"/>
      <c r="Z67" s="336"/>
      <c r="AA67" s="337"/>
      <c r="AB67" s="337"/>
      <c r="AC67" s="338"/>
    </row>
    <row r="68" spans="4:29" ht="30" x14ac:dyDescent="0.75">
      <c r="D68" s="154"/>
      <c r="E68" s="154"/>
      <c r="F68" s="154"/>
      <c r="G68" s="154"/>
      <c r="H68" s="268"/>
      <c r="I68" s="154"/>
      <c r="J68" s="154"/>
      <c r="K68" s="154"/>
      <c r="L68" s="154"/>
      <c r="M68" s="154"/>
      <c r="N68" s="154"/>
      <c r="O68" s="154"/>
      <c r="P68" s="154"/>
      <c r="R68" s="154"/>
      <c r="S68" s="154"/>
      <c r="T68" s="154"/>
      <c r="W68" s="124"/>
      <c r="X68" s="269"/>
      <c r="Y68" s="304"/>
      <c r="Z68" s="336"/>
      <c r="AA68" s="337"/>
      <c r="AB68" s="337"/>
      <c r="AC68" s="338"/>
    </row>
    <row r="69" spans="4:29" ht="30" x14ac:dyDescent="0.75">
      <c r="H69" s="268"/>
      <c r="J69" s="154"/>
      <c r="L69" s="149"/>
      <c r="N69" s="154"/>
      <c r="P69" s="149"/>
      <c r="X69" s="268"/>
      <c r="Y69" s="304"/>
      <c r="Z69" s="337"/>
      <c r="AA69" s="337"/>
      <c r="AB69" s="337"/>
      <c r="AC69" s="338"/>
    </row>
    <row r="70" spans="4:29" x14ac:dyDescent="0.65">
      <c r="P70" s="149"/>
      <c r="X70" s="154"/>
      <c r="Y70" s="304"/>
      <c r="Z70" s="337"/>
      <c r="AA70" s="337"/>
      <c r="AB70" s="337"/>
      <c r="AC70" s="338"/>
    </row>
    <row r="71" spans="4:29" ht="30" x14ac:dyDescent="0.75">
      <c r="H71" s="154"/>
      <c r="P71" s="149"/>
      <c r="R71" s="284"/>
      <c r="Y71" s="304"/>
      <c r="Z71" s="339">
        <v>15780594719071</v>
      </c>
      <c r="AA71" s="337"/>
      <c r="AB71" s="337"/>
      <c r="AC71" s="338"/>
    </row>
    <row r="72" spans="4:29" x14ac:dyDescent="0.65">
      <c r="P72" s="149"/>
      <c r="Y72" s="304"/>
      <c r="Z72" s="340"/>
      <c r="AA72" s="337"/>
      <c r="AB72" s="337"/>
      <c r="AC72" s="338"/>
    </row>
    <row r="73" spans="4:29" x14ac:dyDescent="0.65">
      <c r="P73" s="149"/>
      <c r="Y73" s="304"/>
      <c r="Z73" s="305"/>
      <c r="AC73" s="152"/>
    </row>
    <row r="74" spans="4:29" x14ac:dyDescent="0.65">
      <c r="P74" s="149"/>
      <c r="Y74" s="304"/>
      <c r="Z74" s="306"/>
      <c r="AC74" s="152"/>
    </row>
    <row r="75" spans="4:29" x14ac:dyDescent="0.65">
      <c r="P75" s="149"/>
      <c r="AC75" s="152"/>
    </row>
    <row r="76" spans="4:29" x14ac:dyDescent="0.65">
      <c r="P76" s="149"/>
      <c r="AC76" s="152"/>
    </row>
    <row r="77" spans="4:29" x14ac:dyDescent="0.65">
      <c r="P77" s="149"/>
      <c r="AC77" s="152"/>
    </row>
    <row r="78" spans="4:29" x14ac:dyDescent="0.65">
      <c r="P78" s="149"/>
      <c r="AC78" s="152"/>
    </row>
    <row r="79" spans="4:29" x14ac:dyDescent="0.65">
      <c r="P79" s="149"/>
      <c r="AC79" s="152"/>
    </row>
    <row r="80" spans="4:29" x14ac:dyDescent="0.65">
      <c r="P80" s="149"/>
      <c r="AC80" s="152"/>
    </row>
    <row r="81" spans="16:29" x14ac:dyDescent="0.65">
      <c r="P81" s="149"/>
      <c r="AC81" s="152"/>
    </row>
    <row r="82" spans="16:29" x14ac:dyDescent="0.65">
      <c r="P82" s="149"/>
      <c r="AC82" s="152"/>
    </row>
    <row r="83" spans="16:29" x14ac:dyDescent="0.65">
      <c r="P83" s="149"/>
      <c r="AC83" s="152"/>
    </row>
    <row r="84" spans="16:29" x14ac:dyDescent="0.65">
      <c r="P84" s="149"/>
      <c r="AC84" s="152"/>
    </row>
    <row r="85" spans="16:29" x14ac:dyDescent="0.65">
      <c r="P85" s="149"/>
      <c r="AC85" s="152"/>
    </row>
    <row r="86" spans="16:29" x14ac:dyDescent="0.65">
      <c r="P86" s="149"/>
      <c r="AC86" s="152"/>
    </row>
    <row r="87" spans="16:29" x14ac:dyDescent="0.65">
      <c r="P87" s="149"/>
      <c r="AC87" s="152"/>
    </row>
    <row r="88" spans="16:29" x14ac:dyDescent="0.65">
      <c r="P88" s="149"/>
      <c r="AC88" s="152"/>
    </row>
    <row r="89" spans="16:29" x14ac:dyDescent="0.65">
      <c r="P89" s="149"/>
      <c r="AC89" s="152"/>
    </row>
    <row r="90" spans="16:29" x14ac:dyDescent="0.65">
      <c r="P90" s="149"/>
      <c r="AC90" s="152"/>
    </row>
    <row r="91" spans="16:29" x14ac:dyDescent="0.65">
      <c r="P91" s="149"/>
      <c r="AC91" s="152"/>
    </row>
    <row r="92" spans="16:29" x14ac:dyDescent="0.65">
      <c r="P92" s="149"/>
      <c r="AC92" s="152"/>
    </row>
    <row r="93" spans="16:29" x14ac:dyDescent="0.65">
      <c r="P93" s="149"/>
      <c r="AC93" s="152"/>
    </row>
    <row r="94" spans="16:29" x14ac:dyDescent="0.65">
      <c r="P94" s="149"/>
      <c r="AC94" s="152"/>
    </row>
    <row r="95" spans="16:29" x14ac:dyDescent="0.65">
      <c r="P95" s="149"/>
      <c r="AC95" s="152"/>
    </row>
    <row r="96" spans="16:29" x14ac:dyDescent="0.65">
      <c r="P96" s="149"/>
      <c r="AC96" s="155"/>
    </row>
    <row r="97" spans="16:29" x14ac:dyDescent="0.65">
      <c r="P97" s="149"/>
      <c r="AC97" s="152"/>
    </row>
    <row r="98" spans="16:29" x14ac:dyDescent="0.65">
      <c r="P98" s="149"/>
      <c r="AC98" s="152"/>
    </row>
    <row r="99" spans="16:29" x14ac:dyDescent="0.65">
      <c r="P99" s="149"/>
      <c r="AC99" s="152"/>
    </row>
    <row r="100" spans="16:29" x14ac:dyDescent="0.65">
      <c r="P100" s="149"/>
      <c r="AC100" s="152"/>
    </row>
    <row r="101" spans="16:29" x14ac:dyDescent="0.65">
      <c r="P101" s="149"/>
      <c r="AC101" s="152"/>
    </row>
    <row r="102" spans="16:29" x14ac:dyDescent="0.65">
      <c r="P102" s="149"/>
      <c r="AC102" s="152"/>
    </row>
    <row r="103" spans="16:29" x14ac:dyDescent="0.65">
      <c r="P103" s="149"/>
      <c r="AC103" s="152"/>
    </row>
    <row r="104" spans="16:29" x14ac:dyDescent="0.65">
      <c r="P104" s="149"/>
      <c r="AC104" s="152"/>
    </row>
    <row r="105" spans="16:29" x14ac:dyDescent="0.65">
      <c r="P105" s="149"/>
      <c r="AC105" s="152"/>
    </row>
    <row r="106" spans="16:29" x14ac:dyDescent="0.65">
      <c r="P106" s="149"/>
      <c r="AC106" s="152"/>
    </row>
    <row r="107" spans="16:29" x14ac:dyDescent="0.65">
      <c r="P107" s="149"/>
      <c r="AC107" s="152"/>
    </row>
    <row r="108" spans="16:29" x14ac:dyDescent="0.65">
      <c r="P108" s="149"/>
      <c r="AC108" s="152"/>
    </row>
    <row r="109" spans="16:29" x14ac:dyDescent="0.65">
      <c r="P109" s="149"/>
    </row>
    <row r="110" spans="16:29" x14ac:dyDescent="0.65">
      <c r="P110" s="149"/>
    </row>
    <row r="111" spans="16:29" x14ac:dyDescent="0.65">
      <c r="P111" s="149"/>
    </row>
    <row r="112" spans="16:29" x14ac:dyDescent="0.65">
      <c r="P112" s="149"/>
    </row>
    <row r="113" spans="16:16" x14ac:dyDescent="0.65">
      <c r="P113" s="149"/>
    </row>
    <row r="114" spans="16:16" x14ac:dyDescent="0.65">
      <c r="P114" s="149"/>
    </row>
    <row r="115" spans="16:16" x14ac:dyDescent="0.65">
      <c r="P115" s="149"/>
    </row>
    <row r="116" spans="16:16" x14ac:dyDescent="0.65">
      <c r="P116" s="149"/>
    </row>
    <row r="117" spans="16:16" x14ac:dyDescent="0.65">
      <c r="P117" s="149"/>
    </row>
  </sheetData>
  <mergeCells count="43">
    <mergeCell ref="T54:T55"/>
    <mergeCell ref="V54:V55"/>
    <mergeCell ref="W54:W55"/>
    <mergeCell ref="X54:X55"/>
    <mergeCell ref="Z54:Z55"/>
    <mergeCell ref="H54:H55"/>
    <mergeCell ref="J54:L54"/>
    <mergeCell ref="N54:P54"/>
    <mergeCell ref="R54:R55"/>
    <mergeCell ref="S54:S55"/>
    <mergeCell ref="B54:B55"/>
    <mergeCell ref="D54:D55"/>
    <mergeCell ref="E54:E55"/>
    <mergeCell ref="F54:F55"/>
    <mergeCell ref="G54:G55"/>
    <mergeCell ref="B51:Z51"/>
    <mergeCell ref="B52:Z52"/>
    <mergeCell ref="D53:H53"/>
    <mergeCell ref="J53:P53"/>
    <mergeCell ref="R53:Z53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  <mergeCell ref="D6:H6"/>
    <mergeCell ref="R6:Z6"/>
    <mergeCell ref="G7:G8"/>
    <mergeCell ref="H7:H8"/>
    <mergeCell ref="X7:X8"/>
    <mergeCell ref="T7:T8"/>
    <mergeCell ref="Z7:Z8"/>
  </mergeCells>
  <phoneticPr fontId="27" type="noConversion"/>
  <printOptions horizontalCentered="1"/>
  <pageMargins left="0.7" right="0.7" top="0.75" bottom="0.75" header="0.3" footer="0.3"/>
  <pageSetup paperSize="9" scale="24" orientation="landscape" r:id="rId1"/>
  <headerFooter>
    <oddFooter>&amp;C&amp;P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60" t="str">
        <f>' سهام'!B1:Z1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18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</row>
    <row r="3" spans="2:18" ht="24" x14ac:dyDescent="0.6">
      <c r="B3" s="360" t="str">
        <f>' سهام'!AC6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</row>
    <row r="4" spans="2:18" ht="24" x14ac:dyDescent="0.55000000000000004">
      <c r="B4" s="34" t="s">
        <v>81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59" t="str">
        <f>' سهام'!AC4</f>
        <v>1405/04/31</v>
      </c>
      <c r="E6" s="359"/>
      <c r="F6" s="359"/>
      <c r="G6" s="359"/>
      <c r="H6" s="359"/>
      <c r="I6" s="359"/>
      <c r="J6" s="359"/>
      <c r="L6" s="359" t="str">
        <f>' سهام'!AC5</f>
        <v>1405/05/31</v>
      </c>
      <c r="M6" s="359"/>
      <c r="N6" s="359"/>
      <c r="O6" s="359"/>
      <c r="P6" s="359"/>
      <c r="Q6" s="359"/>
      <c r="R6" s="359"/>
    </row>
    <row r="7" spans="2:18" ht="24.75" thickBot="1" x14ac:dyDescent="0.65">
      <c r="B7" s="10" t="s">
        <v>44</v>
      </c>
      <c r="C7" s="8"/>
      <c r="D7" s="10" t="s">
        <v>45</v>
      </c>
      <c r="E7" s="8"/>
      <c r="F7" s="10" t="s">
        <v>46</v>
      </c>
      <c r="G7" s="8"/>
      <c r="H7" s="10" t="s">
        <v>47</v>
      </c>
      <c r="I7" s="8"/>
      <c r="J7" s="10" t="s">
        <v>48</v>
      </c>
      <c r="L7" s="10" t="s">
        <v>45</v>
      </c>
      <c r="M7" s="8"/>
      <c r="N7" s="10" t="s">
        <v>46</v>
      </c>
      <c r="O7" s="8"/>
      <c r="P7" s="10" t="s">
        <v>47</v>
      </c>
      <c r="Q7" s="8"/>
      <c r="R7" s="10" t="s">
        <v>48</v>
      </c>
    </row>
    <row r="8" spans="2:18" ht="23.25" thickBot="1" x14ac:dyDescent="0.6">
      <c r="B8" s="3"/>
      <c r="C8" s="3"/>
      <c r="D8" s="67" t="s">
        <v>101</v>
      </c>
      <c r="E8" s="59"/>
      <c r="F8" s="58" t="s">
        <v>101</v>
      </c>
      <c r="G8" s="5"/>
      <c r="H8" s="5" t="s">
        <v>101</v>
      </c>
      <c r="I8" s="5"/>
      <c r="J8" s="60">
        <v>0</v>
      </c>
      <c r="L8" s="65">
        <v>0</v>
      </c>
      <c r="M8" s="5"/>
      <c r="N8" s="67" t="s">
        <v>101</v>
      </c>
      <c r="O8" s="5"/>
      <c r="P8" s="5" t="s">
        <v>101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60" t="str">
        <f>اوراق!B1</f>
        <v>صندوق سرمایه گذاری شاخص سی شرکت بزرگ فیروزه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</row>
    <row r="2" spans="1:16" ht="24" x14ac:dyDescent="0.6">
      <c r="A2" s="360" t="s">
        <v>80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</row>
    <row r="3" spans="1:16" ht="24" x14ac:dyDescent="0.6">
      <c r="A3" s="360" t="str">
        <f>' سهام'!AC6</f>
        <v>برای ماه منتهی به 1405/05/31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</row>
    <row r="4" spans="1:16" ht="25.5" customHeight="1" x14ac:dyDescent="0.55000000000000004">
      <c r="A4" s="362" t="s">
        <v>50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</row>
    <row r="5" spans="1:16" ht="24" x14ac:dyDescent="0.55000000000000004">
      <c r="A5" s="362" t="s">
        <v>49</v>
      </c>
      <c r="B5" s="362"/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</row>
    <row r="6" spans="1:16" ht="19.5" customHeight="1" thickBot="1" x14ac:dyDescent="0.6">
      <c r="C6" s="369" t="str">
        <f>' سهام'!AC5</f>
        <v>1405/05/31</v>
      </c>
      <c r="D6" s="370"/>
      <c r="E6" s="370"/>
      <c r="F6" s="370"/>
      <c r="G6" s="370"/>
      <c r="H6" s="370"/>
      <c r="I6" s="370"/>
      <c r="J6" s="370"/>
      <c r="K6" s="370"/>
      <c r="L6" s="370"/>
      <c r="M6" s="370"/>
      <c r="N6" s="370"/>
      <c r="O6" s="370"/>
      <c r="P6" s="370"/>
    </row>
    <row r="7" spans="1:16" ht="31.5" customHeight="1" x14ac:dyDescent="0.55000000000000004">
      <c r="A7" s="365" t="s">
        <v>20</v>
      </c>
      <c r="C7" s="367" t="s">
        <v>8</v>
      </c>
      <c r="E7" s="363" t="s">
        <v>54</v>
      </c>
      <c r="F7" s="363"/>
      <c r="G7" s="363" t="s">
        <v>53</v>
      </c>
      <c r="H7" s="363"/>
      <c r="I7" s="363" t="s">
        <v>51</v>
      </c>
      <c r="J7" s="363"/>
      <c r="K7" s="363" t="s">
        <v>52</v>
      </c>
      <c r="M7" s="363" t="s">
        <v>19</v>
      </c>
      <c r="N7" s="363"/>
      <c r="O7" s="363"/>
      <c r="P7" s="363"/>
    </row>
    <row r="8" spans="1:16" ht="18" customHeight="1" thickBot="1" x14ac:dyDescent="0.6">
      <c r="A8" s="366"/>
      <c r="C8" s="368"/>
      <c r="E8" s="364"/>
      <c r="F8" s="363"/>
      <c r="G8" s="364"/>
      <c r="H8" s="363"/>
      <c r="I8" s="364"/>
      <c r="J8" s="363"/>
      <c r="K8" s="364"/>
      <c r="M8" s="364"/>
      <c r="N8" s="364"/>
      <c r="O8" s="364"/>
      <c r="P8" s="364"/>
    </row>
    <row r="9" spans="1:16" ht="18" customHeight="1" thickBot="1" x14ac:dyDescent="0.6">
      <c r="A9" s="21"/>
      <c r="B9" s="7"/>
      <c r="C9" s="22" t="s">
        <v>101</v>
      </c>
      <c r="D9" s="23"/>
      <c r="E9" s="24" t="s">
        <v>101</v>
      </c>
      <c r="F9" s="25"/>
      <c r="G9" s="24" t="s">
        <v>101</v>
      </c>
      <c r="H9" s="25"/>
      <c r="I9" s="26" t="s">
        <v>101</v>
      </c>
      <c r="J9" s="25"/>
      <c r="K9" s="24" t="s">
        <v>101</v>
      </c>
      <c r="M9" s="364" t="s">
        <v>101</v>
      </c>
      <c r="N9" s="364"/>
      <c r="O9" s="364"/>
      <c r="P9" s="364"/>
    </row>
    <row r="10" spans="1:16" ht="18" customHeight="1" thickBot="1" x14ac:dyDescent="0.6">
      <c r="A10" s="6"/>
      <c r="C10" s="27" t="s">
        <v>101</v>
      </c>
      <c r="E10" s="27" t="s">
        <v>101</v>
      </c>
      <c r="F10" s="5"/>
      <c r="G10" s="27" t="s">
        <v>101</v>
      </c>
      <c r="H10" s="5"/>
      <c r="I10" s="28" t="s">
        <v>101</v>
      </c>
      <c r="J10" s="5"/>
      <c r="K10" s="27" t="s">
        <v>101</v>
      </c>
      <c r="L10" s="5"/>
      <c r="M10" s="361" t="s">
        <v>101</v>
      </c>
      <c r="N10" s="361"/>
      <c r="O10" s="361"/>
      <c r="P10" s="361"/>
    </row>
    <row r="11" spans="1:16" ht="23.25" thickTop="1" x14ac:dyDescent="0.55000000000000004"/>
    <row r="12" spans="1:16" x14ac:dyDescent="0.55000000000000004">
      <c r="M12" s="13"/>
    </row>
  </sheetData>
  <mergeCells count="18">
    <mergeCell ref="A1:P1"/>
    <mergeCell ref="A2:P2"/>
    <mergeCell ref="A3:P3"/>
    <mergeCell ref="M7:P8"/>
    <mergeCell ref="M9:P9"/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60" t="str">
        <f>'تعدیل قیمت'!A1:P1</f>
        <v>صندوق سرمایه گذاری شاخص سی شرکت بزرگ فیروزه</v>
      </c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</row>
    <row r="2" spans="1:29" ht="24" x14ac:dyDescent="0.6">
      <c r="A2" s="360" t="s">
        <v>80</v>
      </c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</row>
    <row r="3" spans="1:29" ht="24" x14ac:dyDescent="0.6">
      <c r="A3" s="360" t="str">
        <f>' سهام'!AC6</f>
        <v>برای ماه منتهی به 1405/05/31</v>
      </c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</row>
    <row r="4" spans="1:29" ht="24" x14ac:dyDescent="0.55000000000000004">
      <c r="A4" s="362" t="s">
        <v>55</v>
      </c>
      <c r="B4" s="362"/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  <c r="S4" s="362"/>
      <c r="T4" s="362"/>
      <c r="U4" s="362"/>
      <c r="V4" s="362"/>
      <c r="W4" s="362"/>
      <c r="X4" s="362"/>
      <c r="Y4" s="362"/>
      <c r="Z4" s="362"/>
      <c r="AA4" s="362"/>
      <c r="AB4" s="362"/>
      <c r="AC4" s="362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70"/>
      <c r="D6" s="370"/>
      <c r="E6" s="370"/>
      <c r="F6" s="46"/>
      <c r="G6" s="46"/>
      <c r="H6" s="46"/>
      <c r="I6" s="46"/>
      <c r="J6" s="30"/>
      <c r="K6" s="370" t="str">
        <f>' سهام'!AC4</f>
        <v>1405/04/31</v>
      </c>
      <c r="L6" s="370"/>
      <c r="M6" s="370"/>
      <c r="N6" s="370"/>
      <c r="O6" s="370"/>
      <c r="P6" s="52"/>
      <c r="Q6" s="377" t="s">
        <v>16</v>
      </c>
      <c r="R6" s="377"/>
      <c r="S6" s="377"/>
      <c r="T6" s="377"/>
      <c r="U6" s="377"/>
      <c r="W6" s="370" t="str">
        <f>' سهام'!AC5</f>
        <v>1405/05/31</v>
      </c>
      <c r="X6" s="370"/>
      <c r="Y6" s="370"/>
      <c r="Z6" s="370"/>
      <c r="AA6" s="370"/>
      <c r="AB6" s="370"/>
      <c r="AC6" s="370"/>
    </row>
    <row r="7" spans="1:29" ht="54.75" customHeight="1" x14ac:dyDescent="0.6">
      <c r="A7" s="363" t="s">
        <v>58</v>
      </c>
      <c r="B7" s="5"/>
      <c r="C7" s="376" t="s">
        <v>33</v>
      </c>
      <c r="D7" s="3"/>
      <c r="E7" s="374" t="s">
        <v>60</v>
      </c>
      <c r="F7" s="14"/>
      <c r="G7" s="374" t="s">
        <v>57</v>
      </c>
      <c r="H7" s="14"/>
      <c r="I7" s="374" t="s">
        <v>14</v>
      </c>
      <c r="J7" s="3"/>
      <c r="K7" s="379" t="s">
        <v>8</v>
      </c>
      <c r="L7" s="373"/>
      <c r="M7" s="373" t="s">
        <v>3</v>
      </c>
      <c r="N7" s="373"/>
      <c r="O7" s="49" t="s">
        <v>1</v>
      </c>
      <c r="P7" s="2"/>
      <c r="Q7" s="360" t="s">
        <v>9</v>
      </c>
      <c r="R7" s="360"/>
      <c r="S7" s="15"/>
      <c r="T7" s="360" t="s">
        <v>10</v>
      </c>
      <c r="U7" s="360"/>
      <c r="V7" s="8"/>
      <c r="W7" s="371" t="s">
        <v>8</v>
      </c>
      <c r="X7" s="373"/>
      <c r="Y7" s="378" t="s">
        <v>3</v>
      </c>
      <c r="Z7" s="373"/>
      <c r="AA7" s="49" t="s">
        <v>1</v>
      </c>
      <c r="AB7" s="50"/>
      <c r="AC7" s="49" t="s">
        <v>0</v>
      </c>
    </row>
    <row r="8" spans="1:29" ht="33" customHeight="1" thickBot="1" x14ac:dyDescent="0.65">
      <c r="A8" s="364"/>
      <c r="B8" s="5"/>
      <c r="C8" s="375"/>
      <c r="D8" s="3"/>
      <c r="E8" s="375"/>
      <c r="F8" s="14"/>
      <c r="G8" s="375"/>
      <c r="H8" s="14"/>
      <c r="I8" s="375"/>
      <c r="J8" s="3"/>
      <c r="K8" s="372"/>
      <c r="L8" s="373"/>
      <c r="M8" s="370"/>
      <c r="N8" s="373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79</v>
      </c>
      <c r="V8" s="8"/>
      <c r="W8" s="372"/>
      <c r="X8" s="373"/>
      <c r="Y8" s="370"/>
      <c r="Z8" s="373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56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  <mergeCell ref="W7:W8"/>
    <mergeCell ref="M7:M8"/>
    <mergeCell ref="N7:N8"/>
    <mergeCell ref="G7:G8"/>
    <mergeCell ref="T7:U7"/>
    <mergeCell ref="Q7:R7"/>
    <mergeCell ref="I7:I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91" t="str">
        <f>' سهام'!B1:Z1</f>
        <v>صندوق سرمایه گذاری شاخص سی شرکت بزرگ فیروزه</v>
      </c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</row>
    <row r="2" spans="2:40" ht="33.75" x14ac:dyDescent="0.65">
      <c r="B2" s="391" t="s">
        <v>80</v>
      </c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</row>
    <row r="3" spans="2:40" ht="33.75" x14ac:dyDescent="0.65">
      <c r="B3" s="391" t="str">
        <f>' سهام'!AC6</f>
        <v>برای ماه منتهی به 1405/05/31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391"/>
      <c r="AJ3" s="391"/>
      <c r="AK3" s="391"/>
      <c r="AL3" s="391"/>
      <c r="AM3" s="391"/>
    </row>
    <row r="4" spans="2:40" x14ac:dyDescent="0.65">
      <c r="B4" s="100" t="s">
        <v>38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81" t="s">
        <v>29</v>
      </c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72"/>
      <c r="Q6" s="381" t="str">
        <f>' سهام'!AC4</f>
        <v>1405/04/31</v>
      </c>
      <c r="R6" s="381"/>
      <c r="S6" s="381"/>
      <c r="T6" s="381"/>
      <c r="U6" s="381"/>
      <c r="V6" s="78"/>
      <c r="W6" s="392" t="s">
        <v>16</v>
      </c>
      <c r="X6" s="392"/>
      <c r="Y6" s="392"/>
      <c r="Z6" s="392"/>
      <c r="AA6" s="392"/>
      <c r="AB6" s="392"/>
      <c r="AC6" s="392"/>
      <c r="AD6" s="71"/>
      <c r="AE6" s="381" t="str">
        <f>' سهام'!AC5</f>
        <v>1405/05/31</v>
      </c>
      <c r="AF6" s="381"/>
      <c r="AG6" s="381"/>
      <c r="AH6" s="381"/>
      <c r="AI6" s="381"/>
      <c r="AJ6" s="381"/>
      <c r="AK6" s="381"/>
      <c r="AL6" s="381"/>
      <c r="AM6" s="381"/>
    </row>
    <row r="7" spans="2:40" s="15" customFormat="1" ht="36" x14ac:dyDescent="0.9">
      <c r="B7" s="384" t="s">
        <v>30</v>
      </c>
      <c r="C7" s="72"/>
      <c r="D7" s="388" t="s">
        <v>15</v>
      </c>
      <c r="E7" s="72"/>
      <c r="F7" s="390" t="s">
        <v>14</v>
      </c>
      <c r="G7" s="72"/>
      <c r="H7" s="380" t="s">
        <v>42</v>
      </c>
      <c r="I7" s="72"/>
      <c r="J7" s="388" t="s">
        <v>33</v>
      </c>
      <c r="K7" s="72"/>
      <c r="L7" s="72"/>
      <c r="M7" s="390" t="s">
        <v>13</v>
      </c>
      <c r="N7" s="79"/>
      <c r="O7" s="390" t="s">
        <v>12</v>
      </c>
      <c r="P7" s="72"/>
      <c r="Q7" s="382" t="s">
        <v>8</v>
      </c>
      <c r="R7" s="380"/>
      <c r="S7" s="380" t="s">
        <v>3</v>
      </c>
      <c r="T7" s="380"/>
      <c r="U7" s="380" t="s">
        <v>31</v>
      </c>
      <c r="V7" s="72"/>
      <c r="W7" s="387" t="s">
        <v>9</v>
      </c>
      <c r="X7" s="387"/>
      <c r="Y7" s="387"/>
      <c r="Z7" s="71"/>
      <c r="AA7" s="387" t="s">
        <v>10</v>
      </c>
      <c r="AB7" s="387"/>
      <c r="AC7" s="387"/>
      <c r="AD7" s="71"/>
      <c r="AE7" s="382" t="s">
        <v>8</v>
      </c>
      <c r="AF7" s="384"/>
      <c r="AG7" s="385" t="s">
        <v>43</v>
      </c>
      <c r="AH7" s="72"/>
      <c r="AI7" s="380" t="s">
        <v>3</v>
      </c>
      <c r="AJ7" s="384"/>
      <c r="AK7" s="380" t="s">
        <v>31</v>
      </c>
      <c r="AL7" s="80"/>
      <c r="AM7" s="380" t="s">
        <v>32</v>
      </c>
    </row>
    <row r="8" spans="2:40" s="55" customFormat="1" ht="72.75" customHeight="1" thickBot="1" x14ac:dyDescent="0.3">
      <c r="B8" s="381"/>
      <c r="C8" s="72"/>
      <c r="D8" s="389"/>
      <c r="E8" s="72"/>
      <c r="F8" s="389"/>
      <c r="G8" s="72"/>
      <c r="H8" s="381"/>
      <c r="I8" s="72"/>
      <c r="J8" s="389"/>
      <c r="K8" s="72"/>
      <c r="L8" s="72"/>
      <c r="M8" s="389"/>
      <c r="N8" s="78"/>
      <c r="O8" s="389"/>
      <c r="P8" s="72"/>
      <c r="Q8" s="383"/>
      <c r="R8" s="384"/>
      <c r="S8" s="381"/>
      <c r="T8" s="384"/>
      <c r="U8" s="381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79</v>
      </c>
      <c r="AD8" s="70"/>
      <c r="AE8" s="383"/>
      <c r="AF8" s="384"/>
      <c r="AG8" s="386"/>
      <c r="AH8" s="72"/>
      <c r="AI8" s="381"/>
      <c r="AJ8" s="384"/>
      <c r="AK8" s="381"/>
      <c r="AL8" s="80"/>
      <c r="AM8" s="381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101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99"/>
      <c r="I20" s="99"/>
      <c r="J20" s="99"/>
      <c r="K20" s="99"/>
      <c r="L20" s="99"/>
    </row>
  </sheetData>
  <mergeCells count="28">
    <mergeCell ref="B1:AM1"/>
    <mergeCell ref="B2:AM2"/>
    <mergeCell ref="B3:AM3"/>
    <mergeCell ref="W6:AC6"/>
    <mergeCell ref="AE6:AM6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AK7:AK8"/>
    <mergeCell ref="AM7:AM8"/>
    <mergeCell ref="AE7:AE8"/>
    <mergeCell ref="AF7:AF8"/>
    <mergeCell ref="AI7:AI8"/>
    <mergeCell ref="AJ7:AJ8"/>
    <mergeCell ref="AG7:AG8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83"/>
  <sheetViews>
    <sheetView rightToLeft="1" view="pageBreakPreview" zoomScale="90" zoomScaleNormal="100" zoomScaleSheetLayoutView="90" workbookViewId="0">
      <selection activeCell="H22" sqref="H22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6" style="1" bestFit="1" customWidth="1"/>
    <col min="5" max="5" width="0.7109375" style="1" customWidth="1"/>
    <col min="6" max="6" width="19.7109375" style="1" bestFit="1" customWidth="1"/>
    <col min="7" max="7" width="0.7109375" style="1" customWidth="1"/>
    <col min="8" max="8" width="22" style="1" bestFit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21.28515625" style="93" bestFit="1" customWidth="1"/>
    <col min="13" max="13" width="0.28515625" style="1" customWidth="1"/>
    <col min="14" max="14" width="21.140625" style="93" bestFit="1" customWidth="1"/>
    <col min="15" max="15" width="0.28515625" style="1" customWidth="1"/>
    <col min="16" max="16" width="19.42578125" style="1" bestFit="1" customWidth="1"/>
    <col min="17" max="17" width="0.7109375" style="1" customWidth="1"/>
    <col min="18" max="18" width="22.7109375" style="1" bestFit="1" customWidth="1"/>
    <col min="19" max="19" width="9.140625" style="1"/>
    <col min="20" max="20" width="23.7109375" style="1" bestFit="1" customWidth="1"/>
    <col min="21" max="16384" width="9.140625" style="1"/>
  </cols>
  <sheetData>
    <row r="1" spans="2:27" ht="24" x14ac:dyDescent="0.6">
      <c r="B1" s="360" t="s">
        <v>102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27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</row>
    <row r="3" spans="2:27" ht="24" x14ac:dyDescent="0.6">
      <c r="B3" s="360" t="str">
        <f>' سهام'!AC6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</row>
    <row r="4" spans="2:27" ht="24" x14ac:dyDescent="0.55000000000000004">
      <c r="B4" s="394" t="s">
        <v>82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AA4" s="1" t="s">
        <v>155</v>
      </c>
    </row>
    <row r="5" spans="2:27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122"/>
      <c r="M5" s="29"/>
      <c r="N5" s="122"/>
      <c r="O5" s="29"/>
      <c r="P5" s="29"/>
      <c r="Q5" s="29"/>
      <c r="R5" s="29"/>
      <c r="S5" s="251"/>
      <c r="T5" s="251"/>
      <c r="AA5" s="1" t="s">
        <v>156</v>
      </c>
    </row>
    <row r="6" spans="2:27" ht="18.75" customHeight="1" thickBot="1" x14ac:dyDescent="0.6">
      <c r="B6" s="49"/>
      <c r="C6" s="400"/>
      <c r="D6" s="400"/>
      <c r="E6" s="400"/>
      <c r="F6" s="400"/>
      <c r="G6" s="400"/>
      <c r="H6" s="400"/>
      <c r="I6" s="400"/>
      <c r="J6" s="400"/>
      <c r="K6" s="52"/>
      <c r="L6" s="377" t="s">
        <v>16</v>
      </c>
      <c r="M6" s="377"/>
      <c r="N6" s="377"/>
      <c r="P6" s="370" t="str">
        <f>' سهام'!AC5</f>
        <v>1405/05/31</v>
      </c>
      <c r="Q6" s="370"/>
      <c r="R6" s="370"/>
      <c r="S6" s="251"/>
      <c r="T6" s="251"/>
      <c r="AA6" s="1" t="s">
        <v>157</v>
      </c>
    </row>
    <row r="7" spans="2:27" ht="24" customHeight="1" x14ac:dyDescent="0.55000000000000004">
      <c r="B7" s="396" t="s">
        <v>17</v>
      </c>
      <c r="C7" s="3"/>
      <c r="D7" s="374" t="s">
        <v>18</v>
      </c>
      <c r="E7" s="3"/>
      <c r="F7" s="374" t="s">
        <v>59</v>
      </c>
      <c r="G7" s="3"/>
      <c r="H7" s="374" t="s">
        <v>60</v>
      </c>
      <c r="I7" s="363"/>
      <c r="J7" s="365" t="s">
        <v>11</v>
      </c>
      <c r="K7" s="3"/>
      <c r="L7" s="398" t="s">
        <v>61</v>
      </c>
      <c r="M7" s="160"/>
      <c r="N7" s="398" t="s">
        <v>62</v>
      </c>
      <c r="P7" s="395" t="s">
        <v>11</v>
      </c>
      <c r="Q7" s="363"/>
      <c r="R7" s="393" t="s">
        <v>32</v>
      </c>
      <c r="S7" s="251"/>
      <c r="T7" s="251"/>
      <c r="AA7" s="1" t="s">
        <v>158</v>
      </c>
    </row>
    <row r="8" spans="2:27" ht="47.25" customHeight="1" thickBot="1" x14ac:dyDescent="0.6">
      <c r="B8" s="397"/>
      <c r="C8" s="220"/>
      <c r="D8" s="375"/>
      <c r="E8" s="220"/>
      <c r="F8" s="375"/>
      <c r="G8" s="220"/>
      <c r="H8" s="375"/>
      <c r="I8" s="363"/>
      <c r="J8" s="366"/>
      <c r="K8" s="3"/>
      <c r="L8" s="399"/>
      <c r="N8" s="399"/>
      <c r="P8" s="366"/>
      <c r="Q8" s="363"/>
      <c r="R8" s="364"/>
      <c r="S8" s="251"/>
      <c r="T8" s="251"/>
      <c r="V8" s="159"/>
      <c r="AA8" s="1" t="s">
        <v>159</v>
      </c>
    </row>
    <row r="9" spans="2:27" ht="25.15" customHeight="1" x14ac:dyDescent="0.55000000000000004">
      <c r="B9" s="68" t="s">
        <v>196</v>
      </c>
      <c r="C9" s="221"/>
      <c r="D9" s="221" t="s">
        <v>106</v>
      </c>
      <c r="E9" s="221"/>
      <c r="F9" s="221" t="s">
        <v>104</v>
      </c>
      <c r="G9" s="221"/>
      <c r="H9" s="157">
        <v>0</v>
      </c>
      <c r="I9" s="221"/>
      <c r="J9" s="164">
        <v>50000000</v>
      </c>
      <c r="K9" s="221"/>
      <c r="L9" s="157">
        <v>0</v>
      </c>
      <c r="M9" s="221"/>
      <c r="N9" s="157">
        <v>0</v>
      </c>
      <c r="O9" s="157"/>
      <c r="P9" s="157">
        <v>50000000</v>
      </c>
      <c r="Q9" s="222"/>
      <c r="R9" s="223">
        <f>P9/$R$20</f>
        <v>3.1684483943798723E-6</v>
      </c>
      <c r="S9" s="251"/>
      <c r="T9" s="266"/>
    </row>
    <row r="10" spans="2:27" ht="25.15" customHeight="1" x14ac:dyDescent="0.55000000000000004">
      <c r="B10" s="68" t="s">
        <v>161</v>
      </c>
      <c r="C10" s="221"/>
      <c r="D10" s="221" t="s">
        <v>107</v>
      </c>
      <c r="E10" s="221"/>
      <c r="F10" s="221" t="s">
        <v>104</v>
      </c>
      <c r="G10" s="221"/>
      <c r="H10" s="157">
        <v>0</v>
      </c>
      <c r="I10" s="221"/>
      <c r="J10" s="164">
        <v>48804398</v>
      </c>
      <c r="K10" s="221"/>
      <c r="L10" s="157">
        <v>320096</v>
      </c>
      <c r="M10" s="221"/>
      <c r="N10" s="157">
        <v>0</v>
      </c>
      <c r="O10" s="157"/>
      <c r="P10" s="157">
        <v>49124494</v>
      </c>
      <c r="Q10" s="222"/>
      <c r="R10" s="223">
        <f>P10/$R$20</f>
        <v>3.1129684827804734E-6</v>
      </c>
      <c r="S10" s="251"/>
      <c r="T10" s="266"/>
    </row>
    <row r="11" spans="2:27" ht="25.15" customHeight="1" x14ac:dyDescent="0.55000000000000004">
      <c r="B11" s="68" t="s">
        <v>162</v>
      </c>
      <c r="C11" s="221"/>
      <c r="D11" s="221" t="s">
        <v>107</v>
      </c>
      <c r="E11" s="221"/>
      <c r="F11" s="221" t="s">
        <v>144</v>
      </c>
      <c r="G11" s="221"/>
      <c r="H11" s="157">
        <v>0</v>
      </c>
      <c r="I11" s="221"/>
      <c r="J11" s="164">
        <v>100000</v>
      </c>
      <c r="K11" s="221"/>
      <c r="L11" s="157">
        <v>0</v>
      </c>
      <c r="M11" s="221"/>
      <c r="N11" s="157">
        <v>0</v>
      </c>
      <c r="O11" s="157"/>
      <c r="P11" s="157">
        <v>100000</v>
      </c>
      <c r="Q11" s="222"/>
      <c r="R11" s="223">
        <f t="shared" ref="R11:R12" si="0">P11/$R$20</f>
        <v>6.3368967887597447E-9</v>
      </c>
      <c r="S11" s="251"/>
      <c r="T11" s="266"/>
    </row>
    <row r="12" spans="2:27" ht="25.15" customHeight="1" x14ac:dyDescent="0.55000000000000004">
      <c r="B12" s="68" t="s">
        <v>183</v>
      </c>
      <c r="C12" s="221"/>
      <c r="D12" s="221" t="s">
        <v>107</v>
      </c>
      <c r="E12" s="221"/>
      <c r="F12" s="221" t="s">
        <v>184</v>
      </c>
      <c r="G12" s="221"/>
      <c r="H12" s="157">
        <v>0</v>
      </c>
      <c r="I12" s="221"/>
      <c r="J12" s="164">
        <v>394772</v>
      </c>
      <c r="K12" s="221"/>
      <c r="L12" s="157">
        <v>0</v>
      </c>
      <c r="M12" s="221"/>
      <c r="N12" s="157">
        <v>0</v>
      </c>
      <c r="O12" s="157"/>
      <c r="P12" s="157">
        <v>394772</v>
      </c>
      <c r="Q12" s="222"/>
      <c r="R12" s="223">
        <f t="shared" si="0"/>
        <v>2.5016294190922618E-8</v>
      </c>
      <c r="S12" s="251"/>
      <c r="T12" s="266"/>
    </row>
    <row r="13" spans="2:27" ht="25.15" customHeight="1" x14ac:dyDescent="0.55000000000000004">
      <c r="B13" s="68" t="s">
        <v>197</v>
      </c>
      <c r="C13" s="221"/>
      <c r="D13" s="221" t="s">
        <v>107</v>
      </c>
      <c r="E13" s="221"/>
      <c r="F13" s="221" t="s">
        <v>184</v>
      </c>
      <c r="G13" s="221"/>
      <c r="H13" s="157">
        <v>0</v>
      </c>
      <c r="I13" s="221"/>
      <c r="J13" s="164">
        <v>402500</v>
      </c>
      <c r="K13" s="221"/>
      <c r="L13" s="157">
        <v>0</v>
      </c>
      <c r="M13" s="221"/>
      <c r="N13" s="157">
        <v>0</v>
      </c>
      <c r="O13" s="157"/>
      <c r="P13" s="157">
        <v>402500</v>
      </c>
      <c r="Q13" s="222"/>
      <c r="R13" s="224">
        <f>P13/$R$20</f>
        <v>2.5506009574757971E-8</v>
      </c>
      <c r="S13" s="251"/>
      <c r="T13" s="266"/>
    </row>
    <row r="14" spans="2:27" ht="26.25" customHeight="1" x14ac:dyDescent="0.55000000000000004">
      <c r="B14" s="68" t="s">
        <v>198</v>
      </c>
      <c r="C14" s="221"/>
      <c r="D14" s="221" t="s">
        <v>106</v>
      </c>
      <c r="E14" s="221"/>
      <c r="F14" s="221" t="s">
        <v>189</v>
      </c>
      <c r="G14" s="221"/>
      <c r="H14" s="157">
        <v>0</v>
      </c>
      <c r="I14" s="221"/>
      <c r="J14" s="164">
        <v>13387711</v>
      </c>
      <c r="K14" s="221"/>
      <c r="L14" s="157">
        <v>2958606709854</v>
      </c>
      <c r="M14" s="221"/>
      <c r="N14" s="157">
        <v>2956358738853</v>
      </c>
      <c r="O14" s="157"/>
      <c r="P14" s="157">
        <v>2261358712</v>
      </c>
      <c r="Q14" s="222"/>
      <c r="R14" s="224">
        <f>P14/$R$20</f>
        <v>1.4329996760306671E-4</v>
      </c>
      <c r="S14" s="251"/>
      <c r="T14" s="266"/>
    </row>
    <row r="15" spans="2:27" ht="26.25" customHeight="1" x14ac:dyDescent="0.55000000000000004">
      <c r="B15" s="68" t="s">
        <v>199</v>
      </c>
      <c r="C15" s="221"/>
      <c r="D15" s="221" t="s">
        <v>107</v>
      </c>
      <c r="E15" s="221"/>
      <c r="F15" s="221" t="s">
        <v>195</v>
      </c>
      <c r="G15" s="221"/>
      <c r="H15" s="157"/>
      <c r="I15" s="221"/>
      <c r="J15" s="164">
        <v>58543585</v>
      </c>
      <c r="K15" s="221"/>
      <c r="L15" s="157">
        <v>268825</v>
      </c>
      <c r="M15" s="221"/>
      <c r="N15" s="157">
        <v>0</v>
      </c>
      <c r="O15" s="157"/>
      <c r="P15" s="157">
        <v>58812410</v>
      </c>
      <c r="Q15" s="222"/>
      <c r="R15" s="224">
        <f>P15/$R$20</f>
        <v>3.7268817206822148E-6</v>
      </c>
      <c r="S15" s="251"/>
      <c r="T15" s="266"/>
    </row>
    <row r="16" spans="2:27" ht="25.15" customHeight="1" thickBot="1" x14ac:dyDescent="0.6">
      <c r="B16" s="68" t="s">
        <v>162</v>
      </c>
      <c r="C16" s="221"/>
      <c r="D16" s="221" t="s">
        <v>107</v>
      </c>
      <c r="E16" s="221"/>
      <c r="F16" s="221" t="s">
        <v>233</v>
      </c>
      <c r="G16" s="221"/>
      <c r="H16" s="157">
        <v>0</v>
      </c>
      <c r="I16" s="221"/>
      <c r="J16" s="164">
        <v>128478472228</v>
      </c>
      <c r="K16" s="221"/>
      <c r="L16" s="157">
        <v>1691117261266</v>
      </c>
      <c r="M16" s="221"/>
      <c r="N16" s="157">
        <v>1774536000000</v>
      </c>
      <c r="O16" s="157"/>
      <c r="P16" s="157">
        <v>45059733494</v>
      </c>
      <c r="Q16" s="222"/>
      <c r="R16" s="224">
        <f>P16/$R$20</f>
        <v>2.8553888048049847E-3</v>
      </c>
      <c r="S16" s="251"/>
      <c r="T16" s="266"/>
    </row>
    <row r="17" spans="2:20" ht="23.25" thickBot="1" x14ac:dyDescent="0.6">
      <c r="B17" s="3" t="s">
        <v>7</v>
      </c>
      <c r="C17" s="3"/>
      <c r="D17" s="3"/>
      <c r="E17" s="3"/>
      <c r="F17" s="3"/>
      <c r="G17" s="3"/>
      <c r="H17" s="3"/>
      <c r="I17" s="5"/>
      <c r="J17" s="225">
        <f>SUM(J9:J16)</f>
        <v>128650105194</v>
      </c>
      <c r="K17" s="31"/>
      <c r="L17" s="225">
        <f>SUM(L9:L16)</f>
        <v>4649724560041</v>
      </c>
      <c r="N17" s="225">
        <f>SUM(N9:N16)</f>
        <v>4730894738853</v>
      </c>
      <c r="P17" s="225">
        <f>SUM(P9:P16)</f>
        <v>47479926382</v>
      </c>
      <c r="Q17" s="5"/>
      <c r="R17" s="123">
        <f>SUM(R9:R16)</f>
        <v>3.0087539302064486E-3</v>
      </c>
      <c r="S17" s="251"/>
      <c r="T17" s="266"/>
    </row>
    <row r="18" spans="2:20" ht="24.75" thickTop="1" x14ac:dyDescent="0.6">
      <c r="J18" s="213"/>
      <c r="P18" s="159"/>
      <c r="S18" s="251"/>
      <c r="T18" s="251"/>
    </row>
    <row r="19" spans="2:20" ht="24" x14ac:dyDescent="0.6">
      <c r="J19" s="292"/>
      <c r="P19" s="292"/>
      <c r="R19" s="277"/>
      <c r="S19" s="251"/>
      <c r="T19" s="251"/>
    </row>
    <row r="20" spans="2:20" ht="24" x14ac:dyDescent="0.6">
      <c r="J20" s="159"/>
      <c r="P20" s="159"/>
      <c r="R20" s="335">
        <v>15780594719071</v>
      </c>
      <c r="S20" s="274"/>
      <c r="T20" s="251"/>
    </row>
    <row r="21" spans="2:20" x14ac:dyDescent="0.55000000000000004">
      <c r="D21" s="1" t="s">
        <v>88</v>
      </c>
      <c r="L21" s="108"/>
      <c r="P21" s="93"/>
      <c r="Q21" s="93"/>
      <c r="R21" s="285"/>
      <c r="S21" s="274"/>
      <c r="T21" s="251"/>
    </row>
    <row r="22" spans="2:20" x14ac:dyDescent="0.55000000000000004">
      <c r="R22" s="226"/>
    </row>
    <row r="59" spans="18:18" ht="27.75" x14ac:dyDescent="0.55000000000000004">
      <c r="R59" s="146">
        <v>1783</v>
      </c>
    </row>
    <row r="76" spans="18:26" ht="27.75" x14ac:dyDescent="0.55000000000000004">
      <c r="R76" s="146">
        <v>2083</v>
      </c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  <row r="83" spans="25:26" x14ac:dyDescent="0.55000000000000004">
      <c r="Y83" s="274"/>
      <c r="Z83" s="274"/>
    </row>
  </sheetData>
  <mergeCells count="18">
    <mergeCell ref="N7:N8"/>
    <mergeCell ref="C6:J6"/>
    <mergeCell ref="B1:R1"/>
    <mergeCell ref="B2:R2"/>
    <mergeCell ref="B3:R3"/>
    <mergeCell ref="R7:R8"/>
    <mergeCell ref="B4:R4"/>
    <mergeCell ref="P6:R6"/>
    <mergeCell ref="P7:P8"/>
    <mergeCell ref="Q7:Q8"/>
    <mergeCell ref="B7:B8"/>
    <mergeCell ref="I7:I8"/>
    <mergeCell ref="J7:J8"/>
    <mergeCell ref="D7:D8"/>
    <mergeCell ref="F7:F8"/>
    <mergeCell ref="H7:H8"/>
    <mergeCell ref="L6:N6"/>
    <mergeCell ref="L7:L8"/>
  </mergeCells>
  <phoneticPr fontId="27" type="noConversion"/>
  <printOptions horizontalCentered="1"/>
  <pageMargins left="0.7" right="0.7" top="0.75" bottom="0.75" header="0.3" footer="0.3"/>
  <pageSetup paperSize="9" scale="62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82"/>
  <sheetViews>
    <sheetView rightToLeft="1" view="pageBreakPreview" zoomScaleNormal="85" zoomScaleSheetLayoutView="100" workbookViewId="0">
      <selection activeCell="J22" sqref="J22"/>
    </sheetView>
  </sheetViews>
  <sheetFormatPr defaultColWidth="8.85546875" defaultRowHeight="22.5" x14ac:dyDescent="0.55000000000000004"/>
  <cols>
    <col min="1" max="1" width="8.85546875" style="1"/>
    <col min="2" max="2" width="45.5703125" style="196" customWidth="1"/>
    <col min="3" max="3" width="26.140625" style="196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5.5703125" style="1" bestFit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401" t="s">
        <v>102</v>
      </c>
      <c r="B1" s="401"/>
      <c r="C1" s="401"/>
      <c r="D1" s="401"/>
      <c r="E1" s="401"/>
      <c r="F1" s="401"/>
      <c r="G1" s="401"/>
      <c r="H1" s="401"/>
      <c r="I1" s="401"/>
      <c r="J1" s="401"/>
    </row>
    <row r="2" spans="1:29" ht="24" x14ac:dyDescent="0.6">
      <c r="A2" s="360" t="str">
        <f>سپرده!B2</f>
        <v xml:space="preserve">صورت وضعیت پرتفوی </v>
      </c>
      <c r="B2" s="360"/>
      <c r="C2" s="360"/>
      <c r="D2" s="360"/>
      <c r="E2" s="360"/>
      <c r="F2" s="360"/>
      <c r="G2" s="360"/>
      <c r="H2" s="360"/>
      <c r="I2" s="360"/>
      <c r="J2" s="360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60" t="str">
        <f>سپرده!B3</f>
        <v>برای ماه منتهی به 1405/05/31</v>
      </c>
      <c r="B3" s="360"/>
      <c r="C3" s="360"/>
      <c r="D3" s="360"/>
      <c r="E3" s="360"/>
      <c r="F3" s="360"/>
      <c r="G3" s="360"/>
      <c r="H3" s="360"/>
      <c r="I3" s="360"/>
      <c r="J3" s="360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10"/>
      <c r="P4" s="159"/>
      <c r="AC4" s="1" t="s">
        <v>155</v>
      </c>
    </row>
    <row r="5" spans="1:29" ht="23.25" thickBot="1" x14ac:dyDescent="0.6">
      <c r="B5" s="12" t="s">
        <v>63</v>
      </c>
      <c r="C5" s="12"/>
      <c r="D5" s="130" t="s">
        <v>64</v>
      </c>
      <c r="E5" s="160"/>
      <c r="F5" s="130" t="s">
        <v>11</v>
      </c>
      <c r="G5" s="160"/>
      <c r="H5" s="130" t="s">
        <v>149</v>
      </c>
      <c r="I5" s="160"/>
      <c r="J5" s="130" t="s">
        <v>89</v>
      </c>
      <c r="K5" s="160"/>
      <c r="M5" s="274"/>
      <c r="N5" s="277"/>
      <c r="P5" s="159"/>
      <c r="AC5" s="1" t="s">
        <v>157</v>
      </c>
    </row>
    <row r="6" spans="1:29" ht="24" x14ac:dyDescent="0.55000000000000004">
      <c r="B6" s="211" t="s">
        <v>78</v>
      </c>
      <c r="C6" s="211"/>
      <c r="D6" s="94" t="s">
        <v>83</v>
      </c>
      <c r="E6" s="34"/>
      <c r="F6" s="265">
        <f>'درآمد سرمایه گذاری در سهام '!T96</f>
        <v>6572106406529</v>
      </c>
      <c r="G6" s="34"/>
      <c r="H6" s="95">
        <f>F6/$M$9</f>
        <v>0.98235581647889914</v>
      </c>
      <c r="I6" s="34"/>
      <c r="J6" s="95">
        <f>F6/سپرده!R20</f>
        <v>0.41646759982920961</v>
      </c>
      <c r="K6" s="34"/>
      <c r="L6" s="34"/>
      <c r="M6" s="332"/>
      <c r="N6" s="278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158</v>
      </c>
    </row>
    <row r="7" spans="1:29" ht="24" x14ac:dyDescent="0.6">
      <c r="B7" s="211" t="s">
        <v>163</v>
      </c>
      <c r="C7" s="211"/>
      <c r="D7" s="94" t="s">
        <v>84</v>
      </c>
      <c r="E7" s="34"/>
      <c r="F7" s="212">
        <f>'درآمد سپرده بانکی'!J14</f>
        <v>39514153638</v>
      </c>
      <c r="G7" s="34"/>
      <c r="H7" s="95">
        <f>F7/$M$9</f>
        <v>5.9063192618074162E-3</v>
      </c>
      <c r="I7" s="34"/>
      <c r="J7" s="95">
        <f>F7/سپرده!R20</f>
        <v>2.5039711329920139E-3</v>
      </c>
      <c r="K7" s="213"/>
      <c r="L7" s="34"/>
      <c r="M7" s="332"/>
      <c r="N7" s="278"/>
      <c r="O7" s="34"/>
      <c r="P7" s="34"/>
      <c r="Q7" s="34"/>
      <c r="R7" s="34"/>
      <c r="S7" s="34"/>
      <c r="T7" s="34"/>
    </row>
    <row r="8" spans="1:29" ht="24.75" thickBot="1" x14ac:dyDescent="0.65">
      <c r="B8" s="211" t="s">
        <v>201</v>
      </c>
      <c r="C8" s="211"/>
      <c r="D8" s="94" t="s">
        <v>85</v>
      </c>
      <c r="E8" s="34"/>
      <c r="F8" s="212">
        <f>'سایر درآمدها'!F8</f>
        <v>8978495485</v>
      </c>
      <c r="G8" s="34"/>
      <c r="H8" s="95">
        <f>F8/$M$9</f>
        <v>1.3420472398555595E-3</v>
      </c>
      <c r="I8" s="34"/>
      <c r="J8" s="95">
        <f>F8/سپرده!R20</f>
        <v>5.6895799206790366E-4</v>
      </c>
      <c r="K8" s="212"/>
      <c r="L8" s="34"/>
      <c r="M8" s="333"/>
      <c r="N8" s="277"/>
      <c r="O8" s="159"/>
    </row>
    <row r="9" spans="1:29" ht="25.5" thickBot="1" x14ac:dyDescent="0.6">
      <c r="B9" s="211" t="s">
        <v>7</v>
      </c>
      <c r="D9" s="214"/>
      <c r="F9" s="215">
        <f>SUM(F6:F8)</f>
        <v>6620599055652</v>
      </c>
      <c r="H9" s="216">
        <f>SUM(H6:H8)</f>
        <v>0.98960418298056207</v>
      </c>
      <c r="J9" s="217">
        <f>SUM(J6:J8)</f>
        <v>0.41954052895426952</v>
      </c>
      <c r="M9" s="334">
        <v>6690148616502</v>
      </c>
      <c r="N9" s="277"/>
      <c r="O9" s="159"/>
      <c r="P9" s="218"/>
    </row>
    <row r="10" spans="1:29" ht="23.25" thickTop="1" x14ac:dyDescent="0.55000000000000004">
      <c r="D10" s="214"/>
      <c r="M10" s="285"/>
      <c r="N10" s="277"/>
      <c r="O10" s="159"/>
    </row>
    <row r="11" spans="1:29" x14ac:dyDescent="0.55000000000000004">
      <c r="M11" s="312"/>
      <c r="O11" s="159"/>
    </row>
    <row r="12" spans="1:29" x14ac:dyDescent="0.55000000000000004">
      <c r="F12" s="219"/>
      <c r="O12" s="159"/>
    </row>
    <row r="13" spans="1:29" ht="24" x14ac:dyDescent="0.55000000000000004">
      <c r="F13" s="121"/>
      <c r="H13" s="285"/>
      <c r="O13" s="159"/>
    </row>
    <row r="14" spans="1:29" ht="24" x14ac:dyDescent="0.55000000000000004">
      <c r="F14" s="212"/>
      <c r="M14" s="93"/>
    </row>
    <row r="15" spans="1:29" ht="24" x14ac:dyDescent="0.55000000000000004">
      <c r="F15" s="121"/>
      <c r="M15" s="159"/>
    </row>
    <row r="16" spans="1:29" ht="24" x14ac:dyDescent="0.55000000000000004">
      <c r="F16" s="121"/>
      <c r="M16" s="159"/>
    </row>
    <row r="17" spans="6:13" x14ac:dyDescent="0.55000000000000004">
      <c r="F17" s="159"/>
      <c r="M17" s="170"/>
    </row>
    <row r="18" spans="6:13" x14ac:dyDescent="0.55000000000000004">
      <c r="F18" s="159"/>
      <c r="M18" s="170"/>
    </row>
    <row r="19" spans="6:13" x14ac:dyDescent="0.55000000000000004">
      <c r="F19" s="159"/>
    </row>
    <row r="57" spans="18:18" ht="27.75" x14ac:dyDescent="0.55000000000000004">
      <c r="R57" s="146">
        <v>1783</v>
      </c>
    </row>
    <row r="74" spans="18:26" ht="27.75" x14ac:dyDescent="0.55000000000000004">
      <c r="R74" s="146">
        <v>2083</v>
      </c>
    </row>
    <row r="76" spans="18:26" x14ac:dyDescent="0.55000000000000004">
      <c r="Y76" s="274"/>
      <c r="Z76" s="274"/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51A2-8674-472A-8FBC-E2A663D9A3E0}">
  <sheetPr>
    <pageSetUpPr fitToPage="1"/>
  </sheetPr>
  <dimension ref="B1:U77"/>
  <sheetViews>
    <sheetView rightToLeft="1" view="pageBreakPreview" zoomScaleNormal="100" zoomScaleSheetLayoutView="100" workbookViewId="0">
      <selection activeCell="J22" sqref="J22"/>
    </sheetView>
  </sheetViews>
  <sheetFormatPr defaultColWidth="9.140625" defaultRowHeight="22.5" x14ac:dyDescent="0.55000000000000004"/>
  <cols>
    <col min="1" max="1" width="6" style="1" customWidth="1"/>
    <col min="2" max="2" width="38.85546875" style="1" bestFit="1" customWidth="1"/>
    <col min="3" max="3" width="0.7109375" style="1" customWidth="1"/>
    <col min="4" max="4" width="18" style="1" bestFit="1" customWidth="1"/>
    <col min="5" max="5" width="0.7109375" style="1" customWidth="1"/>
    <col min="6" max="6" width="14.28515625" style="1" bestFit="1" customWidth="1"/>
    <col min="7" max="7" width="0.7109375" style="1" customWidth="1"/>
    <col min="8" max="8" width="22" style="1" hidden="1" customWidth="1"/>
    <col min="9" max="9" width="0.7109375" style="1" customWidth="1"/>
    <col min="10" max="10" width="19.42578125" style="1" bestFit="1" customWidth="1"/>
    <col min="11" max="11" width="0.7109375" style="1" customWidth="1"/>
    <col min="12" max="12" width="30.42578125" style="93" bestFit="1" customWidth="1"/>
    <col min="13" max="13" width="0.28515625" style="1" customWidth="1"/>
    <col min="14" max="14" width="24.7109375" style="1" bestFit="1" customWidth="1"/>
    <col min="15" max="15" width="9.140625" style="1"/>
    <col min="16" max="16" width="23.7109375" style="4" bestFit="1" customWidth="1"/>
    <col min="17" max="16384" width="9.140625" style="1"/>
  </cols>
  <sheetData>
    <row r="1" spans="2:18" ht="24" x14ac:dyDescent="0.6">
      <c r="B1" s="360" t="s">
        <v>102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</row>
    <row r="2" spans="2:18" ht="24" x14ac:dyDescent="0.6">
      <c r="B2" s="360" t="s">
        <v>80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</row>
    <row r="3" spans="2:18" ht="24" x14ac:dyDescent="0.6">
      <c r="B3" s="360" t="str">
        <f>' سهام'!AC6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</row>
    <row r="4" spans="2:18" ht="24" x14ac:dyDescent="0.55000000000000004">
      <c r="B4" s="394" t="s">
        <v>210</v>
      </c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</row>
    <row r="5" spans="2:18" ht="24" x14ac:dyDescent="0.55000000000000004">
      <c r="B5" s="362" t="s">
        <v>211</v>
      </c>
      <c r="C5" s="362"/>
      <c r="D5" s="362"/>
      <c r="E5" s="362"/>
      <c r="F5" s="362"/>
      <c r="G5" s="362"/>
      <c r="H5" s="362"/>
      <c r="I5" s="362"/>
      <c r="J5" s="362"/>
      <c r="K5" s="362"/>
      <c r="L5" s="362"/>
      <c r="M5" s="362"/>
      <c r="N5" s="362"/>
    </row>
    <row r="6" spans="2:18" ht="23.25" thickBot="1" x14ac:dyDescent="0.6">
      <c r="C6" s="29"/>
      <c r="D6" s="29"/>
      <c r="E6" s="29"/>
      <c r="F6" s="29"/>
      <c r="G6" s="29"/>
      <c r="H6" s="29"/>
      <c r="I6" s="29"/>
      <c r="J6" s="29"/>
      <c r="K6" s="29"/>
      <c r="L6" s="122"/>
      <c r="M6" s="29"/>
      <c r="N6" s="29"/>
      <c r="O6" s="251"/>
      <c r="P6" s="328"/>
    </row>
    <row r="7" spans="2:18" s="319" customFormat="1" ht="29.25" customHeight="1" thickBot="1" x14ac:dyDescent="0.3">
      <c r="B7" s="367" t="str">
        <f>' سهام'!AC5</f>
        <v>1405/05/31</v>
      </c>
      <c r="C7" s="367"/>
      <c r="D7" s="367"/>
      <c r="E7" s="367"/>
      <c r="F7" s="367"/>
      <c r="G7" s="367"/>
      <c r="H7" s="367"/>
      <c r="I7" s="367"/>
      <c r="J7" s="367"/>
      <c r="K7" s="367"/>
      <c r="L7" s="367"/>
      <c r="M7" s="367"/>
      <c r="N7" s="367"/>
      <c r="O7" s="318"/>
      <c r="P7" s="329"/>
    </row>
    <row r="8" spans="2:18" ht="24" customHeight="1" x14ac:dyDescent="0.55000000000000004">
      <c r="B8" s="376" t="s">
        <v>217</v>
      </c>
      <c r="C8" s="3"/>
      <c r="D8" s="376" t="s">
        <v>212</v>
      </c>
      <c r="E8" s="3"/>
      <c r="F8" s="376" t="s">
        <v>213</v>
      </c>
      <c r="G8" s="3"/>
      <c r="H8" s="376" t="s">
        <v>53</v>
      </c>
      <c r="I8" s="393"/>
      <c r="J8" s="376" t="s">
        <v>214</v>
      </c>
      <c r="K8" s="3"/>
      <c r="L8" s="376" t="s">
        <v>215</v>
      </c>
      <c r="M8" s="160"/>
      <c r="N8" s="376" t="s">
        <v>216</v>
      </c>
      <c r="O8" s="251"/>
      <c r="P8" s="328"/>
    </row>
    <row r="9" spans="2:18" ht="47.25" customHeight="1" thickBot="1" x14ac:dyDescent="0.6">
      <c r="B9" s="375"/>
      <c r="C9" s="220"/>
      <c r="D9" s="375"/>
      <c r="E9" s="220"/>
      <c r="F9" s="375"/>
      <c r="G9" s="220"/>
      <c r="H9" s="375"/>
      <c r="I9" s="363"/>
      <c r="J9" s="375"/>
      <c r="K9" s="3"/>
      <c r="L9" s="375"/>
      <c r="N9" s="375"/>
      <c r="O9" s="251"/>
      <c r="P9" s="328"/>
      <c r="R9" s="159"/>
    </row>
    <row r="10" spans="2:18" ht="25.15" customHeight="1" thickBot="1" x14ac:dyDescent="0.6">
      <c r="B10" s="68" t="s">
        <v>132</v>
      </c>
      <c r="C10" s="221"/>
      <c r="D10" s="314">
        <v>10000000</v>
      </c>
      <c r="E10" s="221"/>
      <c r="F10" s="314">
        <v>13260</v>
      </c>
      <c r="G10" s="327"/>
      <c r="H10" s="341">
        <v>-40</v>
      </c>
      <c r="I10" s="221"/>
      <c r="J10" s="331">
        <v>-0.4</v>
      </c>
      <c r="K10" s="221"/>
      <c r="L10" s="314">
        <v>79560000000</v>
      </c>
      <c r="M10" s="221"/>
      <c r="N10" s="342" t="s">
        <v>244</v>
      </c>
      <c r="O10" s="251"/>
      <c r="P10" s="330"/>
      <c r="Q10" s="170"/>
    </row>
    <row r="11" spans="2:18" ht="23.25" thickBot="1" x14ac:dyDescent="0.6">
      <c r="B11" s="3" t="s">
        <v>7</v>
      </c>
      <c r="C11" s="3"/>
      <c r="D11" s="225">
        <f>SUM(D10:D10)</f>
        <v>10000000</v>
      </c>
      <c r="E11" s="3"/>
      <c r="F11" s="225">
        <f>SUM(F10:F10)</f>
        <v>13260</v>
      </c>
      <c r="G11" s="3"/>
      <c r="H11" s="225"/>
      <c r="I11" s="5"/>
      <c r="J11" s="225"/>
      <c r="K11" s="31"/>
      <c r="L11" s="225">
        <f>SUM(L10:L10)</f>
        <v>79560000000</v>
      </c>
      <c r="N11" s="225"/>
      <c r="O11" s="251"/>
      <c r="P11" s="330"/>
    </row>
    <row r="12" spans="2:18" ht="24.75" thickTop="1" x14ac:dyDescent="0.6">
      <c r="J12" s="213"/>
      <c r="O12" s="251"/>
      <c r="P12" s="330"/>
    </row>
    <row r="13" spans="2:18" ht="24" x14ac:dyDescent="0.6">
      <c r="J13" s="292"/>
      <c r="O13" s="251"/>
      <c r="P13" s="328"/>
    </row>
    <row r="14" spans="2:18" x14ac:dyDescent="0.55000000000000004">
      <c r="J14" s="159"/>
      <c r="O14" s="274"/>
      <c r="P14" s="328"/>
    </row>
    <row r="15" spans="2:18" x14ac:dyDescent="0.55000000000000004">
      <c r="D15" s="1" t="s">
        <v>88</v>
      </c>
      <c r="L15" s="108"/>
      <c r="O15" s="274"/>
      <c r="P15" s="328"/>
    </row>
    <row r="16" spans="2:18" x14ac:dyDescent="0.55000000000000004">
      <c r="P16" s="328"/>
    </row>
    <row r="71" spans="21:21" x14ac:dyDescent="0.55000000000000004">
      <c r="U71" s="274"/>
    </row>
    <row r="72" spans="21:21" x14ac:dyDescent="0.55000000000000004">
      <c r="U72" s="274"/>
    </row>
    <row r="73" spans="21:21" x14ac:dyDescent="0.55000000000000004">
      <c r="U73" s="274"/>
    </row>
    <row r="74" spans="21:21" x14ac:dyDescent="0.55000000000000004">
      <c r="U74" s="274"/>
    </row>
    <row r="75" spans="21:21" x14ac:dyDescent="0.55000000000000004">
      <c r="U75" s="274"/>
    </row>
    <row r="76" spans="21:21" x14ac:dyDescent="0.55000000000000004">
      <c r="U76" s="274"/>
    </row>
    <row r="77" spans="21:21" x14ac:dyDescent="0.55000000000000004">
      <c r="U77" s="274"/>
    </row>
  </sheetData>
  <mergeCells count="14">
    <mergeCell ref="B7:N7"/>
    <mergeCell ref="L8:L9"/>
    <mergeCell ref="B8:B9"/>
    <mergeCell ref="D8:D9"/>
    <mergeCell ref="F8:F9"/>
    <mergeCell ref="H8:H9"/>
    <mergeCell ref="I8:I9"/>
    <mergeCell ref="J8:J9"/>
    <mergeCell ref="N8:N9"/>
    <mergeCell ref="B1:N1"/>
    <mergeCell ref="B2:N2"/>
    <mergeCell ref="B3:N3"/>
    <mergeCell ref="B4:N4"/>
    <mergeCell ref="B5:N5"/>
  </mergeCells>
  <printOptions horizontalCentered="1"/>
  <pageMargins left="0.7" right="0.7" top="0.75" bottom="0.75" header="0.3" footer="0.3"/>
  <pageSetup paperSize="9" scale="84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19"/>
  <sheetViews>
    <sheetView rightToLeft="1" view="pageBreakPreview" zoomScale="70" zoomScaleNormal="100" zoomScaleSheetLayoutView="70" workbookViewId="0">
      <selection activeCell="J17" sqref="J17"/>
    </sheetView>
  </sheetViews>
  <sheetFormatPr defaultColWidth="9.140625" defaultRowHeight="36" customHeight="1" x14ac:dyDescent="0.25"/>
  <cols>
    <col min="1" max="1" width="2.7109375" style="183" customWidth="1"/>
    <col min="2" max="2" width="36.7109375" style="260" customWidth="1"/>
    <col min="3" max="3" width="0.7109375" style="183" customWidth="1"/>
    <col min="4" max="4" width="24.42578125" style="183" customWidth="1"/>
    <col min="5" max="5" width="0.7109375" style="183" customWidth="1"/>
    <col min="6" max="6" width="29.5703125" style="183" customWidth="1"/>
    <col min="7" max="7" width="0.85546875" style="183" customWidth="1"/>
    <col min="8" max="8" width="29.5703125" style="183" bestFit="1" customWidth="1"/>
    <col min="9" max="9" width="0.7109375" style="183" customWidth="1"/>
    <col min="10" max="10" width="29.5703125" style="183" bestFit="1" customWidth="1"/>
    <col min="11" max="11" width="0.85546875" style="183" customWidth="1"/>
    <col min="12" max="12" width="24.42578125" style="183" bestFit="1" customWidth="1"/>
    <col min="13" max="13" width="0.7109375" style="183" customWidth="1"/>
    <col min="14" max="14" width="23.140625" style="183" customWidth="1"/>
    <col min="15" max="15" width="0.7109375" style="183" customWidth="1"/>
    <col min="16" max="16" width="25.5703125" style="183" customWidth="1"/>
    <col min="17" max="17" width="0.7109375" style="183" customWidth="1"/>
    <col min="18" max="18" width="28.140625" style="183" bestFit="1" customWidth="1"/>
    <col min="19" max="19" width="0.5703125" style="183" customWidth="1"/>
    <col min="20" max="20" width="29.5703125" style="102" bestFit="1" customWidth="1"/>
    <col min="21" max="21" width="0.42578125" style="102" customWidth="1"/>
    <col min="22" max="22" width="24" style="199" customWidth="1"/>
    <col min="23" max="23" width="29.28515625" style="183" bestFit="1" customWidth="1"/>
    <col min="24" max="24" width="30.5703125" style="183" bestFit="1" customWidth="1"/>
    <col min="25" max="25" width="37.5703125" style="183" bestFit="1" customWidth="1"/>
    <col min="26" max="26" width="32.85546875" style="183" bestFit="1" customWidth="1"/>
    <col min="27" max="27" width="20.7109375" style="183" bestFit="1" customWidth="1"/>
    <col min="28" max="28" width="9.140625" style="183"/>
    <col min="29" max="29" width="23" style="183" bestFit="1" customWidth="1"/>
    <col min="30" max="30" width="24.85546875" style="183" bestFit="1" customWidth="1"/>
    <col min="31" max="31" width="20.42578125" style="183" bestFit="1" customWidth="1"/>
    <col min="32" max="16384" width="9.140625" style="183"/>
  </cols>
  <sheetData>
    <row r="1" spans="2:29" ht="36" customHeight="1" x14ac:dyDescent="0.25">
      <c r="B1" s="406" t="str">
        <f>درآمدها!A1</f>
        <v>صندوق سرمایه گذاری شاخص سی شرکت بزرگ فیروزه</v>
      </c>
      <c r="C1" s="406"/>
      <c r="D1" s="406"/>
      <c r="E1" s="406"/>
      <c r="F1" s="406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252"/>
      <c r="X1" s="252"/>
    </row>
    <row r="2" spans="2:29" ht="36" customHeight="1" x14ac:dyDescent="0.25">
      <c r="B2" s="406" t="s">
        <v>86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252"/>
      <c r="X2" s="252"/>
    </row>
    <row r="3" spans="2:29" ht="36" customHeight="1" x14ac:dyDescent="0.25">
      <c r="B3" s="406" t="str">
        <f>' سهام'!AC6</f>
        <v>برای ماه منتهی به 1405/05/31</v>
      </c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252"/>
      <c r="X3" s="252"/>
    </row>
    <row r="4" spans="2:29" ht="36" customHeight="1" x14ac:dyDescent="0.25">
      <c r="W4" s="252"/>
      <c r="X4" s="252"/>
      <c r="AC4" s="183" t="s">
        <v>155</v>
      </c>
    </row>
    <row r="5" spans="2:29" ht="36" customHeight="1" x14ac:dyDescent="0.25">
      <c r="B5" s="409" t="s">
        <v>136</v>
      </c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  <c r="R5" s="409"/>
      <c r="S5" s="409"/>
      <c r="T5" s="409"/>
      <c r="U5" s="409"/>
      <c r="V5" s="409"/>
      <c r="W5" s="252"/>
      <c r="X5" s="252"/>
      <c r="AC5" s="183" t="s">
        <v>156</v>
      </c>
    </row>
    <row r="6" spans="2:29" ht="9" customHeight="1" x14ac:dyDescent="0.25">
      <c r="W6" s="252"/>
      <c r="X6" s="252"/>
      <c r="AC6" s="183" t="s">
        <v>157</v>
      </c>
    </row>
    <row r="7" spans="2:29" ht="36" customHeight="1" thickBot="1" x14ac:dyDescent="0.3">
      <c r="B7" s="261"/>
      <c r="C7" s="200"/>
      <c r="D7" s="402" t="str">
        <f>' سهام'!AC7</f>
        <v>طی مرداد ماه</v>
      </c>
      <c r="E7" s="402"/>
      <c r="F7" s="402"/>
      <c r="G7" s="402"/>
      <c r="H7" s="402"/>
      <c r="I7" s="402"/>
      <c r="J7" s="402"/>
      <c r="K7" s="200"/>
      <c r="L7" s="200"/>
      <c r="M7" s="200"/>
      <c r="N7" s="402" t="str">
        <f>' سهام'!AC8</f>
        <v>از ابتدای سال مالی تا پایان مرداد  ماه</v>
      </c>
      <c r="O7" s="402"/>
      <c r="P7" s="402"/>
      <c r="Q7" s="402"/>
      <c r="R7" s="402"/>
      <c r="S7" s="402"/>
      <c r="T7" s="402"/>
      <c r="U7" s="402"/>
      <c r="V7" s="402"/>
      <c r="W7" s="252"/>
      <c r="X7" s="253"/>
      <c r="Y7" s="202"/>
      <c r="AC7" s="183" t="s">
        <v>158</v>
      </c>
    </row>
    <row r="8" spans="2:29" ht="36" customHeight="1" x14ac:dyDescent="0.25">
      <c r="B8" s="403" t="s">
        <v>35</v>
      </c>
      <c r="C8" s="403"/>
      <c r="D8" s="407" t="s">
        <v>21</v>
      </c>
      <c r="E8" s="403"/>
      <c r="F8" s="407" t="s">
        <v>22</v>
      </c>
      <c r="G8" s="403"/>
      <c r="H8" s="407" t="s">
        <v>23</v>
      </c>
      <c r="I8" s="403"/>
      <c r="J8" s="405" t="s">
        <v>7</v>
      </c>
      <c r="K8" s="405"/>
      <c r="L8" s="405"/>
      <c r="M8" s="403"/>
      <c r="N8" s="408" t="s">
        <v>21</v>
      </c>
      <c r="O8" s="410"/>
      <c r="P8" s="408" t="s">
        <v>22</v>
      </c>
      <c r="Q8" s="410"/>
      <c r="R8" s="408" t="s">
        <v>23</v>
      </c>
      <c r="S8" s="410"/>
      <c r="T8" s="405" t="s">
        <v>7</v>
      </c>
      <c r="U8" s="405"/>
      <c r="V8" s="405"/>
      <c r="W8" s="252"/>
      <c r="X8" s="252"/>
      <c r="AC8" s="183" t="s">
        <v>159</v>
      </c>
    </row>
    <row r="9" spans="2:29" ht="36" customHeight="1" thickBot="1" x14ac:dyDescent="0.3">
      <c r="B9" s="403"/>
      <c r="C9" s="403"/>
      <c r="D9" s="407"/>
      <c r="E9" s="403"/>
      <c r="F9" s="407"/>
      <c r="G9" s="403"/>
      <c r="H9" s="407"/>
      <c r="I9" s="403"/>
      <c r="J9" s="402"/>
      <c r="K9" s="402"/>
      <c r="L9" s="402"/>
      <c r="M9" s="403"/>
      <c r="N9" s="407"/>
      <c r="O9" s="403"/>
      <c r="P9" s="407"/>
      <c r="Q9" s="403"/>
      <c r="R9" s="407"/>
      <c r="S9" s="403"/>
      <c r="T9" s="402"/>
      <c r="U9" s="402"/>
      <c r="V9" s="402"/>
      <c r="W9" s="252"/>
      <c r="X9" s="289"/>
    </row>
    <row r="10" spans="2:29" ht="49.5" customHeight="1" thickBot="1" x14ac:dyDescent="0.3">
      <c r="B10" s="404"/>
      <c r="C10" s="403"/>
      <c r="D10" s="88" t="s">
        <v>90</v>
      </c>
      <c r="E10" s="403"/>
      <c r="F10" s="88" t="s">
        <v>91</v>
      </c>
      <c r="G10" s="403"/>
      <c r="H10" s="88" t="s">
        <v>92</v>
      </c>
      <c r="I10" s="403"/>
      <c r="J10" s="103" t="s">
        <v>11</v>
      </c>
      <c r="K10" s="103"/>
      <c r="L10" s="103" t="s">
        <v>24</v>
      </c>
      <c r="M10" s="403"/>
      <c r="N10" s="88" t="s">
        <v>90</v>
      </c>
      <c r="O10" s="403"/>
      <c r="P10" s="88" t="s">
        <v>91</v>
      </c>
      <c r="Q10" s="403"/>
      <c r="R10" s="88" t="s">
        <v>92</v>
      </c>
      <c r="S10" s="403"/>
      <c r="T10" s="103" t="s">
        <v>11</v>
      </c>
      <c r="U10" s="103"/>
      <c r="V10" s="103" t="s">
        <v>24</v>
      </c>
      <c r="W10" s="254"/>
      <c r="X10" s="290"/>
    </row>
    <row r="11" spans="2:29" ht="36" customHeight="1" x14ac:dyDescent="0.25">
      <c r="B11" s="158" t="s">
        <v>232</v>
      </c>
      <c r="C11" s="165"/>
      <c r="D11" s="189">
        <v>0</v>
      </c>
      <c r="E11" s="189"/>
      <c r="F11" s="189">
        <v>28677694055</v>
      </c>
      <c r="G11" s="189"/>
      <c r="H11" s="189">
        <v>720816769</v>
      </c>
      <c r="I11" s="189"/>
      <c r="J11" s="189">
        <f>H11+F11+D11</f>
        <v>29398510824</v>
      </c>
      <c r="K11" s="189"/>
      <c r="L11" s="203">
        <f>J11/$X$12</f>
        <v>-2.8428873722552577E-2</v>
      </c>
      <c r="M11" s="189"/>
      <c r="N11" s="189">
        <v>0</v>
      </c>
      <c r="O11" s="189"/>
      <c r="P11" s="189">
        <v>15123870094</v>
      </c>
      <c r="Q11" s="189"/>
      <c r="R11" s="189">
        <v>422322781</v>
      </c>
      <c r="S11" s="189">
        <v>-714562636</v>
      </c>
      <c r="T11" s="189">
        <f>N11+P11+R11</f>
        <v>15546192875</v>
      </c>
      <c r="U11" s="189">
        <v>11071728389</v>
      </c>
      <c r="V11" s="203">
        <f>T11/درآمدها!$F$9</f>
        <v>2.3481550150251476E-3</v>
      </c>
      <c r="W11" s="254"/>
      <c r="X11" s="290"/>
      <c r="Z11" s="194"/>
      <c r="AA11" s="202"/>
    </row>
    <row r="12" spans="2:29" ht="36" customHeight="1" x14ac:dyDescent="0.25">
      <c r="B12" s="175" t="s">
        <v>223</v>
      </c>
      <c r="C12" s="165"/>
      <c r="D12" s="189">
        <v>0</v>
      </c>
      <c r="E12" s="189"/>
      <c r="F12" s="189">
        <v>0</v>
      </c>
      <c r="G12" s="189"/>
      <c r="H12" s="189">
        <v>20646905854</v>
      </c>
      <c r="I12" s="189"/>
      <c r="J12" s="189">
        <f t="shared" ref="J12:J44" si="0">H12+F12+D12</f>
        <v>20646905854</v>
      </c>
      <c r="K12" s="189"/>
      <c r="L12" s="203">
        <f t="shared" ref="L12:L44" si="1">J12/$X$12</f>
        <v>-1.9965918777274105E-2</v>
      </c>
      <c r="M12" s="189"/>
      <c r="N12" s="189">
        <v>18561760841</v>
      </c>
      <c r="O12" s="189"/>
      <c r="P12" s="189">
        <v>0</v>
      </c>
      <c r="Q12" s="189"/>
      <c r="R12" s="189">
        <v>20972171147</v>
      </c>
      <c r="S12" s="189">
        <v>-4741243411</v>
      </c>
      <c r="T12" s="189">
        <f t="shared" ref="T12:T44" si="2">N12+P12+R12</f>
        <v>39533931988</v>
      </c>
      <c r="U12" s="189">
        <v>11071728390</v>
      </c>
      <c r="V12" s="203">
        <f>T12/درآمدها!$F$9</f>
        <v>5.9713526911511E-3</v>
      </c>
      <c r="W12" s="254"/>
      <c r="X12" s="324">
        <v>-1034107475059</v>
      </c>
      <c r="Z12" s="194"/>
      <c r="AA12" s="202"/>
    </row>
    <row r="13" spans="2:29" ht="36" customHeight="1" x14ac:dyDescent="0.25">
      <c r="B13" s="175" t="s">
        <v>123</v>
      </c>
      <c r="C13" s="165"/>
      <c r="D13" s="189">
        <v>0</v>
      </c>
      <c r="E13" s="189"/>
      <c r="F13" s="189">
        <v>43223281172</v>
      </c>
      <c r="G13" s="189"/>
      <c r="H13" s="189">
        <v>-601457786</v>
      </c>
      <c r="I13" s="189"/>
      <c r="J13" s="189">
        <f t="shared" si="0"/>
        <v>42621823386</v>
      </c>
      <c r="K13" s="189"/>
      <c r="L13" s="203">
        <f t="shared" si="1"/>
        <v>-4.1216048054935735E-2</v>
      </c>
      <c r="M13" s="189"/>
      <c r="N13" s="189">
        <v>0</v>
      </c>
      <c r="O13" s="189"/>
      <c r="P13" s="189">
        <v>14645905171</v>
      </c>
      <c r="Q13" s="189"/>
      <c r="R13" s="189">
        <v>-601457786</v>
      </c>
      <c r="S13" s="189">
        <v>-3385001208</v>
      </c>
      <c r="T13" s="189">
        <f t="shared" si="2"/>
        <v>14044447385</v>
      </c>
      <c r="U13" s="189">
        <v>11071728391</v>
      </c>
      <c r="V13" s="203">
        <f>T13/درآمدها!$F$9</f>
        <v>2.1213257693063693E-3</v>
      </c>
      <c r="W13" s="254"/>
      <c r="X13" s="290"/>
      <c r="Z13" s="194"/>
      <c r="AA13" s="202"/>
    </row>
    <row r="14" spans="2:29" ht="36" customHeight="1" x14ac:dyDescent="0.25">
      <c r="B14" s="175" t="s">
        <v>111</v>
      </c>
      <c r="C14" s="165"/>
      <c r="D14" s="189">
        <v>0</v>
      </c>
      <c r="E14" s="189"/>
      <c r="F14" s="189">
        <v>81744490357</v>
      </c>
      <c r="G14" s="189"/>
      <c r="H14" s="189">
        <v>23320966074</v>
      </c>
      <c r="I14" s="189"/>
      <c r="J14" s="189">
        <f t="shared" si="0"/>
        <v>105065456431</v>
      </c>
      <c r="K14" s="189"/>
      <c r="L14" s="203">
        <f t="shared" si="1"/>
        <v>-0.10160013244755396</v>
      </c>
      <c r="M14" s="189"/>
      <c r="N14" s="189">
        <v>43918699187</v>
      </c>
      <c r="O14" s="189"/>
      <c r="P14" s="189">
        <v>332019221942</v>
      </c>
      <c r="Q14" s="189"/>
      <c r="R14" s="189">
        <v>312378800790</v>
      </c>
      <c r="S14" s="189">
        <v>-2880009787</v>
      </c>
      <c r="T14" s="189">
        <f t="shared" si="2"/>
        <v>688316721919</v>
      </c>
      <c r="U14" s="189">
        <v>11071728392</v>
      </c>
      <c r="V14" s="203">
        <f>T14/درآمدها!$F$9</f>
        <v>0.10396592757439141</v>
      </c>
      <c r="W14" s="254"/>
      <c r="X14" s="286"/>
      <c r="Z14" s="194"/>
      <c r="AA14" s="202"/>
    </row>
    <row r="15" spans="2:29" ht="36" customHeight="1" x14ac:dyDescent="0.25">
      <c r="B15" s="175" t="s">
        <v>113</v>
      </c>
      <c r="C15" s="165"/>
      <c r="D15" s="189">
        <v>13786229508</v>
      </c>
      <c r="E15" s="189"/>
      <c r="F15" s="189">
        <v>-11966776231</v>
      </c>
      <c r="G15" s="189"/>
      <c r="H15" s="189">
        <v>32833418810</v>
      </c>
      <c r="I15" s="189"/>
      <c r="J15" s="189">
        <f t="shared" si="0"/>
        <v>34652872087</v>
      </c>
      <c r="K15" s="189"/>
      <c r="L15" s="203">
        <f t="shared" si="1"/>
        <v>-3.3509932886833557E-2</v>
      </c>
      <c r="M15" s="189"/>
      <c r="N15" s="189">
        <v>13786229508</v>
      </c>
      <c r="O15" s="189"/>
      <c r="P15" s="189">
        <v>70788541829</v>
      </c>
      <c r="Q15" s="189"/>
      <c r="R15" s="189">
        <v>101087660665</v>
      </c>
      <c r="S15" s="189">
        <v>-664891573</v>
      </c>
      <c r="T15" s="189">
        <f t="shared" si="2"/>
        <v>185662432002</v>
      </c>
      <c r="U15" s="189">
        <v>11071728393</v>
      </c>
      <c r="V15" s="203">
        <f>T15/درآمدها!$F$9</f>
        <v>2.8043146917875978E-2</v>
      </c>
      <c r="W15" s="254"/>
      <c r="X15" s="255"/>
      <c r="Z15" s="194"/>
      <c r="AA15" s="202"/>
    </row>
    <row r="16" spans="2:29" ht="36" customHeight="1" x14ac:dyDescent="0.25">
      <c r="B16" s="175" t="s">
        <v>222</v>
      </c>
      <c r="C16" s="165"/>
      <c r="D16" s="189">
        <v>0</v>
      </c>
      <c r="E16" s="189"/>
      <c r="F16" s="189">
        <v>0</v>
      </c>
      <c r="G16" s="189"/>
      <c r="H16" s="189">
        <v>-85435487761</v>
      </c>
      <c r="I16" s="189"/>
      <c r="J16" s="189">
        <f t="shared" si="0"/>
        <v>-85435487761</v>
      </c>
      <c r="K16" s="189"/>
      <c r="L16" s="203">
        <f t="shared" si="1"/>
        <v>8.2617609698765165E-2</v>
      </c>
      <c r="M16" s="189"/>
      <c r="N16" s="189">
        <v>15348475016</v>
      </c>
      <c r="O16" s="189"/>
      <c r="P16" s="189">
        <v>0</v>
      </c>
      <c r="Q16" s="189"/>
      <c r="R16" s="189">
        <v>-85435487761</v>
      </c>
      <c r="S16" s="189">
        <v>-2538727106</v>
      </c>
      <c r="T16" s="189">
        <f t="shared" si="2"/>
        <v>-70087012745</v>
      </c>
      <c r="U16" s="189">
        <v>11071728394</v>
      </c>
      <c r="V16" s="203">
        <f>T16/درآمدها!$F$9</f>
        <v>-1.0586204081512347E-2</v>
      </c>
      <c r="W16" s="254"/>
      <c r="X16" s="255"/>
      <c r="Z16" s="194"/>
      <c r="AA16" s="202"/>
    </row>
    <row r="17" spans="2:27" ht="36" customHeight="1" x14ac:dyDescent="0.25">
      <c r="B17" s="175" t="s">
        <v>153</v>
      </c>
      <c r="C17" s="165"/>
      <c r="D17" s="189">
        <v>0</v>
      </c>
      <c r="E17" s="189"/>
      <c r="F17" s="189">
        <v>0</v>
      </c>
      <c r="G17" s="189"/>
      <c r="H17" s="189">
        <v>39097524261</v>
      </c>
      <c r="I17" s="189"/>
      <c r="J17" s="189">
        <f t="shared" si="0"/>
        <v>39097524261</v>
      </c>
      <c r="K17" s="189"/>
      <c r="L17" s="203">
        <f t="shared" si="1"/>
        <v>-3.7807989211923382E-2</v>
      </c>
      <c r="M17" s="189"/>
      <c r="N17" s="189">
        <v>0</v>
      </c>
      <c r="O17" s="189"/>
      <c r="P17" s="189">
        <v>0</v>
      </c>
      <c r="Q17" s="189"/>
      <c r="R17" s="189">
        <v>63384922397</v>
      </c>
      <c r="S17" s="189">
        <v>-5759026841</v>
      </c>
      <c r="T17" s="189">
        <f t="shared" si="2"/>
        <v>63384922397</v>
      </c>
      <c r="U17" s="189">
        <v>11071728395</v>
      </c>
      <c r="V17" s="203">
        <f>T17/درآمدها!$F$9</f>
        <v>9.5738953324606395E-3</v>
      </c>
      <c r="W17" s="254"/>
      <c r="X17" s="255"/>
      <c r="Z17" s="194"/>
      <c r="AA17" s="202"/>
    </row>
    <row r="18" spans="2:27" ht="36" customHeight="1" x14ac:dyDescent="0.25">
      <c r="B18" s="175" t="s">
        <v>117</v>
      </c>
      <c r="C18" s="165"/>
      <c r="D18" s="189">
        <v>18951449764</v>
      </c>
      <c r="E18" s="189"/>
      <c r="F18" s="189">
        <v>34432135811</v>
      </c>
      <c r="G18" s="189"/>
      <c r="H18" s="189">
        <v>-163326352</v>
      </c>
      <c r="I18" s="189"/>
      <c r="J18" s="189">
        <f t="shared" si="0"/>
        <v>53220259223</v>
      </c>
      <c r="K18" s="189"/>
      <c r="L18" s="203">
        <f t="shared" si="1"/>
        <v>-5.1464920723025977E-2</v>
      </c>
      <c r="M18" s="189"/>
      <c r="N18" s="189">
        <v>18951449764</v>
      </c>
      <c r="O18" s="189"/>
      <c r="P18" s="189">
        <v>-4182702869</v>
      </c>
      <c r="Q18" s="189"/>
      <c r="R18" s="189">
        <v>-163326352</v>
      </c>
      <c r="S18" s="189">
        <v>-2808202366</v>
      </c>
      <c r="T18" s="189">
        <f t="shared" si="2"/>
        <v>14605420543</v>
      </c>
      <c r="U18" s="189">
        <v>11071728392</v>
      </c>
      <c r="V18" s="203">
        <f>T18/درآمدها!$F$9</f>
        <v>2.2060572495371644E-3</v>
      </c>
      <c r="W18" s="254"/>
      <c r="X18" s="102"/>
      <c r="Z18" s="194"/>
      <c r="AA18" s="202"/>
    </row>
    <row r="19" spans="2:27" ht="36" customHeight="1" x14ac:dyDescent="0.25">
      <c r="B19" s="175" t="s">
        <v>160</v>
      </c>
      <c r="C19" s="165"/>
      <c r="D19" s="189">
        <v>0</v>
      </c>
      <c r="E19" s="189"/>
      <c r="F19" s="189">
        <v>36789778668</v>
      </c>
      <c r="G19" s="189"/>
      <c r="H19" s="189">
        <v>-1684</v>
      </c>
      <c r="I19" s="189"/>
      <c r="J19" s="189">
        <f t="shared" si="0"/>
        <v>36789776984</v>
      </c>
      <c r="K19" s="189"/>
      <c r="L19" s="203">
        <f t="shared" si="1"/>
        <v>-3.5576357265864451E-2</v>
      </c>
      <c r="M19" s="189"/>
      <c r="N19" s="189">
        <v>6300000000</v>
      </c>
      <c r="O19" s="189"/>
      <c r="P19" s="189">
        <v>102880311854</v>
      </c>
      <c r="Q19" s="189"/>
      <c r="R19" s="189">
        <v>15089423512</v>
      </c>
      <c r="S19" s="189"/>
      <c r="T19" s="189">
        <f t="shared" si="2"/>
        <v>124269735366</v>
      </c>
      <c r="U19" s="189">
        <v>11071728393</v>
      </c>
      <c r="V19" s="203">
        <f>T19/درآمدها!$F$9</f>
        <v>1.8770164802520556E-2</v>
      </c>
      <c r="W19" s="254"/>
      <c r="X19" s="102"/>
      <c r="Z19" s="194"/>
      <c r="AA19" s="202"/>
    </row>
    <row r="20" spans="2:27" ht="36" customHeight="1" x14ac:dyDescent="0.25">
      <c r="B20" s="175" t="s">
        <v>110</v>
      </c>
      <c r="C20" s="165"/>
      <c r="D20" s="189">
        <v>30820000000</v>
      </c>
      <c r="E20" s="189"/>
      <c r="F20" s="189">
        <v>120161119737</v>
      </c>
      <c r="G20" s="189"/>
      <c r="H20" s="189">
        <v>29930525750</v>
      </c>
      <c r="I20" s="189"/>
      <c r="J20" s="189">
        <f t="shared" si="0"/>
        <v>180911645487</v>
      </c>
      <c r="K20" s="189"/>
      <c r="L20" s="203">
        <f t="shared" si="1"/>
        <v>-0.17494472272011985</v>
      </c>
      <c r="M20" s="189"/>
      <c r="N20" s="189">
        <v>30820000000</v>
      </c>
      <c r="O20" s="189"/>
      <c r="P20" s="189">
        <v>137379194683</v>
      </c>
      <c r="Q20" s="189"/>
      <c r="R20" s="189">
        <v>163989336402</v>
      </c>
      <c r="S20" s="189">
        <v>8828197833</v>
      </c>
      <c r="T20" s="189">
        <f t="shared" si="2"/>
        <v>332188531085</v>
      </c>
      <c r="U20" s="189">
        <v>11071728394</v>
      </c>
      <c r="V20" s="203">
        <f>T20/درآمدها!$F$9</f>
        <v>5.0174995992456443E-2</v>
      </c>
      <c r="W20" s="254"/>
      <c r="X20" s="102"/>
      <c r="Z20" s="194"/>
      <c r="AA20" s="202"/>
    </row>
    <row r="21" spans="2:27" ht="36" customHeight="1" x14ac:dyDescent="0.25">
      <c r="B21" s="175" t="s">
        <v>137</v>
      </c>
      <c r="C21" s="165"/>
      <c r="D21" s="189">
        <v>0</v>
      </c>
      <c r="E21" s="189"/>
      <c r="F21" s="189">
        <v>10210458298</v>
      </c>
      <c r="G21" s="189"/>
      <c r="H21" s="189">
        <v>7009354657</v>
      </c>
      <c r="I21" s="189"/>
      <c r="J21" s="189">
        <f t="shared" si="0"/>
        <v>17219812955</v>
      </c>
      <c r="K21" s="189"/>
      <c r="L21" s="203">
        <f t="shared" si="1"/>
        <v>-1.6651860053537994E-2</v>
      </c>
      <c r="M21" s="189"/>
      <c r="N21" s="189">
        <v>0</v>
      </c>
      <c r="O21" s="189"/>
      <c r="P21" s="189">
        <v>34679836499</v>
      </c>
      <c r="Q21" s="189"/>
      <c r="R21" s="189">
        <v>7009354657</v>
      </c>
      <c r="S21" s="189">
        <v>-40082741567</v>
      </c>
      <c r="T21" s="189">
        <f t="shared" si="2"/>
        <v>41689191156</v>
      </c>
      <c r="U21" s="189">
        <v>11071728395</v>
      </c>
      <c r="V21" s="203">
        <f>T21/درآمدها!$F$9</f>
        <v>6.2968910827502795E-3</v>
      </c>
      <c r="W21" s="254"/>
      <c r="X21" s="102"/>
      <c r="Z21" s="194"/>
      <c r="AA21" s="202"/>
    </row>
    <row r="22" spans="2:27" ht="36" customHeight="1" x14ac:dyDescent="0.25">
      <c r="B22" s="175" t="s">
        <v>141</v>
      </c>
      <c r="C22" s="165"/>
      <c r="D22" s="189">
        <v>0</v>
      </c>
      <c r="E22" s="189"/>
      <c r="F22" s="189">
        <v>91478885743</v>
      </c>
      <c r="G22" s="189"/>
      <c r="H22" s="189">
        <v>27758012267</v>
      </c>
      <c r="I22" s="189"/>
      <c r="J22" s="189">
        <f t="shared" si="0"/>
        <v>119236898010</v>
      </c>
      <c r="K22" s="189"/>
      <c r="L22" s="203">
        <f t="shared" si="1"/>
        <v>-0.11530416410847147</v>
      </c>
      <c r="M22" s="189"/>
      <c r="N22" s="189">
        <v>0</v>
      </c>
      <c r="O22" s="189"/>
      <c r="P22" s="189">
        <v>187201975539</v>
      </c>
      <c r="Q22" s="189"/>
      <c r="R22" s="189">
        <v>28462877586</v>
      </c>
      <c r="S22" s="189">
        <v>466959920</v>
      </c>
      <c r="T22" s="189">
        <f t="shared" si="2"/>
        <v>215664853125</v>
      </c>
      <c r="U22" s="189">
        <v>11071728396</v>
      </c>
      <c r="V22" s="203">
        <f>T22/درآمدها!$F$9</f>
        <v>3.257482462117791E-2</v>
      </c>
      <c r="W22" s="254"/>
      <c r="X22" s="102"/>
      <c r="Z22" s="194"/>
      <c r="AA22" s="202"/>
    </row>
    <row r="23" spans="2:27" ht="36" customHeight="1" x14ac:dyDescent="0.25">
      <c r="B23" s="175" t="s">
        <v>120</v>
      </c>
      <c r="C23" s="165"/>
      <c r="D23" s="189">
        <v>0</v>
      </c>
      <c r="E23" s="189"/>
      <c r="F23" s="189">
        <v>50511504233</v>
      </c>
      <c r="G23" s="189"/>
      <c r="H23" s="189">
        <v>7150951974</v>
      </c>
      <c r="I23" s="189"/>
      <c r="J23" s="189">
        <f t="shared" si="0"/>
        <v>57662456207</v>
      </c>
      <c r="K23" s="189"/>
      <c r="L23" s="203">
        <f t="shared" si="1"/>
        <v>-5.5760602836479954E-2</v>
      </c>
      <c r="M23" s="189"/>
      <c r="N23" s="189">
        <v>0</v>
      </c>
      <c r="O23" s="189"/>
      <c r="P23" s="189">
        <v>46641651213</v>
      </c>
      <c r="Q23" s="189"/>
      <c r="R23" s="189">
        <v>46932709151</v>
      </c>
      <c r="S23" s="189">
        <v>-102059379029</v>
      </c>
      <c r="T23" s="189">
        <f t="shared" si="2"/>
        <v>93574360364</v>
      </c>
      <c r="U23" s="189">
        <v>11071728398</v>
      </c>
      <c r="V23" s="203">
        <f>T23/درآمدها!$F$9</f>
        <v>1.4133820758125451E-2</v>
      </c>
      <c r="W23" s="254"/>
      <c r="X23" s="102"/>
      <c r="Z23" s="194"/>
      <c r="AA23" s="202"/>
    </row>
    <row r="24" spans="2:27" ht="36" customHeight="1" x14ac:dyDescent="0.25">
      <c r="B24" s="175" t="s">
        <v>121</v>
      </c>
      <c r="C24" s="165"/>
      <c r="D24" s="189">
        <v>689201597</v>
      </c>
      <c r="E24" s="189"/>
      <c r="F24" s="189">
        <v>12828661922</v>
      </c>
      <c r="G24" s="189"/>
      <c r="H24" s="189">
        <v>-1474624728</v>
      </c>
      <c r="I24" s="189"/>
      <c r="J24" s="189">
        <f t="shared" si="0"/>
        <v>12043238791</v>
      </c>
      <c r="K24" s="189"/>
      <c r="L24" s="203">
        <f t="shared" si="1"/>
        <v>-1.1646022373363934E-2</v>
      </c>
      <c r="M24" s="189"/>
      <c r="N24" s="189">
        <v>689201597</v>
      </c>
      <c r="O24" s="189"/>
      <c r="P24" s="189">
        <v>-534833530</v>
      </c>
      <c r="Q24" s="189"/>
      <c r="R24" s="189">
        <v>-1474624728</v>
      </c>
      <c r="S24" s="189">
        <v>-11597631470</v>
      </c>
      <c r="T24" s="189">
        <f t="shared" si="2"/>
        <v>-1320256661</v>
      </c>
      <c r="U24" s="189">
        <v>11071728399</v>
      </c>
      <c r="V24" s="203">
        <f>T24/درآمدها!$F$9</f>
        <v>-1.9941649538086708E-4</v>
      </c>
      <c r="W24" s="254"/>
      <c r="X24" s="102"/>
      <c r="Z24" s="194"/>
      <c r="AA24" s="202"/>
    </row>
    <row r="25" spans="2:27" ht="36" customHeight="1" x14ac:dyDescent="0.25">
      <c r="B25" s="175" t="s">
        <v>126</v>
      </c>
      <c r="C25" s="165"/>
      <c r="D25" s="189">
        <v>0</v>
      </c>
      <c r="E25" s="189"/>
      <c r="F25" s="189">
        <v>-4735</v>
      </c>
      <c r="G25" s="189"/>
      <c r="H25" s="189">
        <v>25552975</v>
      </c>
      <c r="I25" s="189"/>
      <c r="J25" s="189">
        <f t="shared" si="0"/>
        <v>25548240</v>
      </c>
      <c r="K25" s="189"/>
      <c r="L25" s="203">
        <f t="shared" si="1"/>
        <v>-2.4705594550065862E-5</v>
      </c>
      <c r="M25" s="189"/>
      <c r="N25" s="189">
        <v>218400</v>
      </c>
      <c r="O25" s="189"/>
      <c r="P25" s="189">
        <v>-27011</v>
      </c>
      <c r="Q25" s="189"/>
      <c r="R25" s="189">
        <v>25552975</v>
      </c>
      <c r="S25" s="189">
        <v>52167321915</v>
      </c>
      <c r="T25" s="189">
        <f t="shared" si="2"/>
        <v>25744364</v>
      </c>
      <c r="U25" s="189">
        <v>11071728400</v>
      </c>
      <c r="V25" s="203">
        <f>T25/درآمدها!$F$9</f>
        <v>3.8885248575840063E-6</v>
      </c>
      <c r="W25" s="254"/>
      <c r="X25" s="102"/>
      <c r="Z25" s="194"/>
      <c r="AA25" s="202"/>
    </row>
    <row r="26" spans="2:27" ht="36" customHeight="1" x14ac:dyDescent="0.25">
      <c r="B26" s="175" t="s">
        <v>115</v>
      </c>
      <c r="C26" s="165"/>
      <c r="D26" s="189">
        <v>0</v>
      </c>
      <c r="E26" s="189"/>
      <c r="F26" s="189">
        <v>114396286210</v>
      </c>
      <c r="G26" s="189"/>
      <c r="H26" s="189">
        <v>-117475673367</v>
      </c>
      <c r="I26" s="189"/>
      <c r="J26" s="189">
        <f t="shared" si="0"/>
        <v>-3079387157</v>
      </c>
      <c r="K26" s="189"/>
      <c r="L26" s="203">
        <f t="shared" si="1"/>
        <v>2.9778211948659479E-3</v>
      </c>
      <c r="M26" s="189"/>
      <c r="N26" s="189">
        <v>0</v>
      </c>
      <c r="O26" s="189"/>
      <c r="P26" s="189">
        <v>-2522413</v>
      </c>
      <c r="Q26" s="189"/>
      <c r="R26" s="189">
        <v>-129169357270</v>
      </c>
      <c r="S26" s="189">
        <v>-6964477628</v>
      </c>
      <c r="T26" s="189">
        <f t="shared" si="2"/>
        <v>-129171879683</v>
      </c>
      <c r="U26" s="189">
        <v>11071728401</v>
      </c>
      <c r="V26" s="203">
        <f>T26/درآمدها!$F$9</f>
        <v>-1.9510602982780852E-2</v>
      </c>
      <c r="W26" s="254"/>
      <c r="X26" s="102"/>
      <c r="Z26" s="194"/>
      <c r="AA26" s="202"/>
    </row>
    <row r="27" spans="2:27" ht="36" customHeight="1" x14ac:dyDescent="0.25">
      <c r="B27" s="175" t="s">
        <v>176</v>
      </c>
      <c r="C27" s="165"/>
      <c r="D27" s="189">
        <v>0</v>
      </c>
      <c r="E27" s="189"/>
      <c r="F27" s="189">
        <v>-7446986289</v>
      </c>
      <c r="G27" s="189"/>
      <c r="H27" s="189">
        <v>7080234791</v>
      </c>
      <c r="I27" s="189"/>
      <c r="J27" s="189">
        <f t="shared" si="0"/>
        <v>-366751498</v>
      </c>
      <c r="K27" s="189"/>
      <c r="L27" s="203">
        <f t="shared" si="1"/>
        <v>3.5465510775761034E-4</v>
      </c>
      <c r="M27" s="189"/>
      <c r="N27" s="189">
        <v>20465039578</v>
      </c>
      <c r="O27" s="189"/>
      <c r="P27" s="189">
        <v>23834325463</v>
      </c>
      <c r="Q27" s="189"/>
      <c r="R27" s="189">
        <v>9310850330</v>
      </c>
      <c r="S27" s="189">
        <v>-13571699443</v>
      </c>
      <c r="T27" s="189">
        <f t="shared" si="2"/>
        <v>53610215371</v>
      </c>
      <c r="U27" s="189">
        <v>11071728402</v>
      </c>
      <c r="V27" s="203">
        <f>T27/درآمدها!$F$9</f>
        <v>8.0974870884581059E-3</v>
      </c>
      <c r="W27" s="254"/>
      <c r="X27" s="102"/>
      <c r="Z27" s="194"/>
      <c r="AA27" s="202"/>
    </row>
    <row r="28" spans="2:27" ht="36" customHeight="1" x14ac:dyDescent="0.25">
      <c r="B28" s="175" t="s">
        <v>114</v>
      </c>
      <c r="C28" s="165"/>
      <c r="D28" s="189">
        <v>0</v>
      </c>
      <c r="E28" s="189"/>
      <c r="F28" s="189">
        <v>755071</v>
      </c>
      <c r="G28" s="189"/>
      <c r="H28" s="189">
        <v>72385445</v>
      </c>
      <c r="I28" s="189"/>
      <c r="J28" s="189">
        <f t="shared" si="0"/>
        <v>73140516</v>
      </c>
      <c r="K28" s="189"/>
      <c r="L28" s="203">
        <f t="shared" si="1"/>
        <v>-7.0728157144234004E-5</v>
      </c>
      <c r="M28" s="189"/>
      <c r="N28" s="189">
        <v>504680</v>
      </c>
      <c r="O28" s="189"/>
      <c r="P28" s="189">
        <v>179357</v>
      </c>
      <c r="Q28" s="189"/>
      <c r="R28" s="189">
        <v>72385445</v>
      </c>
      <c r="S28" s="189">
        <v>257545772</v>
      </c>
      <c r="T28" s="189">
        <f t="shared" si="2"/>
        <v>73069482</v>
      </c>
      <c r="U28" s="189">
        <v>11071728398</v>
      </c>
      <c r="V28" s="203">
        <f>T28/درآمدها!$F$9</f>
        <v>1.1036687373119301E-5</v>
      </c>
      <c r="W28" s="254"/>
      <c r="X28" s="102"/>
      <c r="Z28" s="194"/>
      <c r="AA28" s="202"/>
    </row>
    <row r="29" spans="2:27" ht="36" customHeight="1" x14ac:dyDescent="0.25">
      <c r="B29" s="175" t="s">
        <v>103</v>
      </c>
      <c r="C29" s="165"/>
      <c r="D29" s="189">
        <v>0</v>
      </c>
      <c r="E29" s="189"/>
      <c r="F29" s="189">
        <v>265626415475</v>
      </c>
      <c r="G29" s="189"/>
      <c r="H29" s="189">
        <v>-2225314265</v>
      </c>
      <c r="I29" s="189"/>
      <c r="J29" s="189">
        <f t="shared" si="0"/>
        <v>263401101210</v>
      </c>
      <c r="K29" s="189"/>
      <c r="L29" s="203">
        <f t="shared" si="1"/>
        <v>-0.25471346795454886</v>
      </c>
      <c r="M29" s="189"/>
      <c r="N29" s="189">
        <v>44983783665</v>
      </c>
      <c r="O29" s="189"/>
      <c r="P29" s="189">
        <v>145922842435</v>
      </c>
      <c r="Q29" s="189"/>
      <c r="R29" s="189">
        <v>-3489678110</v>
      </c>
      <c r="S29" s="189">
        <v>1026553445</v>
      </c>
      <c r="T29" s="189">
        <f t="shared" si="2"/>
        <v>187416947990</v>
      </c>
      <c r="U29" s="189">
        <v>11071728399</v>
      </c>
      <c r="V29" s="203">
        <f>T29/درآمدها!$F$9</f>
        <v>2.8308155563355298E-2</v>
      </c>
      <c r="W29" s="254"/>
      <c r="X29" s="102"/>
      <c r="Z29" s="194"/>
      <c r="AA29" s="202"/>
    </row>
    <row r="30" spans="2:27" ht="36" customHeight="1" x14ac:dyDescent="0.25">
      <c r="B30" s="175" t="s">
        <v>142</v>
      </c>
      <c r="C30" s="165"/>
      <c r="D30" s="189">
        <v>720000000</v>
      </c>
      <c r="E30" s="189"/>
      <c r="F30" s="189">
        <v>14307306280</v>
      </c>
      <c r="G30" s="189"/>
      <c r="H30" s="189">
        <v>2987818411</v>
      </c>
      <c r="I30" s="189"/>
      <c r="J30" s="189">
        <f t="shared" si="0"/>
        <v>18015124691</v>
      </c>
      <c r="K30" s="189"/>
      <c r="L30" s="203">
        <f t="shared" si="1"/>
        <v>-1.74209404007762E-2</v>
      </c>
      <c r="M30" s="189"/>
      <c r="N30" s="189">
        <v>720000000</v>
      </c>
      <c r="O30" s="189"/>
      <c r="P30" s="189">
        <v>18755948189</v>
      </c>
      <c r="Q30" s="189"/>
      <c r="R30" s="189">
        <v>48471365027</v>
      </c>
      <c r="S30" s="189">
        <v>-1161777565</v>
      </c>
      <c r="T30" s="189">
        <f t="shared" si="2"/>
        <v>67947313216</v>
      </c>
      <c r="U30" s="189">
        <v>-5155830316</v>
      </c>
      <c r="V30" s="203">
        <f>T30/درآمدها!$F$9</f>
        <v>1.0263015875881116E-2</v>
      </c>
      <c r="W30" s="254"/>
      <c r="X30" s="102"/>
      <c r="Z30" s="194"/>
      <c r="AA30" s="202"/>
    </row>
    <row r="31" spans="2:27" ht="36" customHeight="1" x14ac:dyDescent="0.25">
      <c r="B31" s="175" t="s">
        <v>140</v>
      </c>
      <c r="C31" s="165"/>
      <c r="D31" s="189">
        <v>0</v>
      </c>
      <c r="E31" s="189"/>
      <c r="F31" s="189">
        <v>85784066332</v>
      </c>
      <c r="G31" s="189"/>
      <c r="H31" s="189">
        <v>-89285395392</v>
      </c>
      <c r="I31" s="189"/>
      <c r="J31" s="189">
        <f t="shared" si="0"/>
        <v>-3501329060</v>
      </c>
      <c r="K31" s="189"/>
      <c r="L31" s="203">
        <f t="shared" si="1"/>
        <v>3.3858463887423648E-3</v>
      </c>
      <c r="M31" s="189"/>
      <c r="N31" s="189">
        <v>62302078811</v>
      </c>
      <c r="O31" s="189"/>
      <c r="P31" s="189">
        <v>-9671558</v>
      </c>
      <c r="Q31" s="189"/>
      <c r="R31" s="189">
        <v>-88852438051</v>
      </c>
      <c r="S31" s="189">
        <v>599022178</v>
      </c>
      <c r="T31" s="189">
        <f t="shared" si="2"/>
        <v>-26560030798</v>
      </c>
      <c r="U31" s="189">
        <v>-5155830315</v>
      </c>
      <c r="V31" s="203">
        <f>T31/درآمدها!$F$9</f>
        <v>-4.0117262161232558E-3</v>
      </c>
      <c r="W31" s="254"/>
      <c r="X31" s="102"/>
      <c r="Z31" s="194"/>
      <c r="AA31" s="202"/>
    </row>
    <row r="32" spans="2:27" ht="36" customHeight="1" x14ac:dyDescent="0.25">
      <c r="B32" s="175" t="s">
        <v>152</v>
      </c>
      <c r="C32" s="165"/>
      <c r="D32" s="189">
        <v>0</v>
      </c>
      <c r="E32" s="189"/>
      <c r="F32" s="189">
        <v>-992764</v>
      </c>
      <c r="G32" s="189"/>
      <c r="H32" s="189">
        <v>11143607</v>
      </c>
      <c r="I32" s="189"/>
      <c r="J32" s="189">
        <f t="shared" si="0"/>
        <v>10150843</v>
      </c>
      <c r="K32" s="189"/>
      <c r="L32" s="203">
        <f t="shared" si="1"/>
        <v>-9.8160425727711265E-6</v>
      </c>
      <c r="M32" s="189"/>
      <c r="N32" s="189">
        <v>7300000000</v>
      </c>
      <c r="O32" s="189"/>
      <c r="P32" s="189">
        <v>29339291</v>
      </c>
      <c r="Q32" s="189"/>
      <c r="R32" s="189">
        <v>32860903722</v>
      </c>
      <c r="S32" s="189">
        <v>11615770866</v>
      </c>
      <c r="T32" s="189">
        <f t="shared" si="2"/>
        <v>40190243013</v>
      </c>
      <c r="U32" s="189">
        <v>-5155830314</v>
      </c>
      <c r="V32" s="203">
        <f>T32/درآمدها!$F$9</f>
        <v>6.0704843587665409E-3</v>
      </c>
      <c r="W32" s="254"/>
      <c r="X32" s="102"/>
      <c r="Z32" s="194"/>
      <c r="AA32" s="202"/>
    </row>
    <row r="33" spans="2:27" ht="36" customHeight="1" x14ac:dyDescent="0.25">
      <c r="B33" s="175" t="s">
        <v>112</v>
      </c>
      <c r="C33" s="165"/>
      <c r="D33" s="189">
        <v>56034215623</v>
      </c>
      <c r="E33" s="189"/>
      <c r="F33" s="189">
        <v>7045117023</v>
      </c>
      <c r="G33" s="189"/>
      <c r="H33" s="189">
        <v>51170818721</v>
      </c>
      <c r="I33" s="189"/>
      <c r="J33" s="189">
        <f t="shared" si="0"/>
        <v>114250151367</v>
      </c>
      <c r="K33" s="189"/>
      <c r="L33" s="203">
        <f t="shared" si="1"/>
        <v>-0.11048189295844861</v>
      </c>
      <c r="M33" s="189"/>
      <c r="N33" s="189">
        <v>56034215623</v>
      </c>
      <c r="O33" s="189"/>
      <c r="P33" s="189">
        <v>253524985014</v>
      </c>
      <c r="Q33" s="189"/>
      <c r="R33" s="189">
        <v>201884379094</v>
      </c>
      <c r="S33" s="189">
        <v>28553005</v>
      </c>
      <c r="T33" s="189">
        <f t="shared" si="2"/>
        <v>511443579731</v>
      </c>
      <c r="U33" s="189">
        <v>-5155830313</v>
      </c>
      <c r="V33" s="203">
        <f>T33/درآمدها!$F$9</f>
        <v>7.725034780566889E-2</v>
      </c>
      <c r="W33" s="254"/>
      <c r="X33" s="102"/>
      <c r="Z33" s="194"/>
      <c r="AA33" s="202"/>
    </row>
    <row r="34" spans="2:27" ht="36" customHeight="1" x14ac:dyDescent="0.25">
      <c r="B34" s="175" t="s">
        <v>116</v>
      </c>
      <c r="C34" s="165"/>
      <c r="D34" s="189">
        <v>0</v>
      </c>
      <c r="E34" s="189"/>
      <c r="F34" s="189">
        <v>11450795</v>
      </c>
      <c r="G34" s="189"/>
      <c r="H34" s="189">
        <v>0</v>
      </c>
      <c r="I34" s="189"/>
      <c r="J34" s="189">
        <f t="shared" si="0"/>
        <v>11450795</v>
      </c>
      <c r="K34" s="189"/>
      <c r="L34" s="203">
        <f t="shared" si="1"/>
        <v>-1.1073118874173775E-5</v>
      </c>
      <c r="M34" s="189"/>
      <c r="N34" s="189">
        <v>4166000</v>
      </c>
      <c r="O34" s="189"/>
      <c r="P34" s="189">
        <v>3611864</v>
      </c>
      <c r="Q34" s="189"/>
      <c r="R34" s="189">
        <v>-613813908</v>
      </c>
      <c r="S34" s="189"/>
      <c r="T34" s="189">
        <f t="shared" si="2"/>
        <v>-606036044</v>
      </c>
      <c r="U34" s="189"/>
      <c r="V34" s="203">
        <f>T34/درآمدها!$F$9</f>
        <v>-9.1537946778793007E-5</v>
      </c>
      <c r="W34" s="254"/>
      <c r="X34" s="102"/>
      <c r="Z34" s="194"/>
      <c r="AA34" s="202"/>
    </row>
    <row r="35" spans="2:27" ht="36" customHeight="1" x14ac:dyDescent="0.25">
      <c r="B35" s="175" t="s">
        <v>129</v>
      </c>
      <c r="C35" s="165"/>
      <c r="D35" s="189">
        <v>0</v>
      </c>
      <c r="E35" s="189"/>
      <c r="F35" s="189">
        <v>3304259</v>
      </c>
      <c r="G35" s="189"/>
      <c r="H35" s="189">
        <v>0</v>
      </c>
      <c r="I35" s="189"/>
      <c r="J35" s="189">
        <f t="shared" si="0"/>
        <v>3304259</v>
      </c>
      <c r="K35" s="189"/>
      <c r="L35" s="203">
        <f t="shared" si="1"/>
        <v>-3.1952761968106641E-6</v>
      </c>
      <c r="M35" s="189"/>
      <c r="N35" s="189">
        <v>1840000</v>
      </c>
      <c r="O35" s="189"/>
      <c r="P35" s="189">
        <v>1260187</v>
      </c>
      <c r="Q35" s="189"/>
      <c r="R35" s="189">
        <v>-14030982045</v>
      </c>
      <c r="S35" s="189"/>
      <c r="T35" s="189">
        <f t="shared" si="2"/>
        <v>-14027881858</v>
      </c>
      <c r="U35" s="189"/>
      <c r="V35" s="203">
        <f>T35/درآمدها!$F$9</f>
        <v>-2.1188236502593235E-3</v>
      </c>
      <c r="W35" s="254"/>
      <c r="X35" s="102"/>
      <c r="Z35" s="194"/>
      <c r="AA35" s="202"/>
    </row>
    <row r="36" spans="2:27" ht="36" customHeight="1" x14ac:dyDescent="0.25">
      <c r="B36" s="175" t="s">
        <v>190</v>
      </c>
      <c r="C36" s="165"/>
      <c r="D36" s="189">
        <v>0</v>
      </c>
      <c r="E36" s="189"/>
      <c r="F36" s="189">
        <v>597302354837</v>
      </c>
      <c r="G36" s="189"/>
      <c r="H36" s="189">
        <v>0</v>
      </c>
      <c r="I36" s="189"/>
      <c r="J36" s="189">
        <f t="shared" si="0"/>
        <v>597302354837</v>
      </c>
      <c r="K36" s="189"/>
      <c r="L36" s="203">
        <f t="shared" si="1"/>
        <v>-0.57760181532671107</v>
      </c>
      <c r="M36" s="189"/>
      <c r="N36" s="189">
        <v>0</v>
      </c>
      <c r="O36" s="189"/>
      <c r="P36" s="189">
        <v>1028796392154</v>
      </c>
      <c r="Q36" s="189"/>
      <c r="R36" s="189">
        <v>15873961915</v>
      </c>
      <c r="S36" s="189"/>
      <c r="T36" s="189">
        <f t="shared" si="2"/>
        <v>1044670354069</v>
      </c>
      <c r="U36" s="189"/>
      <c r="V36" s="203">
        <f>T36/درآمدها!$F$9</f>
        <v>0.15779091065440154</v>
      </c>
      <c r="W36" s="254"/>
      <c r="X36" s="102"/>
      <c r="Z36" s="194"/>
      <c r="AA36" s="202"/>
    </row>
    <row r="37" spans="2:27" ht="36" customHeight="1" x14ac:dyDescent="0.25">
      <c r="B37" s="175" t="s">
        <v>202</v>
      </c>
      <c r="C37" s="165"/>
      <c r="D37" s="189">
        <v>0</v>
      </c>
      <c r="E37" s="189"/>
      <c r="F37" s="189">
        <v>10716516000</v>
      </c>
      <c r="G37" s="189"/>
      <c r="H37" s="189">
        <v>0</v>
      </c>
      <c r="I37" s="189"/>
      <c r="J37" s="189">
        <f t="shared" si="0"/>
        <v>10716516000</v>
      </c>
      <c r="K37" s="189"/>
      <c r="L37" s="203">
        <f t="shared" si="1"/>
        <v>-1.0363058249229442E-2</v>
      </c>
      <c r="M37" s="189"/>
      <c r="N37" s="189">
        <v>0</v>
      </c>
      <c r="O37" s="189"/>
      <c r="P37" s="189">
        <v>26131628903</v>
      </c>
      <c r="Q37" s="189"/>
      <c r="R37" s="189">
        <v>45716495</v>
      </c>
      <c r="S37" s="189"/>
      <c r="T37" s="189">
        <f t="shared" si="2"/>
        <v>26177345398</v>
      </c>
      <c r="U37" s="189"/>
      <c r="V37" s="203">
        <f>T37/درآمدها!$F$9</f>
        <v>3.9539239845150301E-3</v>
      </c>
      <c r="W37" s="254"/>
      <c r="X37" s="102"/>
      <c r="Z37" s="194"/>
      <c r="AA37" s="202"/>
    </row>
    <row r="38" spans="2:27" ht="36" customHeight="1" x14ac:dyDescent="0.25">
      <c r="B38" s="175" t="s">
        <v>151</v>
      </c>
      <c r="C38" s="165"/>
      <c r="D38" s="189">
        <v>0</v>
      </c>
      <c r="E38" s="189"/>
      <c r="F38" s="189">
        <v>0</v>
      </c>
      <c r="G38" s="189"/>
      <c r="H38" s="189">
        <v>0</v>
      </c>
      <c r="I38" s="189"/>
      <c r="J38" s="189">
        <f t="shared" si="0"/>
        <v>0</v>
      </c>
      <c r="K38" s="189"/>
      <c r="L38" s="203">
        <f t="shared" si="1"/>
        <v>0</v>
      </c>
      <c r="M38" s="189"/>
      <c r="N38" s="189">
        <v>0</v>
      </c>
      <c r="O38" s="189"/>
      <c r="P38" s="189">
        <v>0</v>
      </c>
      <c r="Q38" s="189"/>
      <c r="R38" s="189">
        <v>2853482</v>
      </c>
      <c r="S38" s="189"/>
      <c r="T38" s="189">
        <f t="shared" si="2"/>
        <v>2853482</v>
      </c>
      <c r="U38" s="189"/>
      <c r="V38" s="203">
        <f>T38/درآمدها!$F$9</f>
        <v>4.310005750256066E-7</v>
      </c>
      <c r="W38" s="254"/>
      <c r="X38" s="102"/>
      <c r="Z38" s="194"/>
      <c r="AA38" s="202"/>
    </row>
    <row r="39" spans="2:27" ht="36" customHeight="1" x14ac:dyDescent="0.25">
      <c r="B39" s="175" t="s">
        <v>221</v>
      </c>
      <c r="C39" s="165"/>
      <c r="D39" s="189">
        <v>0</v>
      </c>
      <c r="E39" s="189"/>
      <c r="F39" s="189">
        <v>664820899</v>
      </c>
      <c r="G39" s="189"/>
      <c r="H39" s="189">
        <v>0</v>
      </c>
      <c r="I39" s="189"/>
      <c r="J39" s="189">
        <f t="shared" si="0"/>
        <v>664820899</v>
      </c>
      <c r="K39" s="189"/>
      <c r="L39" s="203">
        <f t="shared" si="1"/>
        <v>-6.4289342745740168E-4</v>
      </c>
      <c r="M39" s="189"/>
      <c r="N39" s="189">
        <v>244366427</v>
      </c>
      <c r="O39" s="189"/>
      <c r="P39" s="189">
        <v>1272905000</v>
      </c>
      <c r="Q39" s="189"/>
      <c r="R39" s="189">
        <v>604976897</v>
      </c>
      <c r="S39" s="189"/>
      <c r="T39" s="189">
        <f t="shared" si="2"/>
        <v>2122248324</v>
      </c>
      <c r="U39" s="189"/>
      <c r="V39" s="203">
        <f>T39/درآمدها!$F$9</f>
        <v>3.2055231047230362E-4</v>
      </c>
      <c r="W39" s="254"/>
      <c r="X39" s="102"/>
      <c r="Z39" s="194"/>
      <c r="AA39" s="202"/>
    </row>
    <row r="40" spans="2:27" ht="36" customHeight="1" x14ac:dyDescent="0.25">
      <c r="B40" s="175" t="s">
        <v>227</v>
      </c>
      <c r="C40" s="165"/>
      <c r="D40" s="189">
        <v>0</v>
      </c>
      <c r="E40" s="189"/>
      <c r="F40" s="189">
        <v>0</v>
      </c>
      <c r="G40" s="189"/>
      <c r="H40" s="189">
        <v>0</v>
      </c>
      <c r="I40" s="189"/>
      <c r="J40" s="189">
        <f t="shared" si="0"/>
        <v>0</v>
      </c>
      <c r="K40" s="189"/>
      <c r="L40" s="203">
        <f t="shared" si="1"/>
        <v>0</v>
      </c>
      <c r="M40" s="189"/>
      <c r="N40" s="189">
        <v>0</v>
      </c>
      <c r="O40" s="189"/>
      <c r="P40" s="189">
        <v>0</v>
      </c>
      <c r="Q40" s="189"/>
      <c r="R40" s="189">
        <v>0</v>
      </c>
      <c r="S40" s="189"/>
      <c r="T40" s="189">
        <f t="shared" si="2"/>
        <v>0</v>
      </c>
      <c r="U40" s="189"/>
      <c r="V40" s="203">
        <f>T40/درآمدها!$F$9</f>
        <v>0</v>
      </c>
      <c r="W40" s="254"/>
      <c r="X40" s="102"/>
      <c r="Z40" s="194"/>
      <c r="AA40" s="202"/>
    </row>
    <row r="41" spans="2:27" ht="36" customHeight="1" x14ac:dyDescent="0.25">
      <c r="B41" s="175" t="s">
        <v>182</v>
      </c>
      <c r="C41" s="165"/>
      <c r="D41" s="189">
        <v>0</v>
      </c>
      <c r="E41" s="189"/>
      <c r="F41" s="189">
        <v>0</v>
      </c>
      <c r="G41" s="189"/>
      <c r="H41" s="189">
        <v>0</v>
      </c>
      <c r="I41" s="189"/>
      <c r="J41" s="189">
        <f t="shared" si="0"/>
        <v>0</v>
      </c>
      <c r="K41" s="189"/>
      <c r="L41" s="203">
        <f t="shared" si="1"/>
        <v>0</v>
      </c>
      <c r="M41" s="189"/>
      <c r="N41" s="189">
        <v>0</v>
      </c>
      <c r="O41" s="189"/>
      <c r="P41" s="189">
        <v>0</v>
      </c>
      <c r="Q41" s="189"/>
      <c r="R41" s="189">
        <v>287383164</v>
      </c>
      <c r="S41" s="189"/>
      <c r="T41" s="189">
        <f t="shared" si="2"/>
        <v>287383164</v>
      </c>
      <c r="U41" s="189"/>
      <c r="V41" s="203">
        <f>T41/درآمدها!$F$9</f>
        <v>4.3407426062851706E-5</v>
      </c>
      <c r="W41" s="254"/>
      <c r="X41" s="102"/>
      <c r="Z41" s="194"/>
      <c r="AA41" s="202"/>
    </row>
    <row r="42" spans="2:27" ht="36" customHeight="1" x14ac:dyDescent="0.25">
      <c r="B42" s="175" t="s">
        <v>127</v>
      </c>
      <c r="C42" s="165"/>
      <c r="D42" s="189">
        <v>66096579477</v>
      </c>
      <c r="E42" s="189"/>
      <c r="F42" s="189">
        <v>882632667107</v>
      </c>
      <c r="G42" s="189"/>
      <c r="H42" s="189">
        <v>0</v>
      </c>
      <c r="I42" s="189"/>
      <c r="J42" s="189">
        <f t="shared" si="0"/>
        <v>948729246584</v>
      </c>
      <c r="K42" s="189"/>
      <c r="L42" s="203">
        <f t="shared" si="1"/>
        <v>-0.91743776103143548</v>
      </c>
      <c r="M42" s="189"/>
      <c r="N42" s="189">
        <v>66096579477</v>
      </c>
      <c r="O42" s="189"/>
      <c r="P42" s="189">
        <v>1688945368902</v>
      </c>
      <c r="Q42" s="189"/>
      <c r="R42" s="189">
        <v>55680128071</v>
      </c>
      <c r="S42" s="189"/>
      <c r="T42" s="189">
        <f t="shared" si="2"/>
        <v>1810722076450</v>
      </c>
      <c r="U42" s="189"/>
      <c r="V42" s="203">
        <f>T42/درآمدها!$F$9</f>
        <v>0.27349822292956827</v>
      </c>
      <c r="W42" s="254"/>
      <c r="X42" s="102"/>
      <c r="Z42" s="194"/>
      <c r="AA42" s="202"/>
    </row>
    <row r="43" spans="2:27" ht="36" customHeight="1" x14ac:dyDescent="0.25">
      <c r="B43" s="175" t="s">
        <v>225</v>
      </c>
      <c r="C43" s="165"/>
      <c r="D43" s="189">
        <v>0</v>
      </c>
      <c r="E43" s="189"/>
      <c r="F43" s="189">
        <v>12258041324</v>
      </c>
      <c r="G43" s="189"/>
      <c r="H43" s="189">
        <v>0</v>
      </c>
      <c r="I43" s="189"/>
      <c r="J43" s="189">
        <f t="shared" si="0"/>
        <v>12258041324</v>
      </c>
      <c r="K43" s="189"/>
      <c r="L43" s="203">
        <f t="shared" si="1"/>
        <v>-1.1853740176571714E-2</v>
      </c>
      <c r="M43" s="189"/>
      <c r="N43" s="189">
        <v>0</v>
      </c>
      <c r="O43" s="189"/>
      <c r="P43" s="189">
        <v>19769373470</v>
      </c>
      <c r="Q43" s="189"/>
      <c r="R43" s="189">
        <v>-26881204</v>
      </c>
      <c r="S43" s="189"/>
      <c r="T43" s="189">
        <f t="shared" si="2"/>
        <v>19742492266</v>
      </c>
      <c r="U43" s="189"/>
      <c r="V43" s="203">
        <f>T43/درآمدها!$F$9</f>
        <v>2.9819797423234458E-3</v>
      </c>
      <c r="W43" s="254"/>
      <c r="X43" s="102"/>
      <c r="Z43" s="194"/>
      <c r="AA43" s="202"/>
    </row>
    <row r="44" spans="2:27" ht="36" customHeight="1" x14ac:dyDescent="0.25">
      <c r="B44" s="175" t="s">
        <v>148</v>
      </c>
      <c r="C44" s="165"/>
      <c r="D44" s="189">
        <v>0</v>
      </c>
      <c r="E44" s="189"/>
      <c r="F44" s="189">
        <v>0</v>
      </c>
      <c r="G44" s="189"/>
      <c r="H44" s="189">
        <v>0</v>
      </c>
      <c r="I44" s="189"/>
      <c r="J44" s="189">
        <f t="shared" si="0"/>
        <v>0</v>
      </c>
      <c r="K44" s="189"/>
      <c r="L44" s="203">
        <f t="shared" si="1"/>
        <v>0</v>
      </c>
      <c r="M44" s="189"/>
      <c r="N44" s="189">
        <v>0</v>
      </c>
      <c r="O44" s="189"/>
      <c r="P44" s="189">
        <v>0</v>
      </c>
      <c r="Q44" s="189"/>
      <c r="R44" s="189">
        <v>-40290</v>
      </c>
      <c r="S44" s="189">
        <v>8613312174</v>
      </c>
      <c r="T44" s="189">
        <f t="shared" si="2"/>
        <v>-40290</v>
      </c>
      <c r="U44" s="189">
        <v>-5155830312</v>
      </c>
      <c r="V44" s="203">
        <f>T44/درآمدها!$F$9</f>
        <v>-6.0855520265351907E-9</v>
      </c>
      <c r="W44" s="254"/>
      <c r="X44" s="102"/>
      <c r="Z44" s="194"/>
      <c r="AA44" s="202"/>
    </row>
    <row r="45" spans="2:27" ht="36" customHeight="1" x14ac:dyDescent="0.25">
      <c r="B45" s="175" t="s">
        <v>165</v>
      </c>
      <c r="C45" s="165"/>
      <c r="D45" s="204">
        <f>SUM(D11:D44)</f>
        <v>187097675969</v>
      </c>
      <c r="E45" s="188"/>
      <c r="F45" s="204">
        <f>SUM(F11:F44)</f>
        <v>2481392351589</v>
      </c>
      <c r="G45" s="205"/>
      <c r="H45" s="204">
        <f>SUM(H11:H44)</f>
        <v>-46844850969</v>
      </c>
      <c r="I45" s="205"/>
      <c r="J45" s="204">
        <f>SUM(J11:J44)</f>
        <v>2621645176589</v>
      </c>
      <c r="K45" s="205"/>
      <c r="L45" s="227">
        <f>SUM(L11:L44)</f>
        <v>-2.535176700506323</v>
      </c>
      <c r="M45" s="205"/>
      <c r="N45" s="204">
        <f>SUM(N11:N44)</f>
        <v>406528608574</v>
      </c>
      <c r="O45" s="205"/>
      <c r="P45" s="204">
        <f>SUM(P11:P44)</f>
        <v>4143618911672</v>
      </c>
      <c r="Q45" s="205"/>
      <c r="R45" s="204">
        <f>SUM(R11:R44)</f>
        <v>800991948200</v>
      </c>
      <c r="S45" s="205"/>
      <c r="T45" s="204">
        <f>SUM(T11:T44)</f>
        <v>5351139468446</v>
      </c>
      <c r="U45" s="189"/>
      <c r="V45" s="120">
        <f>SUM(V11:V44)</f>
        <v>0.80825608430067009</v>
      </c>
      <c r="W45" s="254"/>
      <c r="X45" s="102"/>
      <c r="Z45" s="194"/>
      <c r="AA45" s="202"/>
    </row>
    <row r="46" spans="2:27" ht="22.5" customHeight="1" x14ac:dyDescent="0.25">
      <c r="B46" s="175"/>
      <c r="C46" s="165"/>
      <c r="D46" s="190"/>
      <c r="E46" s="188"/>
      <c r="F46" s="189"/>
      <c r="G46" s="189"/>
      <c r="H46" s="189"/>
      <c r="I46" s="189"/>
      <c r="J46" s="189"/>
      <c r="K46" s="189"/>
      <c r="L46" s="203"/>
      <c r="M46" s="189"/>
      <c r="N46" s="189"/>
      <c r="O46" s="189"/>
      <c r="P46" s="189"/>
      <c r="Q46" s="189"/>
      <c r="R46" s="189"/>
      <c r="S46" s="189"/>
      <c r="T46" s="189"/>
      <c r="U46" s="189"/>
      <c r="V46" s="203"/>
      <c r="W46" s="254"/>
      <c r="X46" s="102"/>
      <c r="Z46" s="194"/>
      <c r="AA46" s="202"/>
    </row>
    <row r="47" spans="2:27" ht="36" customHeight="1" x14ac:dyDescent="0.25">
      <c r="B47" s="409" t="s">
        <v>136</v>
      </c>
      <c r="C47" s="409"/>
      <c r="D47" s="409"/>
      <c r="E47" s="409"/>
      <c r="F47" s="409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254"/>
      <c r="X47" s="102"/>
      <c r="Z47" s="194"/>
      <c r="AA47" s="202"/>
    </row>
    <row r="48" spans="2:27" ht="11.25" customHeight="1" x14ac:dyDescent="0.25">
      <c r="W48" s="254"/>
      <c r="X48" s="102"/>
      <c r="Z48" s="194"/>
      <c r="AA48" s="202"/>
    </row>
    <row r="49" spans="2:27" ht="36" customHeight="1" thickBot="1" x14ac:dyDescent="0.3">
      <c r="B49" s="261"/>
      <c r="C49" s="200"/>
      <c r="D49" s="402" t="str">
        <f>D7</f>
        <v>طی مرداد ماه</v>
      </c>
      <c r="E49" s="402"/>
      <c r="F49" s="402"/>
      <c r="G49" s="402"/>
      <c r="H49" s="402"/>
      <c r="I49" s="402"/>
      <c r="J49" s="402"/>
      <c r="K49" s="200"/>
      <c r="L49" s="200"/>
      <c r="M49" s="200"/>
      <c r="N49" s="402" t="str">
        <f>N7</f>
        <v>از ابتدای سال مالی تا پایان مرداد  ماه</v>
      </c>
      <c r="O49" s="402"/>
      <c r="P49" s="402"/>
      <c r="Q49" s="402"/>
      <c r="R49" s="402"/>
      <c r="S49" s="402"/>
      <c r="T49" s="402"/>
      <c r="U49" s="402"/>
      <c r="V49" s="402"/>
      <c r="W49" s="254"/>
      <c r="X49" s="102"/>
      <c r="Z49" s="194"/>
      <c r="AA49" s="202"/>
    </row>
    <row r="50" spans="2:27" ht="36" customHeight="1" x14ac:dyDescent="0.25">
      <c r="B50" s="403" t="s">
        <v>35</v>
      </c>
      <c r="C50" s="403"/>
      <c r="D50" s="407" t="s">
        <v>21</v>
      </c>
      <c r="E50" s="403"/>
      <c r="F50" s="407" t="s">
        <v>22</v>
      </c>
      <c r="G50" s="403"/>
      <c r="H50" s="407" t="s">
        <v>23</v>
      </c>
      <c r="I50" s="403"/>
      <c r="J50" s="405" t="s">
        <v>7</v>
      </c>
      <c r="K50" s="405"/>
      <c r="L50" s="405"/>
      <c r="M50" s="403"/>
      <c r="N50" s="408" t="s">
        <v>21</v>
      </c>
      <c r="O50" s="410"/>
      <c r="P50" s="408" t="s">
        <v>22</v>
      </c>
      <c r="Q50" s="410"/>
      <c r="R50" s="408" t="s">
        <v>23</v>
      </c>
      <c r="S50" s="410"/>
      <c r="T50" s="405" t="s">
        <v>7</v>
      </c>
      <c r="U50" s="405"/>
      <c r="V50" s="405"/>
      <c r="W50" s="254"/>
      <c r="X50" s="102"/>
      <c r="Z50" s="194"/>
      <c r="AA50" s="202"/>
    </row>
    <row r="51" spans="2:27" ht="36" customHeight="1" thickBot="1" x14ac:dyDescent="0.3">
      <c r="B51" s="403"/>
      <c r="C51" s="403"/>
      <c r="D51" s="407"/>
      <c r="E51" s="403"/>
      <c r="F51" s="407"/>
      <c r="G51" s="403"/>
      <c r="H51" s="407"/>
      <c r="I51" s="403"/>
      <c r="J51" s="402"/>
      <c r="K51" s="402"/>
      <c r="L51" s="402"/>
      <c r="M51" s="403"/>
      <c r="N51" s="407"/>
      <c r="O51" s="403"/>
      <c r="P51" s="407"/>
      <c r="Q51" s="403"/>
      <c r="R51" s="407"/>
      <c r="S51" s="403"/>
      <c r="T51" s="402"/>
      <c r="U51" s="402"/>
      <c r="V51" s="402"/>
      <c r="W51" s="254"/>
      <c r="X51" s="102"/>
      <c r="Z51" s="194"/>
      <c r="AA51" s="202"/>
    </row>
    <row r="52" spans="2:27" ht="49.5" customHeight="1" thickBot="1" x14ac:dyDescent="0.3">
      <c r="B52" s="404"/>
      <c r="C52" s="403"/>
      <c r="D52" s="88" t="s">
        <v>90</v>
      </c>
      <c r="E52" s="403"/>
      <c r="F52" s="88" t="s">
        <v>91</v>
      </c>
      <c r="G52" s="403"/>
      <c r="H52" s="88" t="s">
        <v>92</v>
      </c>
      <c r="I52" s="403"/>
      <c r="J52" s="103" t="s">
        <v>11</v>
      </c>
      <c r="K52" s="103"/>
      <c r="L52" s="103" t="s">
        <v>24</v>
      </c>
      <c r="M52" s="403"/>
      <c r="N52" s="88" t="s">
        <v>90</v>
      </c>
      <c r="O52" s="403"/>
      <c r="P52" s="88" t="s">
        <v>91</v>
      </c>
      <c r="Q52" s="403"/>
      <c r="R52" s="88" t="s">
        <v>92</v>
      </c>
      <c r="S52" s="403"/>
      <c r="T52" s="103" t="s">
        <v>11</v>
      </c>
      <c r="U52" s="103"/>
      <c r="V52" s="103" t="s">
        <v>24</v>
      </c>
      <c r="W52" s="254"/>
      <c r="X52" s="102"/>
      <c r="Z52" s="194"/>
      <c r="AA52" s="202"/>
    </row>
    <row r="53" spans="2:27" ht="36" customHeight="1" x14ac:dyDescent="0.25">
      <c r="B53" s="191" t="s">
        <v>166</v>
      </c>
      <c r="C53" s="191"/>
      <c r="D53" s="189">
        <f>D45</f>
        <v>187097675969</v>
      </c>
      <c r="E53" s="191"/>
      <c r="F53" s="189">
        <f>F45</f>
        <v>2481392351589</v>
      </c>
      <c r="G53" s="189"/>
      <c r="H53" s="189">
        <f>H45</f>
        <v>-46844850969</v>
      </c>
      <c r="I53" s="189"/>
      <c r="J53" s="189">
        <f>D53+F53+H53</f>
        <v>2621645176589</v>
      </c>
      <c r="K53" s="189"/>
      <c r="L53" s="203">
        <f>L45</f>
        <v>-2.535176700506323</v>
      </c>
      <c r="M53" s="189"/>
      <c r="N53" s="189">
        <f>N45</f>
        <v>406528608574</v>
      </c>
      <c r="O53" s="189"/>
      <c r="P53" s="189">
        <f>P45</f>
        <v>4143618911672</v>
      </c>
      <c r="Q53" s="189"/>
      <c r="R53" s="189">
        <f>R45</f>
        <v>800991948200</v>
      </c>
      <c r="S53" s="189"/>
      <c r="T53" s="189">
        <f>N53+P53+R53</f>
        <v>5351139468446</v>
      </c>
      <c r="U53" s="105"/>
      <c r="V53" s="106">
        <f>V45</f>
        <v>0.80825608430067009</v>
      </c>
      <c r="W53" s="254"/>
      <c r="X53" s="102"/>
      <c r="Z53" s="194"/>
      <c r="AA53" s="202"/>
    </row>
    <row r="54" spans="2:27" ht="36" customHeight="1" x14ac:dyDescent="0.25">
      <c r="B54" s="175" t="s">
        <v>119</v>
      </c>
      <c r="C54" s="175"/>
      <c r="D54" s="190">
        <v>0</v>
      </c>
      <c r="E54" s="188"/>
      <c r="F54" s="189">
        <v>156580206000</v>
      </c>
      <c r="G54" s="189"/>
      <c r="H54" s="189">
        <v>0</v>
      </c>
      <c r="I54" s="189"/>
      <c r="J54" s="189">
        <f>D54+F54+H54</f>
        <v>156580206000</v>
      </c>
      <c r="K54" s="189"/>
      <c r="L54" s="203">
        <f t="shared" ref="L54:L86" si="3">J54/$X$12</f>
        <v>-0.15141579553040796</v>
      </c>
      <c r="M54" s="189"/>
      <c r="N54" s="189">
        <v>0</v>
      </c>
      <c r="O54" s="189"/>
      <c r="P54" s="189">
        <v>153711529642</v>
      </c>
      <c r="Q54" s="189"/>
      <c r="R54" s="189">
        <v>4595007364</v>
      </c>
      <c r="S54" s="189">
        <v>2132299511</v>
      </c>
      <c r="T54" s="189">
        <f>N54+P54+R54</f>
        <v>158306537006</v>
      </c>
      <c r="U54" s="189">
        <v>-5155830311</v>
      </c>
      <c r="V54" s="203">
        <f>T54/درآمدها!$F$9</f>
        <v>2.3911210401852359E-2</v>
      </c>
      <c r="W54" s="254"/>
      <c r="X54" s="102"/>
      <c r="Z54" s="194"/>
      <c r="AA54" s="202"/>
    </row>
    <row r="55" spans="2:27" ht="36" customHeight="1" x14ac:dyDescent="0.25">
      <c r="B55" s="175" t="s">
        <v>181</v>
      </c>
      <c r="C55" s="175"/>
      <c r="D55" s="190">
        <v>0</v>
      </c>
      <c r="E55" s="188"/>
      <c r="F55" s="189">
        <v>0</v>
      </c>
      <c r="G55" s="189"/>
      <c r="H55" s="189">
        <v>0</v>
      </c>
      <c r="I55" s="189"/>
      <c r="J55" s="189">
        <f t="shared" ref="J55:J86" si="4">D55+F55+H55</f>
        <v>0</v>
      </c>
      <c r="K55" s="189"/>
      <c r="L55" s="203">
        <f t="shared" si="3"/>
        <v>0</v>
      </c>
      <c r="M55" s="189"/>
      <c r="N55" s="189">
        <v>360000000</v>
      </c>
      <c r="O55" s="189"/>
      <c r="P55" s="189">
        <v>0</v>
      </c>
      <c r="Q55" s="189"/>
      <c r="R55" s="189">
        <v>2100289780</v>
      </c>
      <c r="S55" s="189">
        <v>1644814375</v>
      </c>
      <c r="T55" s="189">
        <f t="shared" ref="T55:T86" si="5">N55+P55+R55</f>
        <v>2460289780</v>
      </c>
      <c r="U55" s="189">
        <v>-5155830310</v>
      </c>
      <c r="V55" s="203">
        <f>T55/درآمدها!$F$9</f>
        <v>3.7161135409637179E-4</v>
      </c>
      <c r="W55" s="254"/>
      <c r="X55" s="102"/>
      <c r="Z55" s="194"/>
      <c r="AA55" s="202"/>
    </row>
    <row r="56" spans="2:27" ht="36" customHeight="1" x14ac:dyDescent="0.25">
      <c r="B56" s="175" t="s">
        <v>175</v>
      </c>
      <c r="C56" s="175"/>
      <c r="D56" s="190">
        <v>0</v>
      </c>
      <c r="E56" s="188"/>
      <c r="F56" s="189">
        <v>0</v>
      </c>
      <c r="G56" s="189"/>
      <c r="H56" s="189">
        <v>0</v>
      </c>
      <c r="I56" s="189"/>
      <c r="J56" s="189">
        <f t="shared" si="4"/>
        <v>0</v>
      </c>
      <c r="K56" s="189"/>
      <c r="L56" s="203">
        <f t="shared" si="3"/>
        <v>0</v>
      </c>
      <c r="M56" s="189"/>
      <c r="N56" s="189">
        <v>2942680500</v>
      </c>
      <c r="O56" s="189"/>
      <c r="P56" s="189">
        <v>0</v>
      </c>
      <c r="Q56" s="189"/>
      <c r="R56" s="189">
        <v>35527447451</v>
      </c>
      <c r="S56" s="189">
        <v>-8875524087</v>
      </c>
      <c r="T56" s="189">
        <f t="shared" si="5"/>
        <v>38470127951</v>
      </c>
      <c r="U56" s="189">
        <v>-803317139</v>
      </c>
      <c r="V56" s="203">
        <f>T56/درآمدها!$F$9</f>
        <v>5.8106717575893809E-3</v>
      </c>
      <c r="W56" s="254"/>
      <c r="X56" s="102"/>
      <c r="Z56" s="194"/>
      <c r="AA56" s="202"/>
    </row>
    <row r="57" spans="2:27" ht="36" customHeight="1" x14ac:dyDescent="0.45">
      <c r="B57" s="175" t="s">
        <v>194</v>
      </c>
      <c r="C57" s="175"/>
      <c r="D57" s="190">
        <v>0</v>
      </c>
      <c r="E57" s="188"/>
      <c r="F57" s="189">
        <v>0</v>
      </c>
      <c r="G57" s="189"/>
      <c r="H57" s="189">
        <v>0</v>
      </c>
      <c r="I57" s="189"/>
      <c r="J57" s="189">
        <f t="shared" si="4"/>
        <v>0</v>
      </c>
      <c r="K57" s="189"/>
      <c r="L57" s="203">
        <f t="shared" si="3"/>
        <v>0</v>
      </c>
      <c r="M57" s="189"/>
      <c r="N57" s="189">
        <v>0</v>
      </c>
      <c r="O57" s="189"/>
      <c r="P57" s="189">
        <v>0</v>
      </c>
      <c r="Q57" s="189"/>
      <c r="R57" s="189">
        <v>69437924</v>
      </c>
      <c r="S57" s="189">
        <v>1487118809</v>
      </c>
      <c r="T57" s="189">
        <f t="shared" si="5"/>
        <v>69437924</v>
      </c>
      <c r="U57" s="189">
        <v>-38274340413</v>
      </c>
      <c r="V57" s="203">
        <f>T57/درآمدها!$F$9</f>
        <v>1.0488163294033174E-5</v>
      </c>
      <c r="W57" s="254"/>
      <c r="X57" s="262"/>
      <c r="Z57" s="194"/>
      <c r="AA57" s="202"/>
    </row>
    <row r="58" spans="2:27" ht="36" customHeight="1" x14ac:dyDescent="0.45">
      <c r="B58" s="175" t="s">
        <v>207</v>
      </c>
      <c r="C58" s="175"/>
      <c r="D58" s="190">
        <v>0</v>
      </c>
      <c r="E58" s="188"/>
      <c r="F58" s="189">
        <v>0</v>
      </c>
      <c r="G58" s="189"/>
      <c r="H58" s="189">
        <v>0</v>
      </c>
      <c r="I58" s="189"/>
      <c r="J58" s="189">
        <f t="shared" si="4"/>
        <v>0</v>
      </c>
      <c r="K58" s="189"/>
      <c r="L58" s="203">
        <f t="shared" si="3"/>
        <v>0</v>
      </c>
      <c r="M58" s="189"/>
      <c r="N58" s="189">
        <v>0</v>
      </c>
      <c r="O58" s="189"/>
      <c r="P58" s="189">
        <v>0</v>
      </c>
      <c r="Q58" s="189"/>
      <c r="R58" s="189">
        <v>7835747</v>
      </c>
      <c r="S58" s="189"/>
      <c r="T58" s="189">
        <f t="shared" si="5"/>
        <v>7835747</v>
      </c>
      <c r="U58" s="189"/>
      <c r="V58" s="203">
        <f>T58/درآمدها!$F$9</f>
        <v>1.1835404823843893E-6</v>
      </c>
      <c r="W58" s="254"/>
      <c r="X58" s="262"/>
      <c r="Z58" s="194"/>
      <c r="AA58" s="202"/>
    </row>
    <row r="59" spans="2:27" ht="36" customHeight="1" x14ac:dyDescent="0.45">
      <c r="B59" s="175" t="s">
        <v>108</v>
      </c>
      <c r="C59" s="175"/>
      <c r="D59" s="190">
        <v>0</v>
      </c>
      <c r="E59" s="188"/>
      <c r="F59" s="189">
        <v>28378922000</v>
      </c>
      <c r="G59" s="189"/>
      <c r="H59" s="189">
        <v>0</v>
      </c>
      <c r="I59" s="189"/>
      <c r="J59" s="189">
        <f t="shared" si="4"/>
        <v>28378922000</v>
      </c>
      <c r="K59" s="189"/>
      <c r="L59" s="203">
        <f t="shared" si="3"/>
        <v>-2.7442913511848337E-2</v>
      </c>
      <c r="M59" s="189"/>
      <c r="N59" s="189">
        <v>0</v>
      </c>
      <c r="O59" s="189"/>
      <c r="P59" s="189">
        <v>32893641094</v>
      </c>
      <c r="Q59" s="189"/>
      <c r="R59" s="189">
        <v>46591278625</v>
      </c>
      <c r="S59" s="189"/>
      <c r="T59" s="189">
        <f t="shared" si="5"/>
        <v>79484919719</v>
      </c>
      <c r="U59" s="189"/>
      <c r="V59" s="203">
        <f>T59/درآمدها!$F$9</f>
        <v>1.200569903884208E-2</v>
      </c>
      <c r="W59" s="254"/>
      <c r="X59" s="262"/>
      <c r="Z59" s="194"/>
      <c r="AA59" s="202"/>
    </row>
    <row r="60" spans="2:27" ht="36" customHeight="1" x14ac:dyDescent="0.45">
      <c r="B60" s="175" t="s">
        <v>187</v>
      </c>
      <c r="C60" s="175"/>
      <c r="D60" s="190">
        <v>0</v>
      </c>
      <c r="E60" s="188"/>
      <c r="F60" s="189">
        <v>0</v>
      </c>
      <c r="G60" s="189"/>
      <c r="H60" s="189">
        <v>0</v>
      </c>
      <c r="I60" s="189"/>
      <c r="J60" s="189">
        <f t="shared" si="4"/>
        <v>0</v>
      </c>
      <c r="K60" s="189"/>
      <c r="L60" s="203">
        <f t="shared" si="3"/>
        <v>0</v>
      </c>
      <c r="M60" s="189"/>
      <c r="N60" s="189">
        <v>0</v>
      </c>
      <c r="O60" s="189"/>
      <c r="P60" s="189">
        <v>0</v>
      </c>
      <c r="Q60" s="189"/>
      <c r="R60" s="189">
        <v>315387909</v>
      </c>
      <c r="S60" s="189"/>
      <c r="T60" s="189">
        <f t="shared" si="5"/>
        <v>315387909</v>
      </c>
      <c r="U60" s="189"/>
      <c r="V60" s="203">
        <f>T60/درآمدها!$F$9</f>
        <v>4.7637367306022496E-5</v>
      </c>
      <c r="W60" s="254"/>
      <c r="X60" s="262"/>
      <c r="Z60" s="194"/>
      <c r="AA60" s="202"/>
    </row>
    <row r="61" spans="2:27" ht="36" customHeight="1" x14ac:dyDescent="0.45">
      <c r="B61" s="175" t="s">
        <v>118</v>
      </c>
      <c r="C61" s="175"/>
      <c r="D61" s="190">
        <v>0</v>
      </c>
      <c r="E61" s="188"/>
      <c r="F61" s="189">
        <v>86136707239</v>
      </c>
      <c r="G61" s="189"/>
      <c r="H61" s="189">
        <v>0</v>
      </c>
      <c r="I61" s="189"/>
      <c r="J61" s="189">
        <f t="shared" si="4"/>
        <v>86136707239</v>
      </c>
      <c r="K61" s="189"/>
      <c r="L61" s="203">
        <f t="shared" si="3"/>
        <v>-8.3295701188201496E-2</v>
      </c>
      <c r="M61" s="189"/>
      <c r="N61" s="189">
        <v>0</v>
      </c>
      <c r="O61" s="189"/>
      <c r="P61" s="189">
        <v>122771360136</v>
      </c>
      <c r="Q61" s="189"/>
      <c r="R61" s="189">
        <v>2480203631</v>
      </c>
      <c r="S61" s="189"/>
      <c r="T61" s="189">
        <f t="shared" si="5"/>
        <v>125251563767</v>
      </c>
      <c r="U61" s="189"/>
      <c r="V61" s="203">
        <f>T61/درآمدها!$F$9</f>
        <v>1.8918463829957027E-2</v>
      </c>
      <c r="W61" s="254"/>
      <c r="X61" s="262"/>
      <c r="Z61" s="194"/>
      <c r="AA61" s="202"/>
    </row>
    <row r="62" spans="2:27" ht="36" customHeight="1" x14ac:dyDescent="0.45">
      <c r="B62" s="175" t="s">
        <v>206</v>
      </c>
      <c r="C62" s="175"/>
      <c r="D62" s="190">
        <v>0</v>
      </c>
      <c r="E62" s="188"/>
      <c r="F62" s="189">
        <v>0</v>
      </c>
      <c r="G62" s="189"/>
      <c r="H62" s="189">
        <v>0</v>
      </c>
      <c r="I62" s="189"/>
      <c r="J62" s="189">
        <f t="shared" si="4"/>
        <v>0</v>
      </c>
      <c r="K62" s="189"/>
      <c r="L62" s="203">
        <f t="shared" si="3"/>
        <v>0</v>
      </c>
      <c r="M62" s="189"/>
      <c r="N62" s="189">
        <v>0</v>
      </c>
      <c r="O62" s="189"/>
      <c r="P62" s="189">
        <v>0</v>
      </c>
      <c r="Q62" s="189"/>
      <c r="R62" s="189">
        <v>-52348</v>
      </c>
      <c r="S62" s="189"/>
      <c r="T62" s="189">
        <f t="shared" si="5"/>
        <v>-52348</v>
      </c>
      <c r="U62" s="189"/>
      <c r="V62" s="203">
        <f>T62/درآمدها!$F$9</f>
        <v>-7.9068373662214977E-9</v>
      </c>
      <c r="W62" s="254"/>
      <c r="X62" s="262"/>
      <c r="Z62" s="194"/>
      <c r="AA62" s="202"/>
    </row>
    <row r="63" spans="2:27" ht="36" customHeight="1" x14ac:dyDescent="0.45">
      <c r="B63" s="175" t="s">
        <v>185</v>
      </c>
      <c r="C63" s="175"/>
      <c r="D63" s="190">
        <v>0</v>
      </c>
      <c r="E63" s="188"/>
      <c r="F63" s="189">
        <v>0</v>
      </c>
      <c r="G63" s="189"/>
      <c r="H63" s="189">
        <v>0</v>
      </c>
      <c r="I63" s="189"/>
      <c r="J63" s="189">
        <f t="shared" si="4"/>
        <v>0</v>
      </c>
      <c r="K63" s="189"/>
      <c r="L63" s="203">
        <f t="shared" si="3"/>
        <v>0</v>
      </c>
      <c r="M63" s="189"/>
      <c r="N63" s="189">
        <v>0</v>
      </c>
      <c r="O63" s="189"/>
      <c r="P63" s="189">
        <v>0</v>
      </c>
      <c r="Q63" s="189"/>
      <c r="R63" s="189">
        <v>31998464469</v>
      </c>
      <c r="S63" s="189"/>
      <c r="T63" s="189">
        <f t="shared" si="5"/>
        <v>31998464469</v>
      </c>
      <c r="U63" s="189"/>
      <c r="V63" s="203">
        <f>T63/درآمدها!$F$9</f>
        <v>4.8331675426988643E-3</v>
      </c>
      <c r="W63" s="254"/>
      <c r="X63" s="262"/>
      <c r="Z63" s="194"/>
      <c r="AA63" s="202"/>
    </row>
    <row r="64" spans="2:27" ht="36" customHeight="1" x14ac:dyDescent="0.45">
      <c r="B64" s="175" t="s">
        <v>220</v>
      </c>
      <c r="C64" s="175"/>
      <c r="D64" s="190">
        <v>0</v>
      </c>
      <c r="E64" s="188"/>
      <c r="F64" s="189">
        <v>0</v>
      </c>
      <c r="G64" s="189"/>
      <c r="H64" s="189">
        <v>0</v>
      </c>
      <c r="I64" s="189"/>
      <c r="J64" s="189">
        <f t="shared" si="4"/>
        <v>0</v>
      </c>
      <c r="K64" s="189"/>
      <c r="L64" s="203">
        <f t="shared" si="3"/>
        <v>0</v>
      </c>
      <c r="M64" s="189"/>
      <c r="N64" s="189">
        <v>0</v>
      </c>
      <c r="O64" s="189"/>
      <c r="P64" s="189">
        <v>0</v>
      </c>
      <c r="Q64" s="189"/>
      <c r="R64" s="189">
        <v>-260068344</v>
      </c>
      <c r="S64" s="189"/>
      <c r="T64" s="189">
        <f t="shared" si="5"/>
        <v>-260068344</v>
      </c>
      <c r="U64" s="189"/>
      <c r="V64" s="203">
        <f>T64/درآمدها!$F$9</f>
        <v>-3.9281693667581314E-5</v>
      </c>
      <c r="W64" s="254"/>
      <c r="X64" s="262"/>
      <c r="Z64" s="194"/>
      <c r="AA64" s="202"/>
    </row>
    <row r="65" spans="2:31" ht="36" customHeight="1" x14ac:dyDescent="0.45">
      <c r="B65" s="175" t="s">
        <v>186</v>
      </c>
      <c r="C65" s="175"/>
      <c r="D65" s="190">
        <v>0</v>
      </c>
      <c r="E65" s="188"/>
      <c r="F65" s="189">
        <v>0</v>
      </c>
      <c r="G65" s="189"/>
      <c r="H65" s="189">
        <v>0</v>
      </c>
      <c r="I65" s="189"/>
      <c r="J65" s="189">
        <f t="shared" si="4"/>
        <v>0</v>
      </c>
      <c r="K65" s="189"/>
      <c r="L65" s="203">
        <f t="shared" si="3"/>
        <v>0</v>
      </c>
      <c r="M65" s="189"/>
      <c r="N65" s="189">
        <v>0</v>
      </c>
      <c r="O65" s="189"/>
      <c r="P65" s="189">
        <v>0</v>
      </c>
      <c r="Q65" s="189"/>
      <c r="R65" s="189">
        <v>997817364</v>
      </c>
      <c r="S65" s="189"/>
      <c r="T65" s="189">
        <f t="shared" si="5"/>
        <v>997817364</v>
      </c>
      <c r="U65" s="189"/>
      <c r="V65" s="203">
        <f>T65/درآمدها!$F$9</f>
        <v>1.5071406010429888E-4</v>
      </c>
      <c r="W65" s="254"/>
      <c r="X65" s="262"/>
      <c r="Z65" s="194"/>
      <c r="AA65" s="202"/>
    </row>
    <row r="66" spans="2:31" ht="36" customHeight="1" x14ac:dyDescent="0.45">
      <c r="B66" s="175" t="s">
        <v>191</v>
      </c>
      <c r="C66" s="175"/>
      <c r="D66" s="190">
        <v>0</v>
      </c>
      <c r="E66" s="188"/>
      <c r="F66" s="189">
        <v>0</v>
      </c>
      <c r="G66" s="189"/>
      <c r="H66" s="189">
        <v>0</v>
      </c>
      <c r="I66" s="189"/>
      <c r="J66" s="189">
        <f t="shared" si="4"/>
        <v>0</v>
      </c>
      <c r="K66" s="189"/>
      <c r="L66" s="203">
        <f t="shared" si="3"/>
        <v>0</v>
      </c>
      <c r="M66" s="189"/>
      <c r="N66" s="189">
        <v>0</v>
      </c>
      <c r="O66" s="189"/>
      <c r="P66" s="189">
        <v>0</v>
      </c>
      <c r="Q66" s="189"/>
      <c r="R66" s="189">
        <v>222654424</v>
      </c>
      <c r="S66" s="189"/>
      <c r="T66" s="189">
        <f t="shared" si="5"/>
        <v>222654424</v>
      </c>
      <c r="U66" s="189"/>
      <c r="V66" s="203">
        <f>T66/درآمدها!$F$9</f>
        <v>3.3630555502363504E-5</v>
      </c>
      <c r="W66" s="254"/>
      <c r="X66" s="262"/>
      <c r="Z66" s="194"/>
      <c r="AA66" s="202"/>
    </row>
    <row r="67" spans="2:31" ht="36" customHeight="1" x14ac:dyDescent="0.25">
      <c r="B67" s="175" t="s">
        <v>192</v>
      </c>
      <c r="C67" s="175"/>
      <c r="D67" s="190">
        <v>0</v>
      </c>
      <c r="E67" s="188"/>
      <c r="F67" s="189">
        <v>0</v>
      </c>
      <c r="G67" s="189"/>
      <c r="H67" s="189">
        <v>0</v>
      </c>
      <c r="I67" s="189"/>
      <c r="J67" s="189">
        <f t="shared" si="4"/>
        <v>0</v>
      </c>
      <c r="K67" s="189"/>
      <c r="L67" s="203">
        <f t="shared" si="3"/>
        <v>0</v>
      </c>
      <c r="M67" s="189"/>
      <c r="N67" s="189">
        <v>1624750000</v>
      </c>
      <c r="O67" s="189"/>
      <c r="P67" s="189">
        <v>0</v>
      </c>
      <c r="Q67" s="189"/>
      <c r="R67" s="189">
        <v>4347975638</v>
      </c>
      <c r="S67" s="189">
        <v>3859275341</v>
      </c>
      <c r="T67" s="189">
        <f t="shared" si="5"/>
        <v>5972725638</v>
      </c>
      <c r="U67" s="189">
        <v>8687840</v>
      </c>
      <c r="V67" s="203">
        <f>T67/درآمدها!$F$9</f>
        <v>9.0214278010100743E-4</v>
      </c>
      <c r="W67" s="254"/>
      <c r="X67" s="102"/>
      <c r="Z67" s="194"/>
      <c r="AA67" s="202"/>
    </row>
    <row r="68" spans="2:31" ht="36" customHeight="1" x14ac:dyDescent="0.25">
      <c r="B68" s="175" t="s">
        <v>200</v>
      </c>
      <c r="C68" s="175"/>
      <c r="D68" s="190">
        <v>0</v>
      </c>
      <c r="E68" s="188"/>
      <c r="F68" s="189">
        <v>0</v>
      </c>
      <c r="G68" s="189"/>
      <c r="H68" s="189">
        <v>0</v>
      </c>
      <c r="I68" s="189"/>
      <c r="J68" s="189">
        <f t="shared" si="4"/>
        <v>0</v>
      </c>
      <c r="K68" s="189"/>
      <c r="L68" s="203">
        <f t="shared" si="3"/>
        <v>0</v>
      </c>
      <c r="M68" s="189"/>
      <c r="N68" s="189">
        <v>0</v>
      </c>
      <c r="O68" s="189"/>
      <c r="P68" s="189">
        <v>0</v>
      </c>
      <c r="Q68" s="189"/>
      <c r="R68" s="189">
        <v>822859418</v>
      </c>
      <c r="S68" s="189">
        <v>1937265303</v>
      </c>
      <c r="T68" s="189">
        <f t="shared" si="5"/>
        <v>822859418</v>
      </c>
      <c r="U68" s="189">
        <v>-3013924119</v>
      </c>
      <c r="V68" s="203">
        <f>T68/درآمدها!$F$9</f>
        <v>1.2428775871837846E-4</v>
      </c>
      <c r="W68" s="254"/>
      <c r="X68" s="102"/>
      <c r="Z68" s="194"/>
      <c r="AA68" s="202"/>
    </row>
    <row r="69" spans="2:31" ht="36" customHeight="1" x14ac:dyDescent="0.25">
      <c r="B69" s="175" t="s">
        <v>193</v>
      </c>
      <c r="C69" s="175"/>
      <c r="D69" s="189">
        <v>0</v>
      </c>
      <c r="E69" s="188"/>
      <c r="F69" s="189">
        <v>0</v>
      </c>
      <c r="G69" s="189"/>
      <c r="H69" s="189">
        <v>0</v>
      </c>
      <c r="I69" s="189"/>
      <c r="J69" s="189">
        <f t="shared" si="4"/>
        <v>0</v>
      </c>
      <c r="K69" s="189"/>
      <c r="L69" s="203">
        <f t="shared" si="3"/>
        <v>0</v>
      </c>
      <c r="M69" s="189"/>
      <c r="N69" s="189">
        <v>0</v>
      </c>
      <c r="O69" s="189"/>
      <c r="P69" s="189">
        <v>0</v>
      </c>
      <c r="Q69" s="189"/>
      <c r="R69" s="189">
        <v>72448025249</v>
      </c>
      <c r="S69" s="189">
        <v>1212931406</v>
      </c>
      <c r="T69" s="189">
        <f t="shared" si="5"/>
        <v>72448025249</v>
      </c>
      <c r="U69" s="189">
        <v>-5189228345</v>
      </c>
      <c r="V69" s="203">
        <f>T69/درآمدها!$F$9</f>
        <v>1.0942820225180557E-2</v>
      </c>
      <c r="W69" s="254"/>
      <c r="X69" s="102"/>
      <c r="Z69" s="194"/>
      <c r="AA69" s="202"/>
    </row>
    <row r="70" spans="2:31" ht="36" customHeight="1" x14ac:dyDescent="0.25">
      <c r="B70" s="175" t="s">
        <v>128</v>
      </c>
      <c r="C70" s="175"/>
      <c r="D70" s="190">
        <v>0</v>
      </c>
      <c r="E70" s="188"/>
      <c r="F70" s="189">
        <v>419730210000</v>
      </c>
      <c r="G70" s="189"/>
      <c r="H70" s="189">
        <v>0</v>
      </c>
      <c r="I70" s="189"/>
      <c r="J70" s="189">
        <f t="shared" si="4"/>
        <v>419730210000</v>
      </c>
      <c r="K70" s="189"/>
      <c r="L70" s="203">
        <f t="shared" si="3"/>
        <v>-0.40588644809481983</v>
      </c>
      <c r="M70" s="189"/>
      <c r="N70" s="189">
        <v>0</v>
      </c>
      <c r="O70" s="189"/>
      <c r="P70" s="189">
        <v>585044455411</v>
      </c>
      <c r="Q70" s="189"/>
      <c r="R70" s="189">
        <v>16509532983</v>
      </c>
      <c r="S70" s="189">
        <v>6910941668</v>
      </c>
      <c r="T70" s="189">
        <f t="shared" si="5"/>
        <v>601553988394</v>
      </c>
      <c r="U70" s="189">
        <v>3261876929</v>
      </c>
      <c r="V70" s="203">
        <f>T70/درآمدها!$F$9</f>
        <v>9.0860960365883189E-2</v>
      </c>
      <c r="W70" s="254"/>
      <c r="X70" s="102"/>
      <c r="Z70" s="194"/>
      <c r="AA70" s="202"/>
    </row>
    <row r="71" spans="2:31" ht="36" customHeight="1" x14ac:dyDescent="0.25">
      <c r="B71" s="175" t="s">
        <v>226</v>
      </c>
      <c r="C71" s="175"/>
      <c r="D71" s="190">
        <v>0</v>
      </c>
      <c r="E71" s="188"/>
      <c r="F71" s="189">
        <v>0</v>
      </c>
      <c r="G71" s="189"/>
      <c r="H71" s="189">
        <v>0</v>
      </c>
      <c r="I71" s="189"/>
      <c r="J71" s="189">
        <f t="shared" si="4"/>
        <v>0</v>
      </c>
      <c r="K71" s="189"/>
      <c r="L71" s="203">
        <f t="shared" si="3"/>
        <v>0</v>
      </c>
      <c r="M71" s="189"/>
      <c r="N71" s="189">
        <v>0</v>
      </c>
      <c r="O71" s="189"/>
      <c r="P71" s="189">
        <v>0</v>
      </c>
      <c r="Q71" s="189"/>
      <c r="R71" s="189">
        <v>0</v>
      </c>
      <c r="S71" s="189">
        <v>151419925</v>
      </c>
      <c r="T71" s="189">
        <f t="shared" si="5"/>
        <v>0</v>
      </c>
      <c r="U71" s="189">
        <v>2910175062</v>
      </c>
      <c r="V71" s="203">
        <f>T71/درآمدها!$F$9</f>
        <v>0</v>
      </c>
      <c r="W71" s="254"/>
      <c r="X71" s="102"/>
      <c r="Z71" s="194"/>
      <c r="AA71" s="202"/>
    </row>
    <row r="72" spans="2:31" ht="36" customHeight="1" x14ac:dyDescent="0.25">
      <c r="B72" s="175" t="s">
        <v>134</v>
      </c>
      <c r="C72" s="175"/>
      <c r="D72" s="190">
        <v>0</v>
      </c>
      <c r="E72" s="188"/>
      <c r="F72" s="189">
        <v>0</v>
      </c>
      <c r="G72" s="189"/>
      <c r="H72" s="189">
        <v>0</v>
      </c>
      <c r="I72" s="189"/>
      <c r="J72" s="189">
        <f t="shared" si="4"/>
        <v>0</v>
      </c>
      <c r="K72" s="189"/>
      <c r="L72" s="203">
        <f t="shared" si="3"/>
        <v>0</v>
      </c>
      <c r="M72" s="189"/>
      <c r="N72" s="189">
        <v>0</v>
      </c>
      <c r="O72" s="189"/>
      <c r="P72" s="189">
        <v>0</v>
      </c>
      <c r="Q72" s="189"/>
      <c r="R72" s="189">
        <v>234334906</v>
      </c>
      <c r="S72" s="189">
        <v>31387040</v>
      </c>
      <c r="T72" s="189">
        <f t="shared" si="5"/>
        <v>234334906</v>
      </c>
      <c r="U72" s="189">
        <v>1401330331</v>
      </c>
      <c r="V72" s="203">
        <f>T72/درآمدها!$F$9-1</f>
        <v>-0.99996460518088615</v>
      </c>
      <c r="W72" s="254"/>
      <c r="X72" s="102"/>
      <c r="Z72" s="194"/>
      <c r="AA72" s="202"/>
    </row>
    <row r="73" spans="2:31" ht="36" customHeight="1" x14ac:dyDescent="0.25">
      <c r="B73" s="175" t="s">
        <v>188</v>
      </c>
      <c r="C73" s="175"/>
      <c r="D73" s="190">
        <v>0</v>
      </c>
      <c r="E73" s="188"/>
      <c r="F73" s="189">
        <v>0</v>
      </c>
      <c r="G73" s="189"/>
      <c r="H73" s="189">
        <v>0</v>
      </c>
      <c r="I73" s="189"/>
      <c r="J73" s="189">
        <f t="shared" si="4"/>
        <v>0</v>
      </c>
      <c r="K73" s="189"/>
      <c r="L73" s="203">
        <f t="shared" si="3"/>
        <v>0</v>
      </c>
      <c r="M73" s="189"/>
      <c r="N73" s="189">
        <v>399770799</v>
      </c>
      <c r="O73" s="189"/>
      <c r="P73" s="189">
        <v>0</v>
      </c>
      <c r="Q73" s="189"/>
      <c r="R73" s="189">
        <v>6557870676</v>
      </c>
      <c r="S73" s="189">
        <v>1762590900</v>
      </c>
      <c r="T73" s="189">
        <f t="shared" si="5"/>
        <v>6957641475</v>
      </c>
      <c r="U73" s="189">
        <v>-160980321</v>
      </c>
      <c r="V73" s="203">
        <f>T73/درآمدها!$F$9</f>
        <v>1.050908145398152E-3</v>
      </c>
      <c r="W73" s="254"/>
      <c r="X73" s="102"/>
      <c r="Z73" s="194"/>
      <c r="AA73" s="202"/>
    </row>
    <row r="74" spans="2:31" ht="36" customHeight="1" x14ac:dyDescent="0.25">
      <c r="B74" s="175" t="s">
        <v>124</v>
      </c>
      <c r="C74" s="175"/>
      <c r="D74" s="190">
        <v>0</v>
      </c>
      <c r="E74" s="188"/>
      <c r="F74" s="189">
        <v>326457</v>
      </c>
      <c r="G74" s="189"/>
      <c r="H74" s="189">
        <v>0</v>
      </c>
      <c r="I74" s="189"/>
      <c r="J74" s="189">
        <f t="shared" si="4"/>
        <v>326457</v>
      </c>
      <c r="K74" s="189"/>
      <c r="L74" s="203">
        <f t="shared" si="3"/>
        <v>-3.1568962402227517E-7</v>
      </c>
      <c r="M74" s="189"/>
      <c r="N74" s="189">
        <v>44616</v>
      </c>
      <c r="O74" s="189"/>
      <c r="P74" s="189">
        <v>525903</v>
      </c>
      <c r="Q74" s="189"/>
      <c r="R74" s="189">
        <v>0</v>
      </c>
      <c r="S74" s="189">
        <v>2476602308</v>
      </c>
      <c r="T74" s="189">
        <f t="shared" si="5"/>
        <v>570519</v>
      </c>
      <c r="U74" s="189">
        <v>-12553533323</v>
      </c>
      <c r="V74" s="203">
        <f>T74/درآمدها!$F$9</f>
        <v>8.6173319846781596E-8</v>
      </c>
      <c r="W74" s="254"/>
      <c r="X74" s="102"/>
      <c r="Z74" s="194"/>
      <c r="AA74" s="202"/>
    </row>
    <row r="75" spans="2:31" ht="36" customHeight="1" x14ac:dyDescent="0.25">
      <c r="B75" s="175" t="s">
        <v>146</v>
      </c>
      <c r="C75" s="175"/>
      <c r="D75" s="190">
        <v>0</v>
      </c>
      <c r="E75" s="188"/>
      <c r="F75" s="189">
        <v>654243</v>
      </c>
      <c r="G75" s="189"/>
      <c r="H75" s="189">
        <v>0</v>
      </c>
      <c r="I75" s="189"/>
      <c r="J75" s="189">
        <f t="shared" si="4"/>
        <v>654243</v>
      </c>
      <c r="K75" s="189"/>
      <c r="L75" s="203">
        <f t="shared" si="3"/>
        <v>-6.3266441426958335E-7</v>
      </c>
      <c r="M75" s="189"/>
      <c r="N75" s="189">
        <v>2608051</v>
      </c>
      <c r="O75" s="189"/>
      <c r="P75" s="189">
        <v>-265233</v>
      </c>
      <c r="Q75" s="189"/>
      <c r="R75" s="189">
        <v>0</v>
      </c>
      <c r="S75" s="189">
        <v>9867221407</v>
      </c>
      <c r="T75" s="189">
        <f t="shared" si="5"/>
        <v>2342818</v>
      </c>
      <c r="U75" s="189">
        <v>-6135872031</v>
      </c>
      <c r="V75" s="203">
        <f>T75/درآمدها!$F$9</f>
        <v>3.5386797785314281E-7</v>
      </c>
      <c r="W75" s="254"/>
      <c r="X75" s="102"/>
      <c r="Z75" s="194"/>
      <c r="AA75" s="202"/>
      <c r="AD75" s="185"/>
    </row>
    <row r="76" spans="2:31" ht="36" customHeight="1" x14ac:dyDescent="0.25">
      <c r="B76" s="175" t="s">
        <v>135</v>
      </c>
      <c r="C76" s="175"/>
      <c r="D76" s="190">
        <v>0</v>
      </c>
      <c r="E76" s="188"/>
      <c r="F76" s="189">
        <v>7035194</v>
      </c>
      <c r="G76" s="189"/>
      <c r="H76" s="189">
        <v>0</v>
      </c>
      <c r="I76" s="189"/>
      <c r="J76" s="189">
        <f t="shared" si="4"/>
        <v>7035194</v>
      </c>
      <c r="K76" s="189"/>
      <c r="L76" s="203">
        <f t="shared" si="3"/>
        <v>-6.8031555420277897E-6</v>
      </c>
      <c r="M76" s="189"/>
      <c r="N76" s="253">
        <v>4578613</v>
      </c>
      <c r="O76" s="189"/>
      <c r="P76" s="189">
        <v>19994240</v>
      </c>
      <c r="Q76" s="189"/>
      <c r="R76" s="146">
        <v>0</v>
      </c>
      <c r="S76" s="189">
        <v>-2831281270</v>
      </c>
      <c r="T76" s="189">
        <f t="shared" si="5"/>
        <v>24572853</v>
      </c>
      <c r="U76" s="189">
        <v>-650042212</v>
      </c>
      <c r="V76" s="203">
        <f>T76/درآمدها!$F$9</f>
        <v>3.7115754621966081E-6</v>
      </c>
      <c r="W76" s="254"/>
      <c r="X76" s="102"/>
      <c r="Z76" s="194"/>
      <c r="AA76" s="202"/>
      <c r="AD76" s="185"/>
    </row>
    <row r="77" spans="2:31" ht="36" customHeight="1" x14ac:dyDescent="0.25">
      <c r="B77" s="175" t="s">
        <v>125</v>
      </c>
      <c r="C77" s="175"/>
      <c r="D77" s="190">
        <v>0</v>
      </c>
      <c r="E77" s="188"/>
      <c r="F77" s="189">
        <v>-61714454</v>
      </c>
      <c r="G77" s="189"/>
      <c r="H77" s="189">
        <v>0</v>
      </c>
      <c r="I77" s="189"/>
      <c r="J77" s="189">
        <f t="shared" si="4"/>
        <v>-61714454</v>
      </c>
      <c r="K77" s="189"/>
      <c r="L77" s="203">
        <f t="shared" si="3"/>
        <v>5.9678955513283514E-5</v>
      </c>
      <c r="M77" s="189"/>
      <c r="N77" s="189">
        <v>199504</v>
      </c>
      <c r="O77" s="189"/>
      <c r="P77" s="189">
        <v>-61407307</v>
      </c>
      <c r="Q77" s="189"/>
      <c r="R77" s="189">
        <v>0</v>
      </c>
      <c r="S77" s="189">
        <v>2810738818</v>
      </c>
      <c r="T77" s="189">
        <f t="shared" si="5"/>
        <v>-61207803</v>
      </c>
      <c r="U77" s="189">
        <v>298767031</v>
      </c>
      <c r="V77" s="203">
        <f>T77/درآمدها!$F$9</f>
        <v>-9.2450550902560624E-6</v>
      </c>
      <c r="W77" s="254"/>
      <c r="X77" s="102"/>
      <c r="Z77" s="194"/>
      <c r="AA77" s="202"/>
      <c r="AD77" s="185"/>
    </row>
    <row r="78" spans="2:31" ht="36" customHeight="1" x14ac:dyDescent="0.25">
      <c r="B78" s="175" t="s">
        <v>132</v>
      </c>
      <c r="C78" s="175"/>
      <c r="D78" s="190">
        <v>0</v>
      </c>
      <c r="E78" s="188"/>
      <c r="F78" s="189">
        <v>0</v>
      </c>
      <c r="G78" s="189"/>
      <c r="H78" s="189">
        <v>0</v>
      </c>
      <c r="I78" s="189"/>
      <c r="J78" s="189">
        <f t="shared" si="4"/>
        <v>0</v>
      </c>
      <c r="K78" s="189"/>
      <c r="L78" s="203">
        <f t="shared" si="3"/>
        <v>0</v>
      </c>
      <c r="M78" s="189"/>
      <c r="N78" s="189">
        <v>15090439276</v>
      </c>
      <c r="O78" s="189"/>
      <c r="P78" s="189">
        <v>-68506320800</v>
      </c>
      <c r="Q78" s="189"/>
      <c r="R78" s="189">
        <v>0</v>
      </c>
      <c r="S78" s="189">
        <v>457681005</v>
      </c>
      <c r="T78" s="189">
        <f t="shared" si="5"/>
        <v>-53415881524</v>
      </c>
      <c r="U78" s="189">
        <v>628201261</v>
      </c>
      <c r="V78" s="203">
        <f>T78/درآمدها!$F$9</f>
        <v>-8.0681341786433824E-3</v>
      </c>
      <c r="W78" s="254"/>
      <c r="X78" s="102"/>
      <c r="Z78" s="194"/>
      <c r="AA78" s="202"/>
    </row>
    <row r="79" spans="2:31" ht="36" customHeight="1" x14ac:dyDescent="0.25">
      <c r="B79" s="175" t="s">
        <v>139</v>
      </c>
      <c r="C79" s="175"/>
      <c r="D79" s="190">
        <v>0</v>
      </c>
      <c r="E79" s="188"/>
      <c r="F79" s="189">
        <v>-19465835</v>
      </c>
      <c r="G79" s="189"/>
      <c r="H79" s="189">
        <v>0</v>
      </c>
      <c r="I79" s="189"/>
      <c r="J79" s="189">
        <f t="shared" si="4"/>
        <v>-19465835</v>
      </c>
      <c r="K79" s="189"/>
      <c r="L79" s="203">
        <f t="shared" si="3"/>
        <v>1.8823802621569287E-5</v>
      </c>
      <c r="M79" s="189"/>
      <c r="N79" s="189">
        <v>6144289</v>
      </c>
      <c r="O79" s="189"/>
      <c r="P79" s="189">
        <v>-17568615</v>
      </c>
      <c r="Q79" s="189"/>
      <c r="R79" s="189">
        <v>0</v>
      </c>
      <c r="S79" s="189">
        <v>-314831742</v>
      </c>
      <c r="T79" s="189">
        <f t="shared" si="5"/>
        <v>-11424326</v>
      </c>
      <c r="U79" s="189">
        <v>-273814835</v>
      </c>
      <c r="V79" s="203">
        <f>T79/درآمدها!$F$9</f>
        <v>-1.7255728528443453E-6</v>
      </c>
      <c r="W79" s="254"/>
      <c r="X79" s="102"/>
      <c r="Z79" s="194"/>
      <c r="AA79" s="202"/>
      <c r="AD79" s="185"/>
      <c r="AE79" s="185"/>
    </row>
    <row r="80" spans="2:31" ht="36" customHeight="1" x14ac:dyDescent="0.25">
      <c r="B80" s="175" t="s">
        <v>133</v>
      </c>
      <c r="C80" s="175"/>
      <c r="D80" s="190">
        <v>0</v>
      </c>
      <c r="E80" s="188"/>
      <c r="F80" s="189">
        <v>1270106</v>
      </c>
      <c r="G80" s="189"/>
      <c r="H80" s="189">
        <v>0</v>
      </c>
      <c r="I80" s="189"/>
      <c r="J80" s="189">
        <f t="shared" si="4"/>
        <v>1270106</v>
      </c>
      <c r="K80" s="189"/>
      <c r="L80" s="203">
        <f t="shared" si="3"/>
        <v>-1.2282146978267759E-6</v>
      </c>
      <c r="M80" s="189"/>
      <c r="N80" s="189">
        <v>83373</v>
      </c>
      <c r="O80" s="189"/>
      <c r="P80" s="189">
        <v>1575725</v>
      </c>
      <c r="Q80" s="189"/>
      <c r="R80" s="189">
        <v>0</v>
      </c>
      <c r="S80" s="189">
        <v>-21899317781</v>
      </c>
      <c r="T80" s="189">
        <f t="shared" si="5"/>
        <v>1659098</v>
      </c>
      <c r="U80" s="189"/>
      <c r="V80" s="203">
        <f>T80/درآمدها!$F$9</f>
        <v>2.5059635631969427E-7</v>
      </c>
      <c r="W80" s="254"/>
      <c r="X80" s="185"/>
      <c r="Y80" s="185"/>
      <c r="AA80" s="185"/>
    </row>
    <row r="81" spans="2:30" ht="36" customHeight="1" x14ac:dyDescent="0.25">
      <c r="B81" s="175" t="s">
        <v>224</v>
      </c>
      <c r="C81" s="175"/>
      <c r="D81" s="190">
        <v>0</v>
      </c>
      <c r="E81" s="188"/>
      <c r="F81" s="189">
        <v>71983200538</v>
      </c>
      <c r="G81" s="189"/>
      <c r="H81" s="189">
        <v>0</v>
      </c>
      <c r="I81" s="189"/>
      <c r="J81" s="189">
        <f t="shared" si="4"/>
        <v>71983200538</v>
      </c>
      <c r="K81" s="189"/>
      <c r="L81" s="203">
        <f t="shared" si="3"/>
        <v>-6.9609012867732217E-2</v>
      </c>
      <c r="M81" s="189"/>
      <c r="N81" s="189">
        <v>1603359173</v>
      </c>
      <c r="O81" s="189"/>
      <c r="P81" s="189">
        <v>53048163344</v>
      </c>
      <c r="Q81" s="189"/>
      <c r="R81" s="189">
        <v>0</v>
      </c>
      <c r="S81" s="189">
        <v>24903138035</v>
      </c>
      <c r="T81" s="189">
        <f t="shared" si="5"/>
        <v>54651522517</v>
      </c>
      <c r="U81" s="189"/>
      <c r="V81" s="203">
        <f>T81/درآمدها!$F$9</f>
        <v>8.2547700076089098E-3</v>
      </c>
      <c r="W81" s="254"/>
      <c r="X81" s="185"/>
      <c r="Y81" s="185"/>
      <c r="AA81" s="185"/>
    </row>
    <row r="82" spans="2:30" ht="36" customHeight="1" x14ac:dyDescent="0.25">
      <c r="B82" s="175" t="s">
        <v>228</v>
      </c>
      <c r="C82" s="175"/>
      <c r="D82" s="190">
        <v>0</v>
      </c>
      <c r="E82" s="188"/>
      <c r="F82" s="189">
        <v>0</v>
      </c>
      <c r="G82" s="189"/>
      <c r="H82" s="189">
        <v>0</v>
      </c>
      <c r="I82" s="189"/>
      <c r="J82" s="189">
        <f t="shared" si="4"/>
        <v>0</v>
      </c>
      <c r="K82" s="189"/>
      <c r="L82" s="203">
        <f t="shared" si="3"/>
        <v>0</v>
      </c>
      <c r="M82" s="189"/>
      <c r="N82" s="189">
        <v>229013860</v>
      </c>
      <c r="O82" s="189"/>
      <c r="P82" s="189">
        <v>-336211966</v>
      </c>
      <c r="Q82" s="189"/>
      <c r="R82" s="189">
        <v>0</v>
      </c>
      <c r="S82" s="189"/>
      <c r="T82" s="189">
        <f t="shared" si="5"/>
        <v>-107198106</v>
      </c>
      <c r="U82" s="189"/>
      <c r="V82" s="203">
        <f>T82/درآمدها!$F$9</f>
        <v>-1.619160216453299E-5</v>
      </c>
      <c r="W82" s="254"/>
      <c r="X82" s="185"/>
      <c r="Y82" s="185"/>
      <c r="AA82" s="185"/>
    </row>
    <row r="83" spans="2:30" ht="36" customHeight="1" x14ac:dyDescent="0.25">
      <c r="B83" s="175" t="s">
        <v>122</v>
      </c>
      <c r="C83" s="175"/>
      <c r="D83" s="190">
        <v>0</v>
      </c>
      <c r="E83" s="188"/>
      <c r="F83" s="189">
        <v>8593058</v>
      </c>
      <c r="G83" s="189"/>
      <c r="H83" s="189">
        <v>0</v>
      </c>
      <c r="I83" s="189"/>
      <c r="J83" s="189">
        <f t="shared" si="4"/>
        <v>8593058</v>
      </c>
      <c r="K83" s="189"/>
      <c r="L83" s="203">
        <f t="shared" si="3"/>
        <v>-8.3096372545897423E-6</v>
      </c>
      <c r="M83" s="189"/>
      <c r="N83" s="189">
        <v>0</v>
      </c>
      <c r="O83" s="189"/>
      <c r="P83" s="189">
        <v>16779286</v>
      </c>
      <c r="Q83" s="189"/>
      <c r="R83" s="189">
        <v>0</v>
      </c>
      <c r="S83" s="189"/>
      <c r="T83" s="189">
        <f t="shared" si="5"/>
        <v>16779286</v>
      </c>
      <c r="U83" s="189"/>
      <c r="V83" s="203">
        <f>T83/درآمدها!$F$9</f>
        <v>2.5344060044952483E-6</v>
      </c>
      <c r="W83" s="254"/>
      <c r="X83" s="185"/>
      <c r="Y83" s="185"/>
      <c r="AA83" s="185"/>
    </row>
    <row r="84" spans="2:30" ht="36" customHeight="1" x14ac:dyDescent="0.25">
      <c r="B84" s="175" t="s">
        <v>154</v>
      </c>
      <c r="C84" s="175"/>
      <c r="D84" s="190">
        <v>0</v>
      </c>
      <c r="E84" s="188"/>
      <c r="F84" s="189">
        <v>65013530400</v>
      </c>
      <c r="G84" s="189"/>
      <c r="H84" s="189">
        <v>0</v>
      </c>
      <c r="I84" s="189"/>
      <c r="J84" s="189">
        <f t="shared" si="4"/>
        <v>65013530400</v>
      </c>
      <c r="K84" s="189"/>
      <c r="L84" s="203">
        <f t="shared" si="3"/>
        <v>-6.2869220045325289E-2</v>
      </c>
      <c r="M84" s="189"/>
      <c r="N84" s="189">
        <v>0</v>
      </c>
      <c r="O84" s="189"/>
      <c r="P84" s="189">
        <v>94543485600</v>
      </c>
      <c r="Q84" s="189"/>
      <c r="R84" s="189">
        <v>0</v>
      </c>
      <c r="S84" s="189">
        <v>-4335963253</v>
      </c>
      <c r="T84" s="189">
        <f t="shared" si="5"/>
        <v>94543485600</v>
      </c>
      <c r="U84" s="189"/>
      <c r="V84" s="203">
        <f>T84/درآمدها!$F$9</f>
        <v>1.4280201052091851E-2</v>
      </c>
      <c r="W84" s="254"/>
      <c r="X84" s="185"/>
      <c r="Y84" s="185"/>
      <c r="AA84" s="185"/>
    </row>
    <row r="85" spans="2:30" ht="36" customHeight="1" x14ac:dyDescent="0.25">
      <c r="B85" s="175" t="s">
        <v>109</v>
      </c>
      <c r="C85" s="175"/>
      <c r="D85" s="190">
        <v>0</v>
      </c>
      <c r="E85" s="188"/>
      <c r="F85" s="189">
        <v>2272298</v>
      </c>
      <c r="G85" s="189"/>
      <c r="H85" s="189">
        <v>0</v>
      </c>
      <c r="I85" s="189"/>
      <c r="J85" s="189">
        <f t="shared" si="4"/>
        <v>2272298</v>
      </c>
      <c r="K85" s="189"/>
      <c r="L85" s="203">
        <f t="shared" si="3"/>
        <v>-2.1973518757035929E-6</v>
      </c>
      <c r="M85" s="189"/>
      <c r="N85" s="189">
        <v>0</v>
      </c>
      <c r="O85" s="189"/>
      <c r="P85" s="189">
        <v>5219340</v>
      </c>
      <c r="Q85" s="189"/>
      <c r="R85" s="189">
        <v>0</v>
      </c>
      <c r="S85" s="189"/>
      <c r="T85" s="189">
        <f t="shared" si="5"/>
        <v>5219340</v>
      </c>
      <c r="U85" s="189"/>
      <c r="V85" s="203">
        <f>T85/درآمدها!$F$9</f>
        <v>7.8834860050077397E-7</v>
      </c>
      <c r="W85" s="254"/>
      <c r="X85" s="185"/>
      <c r="Y85" s="185"/>
      <c r="AA85" s="185"/>
    </row>
    <row r="86" spans="2:30" ht="36" customHeight="1" x14ac:dyDescent="0.25">
      <c r="B86" s="175" t="s">
        <v>143</v>
      </c>
      <c r="C86" s="175"/>
      <c r="D86" s="190">
        <v>0</v>
      </c>
      <c r="E86" s="188"/>
      <c r="F86" s="189">
        <v>1617400</v>
      </c>
      <c r="G86" s="189"/>
      <c r="H86" s="189">
        <v>0</v>
      </c>
      <c r="I86" s="189"/>
      <c r="J86" s="189">
        <f t="shared" si="4"/>
        <v>1617400</v>
      </c>
      <c r="K86" s="189"/>
      <c r="L86" s="203">
        <f t="shared" si="3"/>
        <v>-1.5640540649875108E-6</v>
      </c>
      <c r="M86" s="189"/>
      <c r="N86" s="189">
        <v>0</v>
      </c>
      <c r="O86" s="189"/>
      <c r="P86" s="189">
        <v>2007363</v>
      </c>
      <c r="Q86" s="189"/>
      <c r="R86" s="189">
        <v>0</v>
      </c>
      <c r="S86" s="189">
        <v>4030409699</v>
      </c>
      <c r="T86" s="189">
        <f t="shared" si="5"/>
        <v>2007363</v>
      </c>
      <c r="U86" s="189"/>
      <c r="V86" s="203">
        <f>T86/درآمدها!$F$9</f>
        <v>3.0319960220009332E-7</v>
      </c>
      <c r="W86" s="254"/>
      <c r="X86" s="185"/>
      <c r="Y86" s="185"/>
      <c r="AA86" s="185"/>
    </row>
    <row r="87" spans="2:30" ht="36" customHeight="1" x14ac:dyDescent="0.25">
      <c r="B87" s="196" t="s">
        <v>7</v>
      </c>
      <c r="C87" s="165"/>
      <c r="D87" s="204">
        <f>SUM(D53:D86)</f>
        <v>187097675969</v>
      </c>
      <c r="E87" s="188"/>
      <c r="F87" s="204">
        <f>SUM(F53:F86)</f>
        <v>3309155716233</v>
      </c>
      <c r="G87" s="204"/>
      <c r="H87" s="204">
        <f>SUM(H53:H86)</f>
        <v>-46844850969</v>
      </c>
      <c r="I87" s="204"/>
      <c r="J87" s="204">
        <f>SUM(J53:J86)</f>
        <v>3449408541233</v>
      </c>
      <c r="K87" s="204"/>
      <c r="L87" s="120">
        <f>SUM(L53:L86)</f>
        <v>-3.3356383397539959</v>
      </c>
      <c r="M87" s="204"/>
      <c r="N87" s="204">
        <f>SUM(N53:N86)</f>
        <v>428792280628</v>
      </c>
      <c r="O87" s="204"/>
      <c r="P87" s="204">
        <f>SUM(P53:P86)</f>
        <v>5116755874835</v>
      </c>
      <c r="Q87" s="204"/>
      <c r="R87" s="204">
        <f>SUM(R53:R86)</f>
        <v>1026558251066</v>
      </c>
      <c r="S87" s="204"/>
      <c r="T87" s="204">
        <f>SUM(T53:T86)</f>
        <v>6572106406529</v>
      </c>
      <c r="U87" s="189"/>
      <c r="V87" s="120">
        <f>SUM(V53:V86)</f>
        <v>-7.3245107754412965E-3</v>
      </c>
      <c r="W87" s="254"/>
      <c r="X87" s="185"/>
      <c r="Y87" s="185"/>
      <c r="AA87" s="185"/>
    </row>
    <row r="88" spans="2:30" ht="36" customHeight="1" x14ac:dyDescent="0.25">
      <c r="B88" s="175"/>
      <c r="C88" s="165"/>
      <c r="D88" s="190"/>
      <c r="E88" s="188"/>
      <c r="F88" s="189"/>
      <c r="G88" s="189"/>
      <c r="H88" s="189"/>
      <c r="I88" s="189"/>
      <c r="J88" s="189"/>
      <c r="K88" s="189"/>
      <c r="L88" s="203"/>
      <c r="M88" s="189"/>
      <c r="N88" s="189"/>
      <c r="O88" s="189"/>
      <c r="P88" s="189"/>
      <c r="Q88" s="189"/>
      <c r="R88" s="189"/>
      <c r="S88" s="189"/>
      <c r="T88" s="189"/>
      <c r="U88" s="189"/>
      <c r="V88" s="203"/>
      <c r="W88" s="254"/>
      <c r="X88" s="185"/>
      <c r="Y88" s="309"/>
      <c r="Z88" s="310"/>
      <c r="AA88" s="185"/>
    </row>
    <row r="89" spans="2:30" ht="30" hidden="1" customHeight="1" x14ac:dyDescent="0.25">
      <c r="B89" s="409" t="s">
        <v>136</v>
      </c>
      <c r="C89" s="409"/>
      <c r="D89" s="409"/>
      <c r="E89" s="409"/>
      <c r="F89" s="409"/>
      <c r="G89" s="409"/>
      <c r="H89" s="409"/>
      <c r="I89" s="409"/>
      <c r="J89" s="409"/>
      <c r="K89" s="409"/>
      <c r="L89" s="409"/>
      <c r="M89" s="409"/>
      <c r="N89" s="409"/>
      <c r="O89" s="409"/>
      <c r="P89" s="409"/>
      <c r="Q89" s="409"/>
      <c r="R89" s="409"/>
      <c r="S89" s="409"/>
      <c r="T89" s="409"/>
      <c r="U89" s="409"/>
      <c r="V89" s="409"/>
      <c r="W89" s="254"/>
      <c r="X89" s="102"/>
      <c r="Y89" s="310"/>
      <c r="Z89" s="311"/>
      <c r="AA89" s="202"/>
      <c r="AD89" s="185"/>
    </row>
    <row r="90" spans="2:30" ht="30" hidden="1" customHeight="1" x14ac:dyDescent="0.25">
      <c r="W90" s="254"/>
      <c r="X90" s="102"/>
      <c r="Y90" s="310"/>
      <c r="Z90" s="311"/>
      <c r="AA90" s="202"/>
    </row>
    <row r="91" spans="2:30" ht="30" hidden="1" customHeight="1" thickBot="1" x14ac:dyDescent="0.3">
      <c r="B91" s="261"/>
      <c r="C91" s="200"/>
      <c r="D91" s="402" t="str">
        <f>D49</f>
        <v>طی مرداد ماه</v>
      </c>
      <c r="E91" s="402"/>
      <c r="F91" s="402"/>
      <c r="G91" s="402"/>
      <c r="H91" s="402"/>
      <c r="I91" s="402"/>
      <c r="J91" s="402"/>
      <c r="K91" s="200"/>
      <c r="L91" s="200"/>
      <c r="M91" s="200"/>
      <c r="N91" s="402" t="str">
        <f>N49</f>
        <v>از ابتدای سال مالی تا پایان مرداد  ماه</v>
      </c>
      <c r="O91" s="402"/>
      <c r="P91" s="402"/>
      <c r="Q91" s="402"/>
      <c r="R91" s="402"/>
      <c r="S91" s="402"/>
      <c r="T91" s="402"/>
      <c r="U91" s="402"/>
      <c r="V91" s="402"/>
      <c r="W91" s="254"/>
      <c r="X91" s="102"/>
      <c r="Y91" s="310"/>
      <c r="Z91" s="311"/>
      <c r="AA91" s="202"/>
    </row>
    <row r="92" spans="2:30" ht="30" hidden="1" customHeight="1" x14ac:dyDescent="0.25">
      <c r="B92" s="410" t="s">
        <v>35</v>
      </c>
      <c r="C92" s="403"/>
      <c r="D92" s="408" t="s">
        <v>21</v>
      </c>
      <c r="E92" s="410"/>
      <c r="F92" s="408" t="s">
        <v>22</v>
      </c>
      <c r="G92" s="410"/>
      <c r="H92" s="408" t="s">
        <v>23</v>
      </c>
      <c r="I92" s="410"/>
      <c r="J92" s="405" t="s">
        <v>7</v>
      </c>
      <c r="K92" s="405"/>
      <c r="L92" s="405"/>
      <c r="M92" s="403"/>
      <c r="N92" s="408" t="s">
        <v>21</v>
      </c>
      <c r="O92" s="410"/>
      <c r="P92" s="408" t="s">
        <v>22</v>
      </c>
      <c r="Q92" s="410"/>
      <c r="R92" s="408" t="s">
        <v>23</v>
      </c>
      <c r="S92" s="410"/>
      <c r="T92" s="405" t="s">
        <v>7</v>
      </c>
      <c r="U92" s="405"/>
      <c r="V92" s="405"/>
      <c r="W92" s="254"/>
      <c r="X92" s="102"/>
      <c r="Y92" s="310"/>
      <c r="Z92" s="311"/>
      <c r="AA92" s="202"/>
    </row>
    <row r="93" spans="2:30" ht="30" hidden="1" customHeight="1" thickBot="1" x14ac:dyDescent="0.3">
      <c r="B93" s="403"/>
      <c r="C93" s="403"/>
      <c r="D93" s="407"/>
      <c r="E93" s="403"/>
      <c r="F93" s="407"/>
      <c r="G93" s="403"/>
      <c r="H93" s="407"/>
      <c r="I93" s="403"/>
      <c r="J93" s="402"/>
      <c r="K93" s="402"/>
      <c r="L93" s="402"/>
      <c r="M93" s="403"/>
      <c r="N93" s="407"/>
      <c r="O93" s="403"/>
      <c r="P93" s="407"/>
      <c r="Q93" s="403"/>
      <c r="R93" s="407"/>
      <c r="S93" s="403"/>
      <c r="T93" s="402"/>
      <c r="U93" s="402"/>
      <c r="V93" s="402"/>
      <c r="W93" s="254"/>
      <c r="X93" s="102"/>
      <c r="Y93" s="310"/>
      <c r="Z93" s="311"/>
      <c r="AA93" s="202"/>
    </row>
    <row r="94" spans="2:30" ht="30" hidden="1" customHeight="1" thickBot="1" x14ac:dyDescent="0.3">
      <c r="B94" s="404"/>
      <c r="C94" s="403"/>
      <c r="D94" s="88" t="s">
        <v>90</v>
      </c>
      <c r="E94" s="403"/>
      <c r="F94" s="88" t="s">
        <v>91</v>
      </c>
      <c r="G94" s="403"/>
      <c r="H94" s="88" t="s">
        <v>92</v>
      </c>
      <c r="I94" s="403"/>
      <c r="J94" s="103" t="s">
        <v>11</v>
      </c>
      <c r="K94" s="103"/>
      <c r="L94" s="103" t="s">
        <v>24</v>
      </c>
      <c r="M94" s="403"/>
      <c r="N94" s="88" t="s">
        <v>90</v>
      </c>
      <c r="O94" s="403"/>
      <c r="P94" s="88" t="s">
        <v>91</v>
      </c>
      <c r="Q94" s="403"/>
      <c r="R94" s="88" t="s">
        <v>92</v>
      </c>
      <c r="S94" s="403"/>
      <c r="T94" s="103" t="s">
        <v>11</v>
      </c>
      <c r="U94" s="103"/>
      <c r="V94" s="103" t="s">
        <v>24</v>
      </c>
      <c r="W94" s="254"/>
      <c r="X94" s="102"/>
      <c r="Y94" s="310"/>
      <c r="Z94" s="311"/>
      <c r="AA94" s="202"/>
    </row>
    <row r="95" spans="2:30" ht="30" hidden="1" customHeight="1" thickBot="1" x14ac:dyDescent="0.3">
      <c r="B95" s="191" t="s">
        <v>166</v>
      </c>
      <c r="C95" s="191"/>
      <c r="D95" s="189">
        <f>D87</f>
        <v>187097675969</v>
      </c>
      <c r="E95" s="191"/>
      <c r="F95" s="189">
        <f>F87</f>
        <v>3309155716233</v>
      </c>
      <c r="G95" s="189"/>
      <c r="H95" s="189">
        <f>H87</f>
        <v>-46844850969</v>
      </c>
      <c r="I95" s="189"/>
      <c r="J95" s="189">
        <f>J87</f>
        <v>3449408541233</v>
      </c>
      <c r="K95" s="189"/>
      <c r="L95" s="203">
        <f>L87</f>
        <v>-3.3356383397539959</v>
      </c>
      <c r="M95" s="189"/>
      <c r="N95" s="189">
        <f>N87</f>
        <v>428792280628</v>
      </c>
      <c r="O95" s="189"/>
      <c r="P95" s="189">
        <f>P87</f>
        <v>5116755874835</v>
      </c>
      <c r="Q95" s="189"/>
      <c r="R95" s="189">
        <f>R87</f>
        <v>1026558251066</v>
      </c>
      <c r="S95" s="189"/>
      <c r="T95" s="189">
        <f>T87</f>
        <v>6572106406529</v>
      </c>
      <c r="U95" s="105"/>
      <c r="V95" s="106">
        <f>V87</f>
        <v>-7.3245107754412965E-3</v>
      </c>
      <c r="W95" s="254"/>
      <c r="X95" s="102"/>
      <c r="Z95" s="194"/>
      <c r="AA95" s="202"/>
    </row>
    <row r="96" spans="2:30" ht="30" hidden="1" customHeight="1" thickBot="1" x14ac:dyDescent="0.3">
      <c r="B96" s="196" t="s">
        <v>7</v>
      </c>
      <c r="D96" s="61">
        <f>SUM(D95:D95)</f>
        <v>187097675969</v>
      </c>
      <c r="F96" s="61">
        <f>SUM(F95:F95)</f>
        <v>3309155716233</v>
      </c>
      <c r="G96" s="191"/>
      <c r="H96" s="61">
        <f>SUM(H95:H95)</f>
        <v>-46844850969</v>
      </c>
      <c r="I96" s="191"/>
      <c r="J96" s="61">
        <f>SUM(J95:J95)</f>
        <v>3449408541233</v>
      </c>
      <c r="K96" s="61"/>
      <c r="L96" s="107">
        <f>SUM(L95:L95)</f>
        <v>-3.3356383397539959</v>
      </c>
      <c r="M96" s="191"/>
      <c r="N96" s="61">
        <f>SUM(N95:N95)</f>
        <v>428792280628</v>
      </c>
      <c r="O96" s="191"/>
      <c r="P96" s="61">
        <f>SUM(P95:P95)</f>
        <v>5116755874835</v>
      </c>
      <c r="Q96" s="191"/>
      <c r="R96" s="61">
        <f>SUM(R95:R95)</f>
        <v>1026558251066</v>
      </c>
      <c r="S96" s="191"/>
      <c r="T96" s="61">
        <f>SUM(T95:T95)</f>
        <v>6572106406529</v>
      </c>
      <c r="U96" s="61"/>
      <c r="V96" s="107">
        <f>SUM(V95:V95)</f>
        <v>-7.3245107754412965E-3</v>
      </c>
      <c r="W96" s="254"/>
      <c r="X96" s="102"/>
      <c r="Z96" s="194"/>
      <c r="AA96" s="202"/>
    </row>
    <row r="97" spans="2:27" ht="30" hidden="1" customHeight="1" thickTop="1" x14ac:dyDescent="0.55000000000000004">
      <c r="B97" s="196"/>
      <c r="D97" s="264"/>
      <c r="F97" s="102"/>
      <c r="G97" s="191"/>
      <c r="H97" s="93"/>
      <c r="I97" s="191"/>
      <c r="J97" s="264"/>
      <c r="K97" s="264"/>
      <c r="L97" s="125"/>
      <c r="M97" s="191"/>
      <c r="N97" s="264"/>
      <c r="O97" s="191"/>
      <c r="P97" s="246"/>
      <c r="Q97" s="264"/>
      <c r="R97" s="264"/>
      <c r="S97" s="191"/>
      <c r="T97" s="264">
        <f>N96+P96+R96-T96</f>
        <v>0</v>
      </c>
      <c r="U97" s="264"/>
      <c r="V97" s="125"/>
      <c r="W97" s="254"/>
      <c r="X97" s="102"/>
      <c r="Z97" s="194"/>
      <c r="AA97" s="202"/>
    </row>
    <row r="98" spans="2:27" ht="30" hidden="1" customHeight="1" x14ac:dyDescent="0.55000000000000004">
      <c r="B98" s="196"/>
      <c r="D98" s="264"/>
      <c r="F98" s="264"/>
      <c r="G98" s="191"/>
      <c r="H98" s="93"/>
      <c r="I98" s="191"/>
      <c r="J98" s="202"/>
      <c r="K98" s="264"/>
      <c r="L98" s="125"/>
      <c r="M98" s="191"/>
      <c r="N98" s="264"/>
      <c r="O98" s="191"/>
      <c r="P98" s="264"/>
      <c r="Q98" s="191"/>
      <c r="R98" s="264"/>
      <c r="S98" s="191"/>
      <c r="T98" s="264"/>
      <c r="U98" s="264"/>
      <c r="V98" s="125"/>
      <c r="W98" s="254"/>
      <c r="X98" s="102"/>
      <c r="Z98" s="194"/>
      <c r="AA98" s="202"/>
    </row>
    <row r="99" spans="2:27" ht="30" hidden="1" customHeight="1" x14ac:dyDescent="0.55000000000000004">
      <c r="B99" s="196"/>
      <c r="D99" s="264"/>
      <c r="E99" s="264"/>
      <c r="F99" s="264"/>
      <c r="G99" s="264"/>
      <c r="H99" s="93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125"/>
      <c r="W99" s="254"/>
      <c r="X99" s="102"/>
      <c r="Z99" s="194"/>
      <c r="AA99" s="202"/>
    </row>
    <row r="100" spans="2:27" ht="30" hidden="1" customHeight="1" x14ac:dyDescent="0.55000000000000004">
      <c r="B100" s="196"/>
      <c r="D100" s="264"/>
      <c r="F100" s="264"/>
      <c r="G100" s="191"/>
      <c r="H100" s="93"/>
      <c r="I100" s="191"/>
      <c r="J100" s="264"/>
      <c r="K100" s="264"/>
      <c r="L100" s="125"/>
      <c r="M100" s="191"/>
      <c r="N100" s="264"/>
      <c r="O100" s="191"/>
      <c r="P100" s="264"/>
      <c r="Q100" s="191"/>
      <c r="R100" s="264"/>
      <c r="S100" s="191"/>
      <c r="T100" s="264"/>
      <c r="U100" s="264"/>
      <c r="V100" s="125"/>
      <c r="W100" s="254"/>
      <c r="X100" s="102"/>
      <c r="Z100" s="194"/>
      <c r="AA100" s="202"/>
    </row>
    <row r="101" spans="2:27" ht="30" hidden="1" customHeight="1" x14ac:dyDescent="0.25">
      <c r="B101" s="191"/>
      <c r="C101" s="264"/>
      <c r="D101" s="191"/>
      <c r="E101" s="264"/>
      <c r="F101" s="264"/>
      <c r="G101" s="125"/>
      <c r="H101" s="283"/>
      <c r="I101" s="264"/>
      <c r="J101" s="280"/>
      <c r="K101" s="264"/>
      <c r="L101" s="191"/>
      <c r="M101" s="264"/>
      <c r="N101" s="191"/>
      <c r="O101" s="264"/>
      <c r="P101" s="264"/>
      <c r="Q101" s="125"/>
      <c r="R101" s="202"/>
      <c r="S101" s="185"/>
      <c r="T101" s="185"/>
      <c r="U101" s="183"/>
      <c r="V101" s="185"/>
      <c r="W101" s="254"/>
      <c r="X101" s="102"/>
      <c r="Z101" s="194"/>
      <c r="AA101" s="202"/>
    </row>
    <row r="102" spans="2:27" ht="12.75" hidden="1" customHeight="1" x14ac:dyDescent="0.25">
      <c r="B102" s="183"/>
      <c r="C102" s="206">
        <v>-141115264157</v>
      </c>
      <c r="I102" s="185"/>
      <c r="K102" s="185"/>
      <c r="M102" s="185"/>
      <c r="O102" s="102"/>
      <c r="P102" s="102"/>
      <c r="Q102" s="207"/>
      <c r="S102" s="185"/>
      <c r="T102" s="185"/>
      <c r="U102" s="183"/>
      <c r="V102" s="185"/>
      <c r="W102" s="254"/>
      <c r="X102" s="102"/>
      <c r="Z102" s="194"/>
      <c r="AA102" s="202"/>
    </row>
    <row r="103" spans="2:27" ht="30" hidden="1" customHeight="1" x14ac:dyDescent="0.25">
      <c r="B103" s="183"/>
      <c r="C103" s="206">
        <v>495943397</v>
      </c>
      <c r="I103" s="185"/>
      <c r="K103" s="185"/>
      <c r="M103" s="185"/>
      <c r="O103" s="102"/>
      <c r="P103" s="102"/>
      <c r="Q103" s="207"/>
      <c r="S103" s="185"/>
      <c r="T103" s="185"/>
      <c r="U103" s="183"/>
      <c r="V103" s="185"/>
      <c r="W103" s="254"/>
      <c r="X103" s="102"/>
      <c r="Z103" s="194"/>
      <c r="AA103" s="202"/>
    </row>
    <row r="104" spans="2:27" ht="30" hidden="1" customHeight="1" x14ac:dyDescent="0.25">
      <c r="B104" s="183"/>
      <c r="C104" s="206">
        <v>3262800118</v>
      </c>
      <c r="E104" s="202"/>
      <c r="F104" s="202"/>
      <c r="G104" s="202"/>
      <c r="I104" s="146"/>
      <c r="J104" s="60"/>
      <c r="K104" s="270"/>
      <c r="L104" s="60"/>
      <c r="M104" s="60"/>
      <c r="N104" s="60"/>
      <c r="O104" s="60"/>
      <c r="P104" s="102"/>
      <c r="Q104" s="199"/>
      <c r="S104" s="185"/>
      <c r="T104" s="185"/>
      <c r="U104" s="183"/>
      <c r="V104" s="185"/>
      <c r="W104" s="254"/>
      <c r="X104" s="102"/>
      <c r="Z104" s="194"/>
      <c r="AA104" s="202"/>
    </row>
    <row r="105" spans="2:27" ht="30" hidden="1" customHeight="1" x14ac:dyDescent="0.25">
      <c r="B105" s="185"/>
      <c r="C105" s="206">
        <f>C102-C103-C104</f>
        <v>-144874007672</v>
      </c>
      <c r="G105" s="271"/>
      <c r="I105" s="185"/>
      <c r="J105" s="185"/>
      <c r="K105" s="185"/>
      <c r="L105" s="185"/>
      <c r="M105" s="185"/>
      <c r="N105" s="185"/>
      <c r="O105" s="185"/>
      <c r="P105" s="102"/>
      <c r="Q105" s="272"/>
      <c r="T105" s="185"/>
      <c r="U105" s="183"/>
      <c r="V105" s="185"/>
      <c r="W105" s="254"/>
      <c r="X105" s="102"/>
      <c r="Z105" s="194"/>
      <c r="AA105" s="202"/>
    </row>
    <row r="106" spans="2:27" ht="49.5" hidden="1" customHeight="1" x14ac:dyDescent="0.25">
      <c r="B106" s="183"/>
      <c r="C106" s="206">
        <f>H96-C105</f>
        <v>98029156703</v>
      </c>
      <c r="G106" s="185"/>
      <c r="I106" s="270"/>
      <c r="J106" s="202"/>
      <c r="K106" s="202"/>
      <c r="M106" s="185"/>
      <c r="O106" s="102"/>
      <c r="P106" s="102"/>
      <c r="Q106" s="199"/>
      <c r="T106" s="185"/>
      <c r="U106" s="183"/>
      <c r="V106" s="185"/>
      <c r="W106" s="254"/>
      <c r="X106" s="102"/>
      <c r="Z106" s="194"/>
      <c r="AA106" s="202"/>
    </row>
    <row r="107" spans="2:27" ht="30" hidden="1" customHeight="1" x14ac:dyDescent="0.25">
      <c r="B107" s="183"/>
      <c r="C107" s="209"/>
      <c r="D107" s="202"/>
      <c r="E107" s="202"/>
      <c r="H107" s="202"/>
      <c r="I107" s="185"/>
      <c r="K107" s="202"/>
      <c r="M107" s="273"/>
      <c r="O107" s="102"/>
      <c r="P107" s="102"/>
      <c r="Q107" s="199"/>
      <c r="R107" s="202"/>
      <c r="T107" s="185"/>
      <c r="U107" s="183"/>
      <c r="V107" s="185"/>
      <c r="W107" s="254"/>
      <c r="X107" s="102"/>
      <c r="Z107" s="194"/>
      <c r="AA107" s="202"/>
    </row>
    <row r="108" spans="2:27" ht="30" hidden="1" customHeight="1" x14ac:dyDescent="0.25">
      <c r="F108" s="185"/>
      <c r="H108" s="208"/>
      <c r="N108" s="185"/>
      <c r="P108" s="202"/>
      <c r="R108" s="208"/>
      <c r="W108" s="202"/>
      <c r="X108" s="185"/>
      <c r="Y108" s="185"/>
      <c r="AA108" s="185"/>
    </row>
    <row r="109" spans="2:27" ht="30" customHeight="1" x14ac:dyDescent="0.55000000000000004">
      <c r="F109" s="242"/>
      <c r="H109" s="93"/>
      <c r="J109" s="248"/>
      <c r="P109" s="242"/>
      <c r="R109" s="93"/>
      <c r="X109" s="185"/>
      <c r="Y109" s="185"/>
      <c r="AA109" s="185"/>
    </row>
    <row r="110" spans="2:27" ht="30" customHeight="1" x14ac:dyDescent="0.25">
      <c r="D110" s="303"/>
      <c r="E110" s="303"/>
      <c r="F110" s="303"/>
      <c r="G110" s="303"/>
      <c r="H110" s="303"/>
      <c r="N110" s="185"/>
      <c r="O110" s="185"/>
      <c r="P110" s="185"/>
      <c r="Q110" s="185"/>
      <c r="R110" s="185"/>
      <c r="X110" s="185"/>
      <c r="Y110" s="185"/>
      <c r="AA110" s="185"/>
    </row>
    <row r="111" spans="2:27" ht="30" customHeight="1" x14ac:dyDescent="0.25">
      <c r="D111" s="303"/>
      <c r="N111" s="185"/>
      <c r="R111" s="185"/>
    </row>
    <row r="112" spans="2:27" ht="36" customHeight="1" x14ac:dyDescent="0.25">
      <c r="Y112" s="185"/>
      <c r="AA112" s="185"/>
    </row>
    <row r="113" spans="25:29" ht="36" customHeight="1" x14ac:dyDescent="0.25">
      <c r="Y113" s="185"/>
      <c r="AA113" s="185"/>
    </row>
    <row r="114" spans="25:29" ht="36" customHeight="1" x14ac:dyDescent="0.25">
      <c r="Y114" s="185"/>
      <c r="AA114" s="185"/>
    </row>
    <row r="115" spans="25:29" ht="36" customHeight="1" x14ac:dyDescent="0.25">
      <c r="AC115" s="185"/>
    </row>
    <row r="116" spans="25:29" ht="36" customHeight="1" x14ac:dyDescent="0.25">
      <c r="AA116" s="185"/>
      <c r="AC116" s="185"/>
    </row>
    <row r="117" spans="25:29" ht="36" customHeight="1" x14ac:dyDescent="0.25">
      <c r="AA117" s="185"/>
    </row>
    <row r="118" spans="25:29" ht="36" customHeight="1" x14ac:dyDescent="0.25">
      <c r="AA118" s="185"/>
    </row>
    <row r="119" spans="25:29" ht="36" customHeight="1" x14ac:dyDescent="0.25">
      <c r="AA119" s="185"/>
    </row>
  </sheetData>
  <mergeCells count="63">
    <mergeCell ref="H92:H93"/>
    <mergeCell ref="I92:I94"/>
    <mergeCell ref="J92:L93"/>
    <mergeCell ref="C92:C94"/>
    <mergeCell ref="D92:D93"/>
    <mergeCell ref="E92:E94"/>
    <mergeCell ref="F92:F93"/>
    <mergeCell ref="G92:G94"/>
    <mergeCell ref="M92:M94"/>
    <mergeCell ref="S92:S94"/>
    <mergeCell ref="T92:V93"/>
    <mergeCell ref="N92:N93"/>
    <mergeCell ref="Q50:Q52"/>
    <mergeCell ref="R50:R51"/>
    <mergeCell ref="S50:S52"/>
    <mergeCell ref="T50:V51"/>
    <mergeCell ref="O92:O94"/>
    <mergeCell ref="P92:P93"/>
    <mergeCell ref="Q92:Q94"/>
    <mergeCell ref="R92:R93"/>
    <mergeCell ref="B89:V89"/>
    <mergeCell ref="D91:J91"/>
    <mergeCell ref="N91:V91"/>
    <mergeCell ref="B92:B94"/>
    <mergeCell ref="B47:V47"/>
    <mergeCell ref="D49:J49"/>
    <mergeCell ref="N49:V49"/>
    <mergeCell ref="B50:B52"/>
    <mergeCell ref="C50:C52"/>
    <mergeCell ref="D50:D51"/>
    <mergeCell ref="E50:E52"/>
    <mergeCell ref="F50:F51"/>
    <mergeCell ref="G50:G52"/>
    <mergeCell ref="H50:H51"/>
    <mergeCell ref="I50:I52"/>
    <mergeCell ref="J50:L51"/>
    <mergeCell ref="M50:M52"/>
    <mergeCell ref="N50:N51"/>
    <mergeCell ref="O50:O52"/>
    <mergeCell ref="P50:P51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D7:J7"/>
    <mergeCell ref="M8:M10"/>
    <mergeCell ref="B8:B10"/>
    <mergeCell ref="C8:C10"/>
    <mergeCell ref="E8:E10"/>
    <mergeCell ref="G8:G10"/>
    <mergeCell ref="J8:L9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52" location="'درآمد سود سهام'!A1" display="یادداشت 2-1-1" xr:uid="{C29E9584-DC28-41C8-8572-B12D440A3192}"/>
    <hyperlink ref="F52" location="'درآمد ناشی از تغییر قیمت اوراق '!A1" display="یادداشت 2-1-2" xr:uid="{384BA02F-CB0B-4C65-AEE4-36269CB76D02}"/>
    <hyperlink ref="H52" location="'درآمد ناشی ازفروش'!A1" display="یادداشت 2-1-3" xr:uid="{041BB4EF-9906-4BFF-8F1E-3D496F8C9415}"/>
    <hyperlink ref="N52" location="'درآمد سود سهام'!A1" display="یادداشت 2-1-1" xr:uid="{6D501F35-BF50-437E-B739-EC9C8B570AA4}"/>
    <hyperlink ref="P52" location="'درآمد ناشی از تغییر قیمت اوراق '!A1" display="یادداشت 2-1-2" xr:uid="{8ECD3202-B22F-4D88-89D4-4F245E391B5B}"/>
    <hyperlink ref="R52" location="'درآمد ناشی ازفروش'!A1" display="یادداشت 2-1-3" xr:uid="{87B03CE5-6A66-43F9-A2C2-FEC8A0128AB9}"/>
    <hyperlink ref="D94" location="'درآمد سود سهام'!A1" display="یادداشت 2-1-1" xr:uid="{CF8085A2-6FA9-4EB4-BFCD-DC18334142B2}"/>
    <hyperlink ref="F94" location="'درآمد ناشی از تغییر قیمت اوراق '!A1" display="یادداشت 2-1-2" xr:uid="{CBB77952-CA42-4DDA-8A5D-FEA17F792437}"/>
    <hyperlink ref="H94" location="'درآمد ناشی ازفروش'!A1" display="یادداشت 2-1-3" xr:uid="{712A21DE-6CA2-4FF9-9699-E92B69F9E018}"/>
    <hyperlink ref="N94" location="'درآمد سود سهام'!A1" display="یادداشت 2-1-1" xr:uid="{665F5D3B-78CF-4008-9451-267047ED79DB}"/>
    <hyperlink ref="P94" location="'درآمد ناشی از تغییر قیمت اوراق '!A1" display="یادداشت 2-1-2" xr:uid="{83929033-AD49-4AE8-BB73-952F5EC8DD29}"/>
    <hyperlink ref="R94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29" orientation="landscape" r:id="rId1"/>
  <headerFooter>
    <oddFooter>&amp;C&amp;P</oddFooter>
  </headerFooter>
  <rowBreaks count="2" manualBreakCount="2">
    <brk id="46" max="21" man="1"/>
    <brk id="100" max="2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H114"/>
  <sheetViews>
    <sheetView rightToLeft="1" view="pageBreakPreview" zoomScale="85" zoomScaleNormal="85" zoomScaleSheetLayoutView="85" workbookViewId="0">
      <selection activeCell="J18" sqref="J18"/>
    </sheetView>
  </sheetViews>
  <sheetFormatPr defaultColWidth="9.140625" defaultRowHeight="22.5" x14ac:dyDescent="0.25"/>
  <cols>
    <col min="1" max="1" width="4.140625" style="12" customWidth="1"/>
    <col min="2" max="2" width="36.7109375" style="196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5" bestFit="1" customWidth="1"/>
    <col min="7" max="7" width="1" style="12" customWidth="1"/>
    <col min="8" max="8" width="10.85546875" style="115" bestFit="1" customWidth="1"/>
    <col min="9" max="9" width="0.85546875" style="12" customWidth="1"/>
    <col min="10" max="10" width="20.7109375" style="115" bestFit="1" customWidth="1"/>
    <col min="11" max="11" width="1" style="12" customWidth="1"/>
    <col min="12" max="12" width="24.5703125" style="115" bestFit="1" customWidth="1"/>
    <col min="13" max="13" width="1.140625" style="12" customWidth="1"/>
    <col min="14" max="14" width="21.7109375" style="115" bestFit="1" customWidth="1"/>
    <col min="15" max="15" width="0.85546875" style="12" customWidth="1"/>
    <col min="16" max="16" width="20.7109375" style="115" bestFit="1" customWidth="1"/>
    <col min="17" max="17" width="1" style="12" customWidth="1"/>
    <col min="18" max="18" width="19.28515625" style="115" customWidth="1"/>
    <col min="19" max="19" width="0.7109375" style="12" customWidth="1"/>
    <col min="20" max="20" width="21.85546875" style="115" bestFit="1" customWidth="1"/>
    <col min="21" max="21" width="1.7109375" style="12" customWidth="1"/>
    <col min="22" max="22" width="21.42578125" style="12" bestFit="1" customWidth="1"/>
    <col min="23" max="23" width="19.28515625" style="12" bestFit="1" customWidth="1"/>
    <col min="24" max="28" width="18.140625" style="12" customWidth="1"/>
    <col min="29" max="29" width="14.85546875" style="12" bestFit="1" customWidth="1"/>
    <col min="30" max="30" width="56.5703125" style="12" customWidth="1"/>
    <col min="31" max="31" width="28.7109375" style="12" customWidth="1"/>
    <col min="32" max="32" width="18" style="12" bestFit="1" customWidth="1"/>
    <col min="33" max="33" width="18.42578125" style="12" bestFit="1" customWidth="1"/>
    <col min="34" max="34" width="18.7109375" style="12" bestFit="1" customWidth="1"/>
    <col min="35" max="36" width="9.140625" style="12"/>
    <col min="37" max="37" width="20.7109375" style="12" bestFit="1" customWidth="1"/>
    <col min="38" max="16384" width="9.140625" style="12"/>
  </cols>
  <sheetData>
    <row r="1" spans="2:33" ht="24" x14ac:dyDescent="0.25">
      <c r="B1" s="401" t="str">
        <f>درآمدها!A1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13"/>
      <c r="O1" s="401"/>
      <c r="P1" s="413"/>
      <c r="Q1" s="401"/>
      <c r="R1" s="413"/>
      <c r="S1" s="401"/>
      <c r="T1" s="413"/>
    </row>
    <row r="2" spans="2:33" ht="24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13"/>
      <c r="O2" s="401"/>
      <c r="P2" s="413"/>
      <c r="Q2" s="401"/>
      <c r="R2" s="413"/>
      <c r="S2" s="401"/>
      <c r="T2" s="413"/>
    </row>
    <row r="3" spans="2:33" ht="24" x14ac:dyDescent="0.25">
      <c r="B3" s="401" t="str">
        <f>' سهام'!AC6</f>
        <v>برای ماه منتهی به 1405/05/31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13"/>
      <c r="O3" s="401"/>
      <c r="P3" s="413"/>
      <c r="Q3" s="401"/>
      <c r="R3" s="413"/>
      <c r="S3" s="401"/>
      <c r="T3" s="413"/>
    </row>
    <row r="4" spans="2:33" ht="24" x14ac:dyDescent="0.25">
      <c r="B4" s="128" t="s">
        <v>95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19"/>
      <c r="O4" s="172"/>
      <c r="P4" s="119"/>
      <c r="Q4" s="172"/>
      <c r="R4" s="119"/>
      <c r="S4" s="172"/>
      <c r="T4" s="119"/>
      <c r="U4" s="172"/>
      <c r="V4" s="172"/>
      <c r="W4" s="172"/>
      <c r="AG4" s="12" t="s">
        <v>169</v>
      </c>
    </row>
    <row r="5" spans="2:33" ht="21" customHeight="1" thickBot="1" x14ac:dyDescent="0.3">
      <c r="D5" s="411" t="s">
        <v>70</v>
      </c>
      <c r="E5" s="411"/>
      <c r="F5" s="411"/>
      <c r="G5" s="411"/>
      <c r="H5" s="411"/>
      <c r="J5" s="411" t="str">
        <f>' سهام'!AC7</f>
        <v>طی مرداد ماه</v>
      </c>
      <c r="K5" s="411"/>
      <c r="L5" s="411"/>
      <c r="M5" s="411"/>
      <c r="N5" s="411"/>
      <c r="O5" s="53"/>
      <c r="P5" s="411" t="str">
        <f>' سهام'!AC8</f>
        <v>از ابتدای سال مالی تا پایان مرداد  ماه</v>
      </c>
      <c r="Q5" s="412"/>
      <c r="R5" s="411"/>
      <c r="S5" s="412"/>
      <c r="T5" s="411"/>
      <c r="U5" s="53"/>
      <c r="V5" s="53"/>
      <c r="W5" s="53"/>
      <c r="AE5" s="12" t="s">
        <v>173</v>
      </c>
    </row>
    <row r="6" spans="2:33" ht="79.5" customHeight="1" thickBot="1" x14ac:dyDescent="0.3">
      <c r="B6" s="197" t="s">
        <v>44</v>
      </c>
      <c r="C6" s="162"/>
      <c r="D6" s="181" t="s">
        <v>138</v>
      </c>
      <c r="E6" s="162"/>
      <c r="F6" s="111" t="s">
        <v>69</v>
      </c>
      <c r="G6" s="162"/>
      <c r="H6" s="111" t="s">
        <v>65</v>
      </c>
      <c r="I6" s="162"/>
      <c r="J6" s="111" t="s">
        <v>66</v>
      </c>
      <c r="K6" s="162"/>
      <c r="L6" s="111" t="s">
        <v>67</v>
      </c>
      <c r="M6" s="162"/>
      <c r="N6" s="111" t="s">
        <v>68</v>
      </c>
      <c r="P6" s="111" t="s">
        <v>66</v>
      </c>
      <c r="Q6" s="162"/>
      <c r="R6" s="111" t="s">
        <v>67</v>
      </c>
      <c r="S6" s="162"/>
      <c r="T6" s="111" t="s">
        <v>68</v>
      </c>
      <c r="AC6" s="12" t="s">
        <v>174</v>
      </c>
    </row>
    <row r="7" spans="2:33" ht="20.25" customHeight="1" x14ac:dyDescent="0.55000000000000004">
      <c r="B7" s="175" t="s">
        <v>175</v>
      </c>
      <c r="C7" s="165"/>
      <c r="D7" s="221" t="s">
        <v>219</v>
      </c>
      <c r="E7" s="189"/>
      <c r="F7" s="189">
        <v>19617870</v>
      </c>
      <c r="G7" s="189"/>
      <c r="H7" s="189">
        <v>150</v>
      </c>
      <c r="I7" s="189"/>
      <c r="J7" s="189">
        <v>0</v>
      </c>
      <c r="K7" s="189"/>
      <c r="L7" s="189">
        <v>0</v>
      </c>
      <c r="M7" s="189"/>
      <c r="N7" s="189">
        <v>0</v>
      </c>
      <c r="O7" s="189"/>
      <c r="P7" s="189">
        <v>2942680500</v>
      </c>
      <c r="Q7" s="189"/>
      <c r="R7" s="189">
        <v>0</v>
      </c>
      <c r="S7" s="189"/>
      <c r="T7" s="189">
        <v>2942680500</v>
      </c>
    </row>
    <row r="8" spans="2:33" ht="20.25" customHeight="1" x14ac:dyDescent="0.55000000000000004">
      <c r="B8" s="175" t="s">
        <v>176</v>
      </c>
      <c r="C8" s="165"/>
      <c r="D8" s="221" t="s">
        <v>234</v>
      </c>
      <c r="E8" s="189"/>
      <c r="F8" s="189">
        <v>25000000</v>
      </c>
      <c r="G8" s="189"/>
      <c r="H8" s="189">
        <v>850</v>
      </c>
      <c r="I8" s="189"/>
      <c r="J8" s="189">
        <v>0</v>
      </c>
      <c r="K8" s="189"/>
      <c r="L8" s="189">
        <v>0</v>
      </c>
      <c r="M8" s="189"/>
      <c r="N8" s="189">
        <v>0</v>
      </c>
      <c r="O8" s="189"/>
      <c r="P8" s="189">
        <v>21250000000</v>
      </c>
      <c r="Q8" s="189"/>
      <c r="R8" s="189">
        <v>-784960422</v>
      </c>
      <c r="S8" s="189"/>
      <c r="T8" s="189">
        <v>20465039578</v>
      </c>
    </row>
    <row r="9" spans="2:33" ht="20.25" customHeight="1" x14ac:dyDescent="0.55000000000000004">
      <c r="B9" s="175" t="s">
        <v>124</v>
      </c>
      <c r="C9" s="165"/>
      <c r="D9" s="221" t="s">
        <v>233</v>
      </c>
      <c r="E9" s="189"/>
      <c r="F9" s="189">
        <v>1000</v>
      </c>
      <c r="G9" s="189"/>
      <c r="H9" s="189">
        <v>47</v>
      </c>
      <c r="I9" s="189"/>
      <c r="J9" s="189">
        <v>0</v>
      </c>
      <c r="K9" s="189"/>
      <c r="L9" s="189">
        <v>0</v>
      </c>
      <c r="M9" s="189"/>
      <c r="N9" s="189">
        <v>0</v>
      </c>
      <c r="O9" s="189"/>
      <c r="P9" s="189">
        <v>47000</v>
      </c>
      <c r="Q9" s="189"/>
      <c r="R9" s="189">
        <v>-2384</v>
      </c>
      <c r="S9" s="189"/>
      <c r="T9" s="189">
        <v>44616</v>
      </c>
    </row>
    <row r="10" spans="2:33" ht="20.25" customHeight="1" x14ac:dyDescent="0.55000000000000004">
      <c r="B10" s="175" t="s">
        <v>160</v>
      </c>
      <c r="C10" s="165"/>
      <c r="D10" s="221" t="s">
        <v>235</v>
      </c>
      <c r="E10" s="189"/>
      <c r="F10" s="189">
        <v>50000000</v>
      </c>
      <c r="G10" s="189"/>
      <c r="H10" s="189">
        <v>126</v>
      </c>
      <c r="I10" s="189"/>
      <c r="J10" s="189">
        <v>0</v>
      </c>
      <c r="K10" s="189"/>
      <c r="L10" s="189">
        <v>0</v>
      </c>
      <c r="M10" s="189"/>
      <c r="N10" s="189">
        <v>0</v>
      </c>
      <c r="O10" s="189"/>
      <c r="P10" s="189">
        <v>6300000000</v>
      </c>
      <c r="Q10" s="189"/>
      <c r="R10" s="189">
        <v>0</v>
      </c>
      <c r="S10" s="189"/>
      <c r="T10" s="189">
        <v>6300000000</v>
      </c>
    </row>
    <row r="11" spans="2:33" ht="19.5" customHeight="1" x14ac:dyDescent="0.55000000000000004">
      <c r="B11" s="175" t="s">
        <v>129</v>
      </c>
      <c r="C11" s="165"/>
      <c r="D11" s="221" t="s">
        <v>235</v>
      </c>
      <c r="E11" s="189"/>
      <c r="F11" s="189">
        <v>1000</v>
      </c>
      <c r="G11" s="189"/>
      <c r="H11" s="189">
        <v>1840</v>
      </c>
      <c r="I11" s="189"/>
      <c r="J11" s="189">
        <v>0</v>
      </c>
      <c r="K11" s="189"/>
      <c r="L11" s="189">
        <v>0</v>
      </c>
      <c r="M11" s="189"/>
      <c r="N11" s="189">
        <v>0</v>
      </c>
      <c r="O11" s="189"/>
      <c r="P11" s="189">
        <v>1840000</v>
      </c>
      <c r="Q11" s="189"/>
      <c r="R11" s="189">
        <v>0</v>
      </c>
      <c r="S11" s="189"/>
      <c r="T11" s="189">
        <v>1840000</v>
      </c>
    </row>
    <row r="12" spans="2:33" ht="17.25" customHeight="1" x14ac:dyDescent="0.55000000000000004">
      <c r="B12" s="175" t="s">
        <v>127</v>
      </c>
      <c r="C12" s="165"/>
      <c r="D12" s="221" t="s">
        <v>231</v>
      </c>
      <c r="E12" s="189"/>
      <c r="F12" s="189">
        <v>150000000</v>
      </c>
      <c r="G12" s="189"/>
      <c r="H12" s="189">
        <v>450</v>
      </c>
      <c r="I12" s="189"/>
      <c r="J12" s="189">
        <v>67500000000</v>
      </c>
      <c r="K12" s="189"/>
      <c r="L12" s="189">
        <v>-1403420523</v>
      </c>
      <c r="M12" s="189"/>
      <c r="N12" s="189">
        <v>66096579477</v>
      </c>
      <c r="O12" s="189"/>
      <c r="P12" s="189">
        <v>67500000000</v>
      </c>
      <c r="Q12" s="189"/>
      <c r="R12" s="189">
        <v>-1403420523</v>
      </c>
      <c r="S12" s="189"/>
      <c r="T12" s="189">
        <v>66096579477</v>
      </c>
    </row>
    <row r="13" spans="2:33" ht="17.25" customHeight="1" x14ac:dyDescent="0.55000000000000004">
      <c r="B13" s="175" t="s">
        <v>223</v>
      </c>
      <c r="C13" s="165"/>
      <c r="D13" s="221" t="s">
        <v>236</v>
      </c>
      <c r="E13" s="189"/>
      <c r="F13" s="189">
        <v>90000000</v>
      </c>
      <c r="G13" s="189"/>
      <c r="H13" s="189">
        <v>215</v>
      </c>
      <c r="I13" s="189"/>
      <c r="J13" s="189">
        <v>0</v>
      </c>
      <c r="K13" s="189"/>
      <c r="L13" s="189">
        <v>0</v>
      </c>
      <c r="M13" s="189"/>
      <c r="N13" s="189">
        <v>0</v>
      </c>
      <c r="O13" s="189"/>
      <c r="P13" s="189">
        <v>19350000000</v>
      </c>
      <c r="Q13" s="189"/>
      <c r="R13" s="189">
        <v>-788239159</v>
      </c>
      <c r="S13" s="189"/>
      <c r="T13" s="189">
        <v>18561760841</v>
      </c>
    </row>
    <row r="14" spans="2:33" ht="17.25" customHeight="1" x14ac:dyDescent="0.55000000000000004">
      <c r="B14" s="175" t="s">
        <v>146</v>
      </c>
      <c r="C14" s="165"/>
      <c r="D14" s="221" t="s">
        <v>237</v>
      </c>
      <c r="E14" s="189"/>
      <c r="F14" s="189">
        <v>999</v>
      </c>
      <c r="G14" s="189"/>
      <c r="H14" s="189">
        <v>2650</v>
      </c>
      <c r="I14" s="189"/>
      <c r="J14" s="189">
        <v>0</v>
      </c>
      <c r="K14" s="189"/>
      <c r="L14" s="189">
        <v>0</v>
      </c>
      <c r="M14" s="189"/>
      <c r="N14" s="189">
        <v>0</v>
      </c>
      <c r="O14" s="189"/>
      <c r="P14" s="189">
        <v>2647350</v>
      </c>
      <c r="Q14" s="189"/>
      <c r="R14" s="189">
        <v>-39299</v>
      </c>
      <c r="S14" s="189"/>
      <c r="T14" s="189">
        <v>2608051</v>
      </c>
    </row>
    <row r="15" spans="2:33" ht="17.25" customHeight="1" x14ac:dyDescent="0.55000000000000004">
      <c r="B15" s="175" t="s">
        <v>103</v>
      </c>
      <c r="C15" s="165"/>
      <c r="D15" s="221" t="s">
        <v>238</v>
      </c>
      <c r="E15" s="189"/>
      <c r="F15" s="189">
        <v>379999999</v>
      </c>
      <c r="G15" s="189"/>
      <c r="H15" s="189">
        <v>120</v>
      </c>
      <c r="I15" s="189"/>
      <c r="J15" s="189">
        <v>0</v>
      </c>
      <c r="K15" s="189"/>
      <c r="L15" s="189">
        <v>0</v>
      </c>
      <c r="M15" s="189"/>
      <c r="N15" s="189">
        <v>0</v>
      </c>
      <c r="O15" s="189"/>
      <c r="P15" s="189">
        <v>45599999880</v>
      </c>
      <c r="Q15" s="189"/>
      <c r="R15" s="189">
        <v>-616216215</v>
      </c>
      <c r="S15" s="189"/>
      <c r="T15" s="189">
        <v>44983783665</v>
      </c>
    </row>
    <row r="16" spans="2:33" ht="17.25" customHeight="1" x14ac:dyDescent="0.55000000000000004">
      <c r="B16" s="175" t="s">
        <v>140</v>
      </c>
      <c r="C16" s="165"/>
      <c r="D16" s="221" t="s">
        <v>229</v>
      </c>
      <c r="E16" s="189"/>
      <c r="F16" s="189">
        <v>9442434</v>
      </c>
      <c r="G16" s="189"/>
      <c r="H16" s="189">
        <v>6928</v>
      </c>
      <c r="I16" s="189"/>
      <c r="J16" s="189">
        <v>0</v>
      </c>
      <c r="K16" s="189"/>
      <c r="L16" s="189">
        <v>0</v>
      </c>
      <c r="M16" s="189"/>
      <c r="N16" s="189">
        <v>0</v>
      </c>
      <c r="O16" s="189"/>
      <c r="P16" s="189">
        <v>65417182752</v>
      </c>
      <c r="Q16" s="189"/>
      <c r="R16" s="189">
        <v>-3115103941</v>
      </c>
      <c r="S16" s="189"/>
      <c r="T16" s="189">
        <v>62302078811</v>
      </c>
    </row>
    <row r="17" spans="2:20" ht="17.25" customHeight="1" x14ac:dyDescent="0.55000000000000004">
      <c r="B17" s="175" t="s">
        <v>135</v>
      </c>
      <c r="C17" s="165"/>
      <c r="D17" s="221" t="s">
        <v>237</v>
      </c>
      <c r="E17" s="189"/>
      <c r="F17" s="189">
        <v>1000</v>
      </c>
      <c r="G17" s="189"/>
      <c r="H17" s="189">
        <v>4795</v>
      </c>
      <c r="I17" s="189"/>
      <c r="J17" s="189">
        <v>0</v>
      </c>
      <c r="K17" s="189"/>
      <c r="L17" s="189">
        <v>0</v>
      </c>
      <c r="M17" s="189"/>
      <c r="N17" s="189">
        <v>0</v>
      </c>
      <c r="O17" s="189"/>
      <c r="P17" s="189">
        <v>4795000</v>
      </c>
      <c r="Q17" s="189"/>
      <c r="R17" s="189">
        <v>-216387</v>
      </c>
      <c r="S17" s="189"/>
      <c r="T17" s="189">
        <v>4578613</v>
      </c>
    </row>
    <row r="18" spans="2:20" ht="17.25" customHeight="1" x14ac:dyDescent="0.55000000000000004">
      <c r="B18" s="175" t="s">
        <v>111</v>
      </c>
      <c r="C18" s="165"/>
      <c r="D18" s="221" t="s">
        <v>235</v>
      </c>
      <c r="E18" s="189"/>
      <c r="F18" s="189">
        <v>60000000</v>
      </c>
      <c r="G18" s="189"/>
      <c r="H18" s="189">
        <v>740</v>
      </c>
      <c r="I18" s="189"/>
      <c r="J18" s="189">
        <v>0</v>
      </c>
      <c r="K18" s="189"/>
      <c r="L18" s="189">
        <v>0</v>
      </c>
      <c r="M18" s="189"/>
      <c r="N18" s="189">
        <v>0</v>
      </c>
      <c r="O18" s="189"/>
      <c r="P18" s="189">
        <v>44400000000</v>
      </c>
      <c r="Q18" s="189"/>
      <c r="R18" s="189">
        <v>-481300813</v>
      </c>
      <c r="S18" s="189"/>
      <c r="T18" s="189">
        <v>43918699187</v>
      </c>
    </row>
    <row r="19" spans="2:20" ht="17.25" customHeight="1" x14ac:dyDescent="0.55000000000000004">
      <c r="B19" s="175" t="s">
        <v>126</v>
      </c>
      <c r="C19" s="165"/>
      <c r="D19" s="221" t="s">
        <v>205</v>
      </c>
      <c r="E19" s="189"/>
      <c r="F19" s="189">
        <v>1092</v>
      </c>
      <c r="G19" s="189"/>
      <c r="H19" s="189">
        <v>200</v>
      </c>
      <c r="I19" s="189"/>
      <c r="J19" s="189">
        <v>0</v>
      </c>
      <c r="K19" s="189"/>
      <c r="L19" s="189">
        <v>0</v>
      </c>
      <c r="M19" s="189"/>
      <c r="N19" s="189">
        <v>0</v>
      </c>
      <c r="O19" s="189"/>
      <c r="P19" s="189">
        <v>218400</v>
      </c>
      <c r="Q19" s="189"/>
      <c r="R19" s="189">
        <v>0</v>
      </c>
      <c r="S19" s="189"/>
      <c r="T19" s="189">
        <v>218400</v>
      </c>
    </row>
    <row r="20" spans="2:20" ht="17.25" customHeight="1" x14ac:dyDescent="0.55000000000000004">
      <c r="B20" s="175" t="s">
        <v>125</v>
      </c>
      <c r="C20" s="165"/>
      <c r="D20" s="221" t="s">
        <v>208</v>
      </c>
      <c r="E20" s="189"/>
      <c r="F20" s="189">
        <v>1068</v>
      </c>
      <c r="G20" s="189"/>
      <c r="H20" s="189">
        <v>190</v>
      </c>
      <c r="I20" s="189"/>
      <c r="J20" s="189">
        <v>0</v>
      </c>
      <c r="K20" s="189"/>
      <c r="L20" s="189">
        <v>0</v>
      </c>
      <c r="M20" s="189"/>
      <c r="N20" s="189">
        <v>0</v>
      </c>
      <c r="O20" s="189"/>
      <c r="P20" s="189">
        <v>202920</v>
      </c>
      <c r="Q20" s="189"/>
      <c r="R20" s="189">
        <v>-3416</v>
      </c>
      <c r="S20" s="189"/>
      <c r="T20" s="189">
        <v>199504</v>
      </c>
    </row>
    <row r="21" spans="2:20" ht="17.25" customHeight="1" x14ac:dyDescent="0.55000000000000004">
      <c r="B21" s="175" t="s">
        <v>121</v>
      </c>
      <c r="C21" s="165"/>
      <c r="D21" s="221" t="s">
        <v>248</v>
      </c>
      <c r="E21" s="189"/>
      <c r="F21" s="189">
        <v>12900000</v>
      </c>
      <c r="G21" s="189"/>
      <c r="H21" s="189">
        <v>55</v>
      </c>
      <c r="I21" s="189"/>
      <c r="J21" s="189">
        <v>709500000</v>
      </c>
      <c r="K21" s="189"/>
      <c r="L21" s="189">
        <v>-20298403</v>
      </c>
      <c r="M21" s="189"/>
      <c r="N21" s="189">
        <v>689201597</v>
      </c>
      <c r="O21" s="189"/>
      <c r="P21" s="189">
        <v>709500000</v>
      </c>
      <c r="Q21" s="189"/>
      <c r="R21" s="189">
        <v>-20298403</v>
      </c>
      <c r="S21" s="189"/>
      <c r="T21" s="189">
        <v>689201597</v>
      </c>
    </row>
    <row r="22" spans="2:20" ht="17.25" customHeight="1" x14ac:dyDescent="0.55000000000000004">
      <c r="B22" s="175" t="s">
        <v>110</v>
      </c>
      <c r="C22" s="165"/>
      <c r="D22" s="221" t="s">
        <v>231</v>
      </c>
      <c r="E22" s="189"/>
      <c r="F22" s="189">
        <v>670000000</v>
      </c>
      <c r="G22" s="189"/>
      <c r="H22" s="189">
        <v>46</v>
      </c>
      <c r="I22" s="189"/>
      <c r="J22" s="189">
        <v>30820000000</v>
      </c>
      <c r="K22" s="189"/>
      <c r="L22" s="189">
        <v>0</v>
      </c>
      <c r="M22" s="189"/>
      <c r="N22" s="189">
        <v>30820000000</v>
      </c>
      <c r="O22" s="189"/>
      <c r="P22" s="189">
        <v>30820000000</v>
      </c>
      <c r="Q22" s="189"/>
      <c r="R22" s="189">
        <v>0</v>
      </c>
      <c r="S22" s="189"/>
      <c r="T22" s="189">
        <v>30820000000</v>
      </c>
    </row>
    <row r="23" spans="2:20" ht="17.25" customHeight="1" x14ac:dyDescent="0.55000000000000004">
      <c r="B23" s="175" t="s">
        <v>142</v>
      </c>
      <c r="C23" s="165"/>
      <c r="D23" s="221" t="s">
        <v>231</v>
      </c>
      <c r="E23" s="189"/>
      <c r="F23" s="189">
        <v>80000000</v>
      </c>
      <c r="G23" s="189"/>
      <c r="H23" s="189">
        <v>9</v>
      </c>
      <c r="I23" s="189"/>
      <c r="J23" s="189">
        <v>720000000</v>
      </c>
      <c r="K23" s="189"/>
      <c r="L23" s="189">
        <v>0</v>
      </c>
      <c r="M23" s="189"/>
      <c r="N23" s="189">
        <v>720000000</v>
      </c>
      <c r="O23" s="189"/>
      <c r="P23" s="189">
        <v>720000000</v>
      </c>
      <c r="Q23" s="189"/>
      <c r="R23" s="189">
        <v>0</v>
      </c>
      <c r="S23" s="189"/>
      <c r="T23" s="189">
        <v>720000000</v>
      </c>
    </row>
    <row r="24" spans="2:20" ht="17.25" customHeight="1" x14ac:dyDescent="0.55000000000000004">
      <c r="B24" s="175" t="s">
        <v>112</v>
      </c>
      <c r="C24" s="165"/>
      <c r="D24" s="221" t="s">
        <v>249</v>
      </c>
      <c r="E24" s="189"/>
      <c r="F24" s="189">
        <v>50000000</v>
      </c>
      <c r="G24" s="189"/>
      <c r="H24" s="189">
        <v>1189</v>
      </c>
      <c r="I24" s="189"/>
      <c r="J24" s="189">
        <v>59450000000</v>
      </c>
      <c r="K24" s="189"/>
      <c r="L24" s="189">
        <v>-3415784377</v>
      </c>
      <c r="M24" s="189"/>
      <c r="N24" s="189">
        <v>56034215623</v>
      </c>
      <c r="O24" s="189"/>
      <c r="P24" s="189">
        <v>59450000000</v>
      </c>
      <c r="Q24" s="189"/>
      <c r="R24" s="189">
        <v>-3415784377</v>
      </c>
      <c r="S24" s="189"/>
      <c r="T24" s="189">
        <v>56034215623</v>
      </c>
    </row>
    <row r="25" spans="2:20" ht="17.25" customHeight="1" x14ac:dyDescent="0.55000000000000004">
      <c r="B25" s="175" t="s">
        <v>132</v>
      </c>
      <c r="C25" s="165"/>
      <c r="D25" s="221" t="s">
        <v>239</v>
      </c>
      <c r="E25" s="189"/>
      <c r="F25" s="189">
        <v>10000000</v>
      </c>
      <c r="G25" s="189"/>
      <c r="H25" s="189">
        <v>1600</v>
      </c>
      <c r="I25" s="189"/>
      <c r="J25" s="189">
        <v>0</v>
      </c>
      <c r="K25" s="189"/>
      <c r="L25" s="189">
        <v>0</v>
      </c>
      <c r="M25" s="189"/>
      <c r="N25" s="189">
        <v>0</v>
      </c>
      <c r="O25" s="189"/>
      <c r="P25" s="189">
        <v>16000000000</v>
      </c>
      <c r="Q25" s="189"/>
      <c r="R25" s="189">
        <v>-909560724</v>
      </c>
      <c r="S25" s="189"/>
      <c r="T25" s="189">
        <v>15090439276</v>
      </c>
    </row>
    <row r="26" spans="2:20" ht="17.25" customHeight="1" x14ac:dyDescent="0.55000000000000004">
      <c r="B26" s="175" t="s">
        <v>116</v>
      </c>
      <c r="C26" s="165"/>
      <c r="D26" s="221" t="s">
        <v>240</v>
      </c>
      <c r="E26" s="189"/>
      <c r="F26" s="189">
        <v>1000</v>
      </c>
      <c r="G26" s="189"/>
      <c r="H26" s="189">
        <v>4166</v>
      </c>
      <c r="I26" s="189"/>
      <c r="J26" s="189">
        <v>0</v>
      </c>
      <c r="K26" s="189"/>
      <c r="L26" s="189">
        <v>0</v>
      </c>
      <c r="M26" s="189"/>
      <c r="N26" s="189">
        <v>0</v>
      </c>
      <c r="O26" s="189"/>
      <c r="P26" s="189">
        <v>4166000</v>
      </c>
      <c r="Q26" s="189"/>
      <c r="R26" s="189">
        <v>0</v>
      </c>
      <c r="S26" s="189"/>
      <c r="T26" s="189">
        <v>4166000</v>
      </c>
    </row>
    <row r="27" spans="2:20" ht="17.25" customHeight="1" x14ac:dyDescent="0.55000000000000004">
      <c r="B27" s="175" t="s">
        <v>113</v>
      </c>
      <c r="C27" s="165"/>
      <c r="D27" s="221" t="s">
        <v>250</v>
      </c>
      <c r="E27" s="189"/>
      <c r="F27" s="189">
        <v>30000000</v>
      </c>
      <c r="G27" s="189"/>
      <c r="H27" s="189">
        <v>480</v>
      </c>
      <c r="I27" s="189"/>
      <c r="J27" s="189">
        <v>14400000000</v>
      </c>
      <c r="K27" s="189"/>
      <c r="L27" s="189">
        <v>-613770492</v>
      </c>
      <c r="M27" s="189"/>
      <c r="N27" s="189">
        <v>13786229508</v>
      </c>
      <c r="O27" s="189"/>
      <c r="P27" s="189">
        <v>14400000000</v>
      </c>
      <c r="Q27" s="189"/>
      <c r="R27" s="189">
        <v>-613770492</v>
      </c>
      <c r="S27" s="189"/>
      <c r="T27" s="189">
        <v>13786229508</v>
      </c>
    </row>
    <row r="28" spans="2:20" ht="17.25" customHeight="1" x14ac:dyDescent="0.55000000000000004">
      <c r="B28" s="175" t="s">
        <v>114</v>
      </c>
      <c r="C28" s="165"/>
      <c r="D28" s="221" t="s">
        <v>241</v>
      </c>
      <c r="E28" s="189"/>
      <c r="F28" s="189">
        <v>1147</v>
      </c>
      <c r="G28" s="189"/>
      <c r="H28" s="189">
        <v>440</v>
      </c>
      <c r="I28" s="189"/>
      <c r="J28" s="189">
        <v>0</v>
      </c>
      <c r="K28" s="189"/>
      <c r="L28" s="189">
        <v>0</v>
      </c>
      <c r="M28" s="189"/>
      <c r="N28" s="189">
        <v>0</v>
      </c>
      <c r="O28" s="189"/>
      <c r="P28" s="189">
        <v>504680</v>
      </c>
      <c r="Q28" s="189"/>
      <c r="R28" s="189">
        <v>0</v>
      </c>
      <c r="S28" s="189"/>
      <c r="T28" s="189">
        <v>504680</v>
      </c>
    </row>
    <row r="29" spans="2:20" ht="17.25" customHeight="1" x14ac:dyDescent="0.55000000000000004">
      <c r="B29" s="175" t="s">
        <v>152</v>
      </c>
      <c r="C29" s="165"/>
      <c r="D29" s="221" t="s">
        <v>242</v>
      </c>
      <c r="E29" s="189"/>
      <c r="F29" s="189">
        <v>2000000</v>
      </c>
      <c r="G29" s="189"/>
      <c r="H29" s="189">
        <v>3650</v>
      </c>
      <c r="I29" s="189"/>
      <c r="J29" s="189">
        <v>0</v>
      </c>
      <c r="K29" s="189"/>
      <c r="L29" s="189">
        <v>0</v>
      </c>
      <c r="M29" s="189"/>
      <c r="N29" s="189">
        <v>0</v>
      </c>
      <c r="O29" s="189"/>
      <c r="P29" s="189">
        <v>7300000000</v>
      </c>
      <c r="Q29" s="189"/>
      <c r="R29" s="189">
        <v>0</v>
      </c>
      <c r="S29" s="189"/>
      <c r="T29" s="189">
        <v>7300000000</v>
      </c>
    </row>
    <row r="30" spans="2:20" ht="17.25" customHeight="1" x14ac:dyDescent="0.55000000000000004">
      <c r="B30" s="175" t="s">
        <v>192</v>
      </c>
      <c r="C30" s="165"/>
      <c r="D30" s="221" t="s">
        <v>230</v>
      </c>
      <c r="E30" s="189"/>
      <c r="F30" s="189">
        <v>335000</v>
      </c>
      <c r="G30" s="189"/>
      <c r="H30" s="189">
        <v>4850</v>
      </c>
      <c r="I30" s="189"/>
      <c r="J30" s="189">
        <v>0</v>
      </c>
      <c r="K30" s="189"/>
      <c r="L30" s="189">
        <v>0</v>
      </c>
      <c r="M30" s="189"/>
      <c r="N30" s="189">
        <v>0</v>
      </c>
      <c r="O30" s="189"/>
      <c r="P30" s="189">
        <v>1624750000</v>
      </c>
      <c r="Q30" s="189"/>
      <c r="R30" s="189">
        <v>0</v>
      </c>
      <c r="S30" s="189"/>
      <c r="T30" s="189">
        <v>1624750000</v>
      </c>
    </row>
    <row r="31" spans="2:20" ht="17.25" customHeight="1" x14ac:dyDescent="0.55000000000000004">
      <c r="B31" s="175" t="s">
        <v>117</v>
      </c>
      <c r="C31" s="165"/>
      <c r="D31" s="221" t="s">
        <v>249</v>
      </c>
      <c r="E31" s="189"/>
      <c r="F31" s="189">
        <v>5000000</v>
      </c>
      <c r="G31" s="189"/>
      <c r="H31" s="189">
        <v>3850</v>
      </c>
      <c r="I31" s="189"/>
      <c r="J31" s="189">
        <v>19250000000</v>
      </c>
      <c r="K31" s="189"/>
      <c r="L31" s="189">
        <v>-298550236</v>
      </c>
      <c r="M31" s="189"/>
      <c r="N31" s="189">
        <v>18951449764</v>
      </c>
      <c r="O31" s="189"/>
      <c r="P31" s="189">
        <v>19250000000</v>
      </c>
      <c r="Q31" s="189"/>
      <c r="R31" s="189">
        <v>-298550236</v>
      </c>
      <c r="S31" s="189"/>
      <c r="T31" s="189">
        <v>18951449764</v>
      </c>
    </row>
    <row r="32" spans="2:20" ht="17.25" customHeight="1" x14ac:dyDescent="0.55000000000000004">
      <c r="B32" s="175" t="s">
        <v>139</v>
      </c>
      <c r="C32" s="165"/>
      <c r="D32" s="221" t="s">
        <v>231</v>
      </c>
      <c r="E32" s="189"/>
      <c r="F32" s="189">
        <v>1400</v>
      </c>
      <c r="G32" s="189"/>
      <c r="H32" s="189">
        <v>4500</v>
      </c>
      <c r="I32" s="189"/>
      <c r="J32" s="189">
        <v>0</v>
      </c>
      <c r="K32" s="189"/>
      <c r="L32" s="189">
        <v>0</v>
      </c>
      <c r="M32" s="189"/>
      <c r="N32" s="189">
        <v>0</v>
      </c>
      <c r="O32" s="189"/>
      <c r="P32" s="189">
        <v>6300000</v>
      </c>
      <c r="Q32" s="189"/>
      <c r="R32" s="189">
        <v>-155711</v>
      </c>
      <c r="S32" s="189"/>
      <c r="T32" s="189">
        <v>6144289</v>
      </c>
    </row>
    <row r="33" spans="2:28" ht="17.25" customHeight="1" x14ac:dyDescent="0.55000000000000004">
      <c r="B33" s="175" t="s">
        <v>222</v>
      </c>
      <c r="C33" s="165"/>
      <c r="D33" s="221" t="s">
        <v>233</v>
      </c>
      <c r="E33" s="189"/>
      <c r="F33" s="189">
        <v>2700000</v>
      </c>
      <c r="G33" s="189"/>
      <c r="H33" s="189">
        <v>6000</v>
      </c>
      <c r="I33" s="189"/>
      <c r="J33" s="189">
        <v>0</v>
      </c>
      <c r="K33" s="189"/>
      <c r="L33" s="189">
        <v>0</v>
      </c>
      <c r="M33" s="189"/>
      <c r="N33" s="189">
        <v>0</v>
      </c>
      <c r="O33" s="189"/>
      <c r="P33" s="189">
        <v>16200000000</v>
      </c>
      <c r="Q33" s="189"/>
      <c r="R33" s="189">
        <v>-851524984</v>
      </c>
      <c r="S33" s="189"/>
      <c r="T33" s="189">
        <v>15348475016</v>
      </c>
    </row>
    <row r="34" spans="2:28" ht="17.25" customHeight="1" x14ac:dyDescent="0.55000000000000004">
      <c r="B34" s="175" t="s">
        <v>133</v>
      </c>
      <c r="C34" s="165"/>
      <c r="D34" s="221" t="s">
        <v>243</v>
      </c>
      <c r="E34" s="189"/>
      <c r="F34" s="189">
        <v>1000</v>
      </c>
      <c r="G34" s="189"/>
      <c r="H34" s="189">
        <v>86</v>
      </c>
      <c r="I34" s="189"/>
      <c r="J34" s="189">
        <v>0</v>
      </c>
      <c r="K34" s="189"/>
      <c r="L34" s="189">
        <v>0</v>
      </c>
      <c r="M34" s="189"/>
      <c r="N34" s="189">
        <v>0</v>
      </c>
      <c r="O34" s="189"/>
      <c r="P34" s="189">
        <v>86000</v>
      </c>
      <c r="Q34" s="189"/>
      <c r="R34" s="189">
        <v>-2627</v>
      </c>
      <c r="S34" s="189"/>
      <c r="T34" s="189">
        <v>83373</v>
      </c>
    </row>
    <row r="35" spans="2:28" ht="17.25" customHeight="1" x14ac:dyDescent="0.55000000000000004">
      <c r="B35" s="175" t="s">
        <v>221</v>
      </c>
      <c r="C35" s="165"/>
      <c r="D35" s="221" t="s">
        <v>240</v>
      </c>
      <c r="E35" s="189"/>
      <c r="F35" s="189">
        <v>125000</v>
      </c>
      <c r="G35" s="189"/>
      <c r="H35" s="189">
        <v>2050</v>
      </c>
      <c r="I35" s="189"/>
      <c r="J35" s="189">
        <v>0</v>
      </c>
      <c r="K35" s="189"/>
      <c r="L35" s="189">
        <v>0</v>
      </c>
      <c r="M35" s="189"/>
      <c r="N35" s="189">
        <v>0</v>
      </c>
      <c r="O35" s="189"/>
      <c r="P35" s="189">
        <v>256250000</v>
      </c>
      <c r="Q35" s="189"/>
      <c r="R35" s="189">
        <v>-11883573</v>
      </c>
      <c r="S35" s="189"/>
      <c r="T35" s="189">
        <v>244366427</v>
      </c>
    </row>
    <row r="36" spans="2:28" ht="17.25" customHeight="1" x14ac:dyDescent="0.55000000000000004">
      <c r="B36" s="175" t="s">
        <v>224</v>
      </c>
      <c r="C36" s="165"/>
      <c r="D36" s="221" t="s">
        <v>231</v>
      </c>
      <c r="E36" s="189"/>
      <c r="F36" s="189">
        <v>170000000</v>
      </c>
      <c r="G36" s="189"/>
      <c r="H36" s="189">
        <v>10</v>
      </c>
      <c r="I36" s="189"/>
      <c r="J36" s="189">
        <v>0</v>
      </c>
      <c r="K36" s="189"/>
      <c r="L36" s="189">
        <v>0</v>
      </c>
      <c r="M36" s="189"/>
      <c r="N36" s="189">
        <v>0</v>
      </c>
      <c r="O36" s="189"/>
      <c r="P36" s="189">
        <v>1700000000</v>
      </c>
      <c r="Q36" s="189"/>
      <c r="R36" s="189">
        <v>-96640827</v>
      </c>
      <c r="S36" s="189"/>
      <c r="T36" s="189">
        <v>1603359173</v>
      </c>
    </row>
    <row r="37" spans="2:28" ht="17.25" customHeight="1" x14ac:dyDescent="0.55000000000000004">
      <c r="B37" s="175" t="s">
        <v>181</v>
      </c>
      <c r="C37" s="165"/>
      <c r="D37" s="221" t="s">
        <v>203</v>
      </c>
      <c r="E37" s="189"/>
      <c r="F37" s="189">
        <v>360000</v>
      </c>
      <c r="G37" s="189"/>
      <c r="H37" s="189">
        <v>1000</v>
      </c>
      <c r="I37" s="189"/>
      <c r="J37" s="189">
        <v>0</v>
      </c>
      <c r="K37" s="189"/>
      <c r="L37" s="189">
        <v>0</v>
      </c>
      <c r="M37" s="189"/>
      <c r="N37" s="189">
        <v>0</v>
      </c>
      <c r="O37" s="189"/>
      <c r="P37" s="189">
        <v>360000000</v>
      </c>
      <c r="Q37" s="189"/>
      <c r="R37" s="189">
        <v>0</v>
      </c>
      <c r="S37" s="189"/>
      <c r="T37" s="189">
        <v>360000000</v>
      </c>
    </row>
    <row r="38" spans="2:28" ht="17.25" customHeight="1" x14ac:dyDescent="0.55000000000000004">
      <c r="B38" s="175" t="s">
        <v>188</v>
      </c>
      <c r="C38" s="165"/>
      <c r="D38" s="221" t="s">
        <v>209</v>
      </c>
      <c r="E38" s="189"/>
      <c r="F38" s="189">
        <v>1475169</v>
      </c>
      <c r="G38" s="189"/>
      <c r="H38" s="189">
        <v>271</v>
      </c>
      <c r="I38" s="189"/>
      <c r="J38" s="189">
        <v>0</v>
      </c>
      <c r="K38" s="189"/>
      <c r="L38" s="189">
        <v>0</v>
      </c>
      <c r="M38" s="189"/>
      <c r="N38" s="189">
        <v>0</v>
      </c>
      <c r="O38" s="189"/>
      <c r="P38" s="189">
        <v>399770799</v>
      </c>
      <c r="Q38" s="189"/>
      <c r="R38" s="189">
        <v>0</v>
      </c>
      <c r="S38" s="189"/>
      <c r="T38" s="189">
        <v>399770799</v>
      </c>
    </row>
    <row r="39" spans="2:28" ht="19.5" customHeight="1" thickBot="1" x14ac:dyDescent="0.6">
      <c r="B39" s="175" t="s">
        <v>228</v>
      </c>
      <c r="C39" s="165"/>
      <c r="D39" s="221" t="s">
        <v>231</v>
      </c>
      <c r="E39" s="189"/>
      <c r="F39" s="189">
        <v>585000</v>
      </c>
      <c r="G39" s="189"/>
      <c r="H39" s="189">
        <v>414</v>
      </c>
      <c r="I39" s="189"/>
      <c r="J39" s="189">
        <v>0</v>
      </c>
      <c r="K39" s="189"/>
      <c r="L39" s="189">
        <v>0</v>
      </c>
      <c r="M39" s="189"/>
      <c r="N39" s="189">
        <v>0</v>
      </c>
      <c r="O39" s="189"/>
      <c r="P39" s="189">
        <v>242190000</v>
      </c>
      <c r="Q39" s="189"/>
      <c r="R39" s="189">
        <v>-13176140</v>
      </c>
      <c r="S39" s="189"/>
      <c r="T39" s="189">
        <v>229013860</v>
      </c>
      <c r="V39" s="198"/>
      <c r="W39" s="198"/>
      <c r="X39" s="198"/>
      <c r="Y39" s="198"/>
      <c r="Z39" s="198"/>
    </row>
    <row r="40" spans="2:28" ht="23.25" thickBot="1" x14ac:dyDescent="0.3">
      <c r="B40" s="196" t="s">
        <v>7</v>
      </c>
      <c r="F40" s="92">
        <f>SUM(F7:F39)</f>
        <v>1819551178</v>
      </c>
      <c r="H40" s="12"/>
      <c r="J40" s="92">
        <f>SUM(J7:J39)</f>
        <v>192849500000</v>
      </c>
      <c r="K40" s="90"/>
      <c r="L40" s="92">
        <f>SUM(L7:L39)</f>
        <v>-5751824031</v>
      </c>
      <c r="M40" s="90"/>
      <c r="N40" s="92">
        <f>SUM(N7:N39)</f>
        <v>187097675969</v>
      </c>
      <c r="O40" s="90"/>
      <c r="P40" s="92">
        <f>SUM(P7:P39)</f>
        <v>442213131281</v>
      </c>
      <c r="Q40" s="91"/>
      <c r="R40" s="92">
        <f>SUM(R7:R39)</f>
        <v>-13420850653</v>
      </c>
      <c r="S40" s="91"/>
      <c r="T40" s="92">
        <f>SUM(T7:T39)</f>
        <v>428792280628</v>
      </c>
      <c r="AB40" s="12" t="s">
        <v>179</v>
      </c>
    </row>
    <row r="41" spans="2:28" ht="23.25" thickTop="1" x14ac:dyDescent="0.25">
      <c r="H41" s="12"/>
      <c r="V41" s="198"/>
    </row>
    <row r="42" spans="2:28" ht="24.75" x14ac:dyDescent="0.45">
      <c r="J42" s="264"/>
      <c r="L42" s="293"/>
      <c r="M42" s="294"/>
      <c r="N42" s="296"/>
      <c r="O42" s="294"/>
      <c r="P42" s="296"/>
      <c r="Q42" s="294"/>
      <c r="R42" s="293"/>
      <c r="S42" s="294"/>
      <c r="T42" s="296"/>
    </row>
    <row r="43" spans="2:28" ht="24.75" x14ac:dyDescent="0.25">
      <c r="J43" s="264"/>
      <c r="L43" s="297"/>
      <c r="M43" s="294"/>
      <c r="N43" s="296"/>
      <c r="O43" s="294"/>
      <c r="P43" s="298"/>
      <c r="Q43" s="294"/>
      <c r="R43" s="297"/>
      <c r="S43" s="294"/>
      <c r="T43" s="296"/>
    </row>
    <row r="44" spans="2:28" ht="24.75" x14ac:dyDescent="0.25">
      <c r="J44" s="264"/>
      <c r="L44" s="298"/>
      <c r="M44" s="294"/>
      <c r="N44" s="298"/>
      <c r="O44" s="294"/>
      <c r="P44" s="298"/>
      <c r="Q44" s="294"/>
      <c r="R44" s="298"/>
      <c r="S44" s="294"/>
      <c r="T44" s="298"/>
    </row>
    <row r="45" spans="2:28" ht="24.75" x14ac:dyDescent="0.25">
      <c r="J45" s="279"/>
      <c r="L45" s="298"/>
      <c r="M45" s="294"/>
      <c r="N45" s="295"/>
      <c r="O45" s="294"/>
      <c r="P45" s="298"/>
      <c r="Q45" s="294"/>
      <c r="R45" s="298"/>
      <c r="S45" s="294"/>
      <c r="T45" s="291"/>
    </row>
    <row r="46" spans="2:28" x14ac:dyDescent="0.25">
      <c r="L46" s="298"/>
      <c r="M46" s="294"/>
      <c r="N46" s="298"/>
      <c r="O46" s="294"/>
      <c r="P46" s="298"/>
      <c r="Q46" s="294"/>
      <c r="R46" s="298"/>
      <c r="S46" s="294"/>
      <c r="T46" s="298"/>
    </row>
    <row r="56" spans="18:34" x14ac:dyDescent="0.25">
      <c r="X56" s="237"/>
      <c r="Y56" s="237"/>
      <c r="Z56" s="237"/>
      <c r="AA56" s="237"/>
      <c r="AB56" s="237"/>
      <c r="AC56" s="238"/>
      <c r="AD56" s="239"/>
      <c r="AE56" s="240"/>
      <c r="AF56" s="240"/>
      <c r="AG56" s="240"/>
      <c r="AH56" s="240"/>
    </row>
    <row r="60" spans="18:34" ht="27.75" x14ac:dyDescent="0.25">
      <c r="R60" s="146"/>
    </row>
    <row r="108" spans="25:26" x14ac:dyDescent="0.25">
      <c r="Y108" s="308"/>
      <c r="Z108" s="308"/>
    </row>
    <row r="109" spans="25:26" x14ac:dyDescent="0.25">
      <c r="Y109" s="308"/>
      <c r="Z109" s="308"/>
    </row>
    <row r="110" spans="25:26" x14ac:dyDescent="0.25">
      <c r="Y110" s="308"/>
      <c r="Z110" s="308"/>
    </row>
    <row r="111" spans="25:26" x14ac:dyDescent="0.25">
      <c r="Y111" s="308"/>
      <c r="Z111" s="308"/>
    </row>
    <row r="112" spans="25:26" x14ac:dyDescent="0.25">
      <c r="Y112" s="308"/>
      <c r="Z112" s="308"/>
    </row>
    <row r="113" spans="25:26" x14ac:dyDescent="0.25">
      <c r="Y113" s="308"/>
      <c r="Z113" s="308"/>
    </row>
    <row r="114" spans="25:26" x14ac:dyDescent="0.25">
      <c r="Y114" s="308"/>
      <c r="Z114" s="308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4"/>
  <sheetViews>
    <sheetView rightToLeft="1" view="pageBreakPreview" zoomScale="50" zoomScaleNormal="100" zoomScaleSheetLayoutView="50" workbookViewId="0">
      <selection activeCell="J18" sqref="J18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5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4.140625" style="12" bestFit="1" customWidth="1"/>
    <col min="9" max="9" width="0.7109375" style="12" customWidth="1"/>
    <col min="10" max="10" width="41.5703125" style="12" bestFit="1" customWidth="1"/>
    <col min="11" max="11" width="0.7109375" style="12" customWidth="1"/>
    <col min="12" max="12" width="24.85546875" style="115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8.7109375" style="244" bestFit="1" customWidth="1"/>
    <col min="19" max="19" width="37.5703125" style="115" bestFit="1" customWidth="1"/>
    <col min="20" max="20" width="22.28515625" style="12" bestFit="1" customWidth="1"/>
    <col min="21" max="21" width="57.85546875" style="179" bestFit="1" customWidth="1"/>
    <col min="22" max="22" width="57" style="179" customWidth="1"/>
    <col min="23" max="24" width="30.5703125" style="179" bestFit="1" customWidth="1"/>
    <col min="25" max="25" width="28.7109375" style="179" bestFit="1" customWidth="1"/>
    <col min="26" max="26" width="8.85546875" style="179"/>
    <col min="27" max="16384" width="8.85546875" style="12"/>
  </cols>
  <sheetData>
    <row r="1" spans="2:28" x14ac:dyDescent="0.25">
      <c r="B1" s="401" t="str">
        <f>'درآمد ناشی ازفروش'!B1:R1</f>
        <v>صندوق سرمایه گذاری شاخص سی شرکت بزرگ فیروزه</v>
      </c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V1" s="180"/>
    </row>
    <row r="2" spans="2:28" x14ac:dyDescent="0.25">
      <c r="B2" s="401" t="s">
        <v>86</v>
      </c>
      <c r="C2" s="401"/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1"/>
      <c r="R2" s="401"/>
      <c r="V2" s="180"/>
    </row>
    <row r="3" spans="2:28" x14ac:dyDescent="0.25">
      <c r="B3" s="401" t="str">
        <f>' سهام'!AC6</f>
        <v>برای ماه منتهی به 1405/05/31</v>
      </c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V3" s="180"/>
    </row>
    <row r="4" spans="2:28" x14ac:dyDescent="0.25">
      <c r="B4" s="417" t="s">
        <v>96</v>
      </c>
      <c r="C4" s="417"/>
      <c r="D4" s="417"/>
      <c r="E4" s="417"/>
      <c r="F4" s="417"/>
      <c r="G4" s="417"/>
      <c r="H4" s="417"/>
      <c r="I4" s="417"/>
      <c r="V4" s="180"/>
      <c r="AB4" s="12" t="s">
        <v>155</v>
      </c>
    </row>
    <row r="5" spans="2:28" ht="34.5" thickBot="1" x14ac:dyDescent="0.3">
      <c r="D5" s="412" t="str">
        <f>' سهام'!AC7</f>
        <v>طی مرداد ماه</v>
      </c>
      <c r="E5" s="412"/>
      <c r="F5" s="412"/>
      <c r="G5" s="412"/>
      <c r="H5" s="412"/>
      <c r="I5" s="412"/>
      <c r="J5" s="412"/>
      <c r="L5" s="412" t="str">
        <f>' سهام'!AC8</f>
        <v>از ابتدای سال مالی تا پایان مرداد  ماه</v>
      </c>
      <c r="M5" s="412"/>
      <c r="N5" s="412"/>
      <c r="O5" s="412"/>
      <c r="P5" s="412"/>
      <c r="Q5" s="412"/>
      <c r="R5" s="412"/>
      <c r="V5" s="180"/>
      <c r="AB5" s="12" t="s">
        <v>156</v>
      </c>
    </row>
    <row r="6" spans="2:28" ht="53.25" customHeight="1" thickBot="1" x14ac:dyDescent="0.3">
      <c r="B6" s="12" t="s">
        <v>63</v>
      </c>
      <c r="D6" s="110" t="s">
        <v>8</v>
      </c>
      <c r="F6" s="181" t="s">
        <v>31</v>
      </c>
      <c r="H6" s="129" t="s">
        <v>73</v>
      </c>
      <c r="J6" s="181" t="s">
        <v>74</v>
      </c>
      <c r="L6" s="110" t="s">
        <v>8</v>
      </c>
      <c r="N6" s="181" t="s">
        <v>31</v>
      </c>
      <c r="P6" s="129" t="s">
        <v>73</v>
      </c>
      <c r="R6" s="245" t="s">
        <v>74</v>
      </c>
      <c r="U6" s="180"/>
      <c r="V6" s="180"/>
      <c r="AB6" s="12" t="s">
        <v>157</v>
      </c>
    </row>
    <row r="7" spans="2:28" s="183" customFormat="1" ht="30" customHeight="1" x14ac:dyDescent="0.25">
      <c r="B7" s="182" t="s">
        <v>122</v>
      </c>
      <c r="C7" s="182"/>
      <c r="D7" s="101">
        <v>1000</v>
      </c>
      <c r="E7" s="101"/>
      <c r="F7" s="101">
        <v>29192583</v>
      </c>
      <c r="G7" s="101"/>
      <c r="H7" s="101">
        <v>-20599525</v>
      </c>
      <c r="I7" s="101"/>
      <c r="J7" s="101">
        <f>F7+H7</f>
        <v>8593058</v>
      </c>
      <c r="K7" s="101"/>
      <c r="L7" s="101">
        <v>1000</v>
      </c>
      <c r="M7" s="101"/>
      <c r="N7" s="101">
        <v>29192583</v>
      </c>
      <c r="O7" s="101"/>
      <c r="P7" s="101">
        <v>-12413297</v>
      </c>
      <c r="Q7" s="101"/>
      <c r="R7" s="101">
        <f>N7+P7</f>
        <v>16779286</v>
      </c>
      <c r="S7" s="301"/>
      <c r="T7" s="301"/>
      <c r="U7" s="180"/>
      <c r="V7" s="180"/>
      <c r="W7" s="179"/>
      <c r="X7" s="179"/>
      <c r="Y7" s="184"/>
      <c r="Z7" s="179"/>
      <c r="AB7" s="183" t="s">
        <v>158</v>
      </c>
    </row>
    <row r="8" spans="2:28" s="183" customFormat="1" ht="30" customHeight="1" x14ac:dyDescent="0.25">
      <c r="B8" s="182" t="s">
        <v>202</v>
      </c>
      <c r="C8" s="182"/>
      <c r="D8" s="101">
        <v>2400000</v>
      </c>
      <c r="E8" s="101"/>
      <c r="F8" s="101">
        <v>47390815200</v>
      </c>
      <c r="G8" s="101"/>
      <c r="H8" s="101">
        <v>-36674299200</v>
      </c>
      <c r="I8" s="101"/>
      <c r="J8" s="101">
        <f t="shared" ref="J8:J37" si="0">F8+H8</f>
        <v>10716516000</v>
      </c>
      <c r="K8" s="101"/>
      <c r="L8" s="101">
        <v>2400000</v>
      </c>
      <c r="M8" s="101"/>
      <c r="N8" s="101">
        <v>47390815200</v>
      </c>
      <c r="O8" s="101"/>
      <c r="P8" s="101">
        <v>-21259186297</v>
      </c>
      <c r="Q8" s="101"/>
      <c r="R8" s="101">
        <f t="shared" ref="R8:R37" si="1">N8+P8</f>
        <v>26131628903</v>
      </c>
      <c r="S8" s="301"/>
      <c r="T8" s="301"/>
      <c r="U8" s="180"/>
      <c r="V8" s="180"/>
      <c r="W8" s="179"/>
      <c r="X8" s="179"/>
      <c r="Y8" s="184"/>
      <c r="Z8" s="179"/>
      <c r="AB8" s="183" t="s">
        <v>159</v>
      </c>
    </row>
    <row r="9" spans="2:28" s="183" customFormat="1" ht="30" customHeight="1" x14ac:dyDescent="0.25">
      <c r="B9" s="182" t="s">
        <v>133</v>
      </c>
      <c r="C9" s="182"/>
      <c r="D9" s="101">
        <v>1000</v>
      </c>
      <c r="E9" s="101"/>
      <c r="F9" s="101">
        <v>6876431</v>
      </c>
      <c r="G9" s="101"/>
      <c r="H9" s="101">
        <v>-5606325</v>
      </c>
      <c r="I9" s="101"/>
      <c r="J9" s="101">
        <f t="shared" si="0"/>
        <v>1270106</v>
      </c>
      <c r="K9" s="101"/>
      <c r="L9" s="101">
        <v>1000</v>
      </c>
      <c r="M9" s="101"/>
      <c r="N9" s="101">
        <v>6876431</v>
      </c>
      <c r="O9" s="101"/>
      <c r="P9" s="101">
        <v>-5300706</v>
      </c>
      <c r="Q9" s="101"/>
      <c r="R9" s="101">
        <f t="shared" si="1"/>
        <v>1575725</v>
      </c>
      <c r="S9" s="301"/>
      <c r="T9" s="301"/>
      <c r="U9" s="180"/>
      <c r="V9" s="180"/>
      <c r="W9" s="179"/>
      <c r="X9" s="179"/>
      <c r="Y9" s="184"/>
      <c r="Z9" s="179"/>
    </row>
    <row r="10" spans="2:28" s="183" customFormat="1" ht="30" customHeight="1" x14ac:dyDescent="0.25">
      <c r="B10" s="182" t="s">
        <v>221</v>
      </c>
      <c r="C10" s="182"/>
      <c r="D10" s="101">
        <v>125000</v>
      </c>
      <c r="E10" s="101"/>
      <c r="F10" s="101">
        <v>6057808350</v>
      </c>
      <c r="G10" s="101"/>
      <c r="H10" s="101">
        <v>-5392987450</v>
      </c>
      <c r="I10" s="101"/>
      <c r="J10" s="101">
        <f t="shared" si="0"/>
        <v>664820900</v>
      </c>
      <c r="K10" s="101"/>
      <c r="L10" s="101">
        <v>125000</v>
      </c>
      <c r="M10" s="101"/>
      <c r="N10" s="101">
        <v>6057808350</v>
      </c>
      <c r="O10" s="101"/>
      <c r="P10" s="101">
        <v>-4784903350</v>
      </c>
      <c r="Q10" s="101"/>
      <c r="R10" s="101">
        <f t="shared" si="1"/>
        <v>1272905000</v>
      </c>
      <c r="S10" s="301"/>
      <c r="T10" s="301"/>
      <c r="U10" s="180"/>
      <c r="V10" s="180"/>
      <c r="W10" s="179"/>
      <c r="X10" s="179"/>
      <c r="Y10" s="184"/>
      <c r="Z10" s="179"/>
    </row>
    <row r="11" spans="2:28" s="183" customFormat="1" ht="30" customHeight="1" x14ac:dyDescent="0.25">
      <c r="B11" s="182" t="s">
        <v>113</v>
      </c>
      <c r="C11" s="182"/>
      <c r="D11" s="101">
        <v>30000000</v>
      </c>
      <c r="E11" s="101"/>
      <c r="F11" s="101">
        <v>162831507000</v>
      </c>
      <c r="G11" s="101"/>
      <c r="H11" s="101">
        <v>-174798283231</v>
      </c>
      <c r="I11" s="101"/>
      <c r="J11" s="101">
        <f t="shared" si="0"/>
        <v>-11966776231</v>
      </c>
      <c r="K11" s="101"/>
      <c r="L11" s="101">
        <v>30000000</v>
      </c>
      <c r="M11" s="101"/>
      <c r="N11" s="101">
        <v>162831507000</v>
      </c>
      <c r="O11" s="101"/>
      <c r="P11" s="101">
        <v>-92042965171</v>
      </c>
      <c r="Q11" s="101"/>
      <c r="R11" s="101">
        <f t="shared" si="1"/>
        <v>70788541829</v>
      </c>
      <c r="S11" s="301"/>
      <c r="T11" s="301"/>
      <c r="U11" s="180"/>
      <c r="V11" s="180"/>
      <c r="W11" s="179"/>
      <c r="X11" s="179"/>
      <c r="Y11" s="184"/>
      <c r="Z11" s="179"/>
    </row>
    <row r="12" spans="2:28" s="183" customFormat="1" ht="30" customHeight="1" x14ac:dyDescent="0.25">
      <c r="B12" s="182" t="s">
        <v>127</v>
      </c>
      <c r="C12" s="182"/>
      <c r="D12" s="101">
        <v>205714285</v>
      </c>
      <c r="E12" s="101"/>
      <c r="F12" s="101">
        <v>3929389186356</v>
      </c>
      <c r="G12" s="101"/>
      <c r="H12" s="101">
        <v>-3046756519249</v>
      </c>
      <c r="I12" s="101"/>
      <c r="J12" s="101">
        <f t="shared" si="0"/>
        <v>882632667107</v>
      </c>
      <c r="K12" s="101"/>
      <c r="L12" s="101">
        <v>205714285</v>
      </c>
      <c r="M12" s="101"/>
      <c r="N12" s="101">
        <v>3929389186356</v>
      </c>
      <c r="O12" s="101"/>
      <c r="P12" s="101">
        <v>-2240443817454</v>
      </c>
      <c r="Q12" s="101"/>
      <c r="R12" s="101">
        <f t="shared" si="1"/>
        <v>1688945368902</v>
      </c>
      <c r="S12" s="301"/>
      <c r="T12" s="301"/>
      <c r="U12" s="180"/>
      <c r="V12" s="180"/>
      <c r="W12" s="179"/>
      <c r="X12" s="179"/>
      <c r="Y12" s="184"/>
      <c r="Z12" s="179"/>
    </row>
    <row r="13" spans="2:28" s="183" customFormat="1" ht="30" customHeight="1" x14ac:dyDescent="0.25">
      <c r="B13" s="182" t="s">
        <v>225</v>
      </c>
      <c r="C13" s="182"/>
      <c r="D13" s="101">
        <v>32600000</v>
      </c>
      <c r="E13" s="101"/>
      <c r="F13" s="101">
        <v>162063490020</v>
      </c>
      <c r="G13" s="101"/>
      <c r="H13" s="101">
        <v>-149805448695</v>
      </c>
      <c r="I13" s="101"/>
      <c r="J13" s="101">
        <f t="shared" si="0"/>
        <v>12258041325</v>
      </c>
      <c r="K13" s="101"/>
      <c r="L13" s="101">
        <v>32600000</v>
      </c>
      <c r="M13" s="101"/>
      <c r="N13" s="101">
        <v>162063490020</v>
      </c>
      <c r="O13" s="101"/>
      <c r="P13" s="101">
        <v>-142294116549</v>
      </c>
      <c r="Q13" s="101"/>
      <c r="R13" s="101">
        <f t="shared" si="1"/>
        <v>19769373471</v>
      </c>
      <c r="S13" s="301"/>
      <c r="T13" s="301"/>
      <c r="U13" s="180"/>
      <c r="V13" s="180"/>
      <c r="W13" s="179"/>
      <c r="X13" s="179"/>
      <c r="Y13" s="184"/>
      <c r="Z13" s="179"/>
    </row>
    <row r="14" spans="2:28" s="183" customFormat="1" ht="30" customHeight="1" x14ac:dyDescent="0.25">
      <c r="B14" s="182" t="s">
        <v>119</v>
      </c>
      <c r="C14" s="182"/>
      <c r="D14" s="101">
        <v>30000000</v>
      </c>
      <c r="E14" s="101"/>
      <c r="F14" s="101">
        <v>564700857000</v>
      </c>
      <c r="G14" s="101"/>
      <c r="H14" s="101">
        <v>-408120651000</v>
      </c>
      <c r="I14" s="101"/>
      <c r="J14" s="101">
        <f t="shared" si="0"/>
        <v>156580206000</v>
      </c>
      <c r="K14" s="101"/>
      <c r="L14" s="101">
        <v>30000000</v>
      </c>
      <c r="M14" s="101"/>
      <c r="N14" s="101">
        <v>564700857000</v>
      </c>
      <c r="O14" s="101"/>
      <c r="P14" s="101">
        <v>-410989327358</v>
      </c>
      <c r="Q14" s="101"/>
      <c r="R14" s="101">
        <f t="shared" si="1"/>
        <v>153711529642</v>
      </c>
      <c r="S14" s="301"/>
      <c r="T14" s="301"/>
      <c r="U14" s="180"/>
      <c r="V14" s="180"/>
      <c r="W14" s="179"/>
      <c r="X14" s="179"/>
      <c r="Y14" s="184"/>
      <c r="Z14" s="179"/>
    </row>
    <row r="15" spans="2:28" s="183" customFormat="1" ht="30" customHeight="1" x14ac:dyDescent="0.25">
      <c r="B15" s="182" t="s">
        <v>117</v>
      </c>
      <c r="C15" s="182"/>
      <c r="D15" s="101">
        <v>7760000</v>
      </c>
      <c r="E15" s="101"/>
      <c r="F15" s="101">
        <v>264803522728</v>
      </c>
      <c r="G15" s="101"/>
      <c r="H15" s="101">
        <v>-230371386916</v>
      </c>
      <c r="I15" s="101"/>
      <c r="J15" s="101">
        <f t="shared" si="0"/>
        <v>34432135812</v>
      </c>
      <c r="K15" s="101"/>
      <c r="L15" s="101">
        <v>7760000</v>
      </c>
      <c r="M15" s="101"/>
      <c r="N15" s="101">
        <v>264803522728</v>
      </c>
      <c r="O15" s="101"/>
      <c r="P15" s="101">
        <v>-268986225597</v>
      </c>
      <c r="Q15" s="101"/>
      <c r="R15" s="101">
        <f t="shared" si="1"/>
        <v>-4182702869</v>
      </c>
      <c r="S15" s="301"/>
      <c r="T15" s="301"/>
      <c r="U15" s="180"/>
      <c r="V15" s="180"/>
      <c r="W15" s="179"/>
      <c r="X15" s="179"/>
      <c r="Y15" s="184"/>
      <c r="Z15" s="179"/>
    </row>
    <row r="16" spans="2:28" s="183" customFormat="1" ht="30" customHeight="1" x14ac:dyDescent="0.25">
      <c r="B16" s="182" t="s">
        <v>160</v>
      </c>
      <c r="C16" s="182"/>
      <c r="D16" s="101">
        <v>61283273</v>
      </c>
      <c r="E16" s="101"/>
      <c r="F16" s="101">
        <v>206144385686</v>
      </c>
      <c r="G16" s="101"/>
      <c r="H16" s="101">
        <v>-169354607018</v>
      </c>
      <c r="I16" s="101"/>
      <c r="J16" s="101">
        <f t="shared" si="0"/>
        <v>36789778668</v>
      </c>
      <c r="K16" s="101"/>
      <c r="L16" s="101">
        <v>61283273</v>
      </c>
      <c r="M16" s="101"/>
      <c r="N16" s="101">
        <v>206144385686</v>
      </c>
      <c r="O16" s="101"/>
      <c r="P16" s="101">
        <v>-103264073832</v>
      </c>
      <c r="Q16" s="101"/>
      <c r="R16" s="101">
        <f t="shared" si="1"/>
        <v>102880311854</v>
      </c>
      <c r="S16" s="301"/>
      <c r="T16" s="301"/>
      <c r="U16" s="180"/>
      <c r="V16" s="180"/>
      <c r="W16" s="179"/>
      <c r="X16" s="179"/>
      <c r="Y16" s="184"/>
      <c r="Z16" s="179"/>
    </row>
    <row r="17" spans="2:26" s="183" customFormat="1" ht="30" customHeight="1" x14ac:dyDescent="0.25">
      <c r="B17" s="182" t="s">
        <v>120</v>
      </c>
      <c r="C17" s="182"/>
      <c r="D17" s="101">
        <v>39500000</v>
      </c>
      <c r="E17" s="101"/>
      <c r="F17" s="101">
        <v>375876837350</v>
      </c>
      <c r="G17" s="101"/>
      <c r="H17" s="101">
        <v>-325365333116</v>
      </c>
      <c r="I17" s="101"/>
      <c r="J17" s="101">
        <f t="shared" si="0"/>
        <v>50511504234</v>
      </c>
      <c r="K17" s="101"/>
      <c r="L17" s="101">
        <v>39500000</v>
      </c>
      <c r="M17" s="101"/>
      <c r="N17" s="101">
        <v>375876837350</v>
      </c>
      <c r="O17" s="101"/>
      <c r="P17" s="101">
        <v>-329235186136</v>
      </c>
      <c r="Q17" s="101"/>
      <c r="R17" s="101">
        <f t="shared" si="1"/>
        <v>46641651214</v>
      </c>
      <c r="S17" s="301"/>
      <c r="T17" s="301"/>
      <c r="U17" s="180"/>
      <c r="V17" s="180"/>
      <c r="W17" s="179"/>
      <c r="X17" s="179"/>
      <c r="Y17" s="184"/>
      <c r="Z17" s="179"/>
    </row>
    <row r="18" spans="2:26" s="183" customFormat="1" ht="30" customHeight="1" x14ac:dyDescent="0.25">
      <c r="B18" s="182" t="s">
        <v>121</v>
      </c>
      <c r="C18" s="182"/>
      <c r="D18" s="101">
        <v>7000000</v>
      </c>
      <c r="E18" s="101"/>
      <c r="F18" s="101">
        <v>17593939370</v>
      </c>
      <c r="G18" s="101"/>
      <c r="H18" s="101">
        <v>-4765277448</v>
      </c>
      <c r="I18" s="101"/>
      <c r="J18" s="101">
        <f t="shared" si="0"/>
        <v>12828661922</v>
      </c>
      <c r="K18" s="101"/>
      <c r="L18" s="101">
        <v>7000000</v>
      </c>
      <c r="M18" s="101"/>
      <c r="N18" s="101">
        <v>17593939370</v>
      </c>
      <c r="O18" s="101"/>
      <c r="P18" s="101">
        <v>-18128772900</v>
      </c>
      <c r="Q18" s="101"/>
      <c r="R18" s="101">
        <f t="shared" si="1"/>
        <v>-534833530</v>
      </c>
      <c r="S18" s="301"/>
      <c r="T18" s="301"/>
      <c r="U18" s="180"/>
      <c r="V18" s="180"/>
      <c r="W18" s="179"/>
      <c r="X18" s="179"/>
      <c r="Y18" s="184"/>
      <c r="Z18" s="179"/>
    </row>
    <row r="19" spans="2:26" s="183" customFormat="1" ht="30" customHeight="1" x14ac:dyDescent="0.25">
      <c r="B19" s="182" t="s">
        <v>118</v>
      </c>
      <c r="C19" s="182"/>
      <c r="D19" s="101">
        <v>15400000</v>
      </c>
      <c r="E19" s="101"/>
      <c r="F19" s="101">
        <v>578231450720</v>
      </c>
      <c r="G19" s="101"/>
      <c r="H19" s="101">
        <v>-492094743480</v>
      </c>
      <c r="I19" s="101"/>
      <c r="J19" s="101">
        <f t="shared" si="0"/>
        <v>86136707240</v>
      </c>
      <c r="K19" s="101"/>
      <c r="L19" s="101">
        <v>15400000</v>
      </c>
      <c r="M19" s="101"/>
      <c r="N19" s="101">
        <v>578231450720</v>
      </c>
      <c r="O19" s="101"/>
      <c r="P19" s="101">
        <v>-455460090583</v>
      </c>
      <c r="Q19" s="101"/>
      <c r="R19" s="101">
        <f t="shared" si="1"/>
        <v>122771360137</v>
      </c>
      <c r="S19" s="301"/>
      <c r="T19" s="301"/>
      <c r="U19" s="180"/>
      <c r="V19" s="180"/>
      <c r="W19" s="179"/>
      <c r="X19" s="179"/>
      <c r="Y19" s="184"/>
      <c r="Z19" s="179"/>
    </row>
    <row r="20" spans="2:26" s="183" customFormat="1" ht="30" customHeight="1" x14ac:dyDescent="0.25">
      <c r="B20" s="182" t="s">
        <v>146</v>
      </c>
      <c r="C20" s="182"/>
      <c r="D20" s="101">
        <v>1782</v>
      </c>
      <c r="E20" s="101"/>
      <c r="F20" s="101">
        <v>9318546</v>
      </c>
      <c r="G20" s="101"/>
      <c r="H20" s="101">
        <v>-8664303</v>
      </c>
      <c r="I20" s="101"/>
      <c r="J20" s="101">
        <f t="shared" si="0"/>
        <v>654243</v>
      </c>
      <c r="K20" s="101"/>
      <c r="L20" s="101">
        <v>1782</v>
      </c>
      <c r="M20" s="101"/>
      <c r="N20" s="101">
        <v>9318546</v>
      </c>
      <c r="O20" s="101"/>
      <c r="P20" s="101">
        <v>-9583780</v>
      </c>
      <c r="Q20" s="101"/>
      <c r="R20" s="101">
        <f t="shared" si="1"/>
        <v>-265234</v>
      </c>
      <c r="S20" s="301"/>
      <c r="T20" s="301"/>
      <c r="U20" s="180"/>
      <c r="V20" s="180"/>
      <c r="W20" s="179"/>
      <c r="X20" s="179"/>
      <c r="Y20" s="184"/>
      <c r="Z20" s="179"/>
    </row>
    <row r="21" spans="2:26" s="183" customFormat="1" ht="30" customHeight="1" x14ac:dyDescent="0.25">
      <c r="B21" s="182" t="s">
        <v>114</v>
      </c>
      <c r="C21" s="182"/>
      <c r="D21" s="101">
        <v>1000</v>
      </c>
      <c r="E21" s="101"/>
      <c r="F21" s="101">
        <v>2301074</v>
      </c>
      <c r="G21" s="101"/>
      <c r="H21" s="101">
        <v>-1546003</v>
      </c>
      <c r="I21" s="101"/>
      <c r="J21" s="101">
        <f t="shared" si="0"/>
        <v>755071</v>
      </c>
      <c r="K21" s="101"/>
      <c r="L21" s="101">
        <v>1000</v>
      </c>
      <c r="M21" s="101"/>
      <c r="N21" s="101">
        <v>2301074</v>
      </c>
      <c r="O21" s="101"/>
      <c r="P21" s="101">
        <v>-2121717</v>
      </c>
      <c r="Q21" s="101"/>
      <c r="R21" s="101">
        <f t="shared" si="1"/>
        <v>179357</v>
      </c>
      <c r="S21" s="301"/>
      <c r="T21" s="301"/>
      <c r="U21" s="180"/>
      <c r="V21" s="180"/>
      <c r="W21" s="179"/>
      <c r="X21" s="179"/>
      <c r="Y21" s="184"/>
      <c r="Z21" s="179"/>
    </row>
    <row r="22" spans="2:26" s="183" customFormat="1" ht="30" customHeight="1" x14ac:dyDescent="0.25">
      <c r="B22" s="182" t="s">
        <v>103</v>
      </c>
      <c r="C22" s="182"/>
      <c r="D22" s="101">
        <v>270045097</v>
      </c>
      <c r="E22" s="101"/>
      <c r="F22" s="101">
        <v>763143382643</v>
      </c>
      <c r="G22" s="101"/>
      <c r="H22" s="101">
        <v>-497516967168</v>
      </c>
      <c r="I22" s="101"/>
      <c r="J22" s="101">
        <f t="shared" si="0"/>
        <v>265626415475</v>
      </c>
      <c r="K22" s="101"/>
      <c r="L22" s="101">
        <v>270045097</v>
      </c>
      <c r="M22" s="101"/>
      <c r="N22" s="101">
        <v>763143382643</v>
      </c>
      <c r="O22" s="101"/>
      <c r="P22" s="101">
        <v>-617220540208</v>
      </c>
      <c r="Q22" s="101"/>
      <c r="R22" s="101">
        <f t="shared" si="1"/>
        <v>145922842435</v>
      </c>
      <c r="S22" s="301"/>
      <c r="T22" s="301"/>
      <c r="U22" s="180"/>
      <c r="V22" s="180"/>
      <c r="W22" s="179"/>
      <c r="X22" s="179"/>
      <c r="Y22" s="184"/>
      <c r="Z22" s="179"/>
    </row>
    <row r="23" spans="2:26" s="183" customFormat="1" ht="30" customHeight="1" x14ac:dyDescent="0.25">
      <c r="B23" s="182" t="s">
        <v>154</v>
      </c>
      <c r="C23" s="182"/>
      <c r="D23" s="101">
        <v>60000000</v>
      </c>
      <c r="E23" s="101"/>
      <c r="F23" s="101">
        <v>181168656600</v>
      </c>
      <c r="G23" s="101"/>
      <c r="H23" s="101">
        <v>-116155126200</v>
      </c>
      <c r="I23" s="101"/>
      <c r="J23" s="101">
        <f t="shared" si="0"/>
        <v>65013530400</v>
      </c>
      <c r="K23" s="101"/>
      <c r="L23" s="101">
        <v>60000000</v>
      </c>
      <c r="M23" s="101"/>
      <c r="N23" s="101">
        <v>181168656600</v>
      </c>
      <c r="O23" s="101"/>
      <c r="P23" s="101">
        <v>-86625171000</v>
      </c>
      <c r="Q23" s="101"/>
      <c r="R23" s="101">
        <f t="shared" si="1"/>
        <v>94543485600</v>
      </c>
      <c r="S23" s="301"/>
      <c r="T23" s="301"/>
      <c r="U23" s="180"/>
      <c r="V23" s="180"/>
      <c r="W23" s="179"/>
      <c r="X23" s="179"/>
      <c r="Y23" s="184"/>
      <c r="Z23" s="179"/>
    </row>
    <row r="24" spans="2:26" s="183" customFormat="1" ht="30" customHeight="1" x14ac:dyDescent="0.25">
      <c r="B24" s="182" t="s">
        <v>152</v>
      </c>
      <c r="C24" s="182"/>
      <c r="D24" s="101">
        <v>1000</v>
      </c>
      <c r="E24" s="101"/>
      <c r="F24" s="101">
        <v>71582357</v>
      </c>
      <c r="G24" s="101"/>
      <c r="H24" s="101">
        <v>-72575122</v>
      </c>
      <c r="I24" s="101"/>
      <c r="J24" s="101">
        <f t="shared" si="0"/>
        <v>-992765</v>
      </c>
      <c r="K24" s="101"/>
      <c r="L24" s="101">
        <v>1000</v>
      </c>
      <c r="M24" s="101"/>
      <c r="N24" s="101">
        <v>71582357</v>
      </c>
      <c r="O24" s="101"/>
      <c r="P24" s="101">
        <v>-42243066</v>
      </c>
      <c r="Q24" s="101"/>
      <c r="R24" s="101">
        <f t="shared" si="1"/>
        <v>29339291</v>
      </c>
      <c r="S24" s="301"/>
      <c r="T24" s="301"/>
      <c r="U24" s="180"/>
      <c r="V24" s="180"/>
      <c r="W24" s="179"/>
      <c r="X24" s="179"/>
      <c r="Y24" s="184"/>
      <c r="Z24" s="179"/>
    </row>
    <row r="25" spans="2:26" s="183" customFormat="1" ht="23.25" customHeight="1" x14ac:dyDescent="0.25">
      <c r="B25" s="182" t="s">
        <v>109</v>
      </c>
      <c r="C25" s="182"/>
      <c r="D25" s="101">
        <v>1000</v>
      </c>
      <c r="E25" s="101"/>
      <c r="F25" s="101">
        <v>10805820</v>
      </c>
      <c r="G25" s="101"/>
      <c r="H25" s="101">
        <v>-8533522</v>
      </c>
      <c r="I25" s="101"/>
      <c r="J25" s="101">
        <f t="shared" si="0"/>
        <v>2272298</v>
      </c>
      <c r="K25" s="101"/>
      <c r="L25" s="101">
        <v>1000</v>
      </c>
      <c r="M25" s="101"/>
      <c r="N25" s="101">
        <v>10805820</v>
      </c>
      <c r="O25" s="101"/>
      <c r="P25" s="101">
        <v>-5586480</v>
      </c>
      <c r="Q25" s="101"/>
      <c r="R25" s="101">
        <f t="shared" si="1"/>
        <v>5219340</v>
      </c>
      <c r="S25" s="301"/>
      <c r="T25" s="301"/>
      <c r="U25" s="180"/>
      <c r="V25" s="180"/>
      <c r="W25" s="179"/>
      <c r="X25" s="179"/>
      <c r="Y25" s="184"/>
      <c r="Z25" s="179"/>
    </row>
    <row r="26" spans="2:26" s="183" customFormat="1" ht="23.25" customHeight="1" x14ac:dyDescent="0.25">
      <c r="B26" s="182" t="s">
        <v>132</v>
      </c>
      <c r="C26" s="182"/>
      <c r="D26" s="101">
        <v>10000000</v>
      </c>
      <c r="E26" s="101"/>
      <c r="F26" s="101">
        <v>78945001200</v>
      </c>
      <c r="G26" s="101"/>
      <c r="H26" s="101">
        <v>-78945001200</v>
      </c>
      <c r="I26" s="101"/>
      <c r="J26" s="101">
        <f t="shared" si="0"/>
        <v>0</v>
      </c>
      <c r="K26" s="101"/>
      <c r="L26" s="101">
        <v>10000000</v>
      </c>
      <c r="M26" s="101"/>
      <c r="N26" s="101">
        <v>78945001200</v>
      </c>
      <c r="O26" s="101"/>
      <c r="P26" s="101">
        <v>-147451322000</v>
      </c>
      <c r="Q26" s="101"/>
      <c r="R26" s="101">
        <f t="shared" si="1"/>
        <v>-68506320800</v>
      </c>
      <c r="S26" s="301"/>
      <c r="T26" s="301"/>
      <c r="U26" s="180"/>
      <c r="V26" s="180"/>
      <c r="W26" s="179"/>
      <c r="X26" s="179"/>
      <c r="Y26" s="184"/>
      <c r="Z26" s="179"/>
    </row>
    <row r="27" spans="2:26" s="183" customFormat="1" ht="23.25" customHeight="1" x14ac:dyDescent="0.25">
      <c r="B27" s="182" t="s">
        <v>232</v>
      </c>
      <c r="C27" s="182"/>
      <c r="D27" s="101">
        <v>15000000</v>
      </c>
      <c r="E27" s="101"/>
      <c r="F27" s="101">
        <v>87964735500</v>
      </c>
      <c r="G27" s="101"/>
      <c r="H27" s="101">
        <v>-59287041445</v>
      </c>
      <c r="I27" s="101"/>
      <c r="J27" s="101">
        <f t="shared" si="0"/>
        <v>28677694055</v>
      </c>
      <c r="K27" s="101"/>
      <c r="L27" s="101">
        <v>15000000</v>
      </c>
      <c r="M27" s="101"/>
      <c r="N27" s="101">
        <v>87964735500</v>
      </c>
      <c r="O27" s="101"/>
      <c r="P27" s="101">
        <v>-72840865405</v>
      </c>
      <c r="Q27" s="101"/>
      <c r="R27" s="101">
        <f t="shared" si="1"/>
        <v>15123870095</v>
      </c>
      <c r="S27" s="301"/>
      <c r="T27" s="301"/>
      <c r="U27" s="180"/>
      <c r="V27" s="180"/>
      <c r="W27" s="179"/>
      <c r="X27" s="179"/>
      <c r="Y27" s="184"/>
      <c r="Z27" s="179"/>
    </row>
    <row r="28" spans="2:26" s="183" customFormat="1" ht="23.25" customHeight="1" x14ac:dyDescent="0.25">
      <c r="B28" s="182" t="s">
        <v>116</v>
      </c>
      <c r="C28" s="182"/>
      <c r="D28" s="101">
        <v>1000</v>
      </c>
      <c r="E28" s="101"/>
      <c r="F28" s="101">
        <v>47073288</v>
      </c>
      <c r="G28" s="101"/>
      <c r="H28" s="101">
        <v>-35622493</v>
      </c>
      <c r="I28" s="101"/>
      <c r="J28" s="101">
        <f t="shared" si="0"/>
        <v>11450795</v>
      </c>
      <c r="K28" s="101"/>
      <c r="L28" s="101">
        <v>1000</v>
      </c>
      <c r="M28" s="101"/>
      <c r="N28" s="101">
        <v>47073288</v>
      </c>
      <c r="O28" s="101"/>
      <c r="P28" s="101">
        <v>-43461424</v>
      </c>
      <c r="Q28" s="101"/>
      <c r="R28" s="101">
        <f t="shared" si="1"/>
        <v>3611864</v>
      </c>
      <c r="S28" s="301"/>
      <c r="T28" s="301"/>
      <c r="U28" s="180"/>
      <c r="V28" s="180"/>
      <c r="W28" s="179"/>
      <c r="X28" s="179"/>
      <c r="Y28" s="184"/>
      <c r="Z28" s="179"/>
    </row>
    <row r="29" spans="2:26" s="183" customFormat="1" ht="23.25" customHeight="1" x14ac:dyDescent="0.25">
      <c r="B29" s="182" t="s">
        <v>124</v>
      </c>
      <c r="C29" s="182"/>
      <c r="D29" s="101">
        <v>1000</v>
      </c>
      <c r="E29" s="101"/>
      <c r="F29" s="101">
        <v>945633</v>
      </c>
      <c r="G29" s="101"/>
      <c r="H29" s="101">
        <v>-619176</v>
      </c>
      <c r="I29" s="101"/>
      <c r="J29" s="101">
        <f t="shared" si="0"/>
        <v>326457</v>
      </c>
      <c r="K29" s="101"/>
      <c r="L29" s="101">
        <v>1000</v>
      </c>
      <c r="M29" s="101"/>
      <c r="N29" s="101">
        <v>945633</v>
      </c>
      <c r="O29" s="101"/>
      <c r="P29" s="101">
        <v>-419730</v>
      </c>
      <c r="Q29" s="101"/>
      <c r="R29" s="101">
        <f t="shared" si="1"/>
        <v>525903</v>
      </c>
      <c r="S29" s="301"/>
      <c r="T29" s="301"/>
      <c r="U29" s="180"/>
      <c r="V29" s="180"/>
      <c r="W29" s="179"/>
      <c r="X29" s="179"/>
      <c r="Y29" s="184"/>
      <c r="Z29" s="179"/>
    </row>
    <row r="30" spans="2:26" s="183" customFormat="1" ht="23.25" customHeight="1" x14ac:dyDescent="0.25">
      <c r="B30" s="182" t="s">
        <v>129</v>
      </c>
      <c r="C30" s="182"/>
      <c r="D30" s="101">
        <v>1000</v>
      </c>
      <c r="E30" s="101"/>
      <c r="F30" s="101">
        <v>18118850</v>
      </c>
      <c r="G30" s="101"/>
      <c r="H30" s="101">
        <v>-14814591</v>
      </c>
      <c r="I30" s="101"/>
      <c r="J30" s="101">
        <f t="shared" si="0"/>
        <v>3304259</v>
      </c>
      <c r="K30" s="101"/>
      <c r="L30" s="101">
        <v>1000</v>
      </c>
      <c r="M30" s="101"/>
      <c r="N30" s="101">
        <v>18118850</v>
      </c>
      <c r="O30" s="101"/>
      <c r="P30" s="101">
        <v>-16858663</v>
      </c>
      <c r="Q30" s="101"/>
      <c r="R30" s="101">
        <f t="shared" si="1"/>
        <v>1260187</v>
      </c>
      <c r="S30" s="301"/>
      <c r="T30" s="301"/>
      <c r="U30" s="180"/>
      <c r="V30" s="180"/>
      <c r="W30" s="179"/>
      <c r="X30" s="179"/>
      <c r="Y30" s="184"/>
      <c r="Z30" s="179"/>
    </row>
    <row r="31" spans="2:26" s="183" customFormat="1" ht="23.25" customHeight="1" x14ac:dyDescent="0.25">
      <c r="B31" s="182" t="s">
        <v>190</v>
      </c>
      <c r="C31" s="182"/>
      <c r="D31" s="101">
        <v>300000000</v>
      </c>
      <c r="E31" s="101"/>
      <c r="F31" s="101">
        <v>2238561120000</v>
      </c>
      <c r="G31" s="101"/>
      <c r="H31" s="101">
        <v>-1641258765163</v>
      </c>
      <c r="I31" s="101"/>
      <c r="J31" s="101">
        <f t="shared" si="0"/>
        <v>597302354837</v>
      </c>
      <c r="K31" s="101"/>
      <c r="L31" s="101">
        <v>300000000</v>
      </c>
      <c r="M31" s="101"/>
      <c r="N31" s="101">
        <v>2238561120000</v>
      </c>
      <c r="O31" s="101"/>
      <c r="P31" s="101">
        <v>-1209764727846</v>
      </c>
      <c r="Q31" s="101"/>
      <c r="R31" s="101">
        <f t="shared" si="1"/>
        <v>1028796392154</v>
      </c>
      <c r="S31" s="301"/>
      <c r="T31" s="301"/>
      <c r="U31" s="180"/>
      <c r="V31" s="180"/>
      <c r="W31" s="179"/>
      <c r="X31" s="179"/>
      <c r="Y31" s="184"/>
      <c r="Z31" s="179"/>
    </row>
    <row r="32" spans="2:26" s="183" customFormat="1" ht="23.25" customHeight="1" x14ac:dyDescent="0.25">
      <c r="B32" s="182" t="s">
        <v>139</v>
      </c>
      <c r="C32" s="182"/>
      <c r="D32" s="101">
        <v>30000</v>
      </c>
      <c r="E32" s="101"/>
      <c r="F32" s="101">
        <v>1135355334</v>
      </c>
      <c r="G32" s="101"/>
      <c r="H32" s="101">
        <v>-1154821169</v>
      </c>
      <c r="I32" s="101"/>
      <c r="J32" s="101">
        <f t="shared" si="0"/>
        <v>-19465835</v>
      </c>
      <c r="K32" s="101"/>
      <c r="L32" s="101">
        <v>30000</v>
      </c>
      <c r="M32" s="101"/>
      <c r="N32" s="101">
        <v>1135355334</v>
      </c>
      <c r="O32" s="101"/>
      <c r="P32" s="101">
        <v>-1152923949</v>
      </c>
      <c r="Q32" s="101"/>
      <c r="R32" s="101">
        <f t="shared" si="1"/>
        <v>-17568615</v>
      </c>
      <c r="S32" s="301"/>
      <c r="T32" s="301"/>
      <c r="U32" s="180"/>
      <c r="V32" s="180"/>
      <c r="W32" s="179"/>
      <c r="X32" s="179"/>
      <c r="Y32" s="184"/>
      <c r="Z32" s="179"/>
    </row>
    <row r="33" spans="2:26" s="183" customFormat="1" ht="23.25" customHeight="1" x14ac:dyDescent="0.25">
      <c r="B33" s="182" t="s">
        <v>228</v>
      </c>
      <c r="C33" s="182"/>
      <c r="D33" s="101">
        <v>585000</v>
      </c>
      <c r="E33" s="101"/>
      <c r="F33" s="101">
        <v>3591417076</v>
      </c>
      <c r="G33" s="101"/>
      <c r="H33" s="101">
        <v>-3591417076</v>
      </c>
      <c r="I33" s="101"/>
      <c r="J33" s="101">
        <f t="shared" si="0"/>
        <v>0</v>
      </c>
      <c r="K33" s="101"/>
      <c r="L33" s="101">
        <v>585000</v>
      </c>
      <c r="M33" s="101"/>
      <c r="N33" s="101">
        <v>3591417076</v>
      </c>
      <c r="O33" s="101"/>
      <c r="P33" s="101">
        <v>-3927629043</v>
      </c>
      <c r="Q33" s="101"/>
      <c r="R33" s="101">
        <f t="shared" si="1"/>
        <v>-336211967</v>
      </c>
      <c r="S33" s="301"/>
      <c r="T33" s="301"/>
      <c r="U33" s="180"/>
      <c r="V33" s="180"/>
      <c r="W33" s="179"/>
      <c r="X33" s="179"/>
      <c r="Y33" s="184"/>
      <c r="Z33" s="179"/>
    </row>
    <row r="34" spans="2:26" s="183" customFormat="1" ht="23.25" customHeight="1" x14ac:dyDescent="0.25">
      <c r="B34" s="182" t="s">
        <v>135</v>
      </c>
      <c r="C34" s="182"/>
      <c r="D34" s="101">
        <v>1000</v>
      </c>
      <c r="E34" s="101"/>
      <c r="F34" s="101">
        <v>45694033</v>
      </c>
      <c r="G34" s="101"/>
      <c r="H34" s="101">
        <v>-38658839</v>
      </c>
      <c r="I34" s="101"/>
      <c r="J34" s="101">
        <f t="shared" si="0"/>
        <v>7035194</v>
      </c>
      <c r="K34" s="101"/>
      <c r="L34" s="101">
        <v>1000</v>
      </c>
      <c r="M34" s="101"/>
      <c r="N34" s="101">
        <v>45694033</v>
      </c>
      <c r="O34" s="101"/>
      <c r="P34" s="101">
        <v>-25699793</v>
      </c>
      <c r="Q34" s="101"/>
      <c r="R34" s="101">
        <f t="shared" si="1"/>
        <v>19994240</v>
      </c>
      <c r="S34" s="301"/>
      <c r="T34" s="301"/>
      <c r="U34" s="180"/>
      <c r="V34" s="180"/>
      <c r="W34" s="179"/>
      <c r="X34" s="179"/>
      <c r="Y34" s="184"/>
      <c r="Z34" s="179"/>
    </row>
    <row r="35" spans="2:26" s="183" customFormat="1" ht="23.25" customHeight="1" x14ac:dyDescent="0.25">
      <c r="B35" s="182" t="s">
        <v>123</v>
      </c>
      <c r="C35" s="182"/>
      <c r="D35" s="101">
        <v>6000000</v>
      </c>
      <c r="E35" s="101"/>
      <c r="F35" s="101">
        <v>175453181400</v>
      </c>
      <c r="G35" s="101"/>
      <c r="H35" s="101">
        <v>-132229900228</v>
      </c>
      <c r="I35" s="101"/>
      <c r="J35" s="101">
        <f t="shared" si="0"/>
        <v>43223281172</v>
      </c>
      <c r="K35" s="101"/>
      <c r="L35" s="101">
        <v>6000000</v>
      </c>
      <c r="M35" s="101"/>
      <c r="N35" s="101">
        <v>175453181400</v>
      </c>
      <c r="O35" s="101"/>
      <c r="P35" s="101">
        <v>-160807276228</v>
      </c>
      <c r="Q35" s="101"/>
      <c r="R35" s="101">
        <f t="shared" si="1"/>
        <v>14645905172</v>
      </c>
      <c r="S35" s="301"/>
      <c r="T35" s="301"/>
      <c r="U35" s="180"/>
      <c r="V35" s="180"/>
      <c r="W35" s="179"/>
      <c r="X35" s="179"/>
      <c r="Y35" s="184"/>
      <c r="Z35" s="179"/>
    </row>
    <row r="36" spans="2:26" s="183" customFormat="1" ht="23.25" customHeight="1" x14ac:dyDescent="0.25">
      <c r="B36" s="182" t="s">
        <v>111</v>
      </c>
      <c r="C36" s="182"/>
      <c r="D36" s="101">
        <v>55000000</v>
      </c>
      <c r="E36" s="101"/>
      <c r="F36" s="101">
        <v>616695805000</v>
      </c>
      <c r="G36" s="101"/>
      <c r="H36" s="101">
        <v>-534951314642</v>
      </c>
      <c r="I36" s="101"/>
      <c r="J36" s="101">
        <f t="shared" si="0"/>
        <v>81744490358</v>
      </c>
      <c r="K36" s="101"/>
      <c r="L36" s="101">
        <v>55000000</v>
      </c>
      <c r="M36" s="101"/>
      <c r="N36" s="101">
        <v>616695805000</v>
      </c>
      <c r="O36" s="101"/>
      <c r="P36" s="101">
        <v>-284676583058</v>
      </c>
      <c r="Q36" s="101"/>
      <c r="R36" s="101">
        <f t="shared" si="1"/>
        <v>332019221942</v>
      </c>
      <c r="S36" s="301"/>
      <c r="T36" s="301"/>
      <c r="U36" s="180"/>
      <c r="V36" s="180"/>
      <c r="W36" s="179"/>
      <c r="X36" s="179"/>
      <c r="Y36" s="184"/>
      <c r="Z36" s="179"/>
    </row>
    <row r="37" spans="2:26" s="183" customFormat="1" ht="26.1" customHeight="1" thickBot="1" x14ac:dyDescent="0.3">
      <c r="B37" s="182" t="s">
        <v>224</v>
      </c>
      <c r="C37" s="182"/>
      <c r="D37" s="101">
        <v>180000000</v>
      </c>
      <c r="E37" s="101"/>
      <c r="F37" s="101">
        <v>237906655200</v>
      </c>
      <c r="G37" s="101"/>
      <c r="H37" s="101">
        <v>-165923454662</v>
      </c>
      <c r="I37" s="101"/>
      <c r="J37" s="101">
        <f t="shared" si="0"/>
        <v>71983200538</v>
      </c>
      <c r="K37" s="101"/>
      <c r="L37" s="101">
        <v>180000000</v>
      </c>
      <c r="M37" s="101"/>
      <c r="N37" s="101">
        <v>237906655200</v>
      </c>
      <c r="O37" s="101"/>
      <c r="P37" s="101">
        <v>-184858491856</v>
      </c>
      <c r="Q37" s="101"/>
      <c r="R37" s="101">
        <f t="shared" si="1"/>
        <v>53048163344</v>
      </c>
      <c r="S37" s="301"/>
      <c r="T37" s="301"/>
      <c r="U37" s="180"/>
      <c r="V37" s="180"/>
      <c r="W37" s="179"/>
      <c r="X37" s="179"/>
      <c r="Y37" s="184"/>
      <c r="Z37" s="186"/>
    </row>
    <row r="38" spans="2:26" s="183" customFormat="1" ht="34.5" thickBot="1" x14ac:dyDescent="0.3">
      <c r="B38" s="187" t="s">
        <v>165</v>
      </c>
      <c r="C38" s="188"/>
      <c r="D38" s="98">
        <f>SUM(D7:D37)</f>
        <v>1328453437</v>
      </c>
      <c r="E38" s="193"/>
      <c r="F38" s="98">
        <f>SUM(F7:F37)</f>
        <v>10699891018348</v>
      </c>
      <c r="G38" s="193"/>
      <c r="H38" s="98">
        <f>SUM(H7:H37)</f>
        <v>-8274720585655</v>
      </c>
      <c r="I38" s="193"/>
      <c r="J38" s="98">
        <f>SUM(J7:J37)</f>
        <v>2425170432693</v>
      </c>
      <c r="K38" s="193"/>
      <c r="L38" s="98">
        <f>SUM(L7:L37)</f>
        <v>1328453437</v>
      </c>
      <c r="M38" s="118"/>
      <c r="N38" s="98">
        <f>SUM(N7:N37)</f>
        <v>10699891018348</v>
      </c>
      <c r="O38" s="193"/>
      <c r="P38" s="98">
        <f>SUM(P7:P37)</f>
        <v>-6856377884476</v>
      </c>
      <c r="Q38" s="193"/>
      <c r="R38" s="98">
        <f>SUM(R7:R37)</f>
        <v>3843513133872</v>
      </c>
      <c r="S38" s="115"/>
      <c r="T38" s="12"/>
      <c r="U38" s="180"/>
      <c r="V38" s="180"/>
      <c r="W38" s="179"/>
      <c r="X38" s="179"/>
      <c r="Y38" s="184"/>
      <c r="Z38" s="179"/>
    </row>
    <row r="39" spans="2:26" s="183" customFormat="1" ht="34.5" thickTop="1" x14ac:dyDescent="0.25">
      <c r="B39" s="175"/>
      <c r="C39" s="165"/>
      <c r="D39" s="190"/>
      <c r="E39" s="188"/>
      <c r="F39" s="190"/>
      <c r="G39" s="189"/>
      <c r="H39" s="190"/>
      <c r="I39" s="189"/>
      <c r="J39" s="190"/>
      <c r="K39" s="189"/>
      <c r="L39" s="116"/>
      <c r="M39" s="189"/>
      <c r="N39" s="190"/>
      <c r="O39" s="189"/>
      <c r="P39" s="190"/>
      <c r="Q39" s="189"/>
      <c r="R39" s="190"/>
      <c r="S39" s="115"/>
      <c r="T39" s="12"/>
      <c r="U39" s="180"/>
      <c r="V39" s="180"/>
      <c r="W39" s="179"/>
      <c r="X39" s="179"/>
      <c r="Y39" s="184"/>
      <c r="Z39" s="179"/>
    </row>
    <row r="40" spans="2:26" x14ac:dyDescent="0.25">
      <c r="B40" s="417" t="s">
        <v>96</v>
      </c>
      <c r="C40" s="417"/>
      <c r="D40" s="417"/>
      <c r="E40" s="417"/>
      <c r="F40" s="417"/>
      <c r="G40" s="417"/>
      <c r="H40" s="417"/>
      <c r="I40" s="417"/>
      <c r="S40" s="179"/>
      <c r="T40" s="180"/>
      <c r="Y40" s="12"/>
      <c r="Z40" s="12" t="s">
        <v>155</v>
      </c>
    </row>
    <row r="41" spans="2:26" ht="34.5" thickBot="1" x14ac:dyDescent="0.3">
      <c r="D41" s="412" t="str">
        <f>D5</f>
        <v>طی مرداد ماه</v>
      </c>
      <c r="E41" s="412"/>
      <c r="F41" s="412"/>
      <c r="G41" s="412"/>
      <c r="H41" s="412"/>
      <c r="I41" s="412"/>
      <c r="J41" s="412"/>
      <c r="L41" s="412" t="str">
        <f>L5</f>
        <v>از ابتدای سال مالی تا پایان مرداد  ماه</v>
      </c>
      <c r="M41" s="412"/>
      <c r="N41" s="412"/>
      <c r="O41" s="412"/>
      <c r="P41" s="412"/>
      <c r="Q41" s="412"/>
      <c r="R41" s="412"/>
      <c r="S41" s="179"/>
      <c r="T41" s="180"/>
      <c r="Y41" s="12"/>
      <c r="Z41" s="12" t="s">
        <v>156</v>
      </c>
    </row>
    <row r="42" spans="2:26" ht="53.25" customHeight="1" thickBot="1" x14ac:dyDescent="0.3">
      <c r="B42" s="12" t="s">
        <v>63</v>
      </c>
      <c r="D42" s="110" t="s">
        <v>8</v>
      </c>
      <c r="F42" s="181" t="s">
        <v>31</v>
      </c>
      <c r="H42" s="129" t="s">
        <v>73</v>
      </c>
      <c r="J42" s="181" t="s">
        <v>74</v>
      </c>
      <c r="L42" s="110" t="s">
        <v>8</v>
      </c>
      <c r="N42" s="181" t="s">
        <v>31</v>
      </c>
      <c r="P42" s="129" t="s">
        <v>73</v>
      </c>
      <c r="R42" s="245" t="s">
        <v>74</v>
      </c>
      <c r="S42" s="180"/>
      <c r="T42" s="180"/>
      <c r="Y42" s="12"/>
      <c r="Z42" s="12" t="s">
        <v>157</v>
      </c>
    </row>
    <row r="43" spans="2:26" s="183" customFormat="1" x14ac:dyDescent="0.25">
      <c r="B43" s="191" t="s">
        <v>166</v>
      </c>
      <c r="C43" s="182"/>
      <c r="D43" s="101">
        <f>D38</f>
        <v>1328453437</v>
      </c>
      <c r="E43" s="101"/>
      <c r="F43" s="101">
        <f>F38</f>
        <v>10699891018348</v>
      </c>
      <c r="G43" s="101"/>
      <c r="H43" s="101">
        <f>H38</f>
        <v>-8274720585655</v>
      </c>
      <c r="I43" s="101"/>
      <c r="J43" s="101">
        <f>J38</f>
        <v>2425170432693</v>
      </c>
      <c r="K43" s="101"/>
      <c r="L43" s="101">
        <f>L38</f>
        <v>1328453437</v>
      </c>
      <c r="M43" s="101"/>
      <c r="N43" s="101">
        <f>N38</f>
        <v>10699891018348</v>
      </c>
      <c r="O43" s="101"/>
      <c r="P43" s="101">
        <f>P38</f>
        <v>-6856377884476</v>
      </c>
      <c r="Q43" s="101"/>
      <c r="R43" s="101">
        <f>R38</f>
        <v>3843513133872</v>
      </c>
      <c r="S43" s="180"/>
      <c r="T43" s="180"/>
      <c r="U43" s="179"/>
      <c r="V43" s="179"/>
      <c r="W43" s="184"/>
      <c r="X43" s="179"/>
    </row>
    <row r="44" spans="2:26" s="183" customFormat="1" x14ac:dyDescent="0.25">
      <c r="B44" s="182" t="s">
        <v>110</v>
      </c>
      <c r="C44" s="182"/>
      <c r="D44" s="101">
        <v>500000000</v>
      </c>
      <c r="E44" s="101"/>
      <c r="F44" s="101">
        <v>679208815000</v>
      </c>
      <c r="G44" s="101"/>
      <c r="H44" s="101">
        <v>-559047695262</v>
      </c>
      <c r="I44" s="101"/>
      <c r="J44" s="101">
        <f>H44+F44</f>
        <v>120161119738</v>
      </c>
      <c r="K44" s="101"/>
      <c r="L44" s="101">
        <v>500000000</v>
      </c>
      <c r="M44" s="101"/>
      <c r="N44" s="101">
        <v>679208815000</v>
      </c>
      <c r="O44" s="101"/>
      <c r="P44" s="101">
        <v>-541829620317</v>
      </c>
      <c r="Q44" s="101"/>
      <c r="R44" s="101">
        <f>N44+P44</f>
        <v>137379194683</v>
      </c>
      <c r="S44" s="180"/>
      <c r="T44" s="180"/>
      <c r="U44" s="179"/>
      <c r="V44" s="179"/>
      <c r="W44" s="184"/>
      <c r="X44" s="179"/>
    </row>
    <row r="45" spans="2:26" s="183" customFormat="1" x14ac:dyDescent="0.25">
      <c r="B45" s="182" t="s">
        <v>137</v>
      </c>
      <c r="C45" s="182"/>
      <c r="D45" s="101">
        <v>15000000</v>
      </c>
      <c r="E45" s="101"/>
      <c r="F45" s="101">
        <v>120263124000</v>
      </c>
      <c r="G45" s="101"/>
      <c r="H45" s="101">
        <v>-110052665701</v>
      </c>
      <c r="I45" s="101"/>
      <c r="J45" s="101">
        <f t="shared" ref="J45:J56" si="2">H45+F45</f>
        <v>10210458299</v>
      </c>
      <c r="K45" s="101"/>
      <c r="L45" s="101">
        <v>15000000</v>
      </c>
      <c r="M45" s="101"/>
      <c r="N45" s="101">
        <v>120263124000</v>
      </c>
      <c r="O45" s="101"/>
      <c r="P45" s="101">
        <v>-85583287501</v>
      </c>
      <c r="Q45" s="101"/>
      <c r="R45" s="101">
        <f t="shared" ref="R45:R56" si="3">N45+P45</f>
        <v>34679836499</v>
      </c>
      <c r="S45" s="180"/>
      <c r="T45" s="180"/>
      <c r="U45" s="179"/>
      <c r="V45" s="179"/>
      <c r="W45" s="184"/>
      <c r="X45" s="179"/>
    </row>
    <row r="46" spans="2:26" s="183" customFormat="1" x14ac:dyDescent="0.25">
      <c r="B46" s="182" t="s">
        <v>108</v>
      </c>
      <c r="C46" s="182"/>
      <c r="D46" s="101">
        <v>200000000</v>
      </c>
      <c r="E46" s="101"/>
      <c r="F46" s="101">
        <v>128399738000</v>
      </c>
      <c r="G46" s="101"/>
      <c r="H46" s="101">
        <v>-100020816000</v>
      </c>
      <c r="I46" s="101"/>
      <c r="J46" s="101">
        <f t="shared" si="2"/>
        <v>28378922000</v>
      </c>
      <c r="K46" s="101"/>
      <c r="L46" s="101">
        <v>200000000</v>
      </c>
      <c r="M46" s="101"/>
      <c r="N46" s="101">
        <v>128399738000</v>
      </c>
      <c r="O46" s="101"/>
      <c r="P46" s="101">
        <v>-95506096906</v>
      </c>
      <c r="Q46" s="101"/>
      <c r="R46" s="101">
        <f t="shared" si="3"/>
        <v>32893641094</v>
      </c>
      <c r="S46" s="180"/>
      <c r="T46" s="180"/>
      <c r="U46" s="179"/>
      <c r="V46" s="179"/>
      <c r="W46" s="184"/>
      <c r="X46" s="179"/>
    </row>
    <row r="47" spans="2:26" s="183" customFormat="1" x14ac:dyDescent="0.25">
      <c r="B47" s="182" t="s">
        <v>141</v>
      </c>
      <c r="C47" s="182"/>
      <c r="D47" s="101">
        <v>23414814</v>
      </c>
      <c r="E47" s="101"/>
      <c r="F47" s="101">
        <v>485586785494</v>
      </c>
      <c r="G47" s="101"/>
      <c r="H47" s="101">
        <v>-394107899751</v>
      </c>
      <c r="I47" s="101"/>
      <c r="J47" s="101">
        <f t="shared" si="2"/>
        <v>91478885743</v>
      </c>
      <c r="K47" s="101"/>
      <c r="L47" s="101">
        <v>23414814</v>
      </c>
      <c r="M47" s="101"/>
      <c r="N47" s="101">
        <v>485586785494</v>
      </c>
      <c r="O47" s="101"/>
      <c r="P47" s="101">
        <v>-298384809955</v>
      </c>
      <c r="Q47" s="101"/>
      <c r="R47" s="101">
        <f t="shared" si="3"/>
        <v>187201975539</v>
      </c>
      <c r="S47" s="180"/>
      <c r="T47" s="180"/>
      <c r="U47" s="179"/>
      <c r="V47" s="179"/>
      <c r="W47" s="184"/>
      <c r="X47" s="179"/>
    </row>
    <row r="48" spans="2:26" s="183" customFormat="1" x14ac:dyDescent="0.25">
      <c r="B48" s="182" t="s">
        <v>126</v>
      </c>
      <c r="C48" s="182"/>
      <c r="D48" s="101">
        <v>1000</v>
      </c>
      <c r="E48" s="101"/>
      <c r="F48" s="101">
        <v>2467775</v>
      </c>
      <c r="G48" s="101"/>
      <c r="H48" s="101">
        <v>-2472511</v>
      </c>
      <c r="I48" s="101"/>
      <c r="J48" s="101">
        <f t="shared" si="2"/>
        <v>-4736</v>
      </c>
      <c r="K48" s="101"/>
      <c r="L48" s="101">
        <v>1000</v>
      </c>
      <c r="M48" s="101"/>
      <c r="N48" s="101">
        <v>2467775</v>
      </c>
      <c r="O48" s="101"/>
      <c r="P48" s="101">
        <v>-2494787</v>
      </c>
      <c r="Q48" s="101"/>
      <c r="R48" s="101">
        <f t="shared" si="3"/>
        <v>-27012</v>
      </c>
      <c r="S48" s="180"/>
      <c r="T48" s="180"/>
      <c r="U48" s="179"/>
      <c r="V48" s="179"/>
      <c r="W48" s="184"/>
      <c r="X48" s="179"/>
    </row>
    <row r="49" spans="1:26" s="183" customFormat="1" x14ac:dyDescent="0.25">
      <c r="B49" s="182" t="s">
        <v>115</v>
      </c>
      <c r="C49" s="182"/>
      <c r="D49" s="101">
        <v>1000</v>
      </c>
      <c r="E49" s="101"/>
      <c r="F49" s="101">
        <v>10408912</v>
      </c>
      <c r="G49" s="101"/>
      <c r="H49" s="101">
        <v>114385877298</v>
      </c>
      <c r="I49" s="101"/>
      <c r="J49" s="101">
        <f t="shared" si="2"/>
        <v>114396286210</v>
      </c>
      <c r="K49" s="101"/>
      <c r="L49" s="101">
        <v>1000</v>
      </c>
      <c r="M49" s="101"/>
      <c r="N49" s="101">
        <v>10408912</v>
      </c>
      <c r="O49" s="101"/>
      <c r="P49" s="101">
        <v>-12931326</v>
      </c>
      <c r="Q49" s="101"/>
      <c r="R49" s="101">
        <f t="shared" si="3"/>
        <v>-2522414</v>
      </c>
      <c r="S49" s="180"/>
      <c r="T49" s="180"/>
      <c r="U49" s="179"/>
      <c r="V49" s="179"/>
      <c r="W49" s="184"/>
      <c r="X49" s="179"/>
    </row>
    <row r="50" spans="1:26" s="183" customFormat="1" x14ac:dyDescent="0.25">
      <c r="B50" s="182" t="s">
        <v>143</v>
      </c>
      <c r="C50" s="182"/>
      <c r="D50" s="101">
        <v>1000</v>
      </c>
      <c r="E50" s="101"/>
      <c r="F50" s="101">
        <v>4752973</v>
      </c>
      <c r="G50" s="101"/>
      <c r="H50" s="101">
        <v>-3135573</v>
      </c>
      <c r="I50" s="101"/>
      <c r="J50" s="101">
        <f t="shared" si="2"/>
        <v>1617400</v>
      </c>
      <c r="K50" s="101"/>
      <c r="L50" s="101">
        <v>1000</v>
      </c>
      <c r="M50" s="101"/>
      <c r="N50" s="101">
        <v>4752973</v>
      </c>
      <c r="O50" s="101"/>
      <c r="P50" s="101">
        <v>-2745611</v>
      </c>
      <c r="Q50" s="101"/>
      <c r="R50" s="101">
        <f t="shared" si="3"/>
        <v>2007362</v>
      </c>
      <c r="S50" s="180"/>
      <c r="T50" s="180"/>
      <c r="U50" s="179"/>
      <c r="V50" s="179"/>
      <c r="W50" s="184"/>
      <c r="X50" s="179"/>
    </row>
    <row r="51" spans="1:26" s="183" customFormat="1" x14ac:dyDescent="0.25">
      <c r="B51" s="182" t="s">
        <v>176</v>
      </c>
      <c r="C51" s="182"/>
      <c r="D51" s="101">
        <v>20000000</v>
      </c>
      <c r="E51" s="101"/>
      <c r="F51" s="101">
        <v>146062144000</v>
      </c>
      <c r="G51" s="101"/>
      <c r="H51" s="101">
        <v>-153509130289</v>
      </c>
      <c r="I51" s="101"/>
      <c r="J51" s="101">
        <f t="shared" si="2"/>
        <v>-7446986289</v>
      </c>
      <c r="K51" s="101"/>
      <c r="L51" s="101">
        <v>20000000</v>
      </c>
      <c r="M51" s="101"/>
      <c r="N51" s="101">
        <v>146062144000</v>
      </c>
      <c r="O51" s="101"/>
      <c r="P51" s="101">
        <v>-122227818536</v>
      </c>
      <c r="Q51" s="101"/>
      <c r="R51" s="101">
        <f t="shared" si="3"/>
        <v>23834325464</v>
      </c>
      <c r="S51" s="180"/>
      <c r="T51" s="180"/>
      <c r="U51" s="179"/>
      <c r="V51" s="179"/>
      <c r="W51" s="184"/>
      <c r="X51" s="179"/>
    </row>
    <row r="52" spans="1:26" s="183" customFormat="1" x14ac:dyDescent="0.25">
      <c r="B52" s="182" t="s">
        <v>142</v>
      </c>
      <c r="C52" s="182"/>
      <c r="D52" s="101">
        <v>50000000</v>
      </c>
      <c r="E52" s="101"/>
      <c r="F52" s="101">
        <v>42171475000</v>
      </c>
      <c r="G52" s="101"/>
      <c r="H52" s="101">
        <v>-27864168720</v>
      </c>
      <c r="I52" s="101"/>
      <c r="J52" s="101">
        <f t="shared" si="2"/>
        <v>14307306280</v>
      </c>
      <c r="K52" s="101"/>
      <c r="L52" s="101">
        <v>50000000</v>
      </c>
      <c r="M52" s="101"/>
      <c r="N52" s="101">
        <v>42171475000</v>
      </c>
      <c r="O52" s="101"/>
      <c r="P52" s="101">
        <v>-23415526811</v>
      </c>
      <c r="Q52" s="101"/>
      <c r="R52" s="101">
        <f t="shared" si="3"/>
        <v>18755948189</v>
      </c>
      <c r="S52" s="180"/>
      <c r="T52" s="180"/>
      <c r="U52" s="179"/>
      <c r="V52" s="179"/>
      <c r="W52" s="184"/>
      <c r="X52" s="179"/>
    </row>
    <row r="53" spans="1:26" s="183" customFormat="1" x14ac:dyDescent="0.25">
      <c r="B53" s="182" t="s">
        <v>125</v>
      </c>
      <c r="C53" s="182"/>
      <c r="D53" s="101">
        <v>1000000</v>
      </c>
      <c r="E53" s="101"/>
      <c r="F53" s="101">
        <v>2766448760</v>
      </c>
      <c r="G53" s="101"/>
      <c r="H53" s="101">
        <v>-2828163214</v>
      </c>
      <c r="I53" s="101"/>
      <c r="J53" s="101">
        <f t="shared" si="2"/>
        <v>-61714454</v>
      </c>
      <c r="K53" s="101"/>
      <c r="L53" s="101">
        <v>1000000</v>
      </c>
      <c r="M53" s="101"/>
      <c r="N53" s="101">
        <v>2766448760</v>
      </c>
      <c r="O53" s="101"/>
      <c r="P53" s="101">
        <v>-2827856067</v>
      </c>
      <c r="Q53" s="101"/>
      <c r="R53" s="101">
        <f t="shared" si="3"/>
        <v>-61407307</v>
      </c>
      <c r="S53" s="180"/>
      <c r="T53" s="180"/>
      <c r="U53" s="117"/>
      <c r="V53" s="117"/>
      <c r="W53" s="184"/>
      <c r="X53" s="179"/>
    </row>
    <row r="54" spans="1:26" s="183" customFormat="1" x14ac:dyDescent="0.25">
      <c r="B54" s="182" t="s">
        <v>128</v>
      </c>
      <c r="C54" s="182"/>
      <c r="D54" s="101">
        <v>600000000</v>
      </c>
      <c r="E54" s="101"/>
      <c r="F54" s="101">
        <v>1716428646000</v>
      </c>
      <c r="G54" s="101"/>
      <c r="H54" s="101">
        <v>-1296698436000</v>
      </c>
      <c r="I54" s="101"/>
      <c r="J54" s="101">
        <f t="shared" si="2"/>
        <v>419730210000</v>
      </c>
      <c r="K54" s="101"/>
      <c r="L54" s="101">
        <v>600000000</v>
      </c>
      <c r="M54" s="101"/>
      <c r="N54" s="101">
        <v>1716428646000</v>
      </c>
      <c r="O54" s="101"/>
      <c r="P54" s="101">
        <v>-1131384190589</v>
      </c>
      <c r="Q54" s="101"/>
      <c r="R54" s="101">
        <f t="shared" si="3"/>
        <v>585044455411</v>
      </c>
      <c r="S54" s="180"/>
      <c r="T54" s="179"/>
      <c r="U54" s="117"/>
      <c r="V54" s="117"/>
      <c r="W54" s="184"/>
      <c r="X54" s="179"/>
    </row>
    <row r="55" spans="1:26" s="183" customFormat="1" x14ac:dyDescent="0.25">
      <c r="B55" s="182" t="s">
        <v>140</v>
      </c>
      <c r="C55" s="182"/>
      <c r="D55" s="101">
        <v>1000</v>
      </c>
      <c r="E55" s="101"/>
      <c r="F55" s="101">
        <v>60796382</v>
      </c>
      <c r="G55" s="101"/>
      <c r="H55" s="101">
        <v>85723269950</v>
      </c>
      <c r="I55" s="101"/>
      <c r="J55" s="101">
        <f t="shared" si="2"/>
        <v>85784066332</v>
      </c>
      <c r="K55" s="101"/>
      <c r="L55" s="101">
        <v>1000</v>
      </c>
      <c r="M55" s="101"/>
      <c r="N55" s="101">
        <v>60796382</v>
      </c>
      <c r="O55" s="101"/>
      <c r="P55" s="101">
        <v>-70467941</v>
      </c>
      <c r="Q55" s="101"/>
      <c r="R55" s="101">
        <f t="shared" si="3"/>
        <v>-9671559</v>
      </c>
      <c r="S55" s="180"/>
      <c r="T55" s="179"/>
      <c r="U55" s="117"/>
      <c r="V55" s="117"/>
      <c r="W55" s="184"/>
      <c r="X55" s="179"/>
    </row>
    <row r="56" spans="1:26" s="183" customFormat="1" ht="34.5" thickBot="1" x14ac:dyDescent="0.3">
      <c r="B56" s="182" t="s">
        <v>112</v>
      </c>
      <c r="C56" s="182"/>
      <c r="D56" s="101">
        <v>50000000</v>
      </c>
      <c r="E56" s="101"/>
      <c r="F56" s="101">
        <v>597842675000</v>
      </c>
      <c r="G56" s="101"/>
      <c r="H56" s="101">
        <v>-590797557976</v>
      </c>
      <c r="I56" s="101"/>
      <c r="J56" s="101">
        <f t="shared" si="2"/>
        <v>7045117024</v>
      </c>
      <c r="K56" s="101"/>
      <c r="L56" s="101">
        <v>50000000</v>
      </c>
      <c r="M56" s="101"/>
      <c r="N56" s="101">
        <v>597842675000</v>
      </c>
      <c r="O56" s="101"/>
      <c r="P56" s="101">
        <v>-344317689986</v>
      </c>
      <c r="Q56" s="101"/>
      <c r="R56" s="101">
        <f t="shared" si="3"/>
        <v>253524985014</v>
      </c>
      <c r="S56" s="180"/>
      <c r="T56" s="179"/>
      <c r="U56" s="117"/>
      <c r="V56" s="117"/>
      <c r="W56" s="184"/>
      <c r="X56" s="179"/>
    </row>
    <row r="57" spans="1:26" s="183" customFormat="1" ht="34.5" thickBot="1" x14ac:dyDescent="0.3">
      <c r="A57" s="12"/>
      <c r="B57" s="183" t="s">
        <v>7</v>
      </c>
      <c r="D57" s="98">
        <f>SUM(D43:D56)</f>
        <v>2787872251</v>
      </c>
      <c r="E57" s="193"/>
      <c r="F57" s="98">
        <f>SUM(F43:F56)</f>
        <v>14618699295644</v>
      </c>
      <c r="G57" s="193"/>
      <c r="H57" s="98">
        <f>SUM(H43:H56)</f>
        <v>-11309543579404</v>
      </c>
      <c r="I57" s="193"/>
      <c r="J57" s="98">
        <f>SUM(J43:J56)</f>
        <v>3309155716240</v>
      </c>
      <c r="K57" s="193"/>
      <c r="L57" s="98">
        <f>SUM(L43:L56)</f>
        <v>2787872251</v>
      </c>
      <c r="M57" s="118"/>
      <c r="N57" s="98">
        <f>SUM(N43:N56)</f>
        <v>14618699295644</v>
      </c>
      <c r="O57" s="193"/>
      <c r="P57" s="98">
        <f>SUM(P43:P56)</f>
        <v>-9501943420809</v>
      </c>
      <c r="Q57" s="193"/>
      <c r="R57" s="98">
        <f>SUM(R43:R56)</f>
        <v>5116755874835</v>
      </c>
      <c r="S57" s="115"/>
      <c r="T57" s="192"/>
      <c r="U57" s="180"/>
      <c r="V57" s="179"/>
      <c r="W57" s="117"/>
      <c r="X57" s="117"/>
      <c r="Y57" s="184"/>
      <c r="Z57" s="179"/>
    </row>
    <row r="58" spans="1:26" s="183" customFormat="1" ht="34.5" thickTop="1" x14ac:dyDescent="0.25">
      <c r="A58" s="12"/>
      <c r="D58" s="102"/>
      <c r="L58" s="102"/>
      <c r="R58" s="246"/>
      <c r="S58" s="115"/>
      <c r="T58" s="192"/>
      <c r="U58" s="180"/>
      <c r="V58" s="179"/>
      <c r="W58" s="117"/>
      <c r="X58" s="117"/>
      <c r="Y58" s="184"/>
      <c r="Z58" s="179"/>
    </row>
    <row r="59" spans="1:26" s="183" customFormat="1" x14ac:dyDescent="0.25">
      <c r="A59" s="12"/>
      <c r="B59" s="414" t="s">
        <v>75</v>
      </c>
      <c r="C59" s="415"/>
      <c r="D59" s="415"/>
      <c r="E59" s="415"/>
      <c r="F59" s="415"/>
      <c r="G59" s="415"/>
      <c r="H59" s="415"/>
      <c r="I59" s="415"/>
      <c r="J59" s="415"/>
      <c r="K59" s="415"/>
      <c r="L59" s="415"/>
      <c r="M59" s="415"/>
      <c r="N59" s="415"/>
      <c r="O59" s="415"/>
      <c r="P59" s="415"/>
      <c r="Q59" s="415"/>
      <c r="R59" s="416"/>
      <c r="S59" s="115"/>
      <c r="T59" s="192"/>
      <c r="U59" s="180"/>
      <c r="V59" s="179"/>
      <c r="W59" s="117"/>
      <c r="X59" s="117"/>
      <c r="Y59" s="184"/>
      <c r="Z59" s="179"/>
    </row>
    <row r="60" spans="1:26" ht="36" x14ac:dyDescent="0.25">
      <c r="B60" s="183"/>
      <c r="C60" s="183"/>
      <c r="D60" s="102"/>
      <c r="E60" s="183"/>
      <c r="F60" s="183"/>
      <c r="G60" s="183"/>
      <c r="H60" s="202">
        <f>F57+H57-J57</f>
        <v>0</v>
      </c>
      <c r="I60" s="183"/>
      <c r="J60" s="299"/>
      <c r="K60" s="183"/>
      <c r="L60" s="102"/>
      <c r="M60" s="183"/>
      <c r="N60" s="183"/>
      <c r="O60" s="183"/>
      <c r="P60" s="202"/>
      <c r="Q60" s="183"/>
      <c r="R60" s="343"/>
      <c r="T60" s="192"/>
      <c r="Y60" s="194"/>
    </row>
    <row r="61" spans="1:26" ht="36" x14ac:dyDescent="0.25">
      <c r="F61" s="168"/>
      <c r="H61" s="168"/>
      <c r="J61" s="300"/>
      <c r="N61" s="168"/>
      <c r="P61" s="168"/>
      <c r="R61" s="299"/>
      <c r="T61" s="192"/>
    </row>
    <row r="62" spans="1:26" x14ac:dyDescent="0.25">
      <c r="E62" s="115"/>
      <c r="F62" s="115"/>
      <c r="G62" s="115"/>
      <c r="H62" s="115"/>
      <c r="I62" s="115"/>
      <c r="J62" s="115"/>
      <c r="K62" s="115"/>
      <c r="M62" s="115"/>
      <c r="N62" s="115"/>
      <c r="O62" s="115"/>
      <c r="P62" s="115"/>
      <c r="Q62" s="115"/>
      <c r="R62" s="115"/>
      <c r="T62" s="192"/>
      <c r="Y62" s="194"/>
    </row>
    <row r="63" spans="1:26" x14ac:dyDescent="0.25">
      <c r="F63" s="195"/>
      <c r="H63" s="168"/>
      <c r="J63" s="243"/>
      <c r="N63" s="168"/>
      <c r="P63" s="241"/>
      <c r="T63" s="192"/>
    </row>
    <row r="64" spans="1:26" x14ac:dyDescent="0.25">
      <c r="J64" s="168"/>
      <c r="N64" s="168"/>
      <c r="P64" s="241"/>
      <c r="T64" s="192"/>
    </row>
    <row r="65" spans="14:26" x14ac:dyDescent="0.25">
      <c r="N65" s="168"/>
      <c r="P65" s="241"/>
      <c r="T65" s="192"/>
      <c r="Y65" s="307"/>
      <c r="Z65" s="307"/>
    </row>
    <row r="66" spans="14:26" x14ac:dyDescent="0.25">
      <c r="P66" s="168"/>
      <c r="R66" s="146"/>
      <c r="T66" s="192"/>
      <c r="Y66" s="307"/>
      <c r="Z66" s="307"/>
    </row>
    <row r="67" spans="14:26" x14ac:dyDescent="0.25">
      <c r="N67" s="168"/>
      <c r="T67" s="192"/>
      <c r="Y67" s="307"/>
      <c r="Z67" s="307"/>
    </row>
    <row r="68" spans="14:26" x14ac:dyDescent="0.25">
      <c r="N68" s="168"/>
      <c r="T68" s="192"/>
      <c r="Y68" s="307"/>
      <c r="Z68" s="307"/>
    </row>
    <row r="69" spans="14:26" x14ac:dyDescent="0.25">
      <c r="T69" s="192"/>
      <c r="Y69" s="307"/>
      <c r="Z69" s="307"/>
    </row>
    <row r="70" spans="14:26" x14ac:dyDescent="0.25">
      <c r="T70" s="192"/>
      <c r="Y70" s="307"/>
      <c r="Z70" s="307"/>
    </row>
    <row r="71" spans="14:26" x14ac:dyDescent="0.25">
      <c r="T71" s="192"/>
      <c r="Y71" s="307"/>
      <c r="Z71" s="307"/>
    </row>
    <row r="72" spans="14:26" x14ac:dyDescent="0.25">
      <c r="T72" s="192"/>
    </row>
    <row r="73" spans="14:26" x14ac:dyDescent="0.25">
      <c r="T73" s="192"/>
    </row>
    <row r="74" spans="14:26" x14ac:dyDescent="0.25">
      <c r="S74" s="102"/>
      <c r="T74" s="192"/>
    </row>
    <row r="75" spans="14:26" x14ac:dyDescent="0.25">
      <c r="S75" s="102"/>
      <c r="T75" s="192"/>
    </row>
    <row r="76" spans="14:26" x14ac:dyDescent="0.25">
      <c r="S76" s="102"/>
      <c r="T76" s="192"/>
    </row>
    <row r="77" spans="14:26" x14ac:dyDescent="0.25">
      <c r="S77" s="102"/>
      <c r="T77" s="192"/>
    </row>
    <row r="78" spans="14:26" x14ac:dyDescent="0.25">
      <c r="S78" s="102"/>
      <c r="T78" s="192"/>
    </row>
    <row r="79" spans="14:26" x14ac:dyDescent="0.25">
      <c r="S79" s="102"/>
      <c r="T79" s="192"/>
    </row>
    <row r="80" spans="14:26" x14ac:dyDescent="0.25">
      <c r="S80" s="102"/>
      <c r="T80" s="192"/>
    </row>
    <row r="81" spans="19:20" x14ac:dyDescent="0.25">
      <c r="S81" s="102"/>
      <c r="T81" s="192"/>
    </row>
    <row r="85" spans="19:20" x14ac:dyDescent="0.25">
      <c r="S85" s="102"/>
      <c r="T85" s="192"/>
    </row>
    <row r="86" spans="19:20" x14ac:dyDescent="0.25">
      <c r="S86" s="102"/>
      <c r="T86" s="192"/>
    </row>
    <row r="87" spans="19:20" x14ac:dyDescent="0.25">
      <c r="S87" s="102"/>
      <c r="T87" s="192"/>
    </row>
    <row r="88" spans="19:20" x14ac:dyDescent="0.25">
      <c r="S88" s="102"/>
      <c r="T88" s="192"/>
    </row>
    <row r="89" spans="19:20" x14ac:dyDescent="0.25">
      <c r="S89" s="102"/>
      <c r="T89" s="192"/>
    </row>
    <row r="90" spans="19:20" x14ac:dyDescent="0.25">
      <c r="S90" s="102"/>
      <c r="T90" s="192"/>
    </row>
    <row r="91" spans="19:20" x14ac:dyDescent="0.25">
      <c r="S91" s="102"/>
      <c r="T91" s="192"/>
    </row>
    <row r="92" spans="19:20" x14ac:dyDescent="0.25">
      <c r="S92" s="102"/>
      <c r="T92" s="192"/>
    </row>
    <row r="93" spans="19:20" x14ac:dyDescent="0.25">
      <c r="S93" s="102"/>
      <c r="T93" s="192"/>
    </row>
    <row r="94" spans="19:20" x14ac:dyDescent="0.25">
      <c r="S94" s="102"/>
      <c r="T94" s="192"/>
    </row>
    <row r="95" spans="19:20" x14ac:dyDescent="0.25">
      <c r="S95" s="102"/>
      <c r="T95" s="192"/>
    </row>
    <row r="96" spans="19:20" x14ac:dyDescent="0.25">
      <c r="S96" s="102"/>
      <c r="T96" s="192"/>
    </row>
    <row r="97" spans="19:20" x14ac:dyDescent="0.25">
      <c r="S97" s="102"/>
      <c r="T97" s="192"/>
    </row>
    <row r="98" spans="19:20" x14ac:dyDescent="0.25">
      <c r="S98" s="102"/>
      <c r="T98" s="192"/>
    </row>
    <row r="99" spans="19:20" x14ac:dyDescent="0.25">
      <c r="S99" s="102"/>
      <c r="T99" s="192"/>
    </row>
    <row r="100" spans="19:20" x14ac:dyDescent="0.25">
      <c r="S100" s="102"/>
      <c r="T100" s="192"/>
    </row>
    <row r="101" spans="19:20" x14ac:dyDescent="0.25">
      <c r="S101" s="102"/>
      <c r="T101" s="192"/>
    </row>
    <row r="102" spans="19:20" x14ac:dyDescent="0.25">
      <c r="S102" s="102"/>
      <c r="T102" s="192"/>
    </row>
    <row r="103" spans="19:20" x14ac:dyDescent="0.25">
      <c r="S103" s="102"/>
      <c r="T103" s="192"/>
    </row>
    <row r="104" spans="19:20" x14ac:dyDescent="0.25">
      <c r="S104" s="102"/>
      <c r="T104" s="192"/>
    </row>
    <row r="105" spans="19:20" x14ac:dyDescent="0.25">
      <c r="S105" s="102"/>
      <c r="T105" s="192"/>
    </row>
    <row r="106" spans="19:20" x14ac:dyDescent="0.25">
      <c r="T106" s="192"/>
    </row>
    <row r="107" spans="19:20" x14ac:dyDescent="0.25">
      <c r="T107" s="192"/>
    </row>
    <row r="108" spans="19:20" x14ac:dyDescent="0.25">
      <c r="T108" s="192"/>
    </row>
    <row r="109" spans="19:20" x14ac:dyDescent="0.25">
      <c r="T109" s="192"/>
    </row>
    <row r="110" spans="19:20" x14ac:dyDescent="0.25">
      <c r="T110" s="192"/>
    </row>
    <row r="111" spans="19:20" x14ac:dyDescent="0.25">
      <c r="T111" s="192"/>
    </row>
    <row r="112" spans="19:20" x14ac:dyDescent="0.25">
      <c r="T112" s="192"/>
    </row>
    <row r="113" spans="20:20" x14ac:dyDescent="0.25">
      <c r="T113" s="192"/>
    </row>
    <row r="114" spans="20:20" x14ac:dyDescent="0.25">
      <c r="T114" s="192"/>
    </row>
    <row r="115" spans="20:20" x14ac:dyDescent="0.25">
      <c r="T115" s="192"/>
    </row>
    <row r="116" spans="20:20" x14ac:dyDescent="0.25">
      <c r="T116" s="192"/>
    </row>
    <row r="117" spans="20:20" x14ac:dyDescent="0.25">
      <c r="T117" s="192"/>
    </row>
    <row r="118" spans="20:20" x14ac:dyDescent="0.25">
      <c r="T118" s="192"/>
    </row>
    <row r="119" spans="20:20" x14ac:dyDescent="0.25">
      <c r="T119" s="192"/>
    </row>
    <row r="120" spans="20:20" x14ac:dyDescent="0.25">
      <c r="T120" s="192"/>
    </row>
    <row r="121" spans="20:20" x14ac:dyDescent="0.25">
      <c r="T121" s="192"/>
    </row>
    <row r="122" spans="20:20" x14ac:dyDescent="0.25">
      <c r="T122" s="192"/>
    </row>
    <row r="123" spans="20:20" x14ac:dyDescent="0.25">
      <c r="T123" s="192"/>
    </row>
    <row r="124" spans="20:20" x14ac:dyDescent="0.25">
      <c r="T124" s="192"/>
    </row>
  </sheetData>
  <sortState xmlns:xlrd2="http://schemas.microsoft.com/office/spreadsheetml/2017/richdata2" ref="T7:U69">
    <sortCondition descending="1" ref="U1:U69"/>
  </sortState>
  <mergeCells count="10">
    <mergeCell ref="B59:R59"/>
    <mergeCell ref="D5:J5"/>
    <mergeCell ref="L5:R5"/>
    <mergeCell ref="B4:I4"/>
    <mergeCell ref="B1:R1"/>
    <mergeCell ref="B2:R2"/>
    <mergeCell ref="B3:R3"/>
    <mergeCell ref="B40:I40"/>
    <mergeCell ref="D41:J41"/>
    <mergeCell ref="L41:R41"/>
  </mergeCells>
  <printOptions horizontalCentered="1"/>
  <pageMargins left="0.7" right="0.7" top="0.75" bottom="0.75" header="0.3" footer="0.3"/>
  <pageSetup paperSize="9" scale="40" orientation="landscape" r:id="rId1"/>
  <headerFooter>
    <oddFooter>&amp;C&amp;P</oddFooter>
  </headerFooter>
  <rowBreaks count="1" manualBreakCount="1">
    <brk id="39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30"/>
  <sheetViews>
    <sheetView rightToLeft="1" view="pageBreakPreview" zoomScale="85" zoomScaleNormal="85" zoomScaleSheetLayoutView="85" workbookViewId="0">
      <selection activeCell="I18" sqref="I18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60" t="str">
        <f>'سود اوراق بهادار و سپرده بانکی'!B1:U1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</row>
    <row r="2" spans="2:29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V2" s="93"/>
    </row>
    <row r="3" spans="2:29" ht="24" x14ac:dyDescent="0.6">
      <c r="B3" s="360" t="str">
        <f>' سهام'!B3:Z3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V3" s="93"/>
    </row>
    <row r="4" spans="2:29" ht="24" x14ac:dyDescent="0.55000000000000004">
      <c r="B4" s="417" t="s">
        <v>97</v>
      </c>
      <c r="C4" s="417"/>
      <c r="D4" s="417"/>
      <c r="E4" s="417"/>
      <c r="F4" s="417"/>
      <c r="G4" s="417"/>
      <c r="H4" s="417"/>
      <c r="I4" s="417"/>
      <c r="J4" s="417"/>
      <c r="K4" s="419"/>
      <c r="L4" s="419"/>
      <c r="M4" s="419"/>
      <c r="N4" s="419"/>
      <c r="O4" s="419"/>
      <c r="P4" s="419"/>
      <c r="Q4" s="419"/>
      <c r="R4" s="419"/>
      <c r="V4" s="93"/>
      <c r="AC4" s="1" t="s">
        <v>164</v>
      </c>
    </row>
    <row r="5" spans="2:29" ht="24.75" thickBot="1" x14ac:dyDescent="0.6">
      <c r="B5" s="12"/>
      <c r="C5" s="12"/>
      <c r="D5" s="412" t="str">
        <f>' سهام'!AC7</f>
        <v>طی مرداد ماه</v>
      </c>
      <c r="E5" s="412"/>
      <c r="F5" s="412"/>
      <c r="G5" s="412"/>
      <c r="H5" s="412"/>
      <c r="I5" s="412"/>
      <c r="J5" s="412"/>
      <c r="K5" s="12"/>
      <c r="L5" s="412" t="str">
        <f>' سهام'!AC8</f>
        <v>از ابتدای سال مالی تا پایان مرداد  ماه</v>
      </c>
      <c r="M5" s="412"/>
      <c r="N5" s="412"/>
      <c r="O5" s="412"/>
      <c r="P5" s="412"/>
      <c r="Q5" s="412"/>
      <c r="R5" s="412"/>
      <c r="V5" s="93"/>
      <c r="AC5" s="1" t="s">
        <v>169</v>
      </c>
    </row>
    <row r="6" spans="2:29" ht="45.75" thickBot="1" x14ac:dyDescent="0.6">
      <c r="B6" s="12" t="s">
        <v>63</v>
      </c>
      <c r="C6" s="12"/>
      <c r="D6" s="110" t="s">
        <v>8</v>
      </c>
      <c r="E6" s="12"/>
      <c r="F6" s="111" t="s">
        <v>76</v>
      </c>
      <c r="G6" s="12"/>
      <c r="H6" s="110" t="s">
        <v>73</v>
      </c>
      <c r="I6" s="12"/>
      <c r="J6" s="111" t="s">
        <v>77</v>
      </c>
      <c r="K6" s="12"/>
      <c r="L6" s="110" t="s">
        <v>8</v>
      </c>
      <c r="M6" s="12"/>
      <c r="N6" s="111" t="s">
        <v>31</v>
      </c>
      <c r="O6" s="12"/>
      <c r="P6" s="110" t="s">
        <v>73</v>
      </c>
      <c r="Q6" s="12"/>
      <c r="R6" s="111" t="s">
        <v>77</v>
      </c>
      <c r="T6" s="159"/>
      <c r="Z6" s="1" t="s">
        <v>170</v>
      </c>
    </row>
    <row r="7" spans="2:29" x14ac:dyDescent="0.55000000000000004">
      <c r="B7" s="12" t="s">
        <v>232</v>
      </c>
      <c r="C7" s="12"/>
      <c r="D7" s="91">
        <v>8000000</v>
      </c>
      <c r="E7" s="12"/>
      <c r="F7" s="112">
        <v>39569278324</v>
      </c>
      <c r="G7" s="12"/>
      <c r="H7" s="91">
        <v>-38848461555</v>
      </c>
      <c r="I7" s="12"/>
      <c r="J7" s="112">
        <v>720816769</v>
      </c>
      <c r="K7" s="12"/>
      <c r="L7" s="91">
        <v>8600000</v>
      </c>
      <c r="M7" s="12"/>
      <c r="N7" s="112">
        <v>42184418951</v>
      </c>
      <c r="O7" s="12"/>
      <c r="P7" s="91">
        <v>-41762096170</v>
      </c>
      <c r="Q7" s="12"/>
      <c r="R7" s="112">
        <v>422322781</v>
      </c>
      <c r="T7" s="159"/>
    </row>
    <row r="8" spans="2:29" x14ac:dyDescent="0.55000000000000004">
      <c r="B8" s="12" t="s">
        <v>223</v>
      </c>
      <c r="C8" s="12"/>
      <c r="D8" s="91">
        <v>80000000</v>
      </c>
      <c r="E8" s="12"/>
      <c r="F8" s="112">
        <v>214400185183</v>
      </c>
      <c r="G8" s="12"/>
      <c r="H8" s="91">
        <v>-193753279329</v>
      </c>
      <c r="I8" s="12"/>
      <c r="J8" s="112">
        <v>20646905854</v>
      </c>
      <c r="K8" s="12"/>
      <c r="L8" s="91">
        <v>98000000</v>
      </c>
      <c r="M8" s="12"/>
      <c r="N8" s="112">
        <v>258319938335</v>
      </c>
      <c r="O8" s="12"/>
      <c r="P8" s="91">
        <v>-237347767188</v>
      </c>
      <c r="Q8" s="12"/>
      <c r="R8" s="112">
        <v>20972171147</v>
      </c>
      <c r="T8" s="159"/>
    </row>
    <row r="9" spans="2:29" x14ac:dyDescent="0.55000000000000004">
      <c r="B9" s="12" t="s">
        <v>123</v>
      </c>
      <c r="C9" s="12"/>
      <c r="D9" s="91">
        <v>2000000</v>
      </c>
      <c r="E9" s="12"/>
      <c r="F9" s="112">
        <v>53000967586</v>
      </c>
      <c r="G9" s="12"/>
      <c r="H9" s="91">
        <v>-53602425372</v>
      </c>
      <c r="I9" s="12"/>
      <c r="J9" s="112">
        <v>-601457786</v>
      </c>
      <c r="K9" s="12"/>
      <c r="L9" s="91">
        <v>2000000</v>
      </c>
      <c r="M9" s="12"/>
      <c r="N9" s="112">
        <v>53000967586</v>
      </c>
      <c r="O9" s="12"/>
      <c r="P9" s="91">
        <v>-53602425372</v>
      </c>
      <c r="Q9" s="12"/>
      <c r="R9" s="112">
        <v>-601457786</v>
      </c>
      <c r="T9" s="159"/>
    </row>
    <row r="10" spans="2:29" x14ac:dyDescent="0.55000000000000004">
      <c r="B10" s="12" t="s">
        <v>111</v>
      </c>
      <c r="C10" s="12"/>
      <c r="D10" s="91">
        <v>5000000</v>
      </c>
      <c r="E10" s="12"/>
      <c r="F10" s="112">
        <v>49200655432</v>
      </c>
      <c r="G10" s="12"/>
      <c r="H10" s="91">
        <v>-25879689358</v>
      </c>
      <c r="I10" s="12"/>
      <c r="J10" s="112">
        <v>23320966074</v>
      </c>
      <c r="K10" s="12"/>
      <c r="L10" s="91">
        <v>65660440</v>
      </c>
      <c r="M10" s="12"/>
      <c r="N10" s="112">
        <v>652230111331</v>
      </c>
      <c r="O10" s="12"/>
      <c r="P10" s="91">
        <v>-339851310541</v>
      </c>
      <c r="Q10" s="12"/>
      <c r="R10" s="112">
        <v>312378800790</v>
      </c>
      <c r="T10" s="159"/>
    </row>
    <row r="11" spans="2:29" x14ac:dyDescent="0.55000000000000004">
      <c r="B11" s="12" t="s">
        <v>113</v>
      </c>
      <c r="C11" s="12"/>
      <c r="D11" s="91">
        <v>20000000</v>
      </c>
      <c r="E11" s="12"/>
      <c r="F11" s="112">
        <v>94195395579</v>
      </c>
      <c r="G11" s="12"/>
      <c r="H11" s="91">
        <v>-61361976769</v>
      </c>
      <c r="I11" s="12"/>
      <c r="J11" s="112">
        <v>32833418810</v>
      </c>
      <c r="K11" s="12"/>
      <c r="L11" s="91">
        <v>54661723</v>
      </c>
      <c r="M11" s="12"/>
      <c r="N11" s="112">
        <v>268795229622</v>
      </c>
      <c r="O11" s="12"/>
      <c r="P11" s="91">
        <v>-167707568957</v>
      </c>
      <c r="Q11" s="12"/>
      <c r="R11" s="112">
        <v>101087660665</v>
      </c>
      <c r="T11" s="159"/>
    </row>
    <row r="12" spans="2:29" x14ac:dyDescent="0.55000000000000004">
      <c r="B12" s="12" t="s">
        <v>222</v>
      </c>
      <c r="C12" s="12"/>
      <c r="D12" s="91">
        <v>2700000</v>
      </c>
      <c r="E12" s="12"/>
      <c r="F12" s="112">
        <v>118055390380</v>
      </c>
      <c r="G12" s="12"/>
      <c r="H12" s="91">
        <v>-203490878141</v>
      </c>
      <c r="I12" s="12"/>
      <c r="J12" s="112">
        <v>-85435487761</v>
      </c>
      <c r="K12" s="12"/>
      <c r="L12" s="91">
        <v>2700000</v>
      </c>
      <c r="M12" s="12"/>
      <c r="N12" s="112">
        <v>118055390380</v>
      </c>
      <c r="O12" s="12"/>
      <c r="P12" s="91">
        <v>-203490878141</v>
      </c>
      <c r="Q12" s="12"/>
      <c r="R12" s="112">
        <v>-85435487761</v>
      </c>
      <c r="T12" s="159"/>
    </row>
    <row r="13" spans="2:29" x14ac:dyDescent="0.55000000000000004">
      <c r="B13" s="12" t="s">
        <v>153</v>
      </c>
      <c r="C13" s="12"/>
      <c r="D13" s="91">
        <v>30000000</v>
      </c>
      <c r="E13" s="12"/>
      <c r="F13" s="112">
        <v>86012049850</v>
      </c>
      <c r="G13" s="12"/>
      <c r="H13" s="91">
        <v>-46914525589</v>
      </c>
      <c r="I13" s="12"/>
      <c r="J13" s="112">
        <v>39097524261</v>
      </c>
      <c r="K13" s="12"/>
      <c r="L13" s="91">
        <v>96000000</v>
      </c>
      <c r="M13" s="12"/>
      <c r="N13" s="112">
        <v>213511404317</v>
      </c>
      <c r="O13" s="12"/>
      <c r="P13" s="91">
        <v>-150126481920</v>
      </c>
      <c r="Q13" s="12"/>
      <c r="R13" s="112">
        <v>63384922397</v>
      </c>
      <c r="T13" s="159"/>
    </row>
    <row r="14" spans="2:29" x14ac:dyDescent="0.55000000000000004">
      <c r="B14" s="12" t="s">
        <v>117</v>
      </c>
      <c r="C14" s="12"/>
      <c r="D14" s="91">
        <v>240000</v>
      </c>
      <c r="E14" s="12"/>
      <c r="F14" s="112">
        <v>8155835232</v>
      </c>
      <c r="G14" s="12"/>
      <c r="H14" s="91">
        <v>-8319161584</v>
      </c>
      <c r="I14" s="12"/>
      <c r="J14" s="112">
        <v>-163326352</v>
      </c>
      <c r="K14" s="12"/>
      <c r="L14" s="91">
        <v>240000</v>
      </c>
      <c r="M14" s="12"/>
      <c r="N14" s="112">
        <v>8155835232</v>
      </c>
      <c r="O14" s="12"/>
      <c r="P14" s="91">
        <v>-8319161584</v>
      </c>
      <c r="Q14" s="12"/>
      <c r="R14" s="112">
        <v>-163326352</v>
      </c>
      <c r="T14" s="159"/>
    </row>
    <row r="15" spans="2:29" x14ac:dyDescent="0.55000000000000004">
      <c r="B15" s="12" t="s">
        <v>160</v>
      </c>
      <c r="C15" s="12"/>
      <c r="D15" s="91">
        <v>1</v>
      </c>
      <c r="E15" s="12"/>
      <c r="F15" s="112">
        <v>1</v>
      </c>
      <c r="G15" s="12"/>
      <c r="H15" s="91">
        <v>-1685</v>
      </c>
      <c r="I15" s="12"/>
      <c r="J15" s="112">
        <v>-1684</v>
      </c>
      <c r="K15" s="12"/>
      <c r="L15" s="91">
        <v>10000001</v>
      </c>
      <c r="M15" s="12"/>
      <c r="N15" s="112">
        <v>35742240265</v>
      </c>
      <c r="O15" s="12"/>
      <c r="P15" s="91">
        <v>-20652816753</v>
      </c>
      <c r="Q15" s="12"/>
      <c r="R15" s="112">
        <v>15089423512</v>
      </c>
      <c r="T15" s="159"/>
    </row>
    <row r="16" spans="2:29" x14ac:dyDescent="0.55000000000000004">
      <c r="B16" s="12" t="s">
        <v>110</v>
      </c>
      <c r="C16" s="12"/>
      <c r="D16" s="91">
        <v>170000000</v>
      </c>
      <c r="E16" s="12"/>
      <c r="F16" s="112">
        <v>214152596688</v>
      </c>
      <c r="G16" s="12"/>
      <c r="H16" s="91">
        <v>-184222070938</v>
      </c>
      <c r="I16" s="12"/>
      <c r="J16" s="112">
        <v>29930525750</v>
      </c>
      <c r="K16" s="12"/>
      <c r="L16" s="91">
        <v>992467064</v>
      </c>
      <c r="M16" s="12"/>
      <c r="N16" s="112">
        <v>1239470861484</v>
      </c>
      <c r="O16" s="12"/>
      <c r="P16" s="91">
        <v>-1075481525082</v>
      </c>
      <c r="Q16" s="12"/>
      <c r="R16" s="112">
        <v>163989336402</v>
      </c>
      <c r="T16" s="159"/>
    </row>
    <row r="17" spans="2:26" x14ac:dyDescent="0.55000000000000004">
      <c r="B17" s="12" t="s">
        <v>137</v>
      </c>
      <c r="C17" s="12"/>
      <c r="D17" s="91">
        <v>3000000</v>
      </c>
      <c r="E17" s="12"/>
      <c r="F17" s="112">
        <v>24126012156</v>
      </c>
      <c r="G17" s="12"/>
      <c r="H17" s="91">
        <v>-17116657499</v>
      </c>
      <c r="I17" s="12"/>
      <c r="J17" s="112">
        <v>7009354657</v>
      </c>
      <c r="K17" s="12"/>
      <c r="L17" s="91">
        <v>3000000</v>
      </c>
      <c r="M17" s="12"/>
      <c r="N17" s="112">
        <v>24126012156</v>
      </c>
      <c r="O17" s="12"/>
      <c r="P17" s="91">
        <v>-17116657499</v>
      </c>
      <c r="Q17" s="12"/>
      <c r="R17" s="112">
        <v>7009354657</v>
      </c>
      <c r="T17" s="159"/>
    </row>
    <row r="18" spans="2:26" x14ac:dyDescent="0.55000000000000004">
      <c r="B18" s="12" t="s">
        <v>141</v>
      </c>
      <c r="C18" s="12"/>
      <c r="D18" s="91">
        <v>3400000</v>
      </c>
      <c r="E18" s="12"/>
      <c r="F18" s="112">
        <v>71085640391</v>
      </c>
      <c r="G18" s="12"/>
      <c r="H18" s="91">
        <v>-43327628124</v>
      </c>
      <c r="I18" s="12"/>
      <c r="J18" s="112">
        <v>27758012267</v>
      </c>
      <c r="K18" s="12"/>
      <c r="L18" s="91">
        <v>3700001</v>
      </c>
      <c r="M18" s="12"/>
      <c r="N18" s="112">
        <v>75274591342</v>
      </c>
      <c r="O18" s="12"/>
      <c r="P18" s="91">
        <v>-46811713756</v>
      </c>
      <c r="Q18" s="12"/>
      <c r="R18" s="112">
        <v>28462877586</v>
      </c>
      <c r="T18" s="159"/>
    </row>
    <row r="19" spans="2:26" x14ac:dyDescent="0.55000000000000004">
      <c r="B19" s="12" t="s">
        <v>120</v>
      </c>
      <c r="C19" s="12"/>
      <c r="D19" s="91">
        <v>9000000</v>
      </c>
      <c r="E19" s="12"/>
      <c r="F19" s="112">
        <v>84250330858</v>
      </c>
      <c r="G19" s="12"/>
      <c r="H19" s="91">
        <v>-77099378884</v>
      </c>
      <c r="I19" s="12"/>
      <c r="J19" s="112">
        <v>7150951974</v>
      </c>
      <c r="K19" s="12"/>
      <c r="L19" s="91">
        <v>50000000</v>
      </c>
      <c r="M19" s="12"/>
      <c r="N19" s="112">
        <v>551204323015</v>
      </c>
      <c r="O19" s="12"/>
      <c r="P19" s="91">
        <v>-504271613864</v>
      </c>
      <c r="Q19" s="12"/>
      <c r="R19" s="112">
        <v>46932709151</v>
      </c>
      <c r="T19" s="159"/>
    </row>
    <row r="20" spans="2:26" x14ac:dyDescent="0.55000000000000004">
      <c r="B20" s="12" t="s">
        <v>121</v>
      </c>
      <c r="C20" s="12"/>
      <c r="D20" s="91">
        <v>5900000</v>
      </c>
      <c r="E20" s="12"/>
      <c r="F20" s="112">
        <v>13805341002</v>
      </c>
      <c r="G20" s="12"/>
      <c r="H20" s="91">
        <v>-15279965730</v>
      </c>
      <c r="I20" s="12"/>
      <c r="J20" s="112">
        <v>-1474624728</v>
      </c>
      <c r="K20" s="12"/>
      <c r="L20" s="91">
        <v>5900000</v>
      </c>
      <c r="M20" s="12"/>
      <c r="N20" s="112">
        <v>13805341002</v>
      </c>
      <c r="O20" s="12"/>
      <c r="P20" s="91">
        <v>-15279965730</v>
      </c>
      <c r="Q20" s="12"/>
      <c r="R20" s="112">
        <v>-1474624728</v>
      </c>
      <c r="T20" s="159"/>
    </row>
    <row r="21" spans="2:26" x14ac:dyDescent="0.55000000000000004">
      <c r="B21" s="12" t="s">
        <v>126</v>
      </c>
      <c r="C21" s="12"/>
      <c r="D21" s="91">
        <v>999000</v>
      </c>
      <c r="E21" s="12"/>
      <c r="F21" s="112">
        <v>2517846300</v>
      </c>
      <c r="G21" s="12"/>
      <c r="H21" s="91">
        <v>-2492293325</v>
      </c>
      <c r="I21" s="12"/>
      <c r="J21" s="112">
        <v>25552975</v>
      </c>
      <c r="K21" s="12"/>
      <c r="L21" s="91">
        <v>999000</v>
      </c>
      <c r="M21" s="12"/>
      <c r="N21" s="112">
        <v>2517846300</v>
      </c>
      <c r="O21" s="12"/>
      <c r="P21" s="91">
        <v>-2492293325</v>
      </c>
      <c r="Q21" s="12"/>
      <c r="R21" s="112">
        <v>25552975</v>
      </c>
      <c r="T21" s="159"/>
    </row>
    <row r="22" spans="2:26" x14ac:dyDescent="0.55000000000000004">
      <c r="B22" s="12" t="s">
        <v>115</v>
      </c>
      <c r="C22" s="12"/>
      <c r="D22" s="91">
        <v>44999000</v>
      </c>
      <c r="E22" s="12"/>
      <c r="F22" s="112">
        <v>464418214431</v>
      </c>
      <c r="G22" s="12"/>
      <c r="H22" s="91">
        <v>-581893887798</v>
      </c>
      <c r="I22" s="12"/>
      <c r="J22" s="112">
        <v>-117475673367</v>
      </c>
      <c r="K22" s="12"/>
      <c r="L22" s="91">
        <v>50606435</v>
      </c>
      <c r="M22" s="12"/>
      <c r="N22" s="112">
        <v>525235744925</v>
      </c>
      <c r="O22" s="12"/>
      <c r="P22" s="91">
        <v>-654405102195</v>
      </c>
      <c r="Q22" s="12"/>
      <c r="R22" s="112">
        <v>-129169357270</v>
      </c>
      <c r="T22" s="159"/>
    </row>
    <row r="23" spans="2:26" x14ac:dyDescent="0.55000000000000004">
      <c r="B23" s="12" t="s">
        <v>176</v>
      </c>
      <c r="C23" s="12"/>
      <c r="D23" s="91">
        <v>5000000</v>
      </c>
      <c r="E23" s="12"/>
      <c r="F23" s="112">
        <v>37637189502</v>
      </c>
      <c r="G23" s="12"/>
      <c r="H23" s="91">
        <v>-30556954711</v>
      </c>
      <c r="I23" s="12"/>
      <c r="J23" s="112">
        <v>7080234791</v>
      </c>
      <c r="K23" s="12"/>
      <c r="L23" s="91">
        <v>5882353</v>
      </c>
      <c r="M23" s="12"/>
      <c r="N23" s="112">
        <v>45260209165</v>
      </c>
      <c r="O23" s="12"/>
      <c r="P23" s="91">
        <v>-35949358835</v>
      </c>
      <c r="Q23" s="12"/>
      <c r="R23" s="112">
        <v>9310850330</v>
      </c>
      <c r="T23" s="159"/>
    </row>
    <row r="24" spans="2:26" x14ac:dyDescent="0.55000000000000004">
      <c r="B24" s="12" t="s">
        <v>114</v>
      </c>
      <c r="C24" s="12"/>
      <c r="D24" s="91">
        <v>999000</v>
      </c>
      <c r="E24" s="12"/>
      <c r="F24" s="112">
        <v>2191982253</v>
      </c>
      <c r="G24" s="12"/>
      <c r="H24" s="91">
        <v>-2119596808</v>
      </c>
      <c r="I24" s="12"/>
      <c r="J24" s="112">
        <v>72385445</v>
      </c>
      <c r="K24" s="12"/>
      <c r="L24" s="91">
        <v>999000</v>
      </c>
      <c r="M24" s="12"/>
      <c r="N24" s="112">
        <v>2191982253</v>
      </c>
      <c r="O24" s="12"/>
      <c r="P24" s="91">
        <v>-2119596808</v>
      </c>
      <c r="Q24" s="12"/>
      <c r="R24" s="112">
        <v>72385445</v>
      </c>
      <c r="T24" s="159"/>
    </row>
    <row r="25" spans="2:26" x14ac:dyDescent="0.55000000000000004">
      <c r="B25" s="12" t="s">
        <v>103</v>
      </c>
      <c r="C25" s="12"/>
      <c r="D25" s="91">
        <v>110000000</v>
      </c>
      <c r="E25" s="12"/>
      <c r="F25" s="112">
        <v>249192912489</v>
      </c>
      <c r="G25" s="12"/>
      <c r="H25" s="91">
        <v>-251418226754</v>
      </c>
      <c r="I25" s="12"/>
      <c r="J25" s="112">
        <v>-2225314265</v>
      </c>
      <c r="K25" s="12"/>
      <c r="L25" s="91">
        <v>118615749</v>
      </c>
      <c r="M25" s="12"/>
      <c r="N25" s="112">
        <v>267483166926</v>
      </c>
      <c r="O25" s="12"/>
      <c r="P25" s="91">
        <v>-270972845036</v>
      </c>
      <c r="Q25" s="12"/>
      <c r="R25" s="112">
        <v>-3489678110</v>
      </c>
      <c r="T25" s="159"/>
    </row>
    <row r="26" spans="2:26" x14ac:dyDescent="0.55000000000000004">
      <c r="B26" s="12" t="s">
        <v>142</v>
      </c>
      <c r="C26" s="12"/>
      <c r="D26" s="91">
        <v>30000000</v>
      </c>
      <c r="E26" s="12"/>
      <c r="F26" s="112">
        <v>17037134491</v>
      </c>
      <c r="G26" s="12"/>
      <c r="H26" s="91">
        <v>-14049316080</v>
      </c>
      <c r="I26" s="12"/>
      <c r="J26" s="112">
        <v>2987818411</v>
      </c>
      <c r="K26" s="12"/>
      <c r="L26" s="91">
        <v>284126441</v>
      </c>
      <c r="M26" s="12"/>
      <c r="N26" s="112">
        <v>181442505098</v>
      </c>
      <c r="O26" s="12"/>
      <c r="P26" s="91">
        <v>-132971140071</v>
      </c>
      <c r="Q26" s="12"/>
      <c r="R26" s="112">
        <v>48471365027</v>
      </c>
      <c r="T26" s="159"/>
    </row>
    <row r="27" spans="2:26" x14ac:dyDescent="0.55000000000000004">
      <c r="B27" s="12" t="s">
        <v>140</v>
      </c>
      <c r="C27" s="12"/>
      <c r="D27" s="91">
        <v>8999000</v>
      </c>
      <c r="E27" s="12"/>
      <c r="F27" s="112">
        <v>544855580858</v>
      </c>
      <c r="G27" s="12"/>
      <c r="H27" s="91">
        <v>-634140976250</v>
      </c>
      <c r="I27" s="12"/>
      <c r="J27" s="112">
        <v>-89285395392</v>
      </c>
      <c r="K27" s="12"/>
      <c r="L27" s="91">
        <v>9441434</v>
      </c>
      <c r="M27" s="12"/>
      <c r="N27" s="112">
        <v>576465949954</v>
      </c>
      <c r="O27" s="12"/>
      <c r="P27" s="91">
        <v>-665318388005</v>
      </c>
      <c r="Q27" s="12"/>
      <c r="R27" s="112">
        <v>-88852438051</v>
      </c>
      <c r="T27" s="159"/>
    </row>
    <row r="28" spans="2:26" x14ac:dyDescent="0.55000000000000004">
      <c r="B28" s="12" t="s">
        <v>152</v>
      </c>
      <c r="C28" s="12"/>
      <c r="D28" s="91">
        <v>544</v>
      </c>
      <c r="E28" s="12"/>
      <c r="F28" s="112">
        <v>34123834</v>
      </c>
      <c r="G28" s="12"/>
      <c r="H28" s="91">
        <v>-22980227</v>
      </c>
      <c r="I28" s="12"/>
      <c r="J28" s="112">
        <v>11143607</v>
      </c>
      <c r="K28" s="12"/>
      <c r="L28" s="91">
        <v>1999500</v>
      </c>
      <c r="M28" s="12"/>
      <c r="N28" s="112">
        <v>97327931217</v>
      </c>
      <c r="O28" s="12"/>
      <c r="P28" s="91">
        <v>-64467027495</v>
      </c>
      <c r="Q28" s="12"/>
      <c r="R28" s="112">
        <v>32860903722</v>
      </c>
      <c r="T28" s="159"/>
    </row>
    <row r="29" spans="2:26" x14ac:dyDescent="0.55000000000000004">
      <c r="B29" s="12" t="s">
        <v>112</v>
      </c>
      <c r="C29" s="12"/>
      <c r="D29" s="91">
        <v>10000000</v>
      </c>
      <c r="E29" s="12"/>
      <c r="F29" s="112">
        <v>120034356745</v>
      </c>
      <c r="G29" s="12"/>
      <c r="H29" s="60">
        <v>-68863538024</v>
      </c>
      <c r="I29" s="12"/>
      <c r="J29" s="113">
        <v>51170818721</v>
      </c>
      <c r="K29" s="12"/>
      <c r="L29" s="91">
        <v>40000000</v>
      </c>
      <c r="M29" s="12"/>
      <c r="N29" s="112">
        <v>477338531108</v>
      </c>
      <c r="O29" s="12"/>
      <c r="P29" s="60">
        <v>-275454152014</v>
      </c>
      <c r="Q29" s="12"/>
      <c r="R29" s="112">
        <v>201884379094</v>
      </c>
      <c r="S29" s="173"/>
      <c r="T29" s="159"/>
      <c r="Z29" s="1" t="s">
        <v>171</v>
      </c>
    </row>
    <row r="30" spans="2:26" x14ac:dyDescent="0.55000000000000004">
      <c r="B30" s="12" t="s">
        <v>116</v>
      </c>
      <c r="C30" s="12"/>
      <c r="D30" s="91">
        <v>0</v>
      </c>
      <c r="E30" s="12"/>
      <c r="F30" s="112">
        <v>0</v>
      </c>
      <c r="G30" s="12"/>
      <c r="H30" s="60">
        <v>0</v>
      </c>
      <c r="I30" s="12"/>
      <c r="J30" s="113">
        <v>0</v>
      </c>
      <c r="K30" s="12"/>
      <c r="L30" s="91">
        <v>99000</v>
      </c>
      <c r="M30" s="12"/>
      <c r="N30" s="112">
        <v>3688867268</v>
      </c>
      <c r="O30" s="12"/>
      <c r="P30" s="60">
        <v>-4302681176</v>
      </c>
      <c r="Q30" s="12"/>
      <c r="R30" s="112">
        <v>-613813908</v>
      </c>
      <c r="S30" s="173"/>
      <c r="T30" s="159"/>
    </row>
    <row r="31" spans="2:26" x14ac:dyDescent="0.55000000000000004">
      <c r="B31" s="12" t="s">
        <v>129</v>
      </c>
      <c r="C31" s="12"/>
      <c r="D31" s="91">
        <v>0</v>
      </c>
      <c r="E31" s="12"/>
      <c r="F31" s="112">
        <v>0</v>
      </c>
      <c r="G31" s="12"/>
      <c r="H31" s="60">
        <v>0</v>
      </c>
      <c r="I31" s="12"/>
      <c r="J31" s="113">
        <v>0</v>
      </c>
      <c r="K31" s="12"/>
      <c r="L31" s="91">
        <v>13999000</v>
      </c>
      <c r="M31" s="12"/>
      <c r="N31" s="112">
        <v>221973501492</v>
      </c>
      <c r="O31" s="12"/>
      <c r="P31" s="60">
        <v>-236004483537</v>
      </c>
      <c r="Q31" s="12"/>
      <c r="R31" s="112">
        <v>-14030982045</v>
      </c>
      <c r="S31" s="173"/>
      <c r="T31" s="159"/>
    </row>
    <row r="32" spans="2:26" x14ac:dyDescent="0.55000000000000004">
      <c r="B32" s="12" t="s">
        <v>190</v>
      </c>
      <c r="C32" s="12"/>
      <c r="D32" s="91">
        <v>0</v>
      </c>
      <c r="E32" s="12"/>
      <c r="F32" s="112">
        <v>0</v>
      </c>
      <c r="G32" s="12"/>
      <c r="H32" s="60">
        <v>0</v>
      </c>
      <c r="I32" s="12"/>
      <c r="J32" s="113">
        <v>0</v>
      </c>
      <c r="K32" s="12"/>
      <c r="L32" s="91">
        <v>15014493</v>
      </c>
      <c r="M32" s="12"/>
      <c r="N32" s="112">
        <v>74228835073</v>
      </c>
      <c r="O32" s="12"/>
      <c r="P32" s="60">
        <v>-58354873158</v>
      </c>
      <c r="Q32" s="12"/>
      <c r="R32" s="112">
        <v>15873961915</v>
      </c>
      <c r="S32" s="173"/>
      <c r="T32" s="159"/>
    </row>
    <row r="33" spans="2:20" x14ac:dyDescent="0.55000000000000004">
      <c r="B33" s="12" t="s">
        <v>202</v>
      </c>
      <c r="C33" s="12"/>
      <c r="D33" s="91">
        <v>0</v>
      </c>
      <c r="E33" s="12"/>
      <c r="F33" s="112">
        <v>0</v>
      </c>
      <c r="G33" s="12"/>
      <c r="H33" s="60">
        <v>0</v>
      </c>
      <c r="I33" s="12"/>
      <c r="J33" s="113">
        <v>0</v>
      </c>
      <c r="K33" s="12"/>
      <c r="L33" s="91">
        <v>88889</v>
      </c>
      <c r="M33" s="12"/>
      <c r="N33" s="112">
        <v>833094748</v>
      </c>
      <c r="O33" s="12"/>
      <c r="P33" s="60">
        <v>-787378253</v>
      </c>
      <c r="Q33" s="12"/>
      <c r="R33" s="112">
        <v>45716495</v>
      </c>
      <c r="S33" s="173"/>
      <c r="T33" s="159"/>
    </row>
    <row r="34" spans="2:20" x14ac:dyDescent="0.55000000000000004">
      <c r="B34" s="12" t="s">
        <v>151</v>
      </c>
      <c r="C34" s="12"/>
      <c r="D34" s="91">
        <v>0</v>
      </c>
      <c r="E34" s="12"/>
      <c r="F34" s="112">
        <v>0</v>
      </c>
      <c r="G34" s="12"/>
      <c r="H34" s="60">
        <v>0</v>
      </c>
      <c r="I34" s="12"/>
      <c r="J34" s="113">
        <v>0</v>
      </c>
      <c r="K34" s="12"/>
      <c r="L34" s="91">
        <v>232900</v>
      </c>
      <c r="M34" s="12"/>
      <c r="N34" s="112">
        <v>462048552</v>
      </c>
      <c r="O34" s="12"/>
      <c r="P34" s="60">
        <v>-459195070</v>
      </c>
      <c r="Q34" s="12"/>
      <c r="R34" s="112">
        <v>2853482</v>
      </c>
      <c r="S34" s="173"/>
      <c r="T34" s="159"/>
    </row>
    <row r="35" spans="2:20" x14ac:dyDescent="0.55000000000000004">
      <c r="B35" s="12" t="s">
        <v>221</v>
      </c>
      <c r="C35" s="12"/>
      <c r="D35" s="91">
        <v>0</v>
      </c>
      <c r="E35" s="12"/>
      <c r="F35" s="112">
        <v>0</v>
      </c>
      <c r="G35" s="12"/>
      <c r="H35" s="60">
        <v>0</v>
      </c>
      <c r="I35" s="12"/>
      <c r="J35" s="113">
        <v>0</v>
      </c>
      <c r="K35" s="12"/>
      <c r="L35" s="91">
        <v>125000</v>
      </c>
      <c r="M35" s="12"/>
      <c r="N35" s="112">
        <v>5389880247</v>
      </c>
      <c r="O35" s="12"/>
      <c r="P35" s="60">
        <v>-4784903350</v>
      </c>
      <c r="Q35" s="12"/>
      <c r="R35" s="112">
        <v>604976897</v>
      </c>
      <c r="S35" s="173"/>
      <c r="T35" s="159"/>
    </row>
    <row r="36" spans="2:20" x14ac:dyDescent="0.55000000000000004">
      <c r="B36" s="12" t="s">
        <v>227</v>
      </c>
      <c r="C36" s="12"/>
      <c r="D36" s="91">
        <v>0</v>
      </c>
      <c r="E36" s="12"/>
      <c r="F36" s="112">
        <v>0</v>
      </c>
      <c r="G36" s="12"/>
      <c r="H36" s="60">
        <v>0</v>
      </c>
      <c r="I36" s="12"/>
      <c r="J36" s="113">
        <v>0</v>
      </c>
      <c r="K36" s="12"/>
      <c r="L36" s="91">
        <v>23600000</v>
      </c>
      <c r="M36" s="12"/>
      <c r="N36" s="112">
        <v>91002961575</v>
      </c>
      <c r="O36" s="12"/>
      <c r="P36" s="60">
        <v>-91002961575</v>
      </c>
      <c r="Q36" s="12"/>
      <c r="R36" s="112">
        <v>0</v>
      </c>
      <c r="S36" s="173"/>
      <c r="T36" s="159"/>
    </row>
    <row r="37" spans="2:20" x14ac:dyDescent="0.55000000000000004">
      <c r="B37" s="12" t="s">
        <v>182</v>
      </c>
      <c r="C37" s="12"/>
      <c r="D37" s="91">
        <v>0</v>
      </c>
      <c r="E37" s="12"/>
      <c r="F37" s="112">
        <v>0</v>
      </c>
      <c r="G37" s="12"/>
      <c r="H37" s="60">
        <v>0</v>
      </c>
      <c r="I37" s="12"/>
      <c r="J37" s="113">
        <v>0</v>
      </c>
      <c r="K37" s="12"/>
      <c r="L37" s="91">
        <v>562500</v>
      </c>
      <c r="M37" s="12"/>
      <c r="N37" s="112">
        <v>4920043726</v>
      </c>
      <c r="O37" s="12"/>
      <c r="P37" s="60">
        <v>-4632660562</v>
      </c>
      <c r="Q37" s="12"/>
      <c r="R37" s="112">
        <v>287383164</v>
      </c>
      <c r="S37" s="173"/>
      <c r="T37" s="159"/>
    </row>
    <row r="38" spans="2:20" x14ac:dyDescent="0.55000000000000004">
      <c r="B38" s="12" t="s">
        <v>127</v>
      </c>
      <c r="C38" s="12"/>
      <c r="D38" s="91">
        <v>0</v>
      </c>
      <c r="E38" s="12"/>
      <c r="F38" s="112">
        <v>0</v>
      </c>
      <c r="G38" s="12"/>
      <c r="H38" s="60">
        <v>0</v>
      </c>
      <c r="I38" s="12"/>
      <c r="J38" s="113">
        <v>0</v>
      </c>
      <c r="K38" s="12"/>
      <c r="L38" s="91">
        <v>9500000</v>
      </c>
      <c r="M38" s="12"/>
      <c r="N38" s="112">
        <v>197574903177</v>
      </c>
      <c r="O38" s="12"/>
      <c r="P38" s="60">
        <v>-141894775106</v>
      </c>
      <c r="Q38" s="12"/>
      <c r="R38" s="112">
        <v>55680128071</v>
      </c>
      <c r="S38" s="173"/>
      <c r="T38" s="159"/>
    </row>
    <row r="39" spans="2:20" x14ac:dyDescent="0.55000000000000004">
      <c r="B39" s="12" t="s">
        <v>225</v>
      </c>
      <c r="C39" s="12"/>
      <c r="D39" s="91">
        <v>0</v>
      </c>
      <c r="E39" s="12"/>
      <c r="F39" s="112">
        <v>0</v>
      </c>
      <c r="G39" s="12"/>
      <c r="H39" s="60">
        <v>0</v>
      </c>
      <c r="I39" s="12"/>
      <c r="J39" s="113">
        <v>0</v>
      </c>
      <c r="K39" s="12"/>
      <c r="L39" s="91">
        <v>1301101</v>
      </c>
      <c r="M39" s="12"/>
      <c r="N39" s="112">
        <v>5449089631</v>
      </c>
      <c r="O39" s="12"/>
      <c r="P39" s="60">
        <v>-5475970835</v>
      </c>
      <c r="Q39" s="12"/>
      <c r="R39" s="112">
        <v>-26881204</v>
      </c>
      <c r="S39" s="173"/>
      <c r="T39" s="159"/>
    </row>
    <row r="40" spans="2:20" x14ac:dyDescent="0.55000000000000004">
      <c r="B40" s="12" t="s">
        <v>148</v>
      </c>
      <c r="C40" s="12"/>
      <c r="D40" s="91">
        <v>0</v>
      </c>
      <c r="E40" s="12"/>
      <c r="F40" s="112">
        <v>0</v>
      </c>
      <c r="G40" s="12"/>
      <c r="H40" s="60">
        <v>0</v>
      </c>
      <c r="I40" s="12"/>
      <c r="J40" s="113">
        <v>0</v>
      </c>
      <c r="K40" s="12"/>
      <c r="L40" s="91">
        <v>111</v>
      </c>
      <c r="M40" s="12"/>
      <c r="N40" s="112">
        <v>107895</v>
      </c>
      <c r="O40" s="12"/>
      <c r="P40" s="60">
        <v>-148185</v>
      </c>
      <c r="Q40" s="12"/>
      <c r="R40" s="112">
        <v>-40290</v>
      </c>
      <c r="S40" s="173"/>
      <c r="T40" s="159"/>
    </row>
    <row r="41" spans="2:20" x14ac:dyDescent="0.55000000000000004">
      <c r="B41" s="12" t="s">
        <v>119</v>
      </c>
      <c r="C41" s="12"/>
      <c r="D41" s="91">
        <v>0</v>
      </c>
      <c r="E41" s="12"/>
      <c r="F41" s="112">
        <v>0</v>
      </c>
      <c r="G41" s="12"/>
      <c r="H41" s="60">
        <v>0</v>
      </c>
      <c r="I41" s="12"/>
      <c r="J41" s="113">
        <v>0</v>
      </c>
      <c r="K41" s="12"/>
      <c r="L41" s="91">
        <v>14000000</v>
      </c>
      <c r="M41" s="12"/>
      <c r="N41" s="112">
        <v>196390026792</v>
      </c>
      <c r="O41" s="12"/>
      <c r="P41" s="60">
        <v>-191795019428</v>
      </c>
      <c r="Q41" s="12"/>
      <c r="R41" s="112">
        <v>4595007364</v>
      </c>
      <c r="S41" s="173"/>
      <c r="T41" s="159"/>
    </row>
    <row r="42" spans="2:20" x14ac:dyDescent="0.55000000000000004">
      <c r="B42" s="12" t="s">
        <v>181</v>
      </c>
      <c r="C42" s="12"/>
      <c r="D42" s="91">
        <v>0</v>
      </c>
      <c r="E42" s="12"/>
      <c r="F42" s="112">
        <v>0</v>
      </c>
      <c r="G42" s="12"/>
      <c r="H42" s="60">
        <v>0</v>
      </c>
      <c r="I42" s="12"/>
      <c r="J42" s="113">
        <v>0</v>
      </c>
      <c r="K42" s="12"/>
      <c r="L42" s="91">
        <v>360000</v>
      </c>
      <c r="M42" s="12"/>
      <c r="N42" s="112">
        <v>5965379884</v>
      </c>
      <c r="O42" s="12"/>
      <c r="P42" s="60">
        <v>-3865090104</v>
      </c>
      <c r="Q42" s="12"/>
      <c r="R42" s="112">
        <v>2100289780</v>
      </c>
      <c r="S42" s="173"/>
      <c r="T42" s="159"/>
    </row>
    <row r="43" spans="2:20" x14ac:dyDescent="0.55000000000000004">
      <c r="B43" s="12" t="s">
        <v>175</v>
      </c>
      <c r="C43" s="12"/>
      <c r="D43" s="91">
        <v>0</v>
      </c>
      <c r="E43" s="12"/>
      <c r="F43" s="112">
        <v>0</v>
      </c>
      <c r="G43" s="12"/>
      <c r="H43" s="60">
        <v>0</v>
      </c>
      <c r="I43" s="12"/>
      <c r="J43" s="113">
        <v>0</v>
      </c>
      <c r="K43" s="12"/>
      <c r="L43" s="91">
        <v>34000000</v>
      </c>
      <c r="M43" s="12"/>
      <c r="N43" s="112">
        <v>182722763791</v>
      </c>
      <c r="O43" s="12"/>
      <c r="P43" s="60">
        <v>-147195316340</v>
      </c>
      <c r="Q43" s="12"/>
      <c r="R43" s="112">
        <v>35527447451</v>
      </c>
      <c r="S43" s="173"/>
      <c r="T43" s="159"/>
    </row>
    <row r="44" spans="2:20" x14ac:dyDescent="0.55000000000000004">
      <c r="B44" s="12" t="s">
        <v>194</v>
      </c>
      <c r="C44" s="12"/>
      <c r="D44" s="91">
        <v>0</v>
      </c>
      <c r="E44" s="12"/>
      <c r="F44" s="112">
        <v>0</v>
      </c>
      <c r="G44" s="12"/>
      <c r="H44" s="60">
        <v>0</v>
      </c>
      <c r="I44" s="12"/>
      <c r="J44" s="113">
        <v>0</v>
      </c>
      <c r="K44" s="12"/>
      <c r="L44" s="91">
        <v>375000</v>
      </c>
      <c r="M44" s="12"/>
      <c r="N44" s="112">
        <v>3727193211</v>
      </c>
      <c r="O44" s="12"/>
      <c r="P44" s="60">
        <v>-3657755287</v>
      </c>
      <c r="Q44" s="12"/>
      <c r="R44" s="112">
        <v>69437924</v>
      </c>
      <c r="S44" s="173"/>
      <c r="T44" s="159"/>
    </row>
    <row r="45" spans="2:20" x14ac:dyDescent="0.55000000000000004">
      <c r="B45" s="12" t="s">
        <v>207</v>
      </c>
      <c r="C45" s="12"/>
      <c r="D45" s="91">
        <v>0</v>
      </c>
      <c r="E45" s="12"/>
      <c r="F45" s="112">
        <v>0</v>
      </c>
      <c r="G45" s="12"/>
      <c r="H45" s="60">
        <v>0</v>
      </c>
      <c r="I45" s="12"/>
      <c r="J45" s="113">
        <v>0</v>
      </c>
      <c r="K45" s="12"/>
      <c r="L45" s="91">
        <v>14241</v>
      </c>
      <c r="M45" s="12"/>
      <c r="N45" s="112">
        <v>15354995</v>
      </c>
      <c r="O45" s="12"/>
      <c r="P45" s="60">
        <v>-7519248</v>
      </c>
      <c r="Q45" s="12"/>
      <c r="R45" s="112">
        <v>7835747</v>
      </c>
      <c r="S45" s="173"/>
      <c r="T45" s="159"/>
    </row>
    <row r="46" spans="2:20" x14ac:dyDescent="0.55000000000000004">
      <c r="B46" s="12" t="s">
        <v>108</v>
      </c>
      <c r="C46" s="12"/>
      <c r="D46" s="91">
        <v>0</v>
      </c>
      <c r="E46" s="12"/>
      <c r="F46" s="112">
        <v>0</v>
      </c>
      <c r="G46" s="12"/>
      <c r="H46" s="60">
        <v>0</v>
      </c>
      <c r="I46" s="12"/>
      <c r="J46" s="113">
        <v>0</v>
      </c>
      <c r="K46" s="12"/>
      <c r="L46" s="91">
        <v>554400000</v>
      </c>
      <c r="M46" s="12"/>
      <c r="N46" s="112">
        <v>311334179333</v>
      </c>
      <c r="O46" s="12"/>
      <c r="P46" s="60">
        <v>-264742900708</v>
      </c>
      <c r="Q46" s="12"/>
      <c r="R46" s="112">
        <v>46591278625</v>
      </c>
      <c r="S46" s="173"/>
      <c r="T46" s="159"/>
    </row>
    <row r="47" spans="2:20" x14ac:dyDescent="0.55000000000000004">
      <c r="B47" s="12" t="s">
        <v>187</v>
      </c>
      <c r="C47" s="12"/>
      <c r="D47" s="91">
        <v>0</v>
      </c>
      <c r="E47" s="12"/>
      <c r="F47" s="112">
        <v>0</v>
      </c>
      <c r="G47" s="12"/>
      <c r="H47" s="60">
        <v>0</v>
      </c>
      <c r="I47" s="12"/>
      <c r="J47" s="113">
        <v>0</v>
      </c>
      <c r="K47" s="12"/>
      <c r="L47" s="91">
        <v>257500</v>
      </c>
      <c r="M47" s="12"/>
      <c r="N47" s="112">
        <v>4270675356</v>
      </c>
      <c r="O47" s="12"/>
      <c r="P47" s="60">
        <v>-3955287447</v>
      </c>
      <c r="Q47" s="12"/>
      <c r="R47" s="112">
        <v>315387909</v>
      </c>
      <c r="S47" s="173"/>
      <c r="T47" s="159"/>
    </row>
    <row r="48" spans="2:20" x14ac:dyDescent="0.55000000000000004">
      <c r="B48" s="12" t="s">
        <v>118</v>
      </c>
      <c r="C48" s="12"/>
      <c r="D48" s="91">
        <v>0</v>
      </c>
      <c r="E48" s="12"/>
      <c r="F48" s="112">
        <v>0</v>
      </c>
      <c r="G48" s="12"/>
      <c r="H48" s="60">
        <v>0</v>
      </c>
      <c r="I48" s="12"/>
      <c r="J48" s="113">
        <v>0</v>
      </c>
      <c r="K48" s="12"/>
      <c r="L48" s="91">
        <v>400000</v>
      </c>
      <c r="M48" s="12"/>
      <c r="N48" s="112">
        <v>10234194759</v>
      </c>
      <c r="O48" s="12"/>
      <c r="P48" s="60">
        <v>-7753991128</v>
      </c>
      <c r="Q48" s="12"/>
      <c r="R48" s="112">
        <v>2480203631</v>
      </c>
      <c r="S48" s="173"/>
      <c r="T48" s="159"/>
    </row>
    <row r="49" spans="2:26" x14ac:dyDescent="0.55000000000000004">
      <c r="B49" s="12" t="s">
        <v>206</v>
      </c>
      <c r="C49" s="12"/>
      <c r="D49" s="91">
        <v>0</v>
      </c>
      <c r="E49" s="12"/>
      <c r="F49" s="112">
        <v>0</v>
      </c>
      <c r="G49" s="12"/>
      <c r="H49" s="60">
        <v>0</v>
      </c>
      <c r="I49" s="12"/>
      <c r="J49" s="113">
        <v>0</v>
      </c>
      <c r="K49" s="12"/>
      <c r="L49" s="91">
        <v>119</v>
      </c>
      <c r="M49" s="12"/>
      <c r="N49" s="112">
        <v>114609</v>
      </c>
      <c r="O49" s="12"/>
      <c r="P49" s="60">
        <v>-166957</v>
      </c>
      <c r="Q49" s="12"/>
      <c r="R49" s="112">
        <v>-52348</v>
      </c>
      <c r="S49" s="173"/>
      <c r="T49" s="159"/>
    </row>
    <row r="50" spans="2:26" x14ac:dyDescent="0.55000000000000004">
      <c r="B50" s="12" t="s">
        <v>185</v>
      </c>
      <c r="C50" s="12"/>
      <c r="D50" s="91">
        <v>0</v>
      </c>
      <c r="E50" s="12"/>
      <c r="F50" s="112">
        <v>0</v>
      </c>
      <c r="G50" s="12"/>
      <c r="H50" s="60">
        <v>0</v>
      </c>
      <c r="I50" s="12"/>
      <c r="J50" s="113">
        <v>0</v>
      </c>
      <c r="K50" s="12"/>
      <c r="L50" s="91">
        <v>80000000</v>
      </c>
      <c r="M50" s="12"/>
      <c r="N50" s="112">
        <v>117571829269</v>
      </c>
      <c r="O50" s="12"/>
      <c r="P50" s="60">
        <v>-85573364800</v>
      </c>
      <c r="Q50" s="12"/>
      <c r="R50" s="112">
        <v>31998464469</v>
      </c>
      <c r="S50" s="173"/>
      <c r="T50" s="159"/>
    </row>
    <row r="51" spans="2:26" x14ac:dyDescent="0.55000000000000004">
      <c r="B51" s="12" t="s">
        <v>220</v>
      </c>
      <c r="C51" s="12"/>
      <c r="D51" s="91">
        <v>0</v>
      </c>
      <c r="E51" s="12"/>
      <c r="F51" s="112">
        <v>0</v>
      </c>
      <c r="G51" s="12"/>
      <c r="H51" s="60">
        <v>0</v>
      </c>
      <c r="I51" s="12"/>
      <c r="J51" s="113">
        <v>0</v>
      </c>
      <c r="K51" s="12"/>
      <c r="L51" s="91">
        <v>500000</v>
      </c>
      <c r="M51" s="12"/>
      <c r="N51" s="112">
        <v>13543500950</v>
      </c>
      <c r="O51" s="12"/>
      <c r="P51" s="60">
        <v>-13803569294</v>
      </c>
      <c r="Q51" s="12"/>
      <c r="R51" s="112">
        <v>-260068344</v>
      </c>
      <c r="S51" s="173"/>
      <c r="T51" s="159"/>
    </row>
    <row r="52" spans="2:26" x14ac:dyDescent="0.55000000000000004">
      <c r="B52" s="12" t="s">
        <v>186</v>
      </c>
      <c r="C52" s="12"/>
      <c r="D52" s="91">
        <v>0</v>
      </c>
      <c r="E52" s="12"/>
      <c r="F52" s="112">
        <v>0</v>
      </c>
      <c r="G52" s="12"/>
      <c r="H52" s="60">
        <v>0</v>
      </c>
      <c r="I52" s="12"/>
      <c r="J52" s="113">
        <v>0</v>
      </c>
      <c r="K52" s="12"/>
      <c r="L52" s="91">
        <v>401250</v>
      </c>
      <c r="M52" s="12"/>
      <c r="N52" s="112">
        <v>6021122222</v>
      </c>
      <c r="O52" s="12"/>
      <c r="P52" s="60">
        <v>-5023304858</v>
      </c>
      <c r="Q52" s="12"/>
      <c r="R52" s="112">
        <v>997817364</v>
      </c>
      <c r="S52" s="173"/>
      <c r="T52" s="159"/>
    </row>
    <row r="53" spans="2:26" x14ac:dyDescent="0.55000000000000004">
      <c r="B53" s="12" t="s">
        <v>191</v>
      </c>
      <c r="C53" s="12"/>
      <c r="D53" s="91">
        <v>0</v>
      </c>
      <c r="E53" s="12"/>
      <c r="F53" s="112">
        <v>0</v>
      </c>
      <c r="G53" s="12"/>
      <c r="H53" s="60">
        <v>0</v>
      </c>
      <c r="I53" s="12"/>
      <c r="J53" s="113">
        <v>0</v>
      </c>
      <c r="K53" s="12"/>
      <c r="L53" s="91">
        <v>837500</v>
      </c>
      <c r="M53" s="12"/>
      <c r="N53" s="112">
        <v>3673905921</v>
      </c>
      <c r="O53" s="12"/>
      <c r="P53" s="60">
        <v>-3451251497</v>
      </c>
      <c r="Q53" s="12"/>
      <c r="R53" s="112">
        <v>222654424</v>
      </c>
      <c r="S53" s="173"/>
      <c r="T53" s="159"/>
    </row>
    <row r="54" spans="2:26" x14ac:dyDescent="0.55000000000000004">
      <c r="B54" s="12" t="s">
        <v>192</v>
      </c>
      <c r="C54" s="12"/>
      <c r="D54" s="91">
        <v>0</v>
      </c>
      <c r="E54" s="12"/>
      <c r="F54" s="112">
        <v>0</v>
      </c>
      <c r="G54" s="12"/>
      <c r="H54" s="60">
        <v>0</v>
      </c>
      <c r="I54" s="12"/>
      <c r="J54" s="113">
        <v>0</v>
      </c>
      <c r="K54" s="12"/>
      <c r="L54" s="91">
        <v>335212</v>
      </c>
      <c r="M54" s="12"/>
      <c r="N54" s="112">
        <v>16242495847</v>
      </c>
      <c r="O54" s="12"/>
      <c r="P54" s="60">
        <v>-11894520209</v>
      </c>
      <c r="Q54" s="12"/>
      <c r="R54" s="112">
        <v>4347975638</v>
      </c>
      <c r="S54" s="173"/>
      <c r="T54" s="159"/>
    </row>
    <row r="55" spans="2:26" x14ac:dyDescent="0.55000000000000004">
      <c r="B55" s="12" t="s">
        <v>200</v>
      </c>
      <c r="C55" s="12"/>
      <c r="D55" s="91">
        <v>0</v>
      </c>
      <c r="E55" s="12"/>
      <c r="F55" s="112">
        <v>0</v>
      </c>
      <c r="G55" s="12"/>
      <c r="H55" s="60">
        <v>0</v>
      </c>
      <c r="I55" s="12"/>
      <c r="J55" s="113">
        <v>0</v>
      </c>
      <c r="K55" s="12"/>
      <c r="L55" s="91">
        <v>750000</v>
      </c>
      <c r="M55" s="12"/>
      <c r="N55" s="112">
        <v>7379283443</v>
      </c>
      <c r="O55" s="12"/>
      <c r="P55" s="60">
        <v>-6556424025</v>
      </c>
      <c r="Q55" s="12"/>
      <c r="R55" s="112">
        <v>822859418</v>
      </c>
      <c r="S55" s="173"/>
      <c r="T55" s="159"/>
    </row>
    <row r="56" spans="2:26" x14ac:dyDescent="0.55000000000000004">
      <c r="B56" s="12" t="s">
        <v>193</v>
      </c>
      <c r="C56" s="12"/>
      <c r="D56" s="91">
        <v>0</v>
      </c>
      <c r="E56" s="12"/>
      <c r="F56" s="112">
        <v>0</v>
      </c>
      <c r="G56" s="12"/>
      <c r="H56" s="60">
        <v>0</v>
      </c>
      <c r="I56" s="12"/>
      <c r="J56" s="113">
        <v>0</v>
      </c>
      <c r="K56" s="12"/>
      <c r="L56" s="91">
        <v>14000000</v>
      </c>
      <c r="M56" s="12"/>
      <c r="N56" s="112">
        <v>149825239849</v>
      </c>
      <c r="O56" s="12"/>
      <c r="P56" s="60">
        <v>-77377214600</v>
      </c>
      <c r="Q56" s="12"/>
      <c r="R56" s="112">
        <v>72448025249</v>
      </c>
      <c r="S56" s="173"/>
      <c r="T56" s="159"/>
    </row>
    <row r="57" spans="2:26" x14ac:dyDescent="0.55000000000000004">
      <c r="B57" s="12" t="s">
        <v>128</v>
      </c>
      <c r="C57" s="12"/>
      <c r="D57" s="91">
        <v>0</v>
      </c>
      <c r="E57" s="12"/>
      <c r="F57" s="112">
        <v>0</v>
      </c>
      <c r="G57" s="12"/>
      <c r="H57" s="60">
        <v>0</v>
      </c>
      <c r="I57" s="12"/>
      <c r="J57" s="113">
        <v>0</v>
      </c>
      <c r="K57" s="12"/>
      <c r="L57" s="91">
        <v>60800000</v>
      </c>
      <c r="M57" s="12"/>
      <c r="N57" s="112">
        <v>131156464299</v>
      </c>
      <c r="O57" s="12"/>
      <c r="P57" s="60">
        <v>-114646931316</v>
      </c>
      <c r="Q57" s="12"/>
      <c r="R57" s="112">
        <v>16509532983</v>
      </c>
      <c r="S57" s="173"/>
      <c r="T57" s="159"/>
    </row>
    <row r="58" spans="2:26" x14ac:dyDescent="0.55000000000000004">
      <c r="B58" s="12" t="s">
        <v>226</v>
      </c>
      <c r="C58" s="12"/>
      <c r="D58" s="91">
        <v>0</v>
      </c>
      <c r="E58" s="12"/>
      <c r="F58" s="112">
        <v>0</v>
      </c>
      <c r="G58" s="12"/>
      <c r="H58" s="60">
        <v>0</v>
      </c>
      <c r="I58" s="12"/>
      <c r="J58" s="113">
        <v>0</v>
      </c>
      <c r="K58" s="12"/>
      <c r="L58" s="91">
        <v>190000000</v>
      </c>
      <c r="M58" s="12"/>
      <c r="N58" s="112">
        <v>647162323018</v>
      </c>
      <c r="O58" s="12"/>
      <c r="P58" s="60">
        <v>-647162323018</v>
      </c>
      <c r="Q58" s="12"/>
      <c r="R58" s="112">
        <v>0</v>
      </c>
      <c r="S58" s="173"/>
      <c r="T58" s="159"/>
    </row>
    <row r="59" spans="2:26" x14ac:dyDescent="0.55000000000000004">
      <c r="B59" s="12" t="s">
        <v>134</v>
      </c>
      <c r="C59" s="12"/>
      <c r="D59" s="91">
        <v>0</v>
      </c>
      <c r="E59" s="12"/>
      <c r="F59" s="112">
        <v>0</v>
      </c>
      <c r="G59" s="12"/>
      <c r="H59" s="60">
        <v>0</v>
      </c>
      <c r="I59" s="12"/>
      <c r="J59" s="113">
        <v>0</v>
      </c>
      <c r="K59" s="12"/>
      <c r="L59" s="91">
        <v>668000000</v>
      </c>
      <c r="M59" s="12"/>
      <c r="N59" s="112">
        <v>374761805019</v>
      </c>
      <c r="O59" s="12"/>
      <c r="P59" s="60">
        <v>-374527470113</v>
      </c>
      <c r="Q59" s="12"/>
      <c r="R59" s="112">
        <v>234334906</v>
      </c>
      <c r="S59" s="173"/>
      <c r="T59" s="159"/>
    </row>
    <row r="60" spans="2:26" x14ac:dyDescent="0.55000000000000004">
      <c r="B60" s="12" t="s">
        <v>188</v>
      </c>
      <c r="C60" s="12"/>
      <c r="D60" s="91">
        <v>0</v>
      </c>
      <c r="E60" s="12"/>
      <c r="F60" s="112">
        <v>0</v>
      </c>
      <c r="G60" s="12"/>
      <c r="H60" s="60">
        <v>0</v>
      </c>
      <c r="I60" s="12"/>
      <c r="J60" s="113">
        <v>0</v>
      </c>
      <c r="K60" s="12"/>
      <c r="L60" s="91">
        <v>1475169</v>
      </c>
      <c r="M60" s="12"/>
      <c r="N60" s="112">
        <v>16827652536</v>
      </c>
      <c r="O60" s="12"/>
      <c r="P60" s="60">
        <v>-10269781860</v>
      </c>
      <c r="Q60" s="12"/>
      <c r="R60" s="112">
        <v>6557870676</v>
      </c>
      <c r="S60" s="173"/>
      <c r="T60" s="159"/>
      <c r="Z60" s="1" t="s">
        <v>172</v>
      </c>
    </row>
    <row r="61" spans="2:26" ht="23.25" thickBot="1" x14ac:dyDescent="0.6">
      <c r="B61" s="175" t="s">
        <v>204</v>
      </c>
      <c r="C61" s="165"/>
      <c r="D61" s="176">
        <f>SUM(D7:D60)</f>
        <v>550236545</v>
      </c>
      <c r="E61" s="176"/>
      <c r="F61" s="176">
        <f>SUM(F7:F60)</f>
        <v>2507929019565</v>
      </c>
      <c r="G61" s="176"/>
      <c r="H61" s="176">
        <f>SUM(H7:H60)</f>
        <v>-2554773870534</v>
      </c>
      <c r="I61" s="176"/>
      <c r="J61" s="176">
        <f>SUM(J7:J60)</f>
        <v>-46844850969</v>
      </c>
      <c r="K61" s="176"/>
      <c r="L61" s="176">
        <f>SUM(L7:L60)</f>
        <v>3591028126</v>
      </c>
      <c r="M61" s="176"/>
      <c r="N61" s="176">
        <f>SUM(N7:N60)</f>
        <v>8533489370451</v>
      </c>
      <c r="O61" s="176"/>
      <c r="P61" s="176">
        <f>SUM(P7:P60)</f>
        <v>-7506931119385</v>
      </c>
      <c r="Q61" s="176"/>
      <c r="R61" s="176">
        <f>SUM(R7:R60)</f>
        <v>1026558251066</v>
      </c>
      <c r="S61" s="173"/>
      <c r="T61" s="159"/>
    </row>
    <row r="62" spans="2:26" ht="23.25" thickTop="1" x14ac:dyDescent="0.55000000000000004">
      <c r="B62" s="12"/>
      <c r="C62" s="174"/>
      <c r="D62" s="114"/>
      <c r="E62" s="114"/>
      <c r="F62" s="114"/>
      <c r="G62" s="12"/>
      <c r="H62" s="60"/>
      <c r="I62" s="12"/>
      <c r="J62" s="113"/>
      <c r="K62" s="12"/>
      <c r="L62" s="114"/>
      <c r="M62" s="12"/>
      <c r="N62" s="114"/>
      <c r="O62" s="12"/>
      <c r="P62" s="60"/>
      <c r="Q62" s="12"/>
      <c r="R62" s="113"/>
      <c r="S62" s="173"/>
      <c r="T62" s="159"/>
    </row>
    <row r="63" spans="2:26" ht="24" hidden="1" x14ac:dyDescent="0.55000000000000004">
      <c r="B63" s="417" t="s">
        <v>97</v>
      </c>
      <c r="C63" s="417"/>
      <c r="D63" s="417"/>
      <c r="E63" s="417"/>
      <c r="F63" s="417"/>
      <c r="G63" s="417"/>
      <c r="H63" s="417"/>
      <c r="I63" s="417"/>
      <c r="J63" s="417"/>
      <c r="K63" s="419"/>
      <c r="L63" s="419"/>
      <c r="M63" s="419"/>
      <c r="N63" s="419"/>
      <c r="O63" s="419"/>
      <c r="P63" s="419"/>
      <c r="Q63" s="419"/>
      <c r="R63" s="419"/>
      <c r="Z63" s="1" t="s">
        <v>155</v>
      </c>
    </row>
    <row r="64" spans="2:26" ht="24.75" hidden="1" thickBot="1" x14ac:dyDescent="0.6">
      <c r="B64" s="12"/>
      <c r="C64" s="12"/>
      <c r="D64" s="412" t="str">
        <f>D5</f>
        <v>طی مرداد ماه</v>
      </c>
      <c r="E64" s="412"/>
      <c r="F64" s="412"/>
      <c r="G64" s="412"/>
      <c r="H64" s="412"/>
      <c r="I64" s="412"/>
      <c r="J64" s="412"/>
      <c r="K64" s="12"/>
      <c r="L64" s="412" t="str">
        <f>L5</f>
        <v>از ابتدای سال مالی تا پایان مرداد  ماه</v>
      </c>
      <c r="M64" s="412"/>
      <c r="N64" s="412"/>
      <c r="O64" s="412"/>
      <c r="P64" s="412"/>
      <c r="Q64" s="412"/>
      <c r="R64" s="412"/>
      <c r="Z64" s="1" t="s">
        <v>156</v>
      </c>
    </row>
    <row r="65" spans="2:24" ht="45.75" hidden="1" thickBot="1" x14ac:dyDescent="0.6">
      <c r="B65" s="12" t="s">
        <v>63</v>
      </c>
      <c r="C65" s="12"/>
      <c r="D65" s="110" t="s">
        <v>8</v>
      </c>
      <c r="E65" s="12"/>
      <c r="F65" s="111" t="s">
        <v>76</v>
      </c>
      <c r="G65" s="12"/>
      <c r="H65" s="110" t="s">
        <v>73</v>
      </c>
      <c r="I65" s="12"/>
      <c r="J65" s="111" t="s">
        <v>77</v>
      </c>
      <c r="K65" s="12"/>
      <c r="L65" s="110" t="s">
        <v>8</v>
      </c>
      <c r="M65" s="12"/>
      <c r="N65" s="111" t="s">
        <v>31</v>
      </c>
      <c r="O65" s="12"/>
      <c r="P65" s="110" t="s">
        <v>73</v>
      </c>
      <c r="Q65" s="12"/>
      <c r="R65" s="111" t="s">
        <v>77</v>
      </c>
      <c r="T65" s="159"/>
      <c r="X65" s="1" t="s">
        <v>157</v>
      </c>
    </row>
    <row r="66" spans="2:24" hidden="1" x14ac:dyDescent="0.55000000000000004">
      <c r="B66" s="12" t="s">
        <v>168</v>
      </c>
      <c r="C66" s="174"/>
      <c r="D66" s="114">
        <f>D61</f>
        <v>550236545</v>
      </c>
      <c r="E66" s="114"/>
      <c r="F66" s="60">
        <f>F61</f>
        <v>2507929019565</v>
      </c>
      <c r="G66" s="60"/>
      <c r="H66" s="60">
        <f>H61</f>
        <v>-2554773870534</v>
      </c>
      <c r="I66" s="60"/>
      <c r="J66" s="60">
        <f>J61</f>
        <v>-46844850969</v>
      </c>
      <c r="K66" s="60"/>
      <c r="L66" s="60">
        <f>L61</f>
        <v>3591028126</v>
      </c>
      <c r="M66" s="60"/>
      <c r="N66" s="60">
        <f>N61</f>
        <v>8533489370451</v>
      </c>
      <c r="O66" s="60"/>
      <c r="P66" s="60">
        <f>P61</f>
        <v>-7506931119385</v>
      </c>
      <c r="Q66" s="60"/>
      <c r="R66" s="60">
        <f>R61</f>
        <v>1026558251066</v>
      </c>
      <c r="S66" s="173"/>
      <c r="T66" s="159"/>
    </row>
    <row r="67" spans="2:24" ht="23.25" hidden="1" thickBot="1" x14ac:dyDescent="0.6">
      <c r="B67" s="177" t="s">
        <v>7</v>
      </c>
      <c r="C67" s="177"/>
      <c r="D67" s="126">
        <f>SUM(D66:D66)</f>
        <v>550236545</v>
      </c>
      <c r="E67" s="178"/>
      <c r="F67" s="126">
        <f>SUM(F66:F66)</f>
        <v>2507929019565</v>
      </c>
      <c r="G67" s="178"/>
      <c r="H67" s="126">
        <f>SUM(H66:H66)</f>
        <v>-2554773870534</v>
      </c>
      <c r="I67" s="178"/>
      <c r="J67" s="126">
        <f>SUM(J66:J66)</f>
        <v>-46844850969</v>
      </c>
      <c r="K67" s="178"/>
      <c r="L67" s="126">
        <f>SUM(L66:L66)</f>
        <v>3591028126</v>
      </c>
      <c r="M67" s="178"/>
      <c r="N67" s="126">
        <f>SUM(N66:N66)</f>
        <v>8533489370451</v>
      </c>
      <c r="O67" s="178"/>
      <c r="P67" s="126">
        <f>SUM(P66:P66)</f>
        <v>-7506931119385</v>
      </c>
      <c r="Q67" s="178"/>
      <c r="R67" s="126">
        <f>SUM(R66:R66)</f>
        <v>1026558251066</v>
      </c>
    </row>
    <row r="68" spans="2:24" ht="23.25" hidden="1" thickTop="1" x14ac:dyDescent="0.55000000000000004"/>
    <row r="69" spans="2:24" ht="23.25" hidden="1" thickTop="1" x14ac:dyDescent="0.55000000000000004">
      <c r="B69" s="418"/>
      <c r="C69" s="418"/>
      <c r="D69" s="418"/>
      <c r="E69" s="418"/>
      <c r="F69" s="418"/>
      <c r="G69" s="418"/>
      <c r="H69" s="418"/>
      <c r="I69" s="418"/>
      <c r="J69" s="418"/>
      <c r="K69" s="418"/>
      <c r="L69" s="418"/>
      <c r="M69" s="418"/>
      <c r="N69" s="418"/>
      <c r="O69" s="418"/>
      <c r="P69" s="418"/>
      <c r="Q69" s="418"/>
      <c r="R69" s="418"/>
    </row>
    <row r="71" spans="2:24" x14ac:dyDescent="0.55000000000000004">
      <c r="P71" s="287"/>
    </row>
    <row r="72" spans="2:24" x14ac:dyDescent="0.55000000000000004">
      <c r="O72" s="93"/>
    </row>
    <row r="77" spans="2:24" x14ac:dyDescent="0.55000000000000004">
      <c r="E77" s="93"/>
      <c r="G77" s="93"/>
      <c r="I77" s="93"/>
      <c r="K77" s="93"/>
      <c r="M77" s="93"/>
      <c r="O77" s="93"/>
      <c r="Q77" s="93"/>
    </row>
    <row r="82" spans="22:23" x14ac:dyDescent="0.55000000000000004">
      <c r="V82" s="93"/>
      <c r="W82" s="60"/>
    </row>
    <row r="83" spans="22:23" x14ac:dyDescent="0.55000000000000004">
      <c r="V83" s="93"/>
      <c r="W83" s="60"/>
    </row>
    <row r="84" spans="22:23" x14ac:dyDescent="0.55000000000000004">
      <c r="V84" s="93"/>
      <c r="W84" s="60"/>
    </row>
    <row r="85" spans="22:23" x14ac:dyDescent="0.55000000000000004">
      <c r="V85" s="93"/>
      <c r="W85" s="60"/>
    </row>
    <row r="86" spans="22:23" x14ac:dyDescent="0.55000000000000004">
      <c r="V86" s="93"/>
      <c r="W86" s="60"/>
    </row>
    <row r="87" spans="22:23" x14ac:dyDescent="0.55000000000000004">
      <c r="V87" s="93"/>
      <c r="W87" s="60"/>
    </row>
    <row r="88" spans="22:23" x14ac:dyDescent="0.55000000000000004">
      <c r="V88" s="93"/>
      <c r="W88" s="60"/>
    </row>
    <row r="89" spans="22:23" x14ac:dyDescent="0.55000000000000004">
      <c r="V89" s="93"/>
      <c r="W89" s="60"/>
    </row>
    <row r="90" spans="22:23" x14ac:dyDescent="0.55000000000000004">
      <c r="V90" s="93"/>
      <c r="W90" s="60"/>
    </row>
    <row r="91" spans="22:23" x14ac:dyDescent="0.55000000000000004">
      <c r="V91" s="93"/>
      <c r="W91" s="60"/>
    </row>
    <row r="92" spans="22:23" x14ac:dyDescent="0.55000000000000004">
      <c r="V92" s="93"/>
      <c r="W92" s="60"/>
    </row>
    <row r="93" spans="22:23" x14ac:dyDescent="0.55000000000000004">
      <c r="V93" s="93"/>
      <c r="W93" s="60"/>
    </row>
    <row r="94" spans="22:23" x14ac:dyDescent="0.55000000000000004">
      <c r="V94" s="93"/>
      <c r="W94" s="60"/>
    </row>
    <row r="95" spans="22:23" x14ac:dyDescent="0.55000000000000004">
      <c r="V95" s="93"/>
      <c r="W95" s="60"/>
    </row>
    <row r="96" spans="22:23" x14ac:dyDescent="0.55000000000000004">
      <c r="V96" s="93"/>
      <c r="W96" s="60"/>
    </row>
    <row r="97" spans="22:23" x14ac:dyDescent="0.55000000000000004">
      <c r="V97" s="93"/>
      <c r="W97" s="60"/>
    </row>
    <row r="98" spans="22:23" x14ac:dyDescent="0.55000000000000004">
      <c r="V98" s="93"/>
      <c r="W98" s="60"/>
    </row>
    <row r="99" spans="22:23" x14ac:dyDescent="0.55000000000000004">
      <c r="V99" s="93"/>
      <c r="W99" s="60"/>
    </row>
    <row r="100" spans="22:23" x14ac:dyDescent="0.55000000000000004">
      <c r="V100" s="93"/>
      <c r="W100" s="60"/>
    </row>
    <row r="101" spans="22:23" x14ac:dyDescent="0.55000000000000004">
      <c r="V101" s="93"/>
      <c r="W101" s="60"/>
    </row>
    <row r="102" spans="22:23" x14ac:dyDescent="0.55000000000000004">
      <c r="V102" s="93"/>
      <c r="W102" s="60"/>
    </row>
    <row r="103" spans="22:23" x14ac:dyDescent="0.55000000000000004">
      <c r="V103" s="93"/>
      <c r="W103" s="60"/>
    </row>
    <row r="104" spans="22:23" x14ac:dyDescent="0.55000000000000004">
      <c r="V104" s="93"/>
      <c r="W104" s="60"/>
    </row>
    <row r="105" spans="22:23" x14ac:dyDescent="0.55000000000000004">
      <c r="V105" s="93"/>
      <c r="W105" s="60"/>
    </row>
    <row r="106" spans="22:23" x14ac:dyDescent="0.55000000000000004">
      <c r="V106" s="93"/>
      <c r="W106" s="60"/>
    </row>
    <row r="107" spans="22:23" x14ac:dyDescent="0.55000000000000004">
      <c r="V107" s="93"/>
      <c r="W107" s="60"/>
    </row>
    <row r="124" spans="25:26" x14ac:dyDescent="0.55000000000000004">
      <c r="Y124" s="274"/>
      <c r="Z124" s="274"/>
    </row>
    <row r="125" spans="25:26" x14ac:dyDescent="0.55000000000000004">
      <c r="Y125" s="274"/>
      <c r="Z125" s="274"/>
    </row>
    <row r="126" spans="25:26" x14ac:dyDescent="0.55000000000000004">
      <c r="Y126" s="274"/>
      <c r="Z126" s="274"/>
    </row>
    <row r="127" spans="25:26" x14ac:dyDescent="0.55000000000000004">
      <c r="Y127" s="274"/>
      <c r="Z127" s="274"/>
    </row>
    <row r="128" spans="25:26" x14ac:dyDescent="0.55000000000000004">
      <c r="Y128" s="274"/>
      <c r="Z128" s="274"/>
    </row>
    <row r="129" spans="25:26" x14ac:dyDescent="0.55000000000000004">
      <c r="Y129" s="274"/>
      <c r="Z129" s="274"/>
    </row>
    <row r="130" spans="25:26" x14ac:dyDescent="0.55000000000000004">
      <c r="Y130" s="274"/>
      <c r="Z130" s="274"/>
    </row>
  </sheetData>
  <mergeCells count="12">
    <mergeCell ref="B1:R1"/>
    <mergeCell ref="B2:R2"/>
    <mergeCell ref="B3:R3"/>
    <mergeCell ref="B69:R69"/>
    <mergeCell ref="D5:J5"/>
    <mergeCell ref="L5:R5"/>
    <mergeCell ref="B4:J4"/>
    <mergeCell ref="K4:R4"/>
    <mergeCell ref="B63:J63"/>
    <mergeCell ref="K63:R63"/>
    <mergeCell ref="D64:J64"/>
    <mergeCell ref="L64:R64"/>
  </mergeCells>
  <printOptions horizontalCentered="1"/>
  <pageMargins left="0.7" right="0.7" top="0.75" bottom="0.75" header="0.3" footer="0.3"/>
  <pageSetup paperSize="9" scale="35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C83"/>
  <sheetViews>
    <sheetView rightToLeft="1" view="pageBreakPreview" zoomScale="85" zoomScaleNormal="100" zoomScaleSheetLayoutView="85" workbookViewId="0">
      <selection activeCell="C16" sqref="C16"/>
    </sheetView>
  </sheetViews>
  <sheetFormatPr defaultColWidth="8.85546875" defaultRowHeight="22.5" x14ac:dyDescent="0.55000000000000004"/>
  <cols>
    <col min="1" max="1" width="1.28515625" style="1" customWidth="1"/>
    <col min="2" max="2" width="40.285156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8" style="1" bestFit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8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26" width="8.85546875" style="1"/>
    <col min="27" max="31" width="0" style="1" hidden="1" customWidth="1"/>
    <col min="32" max="16384" width="8.85546875" style="1"/>
  </cols>
  <sheetData>
    <row r="1" spans="2:29" ht="24" x14ac:dyDescent="0.6">
      <c r="B1" s="360" t="str">
        <f>'درآمد سود سهام'!B1:T1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</row>
    <row r="2" spans="2:29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</row>
    <row r="3" spans="2:29" ht="24" x14ac:dyDescent="0.6">
      <c r="B3" s="360" t="str">
        <f>' سهام'!AC6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</row>
    <row r="4" spans="2:29" ht="24" x14ac:dyDescent="0.55000000000000004">
      <c r="B4" s="362" t="s">
        <v>93</v>
      </c>
      <c r="C4" s="362"/>
      <c r="D4" s="362"/>
      <c r="E4" s="362"/>
      <c r="F4" s="362"/>
      <c r="G4" s="362"/>
      <c r="H4" s="160"/>
      <c r="L4" s="160"/>
      <c r="AC4" s="1" t="s">
        <v>173</v>
      </c>
    </row>
    <row r="5" spans="2:29" ht="24.75" thickBot="1" x14ac:dyDescent="0.6">
      <c r="B5" s="160"/>
      <c r="C5" s="377"/>
      <c r="D5" s="377"/>
      <c r="E5" s="377"/>
      <c r="G5" s="412" t="s">
        <v>98</v>
      </c>
      <c r="H5" s="412"/>
      <c r="I5" s="412"/>
      <c r="J5" s="412"/>
      <c r="K5" s="412" t="str">
        <f>' سهام'!AC7</f>
        <v>طی مرداد ماه</v>
      </c>
      <c r="L5" s="412"/>
      <c r="M5" s="412"/>
      <c r="N5" s="412"/>
      <c r="O5" s="412"/>
      <c r="P5" s="53"/>
      <c r="Q5" s="412" t="str">
        <f>' سهام'!AC8</f>
        <v>از ابتدای سال مالی تا پایان مرداد  ماه</v>
      </c>
      <c r="R5" s="412"/>
      <c r="S5" s="412"/>
      <c r="T5" s="412"/>
      <c r="U5" s="412"/>
      <c r="AC5" s="1" t="s">
        <v>177</v>
      </c>
    </row>
    <row r="6" spans="2:29" ht="43.5" customHeight="1" thickBot="1" x14ac:dyDescent="0.6">
      <c r="B6" s="1" t="s">
        <v>63</v>
      </c>
      <c r="C6" s="161" t="s">
        <v>71</v>
      </c>
      <c r="D6" s="161" t="s">
        <v>33</v>
      </c>
      <c r="E6" s="161" t="s">
        <v>60</v>
      </c>
      <c r="F6" s="162"/>
      <c r="G6" s="161" t="s">
        <v>87</v>
      </c>
      <c r="H6" s="162"/>
      <c r="I6" s="161" t="s">
        <v>67</v>
      </c>
      <c r="J6" s="162"/>
      <c r="K6" s="161" t="s">
        <v>87</v>
      </c>
      <c r="L6" s="162"/>
      <c r="M6" s="161" t="s">
        <v>67</v>
      </c>
      <c r="N6" s="162"/>
      <c r="O6" s="161" t="s">
        <v>72</v>
      </c>
      <c r="P6" s="162"/>
      <c r="Q6" s="161" t="s">
        <v>87</v>
      </c>
      <c r="R6" s="162"/>
      <c r="S6" s="161" t="s">
        <v>67</v>
      </c>
      <c r="T6" s="162"/>
      <c r="U6" s="161" t="s">
        <v>72</v>
      </c>
      <c r="AC6" s="1" t="s">
        <v>178</v>
      </c>
    </row>
    <row r="7" spans="2:29" s="12" customFormat="1" ht="23.45" customHeight="1" x14ac:dyDescent="0.55000000000000004">
      <c r="B7" s="163" t="s">
        <v>161</v>
      </c>
      <c r="C7" s="164"/>
      <c r="D7" s="165"/>
      <c r="E7" s="157"/>
      <c r="F7" s="165" t="s">
        <v>130</v>
      </c>
      <c r="G7" s="165"/>
      <c r="H7" s="166">
        <v>0</v>
      </c>
      <c r="I7" s="165"/>
      <c r="J7" s="166">
        <v>176683</v>
      </c>
      <c r="K7" s="157">
        <v>320096</v>
      </c>
      <c r="L7" s="165"/>
      <c r="M7" s="157">
        <v>0</v>
      </c>
      <c r="N7" s="165"/>
      <c r="O7" s="157">
        <v>320096</v>
      </c>
      <c r="P7" s="157"/>
      <c r="Q7" s="166">
        <v>1154239</v>
      </c>
      <c r="R7" s="165"/>
      <c r="S7" s="157">
        <v>0</v>
      </c>
      <c r="T7" s="165"/>
      <c r="U7" s="157">
        <v>1154239</v>
      </c>
      <c r="AC7" s="12" t="s">
        <v>180</v>
      </c>
    </row>
    <row r="8" spans="2:29" s="12" customFormat="1" ht="23.45" customHeight="1" x14ac:dyDescent="0.55000000000000004">
      <c r="B8" s="163" t="s">
        <v>162</v>
      </c>
      <c r="C8" s="164"/>
      <c r="D8" s="165"/>
      <c r="E8" s="157"/>
      <c r="F8" s="165"/>
      <c r="G8" s="165"/>
      <c r="H8" s="166"/>
      <c r="I8" s="165"/>
      <c r="J8" s="166"/>
      <c r="K8" s="157">
        <v>0</v>
      </c>
      <c r="L8" s="165"/>
      <c r="M8" s="157">
        <v>0</v>
      </c>
      <c r="N8" s="165"/>
      <c r="O8" s="157">
        <v>0</v>
      </c>
      <c r="P8" s="157"/>
      <c r="Q8" s="166">
        <v>33446410899</v>
      </c>
      <c r="R8" s="165"/>
      <c r="S8" s="157">
        <v>0</v>
      </c>
      <c r="T8" s="165"/>
      <c r="U8" s="157">
        <v>33446410899</v>
      </c>
    </row>
    <row r="9" spans="2:29" s="12" customFormat="1" ht="23.45" customHeight="1" x14ac:dyDescent="0.55000000000000004">
      <c r="B9" s="163" t="s">
        <v>183</v>
      </c>
      <c r="C9" s="164"/>
      <c r="D9" s="165"/>
      <c r="E9" s="157"/>
      <c r="F9" s="165"/>
      <c r="G9" s="165"/>
      <c r="H9" s="166"/>
      <c r="I9" s="165"/>
      <c r="J9" s="166"/>
      <c r="K9" s="157">
        <v>0</v>
      </c>
      <c r="L9" s="165"/>
      <c r="M9" s="157">
        <v>0</v>
      </c>
      <c r="N9" s="165"/>
      <c r="O9" s="157">
        <v>0</v>
      </c>
      <c r="P9" s="157"/>
      <c r="Q9" s="166">
        <v>4055</v>
      </c>
      <c r="R9" s="165"/>
      <c r="S9" s="157">
        <v>0</v>
      </c>
      <c r="T9" s="165"/>
      <c r="U9" s="157">
        <v>4055</v>
      </c>
    </row>
    <row r="10" spans="2:29" s="12" customFormat="1" ht="23.45" customHeight="1" x14ac:dyDescent="0.55000000000000004">
      <c r="B10" s="163" t="s">
        <v>199</v>
      </c>
      <c r="C10" s="164"/>
      <c r="D10" s="165"/>
      <c r="E10" s="157"/>
      <c r="F10" s="165"/>
      <c r="G10" s="165"/>
      <c r="H10" s="166"/>
      <c r="I10" s="165"/>
      <c r="J10" s="166"/>
      <c r="K10" s="157">
        <v>268825</v>
      </c>
      <c r="L10" s="165"/>
      <c r="M10" s="157"/>
      <c r="N10" s="165"/>
      <c r="O10" s="157">
        <v>268825</v>
      </c>
      <c r="P10" s="157"/>
      <c r="Q10" s="166">
        <v>3729687</v>
      </c>
      <c r="R10" s="165"/>
      <c r="S10" s="157"/>
      <c r="T10" s="165"/>
      <c r="U10" s="157">
        <v>3729687</v>
      </c>
    </row>
    <row r="11" spans="2:29" s="12" customFormat="1" ht="23.45" customHeight="1" x14ac:dyDescent="0.55000000000000004">
      <c r="B11" s="163" t="s">
        <v>162</v>
      </c>
      <c r="C11" s="164"/>
      <c r="D11" s="165"/>
      <c r="E11" s="157"/>
      <c r="F11" s="165" t="s">
        <v>130</v>
      </c>
      <c r="G11" s="165"/>
      <c r="H11" s="166">
        <v>0</v>
      </c>
      <c r="I11" s="165"/>
      <c r="J11" s="166">
        <v>2202729735</v>
      </c>
      <c r="K11" s="157">
        <v>6062854758</v>
      </c>
      <c r="L11" s="165"/>
      <c r="M11" s="157">
        <v>0</v>
      </c>
      <c r="N11" s="165"/>
      <c r="O11" s="157">
        <v>6062854758</v>
      </c>
      <c r="P11" s="157"/>
      <c r="Q11" s="166">
        <v>6062854758</v>
      </c>
      <c r="R11" s="165"/>
      <c r="S11" s="157">
        <v>0</v>
      </c>
      <c r="T11" s="165"/>
      <c r="U11" s="157">
        <v>6062854758</v>
      </c>
      <c r="AC11" s="12" t="s">
        <v>179</v>
      </c>
    </row>
    <row r="12" spans="2:29" ht="23.25" thickBot="1" x14ac:dyDescent="0.6">
      <c r="K12" s="167">
        <f>SUM(K7:K11)</f>
        <v>6063443679</v>
      </c>
      <c r="L12" s="12"/>
      <c r="M12" s="12"/>
      <c r="N12" s="12"/>
      <c r="O12" s="167">
        <f>SUM(O7:O11)</f>
        <v>6063443679</v>
      </c>
      <c r="P12" s="168"/>
      <c r="Q12" s="167">
        <f>SUM(Q7:Q11)</f>
        <v>39514153638</v>
      </c>
      <c r="R12" s="12"/>
      <c r="S12" s="12"/>
      <c r="T12" s="12"/>
      <c r="U12" s="167">
        <f>SUM(U7:U11)</f>
        <v>39514153638</v>
      </c>
    </row>
    <row r="13" spans="2:29" ht="23.25" thickTop="1" x14ac:dyDescent="0.55000000000000004">
      <c r="K13" s="169"/>
      <c r="M13" s="170"/>
    </row>
    <row r="14" spans="2:29" x14ac:dyDescent="0.55000000000000004">
      <c r="O14" s="159"/>
      <c r="Q14" s="159"/>
      <c r="U14" s="159"/>
    </row>
    <row r="15" spans="2:29" x14ac:dyDescent="0.55000000000000004">
      <c r="K15" s="159"/>
      <c r="O15" s="159"/>
      <c r="Q15" s="159"/>
      <c r="U15" s="159"/>
    </row>
    <row r="16" spans="2:29" x14ac:dyDescent="0.55000000000000004">
      <c r="K16" s="159"/>
      <c r="O16" s="171"/>
      <c r="U16" s="159"/>
    </row>
    <row r="59" spans="18:18" ht="27.75" x14ac:dyDescent="0.55000000000000004">
      <c r="R59" s="146">
        <v>1783</v>
      </c>
    </row>
    <row r="76" spans="18:26" ht="27.75" x14ac:dyDescent="0.55000000000000004">
      <c r="R76" s="146">
        <v>2083</v>
      </c>
    </row>
    <row r="77" spans="18:26" x14ac:dyDescent="0.55000000000000004">
      <c r="Y77" s="274"/>
      <c r="Z77" s="274"/>
    </row>
    <row r="78" spans="18:26" x14ac:dyDescent="0.55000000000000004">
      <c r="Y78" s="274"/>
      <c r="Z78" s="274"/>
    </row>
    <row r="79" spans="18:26" x14ac:dyDescent="0.55000000000000004">
      <c r="Y79" s="274"/>
      <c r="Z79" s="274"/>
    </row>
    <row r="80" spans="18:26" x14ac:dyDescent="0.55000000000000004">
      <c r="Y80" s="274"/>
      <c r="Z80" s="274"/>
    </row>
    <row r="81" spans="25:26" x14ac:dyDescent="0.55000000000000004">
      <c r="Y81" s="274"/>
      <c r="Z81" s="274"/>
    </row>
    <row r="82" spans="25:26" x14ac:dyDescent="0.55000000000000004">
      <c r="Y82" s="274"/>
      <c r="Z82" s="274"/>
    </row>
    <row r="83" spans="25:26" x14ac:dyDescent="0.55000000000000004">
      <c r="Y83" s="274"/>
      <c r="Z83" s="274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77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23" t="s">
        <v>105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  <c r="R1" s="423"/>
      <c r="S1" s="423"/>
    </row>
    <row r="2" spans="1:20" ht="24" x14ac:dyDescent="0.6">
      <c r="A2" s="423" t="s">
        <v>86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</row>
    <row r="3" spans="1:20" ht="24" x14ac:dyDescent="0.6">
      <c r="A3" s="423" t="str">
        <f>' سهام'!AC6</f>
        <v>برای ماه منتهی به 1405/05/31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  <c r="R3" s="423"/>
      <c r="S3" s="423"/>
    </row>
    <row r="4" spans="1:20" ht="24" x14ac:dyDescent="0.55000000000000004">
      <c r="B4" s="424" t="s">
        <v>150</v>
      </c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4"/>
    </row>
    <row r="6" spans="1:20" ht="24.75" thickBot="1" x14ac:dyDescent="0.6">
      <c r="B6" s="36"/>
      <c r="C6" s="421" t="str">
        <f>' سهام'!AC7</f>
        <v>طی مرداد ماه</v>
      </c>
      <c r="D6" s="421"/>
      <c r="E6" s="421"/>
      <c r="F6" s="421"/>
      <c r="G6" s="421"/>
      <c r="H6" s="421"/>
      <c r="I6" s="421"/>
      <c r="J6" s="421"/>
      <c r="K6" s="421"/>
      <c r="L6" s="52"/>
      <c r="M6" s="421" t="str">
        <f>' سهام'!AC8</f>
        <v>از ابتدای سال مالی تا پایان مرداد  ماه</v>
      </c>
      <c r="N6" s="421"/>
      <c r="O6" s="421"/>
      <c r="P6" s="421"/>
      <c r="Q6" s="421"/>
      <c r="R6" s="421"/>
      <c r="S6" s="421"/>
    </row>
    <row r="7" spans="1:20" ht="20.25" customHeight="1" x14ac:dyDescent="0.55000000000000004">
      <c r="B7" s="425"/>
      <c r="C7" s="420" t="s">
        <v>25</v>
      </c>
      <c r="D7" s="420"/>
      <c r="E7" s="420" t="s">
        <v>22</v>
      </c>
      <c r="F7" s="425"/>
      <c r="G7" s="420" t="s">
        <v>23</v>
      </c>
      <c r="H7" s="422"/>
      <c r="I7" s="420" t="s">
        <v>7</v>
      </c>
      <c r="J7" s="420"/>
      <c r="K7" s="420"/>
      <c r="L7" s="53"/>
      <c r="M7" s="420" t="s">
        <v>25</v>
      </c>
      <c r="N7" s="420"/>
      <c r="O7" s="420" t="s">
        <v>22</v>
      </c>
      <c r="P7" s="425"/>
      <c r="Q7" s="420" t="s">
        <v>23</v>
      </c>
      <c r="R7" s="420" t="s">
        <v>7</v>
      </c>
      <c r="S7" s="420"/>
    </row>
    <row r="8" spans="1:20" ht="30" customHeight="1" x14ac:dyDescent="0.55000000000000004">
      <c r="B8" s="422"/>
      <c r="C8" s="421"/>
      <c r="D8" s="421"/>
      <c r="E8" s="421"/>
      <c r="F8" s="422"/>
      <c r="G8" s="421"/>
      <c r="H8" s="422"/>
      <c r="I8" s="421"/>
      <c r="J8" s="421"/>
      <c r="K8" s="421"/>
      <c r="L8" s="53"/>
      <c r="M8" s="421"/>
      <c r="N8" s="421"/>
      <c r="O8" s="421"/>
      <c r="P8" s="422"/>
      <c r="Q8" s="421"/>
      <c r="R8" s="421"/>
      <c r="S8" s="421"/>
    </row>
    <row r="9" spans="1:20" ht="24.75" thickBot="1" x14ac:dyDescent="0.6">
      <c r="B9" s="422"/>
      <c r="C9" s="56" t="s">
        <v>94</v>
      </c>
      <c r="D9" s="421"/>
      <c r="E9" s="56" t="s">
        <v>91</v>
      </c>
      <c r="F9" s="422"/>
      <c r="G9" s="56" t="s">
        <v>131</v>
      </c>
      <c r="H9" s="422"/>
      <c r="I9" s="51" t="s">
        <v>99</v>
      </c>
      <c r="J9" s="51"/>
      <c r="K9" s="51" t="s">
        <v>100</v>
      </c>
      <c r="L9" s="53"/>
      <c r="M9" s="56" t="s">
        <v>94</v>
      </c>
      <c r="N9" s="421"/>
      <c r="O9" s="56" t="s">
        <v>91</v>
      </c>
      <c r="P9" s="422"/>
      <c r="Q9" s="56" t="s">
        <v>131</v>
      </c>
      <c r="R9" s="51" t="s">
        <v>99</v>
      </c>
      <c r="S9" s="51" t="s">
        <v>100</v>
      </c>
    </row>
    <row r="10" spans="1:20" ht="23.25" thickBot="1" x14ac:dyDescent="0.6">
      <c r="B10" s="68" t="s">
        <v>101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F7:F9"/>
    <mergeCell ref="C6:K6"/>
    <mergeCell ref="B7:B9"/>
    <mergeCell ref="D7:D9"/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Z93"/>
  <sheetViews>
    <sheetView rightToLeft="1" view="pageBreakPreview" zoomScale="85" zoomScaleNormal="100" zoomScaleSheetLayoutView="85" workbookViewId="0">
      <selection activeCell="H13" sqref="H13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hidden="1" customWidth="1"/>
    <col min="5" max="5" width="0.7109375" style="1" customWidth="1"/>
    <col min="6" max="6" width="22.42578125" style="1" customWidth="1"/>
    <col min="7" max="7" width="0.5703125" style="1" customWidth="1"/>
    <col min="8" max="8" width="22.42578125" style="1" customWidth="1"/>
    <col min="9" max="9" width="0.7109375" style="1" customWidth="1"/>
    <col min="10" max="10" width="26.140625" style="1" bestFit="1" customWidth="1"/>
    <col min="11" max="11" width="0.7109375" style="1" customWidth="1"/>
    <col min="12" max="12" width="23.7109375" style="1" bestFit="1" customWidth="1"/>
    <col min="13" max="13" width="0.7109375" style="1" customWidth="1"/>
    <col min="14" max="16384" width="9.140625" style="1"/>
  </cols>
  <sheetData>
    <row r="1" spans="2:14" ht="24" x14ac:dyDescent="0.6">
      <c r="B1" s="360" t="str">
        <f>'سود اوراق بهادار و سپرده بانکی'!B1:U1</f>
        <v>صندوق سرمایه گذاری شاخص سی شرکت بزرگ فیروزه</v>
      </c>
      <c r="C1" s="360"/>
      <c r="D1" s="360"/>
      <c r="E1" s="360"/>
      <c r="F1" s="360"/>
      <c r="G1" s="360"/>
      <c r="H1" s="360"/>
      <c r="I1" s="360"/>
      <c r="J1" s="360"/>
      <c r="K1" s="360"/>
      <c r="L1" s="360"/>
      <c r="M1" s="360"/>
    </row>
    <row r="2" spans="2:14" ht="24" x14ac:dyDescent="0.6">
      <c r="B2" s="360" t="s">
        <v>86</v>
      </c>
      <c r="C2" s="360"/>
      <c r="D2" s="360"/>
      <c r="E2" s="360"/>
      <c r="F2" s="360"/>
      <c r="G2" s="360"/>
      <c r="H2" s="360"/>
      <c r="I2" s="360"/>
      <c r="J2" s="360"/>
      <c r="K2" s="360"/>
      <c r="L2" s="360"/>
      <c r="M2" s="360"/>
    </row>
    <row r="3" spans="2:14" ht="24" x14ac:dyDescent="0.6">
      <c r="B3" s="360" t="str">
        <f>' سهام'!B3:Z3</f>
        <v>برای ماه منتهی به 1405/05/31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</row>
    <row r="4" spans="2:14" ht="24" x14ac:dyDescent="0.55000000000000004">
      <c r="B4" s="362" t="s">
        <v>145</v>
      </c>
      <c r="C4" s="362"/>
      <c r="D4" s="362"/>
      <c r="E4" s="362"/>
      <c r="F4" s="362"/>
      <c r="G4" s="362"/>
      <c r="H4" s="362"/>
      <c r="I4" s="362"/>
      <c r="J4" s="362"/>
      <c r="K4" s="362"/>
      <c r="L4" s="362"/>
      <c r="M4" s="362"/>
    </row>
    <row r="5" spans="2:14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</row>
    <row r="6" spans="2:14" ht="24.75" thickBot="1" x14ac:dyDescent="0.6">
      <c r="B6" s="426" t="s">
        <v>28</v>
      </c>
      <c r="C6" s="426"/>
      <c r="D6" s="426"/>
      <c r="E6" s="52"/>
      <c r="F6" s="427" t="str">
        <f>' سهام'!AC7</f>
        <v>طی مرداد ماه</v>
      </c>
      <c r="G6" s="427"/>
      <c r="H6" s="427"/>
      <c r="I6" s="427"/>
      <c r="J6" s="426" t="str">
        <f>' سهام'!AC8</f>
        <v>از ابتدای سال مالی تا پایان مرداد  ماه</v>
      </c>
      <c r="K6" s="426"/>
      <c r="L6" s="426"/>
      <c r="M6" s="426"/>
      <c r="N6" s="156"/>
    </row>
    <row r="7" spans="2:14" ht="55.5" customHeight="1" x14ac:dyDescent="0.55000000000000004">
      <c r="B7" s="131" t="s">
        <v>26</v>
      </c>
      <c r="C7" s="52"/>
      <c r="D7" s="53"/>
      <c r="E7" s="53"/>
      <c r="F7" s="53" t="s">
        <v>27</v>
      </c>
      <c r="G7" s="53"/>
      <c r="H7" s="420" t="s">
        <v>218</v>
      </c>
      <c r="I7" s="52"/>
      <c r="J7" s="53" t="s">
        <v>27</v>
      </c>
      <c r="K7" s="52"/>
      <c r="L7" s="420" t="s">
        <v>218</v>
      </c>
      <c r="M7" s="52"/>
      <c r="N7" s="52"/>
    </row>
    <row r="8" spans="2:14" ht="24" customHeight="1" thickBot="1" x14ac:dyDescent="0.6">
      <c r="B8" s="53"/>
      <c r="C8" s="52"/>
      <c r="D8" s="53"/>
      <c r="E8" s="53"/>
      <c r="F8" s="109" t="s">
        <v>94</v>
      </c>
      <c r="G8" s="315"/>
      <c r="H8" s="412"/>
      <c r="I8" s="52"/>
      <c r="J8" s="109" t="s">
        <v>94</v>
      </c>
      <c r="K8" s="52"/>
      <c r="L8" s="412"/>
      <c r="M8" s="52"/>
      <c r="N8" s="52"/>
    </row>
    <row r="9" spans="2:14" ht="29.25" customHeight="1" x14ac:dyDescent="0.55000000000000004">
      <c r="B9" s="38" t="s">
        <v>161</v>
      </c>
      <c r="C9" s="38"/>
      <c r="D9" s="42"/>
      <c r="E9" s="42"/>
      <c r="F9" s="33">
        <v>320096</v>
      </c>
      <c r="G9" s="33"/>
      <c r="H9" s="316">
        <f>F9/L29</f>
        <v>1.457285191794058E-6</v>
      </c>
      <c r="I9" s="42"/>
      <c r="J9" s="33">
        <v>1154239</v>
      </c>
      <c r="K9" s="42"/>
      <c r="L9" s="317">
        <f>J9/L29</f>
        <v>5.2548466787813085E-6</v>
      </c>
      <c r="M9" s="42"/>
      <c r="N9" s="52"/>
    </row>
    <row r="10" spans="2:14" ht="29.25" customHeight="1" x14ac:dyDescent="0.55000000000000004">
      <c r="B10" s="38" t="s">
        <v>162</v>
      </c>
      <c r="C10" s="38"/>
      <c r="D10" s="42"/>
      <c r="E10" s="42"/>
      <c r="F10" s="33">
        <v>0</v>
      </c>
      <c r="G10" s="33"/>
      <c r="H10" s="316">
        <f>F10/L29</f>
        <v>0</v>
      </c>
      <c r="I10" s="42"/>
      <c r="J10" s="33">
        <v>33446410899</v>
      </c>
      <c r="K10" s="42"/>
      <c r="L10" s="317">
        <f>J10/L29</f>
        <v>0.15226981693545713</v>
      </c>
      <c r="M10" s="42"/>
      <c r="N10" s="52"/>
    </row>
    <row r="11" spans="2:14" ht="29.25" customHeight="1" x14ac:dyDescent="0.55000000000000004">
      <c r="B11" s="38" t="s">
        <v>183</v>
      </c>
      <c r="C11" s="38"/>
      <c r="D11" s="42"/>
      <c r="E11" s="42"/>
      <c r="F11" s="33">
        <v>0</v>
      </c>
      <c r="G11" s="33"/>
      <c r="H11" s="316">
        <f>F11/L29</f>
        <v>0</v>
      </c>
      <c r="I11" s="42"/>
      <c r="J11" s="33">
        <v>4055</v>
      </c>
      <c r="K11" s="42"/>
      <c r="L11" s="317">
        <f>J11/L29</f>
        <v>1.8460997490518174E-8</v>
      </c>
      <c r="M11" s="42"/>
      <c r="N11" s="52"/>
    </row>
    <row r="12" spans="2:14" ht="29.25" customHeight="1" x14ac:dyDescent="0.55000000000000004">
      <c r="B12" s="38" t="s">
        <v>199</v>
      </c>
      <c r="C12" s="38"/>
      <c r="D12" s="42"/>
      <c r="E12" s="42"/>
      <c r="F12" s="33">
        <v>268825</v>
      </c>
      <c r="G12" s="33"/>
      <c r="H12" s="316">
        <f>F12/L29</f>
        <v>1.2238662516371264E-6</v>
      </c>
      <c r="I12" s="42"/>
      <c r="J12" s="33">
        <v>3729687</v>
      </c>
      <c r="K12" s="42"/>
      <c r="L12" s="317">
        <f>J12/L29</f>
        <v>1.6979961121434834E-5</v>
      </c>
      <c r="M12" s="42"/>
      <c r="N12" s="52"/>
    </row>
    <row r="13" spans="2:14" ht="29.25" customHeight="1" thickBot="1" x14ac:dyDescent="0.6">
      <c r="B13" s="38" t="s">
        <v>162</v>
      </c>
      <c r="C13" s="38"/>
      <c r="D13" s="42"/>
      <c r="E13" s="42"/>
      <c r="F13" s="33">
        <v>6062854758</v>
      </c>
      <c r="G13" s="33"/>
      <c r="H13" s="316">
        <f>F13/L29</f>
        <v>2.7602058316353678E-2</v>
      </c>
      <c r="I13" s="42"/>
      <c r="J13" s="33">
        <v>6062854758</v>
      </c>
      <c r="K13" s="42"/>
      <c r="L13" s="317">
        <f>J13/L29</f>
        <v>2.7602058316353678E-2</v>
      </c>
      <c r="M13" s="42"/>
      <c r="N13" s="52"/>
    </row>
    <row r="14" spans="2:14" ht="23.25" thickBot="1" x14ac:dyDescent="0.6">
      <c r="B14" s="38" t="s">
        <v>7</v>
      </c>
      <c r="C14" s="52"/>
      <c r="E14" s="42"/>
      <c r="F14" s="35">
        <f>SUM(F9:F13)</f>
        <v>6063443679</v>
      </c>
      <c r="G14" s="33"/>
      <c r="H14" s="313">
        <f>SUM(H9:H13)</f>
        <v>2.760473946779711E-2</v>
      </c>
      <c r="I14" s="89"/>
      <c r="J14" s="35">
        <f>SUM(J9:J13)</f>
        <v>39514153638</v>
      </c>
      <c r="K14" s="52"/>
      <c r="L14" s="313">
        <f>SUM(L9:L13)</f>
        <v>0.17989412852060851</v>
      </c>
      <c r="M14" s="52"/>
      <c r="N14" s="52"/>
    </row>
    <row r="15" spans="2:14" ht="23.25" thickTop="1" x14ac:dyDescent="0.55000000000000004"/>
    <row r="16" spans="2:14" x14ac:dyDescent="0.55000000000000004">
      <c r="F16" s="13"/>
      <c r="G16" s="13"/>
      <c r="H16" s="13"/>
      <c r="J16" s="159"/>
      <c r="L16" s="159"/>
    </row>
    <row r="17" spans="6:12" ht="19.5" customHeight="1" x14ac:dyDescent="0.55000000000000004">
      <c r="F17" s="108"/>
      <c r="G17" s="108"/>
      <c r="H17" s="108"/>
      <c r="I17" s="256"/>
      <c r="J17" s="159"/>
    </row>
    <row r="18" spans="6:12" ht="19.5" customHeight="1" x14ac:dyDescent="0.55000000000000004">
      <c r="F18" s="108"/>
      <c r="G18" s="108"/>
      <c r="H18" s="108"/>
      <c r="I18" s="256"/>
      <c r="J18" s="159"/>
    </row>
    <row r="19" spans="6:12" ht="19.5" customHeight="1" x14ac:dyDescent="0.55000000000000004">
      <c r="F19" s="108"/>
      <c r="G19" s="108"/>
      <c r="H19" s="108"/>
      <c r="I19" s="256"/>
      <c r="J19" s="159"/>
    </row>
    <row r="20" spans="6:12" ht="19.5" customHeight="1" x14ac:dyDescent="0.55000000000000004">
      <c r="F20" s="108"/>
      <c r="G20" s="108"/>
      <c r="H20" s="108"/>
      <c r="I20" s="256"/>
      <c r="J20" s="159"/>
    </row>
    <row r="21" spans="6:12" ht="19.5" customHeight="1" x14ac:dyDescent="0.55000000000000004">
      <c r="F21" s="108"/>
      <c r="G21" s="108"/>
      <c r="H21" s="108"/>
      <c r="I21" s="256"/>
      <c r="J21" s="159"/>
    </row>
    <row r="22" spans="6:12" ht="19.5" customHeight="1" x14ac:dyDescent="0.55000000000000004">
      <c r="F22" s="108"/>
      <c r="G22" s="108"/>
      <c r="H22" s="108"/>
      <c r="I22" s="256"/>
      <c r="J22" s="159"/>
    </row>
    <row r="23" spans="6:12" ht="19.5" customHeight="1" x14ac:dyDescent="0.55000000000000004">
      <c r="F23" s="108"/>
      <c r="G23" s="108"/>
      <c r="H23" s="108"/>
      <c r="I23" s="256"/>
      <c r="J23" s="159"/>
    </row>
    <row r="24" spans="6:12" ht="19.5" customHeight="1" x14ac:dyDescent="0.55000000000000004">
      <c r="F24" s="108"/>
      <c r="G24" s="108"/>
      <c r="H24" s="108"/>
      <c r="I24" s="256"/>
      <c r="J24" s="159"/>
    </row>
    <row r="25" spans="6:12" ht="19.5" customHeight="1" x14ac:dyDescent="0.55000000000000004">
      <c r="F25" s="108"/>
      <c r="G25" s="108"/>
      <c r="H25" s="108"/>
      <c r="I25" s="256"/>
      <c r="J25" s="159"/>
    </row>
    <row r="26" spans="6:12" ht="19.5" customHeight="1" x14ac:dyDescent="0.55000000000000004">
      <c r="F26" s="108"/>
      <c r="G26" s="108"/>
      <c r="H26" s="108"/>
      <c r="I26" s="256"/>
      <c r="J26" s="159"/>
    </row>
    <row r="27" spans="6:12" ht="19.5" customHeight="1" x14ac:dyDescent="0.55000000000000004">
      <c r="F27" s="108"/>
      <c r="G27" s="108"/>
      <c r="H27" s="108"/>
      <c r="I27" s="256"/>
      <c r="J27" s="159"/>
    </row>
    <row r="28" spans="6:12" x14ac:dyDescent="0.55000000000000004">
      <c r="F28" s="257"/>
      <c r="G28" s="257"/>
      <c r="H28" s="257"/>
      <c r="I28" s="256"/>
      <c r="J28" s="258"/>
      <c r="L28" s="93"/>
    </row>
    <row r="29" spans="6:12" ht="23.25" customHeight="1" x14ac:dyDescent="0.55000000000000004">
      <c r="F29" s="257"/>
      <c r="G29" s="257"/>
      <c r="H29" s="257"/>
      <c r="J29" s="325">
        <v>6809220361173</v>
      </c>
      <c r="K29" s="323"/>
      <c r="L29" s="326">
        <f>J29/31</f>
        <v>219652269715.25806</v>
      </c>
    </row>
    <row r="69" spans="18:18" ht="27.75" x14ac:dyDescent="0.55000000000000004">
      <c r="R69" s="146">
        <v>1783</v>
      </c>
    </row>
    <row r="86" spans="18:26" ht="27.75" x14ac:dyDescent="0.55000000000000004">
      <c r="R86" s="146">
        <v>2083</v>
      </c>
    </row>
    <row r="87" spans="18:26" x14ac:dyDescent="0.55000000000000004">
      <c r="Y87" s="274"/>
      <c r="Z87" s="274"/>
    </row>
    <row r="88" spans="18:26" x14ac:dyDescent="0.55000000000000004">
      <c r="Y88" s="274"/>
      <c r="Z88" s="274"/>
    </row>
    <row r="89" spans="18:26" x14ac:dyDescent="0.55000000000000004">
      <c r="Y89" s="274"/>
      <c r="Z89" s="274"/>
    </row>
    <row r="90" spans="18:26" x14ac:dyDescent="0.55000000000000004">
      <c r="Y90" s="274"/>
      <c r="Z90" s="274"/>
    </row>
    <row r="91" spans="18:26" x14ac:dyDescent="0.55000000000000004">
      <c r="Y91" s="274"/>
      <c r="Z91" s="274"/>
    </row>
    <row r="92" spans="18:26" x14ac:dyDescent="0.55000000000000004">
      <c r="Y92" s="274"/>
      <c r="Z92" s="274"/>
    </row>
    <row r="93" spans="18:26" x14ac:dyDescent="0.55000000000000004">
      <c r="Y93" s="274"/>
      <c r="Z93" s="274"/>
    </row>
  </sheetData>
  <mergeCells count="9">
    <mergeCell ref="B1:M1"/>
    <mergeCell ref="B2:M2"/>
    <mergeCell ref="B3:M3"/>
    <mergeCell ref="L7:L8"/>
    <mergeCell ref="B6:D6"/>
    <mergeCell ref="F6:I6"/>
    <mergeCell ref="B4:M4"/>
    <mergeCell ref="J6:M6"/>
    <mergeCell ref="H7:H8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88" orientation="landscape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82"/>
  <sheetViews>
    <sheetView rightToLeft="1" view="pageBreakPreview" zoomScale="85" zoomScaleNormal="100" zoomScaleSheetLayoutView="85" workbookViewId="0">
      <selection activeCell="B14" sqref="B14"/>
    </sheetView>
  </sheetViews>
  <sheetFormatPr defaultColWidth="8.85546875" defaultRowHeight="24.75" x14ac:dyDescent="0.6"/>
  <cols>
    <col min="1" max="1" width="8.85546875" style="228"/>
    <col min="2" max="2" width="29.140625" style="228" customWidth="1"/>
    <col min="3" max="3" width="0.7109375" style="228" customWidth="1"/>
    <col min="4" max="4" width="20.7109375" style="228" bestFit="1" customWidth="1"/>
    <col min="5" max="5" width="0.42578125" style="228" customWidth="1"/>
    <col min="6" max="6" width="21.42578125" style="228" customWidth="1"/>
    <col min="7" max="16384" width="8.85546875" style="1"/>
  </cols>
  <sheetData>
    <row r="1" spans="2:12" ht="26.25" x14ac:dyDescent="0.65">
      <c r="B1" s="428" t="str">
        <f>'درآمد سپرده بانکی'!B1:M1</f>
        <v>صندوق سرمایه گذاری شاخص سی شرکت بزرگ فیروزه</v>
      </c>
      <c r="C1" s="428"/>
      <c r="D1" s="428"/>
      <c r="E1" s="428"/>
      <c r="F1" s="428"/>
    </row>
    <row r="2" spans="2:12" ht="26.25" x14ac:dyDescent="0.65">
      <c r="B2" s="428" t="s">
        <v>86</v>
      </c>
      <c r="C2" s="428"/>
      <c r="D2" s="428"/>
      <c r="E2" s="428"/>
      <c r="F2" s="428"/>
    </row>
    <row r="3" spans="2:12" ht="26.25" x14ac:dyDescent="0.65">
      <c r="B3" s="428" t="str">
        <f>' سهام'!AC6</f>
        <v>برای ماه منتهی به 1405/05/31</v>
      </c>
      <c r="C3" s="428"/>
      <c r="D3" s="428"/>
      <c r="E3" s="428"/>
      <c r="F3" s="428"/>
    </row>
    <row r="4" spans="2:12" ht="26.25" x14ac:dyDescent="0.6">
      <c r="B4" s="429" t="s">
        <v>39</v>
      </c>
      <c r="C4" s="429"/>
      <c r="D4" s="429"/>
      <c r="E4" s="429"/>
      <c r="F4" s="429"/>
    </row>
    <row r="5" spans="2:12" ht="79.5" thickBot="1" x14ac:dyDescent="0.65">
      <c r="B5" s="229"/>
      <c r="C5" s="230"/>
      <c r="D5" s="201" t="str">
        <f>' سهام'!AC7</f>
        <v>طی مرداد ماه</v>
      </c>
      <c r="E5" s="231"/>
      <c r="F5" s="201" t="str">
        <f>' سهام'!AC8</f>
        <v>از ابتدای سال مالی تا پایان مرداد  ماه</v>
      </c>
    </row>
    <row r="6" spans="2:12" x14ac:dyDescent="0.6">
      <c r="B6" s="232" t="s">
        <v>40</v>
      </c>
      <c r="C6" s="231"/>
      <c r="D6" s="190">
        <v>-1262</v>
      </c>
      <c r="E6" s="190"/>
      <c r="F6" s="190">
        <v>2381935</v>
      </c>
    </row>
    <row r="7" spans="2:12" x14ac:dyDescent="0.6">
      <c r="B7" s="233" t="s">
        <v>147</v>
      </c>
      <c r="C7" s="231"/>
      <c r="D7" s="190">
        <v>-6773939943</v>
      </c>
      <c r="E7" s="190"/>
      <c r="F7" s="190">
        <v>8976113550</v>
      </c>
    </row>
    <row r="8" spans="2:12" ht="25.5" thickBot="1" x14ac:dyDescent="0.65">
      <c r="B8" s="234"/>
      <c r="C8" s="231"/>
      <c r="D8" s="235">
        <f>SUM(D6:D7)</f>
        <v>-6773941205</v>
      </c>
      <c r="E8" s="247"/>
      <c r="F8" s="235">
        <f>SUM(F6:F7)</f>
        <v>8978495485</v>
      </c>
    </row>
    <row r="9" spans="2:12" ht="25.5" thickTop="1" x14ac:dyDescent="0.6"/>
    <row r="10" spans="2:12" x14ac:dyDescent="0.6">
      <c r="D10" s="259"/>
      <c r="F10" s="190"/>
    </row>
    <row r="11" spans="2:12" x14ac:dyDescent="0.6">
      <c r="D11" s="236"/>
      <c r="E11" s="236"/>
      <c r="F11" s="236"/>
    </row>
    <row r="12" spans="2:12" x14ac:dyDescent="0.6">
      <c r="D12" s="263"/>
    </row>
    <row r="15" spans="2:12" x14ac:dyDescent="0.6">
      <c r="L15" s="108"/>
    </row>
    <row r="57" spans="18:18" ht="27.75" x14ac:dyDescent="0.6">
      <c r="R57" s="146">
        <v>1783</v>
      </c>
    </row>
    <row r="74" spans="18:26" ht="27.75" x14ac:dyDescent="0.6">
      <c r="R74" s="146">
        <v>2083</v>
      </c>
    </row>
    <row r="76" spans="18:26" x14ac:dyDescent="0.6">
      <c r="Y76" s="274"/>
      <c r="Z76" s="274"/>
    </row>
    <row r="77" spans="18:26" x14ac:dyDescent="0.6">
      <c r="Y77" s="274"/>
      <c r="Z77" s="274"/>
    </row>
    <row r="78" spans="18:26" x14ac:dyDescent="0.6">
      <c r="Y78" s="274"/>
      <c r="Z78" s="274"/>
    </row>
    <row r="79" spans="18:26" x14ac:dyDescent="0.6">
      <c r="Y79" s="274"/>
      <c r="Z79" s="274"/>
    </row>
    <row r="80" spans="18:26" x14ac:dyDescent="0.6">
      <c r="Y80" s="274"/>
      <c r="Z80" s="274"/>
    </row>
    <row r="81" spans="25:26" x14ac:dyDescent="0.6">
      <c r="Y81" s="274"/>
      <c r="Z81" s="274"/>
    </row>
    <row r="82" spans="25:26" x14ac:dyDescent="0.6">
      <c r="Y82" s="274"/>
      <c r="Z82" s="274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16</vt:i4>
      </vt:variant>
    </vt:vector>
  </HeadingPairs>
  <TitlesOfParts>
    <vt:vector size="33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تعدیل قیمت 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سود اوراق بهادار و سپرده بانکی</vt:lpstr>
      <vt:lpstr>درآمد سرمایه گذاری در اوراق بها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'تعدیل قیمت 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2026-08-01T11:37:20Z</cp:lastPrinted>
  <dcterms:created xsi:type="dcterms:W3CDTF">2017-11-22T14:26:20Z</dcterms:created>
  <dcterms:modified xsi:type="dcterms:W3CDTF">2026-08-25T04:48:04Z</dcterms:modified>
</cp:coreProperties>
</file>