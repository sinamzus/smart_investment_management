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04SGS019\Desktop\"/>
    </mc:Choice>
  </mc:AlternateContent>
  <xr:revisionPtr revIDLastSave="0" documentId="8_{7AC1923B-2B63-453E-8851-EEBB7E43BA28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درآمد سرمایه گذاری در سهام " sheetId="5" r:id="rId8"/>
    <sheet name="درآمد سود سهام" sheetId="12" r:id="rId9"/>
    <sheet name="درآمد ناشی از تغییر قیمت اوراق " sheetId="14" r:id="rId10"/>
    <sheet name="درآمد ناشی ازفروش" sheetId="15" r:id="rId11"/>
    <sheet name="درآمد سرمایه گذاری در اوراق بها" sheetId="6" state="hidden" r:id="rId12"/>
    <sheet name="سود اوراق بهادار و سپرده بانکی" sheetId="13" r:id="rId13"/>
    <sheet name="درآمد سپرده بانکی" sheetId="7" r:id="rId14"/>
    <sheet name="Sheet1" sheetId="16" state="hidden" r:id="rId15"/>
    <sheet name="سایر درآمدها" sheetId="8" r:id="rId16"/>
  </sheets>
  <definedNames>
    <definedName name="_xlnm._FilterDatabase" localSheetId="7" hidden="1">'درآمد سرمایه گذاری در سهام '!#REF!</definedName>
    <definedName name="_xlnm._FilterDatabase" localSheetId="8" hidden="1">'درآمد سود سهام'!$V$6:$W$6</definedName>
    <definedName name="_xlnm._FilterDatabase" localSheetId="9" hidden="1">'درآمد ناشی از تغییر قیمت اوراق '!$B$6:$AA$68</definedName>
    <definedName name="_xlnm.Print_Area" localSheetId="0">' سهام'!$A$1:$Z$77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13">'درآمد سپرده بانکی'!$A$1:$M$13</definedName>
    <definedName name="_xlnm.Print_Area" localSheetId="11">'درآمد سرمایه گذاری در اوراق بها'!$A$1:$S$12</definedName>
    <definedName name="_xlnm.Print_Area" localSheetId="7">'درآمد سرمایه گذاری در سهام '!$A$1:$V$127</definedName>
    <definedName name="_xlnm.Print_Area" localSheetId="8">'درآمد سود سهام'!$A$1:$U$55</definedName>
    <definedName name="_xlnm.Print_Area" localSheetId="9">'درآمد ناشی از تغییر قیمت اوراق '!$A$1:$R$67</definedName>
    <definedName name="_xlnm.Print_Area" localSheetId="10">'درآمد ناشی ازفروش'!$A$1:$R$107</definedName>
    <definedName name="_xlnm.Print_Area" localSheetId="6">درآمدها!$A$1:$J$11</definedName>
    <definedName name="_xlnm.Print_Area" localSheetId="15">'سایر درآمدها'!$A$1:$F$9</definedName>
    <definedName name="_xlnm.Print_Area" localSheetId="5">سپرده!$A$1:$R$16</definedName>
    <definedName name="_xlnm.Print_Area" localSheetId="12">'سود اوراق بهادار و سپرده بانکی'!$A$1:$U$11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5" i="5" l="1"/>
  <c r="T106" i="5"/>
  <c r="T108" i="5"/>
  <c r="T110" i="5"/>
  <c r="T117" i="5"/>
  <c r="T121" i="5"/>
  <c r="T120" i="5"/>
  <c r="T88" i="5"/>
  <c r="T87" i="5"/>
  <c r="T86" i="5"/>
  <c r="T12" i="5"/>
  <c r="T27" i="5"/>
  <c r="Z74" i="1"/>
  <c r="L124" i="5"/>
  <c r="L125" i="5"/>
  <c r="V124" i="5"/>
  <c r="V125" i="5"/>
  <c r="N35" i="5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7" i="12"/>
  <c r="P54" i="12"/>
  <c r="J99" i="15"/>
  <c r="J100" i="15"/>
  <c r="J101" i="15"/>
  <c r="J102" i="15"/>
  <c r="N51" i="12"/>
  <c r="N52" i="12"/>
  <c r="J71" i="5"/>
  <c r="L71" i="5" s="1"/>
  <c r="J72" i="5"/>
  <c r="L72" i="5" s="1"/>
  <c r="J73" i="5"/>
  <c r="L73" i="5" s="1"/>
  <c r="J74" i="5"/>
  <c r="L74" i="5" s="1"/>
  <c r="J75" i="5"/>
  <c r="L75" i="5" s="1"/>
  <c r="T71" i="5"/>
  <c r="V71" i="5" s="1"/>
  <c r="T72" i="5"/>
  <c r="V72" i="5" s="1"/>
  <c r="T73" i="5"/>
  <c r="V73" i="5" s="1"/>
  <c r="T74" i="5"/>
  <c r="V74" i="5" s="1"/>
  <c r="T75" i="5"/>
  <c r="V75" i="5" s="1"/>
  <c r="T76" i="5"/>
  <c r="R14" i="2"/>
  <c r="R13" i="2"/>
  <c r="E49" i="1"/>
  <c r="Z70" i="1"/>
  <c r="Z71" i="1"/>
  <c r="Z72" i="1"/>
  <c r="Z73" i="1"/>
  <c r="Z75" i="1"/>
  <c r="Z9" i="1"/>
  <c r="X49" i="1"/>
  <c r="X56" i="1" s="1"/>
  <c r="X77" i="1" s="1"/>
  <c r="V49" i="1"/>
  <c r="V56" i="1" s="1"/>
  <c r="V77" i="1" s="1"/>
  <c r="T49" i="1"/>
  <c r="T56" i="1" s="1"/>
  <c r="T77" i="1" s="1"/>
  <c r="R49" i="1"/>
  <c r="R56" i="1" s="1"/>
  <c r="R77" i="1" s="1"/>
  <c r="P49" i="1"/>
  <c r="P56" i="1" s="1"/>
  <c r="P77" i="1" s="1"/>
  <c r="N49" i="1"/>
  <c r="N56" i="1" s="1"/>
  <c r="N77" i="1" s="1"/>
  <c r="L49" i="1"/>
  <c r="L56" i="1" s="1"/>
  <c r="L77" i="1" s="1"/>
  <c r="J49" i="1"/>
  <c r="J56" i="1" s="1"/>
  <c r="J77" i="1" s="1"/>
  <c r="H49" i="1"/>
  <c r="H56" i="1" s="1"/>
  <c r="H77" i="1" s="1"/>
  <c r="F49" i="1"/>
  <c r="F56" i="1" s="1"/>
  <c r="F77" i="1" s="1"/>
  <c r="D49" i="1"/>
  <c r="D56" i="1" s="1"/>
  <c r="D77" i="1" s="1"/>
  <c r="Y49" i="1"/>
  <c r="W49" i="1"/>
  <c r="U49" i="1"/>
  <c r="S49" i="1"/>
  <c r="Q49" i="1"/>
  <c r="O49" i="1"/>
  <c r="M49" i="1"/>
  <c r="K49" i="1"/>
  <c r="I49" i="1"/>
  <c r="G49" i="1"/>
  <c r="H10" i="7" l="1"/>
  <c r="H9" i="7"/>
  <c r="H11" i="7"/>
  <c r="H12" i="7" l="1"/>
  <c r="F12" i="7"/>
  <c r="J39" i="14" l="1"/>
  <c r="J44" i="14" s="1"/>
  <c r="J65" i="14" s="1"/>
  <c r="N43" i="5"/>
  <c r="N77" i="5" l="1"/>
  <c r="T54" i="12"/>
  <c r="J63" i="15"/>
  <c r="J64" i="15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3" i="12"/>
  <c r="N7" i="12"/>
  <c r="V121" i="5"/>
  <c r="T122" i="5"/>
  <c r="T123" i="5"/>
  <c r="J121" i="5"/>
  <c r="L121" i="5" s="1"/>
  <c r="J122" i="5"/>
  <c r="L122" i="5" s="1"/>
  <c r="J123" i="5"/>
  <c r="L123" i="5" s="1"/>
  <c r="C136" i="5"/>
  <c r="O8" i="13"/>
  <c r="O9" i="13"/>
  <c r="O7" i="13"/>
  <c r="U7" i="13"/>
  <c r="U8" i="13"/>
  <c r="R11" i="2"/>
  <c r="R12" i="2"/>
  <c r="D8" i="8"/>
  <c r="V123" i="5" l="1"/>
  <c r="V122" i="5"/>
  <c r="N85" i="5"/>
  <c r="N127" i="5" s="1"/>
  <c r="R47" i="15"/>
  <c r="R52" i="15" s="1"/>
  <c r="R105" i="15" s="1"/>
  <c r="J11" i="5"/>
  <c r="D35" i="5"/>
  <c r="D43" i="5" s="1"/>
  <c r="D77" i="5" s="1"/>
  <c r="D85" i="5" s="1"/>
  <c r="D127" i="5" s="1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103" i="15"/>
  <c r="J104" i="15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T115" i="5"/>
  <c r="T116" i="5"/>
  <c r="V117" i="5"/>
  <c r="T118" i="5"/>
  <c r="T119" i="5"/>
  <c r="Z67" i="1"/>
  <c r="Z68" i="1"/>
  <c r="Z69" i="1"/>
  <c r="Z76" i="1"/>
  <c r="A2" i="11"/>
  <c r="J54" i="12"/>
  <c r="J69" i="5"/>
  <c r="B3" i="14"/>
  <c r="H39" i="14"/>
  <c r="H44" i="14" s="1"/>
  <c r="H65" i="14" s="1"/>
  <c r="T113" i="5"/>
  <c r="T114" i="5"/>
  <c r="J113" i="5"/>
  <c r="J114" i="5"/>
  <c r="L114" i="5" s="1"/>
  <c r="R35" i="5"/>
  <c r="R43" i="5" s="1"/>
  <c r="P35" i="5"/>
  <c r="H35" i="5"/>
  <c r="F35" i="5"/>
  <c r="R9" i="2"/>
  <c r="R10" i="2"/>
  <c r="Z64" i="1"/>
  <c r="Z65" i="1"/>
  <c r="Z66" i="1"/>
  <c r="V114" i="5" l="1"/>
  <c r="V118" i="5"/>
  <c r="V113" i="5"/>
  <c r="V116" i="5"/>
  <c r="V120" i="5"/>
  <c r="V119" i="5"/>
  <c r="V115" i="5"/>
  <c r="L113" i="5"/>
  <c r="D39" i="14"/>
  <c r="E77" i="1"/>
  <c r="G77" i="1"/>
  <c r="I77" i="1"/>
  <c r="K77" i="1"/>
  <c r="M77" i="1"/>
  <c r="O77" i="1"/>
  <c r="Q77" i="1"/>
  <c r="S77" i="1"/>
  <c r="U77" i="1"/>
  <c r="W77" i="1"/>
  <c r="Y77" i="1"/>
  <c r="J112" i="5"/>
  <c r="L112" i="5" s="1"/>
  <c r="T112" i="5"/>
  <c r="V112" i="5" l="1"/>
  <c r="P47" i="15"/>
  <c r="P52" i="15" s="1"/>
  <c r="P105" i="15" s="1"/>
  <c r="N47" i="15"/>
  <c r="L47" i="15"/>
  <c r="H47" i="15"/>
  <c r="H52" i="15" s="1"/>
  <c r="H105" i="15" s="1"/>
  <c r="F47" i="15"/>
  <c r="F52" i="15" s="1"/>
  <c r="F105" i="15" s="1"/>
  <c r="D47" i="15"/>
  <c r="D52" i="15" s="1"/>
  <c r="D105" i="15" s="1"/>
  <c r="P39" i="14"/>
  <c r="P44" i="14" s="1"/>
  <c r="N39" i="14"/>
  <c r="N44" i="14" s="1"/>
  <c r="L39" i="14"/>
  <c r="L44" i="14" s="1"/>
  <c r="F39" i="14"/>
  <c r="F44" i="14" s="1"/>
  <c r="F65" i="14" s="1"/>
  <c r="D44" i="14"/>
  <c r="D65" i="14" s="1"/>
  <c r="R77" i="5"/>
  <c r="P43" i="5"/>
  <c r="P77" i="5" s="1"/>
  <c r="H43" i="5"/>
  <c r="H77" i="5" s="1"/>
  <c r="F43" i="5"/>
  <c r="F77" i="5" s="1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N54" i="12" l="1"/>
  <c r="J35" i="5"/>
  <c r="J43" i="5" s="1"/>
  <c r="L52" i="15"/>
  <c r="L105" i="15" s="1"/>
  <c r="N52" i="15"/>
  <c r="N105" i="15" s="1"/>
  <c r="L65" i="14"/>
  <c r="N65" i="14"/>
  <c r="P65" i="14"/>
  <c r="J86" i="5" l="1"/>
  <c r="L86" i="5" s="1"/>
  <c r="V86" i="5"/>
  <c r="J87" i="5"/>
  <c r="L87" i="5" s="1"/>
  <c r="L54" i="12"/>
  <c r="R54" i="12"/>
  <c r="L31" i="5" l="1"/>
  <c r="T31" i="5"/>
  <c r="L32" i="5"/>
  <c r="T32" i="5"/>
  <c r="L33" i="5"/>
  <c r="T33" i="5"/>
  <c r="L34" i="5"/>
  <c r="T34" i="5"/>
  <c r="J44" i="5"/>
  <c r="L44" i="5" s="1"/>
  <c r="T44" i="5"/>
  <c r="J45" i="5"/>
  <c r="L45" i="5" s="1"/>
  <c r="T45" i="5"/>
  <c r="J46" i="5"/>
  <c r="L46" i="5" s="1"/>
  <c r="T46" i="5"/>
  <c r="Z35" i="1"/>
  <c r="Z34" i="1"/>
  <c r="Z33" i="1"/>
  <c r="Z32" i="1"/>
  <c r="Z31" i="1"/>
  <c r="Z30" i="1"/>
  <c r="Z29" i="1"/>
  <c r="Z28" i="1"/>
  <c r="F8" i="8"/>
  <c r="Q10" i="13"/>
  <c r="F54" i="12"/>
  <c r="J53" i="15"/>
  <c r="J54" i="15"/>
  <c r="J55" i="15"/>
  <c r="J56" i="15"/>
  <c r="J57" i="15"/>
  <c r="J58" i="15"/>
  <c r="J59" i="15"/>
  <c r="J60" i="15"/>
  <c r="J61" i="15"/>
  <c r="J62" i="15"/>
  <c r="J65" i="15"/>
  <c r="J66" i="15"/>
  <c r="J67" i="15"/>
  <c r="J68" i="15"/>
  <c r="J69" i="15"/>
  <c r="J70" i="15"/>
  <c r="J71" i="15"/>
  <c r="J72" i="15"/>
  <c r="J73" i="15"/>
  <c r="J74" i="15"/>
  <c r="J108" i="5"/>
  <c r="L108" i="5" s="1"/>
  <c r="J109" i="5"/>
  <c r="L109" i="5" s="1"/>
  <c r="J110" i="5"/>
  <c r="L110" i="5" s="1"/>
  <c r="J111" i="5"/>
  <c r="J126" i="5"/>
  <c r="L126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T109" i="5"/>
  <c r="V110" i="5"/>
  <c r="T111" i="5"/>
  <c r="T126" i="5"/>
  <c r="T61" i="5"/>
  <c r="T62" i="5"/>
  <c r="T63" i="5"/>
  <c r="T64" i="5"/>
  <c r="T65" i="5"/>
  <c r="T66" i="5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Z59" i="1"/>
  <c r="Z60" i="1"/>
  <c r="Z61" i="1"/>
  <c r="Z62" i="1"/>
  <c r="Z63" i="1"/>
  <c r="J12" i="7"/>
  <c r="K10" i="13"/>
  <c r="J98" i="5"/>
  <c r="L98" i="5" s="1"/>
  <c r="T98" i="5"/>
  <c r="J99" i="5"/>
  <c r="L99" i="5" s="1"/>
  <c r="T99" i="5"/>
  <c r="J100" i="5"/>
  <c r="L100" i="5" s="1"/>
  <c r="T100" i="5"/>
  <c r="J101" i="5"/>
  <c r="L101" i="5" s="1"/>
  <c r="T101" i="5"/>
  <c r="J102" i="5"/>
  <c r="L102" i="5" s="1"/>
  <c r="T102" i="5"/>
  <c r="J103" i="5"/>
  <c r="L103" i="5" s="1"/>
  <c r="T103" i="5"/>
  <c r="J104" i="5"/>
  <c r="L104" i="5" s="1"/>
  <c r="T104" i="5"/>
  <c r="J105" i="5"/>
  <c r="L105" i="5" s="1"/>
  <c r="J106" i="5"/>
  <c r="L106" i="5" s="1"/>
  <c r="V106" i="5"/>
  <c r="J107" i="5"/>
  <c r="L107" i="5" s="1"/>
  <c r="T107" i="5"/>
  <c r="T14" i="5"/>
  <c r="T15" i="5"/>
  <c r="T16" i="5"/>
  <c r="T17" i="5"/>
  <c r="L14" i="5"/>
  <c r="L15" i="5"/>
  <c r="L16" i="5"/>
  <c r="L17" i="5"/>
  <c r="L23" i="5"/>
  <c r="L24" i="5"/>
  <c r="L25" i="5"/>
  <c r="L26" i="5"/>
  <c r="L27" i="5"/>
  <c r="T23" i="5"/>
  <c r="T24" i="5"/>
  <c r="T25" i="5"/>
  <c r="T26" i="5"/>
  <c r="V27" i="5"/>
  <c r="T22" i="5"/>
  <c r="T28" i="5"/>
  <c r="T29" i="5"/>
  <c r="L22" i="5"/>
  <c r="L28" i="5"/>
  <c r="L29" i="5"/>
  <c r="V25" i="5" l="1"/>
  <c r="V17" i="5"/>
  <c r="V104" i="5"/>
  <c r="V109" i="5"/>
  <c r="V101" i="5"/>
  <c r="V33" i="5"/>
  <c r="V107" i="5"/>
  <c r="V100" i="5"/>
  <c r="V64" i="5"/>
  <c r="V32" i="5"/>
  <c r="V45" i="5"/>
  <c r="V16" i="5"/>
  <c r="V23" i="5"/>
  <c r="V14" i="5"/>
  <c r="V63" i="5"/>
  <c r="V22" i="5"/>
  <c r="V26" i="5"/>
  <c r="V24" i="5"/>
  <c r="V15" i="5"/>
  <c r="V99" i="5"/>
  <c r="V31" i="5"/>
  <c r="V28" i="5"/>
  <c r="V103" i="5"/>
  <c r="V102" i="5"/>
  <c r="V108" i="5"/>
  <c r="V105" i="5"/>
  <c r="V98" i="5"/>
  <c r="V111" i="5"/>
  <c r="V44" i="5"/>
  <c r="V66" i="5"/>
  <c r="V65" i="5"/>
  <c r="V62" i="5"/>
  <c r="V61" i="5"/>
  <c r="V46" i="5"/>
  <c r="V34" i="5"/>
  <c r="V29" i="5"/>
  <c r="Z49" i="1"/>
  <c r="Z56" i="1" s="1"/>
  <c r="Z77" i="1" s="1"/>
  <c r="F7" i="11"/>
  <c r="L111" i="5"/>
  <c r="V126" i="5"/>
  <c r="P85" i="5"/>
  <c r="F85" i="5"/>
  <c r="F127" i="5" s="1"/>
  <c r="R85" i="5"/>
  <c r="H85" i="5"/>
  <c r="R127" i="5" l="1"/>
  <c r="P127" i="5"/>
  <c r="H127" i="5"/>
  <c r="H7" i="11"/>
  <c r="J7" i="11"/>
  <c r="V12" i="5"/>
  <c r="T13" i="5"/>
  <c r="T18" i="5"/>
  <c r="T19" i="5"/>
  <c r="T20" i="5"/>
  <c r="T21" i="5"/>
  <c r="L12" i="5"/>
  <c r="L13" i="5"/>
  <c r="L18" i="5"/>
  <c r="L19" i="5"/>
  <c r="L20" i="5"/>
  <c r="L21" i="5"/>
  <c r="J15" i="2"/>
  <c r="L15" i="2"/>
  <c r="N15" i="2"/>
  <c r="P15" i="2"/>
  <c r="U9" i="13"/>
  <c r="T30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7" i="5"/>
  <c r="T68" i="5"/>
  <c r="T69" i="5"/>
  <c r="T70" i="5"/>
  <c r="V76" i="5"/>
  <c r="V87" i="5"/>
  <c r="V88" i="5"/>
  <c r="T89" i="5"/>
  <c r="T90" i="5"/>
  <c r="T91" i="5"/>
  <c r="T92" i="5"/>
  <c r="T93" i="5"/>
  <c r="T94" i="5"/>
  <c r="T95" i="5"/>
  <c r="T96" i="5"/>
  <c r="T97" i="5"/>
  <c r="T11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7" i="5"/>
  <c r="J68" i="5"/>
  <c r="J70" i="5"/>
  <c r="J76" i="5"/>
  <c r="J88" i="5"/>
  <c r="J89" i="5"/>
  <c r="J90" i="5"/>
  <c r="J91" i="5"/>
  <c r="J92" i="5"/>
  <c r="J93" i="5"/>
  <c r="J94" i="5"/>
  <c r="J95" i="5"/>
  <c r="J96" i="5"/>
  <c r="J97" i="5"/>
  <c r="V20" i="5" l="1"/>
  <c r="V56" i="5"/>
  <c r="V55" i="5"/>
  <c r="V11" i="5"/>
  <c r="T35" i="5"/>
  <c r="T43" i="5" s="1"/>
  <c r="V97" i="5"/>
  <c r="V52" i="5"/>
  <c r="V96" i="5"/>
  <c r="V69" i="5"/>
  <c r="V51" i="5"/>
  <c r="V95" i="5"/>
  <c r="V50" i="5"/>
  <c r="V49" i="5"/>
  <c r="V18" i="5"/>
  <c r="V13" i="5"/>
  <c r="V53" i="5"/>
  <c r="V89" i="5"/>
  <c r="V60" i="5"/>
  <c r="V47" i="5"/>
  <c r="V91" i="5"/>
  <c r="V58" i="5"/>
  <c r="V30" i="5"/>
  <c r="V21" i="5"/>
  <c r="V93" i="5"/>
  <c r="V90" i="5"/>
  <c r="V48" i="5"/>
  <c r="V59" i="5"/>
  <c r="V54" i="5"/>
  <c r="V70" i="5"/>
  <c r="V67" i="5"/>
  <c r="V57" i="5"/>
  <c r="V68" i="5"/>
  <c r="V19" i="5"/>
  <c r="C137" i="5"/>
  <c r="J77" i="5"/>
  <c r="R39" i="14"/>
  <c r="R44" i="14" s="1"/>
  <c r="R65" i="14" s="1"/>
  <c r="V94" i="5"/>
  <c r="J47" i="15"/>
  <c r="J52" i="15" s="1"/>
  <c r="J105" i="15" s="1"/>
  <c r="V92" i="5"/>
  <c r="O10" i="13"/>
  <c r="U10" i="13"/>
  <c r="L11" i="5"/>
  <c r="R15" i="2"/>
  <c r="L30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7" i="5"/>
  <c r="L68" i="5"/>
  <c r="L69" i="5"/>
  <c r="L70" i="5"/>
  <c r="L76" i="5"/>
  <c r="L88" i="5"/>
  <c r="L89" i="5"/>
  <c r="L90" i="5"/>
  <c r="L91" i="5"/>
  <c r="L92" i="5"/>
  <c r="L93" i="5"/>
  <c r="L94" i="5"/>
  <c r="L95" i="5"/>
  <c r="L96" i="5"/>
  <c r="L97" i="5"/>
  <c r="V35" i="5" l="1"/>
  <c r="V43" i="5" s="1"/>
  <c r="V77" i="5" s="1"/>
  <c r="T77" i="5"/>
  <c r="L35" i="5"/>
  <c r="L43" i="5" s="1"/>
  <c r="L77" i="5" s="1"/>
  <c r="J85" i="5"/>
  <c r="J127" i="5" s="1"/>
  <c r="B3" i="1"/>
  <c r="T85" i="5" l="1"/>
  <c r="V85" i="5"/>
  <c r="V127" i="5" s="1"/>
  <c r="R6" i="1"/>
  <c r="R53" i="1" s="1"/>
  <c r="T127" i="5" l="1"/>
  <c r="F6" i="11" s="1"/>
  <c r="H6" i="11" s="1"/>
  <c r="L85" i="5"/>
  <c r="L127" i="5" s="1"/>
  <c r="S10" i="6"/>
  <c r="J6" i="11" l="1"/>
  <c r="D6" i="1"/>
  <c r="D53" i="1" s="1"/>
  <c r="D5" i="8"/>
  <c r="K11" i="6" l="1"/>
  <c r="S11" i="6"/>
  <c r="F6" i="7"/>
  <c r="F5" i="8"/>
  <c r="B3" i="8"/>
  <c r="J6" i="7"/>
  <c r="B3" i="7"/>
  <c r="Q5" i="13"/>
  <c r="K5" i="13"/>
  <c r="B3" i="13"/>
  <c r="A3" i="6"/>
  <c r="M6" i="6"/>
  <c r="C6" i="6"/>
  <c r="L5" i="15"/>
  <c r="L50" i="15" s="1"/>
  <c r="D5" i="15"/>
  <c r="D50" i="15" s="1"/>
  <c r="B3" i="15"/>
  <c r="D5" i="14"/>
  <c r="D42" i="14" s="1"/>
  <c r="J5" i="12"/>
  <c r="B3" i="12"/>
  <c r="N7" i="5"/>
  <c r="N39" i="5" s="1"/>
  <c r="D7" i="5"/>
  <c r="D39" i="5" s="1"/>
  <c r="B3" i="5"/>
  <c r="L5" i="14"/>
  <c r="L42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D81" i="5" l="1"/>
  <c r="N81" i="5"/>
  <c r="G11" i="6"/>
  <c r="I11" i="6"/>
  <c r="O11" i="6"/>
  <c r="Q11" i="6"/>
  <c r="M11" i="6" l="1"/>
  <c r="C11" i="6"/>
  <c r="N9" i="9" l="1"/>
  <c r="L9" i="9"/>
  <c r="F9" i="9"/>
  <c r="D9" i="9"/>
  <c r="F8" i="11" l="1"/>
  <c r="H8" i="11" l="1"/>
  <c r="J8" i="11"/>
  <c r="F9" i="11"/>
  <c r="B1" i="5"/>
  <c r="L11" i="7" l="1"/>
  <c r="L9" i="7"/>
  <c r="L10" i="7"/>
  <c r="B1" i="3"/>
  <c r="A1" i="4" s="1"/>
  <c r="A1" i="10" s="1"/>
  <c r="B1" i="9"/>
  <c r="L12" i="7" l="1"/>
  <c r="H9" i="11"/>
  <c r="J9" i="11"/>
  <c r="B1" i="12"/>
  <c r="B1" i="13" s="1"/>
  <c r="B1" i="7" s="1"/>
  <c r="B1" i="8" l="1"/>
  <c r="B1" i="15"/>
  <c r="B1" i="14" l="1"/>
</calcChain>
</file>

<file path=xl/sharedStrings.xml><?xml version="1.0" encoding="utf-8"?>
<sst xmlns="http://schemas.openxmlformats.org/spreadsheetml/2006/main" count="849" uniqueCount="278">
  <si>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</si>
  <si>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</si>
  <si>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</si>
  <si>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</si>
  <si>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</si>
  <si>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</si>
  <si>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</si>
  <si>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</si>
  <si>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</si>
  <si>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</si>
  <si>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</si>
  <si>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</si>
  <si>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</si>
  <si>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</si>
  <si>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</si>
  <si>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</si>
  <si>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</si>
  <si>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</si>
  <si>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</si>
  <si>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</si>
  <si>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</si>
  <si>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</si>
  <si>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</si>
  <si>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</si>
  <si>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</si>
  <si>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</si>
  <si>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</si>
  <si>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</si>
  <si>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</si>
  <si>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</si>
  <si>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</si>
  <si>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</si>
  <si>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</si>
  <si>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</si>
  <si>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</si>
  <si>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</si>
  <si>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</si>
  <si>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</si>
  <si>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</si>
  <si>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</si>
  <si>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</si>
  <si>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</si>
  <si>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</si>
  <si>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</si>
  <si>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</si>
  <si>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</si>
  <si>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</si>
  <si>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</si>
  <si>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</si>
  <si>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</si>
  <si>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</si>
  <si>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</si>
  <si>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</si>
  <si>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</si>
  <si>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</si>
  <si>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</si>
  <si>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</si>
  <si>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</si>
  <si>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</si>
  <si>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</si>
  <si>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</si>
  <si>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</si>
  <si>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</si>
  <si>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</si>
  <si>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</si>
  <si>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</si>
  <si>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</si>
  <si>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</si>
  <si>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</si>
  <si>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</si>
  <si>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</si>
  <si>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</si>
  <si>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</si>
  <si>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</si>
  <si>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</si>
  <si>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</si>
  <si>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</si>
  <si>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</si>
  <si>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</si>
  <si>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</si>
  <si>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</si>
  <si>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</si>
  <si>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</si>
  <si>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</si>
  <si>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</si>
  <si>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</si>
  <si>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</si>
  <si>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</si>
  <si>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</si>
  <si>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</si>
  <si>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</si>
  <si>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</si>
  <si>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</si>
  <si>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</si>
  <si>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</si>
  <si>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</si>
  <si>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</si>
  <si>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</si>
  <si>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</si>
  <si>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</si>
  <si>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</si>
  <si>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</si>
  <si>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</si>
  <si>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</si>
  <si>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</si>
  <si>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فولاد  خوزستان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</si>
  <si>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</si>
  <si>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</si>
  <si>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</si>
  <si>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</si>
  <si>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</si>
  <si>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</si>
  <si>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</si>
  <si>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</si>
  <si>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</si>
  <si>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</si>
  <si>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</si>
  <si>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</si>
  <si>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</si>
  <si>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</si>
  <si>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</si>
  <si>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</si>
  <si>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</si>
  <si>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</si>
  <si>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</si>
  <si>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</si>
  <si>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</si>
  <si>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</si>
  <si>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</si>
  <si>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</si>
  <si>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</si>
  <si>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</si>
  <si>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</si>
  <si>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</si>
  <si>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</si>
  <si>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</si>
  <si>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</si>
  <si>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</si>
  <si>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</si>
  <si>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</si>
  <si>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</si>
  <si>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</si>
  <si>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گروه‌بهمن‌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</si>
  <si>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</si>
  <si>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</si>
  <si>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</si>
  <si>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</si>
  <si>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</si>
  <si>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</si>
  <si>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کویر تایر</t>
  </si>
  <si>
    <t>گروه مدیریت سرمایه گذاری امید</t>
  </si>
  <si>
    <t>تعدیل کارمزد کارگزار</t>
  </si>
  <si>
    <t>ح . معدنی و صنعتی گل گهر</t>
  </si>
  <si>
    <t>ح . معدنی‌وصنعتی‌چادرملو</t>
  </si>
  <si>
    <t>درصد از کل درآمدها</t>
  </si>
  <si>
    <t>2-2-درآمد حاصل از سرمایه گذاری در اوراق بهادار با درآمد ثابت:</t>
  </si>
  <si>
    <t>نورایستا پلاستیک</t>
  </si>
  <si>
    <t>بیمه اتکایی ایران معین</t>
  </si>
  <si>
    <t>تولیدی برنا باطری</t>
  </si>
  <si>
    <t>کانی کربن طبس</t>
  </si>
  <si>
    <t>فجر انرژی خلیج فارس</t>
  </si>
  <si>
    <t>توسعه نیشکر و  صنایع جانبی</t>
  </si>
  <si>
    <t>مدیریت نیروگاهی ایرانیان مپنا</t>
  </si>
  <si>
    <t>صنایع ارتباطی آوا</t>
  </si>
  <si>
    <t>فروشگاههای زنجیره ای افق کوروش</t>
  </si>
  <si>
    <t>ایمن خودرو شرق</t>
  </si>
  <si>
    <t>اخشان خراسان</t>
  </si>
  <si>
    <t>تولید انرژی برق شمس پاسارگاد</t>
  </si>
  <si>
    <t>معدنکاران نسوز</t>
  </si>
  <si>
    <t>س. صنایع‌شیمیایی‌ایران</t>
  </si>
  <si>
    <t>مهرمام میهن</t>
  </si>
  <si>
    <t>صنایع مس افق کرمان</t>
  </si>
  <si>
    <t>سیمان‌ شرق‌</t>
  </si>
  <si>
    <t>گسترش‌سرمایه‌گذاری‌ایران‌خودرو</t>
  </si>
  <si>
    <t>پتروشیمی مارون</t>
  </si>
  <si>
    <t>صنعتی مینو</t>
  </si>
  <si>
    <t>آلومینای ایران</t>
  </si>
  <si>
    <t>شهد ایران ‌</t>
  </si>
  <si>
    <t>بانک صادرات ایران</t>
  </si>
  <si>
    <t>اقتصادی و خودکفایی آزادگان</t>
  </si>
  <si>
    <t>سرمایه گذاری سبحان</t>
  </si>
  <si>
    <t>کشت و دام گلدشت نمونه اصفهان</t>
  </si>
  <si>
    <t>گروه س توسعه صنعتی ایران</t>
  </si>
  <si>
    <t>تولیدات پتروشیمی قائد بصیر</t>
  </si>
  <si>
    <t>شرکت قند بیستون</t>
  </si>
  <si>
    <t>سرمایه گذاری پایا تدبیرپارسا</t>
  </si>
  <si>
    <t>سیمان‌ تهران‌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</si>
  <si>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</si>
  <si>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</si>
  <si>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</si>
  <si>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</si>
  <si>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</si>
  <si>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</si>
  <si>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جنرال مکانیک</t>
  </si>
  <si>
    <t>ح .بیمه ایران - معین</t>
  </si>
  <si>
    <t>سرمایه‌گذاری‌نیرو</t>
  </si>
  <si>
    <t>شیر و گوشت زاگرس شهرکرد</t>
  </si>
  <si>
    <t>پویا</t>
  </si>
  <si>
    <t>توسعه سرمایه و صنعت غدیر</t>
  </si>
  <si>
    <t>سپرده کوتاه مدت بانک خاورمیانه مهستان</t>
  </si>
  <si>
    <t>سپرده کوتاه مدت بانک گردشگری سعادت آباد</t>
  </si>
  <si>
    <t>بانک خاورمیانه</t>
  </si>
  <si>
    <t>سرمایه گذاری جامی</t>
  </si>
  <si>
    <t>1404/02/30</t>
  </si>
  <si>
    <t>1404/03/25</t>
  </si>
  <si>
    <t>1404/03/06</t>
  </si>
  <si>
    <t>سود اوراق بهادار با درآمد ثابت و سپرده بانکی</t>
  </si>
  <si>
    <t>1404/04/31</t>
  </si>
  <si>
    <t>1404/04/22</t>
  </si>
  <si>
    <t>1404/04/29</t>
  </si>
  <si>
    <t>1404/04/28</t>
  </si>
  <si>
    <t>1404/04/30</t>
  </si>
  <si>
    <t>1404/04/23</t>
  </si>
  <si>
    <t>1404/04/18</t>
  </si>
  <si>
    <t>1404/04/25</t>
  </si>
  <si>
    <t>1404/04/21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</si>
  <si>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</si>
  <si>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</si>
  <si>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</si>
  <si>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</si>
  <si>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</si>
  <si>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</si>
  <si>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</si>
  <si>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</si>
  <si>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1404/05/12</t>
  </si>
  <si>
    <t>1404/05/11</t>
  </si>
  <si>
    <t>1404/05/13</t>
  </si>
  <si>
    <t>1404/05/08</t>
  </si>
  <si>
    <t>1404/05/07</t>
  </si>
  <si>
    <t>1404/05/09</t>
  </si>
  <si>
    <t>1404/06/31</t>
  </si>
  <si>
    <t>برای ماه منتهی به 1404/06/31</t>
  </si>
  <si>
    <t>سیمان باقران</t>
  </si>
  <si>
    <t>گواهی سپرده کالایی شمش طلا غیرفعال</t>
  </si>
  <si>
    <t>1404/06/23</t>
  </si>
  <si>
    <t>1404/06/26</t>
  </si>
  <si>
    <t>1404/06/17</t>
  </si>
  <si>
    <t>کشتیرانی دریای خزر</t>
  </si>
  <si>
    <t>سرمایه‌ گذاری‌ آتیه‌ دماوند</t>
  </si>
  <si>
    <t>سرمایه گذاری توسعه گوهران امید</t>
  </si>
  <si>
    <t>ایران‌ ترانسفو</t>
  </si>
  <si>
    <t>تایدواترخاورمیانه</t>
  </si>
  <si>
    <t>گروه مالی صبا تامین</t>
  </si>
  <si>
    <t>1404/07/30</t>
  </si>
  <si>
    <t>برای ماه منتهی به 1404/07/30</t>
  </si>
  <si>
    <t>از ابتدای سال مالی تا پایان مهر ماه</t>
  </si>
  <si>
    <t>1404/07/20</t>
  </si>
  <si>
    <t>1404/07/15</t>
  </si>
  <si>
    <t>1404/07/08</t>
  </si>
  <si>
    <t>طی مهر  ماه</t>
  </si>
  <si>
    <t>1404/08/30</t>
  </si>
  <si>
    <t>ح.کشت و دام گلدشت نمونه اصفهان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</si>
  <si>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</si>
  <si>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</si>
  <si>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</si>
  <si>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شمش طلا GoldBar</t>
  </si>
  <si>
    <t>1404/08/18</t>
  </si>
  <si>
    <t>1404/08/01</t>
  </si>
  <si>
    <t>1404/09/30</t>
  </si>
  <si>
    <t>برای ماه منتهی به 1404/09/30</t>
  </si>
  <si>
    <t>طی آذر ماه</t>
  </si>
  <si>
    <t>از ابتدای سال مالی تا پایان آذر ماه</t>
  </si>
  <si>
    <t>ایران خودرو دیزل</t>
  </si>
  <si>
    <t>توسعه خدمات دریایی وبندری سینا</t>
  </si>
  <si>
    <t>کیمیا کالای رازی</t>
  </si>
  <si>
    <t>گروه مالی نماد غدیر(سهامی عام)</t>
  </si>
  <si>
    <t>نیان باتری خاوران</t>
  </si>
  <si>
    <t>ح.گروه مدیریت سرمایه گذار امید</t>
  </si>
  <si>
    <t>تولیدی کوچین</t>
  </si>
  <si>
    <t>سپرده کوتاه مدت بانک خاورمیانه</t>
  </si>
  <si>
    <t xml:space="preserve">حساب جاری بانک خاورمیانه </t>
  </si>
  <si>
    <t xml:space="preserve">سپرده کوتاه مدت بانک گردشگری  </t>
  </si>
  <si>
    <t xml:space="preserve">سپرده کوتاه مدت بانک صادرات  </t>
  </si>
  <si>
    <t xml:space="preserve">سپرده کوتاه مدت بانک تجارت </t>
  </si>
  <si>
    <t xml:space="preserve">سپرده جاری بانک گردشگری  </t>
  </si>
  <si>
    <t>1404/09/19</t>
  </si>
  <si>
    <t>1404/09/17</t>
  </si>
  <si>
    <t>1404/09/22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</si>
</sst>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</numFmts>
  <fonts count="5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4"/>
      <color rgb="FFFF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4"/>
      <color rgb="FFC00000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b/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2"/>
      <color rgb="FF000000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6"/>
      <color theme="1" tint="0.249977111117893"/>
      <name val="B Nazanin"/>
      <charset val="178"/>
    </font>
    <font>
      <b/>
      <sz val="18"/>
      <color theme="2" tint="-0.249977111117893"/>
      <name val="B Nazanin"/>
      <charset val="178"/>
    </font>
    <font>
      <b/>
      <sz val="14"/>
      <color theme="2" tint="-0.249977111117893"/>
      <name val="B Nazanin"/>
      <charset val="178"/>
    </font>
    <font>
      <sz val="16"/>
      <color theme="2" tint="-0.249977111117893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406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6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68" fontId="9" fillId="0" borderId="0" xfId="3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31" fillId="0" borderId="0" xfId="1" applyNumberFormat="1" applyFont="1" applyFill="1"/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6" fillId="0" borderId="0" xfId="1" applyNumberFormat="1" applyFont="1" applyFill="1" applyBorder="1" applyAlignment="1">
      <alignment vertical="center" readingOrder="2"/>
    </xf>
    <xf numFmtId="165" fontId="36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9" fontId="10" fillId="0" borderId="0" xfId="2" applyFont="1" applyFill="1" applyAlignment="1">
      <alignment horizontal="center" vertical="center" wrapText="1" readingOrder="2"/>
    </xf>
    <xf numFmtId="9" fontId="10" fillId="0" borderId="2" xfId="2" applyFont="1" applyFill="1" applyBorder="1" applyAlignment="1">
      <alignment horizontal="center" vertical="center" wrapText="1" readingOrder="2"/>
    </xf>
    <xf numFmtId="165" fontId="36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 vertical="center" readingOrder="2"/>
    </xf>
    <xf numFmtId="0" fontId="35" fillId="0" borderId="0" xfId="0" applyFont="1" applyAlignment="1">
      <alignment horizontal="right" vertical="center" wrapText="1" readingOrder="2"/>
    </xf>
    <xf numFmtId="0" fontId="35" fillId="0" borderId="0" xfId="0" applyFont="1" applyAlignment="1">
      <alignment horizontal="center" vertical="center" wrapText="1" readingOrder="2"/>
    </xf>
    <xf numFmtId="0" fontId="36" fillId="0" borderId="0" xfId="0" applyFont="1" applyAlignment="1">
      <alignment horizontal="center" vertical="center"/>
    </xf>
    <xf numFmtId="0" fontId="36" fillId="0" borderId="12" xfId="0" applyFont="1" applyBorder="1" applyAlignment="1">
      <alignment horizontal="center" vertical="center" wrapText="1" readingOrder="2"/>
    </xf>
    <xf numFmtId="0" fontId="36" fillId="0" borderId="12" xfId="0" applyFont="1" applyBorder="1" applyAlignment="1">
      <alignment horizontal="center" vertical="center" readingOrder="2"/>
    </xf>
    <xf numFmtId="0" fontId="36" fillId="0" borderId="1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 readingOrder="2"/>
    </xf>
    <xf numFmtId="0" fontId="36" fillId="0" borderId="8" xfId="0" applyFont="1" applyBorder="1" applyAlignment="1">
      <alignment horizontal="center" vertical="center" readingOrder="2"/>
    </xf>
    <xf numFmtId="0" fontId="36" fillId="0" borderId="8" xfId="0" applyFont="1" applyBorder="1" applyAlignment="1">
      <alignment horizontal="center" vertical="center" wrapText="1" readingOrder="2"/>
    </xf>
    <xf numFmtId="0" fontId="36" fillId="0" borderId="8" xfId="0" applyFont="1" applyBorder="1" applyAlignment="1">
      <alignment horizontal="center" vertical="center"/>
    </xf>
    <xf numFmtId="0" fontId="38" fillId="0" borderId="0" xfId="0" applyFont="1" applyAlignment="1">
      <alignment horizontal="right" vertical="center"/>
    </xf>
    <xf numFmtId="172" fontId="36" fillId="0" borderId="0" xfId="0" applyNumberFormat="1" applyFont="1" applyAlignment="1">
      <alignment horizontal="center" vertical="center" readingOrder="2"/>
    </xf>
    <xf numFmtId="0" fontId="36" fillId="0" borderId="0" xfId="0" applyFont="1" applyAlignment="1">
      <alignment horizontal="center" vertical="center" readingOrder="2"/>
    </xf>
    <xf numFmtId="10" fontId="36" fillId="0" borderId="0" xfId="0" applyNumberFormat="1" applyFont="1" applyAlignment="1">
      <alignment horizontal="center" vertical="center" wrapText="1" readingOrder="2"/>
    </xf>
    <xf numFmtId="3" fontId="36" fillId="0" borderId="0" xfId="0" applyNumberFormat="1" applyFont="1" applyAlignment="1">
      <alignment horizontal="center"/>
    </xf>
    <xf numFmtId="4" fontId="36" fillId="0" borderId="0" xfId="0" applyNumberFormat="1" applyFont="1" applyAlignment="1">
      <alignment horizontal="center"/>
    </xf>
    <xf numFmtId="172" fontId="36" fillId="0" borderId="0" xfId="0" applyNumberFormat="1" applyFont="1" applyAlignment="1">
      <alignment horizontal="center" vertical="center" wrapText="1" readingOrder="2"/>
    </xf>
    <xf numFmtId="10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/>
    </xf>
    <xf numFmtId="165" fontId="36" fillId="0" borderId="0" xfId="0" applyNumberFormat="1" applyFont="1" applyAlignment="1">
      <alignment horizontal="center"/>
    </xf>
    <xf numFmtId="43" fontId="36" fillId="0" borderId="0" xfId="0" applyNumberFormat="1" applyFont="1" applyAlignment="1">
      <alignment horizontal="center"/>
    </xf>
    <xf numFmtId="9" fontId="36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68" fontId="9" fillId="0" borderId="15" xfId="0" applyNumberFormat="1" applyFont="1" applyBorder="1" applyAlignment="1">
      <alignment horizontal="center" vertical="center" readingOrder="2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40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3" fontId="42" fillId="0" borderId="0" xfId="0" applyNumberFormat="1" applyFont="1"/>
    <xf numFmtId="3" fontId="41" fillId="0" borderId="0" xfId="0" applyNumberFormat="1" applyFont="1"/>
    <xf numFmtId="0" fontId="33" fillId="3" borderId="14" xfId="0" applyFont="1" applyFill="1" applyBorder="1" applyAlignment="1">
      <alignment horizontal="left" vertical="center" wrapText="1" shrinkToFit="1" readingOrder="2"/>
    </xf>
    <xf numFmtId="49" fontId="33" fillId="3" borderId="14" xfId="0" applyNumberFormat="1" applyFont="1" applyFill="1" applyBorder="1" applyAlignment="1">
      <alignment horizontal="right" vertical="center" wrapText="1" shrinkToFit="1" readingOrder="2"/>
    </xf>
    <xf numFmtId="0" fontId="33" fillId="3" borderId="14" xfId="0" applyFont="1" applyFill="1" applyBorder="1" applyAlignment="1">
      <alignment horizontal="right" vertical="center" wrapText="1" shrinkToFit="1" readingOrder="2"/>
    </xf>
    <xf numFmtId="3" fontId="33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41" fillId="0" borderId="0" xfId="1" applyNumberFormat="1" applyFont="1" applyFill="1"/>
    <xf numFmtId="172" fontId="30" fillId="4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172" fontId="3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3" fillId="0" borderId="0" xfId="0" applyFont="1" applyAlignment="1">
      <alignment horizontal="center"/>
    </xf>
    <xf numFmtId="3" fontId="43" fillId="0" borderId="0" xfId="0" applyNumberFormat="1" applyFont="1" applyAlignment="1">
      <alignment horizont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172" fontId="45" fillId="0" borderId="0" xfId="0" applyNumberFormat="1" applyFont="1" applyAlignment="1">
      <alignment horizontal="center" vertical="center" readingOrder="2"/>
    </xf>
    <xf numFmtId="165" fontId="45" fillId="0" borderId="0" xfId="0" applyNumberFormat="1" applyFont="1" applyAlignment="1">
      <alignment horizontal="center" vertical="center"/>
    </xf>
    <xf numFmtId="165" fontId="45" fillId="0" borderId="0" xfId="1" applyNumberFormat="1" applyFont="1" applyFill="1" applyAlignment="1">
      <alignment horizontal="center" vertical="center"/>
    </xf>
    <xf numFmtId="0" fontId="41" fillId="0" borderId="0" xfId="0" applyFont="1"/>
    <xf numFmtId="165" fontId="41" fillId="0" borderId="0" xfId="0" applyNumberFormat="1" applyFont="1"/>
    <xf numFmtId="168" fontId="41" fillId="0" borderId="0" xfId="0" applyNumberFormat="1" applyFont="1"/>
    <xf numFmtId="3" fontId="40" fillId="0" borderId="0" xfId="0" applyNumberFormat="1" applyFont="1"/>
    <xf numFmtId="168" fontId="40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7" fillId="0" borderId="0" xfId="0" applyNumberFormat="1" applyFont="1"/>
    <xf numFmtId="168" fontId="9" fillId="0" borderId="0" xfId="0" applyNumberFormat="1" applyFont="1"/>
    <xf numFmtId="172" fontId="40" fillId="0" borderId="0" xfId="0" applyNumberFormat="1" applyFont="1" applyAlignment="1">
      <alignment horizontal="center" vertical="center" readingOrder="2"/>
    </xf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4" fillId="0" borderId="0" xfId="0" applyNumberFormat="1" applyFont="1" applyAlignment="1">
      <alignment horizontal="center"/>
    </xf>
    <xf numFmtId="10" fontId="36" fillId="0" borderId="0" xfId="2" applyNumberFormat="1" applyFont="1" applyFill="1" applyBorder="1" applyAlignment="1">
      <alignment horizontal="center" vertical="center" wrapText="1" readingOrder="2"/>
    </xf>
    <xf numFmtId="3" fontId="8" fillId="0" borderId="0" xfId="0" applyNumberFormat="1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166" fontId="41" fillId="0" borderId="0" xfId="0" applyNumberFormat="1" applyFont="1" applyAlignment="1">
      <alignment horizontal="center" vertical="center"/>
    </xf>
    <xf numFmtId="165" fontId="35" fillId="0" borderId="0" xfId="0" applyNumberFormat="1" applyFont="1" applyAlignment="1">
      <alignment horizontal="center"/>
    </xf>
    <xf numFmtId="165" fontId="35" fillId="2" borderId="0" xfId="1" applyNumberFormat="1" applyFont="1" applyFill="1" applyAlignment="1">
      <alignment horizontal="center"/>
    </xf>
    <xf numFmtId="3" fontId="3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8" fillId="0" borderId="0" xfId="0" applyFont="1"/>
    <xf numFmtId="3" fontId="48" fillId="0" borderId="0" xfId="0" applyNumberFormat="1" applyFont="1"/>
    <xf numFmtId="164" fontId="41" fillId="0" borderId="0" xfId="1" applyFont="1" applyFill="1"/>
    <xf numFmtId="164" fontId="41" fillId="0" borderId="0" xfId="1" applyFont="1"/>
    <xf numFmtId="9" fontId="36" fillId="0" borderId="6" xfId="2" applyFont="1" applyFill="1" applyBorder="1" applyAlignment="1">
      <alignment horizontal="center" vertical="center" wrapText="1" readingOrder="2"/>
    </xf>
    <xf numFmtId="9" fontId="36" fillId="0" borderId="0" xfId="2" applyFont="1" applyAlignment="1">
      <alignment horizontal="center" vertical="center" readingOrder="2"/>
    </xf>
    <xf numFmtId="0" fontId="49" fillId="0" borderId="0" xfId="0" applyFont="1"/>
    <xf numFmtId="0" fontId="50" fillId="0" borderId="0" xfId="0" applyFont="1" applyAlignment="1">
      <alignment vertical="center" readingOrder="2"/>
    </xf>
    <xf numFmtId="165" fontId="41" fillId="2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165" fontId="41" fillId="6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horizontal="center" vertical="center"/>
    </xf>
    <xf numFmtId="172" fontId="40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5" fillId="0" borderId="0" xfId="0" applyNumberFormat="1" applyFont="1" applyAlignment="1">
      <alignment horizontal="center"/>
    </xf>
    <xf numFmtId="3" fontId="36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6" fillId="0" borderId="0" xfId="1" applyNumberFormat="1" applyFont="1" applyFill="1" applyAlignment="1">
      <alignment horizontal="center"/>
    </xf>
    <xf numFmtId="3" fontId="52" fillId="0" borderId="0" xfId="0" applyNumberFormat="1" applyFont="1" applyAlignment="1">
      <alignment horizontal="center" wrapText="1"/>
    </xf>
    <xf numFmtId="3" fontId="53" fillId="7" borderId="0" xfId="0" applyNumberFormat="1" applyFont="1" applyFill="1"/>
    <xf numFmtId="165" fontId="54" fillId="5" borderId="0" xfId="1" applyNumberFormat="1" applyFont="1" applyFill="1" applyAlignment="1">
      <alignment horizontal="center" vertical="center"/>
    </xf>
    <xf numFmtId="165" fontId="54" fillId="0" borderId="0" xfId="1" applyNumberFormat="1" applyFont="1" applyFill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6" fillId="0" borderId="12" xfId="0" applyFont="1" applyBorder="1" applyAlignment="1">
      <alignment horizontal="center" vertical="center" wrapText="1" readingOrder="2"/>
    </xf>
    <xf numFmtId="0" fontId="36" fillId="0" borderId="8" xfId="0" applyFont="1" applyBorder="1" applyAlignment="1">
      <alignment horizontal="center" vertical="center" wrapText="1" readingOrder="2"/>
    </xf>
    <xf numFmtId="0" fontId="36" fillId="0" borderId="13" xfId="0" applyFont="1" applyBorder="1" applyAlignment="1">
      <alignment horizontal="center" vertical="center" wrapText="1" readingOrder="2"/>
    </xf>
    <xf numFmtId="0" fontId="36" fillId="0" borderId="10" xfId="0" applyFont="1" applyBorder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6" fillId="0" borderId="11" xfId="0" applyFont="1" applyBorder="1" applyAlignment="1">
      <alignment horizontal="center" vertical="center" wrapText="1" readingOrder="2"/>
    </xf>
    <xf numFmtId="0" fontId="36" fillId="0" borderId="9" xfId="0" applyFont="1" applyBorder="1" applyAlignment="1">
      <alignment horizontal="center" vertical="center" wrapText="1" readingOrder="2"/>
    </xf>
    <xf numFmtId="0" fontId="36" fillId="0" borderId="12" xfId="0" applyFont="1" applyBorder="1" applyAlignment="1">
      <alignment horizontal="center" vertical="center"/>
    </xf>
    <xf numFmtId="165" fontId="36" fillId="0" borderId="12" xfId="1" applyNumberFormat="1" applyFont="1" applyFill="1" applyBorder="1" applyAlignment="1">
      <alignment horizontal="center" vertical="center" readingOrder="2"/>
    </xf>
    <xf numFmtId="165" fontId="36" fillId="0" borderId="8" xfId="1" applyNumberFormat="1" applyFont="1" applyFill="1" applyBorder="1" applyAlignment="1">
      <alignment horizontal="center" vertical="center" readingOrder="2"/>
    </xf>
    <xf numFmtId="0" fontId="36" fillId="0" borderId="12" xfId="0" applyFont="1" applyBorder="1" applyAlignment="1">
      <alignment horizontal="center" vertical="center" readingOrder="2"/>
    </xf>
    <xf numFmtId="0" fontId="36" fillId="0" borderId="8" xfId="0" applyFont="1" applyBorder="1" applyAlignment="1">
      <alignment horizontal="center" vertical="center" readingOrder="2"/>
    </xf>
    <xf numFmtId="0" fontId="37" fillId="0" borderId="0" xfId="0" applyFont="1" applyAlignment="1">
      <alignment horizontal="right" vertical="center" readingOrder="2"/>
    </xf>
    <xf numFmtId="0" fontId="36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 wrapText="1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3" xfId="0" applyFont="1" applyBorder="1" applyAlignment="1">
      <alignment horizontal="center" vertical="center" wrapText="1"/>
    </xf>
    <xf numFmtId="0" fontId="46" fillId="0" borderId="0" xfId="0" applyFont="1" applyAlignment="1">
      <alignment horizontal="right" vertical="top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 readingOrder="2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AH130"/>
  <sheetViews>
    <sheetView rightToLeft="1" tabSelected="1" view="pageBreakPreview" zoomScale="60" zoomScaleNormal="40" zoomScalePageLayoutView="10" workbookViewId="0">
      <selection activeCell="R80" sqref="R80"/>
    </sheetView>
  </sheetViews>
  <sheetFormatPr defaultColWidth="9.140625" defaultRowHeight="27.75" x14ac:dyDescent="0.65"/>
  <cols>
    <col min="1" max="1" width="3.7109375" style="138" customWidth="1"/>
    <col min="2" max="2" width="39.140625" style="158" customWidth="1"/>
    <col min="3" max="3" width="0.7109375" style="138" customWidth="1"/>
    <col min="4" max="4" width="21.5703125" style="138" bestFit="1" customWidth="1"/>
    <col min="5" max="5" width="0.7109375" style="138" customWidth="1"/>
    <col min="6" max="6" width="28" style="127" customWidth="1"/>
    <col min="7" max="7" width="0.85546875" style="138" customWidth="1"/>
    <col min="8" max="8" width="27.140625" style="138" customWidth="1"/>
    <col min="9" max="9" width="30.140625" style="138" hidden="1" customWidth="1"/>
    <col min="10" max="10" width="19.28515625" style="138" bestFit="1" customWidth="1"/>
    <col min="11" max="11" width="1" style="138" customWidth="1"/>
    <col min="12" max="12" width="27.28515625" style="138" bestFit="1" customWidth="1"/>
    <col min="13" max="13" width="1.28515625" style="138" customWidth="1"/>
    <col min="14" max="14" width="20.42578125" style="138" bestFit="1" customWidth="1"/>
    <col min="15" max="15" width="1" style="138" customWidth="1"/>
    <col min="16" max="16" width="27.42578125" style="138" bestFit="1" customWidth="1"/>
    <col min="17" max="17" width="0.7109375" style="138" customWidth="1"/>
    <col min="18" max="18" width="22.7109375" style="127" bestFit="1" customWidth="1"/>
    <col min="19" max="19" width="1" style="138" customWidth="1"/>
    <col min="20" max="20" width="18.140625" style="138" customWidth="1"/>
    <col min="21" max="21" width="1.5703125" style="138" customWidth="1"/>
    <col min="22" max="22" width="27.5703125" style="127" bestFit="1" customWidth="1"/>
    <col min="23" max="23" width="1.42578125" style="138" customWidth="1"/>
    <col min="24" max="24" width="29.7109375" style="138" bestFit="1" customWidth="1"/>
    <col min="25" max="25" width="1.28515625" style="138" customWidth="1"/>
    <col min="26" max="26" width="28.42578125" style="138" bestFit="1" customWidth="1"/>
    <col min="27" max="27" width="7.28515625" style="138" customWidth="1"/>
    <col min="28" max="28" width="9.140625" style="138"/>
    <col min="29" max="29" width="39.42578125" style="138" bestFit="1" customWidth="1"/>
    <col min="30" max="30" width="12.140625" style="138" bestFit="1" customWidth="1"/>
    <col min="31" max="32" width="30" style="138" bestFit="1" customWidth="1"/>
    <col min="33" max="33" width="12.28515625" style="138" bestFit="1" customWidth="1"/>
    <col min="34" max="16384" width="9.140625" style="138"/>
  </cols>
  <sheetData>
    <row r="1" spans="2:34" ht="30" x14ac:dyDescent="0.75">
      <c r="B1" s="324" t="s">
        <v>103</v>
      </c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  <c r="AA1" s="137"/>
    </row>
    <row r="2" spans="2:34" ht="30" x14ac:dyDescent="0.75">
      <c r="B2" s="324" t="s">
        <v>81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137"/>
      <c r="AC2" s="266"/>
    </row>
    <row r="3" spans="2:34" ht="30" x14ac:dyDescent="0.75">
      <c r="B3" s="324" t="str">
        <f>AC6</f>
        <v>برای ماه منتهی به 1404/09/30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  <c r="AA3" s="137"/>
      <c r="AC3" s="266"/>
    </row>
    <row r="4" spans="2:34" ht="36.75" customHeight="1" x14ac:dyDescent="0.65">
      <c r="B4" s="332" t="s">
        <v>37</v>
      </c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139"/>
      <c r="AC4" s="266" t="s">
        <v>250</v>
      </c>
    </row>
    <row r="5" spans="2:34" ht="30" x14ac:dyDescent="0.65">
      <c r="B5" s="332" t="s">
        <v>38</v>
      </c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139"/>
      <c r="AC5" s="266" t="s">
        <v>258</v>
      </c>
    </row>
    <row r="6" spans="2:34" ht="30" x14ac:dyDescent="0.65">
      <c r="B6" s="140"/>
      <c r="C6" s="141"/>
      <c r="D6" s="319" t="str">
        <f>AC4</f>
        <v>1404/08/30</v>
      </c>
      <c r="E6" s="319"/>
      <c r="F6" s="319"/>
      <c r="G6" s="319"/>
      <c r="H6" s="319"/>
      <c r="I6" s="141"/>
      <c r="J6" s="333" t="s">
        <v>16</v>
      </c>
      <c r="K6" s="333"/>
      <c r="L6" s="333"/>
      <c r="M6" s="333"/>
      <c r="N6" s="333"/>
      <c r="O6" s="333"/>
      <c r="P6" s="333"/>
      <c r="Q6" s="142"/>
      <c r="R6" s="319" t="str">
        <f>AC5</f>
        <v>1404/09/30</v>
      </c>
      <c r="S6" s="319"/>
      <c r="T6" s="319"/>
      <c r="U6" s="319"/>
      <c r="V6" s="319"/>
      <c r="W6" s="319"/>
      <c r="X6" s="319"/>
      <c r="Y6" s="319"/>
      <c r="Z6" s="319"/>
      <c r="AA6" s="141"/>
      <c r="AC6" s="266" t="s">
        <v>259</v>
      </c>
    </row>
    <row r="7" spans="2:34" x14ac:dyDescent="0.65">
      <c r="B7" s="325" t="s">
        <v>5</v>
      </c>
      <c r="C7" s="143"/>
      <c r="D7" s="330" t="s">
        <v>8</v>
      </c>
      <c r="E7" s="320"/>
      <c r="F7" s="328" t="s">
        <v>3</v>
      </c>
      <c r="G7" s="320"/>
      <c r="H7" s="320" t="s">
        <v>32</v>
      </c>
      <c r="I7" s="144"/>
      <c r="J7" s="327" t="s">
        <v>9</v>
      </c>
      <c r="K7" s="327"/>
      <c r="L7" s="327"/>
      <c r="M7" s="145"/>
      <c r="N7" s="327" t="s">
        <v>10</v>
      </c>
      <c r="O7" s="327"/>
      <c r="P7" s="327"/>
      <c r="Q7" s="145"/>
      <c r="R7" s="328" t="s">
        <v>8</v>
      </c>
      <c r="S7" s="320"/>
      <c r="T7" s="320" t="s">
        <v>42</v>
      </c>
      <c r="U7" s="143"/>
      <c r="V7" s="328" t="s">
        <v>3</v>
      </c>
      <c r="W7" s="320"/>
      <c r="X7" s="320" t="s">
        <v>32</v>
      </c>
      <c r="Y7" s="144"/>
      <c r="Z7" s="322" t="s">
        <v>35</v>
      </c>
      <c r="AA7" s="146"/>
      <c r="AC7" s="266" t="s">
        <v>260</v>
      </c>
    </row>
    <row r="8" spans="2:34" x14ac:dyDescent="0.65">
      <c r="B8" s="326"/>
      <c r="C8" s="146"/>
      <c r="D8" s="331"/>
      <c r="E8" s="321"/>
      <c r="F8" s="329"/>
      <c r="G8" s="321"/>
      <c r="H8" s="321"/>
      <c r="I8" s="147"/>
      <c r="J8" s="149" t="s">
        <v>8</v>
      </c>
      <c r="K8" s="149"/>
      <c r="L8" s="149" t="s">
        <v>3</v>
      </c>
      <c r="M8" s="149"/>
      <c r="N8" s="149" t="s">
        <v>8</v>
      </c>
      <c r="O8" s="149"/>
      <c r="P8" s="149" t="s">
        <v>80</v>
      </c>
      <c r="Q8" s="149"/>
      <c r="R8" s="329"/>
      <c r="S8" s="321"/>
      <c r="T8" s="321"/>
      <c r="U8" s="148"/>
      <c r="V8" s="329"/>
      <c r="W8" s="321"/>
      <c r="X8" s="321"/>
      <c r="Y8" s="147"/>
      <c r="Z8" s="323"/>
      <c r="AA8" s="146"/>
      <c r="AC8" s="266" t="s">
        <v>261</v>
      </c>
    </row>
    <row r="9" spans="2:34" ht="41.25" customHeight="1" x14ac:dyDescent="0.65">
      <c r="B9" s="150" t="s">
        <v>110</v>
      </c>
      <c r="C9" s="146"/>
      <c r="D9" s="151">
        <v>120000000</v>
      </c>
      <c r="E9" s="104"/>
      <c r="F9" s="151">
        <v>59836542611</v>
      </c>
      <c r="G9" s="104"/>
      <c r="H9" s="151">
        <v>63822806400</v>
      </c>
      <c r="I9" s="104">
        <v>124544524500</v>
      </c>
      <c r="J9" s="104">
        <v>0</v>
      </c>
      <c r="K9" s="126"/>
      <c r="L9" s="104">
        <v>0</v>
      </c>
      <c r="M9" s="104"/>
      <c r="N9" s="151">
        <v>0</v>
      </c>
      <c r="O9" s="151"/>
      <c r="P9" s="151">
        <v>0</v>
      </c>
      <c r="Q9" s="151"/>
      <c r="R9" s="151">
        <v>120000000</v>
      </c>
      <c r="S9" s="151"/>
      <c r="T9" s="151">
        <v>622</v>
      </c>
      <c r="U9" s="151"/>
      <c r="V9" s="151">
        <v>59836542611</v>
      </c>
      <c r="W9" s="151"/>
      <c r="X9" s="151">
        <v>74063032800</v>
      </c>
      <c r="Y9" s="152"/>
      <c r="Z9" s="153">
        <f t="shared" ref="Z9:Z48" si="0">X9/$Z$84</f>
        <v>7.2283203827358611E-3</v>
      </c>
      <c r="AA9" s="146"/>
      <c r="AC9" s="267"/>
      <c r="AE9" s="155"/>
      <c r="AF9" s="154"/>
      <c r="AH9" s="154"/>
    </row>
    <row r="10" spans="2:34" ht="41.25" customHeight="1" x14ac:dyDescent="0.65">
      <c r="B10" s="150" t="s">
        <v>111</v>
      </c>
      <c r="C10" s="146"/>
      <c r="D10" s="151">
        <v>1000</v>
      </c>
      <c r="E10" s="151"/>
      <c r="F10" s="151">
        <v>1915216</v>
      </c>
      <c r="G10" s="151"/>
      <c r="H10" s="151">
        <v>4718243.8499999996</v>
      </c>
      <c r="I10" s="151">
        <v>91104682500</v>
      </c>
      <c r="J10" s="151">
        <v>0</v>
      </c>
      <c r="K10" s="151"/>
      <c r="L10" s="151">
        <v>0</v>
      </c>
      <c r="M10" s="151"/>
      <c r="N10" s="151">
        <v>0</v>
      </c>
      <c r="O10" s="151"/>
      <c r="P10" s="151">
        <v>0</v>
      </c>
      <c r="Q10" s="151"/>
      <c r="R10" s="151">
        <v>1000</v>
      </c>
      <c r="S10" s="151"/>
      <c r="T10" s="156">
        <v>5500</v>
      </c>
      <c r="U10" s="151"/>
      <c r="V10" s="151">
        <v>1915216</v>
      </c>
      <c r="W10" s="151"/>
      <c r="X10" s="151">
        <v>5457485</v>
      </c>
      <c r="Y10" s="152"/>
      <c r="Z10" s="153">
        <f t="shared" si="0"/>
        <v>5.3263346871713881E-7</v>
      </c>
      <c r="AA10" s="146"/>
      <c r="AC10" s="266"/>
      <c r="AE10" s="154"/>
      <c r="AF10" s="154"/>
      <c r="AH10" s="154"/>
    </row>
    <row r="11" spans="2:34" ht="41.25" customHeight="1" x14ac:dyDescent="0.65">
      <c r="B11" s="150" t="s">
        <v>145</v>
      </c>
      <c r="C11" s="146"/>
      <c r="D11" s="151">
        <v>68000000</v>
      </c>
      <c r="E11" s="151"/>
      <c r="F11" s="151">
        <v>32036253806</v>
      </c>
      <c r="G11" s="151"/>
      <c r="H11" s="151">
        <v>31645474840</v>
      </c>
      <c r="I11" s="151">
        <v>6045066562.5</v>
      </c>
      <c r="J11" s="151">
        <v>400000</v>
      </c>
      <c r="K11" s="151"/>
      <c r="L11" s="151">
        <v>187591990</v>
      </c>
      <c r="M11" s="151"/>
      <c r="N11" s="151">
        <v>-400000</v>
      </c>
      <c r="O11" s="151"/>
      <c r="P11" s="151">
        <v>214453448</v>
      </c>
      <c r="Q11" s="151"/>
      <c r="R11" s="151">
        <v>68000000</v>
      </c>
      <c r="S11" s="151"/>
      <c r="T11" s="151">
        <v>590</v>
      </c>
      <c r="U11" s="151"/>
      <c r="V11" s="151">
        <v>32035402253</v>
      </c>
      <c r="W11" s="151"/>
      <c r="X11" s="151">
        <v>39809872400</v>
      </c>
      <c r="Y11" s="152"/>
      <c r="Z11" s="153">
        <f t="shared" si="0"/>
        <v>3.8853190481693829E-3</v>
      </c>
      <c r="AA11" s="146"/>
      <c r="AE11" s="154"/>
      <c r="AF11" s="154"/>
      <c r="AH11" s="154"/>
    </row>
    <row r="12" spans="2:34" ht="41.25" customHeight="1" x14ac:dyDescent="0.65">
      <c r="B12" s="150" t="s">
        <v>201</v>
      </c>
      <c r="C12" s="146"/>
      <c r="D12" s="151">
        <v>14000000</v>
      </c>
      <c r="E12" s="151"/>
      <c r="F12" s="151">
        <v>34648837757</v>
      </c>
      <c r="G12" s="151"/>
      <c r="H12" s="151">
        <v>35562956800</v>
      </c>
      <c r="I12" s="151">
        <v>3584544.3</v>
      </c>
      <c r="J12" s="151">
        <v>0</v>
      </c>
      <c r="K12" s="151"/>
      <c r="L12" s="151">
        <v>0</v>
      </c>
      <c r="M12" s="151"/>
      <c r="N12" s="151">
        <v>0</v>
      </c>
      <c r="O12" s="151"/>
      <c r="P12" s="151">
        <v>0</v>
      </c>
      <c r="Q12" s="151"/>
      <c r="R12" s="151">
        <v>14000000</v>
      </c>
      <c r="S12" s="151"/>
      <c r="T12" s="151">
        <v>2780</v>
      </c>
      <c r="U12" s="151"/>
      <c r="V12" s="151">
        <v>34648837757</v>
      </c>
      <c r="W12" s="151"/>
      <c r="X12" s="151">
        <v>38619148400</v>
      </c>
      <c r="Y12" s="152"/>
      <c r="Z12" s="153">
        <f t="shared" si="0"/>
        <v>3.7691081095401892E-3</v>
      </c>
      <c r="AA12" s="146"/>
      <c r="AE12" s="154"/>
      <c r="AF12" s="154"/>
      <c r="AH12" s="154"/>
    </row>
    <row r="13" spans="2:34" ht="41.25" customHeight="1" x14ac:dyDescent="0.65">
      <c r="B13" s="150" t="s">
        <v>112</v>
      </c>
      <c r="C13" s="146"/>
      <c r="D13" s="151">
        <v>341420817</v>
      </c>
      <c r="E13" s="151"/>
      <c r="F13" s="151">
        <v>396644467027</v>
      </c>
      <c r="G13" s="151"/>
      <c r="H13" s="151">
        <v>404505271097</v>
      </c>
      <c r="I13" s="151">
        <v>5785371000</v>
      </c>
      <c r="J13" s="151">
        <v>145000000</v>
      </c>
      <c r="K13" s="151"/>
      <c r="L13" s="151">
        <v>203650090243</v>
      </c>
      <c r="M13" s="151"/>
      <c r="N13" s="151">
        <v>-15020817</v>
      </c>
      <c r="O13" s="151"/>
      <c r="P13" s="151">
        <v>19999712144</v>
      </c>
      <c r="Q13" s="151"/>
      <c r="R13" s="151">
        <v>471400000</v>
      </c>
      <c r="S13" s="151"/>
      <c r="T13" s="151">
        <v>1474</v>
      </c>
      <c r="U13" s="151"/>
      <c r="V13" s="151">
        <v>582453738612</v>
      </c>
      <c r="W13" s="151"/>
      <c r="X13" s="151">
        <v>689472458972</v>
      </c>
      <c r="Y13" s="152"/>
      <c r="Z13" s="153">
        <f t="shared" si="0"/>
        <v>6.7290355797073473E-2</v>
      </c>
      <c r="AA13" s="146"/>
      <c r="AE13" s="154"/>
      <c r="AF13" s="154"/>
      <c r="AH13" s="154"/>
    </row>
    <row r="14" spans="2:34" ht="41.25" customHeight="1" x14ac:dyDescent="0.65">
      <c r="B14" s="150" t="s">
        <v>192</v>
      </c>
      <c r="C14" s="146"/>
      <c r="D14" s="151">
        <v>25000000</v>
      </c>
      <c r="E14" s="151"/>
      <c r="F14" s="151">
        <v>94495873076</v>
      </c>
      <c r="G14" s="151"/>
      <c r="H14" s="151">
        <v>108182236750</v>
      </c>
      <c r="I14" s="151">
        <v>187875450000</v>
      </c>
      <c r="J14" s="151">
        <v>0</v>
      </c>
      <c r="K14" s="151"/>
      <c r="L14" s="151">
        <v>0</v>
      </c>
      <c r="M14" s="151"/>
      <c r="N14" s="151">
        <v>0</v>
      </c>
      <c r="O14" s="151"/>
      <c r="P14" s="151">
        <v>0</v>
      </c>
      <c r="Q14" s="151"/>
      <c r="R14" s="151">
        <v>25000000</v>
      </c>
      <c r="S14" s="151"/>
      <c r="T14" s="151">
        <v>4939</v>
      </c>
      <c r="U14" s="151"/>
      <c r="V14" s="151">
        <v>94495873076</v>
      </c>
      <c r="W14" s="151"/>
      <c r="X14" s="151">
        <v>122520538250</v>
      </c>
      <c r="Y14" s="152"/>
      <c r="Z14" s="153">
        <f t="shared" si="0"/>
        <v>1.1957621372699765E-2</v>
      </c>
      <c r="AA14" s="146"/>
      <c r="AE14" s="154"/>
      <c r="AF14" s="154"/>
      <c r="AH14" s="154"/>
    </row>
    <row r="15" spans="2:34" ht="41.25" customHeight="1" x14ac:dyDescent="0.65">
      <c r="B15" s="150" t="s">
        <v>157</v>
      </c>
      <c r="C15" s="146"/>
      <c r="D15" s="151">
        <v>232900</v>
      </c>
      <c r="E15" s="151"/>
      <c r="F15" s="151">
        <v>394603131</v>
      </c>
      <c r="G15" s="151"/>
      <c r="H15" s="151">
        <v>459888369.17000002</v>
      </c>
      <c r="I15" s="151">
        <v>129972037500</v>
      </c>
      <c r="J15" s="151">
        <v>0</v>
      </c>
      <c r="K15" s="151"/>
      <c r="L15" s="151">
        <v>0</v>
      </c>
      <c r="M15" s="151"/>
      <c r="N15" s="151">
        <v>0</v>
      </c>
      <c r="O15" s="151"/>
      <c r="P15" s="151">
        <v>0</v>
      </c>
      <c r="Q15" s="151"/>
      <c r="R15" s="151">
        <v>232900</v>
      </c>
      <c r="S15" s="151"/>
      <c r="T15" s="151">
        <v>2270</v>
      </c>
      <c r="U15" s="151"/>
      <c r="V15" s="151">
        <v>394603131</v>
      </c>
      <c r="W15" s="151"/>
      <c r="X15" s="151">
        <v>524596280.41000003</v>
      </c>
      <c r="Y15" s="152"/>
      <c r="Z15" s="153">
        <f t="shared" si="0"/>
        <v>5.1198956389415105E-5</v>
      </c>
      <c r="AA15" s="146"/>
      <c r="AE15" s="154"/>
      <c r="AF15" s="154"/>
      <c r="AH15" s="154"/>
    </row>
    <row r="16" spans="2:34" ht="41.25" customHeight="1" x14ac:dyDescent="0.65">
      <c r="B16" s="150" t="s">
        <v>146</v>
      </c>
      <c r="C16" s="146"/>
      <c r="D16" s="151">
        <v>1000</v>
      </c>
      <c r="E16" s="151"/>
      <c r="F16" s="151">
        <v>5411279</v>
      </c>
      <c r="G16" s="151"/>
      <c r="H16" s="151">
        <v>3356849.41</v>
      </c>
      <c r="I16" s="151">
        <v>156455517600</v>
      </c>
      <c r="J16" s="151">
        <v>0</v>
      </c>
      <c r="K16" s="151"/>
      <c r="L16" s="151">
        <v>0</v>
      </c>
      <c r="M16" s="151"/>
      <c r="N16" s="151">
        <v>0</v>
      </c>
      <c r="O16" s="151"/>
      <c r="P16" s="151">
        <v>0</v>
      </c>
      <c r="Q16" s="151"/>
      <c r="R16" s="151">
        <v>1000</v>
      </c>
      <c r="S16" s="151"/>
      <c r="T16" s="151">
        <v>3955</v>
      </c>
      <c r="U16" s="151"/>
      <c r="V16" s="151">
        <v>5411279</v>
      </c>
      <c r="W16" s="151"/>
      <c r="X16" s="151">
        <v>3924427.85</v>
      </c>
      <c r="Y16" s="152"/>
      <c r="Z16" s="153">
        <f t="shared" si="0"/>
        <v>3.8301188523205161E-7</v>
      </c>
      <c r="AA16" s="146"/>
      <c r="AE16" s="154"/>
      <c r="AF16" s="154"/>
      <c r="AH16" s="154"/>
    </row>
    <row r="17" spans="2:34" ht="41.25" customHeight="1" x14ac:dyDescent="0.65">
      <c r="B17" s="150" t="s">
        <v>113</v>
      </c>
      <c r="C17" s="146"/>
      <c r="D17" s="151">
        <v>140400000</v>
      </c>
      <c r="E17" s="151"/>
      <c r="F17" s="151">
        <v>537229668981</v>
      </c>
      <c r="G17" s="151"/>
      <c r="H17" s="151">
        <v>729033866964</v>
      </c>
      <c r="I17" s="151">
        <v>588277696.54499996</v>
      </c>
      <c r="J17" s="151">
        <v>0</v>
      </c>
      <c r="K17" s="151"/>
      <c r="L17" s="151">
        <v>0</v>
      </c>
      <c r="M17" s="151"/>
      <c r="N17" s="151">
        <v>-400000</v>
      </c>
      <c r="O17" s="151"/>
      <c r="P17" s="151">
        <v>2080992714</v>
      </c>
      <c r="Q17" s="151"/>
      <c r="R17" s="151">
        <v>140000000</v>
      </c>
      <c r="S17" s="151"/>
      <c r="T17" s="151">
        <v>6250</v>
      </c>
      <c r="U17" s="151"/>
      <c r="V17" s="151">
        <v>535699100124</v>
      </c>
      <c r="W17" s="151"/>
      <c r="X17" s="151">
        <v>868236250000</v>
      </c>
      <c r="Y17" s="152"/>
      <c r="Z17" s="153">
        <f t="shared" si="0"/>
        <v>8.4737142750453895E-2</v>
      </c>
      <c r="AA17" s="146"/>
      <c r="AE17" s="154"/>
      <c r="AF17" s="154"/>
      <c r="AH17" s="154"/>
    </row>
    <row r="18" spans="2:34" ht="41.25" customHeight="1" x14ac:dyDescent="0.65">
      <c r="B18" s="150" t="s">
        <v>114</v>
      </c>
      <c r="C18" s="146"/>
      <c r="D18" s="151">
        <v>97600000</v>
      </c>
      <c r="E18" s="151"/>
      <c r="F18" s="151">
        <v>340353395163</v>
      </c>
      <c r="G18" s="151"/>
      <c r="H18" s="151">
        <v>400068975312</v>
      </c>
      <c r="I18" s="151">
        <v>4419546.3</v>
      </c>
      <c r="J18" s="151">
        <v>39400000</v>
      </c>
      <c r="K18" s="151"/>
      <c r="L18" s="151">
        <v>212767560873</v>
      </c>
      <c r="M18" s="151"/>
      <c r="N18" s="151">
        <v>0</v>
      </c>
      <c r="O18" s="151"/>
      <c r="P18" s="151">
        <v>0</v>
      </c>
      <c r="Q18" s="151"/>
      <c r="R18" s="151">
        <v>137000000</v>
      </c>
      <c r="S18" s="151"/>
      <c r="T18" s="151">
        <v>6470</v>
      </c>
      <c r="U18" s="151"/>
      <c r="V18" s="151">
        <v>553120956036</v>
      </c>
      <c r="W18" s="151"/>
      <c r="X18" s="151">
        <v>879538205300</v>
      </c>
      <c r="Y18" s="152"/>
      <c r="Z18" s="153">
        <f t="shared" si="0"/>
        <v>8.5840178242942655E-2</v>
      </c>
      <c r="AA18" s="146"/>
      <c r="AE18" s="154"/>
      <c r="AF18" s="154"/>
      <c r="AH18" s="154"/>
    </row>
    <row r="19" spans="2:34" ht="41.25" customHeight="1" x14ac:dyDescent="0.65">
      <c r="B19" s="150" t="s">
        <v>115</v>
      </c>
      <c r="C19" s="146"/>
      <c r="D19" s="151">
        <v>20000000</v>
      </c>
      <c r="E19" s="151"/>
      <c r="F19" s="151">
        <v>49475705739</v>
      </c>
      <c r="G19" s="151"/>
      <c r="H19" s="151">
        <v>61877957200</v>
      </c>
      <c r="I19" s="151">
        <v>654830437500</v>
      </c>
      <c r="J19" s="151">
        <v>0</v>
      </c>
      <c r="K19" s="151"/>
      <c r="L19" s="151">
        <v>0</v>
      </c>
      <c r="M19" s="151"/>
      <c r="N19" s="151">
        <v>-2000000</v>
      </c>
      <c r="O19" s="151"/>
      <c r="P19" s="151">
        <v>6058309710</v>
      </c>
      <c r="Q19" s="151"/>
      <c r="R19" s="151">
        <v>18000000</v>
      </c>
      <c r="S19" s="151"/>
      <c r="T19" s="151">
        <v>3650</v>
      </c>
      <c r="U19" s="151"/>
      <c r="V19" s="151">
        <v>44528135164</v>
      </c>
      <c r="W19" s="151"/>
      <c r="X19" s="151">
        <v>65192139000</v>
      </c>
      <c r="Y19" s="152"/>
      <c r="Z19" s="153">
        <f t="shared" si="0"/>
        <v>6.3625488899483667E-3</v>
      </c>
      <c r="AA19" s="146"/>
      <c r="AE19" s="154"/>
      <c r="AF19" s="154"/>
      <c r="AH19" s="154"/>
    </row>
    <row r="20" spans="2:34" ht="41.25" customHeight="1" x14ac:dyDescent="0.65">
      <c r="B20" s="150" t="s">
        <v>141</v>
      </c>
      <c r="C20" s="146"/>
      <c r="D20" s="151">
        <v>1000</v>
      </c>
      <c r="E20" s="151"/>
      <c r="F20" s="151">
        <v>68624286</v>
      </c>
      <c r="G20" s="151"/>
      <c r="H20" s="151">
        <v>46061173.399999999</v>
      </c>
      <c r="I20" s="151">
        <v>210340980000</v>
      </c>
      <c r="J20" s="151">
        <v>0</v>
      </c>
      <c r="K20" s="151"/>
      <c r="L20" s="151">
        <v>0</v>
      </c>
      <c r="M20" s="151"/>
      <c r="N20" s="151">
        <v>0</v>
      </c>
      <c r="O20" s="151"/>
      <c r="P20" s="151">
        <v>0</v>
      </c>
      <c r="Q20" s="151"/>
      <c r="R20" s="151">
        <v>1000</v>
      </c>
      <c r="S20" s="151"/>
      <c r="T20" s="151">
        <v>56790</v>
      </c>
      <c r="U20" s="151"/>
      <c r="V20" s="151">
        <v>68624286</v>
      </c>
      <c r="W20" s="151"/>
      <c r="X20" s="151">
        <v>56351013.299999997</v>
      </c>
      <c r="Y20" s="152"/>
      <c r="Z20" s="153">
        <f t="shared" si="0"/>
        <v>5.4996826706266012E-6</v>
      </c>
      <c r="AA20" s="146"/>
      <c r="AE20" s="154"/>
      <c r="AF20" s="154"/>
      <c r="AH20" s="154"/>
    </row>
    <row r="21" spans="2:34" ht="41.25" customHeight="1" x14ac:dyDescent="0.65">
      <c r="B21" s="150" t="s">
        <v>116</v>
      </c>
      <c r="C21" s="146"/>
      <c r="D21" s="151">
        <v>1500000</v>
      </c>
      <c r="E21" s="151"/>
      <c r="F21" s="151">
        <v>4309592081</v>
      </c>
      <c r="G21" s="151"/>
      <c r="H21" s="151">
        <v>3860922570</v>
      </c>
      <c r="I21" s="151">
        <v>190778076000</v>
      </c>
      <c r="J21" s="151">
        <v>0</v>
      </c>
      <c r="K21" s="151"/>
      <c r="L21" s="151">
        <v>0</v>
      </c>
      <c r="M21" s="151"/>
      <c r="N21" s="151">
        <v>-1499000</v>
      </c>
      <c r="O21" s="151"/>
      <c r="P21" s="151">
        <v>4005654899</v>
      </c>
      <c r="Q21" s="151"/>
      <c r="R21" s="151">
        <v>1000</v>
      </c>
      <c r="S21" s="151"/>
      <c r="T21" s="151">
        <v>3209</v>
      </c>
      <c r="U21" s="151"/>
      <c r="V21" s="151">
        <v>2873060</v>
      </c>
      <c r="W21" s="151"/>
      <c r="X21" s="151">
        <v>3184194.43</v>
      </c>
      <c r="Y21" s="152"/>
      <c r="Z21" s="153">
        <f t="shared" si="0"/>
        <v>3.1076741838423609E-7</v>
      </c>
      <c r="AA21" s="146"/>
      <c r="AE21" s="154"/>
      <c r="AF21" s="154"/>
      <c r="AH21" s="154"/>
    </row>
    <row r="22" spans="2:34" ht="41.25" customHeight="1" x14ac:dyDescent="0.65">
      <c r="B22" s="150" t="s">
        <v>117</v>
      </c>
      <c r="C22" s="146"/>
      <c r="D22" s="151">
        <v>1600000</v>
      </c>
      <c r="E22" s="151"/>
      <c r="F22" s="151">
        <v>400224216460</v>
      </c>
      <c r="G22" s="151"/>
      <c r="H22" s="151">
        <v>475813310400</v>
      </c>
      <c r="I22" s="151">
        <v>164435751000</v>
      </c>
      <c r="J22" s="151">
        <v>400000</v>
      </c>
      <c r="K22" s="151"/>
      <c r="L22" s="151">
        <v>142392943676</v>
      </c>
      <c r="M22" s="151"/>
      <c r="N22" s="151">
        <v>0</v>
      </c>
      <c r="O22" s="151"/>
      <c r="P22" s="151">
        <v>0</v>
      </c>
      <c r="Q22" s="151"/>
      <c r="R22" s="151">
        <v>2000000</v>
      </c>
      <c r="S22" s="151"/>
      <c r="T22" s="151">
        <v>395070</v>
      </c>
      <c r="U22" s="151"/>
      <c r="V22" s="151">
        <v>542617160136</v>
      </c>
      <c r="W22" s="151"/>
      <c r="X22" s="151">
        <v>784032217800</v>
      </c>
      <c r="Y22" s="152"/>
      <c r="Z22" s="153">
        <f t="shared" si="0"/>
        <v>7.6519092540392727E-2</v>
      </c>
      <c r="AA22" s="146"/>
      <c r="AE22" s="154"/>
      <c r="AF22" s="154"/>
      <c r="AH22" s="154"/>
    </row>
    <row r="23" spans="2:34" ht="41.25" customHeight="1" x14ac:dyDescent="0.65">
      <c r="B23" s="150" t="s">
        <v>118</v>
      </c>
      <c r="C23" s="146"/>
      <c r="D23" s="151">
        <v>1000</v>
      </c>
      <c r="E23" s="151"/>
      <c r="F23" s="151">
        <v>68078893</v>
      </c>
      <c r="G23" s="151"/>
      <c r="H23" s="151">
        <v>44354469</v>
      </c>
      <c r="I23" s="151">
        <v>74454345</v>
      </c>
      <c r="J23" s="151">
        <v>2000000</v>
      </c>
      <c r="K23" s="151"/>
      <c r="L23" s="151">
        <v>111236097000</v>
      </c>
      <c r="M23" s="151"/>
      <c r="N23" s="151">
        <v>-1000</v>
      </c>
      <c r="O23" s="151"/>
      <c r="P23" s="151">
        <v>54923913</v>
      </c>
      <c r="Q23" s="151"/>
      <c r="R23" s="151">
        <v>2000000</v>
      </c>
      <c r="S23" s="151"/>
      <c r="T23" s="151">
        <v>60950</v>
      </c>
      <c r="U23" s="151"/>
      <c r="V23" s="151">
        <v>111248551617</v>
      </c>
      <c r="W23" s="151"/>
      <c r="X23" s="151">
        <v>120957713000</v>
      </c>
      <c r="Y23" s="152"/>
      <c r="Z23" s="153">
        <f t="shared" si="0"/>
        <v>1.1805094515748947E-2</v>
      </c>
      <c r="AA23" s="146"/>
      <c r="AE23" s="154"/>
      <c r="AF23" s="154"/>
      <c r="AH23" s="154"/>
    </row>
    <row r="24" spans="2:34" ht="41.25" customHeight="1" x14ac:dyDescent="0.65">
      <c r="B24" s="150" t="s">
        <v>119</v>
      </c>
      <c r="C24" s="146"/>
      <c r="D24" s="151">
        <v>1000000</v>
      </c>
      <c r="E24" s="151"/>
      <c r="F24" s="151">
        <v>30299649812</v>
      </c>
      <c r="G24" s="151"/>
      <c r="H24" s="151">
        <v>41347890900</v>
      </c>
      <c r="I24" s="151">
        <v>276147090000</v>
      </c>
      <c r="J24" s="151">
        <v>1500000</v>
      </c>
      <c r="K24" s="151"/>
      <c r="L24" s="151">
        <v>65767162772</v>
      </c>
      <c r="M24" s="151"/>
      <c r="N24" s="151">
        <v>0</v>
      </c>
      <c r="O24" s="151"/>
      <c r="P24" s="151">
        <v>0</v>
      </c>
      <c r="Q24" s="151"/>
      <c r="R24" s="151">
        <v>2500000</v>
      </c>
      <c r="S24" s="151"/>
      <c r="T24" s="151">
        <v>51340</v>
      </c>
      <c r="U24" s="151"/>
      <c r="V24" s="151">
        <v>96066812584</v>
      </c>
      <c r="W24" s="151"/>
      <c r="X24" s="151">
        <v>127357854500</v>
      </c>
      <c r="Y24" s="152"/>
      <c r="Z24" s="153">
        <f t="shared" si="0"/>
        <v>1.2429728310880865E-2</v>
      </c>
      <c r="AA24" s="146"/>
      <c r="AE24" s="154"/>
      <c r="AF24" s="154"/>
      <c r="AH24" s="154"/>
    </row>
    <row r="25" spans="2:34" ht="41.25" customHeight="1" x14ac:dyDescent="0.65">
      <c r="B25" s="150" t="s">
        <v>143</v>
      </c>
      <c r="C25" s="146"/>
      <c r="D25" s="151">
        <v>6000000</v>
      </c>
      <c r="E25" s="151"/>
      <c r="F25" s="151">
        <v>221684251852</v>
      </c>
      <c r="G25" s="151"/>
      <c r="H25" s="151">
        <v>213854030400</v>
      </c>
      <c r="I25" s="151">
        <v>338593311000</v>
      </c>
      <c r="J25" s="151">
        <v>0</v>
      </c>
      <c r="K25" s="151"/>
      <c r="L25" s="151">
        <v>0</v>
      </c>
      <c r="M25" s="151"/>
      <c r="N25" s="151">
        <v>0</v>
      </c>
      <c r="O25" s="151"/>
      <c r="P25" s="151">
        <v>0</v>
      </c>
      <c r="Q25" s="151"/>
      <c r="R25" s="151">
        <v>6000000</v>
      </c>
      <c r="S25" s="151"/>
      <c r="T25" s="151">
        <v>45020</v>
      </c>
      <c r="U25" s="151"/>
      <c r="V25" s="151">
        <v>221684251852</v>
      </c>
      <c r="W25" s="151"/>
      <c r="X25" s="151">
        <v>268031972400</v>
      </c>
      <c r="Y25" s="152"/>
      <c r="Z25" s="153">
        <f t="shared" si="0"/>
        <v>2.615908228543155E-2</v>
      </c>
      <c r="AA25" s="146"/>
      <c r="AE25" s="154"/>
      <c r="AF25" s="154"/>
      <c r="AH25" s="154"/>
    </row>
    <row r="26" spans="2:34" ht="41.25" customHeight="1" x14ac:dyDescent="0.65">
      <c r="B26" s="150" t="s">
        <v>197</v>
      </c>
      <c r="C26" s="146"/>
      <c r="D26" s="151">
        <v>100000</v>
      </c>
      <c r="E26" s="151"/>
      <c r="F26" s="151">
        <v>2601866800</v>
      </c>
      <c r="G26" s="151"/>
      <c r="H26" s="151">
        <v>3443176900</v>
      </c>
      <c r="I26" s="151">
        <v>280123290000</v>
      </c>
      <c r="J26" s="151">
        <v>0</v>
      </c>
      <c r="K26" s="151"/>
      <c r="L26" s="151">
        <v>0</v>
      </c>
      <c r="M26" s="151"/>
      <c r="N26" s="151">
        <v>-100000</v>
      </c>
      <c r="O26" s="151"/>
      <c r="P26" s="151">
        <v>3476370721</v>
      </c>
      <c r="Q26" s="151"/>
      <c r="R26" s="151">
        <v>0</v>
      </c>
      <c r="S26" s="151"/>
      <c r="T26" s="151">
        <v>0</v>
      </c>
      <c r="U26" s="151"/>
      <c r="V26" s="151">
        <v>0</v>
      </c>
      <c r="W26" s="151"/>
      <c r="X26" s="151">
        <v>0</v>
      </c>
      <c r="Y26" s="152"/>
      <c r="Z26" s="153">
        <f t="shared" si="0"/>
        <v>0</v>
      </c>
      <c r="AA26" s="146"/>
      <c r="AE26" s="154"/>
      <c r="AF26" s="154"/>
      <c r="AH26" s="154"/>
    </row>
    <row r="27" spans="2:34" ht="41.25" customHeight="1" x14ac:dyDescent="0.65">
      <c r="B27" s="150" t="s">
        <v>241</v>
      </c>
      <c r="C27" s="146"/>
      <c r="D27" s="151">
        <v>25795000</v>
      </c>
      <c r="E27" s="151"/>
      <c r="F27" s="151">
        <v>162149631741</v>
      </c>
      <c r="G27" s="151"/>
      <c r="H27" s="151">
        <v>183776441387</v>
      </c>
      <c r="I27" s="151">
        <v>196321892850</v>
      </c>
      <c r="J27" s="151">
        <v>200000</v>
      </c>
      <c r="K27" s="151"/>
      <c r="L27" s="151">
        <v>1579300136</v>
      </c>
      <c r="M27" s="151"/>
      <c r="N27" s="151">
        <v>-18795000</v>
      </c>
      <c r="O27" s="151"/>
      <c r="P27" s="151">
        <v>132901401562</v>
      </c>
      <c r="Q27" s="151"/>
      <c r="R27" s="151">
        <v>7200000</v>
      </c>
      <c r="S27" s="151"/>
      <c r="T27" s="151">
        <v>8110</v>
      </c>
      <c r="U27" s="151"/>
      <c r="V27" s="151">
        <v>45581913906</v>
      </c>
      <c r="W27" s="151"/>
      <c r="X27" s="151">
        <v>57940629840</v>
      </c>
      <c r="Y27" s="152"/>
      <c r="Z27" s="153">
        <f t="shared" si="0"/>
        <v>5.654824273696576E-3</v>
      </c>
      <c r="AA27" s="146"/>
      <c r="AE27" s="154"/>
      <c r="AF27" s="154"/>
      <c r="AH27" s="154"/>
    </row>
    <row r="28" spans="2:34" ht="41.25" customHeight="1" x14ac:dyDescent="0.65">
      <c r="B28" s="150" t="s">
        <v>198</v>
      </c>
      <c r="C28" s="146"/>
      <c r="D28" s="151">
        <v>6000000</v>
      </c>
      <c r="E28" s="151"/>
      <c r="F28" s="151">
        <v>104239973466</v>
      </c>
      <c r="G28" s="151"/>
      <c r="H28" s="151">
        <v>89840125800</v>
      </c>
      <c r="I28" s="151">
        <v>234352257750</v>
      </c>
      <c r="J28" s="151">
        <v>0</v>
      </c>
      <c r="K28" s="151"/>
      <c r="L28" s="151">
        <v>0</v>
      </c>
      <c r="M28" s="151"/>
      <c r="N28" s="151">
        <v>-6000000</v>
      </c>
      <c r="O28" s="151"/>
      <c r="P28" s="151">
        <v>90749914656</v>
      </c>
      <c r="Q28" s="151"/>
      <c r="R28" s="151">
        <v>0</v>
      </c>
      <c r="S28" s="151"/>
      <c r="T28" s="151">
        <v>0</v>
      </c>
      <c r="U28" s="151"/>
      <c r="V28" s="151">
        <v>0</v>
      </c>
      <c r="W28" s="151"/>
      <c r="X28" s="151">
        <v>0</v>
      </c>
      <c r="Y28" s="152"/>
      <c r="Z28" s="153">
        <f t="shared" si="0"/>
        <v>0</v>
      </c>
      <c r="AA28" s="146"/>
      <c r="AE28" s="154"/>
      <c r="AF28" s="154"/>
      <c r="AH28" s="154"/>
    </row>
    <row r="29" spans="2:34" ht="41.25" customHeight="1" x14ac:dyDescent="0.65">
      <c r="B29" s="150" t="s">
        <v>135</v>
      </c>
      <c r="C29" s="146"/>
      <c r="D29" s="151">
        <v>1000</v>
      </c>
      <c r="E29" s="151"/>
      <c r="F29" s="151">
        <v>4947385</v>
      </c>
      <c r="G29" s="151"/>
      <c r="H29" s="151">
        <v>4913721.04</v>
      </c>
      <c r="I29" s="151">
        <v>4622332.5</v>
      </c>
      <c r="J29" s="151">
        <v>0</v>
      </c>
      <c r="K29" s="151"/>
      <c r="L29" s="151">
        <v>0</v>
      </c>
      <c r="M29" s="151"/>
      <c r="N29" s="151">
        <v>0</v>
      </c>
      <c r="O29" s="151"/>
      <c r="P29" s="151">
        <v>0</v>
      </c>
      <c r="Q29" s="151"/>
      <c r="R29" s="151">
        <v>1000</v>
      </c>
      <c r="S29" s="151"/>
      <c r="T29" s="151">
        <v>6000</v>
      </c>
      <c r="U29" s="151"/>
      <c r="V29" s="151">
        <v>4947385</v>
      </c>
      <c r="W29" s="151"/>
      <c r="X29" s="151">
        <v>5953620</v>
      </c>
      <c r="Y29" s="152"/>
      <c r="Z29" s="153">
        <f t="shared" si="0"/>
        <v>5.8105469314596951E-7</v>
      </c>
      <c r="AA29" s="146"/>
      <c r="AE29" s="154"/>
      <c r="AF29" s="154"/>
      <c r="AH29" s="154"/>
    </row>
    <row r="30" spans="2:34" ht="41.25" customHeight="1" x14ac:dyDescent="0.65">
      <c r="B30" s="150" t="s">
        <v>104</v>
      </c>
      <c r="C30" s="146"/>
      <c r="D30" s="151">
        <v>70400000</v>
      </c>
      <c r="E30" s="151"/>
      <c r="F30" s="151">
        <v>117242532917</v>
      </c>
      <c r="G30" s="151"/>
      <c r="H30" s="151">
        <v>152355517248</v>
      </c>
      <c r="I30" s="151">
        <v>46052624604.744904</v>
      </c>
      <c r="J30" s="151">
        <v>24000000</v>
      </c>
      <c r="K30" s="151"/>
      <c r="L30" s="151">
        <v>58035178542</v>
      </c>
      <c r="M30" s="151"/>
      <c r="N30" s="151">
        <v>-6400000</v>
      </c>
      <c r="O30" s="151"/>
      <c r="P30" s="151">
        <v>13771250733</v>
      </c>
      <c r="Q30" s="151"/>
      <c r="R30" s="151">
        <v>88000000</v>
      </c>
      <c r="S30" s="151"/>
      <c r="T30" s="151">
        <v>2642</v>
      </c>
      <c r="U30" s="151"/>
      <c r="V30" s="151">
        <v>164619299378</v>
      </c>
      <c r="W30" s="151"/>
      <c r="X30" s="151">
        <v>230698805920</v>
      </c>
      <c r="Y30" s="152"/>
      <c r="Z30" s="153">
        <f t="shared" si="0"/>
        <v>2.251548198961089E-2</v>
      </c>
      <c r="AA30" s="146"/>
      <c r="AE30" s="154"/>
      <c r="AF30" s="154"/>
      <c r="AH30" s="154"/>
    </row>
    <row r="31" spans="2:34" ht="41.25" customHeight="1" x14ac:dyDescent="0.65">
      <c r="B31" s="150" t="s">
        <v>194</v>
      </c>
      <c r="C31" s="146"/>
      <c r="D31" s="151">
        <v>659600</v>
      </c>
      <c r="E31" s="151"/>
      <c r="F31" s="151">
        <v>457102800</v>
      </c>
      <c r="G31" s="151"/>
      <c r="H31" s="151">
        <v>520983028.43199998</v>
      </c>
      <c r="I31" s="151">
        <v>78696078707.614502</v>
      </c>
      <c r="J31" s="151">
        <v>0</v>
      </c>
      <c r="K31" s="151"/>
      <c r="L31" s="151">
        <v>0</v>
      </c>
      <c r="M31" s="151"/>
      <c r="N31" s="151">
        <v>-659600</v>
      </c>
      <c r="O31" s="151"/>
      <c r="P31" s="151">
        <v>0</v>
      </c>
      <c r="Q31" s="151"/>
      <c r="R31" s="151">
        <v>0</v>
      </c>
      <c r="S31" s="151"/>
      <c r="T31" s="151">
        <v>0</v>
      </c>
      <c r="U31" s="151"/>
      <c r="V31" s="151">
        <v>0</v>
      </c>
      <c r="W31" s="151"/>
      <c r="X31" s="151">
        <v>0</v>
      </c>
      <c r="Y31" s="152"/>
      <c r="Z31" s="153">
        <f t="shared" si="0"/>
        <v>0</v>
      </c>
      <c r="AA31" s="146"/>
      <c r="AE31" s="154"/>
      <c r="AF31" s="154"/>
      <c r="AH31" s="154"/>
    </row>
    <row r="32" spans="2:34" ht="41.25" customHeight="1" x14ac:dyDescent="0.65">
      <c r="B32" s="150" t="s">
        <v>251</v>
      </c>
      <c r="C32" s="146"/>
      <c r="D32" s="151">
        <v>1395395</v>
      </c>
      <c r="E32" s="151"/>
      <c r="F32" s="151">
        <v>4615966660</v>
      </c>
      <c r="G32" s="151"/>
      <c r="H32" s="151">
        <v>4088749185.9074502</v>
      </c>
      <c r="I32" s="151">
        <v>50351465.542499997</v>
      </c>
      <c r="J32" s="151">
        <v>0</v>
      </c>
      <c r="K32" s="151"/>
      <c r="L32" s="151">
        <v>0</v>
      </c>
      <c r="M32" s="151"/>
      <c r="N32" s="151">
        <v>0</v>
      </c>
      <c r="O32" s="151"/>
      <c r="P32" s="151">
        <v>0</v>
      </c>
      <c r="Q32" s="151"/>
      <c r="R32" s="151">
        <v>1395395</v>
      </c>
      <c r="S32" s="151"/>
      <c r="T32" s="151">
        <v>3627</v>
      </c>
      <c r="U32" s="151"/>
      <c r="V32" s="151">
        <v>4615966660</v>
      </c>
      <c r="W32" s="151"/>
      <c r="X32" s="151">
        <v>5021975380.0495501</v>
      </c>
      <c r="Y32" s="152"/>
      <c r="Z32" s="153">
        <f t="shared" si="0"/>
        <v>4.90129091786393E-4</v>
      </c>
      <c r="AA32" s="146"/>
      <c r="AE32" s="154"/>
      <c r="AF32" s="154"/>
      <c r="AH32" s="154"/>
    </row>
    <row r="33" spans="2:34" ht="41.25" customHeight="1" x14ac:dyDescent="0.65">
      <c r="B33" s="150" t="s">
        <v>120</v>
      </c>
      <c r="C33" s="146"/>
      <c r="D33" s="151">
        <v>3000000</v>
      </c>
      <c r="E33" s="151"/>
      <c r="F33" s="151">
        <v>60501017283</v>
      </c>
      <c r="G33" s="151"/>
      <c r="H33" s="151">
        <v>49028060700</v>
      </c>
      <c r="I33" s="151">
        <v>1010395760.58</v>
      </c>
      <c r="J33" s="151">
        <v>2600000</v>
      </c>
      <c r="K33" s="151"/>
      <c r="L33" s="151">
        <v>48607571370</v>
      </c>
      <c r="M33" s="151"/>
      <c r="N33" s="151">
        <v>0</v>
      </c>
      <c r="O33" s="151"/>
      <c r="P33" s="151">
        <v>0</v>
      </c>
      <c r="Q33" s="151"/>
      <c r="R33" s="151">
        <v>5600000</v>
      </c>
      <c r="S33" s="151"/>
      <c r="T33" s="151">
        <v>21940</v>
      </c>
      <c r="U33" s="151"/>
      <c r="V33" s="151">
        <v>109108588653</v>
      </c>
      <c r="W33" s="151"/>
      <c r="X33" s="151">
        <v>121914261280</v>
      </c>
      <c r="Y33" s="152"/>
      <c r="Z33" s="153">
        <f t="shared" si="0"/>
        <v>1.1898450636447734E-2</v>
      </c>
      <c r="AA33" s="146"/>
      <c r="AE33" s="154"/>
      <c r="AF33" s="154"/>
      <c r="AH33" s="154"/>
    </row>
    <row r="34" spans="2:34" ht="41.25" customHeight="1" x14ac:dyDescent="0.65">
      <c r="B34" s="150" t="s">
        <v>253</v>
      </c>
      <c r="C34" s="146"/>
      <c r="D34" s="151">
        <v>562500</v>
      </c>
      <c r="E34" s="151"/>
      <c r="F34" s="151">
        <v>4998586413</v>
      </c>
      <c r="G34" s="151"/>
      <c r="H34" s="151">
        <v>5654078493.75</v>
      </c>
      <c r="I34" s="151">
        <v>142497051456.03299</v>
      </c>
      <c r="J34" s="151">
        <v>0</v>
      </c>
      <c r="K34" s="151"/>
      <c r="L34" s="151">
        <v>0</v>
      </c>
      <c r="M34" s="151"/>
      <c r="N34" s="151">
        <v>0</v>
      </c>
      <c r="O34" s="151"/>
      <c r="P34" s="151">
        <v>0</v>
      </c>
      <c r="Q34" s="151"/>
      <c r="R34" s="151">
        <v>562500</v>
      </c>
      <c r="S34" s="151"/>
      <c r="T34" s="151">
        <v>9930</v>
      </c>
      <c r="U34" s="151"/>
      <c r="V34" s="151">
        <v>4998586413</v>
      </c>
      <c r="W34" s="151"/>
      <c r="X34" s="151">
        <v>5542448118.75</v>
      </c>
      <c r="Y34" s="152"/>
      <c r="Z34" s="153">
        <f t="shared" si="0"/>
        <v>5.4092560340057608E-4</v>
      </c>
      <c r="AA34" s="146"/>
      <c r="AE34" s="154"/>
      <c r="AF34" s="154"/>
      <c r="AH34" s="154"/>
    </row>
    <row r="35" spans="2:34" ht="41.25" customHeight="1" x14ac:dyDescent="0.65">
      <c r="B35" s="150" t="s">
        <v>136</v>
      </c>
      <c r="C35" s="146"/>
      <c r="D35" s="151">
        <v>5200000</v>
      </c>
      <c r="E35" s="151"/>
      <c r="F35" s="151">
        <v>2012119891</v>
      </c>
      <c r="G35" s="151"/>
      <c r="H35" s="151">
        <v>2502504940</v>
      </c>
      <c r="I35" s="151">
        <v>81856041300</v>
      </c>
      <c r="J35" s="151">
        <v>0</v>
      </c>
      <c r="K35" s="151"/>
      <c r="L35" s="151">
        <v>0</v>
      </c>
      <c r="M35" s="151"/>
      <c r="N35" s="151">
        <v>0</v>
      </c>
      <c r="O35" s="151"/>
      <c r="P35" s="151">
        <v>0</v>
      </c>
      <c r="Q35" s="151"/>
      <c r="R35" s="151">
        <v>5200000</v>
      </c>
      <c r="S35" s="151"/>
      <c r="T35" s="151">
        <v>553</v>
      </c>
      <c r="U35" s="151"/>
      <c r="V35" s="151">
        <v>2012119891</v>
      </c>
      <c r="W35" s="151"/>
      <c r="X35" s="151">
        <v>2853371612</v>
      </c>
      <c r="Y35" s="152"/>
      <c r="Z35" s="153">
        <f t="shared" si="0"/>
        <v>2.7848014593509165E-4</v>
      </c>
      <c r="AA35" s="146"/>
      <c r="AE35" s="154"/>
      <c r="AF35" s="154"/>
      <c r="AH35" s="154"/>
    </row>
    <row r="36" spans="2:34" ht="41.25" customHeight="1" x14ac:dyDescent="0.65">
      <c r="B36" s="150" t="s">
        <v>185</v>
      </c>
      <c r="C36" s="146"/>
      <c r="D36" s="151">
        <v>3250000</v>
      </c>
      <c r="E36" s="151"/>
      <c r="F36" s="151">
        <v>4390650225</v>
      </c>
      <c r="G36" s="151"/>
      <c r="H36" s="151">
        <v>3466743312.5</v>
      </c>
      <c r="I36" s="151">
        <v>67794210000</v>
      </c>
      <c r="J36" s="151">
        <v>0</v>
      </c>
      <c r="K36" s="151"/>
      <c r="L36" s="151">
        <v>0</v>
      </c>
      <c r="M36" s="151"/>
      <c r="N36" s="151">
        <v>-3250000</v>
      </c>
      <c r="O36" s="151"/>
      <c r="P36" s="151">
        <v>3519505944</v>
      </c>
      <c r="Q36" s="151"/>
      <c r="R36" s="151">
        <v>0</v>
      </c>
      <c r="S36" s="151"/>
      <c r="T36" s="151">
        <v>0</v>
      </c>
      <c r="U36" s="151"/>
      <c r="V36" s="151">
        <v>0</v>
      </c>
      <c r="W36" s="151"/>
      <c r="X36" s="151">
        <v>0</v>
      </c>
      <c r="Y36" s="152"/>
      <c r="Z36" s="153">
        <f t="shared" si="0"/>
        <v>0</v>
      </c>
      <c r="AA36" s="146"/>
      <c r="AE36" s="154"/>
      <c r="AF36" s="154"/>
      <c r="AH36" s="154"/>
    </row>
    <row r="37" spans="2:34" ht="41.25" customHeight="1" x14ac:dyDescent="0.65">
      <c r="B37" s="150" t="s">
        <v>130</v>
      </c>
      <c r="C37" s="146"/>
      <c r="D37" s="151">
        <v>304000000</v>
      </c>
      <c r="E37" s="151"/>
      <c r="F37" s="151">
        <v>482394850099</v>
      </c>
      <c r="G37" s="151"/>
      <c r="H37" s="151">
        <v>401797906560</v>
      </c>
      <c r="I37" s="151">
        <v>4413084975</v>
      </c>
      <c r="J37" s="151">
        <v>0</v>
      </c>
      <c r="K37" s="151"/>
      <c r="L37" s="151">
        <v>0</v>
      </c>
      <c r="M37" s="151">
        <v>9102861790</v>
      </c>
      <c r="N37" s="151">
        <v>-4000000</v>
      </c>
      <c r="O37" s="151"/>
      <c r="P37" s="151">
        <v>5416935122</v>
      </c>
      <c r="Q37" s="151"/>
      <c r="R37" s="151">
        <v>300000000</v>
      </c>
      <c r="S37" s="151"/>
      <c r="T37" s="151">
        <v>1715</v>
      </c>
      <c r="U37" s="151"/>
      <c r="V37" s="151">
        <v>476047549439</v>
      </c>
      <c r="W37" s="151"/>
      <c r="X37" s="151">
        <v>510522915000</v>
      </c>
      <c r="Y37" s="152"/>
      <c r="Z37" s="153">
        <f t="shared" si="0"/>
        <v>4.9825439937266888E-2</v>
      </c>
      <c r="AA37" s="146"/>
      <c r="AE37" s="154"/>
      <c r="AF37" s="154"/>
      <c r="AH37" s="154"/>
    </row>
    <row r="38" spans="2:34" ht="41.25" customHeight="1" x14ac:dyDescent="0.65">
      <c r="B38" s="150" t="s">
        <v>180</v>
      </c>
      <c r="C38" s="146"/>
      <c r="D38" s="151">
        <v>57000000</v>
      </c>
      <c r="E38" s="151"/>
      <c r="F38" s="151">
        <v>128695497864</v>
      </c>
      <c r="G38" s="151"/>
      <c r="H38" s="151">
        <v>128050458960</v>
      </c>
      <c r="I38" s="151">
        <v>614223495000</v>
      </c>
      <c r="J38" s="151">
        <v>1169302</v>
      </c>
      <c r="K38" s="151"/>
      <c r="L38" s="151">
        <v>2805199480</v>
      </c>
      <c r="M38" s="151"/>
      <c r="N38" s="151">
        <v>-169302</v>
      </c>
      <c r="O38" s="151"/>
      <c r="P38" s="151">
        <v>424090566</v>
      </c>
      <c r="Q38" s="151"/>
      <c r="R38" s="151">
        <v>58000000</v>
      </c>
      <c r="S38" s="151"/>
      <c r="T38" s="151">
        <v>2700</v>
      </c>
      <c r="U38" s="151"/>
      <c r="V38" s="151">
        <v>131117964007</v>
      </c>
      <c r="W38" s="151"/>
      <c r="X38" s="151">
        <v>155389482000</v>
      </c>
      <c r="Y38" s="152"/>
      <c r="Z38" s="153">
        <f t="shared" si="0"/>
        <v>1.5165527491109805E-2</v>
      </c>
      <c r="AA38" s="146"/>
      <c r="AE38" s="154"/>
      <c r="AF38" s="154"/>
      <c r="AH38" s="154"/>
    </row>
    <row r="39" spans="2:34" ht="41.25" customHeight="1" x14ac:dyDescent="0.65">
      <c r="B39" s="150" t="s">
        <v>144</v>
      </c>
      <c r="C39" s="146"/>
      <c r="D39" s="151">
        <v>2000000</v>
      </c>
      <c r="E39" s="151"/>
      <c r="F39" s="151">
        <v>23708180334</v>
      </c>
      <c r="G39" s="151"/>
      <c r="H39" s="151">
        <v>18992047800</v>
      </c>
      <c r="I39" s="151">
        <v>72158089500</v>
      </c>
      <c r="J39" s="151">
        <v>12000000</v>
      </c>
      <c r="K39" s="151"/>
      <c r="L39" s="151">
        <v>150078539520</v>
      </c>
      <c r="M39" s="151"/>
      <c r="N39" s="151">
        <v>0</v>
      </c>
      <c r="O39" s="151"/>
      <c r="P39" s="151">
        <v>0</v>
      </c>
      <c r="Q39" s="151"/>
      <c r="R39" s="151">
        <v>14000000</v>
      </c>
      <c r="S39" s="151"/>
      <c r="T39" s="151">
        <v>13550</v>
      </c>
      <c r="U39" s="151"/>
      <c r="V39" s="151">
        <v>173786719854</v>
      </c>
      <c r="W39" s="151"/>
      <c r="X39" s="151">
        <v>188233619000</v>
      </c>
      <c r="Y39" s="152"/>
      <c r="Z39" s="153">
        <f t="shared" si="0"/>
        <v>1.8371012548298406E-2</v>
      </c>
      <c r="AA39" s="146"/>
      <c r="AE39" s="154"/>
      <c r="AF39" s="154"/>
      <c r="AH39" s="154"/>
    </row>
    <row r="40" spans="2:34" ht="41.25" customHeight="1" x14ac:dyDescent="0.65">
      <c r="B40" s="150" t="s">
        <v>238</v>
      </c>
      <c r="C40" s="146"/>
      <c r="D40" s="151">
        <v>40800000</v>
      </c>
      <c r="E40" s="151"/>
      <c r="F40" s="151">
        <v>163734617565</v>
      </c>
      <c r="G40" s="151"/>
      <c r="H40" s="151">
        <v>178901518104</v>
      </c>
      <c r="I40" s="151">
        <v>266156887500</v>
      </c>
      <c r="J40" s="151">
        <v>254855</v>
      </c>
      <c r="K40" s="151"/>
      <c r="L40" s="151">
        <v>1138778036</v>
      </c>
      <c r="M40" s="151"/>
      <c r="N40" s="151">
        <v>-1054855</v>
      </c>
      <c r="O40" s="151"/>
      <c r="P40" s="151">
        <v>4625313552</v>
      </c>
      <c r="Q40" s="151"/>
      <c r="R40" s="151">
        <v>40000000</v>
      </c>
      <c r="S40" s="151"/>
      <c r="T40" s="151">
        <v>5390</v>
      </c>
      <c r="U40" s="151"/>
      <c r="V40" s="151">
        <v>160640153443</v>
      </c>
      <c r="W40" s="151"/>
      <c r="X40" s="151">
        <v>213933412000</v>
      </c>
      <c r="Y40" s="152"/>
      <c r="Z40" s="153">
        <f t="shared" si="0"/>
        <v>2.0879231973711838E-2</v>
      </c>
      <c r="AA40" s="146"/>
      <c r="AE40" s="154"/>
      <c r="AF40" s="154"/>
      <c r="AH40" s="154"/>
    </row>
    <row r="41" spans="2:34" ht="41.25" customHeight="1" x14ac:dyDescent="0.65">
      <c r="B41" s="150" t="s">
        <v>131</v>
      </c>
      <c r="C41" s="146"/>
      <c r="D41" s="151">
        <v>10000000</v>
      </c>
      <c r="E41" s="151"/>
      <c r="F41" s="151">
        <v>226006179166</v>
      </c>
      <c r="G41" s="151"/>
      <c r="H41" s="151">
        <v>159259335000</v>
      </c>
      <c r="I41" s="151">
        <v>341244168290.41498</v>
      </c>
      <c r="J41" s="151">
        <v>2000000</v>
      </c>
      <c r="K41" s="151"/>
      <c r="L41" s="151">
        <v>37939278702</v>
      </c>
      <c r="M41" s="151"/>
      <c r="N41" s="151">
        <v>0</v>
      </c>
      <c r="O41" s="151"/>
      <c r="P41" s="151">
        <v>0</v>
      </c>
      <c r="Q41" s="151"/>
      <c r="R41" s="151">
        <v>12000000</v>
      </c>
      <c r="S41" s="151"/>
      <c r="T41" s="151">
        <v>21000</v>
      </c>
      <c r="U41" s="151"/>
      <c r="V41" s="151">
        <v>263945457868</v>
      </c>
      <c r="W41" s="151"/>
      <c r="X41" s="151">
        <v>250052040000</v>
      </c>
      <c r="Y41" s="152"/>
      <c r="Z41" s="153">
        <f t="shared" si="0"/>
        <v>2.440429711213072E-2</v>
      </c>
      <c r="AA41" s="146"/>
      <c r="AE41" s="154"/>
      <c r="AF41" s="154"/>
      <c r="AH41" s="154"/>
    </row>
    <row r="42" spans="2:34" ht="41.25" customHeight="1" x14ac:dyDescent="0.65">
      <c r="B42" s="150" t="s">
        <v>121</v>
      </c>
      <c r="C42" s="146"/>
      <c r="D42" s="151">
        <v>40000000</v>
      </c>
      <c r="E42" s="151"/>
      <c r="F42" s="151">
        <v>399032730193</v>
      </c>
      <c r="G42" s="151"/>
      <c r="H42" s="151">
        <v>446124592000</v>
      </c>
      <c r="I42" s="151">
        <v>484002945000</v>
      </c>
      <c r="J42" s="151">
        <v>863003</v>
      </c>
      <c r="K42" s="151"/>
      <c r="L42" s="151">
        <v>12242079469</v>
      </c>
      <c r="M42" s="151"/>
      <c r="N42" s="151">
        <v>0</v>
      </c>
      <c r="O42" s="151"/>
      <c r="P42" s="151">
        <v>0</v>
      </c>
      <c r="Q42" s="151"/>
      <c r="R42" s="151">
        <v>40863003</v>
      </c>
      <c r="S42" s="151"/>
      <c r="T42" s="151">
        <v>14200</v>
      </c>
      <c r="U42" s="151"/>
      <c r="V42" s="151">
        <v>411274809662</v>
      </c>
      <c r="W42" s="151"/>
      <c r="X42" s="151">
        <v>575769274212.70203</v>
      </c>
      <c r="Y42" s="152"/>
      <c r="Z42" s="153">
        <f t="shared" si="0"/>
        <v>5.6193280550411208E-2</v>
      </c>
      <c r="AA42" s="146"/>
      <c r="AE42" s="154"/>
      <c r="AF42" s="154"/>
      <c r="AH42" s="154"/>
    </row>
    <row r="43" spans="2:34" ht="41.25" customHeight="1" x14ac:dyDescent="0.65">
      <c r="B43" s="150" t="s">
        <v>122</v>
      </c>
      <c r="C43" s="146"/>
      <c r="D43" s="151">
        <v>88800000</v>
      </c>
      <c r="E43" s="151"/>
      <c r="F43" s="151">
        <v>647362164575</v>
      </c>
      <c r="G43" s="151"/>
      <c r="H43" s="151">
        <v>783329690640</v>
      </c>
      <c r="I43" s="151">
        <v>62923365000</v>
      </c>
      <c r="J43" s="151">
        <v>590132</v>
      </c>
      <c r="K43" s="151"/>
      <c r="L43" s="151">
        <v>5826976356</v>
      </c>
      <c r="M43" s="151"/>
      <c r="N43" s="151">
        <v>-890132</v>
      </c>
      <c r="O43" s="151"/>
      <c r="P43" s="151">
        <v>8496605070</v>
      </c>
      <c r="Q43" s="151"/>
      <c r="R43" s="151">
        <v>88500000</v>
      </c>
      <c r="S43" s="151"/>
      <c r="T43" s="151">
        <v>10430</v>
      </c>
      <c r="U43" s="151"/>
      <c r="V43" s="151">
        <v>646698425375</v>
      </c>
      <c r="W43" s="151"/>
      <c r="X43" s="151">
        <v>915919784850</v>
      </c>
      <c r="Y43" s="152"/>
      <c r="Z43" s="153">
        <f t="shared" si="0"/>
        <v>8.9390906630308825E-2</v>
      </c>
      <c r="AA43" s="146"/>
      <c r="AE43" s="154"/>
      <c r="AF43" s="154"/>
      <c r="AH43" s="154"/>
    </row>
    <row r="44" spans="2:34" ht="41.25" customHeight="1" x14ac:dyDescent="0.65">
      <c r="B44" s="150" t="s">
        <v>164</v>
      </c>
      <c r="C44" s="146"/>
      <c r="D44" s="151">
        <v>4000000</v>
      </c>
      <c r="E44" s="151"/>
      <c r="F44" s="151">
        <v>100823299585</v>
      </c>
      <c r="G44" s="151"/>
      <c r="H44" s="151">
        <v>104624948800</v>
      </c>
      <c r="I44" s="151">
        <v>50179644000</v>
      </c>
      <c r="J44" s="151">
        <v>0</v>
      </c>
      <c r="K44" s="151"/>
      <c r="L44" s="151">
        <v>0</v>
      </c>
      <c r="M44" s="151"/>
      <c r="N44" s="151">
        <v>0</v>
      </c>
      <c r="O44" s="151"/>
      <c r="P44" s="151">
        <v>0</v>
      </c>
      <c r="Q44" s="151"/>
      <c r="R44" s="151">
        <v>4000000</v>
      </c>
      <c r="S44" s="151"/>
      <c r="T44" s="151">
        <v>31150</v>
      </c>
      <c r="U44" s="151"/>
      <c r="V44" s="151">
        <v>100823299585</v>
      </c>
      <c r="W44" s="151"/>
      <c r="X44" s="151">
        <v>123636842000</v>
      </c>
      <c r="Y44" s="152"/>
      <c r="Z44" s="153">
        <f t="shared" si="0"/>
        <v>1.2066569127664635E-2</v>
      </c>
      <c r="AA44" s="146"/>
      <c r="AE44" s="154"/>
      <c r="AF44" s="154"/>
      <c r="AH44" s="154"/>
    </row>
    <row r="45" spans="2:34" ht="41.25" customHeight="1" x14ac:dyDescent="0.65">
      <c r="B45" s="150" t="s">
        <v>123</v>
      </c>
      <c r="C45" s="146"/>
      <c r="D45" s="151">
        <v>76200000</v>
      </c>
      <c r="E45" s="151"/>
      <c r="F45" s="151">
        <v>227508569626</v>
      </c>
      <c r="G45" s="151"/>
      <c r="H45" s="151">
        <v>232125690180</v>
      </c>
      <c r="I45" s="151">
        <v>159048000000</v>
      </c>
      <c r="J45" s="151">
        <v>62200000</v>
      </c>
      <c r="K45" s="151"/>
      <c r="L45" s="151">
        <v>218973222626</v>
      </c>
      <c r="M45" s="151"/>
      <c r="N45" s="151">
        <v>-800000</v>
      </c>
      <c r="O45" s="151"/>
      <c r="P45" s="151">
        <v>2531742076</v>
      </c>
      <c r="Q45" s="151"/>
      <c r="R45" s="151">
        <v>137600000</v>
      </c>
      <c r="S45" s="151"/>
      <c r="T45" s="151">
        <v>3874</v>
      </c>
      <c r="U45" s="151"/>
      <c r="V45" s="151">
        <v>444078567408</v>
      </c>
      <c r="W45" s="151"/>
      <c r="X45" s="151">
        <v>528941827648</v>
      </c>
      <c r="Y45" s="152"/>
      <c r="Z45" s="153">
        <f t="shared" si="0"/>
        <v>5.1623068209942349E-2</v>
      </c>
      <c r="AA45" s="146"/>
      <c r="AE45" s="154"/>
      <c r="AF45" s="154"/>
      <c r="AH45" s="154"/>
    </row>
    <row r="46" spans="2:34" ht="41.25" customHeight="1" x14ac:dyDescent="0.65">
      <c r="B46" s="150" t="s">
        <v>182</v>
      </c>
      <c r="C46" s="146"/>
      <c r="D46" s="151">
        <v>60000000</v>
      </c>
      <c r="E46" s="151"/>
      <c r="F46" s="151">
        <v>98042294767</v>
      </c>
      <c r="G46" s="151"/>
      <c r="H46" s="151">
        <v>100735250400</v>
      </c>
      <c r="I46" s="151">
        <v>52485840000</v>
      </c>
      <c r="J46" s="151">
        <v>0</v>
      </c>
      <c r="K46" s="151"/>
      <c r="L46" s="151">
        <v>0</v>
      </c>
      <c r="M46" s="151"/>
      <c r="N46" s="151">
        <v>0</v>
      </c>
      <c r="O46" s="151"/>
      <c r="P46" s="151">
        <v>0</v>
      </c>
      <c r="Q46" s="151"/>
      <c r="R46" s="151">
        <v>60000000</v>
      </c>
      <c r="S46" s="151"/>
      <c r="T46" s="151">
        <v>1832</v>
      </c>
      <c r="U46" s="151"/>
      <c r="V46" s="151">
        <v>98042294767</v>
      </c>
      <c r="W46" s="151"/>
      <c r="X46" s="151">
        <v>109070318400</v>
      </c>
      <c r="Y46" s="152"/>
      <c r="Z46" s="153">
        <f t="shared" si="0"/>
        <v>1.0644921978434162E-2</v>
      </c>
      <c r="AA46" s="146"/>
      <c r="AE46" s="154"/>
      <c r="AF46" s="154"/>
      <c r="AH46" s="154"/>
    </row>
    <row r="47" spans="2:34" ht="41.25" customHeight="1" x14ac:dyDescent="0.65">
      <c r="B47" s="150" t="s">
        <v>242</v>
      </c>
      <c r="C47" s="146"/>
      <c r="D47" s="151">
        <v>71080</v>
      </c>
      <c r="E47" s="151"/>
      <c r="F47" s="151">
        <v>202526955</v>
      </c>
      <c r="G47" s="151"/>
      <c r="H47" s="151">
        <v>229859067.66440001</v>
      </c>
      <c r="I47" s="151">
        <v>151789446900</v>
      </c>
      <c r="J47" s="151">
        <v>0</v>
      </c>
      <c r="K47" s="151"/>
      <c r="L47" s="151">
        <v>0</v>
      </c>
      <c r="M47" s="151"/>
      <c r="N47" s="151">
        <v>-71080</v>
      </c>
      <c r="O47" s="151"/>
      <c r="P47" s="151">
        <v>227379995</v>
      </c>
      <c r="Q47" s="151"/>
      <c r="R47" s="151">
        <v>0</v>
      </c>
      <c r="S47" s="151"/>
      <c r="T47" s="151">
        <v>0</v>
      </c>
      <c r="U47" s="151"/>
      <c r="V47" s="151">
        <v>0</v>
      </c>
      <c r="W47" s="151"/>
      <c r="X47" s="151">
        <v>0</v>
      </c>
      <c r="Y47" s="152"/>
      <c r="Z47" s="153">
        <f t="shared" si="0"/>
        <v>0</v>
      </c>
      <c r="AA47" s="146"/>
      <c r="AE47" s="154"/>
      <c r="AF47" s="154"/>
      <c r="AH47" s="154"/>
    </row>
    <row r="48" spans="2:34" ht="41.25" customHeight="1" x14ac:dyDescent="0.65">
      <c r="B48" s="150" t="s">
        <v>124</v>
      </c>
      <c r="C48" s="146"/>
      <c r="D48" s="151">
        <v>1000</v>
      </c>
      <c r="E48" s="151"/>
      <c r="F48" s="151">
        <v>16436086</v>
      </c>
      <c r="G48" s="151"/>
      <c r="H48" s="151">
        <v>13465103.9</v>
      </c>
      <c r="I48" s="151">
        <v>415115280000</v>
      </c>
      <c r="J48" s="151">
        <v>0</v>
      </c>
      <c r="K48" s="151"/>
      <c r="L48" s="151">
        <v>0</v>
      </c>
      <c r="M48" s="151"/>
      <c r="N48" s="151">
        <v>0</v>
      </c>
      <c r="O48" s="151"/>
      <c r="P48" s="151">
        <v>0</v>
      </c>
      <c r="Q48" s="151"/>
      <c r="R48" s="151">
        <v>1000</v>
      </c>
      <c r="S48" s="151"/>
      <c r="T48" s="151">
        <v>15200</v>
      </c>
      <c r="U48" s="151"/>
      <c r="V48" s="151">
        <v>16436086</v>
      </c>
      <c r="W48" s="151"/>
      <c r="X48" s="151">
        <v>15082504</v>
      </c>
      <c r="Y48" s="152"/>
      <c r="Z48" s="153">
        <f t="shared" si="0"/>
        <v>1.4720052226364563E-6</v>
      </c>
      <c r="AA48" s="146"/>
      <c r="AE48" s="154"/>
      <c r="AF48" s="154"/>
      <c r="AH48" s="154"/>
    </row>
    <row r="49" spans="2:34" ht="41.25" customHeight="1" thickBot="1" x14ac:dyDescent="0.7">
      <c r="B49" s="140" t="s">
        <v>218</v>
      </c>
      <c r="C49" s="146">
        <v>0</v>
      </c>
      <c r="D49" s="132">
        <f>SUM(D9:D48)</f>
        <v>1635993292</v>
      </c>
      <c r="E49" s="132" t="e">
        <f>AC48=SUM(#REF!)</f>
        <v>#REF!</v>
      </c>
      <c r="F49" s="132">
        <f>SUM(F9:F48)</f>
        <v>5162518829566</v>
      </c>
      <c r="G49" s="132" t="e">
        <f t="shared" ref="G49" si="1">SUM(#REF!)</f>
        <v>#REF!</v>
      </c>
      <c r="H49" s="132">
        <f>SUM(H9:H48)</f>
        <v>5619000136070.0234</v>
      </c>
      <c r="I49" s="132" t="e">
        <f t="shared" ref="I49" si="2">SUM(#REF!)</f>
        <v>#REF!</v>
      </c>
      <c r="J49" s="132">
        <f>SUM(J9:J48)</f>
        <v>294577292</v>
      </c>
      <c r="K49" s="132" t="e">
        <f t="shared" ref="K49" si="3">SUM(#REF!)</f>
        <v>#REF!</v>
      </c>
      <c r="L49" s="132">
        <f>SUM(L9:L48)</f>
        <v>1273227570791</v>
      </c>
      <c r="M49" s="132" t="e">
        <f t="shared" ref="M49" si="4">SUM(#REF!)</f>
        <v>#REF!</v>
      </c>
      <c r="N49" s="132">
        <f>SUM(N9:N48)</f>
        <v>-61510786</v>
      </c>
      <c r="O49" s="132" t="e">
        <f t="shared" ref="O49" si="5">SUM(#REF!)</f>
        <v>#REF!</v>
      </c>
      <c r="P49" s="132">
        <f>SUM(P9:P48)</f>
        <v>298554556825</v>
      </c>
      <c r="Q49" s="132" t="e">
        <f t="shared" ref="Q49" si="6">SUM(#REF!)</f>
        <v>#REF!</v>
      </c>
      <c r="R49" s="132">
        <f>SUM(R9:R48)</f>
        <v>1869059798</v>
      </c>
      <c r="S49" s="132" t="e">
        <f t="shared" ref="S49" si="7">SUM(#REF!)</f>
        <v>#REF!</v>
      </c>
      <c r="T49" s="132">
        <f>SUM(T9:T48)</f>
        <v>824722</v>
      </c>
      <c r="U49" s="132" t="e">
        <f t="shared" ref="U49" si="8">SUM(#REF!)</f>
        <v>#REF!</v>
      </c>
      <c r="V49" s="132">
        <f>SUM(V9:V48)</f>
        <v>6146321888574</v>
      </c>
      <c r="W49" s="132" t="e">
        <f t="shared" ref="W49" si="9">SUM(#REF!)</f>
        <v>#REF!</v>
      </c>
      <c r="X49" s="132">
        <f>SUM(X9:X48)</f>
        <v>8073886959608.4912</v>
      </c>
      <c r="Y49" s="132" t="e">
        <f t="shared" ref="Y49" si="10">SUM(#REF!)</f>
        <v>#REF!</v>
      </c>
      <c r="Z49" s="300">
        <f>SUM(Z9:Z48)</f>
        <v>0.78798611765792204</v>
      </c>
      <c r="AA49" s="146"/>
      <c r="AE49" s="154"/>
      <c r="AF49" s="154"/>
      <c r="AH49" s="154"/>
    </row>
    <row r="50" spans="2:34" ht="45" customHeight="1" thickTop="1" x14ac:dyDescent="0.65">
      <c r="B50" s="150"/>
      <c r="C50" s="146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2"/>
      <c r="Z50" s="153"/>
      <c r="AA50" s="146"/>
      <c r="AE50" s="154"/>
      <c r="AF50" s="154"/>
      <c r="AH50" s="154"/>
    </row>
    <row r="51" spans="2:34" ht="41.25" customHeight="1" x14ac:dyDescent="0.65">
      <c r="B51" s="332" t="s">
        <v>37</v>
      </c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146"/>
      <c r="AE51" s="154"/>
      <c r="AF51" s="154"/>
      <c r="AH51" s="154"/>
    </row>
    <row r="52" spans="2:34" ht="41.25" customHeight="1" x14ac:dyDescent="0.65">
      <c r="B52" s="332" t="s">
        <v>38</v>
      </c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146"/>
      <c r="AE52" s="154"/>
      <c r="AF52" s="154"/>
      <c r="AH52" s="154"/>
    </row>
    <row r="53" spans="2:34" ht="41.25" customHeight="1" x14ac:dyDescent="0.65">
      <c r="B53" s="140"/>
      <c r="C53" s="141"/>
      <c r="D53" s="319" t="str">
        <f>D6</f>
        <v>1404/08/30</v>
      </c>
      <c r="E53" s="319"/>
      <c r="F53" s="319"/>
      <c r="G53" s="319"/>
      <c r="H53" s="319"/>
      <c r="I53" s="141"/>
      <c r="J53" s="333" t="s">
        <v>16</v>
      </c>
      <c r="K53" s="333"/>
      <c r="L53" s="333"/>
      <c r="M53" s="333"/>
      <c r="N53" s="333"/>
      <c r="O53" s="333"/>
      <c r="P53" s="333"/>
      <c r="Q53" s="142"/>
      <c r="R53" s="319" t="str">
        <f>R6</f>
        <v>1404/09/30</v>
      </c>
      <c r="S53" s="319"/>
      <c r="T53" s="319"/>
      <c r="U53" s="319"/>
      <c r="V53" s="319"/>
      <c r="W53" s="319"/>
      <c r="X53" s="319"/>
      <c r="Y53" s="319"/>
      <c r="Z53" s="319"/>
      <c r="AA53" s="146"/>
      <c r="AE53" s="154"/>
      <c r="AF53" s="154"/>
      <c r="AH53" s="154"/>
    </row>
    <row r="54" spans="2:34" ht="41.25" customHeight="1" x14ac:dyDescent="0.65">
      <c r="B54" s="325" t="s">
        <v>5</v>
      </c>
      <c r="C54" s="143"/>
      <c r="D54" s="330" t="s">
        <v>8</v>
      </c>
      <c r="E54" s="320"/>
      <c r="F54" s="328" t="s">
        <v>3</v>
      </c>
      <c r="G54" s="320"/>
      <c r="H54" s="320" t="s">
        <v>32</v>
      </c>
      <c r="I54" s="144"/>
      <c r="J54" s="327" t="s">
        <v>9</v>
      </c>
      <c r="K54" s="327"/>
      <c r="L54" s="327"/>
      <c r="M54" s="145"/>
      <c r="N54" s="327" t="s">
        <v>10</v>
      </c>
      <c r="O54" s="327"/>
      <c r="P54" s="327"/>
      <c r="Q54" s="145"/>
      <c r="R54" s="328" t="s">
        <v>8</v>
      </c>
      <c r="S54" s="320"/>
      <c r="T54" s="320" t="s">
        <v>42</v>
      </c>
      <c r="U54" s="143"/>
      <c r="V54" s="328" t="s">
        <v>3</v>
      </c>
      <c r="W54" s="320"/>
      <c r="X54" s="320" t="s">
        <v>32</v>
      </c>
      <c r="Y54" s="144"/>
      <c r="Z54" s="322" t="s">
        <v>35</v>
      </c>
      <c r="AA54" s="146"/>
      <c r="AE54" s="154"/>
      <c r="AF54" s="154"/>
      <c r="AH54" s="154"/>
    </row>
    <row r="55" spans="2:34" ht="41.25" customHeight="1" x14ac:dyDescent="0.65">
      <c r="B55" s="326"/>
      <c r="C55" s="146"/>
      <c r="D55" s="331"/>
      <c r="E55" s="321"/>
      <c r="F55" s="329"/>
      <c r="G55" s="321"/>
      <c r="H55" s="321"/>
      <c r="I55" s="147"/>
      <c r="J55" s="149" t="s">
        <v>8</v>
      </c>
      <c r="K55" s="149"/>
      <c r="L55" s="149" t="s">
        <v>3</v>
      </c>
      <c r="M55" s="149"/>
      <c r="N55" s="149" t="s">
        <v>8</v>
      </c>
      <c r="O55" s="149"/>
      <c r="P55" s="149" t="s">
        <v>80</v>
      </c>
      <c r="Q55" s="149"/>
      <c r="R55" s="329"/>
      <c r="S55" s="321"/>
      <c r="T55" s="321"/>
      <c r="U55" s="148"/>
      <c r="V55" s="329"/>
      <c r="W55" s="321"/>
      <c r="X55" s="321"/>
      <c r="Y55" s="147"/>
      <c r="Z55" s="323"/>
      <c r="AA55" s="146"/>
      <c r="AE55" s="154"/>
      <c r="AF55" s="154"/>
      <c r="AH55" s="154"/>
    </row>
    <row r="56" spans="2:34" ht="41.25" customHeight="1" x14ac:dyDescent="0.65">
      <c r="B56" s="198" t="s">
        <v>217</v>
      </c>
      <c r="C56" s="146"/>
      <c r="D56" s="151">
        <f>D49</f>
        <v>1635993292</v>
      </c>
      <c r="E56" s="151"/>
      <c r="F56" s="151">
        <f>F49</f>
        <v>5162518829566</v>
      </c>
      <c r="G56" s="151"/>
      <c r="H56" s="151">
        <f>H49</f>
        <v>5619000136070.0234</v>
      </c>
      <c r="I56" s="151"/>
      <c r="J56" s="151">
        <f>J49</f>
        <v>294577292</v>
      </c>
      <c r="K56" s="151"/>
      <c r="L56" s="151">
        <f>L49</f>
        <v>1273227570791</v>
      </c>
      <c r="M56" s="151"/>
      <c r="N56" s="151">
        <f>N49</f>
        <v>-61510786</v>
      </c>
      <c r="O56" s="151"/>
      <c r="P56" s="151">
        <f>P49</f>
        <v>298554556825</v>
      </c>
      <c r="Q56" s="151"/>
      <c r="R56" s="151">
        <f>R49</f>
        <v>1869059798</v>
      </c>
      <c r="S56" s="151"/>
      <c r="T56" s="151">
        <f>T49</f>
        <v>824722</v>
      </c>
      <c r="U56" s="151"/>
      <c r="V56" s="151">
        <f>V49</f>
        <v>6146321888574</v>
      </c>
      <c r="W56" s="151"/>
      <c r="X56" s="151">
        <f>X49</f>
        <v>8073886959608.4912</v>
      </c>
      <c r="Y56" s="152"/>
      <c r="Z56" s="301">
        <f>Z49</f>
        <v>0.78798611765792204</v>
      </c>
      <c r="AA56" s="146"/>
      <c r="AE56" s="154"/>
      <c r="AF56" s="154"/>
      <c r="AH56" s="154"/>
    </row>
    <row r="57" spans="2:34" ht="41.25" customHeight="1" x14ac:dyDescent="0.65">
      <c r="B57" s="150" t="s">
        <v>150</v>
      </c>
      <c r="C57" s="146"/>
      <c r="D57" s="151">
        <v>1000</v>
      </c>
      <c r="E57" s="151"/>
      <c r="F57" s="151">
        <v>17215709</v>
      </c>
      <c r="G57" s="151"/>
      <c r="H57" s="151">
        <v>13604021.699999999</v>
      </c>
      <c r="I57" s="151">
        <v>97426840500</v>
      </c>
      <c r="J57" s="151">
        <v>0</v>
      </c>
      <c r="K57" s="151"/>
      <c r="L57" s="151">
        <v>0</v>
      </c>
      <c r="M57" s="151"/>
      <c r="N57" s="151">
        <v>0</v>
      </c>
      <c r="O57" s="151"/>
      <c r="P57" s="151">
        <v>0</v>
      </c>
      <c r="Q57" s="151"/>
      <c r="R57" s="151">
        <v>1783</v>
      </c>
      <c r="S57" s="151"/>
      <c r="T57" s="151">
        <v>6020</v>
      </c>
      <c r="U57" s="151"/>
      <c r="V57" s="151">
        <v>8904539</v>
      </c>
      <c r="W57" s="151"/>
      <c r="X57" s="151">
        <v>10650688.8082</v>
      </c>
      <c r="Y57" s="152"/>
      <c r="Z57" s="153">
        <f t="shared" ref="Z57:Z73" si="11">X57/$Z$84</f>
        <v>1.0394739196055279E-6</v>
      </c>
      <c r="AA57" s="146"/>
      <c r="AE57" s="154"/>
      <c r="AF57" s="154"/>
      <c r="AH57" s="154"/>
    </row>
    <row r="58" spans="2:34" ht="41.25" customHeight="1" x14ac:dyDescent="0.65">
      <c r="B58" s="150" t="s">
        <v>125</v>
      </c>
      <c r="C58" s="146"/>
      <c r="D58" s="151">
        <v>3015456</v>
      </c>
      <c r="E58" s="151"/>
      <c r="F58" s="151">
        <v>167265145722</v>
      </c>
      <c r="G58" s="151"/>
      <c r="H58" s="151">
        <v>195835990069.104</v>
      </c>
      <c r="I58" s="151">
        <v>56813933700</v>
      </c>
      <c r="J58" s="151">
        <v>0</v>
      </c>
      <c r="K58" s="151"/>
      <c r="L58" s="151">
        <v>0</v>
      </c>
      <c r="M58" s="151"/>
      <c r="N58" s="151">
        <v>-15456</v>
      </c>
      <c r="O58" s="151"/>
      <c r="P58" s="151">
        <v>1019237156</v>
      </c>
      <c r="Q58" s="151"/>
      <c r="R58" s="151">
        <v>3000000</v>
      </c>
      <c r="S58" s="151"/>
      <c r="T58" s="151">
        <v>83970</v>
      </c>
      <c r="U58" s="151"/>
      <c r="V58" s="151">
        <v>166407812671</v>
      </c>
      <c r="W58" s="151"/>
      <c r="X58" s="151">
        <v>249962735700</v>
      </c>
      <c r="Y58" s="152"/>
      <c r="Z58" s="153">
        <f t="shared" si="11"/>
        <v>2.4395581291733533E-2</v>
      </c>
      <c r="AA58" s="146"/>
      <c r="AE58" s="154"/>
      <c r="AF58" s="154"/>
      <c r="AH58" s="154"/>
    </row>
    <row r="59" spans="2:34" ht="41.25" customHeight="1" x14ac:dyDescent="0.65">
      <c r="B59" s="150" t="s">
        <v>134</v>
      </c>
      <c r="C59" s="146"/>
      <c r="D59" s="151">
        <v>11398395</v>
      </c>
      <c r="E59" s="151"/>
      <c r="F59" s="151">
        <v>113483743433</v>
      </c>
      <c r="G59" s="151"/>
      <c r="H59" s="151">
        <v>138324790523.32901</v>
      </c>
      <c r="I59" s="151">
        <v>24781666.5</v>
      </c>
      <c r="J59" s="151">
        <v>0</v>
      </c>
      <c r="K59" s="151"/>
      <c r="L59" s="151">
        <v>0</v>
      </c>
      <c r="M59" s="151"/>
      <c r="N59" s="151">
        <v>-398395</v>
      </c>
      <c r="O59" s="151"/>
      <c r="P59" s="151">
        <v>4953216744</v>
      </c>
      <c r="Q59" s="151"/>
      <c r="R59" s="151">
        <v>11000000</v>
      </c>
      <c r="S59" s="151"/>
      <c r="T59" s="151">
        <v>15330</v>
      </c>
      <c r="U59" s="151"/>
      <c r="V59" s="151">
        <v>109517276579</v>
      </c>
      <c r="W59" s="151"/>
      <c r="X59" s="151">
        <v>167326490100</v>
      </c>
      <c r="Y59" s="152"/>
      <c r="Z59" s="153">
        <f t="shared" si="11"/>
        <v>1.6330542150867475E-2</v>
      </c>
      <c r="AA59" s="146"/>
      <c r="AE59" s="154"/>
      <c r="AF59" s="154"/>
      <c r="AH59" s="154"/>
    </row>
    <row r="60" spans="2:34" ht="41.25" customHeight="1" x14ac:dyDescent="0.65">
      <c r="B60" s="150" t="s">
        <v>126</v>
      </c>
      <c r="C60" s="146"/>
      <c r="D60" s="151">
        <v>1000</v>
      </c>
      <c r="E60" s="151"/>
      <c r="F60" s="151">
        <v>483356</v>
      </c>
      <c r="G60" s="151"/>
      <c r="H60" s="151">
        <v>470335.98</v>
      </c>
      <c r="I60" s="151">
        <v>149862978000</v>
      </c>
      <c r="J60" s="151">
        <v>0</v>
      </c>
      <c r="K60" s="151"/>
      <c r="L60" s="151">
        <v>0</v>
      </c>
      <c r="M60" s="151"/>
      <c r="N60" s="151">
        <v>0</v>
      </c>
      <c r="O60" s="151"/>
      <c r="P60" s="151">
        <v>0</v>
      </c>
      <c r="Q60" s="151"/>
      <c r="R60" s="151">
        <v>1000</v>
      </c>
      <c r="S60" s="151"/>
      <c r="T60" s="151">
        <v>591</v>
      </c>
      <c r="U60" s="151"/>
      <c r="V60" s="151">
        <v>483356</v>
      </c>
      <c r="W60" s="151"/>
      <c r="X60" s="151">
        <v>586431.56999999995</v>
      </c>
      <c r="Y60" s="152"/>
      <c r="Z60" s="153">
        <f t="shared" si="11"/>
        <v>5.7233887274877996E-8</v>
      </c>
      <c r="AA60" s="146"/>
      <c r="AE60" s="154"/>
      <c r="AF60" s="154"/>
      <c r="AH60" s="154"/>
    </row>
    <row r="61" spans="2:34" ht="41.25" customHeight="1" x14ac:dyDescent="0.65">
      <c r="B61" s="150" t="s">
        <v>168</v>
      </c>
      <c r="C61" s="146"/>
      <c r="D61" s="151">
        <v>175000</v>
      </c>
      <c r="E61" s="151"/>
      <c r="F61" s="151">
        <v>6829900358</v>
      </c>
      <c r="G61" s="151"/>
      <c r="H61" s="151">
        <v>8343750362.5</v>
      </c>
      <c r="I61" s="151">
        <v>142188912000</v>
      </c>
      <c r="J61" s="151">
        <v>0</v>
      </c>
      <c r="K61" s="151"/>
      <c r="L61" s="151">
        <v>0</v>
      </c>
      <c r="M61" s="151"/>
      <c r="N61" s="151">
        <v>-175000</v>
      </c>
      <c r="O61" s="151"/>
      <c r="P61" s="151">
        <v>8530978900</v>
      </c>
      <c r="Q61" s="151"/>
      <c r="R61" s="151">
        <v>0</v>
      </c>
      <c r="S61" s="151"/>
      <c r="T61" s="151">
        <v>0</v>
      </c>
      <c r="U61" s="151"/>
      <c r="V61" s="151">
        <v>0</v>
      </c>
      <c r="W61" s="151"/>
      <c r="X61" s="151">
        <v>0</v>
      </c>
      <c r="Y61" s="152"/>
      <c r="Z61" s="153">
        <f t="shared" si="11"/>
        <v>0</v>
      </c>
      <c r="AA61" s="146"/>
      <c r="AE61" s="154"/>
      <c r="AF61" s="154"/>
      <c r="AH61" s="154"/>
    </row>
    <row r="62" spans="2:34" ht="41.25" customHeight="1" x14ac:dyDescent="0.65">
      <c r="B62" s="150" t="s">
        <v>127</v>
      </c>
      <c r="C62" s="146"/>
      <c r="D62" s="151">
        <v>1000</v>
      </c>
      <c r="E62" s="151"/>
      <c r="F62" s="151">
        <v>2644103</v>
      </c>
      <c r="G62" s="151"/>
      <c r="H62" s="151">
        <v>2142310.9300000002</v>
      </c>
      <c r="I62" s="151">
        <v>16610575.5</v>
      </c>
      <c r="J62" s="151">
        <v>0</v>
      </c>
      <c r="K62" s="151"/>
      <c r="L62" s="151">
        <v>0</v>
      </c>
      <c r="M62" s="151"/>
      <c r="N62" s="151">
        <v>0</v>
      </c>
      <c r="O62" s="151"/>
      <c r="P62" s="151">
        <v>0</v>
      </c>
      <c r="Q62" s="151"/>
      <c r="R62" s="151">
        <v>1000</v>
      </c>
      <c r="S62" s="151"/>
      <c r="T62" s="151">
        <v>2554</v>
      </c>
      <c r="U62" s="151"/>
      <c r="V62" s="151">
        <v>2644103</v>
      </c>
      <c r="W62" s="151"/>
      <c r="X62" s="151">
        <v>2534257.58</v>
      </c>
      <c r="Y62" s="152"/>
      <c r="Z62" s="153">
        <f t="shared" si="11"/>
        <v>2.4733561438246774E-7</v>
      </c>
      <c r="AA62" s="146"/>
      <c r="AE62" s="154"/>
      <c r="AF62" s="154"/>
      <c r="AH62" s="154"/>
    </row>
    <row r="63" spans="2:34" ht="41.25" customHeight="1" x14ac:dyDescent="0.65">
      <c r="B63" s="150" t="s">
        <v>128</v>
      </c>
      <c r="C63" s="146"/>
      <c r="D63" s="151">
        <v>9947000</v>
      </c>
      <c r="E63" s="151"/>
      <c r="F63" s="151">
        <v>27785584232</v>
      </c>
      <c r="G63" s="151"/>
      <c r="H63" s="151">
        <v>24477872020</v>
      </c>
      <c r="I63" s="151">
        <v>16988314.5</v>
      </c>
      <c r="J63" s="151">
        <v>0</v>
      </c>
      <c r="K63" s="151"/>
      <c r="L63" s="151">
        <v>0</v>
      </c>
      <c r="M63" s="151"/>
      <c r="N63" s="151">
        <v>-3947000</v>
      </c>
      <c r="O63" s="151"/>
      <c r="P63" s="151">
        <v>9518756542</v>
      </c>
      <c r="Q63" s="151"/>
      <c r="R63" s="151">
        <v>6000000</v>
      </c>
      <c r="S63" s="151"/>
      <c r="T63" s="151">
        <v>3082</v>
      </c>
      <c r="U63" s="151"/>
      <c r="V63" s="151">
        <v>16760179492</v>
      </c>
      <c r="W63" s="151"/>
      <c r="X63" s="151">
        <v>18349056840</v>
      </c>
      <c r="Y63" s="152"/>
      <c r="Z63" s="153">
        <f t="shared" si="11"/>
        <v>1.7908105642758781E-3</v>
      </c>
      <c r="AA63" s="146"/>
      <c r="AE63" s="154"/>
      <c r="AF63" s="154"/>
      <c r="AH63" s="154"/>
    </row>
    <row r="64" spans="2:34" ht="41.25" customHeight="1" x14ac:dyDescent="0.65">
      <c r="B64" s="150" t="s">
        <v>129</v>
      </c>
      <c r="C64" s="146"/>
      <c r="D64" s="151">
        <v>78400000</v>
      </c>
      <c r="E64" s="151"/>
      <c r="F64" s="151">
        <v>487755021529</v>
      </c>
      <c r="G64" s="151"/>
      <c r="H64" s="151">
        <v>678363400960</v>
      </c>
      <c r="I64" s="151">
        <v>308105797500</v>
      </c>
      <c r="J64" s="151">
        <v>30033319</v>
      </c>
      <c r="K64" s="151"/>
      <c r="L64" s="151">
        <v>328526852470</v>
      </c>
      <c r="M64" s="151"/>
      <c r="N64" s="151">
        <v>-448124</v>
      </c>
      <c r="O64" s="151"/>
      <c r="P64" s="151">
        <v>4191239577</v>
      </c>
      <c r="Q64" s="151"/>
      <c r="R64" s="151">
        <v>107985195</v>
      </c>
      <c r="S64" s="151"/>
      <c r="T64" s="151">
        <v>11590</v>
      </c>
      <c r="U64" s="151"/>
      <c r="V64" s="151">
        <v>813459726946</v>
      </c>
      <c r="W64" s="151"/>
      <c r="X64" s="151">
        <v>1241873940840.3101</v>
      </c>
      <c r="Y64" s="152"/>
      <c r="Z64" s="153">
        <f t="shared" si="11"/>
        <v>0.12120301289315447</v>
      </c>
      <c r="AA64" s="146"/>
      <c r="AE64" s="154"/>
      <c r="AF64" s="154"/>
      <c r="AH64" s="154"/>
    </row>
    <row r="65" spans="2:34" ht="41.25" customHeight="1" x14ac:dyDescent="0.65">
      <c r="B65" s="150" t="s">
        <v>181</v>
      </c>
      <c r="C65" s="146"/>
      <c r="D65" s="151">
        <v>2717349</v>
      </c>
      <c r="E65" s="151"/>
      <c r="F65" s="151">
        <v>11710429164</v>
      </c>
      <c r="G65" s="151"/>
      <c r="H65" s="151">
        <v>10658647405.985201</v>
      </c>
      <c r="I65" s="151">
        <v>227635959360</v>
      </c>
      <c r="J65" s="151">
        <v>0</v>
      </c>
      <c r="K65" s="151"/>
      <c r="L65" s="151">
        <v>0</v>
      </c>
      <c r="M65" s="151"/>
      <c r="N65" s="151">
        <v>-17349</v>
      </c>
      <c r="O65" s="151"/>
      <c r="P65" s="151">
        <v>69312524</v>
      </c>
      <c r="Q65" s="151"/>
      <c r="R65" s="151">
        <v>2700000</v>
      </c>
      <c r="S65" s="151"/>
      <c r="T65" s="151">
        <v>5119</v>
      </c>
      <c r="U65" s="151"/>
      <c r="V65" s="151">
        <v>11635663561</v>
      </c>
      <c r="W65" s="151"/>
      <c r="X65" s="151">
        <v>13714461350</v>
      </c>
      <c r="Y65" s="152"/>
      <c r="Z65" s="153">
        <f t="shared" si="11"/>
        <v>1.3384885382988012E-3</v>
      </c>
      <c r="AA65" s="146"/>
      <c r="AE65" s="154"/>
      <c r="AF65" s="154"/>
      <c r="AH65" s="154"/>
    </row>
    <row r="66" spans="2:34" ht="41.25" customHeight="1" x14ac:dyDescent="0.65">
      <c r="B66" s="150" t="s">
        <v>252</v>
      </c>
      <c r="C66" s="146"/>
      <c r="D66" s="151">
        <v>360000</v>
      </c>
      <c r="E66" s="151"/>
      <c r="F66" s="151">
        <v>3620597726</v>
      </c>
      <c r="G66" s="151"/>
      <c r="H66" s="151">
        <v>4793854824</v>
      </c>
      <c r="I66" s="151">
        <v>289349068050</v>
      </c>
      <c r="J66" s="151">
        <v>0</v>
      </c>
      <c r="K66" s="151"/>
      <c r="L66" s="151">
        <v>0</v>
      </c>
      <c r="M66" s="151"/>
      <c r="N66" s="151">
        <v>0</v>
      </c>
      <c r="O66" s="151"/>
      <c r="P66" s="151">
        <v>0</v>
      </c>
      <c r="Q66" s="151"/>
      <c r="R66" s="151">
        <v>360000</v>
      </c>
      <c r="S66" s="151"/>
      <c r="T66" s="151">
        <v>12640</v>
      </c>
      <c r="U66" s="151"/>
      <c r="V66" s="151">
        <v>3620597726</v>
      </c>
      <c r="W66" s="151"/>
      <c r="X66" s="151">
        <v>4515225408</v>
      </c>
      <c r="Y66" s="152"/>
      <c r="Z66" s="153">
        <f t="shared" si="11"/>
        <v>4.4067187928190332E-4</v>
      </c>
      <c r="AA66" s="146"/>
      <c r="AE66" s="154"/>
      <c r="AF66" s="154"/>
      <c r="AH66" s="154"/>
    </row>
    <row r="67" spans="2:34" ht="41.25" customHeight="1" x14ac:dyDescent="0.65">
      <c r="B67" s="150" t="s">
        <v>139</v>
      </c>
      <c r="C67" s="146"/>
      <c r="D67" s="151">
        <v>25000000</v>
      </c>
      <c r="E67" s="151"/>
      <c r="F67" s="151">
        <v>185972507711</v>
      </c>
      <c r="G67" s="151"/>
      <c r="H67" s="151">
        <v>143134947500</v>
      </c>
      <c r="I67" s="151"/>
      <c r="J67" s="151">
        <v>1000000</v>
      </c>
      <c r="K67" s="151"/>
      <c r="L67" s="151">
        <v>7345349020</v>
      </c>
      <c r="M67" s="151"/>
      <c r="N67" s="151">
        <v>-5000000</v>
      </c>
      <c r="O67" s="151"/>
      <c r="P67" s="151">
        <v>32116725794</v>
      </c>
      <c r="Q67" s="151"/>
      <c r="R67" s="151">
        <v>21000000</v>
      </c>
      <c r="S67" s="151"/>
      <c r="T67" s="151">
        <v>7540</v>
      </c>
      <c r="U67" s="151"/>
      <c r="V67" s="151">
        <v>156123355184</v>
      </c>
      <c r="W67" s="151"/>
      <c r="X67" s="151">
        <v>157116031800</v>
      </c>
      <c r="Y67" s="152"/>
      <c r="Z67" s="153">
        <f t="shared" si="11"/>
        <v>1.5334033352122137E-2</v>
      </c>
      <c r="AA67" s="146"/>
      <c r="AE67" s="154"/>
      <c r="AF67" s="154"/>
      <c r="AH67" s="154"/>
    </row>
    <row r="68" spans="2:34" ht="41.25" customHeight="1" x14ac:dyDescent="0.65">
      <c r="B68" s="150" t="s">
        <v>237</v>
      </c>
      <c r="C68" s="146"/>
      <c r="D68" s="151">
        <v>20000000</v>
      </c>
      <c r="E68" s="151"/>
      <c r="F68" s="151">
        <v>51445711257</v>
      </c>
      <c r="G68" s="151"/>
      <c r="H68" s="151">
        <v>61123832000</v>
      </c>
      <c r="I68" s="151"/>
      <c r="J68" s="151">
        <v>0</v>
      </c>
      <c r="K68" s="151"/>
      <c r="L68" s="151">
        <v>0</v>
      </c>
      <c r="M68" s="151"/>
      <c r="N68" s="151">
        <v>-20000000</v>
      </c>
      <c r="O68" s="151"/>
      <c r="P68" s="151">
        <v>72088004681</v>
      </c>
      <c r="Q68" s="151"/>
      <c r="R68" s="151">
        <v>0</v>
      </c>
      <c r="S68" s="151"/>
      <c r="T68" s="151">
        <v>0</v>
      </c>
      <c r="U68" s="151"/>
      <c r="V68" s="151">
        <v>0</v>
      </c>
      <c r="W68" s="151"/>
      <c r="X68" s="151">
        <v>0</v>
      </c>
      <c r="Y68" s="152"/>
      <c r="Z68" s="153">
        <f t="shared" si="11"/>
        <v>0</v>
      </c>
      <c r="AA68" s="146"/>
      <c r="AE68" s="154"/>
      <c r="AF68" s="154"/>
      <c r="AH68" s="154"/>
    </row>
    <row r="69" spans="2:34" ht="41.25" customHeight="1" x14ac:dyDescent="0.65">
      <c r="B69" s="150" t="s">
        <v>262</v>
      </c>
      <c r="C69" s="146"/>
      <c r="D69" s="151">
        <v>0</v>
      </c>
      <c r="E69" s="151"/>
      <c r="F69" s="151">
        <v>0</v>
      </c>
      <c r="G69" s="151"/>
      <c r="H69" s="151">
        <v>0</v>
      </c>
      <c r="I69" s="151"/>
      <c r="J69" s="151">
        <v>40000000</v>
      </c>
      <c r="K69" s="151"/>
      <c r="L69" s="151">
        <v>53183846240</v>
      </c>
      <c r="M69" s="151"/>
      <c r="N69" s="151">
        <v>0</v>
      </c>
      <c r="O69" s="151"/>
      <c r="P69" s="151">
        <v>0</v>
      </c>
      <c r="Q69" s="151"/>
      <c r="R69" s="151">
        <v>40000000</v>
      </c>
      <c r="S69" s="151"/>
      <c r="T69" s="151">
        <v>1327</v>
      </c>
      <c r="U69" s="151"/>
      <c r="V69" s="151">
        <v>53183846240</v>
      </c>
      <c r="W69" s="151"/>
      <c r="X69" s="151">
        <v>52669691600</v>
      </c>
      <c r="Y69" s="152"/>
      <c r="Z69" s="153">
        <f t="shared" si="11"/>
        <v>5.1403971853646773E-3</v>
      </c>
      <c r="AA69" s="146"/>
      <c r="AE69" s="154"/>
      <c r="AF69" s="154"/>
      <c r="AH69" s="154"/>
    </row>
    <row r="70" spans="2:34" ht="41.25" customHeight="1" x14ac:dyDescent="0.65">
      <c r="B70" s="150" t="s">
        <v>263</v>
      </c>
      <c r="C70" s="146"/>
      <c r="D70" s="151">
        <v>0</v>
      </c>
      <c r="E70" s="151"/>
      <c r="F70" s="151">
        <v>0</v>
      </c>
      <c r="G70" s="151"/>
      <c r="H70" s="151">
        <v>0</v>
      </c>
      <c r="I70" s="151"/>
      <c r="J70" s="151">
        <v>1000000</v>
      </c>
      <c r="K70" s="151"/>
      <c r="L70" s="151">
        <v>13578102653</v>
      </c>
      <c r="M70" s="151"/>
      <c r="N70" s="151">
        <v>0</v>
      </c>
      <c r="O70" s="151"/>
      <c r="P70" s="151">
        <v>0</v>
      </c>
      <c r="Q70" s="151"/>
      <c r="R70" s="151">
        <v>1000000</v>
      </c>
      <c r="S70" s="151"/>
      <c r="T70" s="151">
        <v>13950</v>
      </c>
      <c r="U70" s="151"/>
      <c r="V70" s="151">
        <v>13578102653</v>
      </c>
      <c r="W70" s="151"/>
      <c r="X70" s="151">
        <v>13842166500</v>
      </c>
      <c r="Y70" s="152"/>
      <c r="Z70" s="153">
        <f t="shared" si="11"/>
        <v>1.3509521615643792E-3</v>
      </c>
      <c r="AA70" s="146"/>
      <c r="AE70" s="154"/>
      <c r="AF70" s="154"/>
      <c r="AH70" s="154"/>
    </row>
    <row r="71" spans="2:34" ht="41.25" customHeight="1" x14ac:dyDescent="0.65">
      <c r="B71" s="150" t="s">
        <v>264</v>
      </c>
      <c r="C71" s="146"/>
      <c r="D71" s="151">
        <v>0</v>
      </c>
      <c r="E71" s="151"/>
      <c r="F71" s="151">
        <v>0</v>
      </c>
      <c r="G71" s="151"/>
      <c r="H71" s="151">
        <v>0</v>
      </c>
      <c r="I71" s="151"/>
      <c r="J71" s="151">
        <v>267500</v>
      </c>
      <c r="K71" s="151"/>
      <c r="L71" s="151">
        <v>7575228505</v>
      </c>
      <c r="M71" s="151"/>
      <c r="N71" s="151">
        <v>0</v>
      </c>
      <c r="O71" s="151"/>
      <c r="P71" s="151">
        <v>0</v>
      </c>
      <c r="Q71" s="151"/>
      <c r="R71" s="151">
        <v>267500</v>
      </c>
      <c r="S71" s="151"/>
      <c r="T71" s="151">
        <v>29700</v>
      </c>
      <c r="U71" s="151"/>
      <c r="V71" s="151">
        <v>7575228505</v>
      </c>
      <c r="W71" s="151"/>
      <c r="X71" s="151">
        <v>7883337080</v>
      </c>
      <c r="Y71" s="152"/>
      <c r="Z71" s="153">
        <f t="shared" si="11"/>
        <v>7.6938904531791477E-4</v>
      </c>
      <c r="AA71" s="146"/>
      <c r="AE71" s="154"/>
      <c r="AF71" s="154"/>
      <c r="AH71" s="154"/>
    </row>
    <row r="72" spans="2:34" ht="41.25" customHeight="1" x14ac:dyDescent="0.65">
      <c r="B72" s="150" t="s">
        <v>265</v>
      </c>
      <c r="C72" s="146"/>
      <c r="D72" s="151">
        <v>0</v>
      </c>
      <c r="E72" s="151"/>
      <c r="F72" s="151">
        <v>0</v>
      </c>
      <c r="G72" s="151"/>
      <c r="H72" s="151">
        <v>0</v>
      </c>
      <c r="I72" s="151"/>
      <c r="J72" s="151">
        <v>4276</v>
      </c>
      <c r="K72" s="151"/>
      <c r="L72" s="151">
        <v>9996793</v>
      </c>
      <c r="M72" s="151"/>
      <c r="N72" s="151">
        <v>-4276</v>
      </c>
      <c r="O72" s="151"/>
      <c r="P72" s="151">
        <v>10503083</v>
      </c>
      <c r="Q72" s="151"/>
      <c r="R72" s="151">
        <v>0</v>
      </c>
      <c r="S72" s="151"/>
      <c r="T72" s="151">
        <v>0</v>
      </c>
      <c r="U72" s="151"/>
      <c r="V72" s="151">
        <v>0</v>
      </c>
      <c r="W72" s="151"/>
      <c r="X72" s="151">
        <v>0</v>
      </c>
      <c r="Y72" s="152"/>
      <c r="Z72" s="153">
        <f t="shared" si="11"/>
        <v>0</v>
      </c>
      <c r="AA72" s="146"/>
      <c r="AE72" s="154"/>
      <c r="AF72" s="154"/>
      <c r="AH72" s="154"/>
    </row>
    <row r="73" spans="2:34" ht="41.25" customHeight="1" x14ac:dyDescent="0.65">
      <c r="B73" s="150" t="s">
        <v>266</v>
      </c>
      <c r="C73" s="146"/>
      <c r="D73" s="151">
        <v>0</v>
      </c>
      <c r="E73" s="151"/>
      <c r="F73" s="151">
        <v>0</v>
      </c>
      <c r="G73" s="151"/>
      <c r="H73" s="151">
        <v>0</v>
      </c>
      <c r="I73" s="151"/>
      <c r="J73" s="151">
        <v>515000</v>
      </c>
      <c r="K73" s="151"/>
      <c r="L73" s="151">
        <v>8540927220</v>
      </c>
      <c r="M73" s="151"/>
      <c r="N73" s="151">
        <v>0</v>
      </c>
      <c r="O73" s="151"/>
      <c r="P73" s="151">
        <v>0</v>
      </c>
      <c r="Q73" s="151"/>
      <c r="R73" s="151">
        <v>515000</v>
      </c>
      <c r="S73" s="151"/>
      <c r="T73" s="151">
        <v>20260</v>
      </c>
      <c r="U73" s="151"/>
      <c r="V73" s="151">
        <v>8540927220</v>
      </c>
      <c r="W73" s="151"/>
      <c r="X73" s="151">
        <v>10353245950</v>
      </c>
      <c r="Y73" s="152"/>
      <c r="Z73" s="153">
        <f t="shared" si="11"/>
        <v>1.0104444268431646E-3</v>
      </c>
      <c r="AA73" s="146"/>
      <c r="AE73" s="154"/>
      <c r="AF73" s="154"/>
      <c r="AH73" s="154"/>
    </row>
    <row r="74" spans="2:34" ht="41.25" customHeight="1" x14ac:dyDescent="0.65">
      <c r="B74" s="150" t="s">
        <v>267</v>
      </c>
      <c r="C74" s="146"/>
      <c r="D74" s="151">
        <v>0</v>
      </c>
      <c r="E74" s="151"/>
      <c r="F74" s="151">
        <v>0</v>
      </c>
      <c r="G74" s="151"/>
      <c r="H74" s="151">
        <v>0</v>
      </c>
      <c r="I74" s="151"/>
      <c r="J74" s="151">
        <v>0</v>
      </c>
      <c r="K74" s="151"/>
      <c r="L74" s="151">
        <v>0</v>
      </c>
      <c r="M74" s="151"/>
      <c r="N74" s="151">
        <v>0</v>
      </c>
      <c r="O74" s="151"/>
      <c r="P74" s="151">
        <v>0</v>
      </c>
      <c r="Q74" s="151"/>
      <c r="R74" s="151">
        <v>2083</v>
      </c>
      <c r="S74" s="151"/>
      <c r="T74" s="151">
        <v>5020</v>
      </c>
      <c r="U74" s="151"/>
      <c r="V74" s="151">
        <v>8311170</v>
      </c>
      <c r="W74" s="151"/>
      <c r="X74" s="151">
        <v>10375830.018200001</v>
      </c>
      <c r="Y74" s="152"/>
      <c r="Z74" s="153">
        <f t="shared" ref="Z74" si="12">X74/$Z$84</f>
        <v>1.0126485612719557E-6</v>
      </c>
      <c r="AA74" s="146"/>
      <c r="AE74" s="154"/>
      <c r="AF74" s="154"/>
      <c r="AH74" s="154"/>
    </row>
    <row r="75" spans="2:34" ht="41.25" customHeight="1" x14ac:dyDescent="0.65">
      <c r="B75" s="150" t="s">
        <v>137</v>
      </c>
      <c r="C75" s="146"/>
      <c r="D75" s="151">
        <v>0</v>
      </c>
      <c r="E75" s="151"/>
      <c r="F75" s="151">
        <v>0</v>
      </c>
      <c r="G75" s="151"/>
      <c r="H75" s="151">
        <v>0</v>
      </c>
      <c r="I75" s="151"/>
      <c r="J75" s="151">
        <v>100000</v>
      </c>
      <c r="K75" s="151"/>
      <c r="L75" s="151">
        <v>2087361792</v>
      </c>
      <c r="M75" s="151"/>
      <c r="N75" s="151">
        <v>0</v>
      </c>
      <c r="O75" s="151"/>
      <c r="P75" s="151">
        <v>0</v>
      </c>
      <c r="Q75" s="151"/>
      <c r="R75" s="151">
        <v>100000</v>
      </c>
      <c r="S75" s="151"/>
      <c r="T75" s="151">
        <v>26550</v>
      </c>
      <c r="U75" s="151"/>
      <c r="V75" s="151">
        <v>2087361792</v>
      </c>
      <c r="W75" s="151"/>
      <c r="X75" s="151">
        <v>2634476850</v>
      </c>
      <c r="Y75" s="152"/>
      <c r="Z75" s="153">
        <f>X75/$Z$84</f>
        <v>2.5711670171709155E-4</v>
      </c>
      <c r="AA75" s="146"/>
      <c r="AE75" s="154"/>
      <c r="AF75" s="154"/>
      <c r="AH75" s="154"/>
    </row>
    <row r="76" spans="2:34" ht="41.25" customHeight="1" x14ac:dyDescent="0.65">
      <c r="B76" s="150" t="s">
        <v>268</v>
      </c>
      <c r="C76" s="146"/>
      <c r="D76" s="151">
        <v>0</v>
      </c>
      <c r="E76" s="151"/>
      <c r="F76" s="151">
        <v>0</v>
      </c>
      <c r="G76" s="151"/>
      <c r="H76" s="151">
        <v>0</v>
      </c>
      <c r="I76" s="151"/>
      <c r="J76" s="151">
        <v>750000</v>
      </c>
      <c r="K76" s="151"/>
      <c r="L76" s="151">
        <v>13565576775</v>
      </c>
      <c r="M76" s="151"/>
      <c r="N76" s="151">
        <v>-375000</v>
      </c>
      <c r="O76" s="151"/>
      <c r="P76" s="151">
        <v>9494032594</v>
      </c>
      <c r="Q76" s="151"/>
      <c r="R76" s="151">
        <v>375000</v>
      </c>
      <c r="S76" s="151"/>
      <c r="T76" s="151">
        <v>27100</v>
      </c>
      <c r="U76" s="151"/>
      <c r="V76" s="151">
        <v>6782788386</v>
      </c>
      <c r="W76" s="151"/>
      <c r="X76" s="151">
        <v>10083943875</v>
      </c>
      <c r="Y76" s="152"/>
      <c r="Z76" s="153">
        <f>X76/$Z$84</f>
        <v>9.8416138651598599E-4</v>
      </c>
      <c r="AA76" s="146"/>
      <c r="AE76" s="154"/>
      <c r="AF76" s="154"/>
      <c r="AH76" s="154"/>
    </row>
    <row r="77" spans="2:34" ht="41.25" customHeight="1" thickBot="1" x14ac:dyDescent="0.7">
      <c r="B77" s="140" t="s">
        <v>7</v>
      </c>
      <c r="C77" s="146"/>
      <c r="D77" s="132">
        <f>SUM(D56:D76)</f>
        <v>1787009492</v>
      </c>
      <c r="E77" s="132" t="e">
        <f>SUM(E9:E76)</f>
        <v>#REF!</v>
      </c>
      <c r="F77" s="132">
        <f>SUM(F56:F76)</f>
        <v>6218407813866</v>
      </c>
      <c r="G77" s="132" t="e">
        <f>SUM(G9:G76)</f>
        <v>#REF!</v>
      </c>
      <c r="H77" s="132">
        <f>SUM(H56:H76)</f>
        <v>6884073438403.5527</v>
      </c>
      <c r="I77" s="132" t="e">
        <f>SUM(I9:I76)</f>
        <v>#REF!</v>
      </c>
      <c r="J77" s="132">
        <f>SUM(J56:J76)</f>
        <v>368247387</v>
      </c>
      <c r="K77" s="132" t="e">
        <f>SUM(K9:K76)</f>
        <v>#REF!</v>
      </c>
      <c r="L77" s="132">
        <f>SUM(L56:L76)</f>
        <v>1707640812259</v>
      </c>
      <c r="M77" s="132" t="e">
        <f>SUM(M9:M76)</f>
        <v>#REF!</v>
      </c>
      <c r="N77" s="132">
        <f>SUM(N56:N76)</f>
        <v>-91891386</v>
      </c>
      <c r="O77" s="132" t="e">
        <f>SUM(O9:O76)</f>
        <v>#REF!</v>
      </c>
      <c r="P77" s="132">
        <f>SUM(P56:P76)</f>
        <v>440546564420</v>
      </c>
      <c r="Q77" s="132" t="e">
        <f>SUM(Q9:Q76)</f>
        <v>#REF!</v>
      </c>
      <c r="R77" s="132">
        <f>SUM(R56:R76)</f>
        <v>2063368359</v>
      </c>
      <c r="S77" s="132" t="e">
        <f>SUM(S9:S76)</f>
        <v>#REF!</v>
      </c>
      <c r="T77" s="132">
        <f>SUM(T56:T76)</f>
        <v>1097065</v>
      </c>
      <c r="U77" s="132" t="e">
        <f>SUM(U9:U76)</f>
        <v>#REF!</v>
      </c>
      <c r="V77" s="132">
        <f>SUM(V56:V76)</f>
        <v>7515615098697</v>
      </c>
      <c r="W77" s="132" t="e">
        <f>SUM(W9:W76)</f>
        <v>#REF!</v>
      </c>
      <c r="X77" s="132">
        <f>SUM(X56:X76)</f>
        <v>10024235910709.777</v>
      </c>
      <c r="Y77" s="132" t="e">
        <f>SUM(Y9:Y76)</f>
        <v>#REF!</v>
      </c>
      <c r="Z77" s="300">
        <f>SUM(Z56:Z76)</f>
        <v>0.97833407592696198</v>
      </c>
      <c r="AC77" s="157"/>
    </row>
    <row r="78" spans="2:34" ht="30.75" thickTop="1" x14ac:dyDescent="0.75">
      <c r="H78" s="311"/>
      <c r="J78" s="154"/>
      <c r="L78" s="154"/>
      <c r="N78" s="127"/>
      <c r="O78" s="127"/>
      <c r="P78" s="154"/>
      <c r="X78" s="154"/>
      <c r="Z78" s="286"/>
      <c r="AC78" s="157"/>
    </row>
    <row r="79" spans="2:34" ht="30" hidden="1" customHeight="1" x14ac:dyDescent="0.75">
      <c r="H79" s="311"/>
      <c r="W79" s="127"/>
      <c r="X79" s="127"/>
      <c r="Z79" s="286"/>
      <c r="AC79" s="157"/>
    </row>
    <row r="80" spans="2:34" ht="42.75" customHeight="1" x14ac:dyDescent="0.75">
      <c r="D80" s="154"/>
      <c r="F80" s="154"/>
      <c r="H80" s="290"/>
      <c r="J80" s="154"/>
      <c r="L80" s="154"/>
      <c r="M80" s="154"/>
      <c r="N80" s="154"/>
      <c r="O80" s="154"/>
      <c r="P80" s="154"/>
      <c r="R80" s="154"/>
      <c r="T80" s="154"/>
      <c r="V80" s="154"/>
      <c r="X80" s="312"/>
      <c r="Z80" s="286"/>
      <c r="AC80" s="157"/>
    </row>
    <row r="81" spans="4:29" ht="30" x14ac:dyDescent="0.75">
      <c r="D81" s="159"/>
      <c r="E81" s="159"/>
      <c r="F81" s="159"/>
      <c r="G81" s="159"/>
      <c r="H81" s="290"/>
      <c r="I81" s="159"/>
      <c r="J81" s="159"/>
      <c r="K81" s="159"/>
      <c r="L81" s="159"/>
      <c r="M81" s="159"/>
      <c r="N81" s="159"/>
      <c r="O81" s="159"/>
      <c r="P81" s="159"/>
      <c r="R81" s="159"/>
      <c r="S81" s="159"/>
      <c r="T81" s="159"/>
      <c r="W81" s="127"/>
      <c r="X81" s="291"/>
      <c r="Z81" s="286"/>
      <c r="AC81" s="157"/>
    </row>
    <row r="82" spans="4:29" ht="30" x14ac:dyDescent="0.75">
      <c r="H82" s="290"/>
      <c r="J82" s="159"/>
      <c r="L82" s="154"/>
      <c r="N82" s="159"/>
      <c r="P82" s="154"/>
      <c r="X82" s="290"/>
      <c r="AC82" s="157"/>
    </row>
    <row r="83" spans="4:29" x14ac:dyDescent="0.65">
      <c r="P83" s="154"/>
      <c r="X83" s="159"/>
      <c r="AC83" s="157"/>
    </row>
    <row r="84" spans="4:29" ht="30" x14ac:dyDescent="0.75">
      <c r="H84" s="159"/>
      <c r="P84" s="154"/>
      <c r="R84" s="314"/>
      <c r="Z84" s="315">
        <v>10246229950860</v>
      </c>
      <c r="AC84" s="157"/>
    </row>
    <row r="85" spans="4:29" x14ac:dyDescent="0.65">
      <c r="P85" s="154"/>
      <c r="Z85" s="154"/>
      <c r="AC85" s="157"/>
    </row>
    <row r="86" spans="4:29" x14ac:dyDescent="0.65">
      <c r="P86" s="154"/>
      <c r="Z86" s="151"/>
      <c r="AC86" s="157"/>
    </row>
    <row r="87" spans="4:29" x14ac:dyDescent="0.65">
      <c r="P87" s="154"/>
      <c r="Z87" s="160"/>
      <c r="AC87" s="157"/>
    </row>
    <row r="88" spans="4:29" x14ac:dyDescent="0.65">
      <c r="P88" s="154"/>
      <c r="AC88" s="157"/>
    </row>
    <row r="89" spans="4:29" x14ac:dyDescent="0.65">
      <c r="P89" s="154"/>
      <c r="AC89" s="157"/>
    </row>
    <row r="90" spans="4:29" x14ac:dyDescent="0.65">
      <c r="P90" s="154"/>
      <c r="AC90" s="157"/>
    </row>
    <row r="91" spans="4:29" x14ac:dyDescent="0.65">
      <c r="P91" s="154"/>
      <c r="AC91" s="157"/>
    </row>
    <row r="92" spans="4:29" x14ac:dyDescent="0.65">
      <c r="P92" s="154"/>
      <c r="AC92" s="157"/>
    </row>
    <row r="93" spans="4:29" x14ac:dyDescent="0.65">
      <c r="P93" s="154"/>
      <c r="AC93" s="157"/>
    </row>
    <row r="94" spans="4:29" x14ac:dyDescent="0.65">
      <c r="P94" s="154"/>
      <c r="AC94" s="157"/>
    </row>
    <row r="95" spans="4:29" x14ac:dyDescent="0.65">
      <c r="P95" s="154"/>
      <c r="AC95" s="157"/>
    </row>
    <row r="96" spans="4:29" x14ac:dyDescent="0.65">
      <c r="P96" s="154"/>
      <c r="AC96" s="157"/>
    </row>
    <row r="97" spans="16:29" x14ac:dyDescent="0.65">
      <c r="P97" s="154"/>
      <c r="AC97" s="157"/>
    </row>
    <row r="98" spans="16:29" x14ac:dyDescent="0.65">
      <c r="P98" s="154"/>
      <c r="AC98" s="157"/>
    </row>
    <row r="99" spans="16:29" x14ac:dyDescent="0.65">
      <c r="P99" s="154"/>
      <c r="AC99" s="157"/>
    </row>
    <row r="100" spans="16:29" x14ac:dyDescent="0.65">
      <c r="P100" s="154"/>
      <c r="AC100" s="157"/>
    </row>
    <row r="101" spans="16:29" x14ac:dyDescent="0.65">
      <c r="P101" s="154"/>
      <c r="AC101" s="157"/>
    </row>
    <row r="102" spans="16:29" x14ac:dyDescent="0.65">
      <c r="P102" s="154"/>
      <c r="AC102" s="157"/>
    </row>
    <row r="103" spans="16:29" x14ac:dyDescent="0.65">
      <c r="P103" s="154"/>
      <c r="AC103" s="157"/>
    </row>
    <row r="104" spans="16:29" x14ac:dyDescent="0.65">
      <c r="P104" s="154"/>
      <c r="AC104" s="157"/>
    </row>
    <row r="105" spans="16:29" x14ac:dyDescent="0.65">
      <c r="P105" s="154"/>
      <c r="AC105" s="157"/>
    </row>
    <row r="106" spans="16:29" x14ac:dyDescent="0.65">
      <c r="P106" s="154"/>
      <c r="AC106" s="157"/>
    </row>
    <row r="107" spans="16:29" x14ac:dyDescent="0.65">
      <c r="P107" s="154"/>
      <c r="AC107" s="157"/>
    </row>
    <row r="108" spans="16:29" x14ac:dyDescent="0.65">
      <c r="P108" s="154"/>
      <c r="AC108" s="157"/>
    </row>
    <row r="109" spans="16:29" x14ac:dyDescent="0.65">
      <c r="P109" s="154"/>
      <c r="AC109" s="161"/>
    </row>
    <row r="110" spans="16:29" x14ac:dyDescent="0.65">
      <c r="P110" s="154"/>
      <c r="AC110" s="157"/>
    </row>
    <row r="111" spans="16:29" x14ac:dyDescent="0.65">
      <c r="P111" s="154"/>
      <c r="AC111" s="157"/>
    </row>
    <row r="112" spans="16:29" x14ac:dyDescent="0.65">
      <c r="P112" s="154"/>
      <c r="AC112" s="157"/>
    </row>
    <row r="113" spans="16:29" x14ac:dyDescent="0.65">
      <c r="P113" s="154"/>
      <c r="AC113" s="157"/>
    </row>
    <row r="114" spans="16:29" x14ac:dyDescent="0.65">
      <c r="P114" s="154"/>
      <c r="AC114" s="157"/>
    </row>
    <row r="115" spans="16:29" x14ac:dyDescent="0.65">
      <c r="P115" s="154"/>
      <c r="AC115" s="157"/>
    </row>
    <row r="116" spans="16:29" x14ac:dyDescent="0.65">
      <c r="P116" s="154"/>
      <c r="AC116" s="157"/>
    </row>
    <row r="117" spans="16:29" x14ac:dyDescent="0.65">
      <c r="P117" s="154"/>
      <c r="AC117" s="157"/>
    </row>
    <row r="118" spans="16:29" x14ac:dyDescent="0.65">
      <c r="P118" s="154"/>
      <c r="AC118" s="157"/>
    </row>
    <row r="119" spans="16:29" x14ac:dyDescent="0.65">
      <c r="P119" s="154"/>
      <c r="AC119" s="157"/>
    </row>
    <row r="120" spans="16:29" x14ac:dyDescent="0.65">
      <c r="P120" s="154"/>
      <c r="AC120" s="157"/>
    </row>
    <row r="121" spans="16:29" x14ac:dyDescent="0.65">
      <c r="P121" s="154"/>
      <c r="AC121" s="157"/>
    </row>
    <row r="122" spans="16:29" x14ac:dyDescent="0.65">
      <c r="P122" s="154"/>
    </row>
    <row r="123" spans="16:29" x14ac:dyDescent="0.65">
      <c r="P123" s="154"/>
    </row>
    <row r="124" spans="16:29" x14ac:dyDescent="0.65">
      <c r="P124" s="154"/>
    </row>
    <row r="125" spans="16:29" x14ac:dyDescent="0.65">
      <c r="P125" s="154"/>
    </row>
    <row r="126" spans="16:29" x14ac:dyDescent="0.65">
      <c r="P126" s="154"/>
    </row>
    <row r="127" spans="16:29" x14ac:dyDescent="0.65">
      <c r="P127" s="154"/>
    </row>
    <row r="128" spans="16:29" x14ac:dyDescent="0.65">
      <c r="P128" s="154"/>
    </row>
    <row r="129" spans="16:16" x14ac:dyDescent="0.65">
      <c r="P129" s="154"/>
    </row>
    <row r="130" spans="16:16" x14ac:dyDescent="0.65">
      <c r="P130" s="154"/>
    </row>
  </sheetData>
  <mergeCells count="43">
    <mergeCell ref="T54:T55"/>
    <mergeCell ref="V54:V55"/>
    <mergeCell ref="W54:W55"/>
    <mergeCell ref="X54:X55"/>
    <mergeCell ref="Z54:Z55"/>
    <mergeCell ref="H54:H55"/>
    <mergeCell ref="J54:L54"/>
    <mergeCell ref="N54:P54"/>
    <mergeCell ref="R54:R55"/>
    <mergeCell ref="S54:S55"/>
    <mergeCell ref="B54:B55"/>
    <mergeCell ref="D54:D55"/>
    <mergeCell ref="E54:E55"/>
    <mergeCell ref="F54:F55"/>
    <mergeCell ref="G54:G55"/>
    <mergeCell ref="B51:Z51"/>
    <mergeCell ref="B52:Z52"/>
    <mergeCell ref="D53:H53"/>
    <mergeCell ref="J53:P53"/>
    <mergeCell ref="R53:Z53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D6:H6"/>
    <mergeCell ref="R6:Z6"/>
    <mergeCell ref="G7:G8"/>
    <mergeCell ref="H7:H8"/>
    <mergeCell ref="X7:X8"/>
    <mergeCell ref="T7:T8"/>
    <mergeCell ref="Z7:Z8"/>
  </mergeCells>
  <phoneticPr fontId="27" type="noConversion"/>
  <printOptions horizontalCentered="1"/>
  <pageMargins left="0.7" right="0.7" top="0.75" bottom="0.75" header="0.3" footer="0.3"/>
  <pageSetup paperSize="9" scale="26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35" t="str">
        <f>' سهام'!B1:Z1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18" ht="24" x14ac:dyDescent="0.6">
      <c r="B2" s="335" t="s">
        <v>81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</row>
    <row r="3" spans="2:18" ht="24" x14ac:dyDescent="0.6">
      <c r="B3" s="335" t="str">
        <f>' سهام'!AC6</f>
        <v>برای ماه منتهی به 1404/09/30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</row>
    <row r="4" spans="2:18" ht="24" x14ac:dyDescent="0.55000000000000004">
      <c r="B4" s="34" t="s">
        <v>82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34" t="str">
        <f>' سهام'!AC4</f>
        <v>1404/08/30</v>
      </c>
      <c r="E6" s="334"/>
      <c r="F6" s="334"/>
      <c r="G6" s="334"/>
      <c r="H6" s="334"/>
      <c r="I6" s="334"/>
      <c r="J6" s="334"/>
      <c r="L6" s="334" t="str">
        <f>' سهام'!AC5</f>
        <v>1404/09/30</v>
      </c>
      <c r="M6" s="334"/>
      <c r="N6" s="334"/>
      <c r="O6" s="334"/>
      <c r="P6" s="334"/>
      <c r="Q6" s="334"/>
      <c r="R6" s="334"/>
    </row>
    <row r="7" spans="2:18" ht="24.75" thickBot="1" x14ac:dyDescent="0.65">
      <c r="B7" s="10" t="s">
        <v>45</v>
      </c>
      <c r="C7" s="8"/>
      <c r="D7" s="10" t="s">
        <v>46</v>
      </c>
      <c r="E7" s="8"/>
      <c r="F7" s="10" t="s">
        <v>47</v>
      </c>
      <c r="G7" s="8"/>
      <c r="H7" s="10" t="s">
        <v>48</v>
      </c>
      <c r="I7" s="8"/>
      <c r="J7" s="10" t="s">
        <v>49</v>
      </c>
      <c r="L7" s="10" t="s">
        <v>46</v>
      </c>
      <c r="M7" s="8"/>
      <c r="N7" s="10" t="s">
        <v>47</v>
      </c>
      <c r="O7" s="8"/>
      <c r="P7" s="10" t="s">
        <v>48</v>
      </c>
      <c r="Q7" s="8"/>
      <c r="R7" s="10" t="s">
        <v>49</v>
      </c>
    </row>
    <row r="8" spans="2:18" ht="23.25" thickBot="1" x14ac:dyDescent="0.6">
      <c r="B8" s="3"/>
      <c r="C8" s="3"/>
      <c r="D8" s="67" t="s">
        <v>102</v>
      </c>
      <c r="E8" s="59"/>
      <c r="F8" s="58" t="s">
        <v>102</v>
      </c>
      <c r="G8" s="5"/>
      <c r="H8" s="5" t="s">
        <v>102</v>
      </c>
      <c r="I8" s="5"/>
      <c r="J8" s="60">
        <v>0</v>
      </c>
      <c r="L8" s="65">
        <v>0</v>
      </c>
      <c r="M8" s="5"/>
      <c r="N8" s="67" t="s">
        <v>102</v>
      </c>
      <c r="O8" s="5"/>
      <c r="P8" s="5" t="s">
        <v>102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35" t="str">
        <f>اوراق!B1</f>
        <v>صندوق سرمایه گذاری شاخص سی شرکت بزرگ فیروزه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</row>
    <row r="2" spans="1:16" ht="24" x14ac:dyDescent="0.6">
      <c r="A2" s="335" t="s">
        <v>81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</row>
    <row r="3" spans="1:16" ht="24" x14ac:dyDescent="0.6">
      <c r="A3" s="335" t="str">
        <f>' سهام'!AC6</f>
        <v>برای ماه منتهی به 1404/09/30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</row>
    <row r="4" spans="1:16" ht="25.5" customHeight="1" x14ac:dyDescent="0.55000000000000004">
      <c r="A4" s="337" t="s">
        <v>51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</row>
    <row r="5" spans="1:16" ht="24" x14ac:dyDescent="0.55000000000000004">
      <c r="A5" s="337" t="s">
        <v>50</v>
      </c>
      <c r="B5" s="337"/>
      <c r="C5" s="337"/>
      <c r="D5" s="337"/>
      <c r="E5" s="337"/>
      <c r="F5" s="337"/>
      <c r="G5" s="337"/>
      <c r="H5" s="337"/>
      <c r="I5" s="337"/>
      <c r="J5" s="337"/>
      <c r="K5" s="337"/>
      <c r="L5" s="337"/>
      <c r="M5" s="337"/>
    </row>
    <row r="6" spans="1:16" ht="19.5" customHeight="1" thickBot="1" x14ac:dyDescent="0.6">
      <c r="C6" s="344" t="str">
        <f>' سهام'!AC5</f>
        <v>1404/09/30</v>
      </c>
      <c r="D6" s="345"/>
      <c r="E6" s="345"/>
      <c r="F6" s="345"/>
      <c r="G6" s="345"/>
      <c r="H6" s="345"/>
      <c r="I6" s="345"/>
      <c r="J6" s="345"/>
      <c r="K6" s="345"/>
      <c r="L6" s="345"/>
      <c r="M6" s="345"/>
      <c r="N6" s="345"/>
      <c r="O6" s="345"/>
      <c r="P6" s="345"/>
    </row>
    <row r="7" spans="1:16" ht="31.5" customHeight="1" x14ac:dyDescent="0.55000000000000004">
      <c r="A7" s="340" t="s">
        <v>20</v>
      </c>
      <c r="C7" s="342" t="s">
        <v>8</v>
      </c>
      <c r="E7" s="338" t="s">
        <v>55</v>
      </c>
      <c r="F7" s="338"/>
      <c r="G7" s="338" t="s">
        <v>54</v>
      </c>
      <c r="H7" s="338"/>
      <c r="I7" s="338" t="s">
        <v>52</v>
      </c>
      <c r="J7" s="338"/>
      <c r="K7" s="338" t="s">
        <v>53</v>
      </c>
      <c r="M7" s="338" t="s">
        <v>19</v>
      </c>
      <c r="N7" s="338"/>
      <c r="O7" s="338"/>
      <c r="P7" s="338"/>
    </row>
    <row r="8" spans="1:16" ht="18" customHeight="1" thickBot="1" x14ac:dyDescent="0.6">
      <c r="A8" s="341"/>
      <c r="C8" s="343"/>
      <c r="E8" s="339"/>
      <c r="F8" s="338"/>
      <c r="G8" s="339"/>
      <c r="H8" s="338"/>
      <c r="I8" s="339"/>
      <c r="J8" s="338"/>
      <c r="K8" s="339"/>
      <c r="M8" s="339"/>
      <c r="N8" s="339"/>
      <c r="O8" s="339"/>
      <c r="P8" s="339"/>
    </row>
    <row r="9" spans="1:16" ht="18" customHeight="1" thickBot="1" x14ac:dyDescent="0.6">
      <c r="A9" s="21"/>
      <c r="B9" s="7"/>
      <c r="C9" s="22" t="s">
        <v>102</v>
      </c>
      <c r="D9" s="23"/>
      <c r="E9" s="24" t="s">
        <v>102</v>
      </c>
      <c r="F9" s="25"/>
      <c r="G9" s="24" t="s">
        <v>102</v>
      </c>
      <c r="H9" s="25"/>
      <c r="I9" s="26" t="s">
        <v>102</v>
      </c>
      <c r="J9" s="25"/>
      <c r="K9" s="24" t="s">
        <v>102</v>
      </c>
      <c r="M9" s="339" t="s">
        <v>102</v>
      </c>
      <c r="N9" s="339"/>
      <c r="O9" s="339"/>
      <c r="P9" s="339"/>
    </row>
    <row r="10" spans="1:16" ht="18" customHeight="1" thickBot="1" x14ac:dyDescent="0.6">
      <c r="A10" s="6"/>
      <c r="C10" s="27" t="s">
        <v>102</v>
      </c>
      <c r="E10" s="27" t="s">
        <v>102</v>
      </c>
      <c r="F10" s="5"/>
      <c r="G10" s="27" t="s">
        <v>102</v>
      </c>
      <c r="H10" s="5"/>
      <c r="I10" s="28" t="s">
        <v>102</v>
      </c>
      <c r="J10" s="5"/>
      <c r="K10" s="27" t="s">
        <v>102</v>
      </c>
      <c r="L10" s="5"/>
      <c r="M10" s="336" t="s">
        <v>102</v>
      </c>
      <c r="N10" s="336"/>
      <c r="O10" s="336"/>
      <c r="P10" s="336"/>
    </row>
    <row r="11" spans="1:16" ht="23.25" thickTop="1" x14ac:dyDescent="0.55000000000000004"/>
    <row r="12" spans="1:16" x14ac:dyDescent="0.55000000000000004">
      <c r="M12" s="13"/>
    </row>
  </sheetData>
  <mergeCells count="18">
    <mergeCell ref="A1:P1"/>
    <mergeCell ref="A2:P2"/>
    <mergeCell ref="A3:P3"/>
    <mergeCell ref="M7:P8"/>
    <mergeCell ref="M9:P9"/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35" t="str">
        <f>'تعدیل قیمت'!A1:P1</f>
        <v>صندوق سرمایه گذاری شاخص سی شرکت بزرگ فیروزه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</row>
    <row r="2" spans="1:29" ht="24" x14ac:dyDescent="0.6">
      <c r="A2" s="335" t="s">
        <v>81</v>
      </c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335"/>
      <c r="AA2" s="335"/>
      <c r="AB2" s="335"/>
      <c r="AC2" s="335"/>
    </row>
    <row r="3" spans="1:29" ht="24" x14ac:dyDescent="0.6">
      <c r="A3" s="335" t="str">
        <f>' سهام'!AC6</f>
        <v>برای ماه منتهی به 1404/09/30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</row>
    <row r="4" spans="1:29" ht="24" x14ac:dyDescent="0.55000000000000004">
      <c r="A4" s="337" t="s">
        <v>56</v>
      </c>
      <c r="B4" s="337"/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N4" s="337"/>
      <c r="O4" s="337"/>
      <c r="P4" s="337"/>
      <c r="Q4" s="337"/>
      <c r="R4" s="337"/>
      <c r="S4" s="337"/>
      <c r="T4" s="337"/>
      <c r="U4" s="337"/>
      <c r="V4" s="337"/>
      <c r="W4" s="337"/>
      <c r="X4" s="337"/>
      <c r="Y4" s="337"/>
      <c r="Z4" s="337"/>
      <c r="AA4" s="337"/>
      <c r="AB4" s="337"/>
      <c r="AC4" s="337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45"/>
      <c r="D6" s="345"/>
      <c r="E6" s="345"/>
      <c r="F6" s="46"/>
      <c r="G6" s="46"/>
      <c r="H6" s="46"/>
      <c r="I6" s="46"/>
      <c r="J6" s="30"/>
      <c r="K6" s="345" t="str">
        <f>' سهام'!AC4</f>
        <v>1404/08/30</v>
      </c>
      <c r="L6" s="345"/>
      <c r="M6" s="345"/>
      <c r="N6" s="345"/>
      <c r="O6" s="345"/>
      <c r="P6" s="52"/>
      <c r="Q6" s="352" t="s">
        <v>16</v>
      </c>
      <c r="R6" s="352"/>
      <c r="S6" s="352"/>
      <c r="T6" s="352"/>
      <c r="U6" s="352"/>
      <c r="W6" s="345" t="str">
        <f>' سهام'!AC5</f>
        <v>1404/09/30</v>
      </c>
      <c r="X6" s="345"/>
      <c r="Y6" s="345"/>
      <c r="Z6" s="345"/>
      <c r="AA6" s="345"/>
      <c r="AB6" s="345"/>
      <c r="AC6" s="345"/>
    </row>
    <row r="7" spans="1:29" ht="54.75" customHeight="1" x14ac:dyDescent="0.6">
      <c r="A7" s="338" t="s">
        <v>59</v>
      </c>
      <c r="B7" s="5"/>
      <c r="C7" s="351" t="s">
        <v>34</v>
      </c>
      <c r="D7" s="3"/>
      <c r="E7" s="349" t="s">
        <v>61</v>
      </c>
      <c r="F7" s="14"/>
      <c r="G7" s="349" t="s">
        <v>58</v>
      </c>
      <c r="H7" s="14"/>
      <c r="I7" s="349" t="s">
        <v>14</v>
      </c>
      <c r="J7" s="3"/>
      <c r="K7" s="354" t="s">
        <v>8</v>
      </c>
      <c r="L7" s="348"/>
      <c r="M7" s="348" t="s">
        <v>3</v>
      </c>
      <c r="N7" s="348"/>
      <c r="O7" s="49" t="s">
        <v>1</v>
      </c>
      <c r="P7" s="2"/>
      <c r="Q7" s="335" t="s">
        <v>9</v>
      </c>
      <c r="R7" s="335"/>
      <c r="S7" s="15"/>
      <c r="T7" s="335" t="s">
        <v>10</v>
      </c>
      <c r="U7" s="335"/>
      <c r="V7" s="8"/>
      <c r="W7" s="346" t="s">
        <v>8</v>
      </c>
      <c r="X7" s="348"/>
      <c r="Y7" s="353" t="s">
        <v>3</v>
      </c>
      <c r="Z7" s="348"/>
      <c r="AA7" s="49" t="s">
        <v>1</v>
      </c>
      <c r="AB7" s="50"/>
      <c r="AC7" s="49" t="s">
        <v>0</v>
      </c>
    </row>
    <row r="8" spans="1:29" ht="33" customHeight="1" thickBot="1" x14ac:dyDescent="0.65">
      <c r="A8" s="339"/>
      <c r="B8" s="5"/>
      <c r="C8" s="350"/>
      <c r="D8" s="3"/>
      <c r="E8" s="350"/>
      <c r="F8" s="14"/>
      <c r="G8" s="350"/>
      <c r="H8" s="14"/>
      <c r="I8" s="350"/>
      <c r="J8" s="3"/>
      <c r="K8" s="347"/>
      <c r="L8" s="348"/>
      <c r="M8" s="345"/>
      <c r="N8" s="348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80</v>
      </c>
      <c r="V8" s="8"/>
      <c r="W8" s="347"/>
      <c r="X8" s="348"/>
      <c r="Y8" s="345"/>
      <c r="Z8" s="348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57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  <mergeCell ref="W7:W8"/>
    <mergeCell ref="M7:M8"/>
    <mergeCell ref="N7:N8"/>
    <mergeCell ref="G7:G8"/>
    <mergeCell ref="T7:U7"/>
    <mergeCell ref="Q7:R7"/>
    <mergeCell ref="I7:I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66" t="str">
        <f>' سهام'!B1:Z1</f>
        <v>صندوق سرمایه گذاری شاخص سی شرکت بزرگ فیروزه</v>
      </c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  <c r="AC1" s="366"/>
      <c r="AD1" s="366"/>
      <c r="AE1" s="366"/>
      <c r="AF1" s="366"/>
      <c r="AG1" s="366"/>
      <c r="AH1" s="366"/>
      <c r="AI1" s="366"/>
      <c r="AJ1" s="366"/>
      <c r="AK1" s="366"/>
      <c r="AL1" s="366"/>
      <c r="AM1" s="366"/>
    </row>
    <row r="2" spans="2:40" ht="33.75" x14ac:dyDescent="0.65">
      <c r="B2" s="366" t="s">
        <v>81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</row>
    <row r="3" spans="2:40" ht="33.75" x14ac:dyDescent="0.65">
      <c r="B3" s="366" t="str">
        <f>' سهام'!AC6</f>
        <v>برای ماه منتهی به 1404/09/30</v>
      </c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</row>
    <row r="4" spans="2:40" x14ac:dyDescent="0.65">
      <c r="B4" s="100" t="s">
        <v>39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56" t="s">
        <v>30</v>
      </c>
      <c r="C6" s="356"/>
      <c r="D6" s="356"/>
      <c r="E6" s="356"/>
      <c r="F6" s="356"/>
      <c r="G6" s="356"/>
      <c r="H6" s="356"/>
      <c r="I6" s="356"/>
      <c r="J6" s="356"/>
      <c r="K6" s="356"/>
      <c r="L6" s="356"/>
      <c r="M6" s="356"/>
      <c r="N6" s="356"/>
      <c r="O6" s="356"/>
      <c r="P6" s="72"/>
      <c r="Q6" s="356" t="str">
        <f>' سهام'!AC4</f>
        <v>1404/08/30</v>
      </c>
      <c r="R6" s="356"/>
      <c r="S6" s="356"/>
      <c r="T6" s="356"/>
      <c r="U6" s="356"/>
      <c r="V6" s="78"/>
      <c r="W6" s="367" t="s">
        <v>16</v>
      </c>
      <c r="X6" s="367"/>
      <c r="Y6" s="367"/>
      <c r="Z6" s="367"/>
      <c r="AA6" s="367"/>
      <c r="AB6" s="367"/>
      <c r="AC6" s="367"/>
      <c r="AD6" s="71"/>
      <c r="AE6" s="356" t="str">
        <f>' سهام'!AC5</f>
        <v>1404/09/30</v>
      </c>
      <c r="AF6" s="356"/>
      <c r="AG6" s="356"/>
      <c r="AH6" s="356"/>
      <c r="AI6" s="356"/>
      <c r="AJ6" s="356"/>
      <c r="AK6" s="356"/>
      <c r="AL6" s="356"/>
      <c r="AM6" s="356"/>
    </row>
    <row r="7" spans="2:40" s="15" customFormat="1" ht="36" x14ac:dyDescent="0.9">
      <c r="B7" s="359" t="s">
        <v>31</v>
      </c>
      <c r="C7" s="72"/>
      <c r="D7" s="363" t="s">
        <v>15</v>
      </c>
      <c r="E7" s="72"/>
      <c r="F7" s="365" t="s">
        <v>14</v>
      </c>
      <c r="G7" s="72"/>
      <c r="H7" s="355" t="s">
        <v>43</v>
      </c>
      <c r="I7" s="72"/>
      <c r="J7" s="363" t="s">
        <v>34</v>
      </c>
      <c r="K7" s="72"/>
      <c r="L7" s="72"/>
      <c r="M7" s="365" t="s">
        <v>13</v>
      </c>
      <c r="N7" s="79"/>
      <c r="O7" s="365" t="s">
        <v>12</v>
      </c>
      <c r="P7" s="72"/>
      <c r="Q7" s="357" t="s">
        <v>8</v>
      </c>
      <c r="R7" s="355"/>
      <c r="S7" s="355" t="s">
        <v>3</v>
      </c>
      <c r="T7" s="355"/>
      <c r="U7" s="355" t="s">
        <v>32</v>
      </c>
      <c r="V7" s="72"/>
      <c r="W7" s="362" t="s">
        <v>9</v>
      </c>
      <c r="X7" s="362"/>
      <c r="Y7" s="362"/>
      <c r="Z7" s="71"/>
      <c r="AA7" s="362" t="s">
        <v>10</v>
      </c>
      <c r="AB7" s="362"/>
      <c r="AC7" s="362"/>
      <c r="AD7" s="71"/>
      <c r="AE7" s="357" t="s">
        <v>8</v>
      </c>
      <c r="AF7" s="359"/>
      <c r="AG7" s="360" t="s">
        <v>44</v>
      </c>
      <c r="AH7" s="72"/>
      <c r="AI7" s="355" t="s">
        <v>3</v>
      </c>
      <c r="AJ7" s="359"/>
      <c r="AK7" s="355" t="s">
        <v>32</v>
      </c>
      <c r="AL7" s="80"/>
      <c r="AM7" s="355" t="s">
        <v>33</v>
      </c>
    </row>
    <row r="8" spans="2:40" s="55" customFormat="1" ht="72.75" customHeight="1" thickBot="1" x14ac:dyDescent="0.3">
      <c r="B8" s="356"/>
      <c r="C8" s="72"/>
      <c r="D8" s="364"/>
      <c r="E8" s="72"/>
      <c r="F8" s="364"/>
      <c r="G8" s="72"/>
      <c r="H8" s="356"/>
      <c r="I8" s="72"/>
      <c r="J8" s="364"/>
      <c r="K8" s="72"/>
      <c r="L8" s="72"/>
      <c r="M8" s="364"/>
      <c r="N8" s="78"/>
      <c r="O8" s="364"/>
      <c r="P8" s="72"/>
      <c r="Q8" s="358"/>
      <c r="R8" s="359"/>
      <c r="S8" s="356"/>
      <c r="T8" s="359"/>
      <c r="U8" s="356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80</v>
      </c>
      <c r="AD8" s="70"/>
      <c r="AE8" s="358"/>
      <c r="AF8" s="359"/>
      <c r="AG8" s="361"/>
      <c r="AH8" s="72"/>
      <c r="AI8" s="356"/>
      <c r="AJ8" s="359"/>
      <c r="AK8" s="356"/>
      <c r="AL8" s="80"/>
      <c r="AM8" s="356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102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B1:AM1"/>
    <mergeCell ref="B2:AM2"/>
    <mergeCell ref="B3:AM3"/>
    <mergeCell ref="W6:AC6"/>
    <mergeCell ref="AE6:AM6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AK7:AK8"/>
    <mergeCell ref="AM7:AM8"/>
    <mergeCell ref="AE7:AE8"/>
    <mergeCell ref="AF7:AF8"/>
    <mergeCell ref="AI7:AI8"/>
    <mergeCell ref="AJ7:AJ8"/>
    <mergeCell ref="AG7:AG8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1:AA74"/>
  <sheetViews>
    <sheetView rightToLeft="1" view="pageBreakPreview" zoomScaleNormal="100" zoomScaleSheetLayoutView="100" workbookViewId="0">
      <selection activeCell="U83" sqref="U83"/>
    </sheetView>
  </sheetViews>
  <sheetFormatPr defaultColWidth="9.140625" defaultRowHeight="22.5" x14ac:dyDescent="0.55000000000000004"/>
  <cols>
    <col min="1" max="1" width="6" style="1" customWidth="1"/>
    <col min="2" max="2" width="36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35" t="s">
        <v>103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27" ht="24" x14ac:dyDescent="0.6">
      <c r="B2" s="335" t="s">
        <v>81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</row>
    <row r="3" spans="2:27" ht="24" x14ac:dyDescent="0.6">
      <c r="B3" s="335" t="str">
        <f>' سهام'!AC6</f>
        <v>برای ماه منتهی به 1404/09/30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</row>
    <row r="4" spans="2:27" ht="24" x14ac:dyDescent="0.55000000000000004">
      <c r="B4" s="369" t="s">
        <v>83</v>
      </c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AA4" s="1" t="s">
        <v>187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4"/>
      <c r="M5" s="29"/>
      <c r="N5" s="124"/>
      <c r="O5" s="29"/>
      <c r="P5" s="29"/>
      <c r="Q5" s="29"/>
      <c r="R5" s="29"/>
      <c r="S5" s="268"/>
      <c r="T5" s="268"/>
      <c r="AA5" s="1" t="s">
        <v>188</v>
      </c>
    </row>
    <row r="6" spans="2:27" ht="18.75" customHeight="1" thickBot="1" x14ac:dyDescent="0.6">
      <c r="B6" s="49"/>
      <c r="C6" s="375"/>
      <c r="D6" s="375"/>
      <c r="E6" s="375"/>
      <c r="F6" s="375"/>
      <c r="G6" s="375"/>
      <c r="H6" s="375"/>
      <c r="I6" s="375"/>
      <c r="J6" s="375"/>
      <c r="K6" s="52"/>
      <c r="L6" s="352" t="s">
        <v>16</v>
      </c>
      <c r="M6" s="352"/>
      <c r="N6" s="352"/>
      <c r="P6" s="345" t="str">
        <f>' سهام'!AC5</f>
        <v>1404/09/30</v>
      </c>
      <c r="Q6" s="345"/>
      <c r="R6" s="345"/>
      <c r="S6" s="268"/>
      <c r="T6" s="268"/>
      <c r="AA6" s="1" t="s">
        <v>189</v>
      </c>
    </row>
    <row r="7" spans="2:27" ht="24" customHeight="1" x14ac:dyDescent="0.55000000000000004">
      <c r="B7" s="371" t="s">
        <v>17</v>
      </c>
      <c r="C7" s="3"/>
      <c r="D7" s="349" t="s">
        <v>18</v>
      </c>
      <c r="E7" s="3"/>
      <c r="F7" s="349" t="s">
        <v>60</v>
      </c>
      <c r="G7" s="3"/>
      <c r="H7" s="349" t="s">
        <v>61</v>
      </c>
      <c r="I7" s="338"/>
      <c r="J7" s="340" t="s">
        <v>11</v>
      </c>
      <c r="K7" s="3"/>
      <c r="L7" s="373" t="s">
        <v>62</v>
      </c>
      <c r="M7" s="166"/>
      <c r="N7" s="373" t="s">
        <v>63</v>
      </c>
      <c r="P7" s="370" t="s">
        <v>11</v>
      </c>
      <c r="Q7" s="338"/>
      <c r="R7" s="368" t="s">
        <v>33</v>
      </c>
      <c r="S7" s="268"/>
      <c r="T7" s="268"/>
      <c r="AA7" s="1" t="s">
        <v>190</v>
      </c>
    </row>
    <row r="8" spans="2:27" ht="47.25" customHeight="1" thickBot="1" x14ac:dyDescent="0.6">
      <c r="B8" s="372"/>
      <c r="C8" s="231"/>
      <c r="D8" s="350"/>
      <c r="E8" s="231"/>
      <c r="F8" s="350"/>
      <c r="G8" s="231"/>
      <c r="H8" s="350"/>
      <c r="I8" s="338"/>
      <c r="J8" s="341"/>
      <c r="K8" s="3"/>
      <c r="L8" s="374"/>
      <c r="N8" s="374"/>
      <c r="P8" s="341"/>
      <c r="Q8" s="338"/>
      <c r="R8" s="339"/>
      <c r="S8" s="268"/>
      <c r="T8" s="268"/>
      <c r="V8" s="165"/>
      <c r="AA8" s="1" t="s">
        <v>191</v>
      </c>
    </row>
    <row r="9" spans="2:27" ht="25.15" customHeight="1" x14ac:dyDescent="0.55000000000000004">
      <c r="B9" s="68" t="s">
        <v>270</v>
      </c>
      <c r="C9" s="232"/>
      <c r="D9" s="232" t="s">
        <v>108</v>
      </c>
      <c r="E9" s="232"/>
      <c r="F9" s="232" t="s">
        <v>106</v>
      </c>
      <c r="G9" s="232"/>
      <c r="H9" s="163">
        <v>0</v>
      </c>
      <c r="I9" s="232"/>
      <c r="J9" s="170">
        <v>50000000</v>
      </c>
      <c r="K9" s="232"/>
      <c r="L9" s="163">
        <v>0</v>
      </c>
      <c r="M9" s="232"/>
      <c r="N9" s="163">
        <v>0</v>
      </c>
      <c r="O9" s="163"/>
      <c r="P9" s="163">
        <v>50000000</v>
      </c>
      <c r="Q9" s="233"/>
      <c r="R9" s="234">
        <f>P9/$R$18</f>
        <v>4.8798436341752545E-6</v>
      </c>
      <c r="S9" s="268"/>
      <c r="T9" s="285"/>
    </row>
    <row r="10" spans="2:27" ht="25.15" customHeight="1" x14ac:dyDescent="0.55000000000000004">
      <c r="B10" s="68" t="s">
        <v>269</v>
      </c>
      <c r="C10" s="232"/>
      <c r="D10" s="232" t="s">
        <v>109</v>
      </c>
      <c r="E10" s="232"/>
      <c r="F10" s="232" t="s">
        <v>106</v>
      </c>
      <c r="G10" s="232"/>
      <c r="H10" s="163">
        <v>0</v>
      </c>
      <c r="I10" s="232"/>
      <c r="J10" s="170">
        <v>94173989</v>
      </c>
      <c r="K10" s="232"/>
      <c r="L10" s="163">
        <v>1305321021907</v>
      </c>
      <c r="M10" s="232"/>
      <c r="N10" s="163">
        <v>1305370782377</v>
      </c>
      <c r="O10" s="163"/>
      <c r="P10" s="163">
        <v>44413519</v>
      </c>
      <c r="Q10" s="233"/>
      <c r="R10" s="234">
        <f>P10/$R$18</f>
        <v>4.3346205592694341E-6</v>
      </c>
      <c r="S10" s="268"/>
      <c r="T10" s="285"/>
    </row>
    <row r="11" spans="2:27" ht="25.15" customHeight="1" x14ac:dyDescent="0.55000000000000004">
      <c r="B11" s="68" t="s">
        <v>271</v>
      </c>
      <c r="C11" s="232"/>
      <c r="D11" s="232" t="s">
        <v>109</v>
      </c>
      <c r="E11" s="232"/>
      <c r="F11" s="232" t="s">
        <v>147</v>
      </c>
      <c r="G11" s="232"/>
      <c r="H11" s="163">
        <v>0</v>
      </c>
      <c r="I11" s="232"/>
      <c r="J11" s="170">
        <v>206294231326</v>
      </c>
      <c r="K11" s="232"/>
      <c r="L11" s="163">
        <v>938261524384</v>
      </c>
      <c r="M11" s="232"/>
      <c r="N11" s="163">
        <v>1028867667920</v>
      </c>
      <c r="O11" s="163"/>
      <c r="P11" s="163">
        <v>115688087790</v>
      </c>
      <c r="Q11" s="233"/>
      <c r="R11" s="234">
        <f t="shared" ref="R11:R12" si="0">P11/$R$18</f>
        <v>1.129079557503879E-2</v>
      </c>
      <c r="S11" s="268"/>
      <c r="T11" s="285"/>
    </row>
    <row r="12" spans="2:27" ht="25.15" customHeight="1" x14ac:dyDescent="0.55000000000000004">
      <c r="B12" s="68" t="s">
        <v>272</v>
      </c>
      <c r="C12" s="232"/>
      <c r="D12" s="232" t="s">
        <v>109</v>
      </c>
      <c r="E12" s="232"/>
      <c r="F12" s="232" t="s">
        <v>257</v>
      </c>
      <c r="G12" s="232"/>
      <c r="H12" s="163">
        <v>0</v>
      </c>
      <c r="I12" s="232"/>
      <c r="J12" s="170">
        <v>1004110</v>
      </c>
      <c r="K12" s="232"/>
      <c r="L12" s="163">
        <v>4126</v>
      </c>
      <c r="M12" s="232"/>
      <c r="N12" s="163">
        <v>0</v>
      </c>
      <c r="O12" s="163"/>
      <c r="P12" s="163">
        <v>1008236</v>
      </c>
      <c r="Q12" s="233"/>
      <c r="R12" s="234">
        <f t="shared" si="0"/>
        <v>9.8400680526926437E-8</v>
      </c>
      <c r="S12" s="268"/>
      <c r="T12" s="285"/>
    </row>
    <row r="13" spans="2:27" ht="25.15" customHeight="1" x14ac:dyDescent="0.55000000000000004">
      <c r="B13" s="68" t="s">
        <v>273</v>
      </c>
      <c r="C13" s="232"/>
      <c r="D13" s="232" t="s">
        <v>109</v>
      </c>
      <c r="E13" s="232"/>
      <c r="F13" s="232" t="s">
        <v>257</v>
      </c>
      <c r="G13" s="232"/>
      <c r="H13" s="163">
        <v>0</v>
      </c>
      <c r="I13" s="232"/>
      <c r="J13" s="170">
        <v>402500</v>
      </c>
      <c r="K13" s="232"/>
      <c r="L13" s="163">
        <v>0</v>
      </c>
      <c r="M13" s="232"/>
      <c r="N13" s="163">
        <v>0</v>
      </c>
      <c r="O13" s="163"/>
      <c r="P13" s="163">
        <v>402500</v>
      </c>
      <c r="Q13" s="233"/>
      <c r="R13" s="235">
        <f>P13/$R$18</f>
        <v>3.9282741255110794E-8</v>
      </c>
      <c r="S13" s="268"/>
      <c r="T13" s="285"/>
    </row>
    <row r="14" spans="2:27" ht="25.15" customHeight="1" thickBot="1" x14ac:dyDescent="0.6">
      <c r="B14" s="68" t="s">
        <v>274</v>
      </c>
      <c r="C14" s="232"/>
      <c r="D14" s="232" t="s">
        <v>108</v>
      </c>
      <c r="E14" s="232"/>
      <c r="F14" s="232" t="s">
        <v>275</v>
      </c>
      <c r="G14" s="232"/>
      <c r="H14" s="163">
        <v>0</v>
      </c>
      <c r="I14" s="232"/>
      <c r="J14" s="170">
        <v>0</v>
      </c>
      <c r="K14" s="232"/>
      <c r="L14" s="163">
        <v>5000000</v>
      </c>
      <c r="M14" s="232"/>
      <c r="N14" s="163">
        <v>10000</v>
      </c>
      <c r="O14" s="163"/>
      <c r="P14" s="163">
        <v>4990000</v>
      </c>
      <c r="Q14" s="233"/>
      <c r="R14" s="235">
        <f>P14/$R$18</f>
        <v>4.8700839469069037E-7</v>
      </c>
      <c r="S14" s="268"/>
      <c r="T14" s="285"/>
    </row>
    <row r="15" spans="2:27" ht="23.25" thickBot="1" x14ac:dyDescent="0.6">
      <c r="B15" s="3" t="s">
        <v>7</v>
      </c>
      <c r="C15" s="3"/>
      <c r="D15" s="3"/>
      <c r="E15" s="3"/>
      <c r="F15" s="3"/>
      <c r="G15" s="3"/>
      <c r="H15" s="3"/>
      <c r="I15" s="5"/>
      <c r="J15" s="236">
        <f>SUM(J9:J14)</f>
        <v>206439811925</v>
      </c>
      <c r="K15" s="31"/>
      <c r="L15" s="236">
        <f>SUM(L9:L14)</f>
        <v>2243587550417</v>
      </c>
      <c r="N15" s="236">
        <f>SUM(N9:N14)</f>
        <v>2334238460297</v>
      </c>
      <c r="P15" s="236">
        <f>SUM(P9:P14)</f>
        <v>115788902045</v>
      </c>
      <c r="Q15" s="5"/>
      <c r="R15" s="125">
        <f>SUM(R9:R14)</f>
        <v>1.1300634731048706E-2</v>
      </c>
      <c r="S15" s="268"/>
      <c r="T15" s="285"/>
    </row>
    <row r="16" spans="2:27" ht="24.75" thickTop="1" x14ac:dyDescent="0.6">
      <c r="J16" s="224"/>
      <c r="P16" s="165"/>
      <c r="S16" s="268"/>
      <c r="T16" s="268"/>
    </row>
    <row r="17" spans="4:20" ht="24" x14ac:dyDescent="0.6">
      <c r="J17" s="248"/>
      <c r="P17" s="248"/>
      <c r="R17" s="302"/>
      <c r="S17" s="268"/>
      <c r="T17" s="268"/>
    </row>
    <row r="18" spans="4:20" ht="24" x14ac:dyDescent="0.6">
      <c r="J18" s="249"/>
      <c r="P18" s="249"/>
      <c r="R18" s="316">
        <v>10246229950860</v>
      </c>
      <c r="S18" s="296"/>
      <c r="T18" s="268"/>
    </row>
    <row r="19" spans="4:20" x14ac:dyDescent="0.55000000000000004">
      <c r="D19" s="1" t="s">
        <v>89</v>
      </c>
      <c r="L19" s="109"/>
      <c r="P19" s="93"/>
      <c r="Q19" s="93"/>
      <c r="R19" s="296"/>
      <c r="S19" s="296"/>
      <c r="T19" s="268"/>
    </row>
    <row r="20" spans="4:20" x14ac:dyDescent="0.55000000000000004">
      <c r="R20" s="237"/>
    </row>
    <row r="57" spans="18:18" ht="27.75" x14ac:dyDescent="0.55000000000000004">
      <c r="R57" s="151">
        <v>1783</v>
      </c>
    </row>
    <row r="74" spans="18:18" ht="27.75" x14ac:dyDescent="0.55000000000000004">
      <c r="R74" s="151">
        <v>2083</v>
      </c>
    </row>
  </sheetData>
  <mergeCells count="18"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  <mergeCell ref="L6:N6"/>
    <mergeCell ref="L7:L8"/>
  </mergeCells>
  <phoneticPr fontId="27" type="noConversion"/>
  <printOptions horizontalCentered="1"/>
  <pageMargins left="0.7" right="0.7" top="0.75" bottom="0.75" header="0.3" footer="0.3"/>
  <pageSetup paperSize="9" scale="63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C74"/>
  <sheetViews>
    <sheetView rightToLeft="1" view="pageBreakPreview" topLeftCell="A2" zoomScale="115" zoomScaleNormal="85" zoomScaleSheetLayoutView="115" workbookViewId="0">
      <selection activeCell="U83" sqref="U83"/>
    </sheetView>
  </sheetViews>
  <sheetFormatPr defaultColWidth="8.85546875" defaultRowHeight="22.5" x14ac:dyDescent="0.55000000000000004"/>
  <cols>
    <col min="1" max="1" width="8.85546875" style="1"/>
    <col min="2" max="2" width="45.5703125" style="204" customWidth="1"/>
    <col min="3" max="3" width="26.140625" style="204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376" t="s">
        <v>103</v>
      </c>
      <c r="B1" s="376"/>
      <c r="C1" s="376"/>
      <c r="D1" s="376"/>
      <c r="E1" s="376"/>
      <c r="F1" s="376"/>
      <c r="G1" s="376"/>
      <c r="H1" s="376"/>
      <c r="I1" s="376"/>
      <c r="J1" s="376"/>
    </row>
    <row r="2" spans="1:29" ht="24" x14ac:dyDescent="0.6">
      <c r="A2" s="335" t="str">
        <f>سپرده!B2</f>
        <v xml:space="preserve">صورت وضعیت پرتفوی </v>
      </c>
      <c r="B2" s="335"/>
      <c r="C2" s="335"/>
      <c r="D2" s="335"/>
      <c r="E2" s="335"/>
      <c r="F2" s="335"/>
      <c r="G2" s="335"/>
      <c r="H2" s="335"/>
      <c r="I2" s="335"/>
      <c r="J2" s="335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35" t="str">
        <f>سپرده!B3</f>
        <v>برای ماه منتهی به 1404/09/30</v>
      </c>
      <c r="B3" s="335"/>
      <c r="C3" s="335"/>
      <c r="D3" s="335"/>
      <c r="E3" s="335"/>
      <c r="F3" s="335"/>
      <c r="G3" s="335"/>
      <c r="H3" s="335"/>
      <c r="I3" s="335"/>
      <c r="J3" s="335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21"/>
      <c r="P4" s="165"/>
      <c r="AC4" s="1" t="s">
        <v>187</v>
      </c>
    </row>
    <row r="5" spans="1:29" ht="23.25" thickBot="1" x14ac:dyDescent="0.6">
      <c r="B5" s="12" t="s">
        <v>64</v>
      </c>
      <c r="C5" s="12"/>
      <c r="D5" s="135" t="s">
        <v>65</v>
      </c>
      <c r="E5" s="166"/>
      <c r="F5" s="135" t="s">
        <v>11</v>
      </c>
      <c r="G5" s="166"/>
      <c r="H5" s="135" t="s">
        <v>154</v>
      </c>
      <c r="I5" s="166"/>
      <c r="J5" s="135" t="s">
        <v>90</v>
      </c>
      <c r="K5" s="166"/>
      <c r="M5" s="302"/>
      <c r="N5" s="302"/>
      <c r="P5" s="165"/>
      <c r="AC5" s="1" t="s">
        <v>189</v>
      </c>
    </row>
    <row r="6" spans="1:29" ht="24" x14ac:dyDescent="0.55000000000000004">
      <c r="B6" s="222" t="s">
        <v>79</v>
      </c>
      <c r="C6" s="222"/>
      <c r="D6" s="94" t="s">
        <v>84</v>
      </c>
      <c r="E6" s="34"/>
      <c r="F6" s="284">
        <f>'درآمد سرمایه گذاری در سهام '!T127</f>
        <v>2981254227435</v>
      </c>
      <c r="G6" s="34"/>
      <c r="H6" s="95">
        <f>F6/$H$12</f>
        <v>0.97575616520517816</v>
      </c>
      <c r="I6" s="34"/>
      <c r="J6" s="95">
        <f>F6/M8</f>
        <v>0.29096108927213499</v>
      </c>
      <c r="K6" s="34"/>
      <c r="L6" s="34"/>
      <c r="M6" s="303"/>
      <c r="N6" s="303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190</v>
      </c>
    </row>
    <row r="7" spans="1:29" ht="24" x14ac:dyDescent="0.6">
      <c r="B7" s="222" t="s">
        <v>206</v>
      </c>
      <c r="C7" s="222"/>
      <c r="D7" s="94" t="s">
        <v>85</v>
      </c>
      <c r="E7" s="34"/>
      <c r="F7" s="223">
        <f>'درآمد سپرده بانکی'!J12</f>
        <v>22218972403</v>
      </c>
      <c r="G7" s="34"/>
      <c r="H7" s="95">
        <f>F7/$H$12</f>
        <v>7.272207484768642E-3</v>
      </c>
      <c r="I7" s="34"/>
      <c r="J7" s="95">
        <f>F7/M8</f>
        <v>2.168502220773904E-3</v>
      </c>
      <c r="K7" s="224"/>
      <c r="L7" s="34"/>
      <c r="M7" s="303"/>
      <c r="N7" s="303"/>
      <c r="O7" s="34"/>
      <c r="P7" s="34"/>
      <c r="Q7" s="34"/>
      <c r="R7" s="34"/>
      <c r="S7" s="34"/>
      <c r="T7" s="34"/>
    </row>
    <row r="8" spans="1:29" ht="24.75" thickBot="1" x14ac:dyDescent="0.6">
      <c r="B8" s="222" t="s">
        <v>41</v>
      </c>
      <c r="C8" s="222"/>
      <c r="D8" s="94" t="s">
        <v>86</v>
      </c>
      <c r="E8" s="34"/>
      <c r="F8" s="223">
        <f>'سایر درآمدها'!F8</f>
        <v>4226405839</v>
      </c>
      <c r="G8" s="34"/>
      <c r="H8" s="95">
        <f>F8/$H$12</f>
        <v>1.3832908029489167E-3</v>
      </c>
      <c r="I8" s="34"/>
      <c r="J8" s="95">
        <f>F8/M8</f>
        <v>4.1248399257770552E-4</v>
      </c>
      <c r="K8" s="223"/>
      <c r="L8" s="34"/>
      <c r="M8" s="297">
        <v>10246229950860</v>
      </c>
      <c r="N8" s="302"/>
      <c r="O8" s="165"/>
    </row>
    <row r="9" spans="1:29" ht="24.75" thickBot="1" x14ac:dyDescent="0.6">
      <c r="B9" s="222" t="s">
        <v>7</v>
      </c>
      <c r="D9" s="225"/>
      <c r="F9" s="226">
        <f>SUM(F6:F8)</f>
        <v>3007699605677</v>
      </c>
      <c r="H9" s="227">
        <f>SUM(H6:H8)</f>
        <v>0.98441166349289577</v>
      </c>
      <c r="J9" s="228">
        <f>SUM(J6:J8)</f>
        <v>0.29354207548548661</v>
      </c>
      <c r="M9" s="302"/>
      <c r="N9" s="302"/>
      <c r="O9" s="165"/>
      <c r="P9" s="229"/>
    </row>
    <row r="10" spans="1:29" ht="23.25" thickTop="1" x14ac:dyDescent="0.55000000000000004">
      <c r="D10" s="225"/>
      <c r="M10" s="302"/>
      <c r="N10" s="302"/>
      <c r="O10" s="165"/>
    </row>
    <row r="11" spans="1:29" x14ac:dyDescent="0.55000000000000004">
      <c r="O11" s="165"/>
    </row>
    <row r="12" spans="1:29" ht="24.75" x14ac:dyDescent="0.55000000000000004">
      <c r="F12" s="230"/>
      <c r="H12" s="317">
        <v>3055327072218</v>
      </c>
      <c r="O12" s="165"/>
    </row>
    <row r="13" spans="1:29" ht="24" x14ac:dyDescent="0.55000000000000004">
      <c r="F13" s="123"/>
      <c r="H13" s="302"/>
      <c r="O13" s="165"/>
    </row>
    <row r="14" spans="1:29" ht="24" x14ac:dyDescent="0.55000000000000004">
      <c r="F14" s="223"/>
      <c r="M14" s="93"/>
    </row>
    <row r="15" spans="1:29" ht="24" x14ac:dyDescent="0.55000000000000004">
      <c r="F15" s="123"/>
      <c r="M15" s="165"/>
    </row>
    <row r="16" spans="1:29" ht="24" x14ac:dyDescent="0.55000000000000004">
      <c r="F16" s="123"/>
      <c r="M16" s="165"/>
    </row>
    <row r="17" spans="6:13" x14ac:dyDescent="0.55000000000000004">
      <c r="F17" s="165"/>
      <c r="M17" s="176"/>
    </row>
    <row r="18" spans="6:13" x14ac:dyDescent="0.55000000000000004">
      <c r="F18" s="165"/>
      <c r="M18" s="176"/>
    </row>
    <row r="19" spans="6:13" x14ac:dyDescent="0.55000000000000004">
      <c r="F19" s="165"/>
    </row>
    <row r="57" spans="18:18" ht="27.75" x14ac:dyDescent="0.55000000000000004">
      <c r="R57" s="151">
        <v>1783</v>
      </c>
    </row>
    <row r="74" spans="18:18" ht="27.75" x14ac:dyDescent="0.55000000000000004">
      <c r="R74" s="151">
        <v>2083</v>
      </c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1:AE147"/>
  <sheetViews>
    <sheetView rightToLeft="1" view="pageBreakPreview" zoomScale="70" zoomScaleNormal="100" zoomScaleSheetLayoutView="70" workbookViewId="0">
      <selection activeCell="F137" sqref="F137"/>
    </sheetView>
  </sheetViews>
  <sheetFormatPr defaultColWidth="9.140625" defaultRowHeight="36" customHeight="1" x14ac:dyDescent="0.25"/>
  <cols>
    <col min="1" max="1" width="2.7109375" style="189" customWidth="1"/>
    <col min="2" max="2" width="36.7109375" style="278" customWidth="1"/>
    <col min="3" max="3" width="0.7109375" style="189" customWidth="1"/>
    <col min="4" max="4" width="24.42578125" style="189" customWidth="1"/>
    <col min="5" max="5" width="0.7109375" style="189" customWidth="1"/>
    <col min="6" max="6" width="29.5703125" style="189" customWidth="1"/>
    <col min="7" max="7" width="0.85546875" style="189" customWidth="1"/>
    <col min="8" max="8" width="29.5703125" style="189" bestFit="1" customWidth="1"/>
    <col min="9" max="9" width="0.7109375" style="189" customWidth="1"/>
    <col min="10" max="10" width="29.5703125" style="189" bestFit="1" customWidth="1"/>
    <col min="11" max="11" width="0.85546875" style="189" customWidth="1"/>
    <col min="12" max="12" width="24.42578125" style="189" bestFit="1" customWidth="1"/>
    <col min="13" max="13" width="0.7109375" style="189" customWidth="1"/>
    <col min="14" max="14" width="23.140625" style="189" customWidth="1"/>
    <col min="15" max="15" width="0.7109375" style="189" customWidth="1"/>
    <col min="16" max="16" width="25.5703125" style="189" customWidth="1"/>
    <col min="17" max="17" width="0.7109375" style="189" customWidth="1"/>
    <col min="18" max="18" width="28.140625" style="189" bestFit="1" customWidth="1"/>
    <col min="19" max="19" width="0.5703125" style="189" customWidth="1"/>
    <col min="20" max="20" width="29.5703125" style="102" bestFit="1" customWidth="1"/>
    <col min="21" max="21" width="0.42578125" style="102" customWidth="1"/>
    <col min="22" max="22" width="24" style="209" customWidth="1"/>
    <col min="23" max="23" width="29.28515625" style="189" bestFit="1" customWidth="1"/>
    <col min="24" max="24" width="30.5703125" style="189" bestFit="1" customWidth="1"/>
    <col min="25" max="25" width="37.5703125" style="189" bestFit="1" customWidth="1"/>
    <col min="26" max="26" width="32.85546875" style="189" bestFit="1" customWidth="1"/>
    <col min="27" max="27" width="20.7109375" style="189" bestFit="1" customWidth="1"/>
    <col min="28" max="28" width="9.140625" style="189"/>
    <col min="29" max="29" width="23" style="189" bestFit="1" customWidth="1"/>
    <col min="30" max="30" width="24.85546875" style="189" bestFit="1" customWidth="1"/>
    <col min="31" max="31" width="20.42578125" style="189" bestFit="1" customWidth="1"/>
    <col min="32" max="16384" width="9.140625" style="189"/>
  </cols>
  <sheetData>
    <row r="1" spans="2:29" ht="36" customHeight="1" x14ac:dyDescent="0.25">
      <c r="B1" s="381" t="str">
        <f>درآمدها!A1</f>
        <v>صندوق سرمایه گذاری شاخص سی شرکت بزرگ فیروزه</v>
      </c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1"/>
      <c r="W1" s="269"/>
      <c r="X1" s="269"/>
    </row>
    <row r="2" spans="2:29" ht="36" customHeight="1" x14ac:dyDescent="0.25">
      <c r="B2" s="381" t="s">
        <v>87</v>
      </c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269"/>
      <c r="X2" s="269"/>
    </row>
    <row r="3" spans="2:29" ht="36" customHeight="1" x14ac:dyDescent="0.25">
      <c r="B3" s="381" t="str">
        <f>' سهام'!AC6</f>
        <v>برای ماه منتهی به 1404/09/30</v>
      </c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269"/>
      <c r="X3" s="269"/>
    </row>
    <row r="4" spans="2:29" ht="36" customHeight="1" x14ac:dyDescent="0.25">
      <c r="W4" s="269"/>
      <c r="X4" s="269"/>
      <c r="AC4" s="189" t="s">
        <v>187</v>
      </c>
    </row>
    <row r="5" spans="2:29" ht="36" customHeight="1" x14ac:dyDescent="0.25">
      <c r="B5" s="384" t="s">
        <v>138</v>
      </c>
      <c r="C5" s="384"/>
      <c r="D5" s="384"/>
      <c r="E5" s="384"/>
      <c r="F5" s="384"/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269"/>
      <c r="X5" s="269"/>
      <c r="AC5" s="189" t="s">
        <v>188</v>
      </c>
    </row>
    <row r="6" spans="2:29" ht="9" customHeight="1" x14ac:dyDescent="0.25">
      <c r="W6" s="269"/>
      <c r="X6" s="269"/>
      <c r="AC6" s="189" t="s">
        <v>189</v>
      </c>
    </row>
    <row r="7" spans="2:29" ht="36" customHeight="1" thickBot="1" x14ac:dyDescent="0.3">
      <c r="B7" s="279"/>
      <c r="C7" s="210"/>
      <c r="D7" s="377" t="str">
        <f>' سهام'!AC7</f>
        <v>طی آذر ماه</v>
      </c>
      <c r="E7" s="377"/>
      <c r="F7" s="377"/>
      <c r="G7" s="377"/>
      <c r="H7" s="377"/>
      <c r="I7" s="377"/>
      <c r="J7" s="377"/>
      <c r="K7" s="210"/>
      <c r="L7" s="210"/>
      <c r="M7" s="210"/>
      <c r="N7" s="377" t="str">
        <f>' سهام'!AC8</f>
        <v>از ابتدای سال مالی تا پایان آذر ماه</v>
      </c>
      <c r="O7" s="377"/>
      <c r="P7" s="377"/>
      <c r="Q7" s="377"/>
      <c r="R7" s="377"/>
      <c r="S7" s="377"/>
      <c r="T7" s="377"/>
      <c r="U7" s="377"/>
      <c r="V7" s="377"/>
      <c r="W7" s="269"/>
      <c r="X7" s="270"/>
      <c r="Y7" s="212"/>
      <c r="AC7" s="189" t="s">
        <v>190</v>
      </c>
    </row>
    <row r="8" spans="2:29" ht="36" customHeight="1" x14ac:dyDescent="0.25">
      <c r="B8" s="378" t="s">
        <v>36</v>
      </c>
      <c r="C8" s="378"/>
      <c r="D8" s="382" t="s">
        <v>21</v>
      </c>
      <c r="E8" s="378"/>
      <c r="F8" s="382" t="s">
        <v>22</v>
      </c>
      <c r="G8" s="378"/>
      <c r="H8" s="382" t="s">
        <v>23</v>
      </c>
      <c r="I8" s="378"/>
      <c r="J8" s="380" t="s">
        <v>7</v>
      </c>
      <c r="K8" s="380"/>
      <c r="L8" s="380"/>
      <c r="M8" s="378"/>
      <c r="N8" s="383" t="s">
        <v>21</v>
      </c>
      <c r="O8" s="385"/>
      <c r="P8" s="383" t="s">
        <v>22</v>
      </c>
      <c r="Q8" s="385"/>
      <c r="R8" s="383" t="s">
        <v>23</v>
      </c>
      <c r="S8" s="385"/>
      <c r="T8" s="380" t="s">
        <v>7</v>
      </c>
      <c r="U8" s="380"/>
      <c r="V8" s="380"/>
      <c r="W8" s="269"/>
      <c r="X8" s="269"/>
      <c r="AC8" s="189" t="s">
        <v>191</v>
      </c>
    </row>
    <row r="9" spans="2:29" ht="36" customHeight="1" thickBot="1" x14ac:dyDescent="0.3">
      <c r="B9" s="378"/>
      <c r="C9" s="378"/>
      <c r="D9" s="382"/>
      <c r="E9" s="378"/>
      <c r="F9" s="382"/>
      <c r="G9" s="378"/>
      <c r="H9" s="382"/>
      <c r="I9" s="378"/>
      <c r="J9" s="377"/>
      <c r="K9" s="377"/>
      <c r="L9" s="377"/>
      <c r="M9" s="378"/>
      <c r="N9" s="382"/>
      <c r="O9" s="378"/>
      <c r="P9" s="382"/>
      <c r="Q9" s="378"/>
      <c r="R9" s="382"/>
      <c r="S9" s="378"/>
      <c r="T9" s="377"/>
      <c r="U9" s="377"/>
      <c r="V9" s="377"/>
      <c r="W9" s="269"/>
      <c r="X9" s="270"/>
    </row>
    <row r="10" spans="2:29" ht="49.5" customHeight="1" thickBot="1" x14ac:dyDescent="0.3">
      <c r="B10" s="379"/>
      <c r="C10" s="378"/>
      <c r="D10" s="88" t="s">
        <v>91</v>
      </c>
      <c r="E10" s="378"/>
      <c r="F10" s="88" t="s">
        <v>92</v>
      </c>
      <c r="G10" s="378"/>
      <c r="H10" s="88" t="s">
        <v>93</v>
      </c>
      <c r="I10" s="378"/>
      <c r="J10" s="103" t="s">
        <v>11</v>
      </c>
      <c r="K10" s="103"/>
      <c r="L10" s="103" t="s">
        <v>24</v>
      </c>
      <c r="M10" s="378"/>
      <c r="N10" s="88" t="s">
        <v>91</v>
      </c>
      <c r="O10" s="378"/>
      <c r="P10" s="88" t="s">
        <v>92</v>
      </c>
      <c r="Q10" s="378"/>
      <c r="R10" s="88" t="s">
        <v>93</v>
      </c>
      <c r="S10" s="378"/>
      <c r="T10" s="103" t="s">
        <v>11</v>
      </c>
      <c r="U10" s="103"/>
      <c r="V10" s="103" t="s">
        <v>24</v>
      </c>
      <c r="W10" s="271"/>
      <c r="X10" s="272"/>
    </row>
    <row r="11" spans="2:29" ht="36" customHeight="1" x14ac:dyDescent="0.25">
      <c r="B11" s="164" t="s">
        <v>125</v>
      </c>
      <c r="C11" s="171"/>
      <c r="D11" s="196">
        <v>0</v>
      </c>
      <c r="E11" s="196"/>
      <c r="F11" s="196">
        <v>55011127886</v>
      </c>
      <c r="G11" s="196"/>
      <c r="H11" s="196">
        <v>134854901</v>
      </c>
      <c r="I11" s="196"/>
      <c r="J11" s="196">
        <f>H11+F11+D11</f>
        <v>55145982787</v>
      </c>
      <c r="K11" s="196"/>
      <c r="L11" s="214">
        <f t="shared" ref="L11:L34" si="0">-J11/$G$136</f>
        <v>-2.8753289910665416E-2</v>
      </c>
      <c r="M11" s="196"/>
      <c r="N11" s="196">
        <v>0</v>
      </c>
      <c r="O11" s="196"/>
      <c r="P11" s="196">
        <v>78304689379</v>
      </c>
      <c r="Q11" s="196"/>
      <c r="R11" s="196">
        <v>8615833784</v>
      </c>
      <c r="S11" s="196">
        <v>-714562636</v>
      </c>
      <c r="T11" s="196">
        <f>N11+P11+R11</f>
        <v>86920523163</v>
      </c>
      <c r="U11" s="196">
        <v>11071728389</v>
      </c>
      <c r="V11" s="214">
        <f>T11/$X$12</f>
        <v>2.8910978533897121E-2</v>
      </c>
      <c r="W11" s="271"/>
      <c r="X11" s="308"/>
      <c r="Z11" s="201"/>
      <c r="AA11" s="212"/>
    </row>
    <row r="12" spans="2:29" ht="36" customHeight="1" x14ac:dyDescent="0.25">
      <c r="B12" s="181" t="s">
        <v>113</v>
      </c>
      <c r="C12" s="171"/>
      <c r="D12" s="196">
        <v>0</v>
      </c>
      <c r="E12" s="196"/>
      <c r="F12" s="196">
        <v>140695819318</v>
      </c>
      <c r="G12" s="196"/>
      <c r="H12" s="196">
        <v>587556432</v>
      </c>
      <c r="I12" s="196"/>
      <c r="J12" s="196">
        <f t="shared" ref="J12:J34" si="1">H12+F12+D12</f>
        <v>141283375750</v>
      </c>
      <c r="K12" s="196"/>
      <c r="L12" s="214">
        <f t="shared" si="0"/>
        <v>-7.3665599145961339E-2</v>
      </c>
      <c r="M12" s="196"/>
      <c r="N12" s="196">
        <v>54648000000</v>
      </c>
      <c r="O12" s="196"/>
      <c r="P12" s="196">
        <v>345533551003</v>
      </c>
      <c r="Q12" s="196"/>
      <c r="R12" s="196">
        <v>-2292453355</v>
      </c>
      <c r="S12" s="196">
        <v>-4741243411</v>
      </c>
      <c r="T12" s="196">
        <f>N12+P12+R12</f>
        <v>397889097648</v>
      </c>
      <c r="U12" s="196">
        <v>11071728390</v>
      </c>
      <c r="V12" s="214">
        <f>T12/$X$12</f>
        <v>0.13234346437838437</v>
      </c>
      <c r="W12" s="271"/>
      <c r="X12" s="318">
        <v>3006488454242</v>
      </c>
      <c r="Z12" s="201"/>
      <c r="AA12" s="212"/>
    </row>
    <row r="13" spans="2:29" ht="36" customHeight="1" x14ac:dyDescent="0.25">
      <c r="B13" s="181" t="s">
        <v>180</v>
      </c>
      <c r="C13" s="171"/>
      <c r="D13" s="196">
        <v>0</v>
      </c>
      <c r="E13" s="196"/>
      <c r="F13" s="196">
        <v>24916556896</v>
      </c>
      <c r="G13" s="196"/>
      <c r="H13" s="196">
        <v>41357229</v>
      </c>
      <c r="I13" s="196"/>
      <c r="J13" s="196">
        <f t="shared" si="1"/>
        <v>24957914125</v>
      </c>
      <c r="K13" s="196"/>
      <c r="L13" s="214">
        <f t="shared" si="0"/>
        <v>-1.301313539326E-2</v>
      </c>
      <c r="M13" s="196"/>
      <c r="N13" s="196">
        <v>11480000000</v>
      </c>
      <c r="O13" s="196"/>
      <c r="P13" s="196">
        <v>24271517992</v>
      </c>
      <c r="Q13" s="196"/>
      <c r="R13" s="196">
        <v>2642430581</v>
      </c>
      <c r="S13" s="196">
        <v>-3385001208</v>
      </c>
      <c r="T13" s="196">
        <f t="shared" ref="T13:T21" si="2">N13+P13+R13</f>
        <v>38393948573</v>
      </c>
      <c r="U13" s="196">
        <v>11071728391</v>
      </c>
      <c r="V13" s="214">
        <f>T13/$X$12</f>
        <v>1.2770362885920324E-2</v>
      </c>
      <c r="W13" s="271"/>
      <c r="X13" s="308"/>
      <c r="Z13" s="201"/>
      <c r="AA13" s="212"/>
    </row>
    <row r="14" spans="2:29" ht="36" customHeight="1" x14ac:dyDescent="0.25">
      <c r="B14" s="181" t="s">
        <v>116</v>
      </c>
      <c r="C14" s="171"/>
      <c r="D14" s="196">
        <v>0</v>
      </c>
      <c r="E14" s="196"/>
      <c r="F14" s="196">
        <v>1524171203</v>
      </c>
      <c r="G14" s="196"/>
      <c r="H14" s="196">
        <v>-1376254680</v>
      </c>
      <c r="I14" s="196"/>
      <c r="J14" s="196">
        <f t="shared" si="1"/>
        <v>147916523</v>
      </c>
      <c r="K14" s="196"/>
      <c r="L14" s="214">
        <f t="shared" si="0"/>
        <v>-7.712414310982636E-5</v>
      </c>
      <c r="M14" s="196"/>
      <c r="N14" s="196">
        <v>12000000000</v>
      </c>
      <c r="O14" s="196"/>
      <c r="P14" s="196">
        <v>-406139</v>
      </c>
      <c r="Q14" s="196"/>
      <c r="R14" s="196">
        <v>-74811807393</v>
      </c>
      <c r="S14" s="196">
        <v>-2880009787</v>
      </c>
      <c r="T14" s="196">
        <f t="shared" ref="T14:T17" si="3">N14+P14+R14</f>
        <v>-62812213532</v>
      </c>
      <c r="U14" s="196">
        <v>11071728392</v>
      </c>
      <c r="V14" s="214">
        <f t="shared" ref="V14:V98" si="4">T14/$X$12</f>
        <v>-2.0892218442873183E-2</v>
      </c>
      <c r="W14" s="271"/>
      <c r="X14" s="272"/>
      <c r="Z14" s="201"/>
      <c r="AA14" s="212"/>
    </row>
    <row r="15" spans="2:29" ht="36" customHeight="1" x14ac:dyDescent="0.25">
      <c r="B15" s="181" t="s">
        <v>237</v>
      </c>
      <c r="C15" s="171"/>
      <c r="D15" s="196">
        <v>0</v>
      </c>
      <c r="E15" s="196"/>
      <c r="F15" s="196">
        <v>0</v>
      </c>
      <c r="G15" s="196"/>
      <c r="H15" s="196">
        <v>20642293424</v>
      </c>
      <c r="I15" s="196"/>
      <c r="J15" s="196">
        <f t="shared" si="1"/>
        <v>20642293424</v>
      </c>
      <c r="K15" s="196"/>
      <c r="L15" s="214">
        <f t="shared" si="0"/>
        <v>-1.0762957104850306E-2</v>
      </c>
      <c r="M15" s="196"/>
      <c r="N15" s="196">
        <v>0</v>
      </c>
      <c r="O15" s="196"/>
      <c r="P15" s="196">
        <v>0</v>
      </c>
      <c r="Q15" s="196"/>
      <c r="R15" s="196">
        <v>20642293424</v>
      </c>
      <c r="S15" s="196">
        <v>-664891573</v>
      </c>
      <c r="T15" s="196">
        <f t="shared" si="3"/>
        <v>20642293424</v>
      </c>
      <c r="U15" s="196">
        <v>11071728393</v>
      </c>
      <c r="V15" s="214">
        <f t="shared" si="4"/>
        <v>6.8659147501048236E-3</v>
      </c>
      <c r="W15" s="271"/>
      <c r="X15" s="272"/>
      <c r="Z15" s="201"/>
      <c r="AA15" s="212"/>
    </row>
    <row r="16" spans="2:29" ht="36" customHeight="1" x14ac:dyDescent="0.25">
      <c r="B16" s="181" t="s">
        <v>104</v>
      </c>
      <c r="C16" s="171"/>
      <c r="D16" s="196">
        <v>0</v>
      </c>
      <c r="E16" s="196"/>
      <c r="F16" s="196">
        <v>30966522276</v>
      </c>
      <c r="G16" s="196"/>
      <c r="H16" s="196">
        <v>3112838586</v>
      </c>
      <c r="I16" s="196"/>
      <c r="J16" s="196">
        <f t="shared" si="1"/>
        <v>34079360862</v>
      </c>
      <c r="K16" s="196"/>
      <c r="L16" s="214">
        <f t="shared" si="0"/>
        <v>-1.7769086582790371E-2</v>
      </c>
      <c r="M16" s="196"/>
      <c r="N16" s="196">
        <v>2626384230</v>
      </c>
      <c r="O16" s="196"/>
      <c r="P16" s="196">
        <v>66079505886</v>
      </c>
      <c r="Q16" s="196"/>
      <c r="R16" s="196">
        <v>31216116444</v>
      </c>
      <c r="S16" s="196">
        <v>-2538727106</v>
      </c>
      <c r="T16" s="196">
        <f t="shared" si="3"/>
        <v>99922006560</v>
      </c>
      <c r="U16" s="196">
        <v>11071728394</v>
      </c>
      <c r="V16" s="214">
        <f t="shared" si="4"/>
        <v>3.3235453280725295E-2</v>
      </c>
      <c r="W16" s="271"/>
      <c r="X16" s="272"/>
      <c r="Z16" s="201"/>
      <c r="AA16" s="212"/>
    </row>
    <row r="17" spans="2:27" ht="36" customHeight="1" x14ac:dyDescent="0.25">
      <c r="B17" s="181" t="s">
        <v>194</v>
      </c>
      <c r="C17" s="171"/>
      <c r="D17" s="196">
        <v>0</v>
      </c>
      <c r="E17" s="196"/>
      <c r="F17" s="196">
        <v>0</v>
      </c>
      <c r="G17" s="196"/>
      <c r="H17" s="196">
        <v>41326305</v>
      </c>
      <c r="I17" s="196"/>
      <c r="J17" s="196">
        <f t="shared" si="1"/>
        <v>41326305</v>
      </c>
      <c r="K17" s="196"/>
      <c r="L17" s="214">
        <f t="shared" si="0"/>
        <v>-2.1547666186152394E-5</v>
      </c>
      <c r="M17" s="196"/>
      <c r="N17" s="196">
        <v>0</v>
      </c>
      <c r="O17" s="196"/>
      <c r="P17" s="196">
        <v>0</v>
      </c>
      <c r="Q17" s="196"/>
      <c r="R17" s="196">
        <v>41326305</v>
      </c>
      <c r="S17" s="196">
        <v>-5759026841</v>
      </c>
      <c r="T17" s="196">
        <f t="shared" si="3"/>
        <v>41326305</v>
      </c>
      <c r="U17" s="196">
        <v>11071728395</v>
      </c>
      <c r="V17" s="214">
        <f t="shared" si="4"/>
        <v>1.374570553952759E-5</v>
      </c>
      <c r="W17" s="271"/>
      <c r="X17" s="272"/>
      <c r="Z17" s="201"/>
      <c r="AA17" s="212"/>
    </row>
    <row r="18" spans="2:27" ht="36" customHeight="1" x14ac:dyDescent="0.25">
      <c r="B18" s="181" t="s">
        <v>112</v>
      </c>
      <c r="C18" s="171"/>
      <c r="D18" s="196">
        <v>0</v>
      </c>
      <c r="E18" s="196"/>
      <c r="F18" s="196">
        <v>99493206888</v>
      </c>
      <c r="G18" s="196"/>
      <c r="H18" s="196">
        <v>1823602887</v>
      </c>
      <c r="I18" s="196"/>
      <c r="J18" s="196">
        <f t="shared" si="1"/>
        <v>101316809775</v>
      </c>
      <c r="K18" s="196"/>
      <c r="L18" s="214">
        <f t="shared" si="0"/>
        <v>-5.2826905189747829E-2</v>
      </c>
      <c r="M18" s="196"/>
      <c r="N18" s="196">
        <v>3168000000</v>
      </c>
      <c r="O18" s="196"/>
      <c r="P18" s="196">
        <v>98583210890</v>
      </c>
      <c r="Q18" s="196"/>
      <c r="R18" s="196">
        <v>21091202599</v>
      </c>
      <c r="S18" s="196">
        <v>-2808202366</v>
      </c>
      <c r="T18" s="196">
        <f t="shared" si="2"/>
        <v>122842413489</v>
      </c>
      <c r="U18" s="196">
        <v>11071728392</v>
      </c>
      <c r="V18" s="214">
        <f t="shared" si="4"/>
        <v>4.0859100361977339E-2</v>
      </c>
      <c r="W18" s="271"/>
      <c r="X18" s="102"/>
      <c r="Z18" s="201"/>
      <c r="AA18" s="212"/>
    </row>
    <row r="19" spans="2:27" ht="36" customHeight="1" x14ac:dyDescent="0.25">
      <c r="B19" s="181" t="s">
        <v>139</v>
      </c>
      <c r="C19" s="171"/>
      <c r="D19" s="196">
        <v>0</v>
      </c>
      <c r="E19" s="196"/>
      <c r="F19" s="196">
        <v>43682722686</v>
      </c>
      <c r="G19" s="196"/>
      <c r="H19" s="196">
        <v>-4930261612</v>
      </c>
      <c r="I19" s="196"/>
      <c r="J19" s="196">
        <f t="shared" si="1"/>
        <v>38752461074</v>
      </c>
      <c r="K19" s="196"/>
      <c r="L19" s="214">
        <f t="shared" si="0"/>
        <v>-2.0205655819324195E-2</v>
      </c>
      <c r="M19" s="196"/>
      <c r="N19" s="196">
        <v>36750000000</v>
      </c>
      <c r="O19" s="196"/>
      <c r="P19" s="196">
        <v>1582733229</v>
      </c>
      <c r="Q19" s="196"/>
      <c r="R19" s="196">
        <v>-22758661311</v>
      </c>
      <c r="S19" s="196"/>
      <c r="T19" s="196">
        <f t="shared" si="2"/>
        <v>15574071918</v>
      </c>
      <c r="U19" s="196">
        <v>11071728393</v>
      </c>
      <c r="V19" s="214">
        <f t="shared" si="4"/>
        <v>5.1801535761847976E-3</v>
      </c>
      <c r="W19" s="271"/>
      <c r="X19" s="102"/>
      <c r="Z19" s="201"/>
      <c r="AA19" s="212"/>
    </row>
    <row r="20" spans="2:27" ht="36" customHeight="1" x14ac:dyDescent="0.25">
      <c r="B20" s="181" t="s">
        <v>198</v>
      </c>
      <c r="C20" s="171"/>
      <c r="D20" s="196">
        <v>0</v>
      </c>
      <c r="E20" s="196"/>
      <c r="F20" s="196">
        <v>0</v>
      </c>
      <c r="G20" s="196"/>
      <c r="H20" s="196">
        <v>-13490058810</v>
      </c>
      <c r="I20" s="196"/>
      <c r="J20" s="196">
        <f t="shared" si="1"/>
        <v>-13490058810</v>
      </c>
      <c r="K20" s="196"/>
      <c r="L20" s="214">
        <f t="shared" si="0"/>
        <v>7.0337593469690599E-3</v>
      </c>
      <c r="M20" s="196"/>
      <c r="N20" s="196">
        <v>0</v>
      </c>
      <c r="O20" s="196"/>
      <c r="P20" s="196">
        <v>0</v>
      </c>
      <c r="Q20" s="196"/>
      <c r="R20" s="196">
        <v>-16706594194</v>
      </c>
      <c r="S20" s="196">
        <v>8828197833</v>
      </c>
      <c r="T20" s="196">
        <f t="shared" si="2"/>
        <v>-16706594194</v>
      </c>
      <c r="U20" s="196">
        <v>11071728394</v>
      </c>
      <c r="V20" s="214">
        <f t="shared" si="4"/>
        <v>-5.5568462837194193E-3</v>
      </c>
      <c r="W20" s="271"/>
      <c r="X20" s="102"/>
      <c r="Z20" s="201"/>
      <c r="AA20" s="212"/>
    </row>
    <row r="21" spans="2:27" ht="36" customHeight="1" x14ac:dyDescent="0.25">
      <c r="B21" s="181" t="s">
        <v>118</v>
      </c>
      <c r="C21" s="171"/>
      <c r="D21" s="196">
        <v>0</v>
      </c>
      <c r="E21" s="196"/>
      <c r="F21" s="196">
        <v>9732885855</v>
      </c>
      <c r="G21" s="196"/>
      <c r="H21" s="196">
        <v>-700412</v>
      </c>
      <c r="I21" s="196"/>
      <c r="J21" s="196">
        <f t="shared" si="1"/>
        <v>9732185443</v>
      </c>
      <c r="K21" s="196"/>
      <c r="L21" s="214">
        <f t="shared" si="0"/>
        <v>-5.0743922832562852E-3</v>
      </c>
      <c r="M21" s="196"/>
      <c r="N21" s="196">
        <v>14534169683</v>
      </c>
      <c r="O21" s="196"/>
      <c r="P21" s="196">
        <v>9709064670</v>
      </c>
      <c r="Q21" s="196"/>
      <c r="R21" s="196">
        <v>-102060079441</v>
      </c>
      <c r="S21" s="196">
        <v>-40082741567</v>
      </c>
      <c r="T21" s="196">
        <f t="shared" si="2"/>
        <v>-77816845088</v>
      </c>
      <c r="U21" s="196">
        <v>11071728395</v>
      </c>
      <c r="V21" s="214">
        <f t="shared" si="4"/>
        <v>-2.5882968211038512E-2</v>
      </c>
      <c r="W21" s="271"/>
      <c r="X21" s="102"/>
      <c r="Z21" s="201"/>
      <c r="AA21" s="212"/>
    </row>
    <row r="22" spans="2:27" ht="36" customHeight="1" x14ac:dyDescent="0.25">
      <c r="B22" s="181" t="s">
        <v>197</v>
      </c>
      <c r="C22" s="171"/>
      <c r="D22" s="196">
        <v>0</v>
      </c>
      <c r="E22" s="196"/>
      <c r="F22" s="196">
        <v>0</v>
      </c>
      <c r="G22" s="196"/>
      <c r="H22" s="196">
        <v>874503921</v>
      </c>
      <c r="I22" s="196"/>
      <c r="J22" s="196">
        <f t="shared" si="1"/>
        <v>874503921</v>
      </c>
      <c r="K22" s="196"/>
      <c r="L22" s="214">
        <f t="shared" si="0"/>
        <v>-4.5596911139743519E-4</v>
      </c>
      <c r="M22" s="196"/>
      <c r="N22" s="196">
        <v>235000000</v>
      </c>
      <c r="O22" s="196"/>
      <c r="P22" s="196">
        <v>0</v>
      </c>
      <c r="Q22" s="196"/>
      <c r="R22" s="196">
        <v>1290155549</v>
      </c>
      <c r="S22" s="196">
        <v>466959920</v>
      </c>
      <c r="T22" s="196">
        <f t="shared" ref="T22:T29" si="5">N22+P22+R22</f>
        <v>1525155549</v>
      </c>
      <c r="U22" s="196">
        <v>11071728396</v>
      </c>
      <c r="V22" s="214">
        <f t="shared" si="4"/>
        <v>5.0728801131701812E-4</v>
      </c>
      <c r="W22" s="271"/>
      <c r="X22" s="102"/>
      <c r="Z22" s="201"/>
      <c r="AA22" s="212"/>
    </row>
    <row r="23" spans="2:27" ht="36" customHeight="1" x14ac:dyDescent="0.25">
      <c r="B23" s="181" t="s">
        <v>238</v>
      </c>
      <c r="C23" s="171"/>
      <c r="D23" s="196">
        <v>0</v>
      </c>
      <c r="E23" s="196"/>
      <c r="F23" s="196">
        <v>38126358018</v>
      </c>
      <c r="G23" s="196"/>
      <c r="H23" s="196">
        <v>392071394</v>
      </c>
      <c r="I23" s="196"/>
      <c r="J23" s="196">
        <f t="shared" si="1"/>
        <v>38518429412</v>
      </c>
      <c r="K23" s="196"/>
      <c r="L23" s="214">
        <f t="shared" si="0"/>
        <v>-2.0083630970265796E-2</v>
      </c>
      <c r="M23" s="196"/>
      <c r="N23" s="196">
        <v>0</v>
      </c>
      <c r="O23" s="196"/>
      <c r="P23" s="196">
        <v>53293258557</v>
      </c>
      <c r="Q23" s="196"/>
      <c r="R23" s="196">
        <v>655897105</v>
      </c>
      <c r="S23" s="196">
        <v>-102059379029</v>
      </c>
      <c r="T23" s="196">
        <f t="shared" ref="T23:T26" si="6">N23+P23+R23</f>
        <v>53949155662</v>
      </c>
      <c r="U23" s="196">
        <v>11071728398</v>
      </c>
      <c r="V23" s="214">
        <f t="shared" si="4"/>
        <v>1.7944241756817834E-2</v>
      </c>
      <c r="W23" s="271"/>
      <c r="X23" s="102"/>
      <c r="Z23" s="201"/>
      <c r="AA23" s="212"/>
    </row>
    <row r="24" spans="2:27" ht="36" customHeight="1" x14ac:dyDescent="0.25">
      <c r="B24" s="181" t="s">
        <v>242</v>
      </c>
      <c r="C24" s="171"/>
      <c r="D24" s="196">
        <v>0</v>
      </c>
      <c r="E24" s="196"/>
      <c r="F24" s="196">
        <v>0</v>
      </c>
      <c r="G24" s="196"/>
      <c r="H24" s="196">
        <v>24853040</v>
      </c>
      <c r="I24" s="196"/>
      <c r="J24" s="196">
        <f t="shared" si="1"/>
        <v>24853040</v>
      </c>
      <c r="K24" s="196"/>
      <c r="L24" s="214">
        <f t="shared" si="0"/>
        <v>-1.2958453692656357E-5</v>
      </c>
      <c r="M24" s="196"/>
      <c r="N24" s="196">
        <v>0</v>
      </c>
      <c r="O24" s="196"/>
      <c r="P24" s="196">
        <v>0</v>
      </c>
      <c r="Q24" s="196"/>
      <c r="R24" s="196">
        <v>23502326888</v>
      </c>
      <c r="S24" s="196">
        <v>-11597631470</v>
      </c>
      <c r="T24" s="196">
        <f t="shared" si="6"/>
        <v>23502326888</v>
      </c>
      <c r="U24" s="196">
        <v>11071728399</v>
      </c>
      <c r="V24" s="214">
        <f t="shared" si="4"/>
        <v>7.817201777322454E-3</v>
      </c>
      <c r="W24" s="271"/>
      <c r="X24" s="102"/>
      <c r="Z24" s="201"/>
      <c r="AA24" s="212"/>
    </row>
    <row r="25" spans="2:27" ht="36" customHeight="1" x14ac:dyDescent="0.25">
      <c r="B25" s="181" t="s">
        <v>134</v>
      </c>
      <c r="C25" s="171"/>
      <c r="D25" s="196">
        <v>0</v>
      </c>
      <c r="E25" s="196"/>
      <c r="F25" s="196">
        <v>32893538566</v>
      </c>
      <c r="G25" s="196"/>
      <c r="H25" s="196">
        <v>1061377754</v>
      </c>
      <c r="I25" s="196"/>
      <c r="J25" s="196">
        <f t="shared" si="1"/>
        <v>33954916320</v>
      </c>
      <c r="K25" s="196"/>
      <c r="L25" s="214">
        <f t="shared" si="0"/>
        <v>-1.770420080484084E-2</v>
      </c>
      <c r="M25" s="196"/>
      <c r="N25" s="196">
        <v>22230000000</v>
      </c>
      <c r="O25" s="196"/>
      <c r="P25" s="196">
        <v>59869747610</v>
      </c>
      <c r="Q25" s="196"/>
      <c r="R25" s="196">
        <v>56186623342</v>
      </c>
      <c r="S25" s="196">
        <v>52167321915</v>
      </c>
      <c r="T25" s="196">
        <f t="shared" si="6"/>
        <v>138286370952</v>
      </c>
      <c r="U25" s="196">
        <v>11071728400</v>
      </c>
      <c r="V25" s="214">
        <f t="shared" si="4"/>
        <v>4.599597605534958E-2</v>
      </c>
      <c r="W25" s="271"/>
      <c r="X25" s="102"/>
      <c r="Z25" s="201"/>
      <c r="AA25" s="212"/>
    </row>
    <row r="26" spans="2:27" ht="36" customHeight="1" x14ac:dyDescent="0.25">
      <c r="B26" s="181" t="s">
        <v>168</v>
      </c>
      <c r="C26" s="171"/>
      <c r="D26" s="196">
        <v>0</v>
      </c>
      <c r="E26" s="196"/>
      <c r="F26" s="196">
        <v>0</v>
      </c>
      <c r="G26" s="196"/>
      <c r="H26" s="196">
        <v>1468253632</v>
      </c>
      <c r="I26" s="196"/>
      <c r="J26" s="196">
        <f t="shared" si="1"/>
        <v>1468253632</v>
      </c>
      <c r="K26" s="196"/>
      <c r="L26" s="214">
        <f t="shared" si="0"/>
        <v>-7.6555208937604852E-4</v>
      </c>
      <c r="M26" s="196"/>
      <c r="N26" s="196">
        <v>262500000</v>
      </c>
      <c r="O26" s="196"/>
      <c r="P26" s="196">
        <v>0</v>
      </c>
      <c r="Q26" s="196"/>
      <c r="R26" s="196">
        <v>2340313737</v>
      </c>
      <c r="S26" s="196">
        <v>-6964477628</v>
      </c>
      <c r="T26" s="196">
        <f t="shared" si="6"/>
        <v>2602813737</v>
      </c>
      <c r="U26" s="196">
        <v>11071728401</v>
      </c>
      <c r="V26" s="214">
        <f t="shared" si="4"/>
        <v>8.6573215783601772E-4</v>
      </c>
      <c r="W26" s="271"/>
      <c r="X26" s="102"/>
      <c r="Z26" s="201"/>
      <c r="AA26" s="212"/>
    </row>
    <row r="27" spans="2:27" ht="36" customHeight="1" x14ac:dyDescent="0.25">
      <c r="B27" s="181" t="s">
        <v>122</v>
      </c>
      <c r="C27" s="171"/>
      <c r="D27" s="196">
        <v>0</v>
      </c>
      <c r="E27" s="196"/>
      <c r="F27" s="196">
        <v>133703049103</v>
      </c>
      <c r="G27" s="196"/>
      <c r="H27" s="196">
        <v>1556673821</v>
      </c>
      <c r="I27" s="196"/>
      <c r="J27" s="196">
        <f t="shared" si="1"/>
        <v>135259722924</v>
      </c>
      <c r="K27" s="196"/>
      <c r="L27" s="214">
        <f t="shared" si="0"/>
        <v>-7.0524847503250443E-2</v>
      </c>
      <c r="M27" s="196"/>
      <c r="N27" s="196">
        <v>45900000000</v>
      </c>
      <c r="O27" s="196"/>
      <c r="P27" s="196">
        <v>224826351729</v>
      </c>
      <c r="Q27" s="196"/>
      <c r="R27" s="196">
        <v>2218288310</v>
      </c>
      <c r="S27" s="196">
        <v>-13571699443</v>
      </c>
      <c r="T27" s="196">
        <f>N27+P27+R27</f>
        <v>272944640039</v>
      </c>
      <c r="U27" s="196">
        <v>11071728402</v>
      </c>
      <c r="V27" s="214">
        <f t="shared" si="4"/>
        <v>9.0785194818855594E-2</v>
      </c>
      <c r="W27" s="271"/>
      <c r="X27" s="102"/>
      <c r="Z27" s="201"/>
      <c r="AA27" s="212"/>
    </row>
    <row r="28" spans="2:27" ht="36" customHeight="1" x14ac:dyDescent="0.25">
      <c r="B28" s="181" t="s">
        <v>265</v>
      </c>
      <c r="C28" s="171"/>
      <c r="D28" s="196">
        <v>0</v>
      </c>
      <c r="E28" s="196"/>
      <c r="F28" s="196">
        <v>0</v>
      </c>
      <c r="G28" s="196"/>
      <c r="H28" s="196">
        <v>506290</v>
      </c>
      <c r="I28" s="196"/>
      <c r="J28" s="196">
        <f t="shared" si="1"/>
        <v>506290</v>
      </c>
      <c r="K28" s="196"/>
      <c r="L28" s="214">
        <f t="shared" si="0"/>
        <v>-2.6398120793492415E-7</v>
      </c>
      <c r="M28" s="196"/>
      <c r="N28" s="196">
        <v>0</v>
      </c>
      <c r="O28" s="196"/>
      <c r="P28" s="196">
        <v>0</v>
      </c>
      <c r="Q28" s="196"/>
      <c r="R28" s="196">
        <v>506290</v>
      </c>
      <c r="S28" s="196">
        <v>257545772</v>
      </c>
      <c r="T28" s="196">
        <f t="shared" si="5"/>
        <v>506290</v>
      </c>
      <c r="U28" s="196">
        <v>11071728398</v>
      </c>
      <c r="V28" s="214">
        <f t="shared" si="4"/>
        <v>1.6839911667901168E-7</v>
      </c>
      <c r="W28" s="271"/>
      <c r="X28" s="102"/>
      <c r="Z28" s="201"/>
      <c r="AA28" s="212"/>
    </row>
    <row r="29" spans="2:27" ht="36" customHeight="1" x14ac:dyDescent="0.25">
      <c r="B29" s="181" t="s">
        <v>123</v>
      </c>
      <c r="C29" s="171"/>
      <c r="D29" s="196">
        <v>0</v>
      </c>
      <c r="E29" s="196"/>
      <c r="F29" s="196">
        <v>80248256339</v>
      </c>
      <c r="G29" s="196"/>
      <c r="H29" s="196">
        <v>126400579</v>
      </c>
      <c r="I29" s="196"/>
      <c r="J29" s="196">
        <f t="shared" si="1"/>
        <v>80374656918</v>
      </c>
      <c r="K29" s="196"/>
      <c r="L29" s="214">
        <f t="shared" si="0"/>
        <v>-4.190760042775632E-2</v>
      </c>
      <c r="M29" s="196"/>
      <c r="N29" s="196">
        <v>5600000000</v>
      </c>
      <c r="O29" s="196"/>
      <c r="P29" s="196">
        <v>84645773988</v>
      </c>
      <c r="Q29" s="196"/>
      <c r="R29" s="196">
        <v>-16338293696</v>
      </c>
      <c r="S29" s="196">
        <v>1026553445</v>
      </c>
      <c r="T29" s="196">
        <f t="shared" si="5"/>
        <v>73907480292</v>
      </c>
      <c r="U29" s="196">
        <v>11071728399</v>
      </c>
      <c r="V29" s="214">
        <f t="shared" si="4"/>
        <v>2.4582658944763403E-2</v>
      </c>
      <c r="W29" s="271"/>
      <c r="X29" s="102"/>
      <c r="Z29" s="201"/>
      <c r="AA29" s="212"/>
    </row>
    <row r="30" spans="2:27" ht="36" customHeight="1" x14ac:dyDescent="0.25">
      <c r="B30" s="181" t="s">
        <v>185</v>
      </c>
      <c r="C30" s="171"/>
      <c r="D30" s="196">
        <v>0</v>
      </c>
      <c r="E30" s="196"/>
      <c r="F30" s="196">
        <v>0</v>
      </c>
      <c r="G30" s="196"/>
      <c r="H30" s="196">
        <v>-871144281</v>
      </c>
      <c r="I30" s="196"/>
      <c r="J30" s="196">
        <f t="shared" si="1"/>
        <v>-871144281</v>
      </c>
      <c r="K30" s="196"/>
      <c r="L30" s="214">
        <f t="shared" si="0"/>
        <v>4.5421738447131284E-4</v>
      </c>
      <c r="M30" s="196"/>
      <c r="N30" s="196">
        <v>552500000</v>
      </c>
      <c r="O30" s="196"/>
      <c r="P30" s="196">
        <v>0</v>
      </c>
      <c r="Q30" s="196"/>
      <c r="R30" s="196">
        <v>-489193832</v>
      </c>
      <c r="S30" s="196">
        <v>-1161777565</v>
      </c>
      <c r="T30" s="196">
        <f t="shared" ref="T30:T126" si="7">N30+P30+R30</f>
        <v>63306168</v>
      </c>
      <c r="U30" s="196">
        <v>-5155830316</v>
      </c>
      <c r="V30" s="214">
        <f t="shared" si="4"/>
        <v>2.1056514589529943E-5</v>
      </c>
      <c r="W30" s="271"/>
      <c r="X30" s="102"/>
      <c r="Z30" s="201"/>
      <c r="AA30" s="212"/>
    </row>
    <row r="31" spans="2:27" ht="36" customHeight="1" x14ac:dyDescent="0.25">
      <c r="B31" s="181" t="s">
        <v>268</v>
      </c>
      <c r="C31" s="171"/>
      <c r="D31" s="196">
        <v>0</v>
      </c>
      <c r="E31" s="196"/>
      <c r="F31" s="196">
        <v>3301155489</v>
      </c>
      <c r="G31" s="196"/>
      <c r="H31" s="196">
        <v>2711244205</v>
      </c>
      <c r="I31" s="196"/>
      <c r="J31" s="196">
        <f t="shared" si="1"/>
        <v>6012399694</v>
      </c>
      <c r="K31" s="196"/>
      <c r="L31" s="214">
        <f t="shared" si="0"/>
        <v>-3.1348842240804444E-3</v>
      </c>
      <c r="M31" s="196"/>
      <c r="N31" s="196">
        <v>0</v>
      </c>
      <c r="O31" s="196"/>
      <c r="P31" s="196">
        <v>3301155489</v>
      </c>
      <c r="Q31" s="196"/>
      <c r="R31" s="196">
        <v>2711244205</v>
      </c>
      <c r="S31" s="196">
        <v>599022178</v>
      </c>
      <c r="T31" s="196">
        <f t="shared" ref="T31:T45" si="8">N31+P31+R31</f>
        <v>6012399694</v>
      </c>
      <c r="U31" s="196">
        <v>-5155830315</v>
      </c>
      <c r="V31" s="214">
        <f t="shared" si="4"/>
        <v>1.9998080104105553E-3</v>
      </c>
      <c r="W31" s="271"/>
      <c r="X31" s="102"/>
      <c r="Z31" s="201"/>
      <c r="AA31" s="212"/>
    </row>
    <row r="32" spans="2:27" ht="36" customHeight="1" x14ac:dyDescent="0.25">
      <c r="B32" s="181" t="s">
        <v>181</v>
      </c>
      <c r="C32" s="171"/>
      <c r="D32" s="196">
        <v>0</v>
      </c>
      <c r="E32" s="196"/>
      <c r="F32" s="196">
        <v>3130579549</v>
      </c>
      <c r="G32" s="196"/>
      <c r="H32" s="196">
        <v>-5453079</v>
      </c>
      <c r="I32" s="196"/>
      <c r="J32" s="196">
        <f t="shared" si="1"/>
        <v>3125126470</v>
      </c>
      <c r="K32" s="196"/>
      <c r="L32" s="214">
        <f t="shared" si="0"/>
        <v>-1.6294508295640947E-3</v>
      </c>
      <c r="M32" s="196"/>
      <c r="N32" s="196">
        <v>5600000000</v>
      </c>
      <c r="O32" s="196"/>
      <c r="P32" s="196">
        <v>2078797790</v>
      </c>
      <c r="Q32" s="196"/>
      <c r="R32" s="196">
        <v>-2111547566</v>
      </c>
      <c r="S32" s="196">
        <v>11615770866</v>
      </c>
      <c r="T32" s="196">
        <f t="shared" si="8"/>
        <v>5567250224</v>
      </c>
      <c r="U32" s="196">
        <v>-5155830314</v>
      </c>
      <c r="V32" s="214">
        <f t="shared" si="4"/>
        <v>1.8517450869119079E-3</v>
      </c>
      <c r="W32" s="271"/>
      <c r="X32" s="102"/>
      <c r="Z32" s="201"/>
      <c r="AA32" s="212"/>
    </row>
    <row r="33" spans="2:27" ht="36" customHeight="1" x14ac:dyDescent="0.25">
      <c r="B33" s="181" t="s">
        <v>115</v>
      </c>
      <c r="C33" s="171"/>
      <c r="D33" s="196">
        <v>0</v>
      </c>
      <c r="E33" s="196"/>
      <c r="F33" s="196">
        <v>8300173670</v>
      </c>
      <c r="G33" s="196"/>
      <c r="H33" s="196">
        <v>1072317840</v>
      </c>
      <c r="I33" s="196"/>
      <c r="J33" s="196">
        <f t="shared" si="1"/>
        <v>9372491510</v>
      </c>
      <c r="K33" s="196"/>
      <c r="L33" s="214">
        <f t="shared" si="0"/>
        <v>-4.8868467284947778E-3</v>
      </c>
      <c r="M33" s="196"/>
      <c r="N33" s="196">
        <v>10640000000</v>
      </c>
      <c r="O33" s="196"/>
      <c r="P33" s="196">
        <v>20318212198</v>
      </c>
      <c r="Q33" s="196"/>
      <c r="R33" s="196">
        <v>-1377096352</v>
      </c>
      <c r="S33" s="196">
        <v>28553005</v>
      </c>
      <c r="T33" s="196">
        <f t="shared" si="8"/>
        <v>29581115846</v>
      </c>
      <c r="U33" s="196">
        <v>-5155830313</v>
      </c>
      <c r="V33" s="214">
        <f t="shared" si="4"/>
        <v>9.8390917830609229E-3</v>
      </c>
      <c r="W33" s="271"/>
      <c r="X33" s="102"/>
      <c r="Z33" s="201"/>
      <c r="AA33" s="212"/>
    </row>
    <row r="34" spans="2:27" ht="36" customHeight="1" x14ac:dyDescent="0.25">
      <c r="B34" s="181" t="s">
        <v>129</v>
      </c>
      <c r="C34" s="171"/>
      <c r="D34" s="196">
        <v>0</v>
      </c>
      <c r="E34" s="196"/>
      <c r="F34" s="196">
        <v>238144225612</v>
      </c>
      <c r="G34" s="196"/>
      <c r="H34" s="196">
        <v>1030701375</v>
      </c>
      <c r="I34" s="196"/>
      <c r="J34" s="196">
        <f t="shared" si="1"/>
        <v>239174926987</v>
      </c>
      <c r="K34" s="196"/>
      <c r="L34" s="214">
        <f t="shared" si="0"/>
        <v>-0.12470656369625224</v>
      </c>
      <c r="M34" s="196"/>
      <c r="N34" s="196">
        <v>23680000000</v>
      </c>
      <c r="O34" s="196"/>
      <c r="P34" s="196">
        <v>368504173586</v>
      </c>
      <c r="Q34" s="196"/>
      <c r="R34" s="196">
        <v>792083244</v>
      </c>
      <c r="S34" s="196">
        <v>8613312174</v>
      </c>
      <c r="T34" s="196">
        <f t="shared" si="8"/>
        <v>392976256830</v>
      </c>
      <c r="U34" s="196">
        <v>-5155830312</v>
      </c>
      <c r="V34" s="214">
        <f t="shared" si="4"/>
        <v>0.13070938498883333</v>
      </c>
      <c r="W34" s="271"/>
      <c r="X34" s="102"/>
      <c r="Z34" s="201"/>
      <c r="AA34" s="212"/>
    </row>
    <row r="35" spans="2:27" ht="36" customHeight="1" x14ac:dyDescent="0.25">
      <c r="B35" s="181" t="s">
        <v>216</v>
      </c>
      <c r="C35" s="171"/>
      <c r="D35" s="195">
        <f>SUM(D11:D34)</f>
        <v>0</v>
      </c>
      <c r="E35" s="194"/>
      <c r="F35" s="215">
        <f>SUM(F11:F34)</f>
        <v>943870349354</v>
      </c>
      <c r="G35" s="216"/>
      <c r="H35" s="215">
        <f>SUM(H11:H34)</f>
        <v>16028860741</v>
      </c>
      <c r="I35" s="216"/>
      <c r="J35" s="215">
        <f>SUM(J11:J34)</f>
        <v>959899210095</v>
      </c>
      <c r="K35" s="216"/>
      <c r="L35" s="238">
        <f>SUM(L11:L34)</f>
        <v>-0.50049448532789043</v>
      </c>
      <c r="M35" s="216"/>
      <c r="N35" s="215">
        <f>SUM(N11:N34)</f>
        <v>249906553913</v>
      </c>
      <c r="O35" s="216"/>
      <c r="P35" s="215">
        <f>SUM(P11:P34)</f>
        <v>1440901337857</v>
      </c>
      <c r="Q35" s="216"/>
      <c r="R35" s="215">
        <f>SUM(R11:R34)</f>
        <v>-64999085333</v>
      </c>
      <c r="S35" s="216"/>
      <c r="T35" s="215">
        <f>SUM(T11:T34)</f>
        <v>1625808806437</v>
      </c>
      <c r="U35" s="196"/>
      <c r="V35" s="122">
        <f>SUM(V11:V34)</f>
        <v>0.54076668884028734</v>
      </c>
      <c r="W35" s="271"/>
      <c r="X35" s="102"/>
      <c r="Z35" s="201"/>
      <c r="AA35" s="212"/>
    </row>
    <row r="36" spans="2:27" ht="22.5" customHeight="1" x14ac:dyDescent="0.25">
      <c r="B36" s="181"/>
      <c r="C36" s="171"/>
      <c r="D36" s="197"/>
      <c r="E36" s="194"/>
      <c r="F36" s="196"/>
      <c r="G36" s="196"/>
      <c r="H36" s="196"/>
      <c r="I36" s="196"/>
      <c r="J36" s="196"/>
      <c r="K36" s="196"/>
      <c r="L36" s="214"/>
      <c r="M36" s="196"/>
      <c r="N36" s="196"/>
      <c r="O36" s="196"/>
      <c r="P36" s="196"/>
      <c r="Q36" s="196"/>
      <c r="R36" s="196"/>
      <c r="S36" s="196"/>
      <c r="T36" s="196"/>
      <c r="U36" s="196"/>
      <c r="V36" s="214"/>
      <c r="W36" s="271"/>
      <c r="X36" s="102"/>
      <c r="Z36" s="201"/>
      <c r="AA36" s="212"/>
    </row>
    <row r="37" spans="2:27" ht="36" customHeight="1" x14ac:dyDescent="0.25">
      <c r="B37" s="384" t="s">
        <v>138</v>
      </c>
      <c r="C37" s="384"/>
      <c r="D37" s="384"/>
      <c r="E37" s="384"/>
      <c r="F37" s="384"/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271"/>
      <c r="X37" s="102"/>
      <c r="Z37" s="201"/>
      <c r="AA37" s="212"/>
    </row>
    <row r="38" spans="2:27" ht="11.25" customHeight="1" x14ac:dyDescent="0.25">
      <c r="W38" s="271"/>
      <c r="X38" s="102"/>
      <c r="Z38" s="201"/>
      <c r="AA38" s="212"/>
    </row>
    <row r="39" spans="2:27" ht="36" customHeight="1" thickBot="1" x14ac:dyDescent="0.3">
      <c r="B39" s="279"/>
      <c r="C39" s="210"/>
      <c r="D39" s="377" t="str">
        <f>D7</f>
        <v>طی آذر ماه</v>
      </c>
      <c r="E39" s="377"/>
      <c r="F39" s="377"/>
      <c r="G39" s="377"/>
      <c r="H39" s="377"/>
      <c r="I39" s="377"/>
      <c r="J39" s="377"/>
      <c r="K39" s="210"/>
      <c r="L39" s="210"/>
      <c r="M39" s="210"/>
      <c r="N39" s="377" t="str">
        <f>N7</f>
        <v>از ابتدای سال مالی تا پایان آذر ماه</v>
      </c>
      <c r="O39" s="377"/>
      <c r="P39" s="377"/>
      <c r="Q39" s="377"/>
      <c r="R39" s="377"/>
      <c r="S39" s="377"/>
      <c r="T39" s="377"/>
      <c r="U39" s="377"/>
      <c r="V39" s="377"/>
      <c r="W39" s="271"/>
      <c r="X39" s="102"/>
      <c r="Z39" s="201"/>
      <c r="AA39" s="212"/>
    </row>
    <row r="40" spans="2:27" ht="36" customHeight="1" x14ac:dyDescent="0.25">
      <c r="B40" s="378" t="s">
        <v>36</v>
      </c>
      <c r="C40" s="378"/>
      <c r="D40" s="382" t="s">
        <v>21</v>
      </c>
      <c r="E40" s="378"/>
      <c r="F40" s="382" t="s">
        <v>22</v>
      </c>
      <c r="G40" s="378"/>
      <c r="H40" s="382" t="s">
        <v>23</v>
      </c>
      <c r="I40" s="378"/>
      <c r="J40" s="380" t="s">
        <v>7</v>
      </c>
      <c r="K40" s="380"/>
      <c r="L40" s="380"/>
      <c r="M40" s="378"/>
      <c r="N40" s="383" t="s">
        <v>21</v>
      </c>
      <c r="O40" s="385"/>
      <c r="P40" s="383" t="s">
        <v>22</v>
      </c>
      <c r="Q40" s="385"/>
      <c r="R40" s="383" t="s">
        <v>23</v>
      </c>
      <c r="S40" s="385"/>
      <c r="T40" s="380" t="s">
        <v>7</v>
      </c>
      <c r="U40" s="380"/>
      <c r="V40" s="380"/>
      <c r="W40" s="271"/>
      <c r="X40" s="102"/>
      <c r="Z40" s="201"/>
      <c r="AA40" s="212"/>
    </row>
    <row r="41" spans="2:27" ht="36" customHeight="1" thickBot="1" x14ac:dyDescent="0.3">
      <c r="B41" s="378"/>
      <c r="C41" s="378"/>
      <c r="D41" s="382"/>
      <c r="E41" s="378"/>
      <c r="F41" s="382"/>
      <c r="G41" s="378"/>
      <c r="H41" s="382"/>
      <c r="I41" s="378"/>
      <c r="J41" s="377"/>
      <c r="K41" s="377"/>
      <c r="L41" s="377"/>
      <c r="M41" s="378"/>
      <c r="N41" s="382"/>
      <c r="O41" s="378"/>
      <c r="P41" s="382"/>
      <c r="Q41" s="378"/>
      <c r="R41" s="382"/>
      <c r="S41" s="378"/>
      <c r="T41" s="377"/>
      <c r="U41" s="377"/>
      <c r="V41" s="377"/>
      <c r="W41" s="271"/>
      <c r="X41" s="102"/>
      <c r="Z41" s="201"/>
      <c r="AA41" s="212"/>
    </row>
    <row r="42" spans="2:27" ht="49.5" customHeight="1" thickBot="1" x14ac:dyDescent="0.3">
      <c r="B42" s="379"/>
      <c r="C42" s="378"/>
      <c r="D42" s="88" t="s">
        <v>91</v>
      </c>
      <c r="E42" s="378"/>
      <c r="F42" s="88" t="s">
        <v>92</v>
      </c>
      <c r="G42" s="378"/>
      <c r="H42" s="88" t="s">
        <v>93</v>
      </c>
      <c r="I42" s="378"/>
      <c r="J42" s="103" t="s">
        <v>11</v>
      </c>
      <c r="K42" s="103"/>
      <c r="L42" s="103" t="s">
        <v>24</v>
      </c>
      <c r="M42" s="378"/>
      <c r="N42" s="88" t="s">
        <v>91</v>
      </c>
      <c r="O42" s="378"/>
      <c r="P42" s="88" t="s">
        <v>92</v>
      </c>
      <c r="Q42" s="378"/>
      <c r="R42" s="88" t="s">
        <v>93</v>
      </c>
      <c r="S42" s="378"/>
      <c r="T42" s="103" t="s">
        <v>11</v>
      </c>
      <c r="U42" s="103"/>
      <c r="V42" s="103" t="s">
        <v>24</v>
      </c>
      <c r="W42" s="271"/>
      <c r="X42" s="102"/>
      <c r="Z42" s="201"/>
      <c r="AA42" s="212"/>
    </row>
    <row r="43" spans="2:27" ht="36" customHeight="1" x14ac:dyDescent="0.25">
      <c r="B43" s="198" t="s">
        <v>217</v>
      </c>
      <c r="C43" s="198"/>
      <c r="D43" s="106">
        <f>D35</f>
        <v>0</v>
      </c>
      <c r="E43" s="198"/>
      <c r="F43" s="196">
        <f>F35</f>
        <v>943870349354</v>
      </c>
      <c r="G43" s="196"/>
      <c r="H43" s="196">
        <f>H35</f>
        <v>16028860741</v>
      </c>
      <c r="I43" s="196"/>
      <c r="J43" s="196">
        <f>J35</f>
        <v>959899210095</v>
      </c>
      <c r="K43" s="196"/>
      <c r="L43" s="214">
        <f>L35</f>
        <v>-0.50049448532789043</v>
      </c>
      <c r="M43" s="196"/>
      <c r="N43" s="196">
        <f>N35</f>
        <v>249906553913</v>
      </c>
      <c r="O43" s="196"/>
      <c r="P43" s="196">
        <f>P35</f>
        <v>1440901337857</v>
      </c>
      <c r="Q43" s="196"/>
      <c r="R43" s="196">
        <f>R35</f>
        <v>-64999085333</v>
      </c>
      <c r="S43" s="196"/>
      <c r="T43" s="196">
        <f>T35</f>
        <v>1625808806437</v>
      </c>
      <c r="U43" s="105"/>
      <c r="V43" s="128">
        <f>V35</f>
        <v>0.54076668884028734</v>
      </c>
      <c r="W43" s="271"/>
      <c r="X43" s="102"/>
      <c r="Z43" s="201"/>
      <c r="AA43" s="212"/>
    </row>
    <row r="44" spans="2:27" ht="36" customHeight="1" x14ac:dyDescent="0.25">
      <c r="B44" s="386" t="s">
        <v>128</v>
      </c>
      <c r="C44" s="386"/>
      <c r="D44" s="197">
        <v>0</v>
      </c>
      <c r="E44" s="194"/>
      <c r="F44" s="196">
        <v>4354817796</v>
      </c>
      <c r="G44" s="196"/>
      <c r="H44" s="196">
        <v>-964876445</v>
      </c>
      <c r="I44" s="196"/>
      <c r="J44" s="196">
        <f t="shared" ref="J44:J45" si="9">D44+F44+H44</f>
        <v>3389941351</v>
      </c>
      <c r="K44" s="196"/>
      <c r="L44" s="214">
        <f t="shared" ref="L44:L76" si="10">-J44/$G$136</f>
        <v>-1.7675261464092291E-3</v>
      </c>
      <c r="M44" s="196"/>
      <c r="N44" s="196">
        <v>3040000000</v>
      </c>
      <c r="O44" s="196"/>
      <c r="P44" s="196">
        <v>2412447287</v>
      </c>
      <c r="Q44" s="196"/>
      <c r="R44" s="196">
        <v>609965224</v>
      </c>
      <c r="S44" s="196">
        <v>2132299511</v>
      </c>
      <c r="T44" s="196">
        <f t="shared" si="8"/>
        <v>6062412511</v>
      </c>
      <c r="U44" s="196">
        <v>-5155830311</v>
      </c>
      <c r="V44" s="214">
        <f t="shared" si="4"/>
        <v>2.0164429710169845E-3</v>
      </c>
      <c r="W44" s="271"/>
      <c r="X44" s="102"/>
      <c r="Z44" s="201"/>
      <c r="AA44" s="212"/>
    </row>
    <row r="45" spans="2:27" ht="36" customHeight="1" x14ac:dyDescent="0.25">
      <c r="B45" s="386" t="s">
        <v>241</v>
      </c>
      <c r="C45" s="386"/>
      <c r="D45" s="197">
        <v>0</v>
      </c>
      <c r="E45" s="194"/>
      <c r="F45" s="196">
        <v>-9268093712</v>
      </c>
      <c r="G45" s="196"/>
      <c r="H45" s="196">
        <v>14754383591</v>
      </c>
      <c r="I45" s="196"/>
      <c r="J45" s="196">
        <f t="shared" si="9"/>
        <v>5486289879</v>
      </c>
      <c r="K45" s="196"/>
      <c r="L45" s="214">
        <f t="shared" si="10"/>
        <v>-2.8605689018933195E-3</v>
      </c>
      <c r="M45" s="196"/>
      <c r="N45" s="196">
        <v>0</v>
      </c>
      <c r="O45" s="196"/>
      <c r="P45" s="196">
        <v>12358715934</v>
      </c>
      <c r="Q45" s="196"/>
      <c r="R45" s="196">
        <v>19827610330</v>
      </c>
      <c r="S45" s="196">
        <v>1644814375</v>
      </c>
      <c r="T45" s="196">
        <f t="shared" si="8"/>
        <v>32186326264</v>
      </c>
      <c r="U45" s="196">
        <v>-5155830310</v>
      </c>
      <c r="V45" s="214">
        <f t="shared" si="4"/>
        <v>1.0705621110430927E-2</v>
      </c>
      <c r="W45" s="271"/>
      <c r="X45" s="102"/>
      <c r="Z45" s="201"/>
      <c r="AA45" s="212"/>
    </row>
    <row r="46" spans="2:27" ht="36" customHeight="1" x14ac:dyDescent="0.25">
      <c r="B46" s="386" t="s">
        <v>145</v>
      </c>
      <c r="C46" s="386"/>
      <c r="D46" s="197">
        <v>0</v>
      </c>
      <c r="E46" s="194"/>
      <c r="F46" s="196">
        <v>8165249111</v>
      </c>
      <c r="G46" s="196"/>
      <c r="H46" s="196">
        <v>26009906</v>
      </c>
      <c r="I46" s="196"/>
      <c r="J46" s="196">
        <f t="shared" ref="J46:J126" si="11">D46+F46+H46</f>
        <v>8191259017</v>
      </c>
      <c r="K46" s="196"/>
      <c r="L46" s="214">
        <f t="shared" si="10"/>
        <v>-4.2709483691471279E-3</v>
      </c>
      <c r="M46" s="196"/>
      <c r="N46" s="196">
        <v>11000</v>
      </c>
      <c r="O46" s="196"/>
      <c r="P46" s="196">
        <v>7774470231</v>
      </c>
      <c r="Q46" s="196"/>
      <c r="R46" s="196">
        <v>-8605508431</v>
      </c>
      <c r="S46" s="196">
        <v>-8875524087</v>
      </c>
      <c r="T46" s="196">
        <f t="shared" si="7"/>
        <v>-831027200</v>
      </c>
      <c r="U46" s="196">
        <v>-803317139</v>
      </c>
      <c r="V46" s="214">
        <f t="shared" si="4"/>
        <v>-2.764112394403057E-4</v>
      </c>
      <c r="W46" s="271"/>
      <c r="X46" s="102"/>
      <c r="Z46" s="201"/>
      <c r="AA46" s="212"/>
    </row>
    <row r="47" spans="2:27" ht="36" customHeight="1" x14ac:dyDescent="0.45">
      <c r="B47" s="386" t="s">
        <v>130</v>
      </c>
      <c r="C47" s="386"/>
      <c r="D47" s="197">
        <v>0</v>
      </c>
      <c r="E47" s="194"/>
      <c r="F47" s="196">
        <v>115057670007</v>
      </c>
      <c r="G47" s="196"/>
      <c r="H47" s="196">
        <v>-915726445</v>
      </c>
      <c r="I47" s="196"/>
      <c r="J47" s="196">
        <f t="shared" si="11"/>
        <v>114141943562</v>
      </c>
      <c r="K47" s="196"/>
      <c r="L47" s="214">
        <f t="shared" si="10"/>
        <v>-5.9513970525858099E-2</v>
      </c>
      <c r="M47" s="196"/>
      <c r="N47" s="196">
        <v>61437583893</v>
      </c>
      <c r="O47" s="196"/>
      <c r="P47" s="196">
        <v>35573297851</v>
      </c>
      <c r="Q47" s="196"/>
      <c r="R47" s="196">
        <v>-23389841425</v>
      </c>
      <c r="S47" s="196">
        <v>1487118809</v>
      </c>
      <c r="T47" s="196">
        <f t="shared" si="7"/>
        <v>73621040319</v>
      </c>
      <c r="U47" s="196">
        <v>-38274340413</v>
      </c>
      <c r="V47" s="214">
        <f t="shared" si="4"/>
        <v>2.4487385013943597E-2</v>
      </c>
      <c r="W47" s="271"/>
      <c r="X47" s="280"/>
      <c r="Z47" s="201"/>
      <c r="AA47" s="212"/>
    </row>
    <row r="48" spans="2:27" ht="36" customHeight="1" x14ac:dyDescent="0.25">
      <c r="B48" s="386" t="s">
        <v>196</v>
      </c>
      <c r="C48" s="386"/>
      <c r="D48" s="197">
        <v>0</v>
      </c>
      <c r="E48" s="194"/>
      <c r="F48" s="196">
        <v>0</v>
      </c>
      <c r="G48" s="196"/>
      <c r="H48" s="196">
        <v>0</v>
      </c>
      <c r="I48" s="196"/>
      <c r="J48" s="196">
        <f t="shared" si="11"/>
        <v>0</v>
      </c>
      <c r="K48" s="196"/>
      <c r="L48" s="214">
        <f t="shared" si="10"/>
        <v>0</v>
      </c>
      <c r="M48" s="196"/>
      <c r="N48" s="196">
        <v>12060000000</v>
      </c>
      <c r="O48" s="196"/>
      <c r="P48" s="196">
        <v>0</v>
      </c>
      <c r="Q48" s="196"/>
      <c r="R48" s="196">
        <v>-8852447210</v>
      </c>
      <c r="S48" s="196">
        <v>3859275341</v>
      </c>
      <c r="T48" s="196">
        <f t="shared" si="7"/>
        <v>3207552790</v>
      </c>
      <c r="U48" s="196">
        <v>8687840</v>
      </c>
      <c r="V48" s="214">
        <f t="shared" si="4"/>
        <v>1.06687680289419E-3</v>
      </c>
      <c r="W48" s="271"/>
      <c r="X48" s="102"/>
      <c r="Z48" s="201"/>
      <c r="AA48" s="212"/>
    </row>
    <row r="49" spans="2:31" ht="36" customHeight="1" x14ac:dyDescent="0.25">
      <c r="B49" s="386" t="s">
        <v>135</v>
      </c>
      <c r="C49" s="386"/>
      <c r="D49" s="197">
        <v>0</v>
      </c>
      <c r="E49" s="194"/>
      <c r="F49" s="196">
        <v>1039899</v>
      </c>
      <c r="G49" s="196"/>
      <c r="H49" s="196">
        <v>0</v>
      </c>
      <c r="I49" s="196"/>
      <c r="J49" s="196">
        <f t="shared" si="11"/>
        <v>1039899</v>
      </c>
      <c r="K49" s="196"/>
      <c r="L49" s="214">
        <f t="shared" si="10"/>
        <v>-5.4220662890896459E-7</v>
      </c>
      <c r="M49" s="196"/>
      <c r="N49" s="196">
        <v>34000</v>
      </c>
      <c r="O49" s="196"/>
      <c r="P49" s="196">
        <v>1076894</v>
      </c>
      <c r="Q49" s="196"/>
      <c r="R49" s="196">
        <v>-110542921</v>
      </c>
      <c r="S49" s="196">
        <v>1937265303</v>
      </c>
      <c r="T49" s="196">
        <f t="shared" si="7"/>
        <v>-109432027</v>
      </c>
      <c r="U49" s="196">
        <v>-3013924119</v>
      </c>
      <c r="V49" s="214">
        <f t="shared" si="4"/>
        <v>-3.6398618742605532E-5</v>
      </c>
      <c r="W49" s="271"/>
      <c r="X49" s="102"/>
      <c r="Z49" s="201"/>
      <c r="AA49" s="212"/>
    </row>
    <row r="50" spans="2:31" ht="36" customHeight="1" x14ac:dyDescent="0.25">
      <c r="B50" s="386" t="s">
        <v>240</v>
      </c>
      <c r="C50" s="386"/>
      <c r="D50" s="197">
        <v>0</v>
      </c>
      <c r="E50" s="194"/>
      <c r="F50" s="196">
        <v>0</v>
      </c>
      <c r="G50" s="196"/>
      <c r="H50" s="196">
        <v>0</v>
      </c>
      <c r="I50" s="196"/>
      <c r="J50" s="196">
        <f t="shared" si="11"/>
        <v>0</v>
      </c>
      <c r="K50" s="196"/>
      <c r="L50" s="214">
        <f t="shared" si="10"/>
        <v>0</v>
      </c>
      <c r="M50" s="196"/>
      <c r="N50" s="196">
        <v>0</v>
      </c>
      <c r="O50" s="196"/>
      <c r="P50" s="196">
        <v>0</v>
      </c>
      <c r="Q50" s="196"/>
      <c r="R50" s="196">
        <v>3149850729</v>
      </c>
      <c r="S50" s="196">
        <v>1212931406</v>
      </c>
      <c r="T50" s="196">
        <f t="shared" si="7"/>
        <v>3149850729</v>
      </c>
      <c r="U50" s="196">
        <v>-5189228345</v>
      </c>
      <c r="V50" s="214">
        <f t="shared" si="4"/>
        <v>1.0476842924694166E-3</v>
      </c>
      <c r="W50" s="271"/>
      <c r="X50" s="102"/>
      <c r="Z50" s="201"/>
      <c r="AA50" s="212"/>
    </row>
    <row r="51" spans="2:31" ht="36" customHeight="1" x14ac:dyDescent="0.25">
      <c r="B51" s="386" t="s">
        <v>158</v>
      </c>
      <c r="C51" s="386"/>
      <c r="D51" s="197">
        <v>0</v>
      </c>
      <c r="E51" s="194"/>
      <c r="F51" s="196">
        <v>0</v>
      </c>
      <c r="G51" s="196"/>
      <c r="H51" s="196">
        <v>0</v>
      </c>
      <c r="I51" s="196"/>
      <c r="J51" s="196">
        <f t="shared" si="11"/>
        <v>0</v>
      </c>
      <c r="K51" s="196"/>
      <c r="L51" s="214">
        <f t="shared" si="10"/>
        <v>0</v>
      </c>
      <c r="M51" s="196"/>
      <c r="N51" s="196">
        <v>0</v>
      </c>
      <c r="O51" s="196"/>
      <c r="P51" s="196">
        <v>0</v>
      </c>
      <c r="Q51" s="196"/>
      <c r="R51" s="196">
        <v>1026553445</v>
      </c>
      <c r="S51" s="196">
        <v>6910941668</v>
      </c>
      <c r="T51" s="196">
        <f t="shared" si="7"/>
        <v>1026553445</v>
      </c>
      <c r="U51" s="196">
        <v>3261876929</v>
      </c>
      <c r="V51" s="214">
        <f t="shared" si="4"/>
        <v>3.4144599609274605E-4</v>
      </c>
      <c r="W51" s="271"/>
      <c r="X51" s="102"/>
      <c r="Z51" s="201"/>
      <c r="AA51" s="212"/>
    </row>
    <row r="52" spans="2:31" ht="36" customHeight="1" x14ac:dyDescent="0.25">
      <c r="B52" s="386" t="s">
        <v>171</v>
      </c>
      <c r="C52" s="386"/>
      <c r="D52" s="197">
        <v>0</v>
      </c>
      <c r="E52" s="194"/>
      <c r="F52" s="196">
        <v>0</v>
      </c>
      <c r="G52" s="196"/>
      <c r="H52" s="196">
        <v>0</v>
      </c>
      <c r="I52" s="196"/>
      <c r="J52" s="196">
        <f t="shared" si="11"/>
        <v>0</v>
      </c>
      <c r="K52" s="196"/>
      <c r="L52" s="214">
        <f t="shared" si="10"/>
        <v>0</v>
      </c>
      <c r="M52" s="196"/>
      <c r="N52" s="196">
        <v>0</v>
      </c>
      <c r="O52" s="196"/>
      <c r="P52" s="196">
        <v>0</v>
      </c>
      <c r="Q52" s="196"/>
      <c r="R52" s="196">
        <v>-1161777565</v>
      </c>
      <c r="S52" s="196">
        <v>151419925</v>
      </c>
      <c r="T52" s="196">
        <f t="shared" si="7"/>
        <v>-1161777565</v>
      </c>
      <c r="U52" s="196">
        <v>2910175062</v>
      </c>
      <c r="V52" s="214">
        <f t="shared" si="4"/>
        <v>-3.8642342476346176E-4</v>
      </c>
      <c r="W52" s="271"/>
      <c r="X52" s="102"/>
      <c r="Z52" s="201"/>
      <c r="AA52" s="212"/>
    </row>
    <row r="53" spans="2:31" ht="36" customHeight="1" x14ac:dyDescent="0.25">
      <c r="B53" s="386" t="s">
        <v>149</v>
      </c>
      <c r="C53" s="386"/>
      <c r="D53" s="197">
        <v>0</v>
      </c>
      <c r="E53" s="194"/>
      <c r="F53" s="196">
        <v>0</v>
      </c>
      <c r="G53" s="196"/>
      <c r="H53" s="196">
        <v>0</v>
      </c>
      <c r="I53" s="196"/>
      <c r="J53" s="196">
        <f t="shared" si="11"/>
        <v>0</v>
      </c>
      <c r="K53" s="196"/>
      <c r="L53" s="214">
        <f t="shared" si="10"/>
        <v>0</v>
      </c>
      <c r="M53" s="196"/>
      <c r="N53" s="196">
        <v>0</v>
      </c>
      <c r="O53" s="196"/>
      <c r="P53" s="196">
        <v>0</v>
      </c>
      <c r="Q53" s="196"/>
      <c r="R53" s="196">
        <v>599022178</v>
      </c>
      <c r="S53" s="196">
        <v>31387040</v>
      </c>
      <c r="T53" s="196">
        <f t="shared" si="7"/>
        <v>599022178</v>
      </c>
      <c r="U53" s="196">
        <v>1401330331</v>
      </c>
      <c r="V53" s="214">
        <f t="shared" si="4"/>
        <v>1.9924313268351675E-4</v>
      </c>
      <c r="W53" s="271"/>
      <c r="X53" s="102"/>
      <c r="Z53" s="201"/>
      <c r="AA53" s="212"/>
    </row>
    <row r="54" spans="2:31" ht="36" customHeight="1" x14ac:dyDescent="0.25">
      <c r="B54" s="386" t="s">
        <v>119</v>
      </c>
      <c r="C54" s="386"/>
      <c r="D54" s="197">
        <v>0</v>
      </c>
      <c r="E54" s="194"/>
      <c r="F54" s="196">
        <v>20242800828</v>
      </c>
      <c r="G54" s="196"/>
      <c r="H54" s="196">
        <v>0</v>
      </c>
      <c r="I54" s="196"/>
      <c r="J54" s="196">
        <f t="shared" si="11"/>
        <v>20242800828</v>
      </c>
      <c r="K54" s="196"/>
      <c r="L54" s="214">
        <f t="shared" si="10"/>
        <v>-1.0554660401275005E-2</v>
      </c>
      <c r="M54" s="196"/>
      <c r="N54" s="196">
        <v>12240000000</v>
      </c>
      <c r="O54" s="196"/>
      <c r="P54" s="196">
        <v>17932015585</v>
      </c>
      <c r="Q54" s="196"/>
      <c r="R54" s="196">
        <v>11615770866</v>
      </c>
      <c r="S54" s="196">
        <v>1762590900</v>
      </c>
      <c r="T54" s="196">
        <f t="shared" si="7"/>
        <v>41787786451</v>
      </c>
      <c r="U54" s="196">
        <v>-160980321</v>
      </c>
      <c r="V54" s="214">
        <f t="shared" si="4"/>
        <v>1.3899200707735827E-2</v>
      </c>
      <c r="W54" s="271"/>
      <c r="X54" s="102"/>
      <c r="Z54" s="201"/>
      <c r="AA54" s="212"/>
    </row>
    <row r="55" spans="2:31" ht="36" customHeight="1" x14ac:dyDescent="0.25">
      <c r="B55" s="386" t="s">
        <v>105</v>
      </c>
      <c r="C55" s="386"/>
      <c r="D55" s="197">
        <v>0</v>
      </c>
      <c r="E55" s="194"/>
      <c r="F55" s="196">
        <v>0</v>
      </c>
      <c r="G55" s="196"/>
      <c r="H55" s="196">
        <v>0</v>
      </c>
      <c r="I55" s="196"/>
      <c r="J55" s="196">
        <f t="shared" si="11"/>
        <v>0</v>
      </c>
      <c r="K55" s="196"/>
      <c r="L55" s="214">
        <f t="shared" si="10"/>
        <v>0</v>
      </c>
      <c r="M55" s="196"/>
      <c r="N55" s="196">
        <v>0</v>
      </c>
      <c r="O55" s="196"/>
      <c r="P55" s="196">
        <v>0</v>
      </c>
      <c r="Q55" s="196"/>
      <c r="R55" s="196">
        <v>28553005</v>
      </c>
      <c r="S55" s="196">
        <v>2476602308</v>
      </c>
      <c r="T55" s="196">
        <f t="shared" si="7"/>
        <v>28553005</v>
      </c>
      <c r="U55" s="196">
        <v>-12553533323</v>
      </c>
      <c r="V55" s="214">
        <f t="shared" si="4"/>
        <v>9.4971277736700377E-6</v>
      </c>
      <c r="W55" s="271"/>
      <c r="X55" s="102"/>
      <c r="Z55" s="201"/>
      <c r="AA55" s="212"/>
    </row>
    <row r="56" spans="2:31" ht="36" customHeight="1" x14ac:dyDescent="0.25">
      <c r="B56" s="386" t="s">
        <v>184</v>
      </c>
      <c r="C56" s="386"/>
      <c r="D56" s="197">
        <v>0</v>
      </c>
      <c r="E56" s="194"/>
      <c r="F56" s="196">
        <v>0</v>
      </c>
      <c r="G56" s="196"/>
      <c r="H56" s="196">
        <v>0</v>
      </c>
      <c r="I56" s="196"/>
      <c r="J56" s="196">
        <f t="shared" si="11"/>
        <v>0</v>
      </c>
      <c r="K56" s="196"/>
      <c r="L56" s="214">
        <f t="shared" si="10"/>
        <v>0</v>
      </c>
      <c r="M56" s="196"/>
      <c r="N56" s="196">
        <v>0</v>
      </c>
      <c r="O56" s="196"/>
      <c r="P56" s="196">
        <v>0</v>
      </c>
      <c r="Q56" s="196"/>
      <c r="R56" s="196">
        <v>8613312174</v>
      </c>
      <c r="S56" s="196">
        <v>9867221407</v>
      </c>
      <c r="T56" s="196">
        <f t="shared" si="7"/>
        <v>8613312174</v>
      </c>
      <c r="U56" s="196">
        <v>-6135872031</v>
      </c>
      <c r="V56" s="214">
        <f t="shared" si="4"/>
        <v>2.8649077836460876E-3</v>
      </c>
      <c r="W56" s="271"/>
      <c r="X56" s="102"/>
      <c r="Z56" s="201"/>
      <c r="AA56" s="212"/>
      <c r="AD56" s="191"/>
    </row>
    <row r="57" spans="2:31" ht="36" customHeight="1" x14ac:dyDescent="0.25">
      <c r="B57" s="386" t="s">
        <v>192</v>
      </c>
      <c r="C57" s="386"/>
      <c r="D57" s="197">
        <v>0</v>
      </c>
      <c r="E57" s="194"/>
      <c r="F57" s="196">
        <v>14338301499</v>
      </c>
      <c r="G57" s="196"/>
      <c r="H57" s="196">
        <v>0</v>
      </c>
      <c r="I57" s="196"/>
      <c r="J57" s="196">
        <f t="shared" si="11"/>
        <v>14338301499</v>
      </c>
      <c r="K57" s="196"/>
      <c r="L57" s="214">
        <f t="shared" si="10"/>
        <v>-7.4760357689094264E-3</v>
      </c>
      <c r="M57" s="196"/>
      <c r="N57" s="270">
        <v>8640000000</v>
      </c>
      <c r="O57" s="196"/>
      <c r="P57" s="196">
        <v>28024665174</v>
      </c>
      <c r="Q57" s="196"/>
      <c r="R57" s="151">
        <v>1783</v>
      </c>
      <c r="S57" s="196">
        <v>-2831281270</v>
      </c>
      <c r="T57" s="196">
        <f t="shared" si="7"/>
        <v>36664666957</v>
      </c>
      <c r="U57" s="196">
        <v>-650042212</v>
      </c>
      <c r="V57" s="214">
        <f t="shared" si="4"/>
        <v>1.2195179697187277E-2</v>
      </c>
      <c r="W57" s="271"/>
      <c r="X57" s="102"/>
      <c r="Z57" s="201"/>
      <c r="AA57" s="212"/>
      <c r="AD57" s="191"/>
    </row>
    <row r="58" spans="2:31" ht="36" customHeight="1" x14ac:dyDescent="0.25">
      <c r="B58" s="386" t="s">
        <v>232</v>
      </c>
      <c r="C58" s="386"/>
      <c r="D58" s="197">
        <v>0</v>
      </c>
      <c r="E58" s="194"/>
      <c r="F58" s="196">
        <v>0</v>
      </c>
      <c r="G58" s="196"/>
      <c r="H58" s="196">
        <v>0</v>
      </c>
      <c r="I58" s="196"/>
      <c r="J58" s="196">
        <f t="shared" si="11"/>
        <v>0</v>
      </c>
      <c r="K58" s="196"/>
      <c r="L58" s="214">
        <f t="shared" si="10"/>
        <v>0</v>
      </c>
      <c r="M58" s="196"/>
      <c r="N58" s="196">
        <v>0</v>
      </c>
      <c r="O58" s="196"/>
      <c r="P58" s="196">
        <v>0</v>
      </c>
      <c r="Q58" s="196"/>
      <c r="R58" s="196">
        <v>33823218153</v>
      </c>
      <c r="S58" s="196">
        <v>2810738818</v>
      </c>
      <c r="T58" s="196">
        <f t="shared" si="7"/>
        <v>33823218153</v>
      </c>
      <c r="U58" s="196">
        <v>298767031</v>
      </c>
      <c r="V58" s="214">
        <f t="shared" si="4"/>
        <v>1.1250074187139214E-2</v>
      </c>
      <c r="W58" s="271"/>
      <c r="X58" s="102"/>
      <c r="Z58" s="201"/>
      <c r="AA58" s="212"/>
      <c r="AD58" s="191"/>
    </row>
    <row r="59" spans="2:31" ht="36" customHeight="1" x14ac:dyDescent="0.25">
      <c r="B59" s="386" t="s">
        <v>165</v>
      </c>
      <c r="C59" s="386"/>
      <c r="D59" s="197">
        <v>0</v>
      </c>
      <c r="E59" s="194"/>
      <c r="F59" s="196">
        <v>0</v>
      </c>
      <c r="G59" s="196"/>
      <c r="H59" s="196">
        <v>0</v>
      </c>
      <c r="I59" s="196"/>
      <c r="J59" s="196">
        <f t="shared" si="11"/>
        <v>0</v>
      </c>
      <c r="K59" s="196"/>
      <c r="L59" s="214">
        <f t="shared" si="10"/>
        <v>0</v>
      </c>
      <c r="M59" s="196"/>
      <c r="N59" s="196">
        <v>700000000</v>
      </c>
      <c r="O59" s="196"/>
      <c r="P59" s="196">
        <v>0</v>
      </c>
      <c r="Q59" s="196"/>
      <c r="R59" s="196">
        <v>2132299511</v>
      </c>
      <c r="S59" s="196">
        <v>457681005</v>
      </c>
      <c r="T59" s="196">
        <f t="shared" si="7"/>
        <v>2832299511</v>
      </c>
      <c r="U59" s="196">
        <v>628201261</v>
      </c>
      <c r="V59" s="214">
        <f t="shared" si="4"/>
        <v>9.4206232756482782E-4</v>
      </c>
      <c r="W59" s="271"/>
      <c r="X59" s="102"/>
      <c r="Z59" s="201"/>
      <c r="AA59" s="212"/>
    </row>
    <row r="60" spans="2:31" ht="36" customHeight="1" x14ac:dyDescent="0.25">
      <c r="B60" s="386" t="s">
        <v>156</v>
      </c>
      <c r="C60" s="386"/>
      <c r="D60" s="197">
        <v>0</v>
      </c>
      <c r="E60" s="194"/>
      <c r="F60" s="196">
        <v>0</v>
      </c>
      <c r="G60" s="196"/>
      <c r="H60" s="196">
        <v>0</v>
      </c>
      <c r="I60" s="196"/>
      <c r="J60" s="196">
        <f t="shared" si="11"/>
        <v>0</v>
      </c>
      <c r="K60" s="196"/>
      <c r="L60" s="214">
        <f t="shared" si="10"/>
        <v>0</v>
      </c>
      <c r="M60" s="196"/>
      <c r="N60" s="196">
        <v>0</v>
      </c>
      <c r="O60" s="196"/>
      <c r="P60" s="196">
        <v>0</v>
      </c>
      <c r="Q60" s="196"/>
      <c r="R60" s="196">
        <v>1644814375</v>
      </c>
      <c r="S60" s="196">
        <v>-314831742</v>
      </c>
      <c r="T60" s="196">
        <f t="shared" si="7"/>
        <v>1644814375</v>
      </c>
      <c r="U60" s="196">
        <v>-273814835</v>
      </c>
      <c r="V60" s="214">
        <f t="shared" si="4"/>
        <v>5.4708820606952672E-4</v>
      </c>
      <c r="W60" s="271"/>
      <c r="X60" s="102"/>
      <c r="Z60" s="201"/>
      <c r="AA60" s="212"/>
      <c r="AD60" s="191"/>
      <c r="AE60" s="191"/>
    </row>
    <row r="61" spans="2:31" ht="36" customHeight="1" x14ac:dyDescent="0.25">
      <c r="B61" s="386" t="s">
        <v>170</v>
      </c>
      <c r="C61" s="386"/>
      <c r="D61" s="197">
        <v>0</v>
      </c>
      <c r="E61" s="194"/>
      <c r="F61" s="196">
        <v>0</v>
      </c>
      <c r="G61" s="196"/>
      <c r="H61" s="196">
        <v>0</v>
      </c>
      <c r="I61" s="196"/>
      <c r="J61" s="196">
        <f t="shared" ref="J61:J66" si="12">D61+F61+H61</f>
        <v>0</v>
      </c>
      <c r="K61" s="196"/>
      <c r="L61" s="214">
        <f t="shared" si="10"/>
        <v>0</v>
      </c>
      <c r="M61" s="196"/>
      <c r="N61" s="196">
        <v>49999950</v>
      </c>
      <c r="O61" s="196"/>
      <c r="P61" s="196">
        <v>0</v>
      </c>
      <c r="Q61" s="196"/>
      <c r="R61" s="196">
        <v>1487118809</v>
      </c>
      <c r="S61" s="196">
        <v>-21899317781</v>
      </c>
      <c r="T61" s="196">
        <f t="shared" ref="T61:T66" si="13">N61+P61+R61</f>
        <v>1537118759</v>
      </c>
      <c r="U61" s="196"/>
      <c r="V61" s="214">
        <f t="shared" si="4"/>
        <v>5.1126714184822656E-4</v>
      </c>
      <c r="W61" s="271"/>
      <c r="X61" s="191"/>
      <c r="Y61" s="191"/>
      <c r="AA61" s="191"/>
    </row>
    <row r="62" spans="2:31" ht="36" customHeight="1" x14ac:dyDescent="0.25">
      <c r="B62" s="386" t="s">
        <v>175</v>
      </c>
      <c r="C62" s="386"/>
      <c r="D62" s="197">
        <v>0</v>
      </c>
      <c r="E62" s="194"/>
      <c r="F62" s="196">
        <v>0</v>
      </c>
      <c r="G62" s="196"/>
      <c r="H62" s="196">
        <v>0</v>
      </c>
      <c r="I62" s="196"/>
      <c r="J62" s="196">
        <f t="shared" si="12"/>
        <v>0</v>
      </c>
      <c r="K62" s="196"/>
      <c r="L62" s="214">
        <f t="shared" si="10"/>
        <v>0</v>
      </c>
      <c r="M62" s="196"/>
      <c r="N62" s="196">
        <v>7300000000</v>
      </c>
      <c r="O62" s="196"/>
      <c r="P62" s="196">
        <v>0</v>
      </c>
      <c r="Q62" s="196"/>
      <c r="R62" s="196">
        <v>3171109669</v>
      </c>
      <c r="S62" s="196">
        <v>24903138035</v>
      </c>
      <c r="T62" s="196">
        <f t="shared" si="13"/>
        <v>10471109669</v>
      </c>
      <c r="U62" s="196"/>
      <c r="V62" s="214">
        <f t="shared" si="4"/>
        <v>3.4828371465141683E-3</v>
      </c>
      <c r="W62" s="271"/>
      <c r="X62" s="191"/>
      <c r="Y62" s="191"/>
      <c r="AA62" s="191"/>
    </row>
    <row r="63" spans="2:31" ht="36" customHeight="1" x14ac:dyDescent="0.25">
      <c r="B63" s="386" t="s">
        <v>142</v>
      </c>
      <c r="C63" s="386"/>
      <c r="D63" s="197">
        <v>0</v>
      </c>
      <c r="E63" s="194"/>
      <c r="F63" s="196">
        <v>0</v>
      </c>
      <c r="G63" s="196"/>
      <c r="H63" s="196">
        <v>0</v>
      </c>
      <c r="I63" s="196"/>
      <c r="J63" s="196">
        <f t="shared" si="12"/>
        <v>0</v>
      </c>
      <c r="K63" s="196"/>
      <c r="L63" s="214">
        <f t="shared" si="10"/>
        <v>0</v>
      </c>
      <c r="M63" s="196"/>
      <c r="N63" s="196">
        <v>0</v>
      </c>
      <c r="O63" s="196"/>
      <c r="P63" s="196">
        <v>0</v>
      </c>
      <c r="Q63" s="196"/>
      <c r="R63" s="196">
        <v>1937265303</v>
      </c>
      <c r="S63" s="196">
        <v>-4335963253</v>
      </c>
      <c r="T63" s="196">
        <f t="shared" si="13"/>
        <v>1937265303</v>
      </c>
      <c r="U63" s="196"/>
      <c r="V63" s="214">
        <f t="shared" si="4"/>
        <v>6.443614643743663E-4</v>
      </c>
      <c r="W63" s="271"/>
      <c r="X63" s="191"/>
      <c r="Y63" s="191"/>
      <c r="AA63" s="191"/>
    </row>
    <row r="64" spans="2:31" ht="36" customHeight="1" x14ac:dyDescent="0.25">
      <c r="B64" s="386" t="s">
        <v>202</v>
      </c>
      <c r="C64" s="386"/>
      <c r="D64" s="197">
        <v>0</v>
      </c>
      <c r="E64" s="194"/>
      <c r="F64" s="196">
        <v>0</v>
      </c>
      <c r="G64" s="196"/>
      <c r="H64" s="196">
        <v>0</v>
      </c>
      <c r="I64" s="196"/>
      <c r="J64" s="196">
        <f t="shared" si="12"/>
        <v>0</v>
      </c>
      <c r="K64" s="196"/>
      <c r="L64" s="214">
        <f t="shared" si="10"/>
        <v>0</v>
      </c>
      <c r="M64" s="196"/>
      <c r="N64" s="196">
        <v>0</v>
      </c>
      <c r="O64" s="196"/>
      <c r="P64" s="196">
        <v>0</v>
      </c>
      <c r="Q64" s="196"/>
      <c r="R64" s="196">
        <v>1212931406</v>
      </c>
      <c r="S64" s="196">
        <v>4030409699</v>
      </c>
      <c r="T64" s="196">
        <f t="shared" si="13"/>
        <v>1212931406</v>
      </c>
      <c r="U64" s="196"/>
      <c r="V64" s="214">
        <f>T64/$X$12</f>
        <v>4.03437905869426E-4</v>
      </c>
      <c r="W64" s="271"/>
      <c r="X64" s="191"/>
      <c r="Y64" s="191"/>
      <c r="AA64" s="191"/>
    </row>
    <row r="65" spans="2:30" ht="36" customHeight="1" x14ac:dyDescent="0.25">
      <c r="B65" s="386" t="s">
        <v>182</v>
      </c>
      <c r="C65" s="386"/>
      <c r="D65" s="197">
        <v>19800000000</v>
      </c>
      <c r="E65" s="194"/>
      <c r="F65" s="196">
        <v>8335067999</v>
      </c>
      <c r="G65" s="196"/>
      <c r="H65" s="196">
        <v>0</v>
      </c>
      <c r="I65" s="196"/>
      <c r="J65" s="196">
        <f t="shared" si="12"/>
        <v>28135067999</v>
      </c>
      <c r="K65" s="196"/>
      <c r="L65" s="214">
        <f t="shared" si="10"/>
        <v>-1.4669713475887828E-2</v>
      </c>
      <c r="M65" s="196"/>
      <c r="N65" s="196">
        <v>19800000000</v>
      </c>
      <c r="O65" s="196"/>
      <c r="P65" s="196">
        <v>11028023632</v>
      </c>
      <c r="Q65" s="196"/>
      <c r="R65" s="196">
        <v>6910941668</v>
      </c>
      <c r="S65" s="196">
        <v>97323992</v>
      </c>
      <c r="T65" s="196">
        <f t="shared" si="13"/>
        <v>37738965300</v>
      </c>
      <c r="U65" s="196"/>
      <c r="V65" s="214">
        <f t="shared" si="4"/>
        <v>1.2552506312389881E-2</v>
      </c>
      <c r="W65" s="271"/>
      <c r="X65" s="191"/>
      <c r="Y65" s="191"/>
      <c r="AA65" s="191"/>
    </row>
    <row r="66" spans="2:30" ht="36" customHeight="1" x14ac:dyDescent="0.25">
      <c r="B66" s="386" t="s">
        <v>157</v>
      </c>
      <c r="C66" s="386"/>
      <c r="D66" s="197">
        <v>0</v>
      </c>
      <c r="E66" s="194"/>
      <c r="F66" s="196">
        <v>64707911</v>
      </c>
      <c r="G66" s="196"/>
      <c r="H66" s="196">
        <v>0</v>
      </c>
      <c r="I66" s="196"/>
      <c r="J66" s="196">
        <f t="shared" si="12"/>
        <v>64707911</v>
      </c>
      <c r="K66" s="196"/>
      <c r="L66" s="214">
        <f t="shared" si="10"/>
        <v>-3.373890953549461E-5</v>
      </c>
      <c r="M66" s="196"/>
      <c r="N66" s="196">
        <v>0</v>
      </c>
      <c r="O66" s="196"/>
      <c r="P66" s="196">
        <v>1788333</v>
      </c>
      <c r="Q66" s="196"/>
      <c r="R66" s="196">
        <v>151419925</v>
      </c>
      <c r="S66" s="196">
        <v>29213444160</v>
      </c>
      <c r="T66" s="196">
        <f t="shared" si="13"/>
        <v>153208258</v>
      </c>
      <c r="U66" s="196">
        <v>3621513060</v>
      </c>
      <c r="V66" s="214">
        <f t="shared" si="4"/>
        <v>5.0959203845879085E-5</v>
      </c>
      <c r="W66" s="271"/>
      <c r="X66" s="191"/>
      <c r="Y66" s="191"/>
      <c r="AA66" s="191"/>
    </row>
    <row r="67" spans="2:30" ht="30" customHeight="1" x14ac:dyDescent="0.25">
      <c r="B67" s="386" t="s">
        <v>141</v>
      </c>
      <c r="C67" s="386"/>
      <c r="D67" s="197">
        <v>0</v>
      </c>
      <c r="E67" s="194"/>
      <c r="F67" s="196">
        <v>10289840</v>
      </c>
      <c r="G67" s="196"/>
      <c r="H67" s="196">
        <v>0</v>
      </c>
      <c r="I67" s="196"/>
      <c r="J67" s="196">
        <f t="shared" si="11"/>
        <v>10289840</v>
      </c>
      <c r="K67" s="196"/>
      <c r="L67" s="214">
        <f t="shared" si="10"/>
        <v>-5.3651551337318531E-6</v>
      </c>
      <c r="M67" s="196"/>
      <c r="N67" s="196">
        <v>8362000</v>
      </c>
      <c r="O67" s="196"/>
      <c r="P67" s="196">
        <v>-22825068</v>
      </c>
      <c r="Q67" s="196"/>
      <c r="R67" s="196">
        <v>31387040</v>
      </c>
      <c r="S67" s="196">
        <v>-14922689397</v>
      </c>
      <c r="T67" s="196">
        <f t="shared" si="7"/>
        <v>16923972</v>
      </c>
      <c r="U67" s="196">
        <v>-9565440490</v>
      </c>
      <c r="V67" s="214">
        <f t="shared" si="4"/>
        <v>5.6291491743868661E-6</v>
      </c>
      <c r="W67" s="271"/>
      <c r="X67" s="102"/>
      <c r="Z67" s="201"/>
      <c r="AA67" s="212"/>
      <c r="AD67" s="191"/>
    </row>
    <row r="68" spans="2:30" ht="30" customHeight="1" x14ac:dyDescent="0.25">
      <c r="B68" s="386" t="s">
        <v>179</v>
      </c>
      <c r="C68" s="386"/>
      <c r="D68" s="197">
        <v>0</v>
      </c>
      <c r="E68" s="194"/>
      <c r="F68" s="196">
        <v>0</v>
      </c>
      <c r="G68" s="196"/>
      <c r="H68" s="196">
        <v>0</v>
      </c>
      <c r="I68" s="196"/>
      <c r="J68" s="196">
        <f t="shared" si="11"/>
        <v>0</v>
      </c>
      <c r="K68" s="196"/>
      <c r="L68" s="214">
        <f t="shared" si="10"/>
        <v>0</v>
      </c>
      <c r="M68" s="196"/>
      <c r="N68" s="196">
        <v>9100000000</v>
      </c>
      <c r="O68" s="196"/>
      <c r="P68" s="196">
        <v>0</v>
      </c>
      <c r="Q68" s="196"/>
      <c r="R68" s="196">
        <v>-22038903430</v>
      </c>
      <c r="S68" s="196">
        <v>415651628</v>
      </c>
      <c r="T68" s="196">
        <f t="shared" si="7"/>
        <v>-12938903430</v>
      </c>
      <c r="U68" s="196">
        <v>4529226482</v>
      </c>
      <c r="V68" s="214">
        <f t="shared" si="4"/>
        <v>-4.3036597768216526E-3</v>
      </c>
      <c r="W68" s="271"/>
      <c r="X68" s="102"/>
      <c r="Z68" s="201"/>
      <c r="AA68" s="212"/>
    </row>
    <row r="69" spans="2:30" ht="30" customHeight="1" x14ac:dyDescent="0.25">
      <c r="B69" s="386" t="s">
        <v>161</v>
      </c>
      <c r="C69" s="386"/>
      <c r="D69" s="197">
        <v>0</v>
      </c>
      <c r="E69" s="194"/>
      <c r="F69" s="196">
        <v>0</v>
      </c>
      <c r="G69" s="196"/>
      <c r="H69" s="196">
        <v>0</v>
      </c>
      <c r="I69" s="196"/>
      <c r="J69" s="196">
        <f>D69+F69+H69</f>
        <v>0</v>
      </c>
      <c r="K69" s="196"/>
      <c r="L69" s="214">
        <f t="shared" si="10"/>
        <v>0</v>
      </c>
      <c r="M69" s="196"/>
      <c r="N69" s="196">
        <v>0</v>
      </c>
      <c r="O69" s="196"/>
      <c r="P69" s="196">
        <v>0</v>
      </c>
      <c r="Q69" s="196"/>
      <c r="R69" s="196">
        <v>2476602308</v>
      </c>
      <c r="S69" s="196">
        <v>5021464603</v>
      </c>
      <c r="T69" s="196">
        <f t="shared" si="7"/>
        <v>2476602308</v>
      </c>
      <c r="U69" s="196">
        <v>1418971271</v>
      </c>
      <c r="V69" s="214">
        <f t="shared" si="4"/>
        <v>8.2375247591775775E-4</v>
      </c>
      <c r="W69" s="271"/>
      <c r="X69" s="102"/>
      <c r="Z69" s="201"/>
      <c r="AA69" s="212"/>
    </row>
    <row r="70" spans="2:30" ht="30" customHeight="1" x14ac:dyDescent="0.25">
      <c r="B70" s="386" t="s">
        <v>201</v>
      </c>
      <c r="C70" s="386"/>
      <c r="D70" s="197">
        <v>0</v>
      </c>
      <c r="E70" s="194"/>
      <c r="F70" s="196">
        <v>3056191599</v>
      </c>
      <c r="G70" s="196"/>
      <c r="H70" s="196">
        <v>0</v>
      </c>
      <c r="I70" s="196"/>
      <c r="J70" s="196">
        <f t="shared" si="11"/>
        <v>3056191599</v>
      </c>
      <c r="K70" s="196"/>
      <c r="L70" s="214">
        <f t="shared" si="10"/>
        <v>-1.59350796971022E-3</v>
      </c>
      <c r="M70" s="196"/>
      <c r="N70" s="196">
        <v>1500000000</v>
      </c>
      <c r="O70" s="196"/>
      <c r="P70" s="196">
        <v>3970310642</v>
      </c>
      <c r="Q70" s="196"/>
      <c r="R70" s="196">
        <v>9848022478</v>
      </c>
      <c r="S70" s="196">
        <v>-4485653237</v>
      </c>
      <c r="T70" s="196">
        <f t="shared" si="7"/>
        <v>15318333120</v>
      </c>
      <c r="U70" s="196">
        <v>-15221139573</v>
      </c>
      <c r="V70" s="214">
        <f t="shared" si="4"/>
        <v>5.0950912844473497E-3</v>
      </c>
      <c r="W70" s="271"/>
      <c r="X70" s="102"/>
      <c r="Z70" s="201"/>
      <c r="AA70" s="212"/>
    </row>
    <row r="71" spans="2:30" ht="30" customHeight="1" x14ac:dyDescent="0.25">
      <c r="B71" s="386" t="s">
        <v>160</v>
      </c>
      <c r="C71" s="386"/>
      <c r="D71" s="197">
        <v>0</v>
      </c>
      <c r="E71" s="194"/>
      <c r="F71" s="196">
        <v>0</v>
      </c>
      <c r="G71" s="196"/>
      <c r="H71" s="196">
        <v>0</v>
      </c>
      <c r="I71" s="196"/>
      <c r="J71" s="196">
        <f t="shared" si="11"/>
        <v>0</v>
      </c>
      <c r="K71" s="196"/>
      <c r="L71" s="214">
        <f t="shared" si="10"/>
        <v>0</v>
      </c>
      <c r="M71" s="196"/>
      <c r="N71" s="196">
        <v>11100000000</v>
      </c>
      <c r="O71" s="196"/>
      <c r="P71" s="196">
        <v>0</v>
      </c>
      <c r="Q71" s="196"/>
      <c r="R71" s="196">
        <v>-2831281270</v>
      </c>
      <c r="S71" s="196"/>
      <c r="T71" s="196">
        <f t="shared" si="7"/>
        <v>8268718730</v>
      </c>
      <c r="U71" s="196"/>
      <c r="V71" s="214">
        <f t="shared" si="4"/>
        <v>2.7502911971383974E-3</v>
      </c>
      <c r="W71" s="271"/>
      <c r="X71" s="102"/>
      <c r="Z71" s="201"/>
      <c r="AA71" s="212"/>
    </row>
    <row r="72" spans="2:30" ht="30" customHeight="1" x14ac:dyDescent="0.25">
      <c r="B72" s="386" t="s">
        <v>137</v>
      </c>
      <c r="C72" s="386"/>
      <c r="D72" s="197">
        <v>0</v>
      </c>
      <c r="E72" s="194"/>
      <c r="F72" s="196">
        <v>547115058</v>
      </c>
      <c r="G72" s="196"/>
      <c r="H72" s="196">
        <v>0</v>
      </c>
      <c r="I72" s="196"/>
      <c r="J72" s="196">
        <f t="shared" si="11"/>
        <v>547115058</v>
      </c>
      <c r="K72" s="196"/>
      <c r="L72" s="214">
        <f t="shared" si="10"/>
        <v>-2.85267522349298E-4</v>
      </c>
      <c r="M72" s="196"/>
      <c r="N72" s="196">
        <v>17973000000</v>
      </c>
      <c r="O72" s="196"/>
      <c r="P72" s="196">
        <v>547115058</v>
      </c>
      <c r="Q72" s="196"/>
      <c r="R72" s="196">
        <v>18029411806</v>
      </c>
      <c r="S72" s="196"/>
      <c r="T72" s="196">
        <f t="shared" si="7"/>
        <v>36549526864</v>
      </c>
      <c r="U72" s="196"/>
      <c r="V72" s="214">
        <f t="shared" si="4"/>
        <v>1.2156882496066302E-2</v>
      </c>
      <c r="W72" s="271"/>
      <c r="X72" s="102"/>
      <c r="Z72" s="201"/>
      <c r="AA72" s="212"/>
    </row>
    <row r="73" spans="2:30" ht="30" customHeight="1" x14ac:dyDescent="0.25">
      <c r="B73" s="386" t="s">
        <v>183</v>
      </c>
      <c r="C73" s="386"/>
      <c r="D73" s="197">
        <v>0</v>
      </c>
      <c r="E73" s="194"/>
      <c r="F73" s="196">
        <v>0</v>
      </c>
      <c r="G73" s="196"/>
      <c r="H73" s="196">
        <v>0</v>
      </c>
      <c r="I73" s="196"/>
      <c r="J73" s="196">
        <f t="shared" si="11"/>
        <v>0</v>
      </c>
      <c r="K73" s="196"/>
      <c r="L73" s="214">
        <f t="shared" si="10"/>
        <v>0</v>
      </c>
      <c r="M73" s="196"/>
      <c r="N73" s="196">
        <v>0</v>
      </c>
      <c r="O73" s="196"/>
      <c r="P73" s="196">
        <v>0</v>
      </c>
      <c r="Q73" s="196"/>
      <c r="R73" s="196">
        <v>2810738818</v>
      </c>
      <c r="S73" s="196"/>
      <c r="T73" s="196">
        <f t="shared" si="7"/>
        <v>2810738818</v>
      </c>
      <c r="U73" s="196"/>
      <c r="V73" s="214">
        <f t="shared" si="4"/>
        <v>9.34890940304192E-4</v>
      </c>
      <c r="W73" s="271"/>
      <c r="X73" s="102"/>
      <c r="Z73" s="201"/>
      <c r="AA73" s="212"/>
    </row>
    <row r="74" spans="2:30" ht="30" customHeight="1" x14ac:dyDescent="0.25">
      <c r="B74" s="386" t="s">
        <v>163</v>
      </c>
      <c r="C74" s="386"/>
      <c r="D74" s="197">
        <v>0</v>
      </c>
      <c r="E74" s="194"/>
      <c r="F74" s="196">
        <v>0</v>
      </c>
      <c r="G74" s="196"/>
      <c r="H74" s="196">
        <v>0</v>
      </c>
      <c r="I74" s="196"/>
      <c r="J74" s="196">
        <f t="shared" si="11"/>
        <v>0</v>
      </c>
      <c r="K74" s="196"/>
      <c r="L74" s="214">
        <f t="shared" si="10"/>
        <v>0</v>
      </c>
      <c r="M74" s="196"/>
      <c r="N74" s="196">
        <v>0</v>
      </c>
      <c r="O74" s="196"/>
      <c r="P74" s="196">
        <v>0</v>
      </c>
      <c r="Q74" s="196"/>
      <c r="R74" s="151">
        <v>2083</v>
      </c>
      <c r="S74" s="196"/>
      <c r="T74" s="196">
        <f t="shared" si="7"/>
        <v>2083</v>
      </c>
      <c r="U74" s="196"/>
      <c r="V74" s="214">
        <f t="shared" si="4"/>
        <v>6.9283485757645088E-10</v>
      </c>
      <c r="W74" s="271"/>
      <c r="X74" s="102"/>
      <c r="Z74" s="201"/>
      <c r="AA74" s="212"/>
    </row>
    <row r="75" spans="2:30" ht="30" customHeight="1" x14ac:dyDescent="0.25">
      <c r="B75" s="386" t="s">
        <v>178</v>
      </c>
      <c r="C75" s="386"/>
      <c r="D75" s="197">
        <v>0</v>
      </c>
      <c r="E75" s="194"/>
      <c r="F75" s="196">
        <v>0</v>
      </c>
      <c r="G75" s="196"/>
      <c r="H75" s="196">
        <v>0</v>
      </c>
      <c r="I75" s="196"/>
      <c r="J75" s="196">
        <f t="shared" si="11"/>
        <v>0</v>
      </c>
      <c r="K75" s="196"/>
      <c r="L75" s="214">
        <f t="shared" si="10"/>
        <v>0</v>
      </c>
      <c r="M75" s="196"/>
      <c r="N75" s="196">
        <v>1500000000</v>
      </c>
      <c r="O75" s="196"/>
      <c r="P75" s="196">
        <v>0</v>
      </c>
      <c r="Q75" s="196"/>
      <c r="R75" s="196">
        <v>-21899317781</v>
      </c>
      <c r="S75" s="196"/>
      <c r="T75" s="196">
        <f t="shared" si="7"/>
        <v>-20399317781</v>
      </c>
      <c r="U75" s="196"/>
      <c r="V75" s="214">
        <f t="shared" si="4"/>
        <v>-6.7850976617647128E-3</v>
      </c>
      <c r="W75" s="271"/>
      <c r="X75" s="102"/>
      <c r="Z75" s="201"/>
      <c r="AA75" s="212"/>
    </row>
    <row r="76" spans="2:30" ht="30" customHeight="1" x14ac:dyDescent="0.25">
      <c r="B76" s="386" t="s">
        <v>110</v>
      </c>
      <c r="C76" s="386"/>
      <c r="D76" s="197">
        <v>0</v>
      </c>
      <c r="E76" s="194"/>
      <c r="F76" s="196">
        <v>10240226399</v>
      </c>
      <c r="G76" s="196"/>
      <c r="H76" s="196">
        <v>0</v>
      </c>
      <c r="I76" s="196"/>
      <c r="J76" s="196">
        <f t="shared" si="11"/>
        <v>10240226399</v>
      </c>
      <c r="K76" s="196"/>
      <c r="L76" s="214">
        <f t="shared" si="10"/>
        <v>-5.33928644518975E-3</v>
      </c>
      <c r="M76" s="196"/>
      <c r="N76" s="196">
        <v>0</v>
      </c>
      <c r="O76" s="196"/>
      <c r="P76" s="196">
        <v>13306789499</v>
      </c>
      <c r="Q76" s="196"/>
      <c r="R76" s="196">
        <v>8828197833</v>
      </c>
      <c r="S76" s="196">
        <v>872060105</v>
      </c>
      <c r="T76" s="196">
        <f t="shared" si="7"/>
        <v>22134987332</v>
      </c>
      <c r="U76" s="196">
        <v>-171239603</v>
      </c>
      <c r="V76" s="214">
        <f t="shared" si="4"/>
        <v>7.3624055667896133E-3</v>
      </c>
      <c r="W76" s="271"/>
      <c r="X76" s="102"/>
      <c r="Z76" s="201"/>
      <c r="AA76" s="212"/>
    </row>
    <row r="77" spans="2:30" ht="30" customHeight="1" x14ac:dyDescent="0.25">
      <c r="B77" s="181" t="s">
        <v>216</v>
      </c>
      <c r="C77" s="171"/>
      <c r="D77" s="195">
        <f>SUM(D43:D76)</f>
        <v>19800000000</v>
      </c>
      <c r="E77" s="194"/>
      <c r="F77" s="215">
        <f>SUM(F43:F76)</f>
        <v>1119015733588</v>
      </c>
      <c r="G77" s="215"/>
      <c r="H77" s="215">
        <f>SUM(H43:H76)</f>
        <v>28928651348</v>
      </c>
      <c r="I77" s="215"/>
      <c r="J77" s="215">
        <f>SUM(J43:J76)</f>
        <v>1167744384936</v>
      </c>
      <c r="K77" s="215"/>
      <c r="L77" s="122">
        <f>SUM(L43:L76)</f>
        <v>-0.60886561712581777</v>
      </c>
      <c r="M77" s="215"/>
      <c r="N77" s="215">
        <f>SUM(N43:N76)</f>
        <v>416355544756</v>
      </c>
      <c r="O77" s="215"/>
      <c r="P77" s="215">
        <f>SUM(P43:P76)</f>
        <v>1573809228909</v>
      </c>
      <c r="Q77" s="215"/>
      <c r="R77" s="215">
        <f>SUM(R43:R76)</f>
        <v>-13922584447</v>
      </c>
      <c r="S77" s="215"/>
      <c r="T77" s="215">
        <f>SUM(T43:T76)</f>
        <v>1976242189218</v>
      </c>
      <c r="U77" s="196"/>
      <c r="V77" s="122">
        <f>SUM(V43:V76)</f>
        <v>0.65732572045291704</v>
      </c>
      <c r="W77" s="271"/>
      <c r="X77" s="102"/>
      <c r="Z77" s="201"/>
      <c r="AA77" s="212"/>
    </row>
    <row r="78" spans="2:30" ht="30" customHeight="1" x14ac:dyDescent="0.25">
      <c r="B78" s="181"/>
      <c r="C78" s="171"/>
      <c r="D78" s="197"/>
      <c r="E78" s="194"/>
      <c r="F78" s="196"/>
      <c r="G78" s="196"/>
      <c r="H78" s="196"/>
      <c r="I78" s="196"/>
      <c r="J78" s="196"/>
      <c r="K78" s="196"/>
      <c r="L78" s="214"/>
      <c r="M78" s="196"/>
      <c r="N78" s="196"/>
      <c r="O78" s="196"/>
      <c r="P78" s="196"/>
      <c r="Q78" s="196"/>
      <c r="R78" s="196"/>
      <c r="S78" s="196"/>
      <c r="T78" s="196"/>
      <c r="U78" s="196"/>
      <c r="V78" s="214"/>
      <c r="W78" s="271"/>
      <c r="X78" s="102"/>
      <c r="Z78" s="201"/>
      <c r="AA78" s="212"/>
    </row>
    <row r="79" spans="2:30" ht="30" customHeight="1" x14ac:dyDescent="0.25">
      <c r="B79" s="384" t="s">
        <v>138</v>
      </c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271"/>
      <c r="X79" s="102"/>
      <c r="Z79" s="201"/>
      <c r="AA79" s="212"/>
    </row>
    <row r="80" spans="2:30" ht="12.75" customHeight="1" x14ac:dyDescent="0.25">
      <c r="W80" s="271"/>
      <c r="X80" s="102"/>
      <c r="Z80" s="201"/>
      <c r="AA80" s="212"/>
    </row>
    <row r="81" spans="2:30" ht="30" customHeight="1" thickBot="1" x14ac:dyDescent="0.3">
      <c r="B81" s="279"/>
      <c r="C81" s="210"/>
      <c r="D81" s="377" t="str">
        <f>D39</f>
        <v>طی آذر ماه</v>
      </c>
      <c r="E81" s="377"/>
      <c r="F81" s="377"/>
      <c r="G81" s="377"/>
      <c r="H81" s="377"/>
      <c r="I81" s="377"/>
      <c r="J81" s="377"/>
      <c r="K81" s="210"/>
      <c r="L81" s="210"/>
      <c r="M81" s="210"/>
      <c r="N81" s="377" t="str">
        <f>N39</f>
        <v>از ابتدای سال مالی تا پایان آذر ماه</v>
      </c>
      <c r="O81" s="377"/>
      <c r="P81" s="377"/>
      <c r="Q81" s="377"/>
      <c r="R81" s="377"/>
      <c r="S81" s="377"/>
      <c r="T81" s="377"/>
      <c r="U81" s="377"/>
      <c r="V81" s="377"/>
      <c r="W81" s="271"/>
      <c r="X81" s="102"/>
      <c r="Z81" s="201"/>
      <c r="AA81" s="212"/>
    </row>
    <row r="82" spans="2:30" ht="30" customHeight="1" x14ac:dyDescent="0.25">
      <c r="B82" s="378" t="s">
        <v>36</v>
      </c>
      <c r="C82" s="378"/>
      <c r="D82" s="382" t="s">
        <v>21</v>
      </c>
      <c r="E82" s="378"/>
      <c r="F82" s="382" t="s">
        <v>22</v>
      </c>
      <c r="G82" s="378"/>
      <c r="H82" s="382" t="s">
        <v>23</v>
      </c>
      <c r="I82" s="378"/>
      <c r="J82" s="380" t="s">
        <v>7</v>
      </c>
      <c r="K82" s="380"/>
      <c r="L82" s="380"/>
      <c r="M82" s="378"/>
      <c r="N82" s="383" t="s">
        <v>21</v>
      </c>
      <c r="O82" s="385"/>
      <c r="P82" s="383" t="s">
        <v>22</v>
      </c>
      <c r="Q82" s="385"/>
      <c r="R82" s="383" t="s">
        <v>23</v>
      </c>
      <c r="S82" s="385"/>
      <c r="T82" s="380" t="s">
        <v>7</v>
      </c>
      <c r="U82" s="380"/>
      <c r="V82" s="380"/>
      <c r="W82" s="271"/>
      <c r="X82" s="102"/>
      <c r="Z82" s="201"/>
      <c r="AA82" s="212"/>
    </row>
    <row r="83" spans="2:30" ht="30" customHeight="1" thickBot="1" x14ac:dyDescent="0.3">
      <c r="B83" s="378"/>
      <c r="C83" s="378"/>
      <c r="D83" s="382"/>
      <c r="E83" s="378"/>
      <c r="F83" s="382"/>
      <c r="G83" s="378"/>
      <c r="H83" s="382"/>
      <c r="I83" s="378"/>
      <c r="J83" s="377"/>
      <c r="K83" s="377"/>
      <c r="L83" s="377"/>
      <c r="M83" s="378"/>
      <c r="N83" s="382"/>
      <c r="O83" s="378"/>
      <c r="P83" s="382"/>
      <c r="Q83" s="378"/>
      <c r="R83" s="382"/>
      <c r="S83" s="378"/>
      <c r="T83" s="377"/>
      <c r="U83" s="377"/>
      <c r="V83" s="377"/>
      <c r="W83" s="271"/>
      <c r="X83" s="102"/>
      <c r="Z83" s="201"/>
      <c r="AA83" s="212"/>
    </row>
    <row r="84" spans="2:30" ht="49.5" customHeight="1" thickBot="1" x14ac:dyDescent="0.3">
      <c r="B84" s="379"/>
      <c r="C84" s="378"/>
      <c r="D84" s="88" t="s">
        <v>91</v>
      </c>
      <c r="E84" s="378"/>
      <c r="F84" s="88" t="s">
        <v>92</v>
      </c>
      <c r="G84" s="378"/>
      <c r="H84" s="88" t="s">
        <v>93</v>
      </c>
      <c r="I84" s="378"/>
      <c r="J84" s="103" t="s">
        <v>11</v>
      </c>
      <c r="K84" s="103"/>
      <c r="L84" s="103" t="s">
        <v>24</v>
      </c>
      <c r="M84" s="378"/>
      <c r="N84" s="88" t="s">
        <v>91</v>
      </c>
      <c r="O84" s="378"/>
      <c r="P84" s="88" t="s">
        <v>92</v>
      </c>
      <c r="Q84" s="378"/>
      <c r="R84" s="88" t="s">
        <v>93</v>
      </c>
      <c r="S84" s="378"/>
      <c r="T84" s="103" t="s">
        <v>11</v>
      </c>
      <c r="U84" s="103"/>
      <c r="V84" s="103" t="s">
        <v>24</v>
      </c>
      <c r="W84" s="271"/>
      <c r="X84" s="102"/>
      <c r="Z84" s="201"/>
      <c r="AA84" s="212"/>
    </row>
    <row r="85" spans="2:30" ht="30" customHeight="1" x14ac:dyDescent="0.25">
      <c r="B85" s="198" t="s">
        <v>217</v>
      </c>
      <c r="C85" s="198"/>
      <c r="D85" s="106">
        <f>D77</f>
        <v>19800000000</v>
      </c>
      <c r="E85" s="198"/>
      <c r="F85" s="196">
        <f>F77</f>
        <v>1119015733588</v>
      </c>
      <c r="G85" s="196"/>
      <c r="H85" s="196">
        <f>H77</f>
        <v>28928651348</v>
      </c>
      <c r="I85" s="196"/>
      <c r="J85" s="196">
        <f>J77</f>
        <v>1167744384936</v>
      </c>
      <c r="K85" s="196"/>
      <c r="L85" s="214">
        <f>L77</f>
        <v>-0.60886561712581777</v>
      </c>
      <c r="M85" s="196"/>
      <c r="N85" s="196">
        <f>N77</f>
        <v>416355544756</v>
      </c>
      <c r="O85" s="196"/>
      <c r="P85" s="196">
        <f>P77</f>
        <v>1573809228909</v>
      </c>
      <c r="Q85" s="196"/>
      <c r="R85" s="196">
        <f>R77</f>
        <v>-13922584447</v>
      </c>
      <c r="S85" s="196"/>
      <c r="T85" s="196">
        <f>T77</f>
        <v>1976242189218</v>
      </c>
      <c r="U85" s="105"/>
      <c r="V85" s="107">
        <f>V77</f>
        <v>0.65732572045291704</v>
      </c>
      <c r="W85" s="271"/>
      <c r="X85" s="102"/>
      <c r="Z85" s="201"/>
      <c r="AA85" s="212"/>
    </row>
    <row r="86" spans="2:30" ht="30" customHeight="1" x14ac:dyDescent="0.25">
      <c r="B86" s="181" t="s">
        <v>172</v>
      </c>
      <c r="C86" s="171"/>
      <c r="D86" s="197">
        <v>0</v>
      </c>
      <c r="E86" s="194"/>
      <c r="F86" s="196">
        <v>0</v>
      </c>
      <c r="G86" s="196"/>
      <c r="H86" s="196">
        <v>0</v>
      </c>
      <c r="I86" s="196"/>
      <c r="J86" s="196">
        <f t="shared" si="11"/>
        <v>0</v>
      </c>
      <c r="K86" s="196"/>
      <c r="L86" s="214">
        <f t="shared" ref="L86:L125" si="14">-J86/$G$136</f>
        <v>0</v>
      </c>
      <c r="M86" s="196"/>
      <c r="N86" s="196">
        <v>0</v>
      </c>
      <c r="O86" s="196"/>
      <c r="P86" s="196">
        <v>0</v>
      </c>
      <c r="Q86" s="196"/>
      <c r="R86" s="196">
        <v>24903138035</v>
      </c>
      <c r="S86" s="196">
        <v>392427662</v>
      </c>
      <c r="T86" s="196">
        <f>N86+P86+R86</f>
        <v>24903138035</v>
      </c>
      <c r="U86" s="196">
        <v>-1542829471</v>
      </c>
      <c r="V86" s="214">
        <f>T86/$X$12</f>
        <v>8.2831311059461937E-3</v>
      </c>
      <c r="W86" s="271"/>
      <c r="X86" s="102"/>
      <c r="Z86" s="201"/>
      <c r="AA86" s="212"/>
    </row>
    <row r="87" spans="2:30" ht="30" customHeight="1" x14ac:dyDescent="0.25">
      <c r="B87" s="181" t="s">
        <v>144</v>
      </c>
      <c r="C87" s="171"/>
      <c r="D87" s="197">
        <v>0</v>
      </c>
      <c r="E87" s="194"/>
      <c r="F87" s="196">
        <v>19163031679</v>
      </c>
      <c r="G87" s="196"/>
      <c r="H87" s="196">
        <v>0</v>
      </c>
      <c r="I87" s="196"/>
      <c r="J87" s="196">
        <f t="shared" si="11"/>
        <v>19163031679</v>
      </c>
      <c r="K87" s="196"/>
      <c r="L87" s="214">
        <f t="shared" si="14"/>
        <v>-9.9916653505256626E-3</v>
      </c>
      <c r="M87" s="196"/>
      <c r="N87" s="196">
        <v>20100125156</v>
      </c>
      <c r="O87" s="196"/>
      <c r="P87" s="196">
        <v>12125995399</v>
      </c>
      <c r="Q87" s="196"/>
      <c r="R87" s="196">
        <v>-65871293588</v>
      </c>
      <c r="S87" s="196">
        <v>1644814375</v>
      </c>
      <c r="T87" s="196">
        <f>N87+P87+R87</f>
        <v>-33645173033</v>
      </c>
      <c r="U87" s="196">
        <v>11922552996</v>
      </c>
      <c r="V87" s="214">
        <f t="shared" si="4"/>
        <v>-1.1190853896521172E-2</v>
      </c>
      <c r="W87" s="271"/>
      <c r="X87" s="102"/>
      <c r="Z87" s="201"/>
      <c r="AA87" s="212"/>
    </row>
    <row r="88" spans="2:30" ht="30" customHeight="1" x14ac:dyDescent="0.25">
      <c r="B88" s="181" t="s">
        <v>173</v>
      </c>
      <c r="C88" s="171"/>
      <c r="D88" s="197">
        <v>0</v>
      </c>
      <c r="E88" s="194"/>
      <c r="F88" s="196">
        <v>0</v>
      </c>
      <c r="G88" s="196"/>
      <c r="H88" s="196">
        <v>0</v>
      </c>
      <c r="I88" s="196"/>
      <c r="J88" s="196">
        <f t="shared" si="11"/>
        <v>0</v>
      </c>
      <c r="K88" s="196"/>
      <c r="L88" s="214">
        <f t="shared" si="14"/>
        <v>0</v>
      </c>
      <c r="M88" s="196"/>
      <c r="N88" s="196">
        <v>0</v>
      </c>
      <c r="O88" s="196"/>
      <c r="P88" s="196">
        <v>0</v>
      </c>
      <c r="Q88" s="196"/>
      <c r="R88" s="196">
        <v>-4335963253</v>
      </c>
      <c r="S88" s="196">
        <v>3859275341</v>
      </c>
      <c r="T88" s="196">
        <f>N88+P88+R88</f>
        <v>-4335963253</v>
      </c>
      <c r="U88" s="196">
        <v>-267773567</v>
      </c>
      <c r="V88" s="214">
        <f t="shared" si="4"/>
        <v>-1.4422018640657607E-3</v>
      </c>
      <c r="W88" s="271"/>
      <c r="X88" s="102"/>
      <c r="Z88" s="201"/>
      <c r="AA88" s="212"/>
    </row>
    <row r="89" spans="2:30" ht="30" customHeight="1" x14ac:dyDescent="0.25">
      <c r="B89" s="181" t="s">
        <v>162</v>
      </c>
      <c r="C89" s="171"/>
      <c r="D89" s="197">
        <v>0</v>
      </c>
      <c r="E89" s="194"/>
      <c r="F89" s="196">
        <v>0</v>
      </c>
      <c r="G89" s="196"/>
      <c r="H89" s="196">
        <v>0</v>
      </c>
      <c r="I89" s="196"/>
      <c r="J89" s="196">
        <f t="shared" si="11"/>
        <v>0</v>
      </c>
      <c r="K89" s="196"/>
      <c r="L89" s="214">
        <f t="shared" si="14"/>
        <v>0</v>
      </c>
      <c r="M89" s="196"/>
      <c r="N89" s="196">
        <v>0</v>
      </c>
      <c r="O89" s="196"/>
      <c r="P89" s="196">
        <v>0</v>
      </c>
      <c r="Q89" s="196"/>
      <c r="R89" s="196">
        <v>4030409699</v>
      </c>
      <c r="S89" s="196">
        <v>1937265303</v>
      </c>
      <c r="T89" s="196">
        <f t="shared" si="7"/>
        <v>4030409699</v>
      </c>
      <c r="U89" s="196">
        <v>-133028242</v>
      </c>
      <c r="V89" s="214">
        <f t="shared" si="4"/>
        <v>1.3405704895734091E-3</v>
      </c>
      <c r="W89" s="271"/>
      <c r="X89" s="102"/>
      <c r="Z89" s="201"/>
      <c r="AA89" s="212"/>
    </row>
    <row r="90" spans="2:30" ht="30" customHeight="1" x14ac:dyDescent="0.25">
      <c r="B90" s="181" t="s">
        <v>164</v>
      </c>
      <c r="C90" s="171"/>
      <c r="D90" s="197">
        <v>0</v>
      </c>
      <c r="E90" s="194"/>
      <c r="F90" s="196">
        <v>19011893200</v>
      </c>
      <c r="G90" s="196"/>
      <c r="H90" s="196">
        <v>0</v>
      </c>
      <c r="I90" s="196"/>
      <c r="J90" s="196">
        <f t="shared" si="11"/>
        <v>19011893200</v>
      </c>
      <c r="K90" s="196"/>
      <c r="L90" s="214">
        <f t="shared" si="14"/>
        <v>-9.9128612693629541E-3</v>
      </c>
      <c r="M90" s="196"/>
      <c r="N90" s="196">
        <v>1160000</v>
      </c>
      <c r="O90" s="196"/>
      <c r="P90" s="196">
        <v>22813989385</v>
      </c>
      <c r="Q90" s="196"/>
      <c r="R90" s="196">
        <v>212276377</v>
      </c>
      <c r="S90" s="196">
        <v>1212931406</v>
      </c>
      <c r="T90" s="196">
        <f t="shared" si="7"/>
        <v>23027425762</v>
      </c>
      <c r="U90" s="196">
        <v>-2162615402</v>
      </c>
      <c r="V90" s="214">
        <f t="shared" si="4"/>
        <v>7.6592430380065125E-3</v>
      </c>
      <c r="W90" s="271"/>
      <c r="X90" s="102"/>
      <c r="Z90" s="201"/>
      <c r="AA90" s="212"/>
    </row>
    <row r="91" spans="2:30" ht="30" customHeight="1" x14ac:dyDescent="0.25">
      <c r="B91" s="181" t="s">
        <v>111</v>
      </c>
      <c r="C91" s="171"/>
      <c r="D91" s="197">
        <v>0</v>
      </c>
      <c r="E91" s="194"/>
      <c r="F91" s="196">
        <v>739241</v>
      </c>
      <c r="G91" s="196"/>
      <c r="H91" s="196">
        <v>0</v>
      </c>
      <c r="I91" s="196"/>
      <c r="J91" s="196">
        <f t="shared" si="11"/>
        <v>739241</v>
      </c>
      <c r="K91" s="196"/>
      <c r="L91" s="214">
        <f t="shared" si="14"/>
        <v>-3.8544259640723945E-7</v>
      </c>
      <c r="M91" s="196"/>
      <c r="N91" s="196">
        <v>0</v>
      </c>
      <c r="O91" s="196"/>
      <c r="P91" s="196">
        <v>3610539</v>
      </c>
      <c r="Q91" s="196"/>
      <c r="R91" s="196">
        <v>97323992</v>
      </c>
      <c r="S91" s="196">
        <v>6910941668</v>
      </c>
      <c r="T91" s="196">
        <f t="shared" si="7"/>
        <v>100934531</v>
      </c>
      <c r="U91" s="196">
        <v>-1877733842</v>
      </c>
      <c r="V91" s="214">
        <f t="shared" si="4"/>
        <v>3.3572233034052263E-5</v>
      </c>
      <c r="W91" s="271"/>
      <c r="X91" s="201"/>
      <c r="Z91" s="201"/>
      <c r="AA91" s="212"/>
      <c r="AD91" s="191"/>
    </row>
    <row r="92" spans="2:30" ht="30" customHeight="1" x14ac:dyDescent="0.25">
      <c r="B92" s="181" t="s">
        <v>169</v>
      </c>
      <c r="C92" s="171"/>
      <c r="D92" s="197">
        <v>0</v>
      </c>
      <c r="E92" s="194"/>
      <c r="F92" s="196">
        <v>0</v>
      </c>
      <c r="G92" s="196"/>
      <c r="H92" s="196">
        <v>0</v>
      </c>
      <c r="I92" s="196"/>
      <c r="J92" s="196">
        <f t="shared" si="11"/>
        <v>0</v>
      </c>
      <c r="K92" s="196"/>
      <c r="L92" s="214">
        <f t="shared" si="14"/>
        <v>0</v>
      </c>
      <c r="M92" s="196"/>
      <c r="N92" s="196">
        <v>0</v>
      </c>
      <c r="O92" s="196"/>
      <c r="P92" s="196">
        <v>0</v>
      </c>
      <c r="Q92" s="196"/>
      <c r="R92" s="196">
        <v>29213444160</v>
      </c>
      <c r="S92" s="196">
        <v>151419925</v>
      </c>
      <c r="T92" s="196">
        <f t="shared" si="7"/>
        <v>29213444160</v>
      </c>
      <c r="U92" s="196">
        <v>-13627212560</v>
      </c>
      <c r="V92" s="214">
        <f t="shared" si="4"/>
        <v>9.7167990513255878E-3</v>
      </c>
      <c r="W92" s="271"/>
      <c r="X92" s="201"/>
      <c r="Z92" s="201"/>
      <c r="AA92" s="212"/>
      <c r="AD92" s="191"/>
    </row>
    <row r="93" spans="2:30" ht="30" customHeight="1" x14ac:dyDescent="0.25">
      <c r="B93" s="181" t="s">
        <v>195</v>
      </c>
      <c r="C93" s="171"/>
      <c r="D93" s="197">
        <v>0</v>
      </c>
      <c r="E93" s="194"/>
      <c r="F93" s="196">
        <v>0</v>
      </c>
      <c r="G93" s="196"/>
      <c r="H93" s="196">
        <v>0</v>
      </c>
      <c r="I93" s="196"/>
      <c r="J93" s="196">
        <f t="shared" si="11"/>
        <v>0</v>
      </c>
      <c r="K93" s="196"/>
      <c r="L93" s="214">
        <f t="shared" si="14"/>
        <v>0</v>
      </c>
      <c r="M93" s="196"/>
      <c r="N93" s="196">
        <v>480000000</v>
      </c>
      <c r="O93" s="196"/>
      <c r="P93" s="196">
        <v>0</v>
      </c>
      <c r="Q93" s="196"/>
      <c r="R93" s="196">
        <v>-17593967988</v>
      </c>
      <c r="S93" s="196">
        <v>31387040</v>
      </c>
      <c r="T93" s="196">
        <f t="shared" si="7"/>
        <v>-17113967988</v>
      </c>
      <c r="U93" s="196">
        <v>-6418415353</v>
      </c>
      <c r="V93" s="214">
        <f t="shared" si="4"/>
        <v>-5.6923444904147481E-3</v>
      </c>
      <c r="W93" s="271"/>
      <c r="X93" s="201"/>
      <c r="Z93" s="201"/>
      <c r="AA93" s="212"/>
      <c r="AD93" s="191"/>
    </row>
    <row r="94" spans="2:30" ht="30" customHeight="1" x14ac:dyDescent="0.25">
      <c r="B94" s="181" t="s">
        <v>136</v>
      </c>
      <c r="C94" s="171"/>
      <c r="D94" s="197">
        <v>0</v>
      </c>
      <c r="E94" s="194"/>
      <c r="F94" s="196">
        <v>350866671</v>
      </c>
      <c r="G94" s="196"/>
      <c r="H94" s="196">
        <v>0</v>
      </c>
      <c r="I94" s="196"/>
      <c r="J94" s="196">
        <f t="shared" si="11"/>
        <v>350866671</v>
      </c>
      <c r="K94" s="196"/>
      <c r="L94" s="214">
        <f t="shared" si="14"/>
        <v>-1.829429924246689E-4</v>
      </c>
      <c r="M94" s="196"/>
      <c r="N94" s="196">
        <v>0</v>
      </c>
      <c r="O94" s="196"/>
      <c r="P94" s="196">
        <v>860961283</v>
      </c>
      <c r="Q94" s="196"/>
      <c r="R94" s="196">
        <v>566880579</v>
      </c>
      <c r="S94" s="196">
        <v>1762590900</v>
      </c>
      <c r="T94" s="196">
        <f t="shared" si="7"/>
        <v>1427841862</v>
      </c>
      <c r="U94" s="196">
        <v>-581258774</v>
      </c>
      <c r="V94" s="214">
        <f t="shared" si="4"/>
        <v>4.7492012150766416E-4</v>
      </c>
      <c r="W94" s="271"/>
      <c r="X94" s="201"/>
      <c r="Z94" s="201"/>
      <c r="AA94" s="212"/>
    </row>
    <row r="95" spans="2:30" ht="30" customHeight="1" x14ac:dyDescent="0.25">
      <c r="B95" s="181" t="s">
        <v>193</v>
      </c>
      <c r="C95" s="171"/>
      <c r="D95" s="197">
        <v>0</v>
      </c>
      <c r="E95" s="194"/>
      <c r="F95" s="196">
        <v>0</v>
      </c>
      <c r="G95" s="196"/>
      <c r="H95" s="196">
        <v>0</v>
      </c>
      <c r="I95" s="196"/>
      <c r="J95" s="196">
        <f t="shared" si="11"/>
        <v>0</v>
      </c>
      <c r="K95" s="196"/>
      <c r="L95" s="214">
        <f t="shared" si="14"/>
        <v>0</v>
      </c>
      <c r="M95" s="196"/>
      <c r="N95" s="196">
        <v>0</v>
      </c>
      <c r="O95" s="196"/>
      <c r="P95" s="196">
        <v>0</v>
      </c>
      <c r="Q95" s="196"/>
      <c r="R95" s="196">
        <v>-14922689397</v>
      </c>
      <c r="S95" s="196">
        <v>2476602308</v>
      </c>
      <c r="T95" s="196">
        <f t="shared" si="7"/>
        <v>-14922689397</v>
      </c>
      <c r="U95" s="196">
        <v>-1440465917</v>
      </c>
      <c r="V95" s="214">
        <f t="shared" si="4"/>
        <v>-4.9634946629995716E-3</v>
      </c>
      <c r="W95" s="271"/>
      <c r="X95" s="201"/>
      <c r="Z95" s="201"/>
      <c r="AA95" s="212"/>
      <c r="AD95" s="191"/>
    </row>
    <row r="96" spans="2:30" ht="30" customHeight="1" x14ac:dyDescent="0.25">
      <c r="B96" s="181" t="s">
        <v>126</v>
      </c>
      <c r="C96" s="171"/>
      <c r="D96" s="197">
        <v>0</v>
      </c>
      <c r="E96" s="194"/>
      <c r="F96" s="196">
        <v>116096</v>
      </c>
      <c r="G96" s="196"/>
      <c r="H96" s="196">
        <v>0</v>
      </c>
      <c r="I96" s="196"/>
      <c r="J96" s="196">
        <f t="shared" si="11"/>
        <v>116096</v>
      </c>
      <c r="K96" s="196"/>
      <c r="L96" s="214">
        <f t="shared" si="14"/>
        <v>-6.0532821735394643E-8</v>
      </c>
      <c r="M96" s="196"/>
      <c r="N96" s="196">
        <v>0</v>
      </c>
      <c r="O96" s="196"/>
      <c r="P96" s="196">
        <v>103075</v>
      </c>
      <c r="Q96" s="196"/>
      <c r="R96" s="196">
        <v>5021464603</v>
      </c>
      <c r="S96" s="196">
        <v>9867221407</v>
      </c>
      <c r="T96" s="196">
        <f t="shared" si="7"/>
        <v>5021567678</v>
      </c>
      <c r="U96" s="196">
        <v>1680299829</v>
      </c>
      <c r="V96" s="214">
        <f t="shared" si="4"/>
        <v>1.6702434599124528E-3</v>
      </c>
      <c r="W96" s="271"/>
      <c r="X96" s="201"/>
      <c r="Z96" s="201"/>
      <c r="AA96" s="212"/>
    </row>
    <row r="97" spans="2:27" ht="30" customHeight="1" x14ac:dyDescent="0.25">
      <c r="B97" s="181" t="s">
        <v>174</v>
      </c>
      <c r="C97" s="171"/>
      <c r="D97" s="197">
        <v>0</v>
      </c>
      <c r="E97" s="194"/>
      <c r="F97" s="196">
        <v>0</v>
      </c>
      <c r="G97" s="196"/>
      <c r="H97" s="196">
        <v>0</v>
      </c>
      <c r="I97" s="196"/>
      <c r="J97" s="196">
        <f t="shared" si="11"/>
        <v>0</v>
      </c>
      <c r="K97" s="196"/>
      <c r="L97" s="214">
        <f t="shared" si="14"/>
        <v>0</v>
      </c>
      <c r="M97" s="196"/>
      <c r="N97" s="196">
        <v>0</v>
      </c>
      <c r="O97" s="196"/>
      <c r="P97" s="196">
        <v>0</v>
      </c>
      <c r="Q97" s="196"/>
      <c r="R97" s="196">
        <v>-4485653237</v>
      </c>
      <c r="S97" s="196">
        <v>872060105</v>
      </c>
      <c r="T97" s="196">
        <f t="shared" si="7"/>
        <v>-4485653237</v>
      </c>
      <c r="U97" s="196">
        <v>-9895859202</v>
      </c>
      <c r="V97" s="214">
        <f t="shared" si="4"/>
        <v>-1.4919908408997796E-3</v>
      </c>
      <c r="W97" s="271"/>
      <c r="X97" s="201"/>
      <c r="Z97" s="201"/>
      <c r="AA97" s="212"/>
    </row>
    <row r="98" spans="2:27" ht="30" customHeight="1" x14ac:dyDescent="0.25">
      <c r="B98" s="181" t="s">
        <v>131</v>
      </c>
      <c r="C98" s="171"/>
      <c r="D98" s="197">
        <v>0</v>
      </c>
      <c r="E98" s="194"/>
      <c r="F98" s="196">
        <v>52853426298</v>
      </c>
      <c r="G98" s="196"/>
      <c r="H98" s="196">
        <v>0</v>
      </c>
      <c r="I98" s="196"/>
      <c r="J98" s="196">
        <f t="shared" si="11"/>
        <v>52853426298</v>
      </c>
      <c r="K98" s="196"/>
      <c r="L98" s="214">
        <f t="shared" si="14"/>
        <v>-2.7557943703501009E-2</v>
      </c>
      <c r="M98" s="196"/>
      <c r="N98" s="196">
        <v>33460000000</v>
      </c>
      <c r="O98" s="196"/>
      <c r="P98" s="196">
        <v>-25596137910</v>
      </c>
      <c r="Q98" s="196"/>
      <c r="R98" s="196">
        <v>-34565504789</v>
      </c>
      <c r="S98" s="196">
        <v>24578982239</v>
      </c>
      <c r="T98" s="196">
        <f t="shared" si="7"/>
        <v>-26701642699</v>
      </c>
      <c r="U98" s="196">
        <v>584453468</v>
      </c>
      <c r="V98" s="214">
        <f t="shared" si="4"/>
        <v>-8.881338846096468E-3</v>
      </c>
      <c r="W98" s="271"/>
      <c r="X98" s="201"/>
      <c r="Z98" s="201"/>
      <c r="AA98" s="212"/>
    </row>
    <row r="99" spans="2:27" ht="30" customHeight="1" x14ac:dyDescent="0.25">
      <c r="B99" s="181" t="s">
        <v>255</v>
      </c>
      <c r="C99" s="171"/>
      <c r="D99" s="197">
        <v>0</v>
      </c>
      <c r="E99" s="194"/>
      <c r="F99" s="196">
        <v>0</v>
      </c>
      <c r="G99" s="196"/>
      <c r="H99" s="196">
        <v>0</v>
      </c>
      <c r="I99" s="196"/>
      <c r="J99" s="196">
        <f t="shared" si="11"/>
        <v>0</v>
      </c>
      <c r="K99" s="196"/>
      <c r="L99" s="214">
        <f t="shared" si="14"/>
        <v>0</v>
      </c>
      <c r="M99" s="196"/>
      <c r="N99" s="196">
        <v>0</v>
      </c>
      <c r="O99" s="196"/>
      <c r="P99" s="196">
        <v>0</v>
      </c>
      <c r="Q99" s="196"/>
      <c r="R99" s="196">
        <v>91895554026</v>
      </c>
      <c r="S99" s="196">
        <v>273616390</v>
      </c>
      <c r="T99" s="196">
        <f t="shared" si="7"/>
        <v>91895554026</v>
      </c>
      <c r="U99" s="196">
        <v>3602317932</v>
      </c>
      <c r="V99" s="214">
        <f t="shared" ref="V99:V110" si="15">T99/$X$12</f>
        <v>3.0565743199958115E-2</v>
      </c>
      <c r="W99" s="271"/>
      <c r="X99" s="201"/>
      <c r="Z99" s="201"/>
      <c r="AA99" s="212"/>
    </row>
    <row r="100" spans="2:27" ht="30" customHeight="1" x14ac:dyDescent="0.25">
      <c r="B100" s="181" t="s">
        <v>186</v>
      </c>
      <c r="C100" s="171"/>
      <c r="D100" s="197">
        <v>0</v>
      </c>
      <c r="E100" s="194"/>
      <c r="F100" s="196">
        <v>0</v>
      </c>
      <c r="G100" s="196"/>
      <c r="H100" s="196">
        <v>0</v>
      </c>
      <c r="I100" s="196"/>
      <c r="J100" s="196">
        <f t="shared" si="11"/>
        <v>0</v>
      </c>
      <c r="K100" s="196"/>
      <c r="L100" s="214">
        <f t="shared" si="14"/>
        <v>0</v>
      </c>
      <c r="M100" s="196"/>
      <c r="N100" s="196">
        <v>0</v>
      </c>
      <c r="O100" s="196"/>
      <c r="P100" s="196">
        <v>0</v>
      </c>
      <c r="Q100" s="196"/>
      <c r="R100" s="196">
        <v>24578982239</v>
      </c>
      <c r="S100" s="196">
        <v>-36917610</v>
      </c>
      <c r="T100" s="196">
        <f t="shared" si="7"/>
        <v>24578982239</v>
      </c>
      <c r="U100" s="196">
        <v>-679942337</v>
      </c>
      <c r="V100" s="214">
        <f t="shared" si="15"/>
        <v>8.1753123662658099E-3</v>
      </c>
      <c r="W100" s="271"/>
      <c r="X100" s="201"/>
      <c r="Z100" s="201"/>
      <c r="AA100" s="212"/>
    </row>
    <row r="101" spans="2:27" ht="30" customHeight="1" x14ac:dyDescent="0.25">
      <c r="B101" s="181" t="s">
        <v>159</v>
      </c>
      <c r="C101" s="171"/>
      <c r="D101" s="197">
        <v>0</v>
      </c>
      <c r="E101" s="194"/>
      <c r="F101" s="196">
        <v>0</v>
      </c>
      <c r="G101" s="196"/>
      <c r="H101" s="196">
        <v>0</v>
      </c>
      <c r="I101" s="196"/>
      <c r="J101" s="196">
        <f t="shared" si="11"/>
        <v>0</v>
      </c>
      <c r="K101" s="196"/>
      <c r="L101" s="214">
        <f t="shared" si="14"/>
        <v>0</v>
      </c>
      <c r="M101" s="196"/>
      <c r="N101" s="196">
        <v>0</v>
      </c>
      <c r="O101" s="196"/>
      <c r="P101" s="196">
        <v>0</v>
      </c>
      <c r="Q101" s="196"/>
      <c r="R101" s="196">
        <v>273616390</v>
      </c>
      <c r="S101" s="196">
        <v>381950449</v>
      </c>
      <c r="T101" s="196">
        <f t="shared" si="7"/>
        <v>273616390</v>
      </c>
      <c r="U101" s="196">
        <v>-6406708234</v>
      </c>
      <c r="V101" s="214">
        <f t="shared" si="15"/>
        <v>9.1008628226707939E-5</v>
      </c>
      <c r="W101" s="271"/>
      <c r="X101" s="201"/>
      <c r="Z101" s="201"/>
      <c r="AA101" s="212"/>
    </row>
    <row r="102" spans="2:27" ht="30" customHeight="1" x14ac:dyDescent="0.25">
      <c r="B102" s="181" t="s">
        <v>120</v>
      </c>
      <c r="C102" s="171"/>
      <c r="D102" s="197">
        <v>0</v>
      </c>
      <c r="E102" s="194"/>
      <c r="F102" s="196">
        <v>24278629210</v>
      </c>
      <c r="G102" s="196"/>
      <c r="H102" s="196">
        <v>0</v>
      </c>
      <c r="I102" s="196"/>
      <c r="J102" s="196">
        <f t="shared" si="11"/>
        <v>24278629210</v>
      </c>
      <c r="K102" s="196"/>
      <c r="L102" s="214">
        <f t="shared" si="14"/>
        <v>-1.2658954089276765E-2</v>
      </c>
      <c r="M102" s="196"/>
      <c r="N102" s="196">
        <v>7600000000</v>
      </c>
      <c r="O102" s="196"/>
      <c r="P102" s="196">
        <v>12803439707</v>
      </c>
      <c r="Q102" s="196"/>
      <c r="R102" s="196">
        <v>-1877082640</v>
      </c>
      <c r="S102" s="196">
        <v>2034570901</v>
      </c>
      <c r="T102" s="196">
        <f t="shared" si="7"/>
        <v>18526357067</v>
      </c>
      <c r="U102" s="196">
        <v>-38135827</v>
      </c>
      <c r="V102" s="214">
        <f t="shared" si="15"/>
        <v>6.1621248007323187E-3</v>
      </c>
      <c r="W102" s="271"/>
      <c r="X102" s="201"/>
      <c r="Z102" s="201"/>
      <c r="AA102" s="212"/>
    </row>
    <row r="103" spans="2:27" ht="30" customHeight="1" x14ac:dyDescent="0.25">
      <c r="B103" s="181" t="s">
        <v>150</v>
      </c>
      <c r="C103" s="171"/>
      <c r="D103" s="197">
        <v>0</v>
      </c>
      <c r="E103" s="194"/>
      <c r="F103" s="196">
        <v>5357837</v>
      </c>
      <c r="G103" s="196"/>
      <c r="H103" s="196">
        <v>0</v>
      </c>
      <c r="I103" s="196"/>
      <c r="J103" s="196">
        <f t="shared" si="11"/>
        <v>5357837</v>
      </c>
      <c r="K103" s="196"/>
      <c r="L103" s="214">
        <f t="shared" si="14"/>
        <v>-2.7935931643493456E-6</v>
      </c>
      <c r="M103" s="196"/>
      <c r="N103" s="196">
        <v>2320000</v>
      </c>
      <c r="O103" s="196"/>
      <c r="P103" s="196">
        <v>1746176</v>
      </c>
      <c r="Q103" s="196"/>
      <c r="R103" s="196">
        <v>2034570901</v>
      </c>
      <c r="S103" s="196">
        <v>-2558077316</v>
      </c>
      <c r="T103" s="196">
        <f t="shared" si="7"/>
        <v>2038637077</v>
      </c>
      <c r="U103" s="196">
        <v>-2724766700</v>
      </c>
      <c r="V103" s="214">
        <f t="shared" si="15"/>
        <v>6.7807913052970092E-4</v>
      </c>
      <c r="W103" s="271"/>
      <c r="X103" s="201"/>
      <c r="Z103" s="201"/>
      <c r="AA103" s="212"/>
    </row>
    <row r="104" spans="2:27" ht="30" customHeight="1" x14ac:dyDescent="0.25">
      <c r="B104" s="181" t="s">
        <v>153</v>
      </c>
      <c r="C104" s="171"/>
      <c r="D104" s="197">
        <v>0</v>
      </c>
      <c r="E104" s="194"/>
      <c r="F104" s="196">
        <v>0</v>
      </c>
      <c r="G104" s="196"/>
      <c r="H104" s="196">
        <v>0</v>
      </c>
      <c r="I104" s="196"/>
      <c r="J104" s="196">
        <f t="shared" si="11"/>
        <v>0</v>
      </c>
      <c r="K104" s="196"/>
      <c r="L104" s="214">
        <f t="shared" si="14"/>
        <v>0</v>
      </c>
      <c r="M104" s="196"/>
      <c r="N104" s="196">
        <v>0</v>
      </c>
      <c r="O104" s="196"/>
      <c r="P104" s="196">
        <v>0</v>
      </c>
      <c r="Q104" s="196"/>
      <c r="R104" s="196">
        <v>-2558077316</v>
      </c>
      <c r="S104" s="196">
        <v>-4335963253</v>
      </c>
      <c r="T104" s="196">
        <f t="shared" si="7"/>
        <v>-2558077316</v>
      </c>
      <c r="U104" s="196">
        <v>-6227581911</v>
      </c>
      <c r="V104" s="214">
        <f t="shared" si="15"/>
        <v>-8.508522001442197E-4</v>
      </c>
      <c r="W104" s="271"/>
      <c r="X104" s="201"/>
      <c r="Z104" s="201"/>
      <c r="AA104" s="212"/>
    </row>
    <row r="105" spans="2:27" ht="30" customHeight="1" x14ac:dyDescent="0.25">
      <c r="B105" s="181" t="s">
        <v>114</v>
      </c>
      <c r="C105" s="171"/>
      <c r="D105" s="197">
        <v>0</v>
      </c>
      <c r="E105" s="194"/>
      <c r="F105" s="196">
        <v>266701669115</v>
      </c>
      <c r="G105" s="196"/>
      <c r="H105" s="196">
        <v>0</v>
      </c>
      <c r="I105" s="196"/>
      <c r="J105" s="196">
        <f t="shared" si="11"/>
        <v>266701669115</v>
      </c>
      <c r="K105" s="196"/>
      <c r="L105" s="214">
        <f t="shared" si="14"/>
        <v>-0.13905909413821751</v>
      </c>
      <c r="M105" s="196"/>
      <c r="N105" s="196">
        <v>23077304640</v>
      </c>
      <c r="O105" s="196"/>
      <c r="P105" s="196">
        <v>329229167324</v>
      </c>
      <c r="Q105" s="196"/>
      <c r="R105" s="196">
        <v>1330309687</v>
      </c>
      <c r="S105" s="196">
        <v>4030409699</v>
      </c>
      <c r="T105" s="196">
        <f>N105+P105+R105</f>
        <v>353636781651</v>
      </c>
      <c r="U105" s="196">
        <v>-5297936693</v>
      </c>
      <c r="V105" s="214">
        <f t="shared" si="15"/>
        <v>0.11762452676378543</v>
      </c>
      <c r="W105" s="271"/>
      <c r="X105" s="201"/>
      <c r="Z105" s="201"/>
      <c r="AA105" s="212"/>
    </row>
    <row r="106" spans="2:27" ht="30" customHeight="1" x14ac:dyDescent="0.25">
      <c r="B106" s="181" t="s">
        <v>166</v>
      </c>
      <c r="C106" s="171"/>
      <c r="D106" s="197">
        <v>0</v>
      </c>
      <c r="E106" s="194"/>
      <c r="F106" s="196">
        <v>0</v>
      </c>
      <c r="G106" s="196"/>
      <c r="H106" s="196">
        <v>0</v>
      </c>
      <c r="I106" s="196"/>
      <c r="J106" s="196">
        <f t="shared" si="11"/>
        <v>0</v>
      </c>
      <c r="K106" s="196"/>
      <c r="L106" s="214">
        <f t="shared" si="14"/>
        <v>0</v>
      </c>
      <c r="M106" s="196"/>
      <c r="N106" s="196">
        <v>0</v>
      </c>
      <c r="O106" s="196"/>
      <c r="P106" s="196">
        <v>0</v>
      </c>
      <c r="Q106" s="196"/>
      <c r="R106" s="196">
        <v>257545772</v>
      </c>
      <c r="S106" s="196">
        <v>97323992</v>
      </c>
      <c r="T106" s="196">
        <f>N106+P106+R106</f>
        <v>257545772</v>
      </c>
      <c r="U106" s="196">
        <v>-3934274351</v>
      </c>
      <c r="V106" s="214">
        <f t="shared" si="15"/>
        <v>8.5663316496897303E-5</v>
      </c>
      <c r="W106" s="271"/>
      <c r="X106" s="201"/>
      <c r="Z106" s="201"/>
      <c r="AA106" s="212"/>
    </row>
    <row r="107" spans="2:27" ht="30" customHeight="1" x14ac:dyDescent="0.25">
      <c r="B107" s="181" t="s">
        <v>239</v>
      </c>
      <c r="C107" s="171"/>
      <c r="D107" s="197">
        <v>0</v>
      </c>
      <c r="E107" s="194"/>
      <c r="F107" s="196">
        <v>0</v>
      </c>
      <c r="G107" s="196"/>
      <c r="H107" s="196">
        <v>0</v>
      </c>
      <c r="I107" s="196"/>
      <c r="J107" s="196">
        <f t="shared" si="11"/>
        <v>0</v>
      </c>
      <c r="K107" s="196"/>
      <c r="L107" s="214">
        <f t="shared" si="14"/>
        <v>0</v>
      </c>
      <c r="M107" s="196"/>
      <c r="N107" s="196">
        <v>0</v>
      </c>
      <c r="O107" s="196"/>
      <c r="P107" s="196">
        <v>0</v>
      </c>
      <c r="Q107" s="196"/>
      <c r="R107" s="196">
        <v>-9111320</v>
      </c>
      <c r="S107" s="196">
        <v>29213444160</v>
      </c>
      <c r="T107" s="196">
        <f t="shared" si="7"/>
        <v>-9111320</v>
      </c>
      <c r="U107" s="196">
        <v>-24909597740</v>
      </c>
      <c r="V107" s="214">
        <f t="shared" si="15"/>
        <v>-3.0305521337174595E-6</v>
      </c>
      <c r="W107" s="271"/>
      <c r="X107" s="201"/>
      <c r="Z107" s="201"/>
      <c r="AA107" s="212"/>
    </row>
    <row r="108" spans="2:27" ht="30" customHeight="1" x14ac:dyDescent="0.25">
      <c r="B108" s="181" t="s">
        <v>124</v>
      </c>
      <c r="C108" s="171"/>
      <c r="D108" s="197">
        <v>0</v>
      </c>
      <c r="E108" s="194"/>
      <c r="F108" s="196">
        <v>1617400</v>
      </c>
      <c r="G108" s="196"/>
      <c r="H108" s="196">
        <v>0</v>
      </c>
      <c r="I108" s="196"/>
      <c r="J108" s="196">
        <f t="shared" si="11"/>
        <v>1617400</v>
      </c>
      <c r="K108" s="196"/>
      <c r="L108" s="214">
        <f t="shared" si="14"/>
        <v>-8.4331747756018547E-7</v>
      </c>
      <c r="M108" s="196"/>
      <c r="N108" s="196">
        <v>599470</v>
      </c>
      <c r="O108" s="196"/>
      <c r="P108" s="196">
        <v>-1354731</v>
      </c>
      <c r="Q108" s="196"/>
      <c r="R108" s="196">
        <v>-4741243411</v>
      </c>
      <c r="S108" s="196">
        <v>0</v>
      </c>
      <c r="T108" s="196">
        <f>N108+P108+R108</f>
        <v>-4741998672</v>
      </c>
      <c r="U108" s="196"/>
      <c r="V108" s="214">
        <f t="shared" si="15"/>
        <v>-1.5772549085659334E-3</v>
      </c>
      <c r="W108" s="271"/>
      <c r="X108" s="201"/>
      <c r="Z108" s="201"/>
      <c r="AA108" s="212"/>
    </row>
    <row r="109" spans="2:27" ht="30" customHeight="1" x14ac:dyDescent="0.25">
      <c r="B109" s="181" t="s">
        <v>253</v>
      </c>
      <c r="C109" s="171"/>
      <c r="D109" s="197">
        <v>0</v>
      </c>
      <c r="E109" s="194"/>
      <c r="F109" s="196">
        <v>-111630374</v>
      </c>
      <c r="G109" s="196"/>
      <c r="H109" s="196">
        <v>0</v>
      </c>
      <c r="I109" s="196"/>
      <c r="J109" s="196">
        <f t="shared" si="11"/>
        <v>-111630374</v>
      </c>
      <c r="K109" s="196"/>
      <c r="L109" s="214">
        <f t="shared" si="14"/>
        <v>5.8204430209459698E-5</v>
      </c>
      <c r="M109" s="196"/>
      <c r="N109" s="196">
        <v>0</v>
      </c>
      <c r="O109" s="196"/>
      <c r="P109" s="196">
        <v>543861705</v>
      </c>
      <c r="Q109" s="196"/>
      <c r="R109" s="196">
        <v>1102940400</v>
      </c>
      <c r="S109" s="196">
        <v>0</v>
      </c>
      <c r="T109" s="196">
        <f t="shared" si="7"/>
        <v>1646802105</v>
      </c>
      <c r="U109" s="196"/>
      <c r="V109" s="214">
        <f t="shared" si="15"/>
        <v>5.4774935279609913E-4</v>
      </c>
      <c r="W109" s="271"/>
      <c r="Y109" s="191"/>
      <c r="AA109" s="191"/>
    </row>
    <row r="110" spans="2:27" ht="30" customHeight="1" x14ac:dyDescent="0.25">
      <c r="B110" s="181" t="s">
        <v>152</v>
      </c>
      <c r="C110" s="171"/>
      <c r="D110" s="197">
        <v>0</v>
      </c>
      <c r="E110" s="194"/>
      <c r="F110" s="196">
        <v>0</v>
      </c>
      <c r="G110" s="196"/>
      <c r="H110" s="196">
        <v>0</v>
      </c>
      <c r="I110" s="196"/>
      <c r="J110" s="196">
        <f t="shared" si="11"/>
        <v>0</v>
      </c>
      <c r="K110" s="196"/>
      <c r="L110" s="214">
        <f t="shared" si="14"/>
        <v>0</v>
      </c>
      <c r="M110" s="196"/>
      <c r="N110" s="196">
        <v>0</v>
      </c>
      <c r="O110" s="196"/>
      <c r="P110" s="196">
        <v>0</v>
      </c>
      <c r="Q110" s="196"/>
      <c r="R110" s="196">
        <v>-2044819416</v>
      </c>
      <c r="S110" s="196">
        <v>0</v>
      </c>
      <c r="T110" s="196">
        <f>N110+P110+R110</f>
        <v>-2044819416</v>
      </c>
      <c r="U110" s="196"/>
      <c r="V110" s="214">
        <f t="shared" si="15"/>
        <v>-6.8013546272391811E-4</v>
      </c>
      <c r="W110" s="271"/>
      <c r="Y110" s="191"/>
      <c r="AA110" s="191"/>
    </row>
    <row r="111" spans="2:27" ht="30" customHeight="1" x14ac:dyDescent="0.25">
      <c r="B111" s="181" t="s">
        <v>177</v>
      </c>
      <c r="C111" s="171"/>
      <c r="D111" s="197">
        <v>0</v>
      </c>
      <c r="E111" s="194"/>
      <c r="F111" s="196">
        <v>0</v>
      </c>
      <c r="G111" s="196"/>
      <c r="H111" s="196">
        <v>0</v>
      </c>
      <c r="I111" s="196"/>
      <c r="J111" s="196">
        <f t="shared" si="11"/>
        <v>0</v>
      </c>
      <c r="K111" s="196"/>
      <c r="L111" s="214">
        <f t="shared" si="14"/>
        <v>0</v>
      </c>
      <c r="M111" s="196"/>
      <c r="N111" s="196">
        <v>2400000000</v>
      </c>
      <c r="O111" s="196"/>
      <c r="P111" s="196">
        <v>0</v>
      </c>
      <c r="Q111" s="196"/>
      <c r="R111" s="196">
        <v>-6440726392</v>
      </c>
      <c r="S111" s="196">
        <v>0</v>
      </c>
      <c r="T111" s="196">
        <f t="shared" si="7"/>
        <v>-4040726392</v>
      </c>
      <c r="U111" s="196"/>
      <c r="V111" s="214">
        <f>T111/$X$12</f>
        <v>-1.3440019655817216E-3</v>
      </c>
      <c r="W111" s="271"/>
      <c r="Y111" s="191"/>
      <c r="AA111" s="191"/>
    </row>
    <row r="112" spans="2:27" ht="30" customHeight="1" x14ac:dyDescent="0.25">
      <c r="B112" s="181" t="s">
        <v>121</v>
      </c>
      <c r="C112" s="171"/>
      <c r="D112" s="196">
        <v>0</v>
      </c>
      <c r="E112" s="194"/>
      <c r="F112" s="196">
        <v>117402602743</v>
      </c>
      <c r="G112" s="196"/>
      <c r="H112" s="196">
        <v>0</v>
      </c>
      <c r="I112" s="196"/>
      <c r="J112" s="196">
        <f t="shared" si="11"/>
        <v>117402602743</v>
      </c>
      <c r="K112" s="196"/>
      <c r="L112" s="214">
        <f t="shared" si="14"/>
        <v>-6.1214088539772026E-2</v>
      </c>
      <c r="M112" s="196"/>
      <c r="N112" s="196">
        <v>0</v>
      </c>
      <c r="O112" s="196"/>
      <c r="P112" s="196">
        <v>175314659990</v>
      </c>
      <c r="Q112" s="196"/>
      <c r="R112" s="196">
        <v>-4087415768</v>
      </c>
      <c r="S112" s="196">
        <v>0</v>
      </c>
      <c r="T112" s="196">
        <f t="shared" si="7"/>
        <v>171227244222</v>
      </c>
      <c r="U112" s="196"/>
      <c r="V112" s="214">
        <f>T112/$X$12</f>
        <v>5.6952570025807746E-2</v>
      </c>
      <c r="W112" s="271"/>
      <c r="Y112" s="191"/>
      <c r="AA112" s="191"/>
    </row>
    <row r="113" spans="2:27" ht="30" customHeight="1" x14ac:dyDescent="0.25">
      <c r="B113" s="181" t="s">
        <v>252</v>
      </c>
      <c r="C113" s="171"/>
      <c r="D113" s="196">
        <v>0</v>
      </c>
      <c r="E113" s="194"/>
      <c r="F113" s="196">
        <v>-278629416</v>
      </c>
      <c r="G113" s="196"/>
      <c r="H113" s="196">
        <v>0</v>
      </c>
      <c r="I113" s="196"/>
      <c r="J113" s="196">
        <f t="shared" si="11"/>
        <v>-278629416</v>
      </c>
      <c r="K113" s="196"/>
      <c r="L113" s="214">
        <f t="shared" si="14"/>
        <v>1.4527825910423369E-4</v>
      </c>
      <c r="M113" s="196"/>
      <c r="N113" s="196">
        <v>0</v>
      </c>
      <c r="O113" s="196"/>
      <c r="P113" s="196">
        <v>894627681</v>
      </c>
      <c r="Q113" s="196"/>
      <c r="R113" s="196">
        <v>1176011000</v>
      </c>
      <c r="S113" s="196"/>
      <c r="T113" s="196">
        <f t="shared" si="7"/>
        <v>2070638681</v>
      </c>
      <c r="U113" s="196"/>
      <c r="V113" s="214">
        <f t="shared" ref="V113:V119" si="16">T113/$X$12</f>
        <v>6.8872331043827418E-4</v>
      </c>
      <c r="W113" s="271"/>
      <c r="Y113" s="191"/>
      <c r="AA113" s="191"/>
    </row>
    <row r="114" spans="2:27" ht="30" customHeight="1" x14ac:dyDescent="0.25">
      <c r="B114" s="181" t="s">
        <v>167</v>
      </c>
      <c r="C114" s="171"/>
      <c r="D114" s="196">
        <v>0</v>
      </c>
      <c r="E114" s="194"/>
      <c r="F114" s="196">
        <v>0</v>
      </c>
      <c r="G114" s="196"/>
      <c r="H114" s="196">
        <v>0</v>
      </c>
      <c r="I114" s="196"/>
      <c r="J114" s="196">
        <f t="shared" si="11"/>
        <v>0</v>
      </c>
      <c r="K114" s="196"/>
      <c r="L114" s="214">
        <f t="shared" si="14"/>
        <v>0</v>
      </c>
      <c r="M114" s="196"/>
      <c r="N114" s="196">
        <v>0</v>
      </c>
      <c r="O114" s="196"/>
      <c r="P114" s="196">
        <v>0</v>
      </c>
      <c r="Q114" s="196"/>
      <c r="R114" s="196">
        <v>573251852</v>
      </c>
      <c r="S114" s="196"/>
      <c r="T114" s="196">
        <f t="shared" si="7"/>
        <v>573251852</v>
      </c>
      <c r="U114" s="196"/>
      <c r="V114" s="214">
        <f t="shared" si="16"/>
        <v>1.9067156276325332E-4</v>
      </c>
      <c r="W114" s="271"/>
      <c r="Y114" s="191"/>
      <c r="AA114" s="191"/>
    </row>
    <row r="115" spans="2:27" ht="30" customHeight="1" x14ac:dyDescent="0.25">
      <c r="B115" s="181" t="s">
        <v>117</v>
      </c>
      <c r="C115" s="171"/>
      <c r="D115" s="196">
        <v>18936239408</v>
      </c>
      <c r="E115" s="194"/>
      <c r="F115" s="196">
        <v>165825963724</v>
      </c>
      <c r="G115" s="196"/>
      <c r="H115" s="196">
        <v>0</v>
      </c>
      <c r="I115" s="196"/>
      <c r="J115" s="196">
        <f t="shared" si="11"/>
        <v>184762203132</v>
      </c>
      <c r="K115" s="196"/>
      <c r="L115" s="214">
        <f t="shared" si="14"/>
        <v>-9.6335597312811203E-2</v>
      </c>
      <c r="M115" s="196"/>
      <c r="N115" s="196">
        <v>75471565495</v>
      </c>
      <c r="O115" s="196"/>
      <c r="P115" s="196">
        <v>207257997624</v>
      </c>
      <c r="Q115" s="196"/>
      <c r="R115" s="196">
        <v>2030484657</v>
      </c>
      <c r="S115" s="196"/>
      <c r="T115" s="196">
        <f t="shared" si="7"/>
        <v>284760047776</v>
      </c>
      <c r="U115" s="196"/>
      <c r="V115" s="214">
        <f t="shared" si="16"/>
        <v>9.4715164255568071E-2</v>
      </c>
      <c r="W115" s="271"/>
      <c r="X115" s="191"/>
      <c r="Y115" s="191"/>
      <c r="AA115" s="191"/>
    </row>
    <row r="116" spans="2:27" ht="30" customHeight="1" x14ac:dyDescent="0.25">
      <c r="B116" s="181" t="s">
        <v>146</v>
      </c>
      <c r="C116" s="171"/>
      <c r="D116" s="196">
        <v>0</v>
      </c>
      <c r="E116" s="194"/>
      <c r="F116" s="196">
        <v>567578</v>
      </c>
      <c r="G116" s="196"/>
      <c r="H116" s="196">
        <v>0</v>
      </c>
      <c r="I116" s="196"/>
      <c r="J116" s="196">
        <f t="shared" si="11"/>
        <v>567578</v>
      </c>
      <c r="K116" s="196"/>
      <c r="L116" s="214">
        <f t="shared" si="14"/>
        <v>-2.9593696505419496E-7</v>
      </c>
      <c r="M116" s="196"/>
      <c r="N116" s="196">
        <v>0</v>
      </c>
      <c r="O116" s="196"/>
      <c r="P116" s="196">
        <v>49623</v>
      </c>
      <c r="Q116" s="196"/>
      <c r="R116" s="196">
        <v>-272463739</v>
      </c>
      <c r="S116" s="196"/>
      <c r="T116" s="196">
        <f t="shared" si="7"/>
        <v>-272414116</v>
      </c>
      <c r="U116" s="196"/>
      <c r="V116" s="214">
        <f t="shared" si="16"/>
        <v>-9.0608735122743532E-5</v>
      </c>
      <c r="W116" s="271"/>
      <c r="X116" s="191"/>
      <c r="Y116" s="191"/>
      <c r="AA116" s="191"/>
    </row>
    <row r="117" spans="2:27" ht="30" customHeight="1" x14ac:dyDescent="0.25">
      <c r="B117" s="181" t="s">
        <v>176</v>
      </c>
      <c r="C117" s="171"/>
      <c r="D117" s="196">
        <v>0</v>
      </c>
      <c r="E117" s="194"/>
      <c r="F117" s="196">
        <v>0</v>
      </c>
      <c r="G117" s="196"/>
      <c r="H117" s="196">
        <v>0</v>
      </c>
      <c r="I117" s="196"/>
      <c r="J117" s="196">
        <f t="shared" si="11"/>
        <v>0</v>
      </c>
      <c r="K117" s="196"/>
      <c r="L117" s="214">
        <f t="shared" si="14"/>
        <v>0</v>
      </c>
      <c r="M117" s="196"/>
      <c r="N117" s="196">
        <v>0</v>
      </c>
      <c r="O117" s="196"/>
      <c r="P117" s="196">
        <v>0</v>
      </c>
      <c r="Q117" s="196"/>
      <c r="R117" s="196">
        <v>2367231992</v>
      </c>
      <c r="S117" s="196"/>
      <c r="T117" s="196">
        <f>N117+P117+R117</f>
        <v>2367231992</v>
      </c>
      <c r="U117" s="196"/>
      <c r="V117" s="214">
        <f t="shared" si="16"/>
        <v>7.873743831146126E-4</v>
      </c>
      <c r="W117" s="271"/>
      <c r="X117" s="287"/>
      <c r="Y117" s="191"/>
      <c r="AA117" s="191"/>
    </row>
    <row r="118" spans="2:27" ht="30" customHeight="1" x14ac:dyDescent="0.25">
      <c r="B118" s="181" t="s">
        <v>233</v>
      </c>
      <c r="C118" s="171"/>
      <c r="D118" s="196">
        <v>0</v>
      </c>
      <c r="E118" s="194"/>
      <c r="F118" s="196">
        <v>0</v>
      </c>
      <c r="G118" s="196"/>
      <c r="H118" s="196">
        <v>0</v>
      </c>
      <c r="I118" s="196"/>
      <c r="J118" s="196">
        <f t="shared" si="11"/>
        <v>0</v>
      </c>
      <c r="K118" s="196"/>
      <c r="L118" s="214">
        <f t="shared" si="14"/>
        <v>0</v>
      </c>
      <c r="M118" s="196"/>
      <c r="N118" s="196">
        <v>0</v>
      </c>
      <c r="O118" s="282"/>
      <c r="P118" s="270">
        <v>0</v>
      </c>
      <c r="Q118" s="270"/>
      <c r="R118" s="270">
        <v>0</v>
      </c>
      <c r="S118" s="270"/>
      <c r="T118" s="270">
        <f t="shared" si="7"/>
        <v>0</v>
      </c>
      <c r="U118" s="196"/>
      <c r="V118" s="214">
        <f t="shared" si="16"/>
        <v>0</v>
      </c>
      <c r="W118" s="271"/>
      <c r="Y118" s="191"/>
      <c r="AA118" s="191"/>
    </row>
    <row r="119" spans="2:27" ht="30" customHeight="1" x14ac:dyDescent="0.25">
      <c r="B119" s="181" t="s">
        <v>127</v>
      </c>
      <c r="C119" s="171"/>
      <c r="D119" s="196">
        <v>0</v>
      </c>
      <c r="E119" s="194"/>
      <c r="F119" s="196">
        <v>391947</v>
      </c>
      <c r="G119" s="196"/>
      <c r="H119" s="196">
        <v>0</v>
      </c>
      <c r="I119" s="196"/>
      <c r="J119" s="196">
        <f t="shared" si="11"/>
        <v>391947</v>
      </c>
      <c r="K119" s="196"/>
      <c r="L119" s="214">
        <f t="shared" si="14"/>
        <v>-2.0436240594613702E-7</v>
      </c>
      <c r="M119" s="196"/>
      <c r="N119" s="196">
        <v>1736000000</v>
      </c>
      <c r="O119" s="196"/>
      <c r="P119" s="196">
        <v>251729</v>
      </c>
      <c r="Q119" s="196"/>
      <c r="R119" s="196">
        <v>-797235242</v>
      </c>
      <c r="S119" s="196"/>
      <c r="T119" s="196">
        <f t="shared" si="7"/>
        <v>939016487</v>
      </c>
      <c r="U119" s="196"/>
      <c r="V119" s="214">
        <f t="shared" si="16"/>
        <v>3.1232998273287768E-4</v>
      </c>
      <c r="W119" s="271"/>
      <c r="Y119" s="191"/>
      <c r="AA119" s="191"/>
    </row>
    <row r="120" spans="2:27" ht="30" customHeight="1" x14ac:dyDescent="0.25">
      <c r="B120" s="181" t="s">
        <v>143</v>
      </c>
      <c r="C120" s="171"/>
      <c r="D120" s="196">
        <v>0</v>
      </c>
      <c r="E120" s="194"/>
      <c r="F120" s="196">
        <v>54177941999</v>
      </c>
      <c r="G120" s="196"/>
      <c r="H120" s="196">
        <v>0</v>
      </c>
      <c r="I120" s="196"/>
      <c r="J120" s="196">
        <f t="shared" si="11"/>
        <v>54177941999</v>
      </c>
      <c r="K120" s="196"/>
      <c r="L120" s="214">
        <f t="shared" si="14"/>
        <v>-2.8248550380857371E-2</v>
      </c>
      <c r="M120" s="196"/>
      <c r="N120" s="196">
        <v>32396000000</v>
      </c>
      <c r="O120" s="196"/>
      <c r="P120" s="196">
        <v>46468179305</v>
      </c>
      <c r="Q120" s="196"/>
      <c r="R120" s="196">
        <v>-3774783208</v>
      </c>
      <c r="S120" s="196"/>
      <c r="T120" s="196">
        <f>N120+P120+R120</f>
        <v>75089396097</v>
      </c>
      <c r="U120" s="196"/>
      <c r="V120" s="214">
        <f>T120/$X$12</f>
        <v>2.4975780629076669E-2</v>
      </c>
      <c r="W120" s="271"/>
      <c r="Y120" s="191"/>
      <c r="AA120" s="191"/>
    </row>
    <row r="121" spans="2:27" ht="30" customHeight="1" x14ac:dyDescent="0.25">
      <c r="B121" s="181" t="s">
        <v>251</v>
      </c>
      <c r="C121" s="171"/>
      <c r="D121" s="196">
        <v>0</v>
      </c>
      <c r="E121" s="194"/>
      <c r="F121" s="196">
        <v>933226195</v>
      </c>
      <c r="G121" s="196"/>
      <c r="H121" s="196">
        <v>0</v>
      </c>
      <c r="I121" s="196"/>
      <c r="J121" s="196">
        <f t="shared" si="11"/>
        <v>933226195</v>
      </c>
      <c r="K121" s="196"/>
      <c r="L121" s="214">
        <f t="shared" si="14"/>
        <v>-4.8658709086217989E-4</v>
      </c>
      <c r="M121" s="196"/>
      <c r="N121" s="196">
        <v>0</v>
      </c>
      <c r="O121" s="196"/>
      <c r="P121" s="196">
        <v>406008720</v>
      </c>
      <c r="Q121" s="196"/>
      <c r="R121" s="196">
        <v>0</v>
      </c>
      <c r="S121" s="196"/>
      <c r="T121" s="196">
        <f>N121+P121+R121</f>
        <v>406008720</v>
      </c>
      <c r="U121" s="196"/>
      <c r="V121" s="214">
        <f t="shared" ref="V121:V125" si="17">T121/$X$12</f>
        <v>1.3504416404032507E-4</v>
      </c>
      <c r="W121" s="271"/>
      <c r="Y121" s="191"/>
      <c r="AA121" s="191"/>
    </row>
    <row r="122" spans="2:27" ht="30" customHeight="1" x14ac:dyDescent="0.25">
      <c r="B122" s="181" t="s">
        <v>264</v>
      </c>
      <c r="C122" s="171"/>
      <c r="D122" s="196">
        <v>0</v>
      </c>
      <c r="E122" s="194"/>
      <c r="F122" s="196">
        <v>308108577</v>
      </c>
      <c r="G122" s="196"/>
      <c r="H122" s="196">
        <v>0</v>
      </c>
      <c r="I122" s="196"/>
      <c r="J122" s="196">
        <f t="shared" si="11"/>
        <v>308108577</v>
      </c>
      <c r="K122" s="196"/>
      <c r="L122" s="214">
        <f t="shared" si="14"/>
        <v>-1.6064878692364175E-4</v>
      </c>
      <c r="M122" s="196"/>
      <c r="N122" s="196">
        <v>0</v>
      </c>
      <c r="O122" s="196"/>
      <c r="P122" s="196">
        <v>308108577</v>
      </c>
      <c r="Q122" s="196"/>
      <c r="R122" s="196">
        <v>0</v>
      </c>
      <c r="S122" s="196"/>
      <c r="T122" s="196">
        <f t="shared" ref="T122:T123" si="18">N122+P122+R122</f>
        <v>308108577</v>
      </c>
      <c r="U122" s="196"/>
      <c r="V122" s="214">
        <f t="shared" si="17"/>
        <v>1.0248121078438692E-4</v>
      </c>
      <c r="W122" s="271"/>
      <c r="Y122" s="191"/>
      <c r="AA122" s="191"/>
    </row>
    <row r="123" spans="2:27" ht="30" customHeight="1" x14ac:dyDescent="0.25">
      <c r="B123" s="181" t="s">
        <v>267</v>
      </c>
      <c r="C123" s="171"/>
      <c r="D123" s="196">
        <v>0</v>
      </c>
      <c r="E123" s="194"/>
      <c r="F123" s="196">
        <v>2064660</v>
      </c>
      <c r="G123" s="196"/>
      <c r="H123" s="196">
        <v>0</v>
      </c>
      <c r="I123" s="196"/>
      <c r="J123" s="196">
        <f t="shared" si="11"/>
        <v>2064660</v>
      </c>
      <c r="K123" s="196"/>
      <c r="L123" s="214">
        <f>-J123/$G$136</f>
        <v>-1.0765202567202996E-6</v>
      </c>
      <c r="M123" s="196"/>
      <c r="N123" s="196">
        <v>0</v>
      </c>
      <c r="O123" s="196"/>
      <c r="P123" s="196">
        <v>2064660</v>
      </c>
      <c r="Q123" s="196"/>
      <c r="R123" s="196">
        <v>0</v>
      </c>
      <c r="S123" s="196"/>
      <c r="T123" s="196">
        <f t="shared" si="18"/>
        <v>2064660</v>
      </c>
      <c r="U123" s="196"/>
      <c r="V123" s="214">
        <f t="shared" si="17"/>
        <v>6.8673471773585931E-7</v>
      </c>
      <c r="W123" s="271"/>
      <c r="Y123" s="191"/>
      <c r="AA123" s="191"/>
    </row>
    <row r="124" spans="2:27" ht="30" customHeight="1" x14ac:dyDescent="0.25">
      <c r="B124" s="181" t="s">
        <v>266</v>
      </c>
      <c r="C124" s="171"/>
      <c r="D124" s="196">
        <v>0</v>
      </c>
      <c r="E124" s="194"/>
      <c r="F124" s="196">
        <v>1812318732</v>
      </c>
      <c r="G124" s="196"/>
      <c r="H124" s="196">
        <v>0</v>
      </c>
      <c r="I124" s="196"/>
      <c r="J124" s="196"/>
      <c r="K124" s="196"/>
      <c r="L124" s="214">
        <f t="shared" si="14"/>
        <v>0</v>
      </c>
      <c r="M124" s="196"/>
      <c r="N124" s="196">
        <v>0</v>
      </c>
      <c r="O124" s="196"/>
      <c r="P124" s="196">
        <v>1812318732</v>
      </c>
      <c r="Q124" s="196"/>
      <c r="R124" s="196">
        <v>0</v>
      </c>
      <c r="S124" s="196"/>
      <c r="T124" s="196">
        <v>1812318732</v>
      </c>
      <c r="U124" s="196"/>
      <c r="V124" s="214">
        <f t="shared" si="17"/>
        <v>6.0280249187150939E-4</v>
      </c>
      <c r="W124" s="271"/>
      <c r="Y124" s="191"/>
      <c r="AA124" s="191"/>
    </row>
    <row r="125" spans="2:27" ht="30" customHeight="1" x14ac:dyDescent="0.25">
      <c r="B125" s="181" t="s">
        <v>262</v>
      </c>
      <c r="C125" s="171"/>
      <c r="D125" s="196">
        <v>0</v>
      </c>
      <c r="E125" s="194"/>
      <c r="F125" s="196">
        <v>-514154640</v>
      </c>
      <c r="G125" s="196"/>
      <c r="H125" s="196">
        <v>0</v>
      </c>
      <c r="I125" s="196"/>
      <c r="J125" s="196"/>
      <c r="K125" s="196"/>
      <c r="L125" s="214">
        <f t="shared" si="14"/>
        <v>0</v>
      </c>
      <c r="M125" s="196"/>
      <c r="N125" s="196">
        <v>0</v>
      </c>
      <c r="O125" s="196"/>
      <c r="P125" s="196">
        <v>-514154640</v>
      </c>
      <c r="Q125" s="196"/>
      <c r="R125" s="196">
        <v>0</v>
      </c>
      <c r="S125" s="196"/>
      <c r="T125" s="196">
        <v>-514154640</v>
      </c>
      <c r="U125" s="196"/>
      <c r="V125" s="214">
        <f t="shared" si="17"/>
        <v>-1.7101500565370686E-4</v>
      </c>
      <c r="W125" s="271"/>
      <c r="Y125" s="191"/>
      <c r="AA125" s="191"/>
    </row>
    <row r="126" spans="2:27" ht="30" customHeight="1" thickBot="1" x14ac:dyDescent="0.3">
      <c r="B126" s="181" t="s">
        <v>263</v>
      </c>
      <c r="C126" s="171"/>
      <c r="D126" s="197">
        <v>0</v>
      </c>
      <c r="E126" s="194"/>
      <c r="F126" s="196">
        <v>264063846</v>
      </c>
      <c r="G126" s="196"/>
      <c r="H126" s="196">
        <v>0</v>
      </c>
      <c r="I126" s="196"/>
      <c r="J126" s="196">
        <f t="shared" si="11"/>
        <v>264063846</v>
      </c>
      <c r="K126" s="196"/>
      <c r="L126" s="214">
        <f>-J126/$G$136</f>
        <v>-1.3768372481981036E-4</v>
      </c>
      <c r="M126" s="196"/>
      <c r="N126" s="196">
        <v>0</v>
      </c>
      <c r="O126" s="196"/>
      <c r="P126" s="196">
        <v>264063846</v>
      </c>
      <c r="Q126" s="196"/>
      <c r="R126" s="196">
        <v>0</v>
      </c>
      <c r="S126" s="196">
        <v>0</v>
      </c>
      <c r="T126" s="196">
        <f t="shared" si="7"/>
        <v>264063846</v>
      </c>
      <c r="U126" s="196"/>
      <c r="V126" s="214">
        <f>T126/$X$12</f>
        <v>8.7831318835573618E-5</v>
      </c>
      <c r="W126" s="271"/>
      <c r="Y126" s="191"/>
      <c r="AA126" s="191"/>
    </row>
    <row r="127" spans="2:27" ht="30" customHeight="1" thickBot="1" x14ac:dyDescent="0.3">
      <c r="B127" s="204" t="s">
        <v>7</v>
      </c>
      <c r="D127" s="61">
        <f>SUM(D85:D126)</f>
        <v>38736239408</v>
      </c>
      <c r="F127" s="61">
        <f>SUM(F85:F126)</f>
        <v>1841205915906</v>
      </c>
      <c r="G127" s="198"/>
      <c r="H127" s="61">
        <f>SUM(H85:H126)</f>
        <v>28928651348</v>
      </c>
      <c r="I127" s="198"/>
      <c r="J127" s="61">
        <f>SUM(J85:J126)</f>
        <v>1907572642570</v>
      </c>
      <c r="K127" s="61"/>
      <c r="L127" s="108">
        <f>SUM(L85:L126)</f>
        <v>-0.99461441152154673</v>
      </c>
      <c r="M127" s="198"/>
      <c r="N127" s="61">
        <f>SUM(N85:N126)</f>
        <v>613080619517</v>
      </c>
      <c r="O127" s="198"/>
      <c r="P127" s="61">
        <f>SUM(P85:P126)</f>
        <v>2358808786708</v>
      </c>
      <c r="Q127" s="198"/>
      <c r="R127" s="61">
        <f>SUM(R85:R126)</f>
        <v>9364821210</v>
      </c>
      <c r="S127" s="198"/>
      <c r="T127" s="61">
        <f>SUM(T85:T126)</f>
        <v>2981254227435</v>
      </c>
      <c r="U127" s="61"/>
      <c r="V127" s="108">
        <f>SUM(V85:V126)</f>
        <v>0.99160674414984107</v>
      </c>
      <c r="W127" s="212"/>
      <c r="X127" s="191"/>
      <c r="Y127" s="191"/>
      <c r="AA127" s="191"/>
    </row>
    <row r="128" spans="2:27" ht="30" customHeight="1" thickTop="1" x14ac:dyDescent="0.25">
      <c r="B128" s="204"/>
      <c r="D128" s="283"/>
      <c r="F128" s="283"/>
      <c r="G128" s="198"/>
      <c r="H128" s="283"/>
      <c r="I128" s="198"/>
      <c r="J128" s="283"/>
      <c r="K128" s="283"/>
      <c r="L128" s="128"/>
      <c r="M128" s="198"/>
      <c r="N128" s="283"/>
      <c r="O128" s="198"/>
      <c r="P128" s="283"/>
      <c r="Q128" s="283"/>
      <c r="R128" s="283"/>
      <c r="S128" s="198"/>
      <c r="T128" s="283"/>
      <c r="U128" s="283"/>
      <c r="V128" s="128"/>
      <c r="X128" s="191"/>
      <c r="Y128" s="191"/>
      <c r="AA128" s="191"/>
    </row>
    <row r="129" spans="2:29" ht="30" customHeight="1" x14ac:dyDescent="0.25">
      <c r="B129" s="204"/>
      <c r="D129" s="283"/>
      <c r="F129" s="283"/>
      <c r="G129" s="198"/>
      <c r="H129" s="191"/>
      <c r="I129" s="198"/>
      <c r="J129" s="212"/>
      <c r="K129" s="283"/>
      <c r="L129" s="128"/>
      <c r="M129" s="198"/>
      <c r="N129" s="283"/>
      <c r="O129" s="198"/>
      <c r="P129" s="283"/>
      <c r="Q129" s="198"/>
      <c r="R129" s="283"/>
      <c r="S129" s="198"/>
      <c r="T129" s="283"/>
      <c r="U129" s="283"/>
      <c r="V129" s="128"/>
      <c r="X129" s="191"/>
      <c r="Y129" s="191"/>
      <c r="AA129" s="191"/>
    </row>
    <row r="130" spans="2:29" ht="30" customHeight="1" x14ac:dyDescent="0.25">
      <c r="B130" s="204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3"/>
      <c r="P130" s="283"/>
      <c r="Q130" s="283"/>
      <c r="R130" s="283"/>
      <c r="S130" s="283"/>
      <c r="T130" s="283"/>
      <c r="U130" s="283"/>
      <c r="V130" s="128"/>
      <c r="X130" s="191"/>
      <c r="Y130" s="191"/>
      <c r="AA130" s="191"/>
    </row>
    <row r="131" spans="2:29" ht="30" customHeight="1" x14ac:dyDescent="0.25">
      <c r="B131" s="204"/>
      <c r="D131" s="283"/>
      <c r="F131" s="283"/>
      <c r="G131" s="198"/>
      <c r="H131" s="283"/>
      <c r="I131" s="198"/>
      <c r="J131" s="283"/>
      <c r="K131" s="283"/>
      <c r="L131" s="128"/>
      <c r="M131" s="198"/>
      <c r="N131" s="283"/>
      <c r="O131" s="198"/>
      <c r="P131" s="283"/>
      <c r="Q131" s="198"/>
      <c r="R131" s="283"/>
      <c r="S131" s="198"/>
      <c r="T131" s="283"/>
      <c r="U131" s="283"/>
      <c r="V131" s="128"/>
      <c r="X131" s="191"/>
      <c r="Y131" s="191"/>
      <c r="AA131" s="191"/>
    </row>
    <row r="132" spans="2:29" ht="30" customHeight="1" x14ac:dyDescent="0.25">
      <c r="B132" s="198"/>
      <c r="C132" s="283"/>
      <c r="D132" s="198"/>
      <c r="E132" s="283"/>
      <c r="F132" s="283"/>
      <c r="G132" s="128"/>
      <c r="H132" s="313"/>
      <c r="I132" s="283"/>
      <c r="J132" s="310"/>
      <c r="K132" s="283"/>
      <c r="L132" s="198"/>
      <c r="M132" s="283"/>
      <c r="N132" s="198"/>
      <c r="O132" s="283"/>
      <c r="P132" s="283"/>
      <c r="Q132" s="128"/>
      <c r="R132" s="212"/>
      <c r="S132" s="191"/>
      <c r="T132" s="191"/>
      <c r="U132" s="189"/>
      <c r="V132" s="191"/>
    </row>
    <row r="133" spans="2:29" ht="36" hidden="1" customHeight="1" x14ac:dyDescent="0.25">
      <c r="B133" s="189"/>
      <c r="C133" s="217">
        <v>-141115264157</v>
      </c>
      <c r="I133" s="191"/>
      <c r="K133" s="191"/>
      <c r="M133" s="191"/>
      <c r="O133" s="102"/>
      <c r="P133" s="102"/>
      <c r="Q133" s="218"/>
      <c r="S133" s="191"/>
      <c r="T133" s="191"/>
      <c r="U133" s="189"/>
      <c r="V133" s="191"/>
    </row>
    <row r="134" spans="2:29" ht="36" hidden="1" customHeight="1" x14ac:dyDescent="0.25">
      <c r="B134" s="189"/>
      <c r="C134" s="217">
        <v>495943397</v>
      </c>
      <c r="I134" s="191"/>
      <c r="K134" s="191"/>
      <c r="M134" s="191"/>
      <c r="O134" s="102"/>
      <c r="P134" s="102"/>
      <c r="Q134" s="218"/>
      <c r="S134" s="191"/>
      <c r="T134" s="191"/>
      <c r="U134" s="189"/>
      <c r="V134" s="191"/>
    </row>
    <row r="135" spans="2:29" ht="36" hidden="1" customHeight="1" x14ac:dyDescent="0.25">
      <c r="B135" s="189"/>
      <c r="C135" s="217">
        <v>3262800118</v>
      </c>
      <c r="E135" s="212"/>
      <c r="F135" s="212"/>
      <c r="G135" s="212"/>
      <c r="I135" s="151"/>
      <c r="J135" s="60"/>
      <c r="K135" s="292"/>
      <c r="L135" s="60"/>
      <c r="M135" s="60"/>
      <c r="N135" s="60"/>
      <c r="O135" s="60"/>
      <c r="P135" s="102"/>
      <c r="Q135" s="209"/>
      <c r="S135" s="191"/>
      <c r="T135" s="191"/>
      <c r="U135" s="189"/>
      <c r="V135" s="191"/>
    </row>
    <row r="136" spans="2:29" ht="30" customHeight="1" x14ac:dyDescent="0.25">
      <c r="B136" s="191"/>
      <c r="C136" s="217">
        <f>C133-C134-C135</f>
        <v>-144874007672</v>
      </c>
      <c r="G136" s="293">
        <v>1917901671716</v>
      </c>
      <c r="I136" s="191"/>
      <c r="J136" s="191"/>
      <c r="K136" s="191"/>
      <c r="L136" s="191"/>
      <c r="M136" s="191"/>
      <c r="N136" s="191"/>
      <c r="O136" s="191"/>
      <c r="P136" s="102"/>
      <c r="Q136" s="294"/>
      <c r="T136" s="191"/>
      <c r="U136" s="189"/>
      <c r="V136" s="191"/>
    </row>
    <row r="137" spans="2:29" ht="60" customHeight="1" x14ac:dyDescent="0.25">
      <c r="B137" s="189"/>
      <c r="C137" s="217">
        <f>H127-C136</f>
        <v>173802659020</v>
      </c>
      <c r="G137" s="191"/>
      <c r="I137" s="292"/>
      <c r="J137" s="212"/>
      <c r="K137" s="212"/>
      <c r="M137" s="191"/>
      <c r="O137" s="102"/>
      <c r="P137" s="102"/>
      <c r="Q137" s="209"/>
      <c r="T137" s="191"/>
      <c r="U137" s="189"/>
      <c r="V137" s="191"/>
    </row>
    <row r="138" spans="2:29" ht="36" customHeight="1" x14ac:dyDescent="0.25">
      <c r="B138" s="189"/>
      <c r="C138" s="220"/>
      <c r="D138" s="212"/>
      <c r="E138" s="212"/>
      <c r="H138" s="212"/>
      <c r="I138" s="191"/>
      <c r="K138" s="212"/>
      <c r="M138" s="295"/>
      <c r="O138" s="102"/>
      <c r="P138" s="102"/>
      <c r="Q138" s="209"/>
      <c r="R138" s="212"/>
      <c r="T138" s="191"/>
      <c r="U138" s="189"/>
      <c r="V138" s="191"/>
    </row>
    <row r="139" spans="2:29" ht="36" customHeight="1" x14ac:dyDescent="0.25">
      <c r="F139" s="191"/>
      <c r="H139" s="219"/>
      <c r="N139" s="191"/>
      <c r="P139" s="212"/>
      <c r="R139" s="219"/>
      <c r="Y139" s="191"/>
      <c r="AA139" s="191"/>
    </row>
    <row r="140" spans="2:29" ht="36" customHeight="1" x14ac:dyDescent="0.25">
      <c r="D140" s="191"/>
      <c r="J140" s="258"/>
      <c r="K140" s="258"/>
      <c r="L140" s="258"/>
      <c r="P140" s="213"/>
      <c r="Y140" s="191"/>
      <c r="AA140" s="191"/>
    </row>
    <row r="141" spans="2:29" ht="36" customHeight="1" x14ac:dyDescent="0.25">
      <c r="N141" s="191"/>
      <c r="Y141" s="191"/>
      <c r="AA141" s="191"/>
    </row>
    <row r="142" spans="2:29" ht="36" customHeight="1" x14ac:dyDescent="0.25">
      <c r="H142" s="265"/>
      <c r="J142" s="265"/>
      <c r="Y142" s="191"/>
      <c r="AA142" s="191"/>
    </row>
    <row r="143" spans="2:29" ht="36" customHeight="1" x14ac:dyDescent="0.25">
      <c r="N143" s="191"/>
      <c r="AC143" s="191"/>
    </row>
    <row r="144" spans="2:29" ht="36" customHeight="1" x14ac:dyDescent="0.25">
      <c r="N144" s="191"/>
      <c r="AA144" s="191"/>
      <c r="AC144" s="191"/>
    </row>
    <row r="145" spans="27:27" ht="36" customHeight="1" x14ac:dyDescent="0.25">
      <c r="AA145" s="191"/>
    </row>
    <row r="146" spans="27:27" ht="36" customHeight="1" x14ac:dyDescent="0.25">
      <c r="AA146" s="191"/>
    </row>
    <row r="147" spans="27:27" ht="36" customHeight="1" x14ac:dyDescent="0.25">
      <c r="AA147" s="191"/>
    </row>
  </sheetData>
  <mergeCells count="96">
    <mergeCell ref="B69:C69"/>
    <mergeCell ref="B70:C70"/>
    <mergeCell ref="B76:C76"/>
    <mergeCell ref="B64:C64"/>
    <mergeCell ref="B65:C65"/>
    <mergeCell ref="B66:C66"/>
    <mergeCell ref="B67:C67"/>
    <mergeCell ref="B68:C68"/>
    <mergeCell ref="B71:C71"/>
    <mergeCell ref="B72:C72"/>
    <mergeCell ref="B73:C73"/>
    <mergeCell ref="B74:C74"/>
    <mergeCell ref="B75:C75"/>
    <mergeCell ref="B59:C59"/>
    <mergeCell ref="B60:C60"/>
    <mergeCell ref="B61:C61"/>
    <mergeCell ref="B62:C62"/>
    <mergeCell ref="B63:C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H82:H83"/>
    <mergeCell ref="I82:I84"/>
    <mergeCell ref="J82:L83"/>
    <mergeCell ref="C82:C84"/>
    <mergeCell ref="D82:D83"/>
    <mergeCell ref="E82:E84"/>
    <mergeCell ref="F82:F83"/>
    <mergeCell ref="G82:G84"/>
    <mergeCell ref="M82:M84"/>
    <mergeCell ref="S82:S84"/>
    <mergeCell ref="T82:V83"/>
    <mergeCell ref="N82:N83"/>
    <mergeCell ref="Q40:Q42"/>
    <mergeCell ref="R40:R41"/>
    <mergeCell ref="S40:S42"/>
    <mergeCell ref="T40:V41"/>
    <mergeCell ref="O82:O84"/>
    <mergeCell ref="P82:P83"/>
    <mergeCell ref="Q82:Q84"/>
    <mergeCell ref="R82:R83"/>
    <mergeCell ref="B79:V79"/>
    <mergeCell ref="D81:J81"/>
    <mergeCell ref="N81:V81"/>
    <mergeCell ref="B82:B84"/>
    <mergeCell ref="B37:V37"/>
    <mergeCell ref="D39:J39"/>
    <mergeCell ref="N39:V39"/>
    <mergeCell ref="B40:B42"/>
    <mergeCell ref="C40:C42"/>
    <mergeCell ref="D40:D41"/>
    <mergeCell ref="E40:E42"/>
    <mergeCell ref="F40:F41"/>
    <mergeCell ref="G40:G42"/>
    <mergeCell ref="H40:H41"/>
    <mergeCell ref="I40:I42"/>
    <mergeCell ref="J40:L41"/>
    <mergeCell ref="M40:M42"/>
    <mergeCell ref="N40:N41"/>
    <mergeCell ref="O40:O42"/>
    <mergeCell ref="P40:P41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D7:J7"/>
    <mergeCell ref="M8:M10"/>
    <mergeCell ref="B8:B10"/>
    <mergeCell ref="C8:C10"/>
    <mergeCell ref="E8:E10"/>
    <mergeCell ref="G8:G10"/>
    <mergeCell ref="J8:L9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42" location="'درآمد سود سهام'!A1" display="یادداشت 2-1-1" xr:uid="{C29E9584-DC28-41C8-8572-B12D440A3192}"/>
    <hyperlink ref="F42" location="'درآمد ناشی از تغییر قیمت اوراق '!A1" display="یادداشت 2-1-2" xr:uid="{384BA02F-CB0B-4C65-AEE4-36269CB76D02}"/>
    <hyperlink ref="H42" location="'درآمد ناشی ازفروش'!A1" display="یادداشت 2-1-3" xr:uid="{041BB4EF-9906-4BFF-8F1E-3D496F8C9415}"/>
    <hyperlink ref="N42" location="'درآمد سود سهام'!A1" display="یادداشت 2-1-1" xr:uid="{6D501F35-BF50-437E-B739-EC9C8B570AA4}"/>
    <hyperlink ref="P42" location="'درآمد ناشی از تغییر قیمت اوراق '!A1" display="یادداشت 2-1-2" xr:uid="{8ECD3202-B22F-4D88-89D4-4F245E391B5B}"/>
    <hyperlink ref="R42" location="'درآمد ناشی ازفروش'!A1" display="یادداشت 2-1-3" xr:uid="{87B03CE5-6A66-43F9-A2C2-FEC8A0128AB9}"/>
    <hyperlink ref="D84" location="'درآمد سود سهام'!A1" display="یادداشت 2-1-1" xr:uid="{CF8085A2-6FA9-4EB4-BFCD-DC18334142B2}"/>
    <hyperlink ref="F84" location="'درآمد ناشی از تغییر قیمت اوراق '!A1" display="یادداشت 2-1-2" xr:uid="{CBB77952-CA42-4DDA-8A5D-FEA17F792437}"/>
    <hyperlink ref="H84" location="'درآمد ناشی ازفروش'!A1" display="یادداشت 2-1-3" xr:uid="{712A21DE-6CA2-4FF9-9699-E92B69F9E018}"/>
    <hyperlink ref="N84" location="'درآمد سود سهام'!A1" display="یادداشت 2-1-1" xr:uid="{665F5D3B-78CF-4008-9451-267047ED79DB}"/>
    <hyperlink ref="P84" location="'درآمد ناشی از تغییر قیمت اوراق '!A1" display="یادداشت 2-1-2" xr:uid="{83929033-AD49-4AE8-BB73-952F5EC8DD29}"/>
    <hyperlink ref="R8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35" orientation="landscape" r:id="rId1"/>
  <headerFooter>
    <oddFooter>&amp;C&amp;P</oddFooter>
  </headerFooter>
  <rowBreaks count="2" manualBreakCount="2">
    <brk id="35" max="21" man="1"/>
    <brk id="78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1:AH74"/>
  <sheetViews>
    <sheetView rightToLeft="1" view="pageBreakPreview" zoomScaleNormal="85" zoomScaleSheetLayoutView="100" workbookViewId="0">
      <selection activeCell="R57" sqref="R57"/>
    </sheetView>
  </sheetViews>
  <sheetFormatPr defaultColWidth="9.140625" defaultRowHeight="22.5" x14ac:dyDescent="0.25"/>
  <cols>
    <col min="1" max="1" width="4.140625" style="12" customWidth="1"/>
    <col min="2" max="2" width="30.7109375" style="204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7" bestFit="1" customWidth="1"/>
    <col min="7" max="7" width="1" style="12" customWidth="1"/>
    <col min="8" max="8" width="9.7109375" style="117" bestFit="1" customWidth="1"/>
    <col min="9" max="9" width="0.85546875" style="12" customWidth="1"/>
    <col min="10" max="10" width="20.7109375" style="117" bestFit="1" customWidth="1"/>
    <col min="11" max="11" width="1" style="12" customWidth="1"/>
    <col min="12" max="12" width="20" style="117" bestFit="1" customWidth="1"/>
    <col min="13" max="13" width="1.140625" style="12" customWidth="1"/>
    <col min="14" max="14" width="21.7109375" style="117" bestFit="1" customWidth="1"/>
    <col min="15" max="15" width="0.85546875" style="12" customWidth="1"/>
    <col min="16" max="16" width="20.7109375" style="117" bestFit="1" customWidth="1"/>
    <col min="17" max="17" width="1" style="12" customWidth="1"/>
    <col min="18" max="18" width="19.28515625" style="117" customWidth="1"/>
    <col min="19" max="19" width="0.7109375" style="12" customWidth="1"/>
    <col min="20" max="20" width="21.85546875" style="117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376" t="str">
        <f>درآمدها!A1</f>
        <v>صندوق سرمایه گذاری شاخص سی شرکت بزرگ فیروزه</v>
      </c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89"/>
      <c r="O1" s="376"/>
      <c r="P1" s="389"/>
      <c r="Q1" s="376"/>
      <c r="R1" s="389"/>
      <c r="S1" s="376"/>
      <c r="T1" s="389"/>
    </row>
    <row r="2" spans="2:33" ht="24" x14ac:dyDescent="0.25">
      <c r="B2" s="376" t="s">
        <v>87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89"/>
      <c r="O2" s="376"/>
      <c r="P2" s="389"/>
      <c r="Q2" s="376"/>
      <c r="R2" s="389"/>
      <c r="S2" s="376"/>
      <c r="T2" s="389"/>
    </row>
    <row r="3" spans="2:33" ht="24" x14ac:dyDescent="0.25">
      <c r="B3" s="376" t="str">
        <f>' سهام'!AC6</f>
        <v>برای ماه منتهی به 1404/09/30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89"/>
      <c r="O3" s="376"/>
      <c r="P3" s="389"/>
      <c r="Q3" s="376"/>
      <c r="R3" s="389"/>
      <c r="S3" s="376"/>
      <c r="T3" s="389"/>
    </row>
    <row r="4" spans="2:33" ht="24" x14ac:dyDescent="0.25">
      <c r="B4" s="133" t="s">
        <v>96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21"/>
      <c r="O4" s="178"/>
      <c r="P4" s="121"/>
      <c r="Q4" s="178"/>
      <c r="R4" s="121"/>
      <c r="S4" s="178"/>
      <c r="T4" s="121"/>
      <c r="U4" s="178"/>
      <c r="V4" s="178"/>
      <c r="W4" s="178"/>
      <c r="AG4" s="12" t="s">
        <v>220</v>
      </c>
    </row>
    <row r="5" spans="2:33" ht="21" customHeight="1" thickBot="1" x14ac:dyDescent="0.3">
      <c r="D5" s="387" t="s">
        <v>71</v>
      </c>
      <c r="E5" s="387"/>
      <c r="F5" s="387"/>
      <c r="G5" s="387"/>
      <c r="H5" s="387"/>
      <c r="J5" s="387" t="str">
        <f>' سهام'!AC7</f>
        <v>طی آذر ماه</v>
      </c>
      <c r="K5" s="387"/>
      <c r="L5" s="387"/>
      <c r="M5" s="387"/>
      <c r="N5" s="387"/>
      <c r="O5" s="53"/>
      <c r="P5" s="387" t="str">
        <f>' سهام'!AC8</f>
        <v>از ابتدای سال مالی تا پایان آذر ماه</v>
      </c>
      <c r="Q5" s="388"/>
      <c r="R5" s="387"/>
      <c r="S5" s="388"/>
      <c r="T5" s="387"/>
      <c r="U5" s="53"/>
      <c r="V5" s="53"/>
      <c r="W5" s="53"/>
      <c r="AE5" s="12" t="s">
        <v>230</v>
      </c>
    </row>
    <row r="6" spans="2:33" ht="79.5" customHeight="1" thickBot="1" x14ac:dyDescent="0.3">
      <c r="B6" s="205" t="s">
        <v>45</v>
      </c>
      <c r="C6" s="168"/>
      <c r="D6" s="187" t="s">
        <v>140</v>
      </c>
      <c r="E6" s="168"/>
      <c r="F6" s="112" t="s">
        <v>70</v>
      </c>
      <c r="G6" s="168"/>
      <c r="H6" s="112" t="s">
        <v>66</v>
      </c>
      <c r="I6" s="168"/>
      <c r="J6" s="112" t="s">
        <v>67</v>
      </c>
      <c r="K6" s="168"/>
      <c r="L6" s="112" t="s">
        <v>68</v>
      </c>
      <c r="M6" s="168"/>
      <c r="N6" s="112" t="s">
        <v>69</v>
      </c>
      <c r="P6" s="112" t="s">
        <v>67</v>
      </c>
      <c r="Q6" s="168"/>
      <c r="R6" s="112" t="s">
        <v>68</v>
      </c>
      <c r="S6" s="168"/>
      <c r="T6" s="112" t="s">
        <v>69</v>
      </c>
      <c r="AC6" s="12" t="s">
        <v>231</v>
      </c>
    </row>
    <row r="7" spans="2:33" ht="19.5" customHeight="1" x14ac:dyDescent="0.25">
      <c r="B7" s="164" t="s">
        <v>182</v>
      </c>
      <c r="C7" s="168"/>
      <c r="D7" s="168" t="s">
        <v>276</v>
      </c>
      <c r="E7" s="168"/>
      <c r="F7" s="113">
        <v>60000000</v>
      </c>
      <c r="G7" s="168"/>
      <c r="H7" s="113">
        <v>330</v>
      </c>
      <c r="I7" s="168"/>
      <c r="J7" s="197">
        <v>19800000000</v>
      </c>
      <c r="K7" s="168"/>
      <c r="L7" s="196">
        <v>0</v>
      </c>
      <c r="M7" s="168"/>
      <c r="N7" s="60">
        <f>J7+L7</f>
        <v>19800000000</v>
      </c>
      <c r="P7" s="113">
        <v>19800000000</v>
      </c>
      <c r="Q7" s="168"/>
      <c r="R7" s="196">
        <v>0</v>
      </c>
      <c r="S7" s="168"/>
      <c r="T7" s="206">
        <f>P7+R7</f>
        <v>19800000000</v>
      </c>
      <c r="V7" s="207"/>
      <c r="W7" s="207"/>
      <c r="X7" s="207"/>
      <c r="Y7" s="207"/>
      <c r="Z7" s="207"/>
    </row>
    <row r="8" spans="2:33" ht="19.5" customHeight="1" x14ac:dyDescent="0.25">
      <c r="B8" s="164" t="s">
        <v>192</v>
      </c>
      <c r="C8" s="168"/>
      <c r="D8" s="168" t="s">
        <v>208</v>
      </c>
      <c r="E8" s="168"/>
      <c r="F8" s="113">
        <v>36000000</v>
      </c>
      <c r="G8" s="168"/>
      <c r="H8" s="113">
        <v>240</v>
      </c>
      <c r="I8" s="168"/>
      <c r="J8" s="196">
        <v>0</v>
      </c>
      <c r="K8" s="168"/>
      <c r="L8" s="196">
        <v>0</v>
      </c>
      <c r="M8" s="168"/>
      <c r="N8" s="196">
        <f t="shared" ref="N8:N53" si="0">J8+L8</f>
        <v>0</v>
      </c>
      <c r="P8" s="113">
        <v>8640000000</v>
      </c>
      <c r="Q8" s="168"/>
      <c r="R8" s="196">
        <v>0</v>
      </c>
      <c r="S8" s="168"/>
      <c r="T8" s="206">
        <f t="shared" ref="T8:T53" si="1">P8+R8</f>
        <v>8640000000</v>
      </c>
      <c r="V8" s="207"/>
      <c r="W8" s="207"/>
    </row>
    <row r="9" spans="2:33" ht="19.5" customHeight="1" x14ac:dyDescent="0.25">
      <c r="B9" s="164" t="s">
        <v>124</v>
      </c>
      <c r="C9" s="168"/>
      <c r="D9" s="168" t="s">
        <v>246</v>
      </c>
      <c r="E9" s="168"/>
      <c r="F9" s="113">
        <v>1000</v>
      </c>
      <c r="G9" s="168"/>
      <c r="H9" s="113">
        <v>620</v>
      </c>
      <c r="I9" s="168"/>
      <c r="J9" s="196">
        <v>0</v>
      </c>
      <c r="K9" s="168"/>
      <c r="L9" s="196">
        <v>0</v>
      </c>
      <c r="M9" s="168"/>
      <c r="N9" s="196">
        <f t="shared" si="0"/>
        <v>0</v>
      </c>
      <c r="P9" s="113">
        <v>620000</v>
      </c>
      <c r="Q9" s="168"/>
      <c r="R9" s="196">
        <v>-20530</v>
      </c>
      <c r="S9" s="168"/>
      <c r="T9" s="206">
        <f t="shared" si="1"/>
        <v>599470</v>
      </c>
      <c r="V9" s="207"/>
      <c r="W9" s="207"/>
    </row>
    <row r="10" spans="2:33" ht="19.5" customHeight="1" x14ac:dyDescent="0.25">
      <c r="B10" s="164" t="s">
        <v>131</v>
      </c>
      <c r="C10" s="168"/>
      <c r="D10" s="168" t="s">
        <v>224</v>
      </c>
      <c r="E10" s="168"/>
      <c r="F10" s="113">
        <v>14000000</v>
      </c>
      <c r="G10" s="168"/>
      <c r="H10" s="113">
        <v>2390</v>
      </c>
      <c r="I10" s="168"/>
      <c r="J10" s="196">
        <v>0</v>
      </c>
      <c r="K10" s="168"/>
      <c r="L10" s="196">
        <v>0</v>
      </c>
      <c r="M10" s="168"/>
      <c r="N10" s="196">
        <f t="shared" si="0"/>
        <v>0</v>
      </c>
      <c r="P10" s="113">
        <v>33460000000</v>
      </c>
      <c r="Q10" s="168"/>
      <c r="R10" s="196">
        <v>0</v>
      </c>
      <c r="S10" s="168"/>
      <c r="T10" s="206">
        <f t="shared" si="1"/>
        <v>33460000000</v>
      </c>
      <c r="V10" s="207"/>
      <c r="W10" s="207"/>
    </row>
    <row r="11" spans="2:33" ht="19.5" customHeight="1" x14ac:dyDescent="0.25">
      <c r="B11" s="164" t="s">
        <v>129</v>
      </c>
      <c r="C11" s="168"/>
      <c r="D11" s="168" t="s">
        <v>207</v>
      </c>
      <c r="E11" s="168"/>
      <c r="F11" s="113">
        <v>64000000</v>
      </c>
      <c r="G11" s="168"/>
      <c r="H11" s="113">
        <v>370</v>
      </c>
      <c r="I11" s="168"/>
      <c r="J11" s="196">
        <v>0</v>
      </c>
      <c r="K11" s="168"/>
      <c r="L11" s="196">
        <v>0</v>
      </c>
      <c r="M11" s="168"/>
      <c r="N11" s="196">
        <f t="shared" si="0"/>
        <v>0</v>
      </c>
      <c r="P11" s="113">
        <v>23680000000</v>
      </c>
      <c r="Q11" s="168"/>
      <c r="R11" s="196">
        <v>0</v>
      </c>
      <c r="S11" s="168"/>
      <c r="T11" s="206">
        <f t="shared" si="1"/>
        <v>23680000000</v>
      </c>
      <c r="V11" s="207"/>
      <c r="W11" s="207"/>
    </row>
    <row r="12" spans="2:33" ht="19.5" customHeight="1" x14ac:dyDescent="0.25">
      <c r="B12" s="164" t="s">
        <v>195</v>
      </c>
      <c r="C12" s="168"/>
      <c r="D12" s="168" t="s">
        <v>207</v>
      </c>
      <c r="E12" s="168"/>
      <c r="F12" s="113">
        <v>10000000</v>
      </c>
      <c r="G12" s="168"/>
      <c r="H12" s="113">
        <v>48</v>
      </c>
      <c r="I12" s="168"/>
      <c r="J12" s="196">
        <v>0</v>
      </c>
      <c r="K12" s="168"/>
      <c r="L12" s="196">
        <v>0</v>
      </c>
      <c r="M12" s="168"/>
      <c r="N12" s="196">
        <f t="shared" si="0"/>
        <v>0</v>
      </c>
      <c r="P12" s="113">
        <v>480000000</v>
      </c>
      <c r="Q12" s="168"/>
      <c r="R12" s="196">
        <v>0</v>
      </c>
      <c r="S12" s="168"/>
      <c r="T12" s="206">
        <f t="shared" si="1"/>
        <v>480000000</v>
      </c>
      <c r="V12" s="207"/>
      <c r="W12" s="207"/>
    </row>
    <row r="13" spans="2:33" ht="19.5" customHeight="1" x14ac:dyDescent="0.25">
      <c r="B13" s="164" t="s">
        <v>150</v>
      </c>
      <c r="C13" s="168"/>
      <c r="D13" s="168" t="s">
        <v>203</v>
      </c>
      <c r="E13" s="168"/>
      <c r="F13" s="113">
        <v>1000</v>
      </c>
      <c r="G13" s="168"/>
      <c r="H13" s="113">
        <v>2320</v>
      </c>
      <c r="I13" s="168"/>
      <c r="J13" s="196">
        <v>0</v>
      </c>
      <c r="K13" s="168"/>
      <c r="L13" s="196">
        <v>0</v>
      </c>
      <c r="M13" s="168"/>
      <c r="N13" s="196">
        <f t="shared" si="0"/>
        <v>0</v>
      </c>
      <c r="P13" s="113">
        <v>2320000</v>
      </c>
      <c r="Q13" s="168"/>
      <c r="R13" s="196">
        <v>0</v>
      </c>
      <c r="S13" s="168"/>
      <c r="T13" s="206">
        <f t="shared" si="1"/>
        <v>2320000</v>
      </c>
      <c r="V13" s="207"/>
      <c r="W13" s="207"/>
    </row>
    <row r="14" spans="2:33" ht="19.5" customHeight="1" x14ac:dyDescent="0.25">
      <c r="B14" s="164" t="s">
        <v>139</v>
      </c>
      <c r="C14" s="168"/>
      <c r="D14" s="168" t="s">
        <v>247</v>
      </c>
      <c r="E14" s="168"/>
      <c r="F14" s="113">
        <v>35000000</v>
      </c>
      <c r="G14" s="168"/>
      <c r="H14" s="113">
        <v>1050</v>
      </c>
      <c r="I14" s="168"/>
      <c r="J14" s="196">
        <v>0</v>
      </c>
      <c r="K14" s="168"/>
      <c r="L14" s="196">
        <v>0</v>
      </c>
      <c r="M14" s="168"/>
      <c r="N14" s="196">
        <f t="shared" si="0"/>
        <v>0</v>
      </c>
      <c r="P14" s="113">
        <v>36750000000</v>
      </c>
      <c r="Q14" s="168"/>
      <c r="R14" s="196">
        <v>0</v>
      </c>
      <c r="S14" s="168"/>
      <c r="T14" s="206">
        <f t="shared" si="1"/>
        <v>36750000000</v>
      </c>
      <c r="V14" s="207"/>
      <c r="W14" s="207"/>
    </row>
    <row r="15" spans="2:33" ht="19.5" customHeight="1" x14ac:dyDescent="0.25">
      <c r="B15" s="164" t="s">
        <v>104</v>
      </c>
      <c r="C15" s="168"/>
      <c r="D15" s="168" t="s">
        <v>209</v>
      </c>
      <c r="E15" s="168"/>
      <c r="F15" s="113">
        <v>15449319</v>
      </c>
      <c r="G15" s="168"/>
      <c r="H15" s="113">
        <v>170</v>
      </c>
      <c r="I15" s="168"/>
      <c r="J15" s="196">
        <v>0</v>
      </c>
      <c r="K15" s="168"/>
      <c r="L15" s="196">
        <v>0</v>
      </c>
      <c r="M15" s="168"/>
      <c r="N15" s="196">
        <f t="shared" si="0"/>
        <v>0</v>
      </c>
      <c r="P15" s="113">
        <v>2626384230</v>
      </c>
      <c r="Q15" s="168"/>
      <c r="R15" s="196">
        <v>0</v>
      </c>
      <c r="S15" s="168"/>
      <c r="T15" s="206">
        <f t="shared" si="1"/>
        <v>2626384230</v>
      </c>
      <c r="V15" s="207"/>
      <c r="W15" s="207"/>
    </row>
    <row r="16" spans="2:33" ht="19.5" customHeight="1" x14ac:dyDescent="0.25">
      <c r="B16" s="164" t="s">
        <v>143</v>
      </c>
      <c r="C16" s="168"/>
      <c r="D16" s="168" t="s">
        <v>225</v>
      </c>
      <c r="E16" s="168"/>
      <c r="F16" s="113">
        <v>6500000</v>
      </c>
      <c r="G16" s="168"/>
      <c r="H16" s="113">
        <v>4984</v>
      </c>
      <c r="I16" s="168"/>
      <c r="J16" s="196">
        <v>0</v>
      </c>
      <c r="K16" s="168"/>
      <c r="L16" s="196">
        <v>0</v>
      </c>
      <c r="M16" s="168"/>
      <c r="N16" s="196">
        <f t="shared" si="0"/>
        <v>0</v>
      </c>
      <c r="P16" s="113">
        <v>32396000000</v>
      </c>
      <c r="Q16" s="168"/>
      <c r="R16" s="196">
        <v>0</v>
      </c>
      <c r="S16" s="168"/>
      <c r="T16" s="206">
        <f t="shared" si="1"/>
        <v>32396000000</v>
      </c>
      <c r="V16" s="207"/>
      <c r="W16" s="207"/>
    </row>
    <row r="17" spans="2:30" ht="19.5" customHeight="1" x14ac:dyDescent="0.25">
      <c r="B17" s="164" t="s">
        <v>137</v>
      </c>
      <c r="C17" s="168"/>
      <c r="D17" s="168" t="s">
        <v>210</v>
      </c>
      <c r="E17" s="168"/>
      <c r="F17" s="113">
        <v>9000000</v>
      </c>
      <c r="G17" s="168"/>
      <c r="H17" s="113">
        <v>1997</v>
      </c>
      <c r="I17" s="168"/>
      <c r="J17" s="196">
        <v>0</v>
      </c>
      <c r="K17" s="168"/>
      <c r="L17" s="196">
        <v>0</v>
      </c>
      <c r="M17" s="168"/>
      <c r="N17" s="196">
        <f t="shared" si="0"/>
        <v>0</v>
      </c>
      <c r="P17" s="113">
        <v>17973000000</v>
      </c>
      <c r="Q17" s="168"/>
      <c r="R17" s="196">
        <v>0</v>
      </c>
      <c r="S17" s="168"/>
      <c r="T17" s="206">
        <f t="shared" si="1"/>
        <v>17973000000</v>
      </c>
      <c r="V17" s="207"/>
      <c r="W17" s="207"/>
      <c r="AD17" s="12">
        <v>1</v>
      </c>
    </row>
    <row r="18" spans="2:30" ht="19.5" customHeight="1" x14ac:dyDescent="0.25">
      <c r="B18" s="164" t="s">
        <v>113</v>
      </c>
      <c r="C18" s="168"/>
      <c r="D18" s="168" t="s">
        <v>211</v>
      </c>
      <c r="E18" s="168"/>
      <c r="F18" s="113">
        <v>151800000</v>
      </c>
      <c r="G18" s="168"/>
      <c r="H18" s="113">
        <v>360</v>
      </c>
      <c r="I18" s="168"/>
      <c r="J18" s="196">
        <v>0</v>
      </c>
      <c r="K18" s="168"/>
      <c r="L18" s="196">
        <v>0</v>
      </c>
      <c r="M18" s="168"/>
      <c r="N18" s="196">
        <f t="shared" si="0"/>
        <v>0</v>
      </c>
      <c r="P18" s="113">
        <v>54648000000</v>
      </c>
      <c r="Q18" s="168"/>
      <c r="R18" s="196">
        <v>0</v>
      </c>
      <c r="S18" s="168"/>
      <c r="T18" s="206">
        <f t="shared" si="1"/>
        <v>54648000000</v>
      </c>
      <c r="V18" s="207"/>
      <c r="W18" s="207"/>
    </row>
    <row r="19" spans="2:30" ht="19.5" customHeight="1" x14ac:dyDescent="0.25">
      <c r="B19" s="164" t="s">
        <v>128</v>
      </c>
      <c r="C19" s="168"/>
      <c r="D19" s="168" t="s">
        <v>212</v>
      </c>
      <c r="E19" s="168"/>
      <c r="F19" s="113">
        <v>13383580</v>
      </c>
      <c r="G19" s="168"/>
      <c r="H19" s="113">
        <v>380</v>
      </c>
      <c r="I19" s="168"/>
      <c r="J19" s="196">
        <v>0</v>
      </c>
      <c r="K19" s="168"/>
      <c r="L19" s="196">
        <v>0</v>
      </c>
      <c r="M19" s="168"/>
      <c r="N19" s="196">
        <f t="shared" si="0"/>
        <v>0</v>
      </c>
      <c r="P19" s="113">
        <v>3040000000</v>
      </c>
      <c r="Q19" s="168"/>
      <c r="R19" s="196">
        <v>0</v>
      </c>
      <c r="S19" s="168"/>
      <c r="T19" s="206">
        <f t="shared" si="1"/>
        <v>3040000000</v>
      </c>
      <c r="V19" s="207"/>
      <c r="W19" s="207"/>
    </row>
    <row r="20" spans="2:30" ht="19.5" customHeight="1" x14ac:dyDescent="0.25">
      <c r="B20" s="164" t="s">
        <v>127</v>
      </c>
      <c r="C20" s="168"/>
      <c r="D20" s="168" t="s">
        <v>212</v>
      </c>
      <c r="E20" s="168"/>
      <c r="F20" s="113">
        <v>5600000</v>
      </c>
      <c r="G20" s="168"/>
      <c r="H20" s="113">
        <v>310</v>
      </c>
      <c r="I20" s="168"/>
      <c r="J20" s="196">
        <v>0</v>
      </c>
      <c r="K20" s="168"/>
      <c r="L20" s="196">
        <v>0</v>
      </c>
      <c r="M20" s="168"/>
      <c r="N20" s="196">
        <f t="shared" si="0"/>
        <v>0</v>
      </c>
      <c r="P20" s="113">
        <v>1736000000</v>
      </c>
      <c r="Q20" s="168"/>
      <c r="R20" s="196">
        <v>0</v>
      </c>
      <c r="S20" s="168"/>
      <c r="T20" s="206">
        <f t="shared" si="1"/>
        <v>1736000000</v>
      </c>
      <c r="V20" s="207"/>
      <c r="W20" s="207"/>
    </row>
    <row r="21" spans="2:30" ht="19.5" customHeight="1" x14ac:dyDescent="0.25">
      <c r="B21" s="164" t="s">
        <v>177</v>
      </c>
      <c r="C21" s="168"/>
      <c r="D21" s="168" t="s">
        <v>210</v>
      </c>
      <c r="E21" s="168"/>
      <c r="F21" s="113">
        <v>6000000</v>
      </c>
      <c r="G21" s="168"/>
      <c r="H21" s="113">
        <v>400</v>
      </c>
      <c r="I21" s="168"/>
      <c r="J21" s="196">
        <v>0</v>
      </c>
      <c r="K21" s="168"/>
      <c r="L21" s="196">
        <v>0</v>
      </c>
      <c r="M21" s="168"/>
      <c r="N21" s="196">
        <f t="shared" si="0"/>
        <v>0</v>
      </c>
      <c r="P21" s="113">
        <v>2400000000</v>
      </c>
      <c r="Q21" s="168"/>
      <c r="R21" s="196">
        <v>0</v>
      </c>
      <c r="S21" s="168"/>
      <c r="T21" s="206">
        <f t="shared" si="1"/>
        <v>2400000000</v>
      </c>
      <c r="V21" s="207"/>
      <c r="W21" s="207"/>
    </row>
    <row r="22" spans="2:30" ht="19.5" customHeight="1" x14ac:dyDescent="0.25">
      <c r="B22" s="164" t="s">
        <v>123</v>
      </c>
      <c r="C22" s="168"/>
      <c r="D22" s="168" t="s">
        <v>226</v>
      </c>
      <c r="E22" s="168"/>
      <c r="F22" s="113">
        <v>20000000</v>
      </c>
      <c r="G22" s="168"/>
      <c r="H22" s="113">
        <v>280</v>
      </c>
      <c r="I22" s="168"/>
      <c r="J22" s="196">
        <v>0</v>
      </c>
      <c r="K22" s="168"/>
      <c r="L22" s="196">
        <v>0</v>
      </c>
      <c r="M22" s="168"/>
      <c r="N22" s="196">
        <f t="shared" si="0"/>
        <v>0</v>
      </c>
      <c r="P22" s="113">
        <v>5600000000</v>
      </c>
      <c r="Q22" s="168"/>
      <c r="R22" s="196">
        <v>0</v>
      </c>
      <c r="S22" s="168"/>
      <c r="T22" s="206">
        <f t="shared" si="1"/>
        <v>5600000000</v>
      </c>
      <c r="V22" s="207"/>
      <c r="W22" s="207"/>
    </row>
    <row r="23" spans="2:30" ht="19.5" customHeight="1" x14ac:dyDescent="0.25">
      <c r="B23" s="164" t="s">
        <v>112</v>
      </c>
      <c r="C23" s="168"/>
      <c r="D23" s="168" t="s">
        <v>207</v>
      </c>
      <c r="E23" s="168"/>
      <c r="F23" s="113">
        <v>35200000</v>
      </c>
      <c r="G23" s="168"/>
      <c r="H23" s="113">
        <v>90</v>
      </c>
      <c r="I23" s="168"/>
      <c r="J23" s="196">
        <v>0</v>
      </c>
      <c r="K23" s="168"/>
      <c r="L23" s="196">
        <v>0</v>
      </c>
      <c r="M23" s="168"/>
      <c r="N23" s="196">
        <f t="shared" si="0"/>
        <v>0</v>
      </c>
      <c r="P23" s="113">
        <v>3168000000</v>
      </c>
      <c r="Q23" s="168"/>
      <c r="R23" s="196">
        <v>0</v>
      </c>
      <c r="S23" s="168"/>
      <c r="T23" s="206">
        <f t="shared" si="1"/>
        <v>3168000000</v>
      </c>
      <c r="V23" s="207"/>
      <c r="W23" s="207"/>
    </row>
    <row r="24" spans="2:30" ht="19.5" customHeight="1" x14ac:dyDescent="0.25">
      <c r="B24" s="164" t="s">
        <v>145</v>
      </c>
      <c r="C24" s="168"/>
      <c r="D24" s="168" t="s">
        <v>207</v>
      </c>
      <c r="E24" s="168"/>
      <c r="F24" s="113">
        <v>1000</v>
      </c>
      <c r="G24" s="168"/>
      <c r="H24" s="113">
        <v>11</v>
      </c>
      <c r="I24" s="168"/>
      <c r="J24" s="196">
        <v>0</v>
      </c>
      <c r="K24" s="168"/>
      <c r="L24" s="196">
        <v>0</v>
      </c>
      <c r="M24" s="168"/>
      <c r="N24" s="196">
        <f t="shared" si="0"/>
        <v>0</v>
      </c>
      <c r="P24" s="113">
        <v>11000</v>
      </c>
      <c r="Q24" s="168"/>
      <c r="R24" s="196">
        <v>0</v>
      </c>
      <c r="S24" s="168"/>
      <c r="T24" s="206">
        <f t="shared" si="1"/>
        <v>11000</v>
      </c>
      <c r="V24" s="207"/>
      <c r="W24" s="207"/>
    </row>
    <row r="25" spans="2:30" ht="19.5" customHeight="1" x14ac:dyDescent="0.25">
      <c r="B25" s="164" t="s">
        <v>178</v>
      </c>
      <c r="C25" s="168"/>
      <c r="D25" s="168" t="s">
        <v>207</v>
      </c>
      <c r="E25" s="168"/>
      <c r="F25" s="113">
        <v>100000000</v>
      </c>
      <c r="G25" s="168"/>
      <c r="H25" s="113">
        <v>15</v>
      </c>
      <c r="I25" s="168"/>
      <c r="J25" s="196">
        <v>0</v>
      </c>
      <c r="K25" s="168"/>
      <c r="L25" s="196">
        <v>0</v>
      </c>
      <c r="M25" s="168"/>
      <c r="N25" s="196">
        <f t="shared" si="0"/>
        <v>0</v>
      </c>
      <c r="P25" s="113">
        <v>1500000000</v>
      </c>
      <c r="Q25" s="168"/>
      <c r="R25" s="196">
        <v>0</v>
      </c>
      <c r="S25" s="168"/>
      <c r="T25" s="206">
        <f t="shared" si="1"/>
        <v>1500000000</v>
      </c>
      <c r="V25" s="207"/>
      <c r="W25" s="207"/>
    </row>
    <row r="26" spans="2:30" ht="19.5" customHeight="1" x14ac:dyDescent="0.25">
      <c r="B26" s="164" t="s">
        <v>114</v>
      </c>
      <c r="C26" s="168"/>
      <c r="D26" s="168" t="s">
        <v>227</v>
      </c>
      <c r="E26" s="168"/>
      <c r="F26" s="113">
        <v>24655240</v>
      </c>
      <c r="G26" s="168"/>
      <c r="H26" s="113">
        <v>936</v>
      </c>
      <c r="I26" s="168"/>
      <c r="J26" s="196">
        <v>0</v>
      </c>
      <c r="K26" s="168"/>
      <c r="L26" s="196">
        <v>0</v>
      </c>
      <c r="M26" s="168"/>
      <c r="N26" s="196">
        <f t="shared" si="0"/>
        <v>0</v>
      </c>
      <c r="P26" s="113">
        <v>23077304640</v>
      </c>
      <c r="Q26" s="168"/>
      <c r="R26" s="196">
        <v>0</v>
      </c>
      <c r="S26" s="168"/>
      <c r="T26" s="206">
        <f t="shared" si="1"/>
        <v>23077304640</v>
      </c>
      <c r="V26" s="207"/>
      <c r="W26" s="207"/>
    </row>
    <row r="27" spans="2:30" ht="19.5" customHeight="1" x14ac:dyDescent="0.25">
      <c r="B27" s="164" t="s">
        <v>117</v>
      </c>
      <c r="C27" s="168"/>
      <c r="D27" s="168" t="s">
        <v>277</v>
      </c>
      <c r="E27" s="168"/>
      <c r="F27" s="113">
        <v>1800000</v>
      </c>
      <c r="G27" s="168"/>
      <c r="H27" s="113">
        <v>11000</v>
      </c>
      <c r="I27" s="168"/>
      <c r="J27" s="197">
        <v>19800000000</v>
      </c>
      <c r="K27" s="168"/>
      <c r="L27" s="196">
        <v>-863760592</v>
      </c>
      <c r="M27" s="168"/>
      <c r="N27" s="60">
        <f t="shared" si="0"/>
        <v>18936239408</v>
      </c>
      <c r="P27" s="113">
        <v>19800000000</v>
      </c>
      <c r="Q27" s="168"/>
      <c r="R27" s="196">
        <v>-1328434505</v>
      </c>
      <c r="S27" s="168"/>
      <c r="T27" s="206">
        <f t="shared" si="1"/>
        <v>18471565495</v>
      </c>
      <c r="V27" s="207"/>
      <c r="W27" s="207"/>
    </row>
    <row r="28" spans="2:30" ht="19.5" customHeight="1" x14ac:dyDescent="0.25">
      <c r="B28" s="164" t="s">
        <v>117</v>
      </c>
      <c r="C28" s="168"/>
      <c r="D28" s="168" t="s">
        <v>234</v>
      </c>
      <c r="E28" s="168"/>
      <c r="F28" s="113">
        <v>1500000</v>
      </c>
      <c r="G28" s="168"/>
      <c r="H28" s="113">
        <v>38000</v>
      </c>
      <c r="I28" s="168"/>
      <c r="J28" s="196">
        <v>0</v>
      </c>
      <c r="K28" s="168"/>
      <c r="L28" s="196">
        <v>0</v>
      </c>
      <c r="M28" s="168"/>
      <c r="N28" s="196">
        <f t="shared" si="0"/>
        <v>0</v>
      </c>
      <c r="P28" s="113">
        <v>57000000000</v>
      </c>
      <c r="Q28" s="168"/>
      <c r="R28" s="196">
        <v>0</v>
      </c>
      <c r="S28" s="168"/>
      <c r="T28" s="206">
        <f t="shared" si="1"/>
        <v>57000000000</v>
      </c>
      <c r="V28" s="207"/>
      <c r="W28" s="207"/>
    </row>
    <row r="29" spans="2:30" ht="19.5" customHeight="1" x14ac:dyDescent="0.25">
      <c r="B29" s="164" t="s">
        <v>122</v>
      </c>
      <c r="C29" s="168"/>
      <c r="D29" s="168" t="s">
        <v>243</v>
      </c>
      <c r="E29" s="168"/>
      <c r="F29" s="113">
        <v>90000000</v>
      </c>
      <c r="G29" s="168"/>
      <c r="H29" s="113">
        <v>510</v>
      </c>
      <c r="I29" s="168"/>
      <c r="J29" s="196">
        <v>0</v>
      </c>
      <c r="K29" s="168"/>
      <c r="L29" s="196">
        <v>0</v>
      </c>
      <c r="M29" s="168"/>
      <c r="N29" s="196">
        <f t="shared" si="0"/>
        <v>0</v>
      </c>
      <c r="P29" s="113">
        <v>45900000000</v>
      </c>
      <c r="Q29" s="168"/>
      <c r="R29" s="196">
        <v>0</v>
      </c>
      <c r="S29" s="168"/>
      <c r="T29" s="206">
        <f t="shared" si="1"/>
        <v>45900000000</v>
      </c>
      <c r="V29" s="207"/>
      <c r="W29" s="207"/>
    </row>
    <row r="30" spans="2:30" ht="19.5" customHeight="1" x14ac:dyDescent="0.25">
      <c r="B30" s="164" t="s">
        <v>120</v>
      </c>
      <c r="C30" s="168"/>
      <c r="D30" s="168" t="s">
        <v>235</v>
      </c>
      <c r="E30" s="168"/>
      <c r="F30" s="113">
        <v>3800000</v>
      </c>
      <c r="G30" s="168"/>
      <c r="H30" s="113">
        <v>2000</v>
      </c>
      <c r="I30" s="168"/>
      <c r="J30" s="196">
        <v>0</v>
      </c>
      <c r="K30" s="168"/>
      <c r="L30" s="196">
        <v>0</v>
      </c>
      <c r="M30" s="168"/>
      <c r="N30" s="196">
        <f t="shared" si="0"/>
        <v>0</v>
      </c>
      <c r="P30" s="113">
        <v>7600000000</v>
      </c>
      <c r="Q30" s="168"/>
      <c r="R30" s="196">
        <v>0</v>
      </c>
      <c r="S30" s="168"/>
      <c r="T30" s="206">
        <f t="shared" si="1"/>
        <v>7600000000</v>
      </c>
      <c r="V30" s="207"/>
      <c r="W30" s="207"/>
    </row>
    <row r="31" spans="2:30" ht="19.5" customHeight="1" x14ac:dyDescent="0.25">
      <c r="B31" s="164" t="s">
        <v>179</v>
      </c>
      <c r="C31" s="168"/>
      <c r="D31" s="168" t="s">
        <v>210</v>
      </c>
      <c r="E31" s="168"/>
      <c r="F31" s="113">
        <v>14000000</v>
      </c>
      <c r="G31" s="168"/>
      <c r="H31" s="113">
        <v>650</v>
      </c>
      <c r="I31" s="168"/>
      <c r="J31" s="196">
        <v>0</v>
      </c>
      <c r="K31" s="168"/>
      <c r="L31" s="196">
        <v>0</v>
      </c>
      <c r="M31" s="168"/>
      <c r="N31" s="196">
        <f t="shared" si="0"/>
        <v>0</v>
      </c>
      <c r="P31" s="113">
        <v>9100000000</v>
      </c>
      <c r="Q31" s="168"/>
      <c r="R31" s="196">
        <v>0</v>
      </c>
      <c r="S31" s="168"/>
      <c r="T31" s="206">
        <f t="shared" si="1"/>
        <v>9100000000</v>
      </c>
      <c r="V31" s="207"/>
      <c r="W31" s="207"/>
    </row>
    <row r="32" spans="2:30" ht="19.5" customHeight="1" x14ac:dyDescent="0.25">
      <c r="B32" s="164" t="s">
        <v>134</v>
      </c>
      <c r="C32" s="168"/>
      <c r="D32" s="168" t="s">
        <v>228</v>
      </c>
      <c r="E32" s="168"/>
      <c r="F32" s="113">
        <v>10000000</v>
      </c>
      <c r="G32" s="168"/>
      <c r="H32" s="113">
        <v>2223</v>
      </c>
      <c r="I32" s="168"/>
      <c r="J32" s="196">
        <v>0</v>
      </c>
      <c r="K32" s="168"/>
      <c r="L32" s="196">
        <v>0</v>
      </c>
      <c r="M32" s="168"/>
      <c r="N32" s="196">
        <f t="shared" si="0"/>
        <v>0</v>
      </c>
      <c r="P32" s="113">
        <v>22230000000</v>
      </c>
      <c r="Q32" s="168"/>
      <c r="R32" s="196">
        <v>0</v>
      </c>
      <c r="S32" s="168"/>
      <c r="T32" s="206">
        <f t="shared" si="1"/>
        <v>22230000000</v>
      </c>
      <c r="V32" s="207"/>
      <c r="W32" s="207"/>
    </row>
    <row r="33" spans="2:27" ht="19.5" customHeight="1" x14ac:dyDescent="0.25">
      <c r="B33" s="164" t="s">
        <v>201</v>
      </c>
      <c r="C33" s="168"/>
      <c r="D33" s="168" t="s">
        <v>207</v>
      </c>
      <c r="E33" s="168"/>
      <c r="F33" s="113">
        <v>6000000</v>
      </c>
      <c r="G33" s="168"/>
      <c r="H33" s="113">
        <v>250</v>
      </c>
      <c r="I33" s="168"/>
      <c r="J33" s="196">
        <v>0</v>
      </c>
      <c r="K33" s="168"/>
      <c r="L33" s="196">
        <v>0</v>
      </c>
      <c r="M33" s="168"/>
      <c r="N33" s="196">
        <f t="shared" si="0"/>
        <v>0</v>
      </c>
      <c r="P33" s="113">
        <v>1500000000</v>
      </c>
      <c r="Q33" s="168"/>
      <c r="R33" s="196">
        <v>0</v>
      </c>
      <c r="S33" s="168"/>
      <c r="T33" s="206">
        <f t="shared" si="1"/>
        <v>1500000000</v>
      </c>
      <c r="V33" s="207"/>
      <c r="W33" s="207"/>
    </row>
    <row r="34" spans="2:27" ht="19.5" customHeight="1" x14ac:dyDescent="0.25">
      <c r="B34" s="164" t="s">
        <v>118</v>
      </c>
      <c r="C34" s="168"/>
      <c r="D34" s="168" t="s">
        <v>210</v>
      </c>
      <c r="E34" s="168"/>
      <c r="F34" s="113">
        <v>3460516</v>
      </c>
      <c r="G34" s="168"/>
      <c r="H34" s="113">
        <v>4200</v>
      </c>
      <c r="I34" s="168"/>
      <c r="J34" s="196">
        <v>0</v>
      </c>
      <c r="K34" s="168"/>
      <c r="L34" s="196">
        <v>0</v>
      </c>
      <c r="M34" s="168"/>
      <c r="N34" s="196">
        <f t="shared" si="0"/>
        <v>0</v>
      </c>
      <c r="P34" s="113">
        <v>14534169683</v>
      </c>
      <c r="Q34" s="168"/>
      <c r="R34" s="196">
        <v>0</v>
      </c>
      <c r="S34" s="168"/>
      <c r="T34" s="206">
        <f t="shared" si="1"/>
        <v>14534169683</v>
      </c>
      <c r="V34" s="207"/>
      <c r="W34" s="207"/>
      <c r="X34" s="208"/>
      <c r="Y34" s="208"/>
      <c r="Z34" s="208"/>
    </row>
    <row r="35" spans="2:27" ht="19.5" customHeight="1" x14ac:dyDescent="0.25">
      <c r="B35" s="164" t="s">
        <v>180</v>
      </c>
      <c r="C35" s="168"/>
      <c r="D35" s="168" t="s">
        <v>248</v>
      </c>
      <c r="E35" s="168"/>
      <c r="F35" s="113">
        <v>28000000</v>
      </c>
      <c r="G35" s="168"/>
      <c r="H35" s="113">
        <v>410</v>
      </c>
      <c r="I35" s="168"/>
      <c r="J35" s="196">
        <v>0</v>
      </c>
      <c r="K35" s="168"/>
      <c r="L35" s="196">
        <v>0</v>
      </c>
      <c r="M35" s="168"/>
      <c r="N35" s="196">
        <f t="shared" si="0"/>
        <v>0</v>
      </c>
      <c r="P35" s="113">
        <v>11480000000</v>
      </c>
      <c r="Q35" s="168"/>
      <c r="R35" s="196">
        <v>0</v>
      </c>
      <c r="S35" s="168"/>
      <c r="T35" s="206">
        <f t="shared" si="1"/>
        <v>11480000000</v>
      </c>
      <c r="V35" s="207"/>
      <c r="W35" s="207"/>
    </row>
    <row r="36" spans="2:27" ht="19.5" customHeight="1" x14ac:dyDescent="0.25">
      <c r="B36" s="164" t="s">
        <v>160</v>
      </c>
      <c r="C36" s="168"/>
      <c r="D36" s="168" t="s">
        <v>211</v>
      </c>
      <c r="E36" s="168"/>
      <c r="F36" s="113">
        <v>3700000</v>
      </c>
      <c r="G36" s="168"/>
      <c r="H36" s="113">
        <v>3000</v>
      </c>
      <c r="I36" s="168"/>
      <c r="J36" s="196">
        <v>0</v>
      </c>
      <c r="K36" s="168"/>
      <c r="L36" s="196">
        <v>0</v>
      </c>
      <c r="M36" s="168"/>
      <c r="N36" s="196">
        <f t="shared" si="0"/>
        <v>0</v>
      </c>
      <c r="P36" s="113">
        <v>11100000000</v>
      </c>
      <c r="Q36" s="168"/>
      <c r="R36" s="196">
        <v>0</v>
      </c>
      <c r="S36" s="168"/>
      <c r="T36" s="206">
        <f t="shared" si="1"/>
        <v>11100000000</v>
      </c>
      <c r="V36" s="207"/>
      <c r="W36" s="207"/>
    </row>
    <row r="37" spans="2:27" ht="19.5" customHeight="1" x14ac:dyDescent="0.25">
      <c r="B37" s="164" t="s">
        <v>181</v>
      </c>
      <c r="C37" s="168"/>
      <c r="D37" s="168" t="s">
        <v>213</v>
      </c>
      <c r="E37" s="168"/>
      <c r="F37" s="113">
        <v>14000000</v>
      </c>
      <c r="G37" s="168"/>
      <c r="H37" s="113">
        <v>400</v>
      </c>
      <c r="I37" s="168"/>
      <c r="J37" s="196">
        <v>0</v>
      </c>
      <c r="K37" s="168"/>
      <c r="L37" s="196">
        <v>0</v>
      </c>
      <c r="M37" s="168"/>
      <c r="N37" s="196">
        <f t="shared" si="0"/>
        <v>0</v>
      </c>
      <c r="P37" s="113">
        <v>5600000000</v>
      </c>
      <c r="Q37" s="168"/>
      <c r="R37" s="196">
        <v>0</v>
      </c>
      <c r="S37" s="168"/>
      <c r="T37" s="206">
        <f t="shared" si="1"/>
        <v>5600000000</v>
      </c>
      <c r="V37" s="207"/>
      <c r="W37" s="207"/>
    </row>
    <row r="38" spans="2:27" ht="19.5" customHeight="1" x14ac:dyDescent="0.25">
      <c r="B38" s="164" t="s">
        <v>115</v>
      </c>
      <c r="C38" s="168"/>
      <c r="D38" s="168" t="s">
        <v>224</v>
      </c>
      <c r="E38" s="168"/>
      <c r="F38" s="113">
        <v>56000000</v>
      </c>
      <c r="G38" s="168"/>
      <c r="H38" s="113">
        <v>190</v>
      </c>
      <c r="I38" s="168"/>
      <c r="J38" s="196">
        <v>0</v>
      </c>
      <c r="K38" s="168"/>
      <c r="L38" s="196">
        <v>0</v>
      </c>
      <c r="M38" s="168"/>
      <c r="N38" s="196">
        <f t="shared" si="0"/>
        <v>0</v>
      </c>
      <c r="P38" s="113">
        <v>10640000000</v>
      </c>
      <c r="Q38" s="168"/>
      <c r="R38" s="196">
        <v>0</v>
      </c>
      <c r="S38" s="168"/>
      <c r="T38" s="206">
        <f t="shared" si="1"/>
        <v>10640000000</v>
      </c>
      <c r="V38" s="207"/>
      <c r="W38" s="207"/>
    </row>
    <row r="39" spans="2:27" ht="19.5" customHeight="1" x14ac:dyDescent="0.25">
      <c r="B39" s="164" t="s">
        <v>196</v>
      </c>
      <c r="C39" s="168"/>
      <c r="D39" s="168" t="s">
        <v>214</v>
      </c>
      <c r="E39" s="168"/>
      <c r="F39" s="113">
        <v>6700000</v>
      </c>
      <c r="G39" s="168"/>
      <c r="H39" s="113">
        <v>1800</v>
      </c>
      <c r="I39" s="168"/>
      <c r="J39" s="196">
        <v>0</v>
      </c>
      <c r="K39" s="168"/>
      <c r="L39" s="196">
        <v>0</v>
      </c>
      <c r="M39" s="168"/>
      <c r="N39" s="196">
        <f t="shared" si="0"/>
        <v>0</v>
      </c>
      <c r="P39" s="113">
        <v>12060000000</v>
      </c>
      <c r="Q39" s="168"/>
      <c r="R39" s="196">
        <v>0</v>
      </c>
      <c r="S39" s="168"/>
      <c r="T39" s="206">
        <f t="shared" si="1"/>
        <v>12060000000</v>
      </c>
      <c r="V39" s="207"/>
      <c r="W39" s="207"/>
    </row>
    <row r="40" spans="2:27" ht="19.5" customHeight="1" x14ac:dyDescent="0.25">
      <c r="B40" s="164" t="s">
        <v>165</v>
      </c>
      <c r="C40" s="168"/>
      <c r="D40" s="168" t="s">
        <v>187</v>
      </c>
      <c r="E40" s="168"/>
      <c r="F40" s="113">
        <v>1750000</v>
      </c>
      <c r="G40" s="168"/>
      <c r="H40" s="113">
        <v>400</v>
      </c>
      <c r="I40" s="168"/>
      <c r="J40" s="196">
        <v>0</v>
      </c>
      <c r="K40" s="168"/>
      <c r="L40" s="196">
        <v>0</v>
      </c>
      <c r="M40" s="168"/>
      <c r="N40" s="196">
        <f t="shared" si="0"/>
        <v>0</v>
      </c>
      <c r="P40" s="113">
        <v>700000000</v>
      </c>
      <c r="Q40" s="168"/>
      <c r="R40" s="196">
        <v>0</v>
      </c>
      <c r="S40" s="168"/>
      <c r="T40" s="206">
        <f t="shared" si="1"/>
        <v>700000000</v>
      </c>
      <c r="V40" s="207"/>
      <c r="W40" s="207"/>
    </row>
    <row r="41" spans="2:27" ht="19.5" customHeight="1" x14ac:dyDescent="0.25">
      <c r="B41" s="164" t="s">
        <v>116</v>
      </c>
      <c r="C41" s="168"/>
      <c r="D41" s="168" t="s">
        <v>207</v>
      </c>
      <c r="E41" s="168"/>
      <c r="F41" s="113">
        <v>75000000</v>
      </c>
      <c r="G41" s="168"/>
      <c r="H41" s="113">
        <v>160</v>
      </c>
      <c r="I41" s="168"/>
      <c r="J41" s="196">
        <v>0</v>
      </c>
      <c r="K41" s="168"/>
      <c r="L41" s="196">
        <v>0</v>
      </c>
      <c r="M41" s="168"/>
      <c r="N41" s="196">
        <f t="shared" si="0"/>
        <v>0</v>
      </c>
      <c r="P41" s="113">
        <v>12000000000</v>
      </c>
      <c r="Q41" s="168"/>
      <c r="R41" s="196">
        <v>0</v>
      </c>
      <c r="S41" s="168"/>
      <c r="T41" s="206">
        <f t="shared" si="1"/>
        <v>12000000000</v>
      </c>
      <c r="V41" s="207"/>
      <c r="W41" s="207"/>
    </row>
    <row r="42" spans="2:27" ht="19.5" customHeight="1" x14ac:dyDescent="0.25">
      <c r="B42" s="164" t="s">
        <v>164</v>
      </c>
      <c r="C42" s="168"/>
      <c r="D42" s="168" t="s">
        <v>213</v>
      </c>
      <c r="E42" s="168"/>
      <c r="F42" s="113">
        <v>1000</v>
      </c>
      <c r="G42" s="168"/>
      <c r="H42" s="113">
        <v>1160</v>
      </c>
      <c r="I42" s="168"/>
      <c r="J42" s="196">
        <v>0</v>
      </c>
      <c r="K42" s="168"/>
      <c r="L42" s="196">
        <v>0</v>
      </c>
      <c r="M42" s="168"/>
      <c r="N42" s="196">
        <f t="shared" si="0"/>
        <v>0</v>
      </c>
      <c r="P42" s="113">
        <v>1160000</v>
      </c>
      <c r="Q42" s="168"/>
      <c r="R42" s="196">
        <v>0</v>
      </c>
      <c r="S42" s="168"/>
      <c r="T42" s="206">
        <f t="shared" si="1"/>
        <v>1160000</v>
      </c>
      <c r="V42" s="207"/>
      <c r="W42" s="207"/>
    </row>
    <row r="43" spans="2:27" ht="19.5" customHeight="1" x14ac:dyDescent="0.25">
      <c r="B43" s="164" t="s">
        <v>119</v>
      </c>
      <c r="C43" s="168"/>
      <c r="D43" s="168" t="s">
        <v>227</v>
      </c>
      <c r="E43" s="168"/>
      <c r="F43" s="113">
        <v>3600000</v>
      </c>
      <c r="G43" s="168"/>
      <c r="H43" s="113">
        <v>3400</v>
      </c>
      <c r="I43" s="168"/>
      <c r="J43" s="196">
        <v>0</v>
      </c>
      <c r="K43" s="168"/>
      <c r="L43" s="196">
        <v>0</v>
      </c>
      <c r="M43" s="168"/>
      <c r="N43" s="196">
        <f t="shared" si="0"/>
        <v>0</v>
      </c>
      <c r="P43" s="113">
        <v>12240000000</v>
      </c>
      <c r="Q43" s="168"/>
      <c r="R43" s="196">
        <v>0</v>
      </c>
      <c r="S43" s="168"/>
      <c r="T43" s="206">
        <f t="shared" si="1"/>
        <v>12240000000</v>
      </c>
      <c r="V43" s="207"/>
      <c r="W43" s="207"/>
    </row>
    <row r="44" spans="2:27" ht="19.5" customHeight="1" x14ac:dyDescent="0.25">
      <c r="B44" s="164" t="s">
        <v>144</v>
      </c>
      <c r="C44" s="168"/>
      <c r="D44" s="168" t="s">
        <v>236</v>
      </c>
      <c r="E44" s="168"/>
      <c r="F44" s="113">
        <v>20000000</v>
      </c>
      <c r="G44" s="168"/>
      <c r="H44" s="113">
        <v>1100</v>
      </c>
      <c r="I44" s="168"/>
      <c r="J44" s="196">
        <v>0</v>
      </c>
      <c r="K44" s="168"/>
      <c r="L44" s="196">
        <v>0</v>
      </c>
      <c r="M44" s="168"/>
      <c r="N44" s="196">
        <f t="shared" si="0"/>
        <v>0</v>
      </c>
      <c r="P44" s="113">
        <v>22000000000</v>
      </c>
      <c r="Q44" s="168"/>
      <c r="R44" s="196">
        <v>-1899874844</v>
      </c>
      <c r="S44" s="168"/>
      <c r="T44" s="206">
        <f t="shared" si="1"/>
        <v>20100125156</v>
      </c>
      <c r="V44" s="207"/>
      <c r="W44" s="207"/>
      <c r="X44" s="207"/>
      <c r="Y44" s="207"/>
      <c r="Z44" s="207"/>
      <c r="AA44" s="207"/>
    </row>
    <row r="45" spans="2:27" ht="19.5" customHeight="1" x14ac:dyDescent="0.25">
      <c r="B45" s="164" t="s">
        <v>130</v>
      </c>
      <c r="C45" s="168"/>
      <c r="D45" s="168" t="s">
        <v>243</v>
      </c>
      <c r="E45" s="168"/>
      <c r="F45" s="113">
        <v>330000000</v>
      </c>
      <c r="G45" s="168"/>
      <c r="H45" s="113">
        <v>190</v>
      </c>
      <c r="I45" s="168"/>
      <c r="J45" s="196">
        <v>0</v>
      </c>
      <c r="K45" s="168"/>
      <c r="L45" s="196">
        <v>0</v>
      </c>
      <c r="M45" s="168"/>
      <c r="N45" s="196">
        <f t="shared" si="0"/>
        <v>0</v>
      </c>
      <c r="P45" s="113">
        <v>62700000000</v>
      </c>
      <c r="Q45" s="168"/>
      <c r="R45" s="196">
        <v>-1262416107</v>
      </c>
      <c r="S45" s="168"/>
      <c r="T45" s="206">
        <f t="shared" si="1"/>
        <v>61437583893</v>
      </c>
      <c r="V45" s="207"/>
      <c r="W45" s="207"/>
      <c r="X45" s="207"/>
      <c r="Y45" s="207"/>
      <c r="Z45" s="207"/>
      <c r="AA45" s="207"/>
    </row>
    <row r="46" spans="2:27" ht="19.5" customHeight="1" x14ac:dyDescent="0.25">
      <c r="B46" s="164" t="s">
        <v>175</v>
      </c>
      <c r="C46" s="168"/>
      <c r="D46" s="168" t="s">
        <v>204</v>
      </c>
      <c r="E46" s="168"/>
      <c r="F46" s="113">
        <v>10000000</v>
      </c>
      <c r="G46" s="168"/>
      <c r="H46" s="113">
        <v>730</v>
      </c>
      <c r="I46" s="168"/>
      <c r="J46" s="196">
        <v>0</v>
      </c>
      <c r="K46" s="168"/>
      <c r="L46" s="196">
        <v>0</v>
      </c>
      <c r="M46" s="168"/>
      <c r="N46" s="196">
        <f t="shared" si="0"/>
        <v>0</v>
      </c>
      <c r="P46" s="113">
        <v>7300000000</v>
      </c>
      <c r="Q46" s="168"/>
      <c r="R46" s="196">
        <v>0</v>
      </c>
      <c r="S46" s="168"/>
      <c r="T46" s="206">
        <f t="shared" si="1"/>
        <v>7300000000</v>
      </c>
      <c r="V46" s="207"/>
      <c r="W46" s="207"/>
      <c r="X46" s="207"/>
      <c r="Y46" s="207"/>
      <c r="Z46" s="207"/>
      <c r="AA46" s="207"/>
    </row>
    <row r="47" spans="2:27" ht="19.5" customHeight="1" x14ac:dyDescent="0.25">
      <c r="B47" s="164" t="s">
        <v>141</v>
      </c>
      <c r="C47" s="168"/>
      <c r="D47" s="168" t="s">
        <v>209</v>
      </c>
      <c r="E47" s="168"/>
      <c r="F47" s="113">
        <v>1000</v>
      </c>
      <c r="G47" s="168"/>
      <c r="H47" s="113">
        <v>8362</v>
      </c>
      <c r="I47" s="168"/>
      <c r="J47" s="196">
        <v>0</v>
      </c>
      <c r="K47" s="168"/>
      <c r="L47" s="196">
        <v>0</v>
      </c>
      <c r="M47" s="168"/>
      <c r="N47" s="196">
        <f t="shared" si="0"/>
        <v>0</v>
      </c>
      <c r="P47" s="60">
        <v>8362000</v>
      </c>
      <c r="Q47" s="168"/>
      <c r="R47" s="196">
        <v>0</v>
      </c>
      <c r="S47" s="168"/>
      <c r="T47" s="206">
        <f t="shared" si="1"/>
        <v>8362000</v>
      </c>
      <c r="V47" s="207"/>
      <c r="W47" s="207"/>
      <c r="X47" s="207"/>
      <c r="Y47" s="207"/>
      <c r="Z47" s="207"/>
      <c r="AA47" s="207"/>
    </row>
    <row r="48" spans="2:27" ht="19.5" customHeight="1" x14ac:dyDescent="0.25">
      <c r="B48" s="164" t="s">
        <v>135</v>
      </c>
      <c r="C48" s="168"/>
      <c r="D48" s="168" t="s">
        <v>211</v>
      </c>
      <c r="E48" s="168"/>
      <c r="F48" s="113">
        <v>1000</v>
      </c>
      <c r="G48" s="168"/>
      <c r="H48" s="113">
        <v>34</v>
      </c>
      <c r="I48" s="168"/>
      <c r="J48" s="196">
        <v>0</v>
      </c>
      <c r="K48" s="168"/>
      <c r="L48" s="196">
        <v>0</v>
      </c>
      <c r="M48" s="168"/>
      <c r="N48" s="196">
        <f t="shared" si="0"/>
        <v>0</v>
      </c>
      <c r="P48" s="113">
        <v>34000</v>
      </c>
      <c r="Q48" s="168"/>
      <c r="R48" s="196">
        <v>0</v>
      </c>
      <c r="S48" s="168"/>
      <c r="T48" s="206">
        <f t="shared" si="1"/>
        <v>34000</v>
      </c>
      <c r="V48" s="207"/>
      <c r="W48" s="207"/>
      <c r="X48" s="207"/>
      <c r="Y48" s="207"/>
      <c r="Z48" s="207"/>
      <c r="AA48" s="207"/>
    </row>
    <row r="49" spans="2:28" ht="19.5" customHeight="1" x14ac:dyDescent="0.25">
      <c r="B49" s="164" t="s">
        <v>157</v>
      </c>
      <c r="C49" s="168"/>
      <c r="D49" s="168" t="s">
        <v>205</v>
      </c>
      <c r="E49" s="168"/>
      <c r="F49" s="113">
        <v>232900</v>
      </c>
      <c r="G49" s="168"/>
      <c r="H49" s="113">
        <v>440</v>
      </c>
      <c r="I49" s="168"/>
      <c r="J49" s="196">
        <v>0</v>
      </c>
      <c r="K49" s="168"/>
      <c r="L49" s="196">
        <v>0</v>
      </c>
      <c r="M49" s="168"/>
      <c r="N49" s="196">
        <f t="shared" si="0"/>
        <v>0</v>
      </c>
      <c r="P49" s="113">
        <v>0</v>
      </c>
      <c r="Q49" s="168"/>
      <c r="R49" s="196">
        <v>0</v>
      </c>
      <c r="S49" s="168"/>
      <c r="T49" s="206">
        <f t="shared" si="1"/>
        <v>0</v>
      </c>
      <c r="V49" s="207"/>
      <c r="W49" s="207"/>
      <c r="X49" s="207"/>
      <c r="Y49" s="207"/>
      <c r="Z49" s="207"/>
      <c r="AA49" s="207"/>
    </row>
    <row r="50" spans="2:28" ht="19.5" customHeight="1" x14ac:dyDescent="0.25">
      <c r="B50" s="164" t="s">
        <v>170</v>
      </c>
      <c r="C50" s="168"/>
      <c r="D50" s="168" t="s">
        <v>229</v>
      </c>
      <c r="E50" s="168"/>
      <c r="F50" s="113">
        <v>999999</v>
      </c>
      <c r="G50" s="168"/>
      <c r="H50" s="113">
        <v>49</v>
      </c>
      <c r="I50" s="168"/>
      <c r="J50" s="196">
        <v>0</v>
      </c>
      <c r="K50" s="168"/>
      <c r="L50" s="196">
        <v>0</v>
      </c>
      <c r="M50" s="168"/>
      <c r="N50" s="196">
        <f t="shared" si="0"/>
        <v>0</v>
      </c>
      <c r="P50" s="113">
        <v>49999950</v>
      </c>
      <c r="Q50" s="168"/>
      <c r="R50" s="196">
        <v>0</v>
      </c>
      <c r="S50" s="168"/>
      <c r="T50" s="206">
        <f t="shared" si="1"/>
        <v>49999950</v>
      </c>
      <c r="V50" s="207"/>
      <c r="W50" s="207"/>
      <c r="X50" s="207"/>
      <c r="Y50" s="207"/>
      <c r="Z50" s="207"/>
      <c r="AA50" s="207"/>
    </row>
    <row r="51" spans="2:28" ht="19.5" customHeight="1" x14ac:dyDescent="0.25">
      <c r="B51" s="164" t="s">
        <v>168</v>
      </c>
      <c r="C51" s="168"/>
      <c r="D51" s="168" t="s">
        <v>227</v>
      </c>
      <c r="E51" s="168"/>
      <c r="F51" s="113">
        <v>175000</v>
      </c>
      <c r="G51" s="168"/>
      <c r="H51" s="113">
        <v>1500</v>
      </c>
      <c r="I51" s="168"/>
      <c r="J51" s="196">
        <v>0</v>
      </c>
      <c r="K51" s="168"/>
      <c r="L51" s="196">
        <v>0</v>
      </c>
      <c r="M51" s="168"/>
      <c r="N51" s="196">
        <f t="shared" si="0"/>
        <v>0</v>
      </c>
      <c r="P51" s="113">
        <v>262500000</v>
      </c>
      <c r="Q51" s="168"/>
      <c r="R51" s="196">
        <v>0</v>
      </c>
      <c r="S51" s="168"/>
      <c r="T51" s="206">
        <f t="shared" si="1"/>
        <v>262500000</v>
      </c>
      <c r="V51" s="207"/>
      <c r="W51" s="207"/>
      <c r="X51" s="207"/>
      <c r="Y51" s="207"/>
      <c r="Z51" s="207"/>
      <c r="AA51" s="207"/>
    </row>
    <row r="52" spans="2:28" ht="19.5" customHeight="1" x14ac:dyDescent="0.25">
      <c r="B52" s="164" t="s">
        <v>197</v>
      </c>
      <c r="C52" s="168"/>
      <c r="D52" s="168" t="s">
        <v>215</v>
      </c>
      <c r="E52" s="168"/>
      <c r="F52" s="113">
        <v>100000</v>
      </c>
      <c r="G52" s="168"/>
      <c r="H52" s="113">
        <v>2350</v>
      </c>
      <c r="I52" s="168"/>
      <c r="J52" s="196">
        <v>0</v>
      </c>
      <c r="K52" s="168"/>
      <c r="L52" s="196">
        <v>0</v>
      </c>
      <c r="M52" s="168"/>
      <c r="N52" s="196">
        <f t="shared" si="0"/>
        <v>0</v>
      </c>
      <c r="P52" s="113">
        <v>235000000</v>
      </c>
      <c r="Q52" s="168"/>
      <c r="R52" s="196">
        <v>0</v>
      </c>
      <c r="S52" s="168"/>
      <c r="T52" s="206">
        <f t="shared" si="1"/>
        <v>235000000</v>
      </c>
      <c r="V52" s="207"/>
      <c r="W52" s="207"/>
      <c r="X52" s="207"/>
      <c r="Y52" s="207"/>
      <c r="Z52" s="207"/>
      <c r="AA52" s="207"/>
    </row>
    <row r="53" spans="2:28" ht="19.5" customHeight="1" thickBot="1" x14ac:dyDescent="0.3">
      <c r="B53" s="164" t="s">
        <v>185</v>
      </c>
      <c r="C53" s="168"/>
      <c r="D53" s="168" t="s">
        <v>256</v>
      </c>
      <c r="E53" s="168"/>
      <c r="F53" s="113">
        <v>3250000</v>
      </c>
      <c r="G53" s="168"/>
      <c r="H53" s="113">
        <v>170</v>
      </c>
      <c r="I53" s="168"/>
      <c r="J53" s="196">
        <v>0</v>
      </c>
      <c r="K53" s="168"/>
      <c r="L53" s="196">
        <v>0</v>
      </c>
      <c r="M53" s="168"/>
      <c r="N53" s="196">
        <f t="shared" si="0"/>
        <v>0</v>
      </c>
      <c r="P53" s="113">
        <v>552500000</v>
      </c>
      <c r="Q53" s="168"/>
      <c r="R53" s="196">
        <v>0</v>
      </c>
      <c r="S53" s="168"/>
      <c r="T53" s="206">
        <f t="shared" si="1"/>
        <v>552500000</v>
      </c>
      <c r="V53" s="207"/>
      <c r="W53" s="207"/>
    </row>
    <row r="54" spans="2:28" ht="23.25" thickBot="1" x14ac:dyDescent="0.3">
      <c r="B54" s="204" t="s">
        <v>7</v>
      </c>
      <c r="F54" s="92">
        <f>SUM(F7:F53)</f>
        <v>1290662554</v>
      </c>
      <c r="H54" s="12"/>
      <c r="J54" s="92">
        <f>SUM(J7:J53)</f>
        <v>39600000000</v>
      </c>
      <c r="K54" s="90"/>
      <c r="L54" s="92">
        <f>SUM(L7:L53)</f>
        <v>-863760592</v>
      </c>
      <c r="M54" s="90"/>
      <c r="N54" s="92">
        <f>SUM(N7:N53)</f>
        <v>38736239408</v>
      </c>
      <c r="O54" s="90"/>
      <c r="P54" s="92">
        <f>SUM(P7:P53)</f>
        <v>617571365503</v>
      </c>
      <c r="Q54" s="91"/>
      <c r="R54" s="92">
        <f>SUM(R7:R53)</f>
        <v>-4490745986</v>
      </c>
      <c r="S54" s="91"/>
      <c r="T54" s="92">
        <f>SUM(T7:T53)</f>
        <v>613080619517</v>
      </c>
      <c r="AB54" s="12" t="s">
        <v>245</v>
      </c>
    </row>
    <row r="55" spans="2:28" ht="23.25" thickTop="1" x14ac:dyDescent="0.25">
      <c r="H55" s="12"/>
      <c r="V55" s="207"/>
    </row>
    <row r="56" spans="2:28" ht="24.75" x14ac:dyDescent="0.25">
      <c r="J56" s="309"/>
      <c r="N56" s="309"/>
      <c r="P56" s="304"/>
      <c r="Q56" s="306"/>
      <c r="R56" s="304"/>
      <c r="S56" s="306"/>
      <c r="T56" s="304"/>
    </row>
    <row r="57" spans="2:28" ht="27.75" x14ac:dyDescent="0.25">
      <c r="J57" s="309"/>
      <c r="N57" s="309"/>
      <c r="P57" s="305"/>
      <c r="Q57" s="306"/>
      <c r="R57" s="151"/>
      <c r="S57" s="306"/>
      <c r="T57" s="304"/>
    </row>
    <row r="58" spans="2:28" ht="24.75" x14ac:dyDescent="0.25">
      <c r="J58" s="309"/>
      <c r="N58" s="309"/>
      <c r="P58" s="305"/>
      <c r="Q58" s="306"/>
      <c r="R58" s="305"/>
      <c r="S58" s="306"/>
      <c r="T58" s="305"/>
    </row>
    <row r="59" spans="2:28" ht="24.75" x14ac:dyDescent="0.25">
      <c r="J59" s="309"/>
      <c r="N59" s="309"/>
      <c r="P59" s="305"/>
      <c r="Q59" s="306"/>
      <c r="R59" s="305"/>
      <c r="S59" s="306"/>
      <c r="T59" s="307"/>
    </row>
    <row r="70" spans="18:34" x14ac:dyDescent="0.25">
      <c r="X70" s="250"/>
      <c r="Y70" s="250"/>
      <c r="Z70" s="250"/>
      <c r="AA70" s="250"/>
      <c r="AB70" s="250"/>
      <c r="AC70" s="251"/>
      <c r="AD70" s="252"/>
      <c r="AE70" s="253"/>
      <c r="AF70" s="253"/>
      <c r="AG70" s="253"/>
      <c r="AH70" s="253"/>
    </row>
    <row r="74" spans="18:34" ht="27.75" x14ac:dyDescent="0.25">
      <c r="R74" s="151">
        <v>2083</v>
      </c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4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C132"/>
  <sheetViews>
    <sheetView rightToLeft="1" view="pageBreakPreview" zoomScale="60" zoomScaleNormal="100" workbookViewId="0">
      <selection activeCell="R74" sqref="R74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7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2.140625" style="12" bestFit="1" customWidth="1"/>
    <col min="9" max="9" width="0.7109375" style="12" customWidth="1"/>
    <col min="10" max="10" width="32.5703125" style="12" bestFit="1" customWidth="1"/>
    <col min="11" max="11" width="0.7109375" style="12" customWidth="1"/>
    <col min="12" max="12" width="24.85546875" style="117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2.5703125" style="261" bestFit="1" customWidth="1"/>
    <col min="19" max="19" width="29.140625" style="257" bestFit="1" customWidth="1"/>
    <col min="20" max="20" width="37.5703125" style="117" bestFit="1" customWidth="1"/>
    <col min="21" max="21" width="22.28515625" style="12" bestFit="1" customWidth="1"/>
    <col min="22" max="22" width="57.85546875" style="185" bestFit="1" customWidth="1"/>
    <col min="23" max="23" width="57" style="185" customWidth="1"/>
    <col min="24" max="25" width="30.5703125" style="185" bestFit="1" customWidth="1"/>
    <col min="26" max="26" width="28.7109375" style="185" bestFit="1" customWidth="1"/>
    <col min="27" max="27" width="8.85546875" style="185"/>
    <col min="28" max="16384" width="8.85546875" style="12"/>
  </cols>
  <sheetData>
    <row r="1" spans="2:29" x14ac:dyDescent="0.25">
      <c r="B1" s="376" t="str">
        <f>'درآمد ناشی ازفروش'!B1:R1</f>
        <v>صندوق سرمایه گذاری شاخص سی شرکت بزرگ فیروزه</v>
      </c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Q1" s="376"/>
      <c r="R1" s="376"/>
      <c r="W1" s="186"/>
    </row>
    <row r="2" spans="2:29" x14ac:dyDescent="0.25">
      <c r="B2" s="376" t="s">
        <v>87</v>
      </c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W2" s="186"/>
    </row>
    <row r="3" spans="2:29" x14ac:dyDescent="0.25">
      <c r="B3" s="376" t="str">
        <f>' سهام'!AC6</f>
        <v>برای ماه منتهی به 1404/09/30</v>
      </c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W3" s="186"/>
    </row>
    <row r="4" spans="2:29" x14ac:dyDescent="0.25">
      <c r="B4" s="393" t="s">
        <v>97</v>
      </c>
      <c r="C4" s="393"/>
      <c r="D4" s="393"/>
      <c r="E4" s="393"/>
      <c r="F4" s="393"/>
      <c r="G4" s="393"/>
      <c r="H4" s="393"/>
      <c r="I4" s="393"/>
      <c r="W4" s="186"/>
      <c r="AC4" s="12" t="s">
        <v>187</v>
      </c>
    </row>
    <row r="5" spans="2:29" ht="34.5" thickBot="1" x14ac:dyDescent="0.3">
      <c r="D5" s="388" t="str">
        <f>' سهام'!AC7</f>
        <v>طی آذر ماه</v>
      </c>
      <c r="E5" s="388"/>
      <c r="F5" s="388"/>
      <c r="G5" s="388"/>
      <c r="H5" s="388"/>
      <c r="I5" s="388"/>
      <c r="J5" s="388"/>
      <c r="L5" s="388" t="str">
        <f>' سهام'!AC8</f>
        <v>از ابتدای سال مالی تا پایان آذر ماه</v>
      </c>
      <c r="M5" s="388"/>
      <c r="N5" s="388"/>
      <c r="O5" s="388"/>
      <c r="P5" s="388"/>
      <c r="Q5" s="388"/>
      <c r="R5" s="388"/>
      <c r="W5" s="186"/>
      <c r="AC5" s="12" t="s">
        <v>188</v>
      </c>
    </row>
    <row r="6" spans="2:29" ht="53.25" customHeight="1" thickBot="1" x14ac:dyDescent="0.3">
      <c r="B6" s="12" t="s">
        <v>64</v>
      </c>
      <c r="D6" s="111" t="s">
        <v>8</v>
      </c>
      <c r="F6" s="187" t="s">
        <v>32</v>
      </c>
      <c r="H6" s="134" t="s">
        <v>74</v>
      </c>
      <c r="J6" s="187" t="s">
        <v>75</v>
      </c>
      <c r="L6" s="111" t="s">
        <v>8</v>
      </c>
      <c r="N6" s="187" t="s">
        <v>32</v>
      </c>
      <c r="P6" s="134" t="s">
        <v>74</v>
      </c>
      <c r="R6" s="262" t="s">
        <v>75</v>
      </c>
      <c r="V6" s="186"/>
      <c r="W6" s="186"/>
      <c r="AC6" s="12" t="s">
        <v>189</v>
      </c>
    </row>
    <row r="7" spans="2:29" s="189" customFormat="1" ht="30" customHeight="1" x14ac:dyDescent="0.25">
      <c r="B7" s="188" t="s">
        <v>157</v>
      </c>
      <c r="C7" s="188"/>
      <c r="D7" s="101">
        <v>232900</v>
      </c>
      <c r="E7" s="101"/>
      <c r="F7" s="101">
        <v>524596280</v>
      </c>
      <c r="G7" s="101"/>
      <c r="H7" s="101">
        <v>-459888369</v>
      </c>
      <c r="I7" s="101"/>
      <c r="J7" s="101">
        <v>64707911</v>
      </c>
      <c r="K7" s="101"/>
      <c r="L7" s="101">
        <v>232900</v>
      </c>
      <c r="M7" s="101"/>
      <c r="N7" s="101">
        <v>524596280</v>
      </c>
      <c r="O7" s="101"/>
      <c r="P7" s="101">
        <v>-522807947</v>
      </c>
      <c r="Q7" s="101"/>
      <c r="R7" s="101">
        <v>1788333</v>
      </c>
      <c r="S7" s="256"/>
      <c r="T7" s="117"/>
      <c r="U7" s="174"/>
      <c r="V7" s="186"/>
      <c r="W7" s="186"/>
      <c r="X7" s="185"/>
      <c r="Y7" s="185"/>
      <c r="Z7" s="190"/>
      <c r="AA7" s="185"/>
      <c r="AC7" s="189" t="s">
        <v>190</v>
      </c>
    </row>
    <row r="8" spans="2:29" s="189" customFormat="1" ht="30" customHeight="1" x14ac:dyDescent="0.25">
      <c r="B8" s="188" t="s">
        <v>141</v>
      </c>
      <c r="C8" s="188"/>
      <c r="D8" s="101">
        <v>1000</v>
      </c>
      <c r="E8" s="101"/>
      <c r="F8" s="101">
        <v>56351013</v>
      </c>
      <c r="G8" s="101"/>
      <c r="H8" s="101">
        <v>-46061173</v>
      </c>
      <c r="I8" s="101"/>
      <c r="J8" s="101">
        <v>10289840</v>
      </c>
      <c r="K8" s="101"/>
      <c r="L8" s="101">
        <v>1000</v>
      </c>
      <c r="M8" s="101"/>
      <c r="N8" s="101">
        <v>56351013</v>
      </c>
      <c r="O8" s="101"/>
      <c r="P8" s="101">
        <v>-79176082</v>
      </c>
      <c r="Q8" s="101"/>
      <c r="R8" s="101">
        <v>-22825068</v>
      </c>
      <c r="S8" s="256"/>
      <c r="T8" s="117"/>
      <c r="U8" s="174"/>
      <c r="V8" s="186"/>
      <c r="W8" s="186"/>
      <c r="X8" s="185"/>
      <c r="Y8" s="185"/>
      <c r="Z8" s="190"/>
      <c r="AA8" s="185"/>
      <c r="AC8" s="189" t="s">
        <v>191</v>
      </c>
    </row>
    <row r="9" spans="2:29" s="189" customFormat="1" ht="30" customHeight="1" x14ac:dyDescent="0.25">
      <c r="B9" s="188" t="s">
        <v>251</v>
      </c>
      <c r="C9" s="188"/>
      <c r="D9" s="101">
        <v>1395395</v>
      </c>
      <c r="E9" s="101"/>
      <c r="F9" s="101">
        <v>5021975380</v>
      </c>
      <c r="G9" s="101"/>
      <c r="H9" s="101">
        <v>-4088749185</v>
      </c>
      <c r="I9" s="101"/>
      <c r="J9" s="101">
        <v>933226195</v>
      </c>
      <c r="K9" s="101"/>
      <c r="L9" s="101">
        <v>1395395</v>
      </c>
      <c r="M9" s="101"/>
      <c r="N9" s="101">
        <v>5021975380</v>
      </c>
      <c r="O9" s="101"/>
      <c r="P9" s="101">
        <v>-4615966660</v>
      </c>
      <c r="Q9" s="101"/>
      <c r="R9" s="101">
        <v>406008720</v>
      </c>
      <c r="S9" s="256"/>
      <c r="T9" s="117"/>
      <c r="U9" s="174"/>
      <c r="V9" s="186"/>
      <c r="W9" s="186"/>
      <c r="X9" s="185"/>
      <c r="Y9" s="185"/>
      <c r="Z9" s="190"/>
      <c r="AA9" s="185"/>
    </row>
    <row r="10" spans="2:29" s="189" customFormat="1" ht="30" customHeight="1" x14ac:dyDescent="0.25">
      <c r="B10" s="188" t="s">
        <v>201</v>
      </c>
      <c r="C10" s="188"/>
      <c r="D10" s="101">
        <v>14000000</v>
      </c>
      <c r="E10" s="101"/>
      <c r="F10" s="101">
        <v>38619148400</v>
      </c>
      <c r="G10" s="101"/>
      <c r="H10" s="101">
        <v>-35562956800</v>
      </c>
      <c r="I10" s="101"/>
      <c r="J10" s="101">
        <v>3056191599</v>
      </c>
      <c r="K10" s="101"/>
      <c r="L10" s="101">
        <v>14000000</v>
      </c>
      <c r="M10" s="101"/>
      <c r="N10" s="101">
        <v>38619148400</v>
      </c>
      <c r="O10" s="101"/>
      <c r="P10" s="101">
        <v>-34648837757</v>
      </c>
      <c r="Q10" s="101"/>
      <c r="R10" s="101">
        <v>3970310642</v>
      </c>
      <c r="S10" s="256"/>
      <c r="T10" s="117"/>
      <c r="U10" s="174"/>
      <c r="V10" s="186"/>
      <c r="W10" s="186"/>
      <c r="X10" s="185"/>
      <c r="Y10" s="185"/>
      <c r="Z10" s="190"/>
      <c r="AA10" s="185"/>
    </row>
    <row r="11" spans="2:29" s="189" customFormat="1" ht="30" customHeight="1" x14ac:dyDescent="0.25">
      <c r="B11" s="188" t="s">
        <v>137</v>
      </c>
      <c r="C11" s="188"/>
      <c r="D11" s="101">
        <v>100000</v>
      </c>
      <c r="E11" s="101"/>
      <c r="F11" s="101">
        <v>2634476850</v>
      </c>
      <c r="G11" s="101"/>
      <c r="H11" s="101">
        <v>-2087361792</v>
      </c>
      <c r="I11" s="101"/>
      <c r="J11" s="101">
        <v>547115058</v>
      </c>
      <c r="K11" s="101"/>
      <c r="L11" s="101">
        <v>100000</v>
      </c>
      <c r="M11" s="101"/>
      <c r="N11" s="101">
        <v>2634476850</v>
      </c>
      <c r="O11" s="101"/>
      <c r="P11" s="101">
        <v>-2087361792</v>
      </c>
      <c r="Q11" s="101"/>
      <c r="R11" s="101">
        <v>547115058</v>
      </c>
      <c r="S11" s="256"/>
      <c r="T11" s="117"/>
      <c r="U11" s="174"/>
      <c r="V11" s="186"/>
      <c r="W11" s="186"/>
      <c r="X11" s="185"/>
      <c r="Y11" s="185"/>
      <c r="Z11" s="190"/>
      <c r="AA11" s="185"/>
    </row>
    <row r="12" spans="2:29" s="189" customFormat="1" ht="30" customHeight="1" x14ac:dyDescent="0.25">
      <c r="B12" s="188" t="s">
        <v>128</v>
      </c>
      <c r="C12" s="188"/>
      <c r="D12" s="101">
        <v>6000000</v>
      </c>
      <c r="E12" s="101"/>
      <c r="F12" s="101">
        <v>18349056840</v>
      </c>
      <c r="G12" s="101"/>
      <c r="H12" s="101">
        <v>-13994239044</v>
      </c>
      <c r="I12" s="101"/>
      <c r="J12" s="101">
        <v>4354817796</v>
      </c>
      <c r="K12" s="101"/>
      <c r="L12" s="101">
        <v>6000000</v>
      </c>
      <c r="M12" s="101"/>
      <c r="N12" s="101">
        <v>18349056840</v>
      </c>
      <c r="O12" s="101"/>
      <c r="P12" s="101">
        <v>-15936609552</v>
      </c>
      <c r="Q12" s="101"/>
      <c r="R12" s="101">
        <v>2412447287</v>
      </c>
      <c r="S12" s="256"/>
      <c r="T12" s="117"/>
      <c r="U12" s="174"/>
      <c r="V12" s="186"/>
      <c r="W12" s="186"/>
      <c r="X12" s="185"/>
      <c r="Y12" s="185"/>
      <c r="Z12" s="190"/>
      <c r="AA12" s="185"/>
    </row>
    <row r="13" spans="2:29" s="189" customFormat="1" ht="30" customHeight="1" x14ac:dyDescent="0.25">
      <c r="B13" s="188" t="s">
        <v>117</v>
      </c>
      <c r="C13" s="188"/>
      <c r="D13" s="101">
        <v>2000000</v>
      </c>
      <c r="E13" s="101"/>
      <c r="F13" s="101">
        <v>784032217800</v>
      </c>
      <c r="G13" s="101"/>
      <c r="H13" s="101">
        <v>-618206254076</v>
      </c>
      <c r="I13" s="101"/>
      <c r="J13" s="101">
        <v>165825963724</v>
      </c>
      <c r="K13" s="101"/>
      <c r="L13" s="101">
        <v>2000000</v>
      </c>
      <c r="M13" s="101"/>
      <c r="N13" s="101">
        <v>784032217800</v>
      </c>
      <c r="O13" s="101"/>
      <c r="P13" s="101">
        <v>-576774220176</v>
      </c>
      <c r="Q13" s="101"/>
      <c r="R13" s="101">
        <v>207257997624</v>
      </c>
      <c r="S13" s="256"/>
      <c r="T13" s="117"/>
      <c r="U13" s="174"/>
      <c r="V13" s="186"/>
      <c r="W13" s="186"/>
      <c r="X13" s="185"/>
      <c r="Y13" s="185"/>
      <c r="Z13" s="190"/>
      <c r="AA13" s="185"/>
    </row>
    <row r="14" spans="2:29" s="189" customFormat="1" ht="30" customHeight="1" x14ac:dyDescent="0.25">
      <c r="B14" s="188" t="s">
        <v>146</v>
      </c>
      <c r="C14" s="188"/>
      <c r="D14" s="101">
        <v>1000</v>
      </c>
      <c r="E14" s="101"/>
      <c r="F14" s="101">
        <v>3924427</v>
      </c>
      <c r="G14" s="101"/>
      <c r="H14" s="101">
        <v>-3356849</v>
      </c>
      <c r="I14" s="101"/>
      <c r="J14" s="101">
        <v>567578</v>
      </c>
      <c r="K14" s="101"/>
      <c r="L14" s="101">
        <v>1000</v>
      </c>
      <c r="M14" s="101"/>
      <c r="N14" s="101">
        <v>3924427</v>
      </c>
      <c r="O14" s="101"/>
      <c r="P14" s="101">
        <v>-3874804</v>
      </c>
      <c r="Q14" s="101"/>
      <c r="R14" s="101">
        <v>49623</v>
      </c>
      <c r="S14" s="256"/>
      <c r="T14" s="117"/>
      <c r="U14" s="174"/>
      <c r="V14" s="186"/>
      <c r="W14" s="186"/>
      <c r="X14" s="185"/>
      <c r="Y14" s="185"/>
      <c r="Z14" s="190"/>
      <c r="AA14" s="185"/>
    </row>
    <row r="15" spans="2:29" s="189" customFormat="1" ht="30" customHeight="1" x14ac:dyDescent="0.25">
      <c r="B15" s="188" t="s">
        <v>241</v>
      </c>
      <c r="C15" s="188"/>
      <c r="D15" s="101">
        <v>7200000</v>
      </c>
      <c r="E15" s="101"/>
      <c r="F15" s="101">
        <v>57940629840</v>
      </c>
      <c r="G15" s="101"/>
      <c r="H15" s="101">
        <v>-67208723552</v>
      </c>
      <c r="I15" s="101"/>
      <c r="J15" s="101">
        <v>-9268093712</v>
      </c>
      <c r="K15" s="101"/>
      <c r="L15" s="101">
        <v>7200000</v>
      </c>
      <c r="M15" s="101"/>
      <c r="N15" s="101">
        <v>57940629840</v>
      </c>
      <c r="O15" s="101"/>
      <c r="P15" s="101">
        <v>-45581913906</v>
      </c>
      <c r="Q15" s="101"/>
      <c r="R15" s="101">
        <v>12358715934</v>
      </c>
      <c r="S15" s="256"/>
      <c r="T15" s="117"/>
      <c r="U15" s="174"/>
      <c r="V15" s="186"/>
      <c r="W15" s="186"/>
      <c r="X15" s="185"/>
      <c r="Y15" s="185"/>
      <c r="Z15" s="190"/>
      <c r="AA15" s="185"/>
    </row>
    <row r="16" spans="2:29" s="189" customFormat="1" ht="30" customHeight="1" x14ac:dyDescent="0.25">
      <c r="B16" s="188" t="s">
        <v>264</v>
      </c>
      <c r="C16" s="188"/>
      <c r="D16" s="101">
        <v>267500</v>
      </c>
      <c r="E16" s="101"/>
      <c r="F16" s="101">
        <v>7883337082</v>
      </c>
      <c r="G16" s="101"/>
      <c r="H16" s="101">
        <v>-7575228505</v>
      </c>
      <c r="I16" s="101"/>
      <c r="J16" s="101">
        <v>308108577</v>
      </c>
      <c r="K16" s="101"/>
      <c r="L16" s="101">
        <v>267500</v>
      </c>
      <c r="M16" s="101"/>
      <c r="N16" s="101">
        <v>7883337082</v>
      </c>
      <c r="O16" s="101"/>
      <c r="P16" s="101">
        <v>-7575228505</v>
      </c>
      <c r="Q16" s="101"/>
      <c r="R16" s="101">
        <v>308108577</v>
      </c>
      <c r="S16" s="256"/>
      <c r="T16" s="117"/>
      <c r="U16" s="174"/>
      <c r="V16" s="186"/>
      <c r="W16" s="186"/>
      <c r="X16" s="185"/>
      <c r="Y16" s="185"/>
      <c r="Z16" s="190"/>
      <c r="AA16" s="185"/>
    </row>
    <row r="17" spans="2:27" s="189" customFormat="1" ht="30" customHeight="1" x14ac:dyDescent="0.25">
      <c r="B17" s="188" t="s">
        <v>181</v>
      </c>
      <c r="C17" s="188"/>
      <c r="D17" s="101">
        <v>2700000</v>
      </c>
      <c r="E17" s="101"/>
      <c r="F17" s="101">
        <v>13714461351</v>
      </c>
      <c r="G17" s="101"/>
      <c r="H17" s="101">
        <v>-10583881802</v>
      </c>
      <c r="I17" s="101"/>
      <c r="J17" s="101">
        <v>3130579549</v>
      </c>
      <c r="K17" s="101"/>
      <c r="L17" s="101">
        <v>2700000</v>
      </c>
      <c r="M17" s="101"/>
      <c r="N17" s="101">
        <v>13714461351</v>
      </c>
      <c r="O17" s="101"/>
      <c r="P17" s="101">
        <v>-11635663561</v>
      </c>
      <c r="Q17" s="101"/>
      <c r="R17" s="101">
        <v>2078797790</v>
      </c>
      <c r="S17" s="256"/>
      <c r="T17" s="117"/>
      <c r="U17" s="174"/>
      <c r="V17" s="186"/>
      <c r="W17" s="186"/>
      <c r="X17" s="185"/>
      <c r="Y17" s="185"/>
      <c r="Z17" s="190"/>
      <c r="AA17" s="185"/>
    </row>
    <row r="18" spans="2:27" s="189" customFormat="1" ht="30" customHeight="1" x14ac:dyDescent="0.25">
      <c r="B18" s="188" t="s">
        <v>124</v>
      </c>
      <c r="C18" s="188"/>
      <c r="D18" s="101">
        <v>1000</v>
      </c>
      <c r="E18" s="101"/>
      <c r="F18" s="101">
        <v>15082504</v>
      </c>
      <c r="G18" s="101"/>
      <c r="H18" s="101">
        <v>-13465103</v>
      </c>
      <c r="I18" s="101"/>
      <c r="J18" s="101">
        <v>1617400</v>
      </c>
      <c r="K18" s="101"/>
      <c r="L18" s="101">
        <v>1000</v>
      </c>
      <c r="M18" s="101"/>
      <c r="N18" s="101">
        <v>15082504</v>
      </c>
      <c r="O18" s="101"/>
      <c r="P18" s="101">
        <v>-16437235</v>
      </c>
      <c r="Q18" s="101"/>
      <c r="R18" s="101">
        <v>-1354731</v>
      </c>
      <c r="S18" s="256"/>
      <c r="T18" s="117"/>
      <c r="U18" s="174"/>
      <c r="V18" s="186"/>
      <c r="W18" s="186"/>
      <c r="X18" s="185"/>
      <c r="Y18" s="185"/>
      <c r="Z18" s="190"/>
      <c r="AA18" s="185"/>
    </row>
    <row r="19" spans="2:27" s="189" customFormat="1" ht="30" customHeight="1" x14ac:dyDescent="0.25">
      <c r="B19" s="188" t="s">
        <v>125</v>
      </c>
      <c r="C19" s="188"/>
      <c r="D19" s="101">
        <v>3000000</v>
      </c>
      <c r="E19" s="101"/>
      <c r="F19" s="101">
        <v>249962735700</v>
      </c>
      <c r="G19" s="101"/>
      <c r="H19" s="101">
        <v>-194951607814</v>
      </c>
      <c r="I19" s="101"/>
      <c r="J19" s="101">
        <v>55011127886</v>
      </c>
      <c r="K19" s="101"/>
      <c r="L19" s="101">
        <v>3000000</v>
      </c>
      <c r="M19" s="101"/>
      <c r="N19" s="101">
        <v>249962735700</v>
      </c>
      <c r="O19" s="101"/>
      <c r="P19" s="101">
        <v>-171658046321</v>
      </c>
      <c r="Q19" s="101"/>
      <c r="R19" s="101">
        <v>78304689379</v>
      </c>
      <c r="S19" s="256"/>
      <c r="T19" s="117"/>
      <c r="U19" s="174"/>
      <c r="V19" s="186"/>
      <c r="W19" s="186"/>
      <c r="X19" s="185"/>
      <c r="Y19" s="185"/>
      <c r="Z19" s="190"/>
      <c r="AA19" s="185"/>
    </row>
    <row r="20" spans="2:27" s="189" customFormat="1" ht="30" customHeight="1" x14ac:dyDescent="0.25">
      <c r="B20" s="188" t="s">
        <v>113</v>
      </c>
      <c r="C20" s="188"/>
      <c r="D20" s="101">
        <v>140000000</v>
      </c>
      <c r="E20" s="101"/>
      <c r="F20" s="101">
        <v>868236250000</v>
      </c>
      <c r="G20" s="101"/>
      <c r="H20" s="101">
        <v>-727540430682</v>
      </c>
      <c r="I20" s="101"/>
      <c r="J20" s="101">
        <v>140695819318</v>
      </c>
      <c r="K20" s="101"/>
      <c r="L20" s="101">
        <v>140000000</v>
      </c>
      <c r="M20" s="101"/>
      <c r="N20" s="101">
        <v>868236250000</v>
      </c>
      <c r="O20" s="101"/>
      <c r="P20" s="101">
        <v>-522702698997</v>
      </c>
      <c r="Q20" s="101"/>
      <c r="R20" s="101">
        <v>345533551003</v>
      </c>
      <c r="S20" s="256"/>
      <c r="T20" s="117"/>
      <c r="U20" s="174"/>
      <c r="V20" s="186"/>
      <c r="W20" s="186"/>
      <c r="X20" s="185"/>
      <c r="Y20" s="185"/>
      <c r="Z20" s="190"/>
      <c r="AA20" s="185"/>
    </row>
    <row r="21" spans="2:27" s="189" customFormat="1" ht="30" customHeight="1" x14ac:dyDescent="0.25">
      <c r="B21" s="188" t="s">
        <v>180</v>
      </c>
      <c r="C21" s="188"/>
      <c r="D21" s="101">
        <v>58000000</v>
      </c>
      <c r="E21" s="101"/>
      <c r="F21" s="101">
        <v>155389482000</v>
      </c>
      <c r="G21" s="101"/>
      <c r="H21" s="101">
        <v>-130472925103</v>
      </c>
      <c r="I21" s="101"/>
      <c r="J21" s="101">
        <v>24916556896</v>
      </c>
      <c r="K21" s="101"/>
      <c r="L21" s="101">
        <v>58000000</v>
      </c>
      <c r="M21" s="101"/>
      <c r="N21" s="101">
        <v>155389482000</v>
      </c>
      <c r="O21" s="101"/>
      <c r="P21" s="101">
        <v>-131117964007</v>
      </c>
      <c r="Q21" s="101"/>
      <c r="R21" s="101">
        <v>24271517992</v>
      </c>
      <c r="S21" s="256"/>
      <c r="T21" s="117"/>
      <c r="U21" s="174"/>
      <c r="V21" s="186"/>
      <c r="W21" s="186"/>
      <c r="X21" s="185"/>
      <c r="Y21" s="185"/>
      <c r="Z21" s="190"/>
      <c r="AA21" s="185"/>
    </row>
    <row r="22" spans="2:27" s="189" customFormat="1" ht="30" customHeight="1" x14ac:dyDescent="0.25">
      <c r="B22" s="188" t="s">
        <v>119</v>
      </c>
      <c r="C22" s="188"/>
      <c r="D22" s="101">
        <v>2500000</v>
      </c>
      <c r="E22" s="101"/>
      <c r="F22" s="101">
        <v>127357854500</v>
      </c>
      <c r="G22" s="101"/>
      <c r="H22" s="101">
        <v>-107115053672</v>
      </c>
      <c r="I22" s="101"/>
      <c r="J22" s="101">
        <v>20242800828</v>
      </c>
      <c r="K22" s="101"/>
      <c r="L22" s="101">
        <v>2500000</v>
      </c>
      <c r="M22" s="101"/>
      <c r="N22" s="101">
        <v>127357854500</v>
      </c>
      <c r="O22" s="101"/>
      <c r="P22" s="101">
        <v>-109425838915</v>
      </c>
      <c r="Q22" s="101"/>
      <c r="R22" s="101">
        <v>17932015585</v>
      </c>
      <c r="S22" s="256"/>
      <c r="T22" s="117"/>
      <c r="U22" s="174"/>
      <c r="V22" s="186"/>
      <c r="W22" s="186"/>
      <c r="X22" s="185"/>
      <c r="Y22" s="185"/>
      <c r="Z22" s="190"/>
      <c r="AA22" s="185"/>
    </row>
    <row r="23" spans="2:27" s="189" customFormat="1" ht="30" customHeight="1" x14ac:dyDescent="0.25">
      <c r="B23" s="188" t="s">
        <v>192</v>
      </c>
      <c r="C23" s="188"/>
      <c r="D23" s="101">
        <v>25000000</v>
      </c>
      <c r="E23" s="101"/>
      <c r="F23" s="101">
        <v>122520538250</v>
      </c>
      <c r="G23" s="101"/>
      <c r="H23" s="101">
        <v>-108182236750</v>
      </c>
      <c r="I23" s="101"/>
      <c r="J23" s="101">
        <v>14338301499</v>
      </c>
      <c r="K23" s="101"/>
      <c r="L23" s="101">
        <v>25000000</v>
      </c>
      <c r="M23" s="101"/>
      <c r="N23" s="101">
        <v>122520538250</v>
      </c>
      <c r="O23" s="101"/>
      <c r="P23" s="101">
        <v>-94495873076</v>
      </c>
      <c r="Q23" s="101"/>
      <c r="R23" s="101">
        <v>28024665174</v>
      </c>
      <c r="S23" s="256"/>
      <c r="T23" s="117"/>
      <c r="U23" s="174"/>
      <c r="V23" s="186"/>
      <c r="W23" s="186"/>
      <c r="X23" s="185"/>
      <c r="Y23" s="185"/>
      <c r="Z23" s="190"/>
      <c r="AA23" s="185"/>
    </row>
    <row r="24" spans="2:27" s="189" customFormat="1" ht="30" customHeight="1" x14ac:dyDescent="0.25">
      <c r="B24" s="188" t="s">
        <v>116</v>
      </c>
      <c r="C24" s="188"/>
      <c r="D24" s="101">
        <v>1000</v>
      </c>
      <c r="E24" s="101"/>
      <c r="F24" s="101">
        <v>3184194</v>
      </c>
      <c r="G24" s="101"/>
      <c r="H24" s="101">
        <v>1520987009</v>
      </c>
      <c r="I24" s="101"/>
      <c r="J24" s="101">
        <v>1524171203</v>
      </c>
      <c r="K24" s="101"/>
      <c r="L24" s="101">
        <v>1000</v>
      </c>
      <c r="M24" s="101"/>
      <c r="N24" s="101">
        <v>3184194</v>
      </c>
      <c r="O24" s="101"/>
      <c r="P24" s="101">
        <v>-3590334</v>
      </c>
      <c r="Q24" s="101"/>
      <c r="R24" s="101">
        <v>-406139</v>
      </c>
      <c r="S24" s="256"/>
      <c r="T24" s="117"/>
      <c r="U24" s="174"/>
      <c r="V24" s="186"/>
      <c r="W24" s="186"/>
      <c r="X24" s="185"/>
      <c r="Y24" s="185"/>
      <c r="Z24" s="190"/>
      <c r="AA24" s="185"/>
    </row>
    <row r="25" spans="2:27" s="189" customFormat="1" ht="23.25" customHeight="1" x14ac:dyDescent="0.25">
      <c r="B25" s="188" t="s">
        <v>267</v>
      </c>
      <c r="C25" s="188"/>
      <c r="D25" s="101">
        <v>2083</v>
      </c>
      <c r="E25" s="101"/>
      <c r="F25" s="101">
        <v>10375830</v>
      </c>
      <c r="G25" s="101"/>
      <c r="H25" s="101">
        <v>-8311170</v>
      </c>
      <c r="I25" s="101"/>
      <c r="J25" s="101">
        <v>2064660</v>
      </c>
      <c r="K25" s="101"/>
      <c r="L25" s="101">
        <v>2083</v>
      </c>
      <c r="M25" s="101"/>
      <c r="N25" s="101">
        <v>10375830</v>
      </c>
      <c r="O25" s="101"/>
      <c r="P25" s="101">
        <v>-8311170</v>
      </c>
      <c r="Q25" s="101"/>
      <c r="R25" s="101">
        <v>2064660</v>
      </c>
      <c r="S25" s="256"/>
      <c r="T25" s="117"/>
      <c r="U25" s="174"/>
      <c r="V25" s="186"/>
      <c r="W25" s="186"/>
      <c r="X25" s="185"/>
      <c r="Y25" s="185"/>
      <c r="Z25" s="190"/>
      <c r="AA25" s="185"/>
    </row>
    <row r="26" spans="2:27" s="189" customFormat="1" ht="23.25" customHeight="1" x14ac:dyDescent="0.25">
      <c r="B26" s="188" t="s">
        <v>104</v>
      </c>
      <c r="C26" s="188"/>
      <c r="D26" s="101">
        <v>88000000</v>
      </c>
      <c r="E26" s="101"/>
      <c r="F26" s="101">
        <v>230698805920</v>
      </c>
      <c r="G26" s="101"/>
      <c r="H26" s="101">
        <v>-199732283643</v>
      </c>
      <c r="I26" s="101"/>
      <c r="J26" s="101">
        <v>30966522276</v>
      </c>
      <c r="K26" s="101"/>
      <c r="L26" s="101">
        <v>88000000</v>
      </c>
      <c r="M26" s="101"/>
      <c r="N26" s="101">
        <v>230698805920</v>
      </c>
      <c r="O26" s="101"/>
      <c r="P26" s="101">
        <v>-164619300034</v>
      </c>
      <c r="Q26" s="101"/>
      <c r="R26" s="101">
        <v>66079505886</v>
      </c>
      <c r="S26" s="256"/>
      <c r="T26" s="117"/>
      <c r="U26" s="174"/>
      <c r="V26" s="186"/>
      <c r="W26" s="186"/>
      <c r="X26" s="185"/>
      <c r="Y26" s="185"/>
      <c r="Z26" s="190"/>
      <c r="AA26" s="185"/>
    </row>
    <row r="27" spans="2:27" s="189" customFormat="1" ht="23.25" customHeight="1" x14ac:dyDescent="0.25">
      <c r="B27" s="188" t="s">
        <v>182</v>
      </c>
      <c r="C27" s="188"/>
      <c r="D27" s="101">
        <v>60000000</v>
      </c>
      <c r="E27" s="101"/>
      <c r="F27" s="101">
        <v>109070318400</v>
      </c>
      <c r="G27" s="101"/>
      <c r="H27" s="101">
        <v>-100735250400</v>
      </c>
      <c r="I27" s="101"/>
      <c r="J27" s="101">
        <v>8335067999</v>
      </c>
      <c r="K27" s="101"/>
      <c r="L27" s="101">
        <v>60000000</v>
      </c>
      <c r="M27" s="101"/>
      <c r="N27" s="101">
        <v>109070318400</v>
      </c>
      <c r="O27" s="101"/>
      <c r="P27" s="101">
        <v>-98042294767</v>
      </c>
      <c r="Q27" s="101"/>
      <c r="R27" s="101">
        <v>11028023632</v>
      </c>
      <c r="S27" s="256"/>
      <c r="T27" s="117"/>
      <c r="U27" s="174"/>
      <c r="V27" s="186"/>
      <c r="W27" s="186"/>
      <c r="X27" s="185"/>
      <c r="Y27" s="185"/>
      <c r="Z27" s="190"/>
      <c r="AA27" s="185"/>
    </row>
    <row r="28" spans="2:27" s="189" customFormat="1" ht="23.25" customHeight="1" x14ac:dyDescent="0.25">
      <c r="B28" s="188" t="s">
        <v>164</v>
      </c>
      <c r="C28" s="188"/>
      <c r="D28" s="101">
        <v>4000000</v>
      </c>
      <c r="E28" s="101"/>
      <c r="F28" s="101">
        <v>123636842000</v>
      </c>
      <c r="G28" s="101"/>
      <c r="H28" s="101">
        <v>-104624948800</v>
      </c>
      <c r="I28" s="101"/>
      <c r="J28" s="101">
        <v>19011893200</v>
      </c>
      <c r="K28" s="101"/>
      <c r="L28" s="101">
        <v>4000000</v>
      </c>
      <c r="M28" s="101"/>
      <c r="N28" s="101">
        <v>123636842000</v>
      </c>
      <c r="O28" s="101"/>
      <c r="P28" s="101">
        <v>-100822852615</v>
      </c>
      <c r="Q28" s="101"/>
      <c r="R28" s="101">
        <v>22813989385</v>
      </c>
      <c r="S28" s="256"/>
      <c r="T28" s="117"/>
      <c r="U28" s="174"/>
      <c r="V28" s="186"/>
      <c r="W28" s="186"/>
      <c r="X28" s="185"/>
      <c r="Y28" s="185"/>
      <c r="Z28" s="190"/>
      <c r="AA28" s="185"/>
    </row>
    <row r="29" spans="2:27" s="189" customFormat="1" ht="23.25" customHeight="1" x14ac:dyDescent="0.25">
      <c r="B29" s="188" t="s">
        <v>111</v>
      </c>
      <c r="C29" s="188"/>
      <c r="D29" s="101">
        <v>1000</v>
      </c>
      <c r="E29" s="101"/>
      <c r="F29" s="101">
        <v>5457485</v>
      </c>
      <c r="G29" s="101"/>
      <c r="H29" s="101">
        <v>-4718243</v>
      </c>
      <c r="I29" s="101"/>
      <c r="J29" s="101">
        <v>739241</v>
      </c>
      <c r="K29" s="101"/>
      <c r="L29" s="101">
        <v>1000</v>
      </c>
      <c r="M29" s="101"/>
      <c r="N29" s="101">
        <v>5457485</v>
      </c>
      <c r="O29" s="101"/>
      <c r="P29" s="101">
        <v>-1846946</v>
      </c>
      <c r="Q29" s="101"/>
      <c r="R29" s="101">
        <v>3610539</v>
      </c>
      <c r="S29" s="256"/>
      <c r="T29" s="117"/>
      <c r="U29" s="174"/>
      <c r="V29" s="186"/>
      <c r="W29" s="186"/>
      <c r="X29" s="185"/>
      <c r="Y29" s="185"/>
      <c r="Z29" s="190"/>
      <c r="AA29" s="185"/>
    </row>
    <row r="30" spans="2:27" s="189" customFormat="1" ht="23.25" customHeight="1" x14ac:dyDescent="0.25">
      <c r="B30" s="188" t="s">
        <v>136</v>
      </c>
      <c r="C30" s="188"/>
      <c r="D30" s="101">
        <v>5200000</v>
      </c>
      <c r="E30" s="101"/>
      <c r="F30" s="101">
        <v>2853371612</v>
      </c>
      <c r="G30" s="101"/>
      <c r="H30" s="101">
        <v>-2502504940</v>
      </c>
      <c r="I30" s="101"/>
      <c r="J30" s="101">
        <v>350866671</v>
      </c>
      <c r="K30" s="101"/>
      <c r="L30" s="101">
        <v>5200000</v>
      </c>
      <c r="M30" s="101"/>
      <c r="N30" s="101">
        <v>2853371612</v>
      </c>
      <c r="O30" s="101"/>
      <c r="P30" s="101">
        <v>-1992410329</v>
      </c>
      <c r="Q30" s="101"/>
      <c r="R30" s="101">
        <v>860961283</v>
      </c>
      <c r="S30" s="256"/>
      <c r="T30" s="117"/>
      <c r="U30" s="174"/>
      <c r="V30" s="186"/>
      <c r="W30" s="186"/>
      <c r="X30" s="185"/>
      <c r="Y30" s="185"/>
      <c r="Z30" s="190"/>
      <c r="AA30" s="185"/>
    </row>
    <row r="31" spans="2:27" s="189" customFormat="1" ht="23.25" customHeight="1" x14ac:dyDescent="0.25">
      <c r="B31" s="188" t="s">
        <v>135</v>
      </c>
      <c r="C31" s="188"/>
      <c r="D31" s="101">
        <v>1000</v>
      </c>
      <c r="E31" s="101"/>
      <c r="F31" s="101">
        <v>5953620</v>
      </c>
      <c r="G31" s="101"/>
      <c r="H31" s="101">
        <v>-4913721</v>
      </c>
      <c r="I31" s="101"/>
      <c r="J31" s="101">
        <v>1039899</v>
      </c>
      <c r="K31" s="101"/>
      <c r="L31" s="101">
        <v>1000</v>
      </c>
      <c r="M31" s="101"/>
      <c r="N31" s="101">
        <v>5953620</v>
      </c>
      <c r="O31" s="101"/>
      <c r="P31" s="101">
        <v>-4876726</v>
      </c>
      <c r="Q31" s="101"/>
      <c r="R31" s="101">
        <v>1076894</v>
      </c>
      <c r="S31" s="256"/>
      <c r="T31" s="117"/>
      <c r="U31" s="174"/>
      <c r="V31" s="186"/>
      <c r="W31" s="186"/>
      <c r="X31" s="185"/>
      <c r="Y31" s="185"/>
      <c r="Z31" s="190"/>
      <c r="AA31" s="185"/>
    </row>
    <row r="32" spans="2:27" s="189" customFormat="1" ht="23.25" customHeight="1" x14ac:dyDescent="0.25">
      <c r="B32" s="188" t="s">
        <v>238</v>
      </c>
      <c r="C32" s="188"/>
      <c r="D32" s="101">
        <v>40000000</v>
      </c>
      <c r="E32" s="101"/>
      <c r="F32" s="101">
        <v>213933412000</v>
      </c>
      <c r="G32" s="101"/>
      <c r="H32" s="101">
        <v>-175807053982</v>
      </c>
      <c r="I32" s="101"/>
      <c r="J32" s="101">
        <v>38126358018</v>
      </c>
      <c r="K32" s="101"/>
      <c r="L32" s="101">
        <v>40000000</v>
      </c>
      <c r="M32" s="101"/>
      <c r="N32" s="101">
        <v>213933412000</v>
      </c>
      <c r="O32" s="101"/>
      <c r="P32" s="101">
        <v>-160640153443</v>
      </c>
      <c r="Q32" s="101"/>
      <c r="R32" s="101">
        <v>53293258557</v>
      </c>
      <c r="S32" s="256"/>
      <c r="T32" s="117"/>
      <c r="U32" s="174"/>
      <c r="V32" s="186"/>
      <c r="W32" s="186"/>
      <c r="X32" s="185"/>
      <c r="Y32" s="185"/>
      <c r="Z32" s="190"/>
      <c r="AA32" s="185"/>
    </row>
    <row r="33" spans="2:27" s="189" customFormat="1" ht="23.25" customHeight="1" x14ac:dyDescent="0.25">
      <c r="B33" s="188" t="s">
        <v>134</v>
      </c>
      <c r="C33" s="188"/>
      <c r="D33" s="101">
        <v>11000000</v>
      </c>
      <c r="E33" s="101"/>
      <c r="F33" s="101">
        <v>167326490100</v>
      </c>
      <c r="G33" s="101"/>
      <c r="H33" s="101">
        <v>-134432951533</v>
      </c>
      <c r="I33" s="101"/>
      <c r="J33" s="101">
        <v>32893538566</v>
      </c>
      <c r="K33" s="101"/>
      <c r="L33" s="101">
        <v>11000000</v>
      </c>
      <c r="M33" s="101"/>
      <c r="N33" s="101">
        <v>167326490100</v>
      </c>
      <c r="O33" s="101"/>
      <c r="P33" s="101">
        <v>-107456742490</v>
      </c>
      <c r="Q33" s="101"/>
      <c r="R33" s="101">
        <v>59869747610</v>
      </c>
      <c r="S33" s="256"/>
      <c r="T33" s="117"/>
      <c r="U33" s="174"/>
      <c r="V33" s="186"/>
      <c r="W33" s="186"/>
      <c r="X33" s="185"/>
      <c r="Y33" s="185"/>
      <c r="Z33" s="190"/>
      <c r="AA33" s="185"/>
    </row>
    <row r="34" spans="2:27" s="189" customFormat="1" ht="23.25" customHeight="1" x14ac:dyDescent="0.25">
      <c r="B34" s="188" t="s">
        <v>122</v>
      </c>
      <c r="C34" s="188"/>
      <c r="D34" s="101">
        <v>88500000</v>
      </c>
      <c r="E34" s="101"/>
      <c r="F34" s="101">
        <v>915919784850</v>
      </c>
      <c r="G34" s="101"/>
      <c r="H34" s="101">
        <v>-782216735747</v>
      </c>
      <c r="I34" s="101"/>
      <c r="J34" s="101">
        <v>133703049103</v>
      </c>
      <c r="K34" s="101"/>
      <c r="L34" s="101">
        <v>88500000</v>
      </c>
      <c r="M34" s="101"/>
      <c r="N34" s="101">
        <v>915919784850</v>
      </c>
      <c r="O34" s="101"/>
      <c r="P34" s="101">
        <v>-691093433121</v>
      </c>
      <c r="Q34" s="101"/>
      <c r="R34" s="101">
        <v>224826351729</v>
      </c>
      <c r="S34" s="256"/>
      <c r="T34" s="117"/>
      <c r="U34" s="174"/>
      <c r="V34" s="186"/>
      <c r="W34" s="186"/>
      <c r="X34" s="185"/>
      <c r="Y34" s="185"/>
      <c r="Z34" s="190"/>
      <c r="AA34" s="185"/>
    </row>
    <row r="35" spans="2:27" s="189" customFormat="1" ht="23.25" customHeight="1" x14ac:dyDescent="0.25">
      <c r="B35" s="188" t="s">
        <v>266</v>
      </c>
      <c r="C35" s="188"/>
      <c r="D35" s="101">
        <v>515000</v>
      </c>
      <c r="E35" s="101"/>
      <c r="F35" s="101">
        <v>10353245953</v>
      </c>
      <c r="G35" s="101"/>
      <c r="H35" s="101">
        <v>-8540927220</v>
      </c>
      <c r="I35" s="101"/>
      <c r="J35" s="101">
        <v>1812318732</v>
      </c>
      <c r="K35" s="101"/>
      <c r="L35" s="101">
        <v>515000</v>
      </c>
      <c r="M35" s="101"/>
      <c r="N35" s="101">
        <v>10353245953</v>
      </c>
      <c r="O35" s="101"/>
      <c r="P35" s="101">
        <v>-8540927220</v>
      </c>
      <c r="Q35" s="101"/>
      <c r="R35" s="101">
        <v>1812318732</v>
      </c>
      <c r="S35" s="256"/>
      <c r="T35" s="117"/>
      <c r="U35" s="174"/>
      <c r="V35" s="186"/>
      <c r="W35" s="186"/>
      <c r="X35" s="185"/>
      <c r="Y35" s="185"/>
      <c r="Z35" s="190"/>
      <c r="AA35" s="185"/>
    </row>
    <row r="36" spans="2:27" s="189" customFormat="1" ht="23.25" customHeight="1" x14ac:dyDescent="0.25">
      <c r="B36" s="188" t="s">
        <v>123</v>
      </c>
      <c r="C36" s="188"/>
      <c r="D36" s="101">
        <v>137600000</v>
      </c>
      <c r="E36" s="101"/>
      <c r="F36" s="101">
        <v>528941827648</v>
      </c>
      <c r="G36" s="101"/>
      <c r="H36" s="101">
        <v>-448693571309</v>
      </c>
      <c r="I36" s="101"/>
      <c r="J36" s="101">
        <v>80248256339</v>
      </c>
      <c r="K36" s="101"/>
      <c r="L36" s="101">
        <v>137600000</v>
      </c>
      <c r="M36" s="101"/>
      <c r="N36" s="101">
        <v>528941827648</v>
      </c>
      <c r="O36" s="101"/>
      <c r="P36" s="101">
        <v>-444296053660</v>
      </c>
      <c r="Q36" s="101"/>
      <c r="R36" s="101">
        <v>84645773988</v>
      </c>
      <c r="S36" s="256"/>
      <c r="T36" s="117"/>
      <c r="U36" s="174"/>
      <c r="V36" s="186"/>
      <c r="W36" s="186"/>
      <c r="X36" s="185"/>
      <c r="Y36" s="185"/>
      <c r="Z36" s="190"/>
      <c r="AA36" s="185"/>
    </row>
    <row r="37" spans="2:27" s="189" customFormat="1" ht="23.25" customHeight="1" x14ac:dyDescent="0.25">
      <c r="B37" s="188" t="s">
        <v>120</v>
      </c>
      <c r="C37" s="188"/>
      <c r="D37" s="101">
        <v>5600000</v>
      </c>
      <c r="E37" s="101"/>
      <c r="F37" s="101">
        <v>121914261280</v>
      </c>
      <c r="G37" s="101"/>
      <c r="H37" s="101">
        <v>-97635632070</v>
      </c>
      <c r="I37" s="101"/>
      <c r="J37" s="101">
        <v>24278629210</v>
      </c>
      <c r="K37" s="101"/>
      <c r="L37" s="101">
        <v>5600000</v>
      </c>
      <c r="M37" s="101"/>
      <c r="N37" s="101">
        <v>121914261280</v>
      </c>
      <c r="O37" s="101"/>
      <c r="P37" s="101">
        <v>-109110821572</v>
      </c>
      <c r="Q37" s="101"/>
      <c r="R37" s="101">
        <v>12803439707</v>
      </c>
      <c r="S37" s="256"/>
      <c r="T37" s="117"/>
      <c r="U37" s="174"/>
      <c r="V37" s="186"/>
      <c r="W37" s="186"/>
      <c r="X37" s="185"/>
      <c r="Y37" s="185"/>
      <c r="Z37" s="190"/>
      <c r="AA37" s="192"/>
    </row>
    <row r="38" spans="2:27" s="189" customFormat="1" ht="23.25" customHeight="1" thickBot="1" x14ac:dyDescent="0.3">
      <c r="B38" s="188" t="s">
        <v>150</v>
      </c>
      <c r="C38" s="188"/>
      <c r="D38" s="101">
        <v>1783</v>
      </c>
      <c r="E38" s="101"/>
      <c r="F38" s="101">
        <v>10650688</v>
      </c>
      <c r="G38" s="101"/>
      <c r="H38" s="101">
        <v>-5292851</v>
      </c>
      <c r="I38" s="101"/>
      <c r="J38" s="101">
        <v>5357837</v>
      </c>
      <c r="K38" s="101"/>
      <c r="L38" s="101">
        <v>1783</v>
      </c>
      <c r="M38" s="101"/>
      <c r="N38" s="101">
        <v>10650688</v>
      </c>
      <c r="O38" s="101"/>
      <c r="P38" s="101">
        <v>-8904512</v>
      </c>
      <c r="Q38" s="101"/>
      <c r="R38" s="101">
        <v>1746176</v>
      </c>
      <c r="S38" s="256"/>
      <c r="T38" s="117"/>
      <c r="U38" s="174"/>
      <c r="V38" s="186"/>
      <c r="W38" s="186"/>
      <c r="X38" s="185"/>
      <c r="Y38" s="185"/>
      <c r="Z38" s="190"/>
      <c r="AA38" s="185"/>
    </row>
    <row r="39" spans="2:27" s="189" customFormat="1" ht="34.5" thickBot="1" x14ac:dyDescent="0.3">
      <c r="B39" s="193" t="s">
        <v>216</v>
      </c>
      <c r="C39" s="194"/>
      <c r="D39" s="98">
        <f>SUM(D7:D38)</f>
        <v>702820661</v>
      </c>
      <c r="E39" s="200"/>
      <c r="F39" s="98">
        <f>SUM(F7:F38)</f>
        <v>4876946099797</v>
      </c>
      <c r="G39" s="200"/>
      <c r="H39" s="98">
        <f>SUM(H7:H38)</f>
        <v>-4081516528891</v>
      </c>
      <c r="I39" s="200"/>
      <c r="J39" s="98">
        <f>SUM(J7:J38)</f>
        <v>795429570896</v>
      </c>
      <c r="K39" s="200"/>
      <c r="L39" s="98">
        <f>SUM(L7:L38)</f>
        <v>702820661</v>
      </c>
      <c r="M39" s="120"/>
      <c r="N39" s="98">
        <f>SUM(N7:N38)</f>
        <v>4876946099797</v>
      </c>
      <c r="O39" s="200"/>
      <c r="P39" s="98">
        <f>SUM(P7:P38)</f>
        <v>-3615521038232</v>
      </c>
      <c r="Q39" s="200"/>
      <c r="R39" s="98">
        <f>SUM(R7:R38)</f>
        <v>1261425061561</v>
      </c>
      <c r="S39" s="258"/>
      <c r="T39" s="117"/>
      <c r="U39" s="12"/>
      <c r="V39" s="186"/>
      <c r="W39" s="186"/>
      <c r="X39" s="185"/>
      <c r="Y39" s="185"/>
      <c r="Z39" s="190"/>
      <c r="AA39" s="185"/>
    </row>
    <row r="40" spans="2:27" s="189" customFormat="1" ht="34.5" thickTop="1" x14ac:dyDescent="0.25">
      <c r="B40" s="181"/>
      <c r="C40" s="171"/>
      <c r="D40" s="197"/>
      <c r="E40" s="194"/>
      <c r="F40" s="197"/>
      <c r="G40" s="196"/>
      <c r="H40" s="197"/>
      <c r="I40" s="196"/>
      <c r="J40" s="197"/>
      <c r="K40" s="196"/>
      <c r="L40" s="118"/>
      <c r="M40" s="196"/>
      <c r="N40" s="197"/>
      <c r="O40" s="196"/>
      <c r="P40" s="197"/>
      <c r="Q40" s="196"/>
      <c r="R40" s="197"/>
      <c r="S40" s="258"/>
      <c r="T40" s="117"/>
      <c r="U40" s="12"/>
      <c r="V40" s="186"/>
      <c r="W40" s="186"/>
      <c r="X40" s="185"/>
      <c r="Y40" s="185"/>
      <c r="Z40" s="190"/>
      <c r="AA40" s="185"/>
    </row>
    <row r="41" spans="2:27" x14ac:dyDescent="0.25">
      <c r="B41" s="393" t="s">
        <v>97</v>
      </c>
      <c r="C41" s="393"/>
      <c r="D41" s="393"/>
      <c r="E41" s="393"/>
      <c r="F41" s="393"/>
      <c r="G41" s="393"/>
      <c r="H41" s="393"/>
      <c r="I41" s="393"/>
      <c r="T41" s="185"/>
      <c r="U41" s="186"/>
      <c r="Z41" s="12"/>
      <c r="AA41" s="12" t="s">
        <v>187</v>
      </c>
    </row>
    <row r="42" spans="2:27" ht="34.5" thickBot="1" x14ac:dyDescent="0.3">
      <c r="D42" s="388" t="str">
        <f>D5</f>
        <v>طی آذر ماه</v>
      </c>
      <c r="E42" s="388"/>
      <c r="F42" s="388"/>
      <c r="G42" s="388"/>
      <c r="H42" s="388"/>
      <c r="I42" s="388"/>
      <c r="J42" s="388"/>
      <c r="L42" s="388" t="str">
        <f>L5</f>
        <v>از ابتدای سال مالی تا پایان آذر ماه</v>
      </c>
      <c r="M42" s="388"/>
      <c r="N42" s="388"/>
      <c r="O42" s="388"/>
      <c r="P42" s="388"/>
      <c r="Q42" s="388"/>
      <c r="R42" s="388"/>
      <c r="T42" s="185"/>
      <c r="U42" s="186"/>
      <c r="Z42" s="12"/>
      <c r="AA42" s="12" t="s">
        <v>188</v>
      </c>
    </row>
    <row r="43" spans="2:27" ht="53.25" customHeight="1" thickBot="1" x14ac:dyDescent="0.3">
      <c r="B43" s="12" t="s">
        <v>64</v>
      </c>
      <c r="D43" s="111" t="s">
        <v>8</v>
      </c>
      <c r="F43" s="187" t="s">
        <v>32</v>
      </c>
      <c r="H43" s="134" t="s">
        <v>74</v>
      </c>
      <c r="J43" s="187" t="s">
        <v>75</v>
      </c>
      <c r="L43" s="111" t="s">
        <v>8</v>
      </c>
      <c r="N43" s="187" t="s">
        <v>32</v>
      </c>
      <c r="P43" s="134" t="s">
        <v>74</v>
      </c>
      <c r="R43" s="262" t="s">
        <v>75</v>
      </c>
      <c r="T43" s="186"/>
      <c r="U43" s="186"/>
      <c r="Z43" s="12"/>
      <c r="AA43" s="12" t="s">
        <v>189</v>
      </c>
    </row>
    <row r="44" spans="2:27" s="189" customFormat="1" x14ac:dyDescent="0.25">
      <c r="B44" s="198" t="s">
        <v>217</v>
      </c>
      <c r="C44" s="188"/>
      <c r="D44" s="101">
        <f>D39</f>
        <v>702820661</v>
      </c>
      <c r="E44" s="101"/>
      <c r="F44" s="101">
        <f>F39</f>
        <v>4876946099797</v>
      </c>
      <c r="G44" s="101"/>
      <c r="H44" s="101">
        <f>H39</f>
        <v>-4081516528891</v>
      </c>
      <c r="I44" s="101"/>
      <c r="J44" s="101">
        <f>J39</f>
        <v>795429570896</v>
      </c>
      <c r="K44" s="101"/>
      <c r="L44" s="101">
        <f>L39</f>
        <v>702820661</v>
      </c>
      <c r="M44" s="101"/>
      <c r="N44" s="101">
        <f>N39</f>
        <v>4876946099797</v>
      </c>
      <c r="O44" s="101"/>
      <c r="P44" s="101">
        <f>P39</f>
        <v>-3615521038232</v>
      </c>
      <c r="Q44" s="101"/>
      <c r="R44" s="101">
        <f>R39</f>
        <v>1261425061561</v>
      </c>
      <c r="S44" s="256"/>
      <c r="T44" s="186"/>
      <c r="U44" s="186"/>
      <c r="V44" s="185"/>
      <c r="W44" s="185"/>
      <c r="X44" s="190"/>
      <c r="Y44" s="185"/>
    </row>
    <row r="45" spans="2:27" s="189" customFormat="1" x14ac:dyDescent="0.25">
      <c r="B45" s="188" t="s">
        <v>262</v>
      </c>
      <c r="C45" s="188"/>
      <c r="D45" s="101">
        <v>40000000</v>
      </c>
      <c r="E45" s="101"/>
      <c r="F45" s="101">
        <v>52669691600</v>
      </c>
      <c r="G45" s="101"/>
      <c r="H45" s="101">
        <v>-53183846240</v>
      </c>
      <c r="I45" s="101"/>
      <c r="J45" s="101">
        <v>-514154640</v>
      </c>
      <c r="K45" s="101"/>
      <c r="L45" s="101">
        <v>40000000</v>
      </c>
      <c r="M45" s="101"/>
      <c r="N45" s="101">
        <v>52669691600</v>
      </c>
      <c r="O45" s="101"/>
      <c r="P45" s="101">
        <v>-53183846240</v>
      </c>
      <c r="Q45" s="101"/>
      <c r="R45" s="101">
        <v>-514154640</v>
      </c>
      <c r="S45" s="256"/>
      <c r="T45" s="186"/>
      <c r="U45" s="186"/>
      <c r="V45" s="185"/>
      <c r="W45" s="185"/>
      <c r="X45" s="190"/>
      <c r="Y45" s="185"/>
    </row>
    <row r="46" spans="2:27" s="189" customFormat="1" x14ac:dyDescent="0.25">
      <c r="B46" s="188" t="s">
        <v>114</v>
      </c>
      <c r="C46" s="188"/>
      <c r="D46" s="101">
        <v>137000000</v>
      </c>
      <c r="E46" s="101"/>
      <c r="F46" s="101">
        <v>879538205300</v>
      </c>
      <c r="G46" s="101"/>
      <c r="H46" s="101">
        <v>-612836536185</v>
      </c>
      <c r="I46" s="101"/>
      <c r="J46" s="101">
        <v>266701669115</v>
      </c>
      <c r="K46" s="101"/>
      <c r="L46" s="101">
        <v>137000000</v>
      </c>
      <c r="M46" s="101"/>
      <c r="N46" s="101">
        <v>879538205300</v>
      </c>
      <c r="O46" s="101"/>
      <c r="P46" s="101">
        <v>-550309037976</v>
      </c>
      <c r="Q46" s="101"/>
      <c r="R46" s="101">
        <v>329229167324</v>
      </c>
      <c r="S46" s="256"/>
      <c r="T46" s="186"/>
      <c r="U46" s="186"/>
      <c r="V46" s="185"/>
      <c r="W46" s="185"/>
      <c r="X46" s="190"/>
      <c r="Y46" s="185"/>
    </row>
    <row r="47" spans="2:27" s="189" customFormat="1" x14ac:dyDescent="0.25">
      <c r="B47" s="188" t="s">
        <v>268</v>
      </c>
      <c r="C47" s="188"/>
      <c r="D47" s="101">
        <v>375000</v>
      </c>
      <c r="E47" s="101"/>
      <c r="F47" s="101">
        <v>10083943875</v>
      </c>
      <c r="G47" s="101"/>
      <c r="H47" s="101">
        <v>-6782788386</v>
      </c>
      <c r="I47" s="101"/>
      <c r="J47" s="101">
        <v>3301155489</v>
      </c>
      <c r="K47" s="101"/>
      <c r="L47" s="101">
        <v>375000</v>
      </c>
      <c r="M47" s="101"/>
      <c r="N47" s="101">
        <v>10083943875</v>
      </c>
      <c r="O47" s="101"/>
      <c r="P47" s="101">
        <v>-6782788386</v>
      </c>
      <c r="Q47" s="101"/>
      <c r="R47" s="101">
        <v>3301155489</v>
      </c>
      <c r="S47" s="256"/>
      <c r="T47" s="186"/>
      <c r="U47" s="186"/>
      <c r="V47" s="185"/>
      <c r="W47" s="185"/>
      <c r="X47" s="190"/>
      <c r="Y47" s="185"/>
    </row>
    <row r="48" spans="2:27" s="189" customFormat="1" x14ac:dyDescent="0.25">
      <c r="B48" s="188" t="s">
        <v>263</v>
      </c>
      <c r="C48" s="188"/>
      <c r="D48" s="101">
        <v>1000000</v>
      </c>
      <c r="E48" s="101"/>
      <c r="F48" s="101">
        <v>13842166500</v>
      </c>
      <c r="G48" s="101"/>
      <c r="H48" s="101">
        <v>-13578102653</v>
      </c>
      <c r="I48" s="101"/>
      <c r="J48" s="101">
        <v>264063846</v>
      </c>
      <c r="K48" s="101"/>
      <c r="L48" s="101">
        <v>1000000</v>
      </c>
      <c r="M48" s="101"/>
      <c r="N48" s="101">
        <v>13842166500</v>
      </c>
      <c r="O48" s="101"/>
      <c r="P48" s="101">
        <v>-13578102653</v>
      </c>
      <c r="Q48" s="101"/>
      <c r="R48" s="101">
        <v>264063846</v>
      </c>
      <c r="S48" s="256"/>
      <c r="T48" s="186"/>
      <c r="U48" s="186"/>
      <c r="V48" s="185"/>
      <c r="W48" s="185"/>
      <c r="X48" s="190"/>
      <c r="Y48" s="185"/>
    </row>
    <row r="49" spans="2:27" s="189" customFormat="1" x14ac:dyDescent="0.25">
      <c r="B49" s="188" t="s">
        <v>118</v>
      </c>
      <c r="C49" s="188"/>
      <c r="D49" s="101">
        <v>2000000</v>
      </c>
      <c r="E49" s="101"/>
      <c r="F49" s="101">
        <v>120957713000</v>
      </c>
      <c r="G49" s="101"/>
      <c r="H49" s="101">
        <v>-111224827144</v>
      </c>
      <c r="I49" s="101"/>
      <c r="J49" s="101">
        <v>9732885855</v>
      </c>
      <c r="K49" s="101"/>
      <c r="L49" s="101">
        <v>2000000</v>
      </c>
      <c r="M49" s="101"/>
      <c r="N49" s="101">
        <v>120957713000</v>
      </c>
      <c r="O49" s="101"/>
      <c r="P49" s="101">
        <v>-111248648329</v>
      </c>
      <c r="Q49" s="101"/>
      <c r="R49" s="101">
        <v>9709064670</v>
      </c>
      <c r="S49" s="256"/>
      <c r="T49" s="186"/>
      <c r="U49" s="186"/>
      <c r="V49" s="185"/>
      <c r="W49" s="185"/>
      <c r="X49" s="190"/>
      <c r="Y49" s="185"/>
    </row>
    <row r="50" spans="2:27" s="189" customFormat="1" x14ac:dyDescent="0.25">
      <c r="B50" s="188" t="s">
        <v>126</v>
      </c>
      <c r="C50" s="188"/>
      <c r="D50" s="101">
        <v>1000</v>
      </c>
      <c r="E50" s="101"/>
      <c r="F50" s="101">
        <v>586431</v>
      </c>
      <c r="G50" s="101"/>
      <c r="H50" s="101">
        <v>-470335</v>
      </c>
      <c r="I50" s="101"/>
      <c r="J50" s="101">
        <v>116096</v>
      </c>
      <c r="K50" s="101"/>
      <c r="L50" s="101">
        <v>1000</v>
      </c>
      <c r="M50" s="101"/>
      <c r="N50" s="101">
        <v>586431</v>
      </c>
      <c r="O50" s="101"/>
      <c r="P50" s="101">
        <v>-483356</v>
      </c>
      <c r="Q50" s="101"/>
      <c r="R50" s="101">
        <v>103075</v>
      </c>
      <c r="S50" s="256"/>
      <c r="T50" s="186"/>
      <c r="U50" s="186"/>
      <c r="V50" s="185"/>
      <c r="W50" s="185"/>
      <c r="X50" s="190"/>
      <c r="Y50" s="185"/>
    </row>
    <row r="51" spans="2:27" s="189" customFormat="1" x14ac:dyDescent="0.25">
      <c r="B51" s="188" t="s">
        <v>131</v>
      </c>
      <c r="C51" s="188"/>
      <c r="D51" s="101">
        <v>12000000</v>
      </c>
      <c r="E51" s="101"/>
      <c r="F51" s="101">
        <v>250052040000</v>
      </c>
      <c r="G51" s="101"/>
      <c r="H51" s="101">
        <v>-197198613702</v>
      </c>
      <c r="I51" s="101"/>
      <c r="J51" s="101">
        <v>52853426298</v>
      </c>
      <c r="K51" s="101"/>
      <c r="L51" s="101">
        <v>12000000</v>
      </c>
      <c r="M51" s="101"/>
      <c r="N51" s="101">
        <v>250052040000</v>
      </c>
      <c r="O51" s="101"/>
      <c r="P51" s="101">
        <v>-275648177910</v>
      </c>
      <c r="Q51" s="101"/>
      <c r="R51" s="101">
        <v>-25596137910</v>
      </c>
      <c r="S51" s="256"/>
      <c r="T51" s="186"/>
      <c r="U51" s="186"/>
      <c r="V51" s="185"/>
      <c r="W51" s="185"/>
      <c r="X51" s="190"/>
      <c r="Y51" s="185"/>
    </row>
    <row r="52" spans="2:27" s="189" customFormat="1" x14ac:dyDescent="0.25">
      <c r="B52" s="188" t="s">
        <v>115</v>
      </c>
      <c r="C52" s="188"/>
      <c r="D52" s="101">
        <v>18000000</v>
      </c>
      <c r="E52" s="101"/>
      <c r="F52" s="101">
        <v>65192139000</v>
      </c>
      <c r="G52" s="101"/>
      <c r="H52" s="101">
        <v>-56891965330</v>
      </c>
      <c r="I52" s="101"/>
      <c r="J52" s="101">
        <v>8300173670</v>
      </c>
      <c r="K52" s="101"/>
      <c r="L52" s="101">
        <v>18000000</v>
      </c>
      <c r="M52" s="101"/>
      <c r="N52" s="101">
        <v>65192139000</v>
      </c>
      <c r="O52" s="101"/>
      <c r="P52" s="101">
        <v>-44873926802</v>
      </c>
      <c r="Q52" s="101"/>
      <c r="R52" s="101">
        <v>20318212198</v>
      </c>
      <c r="S52" s="256"/>
      <c r="T52" s="186"/>
      <c r="U52" s="186"/>
      <c r="V52" s="185"/>
      <c r="W52" s="185"/>
      <c r="X52" s="190"/>
      <c r="Y52" s="185"/>
    </row>
    <row r="53" spans="2:27" s="189" customFormat="1" x14ac:dyDescent="0.25">
      <c r="B53" s="188" t="s">
        <v>253</v>
      </c>
      <c r="C53" s="188"/>
      <c r="D53" s="101">
        <v>562500</v>
      </c>
      <c r="E53" s="101"/>
      <c r="F53" s="101">
        <v>5542448118</v>
      </c>
      <c r="G53" s="101"/>
      <c r="H53" s="101">
        <v>-5654078493</v>
      </c>
      <c r="I53" s="101"/>
      <c r="J53" s="101">
        <v>-111630374</v>
      </c>
      <c r="K53" s="101"/>
      <c r="L53" s="101">
        <v>562500</v>
      </c>
      <c r="M53" s="101"/>
      <c r="N53" s="101">
        <v>5542448118</v>
      </c>
      <c r="O53" s="101"/>
      <c r="P53" s="101">
        <v>-4998586413</v>
      </c>
      <c r="Q53" s="101"/>
      <c r="R53" s="101">
        <v>543861705</v>
      </c>
      <c r="S53" s="256"/>
      <c r="T53" s="186"/>
      <c r="U53" s="186"/>
      <c r="V53" s="185"/>
      <c r="W53" s="185"/>
      <c r="X53" s="190"/>
      <c r="Y53" s="185"/>
    </row>
    <row r="54" spans="2:27" s="189" customFormat="1" x14ac:dyDescent="0.25">
      <c r="B54" s="188" t="s">
        <v>129</v>
      </c>
      <c r="C54" s="188"/>
      <c r="D54" s="101">
        <v>107985195</v>
      </c>
      <c r="E54" s="101"/>
      <c r="F54" s="101">
        <v>1241873940840</v>
      </c>
      <c r="G54" s="101"/>
      <c r="H54" s="101">
        <v>-1003729715228</v>
      </c>
      <c r="I54" s="101"/>
      <c r="J54" s="101">
        <v>238144225612</v>
      </c>
      <c r="K54" s="101"/>
      <c r="L54" s="101">
        <v>107985195</v>
      </c>
      <c r="M54" s="101"/>
      <c r="N54" s="101">
        <v>1241873940840</v>
      </c>
      <c r="O54" s="101"/>
      <c r="P54" s="101">
        <v>-873369767254</v>
      </c>
      <c r="Q54" s="101"/>
      <c r="R54" s="101">
        <v>368504173586</v>
      </c>
      <c r="S54" s="256"/>
      <c r="T54" s="186"/>
      <c r="U54" s="186"/>
      <c r="V54" s="119"/>
      <c r="W54" s="119"/>
      <c r="X54" s="190"/>
      <c r="Y54" s="185"/>
    </row>
    <row r="55" spans="2:27" s="189" customFormat="1" x14ac:dyDescent="0.25">
      <c r="B55" s="188" t="s">
        <v>121</v>
      </c>
      <c r="C55" s="188"/>
      <c r="D55" s="101">
        <v>40863003</v>
      </c>
      <c r="E55" s="101"/>
      <c r="F55" s="101">
        <v>575769274212</v>
      </c>
      <c r="G55" s="101"/>
      <c r="H55" s="101">
        <v>-458366671469</v>
      </c>
      <c r="I55" s="101"/>
      <c r="J55" s="101">
        <v>117402602743</v>
      </c>
      <c r="K55" s="101"/>
      <c r="L55" s="101">
        <v>40863003</v>
      </c>
      <c r="M55" s="101"/>
      <c r="N55" s="101">
        <v>575769274212</v>
      </c>
      <c r="O55" s="101"/>
      <c r="P55" s="101">
        <v>-400454614222</v>
      </c>
      <c r="Q55" s="101"/>
      <c r="R55" s="101">
        <v>175314659990</v>
      </c>
      <c r="S55" s="256"/>
      <c r="T55" s="186"/>
      <c r="U55" s="185"/>
      <c r="V55" s="119"/>
      <c r="W55" s="119"/>
      <c r="X55" s="190"/>
      <c r="Y55" s="185"/>
    </row>
    <row r="56" spans="2:27" s="189" customFormat="1" x14ac:dyDescent="0.25">
      <c r="B56" s="188" t="s">
        <v>252</v>
      </c>
      <c r="C56" s="188"/>
      <c r="D56" s="101">
        <v>360000</v>
      </c>
      <c r="E56" s="101"/>
      <c r="F56" s="101">
        <v>4515225408</v>
      </c>
      <c r="G56" s="101"/>
      <c r="H56" s="101">
        <v>-4793854824</v>
      </c>
      <c r="I56" s="101"/>
      <c r="J56" s="101">
        <v>-278629416</v>
      </c>
      <c r="K56" s="101"/>
      <c r="L56" s="101">
        <v>360000</v>
      </c>
      <c r="M56" s="101"/>
      <c r="N56" s="101">
        <v>4515225408</v>
      </c>
      <c r="O56" s="101"/>
      <c r="P56" s="101">
        <v>-3620597726</v>
      </c>
      <c r="Q56" s="101"/>
      <c r="R56" s="101">
        <v>894627681</v>
      </c>
      <c r="S56" s="256"/>
      <c r="T56" s="186"/>
      <c r="U56" s="185"/>
      <c r="V56" s="119"/>
      <c r="W56" s="119"/>
      <c r="X56" s="190"/>
      <c r="Y56" s="185"/>
    </row>
    <row r="57" spans="2:27" s="189" customFormat="1" x14ac:dyDescent="0.25">
      <c r="B57" s="188" t="s">
        <v>112</v>
      </c>
      <c r="C57" s="188"/>
      <c r="D57" s="101">
        <v>471400000</v>
      </c>
      <c r="E57" s="101"/>
      <c r="F57" s="101">
        <v>689472458972</v>
      </c>
      <c r="G57" s="101"/>
      <c r="H57" s="101">
        <v>-589979252083</v>
      </c>
      <c r="I57" s="101"/>
      <c r="J57" s="101">
        <v>99493206888</v>
      </c>
      <c r="K57" s="101"/>
      <c r="L57" s="101">
        <v>471400000</v>
      </c>
      <c r="M57" s="101"/>
      <c r="N57" s="101">
        <v>689472458972</v>
      </c>
      <c r="O57" s="101"/>
      <c r="P57" s="101">
        <v>-590889248081</v>
      </c>
      <c r="Q57" s="101"/>
      <c r="R57" s="151">
        <v>1783</v>
      </c>
      <c r="S57" s="256"/>
      <c r="T57" s="186"/>
      <c r="U57" s="185"/>
      <c r="V57" s="119"/>
      <c r="W57" s="119"/>
      <c r="X57" s="190"/>
      <c r="Y57" s="185"/>
    </row>
    <row r="58" spans="2:27" s="189" customFormat="1" x14ac:dyDescent="0.25">
      <c r="B58" s="188" t="s">
        <v>139</v>
      </c>
      <c r="C58" s="188"/>
      <c r="D58" s="101">
        <v>21000000</v>
      </c>
      <c r="E58" s="101"/>
      <c r="F58" s="101">
        <v>157116031800</v>
      </c>
      <c r="G58" s="101"/>
      <c r="H58" s="101">
        <v>-113433309114</v>
      </c>
      <c r="I58" s="101"/>
      <c r="J58" s="101">
        <v>43682722686</v>
      </c>
      <c r="K58" s="101"/>
      <c r="L58" s="101">
        <v>21000000</v>
      </c>
      <c r="M58" s="101"/>
      <c r="N58" s="101">
        <v>157116031800</v>
      </c>
      <c r="O58" s="101"/>
      <c r="P58" s="101">
        <v>-155533298570</v>
      </c>
      <c r="Q58" s="101"/>
      <c r="R58" s="101">
        <v>1582733229</v>
      </c>
      <c r="S58" s="256"/>
      <c r="T58" s="186"/>
      <c r="U58" s="185"/>
      <c r="V58" s="119"/>
      <c r="W58" s="119"/>
      <c r="X58" s="190"/>
      <c r="Y58" s="185"/>
    </row>
    <row r="59" spans="2:27" s="189" customFormat="1" x14ac:dyDescent="0.25">
      <c r="B59" s="188" t="s">
        <v>110</v>
      </c>
      <c r="C59" s="188"/>
      <c r="D59" s="101">
        <v>120000000</v>
      </c>
      <c r="E59" s="101"/>
      <c r="F59" s="101">
        <v>74063032800</v>
      </c>
      <c r="G59" s="101"/>
      <c r="H59" s="101">
        <v>-63822806400</v>
      </c>
      <c r="I59" s="101"/>
      <c r="J59" s="101">
        <v>10240226399</v>
      </c>
      <c r="K59" s="101"/>
      <c r="L59" s="101">
        <v>120000000</v>
      </c>
      <c r="M59" s="101"/>
      <c r="N59" s="101">
        <v>74063032800</v>
      </c>
      <c r="O59" s="101"/>
      <c r="P59" s="101">
        <v>-60756243300</v>
      </c>
      <c r="Q59" s="101"/>
      <c r="R59" s="101">
        <v>13306789499</v>
      </c>
      <c r="S59" s="256"/>
      <c r="T59" s="186"/>
      <c r="U59" s="185"/>
      <c r="V59" s="119"/>
      <c r="W59" s="119"/>
      <c r="X59" s="190"/>
      <c r="Y59" s="185"/>
    </row>
    <row r="60" spans="2:27" s="189" customFormat="1" x14ac:dyDescent="0.25">
      <c r="B60" s="188" t="s">
        <v>144</v>
      </c>
      <c r="C60" s="188"/>
      <c r="D60" s="101">
        <v>14000000</v>
      </c>
      <c r="E60" s="101"/>
      <c r="F60" s="101">
        <v>188233619000</v>
      </c>
      <c r="G60" s="101"/>
      <c r="H60" s="101">
        <v>-169070587320</v>
      </c>
      <c r="I60" s="101"/>
      <c r="J60" s="101">
        <v>19163031679</v>
      </c>
      <c r="K60" s="101"/>
      <c r="L60" s="101">
        <v>14000000</v>
      </c>
      <c r="M60" s="101"/>
      <c r="N60" s="101">
        <v>188233619000</v>
      </c>
      <c r="O60" s="101"/>
      <c r="P60" s="101">
        <v>-176107623600</v>
      </c>
      <c r="Q60" s="101"/>
      <c r="R60" s="101">
        <v>12125995399</v>
      </c>
      <c r="S60" s="256"/>
      <c r="T60" s="186"/>
      <c r="U60" s="185"/>
      <c r="V60" s="119"/>
      <c r="W60" s="119"/>
      <c r="X60" s="190"/>
      <c r="Y60" s="185"/>
    </row>
    <row r="61" spans="2:27" s="189" customFormat="1" x14ac:dyDescent="0.25">
      <c r="B61" s="188" t="s">
        <v>145</v>
      </c>
      <c r="C61" s="188"/>
      <c r="D61" s="101">
        <v>68000000</v>
      </c>
      <c r="E61" s="101"/>
      <c r="F61" s="101">
        <v>39809872400</v>
      </c>
      <c r="G61" s="101"/>
      <c r="H61" s="101">
        <v>-31644623288</v>
      </c>
      <c r="I61" s="101"/>
      <c r="J61" s="101">
        <v>8165249111</v>
      </c>
      <c r="K61" s="101"/>
      <c r="L61" s="101">
        <v>68000000</v>
      </c>
      <c r="M61" s="101"/>
      <c r="N61" s="101">
        <v>39809872400</v>
      </c>
      <c r="O61" s="101"/>
      <c r="P61" s="101">
        <v>-32035402168</v>
      </c>
      <c r="Q61" s="101"/>
      <c r="R61" s="101">
        <v>7774470231</v>
      </c>
      <c r="S61" s="256"/>
      <c r="T61" s="186"/>
      <c r="U61" s="185"/>
      <c r="V61" s="119"/>
      <c r="W61" s="119"/>
      <c r="X61" s="190"/>
      <c r="Y61" s="185"/>
    </row>
    <row r="62" spans="2:27" s="189" customFormat="1" x14ac:dyDescent="0.25">
      <c r="B62" s="188" t="s">
        <v>127</v>
      </c>
      <c r="C62" s="188"/>
      <c r="D62" s="101">
        <v>1000</v>
      </c>
      <c r="E62" s="101"/>
      <c r="F62" s="101">
        <v>2534257</v>
      </c>
      <c r="G62" s="101"/>
      <c r="H62" s="101">
        <v>-2142310</v>
      </c>
      <c r="I62" s="101"/>
      <c r="J62" s="101">
        <v>391947</v>
      </c>
      <c r="K62" s="101"/>
      <c r="L62" s="101">
        <v>1000</v>
      </c>
      <c r="M62" s="101"/>
      <c r="N62" s="101">
        <v>2534257</v>
      </c>
      <c r="O62" s="101"/>
      <c r="P62" s="101">
        <v>-2282542</v>
      </c>
      <c r="Q62" s="101"/>
      <c r="R62" s="101">
        <v>251729</v>
      </c>
      <c r="S62" s="256"/>
      <c r="T62" s="186"/>
      <c r="U62" s="185"/>
      <c r="V62" s="119"/>
      <c r="W62" s="119"/>
      <c r="X62" s="190"/>
      <c r="Y62" s="185"/>
    </row>
    <row r="63" spans="2:27" s="189" customFormat="1" x14ac:dyDescent="0.25">
      <c r="B63" s="188" t="s">
        <v>130</v>
      </c>
      <c r="C63" s="188"/>
      <c r="D63" s="101">
        <v>300000000</v>
      </c>
      <c r="E63" s="101"/>
      <c r="F63" s="101">
        <v>510522915000</v>
      </c>
      <c r="G63" s="101"/>
      <c r="H63" s="101">
        <v>-395465244993</v>
      </c>
      <c r="I63" s="101"/>
      <c r="J63" s="101">
        <v>115057670007</v>
      </c>
      <c r="K63" s="101"/>
      <c r="L63" s="101">
        <v>300000000</v>
      </c>
      <c r="M63" s="101"/>
      <c r="N63" s="101">
        <v>510522915000</v>
      </c>
      <c r="O63" s="101"/>
      <c r="P63" s="101">
        <v>-474949617148</v>
      </c>
      <c r="Q63" s="101"/>
      <c r="R63" s="101">
        <v>35573297851</v>
      </c>
      <c r="S63" s="256"/>
      <c r="T63" s="117"/>
      <c r="U63" s="199"/>
      <c r="V63" s="186"/>
      <c r="W63" s="185"/>
      <c r="X63" s="119"/>
      <c r="Y63" s="119"/>
      <c r="Z63" s="190"/>
      <c r="AA63" s="185"/>
    </row>
    <row r="64" spans="2:27" s="189" customFormat="1" ht="34.5" thickBot="1" x14ac:dyDescent="0.3">
      <c r="B64" s="188" t="s">
        <v>143</v>
      </c>
      <c r="C64" s="188"/>
      <c r="D64" s="101">
        <v>6000000</v>
      </c>
      <c r="E64" s="101"/>
      <c r="F64" s="101">
        <v>268031972400</v>
      </c>
      <c r="G64" s="101"/>
      <c r="H64" s="101">
        <v>-213854030400</v>
      </c>
      <c r="I64" s="101"/>
      <c r="J64" s="101">
        <v>54177941999</v>
      </c>
      <c r="K64" s="101"/>
      <c r="L64" s="101">
        <v>6000000</v>
      </c>
      <c r="M64" s="101"/>
      <c r="N64" s="101">
        <v>268031972400</v>
      </c>
      <c r="O64" s="101"/>
      <c r="P64" s="101">
        <v>-221563793094</v>
      </c>
      <c r="Q64" s="101"/>
      <c r="R64" s="101">
        <v>46468179305</v>
      </c>
      <c r="S64" s="256"/>
      <c r="T64" s="117"/>
      <c r="U64" s="199"/>
      <c r="V64" s="186"/>
      <c r="W64" s="185"/>
      <c r="X64" s="119"/>
      <c r="Y64" s="119"/>
      <c r="Z64" s="190"/>
      <c r="AA64" s="185"/>
    </row>
    <row r="65" spans="1:27" s="189" customFormat="1" ht="34.5" thickBot="1" x14ac:dyDescent="0.3">
      <c r="A65" s="12"/>
      <c r="B65" s="189" t="s">
        <v>7</v>
      </c>
      <c r="D65" s="98">
        <f>SUM(D44:D64)</f>
        <v>2063368359</v>
      </c>
      <c r="E65" s="200"/>
      <c r="F65" s="98">
        <f>SUM(F44:F64)</f>
        <v>10024235910710</v>
      </c>
      <c r="G65" s="200"/>
      <c r="H65" s="98">
        <f>SUM(H44:H64)</f>
        <v>-8183029994788</v>
      </c>
      <c r="I65" s="200"/>
      <c r="J65" s="98">
        <f>SUM(J44:J64)</f>
        <v>1841205915906</v>
      </c>
      <c r="K65" s="200"/>
      <c r="L65" s="98">
        <f>SUM(L44:L64)</f>
        <v>2063368359</v>
      </c>
      <c r="M65" s="120"/>
      <c r="N65" s="98">
        <f>SUM(N44:N64)</f>
        <v>10024235910710</v>
      </c>
      <c r="O65" s="200"/>
      <c r="P65" s="98">
        <f>SUM(P44:P64)</f>
        <v>-7665427124002</v>
      </c>
      <c r="Q65" s="200"/>
      <c r="R65" s="98">
        <f>SUM(R44:R64)</f>
        <v>2260225577601</v>
      </c>
      <c r="S65" s="258"/>
      <c r="T65" s="117"/>
      <c r="U65" s="199"/>
      <c r="V65" s="186"/>
      <c r="W65" s="185"/>
      <c r="X65" s="119"/>
      <c r="Y65" s="119"/>
      <c r="Z65" s="190"/>
      <c r="AA65" s="185"/>
    </row>
    <row r="66" spans="1:27" s="189" customFormat="1" ht="34.5" thickTop="1" x14ac:dyDescent="0.25">
      <c r="A66" s="12"/>
      <c r="D66" s="102"/>
      <c r="L66" s="102"/>
      <c r="R66" s="263"/>
      <c r="S66" s="258"/>
      <c r="T66" s="117"/>
      <c r="U66" s="199"/>
      <c r="V66" s="186"/>
      <c r="W66" s="185"/>
      <c r="X66" s="119"/>
      <c r="Y66" s="119"/>
      <c r="Z66" s="190"/>
      <c r="AA66" s="185"/>
    </row>
    <row r="67" spans="1:27" s="189" customFormat="1" x14ac:dyDescent="0.25">
      <c r="A67" s="12"/>
      <c r="B67" s="390" t="s">
        <v>76</v>
      </c>
      <c r="C67" s="391"/>
      <c r="D67" s="391"/>
      <c r="E67" s="391"/>
      <c r="F67" s="391"/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2"/>
      <c r="S67" s="258"/>
      <c r="T67" s="117"/>
      <c r="U67" s="199"/>
      <c r="V67" s="186"/>
      <c r="W67" s="185"/>
      <c r="X67" s="119"/>
      <c r="Y67" s="119"/>
      <c r="Z67" s="190"/>
      <c r="AA67" s="185"/>
    </row>
    <row r="68" spans="1:27" x14ac:dyDescent="0.25">
      <c r="B68" s="189"/>
      <c r="C68" s="189"/>
      <c r="D68" s="102"/>
      <c r="E68" s="189"/>
      <c r="F68" s="189"/>
      <c r="G68" s="189"/>
      <c r="H68" s="189"/>
      <c r="I68" s="189"/>
      <c r="J68" s="102"/>
      <c r="K68" s="189"/>
      <c r="L68" s="102"/>
      <c r="M68" s="189"/>
      <c r="N68" s="189"/>
      <c r="O68" s="189"/>
      <c r="P68" s="189"/>
      <c r="Q68" s="189"/>
      <c r="R68" s="288"/>
      <c r="U68" s="199"/>
      <c r="Z68" s="201"/>
    </row>
    <row r="69" spans="1:27" x14ac:dyDescent="0.25">
      <c r="F69" s="202"/>
      <c r="H69" s="174"/>
      <c r="J69" s="259"/>
      <c r="N69" s="202"/>
      <c r="P69" s="174"/>
      <c r="R69" s="289"/>
      <c r="U69" s="199"/>
    </row>
    <row r="70" spans="1:27" x14ac:dyDescent="0.25">
      <c r="E70" s="117"/>
      <c r="F70" s="117"/>
      <c r="G70" s="117"/>
      <c r="H70" s="117"/>
      <c r="I70" s="117"/>
      <c r="J70" s="117"/>
      <c r="K70" s="117"/>
      <c r="M70" s="117"/>
      <c r="N70" s="117"/>
      <c r="O70" s="117"/>
      <c r="P70" s="117"/>
      <c r="Q70" s="117"/>
      <c r="R70" s="117"/>
      <c r="U70" s="199"/>
      <c r="Z70" s="201"/>
    </row>
    <row r="71" spans="1:27" x14ac:dyDescent="0.25">
      <c r="F71" s="203"/>
      <c r="H71" s="174"/>
      <c r="J71" s="260"/>
      <c r="N71" s="174"/>
      <c r="P71" s="254"/>
      <c r="U71" s="199"/>
    </row>
    <row r="72" spans="1:27" x14ac:dyDescent="0.25">
      <c r="J72" s="174"/>
      <c r="N72" s="174"/>
      <c r="P72" s="254"/>
      <c r="U72" s="199"/>
    </row>
    <row r="73" spans="1:27" x14ac:dyDescent="0.25">
      <c r="N73" s="174"/>
      <c r="P73" s="254"/>
      <c r="U73" s="199"/>
    </row>
    <row r="74" spans="1:27" x14ac:dyDescent="0.25">
      <c r="P74" s="174"/>
      <c r="R74" s="151"/>
      <c r="U74" s="199"/>
    </row>
    <row r="75" spans="1:27" x14ac:dyDescent="0.25">
      <c r="N75" s="174"/>
      <c r="U75" s="199"/>
    </row>
    <row r="76" spans="1:27" x14ac:dyDescent="0.25">
      <c r="N76" s="174"/>
      <c r="U76" s="199"/>
    </row>
    <row r="77" spans="1:27" x14ac:dyDescent="0.25">
      <c r="U77" s="199"/>
    </row>
    <row r="78" spans="1:27" x14ac:dyDescent="0.25">
      <c r="U78" s="199"/>
    </row>
    <row r="79" spans="1:27" x14ac:dyDescent="0.25">
      <c r="U79" s="199"/>
    </row>
    <row r="80" spans="1:27" x14ac:dyDescent="0.25">
      <c r="U80" s="199"/>
    </row>
    <row r="81" spans="20:21" x14ac:dyDescent="0.25">
      <c r="U81" s="199"/>
    </row>
    <row r="82" spans="20:21" x14ac:dyDescent="0.25">
      <c r="T82" s="102"/>
      <c r="U82" s="199"/>
    </row>
    <row r="83" spans="20:21" x14ac:dyDescent="0.25">
      <c r="T83" s="102"/>
      <c r="U83" s="199"/>
    </row>
    <row r="84" spans="20:21" x14ac:dyDescent="0.25">
      <c r="T84" s="102"/>
      <c r="U84" s="199"/>
    </row>
    <row r="85" spans="20:21" x14ac:dyDescent="0.25">
      <c r="T85" s="102"/>
      <c r="U85" s="199"/>
    </row>
    <row r="86" spans="20:21" x14ac:dyDescent="0.25">
      <c r="T86" s="102"/>
      <c r="U86" s="199"/>
    </row>
    <row r="87" spans="20:21" x14ac:dyDescent="0.25">
      <c r="T87" s="102"/>
      <c r="U87" s="199"/>
    </row>
    <row r="88" spans="20:21" x14ac:dyDescent="0.25">
      <c r="T88" s="102"/>
      <c r="U88" s="199"/>
    </row>
    <row r="89" spans="20:21" x14ac:dyDescent="0.25">
      <c r="T89" s="102"/>
      <c r="U89" s="199"/>
    </row>
    <row r="93" spans="20:21" x14ac:dyDescent="0.25">
      <c r="T93" s="102"/>
      <c r="U93" s="199"/>
    </row>
    <row r="94" spans="20:21" x14ac:dyDescent="0.25">
      <c r="T94" s="102"/>
      <c r="U94" s="199"/>
    </row>
    <row r="95" spans="20:21" x14ac:dyDescent="0.25">
      <c r="T95" s="102"/>
      <c r="U95" s="199"/>
    </row>
    <row r="96" spans="20:21" x14ac:dyDescent="0.25">
      <c r="T96" s="102"/>
      <c r="U96" s="199"/>
    </row>
    <row r="97" spans="20:21" x14ac:dyDescent="0.25">
      <c r="T97" s="102"/>
      <c r="U97" s="199"/>
    </row>
    <row r="98" spans="20:21" x14ac:dyDescent="0.25">
      <c r="T98" s="102"/>
      <c r="U98" s="199"/>
    </row>
    <row r="99" spans="20:21" x14ac:dyDescent="0.25">
      <c r="T99" s="102"/>
      <c r="U99" s="199"/>
    </row>
    <row r="100" spans="20:21" x14ac:dyDescent="0.25">
      <c r="T100" s="102"/>
      <c r="U100" s="199"/>
    </row>
    <row r="101" spans="20:21" x14ac:dyDescent="0.25">
      <c r="T101" s="102"/>
      <c r="U101" s="199"/>
    </row>
    <row r="102" spans="20:21" x14ac:dyDescent="0.25">
      <c r="T102" s="102"/>
      <c r="U102" s="199"/>
    </row>
    <row r="103" spans="20:21" x14ac:dyDescent="0.25">
      <c r="T103" s="102"/>
      <c r="U103" s="199"/>
    </row>
    <row r="104" spans="20:21" x14ac:dyDescent="0.25">
      <c r="T104" s="102"/>
      <c r="U104" s="199"/>
    </row>
    <row r="105" spans="20:21" x14ac:dyDescent="0.25">
      <c r="T105" s="102"/>
      <c r="U105" s="199"/>
    </row>
    <row r="106" spans="20:21" x14ac:dyDescent="0.25">
      <c r="T106" s="102"/>
      <c r="U106" s="199"/>
    </row>
    <row r="107" spans="20:21" x14ac:dyDescent="0.25">
      <c r="T107" s="102"/>
      <c r="U107" s="199"/>
    </row>
    <row r="108" spans="20:21" x14ac:dyDescent="0.25">
      <c r="T108" s="102"/>
      <c r="U108" s="199"/>
    </row>
    <row r="109" spans="20:21" x14ac:dyDescent="0.25">
      <c r="T109" s="102"/>
      <c r="U109" s="199"/>
    </row>
    <row r="110" spans="20:21" x14ac:dyDescent="0.25">
      <c r="T110" s="102"/>
      <c r="U110" s="199"/>
    </row>
    <row r="111" spans="20:21" x14ac:dyDescent="0.25">
      <c r="T111" s="102"/>
      <c r="U111" s="199"/>
    </row>
    <row r="112" spans="20:21" x14ac:dyDescent="0.25">
      <c r="T112" s="102"/>
      <c r="U112" s="199"/>
    </row>
    <row r="113" spans="20:21" x14ac:dyDescent="0.25">
      <c r="T113" s="102"/>
      <c r="U113" s="199"/>
    </row>
    <row r="114" spans="20:21" x14ac:dyDescent="0.25">
      <c r="U114" s="199"/>
    </row>
    <row r="115" spans="20:21" x14ac:dyDescent="0.25">
      <c r="U115" s="199"/>
    </row>
    <row r="116" spans="20:21" x14ac:dyDescent="0.25">
      <c r="U116" s="199"/>
    </row>
    <row r="117" spans="20:21" x14ac:dyDescent="0.25">
      <c r="U117" s="199"/>
    </row>
    <row r="118" spans="20:21" x14ac:dyDescent="0.25">
      <c r="U118" s="199"/>
    </row>
    <row r="119" spans="20:21" x14ac:dyDescent="0.25">
      <c r="U119" s="199"/>
    </row>
    <row r="120" spans="20:21" x14ac:dyDescent="0.25">
      <c r="U120" s="199"/>
    </row>
    <row r="121" spans="20:21" x14ac:dyDescent="0.25">
      <c r="U121" s="199"/>
    </row>
    <row r="122" spans="20:21" x14ac:dyDescent="0.25">
      <c r="U122" s="199"/>
    </row>
    <row r="123" spans="20:21" x14ac:dyDescent="0.25">
      <c r="U123" s="199"/>
    </row>
    <row r="124" spans="20:21" x14ac:dyDescent="0.25">
      <c r="U124" s="199"/>
    </row>
    <row r="125" spans="20:21" x14ac:dyDescent="0.25">
      <c r="U125" s="199"/>
    </row>
    <row r="126" spans="20:21" x14ac:dyDescent="0.25">
      <c r="U126" s="199"/>
    </row>
    <row r="127" spans="20:21" x14ac:dyDescent="0.25">
      <c r="U127" s="199"/>
    </row>
    <row r="128" spans="20:21" x14ac:dyDescent="0.25">
      <c r="U128" s="199"/>
    </row>
    <row r="129" spans="21:21" x14ac:dyDescent="0.25">
      <c r="U129" s="199"/>
    </row>
    <row r="130" spans="21:21" x14ac:dyDescent="0.25">
      <c r="U130" s="199"/>
    </row>
    <row r="131" spans="21:21" x14ac:dyDescent="0.25">
      <c r="U131" s="199"/>
    </row>
    <row r="132" spans="21:21" x14ac:dyDescent="0.25">
      <c r="U132" s="199"/>
    </row>
  </sheetData>
  <sortState xmlns:xlrd2="http://schemas.microsoft.com/office/spreadsheetml/2017/richdata2" ref="U7:V77">
    <sortCondition descending="1" ref="V1:V77"/>
  </sortState>
  <mergeCells count="10">
    <mergeCell ref="B67:R67"/>
    <mergeCell ref="D5:J5"/>
    <mergeCell ref="L5:R5"/>
    <mergeCell ref="B4:I4"/>
    <mergeCell ref="B1:R1"/>
    <mergeCell ref="B2:R2"/>
    <mergeCell ref="B3:R3"/>
    <mergeCell ref="B41:I41"/>
    <mergeCell ref="D42:J42"/>
    <mergeCell ref="L42:R42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40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AC145"/>
  <sheetViews>
    <sheetView rightToLeft="1" view="pageBreakPreview" zoomScale="80" zoomScaleNormal="85" zoomScaleSheetLayoutView="80" workbookViewId="0">
      <selection activeCell="U83" sqref="U83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35" t="str">
        <f>'سود اوراق بهادار و سپرده بانکی'!B1:U1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</row>
    <row r="2" spans="2:29" ht="24" x14ac:dyDescent="0.6">
      <c r="B2" s="335" t="s">
        <v>87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V2" s="93"/>
    </row>
    <row r="3" spans="2:29" ht="24" x14ac:dyDescent="0.6">
      <c r="B3" s="335" t="str">
        <f>' سهام'!B3:Z3</f>
        <v>برای ماه منتهی به 1404/09/30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V3" s="93"/>
    </row>
    <row r="4" spans="2:29" ht="24" x14ac:dyDescent="0.55000000000000004">
      <c r="B4" s="393" t="s">
        <v>98</v>
      </c>
      <c r="C4" s="393"/>
      <c r="D4" s="393"/>
      <c r="E4" s="393"/>
      <c r="F4" s="393"/>
      <c r="G4" s="393"/>
      <c r="H4" s="393"/>
      <c r="I4" s="393"/>
      <c r="J4" s="393"/>
      <c r="K4" s="395"/>
      <c r="L4" s="395"/>
      <c r="M4" s="395"/>
      <c r="N4" s="395"/>
      <c r="O4" s="395"/>
      <c r="P4" s="395"/>
      <c r="Q4" s="395"/>
      <c r="R4" s="395"/>
      <c r="V4" s="93"/>
      <c r="AC4" s="1" t="s">
        <v>207</v>
      </c>
    </row>
    <row r="5" spans="2:29" ht="24.75" thickBot="1" x14ac:dyDescent="0.6">
      <c r="B5" s="12"/>
      <c r="C5" s="12"/>
      <c r="D5" s="388" t="str">
        <f>' سهام'!AC7</f>
        <v>طی آذر ماه</v>
      </c>
      <c r="E5" s="388"/>
      <c r="F5" s="388"/>
      <c r="G5" s="388"/>
      <c r="H5" s="388"/>
      <c r="I5" s="388"/>
      <c r="J5" s="388"/>
      <c r="K5" s="12"/>
      <c r="L5" s="388" t="str">
        <f>' سهام'!AC8</f>
        <v>از ابتدای سال مالی تا پایان آذر ماه</v>
      </c>
      <c r="M5" s="388"/>
      <c r="N5" s="388"/>
      <c r="O5" s="388"/>
      <c r="P5" s="388"/>
      <c r="Q5" s="388"/>
      <c r="R5" s="388"/>
      <c r="V5" s="93"/>
      <c r="AC5" s="1" t="s">
        <v>220</v>
      </c>
    </row>
    <row r="6" spans="2:29" ht="45.75" thickBot="1" x14ac:dyDescent="0.6">
      <c r="B6" s="12" t="s">
        <v>64</v>
      </c>
      <c r="C6" s="12"/>
      <c r="D6" s="111" t="s">
        <v>8</v>
      </c>
      <c r="E6" s="12"/>
      <c r="F6" s="112" t="s">
        <v>77</v>
      </c>
      <c r="G6" s="12"/>
      <c r="H6" s="111" t="s">
        <v>74</v>
      </c>
      <c r="I6" s="12"/>
      <c r="J6" s="112" t="s">
        <v>78</v>
      </c>
      <c r="K6" s="12"/>
      <c r="L6" s="111" t="s">
        <v>8</v>
      </c>
      <c r="M6" s="12"/>
      <c r="N6" s="112" t="s">
        <v>32</v>
      </c>
      <c r="O6" s="12"/>
      <c r="P6" s="111" t="s">
        <v>74</v>
      </c>
      <c r="Q6" s="12"/>
      <c r="R6" s="112" t="s">
        <v>78</v>
      </c>
      <c r="T6" s="165"/>
      <c r="Z6" s="1" t="s">
        <v>221</v>
      </c>
    </row>
    <row r="7" spans="2:29" x14ac:dyDescent="0.55000000000000004">
      <c r="B7" s="12" t="s">
        <v>125</v>
      </c>
      <c r="C7" s="12"/>
      <c r="D7" s="91">
        <v>15456</v>
      </c>
      <c r="E7" s="12"/>
      <c r="F7" s="113">
        <v>1019237156</v>
      </c>
      <c r="G7" s="12"/>
      <c r="H7" s="60">
        <v>-884382255</v>
      </c>
      <c r="I7" s="12"/>
      <c r="J7" s="114">
        <v>134854901</v>
      </c>
      <c r="K7" s="12"/>
      <c r="L7" s="91">
        <v>3115456</v>
      </c>
      <c r="M7" s="12"/>
      <c r="N7" s="113">
        <v>186760959138</v>
      </c>
      <c r="O7" s="12"/>
      <c r="P7" s="60">
        <v>-178145125354</v>
      </c>
      <c r="Q7" s="12"/>
      <c r="R7" s="114">
        <v>8615833784</v>
      </c>
      <c r="S7" s="179"/>
      <c r="T7" s="165"/>
      <c r="Z7" s="1" t="s">
        <v>222</v>
      </c>
    </row>
    <row r="8" spans="2:29" x14ac:dyDescent="0.55000000000000004">
      <c r="B8" s="12" t="s">
        <v>113</v>
      </c>
      <c r="C8" s="12"/>
      <c r="D8" s="91">
        <v>400000</v>
      </c>
      <c r="E8" s="12"/>
      <c r="F8" s="113">
        <v>2080992714</v>
      </c>
      <c r="G8" s="12"/>
      <c r="H8" s="60">
        <v>-1493436282</v>
      </c>
      <c r="I8" s="12"/>
      <c r="J8" s="114">
        <v>587556432</v>
      </c>
      <c r="K8" s="12"/>
      <c r="L8" s="91">
        <v>18652817</v>
      </c>
      <c r="M8" s="12"/>
      <c r="N8" s="113">
        <v>66740034992</v>
      </c>
      <c r="O8" s="12"/>
      <c r="P8" s="60">
        <v>-69032488347</v>
      </c>
      <c r="Q8" s="12"/>
      <c r="R8" s="114">
        <v>-2292453355</v>
      </c>
      <c r="S8" s="179"/>
      <c r="T8" s="165"/>
      <c r="Z8" s="1" t="s">
        <v>223</v>
      </c>
    </row>
    <row r="9" spans="2:29" x14ac:dyDescent="0.55000000000000004">
      <c r="B9" s="12" t="s">
        <v>180</v>
      </c>
      <c r="C9" s="12"/>
      <c r="D9" s="91">
        <v>169302</v>
      </c>
      <c r="E9" s="12"/>
      <c r="F9" s="113">
        <v>424090566</v>
      </c>
      <c r="G9" s="12"/>
      <c r="H9" s="60">
        <v>-382733337</v>
      </c>
      <c r="I9" s="12"/>
      <c r="J9" s="114">
        <v>41357229</v>
      </c>
      <c r="K9" s="12"/>
      <c r="L9" s="91">
        <v>23344072</v>
      </c>
      <c r="M9" s="12"/>
      <c r="N9" s="113">
        <v>51120926313</v>
      </c>
      <c r="O9" s="12"/>
      <c r="P9" s="60">
        <v>-48478495732</v>
      </c>
      <c r="Q9" s="12"/>
      <c r="R9" s="114">
        <v>2642430581</v>
      </c>
      <c r="S9" s="179"/>
      <c r="T9" s="165"/>
    </row>
    <row r="10" spans="2:29" x14ac:dyDescent="0.55000000000000004">
      <c r="B10" s="12" t="s">
        <v>116</v>
      </c>
      <c r="C10" s="12"/>
      <c r="D10" s="91">
        <v>1499000</v>
      </c>
      <c r="E10" s="12"/>
      <c r="F10" s="113">
        <v>4005654899</v>
      </c>
      <c r="G10" s="12"/>
      <c r="H10" s="60">
        <v>-5381909579</v>
      </c>
      <c r="I10" s="12"/>
      <c r="J10" s="114">
        <v>-1376254680</v>
      </c>
      <c r="K10" s="12"/>
      <c r="L10" s="91">
        <v>83599000</v>
      </c>
      <c r="M10" s="12"/>
      <c r="N10" s="113">
        <v>224668426760</v>
      </c>
      <c r="O10" s="12"/>
      <c r="P10" s="60">
        <v>-299480234153</v>
      </c>
      <c r="Q10" s="12"/>
      <c r="R10" s="114">
        <v>-74811807393</v>
      </c>
      <c r="S10" s="179"/>
      <c r="T10" s="165"/>
    </row>
    <row r="11" spans="2:29" x14ac:dyDescent="0.55000000000000004">
      <c r="B11" s="12" t="s">
        <v>237</v>
      </c>
      <c r="C11" s="12"/>
      <c r="D11" s="91">
        <v>20000000</v>
      </c>
      <c r="E11" s="12"/>
      <c r="F11" s="113">
        <v>72088004681</v>
      </c>
      <c r="G11" s="12"/>
      <c r="H11" s="60">
        <v>-51445711257</v>
      </c>
      <c r="I11" s="12"/>
      <c r="J11" s="114">
        <v>20642293424</v>
      </c>
      <c r="K11" s="12"/>
      <c r="L11" s="91">
        <v>20000000</v>
      </c>
      <c r="M11" s="12"/>
      <c r="N11" s="113">
        <v>72088004681</v>
      </c>
      <c r="O11" s="12"/>
      <c r="P11" s="60">
        <v>-51445711257</v>
      </c>
      <c r="Q11" s="12"/>
      <c r="R11" s="114">
        <v>20642293424</v>
      </c>
      <c r="S11" s="179"/>
      <c r="T11" s="165"/>
    </row>
    <row r="12" spans="2:29" x14ac:dyDescent="0.55000000000000004">
      <c r="B12" s="12" t="s">
        <v>104</v>
      </c>
      <c r="C12" s="12"/>
      <c r="D12" s="91">
        <v>6400000</v>
      </c>
      <c r="E12" s="12"/>
      <c r="F12" s="113">
        <v>13771250733</v>
      </c>
      <c r="G12" s="12"/>
      <c r="H12" s="60">
        <v>-10658412147</v>
      </c>
      <c r="I12" s="12"/>
      <c r="J12" s="114">
        <v>3112838586</v>
      </c>
      <c r="K12" s="12"/>
      <c r="L12" s="91">
        <v>194995378</v>
      </c>
      <c r="M12" s="12"/>
      <c r="N12" s="113">
        <v>388875136319</v>
      </c>
      <c r="O12" s="12"/>
      <c r="P12" s="60">
        <v>-357659019875</v>
      </c>
      <c r="Q12" s="12"/>
      <c r="R12" s="114">
        <v>31216116444</v>
      </c>
      <c r="S12" s="179"/>
      <c r="T12" s="165"/>
    </row>
    <row r="13" spans="2:29" x14ac:dyDescent="0.55000000000000004">
      <c r="B13" s="12" t="s">
        <v>194</v>
      </c>
      <c r="C13" s="12"/>
      <c r="D13" s="91">
        <v>659600</v>
      </c>
      <c r="E13" s="12"/>
      <c r="F13" s="113">
        <v>498429105</v>
      </c>
      <c r="G13" s="12"/>
      <c r="H13" s="60">
        <v>-457102800</v>
      </c>
      <c r="I13" s="12"/>
      <c r="J13" s="114">
        <v>41326305</v>
      </c>
      <c r="K13" s="12"/>
      <c r="L13" s="91">
        <v>659600</v>
      </c>
      <c r="M13" s="12"/>
      <c r="N13" s="113">
        <v>498429105</v>
      </c>
      <c r="O13" s="12"/>
      <c r="P13" s="60">
        <v>-457102800</v>
      </c>
      <c r="Q13" s="12"/>
      <c r="R13" s="114">
        <v>41326305</v>
      </c>
      <c r="S13" s="179"/>
      <c r="T13" s="165"/>
    </row>
    <row r="14" spans="2:29" x14ac:dyDescent="0.55000000000000004">
      <c r="B14" s="12" t="s">
        <v>112</v>
      </c>
      <c r="C14" s="12"/>
      <c r="D14" s="91">
        <v>15020817</v>
      </c>
      <c r="E14" s="12"/>
      <c r="F14" s="113">
        <v>19999712144</v>
      </c>
      <c r="G14" s="12"/>
      <c r="H14" s="60">
        <v>-18176109257</v>
      </c>
      <c r="I14" s="12"/>
      <c r="J14" s="114">
        <v>1823602887</v>
      </c>
      <c r="K14" s="12"/>
      <c r="L14" s="91">
        <v>111420817</v>
      </c>
      <c r="M14" s="12"/>
      <c r="N14" s="113">
        <v>205653849133</v>
      </c>
      <c r="O14" s="12"/>
      <c r="P14" s="60">
        <v>-184562646534</v>
      </c>
      <c r="Q14" s="12"/>
      <c r="R14" s="114">
        <v>21091202599</v>
      </c>
      <c r="S14" s="179"/>
      <c r="T14" s="165"/>
    </row>
    <row r="15" spans="2:29" x14ac:dyDescent="0.55000000000000004">
      <c r="B15" s="12" t="s">
        <v>139</v>
      </c>
      <c r="C15" s="12"/>
      <c r="D15" s="91">
        <v>5000000</v>
      </c>
      <c r="E15" s="12"/>
      <c r="F15" s="113">
        <v>32116725794</v>
      </c>
      <c r="G15" s="12"/>
      <c r="H15" s="60">
        <v>-37046987406</v>
      </c>
      <c r="I15" s="12"/>
      <c r="J15" s="114">
        <v>-4930261612</v>
      </c>
      <c r="K15" s="12"/>
      <c r="L15" s="91">
        <v>24369697</v>
      </c>
      <c r="M15" s="12"/>
      <c r="N15" s="113">
        <v>165260071662</v>
      </c>
      <c r="O15" s="12"/>
      <c r="P15" s="60">
        <v>-188018732973</v>
      </c>
      <c r="Q15" s="12"/>
      <c r="R15" s="114">
        <v>-22758661311</v>
      </c>
      <c r="S15" s="179"/>
      <c r="T15" s="165"/>
    </row>
    <row r="16" spans="2:29" x14ac:dyDescent="0.55000000000000004">
      <c r="B16" s="12" t="s">
        <v>198</v>
      </c>
      <c r="C16" s="12"/>
      <c r="D16" s="91">
        <v>6000000</v>
      </c>
      <c r="E16" s="12"/>
      <c r="F16" s="113">
        <v>90749914656</v>
      </c>
      <c r="G16" s="12"/>
      <c r="H16" s="60">
        <v>-104239973466</v>
      </c>
      <c r="I16" s="12"/>
      <c r="J16" s="114">
        <v>-13490058810</v>
      </c>
      <c r="K16" s="12"/>
      <c r="L16" s="91">
        <v>7000000</v>
      </c>
      <c r="M16" s="12"/>
      <c r="N16" s="113">
        <v>104906708182</v>
      </c>
      <c r="O16" s="12"/>
      <c r="P16" s="60">
        <v>-121613302376</v>
      </c>
      <c r="Q16" s="12"/>
      <c r="R16" s="114">
        <v>-16706594194</v>
      </c>
      <c r="S16" s="179"/>
      <c r="T16" s="165"/>
    </row>
    <row r="17" spans="2:20" x14ac:dyDescent="0.55000000000000004">
      <c r="B17" s="12" t="s">
        <v>118</v>
      </c>
      <c r="C17" s="12"/>
      <c r="D17" s="91">
        <v>1000</v>
      </c>
      <c r="E17" s="12"/>
      <c r="F17" s="113">
        <v>54923913</v>
      </c>
      <c r="G17" s="12"/>
      <c r="H17" s="60">
        <v>-55624325</v>
      </c>
      <c r="I17" s="12"/>
      <c r="J17" s="114">
        <v>-700412</v>
      </c>
      <c r="K17" s="12"/>
      <c r="L17" s="91">
        <v>4101912</v>
      </c>
      <c r="M17" s="12"/>
      <c r="N17" s="113">
        <v>177576791309</v>
      </c>
      <c r="O17" s="12"/>
      <c r="P17" s="60">
        <v>-279636870750</v>
      </c>
      <c r="Q17" s="12"/>
      <c r="R17" s="114">
        <v>-102060079441</v>
      </c>
      <c r="S17" s="179"/>
      <c r="T17" s="165"/>
    </row>
    <row r="18" spans="2:20" x14ac:dyDescent="0.55000000000000004">
      <c r="B18" s="12" t="s">
        <v>197</v>
      </c>
      <c r="C18" s="180"/>
      <c r="D18" s="115">
        <v>100000</v>
      </c>
      <c r="E18" s="115"/>
      <c r="F18" s="115">
        <v>3476370721</v>
      </c>
      <c r="G18" s="12"/>
      <c r="H18" s="60">
        <v>-2601866800</v>
      </c>
      <c r="I18" s="12"/>
      <c r="J18" s="114">
        <v>874503921</v>
      </c>
      <c r="K18" s="12"/>
      <c r="L18" s="115">
        <v>200000</v>
      </c>
      <c r="M18" s="12"/>
      <c r="N18" s="115">
        <v>6493889149</v>
      </c>
      <c r="O18" s="12"/>
      <c r="P18" s="60">
        <v>-5203733600</v>
      </c>
      <c r="Q18" s="12"/>
      <c r="R18" s="114">
        <v>1290155549</v>
      </c>
      <c r="S18" s="179"/>
      <c r="T18" s="165"/>
    </row>
    <row r="19" spans="2:20" x14ac:dyDescent="0.55000000000000004">
      <c r="B19" s="12" t="s">
        <v>238</v>
      </c>
      <c r="C19" s="180"/>
      <c r="D19" s="115">
        <v>1054855</v>
      </c>
      <c r="E19" s="115"/>
      <c r="F19" s="115">
        <v>4625313552</v>
      </c>
      <c r="G19" s="12"/>
      <c r="H19" s="60">
        <v>-4233242158</v>
      </c>
      <c r="I19" s="12"/>
      <c r="J19" s="114">
        <v>392071394</v>
      </c>
      <c r="K19" s="12"/>
      <c r="L19" s="115">
        <v>2254855</v>
      </c>
      <c r="M19" s="12"/>
      <c r="N19" s="115">
        <v>9704863309</v>
      </c>
      <c r="O19" s="12"/>
      <c r="P19" s="60">
        <v>-9048966204</v>
      </c>
      <c r="Q19" s="12"/>
      <c r="R19" s="114">
        <v>655897105</v>
      </c>
      <c r="S19" s="179"/>
      <c r="T19" s="165"/>
    </row>
    <row r="20" spans="2:20" x14ac:dyDescent="0.55000000000000004">
      <c r="B20" s="12" t="s">
        <v>242</v>
      </c>
      <c r="C20" s="180"/>
      <c r="D20" s="115">
        <v>71080</v>
      </c>
      <c r="E20" s="115"/>
      <c r="F20" s="115">
        <v>227379995</v>
      </c>
      <c r="G20" s="12"/>
      <c r="H20" s="60">
        <v>-202526955</v>
      </c>
      <c r="I20" s="12"/>
      <c r="J20" s="114">
        <v>24853040</v>
      </c>
      <c r="K20" s="12"/>
      <c r="L20" s="115">
        <v>70000000</v>
      </c>
      <c r="M20" s="12"/>
      <c r="N20" s="115">
        <v>222952069368</v>
      </c>
      <c r="O20" s="12"/>
      <c r="P20" s="60">
        <v>-199449742480</v>
      </c>
      <c r="Q20" s="12"/>
      <c r="R20" s="114">
        <v>23502326888</v>
      </c>
      <c r="S20" s="179"/>
      <c r="T20" s="165"/>
    </row>
    <row r="21" spans="2:20" x14ac:dyDescent="0.55000000000000004">
      <c r="B21" s="12" t="s">
        <v>134</v>
      </c>
      <c r="C21" s="180"/>
      <c r="D21" s="115">
        <v>398395</v>
      </c>
      <c r="E21" s="115"/>
      <c r="F21" s="115">
        <v>4953216744</v>
      </c>
      <c r="G21" s="12"/>
      <c r="H21" s="60">
        <v>-3891838990</v>
      </c>
      <c r="I21" s="12"/>
      <c r="J21" s="114">
        <v>1061377754</v>
      </c>
      <c r="K21" s="12"/>
      <c r="L21" s="115">
        <v>19700000</v>
      </c>
      <c r="M21" s="12"/>
      <c r="N21" s="115">
        <v>238534321045</v>
      </c>
      <c r="O21" s="12"/>
      <c r="P21" s="60">
        <v>-182347697703</v>
      </c>
      <c r="Q21" s="12"/>
      <c r="R21" s="114">
        <v>56186623342</v>
      </c>
      <c r="S21" s="179"/>
      <c r="T21" s="165"/>
    </row>
    <row r="22" spans="2:20" x14ac:dyDescent="0.55000000000000004">
      <c r="B22" s="12" t="s">
        <v>168</v>
      </c>
      <c r="C22" s="180"/>
      <c r="D22" s="115">
        <v>175000</v>
      </c>
      <c r="E22" s="115"/>
      <c r="F22" s="115">
        <v>8530978900</v>
      </c>
      <c r="G22" s="12"/>
      <c r="H22" s="60">
        <v>-7062725268</v>
      </c>
      <c r="I22" s="12"/>
      <c r="J22" s="114">
        <v>1468253632</v>
      </c>
      <c r="K22" s="12"/>
      <c r="L22" s="115">
        <v>350000</v>
      </c>
      <c r="M22" s="12"/>
      <c r="N22" s="115">
        <v>16465764237</v>
      </c>
      <c r="O22" s="12"/>
      <c r="P22" s="60">
        <v>-14125450500</v>
      </c>
      <c r="Q22" s="12"/>
      <c r="R22" s="114">
        <v>2340313737</v>
      </c>
      <c r="S22" s="179"/>
      <c r="T22" s="165"/>
    </row>
    <row r="23" spans="2:20" x14ac:dyDescent="0.55000000000000004">
      <c r="B23" s="12" t="s">
        <v>122</v>
      </c>
      <c r="C23" s="180"/>
      <c r="D23" s="115">
        <v>890132</v>
      </c>
      <c r="E23" s="115"/>
      <c r="F23" s="115">
        <v>8496605070</v>
      </c>
      <c r="G23" s="12"/>
      <c r="H23" s="60">
        <v>-6939931249</v>
      </c>
      <c r="I23" s="12"/>
      <c r="J23" s="114">
        <v>1556673821</v>
      </c>
      <c r="K23" s="12"/>
      <c r="L23" s="115">
        <v>15413454</v>
      </c>
      <c r="M23" s="12"/>
      <c r="N23" s="115">
        <v>119982118165</v>
      </c>
      <c r="O23" s="12"/>
      <c r="P23" s="60">
        <v>-117763829855</v>
      </c>
      <c r="Q23" s="12"/>
      <c r="R23" s="114">
        <v>2218288310</v>
      </c>
      <c r="S23" s="179"/>
      <c r="T23" s="165"/>
    </row>
    <row r="24" spans="2:20" x14ac:dyDescent="0.55000000000000004">
      <c r="B24" s="12" t="s">
        <v>265</v>
      </c>
      <c r="C24" s="180"/>
      <c r="D24" s="115">
        <v>4276</v>
      </c>
      <c r="E24" s="115"/>
      <c r="F24" s="115">
        <v>10503083</v>
      </c>
      <c r="G24" s="12"/>
      <c r="H24" s="60">
        <v>-9996793</v>
      </c>
      <c r="I24" s="12"/>
      <c r="J24" s="114">
        <v>506290</v>
      </c>
      <c r="K24" s="12"/>
      <c r="L24" s="115">
        <v>4276</v>
      </c>
      <c r="M24" s="12"/>
      <c r="N24" s="115">
        <v>10503083</v>
      </c>
      <c r="O24" s="12"/>
      <c r="P24" s="60">
        <v>-9996793</v>
      </c>
      <c r="Q24" s="12"/>
      <c r="R24" s="114">
        <v>506290</v>
      </c>
      <c r="S24" s="179"/>
      <c r="T24" s="165"/>
    </row>
    <row r="25" spans="2:20" x14ac:dyDescent="0.55000000000000004">
      <c r="B25" s="12" t="s">
        <v>123</v>
      </c>
      <c r="C25" s="180"/>
      <c r="D25" s="115">
        <v>800000</v>
      </c>
      <c r="E25" s="115"/>
      <c r="F25" s="115">
        <v>2531742076</v>
      </c>
      <c r="G25" s="12"/>
      <c r="H25" s="60">
        <v>-2405341497</v>
      </c>
      <c r="I25" s="12"/>
      <c r="J25" s="114">
        <v>126400579</v>
      </c>
      <c r="K25" s="12"/>
      <c r="L25" s="115">
        <v>108130000</v>
      </c>
      <c r="M25" s="12"/>
      <c r="N25" s="115">
        <v>340458705737</v>
      </c>
      <c r="O25" s="12"/>
      <c r="P25" s="60">
        <v>-356796999433</v>
      </c>
      <c r="Q25" s="12"/>
      <c r="R25" s="114">
        <v>-16338293696</v>
      </c>
      <c r="S25" s="179"/>
      <c r="T25" s="165"/>
    </row>
    <row r="26" spans="2:20" x14ac:dyDescent="0.55000000000000004">
      <c r="B26" s="12" t="s">
        <v>185</v>
      </c>
      <c r="C26" s="180"/>
      <c r="D26" s="115">
        <v>3250000</v>
      </c>
      <c r="E26" s="115"/>
      <c r="F26" s="115">
        <v>3519505944</v>
      </c>
      <c r="G26" s="12"/>
      <c r="H26" s="60">
        <v>-4390650225</v>
      </c>
      <c r="I26" s="12"/>
      <c r="J26" s="114">
        <v>-871144281</v>
      </c>
      <c r="K26" s="12"/>
      <c r="L26" s="115">
        <v>6500000</v>
      </c>
      <c r="M26" s="12"/>
      <c r="N26" s="115">
        <v>8292106618</v>
      </c>
      <c r="O26" s="12"/>
      <c r="P26" s="60">
        <v>-8781300450</v>
      </c>
      <c r="Q26" s="12"/>
      <c r="R26" s="114">
        <v>-489193832</v>
      </c>
      <c r="S26" s="179"/>
      <c r="T26" s="165"/>
    </row>
    <row r="27" spans="2:20" x14ac:dyDescent="0.55000000000000004">
      <c r="B27" s="12" t="s">
        <v>268</v>
      </c>
      <c r="C27" s="180"/>
      <c r="D27" s="115">
        <v>375000</v>
      </c>
      <c r="E27" s="115"/>
      <c r="F27" s="115">
        <v>9494032594</v>
      </c>
      <c r="G27" s="12"/>
      <c r="H27" s="60">
        <v>-6782788389</v>
      </c>
      <c r="I27" s="12"/>
      <c r="J27" s="114">
        <v>2711244205</v>
      </c>
      <c r="K27" s="12"/>
      <c r="L27" s="115">
        <v>375000</v>
      </c>
      <c r="M27" s="12"/>
      <c r="N27" s="115">
        <v>9494032594</v>
      </c>
      <c r="O27" s="12"/>
      <c r="P27" s="60">
        <v>-6782788389</v>
      </c>
      <c r="Q27" s="12"/>
      <c r="R27" s="114">
        <v>2711244205</v>
      </c>
      <c r="S27" s="179"/>
      <c r="T27" s="165"/>
    </row>
    <row r="28" spans="2:20" x14ac:dyDescent="0.55000000000000004">
      <c r="B28" s="12" t="s">
        <v>181</v>
      </c>
      <c r="C28" s="180"/>
      <c r="D28" s="115">
        <v>17349</v>
      </c>
      <c r="E28" s="115"/>
      <c r="F28" s="115">
        <v>69312524</v>
      </c>
      <c r="G28" s="12"/>
      <c r="H28" s="60">
        <v>-74765603</v>
      </c>
      <c r="I28" s="12"/>
      <c r="J28" s="114">
        <v>-5453079</v>
      </c>
      <c r="K28" s="12"/>
      <c r="L28" s="115">
        <v>11318459</v>
      </c>
      <c r="M28" s="12"/>
      <c r="N28" s="115">
        <v>65855676589</v>
      </c>
      <c r="O28" s="12"/>
      <c r="P28" s="60">
        <v>-67967224155</v>
      </c>
      <c r="Q28" s="12"/>
      <c r="R28" s="114">
        <v>-2111547566</v>
      </c>
      <c r="S28" s="179"/>
      <c r="T28" s="165"/>
    </row>
    <row r="29" spans="2:20" x14ac:dyDescent="0.55000000000000004">
      <c r="B29" s="12" t="s">
        <v>115</v>
      </c>
      <c r="C29" s="180"/>
      <c r="D29" s="115">
        <v>2000000</v>
      </c>
      <c r="E29" s="115"/>
      <c r="F29" s="115">
        <v>6058309710</v>
      </c>
      <c r="G29" s="12"/>
      <c r="H29" s="60">
        <v>-4985991870</v>
      </c>
      <c r="I29" s="12"/>
      <c r="J29" s="114">
        <v>1072317840</v>
      </c>
      <c r="K29" s="12"/>
      <c r="L29" s="115">
        <v>57000000</v>
      </c>
      <c r="M29" s="12"/>
      <c r="N29" s="115">
        <v>139039979103</v>
      </c>
      <c r="O29" s="12"/>
      <c r="P29" s="60">
        <v>-140417075455</v>
      </c>
      <c r="Q29" s="12"/>
      <c r="R29" s="114">
        <v>-1377096352</v>
      </c>
      <c r="S29" s="179"/>
      <c r="T29" s="165"/>
    </row>
    <row r="30" spans="2:20" x14ac:dyDescent="0.55000000000000004">
      <c r="B30" s="12" t="s">
        <v>129</v>
      </c>
      <c r="C30" s="180"/>
      <c r="D30" s="115">
        <v>448124</v>
      </c>
      <c r="E30" s="115"/>
      <c r="F30" s="115">
        <v>4191239577</v>
      </c>
      <c r="G30" s="12"/>
      <c r="H30" s="60">
        <v>-3160538202</v>
      </c>
      <c r="I30" s="12"/>
      <c r="J30" s="114">
        <v>1030701375</v>
      </c>
      <c r="K30" s="12"/>
      <c r="L30" s="115">
        <v>12763508</v>
      </c>
      <c r="M30" s="12"/>
      <c r="N30" s="115">
        <v>89121273844</v>
      </c>
      <c r="O30" s="12"/>
      <c r="P30" s="60">
        <v>-88329190600</v>
      </c>
      <c r="Q30" s="12"/>
      <c r="R30" s="114">
        <v>792083244</v>
      </c>
      <c r="S30" s="179"/>
      <c r="T30" s="165"/>
    </row>
    <row r="31" spans="2:20" x14ac:dyDescent="0.55000000000000004">
      <c r="B31" s="12" t="s">
        <v>128</v>
      </c>
      <c r="C31" s="180"/>
      <c r="D31" s="115">
        <v>3947000</v>
      </c>
      <c r="E31" s="115"/>
      <c r="F31" s="115">
        <v>9518756542</v>
      </c>
      <c r="G31" s="12"/>
      <c r="H31" s="60">
        <v>-10483632987</v>
      </c>
      <c r="I31" s="12"/>
      <c r="J31" s="114">
        <v>-964876445</v>
      </c>
      <c r="K31" s="12"/>
      <c r="L31" s="115">
        <v>49383580</v>
      </c>
      <c r="M31" s="12"/>
      <c r="N31" s="115">
        <v>131777771123</v>
      </c>
      <c r="O31" s="12"/>
      <c r="P31" s="60">
        <v>-131167805899</v>
      </c>
      <c r="Q31" s="12"/>
      <c r="R31" s="114">
        <v>609965224</v>
      </c>
      <c r="S31" s="179"/>
      <c r="T31" s="165"/>
    </row>
    <row r="32" spans="2:20" x14ac:dyDescent="0.55000000000000004">
      <c r="B32" s="12" t="s">
        <v>241</v>
      </c>
      <c r="C32" s="180"/>
      <c r="D32" s="115">
        <v>18795000</v>
      </c>
      <c r="E32" s="115"/>
      <c r="F32" s="115">
        <v>132901401562</v>
      </c>
      <c r="G32" s="12"/>
      <c r="H32" s="60">
        <v>-118147017971</v>
      </c>
      <c r="I32" s="12"/>
      <c r="J32" s="114">
        <v>14754383591</v>
      </c>
      <c r="K32" s="12"/>
      <c r="L32" s="115">
        <v>24000000</v>
      </c>
      <c r="M32" s="12"/>
      <c r="N32" s="115">
        <v>170693714680</v>
      </c>
      <c r="O32" s="12"/>
      <c r="P32" s="60">
        <v>-150866104350</v>
      </c>
      <c r="Q32" s="12"/>
      <c r="R32" s="114">
        <v>19827610330</v>
      </c>
      <c r="S32" s="179"/>
      <c r="T32" s="165"/>
    </row>
    <row r="33" spans="2:20" x14ac:dyDescent="0.55000000000000004">
      <c r="B33" s="12" t="s">
        <v>145</v>
      </c>
      <c r="C33" s="180"/>
      <c r="D33" s="115">
        <v>400000</v>
      </c>
      <c r="E33" s="115"/>
      <c r="F33" s="115">
        <v>214453448</v>
      </c>
      <c r="G33" s="12"/>
      <c r="H33" s="60">
        <v>-188443542</v>
      </c>
      <c r="I33" s="12"/>
      <c r="J33" s="114">
        <v>26009906</v>
      </c>
      <c r="K33" s="12"/>
      <c r="L33" s="115">
        <v>236005623</v>
      </c>
      <c r="M33" s="12"/>
      <c r="N33" s="115">
        <v>140357672984</v>
      </c>
      <c r="O33" s="12"/>
      <c r="P33" s="60">
        <v>-148963181415</v>
      </c>
      <c r="Q33" s="12"/>
      <c r="R33" s="114">
        <v>-8605508431</v>
      </c>
      <c r="S33" s="179"/>
      <c r="T33" s="165"/>
    </row>
    <row r="34" spans="2:20" x14ac:dyDescent="0.55000000000000004">
      <c r="B34" s="12" t="s">
        <v>130</v>
      </c>
      <c r="C34" s="180"/>
      <c r="D34" s="115">
        <v>4000000</v>
      </c>
      <c r="E34" s="115"/>
      <c r="F34" s="115">
        <v>5416935122</v>
      </c>
      <c r="G34" s="12"/>
      <c r="H34" s="60">
        <v>-6332661567</v>
      </c>
      <c r="I34" s="12"/>
      <c r="J34" s="114">
        <v>-915726445</v>
      </c>
      <c r="K34" s="12"/>
      <c r="L34" s="115">
        <v>72714631</v>
      </c>
      <c r="M34" s="12"/>
      <c r="N34" s="115">
        <v>91187032867</v>
      </c>
      <c r="O34" s="12"/>
      <c r="P34" s="60">
        <v>-114576874292</v>
      </c>
      <c r="Q34" s="12"/>
      <c r="R34" s="114">
        <v>-23389841425</v>
      </c>
      <c r="S34" s="179"/>
      <c r="T34" s="165"/>
    </row>
    <row r="35" spans="2:20" x14ac:dyDescent="0.55000000000000004">
      <c r="B35" s="12" t="s">
        <v>196</v>
      </c>
      <c r="C35" s="180"/>
      <c r="D35" s="115">
        <v>0</v>
      </c>
      <c r="E35" s="115"/>
      <c r="F35" s="115">
        <v>0</v>
      </c>
      <c r="G35" s="12"/>
      <c r="H35" s="60">
        <v>0</v>
      </c>
      <c r="I35" s="12"/>
      <c r="J35" s="114">
        <v>0</v>
      </c>
      <c r="K35" s="12"/>
      <c r="L35" s="115">
        <v>9100000</v>
      </c>
      <c r="M35" s="12"/>
      <c r="N35" s="115">
        <v>123917346802</v>
      </c>
      <c r="O35" s="12"/>
      <c r="P35" s="60">
        <v>-132769794012</v>
      </c>
      <c r="Q35" s="12"/>
      <c r="R35" s="114">
        <v>-8852447210</v>
      </c>
      <c r="S35" s="179"/>
      <c r="T35" s="165"/>
    </row>
    <row r="36" spans="2:20" x14ac:dyDescent="0.55000000000000004">
      <c r="B36" s="12" t="s">
        <v>135</v>
      </c>
      <c r="C36" s="180"/>
      <c r="D36" s="115">
        <v>0</v>
      </c>
      <c r="E36" s="115"/>
      <c r="F36" s="115">
        <v>0</v>
      </c>
      <c r="G36" s="12"/>
      <c r="H36" s="60">
        <v>0</v>
      </c>
      <c r="I36" s="12"/>
      <c r="J36" s="114">
        <v>0</v>
      </c>
      <c r="K36" s="12"/>
      <c r="L36" s="115">
        <v>364998</v>
      </c>
      <c r="M36" s="12"/>
      <c r="N36" s="115">
        <v>1669452833</v>
      </c>
      <c r="O36" s="12"/>
      <c r="P36" s="60">
        <v>-1779995754</v>
      </c>
      <c r="Q36" s="12"/>
      <c r="R36" s="114">
        <v>-110542921</v>
      </c>
      <c r="S36" s="179"/>
      <c r="T36" s="165"/>
    </row>
    <row r="37" spans="2:20" x14ac:dyDescent="0.55000000000000004">
      <c r="B37" s="12" t="s">
        <v>240</v>
      </c>
      <c r="C37" s="180"/>
      <c r="D37" s="115">
        <v>0</v>
      </c>
      <c r="E37" s="115"/>
      <c r="F37" s="115">
        <v>0</v>
      </c>
      <c r="G37" s="12"/>
      <c r="H37" s="60">
        <v>0</v>
      </c>
      <c r="I37" s="12"/>
      <c r="J37" s="114">
        <v>0</v>
      </c>
      <c r="K37" s="12"/>
      <c r="L37" s="115">
        <v>14000000</v>
      </c>
      <c r="M37" s="12"/>
      <c r="N37" s="115">
        <v>49376310474</v>
      </c>
      <c r="O37" s="12"/>
      <c r="P37" s="60">
        <v>-46226459745</v>
      </c>
      <c r="Q37" s="12"/>
      <c r="R37" s="114">
        <v>3149850729</v>
      </c>
      <c r="S37" s="179"/>
      <c r="T37" s="165"/>
    </row>
    <row r="38" spans="2:20" x14ac:dyDescent="0.55000000000000004">
      <c r="B38" s="12" t="s">
        <v>158</v>
      </c>
      <c r="C38" s="180"/>
      <c r="D38" s="115">
        <v>0</v>
      </c>
      <c r="E38" s="115"/>
      <c r="F38" s="115">
        <v>0</v>
      </c>
      <c r="G38" s="12"/>
      <c r="H38" s="60">
        <v>0</v>
      </c>
      <c r="I38" s="12"/>
      <c r="J38" s="114">
        <v>0</v>
      </c>
      <c r="K38" s="12"/>
      <c r="L38" s="115">
        <v>1000000</v>
      </c>
      <c r="M38" s="12"/>
      <c r="N38" s="115">
        <v>7418294945</v>
      </c>
      <c r="O38" s="12"/>
      <c r="P38" s="60">
        <v>-6391741500</v>
      </c>
      <c r="Q38" s="12"/>
      <c r="R38" s="114">
        <v>1026553445</v>
      </c>
      <c r="S38" s="179"/>
      <c r="T38" s="165"/>
    </row>
    <row r="39" spans="2:20" x14ac:dyDescent="0.55000000000000004">
      <c r="B39" s="12" t="s">
        <v>171</v>
      </c>
      <c r="C39" s="180"/>
      <c r="D39" s="115">
        <v>0</v>
      </c>
      <c r="E39" s="115"/>
      <c r="F39" s="115">
        <v>0</v>
      </c>
      <c r="G39" s="12"/>
      <c r="H39" s="60">
        <v>0</v>
      </c>
      <c r="I39" s="12"/>
      <c r="J39" s="114">
        <v>0</v>
      </c>
      <c r="K39" s="12"/>
      <c r="L39" s="115">
        <v>5233155</v>
      </c>
      <c r="M39" s="12"/>
      <c r="N39" s="115">
        <v>38009415924</v>
      </c>
      <c r="O39" s="12"/>
      <c r="P39" s="60">
        <v>-39171193489</v>
      </c>
      <c r="Q39" s="12"/>
      <c r="R39" s="114">
        <v>-1161777565</v>
      </c>
      <c r="S39" s="179"/>
      <c r="T39" s="165"/>
    </row>
    <row r="40" spans="2:20" x14ac:dyDescent="0.55000000000000004">
      <c r="B40" s="12" t="s">
        <v>149</v>
      </c>
      <c r="C40" s="180"/>
      <c r="D40" s="115">
        <v>0</v>
      </c>
      <c r="E40" s="115"/>
      <c r="F40" s="115">
        <v>0</v>
      </c>
      <c r="G40" s="12"/>
      <c r="H40" s="60">
        <v>0</v>
      </c>
      <c r="I40" s="12"/>
      <c r="J40" s="114">
        <v>0</v>
      </c>
      <c r="K40" s="12"/>
      <c r="L40" s="115">
        <v>2293414</v>
      </c>
      <c r="M40" s="12"/>
      <c r="N40" s="115">
        <v>12408221385</v>
      </c>
      <c r="O40" s="12"/>
      <c r="P40" s="60">
        <v>-11809199207</v>
      </c>
      <c r="Q40" s="12"/>
      <c r="R40" s="114">
        <v>599022178</v>
      </c>
      <c r="S40" s="179"/>
      <c r="T40" s="165"/>
    </row>
    <row r="41" spans="2:20" x14ac:dyDescent="0.55000000000000004">
      <c r="B41" s="12" t="s">
        <v>119</v>
      </c>
      <c r="C41" s="180"/>
      <c r="D41" s="115">
        <v>0</v>
      </c>
      <c r="E41" s="115"/>
      <c r="F41" s="115">
        <v>0</v>
      </c>
      <c r="G41" s="12"/>
      <c r="H41" s="60">
        <v>0</v>
      </c>
      <c r="I41" s="12"/>
      <c r="J41" s="114">
        <v>0</v>
      </c>
      <c r="K41" s="12"/>
      <c r="L41" s="115">
        <v>5666666</v>
      </c>
      <c r="M41" s="12"/>
      <c r="N41" s="115">
        <v>259014905617</v>
      </c>
      <c r="O41" s="12"/>
      <c r="P41" s="60">
        <v>-247399134751</v>
      </c>
      <c r="Q41" s="12"/>
      <c r="R41" s="114">
        <v>11615770866</v>
      </c>
      <c r="S41" s="179"/>
      <c r="T41" s="165"/>
    </row>
    <row r="42" spans="2:20" x14ac:dyDescent="0.55000000000000004">
      <c r="B42" s="12" t="s">
        <v>105</v>
      </c>
      <c r="C42" s="180"/>
      <c r="D42" s="115">
        <v>0</v>
      </c>
      <c r="E42" s="115"/>
      <c r="F42" s="115">
        <v>0</v>
      </c>
      <c r="G42" s="12"/>
      <c r="H42" s="60">
        <v>0</v>
      </c>
      <c r="I42" s="12"/>
      <c r="J42" s="114">
        <v>0</v>
      </c>
      <c r="K42" s="12"/>
      <c r="L42" s="115">
        <v>128947</v>
      </c>
      <c r="M42" s="12"/>
      <c r="N42" s="115">
        <v>259917481</v>
      </c>
      <c r="O42" s="12"/>
      <c r="P42" s="60">
        <v>-231364476</v>
      </c>
      <c r="Q42" s="12"/>
      <c r="R42" s="114">
        <v>28553005</v>
      </c>
      <c r="S42" s="179"/>
      <c r="T42" s="165"/>
    </row>
    <row r="43" spans="2:20" x14ac:dyDescent="0.55000000000000004">
      <c r="B43" s="12" t="s">
        <v>184</v>
      </c>
      <c r="C43" s="180"/>
      <c r="D43" s="115">
        <v>0</v>
      </c>
      <c r="E43" s="115"/>
      <c r="F43" s="115">
        <v>0</v>
      </c>
      <c r="G43" s="12"/>
      <c r="H43" s="60">
        <v>0</v>
      </c>
      <c r="I43" s="12"/>
      <c r="J43" s="114">
        <v>0</v>
      </c>
      <c r="K43" s="12"/>
      <c r="L43" s="115">
        <v>4797393</v>
      </c>
      <c r="M43" s="12"/>
      <c r="N43" s="115">
        <v>100451005427</v>
      </c>
      <c r="O43" s="12"/>
      <c r="P43" s="60">
        <v>-91837693253</v>
      </c>
      <c r="Q43" s="12"/>
      <c r="R43" s="114">
        <v>8613312174</v>
      </c>
      <c r="S43" s="179"/>
      <c r="T43" s="165"/>
    </row>
    <row r="44" spans="2:20" x14ac:dyDescent="0.55000000000000004">
      <c r="B44" s="12" t="s">
        <v>192</v>
      </c>
      <c r="C44" s="180"/>
      <c r="D44" s="115">
        <v>0</v>
      </c>
      <c r="E44" s="115"/>
      <c r="F44" s="115">
        <v>0</v>
      </c>
      <c r="G44" s="12"/>
      <c r="H44" s="60">
        <v>0</v>
      </c>
      <c r="I44" s="12"/>
      <c r="J44" s="114">
        <v>0</v>
      </c>
      <c r="K44" s="12"/>
      <c r="L44" s="115">
        <v>11026011</v>
      </c>
      <c r="M44" s="12"/>
      <c r="N44" s="115">
        <v>41305827008</v>
      </c>
      <c r="O44" s="12"/>
      <c r="P44" s="60">
        <v>-41676491490</v>
      </c>
      <c r="Q44" s="12"/>
      <c r="R44" s="114">
        <v>-370664482</v>
      </c>
      <c r="S44" s="179"/>
      <c r="T44" s="165"/>
    </row>
    <row r="45" spans="2:20" x14ac:dyDescent="0.55000000000000004">
      <c r="B45" s="12" t="s">
        <v>232</v>
      </c>
      <c r="C45" s="180"/>
      <c r="D45" s="115">
        <v>0</v>
      </c>
      <c r="E45" s="115"/>
      <c r="F45" s="115">
        <v>0</v>
      </c>
      <c r="G45" s="12"/>
      <c r="H45" s="60">
        <v>0</v>
      </c>
      <c r="I45" s="12"/>
      <c r="J45" s="114">
        <v>0</v>
      </c>
      <c r="K45" s="12"/>
      <c r="L45" s="115">
        <v>2035713</v>
      </c>
      <c r="M45" s="12"/>
      <c r="N45" s="115">
        <v>137755574821</v>
      </c>
      <c r="O45" s="12"/>
      <c r="P45" s="60">
        <v>-103932356668</v>
      </c>
      <c r="Q45" s="12"/>
      <c r="R45" s="114">
        <v>33823218153</v>
      </c>
      <c r="S45" s="179"/>
      <c r="T45" s="165"/>
    </row>
    <row r="46" spans="2:20" x14ac:dyDescent="0.55000000000000004">
      <c r="B46" s="12" t="s">
        <v>165</v>
      </c>
      <c r="C46" s="180"/>
      <c r="D46" s="115">
        <v>0</v>
      </c>
      <c r="E46" s="115"/>
      <c r="F46" s="115">
        <v>0</v>
      </c>
      <c r="G46" s="12"/>
      <c r="H46" s="60">
        <v>0</v>
      </c>
      <c r="I46" s="12"/>
      <c r="J46" s="114">
        <v>0</v>
      </c>
      <c r="K46" s="12"/>
      <c r="L46" s="115">
        <v>1750000</v>
      </c>
      <c r="M46" s="12"/>
      <c r="N46" s="115">
        <v>6827446173</v>
      </c>
      <c r="O46" s="12"/>
      <c r="P46" s="60">
        <v>-4695146662</v>
      </c>
      <c r="Q46" s="12"/>
      <c r="R46" s="114">
        <v>2132299511</v>
      </c>
      <c r="S46" s="179"/>
      <c r="T46" s="165"/>
    </row>
    <row r="47" spans="2:20" ht="23.25" thickBot="1" x14ac:dyDescent="0.6">
      <c r="B47" s="181" t="s">
        <v>218</v>
      </c>
      <c r="C47" s="171"/>
      <c r="D47" s="182">
        <f>SUM(D7:D46)</f>
        <v>91891386</v>
      </c>
      <c r="E47" s="182"/>
      <c r="F47" s="182">
        <f>SUM(F7:F46)</f>
        <v>441044993525</v>
      </c>
      <c r="G47" s="182"/>
      <c r="H47" s="182">
        <f>SUM(H7:H46)</f>
        <v>-412116342177</v>
      </c>
      <c r="I47" s="182"/>
      <c r="J47" s="182">
        <f>SUM(J7:J46)</f>
        <v>28928651348</v>
      </c>
      <c r="K47" s="182"/>
      <c r="L47" s="182">
        <f>SUM(L7:L46)</f>
        <v>1234768432</v>
      </c>
      <c r="M47" s="182"/>
      <c r="N47" s="182">
        <f>SUM(N7:N46)</f>
        <v>4222984550979</v>
      </c>
      <c r="O47" s="182"/>
      <c r="P47" s="182">
        <f>SUM(P7:P46)</f>
        <v>-4249048262731</v>
      </c>
      <c r="Q47" s="182"/>
      <c r="R47" s="182">
        <f>SUM(R7:R46)</f>
        <v>-26063711752</v>
      </c>
      <c r="S47" s="179"/>
      <c r="T47" s="165"/>
    </row>
    <row r="48" spans="2:20" ht="23.25" thickTop="1" x14ac:dyDescent="0.55000000000000004">
      <c r="B48" s="12"/>
      <c r="C48" s="180"/>
      <c r="D48" s="115"/>
      <c r="E48" s="115"/>
      <c r="F48" s="115"/>
      <c r="G48" s="12"/>
      <c r="H48" s="60"/>
      <c r="I48" s="12"/>
      <c r="J48" s="114"/>
      <c r="K48" s="12"/>
      <c r="L48" s="115"/>
      <c r="M48" s="12"/>
      <c r="N48" s="115"/>
      <c r="O48" s="12"/>
      <c r="P48" s="60"/>
      <c r="Q48" s="12"/>
      <c r="R48" s="114"/>
      <c r="S48" s="179"/>
      <c r="T48" s="165"/>
    </row>
    <row r="49" spans="2:26" ht="24" x14ac:dyDescent="0.55000000000000004">
      <c r="B49" s="393" t="s">
        <v>98</v>
      </c>
      <c r="C49" s="393"/>
      <c r="D49" s="393"/>
      <c r="E49" s="393"/>
      <c r="F49" s="393"/>
      <c r="G49" s="393"/>
      <c r="H49" s="393"/>
      <c r="I49" s="393"/>
      <c r="J49" s="393"/>
      <c r="K49" s="395"/>
      <c r="L49" s="395"/>
      <c r="M49" s="395"/>
      <c r="N49" s="395"/>
      <c r="O49" s="395"/>
      <c r="P49" s="395"/>
      <c r="Q49" s="395"/>
      <c r="R49" s="395"/>
      <c r="Z49" s="1" t="s">
        <v>187</v>
      </c>
    </row>
    <row r="50" spans="2:26" ht="24.75" thickBot="1" x14ac:dyDescent="0.6">
      <c r="B50" s="12"/>
      <c r="C50" s="12"/>
      <c r="D50" s="388" t="str">
        <f>D5</f>
        <v>طی آذر ماه</v>
      </c>
      <c r="E50" s="388"/>
      <c r="F50" s="388"/>
      <c r="G50" s="388"/>
      <c r="H50" s="388"/>
      <c r="I50" s="388"/>
      <c r="J50" s="388"/>
      <c r="K50" s="12"/>
      <c r="L50" s="388" t="str">
        <f>L5</f>
        <v>از ابتدای سال مالی تا پایان آذر ماه</v>
      </c>
      <c r="M50" s="388"/>
      <c r="N50" s="388"/>
      <c r="O50" s="388"/>
      <c r="P50" s="388"/>
      <c r="Q50" s="388"/>
      <c r="R50" s="388"/>
      <c r="Z50" s="1" t="s">
        <v>188</v>
      </c>
    </row>
    <row r="51" spans="2:26" ht="45.75" thickBot="1" x14ac:dyDescent="0.6">
      <c r="B51" s="12" t="s">
        <v>64</v>
      </c>
      <c r="C51" s="12"/>
      <c r="D51" s="111" t="s">
        <v>8</v>
      </c>
      <c r="E51" s="12"/>
      <c r="F51" s="112" t="s">
        <v>77</v>
      </c>
      <c r="G51" s="12"/>
      <c r="H51" s="111" t="s">
        <v>74</v>
      </c>
      <c r="I51" s="12"/>
      <c r="J51" s="112" t="s">
        <v>78</v>
      </c>
      <c r="K51" s="12"/>
      <c r="L51" s="111" t="s">
        <v>8</v>
      </c>
      <c r="M51" s="12"/>
      <c r="N51" s="112" t="s">
        <v>32</v>
      </c>
      <c r="O51" s="12"/>
      <c r="P51" s="111" t="s">
        <v>74</v>
      </c>
      <c r="Q51" s="12"/>
      <c r="R51" s="112" t="s">
        <v>78</v>
      </c>
      <c r="T51" s="165"/>
      <c r="X51" s="1" t="s">
        <v>189</v>
      </c>
    </row>
    <row r="52" spans="2:26" x14ac:dyDescent="0.55000000000000004">
      <c r="B52" s="12" t="s">
        <v>219</v>
      </c>
      <c r="C52" s="180"/>
      <c r="D52" s="115">
        <f>D47</f>
        <v>91891386</v>
      </c>
      <c r="E52" s="115"/>
      <c r="F52" s="60">
        <f>F47</f>
        <v>441044993525</v>
      </c>
      <c r="G52" s="60"/>
      <c r="H52" s="60">
        <f>H47</f>
        <v>-412116342177</v>
      </c>
      <c r="I52" s="60"/>
      <c r="J52" s="60">
        <f>J47</f>
        <v>28928651348</v>
      </c>
      <c r="K52" s="60"/>
      <c r="L52" s="60">
        <f>L47</f>
        <v>1234768432</v>
      </c>
      <c r="M52" s="60"/>
      <c r="N52" s="60">
        <f>N47</f>
        <v>4222984550979</v>
      </c>
      <c r="O52" s="60"/>
      <c r="P52" s="60">
        <f>P47</f>
        <v>-4249048262731</v>
      </c>
      <c r="Q52" s="60"/>
      <c r="R52" s="60">
        <f>R47</f>
        <v>-26063711752</v>
      </c>
      <c r="S52" s="179"/>
      <c r="T52" s="165"/>
    </row>
    <row r="53" spans="2:26" x14ac:dyDescent="0.55000000000000004">
      <c r="B53" s="12" t="s">
        <v>156</v>
      </c>
      <c r="C53" s="180"/>
      <c r="D53" s="115">
        <v>0</v>
      </c>
      <c r="E53" s="115"/>
      <c r="F53" s="115">
        <v>0</v>
      </c>
      <c r="G53" s="12"/>
      <c r="H53" s="60">
        <v>0</v>
      </c>
      <c r="I53" s="12"/>
      <c r="J53" s="114">
        <f t="shared" ref="J53:J95" si="0">F53+H53</f>
        <v>0</v>
      </c>
      <c r="K53" s="12"/>
      <c r="L53" s="115">
        <v>225000</v>
      </c>
      <c r="M53" s="12"/>
      <c r="N53" s="115">
        <v>4731339625</v>
      </c>
      <c r="O53" s="12"/>
      <c r="P53" s="60">
        <v>-3086525250</v>
      </c>
      <c r="Q53" s="12"/>
      <c r="R53" s="114">
        <v>1644814375</v>
      </c>
      <c r="S53" s="179"/>
      <c r="T53" s="165"/>
    </row>
    <row r="54" spans="2:26" x14ac:dyDescent="0.55000000000000004">
      <c r="B54" s="12" t="s">
        <v>170</v>
      </c>
      <c r="C54" s="180"/>
      <c r="D54" s="115">
        <v>0</v>
      </c>
      <c r="E54" s="115"/>
      <c r="F54" s="115">
        <v>0</v>
      </c>
      <c r="G54" s="12"/>
      <c r="H54" s="60">
        <v>0</v>
      </c>
      <c r="I54" s="12"/>
      <c r="J54" s="114">
        <f t="shared" si="0"/>
        <v>0</v>
      </c>
      <c r="K54" s="12"/>
      <c r="L54" s="115">
        <v>1999999</v>
      </c>
      <c r="M54" s="12"/>
      <c r="N54" s="115">
        <v>8638310933</v>
      </c>
      <c r="O54" s="12"/>
      <c r="P54" s="60">
        <v>-7151192124</v>
      </c>
      <c r="Q54" s="12"/>
      <c r="R54" s="114">
        <v>1487118809</v>
      </c>
      <c r="S54" s="179"/>
      <c r="T54" s="165"/>
    </row>
    <row r="55" spans="2:26" x14ac:dyDescent="0.55000000000000004">
      <c r="B55" s="12" t="s">
        <v>175</v>
      </c>
      <c r="C55" s="180"/>
      <c r="D55" s="115">
        <v>0</v>
      </c>
      <c r="E55" s="115"/>
      <c r="F55" s="115">
        <v>0</v>
      </c>
      <c r="G55" s="12"/>
      <c r="H55" s="60">
        <v>0</v>
      </c>
      <c r="I55" s="12"/>
      <c r="J55" s="114">
        <f t="shared" si="0"/>
        <v>0</v>
      </c>
      <c r="K55" s="12"/>
      <c r="L55" s="115">
        <v>15297352</v>
      </c>
      <c r="M55" s="12"/>
      <c r="N55" s="115">
        <v>124115112292</v>
      </c>
      <c r="O55" s="12"/>
      <c r="P55" s="60">
        <v>-120944002623</v>
      </c>
      <c r="Q55" s="12"/>
      <c r="R55" s="114">
        <v>3171109669</v>
      </c>
      <c r="S55" s="179"/>
      <c r="T55" s="165"/>
    </row>
    <row r="56" spans="2:26" x14ac:dyDescent="0.55000000000000004">
      <c r="B56" s="12" t="s">
        <v>142</v>
      </c>
      <c r="C56" s="180"/>
      <c r="D56" s="115">
        <v>0</v>
      </c>
      <c r="E56" s="115"/>
      <c r="F56" s="115">
        <v>0</v>
      </c>
      <c r="G56" s="12"/>
      <c r="H56" s="60">
        <v>0</v>
      </c>
      <c r="I56" s="12"/>
      <c r="J56" s="114">
        <f t="shared" si="0"/>
        <v>0</v>
      </c>
      <c r="K56" s="12"/>
      <c r="L56" s="115">
        <v>25777644</v>
      </c>
      <c r="M56" s="12"/>
      <c r="N56" s="115">
        <v>63229742834</v>
      </c>
      <c r="O56" s="12"/>
      <c r="P56" s="60">
        <v>-61292477531</v>
      </c>
      <c r="Q56" s="12"/>
      <c r="R56" s="114">
        <v>1937265303</v>
      </c>
      <c r="S56" s="179"/>
      <c r="T56" s="165"/>
    </row>
    <row r="57" spans="2:26" ht="27.75" x14ac:dyDescent="0.55000000000000004">
      <c r="B57" s="12" t="s">
        <v>202</v>
      </c>
      <c r="C57" s="180"/>
      <c r="D57" s="115">
        <v>0</v>
      </c>
      <c r="E57" s="115"/>
      <c r="F57" s="115">
        <v>0</v>
      </c>
      <c r="G57" s="12"/>
      <c r="H57" s="60">
        <v>0</v>
      </c>
      <c r="I57" s="12"/>
      <c r="J57" s="114">
        <f t="shared" si="0"/>
        <v>0</v>
      </c>
      <c r="K57" s="12"/>
      <c r="L57" s="115">
        <v>10000000</v>
      </c>
      <c r="M57" s="12"/>
      <c r="N57" s="115">
        <v>14127514473</v>
      </c>
      <c r="O57" s="12"/>
      <c r="P57" s="60">
        <v>-12914583067</v>
      </c>
      <c r="Q57" s="12"/>
      <c r="R57" s="151">
        <v>1783</v>
      </c>
      <c r="S57" s="179"/>
      <c r="T57" s="165"/>
    </row>
    <row r="58" spans="2:26" x14ac:dyDescent="0.55000000000000004">
      <c r="B58" s="12" t="s">
        <v>182</v>
      </c>
      <c r="C58" s="180"/>
      <c r="D58" s="115">
        <v>0</v>
      </c>
      <c r="E58" s="115"/>
      <c r="F58" s="115">
        <v>0</v>
      </c>
      <c r="G58" s="12"/>
      <c r="H58" s="60">
        <v>0</v>
      </c>
      <c r="I58" s="12"/>
      <c r="J58" s="114">
        <f t="shared" si="0"/>
        <v>0</v>
      </c>
      <c r="K58" s="12"/>
      <c r="L58" s="115">
        <v>33018562</v>
      </c>
      <c r="M58" s="12"/>
      <c r="N58" s="115">
        <v>60477350165</v>
      </c>
      <c r="O58" s="12"/>
      <c r="P58" s="60">
        <v>-53566408497</v>
      </c>
      <c r="Q58" s="12"/>
      <c r="R58" s="114">
        <v>6910941668</v>
      </c>
      <c r="S58" s="179"/>
      <c r="T58" s="165"/>
    </row>
    <row r="59" spans="2:26" x14ac:dyDescent="0.55000000000000004">
      <c r="B59" s="12" t="s">
        <v>157</v>
      </c>
      <c r="C59" s="180"/>
      <c r="D59" s="115">
        <v>0</v>
      </c>
      <c r="E59" s="115"/>
      <c r="F59" s="115">
        <v>0</v>
      </c>
      <c r="G59" s="12"/>
      <c r="H59" s="60">
        <v>0</v>
      </c>
      <c r="I59" s="12"/>
      <c r="J59" s="114">
        <f t="shared" si="0"/>
        <v>0</v>
      </c>
      <c r="K59" s="12"/>
      <c r="L59" s="115">
        <v>1062500</v>
      </c>
      <c r="M59" s="12"/>
      <c r="N59" s="115">
        <v>2536492684</v>
      </c>
      <c r="O59" s="12"/>
      <c r="P59" s="60">
        <v>-2385072759</v>
      </c>
      <c r="Q59" s="12"/>
      <c r="R59" s="114">
        <v>151419925</v>
      </c>
      <c r="S59" s="179"/>
      <c r="T59" s="165"/>
    </row>
    <row r="60" spans="2:26" x14ac:dyDescent="0.55000000000000004">
      <c r="B60" s="12" t="s">
        <v>141</v>
      </c>
      <c r="C60" s="180"/>
      <c r="D60" s="115">
        <v>0</v>
      </c>
      <c r="E60" s="115"/>
      <c r="F60" s="115">
        <v>0</v>
      </c>
      <c r="G60" s="12"/>
      <c r="H60" s="60">
        <v>0</v>
      </c>
      <c r="I60" s="12"/>
      <c r="J60" s="114">
        <f t="shared" si="0"/>
        <v>0</v>
      </c>
      <c r="K60" s="12"/>
      <c r="L60" s="115">
        <v>9000</v>
      </c>
      <c r="M60" s="12"/>
      <c r="N60" s="115">
        <v>743971783</v>
      </c>
      <c r="O60" s="12"/>
      <c r="P60" s="60">
        <v>-712584743</v>
      </c>
      <c r="Q60" s="12"/>
      <c r="R60" s="114">
        <v>31387040</v>
      </c>
      <c r="S60" s="179"/>
      <c r="T60" s="165"/>
    </row>
    <row r="61" spans="2:26" x14ac:dyDescent="0.55000000000000004">
      <c r="B61" s="12" t="s">
        <v>179</v>
      </c>
      <c r="C61" s="180"/>
      <c r="D61" s="115">
        <v>0</v>
      </c>
      <c r="E61" s="115"/>
      <c r="F61" s="115">
        <v>0</v>
      </c>
      <c r="G61" s="12"/>
      <c r="H61" s="60">
        <v>0</v>
      </c>
      <c r="I61" s="12"/>
      <c r="J61" s="114">
        <f t="shared" si="0"/>
        <v>0</v>
      </c>
      <c r="K61" s="12"/>
      <c r="L61" s="115">
        <v>17003374</v>
      </c>
      <c r="M61" s="12"/>
      <c r="N61" s="115">
        <v>93930456333</v>
      </c>
      <c r="O61" s="12"/>
      <c r="P61" s="60">
        <v>-115969359763</v>
      </c>
      <c r="Q61" s="12"/>
      <c r="R61" s="114">
        <v>-22038903430</v>
      </c>
      <c r="S61" s="179"/>
      <c r="T61" s="165"/>
    </row>
    <row r="62" spans="2:26" x14ac:dyDescent="0.55000000000000004">
      <c r="B62" s="12" t="s">
        <v>161</v>
      </c>
      <c r="C62" s="180"/>
      <c r="D62" s="115">
        <v>0</v>
      </c>
      <c r="E62" s="115"/>
      <c r="F62" s="115">
        <v>0</v>
      </c>
      <c r="G62" s="12"/>
      <c r="H62" s="60">
        <v>0</v>
      </c>
      <c r="I62" s="12"/>
      <c r="J62" s="114">
        <f t="shared" si="0"/>
        <v>0</v>
      </c>
      <c r="K62" s="12"/>
      <c r="L62" s="115">
        <v>285750</v>
      </c>
      <c r="M62" s="12"/>
      <c r="N62" s="115">
        <v>16096789618</v>
      </c>
      <c r="O62" s="12"/>
      <c r="P62" s="60">
        <v>-13620187310</v>
      </c>
      <c r="Q62" s="12"/>
      <c r="R62" s="114">
        <v>2476602308</v>
      </c>
      <c r="S62" s="179"/>
      <c r="T62" s="165"/>
    </row>
    <row r="63" spans="2:26" x14ac:dyDescent="0.55000000000000004">
      <c r="B63" s="12" t="s">
        <v>201</v>
      </c>
      <c r="C63" s="180"/>
      <c r="D63" s="115">
        <v>0</v>
      </c>
      <c r="E63" s="115"/>
      <c r="F63" s="115">
        <v>0</v>
      </c>
      <c r="G63" s="12"/>
      <c r="H63" s="60">
        <v>0</v>
      </c>
      <c r="I63" s="12"/>
      <c r="J63" s="114">
        <f t="shared" si="0"/>
        <v>0</v>
      </c>
      <c r="K63" s="12"/>
      <c r="L63" s="115">
        <v>45200000</v>
      </c>
      <c r="M63" s="12"/>
      <c r="N63" s="115">
        <v>199311526542</v>
      </c>
      <c r="O63" s="12"/>
      <c r="P63" s="60">
        <v>-189463504064</v>
      </c>
      <c r="Q63" s="12"/>
      <c r="R63" s="114">
        <v>9848022478</v>
      </c>
      <c r="S63" s="179"/>
      <c r="T63" s="165"/>
    </row>
    <row r="64" spans="2:26" x14ac:dyDescent="0.55000000000000004">
      <c r="B64" s="12" t="s">
        <v>160</v>
      </c>
      <c r="C64" s="180"/>
      <c r="D64" s="115">
        <v>0</v>
      </c>
      <c r="E64" s="115"/>
      <c r="F64" s="115">
        <v>0</v>
      </c>
      <c r="G64" s="12"/>
      <c r="H64" s="60">
        <v>0</v>
      </c>
      <c r="I64" s="12"/>
      <c r="J64" s="114">
        <f t="shared" si="0"/>
        <v>0</v>
      </c>
      <c r="K64" s="12"/>
      <c r="L64" s="115">
        <v>4100000</v>
      </c>
      <c r="M64" s="12"/>
      <c r="N64" s="115">
        <v>47787732830</v>
      </c>
      <c r="O64" s="12"/>
      <c r="P64" s="60">
        <v>-50619014100</v>
      </c>
      <c r="Q64" s="12"/>
      <c r="R64" s="114">
        <v>-2831281270</v>
      </c>
      <c r="S64" s="179"/>
      <c r="T64" s="165"/>
    </row>
    <row r="65" spans="2:20" x14ac:dyDescent="0.55000000000000004">
      <c r="B65" s="12" t="s">
        <v>137</v>
      </c>
      <c r="C65" s="180"/>
      <c r="D65" s="115">
        <v>0</v>
      </c>
      <c r="E65" s="115"/>
      <c r="F65" s="115">
        <v>0</v>
      </c>
      <c r="G65" s="12"/>
      <c r="H65" s="60">
        <v>0</v>
      </c>
      <c r="I65" s="12"/>
      <c r="J65" s="114">
        <f t="shared" si="0"/>
        <v>0</v>
      </c>
      <c r="K65" s="12"/>
      <c r="L65" s="115">
        <v>11736188</v>
      </c>
      <c r="M65" s="12"/>
      <c r="N65" s="115">
        <v>241620321346</v>
      </c>
      <c r="O65" s="12"/>
      <c r="P65" s="60">
        <v>-223590909540</v>
      </c>
      <c r="Q65" s="12"/>
      <c r="R65" s="114">
        <v>18029411806</v>
      </c>
      <c r="S65" s="179"/>
      <c r="T65" s="165"/>
    </row>
    <row r="66" spans="2:20" x14ac:dyDescent="0.55000000000000004">
      <c r="B66" s="12" t="s">
        <v>183</v>
      </c>
      <c r="C66" s="180"/>
      <c r="D66" s="115">
        <v>0</v>
      </c>
      <c r="E66" s="115"/>
      <c r="F66" s="115">
        <v>0</v>
      </c>
      <c r="G66" s="12"/>
      <c r="H66" s="60">
        <v>0</v>
      </c>
      <c r="I66" s="12"/>
      <c r="J66" s="114">
        <f t="shared" si="0"/>
        <v>0</v>
      </c>
      <c r="K66" s="12"/>
      <c r="L66" s="115">
        <v>3000000</v>
      </c>
      <c r="M66" s="12"/>
      <c r="N66" s="115">
        <v>40743955200</v>
      </c>
      <c r="O66" s="12"/>
      <c r="P66" s="60">
        <v>-37933216382</v>
      </c>
      <c r="Q66" s="12"/>
      <c r="R66" s="114">
        <v>2810738818</v>
      </c>
      <c r="S66" s="179"/>
      <c r="T66" s="165"/>
    </row>
    <row r="67" spans="2:20" x14ac:dyDescent="0.55000000000000004">
      <c r="B67" s="12" t="s">
        <v>163</v>
      </c>
      <c r="C67" s="180"/>
      <c r="D67" s="115">
        <v>0</v>
      </c>
      <c r="E67" s="115"/>
      <c r="F67" s="115">
        <v>0</v>
      </c>
      <c r="G67" s="12"/>
      <c r="H67" s="60">
        <v>0</v>
      </c>
      <c r="I67" s="12"/>
      <c r="J67" s="114">
        <f t="shared" si="0"/>
        <v>0</v>
      </c>
      <c r="K67" s="12"/>
      <c r="L67" s="115">
        <v>250000</v>
      </c>
      <c r="M67" s="12"/>
      <c r="N67" s="115">
        <v>2187328005</v>
      </c>
      <c r="O67" s="12"/>
      <c r="P67" s="60">
        <v>-1729647000</v>
      </c>
      <c r="Q67" s="12"/>
      <c r="R67" s="114">
        <v>457681005</v>
      </c>
      <c r="S67" s="179"/>
      <c r="T67" s="165"/>
    </row>
    <row r="68" spans="2:20" x14ac:dyDescent="0.55000000000000004">
      <c r="B68" s="12" t="s">
        <v>178</v>
      </c>
      <c r="C68" s="180"/>
      <c r="D68" s="115">
        <v>0</v>
      </c>
      <c r="E68" s="115"/>
      <c r="F68" s="115">
        <v>0</v>
      </c>
      <c r="G68" s="12"/>
      <c r="H68" s="60">
        <v>0</v>
      </c>
      <c r="I68" s="12"/>
      <c r="J68" s="114">
        <f t="shared" si="0"/>
        <v>0</v>
      </c>
      <c r="K68" s="12"/>
      <c r="L68" s="115">
        <v>296800000</v>
      </c>
      <c r="M68" s="12"/>
      <c r="N68" s="115">
        <v>178498863128</v>
      </c>
      <c r="O68" s="12"/>
      <c r="P68" s="60">
        <v>-200398180909</v>
      </c>
      <c r="Q68" s="12"/>
      <c r="R68" s="114">
        <v>-21899317781</v>
      </c>
      <c r="S68" s="179"/>
      <c r="T68" s="165"/>
    </row>
    <row r="69" spans="2:20" x14ac:dyDescent="0.55000000000000004">
      <c r="B69" s="12" t="s">
        <v>110</v>
      </c>
      <c r="C69" s="180"/>
      <c r="D69" s="115">
        <v>0</v>
      </c>
      <c r="E69" s="115"/>
      <c r="F69" s="115">
        <v>0</v>
      </c>
      <c r="G69" s="12"/>
      <c r="H69" s="60">
        <v>0</v>
      </c>
      <c r="I69" s="12"/>
      <c r="J69" s="114">
        <f t="shared" si="0"/>
        <v>0</v>
      </c>
      <c r="K69" s="12"/>
      <c r="L69" s="115">
        <v>135200001</v>
      </c>
      <c r="M69" s="12"/>
      <c r="N69" s="115">
        <v>79705193978</v>
      </c>
      <c r="O69" s="12"/>
      <c r="P69" s="60">
        <v>-70876996145</v>
      </c>
      <c r="Q69" s="12"/>
      <c r="R69" s="114">
        <v>8828197833</v>
      </c>
      <c r="S69" s="179"/>
      <c r="T69" s="165"/>
    </row>
    <row r="70" spans="2:20" x14ac:dyDescent="0.55000000000000004">
      <c r="B70" s="12" t="s">
        <v>172</v>
      </c>
      <c r="C70" s="180"/>
      <c r="D70" s="115">
        <v>0</v>
      </c>
      <c r="E70" s="115"/>
      <c r="F70" s="115">
        <v>0</v>
      </c>
      <c r="G70" s="12"/>
      <c r="H70" s="60">
        <v>0</v>
      </c>
      <c r="I70" s="12"/>
      <c r="J70" s="114">
        <f t="shared" si="0"/>
        <v>0</v>
      </c>
      <c r="K70" s="12"/>
      <c r="L70" s="115">
        <v>10177909</v>
      </c>
      <c r="M70" s="12"/>
      <c r="N70" s="115">
        <v>151231461978</v>
      </c>
      <c r="O70" s="12"/>
      <c r="P70" s="60">
        <v>-126328323943</v>
      </c>
      <c r="Q70" s="12"/>
      <c r="R70" s="114">
        <v>24903138035</v>
      </c>
      <c r="S70" s="179"/>
      <c r="T70" s="165"/>
    </row>
    <row r="71" spans="2:20" x14ac:dyDescent="0.55000000000000004">
      <c r="B71" s="12" t="s">
        <v>144</v>
      </c>
      <c r="C71" s="180"/>
      <c r="D71" s="115">
        <v>0</v>
      </c>
      <c r="E71" s="115"/>
      <c r="F71" s="115">
        <v>0</v>
      </c>
      <c r="G71" s="12"/>
      <c r="H71" s="60">
        <v>0</v>
      </c>
      <c r="I71" s="12"/>
      <c r="J71" s="114">
        <f t="shared" si="0"/>
        <v>0</v>
      </c>
      <c r="K71" s="12"/>
      <c r="L71" s="115">
        <v>19265446</v>
      </c>
      <c r="M71" s="12"/>
      <c r="N71" s="115">
        <v>184861246863</v>
      </c>
      <c r="O71" s="12"/>
      <c r="P71" s="60">
        <v>-250732540451</v>
      </c>
      <c r="Q71" s="12"/>
      <c r="R71" s="114">
        <v>-65871293588</v>
      </c>
      <c r="S71" s="179"/>
      <c r="T71" s="165"/>
    </row>
    <row r="72" spans="2:20" x14ac:dyDescent="0.55000000000000004">
      <c r="B72" s="12" t="s">
        <v>173</v>
      </c>
      <c r="C72" s="180"/>
      <c r="D72" s="115">
        <v>0</v>
      </c>
      <c r="E72" s="115"/>
      <c r="F72" s="115">
        <v>0</v>
      </c>
      <c r="G72" s="12"/>
      <c r="H72" s="60">
        <v>0</v>
      </c>
      <c r="I72" s="12"/>
      <c r="J72" s="114">
        <f t="shared" si="0"/>
        <v>0</v>
      </c>
      <c r="K72" s="12"/>
      <c r="L72" s="115">
        <v>15571100</v>
      </c>
      <c r="M72" s="12"/>
      <c r="N72" s="115">
        <v>91315510092</v>
      </c>
      <c r="O72" s="12"/>
      <c r="P72" s="60">
        <v>-95651473345</v>
      </c>
      <c r="Q72" s="12"/>
      <c r="R72" s="114">
        <v>-4335963253</v>
      </c>
      <c r="S72" s="179"/>
      <c r="T72" s="165"/>
    </row>
    <row r="73" spans="2:20" x14ac:dyDescent="0.55000000000000004">
      <c r="B73" s="12" t="s">
        <v>162</v>
      </c>
      <c r="C73" s="180"/>
      <c r="D73" s="115">
        <v>0</v>
      </c>
      <c r="E73" s="115"/>
      <c r="F73" s="115">
        <v>0</v>
      </c>
      <c r="G73" s="12"/>
      <c r="H73" s="60">
        <v>0</v>
      </c>
      <c r="I73" s="12"/>
      <c r="J73" s="114">
        <f t="shared" si="0"/>
        <v>0</v>
      </c>
      <c r="K73" s="12"/>
      <c r="L73" s="115">
        <v>800000</v>
      </c>
      <c r="M73" s="12"/>
      <c r="N73" s="115">
        <v>14710482899</v>
      </c>
      <c r="O73" s="12"/>
      <c r="P73" s="60">
        <v>-10680073200</v>
      </c>
      <c r="Q73" s="12"/>
      <c r="R73" s="114">
        <v>4030409699</v>
      </c>
      <c r="S73" s="179"/>
      <c r="T73" s="165"/>
    </row>
    <row r="74" spans="2:20" ht="27.75" x14ac:dyDescent="0.55000000000000004">
      <c r="B74" s="12" t="s">
        <v>164</v>
      </c>
      <c r="C74" s="180"/>
      <c r="D74" s="115">
        <v>0</v>
      </c>
      <c r="E74" s="115"/>
      <c r="F74" s="115">
        <v>0</v>
      </c>
      <c r="G74" s="12"/>
      <c r="H74" s="60">
        <v>0</v>
      </c>
      <c r="I74" s="12"/>
      <c r="J74" s="114">
        <f t="shared" si="0"/>
        <v>0</v>
      </c>
      <c r="K74" s="12"/>
      <c r="L74" s="115">
        <v>309853</v>
      </c>
      <c r="M74" s="12"/>
      <c r="N74" s="115">
        <v>8022342214</v>
      </c>
      <c r="O74" s="12"/>
      <c r="P74" s="60">
        <v>-7810065837</v>
      </c>
      <c r="Q74" s="12"/>
      <c r="R74" s="151">
        <v>2083</v>
      </c>
      <c r="S74" s="179"/>
      <c r="T74" s="165"/>
    </row>
    <row r="75" spans="2:20" x14ac:dyDescent="0.55000000000000004">
      <c r="B75" s="12" t="s">
        <v>111</v>
      </c>
      <c r="C75" s="180"/>
      <c r="D75" s="115">
        <v>0</v>
      </c>
      <c r="E75" s="115"/>
      <c r="F75" s="115">
        <v>0</v>
      </c>
      <c r="G75" s="12"/>
      <c r="H75" s="60">
        <v>0</v>
      </c>
      <c r="I75" s="12"/>
      <c r="J75" s="114">
        <f t="shared" si="0"/>
        <v>0</v>
      </c>
      <c r="K75" s="12"/>
      <c r="L75" s="115">
        <v>144364</v>
      </c>
      <c r="M75" s="12"/>
      <c r="N75" s="115">
        <v>363956344</v>
      </c>
      <c r="O75" s="12"/>
      <c r="P75" s="60">
        <v>-266632352</v>
      </c>
      <c r="Q75" s="12"/>
      <c r="R75" s="114">
        <v>97323992</v>
      </c>
      <c r="S75" s="179"/>
      <c r="T75" s="165"/>
    </row>
    <row r="76" spans="2:20" x14ac:dyDescent="0.55000000000000004">
      <c r="B76" s="12" t="s">
        <v>169</v>
      </c>
      <c r="C76" s="180"/>
      <c r="D76" s="115">
        <v>0</v>
      </c>
      <c r="E76" s="115"/>
      <c r="F76" s="115">
        <v>0</v>
      </c>
      <c r="G76" s="12"/>
      <c r="H76" s="60">
        <v>0</v>
      </c>
      <c r="I76" s="12"/>
      <c r="J76" s="114">
        <f t="shared" si="0"/>
        <v>0</v>
      </c>
      <c r="K76" s="12"/>
      <c r="L76" s="115">
        <v>29167090</v>
      </c>
      <c r="M76" s="12"/>
      <c r="N76" s="115">
        <v>169466517260</v>
      </c>
      <c r="O76" s="12"/>
      <c r="P76" s="60">
        <v>-140253073100</v>
      </c>
      <c r="Q76" s="12"/>
      <c r="R76" s="114">
        <v>29213444160</v>
      </c>
      <c r="S76" s="179"/>
      <c r="T76" s="165"/>
    </row>
    <row r="77" spans="2:20" x14ac:dyDescent="0.55000000000000004">
      <c r="B77" s="12" t="s">
        <v>195</v>
      </c>
      <c r="C77" s="180"/>
      <c r="D77" s="115">
        <v>0</v>
      </c>
      <c r="E77" s="115"/>
      <c r="F77" s="115">
        <v>0</v>
      </c>
      <c r="G77" s="12"/>
      <c r="H77" s="60">
        <v>0</v>
      </c>
      <c r="I77" s="12"/>
      <c r="J77" s="114">
        <f t="shared" si="0"/>
        <v>0</v>
      </c>
      <c r="K77" s="12"/>
      <c r="L77" s="115">
        <v>10000000</v>
      </c>
      <c r="M77" s="12"/>
      <c r="N77" s="115">
        <v>38860864777</v>
      </c>
      <c r="O77" s="12"/>
      <c r="P77" s="60">
        <v>-56454832765</v>
      </c>
      <c r="Q77" s="12"/>
      <c r="R77" s="114">
        <v>-17593967988</v>
      </c>
      <c r="S77" s="179"/>
      <c r="T77" s="165"/>
    </row>
    <row r="78" spans="2:20" x14ac:dyDescent="0.55000000000000004">
      <c r="B78" s="12" t="s">
        <v>136</v>
      </c>
      <c r="C78" s="180"/>
      <c r="D78" s="115">
        <v>0</v>
      </c>
      <c r="E78" s="115"/>
      <c r="F78" s="115">
        <v>0</v>
      </c>
      <c r="G78" s="12"/>
      <c r="H78" s="60">
        <v>0</v>
      </c>
      <c r="I78" s="12"/>
      <c r="J78" s="114">
        <f t="shared" si="0"/>
        <v>0</v>
      </c>
      <c r="K78" s="12"/>
      <c r="L78" s="115">
        <v>145177805</v>
      </c>
      <c r="M78" s="12"/>
      <c r="N78" s="115">
        <v>56181168010</v>
      </c>
      <c r="O78" s="12"/>
      <c r="P78" s="60">
        <v>-55614287431</v>
      </c>
      <c r="Q78" s="12"/>
      <c r="R78" s="114">
        <v>566880579</v>
      </c>
      <c r="S78" s="179"/>
      <c r="T78" s="165"/>
    </row>
    <row r="79" spans="2:20" x14ac:dyDescent="0.55000000000000004">
      <c r="B79" s="12" t="s">
        <v>193</v>
      </c>
      <c r="C79" s="180"/>
      <c r="D79" s="115">
        <v>0</v>
      </c>
      <c r="E79" s="115"/>
      <c r="F79" s="115">
        <v>0</v>
      </c>
      <c r="G79" s="12"/>
      <c r="H79" s="60">
        <v>0</v>
      </c>
      <c r="I79" s="12"/>
      <c r="J79" s="114">
        <f t="shared" si="0"/>
        <v>0</v>
      </c>
      <c r="K79" s="12"/>
      <c r="L79" s="115">
        <v>9190000</v>
      </c>
      <c r="M79" s="12"/>
      <c r="N79" s="115">
        <v>116496701537</v>
      </c>
      <c r="O79" s="12"/>
      <c r="P79" s="60">
        <v>-131419390934</v>
      </c>
      <c r="Q79" s="12"/>
      <c r="R79" s="114">
        <v>-14922689397</v>
      </c>
      <c r="S79" s="179"/>
      <c r="T79" s="165"/>
    </row>
    <row r="80" spans="2:20" x14ac:dyDescent="0.55000000000000004">
      <c r="B80" s="12" t="s">
        <v>126</v>
      </c>
      <c r="C80" s="180"/>
      <c r="D80" s="115">
        <v>0</v>
      </c>
      <c r="E80" s="115"/>
      <c r="F80" s="115">
        <v>0</v>
      </c>
      <c r="G80" s="12"/>
      <c r="H80" s="60">
        <v>0</v>
      </c>
      <c r="I80" s="12"/>
      <c r="J80" s="114">
        <f t="shared" si="0"/>
        <v>0</v>
      </c>
      <c r="K80" s="12"/>
      <c r="L80" s="115">
        <v>48036566</v>
      </c>
      <c r="M80" s="12"/>
      <c r="N80" s="115">
        <v>30376622165</v>
      </c>
      <c r="O80" s="12"/>
      <c r="P80" s="60">
        <v>-25355157562</v>
      </c>
      <c r="Q80" s="12"/>
      <c r="R80" s="114">
        <v>5021464603</v>
      </c>
      <c r="S80" s="179"/>
      <c r="T80" s="165"/>
    </row>
    <row r="81" spans="2:20" x14ac:dyDescent="0.55000000000000004">
      <c r="B81" s="12" t="s">
        <v>174</v>
      </c>
      <c r="C81" s="180"/>
      <c r="D81" s="115">
        <v>0</v>
      </c>
      <c r="E81" s="115"/>
      <c r="F81" s="115">
        <v>0</v>
      </c>
      <c r="G81" s="12"/>
      <c r="H81" s="60">
        <v>0</v>
      </c>
      <c r="I81" s="12"/>
      <c r="J81" s="114">
        <f t="shared" si="0"/>
        <v>0</v>
      </c>
      <c r="K81" s="12"/>
      <c r="L81" s="115">
        <v>500000</v>
      </c>
      <c r="M81" s="12"/>
      <c r="N81" s="115">
        <v>79824838253</v>
      </c>
      <c r="O81" s="12"/>
      <c r="P81" s="60">
        <v>-84310491490</v>
      </c>
      <c r="Q81" s="12"/>
      <c r="R81" s="114">
        <v>-4485653237</v>
      </c>
      <c r="S81" s="179"/>
      <c r="T81" s="165"/>
    </row>
    <row r="82" spans="2:20" x14ac:dyDescent="0.55000000000000004">
      <c r="B82" s="12" t="s">
        <v>131</v>
      </c>
      <c r="C82" s="180"/>
      <c r="D82" s="115">
        <v>0</v>
      </c>
      <c r="E82" s="115"/>
      <c r="F82" s="115">
        <v>0</v>
      </c>
      <c r="G82" s="12"/>
      <c r="H82" s="60">
        <v>0</v>
      </c>
      <c r="I82" s="12"/>
      <c r="J82" s="114">
        <f t="shared" si="0"/>
        <v>0</v>
      </c>
      <c r="K82" s="12"/>
      <c r="L82" s="115">
        <v>4802865</v>
      </c>
      <c r="M82" s="12"/>
      <c r="N82" s="115">
        <v>79602761083</v>
      </c>
      <c r="O82" s="12"/>
      <c r="P82" s="60">
        <v>-114168265872</v>
      </c>
      <c r="Q82" s="12"/>
      <c r="R82" s="114">
        <v>-34565504789</v>
      </c>
      <c r="S82" s="179"/>
      <c r="T82" s="165"/>
    </row>
    <row r="83" spans="2:20" x14ac:dyDescent="0.55000000000000004">
      <c r="B83" s="12" t="s">
        <v>255</v>
      </c>
      <c r="C83" s="180"/>
      <c r="D83" s="115">
        <v>0</v>
      </c>
      <c r="E83" s="115"/>
      <c r="F83" s="115">
        <v>0</v>
      </c>
      <c r="G83" s="12"/>
      <c r="H83" s="60">
        <v>0</v>
      </c>
      <c r="I83" s="12"/>
      <c r="J83" s="114">
        <f t="shared" si="0"/>
        <v>0</v>
      </c>
      <c r="K83" s="12"/>
      <c r="L83" s="115">
        <v>26228</v>
      </c>
      <c r="M83" s="12"/>
      <c r="N83" s="115">
        <v>356337108208</v>
      </c>
      <c r="O83" s="12"/>
      <c r="P83" s="60">
        <v>-264441554182</v>
      </c>
      <c r="Q83" s="12"/>
      <c r="R83" s="114">
        <v>91895554026</v>
      </c>
      <c r="S83" s="179"/>
      <c r="T83" s="165"/>
    </row>
    <row r="84" spans="2:20" x14ac:dyDescent="0.55000000000000004">
      <c r="B84" s="12" t="s">
        <v>186</v>
      </c>
      <c r="C84" s="180"/>
      <c r="D84" s="115">
        <v>0</v>
      </c>
      <c r="E84" s="115"/>
      <c r="F84" s="115">
        <v>0</v>
      </c>
      <c r="G84" s="12"/>
      <c r="H84" s="60">
        <v>0</v>
      </c>
      <c r="I84" s="12"/>
      <c r="J84" s="114">
        <f t="shared" si="0"/>
        <v>0</v>
      </c>
      <c r="K84" s="12"/>
      <c r="L84" s="115">
        <v>6100000</v>
      </c>
      <c r="M84" s="12"/>
      <c r="N84" s="115">
        <v>76203951750</v>
      </c>
      <c r="O84" s="12"/>
      <c r="P84" s="60">
        <v>-51624969511</v>
      </c>
      <c r="Q84" s="12"/>
      <c r="R84" s="114">
        <v>24578982239</v>
      </c>
      <c r="S84" s="179"/>
      <c r="T84" s="165"/>
    </row>
    <row r="85" spans="2:20" x14ac:dyDescent="0.55000000000000004">
      <c r="B85" s="12" t="s">
        <v>159</v>
      </c>
      <c r="C85" s="180"/>
      <c r="D85" s="115">
        <v>0</v>
      </c>
      <c r="E85" s="115"/>
      <c r="F85" s="115">
        <v>0</v>
      </c>
      <c r="G85" s="12"/>
      <c r="H85" s="60">
        <v>0</v>
      </c>
      <c r="I85" s="12"/>
      <c r="J85" s="114">
        <f t="shared" si="0"/>
        <v>0</v>
      </c>
      <c r="K85" s="12"/>
      <c r="L85" s="115">
        <v>250000</v>
      </c>
      <c r="M85" s="12"/>
      <c r="N85" s="115">
        <v>3710544265</v>
      </c>
      <c r="O85" s="12"/>
      <c r="P85" s="60">
        <v>-3436927875</v>
      </c>
      <c r="Q85" s="12"/>
      <c r="R85" s="114">
        <v>273616390</v>
      </c>
      <c r="S85" s="179"/>
      <c r="T85" s="165"/>
    </row>
    <row r="86" spans="2:20" x14ac:dyDescent="0.55000000000000004">
      <c r="B86" s="12" t="s">
        <v>120</v>
      </c>
      <c r="C86" s="180"/>
      <c r="D86" s="115">
        <v>0</v>
      </c>
      <c r="E86" s="115"/>
      <c r="F86" s="115">
        <v>0</v>
      </c>
      <c r="G86" s="12"/>
      <c r="H86" s="60">
        <v>0</v>
      </c>
      <c r="I86" s="12"/>
      <c r="J86" s="114">
        <f t="shared" si="0"/>
        <v>0</v>
      </c>
      <c r="K86" s="12"/>
      <c r="L86" s="115">
        <v>1158251</v>
      </c>
      <c r="M86" s="12"/>
      <c r="N86" s="115">
        <v>21239027797</v>
      </c>
      <c r="O86" s="12"/>
      <c r="P86" s="60">
        <v>-23116110437</v>
      </c>
      <c r="Q86" s="12"/>
      <c r="R86" s="114">
        <v>-1877082640</v>
      </c>
      <c r="S86" s="179"/>
      <c r="T86" s="165"/>
    </row>
    <row r="87" spans="2:20" x14ac:dyDescent="0.55000000000000004">
      <c r="B87" s="12" t="s">
        <v>150</v>
      </c>
      <c r="C87" s="180"/>
      <c r="D87" s="115">
        <v>0</v>
      </c>
      <c r="E87" s="115"/>
      <c r="F87" s="115">
        <v>0</v>
      </c>
      <c r="G87" s="12"/>
      <c r="H87" s="60">
        <v>0</v>
      </c>
      <c r="I87" s="12"/>
      <c r="J87" s="114">
        <f t="shared" si="0"/>
        <v>0</v>
      </c>
      <c r="K87" s="12"/>
      <c r="L87" s="115">
        <v>4110000</v>
      </c>
      <c r="M87" s="12"/>
      <c r="N87" s="115">
        <v>69935875826</v>
      </c>
      <c r="O87" s="12"/>
      <c r="P87" s="60">
        <v>-67901304925</v>
      </c>
      <c r="Q87" s="12"/>
      <c r="R87" s="114">
        <v>2034570901</v>
      </c>
      <c r="S87" s="179"/>
      <c r="T87" s="165"/>
    </row>
    <row r="88" spans="2:20" x14ac:dyDescent="0.55000000000000004">
      <c r="B88" s="12" t="s">
        <v>153</v>
      </c>
      <c r="C88" s="180"/>
      <c r="D88" s="115">
        <v>0</v>
      </c>
      <c r="E88" s="115"/>
      <c r="F88" s="115">
        <v>0</v>
      </c>
      <c r="G88" s="12"/>
      <c r="H88" s="60">
        <v>0</v>
      </c>
      <c r="I88" s="12"/>
      <c r="J88" s="114">
        <f t="shared" si="0"/>
        <v>0</v>
      </c>
      <c r="K88" s="12"/>
      <c r="L88" s="115">
        <v>8075370</v>
      </c>
      <c r="M88" s="12"/>
      <c r="N88" s="115">
        <v>10863602652</v>
      </c>
      <c r="O88" s="12"/>
      <c r="P88" s="60">
        <v>-13421679968</v>
      </c>
      <c r="Q88" s="12"/>
      <c r="R88" s="114">
        <v>-2558077316</v>
      </c>
      <c r="S88" s="179"/>
      <c r="T88" s="165"/>
    </row>
    <row r="89" spans="2:20" x14ac:dyDescent="0.55000000000000004">
      <c r="B89" s="12" t="s">
        <v>114</v>
      </c>
      <c r="C89" s="180"/>
      <c r="D89" s="115">
        <v>0</v>
      </c>
      <c r="E89" s="115"/>
      <c r="F89" s="115">
        <v>0</v>
      </c>
      <c r="G89" s="12"/>
      <c r="H89" s="60">
        <v>0</v>
      </c>
      <c r="I89" s="12"/>
      <c r="J89" s="114">
        <f t="shared" si="0"/>
        <v>0</v>
      </c>
      <c r="K89" s="12"/>
      <c r="L89" s="115">
        <v>4302565</v>
      </c>
      <c r="M89" s="12"/>
      <c r="N89" s="115">
        <v>41425685971</v>
      </c>
      <c r="O89" s="12"/>
      <c r="P89" s="60">
        <v>-40095376284</v>
      </c>
      <c r="Q89" s="12"/>
      <c r="R89" s="114">
        <v>1330309687</v>
      </c>
      <c r="S89" s="179"/>
      <c r="T89" s="165"/>
    </row>
    <row r="90" spans="2:20" x14ac:dyDescent="0.55000000000000004">
      <c r="B90" s="12" t="s">
        <v>166</v>
      </c>
      <c r="C90" s="180"/>
      <c r="D90" s="115">
        <v>0</v>
      </c>
      <c r="E90" s="115"/>
      <c r="F90" s="115">
        <v>0</v>
      </c>
      <c r="G90" s="12"/>
      <c r="H90" s="60">
        <v>0</v>
      </c>
      <c r="I90" s="12"/>
      <c r="J90" s="114">
        <f t="shared" si="0"/>
        <v>0</v>
      </c>
      <c r="K90" s="12"/>
      <c r="L90" s="115">
        <v>200000</v>
      </c>
      <c r="M90" s="12"/>
      <c r="N90" s="115">
        <v>1683013472</v>
      </c>
      <c r="O90" s="12"/>
      <c r="P90" s="60">
        <v>-1425467700</v>
      </c>
      <c r="Q90" s="12"/>
      <c r="R90" s="114">
        <v>257545772</v>
      </c>
      <c r="S90" s="179"/>
      <c r="T90" s="165"/>
    </row>
    <row r="91" spans="2:20" x14ac:dyDescent="0.55000000000000004">
      <c r="B91" s="12" t="s">
        <v>239</v>
      </c>
      <c r="C91" s="180"/>
      <c r="D91" s="115">
        <v>0</v>
      </c>
      <c r="E91" s="115"/>
      <c r="F91" s="115">
        <v>0</v>
      </c>
      <c r="G91" s="12"/>
      <c r="H91" s="60">
        <v>0</v>
      </c>
      <c r="I91" s="12"/>
      <c r="J91" s="114">
        <f t="shared" si="0"/>
        <v>0</v>
      </c>
      <c r="K91" s="12"/>
      <c r="L91" s="115">
        <v>94429</v>
      </c>
      <c r="M91" s="12"/>
      <c r="N91" s="115">
        <v>314925979</v>
      </c>
      <c r="O91" s="12"/>
      <c r="P91" s="60">
        <v>-324037299</v>
      </c>
      <c r="Q91" s="12"/>
      <c r="R91" s="114">
        <v>-9111320</v>
      </c>
      <c r="S91" s="179"/>
      <c r="T91" s="165"/>
    </row>
    <row r="92" spans="2:20" x14ac:dyDescent="0.55000000000000004">
      <c r="B92" s="12" t="s">
        <v>124</v>
      </c>
      <c r="C92" s="180"/>
      <c r="D92" s="115">
        <v>0</v>
      </c>
      <c r="E92" s="115"/>
      <c r="F92" s="115">
        <v>0</v>
      </c>
      <c r="G92" s="12"/>
      <c r="H92" s="60">
        <v>0</v>
      </c>
      <c r="I92" s="12"/>
      <c r="J92" s="114">
        <f t="shared" si="0"/>
        <v>0</v>
      </c>
      <c r="K92" s="12"/>
      <c r="L92" s="115">
        <v>1000000</v>
      </c>
      <c r="M92" s="12"/>
      <c r="N92" s="115">
        <v>11695985564</v>
      </c>
      <c r="O92" s="12"/>
      <c r="P92" s="60">
        <v>-16437228975</v>
      </c>
      <c r="Q92" s="12"/>
      <c r="R92" s="114">
        <v>-4741243411</v>
      </c>
      <c r="S92" s="179"/>
      <c r="T92" s="165"/>
    </row>
    <row r="93" spans="2:20" ht="25.9" customHeight="1" x14ac:dyDescent="0.55000000000000004">
      <c r="B93" s="12" t="s">
        <v>253</v>
      </c>
      <c r="C93" s="180"/>
      <c r="D93" s="115">
        <v>0</v>
      </c>
      <c r="E93" s="115"/>
      <c r="F93" s="115">
        <v>0</v>
      </c>
      <c r="G93" s="12"/>
      <c r="H93" s="60">
        <v>0</v>
      </c>
      <c r="I93" s="12"/>
      <c r="J93" s="114">
        <f t="shared" si="0"/>
        <v>0</v>
      </c>
      <c r="K93" s="12"/>
      <c r="L93" s="115">
        <v>562500</v>
      </c>
      <c r="M93" s="12"/>
      <c r="N93" s="115">
        <v>6101526807</v>
      </c>
      <c r="O93" s="12"/>
      <c r="P93" s="60">
        <v>-4998586407</v>
      </c>
      <c r="Q93" s="12"/>
      <c r="R93" s="114">
        <v>1102940400</v>
      </c>
    </row>
    <row r="94" spans="2:20" ht="25.9" customHeight="1" x14ac:dyDescent="0.55000000000000004">
      <c r="B94" s="12" t="s">
        <v>152</v>
      </c>
      <c r="C94" s="180"/>
      <c r="D94" s="115">
        <v>0</v>
      </c>
      <c r="E94" s="115"/>
      <c r="F94" s="115">
        <v>0</v>
      </c>
      <c r="G94" s="12"/>
      <c r="H94" s="60">
        <v>0</v>
      </c>
      <c r="I94" s="12"/>
      <c r="J94" s="114">
        <f t="shared" si="0"/>
        <v>0</v>
      </c>
      <c r="K94" s="12"/>
      <c r="L94" s="115">
        <v>5263691</v>
      </c>
      <c r="M94" s="12"/>
      <c r="N94" s="115">
        <v>4778193722</v>
      </c>
      <c r="O94" s="12"/>
      <c r="P94" s="60">
        <v>-6823013138</v>
      </c>
      <c r="Q94" s="12"/>
      <c r="R94" s="114">
        <v>-2044819416</v>
      </c>
    </row>
    <row r="95" spans="2:20" ht="25.9" customHeight="1" x14ac:dyDescent="0.55000000000000004">
      <c r="B95" s="12" t="s">
        <v>177</v>
      </c>
      <c r="C95" s="180"/>
      <c r="D95" s="115">
        <v>0</v>
      </c>
      <c r="E95" s="115"/>
      <c r="F95" s="115">
        <v>0</v>
      </c>
      <c r="G95" s="12"/>
      <c r="H95" s="60">
        <v>0</v>
      </c>
      <c r="I95" s="12"/>
      <c r="J95" s="114">
        <f t="shared" si="0"/>
        <v>0</v>
      </c>
      <c r="K95" s="12"/>
      <c r="L95" s="115">
        <v>7500000</v>
      </c>
      <c r="M95" s="12"/>
      <c r="N95" s="115">
        <v>43100304000</v>
      </c>
      <c r="O95" s="12"/>
      <c r="P95" s="60">
        <v>-49541030392</v>
      </c>
      <c r="Q95" s="12"/>
      <c r="R95" s="114">
        <v>-6440726392</v>
      </c>
    </row>
    <row r="96" spans="2:20" ht="25.9" customHeight="1" x14ac:dyDescent="0.55000000000000004">
      <c r="B96" s="12" t="s">
        <v>121</v>
      </c>
      <c r="C96" s="180"/>
      <c r="D96" s="115">
        <v>0</v>
      </c>
      <c r="E96" s="115"/>
      <c r="F96" s="115">
        <v>0</v>
      </c>
      <c r="G96" s="12"/>
      <c r="H96" s="60">
        <v>0</v>
      </c>
      <c r="I96" s="12"/>
      <c r="J96" s="114">
        <f t="shared" ref="J96:J104" si="1">F96+H96</f>
        <v>0</v>
      </c>
      <c r="K96" s="12"/>
      <c r="L96" s="115">
        <v>10500000</v>
      </c>
      <c r="M96" s="12"/>
      <c r="N96" s="115">
        <v>95339481457</v>
      </c>
      <c r="O96" s="12"/>
      <c r="P96" s="60">
        <v>-99426897225</v>
      </c>
      <c r="Q96" s="12"/>
      <c r="R96" s="114">
        <v>-4087415768</v>
      </c>
    </row>
    <row r="97" spans="2:18" ht="25.9" customHeight="1" x14ac:dyDescent="0.55000000000000004">
      <c r="B97" s="12" t="s">
        <v>252</v>
      </c>
      <c r="C97" s="180"/>
      <c r="D97" s="115">
        <v>0</v>
      </c>
      <c r="E97" s="115"/>
      <c r="F97" s="115">
        <v>0</v>
      </c>
      <c r="G97" s="12"/>
      <c r="H97" s="60">
        <v>0</v>
      </c>
      <c r="I97" s="12"/>
      <c r="J97" s="114">
        <f t="shared" si="1"/>
        <v>0</v>
      </c>
      <c r="K97" s="12"/>
      <c r="L97" s="115">
        <v>360000</v>
      </c>
      <c r="M97" s="12"/>
      <c r="N97" s="115">
        <v>4796608722</v>
      </c>
      <c r="O97" s="12"/>
      <c r="P97" s="60">
        <v>-3620597722</v>
      </c>
      <c r="Q97" s="12"/>
      <c r="R97" s="114">
        <v>1176011000</v>
      </c>
    </row>
    <row r="98" spans="2:18" ht="25.9" customHeight="1" x14ac:dyDescent="0.55000000000000004">
      <c r="B98" s="12" t="s">
        <v>167</v>
      </c>
      <c r="C98" s="180"/>
      <c r="D98" s="115">
        <v>0</v>
      </c>
      <c r="E98" s="115"/>
      <c r="F98" s="115">
        <v>0</v>
      </c>
      <c r="G98" s="12"/>
      <c r="H98" s="60">
        <v>0</v>
      </c>
      <c r="I98" s="12"/>
      <c r="J98" s="114">
        <f t="shared" si="1"/>
        <v>0</v>
      </c>
      <c r="K98" s="12"/>
      <c r="L98" s="115">
        <v>900000</v>
      </c>
      <c r="M98" s="12"/>
      <c r="N98" s="115">
        <v>3553314347</v>
      </c>
      <c r="O98" s="12"/>
      <c r="P98" s="60">
        <v>-2980062495</v>
      </c>
      <c r="Q98" s="12"/>
      <c r="R98" s="114">
        <v>573251852</v>
      </c>
    </row>
    <row r="99" spans="2:18" ht="25.9" customHeight="1" x14ac:dyDescent="0.55000000000000004">
      <c r="B99" s="12" t="s">
        <v>117</v>
      </c>
      <c r="C99" s="180"/>
      <c r="D99" s="115"/>
      <c r="E99" s="115"/>
      <c r="F99" s="115"/>
      <c r="G99" s="12"/>
      <c r="H99" s="60"/>
      <c r="I99" s="12"/>
      <c r="J99" s="114">
        <f t="shared" si="1"/>
        <v>0</v>
      </c>
      <c r="K99" s="12"/>
      <c r="L99" s="115">
        <v>350629</v>
      </c>
      <c r="M99" s="12"/>
      <c r="N99" s="115">
        <v>93332630138</v>
      </c>
      <c r="O99" s="12"/>
      <c r="P99" s="60">
        <v>-91302145481</v>
      </c>
      <c r="Q99" s="12"/>
      <c r="R99" s="114">
        <v>2030484657</v>
      </c>
    </row>
    <row r="100" spans="2:18" ht="25.9" customHeight="1" x14ac:dyDescent="0.55000000000000004">
      <c r="B100" s="12" t="s">
        <v>146</v>
      </c>
      <c r="C100" s="180"/>
      <c r="D100" s="115"/>
      <c r="E100" s="115"/>
      <c r="F100" s="115"/>
      <c r="G100" s="12"/>
      <c r="H100" s="60"/>
      <c r="I100" s="12"/>
      <c r="J100" s="114">
        <f t="shared" si="1"/>
        <v>0</v>
      </c>
      <c r="K100" s="12"/>
      <c r="L100" s="115">
        <v>3905556</v>
      </c>
      <c r="M100" s="12"/>
      <c r="N100" s="115">
        <v>14860811601</v>
      </c>
      <c r="O100" s="12"/>
      <c r="P100" s="60">
        <v>-15133275340</v>
      </c>
      <c r="Q100" s="12"/>
      <c r="R100" s="114">
        <v>-272463739</v>
      </c>
    </row>
    <row r="101" spans="2:18" ht="25.9" customHeight="1" x14ac:dyDescent="0.55000000000000004">
      <c r="B101" s="12" t="s">
        <v>176</v>
      </c>
      <c r="C101" s="180"/>
      <c r="D101" s="115"/>
      <c r="E101" s="115"/>
      <c r="F101" s="115"/>
      <c r="G101" s="12"/>
      <c r="H101" s="60"/>
      <c r="I101" s="12"/>
      <c r="J101" s="114">
        <f t="shared" si="1"/>
        <v>0</v>
      </c>
      <c r="K101" s="12"/>
      <c r="L101" s="115">
        <v>1000000</v>
      </c>
      <c r="M101" s="12"/>
      <c r="N101" s="115">
        <v>83306795067</v>
      </c>
      <c r="O101" s="12"/>
      <c r="P101" s="60">
        <v>-80939563075</v>
      </c>
      <c r="Q101" s="12"/>
      <c r="R101" s="114">
        <v>2367231992</v>
      </c>
    </row>
    <row r="102" spans="2:18" ht="25.9" customHeight="1" x14ac:dyDescent="0.55000000000000004">
      <c r="B102" s="12" t="s">
        <v>233</v>
      </c>
      <c r="C102" s="180"/>
      <c r="D102" s="115"/>
      <c r="E102" s="115"/>
      <c r="F102" s="115"/>
      <c r="G102" s="12"/>
      <c r="H102" s="60"/>
      <c r="I102" s="12"/>
      <c r="J102" s="114">
        <f t="shared" si="1"/>
        <v>0</v>
      </c>
      <c r="K102" s="12"/>
      <c r="L102" s="115">
        <v>26228</v>
      </c>
      <c r="M102" s="12"/>
      <c r="N102" s="115">
        <v>149809255587</v>
      </c>
      <c r="O102" s="12"/>
      <c r="P102" s="60">
        <v>-149809255586</v>
      </c>
      <c r="Q102" s="12"/>
      <c r="R102" s="114">
        <v>0</v>
      </c>
    </row>
    <row r="103" spans="2:18" ht="25.9" customHeight="1" x14ac:dyDescent="0.55000000000000004">
      <c r="B103" s="12" t="s">
        <v>127</v>
      </c>
      <c r="C103" s="180"/>
      <c r="D103" s="115">
        <v>0</v>
      </c>
      <c r="E103" s="115"/>
      <c r="F103" s="115">
        <v>0</v>
      </c>
      <c r="G103" s="12"/>
      <c r="H103" s="60">
        <v>0</v>
      </c>
      <c r="I103" s="12"/>
      <c r="J103" s="114">
        <f t="shared" si="1"/>
        <v>0</v>
      </c>
      <c r="K103" s="12"/>
      <c r="L103" s="115">
        <v>28366026</v>
      </c>
      <c r="M103" s="12"/>
      <c r="N103" s="115">
        <v>63949363618</v>
      </c>
      <c r="O103" s="12"/>
      <c r="P103" s="60">
        <v>-64746598860</v>
      </c>
      <c r="Q103" s="12"/>
      <c r="R103" s="114">
        <v>-797235242</v>
      </c>
    </row>
    <row r="104" spans="2:18" ht="19.5" customHeight="1" x14ac:dyDescent="0.55000000000000004">
      <c r="B104" s="12" t="s">
        <v>143</v>
      </c>
      <c r="C104" s="180"/>
      <c r="D104" s="115">
        <v>0</v>
      </c>
      <c r="E104" s="115"/>
      <c r="F104" s="115">
        <v>0</v>
      </c>
      <c r="G104" s="12"/>
      <c r="H104" s="60">
        <v>0</v>
      </c>
      <c r="I104" s="12"/>
      <c r="J104" s="114">
        <f t="shared" si="1"/>
        <v>0</v>
      </c>
      <c r="K104" s="12"/>
      <c r="L104" s="115">
        <v>705319</v>
      </c>
      <c r="M104" s="12"/>
      <c r="N104" s="115">
        <v>22304178782</v>
      </c>
      <c r="O104" s="12"/>
      <c r="P104" s="60">
        <v>-26078961990</v>
      </c>
      <c r="Q104" s="12"/>
      <c r="R104" s="114">
        <v>-3774783208</v>
      </c>
    </row>
    <row r="105" spans="2:18" ht="23.25" thickBot="1" x14ac:dyDescent="0.6">
      <c r="B105" s="183" t="s">
        <v>7</v>
      </c>
      <c r="C105" s="183"/>
      <c r="D105" s="129">
        <f>SUM(D52:D104)</f>
        <v>91891386</v>
      </c>
      <c r="E105" s="184"/>
      <c r="F105" s="129">
        <f>SUM(F52:F104)</f>
        <v>441044993525</v>
      </c>
      <c r="G105" s="184"/>
      <c r="H105" s="129">
        <f>SUM(H52:H104)</f>
        <v>-412116342177</v>
      </c>
      <c r="I105" s="184"/>
      <c r="J105" s="129">
        <f>SUM(J52:J104)</f>
        <v>28928651348</v>
      </c>
      <c r="K105" s="184"/>
      <c r="L105" s="129">
        <f>SUM(L52:L104)</f>
        <v>2213633592</v>
      </c>
      <c r="M105" s="184"/>
      <c r="N105" s="129">
        <f>SUM(N52:N104)</f>
        <v>7601423211555</v>
      </c>
      <c r="O105" s="184"/>
      <c r="P105" s="129">
        <f>SUM(P52:P104)</f>
        <v>-7591971377687</v>
      </c>
      <c r="Q105" s="184"/>
      <c r="R105" s="129">
        <f>SUM(R52:R104)</f>
        <v>8026629950</v>
      </c>
    </row>
    <row r="106" spans="2:18" ht="23.25" hidden="1" thickTop="1" x14ac:dyDescent="0.55000000000000004"/>
    <row r="107" spans="2:18" ht="23.25" hidden="1" thickTop="1" x14ac:dyDescent="0.55000000000000004">
      <c r="B107" s="394"/>
      <c r="C107" s="394"/>
      <c r="D107" s="394"/>
      <c r="E107" s="394"/>
      <c r="F107" s="394"/>
      <c r="G107" s="394"/>
      <c r="H107" s="394"/>
      <c r="I107" s="394"/>
      <c r="J107" s="394"/>
      <c r="K107" s="394"/>
      <c r="L107" s="394"/>
      <c r="M107" s="394"/>
      <c r="N107" s="394"/>
      <c r="O107" s="394"/>
      <c r="P107" s="394"/>
      <c r="Q107" s="394"/>
      <c r="R107" s="394"/>
    </row>
    <row r="108" spans="2:18" ht="23.25" thickTop="1" x14ac:dyDescent="0.55000000000000004">
      <c r="J108" s="255"/>
      <c r="R108" s="255"/>
    </row>
    <row r="109" spans="2:18" x14ac:dyDescent="0.55000000000000004">
      <c r="F109" s="116"/>
      <c r="J109" s="255"/>
      <c r="N109" s="116"/>
      <c r="R109" s="255"/>
    </row>
    <row r="110" spans="2:18" x14ac:dyDescent="0.55000000000000004">
      <c r="F110" s="116"/>
      <c r="J110" s="255"/>
      <c r="N110" s="116"/>
      <c r="O110" s="116"/>
      <c r="R110" s="255"/>
    </row>
    <row r="111" spans="2:18" x14ac:dyDescent="0.55000000000000004">
      <c r="J111" s="255"/>
      <c r="R111" s="255"/>
    </row>
    <row r="112" spans="2:18" x14ac:dyDescent="0.55000000000000004">
      <c r="J112" s="255"/>
      <c r="R112" s="255"/>
    </row>
    <row r="115" spans="5:23" x14ac:dyDescent="0.55000000000000004">
      <c r="E115" s="93"/>
      <c r="G115" s="93"/>
      <c r="I115" s="93"/>
      <c r="K115" s="93"/>
      <c r="M115" s="93"/>
      <c r="O115" s="93"/>
      <c r="Q115" s="93"/>
    </row>
    <row r="120" spans="5:23" x14ac:dyDescent="0.55000000000000004">
      <c r="V120" s="93"/>
      <c r="W120" s="60"/>
    </row>
    <row r="121" spans="5:23" x14ac:dyDescent="0.55000000000000004">
      <c r="V121" s="93"/>
      <c r="W121" s="60"/>
    </row>
    <row r="122" spans="5:23" x14ac:dyDescent="0.55000000000000004">
      <c r="V122" s="93"/>
      <c r="W122" s="60"/>
    </row>
    <row r="123" spans="5:23" x14ac:dyDescent="0.55000000000000004">
      <c r="V123" s="93"/>
      <c r="W123" s="60"/>
    </row>
    <row r="124" spans="5:23" x14ac:dyDescent="0.55000000000000004">
      <c r="V124" s="93"/>
      <c r="W124" s="60"/>
    </row>
    <row r="125" spans="5:23" x14ac:dyDescent="0.55000000000000004">
      <c r="V125" s="93"/>
      <c r="W125" s="60"/>
    </row>
    <row r="126" spans="5:23" x14ac:dyDescent="0.55000000000000004">
      <c r="V126" s="93"/>
      <c r="W126" s="60"/>
    </row>
    <row r="127" spans="5:23" x14ac:dyDescent="0.55000000000000004">
      <c r="V127" s="93"/>
      <c r="W127" s="60"/>
    </row>
    <row r="128" spans="5:23" x14ac:dyDescent="0.55000000000000004">
      <c r="V128" s="93"/>
      <c r="W128" s="60"/>
    </row>
    <row r="129" spans="22:23" x14ac:dyDescent="0.55000000000000004">
      <c r="V129" s="93"/>
      <c r="W129" s="60"/>
    </row>
    <row r="130" spans="22:23" x14ac:dyDescent="0.55000000000000004">
      <c r="V130" s="93"/>
      <c r="W130" s="60"/>
    </row>
    <row r="131" spans="22:23" x14ac:dyDescent="0.55000000000000004">
      <c r="V131" s="93"/>
      <c r="W131" s="60"/>
    </row>
    <row r="132" spans="22:23" x14ac:dyDescent="0.55000000000000004">
      <c r="V132" s="93"/>
      <c r="W132" s="60"/>
    </row>
    <row r="133" spans="22:23" x14ac:dyDescent="0.55000000000000004">
      <c r="V133" s="93"/>
      <c r="W133" s="60"/>
    </row>
    <row r="134" spans="22:23" x14ac:dyDescent="0.55000000000000004">
      <c r="V134" s="93"/>
      <c r="W134" s="60"/>
    </row>
    <row r="135" spans="22:23" x14ac:dyDescent="0.55000000000000004">
      <c r="V135" s="93"/>
      <c r="W135" s="60"/>
    </row>
    <row r="136" spans="22:23" x14ac:dyDescent="0.55000000000000004">
      <c r="V136" s="93"/>
      <c r="W136" s="60"/>
    </row>
    <row r="137" spans="22:23" x14ac:dyDescent="0.55000000000000004">
      <c r="V137" s="93"/>
      <c r="W137" s="60"/>
    </row>
    <row r="138" spans="22:23" x14ac:dyDescent="0.55000000000000004">
      <c r="V138" s="93"/>
      <c r="W138" s="60"/>
    </row>
    <row r="139" spans="22:23" x14ac:dyDescent="0.55000000000000004">
      <c r="V139" s="93"/>
      <c r="W139" s="60"/>
    </row>
    <row r="140" spans="22:23" x14ac:dyDescent="0.55000000000000004">
      <c r="V140" s="93"/>
      <c r="W140" s="60"/>
    </row>
    <row r="141" spans="22:23" x14ac:dyDescent="0.55000000000000004">
      <c r="V141" s="93"/>
      <c r="W141" s="60"/>
    </row>
    <row r="142" spans="22:23" x14ac:dyDescent="0.55000000000000004">
      <c r="V142" s="93"/>
      <c r="W142" s="60"/>
    </row>
    <row r="143" spans="22:23" x14ac:dyDescent="0.55000000000000004">
      <c r="V143" s="93"/>
      <c r="W143" s="60"/>
    </row>
    <row r="144" spans="22:23" x14ac:dyDescent="0.55000000000000004">
      <c r="V144" s="93"/>
      <c r="W144" s="60"/>
    </row>
    <row r="145" spans="22:23" x14ac:dyDescent="0.55000000000000004">
      <c r="V145" s="93"/>
      <c r="W145" s="60"/>
    </row>
  </sheetData>
  <mergeCells count="12">
    <mergeCell ref="B1:R1"/>
    <mergeCell ref="B2:R2"/>
    <mergeCell ref="B3:R3"/>
    <mergeCell ref="B107:R107"/>
    <mergeCell ref="D5:J5"/>
    <mergeCell ref="L5:R5"/>
    <mergeCell ref="B4:J4"/>
    <mergeCell ref="K4:R4"/>
    <mergeCell ref="B49:J49"/>
    <mergeCell ref="K49:R49"/>
    <mergeCell ref="D50:J50"/>
    <mergeCell ref="L50:R50"/>
  </mergeCells>
  <printOptions horizontalCentered="1"/>
  <pageMargins left="0.7" right="0.7" top="0.75" bottom="0.75" header="0.3" footer="0.3"/>
  <pageSetup paperSize="9" scale="38" orientation="landscape" r:id="rId1"/>
  <headerFooter>
    <oddFooter>&amp;C&amp;P</oddFooter>
  </headerFooter>
  <rowBreaks count="2" manualBreakCount="2">
    <brk id="48" max="17" man="1"/>
    <brk id="105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00" t="s">
        <v>107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</row>
    <row r="2" spans="1:20" ht="24" x14ac:dyDescent="0.6">
      <c r="A2" s="400" t="s">
        <v>87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</row>
    <row r="3" spans="1:20" ht="24" x14ac:dyDescent="0.6">
      <c r="A3" s="400" t="str">
        <f>' سهام'!AC6</f>
        <v>برای ماه منتهی به 1404/09/30</v>
      </c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</row>
    <row r="4" spans="1:20" ht="24" x14ac:dyDescent="0.55000000000000004">
      <c r="B4" s="401" t="s">
        <v>155</v>
      </c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4"/>
    </row>
    <row r="6" spans="1:20" ht="24.75" thickBot="1" x14ac:dyDescent="0.6">
      <c r="B6" s="36"/>
      <c r="C6" s="398" t="str">
        <f>' سهام'!AC7</f>
        <v>طی آذر ماه</v>
      </c>
      <c r="D6" s="398"/>
      <c r="E6" s="398"/>
      <c r="F6" s="398"/>
      <c r="G6" s="398"/>
      <c r="H6" s="398"/>
      <c r="I6" s="398"/>
      <c r="J6" s="398"/>
      <c r="K6" s="398"/>
      <c r="L6" s="52"/>
      <c r="M6" s="398" t="str">
        <f>' سهام'!AC8</f>
        <v>از ابتدای سال مالی تا پایان آذر ماه</v>
      </c>
      <c r="N6" s="398"/>
      <c r="O6" s="398"/>
      <c r="P6" s="398"/>
      <c r="Q6" s="398"/>
      <c r="R6" s="398"/>
      <c r="S6" s="398"/>
    </row>
    <row r="7" spans="1:20" ht="20.25" customHeight="1" x14ac:dyDescent="0.55000000000000004">
      <c r="B7" s="396"/>
      <c r="C7" s="399" t="s">
        <v>25</v>
      </c>
      <c r="D7" s="399"/>
      <c r="E7" s="399" t="s">
        <v>22</v>
      </c>
      <c r="F7" s="396"/>
      <c r="G7" s="399" t="s">
        <v>23</v>
      </c>
      <c r="H7" s="397"/>
      <c r="I7" s="399" t="s">
        <v>7</v>
      </c>
      <c r="J7" s="399"/>
      <c r="K7" s="399"/>
      <c r="L7" s="53"/>
      <c r="M7" s="399" t="s">
        <v>25</v>
      </c>
      <c r="N7" s="399"/>
      <c r="O7" s="399" t="s">
        <v>22</v>
      </c>
      <c r="P7" s="396"/>
      <c r="Q7" s="399" t="s">
        <v>23</v>
      </c>
      <c r="R7" s="399" t="s">
        <v>7</v>
      </c>
      <c r="S7" s="399"/>
    </row>
    <row r="8" spans="1:20" ht="30" customHeight="1" x14ac:dyDescent="0.55000000000000004">
      <c r="B8" s="397"/>
      <c r="C8" s="398"/>
      <c r="D8" s="398"/>
      <c r="E8" s="398"/>
      <c r="F8" s="397"/>
      <c r="G8" s="398"/>
      <c r="H8" s="397"/>
      <c r="I8" s="398"/>
      <c r="J8" s="398"/>
      <c r="K8" s="398"/>
      <c r="L8" s="53"/>
      <c r="M8" s="398"/>
      <c r="N8" s="398"/>
      <c r="O8" s="398"/>
      <c r="P8" s="397"/>
      <c r="Q8" s="398"/>
      <c r="R8" s="398"/>
      <c r="S8" s="398"/>
    </row>
    <row r="9" spans="1:20" ht="24.75" thickBot="1" x14ac:dyDescent="0.6">
      <c r="B9" s="397"/>
      <c r="C9" s="56" t="s">
        <v>95</v>
      </c>
      <c r="D9" s="398"/>
      <c r="E9" s="56" t="s">
        <v>92</v>
      </c>
      <c r="F9" s="397"/>
      <c r="G9" s="56" t="s">
        <v>133</v>
      </c>
      <c r="H9" s="397"/>
      <c r="I9" s="51" t="s">
        <v>100</v>
      </c>
      <c r="J9" s="51"/>
      <c r="K9" s="51" t="s">
        <v>101</v>
      </c>
      <c r="L9" s="53"/>
      <c r="M9" s="56" t="s">
        <v>95</v>
      </c>
      <c r="N9" s="398"/>
      <c r="O9" s="56" t="s">
        <v>92</v>
      </c>
      <c r="P9" s="397"/>
      <c r="Q9" s="56" t="s">
        <v>133</v>
      </c>
      <c r="R9" s="51" t="s">
        <v>100</v>
      </c>
      <c r="S9" s="51" t="s">
        <v>101</v>
      </c>
    </row>
    <row r="10" spans="1:20" ht="23.25" thickBot="1" x14ac:dyDescent="0.6">
      <c r="B10" s="68" t="s">
        <v>102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  <mergeCell ref="F7:F9"/>
    <mergeCell ref="C6:K6"/>
    <mergeCell ref="B7:B9"/>
    <mergeCell ref="D7:D9"/>
    <mergeCell ref="I7:K8"/>
    <mergeCell ref="H7:H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B1:AC74"/>
  <sheetViews>
    <sheetView rightToLeft="1" view="pageBreakPreview" zoomScaleNormal="100" zoomScaleSheetLayoutView="100" workbookViewId="0">
      <selection activeCell="U83" sqref="U83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6.42578125" style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6.7109375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35" t="str">
        <f>'درآمد سود سهام'!B1:T1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2:29" ht="24" x14ac:dyDescent="0.6">
      <c r="B2" s="335" t="s">
        <v>87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</row>
    <row r="3" spans="2:29" ht="24" x14ac:dyDescent="0.6">
      <c r="B3" s="335" t="str">
        <f>' سهام'!AC6</f>
        <v>برای ماه منتهی به 1404/09/30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</row>
    <row r="4" spans="2:29" ht="24" x14ac:dyDescent="0.55000000000000004">
      <c r="B4" s="337" t="s">
        <v>94</v>
      </c>
      <c r="C4" s="337"/>
      <c r="D4" s="337"/>
      <c r="E4" s="337"/>
      <c r="F4" s="337"/>
      <c r="G4" s="337"/>
      <c r="H4" s="166"/>
      <c r="L4" s="166"/>
      <c r="AC4" s="1" t="s">
        <v>230</v>
      </c>
    </row>
    <row r="5" spans="2:29" ht="24.75" thickBot="1" x14ac:dyDescent="0.6">
      <c r="B5" s="166"/>
      <c r="C5" s="352"/>
      <c r="D5" s="352"/>
      <c r="E5" s="352"/>
      <c r="G5" s="388" t="s">
        <v>99</v>
      </c>
      <c r="H5" s="388"/>
      <c r="I5" s="388"/>
      <c r="J5" s="388"/>
      <c r="K5" s="388" t="str">
        <f>' سهام'!AC7</f>
        <v>طی آذر ماه</v>
      </c>
      <c r="L5" s="388"/>
      <c r="M5" s="388"/>
      <c r="N5" s="388"/>
      <c r="O5" s="388"/>
      <c r="P5" s="53"/>
      <c r="Q5" s="388" t="str">
        <f>' سهام'!AC8</f>
        <v>از ابتدای سال مالی تا پایان آذر ماه</v>
      </c>
      <c r="R5" s="388"/>
      <c r="S5" s="388"/>
      <c r="T5" s="388"/>
      <c r="U5" s="388"/>
      <c r="AC5" s="1" t="s">
        <v>243</v>
      </c>
    </row>
    <row r="6" spans="2:29" ht="43.5" customHeight="1" thickBot="1" x14ac:dyDescent="0.6">
      <c r="B6" s="1" t="s">
        <v>64</v>
      </c>
      <c r="C6" s="167" t="s">
        <v>72</v>
      </c>
      <c r="D6" s="167" t="s">
        <v>34</v>
      </c>
      <c r="E6" s="167" t="s">
        <v>61</v>
      </c>
      <c r="F6" s="168"/>
      <c r="G6" s="167" t="s">
        <v>88</v>
      </c>
      <c r="H6" s="168"/>
      <c r="I6" s="167" t="s">
        <v>68</v>
      </c>
      <c r="J6" s="168"/>
      <c r="K6" s="167" t="s">
        <v>88</v>
      </c>
      <c r="L6" s="168"/>
      <c r="M6" s="167" t="s">
        <v>68</v>
      </c>
      <c r="N6" s="168"/>
      <c r="O6" s="167" t="s">
        <v>73</v>
      </c>
      <c r="P6" s="168"/>
      <c r="Q6" s="167" t="s">
        <v>88</v>
      </c>
      <c r="R6" s="168"/>
      <c r="S6" s="167" t="s">
        <v>68</v>
      </c>
      <c r="T6" s="168"/>
      <c r="U6" s="167" t="s">
        <v>73</v>
      </c>
      <c r="AC6" s="1" t="s">
        <v>244</v>
      </c>
    </row>
    <row r="7" spans="2:29" s="12" customFormat="1" ht="23.45" customHeight="1" x14ac:dyDescent="0.55000000000000004">
      <c r="B7" s="169" t="s">
        <v>199</v>
      </c>
      <c r="C7" s="170"/>
      <c r="D7" s="171"/>
      <c r="E7" s="163"/>
      <c r="F7" s="171" t="s">
        <v>132</v>
      </c>
      <c r="G7" s="171"/>
      <c r="H7" s="172">
        <v>0</v>
      </c>
      <c r="I7" s="171"/>
      <c r="J7" s="172">
        <v>176683</v>
      </c>
      <c r="K7" s="163">
        <v>14491</v>
      </c>
      <c r="L7" s="171"/>
      <c r="M7" s="163">
        <v>0</v>
      </c>
      <c r="N7" s="171"/>
      <c r="O7" s="163">
        <f>K7+M7</f>
        <v>14491</v>
      </c>
      <c r="P7" s="163"/>
      <c r="Q7" s="172">
        <v>295543</v>
      </c>
      <c r="R7" s="171"/>
      <c r="S7" s="163">
        <v>0</v>
      </c>
      <c r="T7" s="171"/>
      <c r="U7" s="163">
        <f>Q7+S7</f>
        <v>295543</v>
      </c>
      <c r="AC7" s="12" t="s">
        <v>249</v>
      </c>
    </row>
    <row r="8" spans="2:29" s="12" customFormat="1" ht="23.45" customHeight="1" x14ac:dyDescent="0.55000000000000004">
      <c r="B8" s="169" t="s">
        <v>200</v>
      </c>
      <c r="C8" s="170"/>
      <c r="D8" s="171"/>
      <c r="E8" s="163"/>
      <c r="F8" s="171"/>
      <c r="G8" s="171"/>
      <c r="H8" s="172"/>
      <c r="I8" s="171"/>
      <c r="J8" s="172"/>
      <c r="K8" s="163">
        <v>1650666330</v>
      </c>
      <c r="L8" s="171"/>
      <c r="M8" s="163">
        <v>0</v>
      </c>
      <c r="N8" s="171"/>
      <c r="O8" s="163">
        <f t="shared" ref="O8:O9" si="0">K8+M8</f>
        <v>1650666330</v>
      </c>
      <c r="P8" s="163"/>
      <c r="Q8" s="172">
        <v>22218668624</v>
      </c>
      <c r="R8" s="171"/>
      <c r="S8" s="163">
        <v>0</v>
      </c>
      <c r="T8" s="171"/>
      <c r="U8" s="163">
        <f>Q8+S8</f>
        <v>22218668624</v>
      </c>
    </row>
    <row r="9" spans="2:29" s="12" customFormat="1" ht="23.45" customHeight="1" x14ac:dyDescent="0.55000000000000004">
      <c r="B9" s="169" t="s">
        <v>254</v>
      </c>
      <c r="C9" s="170"/>
      <c r="D9" s="171"/>
      <c r="E9" s="163"/>
      <c r="F9" s="171" t="s">
        <v>132</v>
      </c>
      <c r="G9" s="171"/>
      <c r="H9" s="172">
        <v>0</v>
      </c>
      <c r="I9" s="171"/>
      <c r="J9" s="172">
        <v>2202729735</v>
      </c>
      <c r="K9" s="163">
        <v>4126</v>
      </c>
      <c r="L9" s="171"/>
      <c r="M9" s="163">
        <v>0</v>
      </c>
      <c r="N9" s="171"/>
      <c r="O9" s="163">
        <f t="shared" si="0"/>
        <v>4126</v>
      </c>
      <c r="P9" s="163"/>
      <c r="Q9" s="172">
        <v>8236</v>
      </c>
      <c r="R9" s="171"/>
      <c r="S9" s="163">
        <v>0</v>
      </c>
      <c r="T9" s="171"/>
      <c r="U9" s="163">
        <f>Q9+S9</f>
        <v>8236</v>
      </c>
      <c r="AC9" s="12" t="s">
        <v>245</v>
      </c>
    </row>
    <row r="10" spans="2:29" ht="23.25" thickBot="1" x14ac:dyDescent="0.6">
      <c r="K10" s="173">
        <f>SUM(K7:K9)</f>
        <v>1650684947</v>
      </c>
      <c r="L10" s="12"/>
      <c r="M10" s="12"/>
      <c r="N10" s="12"/>
      <c r="O10" s="173">
        <f>SUM(O7:O9)</f>
        <v>1650684947</v>
      </c>
      <c r="P10" s="174"/>
      <c r="Q10" s="173">
        <f>SUM(Q7:Q9)</f>
        <v>22218972403</v>
      </c>
      <c r="R10" s="12"/>
      <c r="S10" s="12"/>
      <c r="T10" s="12"/>
      <c r="U10" s="173">
        <f>SUM(U7:U9)</f>
        <v>22218972403</v>
      </c>
    </row>
    <row r="11" spans="2:29" ht="23.25" thickTop="1" x14ac:dyDescent="0.55000000000000004">
      <c r="K11" s="175"/>
      <c r="M11" s="176"/>
    </row>
    <row r="12" spans="2:29" x14ac:dyDescent="0.55000000000000004">
      <c r="O12" s="249"/>
      <c r="P12" s="273"/>
      <c r="Q12" s="249"/>
      <c r="R12" s="273"/>
      <c r="S12" s="273"/>
      <c r="T12" s="273"/>
      <c r="U12" s="249"/>
    </row>
    <row r="13" spans="2:29" x14ac:dyDescent="0.55000000000000004">
      <c r="K13" s="165"/>
      <c r="O13" s="249"/>
      <c r="P13" s="273"/>
      <c r="Q13" s="249"/>
      <c r="R13" s="273"/>
      <c r="S13" s="273"/>
      <c r="T13" s="273"/>
      <c r="U13" s="249"/>
    </row>
    <row r="14" spans="2:29" x14ac:dyDescent="0.55000000000000004">
      <c r="K14" s="165"/>
      <c r="O14" s="177"/>
      <c r="U14" s="165"/>
    </row>
    <row r="57" spans="18:18" ht="27.75" x14ac:dyDescent="0.55000000000000004">
      <c r="R57" s="151">
        <v>1783</v>
      </c>
    </row>
    <row r="74" spans="18:18" ht="27.75" x14ac:dyDescent="0.55000000000000004">
      <c r="R74" s="151">
        <v>2083</v>
      </c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B1:AC74"/>
  <sheetViews>
    <sheetView rightToLeft="1" view="pageBreakPreview" zoomScaleNormal="100" zoomScaleSheetLayoutView="100" workbookViewId="0">
      <selection activeCell="U83" sqref="U83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7109375" style="1" customWidth="1"/>
    <col min="8" max="8" width="16.85546875" style="1" customWidth="1"/>
    <col min="9" max="9" width="0.7109375" style="1" customWidth="1"/>
    <col min="10" max="10" width="24.5703125" style="1" customWidth="1"/>
    <col min="11" max="11" width="0.7109375" style="1" customWidth="1"/>
    <col min="12" max="12" width="20.7109375" style="1" customWidth="1"/>
    <col min="13" max="13" width="0.7109375" style="1" customWidth="1"/>
    <col min="14" max="16384" width="9.140625" style="1"/>
  </cols>
  <sheetData>
    <row r="1" spans="2:29" ht="24" x14ac:dyDescent="0.6">
      <c r="B1" s="335" t="str">
        <f>'سود اوراق بهادار و سپرده بانکی'!B1:U1</f>
        <v>صندوق سرمایه گذاری شاخص سی شرکت بزرگ فیروزه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</row>
    <row r="2" spans="2:29" ht="24" x14ac:dyDescent="0.6">
      <c r="B2" s="335" t="s">
        <v>87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</row>
    <row r="3" spans="2:29" ht="24" x14ac:dyDescent="0.6">
      <c r="B3" s="335" t="str">
        <f>' سهام'!B3:Z3</f>
        <v>برای ماه منتهی به 1404/09/30</v>
      </c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</row>
    <row r="4" spans="2:29" ht="24" x14ac:dyDescent="0.55000000000000004">
      <c r="B4" s="337" t="s">
        <v>148</v>
      </c>
      <c r="C4" s="337"/>
      <c r="D4" s="337"/>
      <c r="E4" s="337"/>
      <c r="F4" s="337"/>
      <c r="G4" s="337"/>
      <c r="H4" s="337"/>
      <c r="I4" s="337"/>
      <c r="J4" s="337"/>
      <c r="K4" s="337"/>
      <c r="L4" s="337"/>
      <c r="M4" s="337"/>
      <c r="AC4" s="1" t="s">
        <v>187</v>
      </c>
    </row>
    <row r="5" spans="2:29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  <c r="AC5" s="1" t="s">
        <v>188</v>
      </c>
    </row>
    <row r="6" spans="2:29" ht="24.75" thickBot="1" x14ac:dyDescent="0.6">
      <c r="B6" s="402" t="s">
        <v>29</v>
      </c>
      <c r="C6" s="402"/>
      <c r="D6" s="402"/>
      <c r="E6" s="52"/>
      <c r="F6" s="403" t="str">
        <f>' سهام'!AC7</f>
        <v>طی آذر ماه</v>
      </c>
      <c r="G6" s="403"/>
      <c r="H6" s="403"/>
      <c r="I6" s="403"/>
      <c r="J6" s="402" t="str">
        <f>' سهام'!AC8</f>
        <v>از ابتدای سال مالی تا پایان آذر ماه</v>
      </c>
      <c r="K6" s="402"/>
      <c r="L6" s="402"/>
      <c r="M6" s="402"/>
      <c r="N6" s="162"/>
      <c r="AC6" s="1" t="s">
        <v>189</v>
      </c>
    </row>
    <row r="7" spans="2:29" ht="55.5" customHeight="1" x14ac:dyDescent="0.55000000000000004">
      <c r="B7" s="136" t="s">
        <v>26</v>
      </c>
      <c r="C7" s="52"/>
      <c r="D7" s="53"/>
      <c r="E7" s="53"/>
      <c r="F7" s="53" t="s">
        <v>27</v>
      </c>
      <c r="G7" s="52"/>
      <c r="H7" s="398" t="s">
        <v>28</v>
      </c>
      <c r="I7" s="52"/>
      <c r="J7" s="53" t="s">
        <v>27</v>
      </c>
      <c r="K7" s="52"/>
      <c r="L7" s="399" t="s">
        <v>28</v>
      </c>
      <c r="M7" s="52"/>
      <c r="N7" s="52"/>
      <c r="AC7" s="1" t="s">
        <v>190</v>
      </c>
    </row>
    <row r="8" spans="2:29" ht="24" customHeight="1" thickBot="1" x14ac:dyDescent="0.6">
      <c r="B8" s="53"/>
      <c r="C8" s="52"/>
      <c r="D8" s="53"/>
      <c r="E8" s="53"/>
      <c r="F8" s="110" t="s">
        <v>95</v>
      </c>
      <c r="G8" s="52"/>
      <c r="H8" s="388"/>
      <c r="I8" s="52"/>
      <c r="J8" s="110" t="s">
        <v>95</v>
      </c>
      <c r="K8" s="52"/>
      <c r="L8" s="388"/>
      <c r="M8" s="52"/>
      <c r="N8" s="52"/>
      <c r="AC8" s="1" t="s">
        <v>191</v>
      </c>
    </row>
    <row r="9" spans="2:29" ht="29.25" customHeight="1" x14ac:dyDescent="0.55000000000000004">
      <c r="B9" s="38" t="s">
        <v>199</v>
      </c>
      <c r="C9" s="38"/>
      <c r="D9" s="42"/>
      <c r="E9" s="42"/>
      <c r="F9" s="33">
        <v>14491</v>
      </c>
      <c r="G9" s="42"/>
      <c r="H9" s="130">
        <f>F9/H14</f>
        <v>2.8133069435312864E-4</v>
      </c>
      <c r="I9" s="42"/>
      <c r="J9" s="33">
        <v>295543</v>
      </c>
      <c r="K9" s="42"/>
      <c r="L9" s="130">
        <f>J9/درآمدها!F9</f>
        <v>9.8262140089444378E-8</v>
      </c>
      <c r="M9" s="42"/>
      <c r="N9" s="52"/>
    </row>
    <row r="10" spans="2:29" ht="29.25" customHeight="1" x14ac:dyDescent="0.55000000000000004">
      <c r="B10" s="38" t="s">
        <v>200</v>
      </c>
      <c r="C10" s="38"/>
      <c r="D10" s="42"/>
      <c r="E10" s="42"/>
      <c r="F10" s="33">
        <v>1650666330</v>
      </c>
      <c r="G10" s="42"/>
      <c r="H10" s="130">
        <f>H14/F10</f>
        <v>3.1204838960188157E-2</v>
      </c>
      <c r="I10" s="42"/>
      <c r="J10" s="33">
        <v>22218668624</v>
      </c>
      <c r="K10" s="42"/>
      <c r="L10" s="130">
        <f>J10/درآمدها!F9</f>
        <v>7.3872632034337827E-3</v>
      </c>
      <c r="M10" s="42"/>
      <c r="N10" s="52"/>
    </row>
    <row r="11" spans="2:29" ht="29.25" customHeight="1" thickBot="1" x14ac:dyDescent="0.6">
      <c r="B11" s="38" t="s">
        <v>254</v>
      </c>
      <c r="C11" s="38"/>
      <c r="D11" s="42"/>
      <c r="E11" s="42"/>
      <c r="F11" s="33">
        <v>4126</v>
      </c>
      <c r="G11" s="42"/>
      <c r="H11" s="130">
        <f>H15/F11</f>
        <v>0</v>
      </c>
      <c r="I11" s="42"/>
      <c r="J11" s="33">
        <v>8236</v>
      </c>
      <c r="K11" s="42"/>
      <c r="L11" s="130">
        <f>J11/درآمدها!F9</f>
        <v>2.7383053761268715E-9</v>
      </c>
      <c r="M11" s="42"/>
      <c r="N11" s="52"/>
    </row>
    <row r="12" spans="2:29" ht="23.25" thickBot="1" x14ac:dyDescent="0.6">
      <c r="B12" s="38" t="s">
        <v>7</v>
      </c>
      <c r="C12" s="52"/>
      <c r="E12" s="42"/>
      <c r="F12" s="35">
        <f>SUM(F9:F11)</f>
        <v>1650684947</v>
      </c>
      <c r="G12" s="89"/>
      <c r="H12" s="131">
        <f>SUM(H9:H11)</f>
        <v>3.1486169654541284E-2</v>
      </c>
      <c r="I12" s="52"/>
      <c r="J12" s="35">
        <f>SUM(J9:J11)</f>
        <v>22218972403</v>
      </c>
      <c r="K12" s="52"/>
      <c r="L12" s="131">
        <f>SUM(L9:L11)</f>
        <v>7.3873642038792481E-3</v>
      </c>
      <c r="M12" s="52"/>
      <c r="N12" s="52"/>
    </row>
    <row r="13" spans="2:29" ht="23.25" thickTop="1" x14ac:dyDescent="0.55000000000000004"/>
    <row r="14" spans="2:29" x14ac:dyDescent="0.55000000000000004">
      <c r="F14" s="299"/>
      <c r="H14" s="297">
        <v>51508777.004654802</v>
      </c>
      <c r="J14" s="249"/>
      <c r="L14" s="165"/>
    </row>
    <row r="15" spans="2:29" x14ac:dyDescent="0.55000000000000004">
      <c r="F15" s="298"/>
      <c r="G15" s="273"/>
      <c r="H15" s="273"/>
      <c r="I15" s="273"/>
      <c r="J15" s="249"/>
    </row>
    <row r="16" spans="2:29" x14ac:dyDescent="0.55000000000000004">
      <c r="F16" s="274"/>
      <c r="G16" s="273"/>
      <c r="H16" s="273"/>
      <c r="I16" s="273"/>
      <c r="J16" s="275"/>
      <c r="L16" s="93"/>
    </row>
    <row r="17" spans="10:10" x14ac:dyDescent="0.55000000000000004">
      <c r="J17" s="109"/>
    </row>
    <row r="57" spans="18:18" ht="27.75" x14ac:dyDescent="0.55000000000000004">
      <c r="R57" s="151">
        <v>1783</v>
      </c>
    </row>
    <row r="74" spans="18:18" ht="27.75" x14ac:dyDescent="0.55000000000000004">
      <c r="R74" s="151">
        <v>2083</v>
      </c>
    </row>
  </sheetData>
  <mergeCells count="9">
    <mergeCell ref="B1:M1"/>
    <mergeCell ref="B2:M2"/>
    <mergeCell ref="B3:M3"/>
    <mergeCell ref="H7:H8"/>
    <mergeCell ref="L7:L8"/>
    <mergeCell ref="B6:D6"/>
    <mergeCell ref="F6:I6"/>
    <mergeCell ref="B4:M4"/>
    <mergeCell ref="J6:M6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AC74"/>
  <sheetViews>
    <sheetView rightToLeft="1" view="pageBreakPreview" zoomScaleNormal="100" zoomScaleSheetLayoutView="100" workbookViewId="0">
      <selection activeCell="U83" sqref="U83"/>
    </sheetView>
  </sheetViews>
  <sheetFormatPr defaultColWidth="8.85546875" defaultRowHeight="24.75" x14ac:dyDescent="0.6"/>
  <cols>
    <col min="1" max="1" width="8.85546875" style="239"/>
    <col min="2" max="2" width="29.140625" style="239" customWidth="1"/>
    <col min="3" max="3" width="0.7109375" style="239" customWidth="1"/>
    <col min="4" max="4" width="20.7109375" style="239" bestFit="1" customWidth="1"/>
    <col min="5" max="5" width="0.42578125" style="239" customWidth="1"/>
    <col min="6" max="6" width="21.42578125" style="239" customWidth="1"/>
    <col min="7" max="16384" width="8.85546875" style="1"/>
  </cols>
  <sheetData>
    <row r="1" spans="2:29" ht="26.25" x14ac:dyDescent="0.65">
      <c r="B1" s="404" t="str">
        <f>'درآمد سپرده بانکی'!B1:M1</f>
        <v>صندوق سرمایه گذاری شاخص سی شرکت بزرگ فیروزه</v>
      </c>
      <c r="C1" s="404"/>
      <c r="D1" s="404"/>
      <c r="E1" s="404"/>
      <c r="F1" s="404"/>
    </row>
    <row r="2" spans="2:29" ht="26.25" x14ac:dyDescent="0.65">
      <c r="B2" s="404" t="s">
        <v>87</v>
      </c>
      <c r="C2" s="404"/>
      <c r="D2" s="404"/>
      <c r="E2" s="404"/>
      <c r="F2" s="404"/>
    </row>
    <row r="3" spans="2:29" ht="26.25" x14ac:dyDescent="0.65">
      <c r="B3" s="404" t="str">
        <f>' سهام'!AC6</f>
        <v>برای ماه منتهی به 1404/09/30</v>
      </c>
      <c r="C3" s="404"/>
      <c r="D3" s="404"/>
      <c r="E3" s="404"/>
      <c r="F3" s="404"/>
    </row>
    <row r="4" spans="2:29" ht="26.25" x14ac:dyDescent="0.6">
      <c r="B4" s="405" t="s">
        <v>40</v>
      </c>
      <c r="C4" s="405"/>
      <c r="D4" s="405"/>
      <c r="E4" s="405"/>
      <c r="F4" s="405"/>
      <c r="AC4" s="1" t="s">
        <v>187</v>
      </c>
    </row>
    <row r="5" spans="2:29" ht="79.5" thickBot="1" x14ac:dyDescent="0.65">
      <c r="B5" s="240"/>
      <c r="C5" s="241"/>
      <c r="D5" s="211" t="str">
        <f>' سهام'!AC7</f>
        <v>طی آذر ماه</v>
      </c>
      <c r="E5" s="242"/>
      <c r="F5" s="211" t="str">
        <f>' سهام'!AC8</f>
        <v>از ابتدای سال مالی تا پایان آذر ماه</v>
      </c>
      <c r="AC5" s="1" t="s">
        <v>188</v>
      </c>
    </row>
    <row r="6" spans="2:29" x14ac:dyDescent="0.6">
      <c r="B6" s="243" t="s">
        <v>41</v>
      </c>
      <c r="C6" s="242"/>
      <c r="D6" s="197">
        <v>429246</v>
      </c>
      <c r="E6" s="197"/>
      <c r="F6" s="197">
        <v>469031045</v>
      </c>
      <c r="AC6" s="1" t="s">
        <v>189</v>
      </c>
    </row>
    <row r="7" spans="2:29" x14ac:dyDescent="0.6">
      <c r="B7" s="244" t="s">
        <v>151</v>
      </c>
      <c r="C7" s="242"/>
      <c r="D7" s="197">
        <v>-95463055</v>
      </c>
      <c r="E7" s="197"/>
      <c r="F7" s="197">
        <v>3757374794</v>
      </c>
    </row>
    <row r="8" spans="2:29" ht="25.5" thickBot="1" x14ac:dyDescent="0.65">
      <c r="B8" s="245"/>
      <c r="C8" s="242"/>
      <c r="D8" s="246">
        <f>SUM(D6:D7)</f>
        <v>-95033809</v>
      </c>
      <c r="E8" s="264"/>
      <c r="F8" s="246">
        <f>SUM(F6:F7)</f>
        <v>4226405839</v>
      </c>
    </row>
    <row r="9" spans="2:29" ht="25.5" thickTop="1" x14ac:dyDescent="0.6"/>
    <row r="10" spans="2:29" x14ac:dyDescent="0.6">
      <c r="D10" s="276"/>
      <c r="F10" s="277"/>
    </row>
    <row r="11" spans="2:29" x14ac:dyDescent="0.6">
      <c r="D11" s="276"/>
      <c r="E11" s="247"/>
      <c r="F11" s="276"/>
    </row>
    <row r="12" spans="2:29" x14ac:dyDescent="0.6">
      <c r="D12" s="281"/>
    </row>
    <row r="15" spans="2:29" x14ac:dyDescent="0.6">
      <c r="L15" s="109"/>
    </row>
    <row r="57" spans="18:18" ht="27.75" x14ac:dyDescent="0.6">
      <c r="R57" s="151">
        <v>1783</v>
      </c>
    </row>
    <row r="74" spans="18:18" ht="27.75" x14ac:dyDescent="0.6">
      <c r="R74" s="151">
        <v>2083</v>
      </c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2025-12-27T11:45:41Z</cp:lastPrinted>
  <dcterms:created xsi:type="dcterms:W3CDTF">2017-11-22T14:26:20Z</dcterms:created>
  <dcterms:modified xsi:type="dcterms:W3CDTF">2025-12-27T13:14:03Z</dcterms:modified>
</cp:coreProperties>
</file>