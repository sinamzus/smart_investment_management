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404SGS019\Desktop\"/>
    </mc:Choice>
  </mc:AlternateContent>
  <xr:revisionPtr revIDLastSave="0" documentId="13_ncr:1_{69312AE4-2704-423B-837D-FDA78AAB829C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تعدیل قیمت " sheetId="18" r:id="rId8"/>
    <sheet name="درآمد سرمایه گذاری در سهام " sheetId="5" r:id="rId9"/>
    <sheet name="درآمد سود سهام" sheetId="12" r:id="rId10"/>
    <sheet name="درآمد ناشی از تغییر قیمت اوراق " sheetId="14" r:id="rId11"/>
    <sheet name="درآمد ناشی ازفروش" sheetId="15" r:id="rId12"/>
    <sheet name="درآمد سرمایه گذاری در اوراق بها" sheetId="6" state="hidden" r:id="rId13"/>
    <sheet name="سود اوراق بهادار و سپرده بانکی" sheetId="13" r:id="rId14"/>
    <sheet name="درآمد سپرده بانکی" sheetId="7" r:id="rId15"/>
    <sheet name="Sheet1" sheetId="16" state="hidden" r:id="rId16"/>
    <sheet name="سایر درآمدها" sheetId="8" r:id="rId17"/>
  </sheets>
  <definedNames>
    <definedName name="_xlnm._FilterDatabase" localSheetId="8" hidden="1">'درآمد سرمایه گذاری در سهام '!#REF!</definedName>
    <definedName name="_xlnm._FilterDatabase" localSheetId="9" hidden="1">'درآمد سود سهام'!$V$6:$W$6</definedName>
    <definedName name="_xlnm._FilterDatabase" localSheetId="10" hidden="1">'درآمد ناشی از تغییر قیمت اوراق '!$B$6:$Z$71</definedName>
    <definedName name="_xlnm.Print_Area" localSheetId="0">' سهام'!$A$1:$Z$83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7">'تعدیل قیمت '!$A$1:$N$16</definedName>
    <definedName name="_xlnm.Print_Area" localSheetId="14">'درآمد سپرده بانکی'!$A$1:$M$14</definedName>
    <definedName name="_xlnm.Print_Area" localSheetId="12">'درآمد سرمایه گذاری در اوراق بها'!$A$1:$S$12</definedName>
    <definedName name="_xlnm.Print_Area" localSheetId="8">'درآمد سرمایه گذاری در سهام '!$A$1:$V$107</definedName>
    <definedName name="_xlnm.Print_Area" localSheetId="9">'درآمد سود سهام'!$A$1:$U$15</definedName>
    <definedName name="_xlnm.Print_Area" localSheetId="10">'درآمد ناشی از تغییر قیمت اوراق '!$A$1:$R$70</definedName>
    <definedName name="_xlnm.Print_Area" localSheetId="11">'درآمد ناشی ازفروش'!$A$1:$R$44</definedName>
    <definedName name="_xlnm.Print_Area" localSheetId="6">درآمدها!$A$1:$J$11</definedName>
    <definedName name="_xlnm.Print_Area" localSheetId="16">'سایر درآمدها'!$A$1:$F$9</definedName>
    <definedName name="_xlnm.Print_Area" localSheetId="5">سپرده!$A$1:$R$17</definedName>
    <definedName name="_xlnm.Print_Area" localSheetId="13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2" l="1"/>
  <c r="D38" i="15"/>
  <c r="F38" i="15"/>
  <c r="H38" i="15"/>
  <c r="J38" i="15"/>
  <c r="L38" i="15"/>
  <c r="N38" i="15"/>
  <c r="P38" i="15"/>
  <c r="R38" i="15"/>
  <c r="D53" i="5"/>
  <c r="D86" i="5" s="1"/>
  <c r="D45" i="5"/>
  <c r="J14" i="12" l="1"/>
  <c r="L14" i="12"/>
  <c r="N14" i="12"/>
  <c r="L17" i="12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44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54" i="5"/>
  <c r="L63" i="5"/>
  <c r="J55" i="5"/>
  <c r="J56" i="5"/>
  <c r="J57" i="5"/>
  <c r="J58" i="5"/>
  <c r="L58" i="5" s="1"/>
  <c r="J59" i="5"/>
  <c r="L59" i="5" s="1"/>
  <c r="J60" i="5"/>
  <c r="L60" i="5" s="1"/>
  <c r="J61" i="5"/>
  <c r="L61" i="5" s="1"/>
  <c r="J62" i="5"/>
  <c r="L62" i="5" s="1"/>
  <c r="J63" i="5"/>
  <c r="J64" i="5"/>
  <c r="L64" i="5" s="1"/>
  <c r="J65" i="5"/>
  <c r="L65" i="5" s="1"/>
  <c r="J66" i="5"/>
  <c r="L66" i="5" s="1"/>
  <c r="J67" i="5"/>
  <c r="L67" i="5" s="1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54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11" i="5"/>
  <c r="Z59" i="1"/>
  <c r="Z60" i="1"/>
  <c r="Z61" i="1"/>
  <c r="Z62" i="1"/>
  <c r="Z63" i="1"/>
  <c r="Z64" i="1"/>
  <c r="Z65" i="1"/>
  <c r="Z66" i="1"/>
  <c r="Z67" i="1"/>
  <c r="F15" i="18"/>
  <c r="L18" i="7"/>
  <c r="L15" i="18"/>
  <c r="D15" i="18"/>
  <c r="L10" i="7"/>
  <c r="H11" i="7" l="1"/>
  <c r="L9" i="7"/>
  <c r="H12" i="7"/>
  <c r="L11" i="7"/>
  <c r="L12" i="7"/>
  <c r="H9" i="7"/>
  <c r="H10" i="7"/>
  <c r="B7" i="18"/>
  <c r="B3" i="18"/>
  <c r="F14" i="12"/>
  <c r="P14" i="12"/>
  <c r="L13" i="7" l="1"/>
  <c r="H13" i="7"/>
  <c r="P49" i="1" l="1"/>
  <c r="P56" i="1" s="1"/>
  <c r="P83" i="1" s="1"/>
  <c r="N49" i="1"/>
  <c r="N56" i="1" s="1"/>
  <c r="N83" i="1" s="1"/>
  <c r="L82" i="5"/>
  <c r="L83" i="5"/>
  <c r="Z80" i="1"/>
  <c r="Z81" i="1"/>
  <c r="R7" i="14"/>
  <c r="R38" i="14" s="1"/>
  <c r="Z79" i="1"/>
  <c r="I83" i="1" l="1"/>
  <c r="Z76" i="1"/>
  <c r="Z14" i="1"/>
  <c r="T14" i="12"/>
  <c r="F38" i="14" l="1"/>
  <c r="F43" i="14" s="1"/>
  <c r="D38" i="14"/>
  <c r="D43" i="14" s="1"/>
  <c r="J16" i="2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X41" i="5" s="1"/>
  <c r="L42" i="5"/>
  <c r="L43" i="5"/>
  <c r="L44" i="5"/>
  <c r="R14" i="2"/>
  <c r="N45" i="5"/>
  <c r="R15" i="2"/>
  <c r="R13" i="2"/>
  <c r="E49" i="1"/>
  <c r="Z82" i="1"/>
  <c r="Z9" i="1"/>
  <c r="X49" i="1"/>
  <c r="X56" i="1" s="1"/>
  <c r="X83" i="1" s="1"/>
  <c r="V49" i="1"/>
  <c r="V56" i="1" s="1"/>
  <c r="V83" i="1" s="1"/>
  <c r="T49" i="1"/>
  <c r="T56" i="1" s="1"/>
  <c r="T83" i="1" s="1"/>
  <c r="R49" i="1"/>
  <c r="R56" i="1" s="1"/>
  <c r="R83" i="1" s="1"/>
  <c r="L49" i="1"/>
  <c r="L56" i="1" s="1"/>
  <c r="L83" i="1" s="1"/>
  <c r="J49" i="1"/>
  <c r="J56" i="1" s="1"/>
  <c r="J83" i="1" s="1"/>
  <c r="H49" i="1"/>
  <c r="H56" i="1" s="1"/>
  <c r="H83" i="1" s="1"/>
  <c r="F49" i="1"/>
  <c r="F56" i="1" s="1"/>
  <c r="F83" i="1" s="1"/>
  <c r="D49" i="1"/>
  <c r="D56" i="1" s="1"/>
  <c r="D83" i="1" s="1"/>
  <c r="Y49" i="1"/>
  <c r="W49" i="1"/>
  <c r="U49" i="1"/>
  <c r="S49" i="1"/>
  <c r="Q49" i="1"/>
  <c r="O49" i="1"/>
  <c r="M49" i="1"/>
  <c r="K49" i="1"/>
  <c r="G49" i="1"/>
  <c r="F13" i="7" l="1"/>
  <c r="J38" i="14" l="1"/>
  <c r="N53" i="5"/>
  <c r="N86" i="5" s="1"/>
  <c r="N94" i="5" l="1"/>
  <c r="N95" i="5" s="1"/>
  <c r="J43" i="14"/>
  <c r="J68" i="14" s="1"/>
  <c r="C104" i="5"/>
  <c r="R11" i="2"/>
  <c r="R12" i="2"/>
  <c r="D8" i="8"/>
  <c r="R43" i="15" l="1"/>
  <c r="R44" i="15" s="1"/>
  <c r="L11" i="5"/>
  <c r="L45" i="5" s="1"/>
  <c r="Z77" i="1"/>
  <c r="Z78" i="1"/>
  <c r="A2" i="11"/>
  <c r="B3" i="14"/>
  <c r="H38" i="14"/>
  <c r="R45" i="5"/>
  <c r="R53" i="5" s="1"/>
  <c r="R86" i="5" s="1"/>
  <c r="P45" i="5"/>
  <c r="H45" i="5"/>
  <c r="F45" i="5"/>
  <c r="R9" i="2"/>
  <c r="R10" i="2"/>
  <c r="Z73" i="1"/>
  <c r="Z74" i="1"/>
  <c r="Z75" i="1"/>
  <c r="R94" i="5" l="1"/>
  <c r="R95" i="5" s="1"/>
  <c r="D94" i="5"/>
  <c r="D95" i="5" s="1"/>
  <c r="H43" i="14"/>
  <c r="H68" i="14" s="1"/>
  <c r="E83" i="1"/>
  <c r="G83" i="1"/>
  <c r="K83" i="1"/>
  <c r="M83" i="1"/>
  <c r="O83" i="1"/>
  <c r="Q83" i="1"/>
  <c r="S83" i="1"/>
  <c r="U83" i="1"/>
  <c r="W83" i="1"/>
  <c r="Y83" i="1"/>
  <c r="P43" i="15" l="1"/>
  <c r="P44" i="15" s="1"/>
  <c r="H43" i="15"/>
  <c r="H44" i="15" s="1"/>
  <c r="F43" i="15"/>
  <c r="F44" i="15" s="1"/>
  <c r="D43" i="15"/>
  <c r="D44" i="15" s="1"/>
  <c r="P38" i="14"/>
  <c r="P43" i="14" s="1"/>
  <c r="N38" i="14"/>
  <c r="N43" i="14" s="1"/>
  <c r="L38" i="14"/>
  <c r="L43" i="14" s="1"/>
  <c r="F68" i="14"/>
  <c r="D68" i="14"/>
  <c r="P53" i="5"/>
  <c r="P86" i="5" s="1"/>
  <c r="H53" i="5"/>
  <c r="H86" i="5" s="1"/>
  <c r="F53" i="5"/>
  <c r="F86" i="5" s="1"/>
  <c r="H94" i="5" l="1"/>
  <c r="H95" i="5" s="1"/>
  <c r="P94" i="5"/>
  <c r="P95" i="5" s="1"/>
  <c r="F94" i="5"/>
  <c r="F95" i="5" s="1"/>
  <c r="J53" i="5"/>
  <c r="T53" i="5"/>
  <c r="T86" i="5" s="1"/>
  <c r="T94" i="5" s="1"/>
  <c r="T95" i="5" s="1"/>
  <c r="F6" i="11" s="1"/>
  <c r="J45" i="5"/>
  <c r="L43" i="15"/>
  <c r="L44" i="15" s="1"/>
  <c r="N43" i="15"/>
  <c r="N44" i="15" s="1"/>
  <c r="L68" i="14"/>
  <c r="N68" i="14"/>
  <c r="P68" i="14"/>
  <c r="T108" i="5" l="1"/>
  <c r="T96" i="5"/>
  <c r="J6" i="11"/>
  <c r="J86" i="5"/>
  <c r="J94" i="5" l="1"/>
  <c r="J95" i="5" s="1"/>
  <c r="L54" i="5"/>
  <c r="L55" i="5"/>
  <c r="L56" i="5"/>
  <c r="Z35" i="1"/>
  <c r="Z34" i="1"/>
  <c r="Z33" i="1"/>
  <c r="Z32" i="1"/>
  <c r="Z31" i="1"/>
  <c r="Z30" i="1"/>
  <c r="Z29" i="1"/>
  <c r="Z28" i="1"/>
  <c r="F8" i="8"/>
  <c r="Q11" i="13"/>
  <c r="L80" i="5"/>
  <c r="L81" i="5"/>
  <c r="L84" i="5"/>
  <c r="L85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68" i="1"/>
  <c r="Z69" i="1"/>
  <c r="Z70" i="1"/>
  <c r="Z71" i="1"/>
  <c r="Z72" i="1"/>
  <c r="J13" i="7"/>
  <c r="K11" i="13"/>
  <c r="F8" i="11" l="1"/>
  <c r="J8" i="11"/>
  <c r="H8" i="11"/>
  <c r="F7" i="11"/>
  <c r="J7" i="11" s="1"/>
  <c r="Z49" i="1"/>
  <c r="Z56" i="1" s="1"/>
  <c r="Z83" i="1" s="1"/>
  <c r="H7" i="11" l="1"/>
  <c r="L16" i="2"/>
  <c r="N16" i="2"/>
  <c r="P16" i="2"/>
  <c r="L57" i="5"/>
  <c r="L68" i="5"/>
  <c r="L69" i="5"/>
  <c r="L70" i="5"/>
  <c r="L71" i="5"/>
  <c r="L72" i="5"/>
  <c r="L73" i="5"/>
  <c r="L74" i="5"/>
  <c r="L75" i="5"/>
  <c r="L76" i="5"/>
  <c r="L77" i="5"/>
  <c r="L78" i="5"/>
  <c r="L79" i="5"/>
  <c r="T45" i="5" l="1"/>
  <c r="C105" i="5"/>
  <c r="R43" i="14"/>
  <c r="R68" i="14" s="1"/>
  <c r="O11" i="13"/>
  <c r="U11" i="13"/>
  <c r="R16" i="2"/>
  <c r="J43" i="15" l="1"/>
  <c r="J44" i="15" s="1"/>
  <c r="L53" i="5"/>
  <c r="L86" i="5" s="1"/>
  <c r="L94" i="5" s="1"/>
  <c r="L95" i="5" s="1"/>
  <c r="B3" i="1"/>
  <c r="R6" i="1" l="1"/>
  <c r="R53" i="1" s="1"/>
  <c r="S10" i="6" l="1"/>
  <c r="D6" i="1" l="1"/>
  <c r="D53" i="1" s="1"/>
  <c r="D5" i="8"/>
  <c r="H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41" i="15" s="1"/>
  <c r="D5" i="15"/>
  <c r="D41" i="15" s="1"/>
  <c r="B3" i="15"/>
  <c r="D5" i="14"/>
  <c r="D41" i="14" s="1"/>
  <c r="J5" i="12"/>
  <c r="B3" i="12"/>
  <c r="N7" i="5"/>
  <c r="N49" i="5" s="1"/>
  <c r="N90" i="5" s="1"/>
  <c r="D7" i="5"/>
  <c r="D49" i="5" s="1"/>
  <c r="D90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9" i="11" l="1"/>
  <c r="B1" i="5"/>
  <c r="V85" i="5" l="1"/>
  <c r="V76" i="5"/>
  <c r="V72" i="5"/>
  <c r="V63" i="5"/>
  <c r="V61" i="5"/>
  <c r="V64" i="5"/>
  <c r="V65" i="5"/>
  <c r="V66" i="5"/>
  <c r="V58" i="5"/>
  <c r="V59" i="5"/>
  <c r="V60" i="5"/>
  <c r="V62" i="5"/>
  <c r="V18" i="5"/>
  <c r="V42" i="5"/>
  <c r="V82" i="5"/>
  <c r="V83" i="5"/>
  <c r="V44" i="5"/>
  <c r="V12" i="5"/>
  <c r="V20" i="5"/>
  <c r="V31" i="5"/>
  <c r="V39" i="5"/>
  <c r="V43" i="5"/>
  <c r="V22" i="5"/>
  <c r="V71" i="5"/>
  <c r="V67" i="5"/>
  <c r="V27" i="5"/>
  <c r="V79" i="5"/>
  <c r="V68" i="5"/>
  <c r="V57" i="5"/>
  <c r="V55" i="5"/>
  <c r="V15" i="5"/>
  <c r="V84" i="5"/>
  <c r="V37" i="5"/>
  <c r="V33" i="5"/>
  <c r="V41" i="5"/>
  <c r="V70" i="5"/>
  <c r="V29" i="5"/>
  <c r="V23" i="5"/>
  <c r="V78" i="5"/>
  <c r="V28" i="5"/>
  <c r="V80" i="5"/>
  <c r="V16" i="5"/>
  <c r="V24" i="5"/>
  <c r="V13" i="5"/>
  <c r="V21" i="5"/>
  <c r="V75" i="5"/>
  <c r="V74" i="5"/>
  <c r="V26" i="5"/>
  <c r="V77" i="5"/>
  <c r="V35" i="5"/>
  <c r="V25" i="5"/>
  <c r="V73" i="5"/>
  <c r="V81" i="5"/>
  <c r="V56" i="5"/>
  <c r="V19" i="5"/>
  <c r="V38" i="5"/>
  <c r="V36" i="5"/>
  <c r="V69" i="5"/>
  <c r="V30" i="5"/>
  <c r="V14" i="5"/>
  <c r="V32" i="5"/>
  <c r="V40" i="5"/>
  <c r="V17" i="5"/>
  <c r="V34" i="5"/>
  <c r="V54" i="5"/>
  <c r="V11" i="5"/>
  <c r="B1" i="3"/>
  <c r="A1" i="4" s="1"/>
  <c r="A1" i="10" s="1"/>
  <c r="B1" i="9"/>
  <c r="V45" i="5" l="1"/>
  <c r="H9" i="11"/>
  <c r="J9" i="11"/>
  <c r="B1" i="12"/>
  <c r="B1" i="13" s="1"/>
  <c r="B1" i="7" s="1"/>
  <c r="V53" i="5" l="1"/>
  <c r="V86" i="5" s="1"/>
  <c r="V94" i="5" s="1"/>
  <c r="V95" i="5" s="1"/>
  <c r="B1" i="8"/>
  <c r="B1" i="15"/>
  <c r="B1" i="14" l="1"/>
</calcChain>
</file>

<file path=xl/sharedStrings.xml><?xml version="1.0" encoding="utf-8"?>
<sst xmlns="http://schemas.openxmlformats.org/spreadsheetml/2006/main" count="705" uniqueCount="233">
  <si>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</si>
  <si>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</si>
  <si>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</si>
  <si>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</si>
  <si>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</si>
  <si>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</si>
  <si>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</si>
  <si>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</si>
  <si>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</si>
  <si>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</si>
  <si>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</si>
  <si>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</si>
  <si>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</si>
  <si>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</si>
  <si>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</si>
  <si>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</si>
  <si>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</si>
  <si>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</si>
  <si>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</si>
  <si>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</si>
  <si>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</si>
  <si>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</si>
  <si>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</si>
  <si>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</si>
  <si>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</si>
  <si>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</si>
  <si>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</si>
  <si>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</si>
  <si>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</si>
  <si>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</si>
  <si>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</si>
  <si>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</si>
  <si>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</si>
  <si>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</si>
  <si>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</si>
  <si>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</si>
  <si>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</si>
  <si>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</si>
  <si>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</si>
  <si>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</si>
  <si>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</si>
  <si>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</si>
  <si>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</si>
  <si>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</si>
  <si>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</si>
  <si>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</si>
  <si>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</si>
  <si>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</si>
  <si>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</si>
  <si>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</si>
  <si>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</si>
  <si>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</si>
  <si>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</si>
  <si>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</si>
  <si>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</si>
  <si>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</si>
  <si>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</si>
  <si>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</si>
  <si>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</si>
  <si>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</si>
  <si>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</si>
  <si>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</si>
  <si>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</si>
  <si>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</si>
  <si>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</si>
  <si>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</si>
  <si>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</si>
  <si>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</si>
  <si>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</si>
  <si>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</si>
  <si>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</si>
  <si>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</si>
  <si>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</si>
  <si>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</si>
  <si>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</si>
  <si>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</si>
  <si>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</si>
  <si>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</si>
  <si>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</si>
  <si>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</si>
  <si>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</si>
  <si>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</si>
  <si>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</si>
  <si>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</si>
  <si>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</si>
  <si>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</si>
  <si>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</si>
  <si>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</si>
  <si>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</si>
  <si>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</si>
  <si>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</si>
  <si>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</si>
  <si>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</si>
  <si>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</si>
  <si>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</si>
  <si>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</si>
  <si>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</si>
  <si>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</si>
  <si>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</si>
  <si>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</si>
  <si>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</si>
  <si>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</si>
  <si>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</si>
  <si>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</si>
  <si>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</si>
  <si>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</si>
  <si>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</si>
  <si>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</si>
  <si>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</si>
  <si>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</si>
  <si>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</si>
  <si>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</si>
  <si>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</si>
  <si>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</si>
  <si>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</si>
  <si>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</si>
  <si>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</si>
  <si>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</si>
  <si>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</si>
  <si>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</si>
  <si>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</si>
  <si>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</si>
  <si>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</si>
  <si>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</si>
  <si>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</si>
  <si>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</si>
  <si>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</si>
  <si>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</si>
  <si>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</si>
  <si>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</si>
  <si>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</si>
  <si>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</si>
  <si>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</si>
  <si>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</si>
  <si>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</si>
  <si>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</si>
  <si>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</si>
  <si>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</si>
  <si>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</si>
  <si>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</si>
  <si>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</si>
  <si>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</si>
  <si>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</si>
  <si>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</si>
  <si>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</si>
  <si>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</si>
  <si>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</si>
  <si>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</si>
  <si>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</si>
  <si>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</si>
  <si>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</si>
  <si>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</si>
  <si>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</si>
  <si>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</si>
  <si>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</si>
  <si>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</si>
  <si>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</si>
  <si>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</si>
  <si>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</si>
  <si>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</si>
  <si>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</si>
  <si>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</si>
  <si>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</si>
  <si>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</si>
  <si>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</si>
  <si>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</si>
  <si>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</si>
  <si>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</si>
  <si>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</si>
  <si>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</si>
  <si>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</si>
  <si>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</si>
  <si>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</si>
  <si>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</si>
  <si>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</si>
  <si>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</si>
  <si>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</si>
  <si>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</si>
  <si>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</si>
  <si>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</si>
  <si>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</si>
  <si>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</si>
  <si>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</si>
  <si>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</si>
  <si>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</si>
  <si>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</si>
  <si>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</si>
  <si>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</si>
  <si>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</si>
  <si>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</si>
  <si>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</si>
  <si>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</si>
  <si>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</si>
  <si>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</si>
  <si>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</si>
  <si>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</si>
  <si>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</si>
  <si>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</si>
  <si>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</si>
  <si>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</si>
  <si>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</si>
  <si>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</si>
  <si>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ح . سرمایه گذاری صدرتامین</t>
  </si>
  <si>
    <t>1405/01/30</t>
  </si>
  <si>
    <t xml:space="preserve">جمع </t>
  </si>
  <si>
    <t>1405/02/31</t>
  </si>
  <si>
    <t>ح . معدنی‌وصنعتی‌چادرملو</t>
  </si>
  <si>
    <t>ح . توسعه‌معادن‌وفلزات‌</t>
  </si>
  <si>
    <t>1405/02/30</t>
  </si>
  <si>
    <t>1405/02/10</t>
  </si>
  <si>
    <t xml:space="preserve">اوراق بهاداری که ارزش آنها در تاریخ گذشته تعدیل شده </t>
  </si>
  <si>
    <t>(بر اساس دستورالعمل نحوه تعیین قیمت خرید و فروش اوراق بهادار در صندوق های سرمایه گذاری )</t>
  </si>
  <si>
    <t xml:space="preserve">تعداد </t>
  </si>
  <si>
    <t xml:space="preserve">قیمت پایانی </t>
  </si>
  <si>
    <t xml:space="preserve">درصد تعدیل </t>
  </si>
  <si>
    <t xml:space="preserve">خالص ارزش فروش تعدیل شده </t>
  </si>
  <si>
    <t xml:space="preserve">دلایل تعدیل </t>
  </si>
  <si>
    <t xml:space="preserve">نام اوراق بهادار </t>
  </si>
  <si>
    <t>درصد سود به میانگین سپرده</t>
  </si>
  <si>
    <t>1405/03/31</t>
  </si>
  <si>
    <t>برای ماه منتهی به 1405/03/31</t>
  </si>
  <si>
    <t>از ابتدای سال مالی تا پایان خرداد  ماه</t>
  </si>
  <si>
    <t>نشاسته و گلوکز آردینه</t>
  </si>
  <si>
    <t>کشت و صنعت هلال</t>
  </si>
  <si>
    <t>پتروشیمی اروند</t>
  </si>
  <si>
    <t>تراکتورسازی‌ایران‌</t>
  </si>
  <si>
    <t>گسترش سوخت سبززاگرس(سهامی عام)</t>
  </si>
  <si>
    <t>گروه توسعه مالی فیروزه</t>
  </si>
  <si>
    <t>ح.سرمایه گذاری خوارزمی</t>
  </si>
  <si>
    <t>ح . سرمایه‌گذاری‌ سپه‌</t>
  </si>
  <si>
    <t>رهیاب پیام گستران</t>
  </si>
  <si>
    <t>1405/03/27</t>
  </si>
  <si>
    <t>1405/03/30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</si>
</sst>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  <numFmt numFmtId="176" formatCode="#,##0\ ;[Black]\(#,##0\)\ %"/>
  </numFmts>
  <fonts count="6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2"/>
      <color rgb="FF000000"/>
      <name val="B Nazanin"/>
      <charset val="178"/>
    </font>
    <font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  <font>
      <sz val="14"/>
      <color theme="1" tint="0.249977111117893"/>
      <name val="B Nazanin"/>
      <charset val="178"/>
    </font>
    <font>
      <sz val="10"/>
      <color rgb="FF000000"/>
      <name val="Arial"/>
      <family val="2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  <font>
      <b/>
      <sz val="14"/>
      <color theme="2" tint="-0.89999084444715716"/>
      <name val="B Nazanin"/>
      <charset val="178"/>
    </font>
    <font>
      <sz val="18"/>
      <color theme="2" tint="-0.89999084444715716"/>
      <name val="B Nazanin"/>
      <charset val="178"/>
    </font>
    <font>
      <b/>
      <sz val="18"/>
      <color theme="2" tint="-0.89999084444715716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56" fillId="0" borderId="0"/>
  </cellStyleXfs>
  <cellXfs count="432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172" fontId="49" fillId="0" borderId="0" xfId="0" applyNumberFormat="1" applyFont="1" applyAlignment="1">
      <alignment horizontal="center" vertical="center" readingOrder="2"/>
    </xf>
    <xf numFmtId="165" fontId="49" fillId="0" borderId="0" xfId="1" applyNumberFormat="1" applyFont="1" applyFill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1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37" fontId="9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/>
    </xf>
    <xf numFmtId="172" fontId="53" fillId="0" borderId="0" xfId="0" applyNumberFormat="1" applyFont="1" applyAlignment="1">
      <alignment horizontal="center" vertical="center" readingOrder="2"/>
    </xf>
    <xf numFmtId="43" fontId="53" fillId="0" borderId="0" xfId="0" applyNumberFormat="1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4" fillId="0" borderId="0" xfId="0" applyNumberFormat="1" applyFont="1" applyAlignment="1">
      <alignment horizontal="center" vertical="center"/>
    </xf>
    <xf numFmtId="0" fontId="55" fillId="0" borderId="0" xfId="0" applyFont="1"/>
    <xf numFmtId="0" fontId="52" fillId="0" borderId="8" xfId="0" applyFont="1" applyBorder="1" applyAlignment="1">
      <alignment horizontal="right" vertical="top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65" fontId="7" fillId="0" borderId="0" xfId="1" applyNumberFormat="1" applyFont="1" applyAlignment="1">
      <alignment horizontal="center"/>
    </xf>
    <xf numFmtId="0" fontId="7" fillId="0" borderId="0" xfId="3" applyFont="1" applyFill="1" applyBorder="1" applyAlignment="1">
      <alignment horizontal="center" vertical="center" wrapText="1" readingOrder="2"/>
    </xf>
    <xf numFmtId="9" fontId="6" fillId="0" borderId="0" xfId="2" applyFont="1" applyAlignment="1">
      <alignment horizontal="center" vertical="center"/>
    </xf>
    <xf numFmtId="9" fontId="6" fillId="0" borderId="0" xfId="2" applyFont="1" applyAlignment="1">
      <alignment horizontal="center"/>
    </xf>
    <xf numFmtId="0" fontId="4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35" fillId="0" borderId="15" xfId="1" applyNumberFormat="1" applyFont="1" applyFill="1" applyBorder="1" applyAlignment="1">
      <alignment horizontal="center" vertical="center" wrapText="1" readingOrder="2"/>
    </xf>
    <xf numFmtId="172" fontId="35" fillId="0" borderId="6" xfId="0" applyNumberFormat="1" applyFont="1" applyBorder="1" applyAlignment="1">
      <alignment horizontal="center" vertical="center" readingOrder="2"/>
    </xf>
    <xf numFmtId="165" fontId="35" fillId="0" borderId="0" xfId="1" applyNumberFormat="1" applyFont="1" applyFill="1" applyBorder="1" applyAlignment="1">
      <alignment horizontal="center" vertical="center" wrapText="1" readingOrder="2"/>
    </xf>
    <xf numFmtId="0" fontId="58" fillId="0" borderId="0" xfId="0" applyFont="1"/>
    <xf numFmtId="165" fontId="57" fillId="0" borderId="0" xfId="1" applyNumberFormat="1" applyFont="1" applyFill="1" applyAlignment="1">
      <alignment horizontal="center" vertical="center"/>
    </xf>
    <xf numFmtId="164" fontId="58" fillId="0" borderId="0" xfId="1" applyFont="1" applyFill="1"/>
    <xf numFmtId="43" fontId="58" fillId="0" borderId="0" xfId="0" applyNumberFormat="1" applyFont="1"/>
    <xf numFmtId="0" fontId="7" fillId="0" borderId="0" xfId="0" applyFont="1" applyAlignment="1">
      <alignment horizontal="right" indent="6"/>
    </xf>
    <xf numFmtId="165" fontId="41" fillId="0" borderId="0" xfId="1" applyNumberFormat="1" applyFont="1"/>
    <xf numFmtId="165" fontId="41" fillId="0" borderId="0" xfId="1" applyNumberFormat="1" applyFont="1" applyAlignment="1">
      <alignment vertical="center"/>
    </xf>
    <xf numFmtId="165" fontId="41" fillId="0" borderId="0" xfId="1" applyNumberFormat="1" applyFont="1" applyAlignment="1">
      <alignment horizontal="center"/>
    </xf>
    <xf numFmtId="176" fontId="7" fillId="0" borderId="0" xfId="1" applyNumberFormat="1" applyFont="1" applyAlignment="1">
      <alignment horizontal="center"/>
    </xf>
    <xf numFmtId="0" fontId="59" fillId="0" borderId="0" xfId="0" applyFont="1" applyAlignment="1">
      <alignment vertical="center" readingOrder="2"/>
    </xf>
    <xf numFmtId="3" fontId="59" fillId="7" borderId="0" xfId="0" applyNumberFormat="1" applyFont="1" applyFill="1"/>
    <xf numFmtId="165" fontId="48" fillId="5" borderId="0" xfId="1" applyNumberFormat="1" applyFont="1" applyFill="1" applyAlignment="1">
      <alignment horizontal="center" vertical="center"/>
    </xf>
    <xf numFmtId="3" fontId="59" fillId="8" borderId="0" xfId="0" applyNumberFormat="1" applyFont="1" applyFill="1"/>
    <xf numFmtId="10" fontId="60" fillId="0" borderId="0" xfId="2" applyNumberFormat="1" applyFont="1" applyFill="1" applyBorder="1" applyAlignment="1">
      <alignment horizontal="center" vertical="center" wrapText="1" readingOrder="2"/>
    </xf>
    <xf numFmtId="0" fontId="60" fillId="0" borderId="0" xfId="0" applyFont="1" applyAlignment="1">
      <alignment horizontal="center"/>
    </xf>
    <xf numFmtId="10" fontId="60" fillId="0" borderId="0" xfId="0" applyNumberFormat="1" applyFont="1" applyAlignment="1">
      <alignment horizontal="center"/>
    </xf>
    <xf numFmtId="3" fontId="61" fillId="0" borderId="0" xfId="0" applyNumberFormat="1" applyFont="1" applyAlignment="1">
      <alignment horizontal="center" wrapText="1"/>
    </xf>
    <xf numFmtId="3" fontId="60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 indent="6"/>
    </xf>
    <xf numFmtId="0" fontId="34" fillId="0" borderId="0" xfId="0" applyFont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49" fontId="5" fillId="0" borderId="0" xfId="0" applyNumberFormat="1" applyFont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center"/>
    </xf>
  </cellXfs>
  <cellStyles count="7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Normal 4" xfId="6" xr:uid="{4354BF1A-018D-4F5C-AA5F-B7A38CB8151F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36"/>
  <sheetViews>
    <sheetView rightToLeft="1" tabSelected="1" view="pageBreakPreview" zoomScale="60" zoomScaleNormal="40" zoomScalePageLayoutView="10" workbookViewId="0">
      <selection activeCell="AC17" sqref="AC17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9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50" t="s">
        <v>102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132"/>
    </row>
    <row r="2" spans="2:34" ht="30" x14ac:dyDescent="0.75">
      <c r="B2" s="350" t="s">
        <v>80</v>
      </c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132"/>
      <c r="AC2" s="251"/>
    </row>
    <row r="3" spans="2:34" ht="30" x14ac:dyDescent="0.75">
      <c r="B3" s="350" t="str">
        <f>AC6</f>
        <v>برای ماه منتهی به 1405/03/31</v>
      </c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132"/>
      <c r="AC3" s="251"/>
    </row>
    <row r="4" spans="2:34" ht="36.75" customHeight="1" x14ac:dyDescent="0.65">
      <c r="B4" s="358" t="s">
        <v>36</v>
      </c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134"/>
      <c r="AC4" s="251" t="s">
        <v>205</v>
      </c>
    </row>
    <row r="5" spans="2:34" ht="30" x14ac:dyDescent="0.65">
      <c r="B5" s="358" t="s">
        <v>37</v>
      </c>
      <c r="C5" s="358"/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134"/>
      <c r="AC5" s="251" t="s">
        <v>219</v>
      </c>
    </row>
    <row r="6" spans="2:34" ht="30" x14ac:dyDescent="0.65">
      <c r="B6" s="135"/>
      <c r="C6" s="136"/>
      <c r="D6" s="345" t="str">
        <f>AC4</f>
        <v>1405/02/31</v>
      </c>
      <c r="E6" s="345"/>
      <c r="F6" s="345"/>
      <c r="G6" s="345"/>
      <c r="H6" s="345"/>
      <c r="I6" s="136"/>
      <c r="J6" s="359" t="s">
        <v>16</v>
      </c>
      <c r="K6" s="359"/>
      <c r="L6" s="359"/>
      <c r="M6" s="359"/>
      <c r="N6" s="359"/>
      <c r="O6" s="359"/>
      <c r="P6" s="359"/>
      <c r="Q6" s="137"/>
      <c r="R6" s="345" t="str">
        <f>AC5</f>
        <v>1405/03/31</v>
      </c>
      <c r="S6" s="345"/>
      <c r="T6" s="345"/>
      <c r="U6" s="345"/>
      <c r="V6" s="345"/>
      <c r="W6" s="345"/>
      <c r="X6" s="345"/>
      <c r="Y6" s="345"/>
      <c r="Z6" s="345"/>
      <c r="AA6" s="136"/>
      <c r="AC6" s="251" t="s">
        <v>220</v>
      </c>
    </row>
    <row r="7" spans="2:34" x14ac:dyDescent="0.65">
      <c r="B7" s="351" t="s">
        <v>5</v>
      </c>
      <c r="C7" s="138"/>
      <c r="D7" s="356" t="s">
        <v>8</v>
      </c>
      <c r="E7" s="346"/>
      <c r="F7" s="354" t="s">
        <v>3</v>
      </c>
      <c r="G7" s="346"/>
      <c r="H7" s="346" t="s">
        <v>31</v>
      </c>
      <c r="I7" s="139"/>
      <c r="J7" s="353" t="s">
        <v>9</v>
      </c>
      <c r="K7" s="353"/>
      <c r="L7" s="353"/>
      <c r="M7" s="140"/>
      <c r="N7" s="353" t="s">
        <v>10</v>
      </c>
      <c r="O7" s="353"/>
      <c r="P7" s="353"/>
      <c r="Q7" s="140"/>
      <c r="R7" s="354" t="s">
        <v>8</v>
      </c>
      <c r="S7" s="346"/>
      <c r="T7" s="346" t="s">
        <v>41</v>
      </c>
      <c r="U7" s="138"/>
      <c r="V7" s="354" t="s">
        <v>3</v>
      </c>
      <c r="W7" s="346"/>
      <c r="X7" s="346" t="s">
        <v>31</v>
      </c>
      <c r="Y7" s="139"/>
      <c r="Z7" s="348" t="s">
        <v>34</v>
      </c>
      <c r="AA7" s="141"/>
      <c r="AC7" s="251" t="s">
        <v>158</v>
      </c>
    </row>
    <row r="8" spans="2:34" x14ac:dyDescent="0.65">
      <c r="B8" s="352"/>
      <c r="C8" s="141"/>
      <c r="D8" s="357"/>
      <c r="E8" s="347"/>
      <c r="F8" s="355"/>
      <c r="G8" s="347"/>
      <c r="H8" s="347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79</v>
      </c>
      <c r="Q8" s="144"/>
      <c r="R8" s="355"/>
      <c r="S8" s="347"/>
      <c r="T8" s="347"/>
      <c r="U8" s="143"/>
      <c r="V8" s="355"/>
      <c r="W8" s="347"/>
      <c r="X8" s="347"/>
      <c r="Y8" s="142"/>
      <c r="Z8" s="349"/>
      <c r="AA8" s="141"/>
      <c r="AC8" s="251" t="s">
        <v>221</v>
      </c>
    </row>
    <row r="9" spans="2:34" ht="41.25" customHeight="1" x14ac:dyDescent="0.65">
      <c r="B9" s="145" t="s">
        <v>193</v>
      </c>
      <c r="C9" s="141"/>
      <c r="D9" s="146">
        <v>14000000</v>
      </c>
      <c r="E9" s="104"/>
      <c r="F9" s="146">
        <v>87506491301</v>
      </c>
      <c r="G9" s="104"/>
      <c r="H9" s="146">
        <v>81961502000</v>
      </c>
      <c r="I9" s="104"/>
      <c r="J9" s="146">
        <v>0</v>
      </c>
      <c r="K9" s="146"/>
      <c r="L9" s="146">
        <v>0</v>
      </c>
      <c r="M9" s="104"/>
      <c r="N9" s="146">
        <v>0</v>
      </c>
      <c r="O9" s="146"/>
      <c r="P9" s="146">
        <v>0</v>
      </c>
      <c r="Q9" s="146"/>
      <c r="R9" s="146">
        <v>14000000</v>
      </c>
      <c r="S9" s="146"/>
      <c r="T9" s="146">
        <v>10190</v>
      </c>
      <c r="U9" s="146"/>
      <c r="V9" s="146">
        <v>87506491301</v>
      </c>
      <c r="W9" s="146"/>
      <c r="X9" s="146">
        <v>141557238200</v>
      </c>
      <c r="Y9" s="147"/>
      <c r="Z9" s="148">
        <f t="shared" ref="Z9:Z48" si="0">X9/$Z$90</f>
        <v>7.717960776803639E-3</v>
      </c>
      <c r="AA9" s="141"/>
      <c r="AC9" s="252"/>
      <c r="AE9" s="150"/>
      <c r="AF9" s="149"/>
      <c r="AH9" s="149"/>
    </row>
    <row r="10" spans="2:34" ht="41.25" customHeight="1" x14ac:dyDescent="0.65">
      <c r="B10" s="145" t="s">
        <v>191</v>
      </c>
      <c r="C10" s="141"/>
      <c r="D10" s="146">
        <v>837500</v>
      </c>
      <c r="E10" s="146"/>
      <c r="F10" s="146">
        <v>3566757144</v>
      </c>
      <c r="G10" s="146"/>
      <c r="H10" s="146">
        <v>3423827635</v>
      </c>
      <c r="I10" s="146"/>
      <c r="J10" s="146">
        <v>0</v>
      </c>
      <c r="K10" s="146"/>
      <c r="L10" s="146">
        <v>0</v>
      </c>
      <c r="M10" s="146"/>
      <c r="N10" s="146">
        <v>-837500</v>
      </c>
      <c r="O10" s="146"/>
      <c r="P10" s="146">
        <v>3673905921</v>
      </c>
      <c r="Q10" s="146"/>
      <c r="R10" s="146">
        <v>0</v>
      </c>
      <c r="S10" s="146"/>
      <c r="T10" s="151">
        <v>0</v>
      </c>
      <c r="U10" s="146"/>
      <c r="V10" s="146">
        <v>0</v>
      </c>
      <c r="W10" s="146"/>
      <c r="X10" s="146">
        <v>0</v>
      </c>
      <c r="Y10" s="147"/>
      <c r="Z10" s="148">
        <f t="shared" si="0"/>
        <v>0</v>
      </c>
      <c r="AA10" s="141"/>
      <c r="AC10" s="251"/>
      <c r="AE10" s="149"/>
      <c r="AF10" s="149"/>
      <c r="AH10" s="149"/>
    </row>
    <row r="11" spans="2:34" ht="41.25" customHeight="1" x14ac:dyDescent="0.65">
      <c r="B11" s="145" t="s">
        <v>185</v>
      </c>
      <c r="C11" s="141"/>
      <c r="D11" s="146">
        <v>80000000</v>
      </c>
      <c r="E11" s="146"/>
      <c r="F11" s="146">
        <v>109063410216</v>
      </c>
      <c r="G11" s="146"/>
      <c r="H11" s="146">
        <v>81763048000</v>
      </c>
      <c r="I11" s="146"/>
      <c r="J11" s="146">
        <v>0</v>
      </c>
      <c r="K11" s="146"/>
      <c r="L11" s="146">
        <v>0</v>
      </c>
      <c r="M11" s="146"/>
      <c r="N11" s="146">
        <v>-7337584</v>
      </c>
      <c r="O11" s="146"/>
      <c r="P11" s="146">
        <v>10303605248</v>
      </c>
      <c r="Q11" s="146"/>
      <c r="R11" s="146">
        <v>72662416</v>
      </c>
      <c r="S11" s="146"/>
      <c r="T11" s="146">
        <v>1410</v>
      </c>
      <c r="U11" s="146"/>
      <c r="V11" s="146">
        <v>99060136044</v>
      </c>
      <c r="W11" s="146"/>
      <c r="X11" s="146">
        <v>101662037089.291</v>
      </c>
      <c r="Y11" s="147"/>
      <c r="Z11" s="148">
        <f t="shared" si="0"/>
        <v>5.5428010939048171E-3</v>
      </c>
      <c r="AA11" s="141"/>
      <c r="AE11" s="149"/>
      <c r="AF11" s="149"/>
      <c r="AH11" s="149"/>
    </row>
    <row r="12" spans="2:34" ht="41.25" customHeight="1" x14ac:dyDescent="0.65">
      <c r="B12" s="145" t="s">
        <v>108</v>
      </c>
      <c r="C12" s="141"/>
      <c r="D12" s="146">
        <v>100000000</v>
      </c>
      <c r="E12" s="146"/>
      <c r="F12" s="146">
        <v>49863785508</v>
      </c>
      <c r="G12" s="146"/>
      <c r="H12" s="146">
        <v>45743647000</v>
      </c>
      <c r="I12" s="146"/>
      <c r="J12" s="146">
        <v>654400000</v>
      </c>
      <c r="K12" s="146"/>
      <c r="L12" s="146">
        <v>313116172614</v>
      </c>
      <c r="M12" s="146"/>
      <c r="N12" s="146">
        <v>-1200000</v>
      </c>
      <c r="O12" s="146"/>
      <c r="P12" s="146">
        <v>693399477</v>
      </c>
      <c r="Q12" s="146"/>
      <c r="R12" s="146">
        <v>753200000</v>
      </c>
      <c r="S12" s="146"/>
      <c r="T12" s="146">
        <v>576</v>
      </c>
      <c r="U12" s="146"/>
      <c r="V12" s="146">
        <v>362402577489</v>
      </c>
      <c r="W12" s="146"/>
      <c r="X12" s="146">
        <v>430489592064</v>
      </c>
      <c r="Y12" s="147"/>
      <c r="Z12" s="148">
        <f t="shared" si="0"/>
        <v>2.3471083701689165E-2</v>
      </c>
      <c r="AA12" s="141"/>
      <c r="AE12" s="149"/>
      <c r="AF12" s="149"/>
      <c r="AH12" s="149"/>
    </row>
    <row r="13" spans="2:34" ht="41.25" customHeight="1" x14ac:dyDescent="0.65">
      <c r="B13" s="145" t="s">
        <v>109</v>
      </c>
      <c r="C13" s="141"/>
      <c r="D13" s="146">
        <v>1000</v>
      </c>
      <c r="E13" s="146"/>
      <c r="F13" s="146">
        <v>1915216</v>
      </c>
      <c r="G13" s="146"/>
      <c r="H13" s="146">
        <v>5844470.2999999998</v>
      </c>
      <c r="I13" s="146"/>
      <c r="J13" s="146">
        <v>0</v>
      </c>
      <c r="K13" s="146"/>
      <c r="L13" s="146">
        <v>0</v>
      </c>
      <c r="M13" s="146"/>
      <c r="N13" s="146">
        <v>0</v>
      </c>
      <c r="O13" s="146"/>
      <c r="P13" s="146">
        <v>0</v>
      </c>
      <c r="Q13" s="146"/>
      <c r="R13" s="146">
        <v>1000</v>
      </c>
      <c r="S13" s="146"/>
      <c r="T13" s="146">
        <v>10140</v>
      </c>
      <c r="U13" s="146"/>
      <c r="V13" s="146">
        <v>1915216</v>
      </c>
      <c r="W13" s="146"/>
      <c r="X13" s="146">
        <v>10061617.800000001</v>
      </c>
      <c r="Y13" s="147"/>
      <c r="Z13" s="148">
        <f t="shared" si="0"/>
        <v>5.4857789343045641E-7</v>
      </c>
      <c r="AA13" s="141"/>
      <c r="AE13" s="149"/>
      <c r="AF13" s="149"/>
      <c r="AH13" s="149"/>
    </row>
    <row r="14" spans="2:34" ht="41.25" customHeight="1" x14ac:dyDescent="0.65">
      <c r="B14" s="145" t="s">
        <v>142</v>
      </c>
      <c r="C14" s="141"/>
      <c r="D14" s="146">
        <v>214926440</v>
      </c>
      <c r="E14" s="146"/>
      <c r="F14" s="146">
        <v>110857943840</v>
      </c>
      <c r="G14" s="146"/>
      <c r="H14" s="146">
        <v>82533577685.475601</v>
      </c>
      <c r="I14" s="146"/>
      <c r="J14" s="146">
        <v>119200000</v>
      </c>
      <c r="K14" s="146"/>
      <c r="L14" s="146">
        <v>76211250882</v>
      </c>
      <c r="M14" s="146"/>
      <c r="N14" s="146">
        <v>-926440</v>
      </c>
      <c r="O14" s="146"/>
      <c r="P14" s="146">
        <v>366083080</v>
      </c>
      <c r="Q14" s="146"/>
      <c r="R14" s="146">
        <v>333200000</v>
      </c>
      <c r="S14" s="146"/>
      <c r="T14" s="146">
        <v>642</v>
      </c>
      <c r="U14" s="146"/>
      <c r="V14" s="146">
        <v>186591341771</v>
      </c>
      <c r="W14" s="146"/>
      <c r="X14" s="146">
        <v>212260841688</v>
      </c>
      <c r="Y14" s="147"/>
      <c r="Z14" s="148">
        <f t="shared" si="0"/>
        <v>1.1572851176177516E-2</v>
      </c>
      <c r="AA14" s="141"/>
      <c r="AB14" s="133">
        <v>0</v>
      </c>
      <c r="AE14" s="149"/>
      <c r="AF14" s="149"/>
      <c r="AH14" s="149"/>
    </row>
    <row r="15" spans="2:34" ht="41.25" customHeight="1" x14ac:dyDescent="0.65">
      <c r="B15" s="145" t="s">
        <v>110</v>
      </c>
      <c r="C15" s="141"/>
      <c r="D15" s="146">
        <v>782067055</v>
      </c>
      <c r="E15" s="146"/>
      <c r="F15" s="146">
        <v>720301055481</v>
      </c>
      <c r="G15" s="146"/>
      <c r="H15" s="146">
        <v>730236397741.62402</v>
      </c>
      <c r="I15" s="146"/>
      <c r="J15" s="146">
        <v>710400000</v>
      </c>
      <c r="K15" s="146"/>
      <c r="L15" s="146">
        <v>939844213875</v>
      </c>
      <c r="M15" s="146"/>
      <c r="N15" s="146">
        <v>-120111867</v>
      </c>
      <c r="O15" s="146"/>
      <c r="P15" s="146">
        <v>162990407354</v>
      </c>
      <c r="Q15" s="146"/>
      <c r="R15" s="146">
        <v>1372355188</v>
      </c>
      <c r="S15" s="146"/>
      <c r="T15" s="146">
        <v>1326</v>
      </c>
      <c r="U15" s="146"/>
      <c r="V15" s="146">
        <v>1526550668574</v>
      </c>
      <c r="W15" s="146"/>
      <c r="X15" s="146">
        <v>1805676366058.1001</v>
      </c>
      <c r="Y15" s="147"/>
      <c r="Z15" s="148">
        <f t="shared" si="0"/>
        <v>9.8448793901644141E-2</v>
      </c>
      <c r="AA15" s="141"/>
      <c r="AE15" s="149"/>
      <c r="AF15" s="149"/>
      <c r="AH15" s="149"/>
    </row>
    <row r="16" spans="2:34" ht="41.25" customHeight="1" x14ac:dyDescent="0.65">
      <c r="B16" s="145" t="s">
        <v>160</v>
      </c>
      <c r="C16" s="141"/>
      <c r="D16" s="146">
        <v>58000000</v>
      </c>
      <c r="E16" s="146"/>
      <c r="F16" s="146">
        <v>93098147252</v>
      </c>
      <c r="G16" s="146"/>
      <c r="H16" s="146">
        <v>123505862360</v>
      </c>
      <c r="I16" s="146"/>
      <c r="J16" s="146">
        <v>2000000</v>
      </c>
      <c r="K16" s="146"/>
      <c r="L16" s="146">
        <v>7432330745</v>
      </c>
      <c r="M16" s="146"/>
      <c r="N16" s="146">
        <v>0</v>
      </c>
      <c r="O16" s="146"/>
      <c r="P16" s="146">
        <v>0</v>
      </c>
      <c r="Q16" s="146"/>
      <c r="R16" s="146">
        <v>60000000</v>
      </c>
      <c r="S16" s="146"/>
      <c r="T16" s="146">
        <v>3597</v>
      </c>
      <c r="U16" s="146"/>
      <c r="V16" s="146">
        <v>100530477997</v>
      </c>
      <c r="W16" s="146"/>
      <c r="X16" s="146">
        <v>214151711400</v>
      </c>
      <c r="Y16" s="147"/>
      <c r="Z16" s="148">
        <f t="shared" si="0"/>
        <v>1.1675944867865985E-2</v>
      </c>
      <c r="AA16" s="141"/>
      <c r="AE16" s="149"/>
      <c r="AF16" s="149"/>
      <c r="AH16" s="149"/>
    </row>
    <row r="17" spans="2:34" ht="41.25" customHeight="1" x14ac:dyDescent="0.65">
      <c r="B17" s="145" t="s">
        <v>151</v>
      </c>
      <c r="C17" s="141"/>
      <c r="D17" s="146">
        <v>232900</v>
      </c>
      <c r="E17" s="146"/>
      <c r="F17" s="146">
        <v>394603131</v>
      </c>
      <c r="G17" s="146"/>
      <c r="H17" s="146">
        <v>431463108.16100001</v>
      </c>
      <c r="I17" s="146"/>
      <c r="J17" s="146">
        <v>0</v>
      </c>
      <c r="K17" s="146"/>
      <c r="L17" s="146">
        <v>0</v>
      </c>
      <c r="M17" s="146"/>
      <c r="N17" s="146">
        <v>-232900</v>
      </c>
      <c r="O17" s="146"/>
      <c r="P17" s="146">
        <v>462048552</v>
      </c>
      <c r="Q17" s="146"/>
      <c r="R17" s="146">
        <v>0</v>
      </c>
      <c r="S17" s="146"/>
      <c r="T17" s="146">
        <v>0</v>
      </c>
      <c r="U17" s="146"/>
      <c r="V17" s="146">
        <v>0</v>
      </c>
      <c r="W17" s="146"/>
      <c r="X17" s="146">
        <v>0</v>
      </c>
      <c r="Y17" s="147"/>
      <c r="Z17" s="148">
        <f t="shared" si="0"/>
        <v>0</v>
      </c>
      <c r="AA17" s="141"/>
      <c r="AE17" s="149"/>
      <c r="AF17" s="149"/>
      <c r="AH17" s="149"/>
    </row>
    <row r="18" spans="2:34" ht="41.25" customHeight="1" x14ac:dyDescent="0.65">
      <c r="B18" s="145" t="s">
        <v>143</v>
      </c>
      <c r="C18" s="141"/>
      <c r="D18" s="146">
        <v>1000</v>
      </c>
      <c r="E18" s="146"/>
      <c r="F18" s="146">
        <v>5411279</v>
      </c>
      <c r="G18" s="146"/>
      <c r="H18" s="146">
        <v>2732711.58</v>
      </c>
      <c r="I18" s="146"/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1000</v>
      </c>
      <c r="S18" s="146"/>
      <c r="T18" s="146">
        <v>3339</v>
      </c>
      <c r="U18" s="146"/>
      <c r="V18" s="146">
        <v>5411279</v>
      </c>
      <c r="W18" s="146"/>
      <c r="X18" s="146">
        <v>3313189.53</v>
      </c>
      <c r="Y18" s="147"/>
      <c r="Z18" s="148">
        <f t="shared" si="0"/>
        <v>1.8064118206748458E-7</v>
      </c>
      <c r="AA18" s="141"/>
      <c r="AE18" s="149"/>
      <c r="AF18" s="149"/>
      <c r="AH18" s="149"/>
    </row>
    <row r="19" spans="2:34" ht="41.25" customHeight="1" x14ac:dyDescent="0.65">
      <c r="B19" s="145" t="s">
        <v>111</v>
      </c>
      <c r="C19" s="141"/>
      <c r="D19" s="146">
        <v>119060440</v>
      </c>
      <c r="E19" s="146"/>
      <c r="F19" s="146">
        <v>382642214429</v>
      </c>
      <c r="G19" s="146"/>
      <c r="H19" s="146">
        <v>611965732497.78406</v>
      </c>
      <c r="I19" s="146"/>
      <c r="J19" s="146">
        <v>1600000</v>
      </c>
      <c r="K19" s="146"/>
      <c r="L19" s="146">
        <v>14281843599</v>
      </c>
      <c r="M19" s="146"/>
      <c r="N19" s="146">
        <v>-60440</v>
      </c>
      <c r="O19" s="146"/>
      <c r="P19" s="146">
        <v>319238572</v>
      </c>
      <c r="Q19" s="146"/>
      <c r="R19" s="146">
        <v>120600000</v>
      </c>
      <c r="S19" s="146"/>
      <c r="T19" s="146">
        <v>9160</v>
      </c>
      <c r="U19" s="146"/>
      <c r="V19" s="146">
        <v>396729813026</v>
      </c>
      <c r="W19" s="146"/>
      <c r="X19" s="146">
        <v>1096156699920</v>
      </c>
      <c r="Y19" s="147"/>
      <c r="Z19" s="148">
        <f t="shared" si="0"/>
        <v>5.9764477767362073E-2</v>
      </c>
      <c r="AA19" s="141"/>
      <c r="AE19" s="149"/>
      <c r="AF19" s="149"/>
      <c r="AH19" s="149"/>
    </row>
    <row r="20" spans="2:34" ht="41.25" customHeight="1" x14ac:dyDescent="0.65">
      <c r="B20" s="145" t="s">
        <v>112</v>
      </c>
      <c r="C20" s="141"/>
      <c r="D20" s="146">
        <v>90000000</v>
      </c>
      <c r="E20" s="146"/>
      <c r="F20" s="146">
        <v>390463761385</v>
      </c>
      <c r="G20" s="146"/>
      <c r="H20" s="146">
        <v>619771842000</v>
      </c>
      <c r="I20" s="146"/>
      <c r="J20" s="146">
        <v>0</v>
      </c>
      <c r="K20" s="146"/>
      <c r="L20" s="146">
        <v>0</v>
      </c>
      <c r="M20" s="146"/>
      <c r="N20" s="146">
        <v>-8291414</v>
      </c>
      <c r="O20" s="146"/>
      <c r="P20" s="146">
        <v>95046222129</v>
      </c>
      <c r="Q20" s="146"/>
      <c r="R20" s="146">
        <v>81708586</v>
      </c>
      <c r="S20" s="146"/>
      <c r="T20" s="146">
        <v>11590</v>
      </c>
      <c r="U20" s="146"/>
      <c r="V20" s="146">
        <v>354491575881</v>
      </c>
      <c r="W20" s="146"/>
      <c r="X20" s="146">
        <v>939682182324.25</v>
      </c>
      <c r="Y20" s="147"/>
      <c r="Z20" s="148">
        <f t="shared" si="0"/>
        <v>5.123319950332153E-2</v>
      </c>
      <c r="AA20" s="141"/>
      <c r="AE20" s="149"/>
      <c r="AF20" s="149"/>
      <c r="AH20" s="149"/>
    </row>
    <row r="21" spans="2:34" ht="41.25" customHeight="1" x14ac:dyDescent="0.65">
      <c r="B21" s="145" t="s">
        <v>135</v>
      </c>
      <c r="C21" s="141"/>
      <c r="D21" s="146">
        <v>1000</v>
      </c>
      <c r="E21" s="146"/>
      <c r="F21" s="146">
        <v>20873618</v>
      </c>
      <c r="G21" s="146"/>
      <c r="H21" s="146">
        <v>25689870.300000001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43580</v>
      </c>
      <c r="U21" s="146"/>
      <c r="V21" s="146">
        <v>20873618</v>
      </c>
      <c r="W21" s="146"/>
      <c r="X21" s="146">
        <v>43243126.600000001</v>
      </c>
      <c r="Y21" s="147"/>
      <c r="Z21" s="148">
        <f t="shared" si="0"/>
        <v>2.3576947333036771E-6</v>
      </c>
      <c r="AA21" s="141"/>
      <c r="AE21" s="149"/>
      <c r="AF21" s="149"/>
      <c r="AH21" s="149"/>
    </row>
    <row r="22" spans="2:34" ht="41.25" customHeight="1" x14ac:dyDescent="0.65">
      <c r="B22" s="145" t="s">
        <v>113</v>
      </c>
      <c r="C22" s="141"/>
      <c r="D22" s="146">
        <v>84661723</v>
      </c>
      <c r="E22" s="146"/>
      <c r="F22" s="146">
        <v>252230003224</v>
      </c>
      <c r="G22" s="146"/>
      <c r="H22" s="146">
        <v>259750534128.70099</v>
      </c>
      <c r="I22" s="146"/>
      <c r="J22" s="146">
        <v>0</v>
      </c>
      <c r="K22" s="146"/>
      <c r="L22" s="146">
        <v>0</v>
      </c>
      <c r="M22" s="146"/>
      <c r="N22" s="146">
        <v>-34661723</v>
      </c>
      <c r="O22" s="146"/>
      <c r="P22" s="146">
        <v>174599834043</v>
      </c>
      <c r="Q22" s="146"/>
      <c r="R22" s="146">
        <v>50000000</v>
      </c>
      <c r="S22" s="146"/>
      <c r="T22" s="146">
        <v>5180</v>
      </c>
      <c r="U22" s="146"/>
      <c r="V22" s="146">
        <v>148963424259</v>
      </c>
      <c r="W22" s="146"/>
      <c r="X22" s="146">
        <v>256997930000</v>
      </c>
      <c r="Y22" s="147"/>
      <c r="Z22" s="148">
        <f t="shared" si="0"/>
        <v>1.4011999447582663E-2</v>
      </c>
      <c r="AA22" s="141"/>
      <c r="AE22" s="149"/>
      <c r="AF22" s="149"/>
      <c r="AH22" s="149"/>
    </row>
    <row r="23" spans="2:34" ht="41.25" customHeight="1" x14ac:dyDescent="0.65">
      <c r="B23" s="145" t="s">
        <v>139</v>
      </c>
      <c r="C23" s="141"/>
      <c r="D23" s="146">
        <v>1400</v>
      </c>
      <c r="E23" s="146"/>
      <c r="F23" s="146">
        <v>68624286</v>
      </c>
      <c r="G23" s="146"/>
      <c r="H23" s="146">
        <v>23838016.644400001</v>
      </c>
      <c r="I23" s="146"/>
      <c r="J23" s="146">
        <v>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1400</v>
      </c>
      <c r="S23" s="146"/>
      <c r="T23" s="146">
        <v>30400</v>
      </c>
      <c r="U23" s="146"/>
      <c r="V23" s="146">
        <v>68624286</v>
      </c>
      <c r="W23" s="146"/>
      <c r="X23" s="146">
        <v>42231011.200000003</v>
      </c>
      <c r="Y23" s="147"/>
      <c r="Z23" s="148">
        <f t="shared" si="0"/>
        <v>2.3025123416568268E-6</v>
      </c>
      <c r="AA23" s="141"/>
      <c r="AE23" s="149"/>
      <c r="AF23" s="149"/>
      <c r="AH23" s="149"/>
    </row>
    <row r="24" spans="2:34" ht="41.25" customHeight="1" x14ac:dyDescent="0.65">
      <c r="B24" s="145" t="s">
        <v>114</v>
      </c>
      <c r="C24" s="141"/>
      <c r="D24" s="146">
        <v>1000</v>
      </c>
      <c r="E24" s="146"/>
      <c r="F24" s="146">
        <v>2873060</v>
      </c>
      <c r="G24" s="146"/>
      <c r="H24" s="146">
        <v>1903173.86</v>
      </c>
      <c r="I24" s="146"/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1147</v>
      </c>
      <c r="S24" s="146"/>
      <c r="T24" s="146">
        <v>2732</v>
      </c>
      <c r="U24" s="146"/>
      <c r="V24" s="146">
        <v>2873060</v>
      </c>
      <c r="W24" s="146"/>
      <c r="X24" s="146">
        <v>3109381.2410800001</v>
      </c>
      <c r="Y24" s="147"/>
      <c r="Z24" s="148">
        <f t="shared" si="0"/>
        <v>1.6952917960209582E-7</v>
      </c>
      <c r="AA24" s="141"/>
      <c r="AE24" s="149"/>
      <c r="AF24" s="149"/>
      <c r="AH24" s="149"/>
    </row>
    <row r="25" spans="2:34" ht="41.25" customHeight="1" x14ac:dyDescent="0.65">
      <c r="B25" s="145" t="s">
        <v>115</v>
      </c>
      <c r="C25" s="141"/>
      <c r="D25" s="146">
        <v>50607433</v>
      </c>
      <c r="E25" s="146"/>
      <c r="F25" s="146">
        <v>467681242627</v>
      </c>
      <c r="G25" s="146"/>
      <c r="H25" s="146">
        <v>458092605361.44202</v>
      </c>
      <c r="I25" s="146"/>
      <c r="J25" s="146">
        <v>0</v>
      </c>
      <c r="K25" s="146"/>
      <c r="L25" s="146">
        <v>0</v>
      </c>
      <c r="M25" s="146"/>
      <c r="N25" s="146">
        <v>-7433</v>
      </c>
      <c r="O25" s="146"/>
      <c r="P25" s="146">
        <v>100733998</v>
      </c>
      <c r="Q25" s="146"/>
      <c r="R25" s="146">
        <v>50600000</v>
      </c>
      <c r="S25" s="146"/>
      <c r="T25" s="146">
        <v>12920</v>
      </c>
      <c r="U25" s="146"/>
      <c r="V25" s="146">
        <v>467612551637</v>
      </c>
      <c r="W25" s="146"/>
      <c r="X25" s="146">
        <v>648698497040</v>
      </c>
      <c r="Y25" s="147"/>
      <c r="Z25" s="148">
        <f t="shared" si="0"/>
        <v>3.5368234219521469E-2</v>
      </c>
      <c r="AA25" s="141"/>
      <c r="AE25" s="149"/>
      <c r="AF25" s="149"/>
      <c r="AH25" s="149"/>
    </row>
    <row r="26" spans="2:34" ht="41.25" customHeight="1" x14ac:dyDescent="0.65">
      <c r="B26" s="145" t="s">
        <v>116</v>
      </c>
      <c r="C26" s="141"/>
      <c r="D26" s="146">
        <v>100000</v>
      </c>
      <c r="E26" s="146"/>
      <c r="F26" s="146">
        <v>5636941092</v>
      </c>
      <c r="G26" s="146"/>
      <c r="H26" s="146">
        <v>3042299820</v>
      </c>
      <c r="I26" s="146"/>
      <c r="J26" s="146">
        <v>0</v>
      </c>
      <c r="K26" s="146"/>
      <c r="L26" s="146">
        <v>0</v>
      </c>
      <c r="M26" s="146"/>
      <c r="N26" s="146">
        <v>0</v>
      </c>
      <c r="O26" s="146"/>
      <c r="P26" s="146">
        <v>0</v>
      </c>
      <c r="Q26" s="146"/>
      <c r="R26" s="146">
        <v>100000</v>
      </c>
      <c r="S26" s="146"/>
      <c r="T26" s="146">
        <v>39250</v>
      </c>
      <c r="U26" s="146"/>
      <c r="V26" s="146">
        <v>5636941092</v>
      </c>
      <c r="W26" s="146"/>
      <c r="X26" s="146">
        <v>3894659750</v>
      </c>
      <c r="Y26" s="147"/>
      <c r="Z26" s="148">
        <f t="shared" si="0"/>
        <v>2.1234400707243996E-4</v>
      </c>
      <c r="AA26" s="141"/>
      <c r="AE26" s="149"/>
      <c r="AF26" s="149"/>
      <c r="AH26" s="149"/>
    </row>
    <row r="27" spans="2:34" ht="41.25" customHeight="1" x14ac:dyDescent="0.65">
      <c r="B27" s="145" t="s">
        <v>192</v>
      </c>
      <c r="C27" s="141"/>
      <c r="D27" s="146">
        <v>335212</v>
      </c>
      <c r="E27" s="146"/>
      <c r="F27" s="146">
        <v>12087758820</v>
      </c>
      <c r="G27" s="146"/>
      <c r="H27" s="146">
        <v>12616307370.3332</v>
      </c>
      <c r="I27" s="146"/>
      <c r="J27" s="146">
        <v>0</v>
      </c>
      <c r="K27" s="146"/>
      <c r="L27" s="146">
        <v>0</v>
      </c>
      <c r="M27" s="146"/>
      <c r="N27" s="146">
        <v>-212</v>
      </c>
      <c r="O27" s="146"/>
      <c r="P27" s="146">
        <v>8221434</v>
      </c>
      <c r="Q27" s="146"/>
      <c r="R27" s="146">
        <v>335000</v>
      </c>
      <c r="S27" s="146"/>
      <c r="T27" s="146">
        <v>52380</v>
      </c>
      <c r="U27" s="146"/>
      <c r="V27" s="146">
        <v>12080114091</v>
      </c>
      <c r="W27" s="146"/>
      <c r="X27" s="146">
        <v>17411659371</v>
      </c>
      <c r="Y27" s="147"/>
      <c r="Z27" s="148">
        <f t="shared" si="0"/>
        <v>9.4931566759292371E-4</v>
      </c>
      <c r="AA27" s="141"/>
      <c r="AE27" s="149"/>
      <c r="AF27" s="149"/>
      <c r="AH27" s="149"/>
    </row>
    <row r="28" spans="2:34" ht="41.25" customHeight="1" x14ac:dyDescent="0.65">
      <c r="B28" s="145" t="s">
        <v>117</v>
      </c>
      <c r="C28" s="141"/>
      <c r="D28" s="146">
        <v>2000000</v>
      </c>
      <c r="E28" s="146"/>
      <c r="F28" s="146">
        <v>76853450065</v>
      </c>
      <c r="G28" s="146"/>
      <c r="H28" s="146">
        <v>63346516800</v>
      </c>
      <c r="I28" s="146"/>
      <c r="J28" s="146">
        <v>3000000</v>
      </c>
      <c r="K28" s="146"/>
      <c r="L28" s="146">
        <v>186810363181</v>
      </c>
      <c r="M28" s="146"/>
      <c r="N28" s="146">
        <v>0</v>
      </c>
      <c r="O28" s="146"/>
      <c r="P28" s="146">
        <v>0</v>
      </c>
      <c r="Q28" s="146"/>
      <c r="R28" s="146">
        <v>5000000</v>
      </c>
      <c r="S28" s="146"/>
      <c r="T28" s="146">
        <v>41055</v>
      </c>
      <c r="U28" s="146"/>
      <c r="V28" s="146">
        <v>263663813246</v>
      </c>
      <c r="W28" s="146"/>
      <c r="X28" s="146">
        <v>203688224250</v>
      </c>
      <c r="Y28" s="147"/>
      <c r="Z28" s="148">
        <f t="shared" si="0"/>
        <v>1.110545631892869E-2</v>
      </c>
      <c r="AA28" s="141"/>
      <c r="AE28" s="149"/>
      <c r="AF28" s="149"/>
      <c r="AH28" s="149"/>
    </row>
    <row r="29" spans="2:34" ht="41.25" customHeight="1" x14ac:dyDescent="0.65">
      <c r="B29" s="145" t="s">
        <v>140</v>
      </c>
      <c r="C29" s="141"/>
      <c r="D29" s="146">
        <v>6000000</v>
      </c>
      <c r="E29" s="146"/>
      <c r="F29" s="146">
        <v>221684251852</v>
      </c>
      <c r="G29" s="146"/>
      <c r="H29" s="146">
        <v>253094339820</v>
      </c>
      <c r="I29" s="146"/>
      <c r="J29" s="146">
        <v>3442434</v>
      </c>
      <c r="K29" s="146"/>
      <c r="L29" s="146">
        <v>303825513346</v>
      </c>
      <c r="M29" s="146"/>
      <c r="N29" s="146">
        <v>-75243</v>
      </c>
      <c r="O29" s="146"/>
      <c r="P29" s="146">
        <v>5172339142</v>
      </c>
      <c r="Q29" s="146"/>
      <c r="R29" s="146">
        <v>9367191</v>
      </c>
      <c r="S29" s="146"/>
      <c r="T29" s="146">
        <v>64719</v>
      </c>
      <c r="U29" s="146"/>
      <c r="V29" s="146">
        <v>521322186944</v>
      </c>
      <c r="W29" s="146"/>
      <c r="X29" s="146">
        <v>601549035967.63696</v>
      </c>
      <c r="Y29" s="147"/>
      <c r="Z29" s="148">
        <f t="shared" si="0"/>
        <v>3.2797558951826622E-2</v>
      </c>
      <c r="AA29" s="141"/>
      <c r="AE29" s="149"/>
      <c r="AF29" s="149"/>
      <c r="AH29" s="149"/>
    </row>
    <row r="30" spans="2:34" ht="41.25" customHeight="1" x14ac:dyDescent="0.65">
      <c r="B30" s="145" t="s">
        <v>176</v>
      </c>
      <c r="C30" s="141"/>
      <c r="D30" s="146">
        <v>25882352</v>
      </c>
      <c r="E30" s="146"/>
      <c r="F30" s="146">
        <v>198421138334</v>
      </c>
      <c r="G30" s="146"/>
      <c r="H30" s="146">
        <v>158177171259.867</v>
      </c>
      <c r="I30" s="146"/>
      <c r="J30" s="146">
        <v>0</v>
      </c>
      <c r="K30" s="146"/>
      <c r="L30" s="146">
        <v>0</v>
      </c>
      <c r="M30" s="146"/>
      <c r="N30" s="146">
        <v>-82352</v>
      </c>
      <c r="O30" s="146"/>
      <c r="P30" s="146">
        <v>514285250</v>
      </c>
      <c r="Q30" s="146"/>
      <c r="R30" s="146">
        <v>25800000</v>
      </c>
      <c r="S30" s="146"/>
      <c r="T30" s="146">
        <v>7970</v>
      </c>
      <c r="U30" s="146"/>
      <c r="V30" s="146">
        <v>197789805541</v>
      </c>
      <c r="W30" s="146"/>
      <c r="X30" s="146">
        <v>204036511020</v>
      </c>
      <c r="Y30" s="147"/>
      <c r="Z30" s="148">
        <f t="shared" si="0"/>
        <v>1.1124445553701283E-2</v>
      </c>
      <c r="AA30" s="141"/>
      <c r="AE30" s="149"/>
      <c r="AF30" s="149"/>
      <c r="AH30" s="149"/>
    </row>
    <row r="31" spans="2:34" ht="41.25" customHeight="1" x14ac:dyDescent="0.65">
      <c r="B31" s="145" t="s">
        <v>133</v>
      </c>
      <c r="C31" s="141"/>
      <c r="D31" s="146">
        <v>1000</v>
      </c>
      <c r="E31" s="146"/>
      <c r="F31" s="146">
        <v>4947385</v>
      </c>
      <c r="G31" s="146"/>
      <c r="H31" s="146">
        <v>5606325.5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1000</v>
      </c>
      <c r="S31" s="146"/>
      <c r="T31" s="146">
        <v>6930</v>
      </c>
      <c r="U31" s="146"/>
      <c r="V31" s="146">
        <v>4947385</v>
      </c>
      <c r="W31" s="146"/>
      <c r="X31" s="146">
        <v>6876431.0999999996</v>
      </c>
      <c r="Y31" s="147"/>
      <c r="Z31" s="148">
        <f t="shared" si="0"/>
        <v>3.749156608947793E-7</v>
      </c>
      <c r="AA31" s="141"/>
      <c r="AE31" s="149"/>
      <c r="AF31" s="149"/>
      <c r="AH31" s="149"/>
    </row>
    <row r="32" spans="2:34" ht="41.25" customHeight="1" x14ac:dyDescent="0.65">
      <c r="B32" s="145" t="s">
        <v>103</v>
      </c>
      <c r="C32" s="141"/>
      <c r="D32" s="146">
        <v>256345</v>
      </c>
      <c r="E32" s="146"/>
      <c r="F32" s="146">
        <v>391960887</v>
      </c>
      <c r="G32" s="146"/>
      <c r="H32" s="146">
        <v>460143486.74835002</v>
      </c>
      <c r="I32" s="146"/>
      <c r="J32" s="146">
        <v>388404500</v>
      </c>
      <c r="K32" s="146"/>
      <c r="L32" s="146">
        <v>887771403249</v>
      </c>
      <c r="M32" s="146"/>
      <c r="N32" s="146">
        <v>-215748</v>
      </c>
      <c r="O32" s="146"/>
      <c r="P32" s="146">
        <v>401650471</v>
      </c>
      <c r="Q32" s="146"/>
      <c r="R32" s="146">
        <v>388445097</v>
      </c>
      <c r="S32" s="146"/>
      <c r="T32" s="146">
        <v>2227</v>
      </c>
      <c r="U32" s="146"/>
      <c r="V32" s="146">
        <v>887833165580</v>
      </c>
      <c r="W32" s="146"/>
      <c r="X32" s="146">
        <v>858380261323.22302</v>
      </c>
      <c r="Y32" s="147"/>
      <c r="Z32" s="148">
        <f t="shared" si="0"/>
        <v>4.680046935583046E-2</v>
      </c>
      <c r="AA32" s="141"/>
      <c r="AE32" s="149"/>
      <c r="AF32" s="149"/>
      <c r="AH32" s="149"/>
    </row>
    <row r="33" spans="2:34" ht="41.25" customHeight="1" x14ac:dyDescent="0.65">
      <c r="B33" s="145" t="s">
        <v>188</v>
      </c>
      <c r="C33" s="141"/>
      <c r="D33" s="146">
        <v>1475169</v>
      </c>
      <c r="E33" s="146"/>
      <c r="F33" s="146">
        <v>6782788386</v>
      </c>
      <c r="G33" s="146"/>
      <c r="H33" s="146">
        <v>9873101289.7843494</v>
      </c>
      <c r="I33" s="146"/>
      <c r="J33" s="146">
        <v>0</v>
      </c>
      <c r="K33" s="146"/>
      <c r="L33" s="146">
        <v>0</v>
      </c>
      <c r="M33" s="146"/>
      <c r="N33" s="146">
        <v>-1475169</v>
      </c>
      <c r="O33" s="146"/>
      <c r="P33" s="146">
        <v>16827652536</v>
      </c>
      <c r="Q33" s="146"/>
      <c r="R33" s="146">
        <v>0</v>
      </c>
      <c r="S33" s="146"/>
      <c r="T33" s="146">
        <v>0</v>
      </c>
      <c r="U33" s="146"/>
      <c r="V33" s="146">
        <v>0</v>
      </c>
      <c r="W33" s="146"/>
      <c r="X33" s="146">
        <v>0</v>
      </c>
      <c r="Y33" s="147"/>
      <c r="Z33" s="148">
        <f t="shared" si="0"/>
        <v>0</v>
      </c>
      <c r="AA33" s="141"/>
      <c r="AE33" s="149"/>
      <c r="AF33" s="149"/>
      <c r="AH33" s="149"/>
    </row>
    <row r="34" spans="2:34" ht="41.25" customHeight="1" x14ac:dyDescent="0.65">
      <c r="B34" s="145" t="s">
        <v>207</v>
      </c>
      <c r="C34" s="141"/>
      <c r="D34" s="146">
        <v>14241</v>
      </c>
      <c r="E34" s="146"/>
      <c r="F34" s="146">
        <v>7519248</v>
      </c>
      <c r="G34" s="146"/>
      <c r="H34" s="146">
        <v>11431911.909630001</v>
      </c>
      <c r="I34" s="146"/>
      <c r="J34" s="146">
        <v>0</v>
      </c>
      <c r="K34" s="146"/>
      <c r="L34" s="146">
        <v>0</v>
      </c>
      <c r="M34" s="146"/>
      <c r="N34" s="146">
        <v>-14241</v>
      </c>
      <c r="O34" s="146"/>
      <c r="P34" s="146">
        <v>15354995</v>
      </c>
      <c r="Q34" s="146"/>
      <c r="R34" s="146">
        <v>0</v>
      </c>
      <c r="S34" s="146"/>
      <c r="T34" s="146">
        <v>0</v>
      </c>
      <c r="U34" s="146"/>
      <c r="V34" s="146">
        <v>0</v>
      </c>
      <c r="W34" s="146"/>
      <c r="X34" s="146">
        <v>0</v>
      </c>
      <c r="Y34" s="147"/>
      <c r="Z34" s="148">
        <f t="shared" si="0"/>
        <v>0</v>
      </c>
      <c r="AA34" s="141"/>
      <c r="AE34" s="149"/>
      <c r="AF34" s="149"/>
      <c r="AH34" s="149"/>
    </row>
    <row r="35" spans="2:34" ht="41.25" customHeight="1" x14ac:dyDescent="0.65">
      <c r="B35" s="145" t="s">
        <v>202</v>
      </c>
      <c r="C35" s="141"/>
      <c r="D35" s="146">
        <v>2488888</v>
      </c>
      <c r="E35" s="146"/>
      <c r="F35" s="146">
        <v>19970837312</v>
      </c>
      <c r="G35" s="146"/>
      <c r="H35" s="146">
        <v>22226840061.84</v>
      </c>
      <c r="I35" s="146"/>
      <c r="J35" s="146">
        <v>0</v>
      </c>
      <c r="K35" s="146"/>
      <c r="L35" s="146">
        <v>0</v>
      </c>
      <c r="M35" s="146"/>
      <c r="N35" s="146">
        <v>-88888</v>
      </c>
      <c r="O35" s="146"/>
      <c r="P35" s="146">
        <v>833094747</v>
      </c>
      <c r="Q35" s="146"/>
      <c r="R35" s="146">
        <v>2400000</v>
      </c>
      <c r="S35" s="146"/>
      <c r="T35" s="146">
        <v>11720</v>
      </c>
      <c r="U35" s="146"/>
      <c r="V35" s="146">
        <v>19257600000</v>
      </c>
      <c r="W35" s="146"/>
      <c r="X35" s="146">
        <v>27910570560</v>
      </c>
      <c r="Y35" s="147"/>
      <c r="Z35" s="148">
        <f t="shared" si="0"/>
        <v>1.5217356002378577E-3</v>
      </c>
      <c r="AA35" s="141"/>
      <c r="AE35" s="149"/>
      <c r="AF35" s="149"/>
      <c r="AH35" s="149"/>
    </row>
    <row r="36" spans="2:34" ht="41.25" customHeight="1" x14ac:dyDescent="0.65">
      <c r="B36" s="145" t="s">
        <v>148</v>
      </c>
      <c r="C36" s="141"/>
      <c r="D36" s="146">
        <v>111</v>
      </c>
      <c r="E36" s="146"/>
      <c r="F36" s="146">
        <v>148185</v>
      </c>
      <c r="G36" s="146"/>
      <c r="H36" s="146">
        <v>80293.49613</v>
      </c>
      <c r="I36" s="146"/>
      <c r="J36" s="146">
        <v>0</v>
      </c>
      <c r="K36" s="146"/>
      <c r="L36" s="146">
        <v>0</v>
      </c>
      <c r="M36" s="146"/>
      <c r="N36" s="146">
        <v>0</v>
      </c>
      <c r="O36" s="146"/>
      <c r="P36" s="146">
        <v>0</v>
      </c>
      <c r="Q36" s="146"/>
      <c r="R36" s="146">
        <v>111</v>
      </c>
      <c r="S36" s="146"/>
      <c r="T36" s="146">
        <v>1008</v>
      </c>
      <c r="U36" s="146"/>
      <c r="V36" s="146">
        <v>148185</v>
      </c>
      <c r="W36" s="146"/>
      <c r="X36" s="146">
        <v>111023.10576000001</v>
      </c>
      <c r="Y36" s="147"/>
      <c r="Z36" s="148">
        <f t="shared" si="0"/>
        <v>6.0531837613557103E-9</v>
      </c>
      <c r="AA36" s="141"/>
      <c r="AE36" s="149"/>
      <c r="AF36" s="149"/>
      <c r="AH36" s="149"/>
    </row>
    <row r="37" spans="2:34" ht="41.25" customHeight="1" x14ac:dyDescent="0.65">
      <c r="B37" s="145" t="s">
        <v>206</v>
      </c>
      <c r="C37" s="141"/>
      <c r="D37" s="146">
        <v>119</v>
      </c>
      <c r="E37" s="146"/>
      <c r="F37" s="146">
        <v>166957</v>
      </c>
      <c r="G37" s="146"/>
      <c r="H37" s="146">
        <v>114419.64597</v>
      </c>
      <c r="I37" s="146"/>
      <c r="J37" s="146">
        <v>0</v>
      </c>
      <c r="K37" s="146"/>
      <c r="L37" s="146">
        <v>0</v>
      </c>
      <c r="M37" s="146">
        <v>9102861790</v>
      </c>
      <c r="N37" s="146">
        <v>0</v>
      </c>
      <c r="O37" s="146"/>
      <c r="P37" s="146">
        <v>0</v>
      </c>
      <c r="Q37" s="146"/>
      <c r="R37" s="146">
        <v>119</v>
      </c>
      <c r="S37" s="146"/>
      <c r="T37" s="146">
        <v>866</v>
      </c>
      <c r="U37" s="146"/>
      <c r="V37" s="146">
        <v>166957</v>
      </c>
      <c r="W37" s="146"/>
      <c r="X37" s="146">
        <v>102257.39258</v>
      </c>
      <c r="Y37" s="147"/>
      <c r="Z37" s="148">
        <f t="shared" si="0"/>
        <v>5.575260969386809E-9</v>
      </c>
      <c r="AA37" s="141"/>
      <c r="AE37" s="149"/>
      <c r="AF37" s="149"/>
      <c r="AH37" s="149"/>
    </row>
    <row r="38" spans="2:34" ht="41.25" customHeight="1" x14ac:dyDescent="0.65">
      <c r="B38" s="145" t="s">
        <v>118</v>
      </c>
      <c r="C38" s="141"/>
      <c r="D38" s="146">
        <v>5000000</v>
      </c>
      <c r="E38" s="146"/>
      <c r="F38" s="146">
        <v>97418382725</v>
      </c>
      <c r="G38" s="146"/>
      <c r="H38" s="146">
        <v>65881766650</v>
      </c>
      <c r="I38" s="146"/>
      <c r="J38" s="146">
        <v>400000</v>
      </c>
      <c r="K38" s="146"/>
      <c r="L38" s="146">
        <v>10562070731</v>
      </c>
      <c r="M38" s="146"/>
      <c r="N38" s="146">
        <v>-400000</v>
      </c>
      <c r="O38" s="146"/>
      <c r="P38" s="146">
        <v>10234194759</v>
      </c>
      <c r="Q38" s="146"/>
      <c r="R38" s="146">
        <v>5000000</v>
      </c>
      <c r="S38" s="146"/>
      <c r="T38" s="146">
        <v>25780</v>
      </c>
      <c r="U38" s="146"/>
      <c r="V38" s="146">
        <v>99981901348</v>
      </c>
      <c r="W38" s="146"/>
      <c r="X38" s="146">
        <v>127903603000</v>
      </c>
      <c r="Y38" s="147"/>
      <c r="Z38" s="148">
        <f t="shared" si="0"/>
        <v>6.9735394934108304E-3</v>
      </c>
      <c r="AA38" s="141"/>
      <c r="AE38" s="149"/>
      <c r="AF38" s="149"/>
      <c r="AH38" s="149"/>
    </row>
    <row r="39" spans="2:34" ht="41.25" customHeight="1" x14ac:dyDescent="0.65">
      <c r="B39" s="145" t="s">
        <v>182</v>
      </c>
      <c r="C39" s="141"/>
      <c r="D39" s="146">
        <v>562500</v>
      </c>
      <c r="E39" s="146"/>
      <c r="F39" s="146">
        <v>4998586413</v>
      </c>
      <c r="G39" s="146"/>
      <c r="H39" s="146">
        <v>4537774743.75</v>
      </c>
      <c r="I39" s="146"/>
      <c r="J39" s="146">
        <v>0</v>
      </c>
      <c r="K39" s="146"/>
      <c r="L39" s="146">
        <v>0</v>
      </c>
      <c r="M39" s="146"/>
      <c r="N39" s="146">
        <v>-562500</v>
      </c>
      <c r="O39" s="146"/>
      <c r="P39" s="146">
        <v>4920043726</v>
      </c>
      <c r="Q39" s="146"/>
      <c r="R39" s="146">
        <v>0</v>
      </c>
      <c r="S39" s="146"/>
      <c r="T39" s="146">
        <v>0</v>
      </c>
      <c r="U39" s="146"/>
      <c r="V39" s="146">
        <v>0</v>
      </c>
      <c r="W39" s="146"/>
      <c r="X39" s="146">
        <v>0</v>
      </c>
      <c r="Y39" s="147"/>
      <c r="Z39" s="148">
        <f t="shared" si="0"/>
        <v>0</v>
      </c>
      <c r="AA39" s="141"/>
      <c r="AE39" s="149"/>
      <c r="AF39" s="149"/>
      <c r="AH39" s="149"/>
    </row>
    <row r="40" spans="2:34" ht="41.25" customHeight="1" x14ac:dyDescent="0.65">
      <c r="B40" s="145" t="s">
        <v>134</v>
      </c>
      <c r="C40" s="141"/>
      <c r="D40" s="146">
        <v>150000000</v>
      </c>
      <c r="E40" s="146"/>
      <c r="F40" s="146">
        <v>87281561491</v>
      </c>
      <c r="G40" s="146"/>
      <c r="H40" s="146">
        <v>73229526000</v>
      </c>
      <c r="I40" s="146"/>
      <c r="J40" s="146">
        <v>518000000</v>
      </c>
      <c r="K40" s="146"/>
      <c r="L40" s="146">
        <v>299511858113</v>
      </c>
      <c r="M40" s="146"/>
      <c r="N40" s="146">
        <v>0</v>
      </c>
      <c r="O40" s="146"/>
      <c r="P40" s="146">
        <v>0</v>
      </c>
      <c r="Q40" s="146"/>
      <c r="R40" s="146">
        <v>668000000</v>
      </c>
      <c r="S40" s="146"/>
      <c r="T40" s="146">
        <v>570</v>
      </c>
      <c r="U40" s="146"/>
      <c r="V40" s="146">
        <v>386793419604</v>
      </c>
      <c r="W40" s="146"/>
      <c r="X40" s="146">
        <v>377816725200</v>
      </c>
      <c r="Y40" s="147"/>
      <c r="Z40" s="148">
        <f t="shared" si="0"/>
        <v>2.0599262199465538E-2</v>
      </c>
      <c r="AA40" s="141"/>
      <c r="AE40" s="149"/>
      <c r="AF40" s="149"/>
      <c r="AH40" s="149"/>
    </row>
    <row r="41" spans="2:34" ht="41.25" customHeight="1" x14ac:dyDescent="0.65">
      <c r="B41" s="145" t="s">
        <v>128</v>
      </c>
      <c r="C41" s="141"/>
      <c r="D41" s="146">
        <v>280000000</v>
      </c>
      <c r="E41" s="146"/>
      <c r="F41" s="146">
        <v>444311046137</v>
      </c>
      <c r="G41" s="146"/>
      <c r="H41" s="146">
        <v>444536960000</v>
      </c>
      <c r="I41" s="146"/>
      <c r="J41" s="146">
        <v>380800000</v>
      </c>
      <c r="K41" s="146"/>
      <c r="L41" s="146">
        <v>790658573505</v>
      </c>
      <c r="M41" s="146"/>
      <c r="N41" s="146">
        <v>0</v>
      </c>
      <c r="O41" s="146"/>
      <c r="P41" s="146">
        <v>0</v>
      </c>
      <c r="Q41" s="146"/>
      <c r="R41" s="146">
        <v>660800000</v>
      </c>
      <c r="S41" s="146"/>
      <c r="T41" s="146">
        <v>2049</v>
      </c>
      <c r="U41" s="146"/>
      <c r="V41" s="146">
        <v>1234969619642</v>
      </c>
      <c r="W41" s="146"/>
      <c r="X41" s="146">
        <v>1343512940784</v>
      </c>
      <c r="Y41" s="147"/>
      <c r="Z41" s="148">
        <f t="shared" si="0"/>
        <v>7.3250794604009323E-2</v>
      </c>
      <c r="AA41" s="141"/>
      <c r="AE41" s="149"/>
      <c r="AF41" s="149"/>
      <c r="AH41" s="149"/>
    </row>
    <row r="42" spans="2:34" ht="41.25" customHeight="1" x14ac:dyDescent="0.65">
      <c r="B42" s="145" t="s">
        <v>190</v>
      </c>
      <c r="C42" s="141"/>
      <c r="D42" s="146">
        <v>99982360</v>
      </c>
      <c r="E42" s="146"/>
      <c r="F42" s="146">
        <v>371522240327</v>
      </c>
      <c r="G42" s="146"/>
      <c r="H42" s="146">
        <v>290088567348.453</v>
      </c>
      <c r="I42" s="146"/>
      <c r="J42" s="146">
        <v>5014493</v>
      </c>
      <c r="K42" s="146"/>
      <c r="L42" s="146">
        <v>19175723052</v>
      </c>
      <c r="M42" s="146"/>
      <c r="N42" s="146">
        <v>-14493</v>
      </c>
      <c r="O42" s="146"/>
      <c r="P42" s="146">
        <v>63686737</v>
      </c>
      <c r="Q42" s="146"/>
      <c r="R42" s="146">
        <v>294982360</v>
      </c>
      <c r="S42" s="146"/>
      <c r="T42" s="146">
        <v>4828</v>
      </c>
      <c r="U42" s="146"/>
      <c r="V42" s="146">
        <v>1227799962434</v>
      </c>
      <c r="W42" s="146"/>
      <c r="X42" s="146">
        <v>1413165962612.5601</v>
      </c>
      <c r="Y42" s="147"/>
      <c r="Z42" s="148">
        <f t="shared" si="0"/>
        <v>7.7048405360579414E-2</v>
      </c>
      <c r="AA42" s="141"/>
      <c r="AE42" s="149"/>
      <c r="AF42" s="149"/>
      <c r="AH42" s="149"/>
    </row>
    <row r="43" spans="2:34" ht="41.25" customHeight="1" x14ac:dyDescent="0.65">
      <c r="B43" s="145" t="s">
        <v>153</v>
      </c>
      <c r="C43" s="141"/>
      <c r="D43" s="146">
        <v>92400000</v>
      </c>
      <c r="E43" s="146"/>
      <c r="F43" s="146">
        <v>131785473469</v>
      </c>
      <c r="G43" s="146"/>
      <c r="H43" s="146">
        <v>116119999842</v>
      </c>
      <c r="I43" s="146"/>
      <c r="J43" s="146">
        <v>0</v>
      </c>
      <c r="K43" s="146"/>
      <c r="L43" s="146">
        <v>0</v>
      </c>
      <c r="M43" s="146"/>
      <c r="N43" s="146">
        <v>-2520000</v>
      </c>
      <c r="O43" s="146"/>
      <c r="P43" s="146">
        <v>4126799095</v>
      </c>
      <c r="Q43" s="146"/>
      <c r="R43" s="146">
        <v>89880000</v>
      </c>
      <c r="S43" s="146"/>
      <c r="T43" s="146">
        <v>1905</v>
      </c>
      <c r="U43" s="146"/>
      <c r="V43" s="146">
        <v>128191324192</v>
      </c>
      <c r="W43" s="146"/>
      <c r="X43" s="146">
        <v>169897858578</v>
      </c>
      <c r="Y43" s="147"/>
      <c r="Z43" s="148">
        <f t="shared" si="0"/>
        <v>9.2631434834530117E-3</v>
      </c>
      <c r="AA43" s="141"/>
      <c r="AE43" s="149"/>
      <c r="AF43" s="149"/>
      <c r="AH43" s="149"/>
    </row>
    <row r="44" spans="2:34" ht="41.25" customHeight="1" x14ac:dyDescent="0.65">
      <c r="B44" s="145" t="s">
        <v>141</v>
      </c>
      <c r="C44" s="141"/>
      <c r="D44" s="146">
        <v>7414814</v>
      </c>
      <c r="E44" s="146"/>
      <c r="F44" s="146">
        <v>66922505559</v>
      </c>
      <c r="G44" s="146"/>
      <c r="H44" s="146">
        <v>73574974877.800003</v>
      </c>
      <c r="I44" s="146"/>
      <c r="J44" s="146">
        <v>13300000</v>
      </c>
      <c r="K44" s="146"/>
      <c r="L44" s="146">
        <v>167535395146</v>
      </c>
      <c r="M44" s="146"/>
      <c r="N44" s="146">
        <v>0</v>
      </c>
      <c r="O44" s="146"/>
      <c r="P44" s="146">
        <v>0</v>
      </c>
      <c r="Q44" s="146"/>
      <c r="R44" s="146">
        <v>20714814</v>
      </c>
      <c r="S44" s="146"/>
      <c r="T44" s="146">
        <v>14240</v>
      </c>
      <c r="U44" s="146"/>
      <c r="V44" s="146">
        <v>234457900705</v>
      </c>
      <c r="W44" s="146"/>
      <c r="X44" s="146">
        <v>292698764065.987</v>
      </c>
      <c r="Y44" s="147"/>
      <c r="Z44" s="148">
        <f t="shared" si="0"/>
        <v>1.595847453090668E-2</v>
      </c>
      <c r="AA44" s="141"/>
      <c r="AE44" s="149"/>
      <c r="AF44" s="149"/>
      <c r="AH44" s="149"/>
    </row>
    <row r="45" spans="2:34" ht="41.25" customHeight="1" x14ac:dyDescent="0.65">
      <c r="B45" s="145" t="s">
        <v>175</v>
      </c>
      <c r="C45" s="141"/>
      <c r="D45" s="146">
        <v>34000000</v>
      </c>
      <c r="E45" s="146"/>
      <c r="F45" s="146">
        <v>137933892936</v>
      </c>
      <c r="G45" s="146"/>
      <c r="H45" s="146">
        <v>143787861160</v>
      </c>
      <c r="I45" s="146"/>
      <c r="J45" s="146">
        <v>0</v>
      </c>
      <c r="K45" s="146"/>
      <c r="L45" s="146">
        <v>0</v>
      </c>
      <c r="M45" s="146"/>
      <c r="N45" s="146">
        <v>-14382130</v>
      </c>
      <c r="O45" s="146"/>
      <c r="P45" s="146">
        <v>82724152535</v>
      </c>
      <c r="Q45" s="146"/>
      <c r="R45" s="146">
        <v>19617870</v>
      </c>
      <c r="S45" s="146"/>
      <c r="T45" s="146">
        <v>5660</v>
      </c>
      <c r="U45" s="146"/>
      <c r="V45" s="146">
        <v>79587328846</v>
      </c>
      <c r="W45" s="146"/>
      <c r="X45" s="146">
        <v>110178827075.334</v>
      </c>
      <c r="Y45" s="147"/>
      <c r="Z45" s="148">
        <f t="shared" si="0"/>
        <v>6.0071521358747351E-3</v>
      </c>
      <c r="AA45" s="141"/>
      <c r="AE45" s="149"/>
      <c r="AF45" s="149"/>
      <c r="AH45" s="149"/>
    </row>
    <row r="46" spans="2:34" ht="41.25" customHeight="1" x14ac:dyDescent="0.65">
      <c r="B46" s="145" t="s">
        <v>129</v>
      </c>
      <c r="C46" s="141"/>
      <c r="D46" s="146">
        <v>6800000</v>
      </c>
      <c r="E46" s="146"/>
      <c r="F46" s="146">
        <v>147413973728</v>
      </c>
      <c r="G46" s="146"/>
      <c r="H46" s="146">
        <v>107554129840</v>
      </c>
      <c r="I46" s="146"/>
      <c r="J46" s="146">
        <v>0</v>
      </c>
      <c r="K46" s="146"/>
      <c r="L46" s="146">
        <v>0</v>
      </c>
      <c r="M46" s="146"/>
      <c r="N46" s="146">
        <v>-5800000</v>
      </c>
      <c r="O46" s="146"/>
      <c r="P46" s="146">
        <v>90959387096</v>
      </c>
      <c r="Q46" s="146"/>
      <c r="R46" s="146">
        <v>1000000</v>
      </c>
      <c r="S46" s="146"/>
      <c r="T46" s="146">
        <v>17000</v>
      </c>
      <c r="U46" s="146"/>
      <c r="V46" s="146">
        <v>21678525535</v>
      </c>
      <c r="W46" s="146"/>
      <c r="X46" s="146">
        <v>16868590000</v>
      </c>
      <c r="Y46" s="147"/>
      <c r="Z46" s="148">
        <f t="shared" si="0"/>
        <v>9.1970652744751064E-4</v>
      </c>
      <c r="AA46" s="141"/>
      <c r="AE46" s="149"/>
      <c r="AF46" s="149"/>
      <c r="AH46" s="149"/>
    </row>
    <row r="47" spans="2:34" ht="41.25" customHeight="1" x14ac:dyDescent="0.65">
      <c r="B47" s="145" t="s">
        <v>119</v>
      </c>
      <c r="C47" s="141"/>
      <c r="D47" s="146">
        <v>40000000</v>
      </c>
      <c r="E47" s="146"/>
      <c r="F47" s="146">
        <v>406715712142</v>
      </c>
      <c r="G47" s="146"/>
      <c r="H47" s="146">
        <v>377300744800</v>
      </c>
      <c r="I47" s="146"/>
      <c r="J47" s="146">
        <v>4000000</v>
      </c>
      <c r="K47" s="146"/>
      <c r="L47" s="146">
        <v>63783282786</v>
      </c>
      <c r="M47" s="146"/>
      <c r="N47" s="146">
        <v>0</v>
      </c>
      <c r="O47" s="146"/>
      <c r="P47" s="146">
        <v>0</v>
      </c>
      <c r="Q47" s="146"/>
      <c r="R47" s="146">
        <v>44000000</v>
      </c>
      <c r="S47" s="146"/>
      <c r="T47" s="146">
        <v>15030</v>
      </c>
      <c r="U47" s="146"/>
      <c r="V47" s="146">
        <v>470498994928</v>
      </c>
      <c r="W47" s="146"/>
      <c r="X47" s="146">
        <v>656207996400</v>
      </c>
      <c r="Y47" s="147"/>
      <c r="Z47" s="148">
        <f t="shared" si="0"/>
        <v>3.577766592538751E-2</v>
      </c>
      <c r="AA47" s="141"/>
      <c r="AE47" s="149"/>
      <c r="AF47" s="149"/>
      <c r="AH47" s="149"/>
    </row>
    <row r="48" spans="2:34" ht="41.25" customHeight="1" x14ac:dyDescent="0.65">
      <c r="B48" s="145" t="s">
        <v>120</v>
      </c>
      <c r="C48" s="141"/>
      <c r="D48" s="146">
        <v>80000000</v>
      </c>
      <c r="E48" s="146"/>
      <c r="F48" s="146">
        <v>584586147232</v>
      </c>
      <c r="G48" s="146"/>
      <c r="H48" s="146">
        <v>416753400000</v>
      </c>
      <c r="I48" s="146"/>
      <c r="J48" s="146">
        <v>0</v>
      </c>
      <c r="K48" s="146"/>
      <c r="L48" s="146">
        <v>0</v>
      </c>
      <c r="M48" s="146"/>
      <c r="N48" s="146">
        <v>-30000000</v>
      </c>
      <c r="O48" s="146"/>
      <c r="P48" s="146">
        <v>343553907417</v>
      </c>
      <c r="Q48" s="146"/>
      <c r="R48" s="146">
        <v>50000000</v>
      </c>
      <c r="S48" s="146"/>
      <c r="T48" s="146">
        <v>12560</v>
      </c>
      <c r="U48" s="146"/>
      <c r="V48" s="146">
        <v>365366342037</v>
      </c>
      <c r="W48" s="146"/>
      <c r="X48" s="146">
        <v>623145560000</v>
      </c>
      <c r="Y48" s="147"/>
      <c r="Z48" s="148">
        <f t="shared" si="0"/>
        <v>3.3975041131590389E-2</v>
      </c>
      <c r="AA48" s="141"/>
      <c r="AE48" s="149"/>
      <c r="AF48" s="149"/>
      <c r="AH48" s="149"/>
    </row>
    <row r="49" spans="2:34" ht="41.25" customHeight="1" thickBot="1" x14ac:dyDescent="0.7">
      <c r="B49" s="135" t="s">
        <v>167</v>
      </c>
      <c r="C49" s="141">
        <v>0</v>
      </c>
      <c r="D49" s="127">
        <f>SUM(D9:D48)</f>
        <v>2429112002</v>
      </c>
      <c r="E49" s="127" t="e">
        <f>AC48=SUM(#REF!)</f>
        <v>#REF!</v>
      </c>
      <c r="F49" s="127">
        <f>SUM(F9:F48)</f>
        <v>5690500543679</v>
      </c>
      <c r="G49" s="127" t="e">
        <f t="shared" ref="G49" si="1">SUM(#REF!)</f>
        <v>#REF!</v>
      </c>
      <c r="H49" s="127">
        <f>SUM(H9:H48)</f>
        <v>5735459705881.999</v>
      </c>
      <c r="I49" s="127"/>
      <c r="J49" s="127">
        <f>SUM(J9:J48)</f>
        <v>2803961427</v>
      </c>
      <c r="K49" s="325" t="e">
        <f t="shared" ref="K49" si="2">SUM(#REF!)</f>
        <v>#REF!</v>
      </c>
      <c r="L49" s="127">
        <f>SUM(L9:L48)</f>
        <v>4080519994824</v>
      </c>
      <c r="M49" s="127" t="e">
        <f t="shared" ref="M49" si="3">SUM(#REF!)</f>
        <v>#REF!</v>
      </c>
      <c r="N49" s="324">
        <f>SUM(N9:N48)</f>
        <v>-229298277</v>
      </c>
      <c r="O49" s="323" t="e">
        <f t="shared" ref="O49" si="4">SUM(#REF!)</f>
        <v>#REF!</v>
      </c>
      <c r="P49" s="127">
        <f>SUM(P9:P48)</f>
        <v>1008910248314</v>
      </c>
      <c r="Q49" s="127" t="e">
        <f t="shared" ref="Q49" si="5">SUM(#REF!)</f>
        <v>#REF!</v>
      </c>
      <c r="R49" s="127">
        <f>SUM(R9:R48)</f>
        <v>5193775299</v>
      </c>
      <c r="S49" s="127" t="e">
        <f t="shared" ref="S49" si="6">SUM(#REF!)</f>
        <v>#REF!</v>
      </c>
      <c r="T49" s="127">
        <f>SUM(T9:T48)</f>
        <v>474529</v>
      </c>
      <c r="U49" s="127" t="e">
        <f t="shared" ref="U49" si="7">SUM(#REF!)</f>
        <v>#REF!</v>
      </c>
      <c r="V49" s="127">
        <f>SUM(V9:V48)</f>
        <v>9887452963730</v>
      </c>
      <c r="W49" s="127" t="e">
        <f t="shared" ref="W49" si="8">SUM(#REF!)</f>
        <v>#REF!</v>
      </c>
      <c r="X49" s="127">
        <f>SUM(X9:X48)</f>
        <v>12895709893779.35</v>
      </c>
      <c r="Y49" s="127" t="e">
        <f t="shared" ref="Y49" si="9">SUM(#REF!)</f>
        <v>#REF!</v>
      </c>
      <c r="Z49" s="277">
        <f>SUM(Z9:Z48)</f>
        <v>0.70309780280262424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58" t="s">
        <v>36</v>
      </c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141"/>
      <c r="AE51" s="149"/>
      <c r="AF51" s="149"/>
      <c r="AH51" s="149"/>
    </row>
    <row r="52" spans="2:34" ht="41.25" customHeight="1" x14ac:dyDescent="0.65">
      <c r="B52" s="358" t="s">
        <v>37</v>
      </c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45" t="str">
        <f>D6</f>
        <v>1405/02/31</v>
      </c>
      <c r="E53" s="345"/>
      <c r="F53" s="345"/>
      <c r="G53" s="345"/>
      <c r="H53" s="345"/>
      <c r="I53" s="136"/>
      <c r="J53" s="359" t="s">
        <v>16</v>
      </c>
      <c r="K53" s="359"/>
      <c r="L53" s="359"/>
      <c r="M53" s="359"/>
      <c r="N53" s="359"/>
      <c r="O53" s="359"/>
      <c r="P53" s="359"/>
      <c r="Q53" s="137"/>
      <c r="R53" s="345" t="str">
        <f>R6</f>
        <v>1405/03/31</v>
      </c>
      <c r="S53" s="345"/>
      <c r="T53" s="345"/>
      <c r="U53" s="345"/>
      <c r="V53" s="345"/>
      <c r="W53" s="345"/>
      <c r="X53" s="345"/>
      <c r="Y53" s="345"/>
      <c r="Z53" s="345"/>
      <c r="AA53" s="141"/>
      <c r="AE53" s="149"/>
      <c r="AF53" s="149"/>
      <c r="AH53" s="149"/>
    </row>
    <row r="54" spans="2:34" ht="41.25" customHeight="1" x14ac:dyDescent="0.65">
      <c r="B54" s="351" t="s">
        <v>5</v>
      </c>
      <c r="C54" s="138"/>
      <c r="D54" s="356" t="s">
        <v>8</v>
      </c>
      <c r="E54" s="346"/>
      <c r="F54" s="354" t="s">
        <v>3</v>
      </c>
      <c r="G54" s="346"/>
      <c r="H54" s="346" t="s">
        <v>31</v>
      </c>
      <c r="I54" s="139"/>
      <c r="J54" s="353" t="s">
        <v>9</v>
      </c>
      <c r="K54" s="353"/>
      <c r="L54" s="353"/>
      <c r="M54" s="140"/>
      <c r="N54" s="353" t="s">
        <v>10</v>
      </c>
      <c r="O54" s="353"/>
      <c r="P54" s="353"/>
      <c r="Q54" s="140"/>
      <c r="R54" s="354" t="s">
        <v>8</v>
      </c>
      <c r="S54" s="346"/>
      <c r="T54" s="346" t="s">
        <v>41</v>
      </c>
      <c r="U54" s="138"/>
      <c r="V54" s="354" t="s">
        <v>3</v>
      </c>
      <c r="W54" s="346"/>
      <c r="X54" s="346" t="s">
        <v>31</v>
      </c>
      <c r="Y54" s="139"/>
      <c r="Z54" s="348" t="s">
        <v>34</v>
      </c>
      <c r="AA54" s="141"/>
      <c r="AE54" s="149"/>
      <c r="AF54" s="149"/>
      <c r="AH54" s="149"/>
    </row>
    <row r="55" spans="2:34" ht="41.25" customHeight="1" x14ac:dyDescent="0.65">
      <c r="B55" s="352"/>
      <c r="C55" s="141"/>
      <c r="D55" s="357"/>
      <c r="E55" s="347"/>
      <c r="F55" s="355"/>
      <c r="G55" s="347"/>
      <c r="H55" s="347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79</v>
      </c>
      <c r="Q55" s="144"/>
      <c r="R55" s="355"/>
      <c r="S55" s="347"/>
      <c r="T55" s="347"/>
      <c r="U55" s="143"/>
      <c r="V55" s="355"/>
      <c r="W55" s="347"/>
      <c r="X55" s="347"/>
      <c r="Y55" s="142"/>
      <c r="Z55" s="349"/>
      <c r="AA55" s="141"/>
      <c r="AE55" s="149"/>
      <c r="AF55" s="149"/>
      <c r="AH55" s="149"/>
    </row>
    <row r="56" spans="2:34" ht="41.25" customHeight="1" x14ac:dyDescent="0.65">
      <c r="B56" s="191" t="s">
        <v>166</v>
      </c>
      <c r="C56" s="141"/>
      <c r="D56" s="146">
        <f>D49</f>
        <v>2429112002</v>
      </c>
      <c r="E56" s="146"/>
      <c r="F56" s="146">
        <f>F49</f>
        <v>5690500543679</v>
      </c>
      <c r="G56" s="146"/>
      <c r="H56" s="146">
        <f>H49</f>
        <v>5735459705881.999</v>
      </c>
      <c r="I56" s="146"/>
      <c r="J56" s="146">
        <f>J49</f>
        <v>2803961427</v>
      </c>
      <c r="K56" s="146"/>
      <c r="L56" s="146">
        <f>L49</f>
        <v>4080519994824</v>
      </c>
      <c r="M56" s="146"/>
      <c r="N56" s="146">
        <f>N49</f>
        <v>-229298277</v>
      </c>
      <c r="O56" s="146"/>
      <c r="P56" s="146">
        <f>P49</f>
        <v>1008910248314</v>
      </c>
      <c r="Q56" s="146"/>
      <c r="R56" s="146">
        <f>R49</f>
        <v>5193775299</v>
      </c>
      <c r="S56" s="146"/>
      <c r="T56" s="146">
        <f>T49</f>
        <v>474529</v>
      </c>
      <c r="U56" s="146"/>
      <c r="V56" s="146">
        <f>V49</f>
        <v>9887452963730</v>
      </c>
      <c r="W56" s="146"/>
      <c r="X56" s="146">
        <f>X49</f>
        <v>12895709893779.35</v>
      </c>
      <c r="Y56" s="147"/>
      <c r="Z56" s="278">
        <f>Z49</f>
        <v>0.70309780280262424</v>
      </c>
      <c r="AA56" s="141"/>
      <c r="AE56" s="149"/>
      <c r="AF56" s="149"/>
      <c r="AH56" s="149"/>
    </row>
    <row r="57" spans="2:34" ht="41.25" customHeight="1" x14ac:dyDescent="0.65">
      <c r="B57" s="145" t="s">
        <v>152</v>
      </c>
      <c r="C57" s="141"/>
      <c r="D57" s="146">
        <v>2000000</v>
      </c>
      <c r="E57" s="146"/>
      <c r="F57" s="146">
        <v>50411649795</v>
      </c>
      <c r="G57" s="146"/>
      <c r="H57" s="146">
        <v>68923074200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2000000</v>
      </c>
      <c r="S57" s="146"/>
      <c r="T57" s="146">
        <v>60750</v>
      </c>
      <c r="U57" s="146"/>
      <c r="V57" s="146">
        <v>50411649795</v>
      </c>
      <c r="W57" s="146"/>
      <c r="X57" s="146">
        <v>120560805000</v>
      </c>
      <c r="Y57" s="147"/>
      <c r="Z57" s="148">
        <f t="shared" ref="Z57:Z82" si="10">X57/$Z$90</f>
        <v>6.573196652051326E-3</v>
      </c>
      <c r="AA57" s="141"/>
      <c r="AE57" s="149"/>
      <c r="AF57" s="149"/>
      <c r="AH57" s="149"/>
    </row>
    <row r="58" spans="2:34" ht="41.25" customHeight="1" x14ac:dyDescent="0.65">
      <c r="B58" s="145" t="s">
        <v>121</v>
      </c>
      <c r="C58" s="141"/>
      <c r="D58" s="146">
        <v>12900000</v>
      </c>
      <c r="E58" s="146"/>
      <c r="F58" s="146">
        <v>34912740601</v>
      </c>
      <c r="G58" s="146"/>
      <c r="H58" s="146">
        <v>16704369315</v>
      </c>
      <c r="I58" s="146">
        <v>56813933700</v>
      </c>
      <c r="J58" s="146">
        <v>0</v>
      </c>
      <c r="K58" s="146"/>
      <c r="L58" s="146">
        <v>0</v>
      </c>
      <c r="M58" s="146"/>
      <c r="N58" s="146">
        <v>0</v>
      </c>
      <c r="O58" s="146"/>
      <c r="P58" s="146">
        <v>0</v>
      </c>
      <c r="Q58" s="146"/>
      <c r="R58" s="146">
        <v>12900000</v>
      </c>
      <c r="S58" s="146"/>
      <c r="T58" s="146">
        <v>1566</v>
      </c>
      <c r="U58" s="146"/>
      <c r="V58" s="146">
        <v>34912740601</v>
      </c>
      <c r="W58" s="146"/>
      <c r="X58" s="146">
        <v>20045243178</v>
      </c>
      <c r="Y58" s="147"/>
      <c r="Z58" s="148">
        <f t="shared" si="10"/>
        <v>1.092903496681067E-3</v>
      </c>
      <c r="AA58" s="141"/>
      <c r="AE58" s="149"/>
      <c r="AF58" s="149"/>
      <c r="AH58" s="149"/>
    </row>
    <row r="59" spans="2:34" ht="41.25" customHeight="1" x14ac:dyDescent="0.65">
      <c r="B59" s="145" t="s">
        <v>154</v>
      </c>
      <c r="C59" s="141"/>
      <c r="D59" s="146">
        <v>60000000</v>
      </c>
      <c r="E59" s="146"/>
      <c r="F59" s="146">
        <v>98042294767</v>
      </c>
      <c r="G59" s="146"/>
      <c r="H59" s="146">
        <v>88173112200</v>
      </c>
      <c r="I59" s="146"/>
      <c r="J59" s="146">
        <v>0</v>
      </c>
      <c r="K59" s="146"/>
      <c r="L59" s="146">
        <v>0</v>
      </c>
      <c r="M59" s="146"/>
      <c r="N59" s="146">
        <v>0</v>
      </c>
      <c r="O59" s="146"/>
      <c r="P59" s="146">
        <v>0</v>
      </c>
      <c r="Q59" s="146"/>
      <c r="R59" s="146">
        <v>60000000</v>
      </c>
      <c r="S59" s="146"/>
      <c r="T59" s="146">
        <v>2048</v>
      </c>
      <c r="U59" s="146"/>
      <c r="V59" s="146">
        <v>98042294767</v>
      </c>
      <c r="W59" s="146"/>
      <c r="X59" s="146">
        <v>121930137600</v>
      </c>
      <c r="Y59" s="147"/>
      <c r="Z59" s="148">
        <f t="shared" si="10"/>
        <v>6.6478551819264767E-3</v>
      </c>
      <c r="AA59" s="141"/>
      <c r="AE59" s="149"/>
      <c r="AF59" s="149"/>
      <c r="AH59" s="149"/>
    </row>
    <row r="60" spans="2:34" ht="41.25" customHeight="1" x14ac:dyDescent="0.65">
      <c r="B60" s="145" t="s">
        <v>194</v>
      </c>
      <c r="C60" s="141"/>
      <c r="D60" s="146">
        <v>375000</v>
      </c>
      <c r="E60" s="146"/>
      <c r="F60" s="146">
        <v>3137744212</v>
      </c>
      <c r="G60" s="146"/>
      <c r="H60" s="146">
        <v>3427052512.5</v>
      </c>
      <c r="I60" s="146"/>
      <c r="J60" s="146">
        <v>0</v>
      </c>
      <c r="K60" s="146"/>
      <c r="L60" s="146">
        <v>0</v>
      </c>
      <c r="M60" s="146"/>
      <c r="N60" s="146">
        <v>-375000</v>
      </c>
      <c r="O60" s="146"/>
      <c r="P60" s="146">
        <v>3727193211</v>
      </c>
      <c r="Q60" s="146"/>
      <c r="R60" s="146">
        <v>0</v>
      </c>
      <c r="S60" s="146"/>
      <c r="T60" s="146">
        <v>0</v>
      </c>
      <c r="U60" s="146"/>
      <c r="V60" s="146">
        <v>0</v>
      </c>
      <c r="W60" s="146"/>
      <c r="X60" s="146">
        <v>0</v>
      </c>
      <c r="Y60" s="147"/>
      <c r="Z60" s="148">
        <f t="shared" si="10"/>
        <v>0</v>
      </c>
      <c r="AA60" s="141"/>
      <c r="AE60" s="149"/>
      <c r="AF60" s="149"/>
      <c r="AH60" s="149"/>
    </row>
    <row r="61" spans="2:34" ht="41.25" customHeight="1" x14ac:dyDescent="0.65">
      <c r="B61" s="145" t="s">
        <v>122</v>
      </c>
      <c r="C61" s="141"/>
      <c r="D61" s="146">
        <v>1000</v>
      </c>
      <c r="E61" s="146"/>
      <c r="F61" s="146">
        <v>16436086</v>
      </c>
      <c r="G61" s="146"/>
      <c r="H61" s="146">
        <v>12373606.9</v>
      </c>
      <c r="I61" s="146"/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1000</v>
      </c>
      <c r="S61" s="146"/>
      <c r="T61" s="146">
        <v>17780</v>
      </c>
      <c r="U61" s="146"/>
      <c r="V61" s="146">
        <v>16436086</v>
      </c>
      <c r="W61" s="146"/>
      <c r="X61" s="146">
        <v>17642560.600000001</v>
      </c>
      <c r="Y61" s="147"/>
      <c r="Z61" s="148">
        <f t="shared" si="10"/>
        <v>9.6190482694216109E-7</v>
      </c>
      <c r="AA61" s="141"/>
      <c r="AE61" s="149"/>
      <c r="AF61" s="149"/>
      <c r="AH61" s="149"/>
    </row>
    <row r="62" spans="2:34" ht="41.25" customHeight="1" x14ac:dyDescent="0.65">
      <c r="B62" s="145" t="s">
        <v>146</v>
      </c>
      <c r="C62" s="141"/>
      <c r="D62" s="146">
        <v>1782</v>
      </c>
      <c r="E62" s="146"/>
      <c r="F62" s="146">
        <v>8899545</v>
      </c>
      <c r="G62" s="146"/>
      <c r="H62" s="146">
        <v>9495369.0018000007</v>
      </c>
      <c r="I62" s="146"/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1782</v>
      </c>
      <c r="S62" s="146"/>
      <c r="T62" s="146">
        <v>6150</v>
      </c>
      <c r="U62" s="146"/>
      <c r="V62" s="146">
        <v>8899545</v>
      </c>
      <c r="W62" s="146"/>
      <c r="X62" s="146">
        <v>10874584.611</v>
      </c>
      <c r="Y62" s="147"/>
      <c r="Z62" s="148">
        <f t="shared" si="10"/>
        <v>5.9290233801502952E-7</v>
      </c>
      <c r="AA62" s="141"/>
      <c r="AE62" s="149"/>
      <c r="AF62" s="149"/>
      <c r="AH62" s="149"/>
    </row>
    <row r="63" spans="2:34" ht="41.25" customHeight="1" x14ac:dyDescent="0.65">
      <c r="B63" s="145" t="s">
        <v>123</v>
      </c>
      <c r="C63" s="141"/>
      <c r="D63" s="146">
        <v>8000000</v>
      </c>
      <c r="E63" s="146"/>
      <c r="F63" s="146">
        <v>147918055705</v>
      </c>
      <c r="G63" s="146"/>
      <c r="H63" s="146">
        <v>150086791120</v>
      </c>
      <c r="I63" s="146"/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8000000</v>
      </c>
      <c r="S63" s="146"/>
      <c r="T63" s="146">
        <v>28950</v>
      </c>
      <c r="U63" s="146"/>
      <c r="V63" s="146">
        <v>147918055705</v>
      </c>
      <c r="W63" s="146"/>
      <c r="X63" s="146">
        <v>229809732000</v>
      </c>
      <c r="Y63" s="147"/>
      <c r="Z63" s="148">
        <f t="shared" si="10"/>
        <v>1.2529648926873145E-2</v>
      </c>
      <c r="AA63" s="141"/>
      <c r="AE63" s="149"/>
      <c r="AF63" s="149"/>
      <c r="AH63" s="149"/>
    </row>
    <row r="64" spans="2:34" ht="41.25" customHeight="1" x14ac:dyDescent="0.65">
      <c r="B64" s="145" t="s">
        <v>132</v>
      </c>
      <c r="C64" s="141"/>
      <c r="D64" s="146">
        <v>10000000</v>
      </c>
      <c r="E64" s="146"/>
      <c r="F64" s="146">
        <v>118942519994</v>
      </c>
      <c r="G64" s="146"/>
      <c r="H64" s="146">
        <v>73725661000</v>
      </c>
      <c r="I64" s="146"/>
      <c r="J64" s="146">
        <v>0</v>
      </c>
      <c r="K64" s="146"/>
      <c r="L64" s="146">
        <v>0</v>
      </c>
      <c r="M64" s="146"/>
      <c r="N64" s="146">
        <v>0</v>
      </c>
      <c r="O64" s="146"/>
      <c r="P64" s="146">
        <v>0</v>
      </c>
      <c r="Q64" s="146"/>
      <c r="R64" s="146">
        <v>10000000</v>
      </c>
      <c r="S64" s="146"/>
      <c r="T64" s="146">
        <v>8916</v>
      </c>
      <c r="U64" s="146"/>
      <c r="V64" s="146">
        <v>118942519994</v>
      </c>
      <c r="W64" s="146"/>
      <c r="X64" s="146">
        <v>88470793200</v>
      </c>
      <c r="Y64" s="147"/>
      <c r="Z64" s="148">
        <f t="shared" si="10"/>
        <v>4.823590234542356E-3</v>
      </c>
      <c r="AA64" s="141"/>
      <c r="AE64" s="149"/>
      <c r="AF64" s="149"/>
      <c r="AH64" s="149"/>
    </row>
    <row r="65" spans="2:34" ht="41.25" customHeight="1" x14ac:dyDescent="0.65">
      <c r="B65" s="145" t="s">
        <v>124</v>
      </c>
      <c r="C65" s="141"/>
      <c r="D65" s="146">
        <v>1000</v>
      </c>
      <c r="E65" s="146"/>
      <c r="F65" s="146">
        <v>483356</v>
      </c>
      <c r="G65" s="146"/>
      <c r="H65" s="146">
        <v>444536.96</v>
      </c>
      <c r="I65" s="146"/>
      <c r="J65" s="146">
        <v>0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1000</v>
      </c>
      <c r="S65" s="146"/>
      <c r="T65" s="146">
        <v>667</v>
      </c>
      <c r="U65" s="146"/>
      <c r="V65" s="146">
        <v>483356</v>
      </c>
      <c r="W65" s="146"/>
      <c r="X65" s="146">
        <v>661844.09</v>
      </c>
      <c r="Y65" s="147"/>
      <c r="Z65" s="148">
        <f t="shared" si="10"/>
        <v>3.6084956106322912E-8</v>
      </c>
      <c r="AA65" s="141"/>
      <c r="AE65" s="149"/>
      <c r="AF65" s="149"/>
      <c r="AH65" s="149"/>
    </row>
    <row r="66" spans="2:34" ht="41.25" customHeight="1" x14ac:dyDescent="0.65">
      <c r="B66" s="145" t="s">
        <v>125</v>
      </c>
      <c r="C66" s="141"/>
      <c r="D66" s="146">
        <v>1068</v>
      </c>
      <c r="E66" s="146"/>
      <c r="F66" s="146">
        <v>2495918</v>
      </c>
      <c r="G66" s="146"/>
      <c r="H66" s="146">
        <v>1832297.99844</v>
      </c>
      <c r="I66" s="146"/>
      <c r="J66" s="146">
        <v>0</v>
      </c>
      <c r="K66" s="146"/>
      <c r="L66" s="146">
        <v>0</v>
      </c>
      <c r="M66" s="146"/>
      <c r="N66" s="146">
        <v>0</v>
      </c>
      <c r="O66" s="146"/>
      <c r="P66" s="146">
        <v>0</v>
      </c>
      <c r="Q66" s="146"/>
      <c r="R66" s="146">
        <v>1068</v>
      </c>
      <c r="S66" s="146"/>
      <c r="T66" s="146">
        <v>2047</v>
      </c>
      <c r="U66" s="146"/>
      <c r="V66" s="146">
        <v>2495918</v>
      </c>
      <c r="W66" s="146"/>
      <c r="X66" s="146">
        <v>2169296.7049199999</v>
      </c>
      <c r="Y66" s="147"/>
      <c r="Z66" s="148">
        <f t="shared" si="10"/>
        <v>1.1827404302821399E-7</v>
      </c>
      <c r="AA66" s="141"/>
      <c r="AE66" s="149"/>
      <c r="AF66" s="149"/>
      <c r="AH66" s="149"/>
    </row>
    <row r="67" spans="2:34" ht="41.25" customHeight="1" x14ac:dyDescent="0.65">
      <c r="B67" s="145" t="s">
        <v>126</v>
      </c>
      <c r="C67" s="141"/>
      <c r="D67" s="146">
        <v>1092</v>
      </c>
      <c r="E67" s="146"/>
      <c r="F67" s="146">
        <v>2626403</v>
      </c>
      <c r="G67" s="146"/>
      <c r="H67" s="146">
        <v>2133527.3559599998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1092</v>
      </c>
      <c r="S67" s="146"/>
      <c r="T67" s="146">
        <v>2400</v>
      </c>
      <c r="U67" s="146"/>
      <c r="V67" s="146">
        <v>2626403</v>
      </c>
      <c r="W67" s="146"/>
      <c r="X67" s="146">
        <v>2600541.216</v>
      </c>
      <c r="Y67" s="147"/>
      <c r="Z67" s="148">
        <f t="shared" si="10"/>
        <v>1.4178628630202564E-7</v>
      </c>
      <c r="AA67" s="141"/>
      <c r="AE67" s="149"/>
      <c r="AF67" s="149"/>
      <c r="AH67" s="149"/>
    </row>
    <row r="68" spans="2:34" ht="41.25" customHeight="1" x14ac:dyDescent="0.65">
      <c r="B68" s="145" t="s">
        <v>127</v>
      </c>
      <c r="C68" s="141"/>
      <c r="D68" s="146">
        <v>132000000</v>
      </c>
      <c r="E68" s="146"/>
      <c r="F68" s="146">
        <v>1106932131211</v>
      </c>
      <c r="G68" s="146"/>
      <c r="H68" s="146">
        <v>1863840277200</v>
      </c>
      <c r="I68" s="146">
        <v>24781666.5</v>
      </c>
      <c r="J68" s="146">
        <v>27500000</v>
      </c>
      <c r="K68" s="146"/>
      <c r="L68" s="146">
        <v>587917524560</v>
      </c>
      <c r="M68" s="146"/>
      <c r="N68" s="146">
        <v>0</v>
      </c>
      <c r="O68" s="146"/>
      <c r="P68" s="146">
        <v>0</v>
      </c>
      <c r="Q68" s="146"/>
      <c r="R68" s="146">
        <v>159500000</v>
      </c>
      <c r="S68" s="146"/>
      <c r="T68" s="146">
        <v>22070</v>
      </c>
      <c r="U68" s="146"/>
      <c r="V68" s="146">
        <v>1694849655771</v>
      </c>
      <c r="W68" s="146"/>
      <c r="X68" s="146">
        <v>3492954124550</v>
      </c>
      <c r="Y68" s="147"/>
      <c r="Z68" s="148">
        <f t="shared" si="10"/>
        <v>0.19044227812895684</v>
      </c>
      <c r="AA68" s="141"/>
      <c r="AE68" s="149"/>
      <c r="AF68" s="149"/>
      <c r="AH68" s="149"/>
    </row>
    <row r="69" spans="2:34" ht="41.25" customHeight="1" x14ac:dyDescent="0.65">
      <c r="B69" s="145" t="s">
        <v>187</v>
      </c>
      <c r="C69" s="141"/>
      <c r="D69" s="146">
        <v>257500</v>
      </c>
      <c r="E69" s="146"/>
      <c r="F69" s="146">
        <v>4270463617</v>
      </c>
      <c r="G69" s="146"/>
      <c r="H69" s="146">
        <v>3996168961</v>
      </c>
      <c r="I69" s="146">
        <v>149862978000</v>
      </c>
      <c r="J69" s="146">
        <v>0</v>
      </c>
      <c r="K69" s="146"/>
      <c r="L69" s="146">
        <v>0</v>
      </c>
      <c r="M69" s="146"/>
      <c r="N69" s="146">
        <v>-257500</v>
      </c>
      <c r="O69" s="146"/>
      <c r="P69" s="146">
        <v>4270675356</v>
      </c>
      <c r="Q69" s="146"/>
      <c r="R69" s="146">
        <v>0</v>
      </c>
      <c r="S69" s="146"/>
      <c r="T69" s="146">
        <v>0</v>
      </c>
      <c r="U69" s="146"/>
      <c r="V69" s="146">
        <v>0</v>
      </c>
      <c r="W69" s="146"/>
      <c r="X69" s="146">
        <v>0</v>
      </c>
      <c r="Y69" s="147"/>
      <c r="Z69" s="148">
        <f t="shared" si="10"/>
        <v>0</v>
      </c>
      <c r="AA69" s="141"/>
      <c r="AE69" s="149"/>
      <c r="AF69" s="149"/>
      <c r="AH69" s="149"/>
    </row>
    <row r="70" spans="2:34" ht="41.25" customHeight="1" x14ac:dyDescent="0.65">
      <c r="B70" s="145" t="s">
        <v>200</v>
      </c>
      <c r="C70" s="141"/>
      <c r="D70" s="146">
        <v>750000</v>
      </c>
      <c r="E70" s="146"/>
      <c r="F70" s="146">
        <v>6057537334</v>
      </c>
      <c r="G70" s="146"/>
      <c r="H70" s="146">
        <v>6757358700</v>
      </c>
      <c r="I70" s="146">
        <v>142188912000</v>
      </c>
      <c r="J70" s="146">
        <v>0</v>
      </c>
      <c r="K70" s="146"/>
      <c r="L70" s="146">
        <v>0</v>
      </c>
      <c r="M70" s="146"/>
      <c r="N70" s="146">
        <v>-750000</v>
      </c>
      <c r="O70" s="146"/>
      <c r="P70" s="146">
        <v>7379283443</v>
      </c>
      <c r="Q70" s="146"/>
      <c r="R70" s="146">
        <v>0</v>
      </c>
      <c r="S70" s="146"/>
      <c r="T70" s="146">
        <v>0</v>
      </c>
      <c r="U70" s="146"/>
      <c r="V70" s="146">
        <v>0</v>
      </c>
      <c r="W70" s="146"/>
      <c r="X70" s="146">
        <v>0</v>
      </c>
      <c r="Y70" s="147"/>
      <c r="Z70" s="148">
        <f t="shared" si="10"/>
        <v>0</v>
      </c>
      <c r="AA70" s="141"/>
      <c r="AE70" s="149"/>
      <c r="AF70" s="149"/>
      <c r="AH70" s="149"/>
    </row>
    <row r="71" spans="2:34" ht="41.25" customHeight="1" x14ac:dyDescent="0.65">
      <c r="B71" s="145" t="s">
        <v>181</v>
      </c>
      <c r="C71" s="141"/>
      <c r="D71" s="146">
        <v>360000</v>
      </c>
      <c r="E71" s="146"/>
      <c r="F71" s="146">
        <v>3620597726</v>
      </c>
      <c r="G71" s="146"/>
      <c r="H71" s="146">
        <v>3507872900</v>
      </c>
      <c r="I71" s="146">
        <v>16610575.5</v>
      </c>
      <c r="J71" s="146">
        <v>0</v>
      </c>
      <c r="K71" s="146"/>
      <c r="L71" s="146">
        <v>0</v>
      </c>
      <c r="M71" s="146"/>
      <c r="N71" s="146">
        <v>-360000</v>
      </c>
      <c r="O71" s="146"/>
      <c r="P71" s="146">
        <v>5965379884</v>
      </c>
      <c r="Q71" s="146"/>
      <c r="R71" s="146">
        <v>0</v>
      </c>
      <c r="S71" s="146"/>
      <c r="T71" s="146">
        <v>0</v>
      </c>
      <c r="U71" s="146"/>
      <c r="V71" s="146">
        <v>0</v>
      </c>
      <c r="W71" s="146"/>
      <c r="X71" s="146">
        <v>0</v>
      </c>
      <c r="Y71" s="147"/>
      <c r="Z71" s="148">
        <f t="shared" si="10"/>
        <v>0</v>
      </c>
      <c r="AA71" s="141"/>
      <c r="AE71" s="149"/>
      <c r="AF71" s="149"/>
      <c r="AH71" s="149"/>
    </row>
    <row r="72" spans="2:34" ht="41.25" customHeight="1" x14ac:dyDescent="0.65">
      <c r="B72" s="145" t="s">
        <v>137</v>
      </c>
      <c r="C72" s="141"/>
      <c r="D72" s="146">
        <v>18000000</v>
      </c>
      <c r="E72" s="146"/>
      <c r="F72" s="146">
        <v>134498889052</v>
      </c>
      <c r="G72" s="146"/>
      <c r="H72" s="146">
        <v>71889961500</v>
      </c>
      <c r="I72" s="146">
        <v>16988314.5</v>
      </c>
      <c r="J72" s="146">
        <v>0</v>
      </c>
      <c r="K72" s="146"/>
      <c r="L72" s="146">
        <v>0</v>
      </c>
      <c r="M72" s="146"/>
      <c r="N72" s="146">
        <v>0</v>
      </c>
      <c r="O72" s="146"/>
      <c r="P72" s="146">
        <v>0</v>
      </c>
      <c r="Q72" s="146"/>
      <c r="R72" s="146">
        <v>18000000</v>
      </c>
      <c r="S72" s="146"/>
      <c r="T72" s="146">
        <v>4613</v>
      </c>
      <c r="U72" s="146"/>
      <c r="V72" s="146">
        <v>134498889052</v>
      </c>
      <c r="W72" s="146"/>
      <c r="X72" s="146">
        <v>82392147180</v>
      </c>
      <c r="Y72" s="147"/>
      <c r="Z72" s="148">
        <f t="shared" si="10"/>
        <v>4.492171282357447E-3</v>
      </c>
      <c r="AA72" s="141"/>
      <c r="AE72" s="149"/>
      <c r="AF72" s="149"/>
      <c r="AH72" s="149"/>
    </row>
    <row r="73" spans="2:34" ht="41.25" customHeight="1" x14ac:dyDescent="0.65">
      <c r="B73" s="145" t="s">
        <v>186</v>
      </c>
      <c r="C73" s="141"/>
      <c r="D73" s="146">
        <v>401250</v>
      </c>
      <c r="E73" s="146"/>
      <c r="F73" s="146">
        <v>3787614251</v>
      </c>
      <c r="G73" s="146"/>
      <c r="H73" s="146">
        <v>5023437570</v>
      </c>
      <c r="I73" s="146">
        <v>308105797500</v>
      </c>
      <c r="J73" s="146">
        <v>0</v>
      </c>
      <c r="K73" s="146"/>
      <c r="L73" s="146">
        <v>0</v>
      </c>
      <c r="M73" s="146"/>
      <c r="N73" s="146">
        <v>-401250</v>
      </c>
      <c r="O73" s="146"/>
      <c r="P73" s="146">
        <v>6021122222</v>
      </c>
      <c r="Q73" s="146"/>
      <c r="R73" s="146">
        <v>0</v>
      </c>
      <c r="S73" s="146"/>
      <c r="T73" s="146">
        <v>0</v>
      </c>
      <c r="U73" s="146"/>
      <c r="V73" s="146">
        <v>0</v>
      </c>
      <c r="W73" s="146"/>
      <c r="X73" s="146">
        <v>0</v>
      </c>
      <c r="Y73" s="147"/>
      <c r="Z73" s="148">
        <f t="shared" si="10"/>
        <v>0</v>
      </c>
      <c r="AA73" s="141"/>
      <c r="AE73" s="149"/>
      <c r="AF73" s="149"/>
      <c r="AH73" s="149"/>
    </row>
    <row r="74" spans="2:34" ht="41.25" customHeight="1" x14ac:dyDescent="0.65">
      <c r="B74" s="145" t="s">
        <v>222</v>
      </c>
      <c r="C74" s="141"/>
      <c r="D74" s="146">
        <v>0</v>
      </c>
      <c r="E74" s="146"/>
      <c r="F74" s="146">
        <v>0</v>
      </c>
      <c r="G74" s="146"/>
      <c r="H74" s="146">
        <v>0</v>
      </c>
      <c r="I74" s="146">
        <v>227635959360</v>
      </c>
      <c r="J74" s="146">
        <v>500000</v>
      </c>
      <c r="K74" s="146"/>
      <c r="L74" s="146">
        <v>13803569294</v>
      </c>
      <c r="M74" s="146"/>
      <c r="N74" s="146">
        <v>0</v>
      </c>
      <c r="O74" s="146"/>
      <c r="P74" s="146">
        <v>0</v>
      </c>
      <c r="Q74" s="146"/>
      <c r="R74" s="146">
        <v>500000</v>
      </c>
      <c r="S74" s="146"/>
      <c r="T74" s="146">
        <v>26750</v>
      </c>
      <c r="U74" s="146"/>
      <c r="V74" s="146">
        <v>13803569294</v>
      </c>
      <c r="W74" s="146"/>
      <c r="X74" s="146">
        <v>13271611250</v>
      </c>
      <c r="Y74" s="147"/>
      <c r="Z74" s="148">
        <f t="shared" si="10"/>
        <v>7.2359263556532087E-4</v>
      </c>
      <c r="AA74" s="141"/>
      <c r="AE74" s="149"/>
      <c r="AF74" s="149"/>
      <c r="AH74" s="149"/>
    </row>
    <row r="75" spans="2:34" ht="41.25" customHeight="1" x14ac:dyDescent="0.65">
      <c r="B75" s="145" t="s">
        <v>223</v>
      </c>
      <c r="C75" s="141"/>
      <c r="D75" s="146">
        <v>0</v>
      </c>
      <c r="E75" s="146"/>
      <c r="F75" s="146">
        <v>0</v>
      </c>
      <c r="G75" s="146"/>
      <c r="H75" s="146">
        <v>0</v>
      </c>
      <c r="I75" s="146">
        <v>289349068050</v>
      </c>
      <c r="J75" s="146">
        <v>250000</v>
      </c>
      <c r="K75" s="146"/>
      <c r="L75" s="146">
        <v>9569806700</v>
      </c>
      <c r="M75" s="146"/>
      <c r="N75" s="146">
        <v>0</v>
      </c>
      <c r="O75" s="146"/>
      <c r="P75" s="146">
        <v>0</v>
      </c>
      <c r="Q75" s="146"/>
      <c r="R75" s="146">
        <v>250000</v>
      </c>
      <c r="S75" s="146"/>
      <c r="T75" s="146">
        <v>38650</v>
      </c>
      <c r="U75" s="146"/>
      <c r="V75" s="146">
        <v>9569806700</v>
      </c>
      <c r="W75" s="146"/>
      <c r="X75" s="146">
        <v>9587808870</v>
      </c>
      <c r="Y75" s="147"/>
      <c r="Z75" s="148">
        <f t="shared" si="10"/>
        <v>5.2274495981336562E-4</v>
      </c>
      <c r="AA75" s="141"/>
      <c r="AE75" s="149"/>
      <c r="AF75" s="149"/>
      <c r="AH75" s="149"/>
    </row>
    <row r="76" spans="2:34" ht="41.25" customHeight="1" x14ac:dyDescent="0.65">
      <c r="B76" s="145" t="s">
        <v>224</v>
      </c>
      <c r="C76" s="141"/>
      <c r="D76" s="146">
        <v>0</v>
      </c>
      <c r="E76" s="146"/>
      <c r="F76" s="146">
        <v>0</v>
      </c>
      <c r="G76" s="146"/>
      <c r="H76" s="146">
        <v>0</v>
      </c>
      <c r="I76" s="146"/>
      <c r="J76" s="146">
        <v>2700000</v>
      </c>
      <c r="K76" s="146"/>
      <c r="L76" s="146">
        <v>203490878141</v>
      </c>
      <c r="M76" s="146"/>
      <c r="N76" s="146">
        <v>0</v>
      </c>
      <c r="O76" s="146"/>
      <c r="P76" s="146">
        <v>0</v>
      </c>
      <c r="Q76" s="146"/>
      <c r="R76" s="146">
        <v>2700000</v>
      </c>
      <c r="S76" s="146"/>
      <c r="T76" s="146">
        <v>66680</v>
      </c>
      <c r="U76" s="146"/>
      <c r="V76" s="146">
        <v>203490878141</v>
      </c>
      <c r="W76" s="146"/>
      <c r="X76" s="146">
        <v>178644321720</v>
      </c>
      <c r="Y76" s="147"/>
      <c r="Z76" s="148">
        <f>X76/$Z$90</f>
        <v>9.740016727972943E-3</v>
      </c>
      <c r="AA76" s="141"/>
      <c r="AE76" s="149"/>
      <c r="AF76" s="149"/>
      <c r="AH76" s="149"/>
    </row>
    <row r="77" spans="2:34" ht="41.25" customHeight="1" x14ac:dyDescent="0.65">
      <c r="B77" s="145" t="s">
        <v>225</v>
      </c>
      <c r="C77" s="141"/>
      <c r="D77" s="146">
        <v>0</v>
      </c>
      <c r="E77" s="146"/>
      <c r="F77" s="146">
        <v>0</v>
      </c>
      <c r="G77" s="146"/>
      <c r="H77" s="146">
        <v>0</v>
      </c>
      <c r="I77" s="146"/>
      <c r="J77" s="146">
        <v>98000000</v>
      </c>
      <c r="K77" s="146"/>
      <c r="L77" s="146">
        <v>237347767188</v>
      </c>
      <c r="M77" s="146"/>
      <c r="N77" s="146">
        <v>0</v>
      </c>
      <c r="O77" s="146"/>
      <c r="P77" s="146">
        <v>0</v>
      </c>
      <c r="Q77" s="146"/>
      <c r="R77" s="146">
        <v>98000000</v>
      </c>
      <c r="S77" s="146"/>
      <c r="T77" s="146">
        <v>2553</v>
      </c>
      <c r="U77" s="146"/>
      <c r="V77" s="146">
        <v>237347767188</v>
      </c>
      <c r="W77" s="146"/>
      <c r="X77" s="146">
        <v>248260000380</v>
      </c>
      <c r="Y77" s="147"/>
      <c r="Z77" s="148">
        <f t="shared" si="10"/>
        <v>1.3535591466364851E-2</v>
      </c>
      <c r="AA77" s="141"/>
      <c r="AE77" s="149"/>
      <c r="AF77" s="149"/>
      <c r="AH77" s="149"/>
    </row>
    <row r="78" spans="2:34" ht="41.25" customHeight="1" x14ac:dyDescent="0.65">
      <c r="B78" s="145" t="s">
        <v>226</v>
      </c>
      <c r="C78" s="141"/>
      <c r="D78" s="146">
        <v>0</v>
      </c>
      <c r="E78" s="146"/>
      <c r="F78" s="146">
        <v>0</v>
      </c>
      <c r="G78" s="146"/>
      <c r="H78" s="146">
        <v>0</v>
      </c>
      <c r="I78" s="146"/>
      <c r="J78" s="146">
        <v>166370008</v>
      </c>
      <c r="K78" s="146"/>
      <c r="L78" s="146">
        <v>170471847259</v>
      </c>
      <c r="M78" s="146"/>
      <c r="N78" s="146">
        <v>0</v>
      </c>
      <c r="O78" s="146"/>
      <c r="P78" s="146">
        <v>0</v>
      </c>
      <c r="Q78" s="146"/>
      <c r="R78" s="146">
        <v>166370008</v>
      </c>
      <c r="S78" s="146"/>
      <c r="T78" s="146">
        <v>1023</v>
      </c>
      <c r="U78" s="146"/>
      <c r="V78" s="146">
        <v>170471847259</v>
      </c>
      <c r="W78" s="146"/>
      <c r="X78" s="146">
        <v>168880899092</v>
      </c>
      <c r="Y78" s="147"/>
      <c r="Z78" s="148">
        <f t="shared" si="10"/>
        <v>9.2076969833351074E-3</v>
      </c>
      <c r="AA78" s="141"/>
      <c r="AE78" s="149"/>
      <c r="AF78" s="149"/>
      <c r="AH78" s="149"/>
    </row>
    <row r="79" spans="2:34" ht="41.25" customHeight="1" x14ac:dyDescent="0.65">
      <c r="B79" s="145" t="s">
        <v>227</v>
      </c>
      <c r="C79" s="141"/>
      <c r="D79" s="146">
        <v>0</v>
      </c>
      <c r="E79" s="146"/>
      <c r="F79" s="146">
        <v>0</v>
      </c>
      <c r="G79" s="146"/>
      <c r="H79" s="146">
        <v>0</v>
      </c>
      <c r="I79" s="146"/>
      <c r="J79" s="146">
        <v>1101</v>
      </c>
      <c r="K79" s="146"/>
      <c r="L79" s="146">
        <v>3063875</v>
      </c>
      <c r="M79" s="146"/>
      <c r="N79" s="146">
        <v>0</v>
      </c>
      <c r="O79" s="146"/>
      <c r="P79" s="146">
        <v>0</v>
      </c>
      <c r="Q79" s="146"/>
      <c r="R79" s="146">
        <v>1101</v>
      </c>
      <c r="S79" s="146"/>
      <c r="T79" s="146">
        <v>3411</v>
      </c>
      <c r="U79" s="146"/>
      <c r="V79" s="146">
        <v>3063875</v>
      </c>
      <c r="W79" s="146"/>
      <c r="X79" s="146">
        <v>3726481</v>
      </c>
      <c r="Y79" s="147"/>
      <c r="Z79" s="148">
        <f t="shared" si="10"/>
        <v>2.0317459254799166E-7</v>
      </c>
      <c r="AA79" s="141"/>
      <c r="AE79" s="149"/>
      <c r="AF79" s="149"/>
      <c r="AH79" s="149"/>
    </row>
    <row r="80" spans="2:34" ht="41.25" customHeight="1" x14ac:dyDescent="0.65">
      <c r="B80" s="145" t="s">
        <v>228</v>
      </c>
      <c r="C80" s="141"/>
      <c r="D80" s="146">
        <v>0</v>
      </c>
      <c r="E80" s="146"/>
      <c r="F80" s="146">
        <v>0</v>
      </c>
      <c r="G80" s="146"/>
      <c r="H80" s="146">
        <v>0</v>
      </c>
      <c r="I80" s="146"/>
      <c r="J80" s="146">
        <v>190000000</v>
      </c>
      <c r="K80" s="146"/>
      <c r="L80" s="146">
        <v>647162323018</v>
      </c>
      <c r="M80" s="146"/>
      <c r="N80" s="146">
        <v>0</v>
      </c>
      <c r="O80" s="146"/>
      <c r="P80" s="146">
        <v>0</v>
      </c>
      <c r="Q80" s="146"/>
      <c r="R80" s="146">
        <v>0</v>
      </c>
      <c r="S80" s="146"/>
      <c r="T80" s="146">
        <v>0</v>
      </c>
      <c r="U80" s="146"/>
      <c r="V80" s="146">
        <v>0</v>
      </c>
      <c r="W80" s="146"/>
      <c r="X80" s="146">
        <v>0</v>
      </c>
      <c r="Y80" s="147"/>
      <c r="Z80" s="148">
        <f t="shared" si="10"/>
        <v>0</v>
      </c>
      <c r="AA80" s="141"/>
      <c r="AE80" s="149"/>
      <c r="AF80" s="149"/>
      <c r="AH80" s="149"/>
    </row>
    <row r="81" spans="2:34" ht="41.25" customHeight="1" x14ac:dyDescent="0.65">
      <c r="B81" s="145" t="s">
        <v>229</v>
      </c>
      <c r="C81" s="141"/>
      <c r="D81" s="146">
        <v>0</v>
      </c>
      <c r="E81" s="146"/>
      <c r="F81" s="146">
        <v>0</v>
      </c>
      <c r="G81" s="146"/>
      <c r="H81" s="146">
        <v>0</v>
      </c>
      <c r="I81" s="146"/>
      <c r="J81" s="146">
        <v>23600000</v>
      </c>
      <c r="K81" s="146"/>
      <c r="L81" s="146">
        <v>91002961575</v>
      </c>
      <c r="M81" s="146"/>
      <c r="N81" s="146">
        <v>0</v>
      </c>
      <c r="O81" s="146"/>
      <c r="P81" s="146">
        <v>0</v>
      </c>
      <c r="Q81" s="146"/>
      <c r="R81" s="146">
        <v>23600000</v>
      </c>
      <c r="S81" s="146"/>
      <c r="T81" s="146">
        <v>4086</v>
      </c>
      <c r="U81" s="146"/>
      <c r="V81" s="146">
        <v>91002961575</v>
      </c>
      <c r="W81" s="146"/>
      <c r="X81" s="146">
        <v>95684199192</v>
      </c>
      <c r="Y81" s="147"/>
      <c r="Z81" s="148">
        <f t="shared" si="10"/>
        <v>5.2168783858324982E-3</v>
      </c>
      <c r="AA81" s="141"/>
      <c r="AE81" s="149"/>
      <c r="AF81" s="149"/>
      <c r="AH81" s="149"/>
    </row>
    <row r="82" spans="2:34" ht="41.25" customHeight="1" x14ac:dyDescent="0.65">
      <c r="B82" s="145" t="s">
        <v>230</v>
      </c>
      <c r="C82" s="141"/>
      <c r="D82" s="146">
        <v>0</v>
      </c>
      <c r="E82" s="146"/>
      <c r="F82" s="146">
        <v>0</v>
      </c>
      <c r="G82" s="146"/>
      <c r="H82" s="146">
        <v>0</v>
      </c>
      <c r="I82" s="146"/>
      <c r="J82" s="146">
        <v>585000</v>
      </c>
      <c r="K82" s="146"/>
      <c r="L82" s="146">
        <v>3927629043</v>
      </c>
      <c r="M82" s="146"/>
      <c r="N82" s="146">
        <v>0</v>
      </c>
      <c r="O82" s="146"/>
      <c r="P82" s="146">
        <v>0</v>
      </c>
      <c r="Q82" s="146"/>
      <c r="R82" s="146">
        <v>585000</v>
      </c>
      <c r="S82" s="146"/>
      <c r="T82" s="146">
        <v>6601</v>
      </c>
      <c r="U82" s="146"/>
      <c r="V82" s="146">
        <v>3927629043</v>
      </c>
      <c r="W82" s="146"/>
      <c r="X82" s="146">
        <v>3831734947.9499998</v>
      </c>
      <c r="Y82" s="147"/>
      <c r="Z82" s="148">
        <f t="shared" si="10"/>
        <v>2.0891323122314089E-4</v>
      </c>
      <c r="AA82" s="141"/>
      <c r="AE82" s="149"/>
      <c r="AF82" s="149"/>
      <c r="AH82" s="149"/>
    </row>
    <row r="83" spans="2:34" ht="41.25" customHeight="1" thickBot="1" x14ac:dyDescent="0.7">
      <c r="B83" s="135" t="s">
        <v>7</v>
      </c>
      <c r="C83" s="141"/>
      <c r="D83" s="127">
        <f>SUM(D56:D82)</f>
        <v>2674161694</v>
      </c>
      <c r="E83" s="127" t="e">
        <f>SUM(E9:E82)</f>
        <v>#REF!</v>
      </c>
      <c r="F83" s="127">
        <f>SUM(F56:F82)</f>
        <v>7403063723252</v>
      </c>
      <c r="G83" s="127" t="e">
        <f>SUM(G9:G82)</f>
        <v>#REF!</v>
      </c>
      <c r="H83" s="127">
        <f>SUM(H56:H82)</f>
        <v>8091541122398.7158</v>
      </c>
      <c r="I83" s="127">
        <f>SUM(I9:I82)</f>
        <v>1271441869666.5</v>
      </c>
      <c r="J83" s="127">
        <f>SUM(J56:J82)</f>
        <v>3313467536</v>
      </c>
      <c r="K83" s="127" t="e">
        <f>SUM(K9:K82)</f>
        <v>#REF!</v>
      </c>
      <c r="L83" s="127">
        <f>SUM(L56:L82)</f>
        <v>6045217365477</v>
      </c>
      <c r="M83" s="127" t="e">
        <f>SUM(M9:M82)</f>
        <v>#REF!</v>
      </c>
      <c r="N83" s="290">
        <f>SUM(N56:N82)</f>
        <v>-231442027</v>
      </c>
      <c r="O83" s="127" t="e">
        <f>SUM(O9:O82)</f>
        <v>#REF!</v>
      </c>
      <c r="P83" s="127">
        <f>SUM(P56:P82)</f>
        <v>1036273902430</v>
      </c>
      <c r="Q83" s="127" t="e">
        <f>SUM(Q9:Q82)</f>
        <v>#REF!</v>
      </c>
      <c r="R83" s="127">
        <f>SUM(R56:R82)</f>
        <v>5756187350</v>
      </c>
      <c r="S83" s="127" t="e">
        <f>SUM(S9:S82)</f>
        <v>#REF!</v>
      </c>
      <c r="T83" s="127">
        <f>SUM(T56:T82)</f>
        <v>782240</v>
      </c>
      <c r="U83" s="127" t="e">
        <f>SUM(U9:U82)</f>
        <v>#REF!</v>
      </c>
      <c r="V83" s="127">
        <f>SUM(V56:V82)</f>
        <v>12896677233798</v>
      </c>
      <c r="W83" s="127" t="e">
        <f>SUM(W9:W82)</f>
        <v>#REF!</v>
      </c>
      <c r="X83" s="127">
        <f>SUM(X56:X82)</f>
        <v>17770071127247.52</v>
      </c>
      <c r="Y83" s="127" t="e">
        <f>SUM(Y9:Y82)</f>
        <v>#REF!</v>
      </c>
      <c r="Z83" s="304">
        <f>SUM(Z56:Z82)</f>
        <v>0.9688569352231633</v>
      </c>
      <c r="AC83" s="152"/>
    </row>
    <row r="84" spans="2:34" ht="30.75" thickTop="1" x14ac:dyDescent="0.75">
      <c r="H84" s="283"/>
      <c r="J84" s="149"/>
      <c r="L84" s="149"/>
      <c r="N84" s="124"/>
      <c r="O84" s="124"/>
      <c r="P84" s="149"/>
      <c r="X84" s="149"/>
      <c r="Z84" s="269"/>
      <c r="AC84" s="152"/>
    </row>
    <row r="85" spans="2:34" ht="30" hidden="1" customHeight="1" x14ac:dyDescent="0.75">
      <c r="H85" s="283"/>
      <c r="W85" s="124"/>
      <c r="X85" s="124"/>
      <c r="Z85" s="269"/>
      <c r="AC85" s="152"/>
    </row>
    <row r="86" spans="2:34" ht="42.75" customHeight="1" x14ac:dyDescent="0.75">
      <c r="D86" s="149"/>
      <c r="F86" s="149"/>
      <c r="H86" s="270"/>
      <c r="J86" s="149"/>
      <c r="L86" s="149"/>
      <c r="M86" s="149"/>
      <c r="N86" s="149"/>
      <c r="O86" s="149"/>
      <c r="P86" s="149"/>
      <c r="R86" s="149"/>
      <c r="T86" s="149"/>
      <c r="V86" s="149"/>
      <c r="X86" s="284"/>
      <c r="Z86" s="339"/>
      <c r="AA86" s="340"/>
      <c r="AB86" s="340"/>
      <c r="AC86" s="341"/>
    </row>
    <row r="87" spans="2:34" ht="30" x14ac:dyDescent="0.75">
      <c r="D87" s="154"/>
      <c r="E87" s="154"/>
      <c r="F87" s="154"/>
      <c r="G87" s="154"/>
      <c r="H87" s="270"/>
      <c r="I87" s="154"/>
      <c r="J87" s="154"/>
      <c r="K87" s="154"/>
      <c r="L87" s="154"/>
      <c r="M87" s="154"/>
      <c r="N87" s="154"/>
      <c r="O87" s="154"/>
      <c r="P87" s="154"/>
      <c r="R87" s="154"/>
      <c r="S87" s="154"/>
      <c r="T87" s="154"/>
      <c r="W87" s="124"/>
      <c r="X87" s="271"/>
      <c r="Y87" s="306"/>
      <c r="Z87" s="339"/>
      <c r="AA87" s="340"/>
      <c r="AB87" s="340"/>
      <c r="AC87" s="341"/>
    </row>
    <row r="88" spans="2:34" ht="30" x14ac:dyDescent="0.75">
      <c r="H88" s="270"/>
      <c r="J88" s="154"/>
      <c r="L88" s="149"/>
      <c r="N88" s="154"/>
      <c r="P88" s="149"/>
      <c r="X88" s="270"/>
      <c r="Y88" s="306"/>
      <c r="Z88" s="340"/>
      <c r="AA88" s="340"/>
      <c r="AB88" s="340"/>
      <c r="AC88" s="341"/>
    </row>
    <row r="89" spans="2:34" x14ac:dyDescent="0.65">
      <c r="P89" s="149"/>
      <c r="X89" s="154"/>
      <c r="Y89" s="306"/>
      <c r="Z89" s="340"/>
      <c r="AA89" s="340"/>
      <c r="AB89" s="340"/>
      <c r="AC89" s="341"/>
    </row>
    <row r="90" spans="2:34" ht="30" x14ac:dyDescent="0.75">
      <c r="H90" s="154"/>
      <c r="P90" s="149"/>
      <c r="R90" s="286"/>
      <c r="Y90" s="306"/>
      <c r="Z90" s="342">
        <v>18341274631176</v>
      </c>
      <c r="AA90" s="340"/>
      <c r="AB90" s="340"/>
      <c r="AC90" s="341"/>
    </row>
    <row r="91" spans="2:34" x14ac:dyDescent="0.65">
      <c r="P91" s="149"/>
      <c r="Y91" s="306"/>
      <c r="Z91" s="343"/>
      <c r="AA91" s="340"/>
      <c r="AB91" s="340"/>
      <c r="AC91" s="341"/>
    </row>
    <row r="92" spans="2:34" x14ac:dyDescent="0.65">
      <c r="P92" s="149"/>
      <c r="Y92" s="306"/>
      <c r="Z92" s="307"/>
      <c r="AC92" s="152"/>
    </row>
    <row r="93" spans="2:34" x14ac:dyDescent="0.65">
      <c r="P93" s="149"/>
      <c r="Y93" s="306"/>
      <c r="Z93" s="308"/>
      <c r="AC93" s="152"/>
    </row>
    <row r="94" spans="2:34" x14ac:dyDescent="0.65">
      <c r="P94" s="149"/>
      <c r="AC94" s="152"/>
    </row>
    <row r="95" spans="2:34" x14ac:dyDescent="0.65">
      <c r="P95" s="149"/>
      <c r="AC95" s="152"/>
    </row>
    <row r="96" spans="2:34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2"/>
    </row>
    <row r="105" spans="16:29" x14ac:dyDescent="0.65">
      <c r="P105" s="149"/>
      <c r="AC105" s="152"/>
    </row>
    <row r="106" spans="16:29" x14ac:dyDescent="0.65">
      <c r="P106" s="149"/>
      <c r="AC106" s="152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  <c r="AC111" s="152"/>
    </row>
    <row r="112" spans="16:29" x14ac:dyDescent="0.65">
      <c r="P112" s="149"/>
      <c r="AC112" s="152"/>
    </row>
    <row r="113" spans="16:29" x14ac:dyDescent="0.65">
      <c r="P113" s="149"/>
      <c r="AC113" s="152"/>
    </row>
    <row r="114" spans="16:29" x14ac:dyDescent="0.65">
      <c r="P114" s="149"/>
      <c r="AC114" s="152"/>
    </row>
    <row r="115" spans="16:29" x14ac:dyDescent="0.65">
      <c r="P115" s="149"/>
      <c r="AC115" s="155"/>
    </row>
    <row r="116" spans="16:29" x14ac:dyDescent="0.65">
      <c r="P116" s="149"/>
      <c r="AC116" s="152"/>
    </row>
    <row r="117" spans="16:29" x14ac:dyDescent="0.65">
      <c r="P117" s="149"/>
      <c r="AC117" s="152"/>
    </row>
    <row r="118" spans="16:29" x14ac:dyDescent="0.65">
      <c r="P118" s="149"/>
      <c r="AC118" s="152"/>
    </row>
    <row r="119" spans="16:29" x14ac:dyDescent="0.65">
      <c r="P119" s="149"/>
      <c r="AC119" s="152"/>
    </row>
    <row r="120" spans="16:29" x14ac:dyDescent="0.65">
      <c r="P120" s="149"/>
      <c r="AC120" s="152"/>
    </row>
    <row r="121" spans="16:29" x14ac:dyDescent="0.65">
      <c r="P121" s="149"/>
      <c r="AC121" s="152"/>
    </row>
    <row r="122" spans="16:29" x14ac:dyDescent="0.65">
      <c r="P122" s="149"/>
      <c r="AC122" s="152"/>
    </row>
    <row r="123" spans="16:29" x14ac:dyDescent="0.65">
      <c r="P123" s="149"/>
      <c r="AC123" s="152"/>
    </row>
    <row r="124" spans="16:29" x14ac:dyDescent="0.65">
      <c r="P124" s="149"/>
      <c r="AC124" s="152"/>
    </row>
    <row r="125" spans="16:29" x14ac:dyDescent="0.65">
      <c r="P125" s="149"/>
      <c r="AC125" s="152"/>
    </row>
    <row r="126" spans="16:29" x14ac:dyDescent="0.65">
      <c r="P126" s="149"/>
      <c r="AC126" s="152"/>
    </row>
    <row r="127" spans="16:29" x14ac:dyDescent="0.65">
      <c r="P127" s="149"/>
      <c r="AC127" s="152"/>
    </row>
    <row r="128" spans="16:29" x14ac:dyDescent="0.65">
      <c r="P128" s="149"/>
    </row>
    <row r="129" spans="16:16" x14ac:dyDescent="0.65">
      <c r="P129" s="149"/>
    </row>
    <row r="130" spans="16:16" x14ac:dyDescent="0.65">
      <c r="P130" s="149"/>
    </row>
    <row r="131" spans="16:16" x14ac:dyDescent="0.65">
      <c r="P131" s="149"/>
    </row>
    <row r="132" spans="16:16" x14ac:dyDescent="0.65">
      <c r="P132" s="149"/>
    </row>
    <row r="133" spans="16:16" x14ac:dyDescent="0.65">
      <c r="P133" s="149"/>
    </row>
    <row r="134" spans="16:16" x14ac:dyDescent="0.65">
      <c r="P134" s="149"/>
    </row>
    <row r="135" spans="16:16" x14ac:dyDescent="0.65">
      <c r="P135" s="149"/>
    </row>
    <row r="136" spans="16:16" x14ac:dyDescent="0.65">
      <c r="P136" s="149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61" t="str">
        <f>' سهام'!B1:Z1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</row>
    <row r="2" spans="2:18" ht="24" x14ac:dyDescent="0.6">
      <c r="B2" s="361" t="s">
        <v>80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2:18" ht="24" x14ac:dyDescent="0.6">
      <c r="B3" s="361" t="str">
        <f>' سهام'!AC6</f>
        <v>برای ماه منتهی به 1405/03/31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</row>
    <row r="4" spans="2:18" ht="24" x14ac:dyDescent="0.55000000000000004">
      <c r="B4" s="34" t="s">
        <v>81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60" t="str">
        <f>' سهام'!AC4</f>
        <v>1405/02/31</v>
      </c>
      <c r="E6" s="360"/>
      <c r="F6" s="360"/>
      <c r="G6" s="360"/>
      <c r="H6" s="360"/>
      <c r="I6" s="360"/>
      <c r="J6" s="360"/>
      <c r="L6" s="360" t="str">
        <f>' سهام'!AC5</f>
        <v>1405/03/31</v>
      </c>
      <c r="M6" s="360"/>
      <c r="N6" s="360"/>
      <c r="O6" s="360"/>
      <c r="P6" s="360"/>
      <c r="Q6" s="360"/>
      <c r="R6" s="360"/>
    </row>
    <row r="7" spans="2:18" ht="24.75" thickBot="1" x14ac:dyDescent="0.65">
      <c r="B7" s="10" t="s">
        <v>44</v>
      </c>
      <c r="C7" s="8"/>
      <c r="D7" s="10" t="s">
        <v>45</v>
      </c>
      <c r="E7" s="8"/>
      <c r="F7" s="10" t="s">
        <v>46</v>
      </c>
      <c r="G7" s="8"/>
      <c r="H7" s="10" t="s">
        <v>47</v>
      </c>
      <c r="I7" s="8"/>
      <c r="J7" s="10" t="s">
        <v>48</v>
      </c>
      <c r="L7" s="10" t="s">
        <v>45</v>
      </c>
      <c r="M7" s="8"/>
      <c r="N7" s="10" t="s">
        <v>46</v>
      </c>
      <c r="O7" s="8"/>
      <c r="P7" s="10" t="s">
        <v>47</v>
      </c>
      <c r="Q7" s="8"/>
      <c r="R7" s="10" t="s">
        <v>48</v>
      </c>
    </row>
    <row r="8" spans="2:18" ht="23.25" thickBot="1" x14ac:dyDescent="0.6">
      <c r="B8" s="3"/>
      <c r="C8" s="3"/>
      <c r="D8" s="67" t="s">
        <v>101</v>
      </c>
      <c r="E8" s="59"/>
      <c r="F8" s="58" t="s">
        <v>101</v>
      </c>
      <c r="G8" s="5"/>
      <c r="H8" s="5" t="s">
        <v>101</v>
      </c>
      <c r="I8" s="5"/>
      <c r="J8" s="60">
        <v>0</v>
      </c>
      <c r="L8" s="65">
        <v>0</v>
      </c>
      <c r="M8" s="5"/>
      <c r="N8" s="67" t="s">
        <v>101</v>
      </c>
      <c r="O8" s="5"/>
      <c r="P8" s="5" t="s">
        <v>101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61" t="str">
        <f>اوراق!B1</f>
        <v>صندوق سرمایه گذاری شاخص سی شرکت بزرگ فیروزه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</row>
    <row r="2" spans="1:16" ht="24" x14ac:dyDescent="0.6">
      <c r="A2" s="361" t="s">
        <v>80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</row>
    <row r="3" spans="1:16" ht="24" x14ac:dyDescent="0.6">
      <c r="A3" s="361" t="str">
        <f>' سهام'!AC6</f>
        <v>برای ماه منتهی به 1405/03/31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</row>
    <row r="4" spans="1:16" ht="25.5" customHeight="1" x14ac:dyDescent="0.55000000000000004">
      <c r="A4" s="363" t="s">
        <v>50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</row>
    <row r="5" spans="1:16" ht="24" x14ac:dyDescent="0.55000000000000004">
      <c r="A5" s="363" t="s">
        <v>49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</row>
    <row r="6" spans="1:16" ht="19.5" customHeight="1" thickBot="1" x14ac:dyDescent="0.6">
      <c r="C6" s="370" t="str">
        <f>' سهام'!AC5</f>
        <v>1405/03/31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</row>
    <row r="7" spans="1:16" ht="31.5" customHeight="1" x14ac:dyDescent="0.55000000000000004">
      <c r="A7" s="366" t="s">
        <v>20</v>
      </c>
      <c r="C7" s="368" t="s">
        <v>8</v>
      </c>
      <c r="E7" s="364" t="s">
        <v>54</v>
      </c>
      <c r="F7" s="364"/>
      <c r="G7" s="364" t="s">
        <v>53</v>
      </c>
      <c r="H7" s="364"/>
      <c r="I7" s="364" t="s">
        <v>51</v>
      </c>
      <c r="J7" s="364"/>
      <c r="K7" s="364" t="s">
        <v>52</v>
      </c>
      <c r="M7" s="364" t="s">
        <v>19</v>
      </c>
      <c r="N7" s="364"/>
      <c r="O7" s="364"/>
      <c r="P7" s="364"/>
    </row>
    <row r="8" spans="1:16" ht="18" customHeight="1" thickBot="1" x14ac:dyDescent="0.6">
      <c r="A8" s="367"/>
      <c r="C8" s="369"/>
      <c r="E8" s="365"/>
      <c r="F8" s="364"/>
      <c r="G8" s="365"/>
      <c r="H8" s="364"/>
      <c r="I8" s="365"/>
      <c r="J8" s="364"/>
      <c r="K8" s="365"/>
      <c r="M8" s="365"/>
      <c r="N8" s="365"/>
      <c r="O8" s="365"/>
      <c r="P8" s="365"/>
    </row>
    <row r="9" spans="1:16" ht="18" customHeight="1" thickBot="1" x14ac:dyDescent="0.6">
      <c r="A9" s="21"/>
      <c r="B9" s="7"/>
      <c r="C9" s="22" t="s">
        <v>101</v>
      </c>
      <c r="D9" s="23"/>
      <c r="E9" s="24" t="s">
        <v>101</v>
      </c>
      <c r="F9" s="25"/>
      <c r="G9" s="24" t="s">
        <v>101</v>
      </c>
      <c r="H9" s="25"/>
      <c r="I9" s="26" t="s">
        <v>101</v>
      </c>
      <c r="J9" s="25"/>
      <c r="K9" s="24" t="s">
        <v>101</v>
      </c>
      <c r="M9" s="365" t="s">
        <v>101</v>
      </c>
      <c r="N9" s="365"/>
      <c r="O9" s="365"/>
      <c r="P9" s="365"/>
    </row>
    <row r="10" spans="1:16" ht="18" customHeight="1" thickBot="1" x14ac:dyDescent="0.6">
      <c r="A10" s="6"/>
      <c r="C10" s="27" t="s">
        <v>101</v>
      </c>
      <c r="E10" s="27" t="s">
        <v>101</v>
      </c>
      <c r="F10" s="5"/>
      <c r="G10" s="27" t="s">
        <v>101</v>
      </c>
      <c r="H10" s="5"/>
      <c r="I10" s="28" t="s">
        <v>101</v>
      </c>
      <c r="J10" s="5"/>
      <c r="K10" s="27" t="s">
        <v>101</v>
      </c>
      <c r="L10" s="5"/>
      <c r="M10" s="362" t="s">
        <v>101</v>
      </c>
      <c r="N10" s="362"/>
      <c r="O10" s="362"/>
      <c r="P10" s="362"/>
    </row>
    <row r="11" spans="1:16" ht="23.25" thickTop="1" x14ac:dyDescent="0.55000000000000004"/>
    <row r="12" spans="1:16" x14ac:dyDescent="0.55000000000000004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61" t="str">
        <f>'تعدیل قیمت'!A1:P1</f>
        <v>صندوق سرمایه گذاری شاخص سی شرکت بزرگ فیروزه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</row>
    <row r="2" spans="1:29" ht="24" x14ac:dyDescent="0.6">
      <c r="A2" s="361" t="s">
        <v>80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</row>
    <row r="3" spans="1:29" ht="24" x14ac:dyDescent="0.6">
      <c r="A3" s="361" t="str">
        <f>' سهام'!AC6</f>
        <v>برای ماه منتهی به 1405/03/31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</row>
    <row r="4" spans="1:29" ht="24" x14ac:dyDescent="0.55000000000000004">
      <c r="A4" s="363" t="s">
        <v>55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71"/>
      <c r="D6" s="371"/>
      <c r="E6" s="371"/>
      <c r="F6" s="46"/>
      <c r="G6" s="46"/>
      <c r="H6" s="46"/>
      <c r="I6" s="46"/>
      <c r="J6" s="30"/>
      <c r="K6" s="371" t="str">
        <f>' سهام'!AC4</f>
        <v>1405/02/31</v>
      </c>
      <c r="L6" s="371"/>
      <c r="M6" s="371"/>
      <c r="N6" s="371"/>
      <c r="O6" s="371"/>
      <c r="P6" s="52"/>
      <c r="Q6" s="378" t="s">
        <v>16</v>
      </c>
      <c r="R6" s="378"/>
      <c r="S6" s="378"/>
      <c r="T6" s="378"/>
      <c r="U6" s="378"/>
      <c r="W6" s="371" t="str">
        <f>' سهام'!AC5</f>
        <v>1405/03/31</v>
      </c>
      <c r="X6" s="371"/>
      <c r="Y6" s="371"/>
      <c r="Z6" s="371"/>
      <c r="AA6" s="371"/>
      <c r="AB6" s="371"/>
      <c r="AC6" s="371"/>
    </row>
    <row r="7" spans="1:29" ht="54.75" customHeight="1" x14ac:dyDescent="0.6">
      <c r="A7" s="364" t="s">
        <v>58</v>
      </c>
      <c r="B7" s="5"/>
      <c r="C7" s="377" t="s">
        <v>33</v>
      </c>
      <c r="D7" s="3"/>
      <c r="E7" s="375" t="s">
        <v>60</v>
      </c>
      <c r="F7" s="14"/>
      <c r="G7" s="375" t="s">
        <v>57</v>
      </c>
      <c r="H7" s="14"/>
      <c r="I7" s="375" t="s">
        <v>14</v>
      </c>
      <c r="J7" s="3"/>
      <c r="K7" s="380" t="s">
        <v>8</v>
      </c>
      <c r="L7" s="374"/>
      <c r="M7" s="374" t="s">
        <v>3</v>
      </c>
      <c r="N7" s="374"/>
      <c r="O7" s="49" t="s">
        <v>1</v>
      </c>
      <c r="P7" s="2"/>
      <c r="Q7" s="361" t="s">
        <v>9</v>
      </c>
      <c r="R7" s="361"/>
      <c r="S7" s="15"/>
      <c r="T7" s="361" t="s">
        <v>10</v>
      </c>
      <c r="U7" s="361"/>
      <c r="V7" s="8"/>
      <c r="W7" s="372" t="s">
        <v>8</v>
      </c>
      <c r="X7" s="374"/>
      <c r="Y7" s="379" t="s">
        <v>3</v>
      </c>
      <c r="Z7" s="374"/>
      <c r="AA7" s="49" t="s">
        <v>1</v>
      </c>
      <c r="AB7" s="50"/>
      <c r="AC7" s="49" t="s">
        <v>0</v>
      </c>
    </row>
    <row r="8" spans="1:29" ht="33" customHeight="1" thickBot="1" x14ac:dyDescent="0.65">
      <c r="A8" s="365"/>
      <c r="B8" s="5"/>
      <c r="C8" s="376"/>
      <c r="D8" s="3"/>
      <c r="E8" s="376"/>
      <c r="F8" s="14"/>
      <c r="G8" s="376"/>
      <c r="H8" s="14"/>
      <c r="I8" s="376"/>
      <c r="J8" s="3"/>
      <c r="K8" s="373"/>
      <c r="L8" s="374"/>
      <c r="M8" s="371"/>
      <c r="N8" s="374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79</v>
      </c>
      <c r="V8" s="8"/>
      <c r="W8" s="373"/>
      <c r="X8" s="374"/>
      <c r="Y8" s="371"/>
      <c r="Z8" s="374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56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92" t="str">
        <f>' سهام'!B1:Z1</f>
        <v>صندوق سرمایه گذاری شاخص سی شرکت بزرگ فیروزه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  <c r="AK1" s="392"/>
      <c r="AL1" s="392"/>
      <c r="AM1" s="392"/>
    </row>
    <row r="2" spans="2:40" ht="33.75" x14ac:dyDescent="0.65">
      <c r="B2" s="392" t="s">
        <v>80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2"/>
      <c r="AL2" s="392"/>
      <c r="AM2" s="392"/>
    </row>
    <row r="3" spans="2:40" ht="33.75" x14ac:dyDescent="0.65">
      <c r="B3" s="392" t="str">
        <f>' سهام'!AC6</f>
        <v>برای ماه منتهی به 1405/03/31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2"/>
    </row>
    <row r="4" spans="2:40" x14ac:dyDescent="0.65">
      <c r="B4" s="100" t="s">
        <v>38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82" t="s">
        <v>29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72"/>
      <c r="Q6" s="382" t="str">
        <f>' سهام'!AC4</f>
        <v>1405/02/31</v>
      </c>
      <c r="R6" s="382"/>
      <c r="S6" s="382"/>
      <c r="T6" s="382"/>
      <c r="U6" s="382"/>
      <c r="V6" s="78"/>
      <c r="W6" s="393" t="s">
        <v>16</v>
      </c>
      <c r="X6" s="393"/>
      <c r="Y6" s="393"/>
      <c r="Z6" s="393"/>
      <c r="AA6" s="393"/>
      <c r="AB6" s="393"/>
      <c r="AC6" s="393"/>
      <c r="AD6" s="71"/>
      <c r="AE6" s="382" t="str">
        <f>' سهام'!AC5</f>
        <v>1405/03/31</v>
      </c>
      <c r="AF6" s="382"/>
      <c r="AG6" s="382"/>
      <c r="AH6" s="382"/>
      <c r="AI6" s="382"/>
      <c r="AJ6" s="382"/>
      <c r="AK6" s="382"/>
      <c r="AL6" s="382"/>
      <c r="AM6" s="382"/>
    </row>
    <row r="7" spans="2:40" s="15" customFormat="1" ht="36" x14ac:dyDescent="0.9">
      <c r="B7" s="385" t="s">
        <v>30</v>
      </c>
      <c r="C7" s="72"/>
      <c r="D7" s="389" t="s">
        <v>15</v>
      </c>
      <c r="E7" s="72"/>
      <c r="F7" s="391" t="s">
        <v>14</v>
      </c>
      <c r="G7" s="72"/>
      <c r="H7" s="381" t="s">
        <v>42</v>
      </c>
      <c r="I7" s="72"/>
      <c r="J7" s="389" t="s">
        <v>33</v>
      </c>
      <c r="K7" s="72"/>
      <c r="L7" s="72"/>
      <c r="M7" s="391" t="s">
        <v>13</v>
      </c>
      <c r="N7" s="79"/>
      <c r="O7" s="391" t="s">
        <v>12</v>
      </c>
      <c r="P7" s="72"/>
      <c r="Q7" s="383" t="s">
        <v>8</v>
      </c>
      <c r="R7" s="381"/>
      <c r="S7" s="381" t="s">
        <v>3</v>
      </c>
      <c r="T7" s="381"/>
      <c r="U7" s="381" t="s">
        <v>31</v>
      </c>
      <c r="V7" s="72"/>
      <c r="W7" s="388" t="s">
        <v>9</v>
      </c>
      <c r="X7" s="388"/>
      <c r="Y7" s="388"/>
      <c r="Z7" s="71"/>
      <c r="AA7" s="388" t="s">
        <v>10</v>
      </c>
      <c r="AB7" s="388"/>
      <c r="AC7" s="388"/>
      <c r="AD7" s="71"/>
      <c r="AE7" s="383" t="s">
        <v>8</v>
      </c>
      <c r="AF7" s="385"/>
      <c r="AG7" s="386" t="s">
        <v>43</v>
      </c>
      <c r="AH7" s="72"/>
      <c r="AI7" s="381" t="s">
        <v>3</v>
      </c>
      <c r="AJ7" s="385"/>
      <c r="AK7" s="381" t="s">
        <v>31</v>
      </c>
      <c r="AL7" s="80"/>
      <c r="AM7" s="381" t="s">
        <v>32</v>
      </c>
    </row>
    <row r="8" spans="2:40" s="55" customFormat="1" ht="72.75" customHeight="1" thickBot="1" x14ac:dyDescent="0.3">
      <c r="B8" s="382"/>
      <c r="C8" s="72"/>
      <c r="D8" s="390"/>
      <c r="E8" s="72"/>
      <c r="F8" s="390"/>
      <c r="G8" s="72"/>
      <c r="H8" s="382"/>
      <c r="I8" s="72"/>
      <c r="J8" s="390"/>
      <c r="K8" s="72"/>
      <c r="L8" s="72"/>
      <c r="M8" s="390"/>
      <c r="N8" s="78"/>
      <c r="O8" s="390"/>
      <c r="P8" s="72"/>
      <c r="Q8" s="384"/>
      <c r="R8" s="385"/>
      <c r="S8" s="382"/>
      <c r="T8" s="385"/>
      <c r="U8" s="382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79</v>
      </c>
      <c r="AD8" s="70"/>
      <c r="AE8" s="384"/>
      <c r="AF8" s="385"/>
      <c r="AG8" s="387"/>
      <c r="AH8" s="72"/>
      <c r="AI8" s="382"/>
      <c r="AJ8" s="385"/>
      <c r="AK8" s="382"/>
      <c r="AL8" s="80"/>
      <c r="AM8" s="382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101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82"/>
  <sheetViews>
    <sheetView rightToLeft="1" view="pageBreakPreview" zoomScale="90" zoomScaleNormal="100" zoomScaleSheetLayoutView="90" workbookViewId="0">
      <selection activeCell="F22" sqref="F22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61" t="s">
        <v>102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</row>
    <row r="2" spans="2:27" ht="24" x14ac:dyDescent="0.6">
      <c r="B2" s="361" t="s">
        <v>80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2:27" ht="24" x14ac:dyDescent="0.6">
      <c r="B3" s="361" t="str">
        <f>' سهام'!AC6</f>
        <v>برای ماه منتهی به 1405/03/31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</row>
    <row r="4" spans="2:27" ht="24" x14ac:dyDescent="0.55000000000000004">
      <c r="B4" s="398" t="s">
        <v>82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AA4" s="1" t="s">
        <v>155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3"/>
      <c r="T5" s="253"/>
      <c r="AA5" s="1" t="s">
        <v>156</v>
      </c>
    </row>
    <row r="6" spans="2:27" ht="18.75" customHeight="1" thickBot="1" x14ac:dyDescent="0.6">
      <c r="B6" s="49"/>
      <c r="C6" s="396"/>
      <c r="D6" s="396"/>
      <c r="E6" s="396"/>
      <c r="F6" s="396"/>
      <c r="G6" s="396"/>
      <c r="H6" s="396"/>
      <c r="I6" s="396"/>
      <c r="J6" s="396"/>
      <c r="K6" s="52"/>
      <c r="L6" s="378" t="s">
        <v>16</v>
      </c>
      <c r="M6" s="378"/>
      <c r="N6" s="378"/>
      <c r="P6" s="371" t="str">
        <f>' سهام'!AC5</f>
        <v>1405/03/31</v>
      </c>
      <c r="Q6" s="371"/>
      <c r="R6" s="371"/>
      <c r="S6" s="253"/>
      <c r="T6" s="253"/>
      <c r="AA6" s="1" t="s">
        <v>157</v>
      </c>
    </row>
    <row r="7" spans="2:27" ht="24" customHeight="1" x14ac:dyDescent="0.55000000000000004">
      <c r="B7" s="400" t="s">
        <v>17</v>
      </c>
      <c r="C7" s="3"/>
      <c r="D7" s="375" t="s">
        <v>18</v>
      </c>
      <c r="E7" s="3"/>
      <c r="F7" s="375" t="s">
        <v>59</v>
      </c>
      <c r="G7" s="3"/>
      <c r="H7" s="375" t="s">
        <v>60</v>
      </c>
      <c r="I7" s="364"/>
      <c r="J7" s="366" t="s">
        <v>11</v>
      </c>
      <c r="K7" s="3"/>
      <c r="L7" s="394" t="s">
        <v>61</v>
      </c>
      <c r="M7" s="160"/>
      <c r="N7" s="394" t="s">
        <v>62</v>
      </c>
      <c r="P7" s="399" t="s">
        <v>11</v>
      </c>
      <c r="Q7" s="364"/>
      <c r="R7" s="397" t="s">
        <v>32</v>
      </c>
      <c r="S7" s="253"/>
      <c r="T7" s="253"/>
      <c r="AA7" s="1" t="s">
        <v>158</v>
      </c>
    </row>
    <row r="8" spans="2:27" ht="47.25" customHeight="1" thickBot="1" x14ac:dyDescent="0.6">
      <c r="B8" s="401"/>
      <c r="C8" s="222"/>
      <c r="D8" s="376"/>
      <c r="E8" s="222"/>
      <c r="F8" s="376"/>
      <c r="G8" s="222"/>
      <c r="H8" s="376"/>
      <c r="I8" s="364"/>
      <c r="J8" s="367"/>
      <c r="K8" s="3"/>
      <c r="L8" s="395"/>
      <c r="N8" s="395"/>
      <c r="P8" s="367"/>
      <c r="Q8" s="364"/>
      <c r="R8" s="365"/>
      <c r="S8" s="253"/>
      <c r="T8" s="253"/>
      <c r="V8" s="159"/>
      <c r="AA8" s="1" t="s">
        <v>159</v>
      </c>
    </row>
    <row r="9" spans="2:27" ht="25.15" customHeight="1" x14ac:dyDescent="0.55000000000000004">
      <c r="B9" s="68" t="s">
        <v>196</v>
      </c>
      <c r="C9" s="223"/>
      <c r="D9" s="223" t="s">
        <v>106</v>
      </c>
      <c r="E9" s="223"/>
      <c r="F9" s="223" t="s">
        <v>104</v>
      </c>
      <c r="G9" s="223"/>
      <c r="H9" s="157">
        <v>0</v>
      </c>
      <c r="I9" s="223"/>
      <c r="J9" s="164">
        <v>50000000</v>
      </c>
      <c r="K9" s="223"/>
      <c r="L9" s="157">
        <v>0</v>
      </c>
      <c r="M9" s="223"/>
      <c r="N9" s="157">
        <v>0</v>
      </c>
      <c r="O9" s="157"/>
      <c r="P9" s="157">
        <v>50000000</v>
      </c>
      <c r="Q9" s="224"/>
      <c r="R9" s="225">
        <f>P9/$R$19</f>
        <v>2.726091888674485E-6</v>
      </c>
      <c r="S9" s="253"/>
      <c r="T9" s="268"/>
    </row>
    <row r="10" spans="2:27" ht="25.15" customHeight="1" x14ac:dyDescent="0.55000000000000004">
      <c r="B10" s="68" t="s">
        <v>161</v>
      </c>
      <c r="C10" s="223"/>
      <c r="D10" s="223" t="s">
        <v>107</v>
      </c>
      <c r="E10" s="223"/>
      <c r="F10" s="223" t="s">
        <v>104</v>
      </c>
      <c r="G10" s="223"/>
      <c r="H10" s="157">
        <v>0</v>
      </c>
      <c r="I10" s="223"/>
      <c r="J10" s="164">
        <v>48392521</v>
      </c>
      <c r="K10" s="223"/>
      <c r="L10" s="157">
        <v>205502</v>
      </c>
      <c r="M10" s="223"/>
      <c r="N10" s="157">
        <v>0</v>
      </c>
      <c r="O10" s="157"/>
      <c r="P10" s="157">
        <v>48598023</v>
      </c>
      <c r="Q10" s="224"/>
      <c r="R10" s="225">
        <f>P10/$R$19</f>
        <v>2.6496535261183212E-6</v>
      </c>
      <c r="S10" s="253"/>
      <c r="T10" s="268"/>
    </row>
    <row r="11" spans="2:27" ht="25.15" customHeight="1" x14ac:dyDescent="0.55000000000000004">
      <c r="B11" s="68" t="s">
        <v>162</v>
      </c>
      <c r="C11" s="223"/>
      <c r="D11" s="223" t="s">
        <v>107</v>
      </c>
      <c r="E11" s="223"/>
      <c r="F11" s="223" t="s">
        <v>144</v>
      </c>
      <c r="G11" s="223"/>
      <c r="H11" s="157">
        <v>0</v>
      </c>
      <c r="I11" s="223"/>
      <c r="J11" s="164">
        <v>224817691840</v>
      </c>
      <c r="K11" s="223"/>
      <c r="L11" s="157">
        <v>4599929882920</v>
      </c>
      <c r="M11" s="223"/>
      <c r="N11" s="157">
        <v>4539625617000</v>
      </c>
      <c r="O11" s="157"/>
      <c r="P11" s="157">
        <v>285121957760</v>
      </c>
      <c r="Q11" s="224"/>
      <c r="R11" s="225">
        <f t="shared" ref="R11:R12" si="0">P11/$R$19</f>
        <v>1.5545373126650502E-2</v>
      </c>
      <c r="S11" s="253"/>
      <c r="T11" s="268"/>
    </row>
    <row r="12" spans="2:27" ht="25.15" customHeight="1" x14ac:dyDescent="0.55000000000000004">
      <c r="B12" s="68" t="s">
        <v>183</v>
      </c>
      <c r="C12" s="223"/>
      <c r="D12" s="223" t="s">
        <v>107</v>
      </c>
      <c r="E12" s="223"/>
      <c r="F12" s="223" t="s">
        <v>184</v>
      </c>
      <c r="G12" s="223"/>
      <c r="H12" s="157">
        <v>0</v>
      </c>
      <c r="I12" s="223"/>
      <c r="J12" s="164">
        <v>394772</v>
      </c>
      <c r="K12" s="223"/>
      <c r="L12" s="157">
        <v>0</v>
      </c>
      <c r="M12" s="223"/>
      <c r="N12" s="157">
        <v>0</v>
      </c>
      <c r="O12" s="157"/>
      <c r="P12" s="157">
        <v>394772</v>
      </c>
      <c r="Q12" s="224"/>
      <c r="R12" s="225">
        <f t="shared" si="0"/>
        <v>2.1523694941516074E-8</v>
      </c>
      <c r="S12" s="253"/>
      <c r="T12" s="268"/>
    </row>
    <row r="13" spans="2:27" ht="25.15" customHeight="1" x14ac:dyDescent="0.55000000000000004">
      <c r="B13" s="68" t="s">
        <v>197</v>
      </c>
      <c r="C13" s="223"/>
      <c r="D13" s="223" t="s">
        <v>107</v>
      </c>
      <c r="E13" s="223"/>
      <c r="F13" s="223" t="s">
        <v>184</v>
      </c>
      <c r="G13" s="223"/>
      <c r="H13" s="157">
        <v>0</v>
      </c>
      <c r="I13" s="223"/>
      <c r="J13" s="164">
        <v>402500</v>
      </c>
      <c r="K13" s="223"/>
      <c r="L13" s="157">
        <v>0</v>
      </c>
      <c r="M13" s="223"/>
      <c r="N13" s="157">
        <v>0</v>
      </c>
      <c r="O13" s="157"/>
      <c r="P13" s="157">
        <v>402500</v>
      </c>
      <c r="Q13" s="224"/>
      <c r="R13" s="226">
        <f>P13/$R$19</f>
        <v>2.1945039703829605E-8</v>
      </c>
      <c r="S13" s="253"/>
      <c r="T13" s="268"/>
    </row>
    <row r="14" spans="2:27" ht="25.15" customHeight="1" x14ac:dyDescent="0.55000000000000004">
      <c r="B14" s="68" t="s">
        <v>198</v>
      </c>
      <c r="C14" s="223"/>
      <c r="D14" s="223" t="s">
        <v>106</v>
      </c>
      <c r="E14" s="223"/>
      <c r="F14" s="223" t="s">
        <v>189</v>
      </c>
      <c r="G14" s="223"/>
      <c r="H14" s="157">
        <v>0</v>
      </c>
      <c r="I14" s="223"/>
      <c r="J14" s="164">
        <v>3973500</v>
      </c>
      <c r="K14" s="223"/>
      <c r="L14" s="157">
        <v>9584054700000</v>
      </c>
      <c r="M14" s="223"/>
      <c r="N14" s="157">
        <v>9584004251582</v>
      </c>
      <c r="O14" s="157"/>
      <c r="P14" s="157">
        <v>54421918</v>
      </c>
      <c r="Q14" s="224"/>
      <c r="R14" s="226">
        <f>P14/$R$19</f>
        <v>2.9671829845181591E-6</v>
      </c>
      <c r="S14" s="253"/>
      <c r="T14" s="268"/>
    </row>
    <row r="15" spans="2:27" ht="25.15" customHeight="1" thickBot="1" x14ac:dyDescent="0.6">
      <c r="B15" s="68" t="s">
        <v>199</v>
      </c>
      <c r="C15" s="223"/>
      <c r="D15" s="223" t="s">
        <v>107</v>
      </c>
      <c r="E15" s="223"/>
      <c r="F15" s="223" t="s">
        <v>195</v>
      </c>
      <c r="G15" s="223"/>
      <c r="H15" s="157">
        <v>0</v>
      </c>
      <c r="I15" s="223"/>
      <c r="J15" s="164">
        <v>377595616</v>
      </c>
      <c r="K15" s="223"/>
      <c r="L15" s="157">
        <v>449908799323</v>
      </c>
      <c r="M15" s="223"/>
      <c r="N15" s="157">
        <v>450228098912</v>
      </c>
      <c r="O15" s="157"/>
      <c r="P15" s="157">
        <v>58296027</v>
      </c>
      <c r="Q15" s="224"/>
      <c r="R15" s="226">
        <f>P15/$R$19</f>
        <v>3.1784065269329755E-6</v>
      </c>
      <c r="S15" s="253"/>
      <c r="T15" s="268"/>
    </row>
    <row r="16" spans="2:27" ht="23.25" thickBot="1" x14ac:dyDescent="0.6">
      <c r="B16" s="3" t="s">
        <v>7</v>
      </c>
      <c r="C16" s="3"/>
      <c r="D16" s="3"/>
      <c r="E16" s="3"/>
      <c r="F16" s="3"/>
      <c r="G16" s="3"/>
      <c r="H16" s="3"/>
      <c r="I16" s="5"/>
      <c r="J16" s="227">
        <f>SUM(J9:J15)</f>
        <v>225298450749</v>
      </c>
      <c r="K16" s="31"/>
      <c r="L16" s="227">
        <f>SUM(L9:L15)</f>
        <v>14633893587745</v>
      </c>
      <c r="N16" s="227">
        <f>SUM(N9:N15)</f>
        <v>14573857967494</v>
      </c>
      <c r="P16" s="227">
        <f>SUM(P9:P15)</f>
        <v>285334071000</v>
      </c>
      <c r="Q16" s="5"/>
      <c r="R16" s="123">
        <f>SUM(R9:R15)</f>
        <v>1.555693793031139E-2</v>
      </c>
      <c r="S16" s="253"/>
      <c r="T16" s="268"/>
    </row>
    <row r="17" spans="4:20" ht="24.75" thickTop="1" x14ac:dyDescent="0.6">
      <c r="J17" s="215"/>
      <c r="P17" s="159"/>
      <c r="S17" s="253"/>
      <c r="T17" s="253"/>
    </row>
    <row r="18" spans="4:20" ht="24" x14ac:dyDescent="0.6">
      <c r="J18" s="294"/>
      <c r="P18" s="294"/>
      <c r="R18" s="279"/>
      <c r="S18" s="253"/>
      <c r="T18" s="253"/>
    </row>
    <row r="19" spans="4:20" ht="24" x14ac:dyDescent="0.6">
      <c r="J19" s="159"/>
      <c r="P19" s="159"/>
      <c r="R19" s="338">
        <v>18341274631176</v>
      </c>
      <c r="S19" s="276"/>
      <c r="T19" s="253"/>
    </row>
    <row r="20" spans="4:20" x14ac:dyDescent="0.55000000000000004">
      <c r="D20" s="1" t="s">
        <v>88</v>
      </c>
      <c r="L20" s="108"/>
      <c r="P20" s="93"/>
      <c r="Q20" s="93"/>
      <c r="R20" s="287"/>
      <c r="S20" s="276"/>
      <c r="T20" s="253"/>
    </row>
    <row r="21" spans="4:20" x14ac:dyDescent="0.55000000000000004">
      <c r="R21" s="228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18">
    <mergeCell ref="F7:F8"/>
    <mergeCell ref="H7:H8"/>
    <mergeCell ref="L6:N6"/>
    <mergeCell ref="L7:L8"/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82"/>
  <sheetViews>
    <sheetView rightToLeft="1" view="pageBreakPreview" zoomScaleNormal="85" zoomScaleSheetLayoutView="100" workbookViewId="0">
      <selection activeCell="N17" sqref="N17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0.7109375" style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402" t="s">
        <v>102</v>
      </c>
      <c r="B1" s="402"/>
      <c r="C1" s="402"/>
      <c r="D1" s="402"/>
      <c r="E1" s="402"/>
      <c r="F1" s="402"/>
      <c r="G1" s="402"/>
      <c r="H1" s="402"/>
      <c r="I1" s="402"/>
      <c r="J1" s="402"/>
    </row>
    <row r="2" spans="1:29" ht="24" x14ac:dyDescent="0.6">
      <c r="A2" s="361" t="str">
        <f>سپرده!B2</f>
        <v xml:space="preserve">صورت وضعیت پرتفوی </v>
      </c>
      <c r="B2" s="361"/>
      <c r="C2" s="361"/>
      <c r="D2" s="361"/>
      <c r="E2" s="361"/>
      <c r="F2" s="361"/>
      <c r="G2" s="361"/>
      <c r="H2" s="361"/>
      <c r="I2" s="361"/>
      <c r="J2" s="361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61" t="str">
        <f>سپرده!B3</f>
        <v>برای ماه منتهی به 1405/03/31</v>
      </c>
      <c r="B3" s="361"/>
      <c r="C3" s="361"/>
      <c r="D3" s="361"/>
      <c r="E3" s="361"/>
      <c r="F3" s="361"/>
      <c r="G3" s="361"/>
      <c r="H3" s="361"/>
      <c r="I3" s="361"/>
      <c r="J3" s="361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2"/>
      <c r="P4" s="159"/>
      <c r="AC4" s="1" t="s">
        <v>155</v>
      </c>
    </row>
    <row r="5" spans="1:29" ht="23.25" thickBot="1" x14ac:dyDescent="0.6">
      <c r="B5" s="12" t="s">
        <v>63</v>
      </c>
      <c r="C5" s="12"/>
      <c r="D5" s="130" t="s">
        <v>64</v>
      </c>
      <c r="E5" s="160"/>
      <c r="F5" s="130" t="s">
        <v>11</v>
      </c>
      <c r="G5" s="160"/>
      <c r="H5" s="130" t="s">
        <v>149</v>
      </c>
      <c r="I5" s="160"/>
      <c r="J5" s="130" t="s">
        <v>89</v>
      </c>
      <c r="K5" s="160"/>
      <c r="M5" s="276"/>
      <c r="N5" s="279"/>
      <c r="P5" s="159"/>
      <c r="AC5" s="1" t="s">
        <v>157</v>
      </c>
    </row>
    <row r="6" spans="1:29" ht="24" x14ac:dyDescent="0.55000000000000004">
      <c r="B6" s="213" t="s">
        <v>78</v>
      </c>
      <c r="C6" s="213"/>
      <c r="D6" s="94" t="s">
        <v>83</v>
      </c>
      <c r="E6" s="34"/>
      <c r="F6" s="267">
        <f>'درآمد سرمایه گذاری در سهام '!T95</f>
        <v>3495258512294</v>
      </c>
      <c r="G6" s="34"/>
      <c r="H6" s="95">
        <f>F6/$M$9</f>
        <v>0.98622896566449658</v>
      </c>
      <c r="I6" s="34"/>
      <c r="J6" s="95">
        <f>F6/M8</f>
        <v>0.19056791758370242</v>
      </c>
      <c r="K6" s="34"/>
      <c r="L6" s="34"/>
      <c r="M6" s="335"/>
      <c r="N6" s="280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158</v>
      </c>
    </row>
    <row r="7" spans="1:29" ht="24" x14ac:dyDescent="0.6">
      <c r="B7" s="213" t="s">
        <v>163</v>
      </c>
      <c r="C7" s="213"/>
      <c r="D7" s="94" t="s">
        <v>84</v>
      </c>
      <c r="E7" s="34"/>
      <c r="F7" s="214">
        <f>'درآمد سپرده بانکی'!J13</f>
        <v>20982419373</v>
      </c>
      <c r="G7" s="34"/>
      <c r="H7" s="95">
        <f>F7/$M$9</f>
        <v>5.9204404145177221E-3</v>
      </c>
      <c r="I7" s="34"/>
      <c r="J7" s="95">
        <f>F7/M8</f>
        <v>1.1440000651500334E-3</v>
      </c>
      <c r="K7" s="215"/>
      <c r="L7" s="34"/>
      <c r="M7" s="335"/>
      <c r="N7" s="280"/>
      <c r="O7" s="34"/>
      <c r="P7" s="34"/>
      <c r="Q7" s="34"/>
      <c r="R7" s="34"/>
      <c r="S7" s="34"/>
      <c r="T7" s="34"/>
    </row>
    <row r="8" spans="1:29" ht="24.75" thickBot="1" x14ac:dyDescent="0.65">
      <c r="B8" s="213" t="s">
        <v>201</v>
      </c>
      <c r="C8" s="213"/>
      <c r="D8" s="94" t="s">
        <v>85</v>
      </c>
      <c r="E8" s="34"/>
      <c r="F8" s="214">
        <f>'سایر درآمدها'!F8</f>
        <v>9548692296</v>
      </c>
      <c r="G8" s="34"/>
      <c r="H8" s="95">
        <f>F8/$M$9</f>
        <v>2.6942776602672386E-3</v>
      </c>
      <c r="I8" s="34"/>
      <c r="J8" s="95">
        <f>F8/M8</f>
        <v>5.2061225231148285E-4</v>
      </c>
      <c r="K8" s="214"/>
      <c r="L8" s="34"/>
      <c r="M8" s="336">
        <v>18341274631176</v>
      </c>
      <c r="N8" s="279"/>
      <c r="O8" s="159"/>
    </row>
    <row r="9" spans="1:29" ht="25.5" thickBot="1" x14ac:dyDescent="0.6">
      <c r="B9" s="213" t="s">
        <v>7</v>
      </c>
      <c r="D9" s="216"/>
      <c r="F9" s="217">
        <f>SUM(F6:F8)</f>
        <v>3525789623963</v>
      </c>
      <c r="H9" s="218">
        <f>SUM(H6:H8)</f>
        <v>0.99484368373928145</v>
      </c>
      <c r="J9" s="219">
        <f>SUM(J6:J8)</f>
        <v>0.19223252990116393</v>
      </c>
      <c r="M9" s="337">
        <v>3544063938478</v>
      </c>
      <c r="N9" s="279"/>
      <c r="O9" s="159"/>
      <c r="P9" s="220"/>
    </row>
    <row r="10" spans="1:29" ht="23.25" thickTop="1" x14ac:dyDescent="0.55000000000000004">
      <c r="D10" s="216"/>
      <c r="M10" s="287"/>
      <c r="N10" s="279"/>
      <c r="O10" s="159"/>
    </row>
    <row r="11" spans="1:29" x14ac:dyDescent="0.55000000000000004">
      <c r="M11" s="314"/>
      <c r="O11" s="159"/>
    </row>
    <row r="12" spans="1:29" x14ac:dyDescent="0.55000000000000004">
      <c r="F12" s="221"/>
      <c r="O12" s="159"/>
    </row>
    <row r="13" spans="1:29" ht="24" x14ac:dyDescent="0.55000000000000004">
      <c r="F13" s="121"/>
      <c r="H13" s="287"/>
      <c r="O13" s="159"/>
    </row>
    <row r="14" spans="1:29" ht="24" x14ac:dyDescent="0.55000000000000004">
      <c r="F14" s="214"/>
      <c r="M14" s="93"/>
    </row>
    <row r="15" spans="1:29" ht="24" x14ac:dyDescent="0.55000000000000004">
      <c r="F15" s="121"/>
      <c r="M15" s="159"/>
    </row>
    <row r="16" spans="1:29" ht="24" x14ac:dyDescent="0.55000000000000004">
      <c r="F16" s="121"/>
      <c r="M16" s="159"/>
    </row>
    <row r="17" spans="6:13" x14ac:dyDescent="0.55000000000000004">
      <c r="F17" s="159"/>
      <c r="M17" s="170"/>
    </row>
    <row r="18" spans="6:13" x14ac:dyDescent="0.55000000000000004">
      <c r="F18" s="159"/>
      <c r="M18" s="170"/>
    </row>
    <row r="19" spans="6:13" x14ac:dyDescent="0.55000000000000004">
      <c r="F19" s="159"/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1A2-8674-472A-8FBC-E2A663D9A3E0}">
  <sheetPr>
    <pageSetUpPr fitToPage="1"/>
  </sheetPr>
  <dimension ref="B1:U81"/>
  <sheetViews>
    <sheetView rightToLeft="1" view="pageBreakPreview" zoomScaleNormal="100" zoomScaleSheetLayoutView="100" workbookViewId="0">
      <selection activeCell="P13" sqref="P13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8" style="1" bestFit="1" customWidth="1"/>
    <col min="5" max="5" width="0.7109375" style="1" customWidth="1"/>
    <col min="6" max="6" width="14.28515625" style="1" bestFit="1" customWidth="1"/>
    <col min="7" max="7" width="0.7109375" style="1" customWidth="1"/>
    <col min="8" max="8" width="22" style="1" hidden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30.42578125" style="93" bestFit="1" customWidth="1"/>
    <col min="13" max="13" width="0.28515625" style="1" customWidth="1"/>
    <col min="14" max="14" width="24.7109375" style="1" bestFit="1" customWidth="1"/>
    <col min="15" max="15" width="9.140625" style="1"/>
    <col min="16" max="16" width="23.7109375" style="4" bestFit="1" customWidth="1"/>
    <col min="17" max="16384" width="9.140625" style="1"/>
  </cols>
  <sheetData>
    <row r="1" spans="2:18" ht="24" x14ac:dyDescent="0.6">
      <c r="B1" s="361" t="s">
        <v>102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</row>
    <row r="2" spans="2:18" ht="24" x14ac:dyDescent="0.6">
      <c r="B2" s="361" t="s">
        <v>80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</row>
    <row r="3" spans="2:18" ht="24" x14ac:dyDescent="0.6">
      <c r="B3" s="361" t="str">
        <f>' سهام'!AC6</f>
        <v>برای ماه منتهی به 1405/03/31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</row>
    <row r="4" spans="2:18" ht="24" x14ac:dyDescent="0.55000000000000004">
      <c r="B4" s="398" t="s">
        <v>210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</row>
    <row r="5" spans="2:18" ht="24" x14ac:dyDescent="0.55000000000000004">
      <c r="B5" s="363" t="s">
        <v>211</v>
      </c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</row>
    <row r="6" spans="2:18" ht="23.25" thickBot="1" x14ac:dyDescent="0.6">
      <c r="C6" s="29"/>
      <c r="D6" s="29"/>
      <c r="E6" s="29"/>
      <c r="F6" s="29"/>
      <c r="G6" s="29"/>
      <c r="H6" s="29"/>
      <c r="I6" s="29"/>
      <c r="J6" s="29"/>
      <c r="K6" s="29"/>
      <c r="L6" s="122"/>
      <c r="M6" s="29"/>
      <c r="N6" s="29"/>
      <c r="O6" s="253"/>
      <c r="P6" s="331"/>
    </row>
    <row r="7" spans="2:18" s="322" customFormat="1" ht="29.25" customHeight="1" thickBot="1" x14ac:dyDescent="0.3">
      <c r="B7" s="368" t="str">
        <f>' سهام'!AC5</f>
        <v>1405/03/31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21"/>
      <c r="P7" s="332"/>
    </row>
    <row r="8" spans="2:18" ht="24" customHeight="1" x14ac:dyDescent="0.55000000000000004">
      <c r="B8" s="377" t="s">
        <v>217</v>
      </c>
      <c r="C8" s="3"/>
      <c r="D8" s="377" t="s">
        <v>212</v>
      </c>
      <c r="E8" s="3"/>
      <c r="F8" s="377" t="s">
        <v>213</v>
      </c>
      <c r="G8" s="3"/>
      <c r="H8" s="377" t="s">
        <v>53</v>
      </c>
      <c r="I8" s="397"/>
      <c r="J8" s="377" t="s">
        <v>214</v>
      </c>
      <c r="K8" s="3"/>
      <c r="L8" s="377" t="s">
        <v>215</v>
      </c>
      <c r="M8" s="160"/>
      <c r="N8" s="377" t="s">
        <v>216</v>
      </c>
      <c r="O8" s="253"/>
      <c r="P8" s="331"/>
    </row>
    <row r="9" spans="2:18" ht="47.25" customHeight="1" thickBot="1" x14ac:dyDescent="0.6">
      <c r="B9" s="376"/>
      <c r="C9" s="222"/>
      <c r="D9" s="376"/>
      <c r="E9" s="222"/>
      <c r="F9" s="376"/>
      <c r="G9" s="222"/>
      <c r="H9" s="376"/>
      <c r="I9" s="364"/>
      <c r="J9" s="376"/>
      <c r="K9" s="3"/>
      <c r="L9" s="376"/>
      <c r="N9" s="376"/>
      <c r="O9" s="253"/>
      <c r="P9" s="331"/>
      <c r="R9" s="159"/>
    </row>
    <row r="10" spans="2:18" ht="25.15" customHeight="1" x14ac:dyDescent="0.55000000000000004">
      <c r="B10" s="68" t="s">
        <v>137</v>
      </c>
      <c r="C10" s="223"/>
      <c r="D10" s="317">
        <v>18000000</v>
      </c>
      <c r="E10" s="223"/>
      <c r="F10" s="317">
        <v>6590</v>
      </c>
      <c r="G10" s="330"/>
      <c r="H10" s="344">
        <v>-30</v>
      </c>
      <c r="I10" s="223"/>
      <c r="J10" s="334">
        <v>-0.3</v>
      </c>
      <c r="K10" s="223"/>
      <c r="L10" s="317">
        <v>83034000000</v>
      </c>
      <c r="M10" s="223"/>
      <c r="N10" s="431" t="s">
        <v>101</v>
      </c>
      <c r="O10" s="253"/>
      <c r="P10" s="333"/>
      <c r="Q10" s="170"/>
    </row>
    <row r="11" spans="2:18" ht="25.15" customHeight="1" x14ac:dyDescent="0.55000000000000004">
      <c r="B11" s="68" t="s">
        <v>140</v>
      </c>
      <c r="C11" s="223"/>
      <c r="D11" s="317">
        <v>9367191</v>
      </c>
      <c r="E11" s="223"/>
      <c r="F11" s="317">
        <v>68850</v>
      </c>
      <c r="G11" s="330"/>
      <c r="H11" s="344">
        <v>-6</v>
      </c>
      <c r="I11" s="223"/>
      <c r="J11" s="334">
        <v>-0.06</v>
      </c>
      <c r="K11" s="223"/>
      <c r="L11" s="317">
        <v>606235234329</v>
      </c>
      <c r="M11" s="223"/>
      <c r="N11" s="431" t="s">
        <v>101</v>
      </c>
      <c r="O11" s="253"/>
      <c r="P11" s="333"/>
      <c r="Q11" s="170"/>
    </row>
    <row r="12" spans="2:18" ht="25.15" customHeight="1" x14ac:dyDescent="0.55000000000000004">
      <c r="B12" s="68" t="s">
        <v>121</v>
      </c>
      <c r="C12" s="223"/>
      <c r="D12" s="317">
        <v>12900000</v>
      </c>
      <c r="E12" s="223"/>
      <c r="F12" s="317">
        <v>2610</v>
      </c>
      <c r="G12" s="330"/>
      <c r="H12" s="344">
        <v>-40</v>
      </c>
      <c r="I12" s="223"/>
      <c r="J12" s="334">
        <v>-0.4</v>
      </c>
      <c r="K12" s="223"/>
      <c r="L12" s="317">
        <v>20201400000</v>
      </c>
      <c r="M12" s="223"/>
      <c r="N12" s="431" t="s">
        <v>101</v>
      </c>
      <c r="O12" s="253"/>
      <c r="P12" s="333"/>
      <c r="Q12" s="170"/>
    </row>
    <row r="13" spans="2:18" ht="25.15" customHeight="1" x14ac:dyDescent="0.55000000000000004">
      <c r="B13" s="68" t="s">
        <v>132</v>
      </c>
      <c r="C13" s="223"/>
      <c r="D13" s="317">
        <v>10000000</v>
      </c>
      <c r="E13" s="223"/>
      <c r="F13" s="317">
        <v>14860</v>
      </c>
      <c r="G13" s="330"/>
      <c r="H13" s="344">
        <v>-40</v>
      </c>
      <c r="I13" s="223"/>
      <c r="J13" s="334">
        <v>-0.4</v>
      </c>
      <c r="K13" s="223"/>
      <c r="L13" s="317">
        <v>89160000000</v>
      </c>
      <c r="M13" s="223"/>
      <c r="N13" s="431" t="s">
        <v>101</v>
      </c>
      <c r="O13" s="253"/>
      <c r="P13" s="333"/>
      <c r="Q13" s="170"/>
    </row>
    <row r="14" spans="2:18" ht="25.15" customHeight="1" thickBot="1" x14ac:dyDescent="0.6">
      <c r="B14" s="68" t="s">
        <v>117</v>
      </c>
      <c r="C14" s="223"/>
      <c r="D14" s="317">
        <v>5000000</v>
      </c>
      <c r="E14" s="223"/>
      <c r="F14" s="317">
        <v>58650</v>
      </c>
      <c r="G14" s="330"/>
      <c r="H14" s="344">
        <v>-40</v>
      </c>
      <c r="I14" s="223"/>
      <c r="J14" s="334">
        <v>-0.3</v>
      </c>
      <c r="K14" s="223"/>
      <c r="L14" s="317">
        <v>205275000000</v>
      </c>
      <c r="M14" s="223"/>
      <c r="N14" s="431" t="s">
        <v>101</v>
      </c>
      <c r="O14" s="253"/>
      <c r="P14" s="333"/>
      <c r="Q14" s="170"/>
    </row>
    <row r="15" spans="2:18" ht="23.25" thickBot="1" x14ac:dyDescent="0.6">
      <c r="B15" s="3" t="s">
        <v>7</v>
      </c>
      <c r="C15" s="3"/>
      <c r="D15" s="227">
        <f>SUM(D10:D14)</f>
        <v>55267191</v>
      </c>
      <c r="E15" s="3"/>
      <c r="F15" s="227">
        <f>SUM(F10:F14)</f>
        <v>151560</v>
      </c>
      <c r="G15" s="3"/>
      <c r="H15" s="227"/>
      <c r="I15" s="5"/>
      <c r="J15" s="227"/>
      <c r="K15" s="31"/>
      <c r="L15" s="227">
        <f>SUM(L10:L14)</f>
        <v>1003905634329</v>
      </c>
      <c r="N15" s="227"/>
      <c r="O15" s="253"/>
      <c r="P15" s="333"/>
    </row>
    <row r="16" spans="2:18" ht="24.75" thickTop="1" x14ac:dyDescent="0.6">
      <c r="J16" s="215"/>
      <c r="O16" s="253"/>
      <c r="P16" s="333"/>
    </row>
    <row r="17" spans="4:16" ht="24" x14ac:dyDescent="0.6">
      <c r="J17" s="294"/>
      <c r="O17" s="253"/>
      <c r="P17" s="331"/>
    </row>
    <row r="18" spans="4:16" x14ac:dyDescent="0.55000000000000004">
      <c r="J18" s="159"/>
      <c r="O18" s="276"/>
      <c r="P18" s="331"/>
    </row>
    <row r="19" spans="4:16" x14ac:dyDescent="0.55000000000000004">
      <c r="D19" s="1" t="s">
        <v>88</v>
      </c>
      <c r="L19" s="108"/>
      <c r="O19" s="276"/>
      <c r="P19" s="331"/>
    </row>
    <row r="20" spans="4:16" x14ac:dyDescent="0.55000000000000004">
      <c r="P20" s="331"/>
    </row>
    <row r="75" spans="21:21" x14ac:dyDescent="0.55000000000000004">
      <c r="U75" s="276"/>
    </row>
    <row r="76" spans="21:21" x14ac:dyDescent="0.55000000000000004">
      <c r="U76" s="276"/>
    </row>
    <row r="77" spans="21:21" x14ac:dyDescent="0.55000000000000004">
      <c r="U77" s="276"/>
    </row>
    <row r="78" spans="21:21" x14ac:dyDescent="0.55000000000000004">
      <c r="U78" s="276"/>
    </row>
    <row r="79" spans="21:21" x14ac:dyDescent="0.55000000000000004">
      <c r="U79" s="276"/>
    </row>
    <row r="80" spans="21:21" x14ac:dyDescent="0.55000000000000004">
      <c r="U80" s="276"/>
    </row>
    <row r="81" spans="21:21" x14ac:dyDescent="0.55000000000000004">
      <c r="U81" s="276"/>
    </row>
  </sheetData>
  <mergeCells count="14">
    <mergeCell ref="B7:N7"/>
    <mergeCell ref="L8:L9"/>
    <mergeCell ref="B8:B9"/>
    <mergeCell ref="D8:D9"/>
    <mergeCell ref="F8:F9"/>
    <mergeCell ref="H8:H9"/>
    <mergeCell ref="I8:I9"/>
    <mergeCell ref="J8:J9"/>
    <mergeCell ref="N8:N9"/>
    <mergeCell ref="B1:N1"/>
    <mergeCell ref="B2:N2"/>
    <mergeCell ref="B3:N3"/>
    <mergeCell ref="B4:N4"/>
    <mergeCell ref="B5:N5"/>
  </mergeCells>
  <printOptions horizontalCentered="1"/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25"/>
  <sheetViews>
    <sheetView rightToLeft="1" view="pageBreakPreview" zoomScale="70" zoomScaleNormal="100" zoomScaleSheetLayoutView="70" workbookViewId="0">
      <selection activeCell="D108" sqref="D108:R115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2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200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407" t="str">
        <f>درآمدها!A1</f>
        <v>صندوق سرمایه گذاری شاخص سی شرکت بزرگ فیروزه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254"/>
      <c r="X1" s="254"/>
    </row>
    <row r="2" spans="2:29" ht="36" customHeight="1" x14ac:dyDescent="0.25">
      <c r="B2" s="407" t="s">
        <v>86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254"/>
      <c r="X2" s="254"/>
    </row>
    <row r="3" spans="2:29" ht="36" customHeight="1" x14ac:dyDescent="0.25">
      <c r="B3" s="407" t="str">
        <f>' سهام'!AC6</f>
        <v>برای ماه منتهی به 1405/03/31</v>
      </c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254"/>
      <c r="X3" s="254"/>
    </row>
    <row r="4" spans="2:29" ht="36" customHeight="1" x14ac:dyDescent="0.25">
      <c r="W4" s="254"/>
      <c r="X4" s="254"/>
      <c r="AC4" s="183" t="s">
        <v>155</v>
      </c>
    </row>
    <row r="5" spans="2:29" ht="36" customHeight="1" x14ac:dyDescent="0.25">
      <c r="B5" s="410" t="s">
        <v>136</v>
      </c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254"/>
      <c r="X5" s="254"/>
      <c r="AC5" s="183" t="s">
        <v>156</v>
      </c>
    </row>
    <row r="6" spans="2:29" ht="9" customHeight="1" x14ac:dyDescent="0.25">
      <c r="W6" s="254"/>
      <c r="X6" s="254"/>
      <c r="AC6" s="183" t="s">
        <v>157</v>
      </c>
    </row>
    <row r="7" spans="2:29" ht="36" customHeight="1" thickBot="1" x14ac:dyDescent="0.3">
      <c r="B7" s="263"/>
      <c r="C7" s="201"/>
      <c r="D7" s="403" t="str">
        <f>' سهام'!AC7</f>
        <v>طی خرداد ماه</v>
      </c>
      <c r="E7" s="403"/>
      <c r="F7" s="403"/>
      <c r="G7" s="403"/>
      <c r="H7" s="403"/>
      <c r="I7" s="403"/>
      <c r="J7" s="403"/>
      <c r="K7" s="201"/>
      <c r="L7" s="201"/>
      <c r="M7" s="201"/>
      <c r="N7" s="403" t="str">
        <f>' سهام'!AC8</f>
        <v>از ابتدای سال مالی تا پایان خرداد  ماه</v>
      </c>
      <c r="O7" s="403"/>
      <c r="P7" s="403"/>
      <c r="Q7" s="403"/>
      <c r="R7" s="403"/>
      <c r="S7" s="403"/>
      <c r="T7" s="403"/>
      <c r="U7" s="403"/>
      <c r="V7" s="403"/>
      <c r="W7" s="254"/>
      <c r="X7" s="255"/>
      <c r="Y7" s="203"/>
      <c r="AC7" s="183" t="s">
        <v>158</v>
      </c>
    </row>
    <row r="8" spans="2:29" ht="36" customHeight="1" x14ac:dyDescent="0.25">
      <c r="B8" s="404" t="s">
        <v>35</v>
      </c>
      <c r="C8" s="404"/>
      <c r="D8" s="408" t="s">
        <v>21</v>
      </c>
      <c r="E8" s="404"/>
      <c r="F8" s="408" t="s">
        <v>22</v>
      </c>
      <c r="G8" s="404"/>
      <c r="H8" s="408" t="s">
        <v>23</v>
      </c>
      <c r="I8" s="404"/>
      <c r="J8" s="406" t="s">
        <v>7</v>
      </c>
      <c r="K8" s="406"/>
      <c r="L8" s="406"/>
      <c r="M8" s="404"/>
      <c r="N8" s="409" t="s">
        <v>21</v>
      </c>
      <c r="O8" s="411"/>
      <c r="P8" s="409" t="s">
        <v>22</v>
      </c>
      <c r="Q8" s="411"/>
      <c r="R8" s="409" t="s">
        <v>23</v>
      </c>
      <c r="S8" s="411"/>
      <c r="T8" s="406" t="s">
        <v>7</v>
      </c>
      <c r="U8" s="406"/>
      <c r="V8" s="406"/>
      <c r="W8" s="254"/>
      <c r="X8" s="254"/>
      <c r="AC8" s="183" t="s">
        <v>159</v>
      </c>
    </row>
    <row r="9" spans="2:29" ht="36" customHeight="1" thickBot="1" x14ac:dyDescent="0.3">
      <c r="B9" s="404"/>
      <c r="C9" s="404"/>
      <c r="D9" s="408"/>
      <c r="E9" s="404"/>
      <c r="F9" s="408"/>
      <c r="G9" s="404"/>
      <c r="H9" s="408"/>
      <c r="I9" s="404"/>
      <c r="J9" s="403"/>
      <c r="K9" s="403"/>
      <c r="L9" s="403"/>
      <c r="M9" s="404"/>
      <c r="N9" s="408"/>
      <c r="O9" s="404"/>
      <c r="P9" s="408"/>
      <c r="Q9" s="404"/>
      <c r="R9" s="408"/>
      <c r="S9" s="404"/>
      <c r="T9" s="403"/>
      <c r="U9" s="403"/>
      <c r="V9" s="403"/>
      <c r="W9" s="254"/>
      <c r="X9" s="291"/>
    </row>
    <row r="10" spans="2:29" ht="49.5" customHeight="1" thickBot="1" x14ac:dyDescent="0.3">
      <c r="B10" s="405"/>
      <c r="C10" s="404"/>
      <c r="D10" s="88" t="s">
        <v>90</v>
      </c>
      <c r="E10" s="404"/>
      <c r="F10" s="88" t="s">
        <v>91</v>
      </c>
      <c r="G10" s="404"/>
      <c r="H10" s="88" t="s">
        <v>92</v>
      </c>
      <c r="I10" s="404"/>
      <c r="J10" s="103" t="s">
        <v>11</v>
      </c>
      <c r="K10" s="103"/>
      <c r="L10" s="103" t="s">
        <v>24</v>
      </c>
      <c r="M10" s="404"/>
      <c r="N10" s="88" t="s">
        <v>90</v>
      </c>
      <c r="O10" s="404"/>
      <c r="P10" s="88" t="s">
        <v>91</v>
      </c>
      <c r="Q10" s="404"/>
      <c r="R10" s="88" t="s">
        <v>92</v>
      </c>
      <c r="S10" s="404"/>
      <c r="T10" s="103" t="s">
        <v>11</v>
      </c>
      <c r="U10" s="103"/>
      <c r="V10" s="103" t="s">
        <v>24</v>
      </c>
      <c r="W10" s="256"/>
      <c r="X10" s="292"/>
    </row>
    <row r="11" spans="2:29" ht="36" customHeight="1" x14ac:dyDescent="0.25">
      <c r="B11" s="158" t="s">
        <v>129</v>
      </c>
      <c r="C11" s="165"/>
      <c r="D11" s="189">
        <v>0</v>
      </c>
      <c r="E11" s="189"/>
      <c r="F11" s="189">
        <v>7094730498</v>
      </c>
      <c r="G11" s="189"/>
      <c r="H11" s="189">
        <v>-6820883242</v>
      </c>
      <c r="I11" s="189"/>
      <c r="J11" s="189">
        <f>H11+F11+D11</f>
        <v>273847256</v>
      </c>
      <c r="K11" s="189"/>
      <c r="L11" s="205">
        <f>J11/$X$12</f>
        <v>-2.6481508218899195E-4</v>
      </c>
      <c r="M11" s="189"/>
      <c r="N11" s="189">
        <v>0</v>
      </c>
      <c r="O11" s="189"/>
      <c r="P11" s="189">
        <v>9922707</v>
      </c>
      <c r="Q11" s="189"/>
      <c r="R11" s="189">
        <v>-13819183771</v>
      </c>
      <c r="S11" s="189">
        <v>-714562636</v>
      </c>
      <c r="T11" s="189">
        <f>N11+P11+R11</f>
        <v>-13809261064</v>
      </c>
      <c r="U11" s="189">
        <v>11071728389</v>
      </c>
      <c r="V11" s="205">
        <f>T11/درآمدها!$F$9</f>
        <v>-3.9166435144472236E-3</v>
      </c>
      <c r="W11" s="256"/>
      <c r="X11" s="292"/>
      <c r="Z11" s="194"/>
      <c r="AA11" s="203"/>
    </row>
    <row r="12" spans="2:29" ht="36" customHeight="1" x14ac:dyDescent="0.25">
      <c r="B12" s="175" t="s">
        <v>190</v>
      </c>
      <c r="C12" s="165"/>
      <c r="D12" s="189">
        <v>0</v>
      </c>
      <c r="E12" s="189"/>
      <c r="F12" s="189">
        <v>266795677249</v>
      </c>
      <c r="G12" s="189"/>
      <c r="H12" s="189">
        <v>7358682</v>
      </c>
      <c r="I12" s="189"/>
      <c r="J12" s="189">
        <f t="shared" ref="J12:J44" si="0">H12+F12+D12</f>
        <v>266803035931</v>
      </c>
      <c r="K12" s="189"/>
      <c r="L12" s="205">
        <f t="shared" ref="L12:L44" si="1">J12/$X$12</f>
        <v>-0.25800319828050544</v>
      </c>
      <c r="M12" s="189"/>
      <c r="N12" s="189">
        <v>0</v>
      </c>
      <c r="O12" s="189"/>
      <c r="P12" s="189">
        <v>266696467753</v>
      </c>
      <c r="Q12" s="189"/>
      <c r="R12" s="189">
        <v>7358682</v>
      </c>
      <c r="S12" s="189">
        <v>-4741243411</v>
      </c>
      <c r="T12" s="189">
        <f t="shared" ref="T12:T44" si="2">N12+P12+R12</f>
        <v>266703826435</v>
      </c>
      <c r="U12" s="189">
        <v>11071728390</v>
      </c>
      <c r="V12" s="205">
        <f>T12/درآمدها!$F$9</f>
        <v>7.5643715275111614E-2</v>
      </c>
      <c r="W12" s="256"/>
      <c r="X12" s="327">
        <v>-1034107475059</v>
      </c>
      <c r="Z12" s="194"/>
      <c r="AA12" s="203"/>
    </row>
    <row r="13" spans="2:29" ht="36" customHeight="1" x14ac:dyDescent="0.25">
      <c r="B13" s="175" t="s">
        <v>202</v>
      </c>
      <c r="C13" s="165"/>
      <c r="D13" s="189">
        <v>0</v>
      </c>
      <c r="E13" s="189"/>
      <c r="F13" s="189">
        <v>6471099895</v>
      </c>
      <c r="G13" s="189"/>
      <c r="H13" s="189">
        <v>45725351</v>
      </c>
      <c r="I13" s="189"/>
      <c r="J13" s="189">
        <f t="shared" si="0"/>
        <v>6516825246</v>
      </c>
      <c r="K13" s="189"/>
      <c r="L13" s="205">
        <f t="shared" si="1"/>
        <v>-6.3018838981201532E-3</v>
      </c>
      <c r="M13" s="189"/>
      <c r="N13" s="189">
        <v>0</v>
      </c>
      <c r="O13" s="189"/>
      <c r="P13" s="189">
        <v>6651384263</v>
      </c>
      <c r="Q13" s="189"/>
      <c r="R13" s="189">
        <v>45716495</v>
      </c>
      <c r="S13" s="189">
        <v>-3385001208</v>
      </c>
      <c r="T13" s="189">
        <f t="shared" si="2"/>
        <v>6697100758</v>
      </c>
      <c r="U13" s="189">
        <v>11071728391</v>
      </c>
      <c r="V13" s="205">
        <f>T13/درآمدها!$F$9</f>
        <v>1.8994612476261232E-3</v>
      </c>
      <c r="W13" s="256"/>
      <c r="X13" s="292"/>
      <c r="Z13" s="194"/>
      <c r="AA13" s="203"/>
    </row>
    <row r="14" spans="2:29" ht="36" customHeight="1" x14ac:dyDescent="0.25">
      <c r="B14" s="175" t="s">
        <v>151</v>
      </c>
      <c r="C14" s="165"/>
      <c r="D14" s="189">
        <v>0</v>
      </c>
      <c r="E14" s="189"/>
      <c r="F14" s="189">
        <v>0</v>
      </c>
      <c r="G14" s="189"/>
      <c r="H14" s="189">
        <v>2853482</v>
      </c>
      <c r="I14" s="189"/>
      <c r="J14" s="189">
        <f t="shared" si="0"/>
        <v>2853482</v>
      </c>
      <c r="K14" s="189"/>
      <c r="L14" s="205">
        <f t="shared" si="1"/>
        <v>-2.7593669602254808E-6</v>
      </c>
      <c r="M14" s="189"/>
      <c r="N14" s="189">
        <v>0</v>
      </c>
      <c r="O14" s="189"/>
      <c r="P14" s="189">
        <v>0</v>
      </c>
      <c r="Q14" s="189"/>
      <c r="R14" s="189">
        <v>2853482</v>
      </c>
      <c r="S14" s="189">
        <v>-2880009787</v>
      </c>
      <c r="T14" s="189">
        <f t="shared" si="2"/>
        <v>2853482</v>
      </c>
      <c r="U14" s="189">
        <v>11071728392</v>
      </c>
      <c r="V14" s="205">
        <f>T14/درآمدها!$F$9</f>
        <v>8.0931714717359577E-7</v>
      </c>
      <c r="W14" s="256"/>
      <c r="X14" s="288"/>
      <c r="Z14" s="194"/>
      <c r="AA14" s="203"/>
    </row>
    <row r="15" spans="2:29" ht="36" customHeight="1" x14ac:dyDescent="0.25">
      <c r="B15" s="175" t="s">
        <v>111</v>
      </c>
      <c r="C15" s="165"/>
      <c r="D15" s="189">
        <v>0</v>
      </c>
      <c r="E15" s="189"/>
      <c r="F15" s="189">
        <v>470218909940</v>
      </c>
      <c r="G15" s="189"/>
      <c r="H15" s="189">
        <v>9452456</v>
      </c>
      <c r="I15" s="189"/>
      <c r="J15" s="189">
        <f t="shared" si="0"/>
        <v>470228362396</v>
      </c>
      <c r="K15" s="189"/>
      <c r="L15" s="205">
        <f t="shared" si="1"/>
        <v>-0.4547190439457674</v>
      </c>
      <c r="M15" s="189"/>
      <c r="N15" s="189">
        <v>0</v>
      </c>
      <c r="O15" s="189"/>
      <c r="P15" s="189">
        <v>471938592437</v>
      </c>
      <c r="Q15" s="189"/>
      <c r="R15" s="189">
        <v>9452456</v>
      </c>
      <c r="S15" s="189">
        <v>-664891573</v>
      </c>
      <c r="T15" s="189">
        <f t="shared" si="2"/>
        <v>471948044893</v>
      </c>
      <c r="U15" s="189">
        <v>11071728393</v>
      </c>
      <c r="V15" s="205">
        <f>T15/درآمدها!$F$9</f>
        <v>0.13385598553169736</v>
      </c>
      <c r="W15" s="256"/>
      <c r="X15" s="257"/>
      <c r="Z15" s="194"/>
      <c r="AA15" s="203"/>
    </row>
    <row r="16" spans="2:29" ht="36" customHeight="1" x14ac:dyDescent="0.25">
      <c r="B16" s="175" t="s">
        <v>113</v>
      </c>
      <c r="C16" s="165"/>
      <c r="D16" s="189">
        <v>0</v>
      </c>
      <c r="E16" s="189"/>
      <c r="F16" s="189">
        <v>103592988060</v>
      </c>
      <c r="G16" s="189"/>
      <c r="H16" s="189">
        <v>68254241855</v>
      </c>
      <c r="I16" s="189"/>
      <c r="J16" s="189">
        <f t="shared" si="0"/>
        <v>171847229915</v>
      </c>
      <c r="K16" s="189"/>
      <c r="L16" s="205">
        <f t="shared" si="1"/>
        <v>-0.16617927445616368</v>
      </c>
      <c r="M16" s="189"/>
      <c r="N16" s="189">
        <v>0</v>
      </c>
      <c r="O16" s="189"/>
      <c r="P16" s="189">
        <v>103592988060</v>
      </c>
      <c r="Q16" s="189"/>
      <c r="R16" s="189">
        <v>68254241855</v>
      </c>
      <c r="S16" s="189">
        <v>-2538727106</v>
      </c>
      <c r="T16" s="189">
        <f t="shared" si="2"/>
        <v>171847229915</v>
      </c>
      <c r="U16" s="189">
        <v>11071728394</v>
      </c>
      <c r="V16" s="205">
        <f>T16/درآمدها!$F$9</f>
        <v>4.8740069103114299E-2</v>
      </c>
      <c r="W16" s="256"/>
      <c r="X16" s="257"/>
      <c r="Z16" s="194"/>
      <c r="AA16" s="203"/>
    </row>
    <row r="17" spans="2:27" ht="36" customHeight="1" x14ac:dyDescent="0.25">
      <c r="B17" s="175" t="s">
        <v>182</v>
      </c>
      <c r="C17" s="165"/>
      <c r="D17" s="189">
        <v>0</v>
      </c>
      <c r="E17" s="189"/>
      <c r="F17" s="189">
        <v>0</v>
      </c>
      <c r="G17" s="189"/>
      <c r="H17" s="189">
        <v>287383164</v>
      </c>
      <c r="I17" s="189"/>
      <c r="J17" s="189">
        <f t="shared" si="0"/>
        <v>287383164</v>
      </c>
      <c r="K17" s="189"/>
      <c r="L17" s="205">
        <f t="shared" si="1"/>
        <v>-2.7790454177270465E-4</v>
      </c>
      <c r="M17" s="189"/>
      <c r="N17" s="189">
        <v>0</v>
      </c>
      <c r="O17" s="189"/>
      <c r="P17" s="189">
        <v>0</v>
      </c>
      <c r="Q17" s="189"/>
      <c r="R17" s="189">
        <v>287383164</v>
      </c>
      <c r="S17" s="189">
        <v>-5759026841</v>
      </c>
      <c r="T17" s="189">
        <f t="shared" si="2"/>
        <v>287383164</v>
      </c>
      <c r="U17" s="189">
        <v>11071728395</v>
      </c>
      <c r="V17" s="205">
        <f>T17/درآمدها!$F$9</f>
        <v>8.1508880180145382E-5</v>
      </c>
      <c r="W17" s="256"/>
      <c r="X17" s="257"/>
      <c r="Z17" s="194"/>
      <c r="AA17" s="203"/>
    </row>
    <row r="18" spans="2:27" ht="36" customHeight="1" x14ac:dyDescent="0.25">
      <c r="B18" s="175" t="s">
        <v>181</v>
      </c>
      <c r="C18" s="165"/>
      <c r="D18" s="189">
        <v>0</v>
      </c>
      <c r="E18" s="189"/>
      <c r="F18" s="189">
        <v>0</v>
      </c>
      <c r="G18" s="189"/>
      <c r="H18" s="189">
        <v>2100289780</v>
      </c>
      <c r="I18" s="189"/>
      <c r="J18" s="189">
        <f t="shared" si="0"/>
        <v>2100289780</v>
      </c>
      <c r="K18" s="189"/>
      <c r="L18" s="205">
        <f t="shared" si="1"/>
        <v>-2.0310169210218405E-3</v>
      </c>
      <c r="M18" s="189"/>
      <c r="N18" s="189">
        <v>346245059</v>
      </c>
      <c r="O18" s="189"/>
      <c r="P18" s="189">
        <v>0</v>
      </c>
      <c r="Q18" s="189"/>
      <c r="R18" s="189">
        <v>2100289780</v>
      </c>
      <c r="S18" s="189">
        <v>-2808202366</v>
      </c>
      <c r="T18" s="189">
        <f t="shared" si="2"/>
        <v>2446534839</v>
      </c>
      <c r="U18" s="189">
        <v>11071728392</v>
      </c>
      <c r="V18" s="205">
        <f>T18/درآمدها!$F$9</f>
        <v>6.9389699895085807E-4</v>
      </c>
      <c r="W18" s="256"/>
      <c r="X18" s="102"/>
      <c r="Z18" s="194"/>
      <c r="AA18" s="203"/>
    </row>
    <row r="19" spans="2:27" ht="36" customHeight="1" x14ac:dyDescent="0.25">
      <c r="B19" s="175" t="s">
        <v>175</v>
      </c>
      <c r="C19" s="165"/>
      <c r="D19" s="189">
        <v>2519831982</v>
      </c>
      <c r="E19" s="189"/>
      <c r="F19" s="189">
        <v>28655147484</v>
      </c>
      <c r="G19" s="189"/>
      <c r="H19" s="189">
        <v>20459970966</v>
      </c>
      <c r="I19" s="189"/>
      <c r="J19" s="189">
        <f t="shared" si="0"/>
        <v>51634950432</v>
      </c>
      <c r="K19" s="189"/>
      <c r="L19" s="205">
        <f t="shared" si="1"/>
        <v>-4.9931899417953653E-2</v>
      </c>
      <c r="M19" s="189"/>
      <c r="N19" s="189">
        <v>2519831982</v>
      </c>
      <c r="O19" s="189"/>
      <c r="P19" s="189">
        <v>25247692304</v>
      </c>
      <c r="Q19" s="189"/>
      <c r="R19" s="189">
        <v>20459970966</v>
      </c>
      <c r="S19" s="189"/>
      <c r="T19" s="189">
        <f t="shared" si="2"/>
        <v>48227495252</v>
      </c>
      <c r="U19" s="189">
        <v>11071728393</v>
      </c>
      <c r="V19" s="205">
        <f>T19/درآمدها!$F$9</f>
        <v>1.3678494860902144E-2</v>
      </c>
      <c r="W19" s="256"/>
      <c r="X19" s="102"/>
      <c r="Z19" s="194"/>
      <c r="AA19" s="203"/>
    </row>
    <row r="20" spans="2:27" ht="36" customHeight="1" x14ac:dyDescent="0.25">
      <c r="B20" s="175" t="s">
        <v>194</v>
      </c>
      <c r="C20" s="165"/>
      <c r="D20" s="189">
        <v>0</v>
      </c>
      <c r="E20" s="189"/>
      <c r="F20" s="189">
        <v>0</v>
      </c>
      <c r="G20" s="189"/>
      <c r="H20" s="189">
        <v>69437924</v>
      </c>
      <c r="I20" s="189"/>
      <c r="J20" s="189">
        <f t="shared" si="0"/>
        <v>69437924</v>
      </c>
      <c r="K20" s="189"/>
      <c r="L20" s="205">
        <f t="shared" si="1"/>
        <v>-6.714768597532697E-5</v>
      </c>
      <c r="M20" s="189"/>
      <c r="N20" s="189">
        <v>0</v>
      </c>
      <c r="O20" s="189"/>
      <c r="P20" s="189">
        <v>0</v>
      </c>
      <c r="Q20" s="189"/>
      <c r="R20" s="189">
        <v>69437924</v>
      </c>
      <c r="S20" s="189">
        <v>8828197833</v>
      </c>
      <c r="T20" s="189">
        <f t="shared" si="2"/>
        <v>69437924</v>
      </c>
      <c r="U20" s="189">
        <v>11071728394</v>
      </c>
      <c r="V20" s="205">
        <f>T20/درآمدها!$F$9</f>
        <v>1.9694290189087212E-5</v>
      </c>
      <c r="W20" s="256"/>
      <c r="X20" s="102"/>
      <c r="Z20" s="194"/>
      <c r="AA20" s="203"/>
    </row>
    <row r="21" spans="2:27" ht="36" customHeight="1" x14ac:dyDescent="0.25">
      <c r="B21" s="175" t="s">
        <v>153</v>
      </c>
      <c r="C21" s="165"/>
      <c r="D21" s="189">
        <v>0</v>
      </c>
      <c r="E21" s="189"/>
      <c r="F21" s="189">
        <v>57718678885</v>
      </c>
      <c r="G21" s="189"/>
      <c r="H21" s="189">
        <v>185978946</v>
      </c>
      <c r="I21" s="189"/>
      <c r="J21" s="189">
        <f t="shared" si="0"/>
        <v>57904657831</v>
      </c>
      <c r="K21" s="189"/>
      <c r="L21" s="205">
        <f t="shared" si="1"/>
        <v>-5.5994816039499476E-2</v>
      </c>
      <c r="M21" s="189"/>
      <c r="N21" s="189">
        <v>0</v>
      </c>
      <c r="O21" s="189"/>
      <c r="P21" s="189">
        <v>29341939887</v>
      </c>
      <c r="Q21" s="189"/>
      <c r="R21" s="189">
        <v>-105933544</v>
      </c>
      <c r="S21" s="189">
        <v>-40082741567</v>
      </c>
      <c r="T21" s="189">
        <f t="shared" si="2"/>
        <v>29236006343</v>
      </c>
      <c r="U21" s="189">
        <v>11071728395</v>
      </c>
      <c r="V21" s="205">
        <f>T21/درآمدها!$F$9</f>
        <v>8.2920450341953823E-3</v>
      </c>
      <c r="W21" s="256"/>
      <c r="X21" s="102"/>
      <c r="Z21" s="194"/>
      <c r="AA21" s="203"/>
    </row>
    <row r="22" spans="2:27" ht="36" customHeight="1" x14ac:dyDescent="0.25">
      <c r="B22" s="175" t="s">
        <v>207</v>
      </c>
      <c r="C22" s="165"/>
      <c r="D22" s="189">
        <v>0</v>
      </c>
      <c r="E22" s="189"/>
      <c r="F22" s="189">
        <v>0</v>
      </c>
      <c r="G22" s="189"/>
      <c r="H22" s="189">
        <v>7835747</v>
      </c>
      <c r="I22" s="189"/>
      <c r="J22" s="189">
        <f t="shared" si="0"/>
        <v>7835747</v>
      </c>
      <c r="K22" s="189"/>
      <c r="L22" s="205">
        <f t="shared" si="1"/>
        <v>-7.577304283148073E-6</v>
      </c>
      <c r="M22" s="189"/>
      <c r="N22" s="189">
        <v>0</v>
      </c>
      <c r="O22" s="189"/>
      <c r="P22" s="189">
        <v>0</v>
      </c>
      <c r="Q22" s="189"/>
      <c r="R22" s="189">
        <v>7835747</v>
      </c>
      <c r="S22" s="189">
        <v>466959920</v>
      </c>
      <c r="T22" s="189">
        <f t="shared" si="2"/>
        <v>7835747</v>
      </c>
      <c r="U22" s="189">
        <v>11071728396</v>
      </c>
      <c r="V22" s="205">
        <f>T22/درآمدها!$F$9</f>
        <v>2.2224091156047458E-6</v>
      </c>
      <c r="W22" s="256"/>
      <c r="X22" s="102"/>
      <c r="Z22" s="194"/>
      <c r="AA22" s="203"/>
    </row>
    <row r="23" spans="2:27" ht="36" customHeight="1" x14ac:dyDescent="0.25">
      <c r="B23" s="175" t="s">
        <v>110</v>
      </c>
      <c r="C23" s="165"/>
      <c r="D23" s="189">
        <v>0</v>
      </c>
      <c r="E23" s="189"/>
      <c r="F23" s="189">
        <v>265741510769</v>
      </c>
      <c r="G23" s="189"/>
      <c r="H23" s="189">
        <v>32844651027</v>
      </c>
      <c r="I23" s="189"/>
      <c r="J23" s="189">
        <f t="shared" si="0"/>
        <v>298586161796</v>
      </c>
      <c r="K23" s="189"/>
      <c r="L23" s="205">
        <f t="shared" si="1"/>
        <v>-0.28873803642021295</v>
      </c>
      <c r="M23" s="189"/>
      <c r="N23" s="189">
        <v>0</v>
      </c>
      <c r="O23" s="189"/>
      <c r="P23" s="189">
        <v>318510984783</v>
      </c>
      <c r="Q23" s="189"/>
      <c r="R23" s="189">
        <v>32844643239</v>
      </c>
      <c r="S23" s="189">
        <v>-102059379029</v>
      </c>
      <c r="T23" s="189">
        <f t="shared" si="2"/>
        <v>351355628022</v>
      </c>
      <c r="U23" s="189">
        <v>11071728398</v>
      </c>
      <c r="V23" s="205">
        <f>T23/درآمدها!$F$9</f>
        <v>9.9653032510508957E-2</v>
      </c>
      <c r="W23" s="256"/>
      <c r="X23" s="102"/>
      <c r="Z23" s="194"/>
      <c r="AA23" s="203"/>
    </row>
    <row r="24" spans="2:27" ht="36" customHeight="1" x14ac:dyDescent="0.25">
      <c r="B24" s="175" t="s">
        <v>108</v>
      </c>
      <c r="C24" s="165"/>
      <c r="D24" s="189">
        <v>0</v>
      </c>
      <c r="E24" s="189"/>
      <c r="F24" s="189">
        <v>72202809032</v>
      </c>
      <c r="G24" s="189"/>
      <c r="H24" s="189">
        <v>120362895</v>
      </c>
      <c r="I24" s="189"/>
      <c r="J24" s="189">
        <f t="shared" si="0"/>
        <v>72323171927</v>
      </c>
      <c r="K24" s="189"/>
      <c r="L24" s="205">
        <f t="shared" si="1"/>
        <v>-6.9937771142089142E-2</v>
      </c>
      <c r="M24" s="189"/>
      <c r="N24" s="189">
        <v>0</v>
      </c>
      <c r="O24" s="189"/>
      <c r="P24" s="189">
        <v>70813631032</v>
      </c>
      <c r="Q24" s="189"/>
      <c r="R24" s="189">
        <v>120362895</v>
      </c>
      <c r="S24" s="189">
        <v>-11597631470</v>
      </c>
      <c r="T24" s="189">
        <f t="shared" si="2"/>
        <v>70933993927</v>
      </c>
      <c r="U24" s="189">
        <v>11071728399</v>
      </c>
      <c r="V24" s="205">
        <f>T24/درآمدها!$F$9</f>
        <v>2.0118612138653336E-2</v>
      </c>
      <c r="W24" s="256"/>
      <c r="X24" s="102"/>
      <c r="Z24" s="194"/>
      <c r="AA24" s="203"/>
    </row>
    <row r="25" spans="2:27" ht="36" customHeight="1" x14ac:dyDescent="0.25">
      <c r="B25" s="175" t="s">
        <v>120</v>
      </c>
      <c r="C25" s="165"/>
      <c r="D25" s="189">
        <v>0</v>
      </c>
      <c r="E25" s="189"/>
      <c r="F25" s="189">
        <v>518957210002</v>
      </c>
      <c r="G25" s="189"/>
      <c r="H25" s="189">
        <v>30988857415</v>
      </c>
      <c r="I25" s="189"/>
      <c r="J25" s="189">
        <f t="shared" si="0"/>
        <v>549946067417</v>
      </c>
      <c r="K25" s="189"/>
      <c r="L25" s="205">
        <f t="shared" si="1"/>
        <v>-0.53180745781343797</v>
      </c>
      <c r="M25" s="189"/>
      <c r="N25" s="189">
        <v>0</v>
      </c>
      <c r="O25" s="189"/>
      <c r="P25" s="189">
        <v>102203810001</v>
      </c>
      <c r="Q25" s="189"/>
      <c r="R25" s="189">
        <v>30988857415</v>
      </c>
      <c r="S25" s="189">
        <v>52167321915</v>
      </c>
      <c r="T25" s="189">
        <f t="shared" si="2"/>
        <v>133192667416</v>
      </c>
      <c r="U25" s="189">
        <v>11071728400</v>
      </c>
      <c r="V25" s="205">
        <f>T25/درآمدها!$F$9</f>
        <v>3.7776691641145332E-2</v>
      </c>
      <c r="W25" s="256"/>
      <c r="X25" s="102"/>
      <c r="Z25" s="194"/>
      <c r="AA25" s="203"/>
    </row>
    <row r="26" spans="2:27" ht="36" customHeight="1" x14ac:dyDescent="0.25">
      <c r="B26" s="175" t="s">
        <v>187</v>
      </c>
      <c r="C26" s="165"/>
      <c r="D26" s="189">
        <v>0</v>
      </c>
      <c r="E26" s="189"/>
      <c r="F26" s="189">
        <v>0</v>
      </c>
      <c r="G26" s="189"/>
      <c r="H26" s="189">
        <v>315387909</v>
      </c>
      <c r="I26" s="189"/>
      <c r="J26" s="189">
        <f t="shared" si="0"/>
        <v>315387909</v>
      </c>
      <c r="K26" s="189"/>
      <c r="L26" s="205">
        <f t="shared" si="1"/>
        <v>-3.0498561958659651E-4</v>
      </c>
      <c r="M26" s="189"/>
      <c r="N26" s="189">
        <v>0</v>
      </c>
      <c r="O26" s="189"/>
      <c r="P26" s="189">
        <v>0</v>
      </c>
      <c r="Q26" s="189"/>
      <c r="R26" s="189">
        <v>315387909</v>
      </c>
      <c r="S26" s="189">
        <v>-6964477628</v>
      </c>
      <c r="T26" s="189">
        <f t="shared" si="2"/>
        <v>315387909</v>
      </c>
      <c r="U26" s="189">
        <v>11071728401</v>
      </c>
      <c r="V26" s="205">
        <f>T26/درآمدها!$F$9</f>
        <v>8.9451709443033326E-5</v>
      </c>
      <c r="W26" s="256"/>
      <c r="X26" s="102"/>
      <c r="Z26" s="194"/>
      <c r="AA26" s="203"/>
    </row>
    <row r="27" spans="2:27" ht="36" customHeight="1" x14ac:dyDescent="0.25">
      <c r="B27" s="175" t="s">
        <v>118</v>
      </c>
      <c r="C27" s="165"/>
      <c r="D27" s="189">
        <v>0</v>
      </c>
      <c r="E27" s="189"/>
      <c r="F27" s="189">
        <v>59213756747</v>
      </c>
      <c r="G27" s="189"/>
      <c r="H27" s="189">
        <v>2480203631</v>
      </c>
      <c r="I27" s="189"/>
      <c r="J27" s="189">
        <f t="shared" si="0"/>
        <v>61693960378</v>
      </c>
      <c r="K27" s="189"/>
      <c r="L27" s="205">
        <f t="shared" si="1"/>
        <v>-5.9659137822671779E-2</v>
      </c>
      <c r="M27" s="189"/>
      <c r="N27" s="189">
        <v>0</v>
      </c>
      <c r="O27" s="189"/>
      <c r="P27" s="189">
        <v>30978713897</v>
      </c>
      <c r="Q27" s="189"/>
      <c r="R27" s="189">
        <v>2480203631</v>
      </c>
      <c r="S27" s="189">
        <v>-13571699443</v>
      </c>
      <c r="T27" s="189">
        <f t="shared" si="2"/>
        <v>33458917528</v>
      </c>
      <c r="U27" s="189">
        <v>11071728402</v>
      </c>
      <c r="V27" s="205">
        <f>T27/درآمدها!$F$9</f>
        <v>9.4897657252709412E-3</v>
      </c>
      <c r="W27" s="256"/>
      <c r="X27" s="102"/>
      <c r="Z27" s="194"/>
      <c r="AA27" s="203"/>
    </row>
    <row r="28" spans="2:27" ht="36" customHeight="1" x14ac:dyDescent="0.25">
      <c r="B28" s="175" t="s">
        <v>185</v>
      </c>
      <c r="C28" s="165"/>
      <c r="D28" s="189">
        <v>0</v>
      </c>
      <c r="E28" s="189"/>
      <c r="F28" s="189">
        <v>27747760988</v>
      </c>
      <c r="G28" s="189"/>
      <c r="H28" s="189">
        <v>2454833349</v>
      </c>
      <c r="I28" s="189"/>
      <c r="J28" s="189">
        <f t="shared" si="0"/>
        <v>30202594337</v>
      </c>
      <c r="K28" s="189"/>
      <c r="L28" s="205">
        <f t="shared" si="1"/>
        <v>-2.9206436531441591E-2</v>
      </c>
      <c r="M28" s="189"/>
      <c r="N28" s="189">
        <v>0</v>
      </c>
      <c r="O28" s="189"/>
      <c r="P28" s="189">
        <v>23937444188</v>
      </c>
      <c r="Q28" s="189"/>
      <c r="R28" s="189">
        <v>2454833349</v>
      </c>
      <c r="S28" s="189">
        <v>257545772</v>
      </c>
      <c r="T28" s="189">
        <f t="shared" si="2"/>
        <v>26392277537</v>
      </c>
      <c r="U28" s="189">
        <v>11071728398</v>
      </c>
      <c r="V28" s="205">
        <f>T28/درآمدها!$F$9</f>
        <v>7.4854941309104505E-3</v>
      </c>
      <c r="W28" s="256"/>
      <c r="X28" s="102"/>
      <c r="Z28" s="194"/>
      <c r="AA28" s="203"/>
    </row>
    <row r="29" spans="2:27" ht="36" customHeight="1" x14ac:dyDescent="0.25">
      <c r="B29" s="175" t="s">
        <v>115</v>
      </c>
      <c r="C29" s="165"/>
      <c r="D29" s="189">
        <v>0</v>
      </c>
      <c r="E29" s="189"/>
      <c r="F29" s="189">
        <v>190702009754</v>
      </c>
      <c r="G29" s="189"/>
      <c r="H29" s="189">
        <v>4615923</v>
      </c>
      <c r="I29" s="189"/>
      <c r="J29" s="189">
        <f t="shared" si="0"/>
        <v>190706625677</v>
      </c>
      <c r="K29" s="189"/>
      <c r="L29" s="205">
        <f t="shared" si="1"/>
        <v>-0.1844166397367154</v>
      </c>
      <c r="M29" s="189"/>
      <c r="N29" s="189">
        <v>0</v>
      </c>
      <c r="O29" s="189"/>
      <c r="P29" s="189">
        <v>-5623392544</v>
      </c>
      <c r="Q29" s="189"/>
      <c r="R29" s="189">
        <v>4590063</v>
      </c>
      <c r="S29" s="189">
        <v>1026553445</v>
      </c>
      <c r="T29" s="189">
        <f t="shared" si="2"/>
        <v>-5618802481</v>
      </c>
      <c r="U29" s="189">
        <v>11071728399</v>
      </c>
      <c r="V29" s="205">
        <f>T29/درآمدها!$F$9</f>
        <v>-1.5936295355831374E-3</v>
      </c>
      <c r="W29" s="256"/>
      <c r="X29" s="102"/>
      <c r="Z29" s="194"/>
      <c r="AA29" s="203"/>
    </row>
    <row r="30" spans="2:27" ht="36" customHeight="1" x14ac:dyDescent="0.25">
      <c r="B30" s="175" t="s">
        <v>176</v>
      </c>
      <c r="C30" s="165"/>
      <c r="D30" s="189">
        <v>0</v>
      </c>
      <c r="E30" s="189"/>
      <c r="F30" s="189">
        <v>46362625028</v>
      </c>
      <c r="G30" s="189"/>
      <c r="H30" s="189">
        <v>10999983</v>
      </c>
      <c r="I30" s="189"/>
      <c r="J30" s="189">
        <f t="shared" si="0"/>
        <v>46373625011</v>
      </c>
      <c r="K30" s="189"/>
      <c r="L30" s="205">
        <f t="shared" si="1"/>
        <v>-4.484410579118403E-2</v>
      </c>
      <c r="M30" s="189"/>
      <c r="N30" s="189">
        <v>0</v>
      </c>
      <c r="O30" s="189"/>
      <c r="P30" s="189">
        <v>46362625028</v>
      </c>
      <c r="Q30" s="189"/>
      <c r="R30" s="189">
        <v>10993872</v>
      </c>
      <c r="S30" s="189">
        <v>-1161777565</v>
      </c>
      <c r="T30" s="189">
        <f t="shared" si="2"/>
        <v>46373618900</v>
      </c>
      <c r="U30" s="189">
        <v>-5155830316</v>
      </c>
      <c r="V30" s="205">
        <f>T30/درآمدها!$F$9</f>
        <v>1.3152690275342035E-2</v>
      </c>
      <c r="W30" s="256"/>
      <c r="X30" s="102"/>
      <c r="Z30" s="194"/>
      <c r="AA30" s="203"/>
    </row>
    <row r="31" spans="2:27" ht="36" customHeight="1" x14ac:dyDescent="0.25">
      <c r="B31" s="175" t="s">
        <v>186</v>
      </c>
      <c r="C31" s="165"/>
      <c r="D31" s="189">
        <v>0</v>
      </c>
      <c r="E31" s="189"/>
      <c r="F31" s="189">
        <v>0</v>
      </c>
      <c r="G31" s="189"/>
      <c r="H31" s="189">
        <v>997817364</v>
      </c>
      <c r="I31" s="189"/>
      <c r="J31" s="189">
        <f t="shared" si="0"/>
        <v>997817364</v>
      </c>
      <c r="K31" s="189"/>
      <c r="L31" s="205">
        <f t="shared" si="1"/>
        <v>-9.6490682841555758E-4</v>
      </c>
      <c r="M31" s="189"/>
      <c r="N31" s="189">
        <v>0</v>
      </c>
      <c r="O31" s="189"/>
      <c r="P31" s="189">
        <v>0</v>
      </c>
      <c r="Q31" s="189"/>
      <c r="R31" s="189">
        <v>997817364</v>
      </c>
      <c r="S31" s="189">
        <v>599022178</v>
      </c>
      <c r="T31" s="189">
        <f t="shared" si="2"/>
        <v>997817364</v>
      </c>
      <c r="U31" s="189">
        <v>-5155830315</v>
      </c>
      <c r="V31" s="205">
        <f>T31/درآمدها!$F$9</f>
        <v>2.8300536062002751E-4</v>
      </c>
      <c r="W31" s="256"/>
      <c r="X31" s="102"/>
      <c r="Z31" s="194"/>
      <c r="AA31" s="203"/>
    </row>
    <row r="32" spans="2:27" ht="36" customHeight="1" x14ac:dyDescent="0.25">
      <c r="B32" s="175" t="s">
        <v>191</v>
      </c>
      <c r="C32" s="165"/>
      <c r="D32" s="189">
        <v>0</v>
      </c>
      <c r="E32" s="189"/>
      <c r="F32" s="189">
        <v>0</v>
      </c>
      <c r="G32" s="189"/>
      <c r="H32" s="189">
        <v>222654424</v>
      </c>
      <c r="I32" s="189"/>
      <c r="J32" s="189">
        <f t="shared" si="0"/>
        <v>222654424</v>
      </c>
      <c r="K32" s="189"/>
      <c r="L32" s="205">
        <f t="shared" si="1"/>
        <v>-2.1531071902105404E-4</v>
      </c>
      <c r="M32" s="189"/>
      <c r="N32" s="189">
        <v>0</v>
      </c>
      <c r="O32" s="189"/>
      <c r="P32" s="189">
        <v>0</v>
      </c>
      <c r="Q32" s="189"/>
      <c r="R32" s="189">
        <v>222654424</v>
      </c>
      <c r="S32" s="189">
        <v>11615770866</v>
      </c>
      <c r="T32" s="189">
        <f t="shared" si="2"/>
        <v>222654424</v>
      </c>
      <c r="U32" s="189">
        <v>-5155830314</v>
      </c>
      <c r="V32" s="205">
        <f>T32/درآمدها!$F$9</f>
        <v>6.3150229522127761E-5</v>
      </c>
      <c r="W32" s="256"/>
      <c r="X32" s="102"/>
      <c r="Z32" s="194"/>
      <c r="AA32" s="203"/>
    </row>
    <row r="33" spans="2:27" ht="36" customHeight="1" x14ac:dyDescent="0.25">
      <c r="B33" s="175" t="s">
        <v>192</v>
      </c>
      <c r="C33" s="165"/>
      <c r="D33" s="189">
        <v>1392098005</v>
      </c>
      <c r="E33" s="189"/>
      <c r="F33" s="189">
        <v>4802874519</v>
      </c>
      <c r="G33" s="189"/>
      <c r="H33" s="189">
        <v>698916</v>
      </c>
      <c r="I33" s="189"/>
      <c r="J33" s="189">
        <f t="shared" si="0"/>
        <v>6195671440</v>
      </c>
      <c r="K33" s="189"/>
      <c r="L33" s="205">
        <f t="shared" si="1"/>
        <v>-5.9913225553722181E-3</v>
      </c>
      <c r="M33" s="189"/>
      <c r="N33" s="189">
        <v>1392098005</v>
      </c>
      <c r="O33" s="189"/>
      <c r="P33" s="189">
        <v>5524661680</v>
      </c>
      <c r="Q33" s="189"/>
      <c r="R33" s="189">
        <v>698916</v>
      </c>
      <c r="S33" s="189">
        <v>28553005</v>
      </c>
      <c r="T33" s="189">
        <f t="shared" si="2"/>
        <v>6917458601</v>
      </c>
      <c r="U33" s="189">
        <v>-5155830313</v>
      </c>
      <c r="V33" s="205">
        <f>T33/درآمدها!$F$9</f>
        <v>1.9619601107183338E-3</v>
      </c>
      <c r="W33" s="256"/>
      <c r="X33" s="102"/>
      <c r="Z33" s="194"/>
      <c r="AA33" s="203"/>
    </row>
    <row r="34" spans="2:27" ht="36" customHeight="1" x14ac:dyDescent="0.25">
      <c r="B34" s="175" t="s">
        <v>103</v>
      </c>
      <c r="C34" s="165"/>
      <c r="D34" s="189">
        <v>0</v>
      </c>
      <c r="E34" s="189"/>
      <c r="F34" s="189">
        <v>-29495878816</v>
      </c>
      <c r="G34" s="189"/>
      <c r="H34" s="189">
        <v>46243876</v>
      </c>
      <c r="I34" s="189"/>
      <c r="J34" s="189">
        <f t="shared" si="0"/>
        <v>-29449634940</v>
      </c>
      <c r="K34" s="189"/>
      <c r="L34" s="205">
        <f t="shared" si="1"/>
        <v>2.8478311636147665E-2</v>
      </c>
      <c r="M34" s="189"/>
      <c r="N34" s="189">
        <v>0</v>
      </c>
      <c r="O34" s="189"/>
      <c r="P34" s="189">
        <v>-29457715680</v>
      </c>
      <c r="Q34" s="189"/>
      <c r="R34" s="189">
        <v>46242232</v>
      </c>
      <c r="S34" s="189"/>
      <c r="T34" s="189">
        <f t="shared" si="2"/>
        <v>-29411473448</v>
      </c>
      <c r="U34" s="189"/>
      <c r="V34" s="205">
        <f>T34/درآمدها!$F$9</f>
        <v>-8.3418117882318229E-3</v>
      </c>
      <c r="W34" s="256"/>
      <c r="X34" s="102"/>
      <c r="Z34" s="194"/>
      <c r="AA34" s="203"/>
    </row>
    <row r="35" spans="2:27" ht="36" customHeight="1" x14ac:dyDescent="0.25">
      <c r="B35" s="175" t="s">
        <v>200</v>
      </c>
      <c r="C35" s="165"/>
      <c r="D35" s="189">
        <v>0</v>
      </c>
      <c r="E35" s="189"/>
      <c r="F35" s="189">
        <v>0</v>
      </c>
      <c r="G35" s="189"/>
      <c r="H35" s="189">
        <v>822859418</v>
      </c>
      <c r="I35" s="189"/>
      <c r="J35" s="189">
        <f t="shared" si="0"/>
        <v>822859418</v>
      </c>
      <c r="K35" s="189"/>
      <c r="L35" s="205">
        <f t="shared" si="1"/>
        <v>-7.9571943714366108E-4</v>
      </c>
      <c r="M35" s="189"/>
      <c r="N35" s="189">
        <v>0</v>
      </c>
      <c r="O35" s="189"/>
      <c r="P35" s="189">
        <v>0</v>
      </c>
      <c r="Q35" s="189"/>
      <c r="R35" s="189">
        <v>822859418</v>
      </c>
      <c r="S35" s="189"/>
      <c r="T35" s="189">
        <f t="shared" si="2"/>
        <v>822859418</v>
      </c>
      <c r="U35" s="189"/>
      <c r="V35" s="205">
        <f>T35/درآمدها!$F$9</f>
        <v>2.333830165042868E-4</v>
      </c>
      <c r="W35" s="256"/>
      <c r="X35" s="102"/>
      <c r="Z35" s="194"/>
      <c r="AA35" s="203"/>
    </row>
    <row r="36" spans="2:27" ht="36" customHeight="1" x14ac:dyDescent="0.25">
      <c r="B36" s="175" t="s">
        <v>142</v>
      </c>
      <c r="C36" s="165"/>
      <c r="D36" s="189">
        <v>0</v>
      </c>
      <c r="E36" s="189"/>
      <c r="F36" s="189">
        <v>53861609100</v>
      </c>
      <c r="G36" s="189"/>
      <c r="H36" s="189">
        <v>20487101</v>
      </c>
      <c r="I36" s="189"/>
      <c r="J36" s="189">
        <f t="shared" si="0"/>
        <v>53882096201</v>
      </c>
      <c r="K36" s="189"/>
      <c r="L36" s="205">
        <f t="shared" si="1"/>
        <v>-5.2104928646730657E-2</v>
      </c>
      <c r="M36" s="189"/>
      <c r="N36" s="189">
        <v>0</v>
      </c>
      <c r="O36" s="189"/>
      <c r="P36" s="189">
        <v>56219771159</v>
      </c>
      <c r="Q36" s="189"/>
      <c r="R36" s="189">
        <v>20486728</v>
      </c>
      <c r="S36" s="189"/>
      <c r="T36" s="189">
        <f t="shared" si="2"/>
        <v>56240257887</v>
      </c>
      <c r="U36" s="189"/>
      <c r="V36" s="205">
        <f>T36/درآمدها!$F$9</f>
        <v>1.5951109931450123E-2</v>
      </c>
      <c r="W36" s="256"/>
      <c r="X36" s="102"/>
      <c r="Z36" s="194"/>
      <c r="AA36" s="203"/>
    </row>
    <row r="37" spans="2:27" ht="36" customHeight="1" x14ac:dyDescent="0.25">
      <c r="B37" s="175" t="s">
        <v>140</v>
      </c>
      <c r="C37" s="165"/>
      <c r="D37" s="189">
        <v>56148787077</v>
      </c>
      <c r="E37" s="189"/>
      <c r="F37" s="189">
        <v>49931401865</v>
      </c>
      <c r="G37" s="189"/>
      <c r="H37" s="189">
        <v>-129879922</v>
      </c>
      <c r="I37" s="189"/>
      <c r="J37" s="189">
        <f t="shared" si="0"/>
        <v>105950309020</v>
      </c>
      <c r="K37" s="189"/>
      <c r="L37" s="205">
        <f t="shared" si="1"/>
        <v>-0.10245580036442065</v>
      </c>
      <c r="M37" s="189"/>
      <c r="N37" s="189">
        <v>56148787077</v>
      </c>
      <c r="O37" s="189"/>
      <c r="P37" s="189">
        <v>-58537600914</v>
      </c>
      <c r="Q37" s="189"/>
      <c r="R37" s="189">
        <v>-129879922</v>
      </c>
      <c r="S37" s="189"/>
      <c r="T37" s="189">
        <f t="shared" si="2"/>
        <v>-2518693759</v>
      </c>
      <c r="U37" s="189"/>
      <c r="V37" s="205">
        <f>T37/درآمدها!$F$9</f>
        <v>-7.143630300236063E-4</v>
      </c>
      <c r="W37" s="256"/>
      <c r="X37" s="102"/>
      <c r="Z37" s="194"/>
      <c r="AA37" s="203"/>
    </row>
    <row r="38" spans="2:27" ht="36" customHeight="1" x14ac:dyDescent="0.25">
      <c r="B38" s="175" t="s">
        <v>228</v>
      </c>
      <c r="C38" s="165"/>
      <c r="D38" s="189">
        <v>0</v>
      </c>
      <c r="E38" s="189"/>
      <c r="F38" s="189">
        <v>0</v>
      </c>
      <c r="G38" s="189"/>
      <c r="H38" s="189">
        <v>0</v>
      </c>
      <c r="I38" s="189"/>
      <c r="J38" s="189">
        <f t="shared" si="0"/>
        <v>0</v>
      </c>
      <c r="K38" s="189"/>
      <c r="L38" s="205">
        <f t="shared" si="1"/>
        <v>0</v>
      </c>
      <c r="M38" s="189"/>
      <c r="N38" s="189">
        <v>0</v>
      </c>
      <c r="O38" s="189"/>
      <c r="P38" s="189">
        <v>0</v>
      </c>
      <c r="Q38" s="189"/>
      <c r="R38" s="189">
        <v>0</v>
      </c>
      <c r="S38" s="189"/>
      <c r="T38" s="189">
        <f t="shared" si="2"/>
        <v>0</v>
      </c>
      <c r="U38" s="189"/>
      <c r="V38" s="205">
        <f>T38/درآمدها!$F$9</f>
        <v>0</v>
      </c>
      <c r="W38" s="256"/>
      <c r="X38" s="102"/>
      <c r="Z38" s="194"/>
      <c r="AA38" s="203"/>
    </row>
    <row r="39" spans="2:27" ht="36" customHeight="1" x14ac:dyDescent="0.25">
      <c r="B39" s="175" t="s">
        <v>112</v>
      </c>
      <c r="C39" s="165"/>
      <c r="D39" s="189">
        <v>0</v>
      </c>
      <c r="E39" s="189"/>
      <c r="F39" s="189">
        <v>377007950604</v>
      </c>
      <c r="G39" s="189"/>
      <c r="H39" s="189">
        <v>37948611849</v>
      </c>
      <c r="I39" s="189"/>
      <c r="J39" s="189">
        <f t="shared" si="0"/>
        <v>414956562453</v>
      </c>
      <c r="K39" s="189"/>
      <c r="L39" s="205">
        <f t="shared" si="1"/>
        <v>-0.40127024749465723</v>
      </c>
      <c r="M39" s="189"/>
      <c r="N39" s="189">
        <v>0</v>
      </c>
      <c r="O39" s="189"/>
      <c r="P39" s="189">
        <v>377007950604</v>
      </c>
      <c r="Q39" s="189"/>
      <c r="R39" s="189">
        <v>37948611849</v>
      </c>
      <c r="S39" s="189"/>
      <c r="T39" s="189">
        <f t="shared" si="2"/>
        <v>414956562453</v>
      </c>
      <c r="U39" s="189"/>
      <c r="V39" s="205">
        <f>T39/درآمدها!$F$9</f>
        <v>0.11769180998002579</v>
      </c>
      <c r="W39" s="256"/>
      <c r="X39" s="102"/>
      <c r="Z39" s="194"/>
      <c r="AA39" s="203"/>
    </row>
    <row r="40" spans="2:27" ht="36" customHeight="1" x14ac:dyDescent="0.25">
      <c r="B40" s="175" t="s">
        <v>188</v>
      </c>
      <c r="C40" s="165"/>
      <c r="D40" s="189">
        <v>0</v>
      </c>
      <c r="E40" s="189"/>
      <c r="F40" s="189">
        <v>0</v>
      </c>
      <c r="G40" s="189"/>
      <c r="H40" s="189">
        <v>6557870676</v>
      </c>
      <c r="I40" s="189"/>
      <c r="J40" s="189">
        <f t="shared" si="0"/>
        <v>6557870676</v>
      </c>
      <c r="K40" s="189"/>
      <c r="L40" s="205">
        <f t="shared" si="1"/>
        <v>-6.341575546222453E-3</v>
      </c>
      <c r="M40" s="189"/>
      <c r="N40" s="189">
        <v>399770799</v>
      </c>
      <c r="O40" s="189"/>
      <c r="P40" s="189">
        <v>0</v>
      </c>
      <c r="Q40" s="189"/>
      <c r="R40" s="189">
        <v>6557870676</v>
      </c>
      <c r="S40" s="189"/>
      <c r="T40" s="189">
        <f t="shared" si="2"/>
        <v>6957641475</v>
      </c>
      <c r="U40" s="189"/>
      <c r="V40" s="205">
        <f>T40/درآمدها!$F$9</f>
        <v>1.9733569546272547E-3</v>
      </c>
      <c r="W40" s="256"/>
      <c r="X40" s="102"/>
      <c r="Z40" s="194"/>
      <c r="AA40" s="203"/>
    </row>
    <row r="41" spans="2:27" ht="36" customHeight="1" x14ac:dyDescent="0.25">
      <c r="B41" s="175" t="s">
        <v>141</v>
      </c>
      <c r="C41" s="165"/>
      <c r="D41" s="189">
        <v>0</v>
      </c>
      <c r="E41" s="189"/>
      <c r="F41" s="189">
        <v>51588394042</v>
      </c>
      <c r="G41" s="189"/>
      <c r="H41" s="189">
        <v>0</v>
      </c>
      <c r="I41" s="189"/>
      <c r="J41" s="189">
        <f t="shared" si="0"/>
        <v>51588394042</v>
      </c>
      <c r="K41" s="189"/>
      <c r="L41" s="205">
        <f t="shared" si="1"/>
        <v>-4.9886878575224176E-2</v>
      </c>
      <c r="M41" s="189"/>
      <c r="N41" s="189">
        <v>0</v>
      </c>
      <c r="O41" s="189"/>
      <c r="P41" s="189">
        <v>52125491358</v>
      </c>
      <c r="Q41" s="189"/>
      <c r="R41" s="189">
        <v>-9849</v>
      </c>
      <c r="S41" s="189"/>
      <c r="T41" s="189">
        <f t="shared" si="2"/>
        <v>52125481509</v>
      </c>
      <c r="U41" s="189"/>
      <c r="V41" s="205">
        <f>T41/درآمدها!$F$9</f>
        <v>1.4784058911152724E-2</v>
      </c>
      <c r="W41" s="256"/>
      <c r="X41" s="102">
        <f>L41/$X$12</f>
        <v>4.8241483383898689E-14</v>
      </c>
      <c r="Z41" s="194"/>
      <c r="AA41" s="203"/>
    </row>
    <row r="42" spans="2:27" ht="36" customHeight="1" x14ac:dyDescent="0.25">
      <c r="B42" s="175" t="s">
        <v>126</v>
      </c>
      <c r="C42" s="165"/>
      <c r="D42" s="189">
        <v>0</v>
      </c>
      <c r="E42" s="189"/>
      <c r="F42" s="189">
        <v>467014</v>
      </c>
      <c r="G42" s="189"/>
      <c r="H42" s="189">
        <v>0</v>
      </c>
      <c r="I42" s="189"/>
      <c r="J42" s="189">
        <f t="shared" si="0"/>
        <v>467014</v>
      </c>
      <c r="K42" s="189"/>
      <c r="L42" s="205">
        <f t="shared" si="1"/>
        <v>-4.5161069933601919E-7</v>
      </c>
      <c r="M42" s="189"/>
      <c r="N42" s="189">
        <v>190480</v>
      </c>
      <c r="O42" s="189"/>
      <c r="P42" s="189">
        <v>301708</v>
      </c>
      <c r="Q42" s="189"/>
      <c r="R42" s="189">
        <v>0</v>
      </c>
      <c r="S42" s="189"/>
      <c r="T42" s="189">
        <f t="shared" si="2"/>
        <v>492188</v>
      </c>
      <c r="U42" s="189"/>
      <c r="V42" s="205">
        <f>T42/درآمدها!$F$9</f>
        <v>1.395965308465509E-7</v>
      </c>
      <c r="W42" s="256"/>
      <c r="X42" s="102"/>
      <c r="Z42" s="194"/>
      <c r="AA42" s="203"/>
    </row>
    <row r="43" spans="2:27" ht="36" customHeight="1" x14ac:dyDescent="0.25">
      <c r="B43" s="175" t="s">
        <v>125</v>
      </c>
      <c r="C43" s="165"/>
      <c r="D43" s="189">
        <v>0</v>
      </c>
      <c r="E43" s="189"/>
      <c r="F43" s="189">
        <v>336999</v>
      </c>
      <c r="G43" s="189"/>
      <c r="H43" s="189">
        <v>0</v>
      </c>
      <c r="I43" s="189"/>
      <c r="J43" s="189">
        <f t="shared" si="0"/>
        <v>336999</v>
      </c>
      <c r="K43" s="189"/>
      <c r="L43" s="205">
        <f t="shared" si="1"/>
        <v>-3.2588392224973797E-7</v>
      </c>
      <c r="M43" s="189"/>
      <c r="N43" s="189">
        <v>177085</v>
      </c>
      <c r="O43" s="189"/>
      <c r="P43" s="189">
        <v>203292</v>
      </c>
      <c r="Q43" s="189"/>
      <c r="R43" s="189">
        <v>0</v>
      </c>
      <c r="S43" s="189"/>
      <c r="T43" s="189">
        <f t="shared" si="2"/>
        <v>380377</v>
      </c>
      <c r="U43" s="189"/>
      <c r="V43" s="205">
        <f>T43/درآمدها!$F$9</f>
        <v>1.0788420199967997E-7</v>
      </c>
      <c r="W43" s="256"/>
      <c r="X43" s="102"/>
      <c r="Z43" s="194"/>
      <c r="AA43" s="203"/>
    </row>
    <row r="44" spans="2:27" ht="36" customHeight="1" x14ac:dyDescent="0.25">
      <c r="B44" s="175" t="s">
        <v>132</v>
      </c>
      <c r="C44" s="165"/>
      <c r="D44" s="189">
        <v>0</v>
      </c>
      <c r="E44" s="189"/>
      <c r="F44" s="189">
        <v>14745132199</v>
      </c>
      <c r="G44" s="189"/>
      <c r="H44" s="189">
        <v>0</v>
      </c>
      <c r="I44" s="189"/>
      <c r="J44" s="189">
        <f t="shared" si="0"/>
        <v>14745132199</v>
      </c>
      <c r="K44" s="189"/>
      <c r="L44" s="205">
        <f t="shared" si="1"/>
        <v>-1.4258800516028309E-2</v>
      </c>
      <c r="M44" s="189"/>
      <c r="N44" s="189">
        <v>0</v>
      </c>
      <c r="O44" s="189"/>
      <c r="P44" s="189">
        <v>-58980528800</v>
      </c>
      <c r="Q44" s="189"/>
      <c r="R44" s="189">
        <v>0</v>
      </c>
      <c r="S44" s="189">
        <v>8613312174</v>
      </c>
      <c r="T44" s="189">
        <f t="shared" si="2"/>
        <v>-58980528800</v>
      </c>
      <c r="U44" s="189">
        <v>-5155830312</v>
      </c>
      <c r="V44" s="205">
        <f>T44/درآمدها!$F$9</f>
        <v>-1.6728317650928269E-2</v>
      </c>
      <c r="W44" s="256"/>
      <c r="X44" s="102"/>
      <c r="Z44" s="194"/>
      <c r="AA44" s="203"/>
    </row>
    <row r="45" spans="2:27" ht="36" customHeight="1" x14ac:dyDescent="0.25">
      <c r="B45" s="175" t="s">
        <v>165</v>
      </c>
      <c r="C45" s="165"/>
      <c r="D45" s="206">
        <f>SUM(D11:D44)</f>
        <v>60060717064</v>
      </c>
      <c r="E45" s="188"/>
      <c r="F45" s="206">
        <f>SUM(F11:F44)</f>
        <v>2643917201857</v>
      </c>
      <c r="G45" s="207"/>
      <c r="H45" s="206">
        <f>SUM(H11:H44)</f>
        <v>200316920945</v>
      </c>
      <c r="I45" s="207"/>
      <c r="J45" s="206">
        <f>SUM(J11:J44)</f>
        <v>2904294839866</v>
      </c>
      <c r="K45" s="207"/>
      <c r="L45" s="229">
        <f>SUM(L11:L44)</f>
        <v>-2.808503864359261</v>
      </c>
      <c r="M45" s="207"/>
      <c r="N45" s="206">
        <f>SUM(N11:N44)</f>
        <v>60807100487</v>
      </c>
      <c r="O45" s="207"/>
      <c r="P45" s="206">
        <f>SUM(P11:P44)</f>
        <v>1834565338203</v>
      </c>
      <c r="Q45" s="207"/>
      <c r="R45" s="206">
        <f>SUM(R11:R44)</f>
        <v>193026647445</v>
      </c>
      <c r="S45" s="207"/>
      <c r="T45" s="206">
        <f>SUM(T11:T44)</f>
        <v>2088399086135</v>
      </c>
      <c r="U45" s="189"/>
      <c r="V45" s="120">
        <f>SUM(V11:V44)</f>
        <v>0.59232095753564351</v>
      </c>
      <c r="W45" s="256"/>
      <c r="X45" s="102"/>
      <c r="Z45" s="194"/>
      <c r="AA45" s="203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5"/>
      <c r="M46" s="189"/>
      <c r="N46" s="189"/>
      <c r="O46" s="189"/>
      <c r="P46" s="189"/>
      <c r="Q46" s="189"/>
      <c r="R46" s="189"/>
      <c r="S46" s="189"/>
      <c r="T46" s="189"/>
      <c r="U46" s="189"/>
      <c r="V46" s="205"/>
      <c r="W46" s="256"/>
      <c r="X46" s="102"/>
      <c r="Z46" s="194"/>
      <c r="AA46" s="203"/>
    </row>
    <row r="47" spans="2:27" ht="36" customHeight="1" x14ac:dyDescent="0.25">
      <c r="B47" s="410" t="s">
        <v>136</v>
      </c>
      <c r="C47" s="410"/>
      <c r="D47" s="410"/>
      <c r="E47" s="410"/>
      <c r="F47" s="410"/>
      <c r="G47" s="410"/>
      <c r="H47" s="410"/>
      <c r="I47" s="410"/>
      <c r="J47" s="410"/>
      <c r="K47" s="410"/>
      <c r="L47" s="410"/>
      <c r="M47" s="410"/>
      <c r="N47" s="410"/>
      <c r="O47" s="410"/>
      <c r="P47" s="410"/>
      <c r="Q47" s="410"/>
      <c r="R47" s="410"/>
      <c r="S47" s="410"/>
      <c r="T47" s="410"/>
      <c r="U47" s="410"/>
      <c r="V47" s="410"/>
      <c r="W47" s="256"/>
      <c r="X47" s="102"/>
      <c r="Z47" s="194"/>
      <c r="AA47" s="203"/>
    </row>
    <row r="48" spans="2:27" ht="11.25" customHeight="1" x14ac:dyDescent="0.25">
      <c r="W48" s="256"/>
      <c r="X48" s="102"/>
      <c r="Z48" s="194"/>
      <c r="AA48" s="203"/>
    </row>
    <row r="49" spans="2:27" ht="36" customHeight="1" thickBot="1" x14ac:dyDescent="0.3">
      <c r="B49" s="263"/>
      <c r="C49" s="201"/>
      <c r="D49" s="403" t="str">
        <f>D7</f>
        <v>طی خرداد ماه</v>
      </c>
      <c r="E49" s="403"/>
      <c r="F49" s="403"/>
      <c r="G49" s="403"/>
      <c r="H49" s="403"/>
      <c r="I49" s="403"/>
      <c r="J49" s="403"/>
      <c r="K49" s="201"/>
      <c r="L49" s="201"/>
      <c r="M49" s="201"/>
      <c r="N49" s="403" t="str">
        <f>N7</f>
        <v>از ابتدای سال مالی تا پایان خرداد  ماه</v>
      </c>
      <c r="O49" s="403"/>
      <c r="P49" s="403"/>
      <c r="Q49" s="403"/>
      <c r="R49" s="403"/>
      <c r="S49" s="403"/>
      <c r="T49" s="403"/>
      <c r="U49" s="403"/>
      <c r="V49" s="403"/>
      <c r="W49" s="256"/>
      <c r="X49" s="102"/>
      <c r="Z49" s="194"/>
      <c r="AA49" s="203"/>
    </row>
    <row r="50" spans="2:27" ht="36" customHeight="1" x14ac:dyDescent="0.25">
      <c r="B50" s="404" t="s">
        <v>35</v>
      </c>
      <c r="C50" s="404"/>
      <c r="D50" s="408" t="s">
        <v>21</v>
      </c>
      <c r="E50" s="404"/>
      <c r="F50" s="408" t="s">
        <v>22</v>
      </c>
      <c r="G50" s="404"/>
      <c r="H50" s="408" t="s">
        <v>23</v>
      </c>
      <c r="I50" s="404"/>
      <c r="J50" s="406" t="s">
        <v>7</v>
      </c>
      <c r="K50" s="406"/>
      <c r="L50" s="406"/>
      <c r="M50" s="404"/>
      <c r="N50" s="409" t="s">
        <v>21</v>
      </c>
      <c r="O50" s="411"/>
      <c r="P50" s="409" t="s">
        <v>22</v>
      </c>
      <c r="Q50" s="411"/>
      <c r="R50" s="409" t="s">
        <v>23</v>
      </c>
      <c r="S50" s="411"/>
      <c r="T50" s="406" t="s">
        <v>7</v>
      </c>
      <c r="U50" s="406"/>
      <c r="V50" s="406"/>
      <c r="W50" s="256"/>
      <c r="X50" s="102"/>
      <c r="Z50" s="194"/>
      <c r="AA50" s="203"/>
    </row>
    <row r="51" spans="2:27" ht="36" customHeight="1" thickBot="1" x14ac:dyDescent="0.3">
      <c r="B51" s="404"/>
      <c r="C51" s="404"/>
      <c r="D51" s="408"/>
      <c r="E51" s="404"/>
      <c r="F51" s="408"/>
      <c r="G51" s="404"/>
      <c r="H51" s="408"/>
      <c r="I51" s="404"/>
      <c r="J51" s="403"/>
      <c r="K51" s="403"/>
      <c r="L51" s="403"/>
      <c r="M51" s="404"/>
      <c r="N51" s="408"/>
      <c r="O51" s="404"/>
      <c r="P51" s="408"/>
      <c r="Q51" s="404"/>
      <c r="R51" s="408"/>
      <c r="S51" s="404"/>
      <c r="T51" s="403"/>
      <c r="U51" s="403"/>
      <c r="V51" s="403"/>
      <c r="W51" s="256"/>
      <c r="X51" s="102"/>
      <c r="Z51" s="194"/>
      <c r="AA51" s="203"/>
    </row>
    <row r="52" spans="2:27" ht="49.5" customHeight="1" thickBot="1" x14ac:dyDescent="0.3">
      <c r="B52" s="405"/>
      <c r="C52" s="404"/>
      <c r="D52" s="88" t="s">
        <v>90</v>
      </c>
      <c r="E52" s="404"/>
      <c r="F52" s="88" t="s">
        <v>91</v>
      </c>
      <c r="G52" s="404"/>
      <c r="H52" s="88" t="s">
        <v>92</v>
      </c>
      <c r="I52" s="404"/>
      <c r="J52" s="103" t="s">
        <v>11</v>
      </c>
      <c r="K52" s="103"/>
      <c r="L52" s="103" t="s">
        <v>24</v>
      </c>
      <c r="M52" s="404"/>
      <c r="N52" s="88" t="s">
        <v>90</v>
      </c>
      <c r="O52" s="404"/>
      <c r="P52" s="88" t="s">
        <v>91</v>
      </c>
      <c r="Q52" s="404"/>
      <c r="R52" s="88" t="s">
        <v>92</v>
      </c>
      <c r="S52" s="404"/>
      <c r="T52" s="103" t="s">
        <v>11</v>
      </c>
      <c r="U52" s="103"/>
      <c r="V52" s="103" t="s">
        <v>24</v>
      </c>
      <c r="W52" s="256"/>
      <c r="X52" s="102"/>
      <c r="Z52" s="194"/>
      <c r="AA52" s="203"/>
    </row>
    <row r="53" spans="2:27" ht="36" customHeight="1" x14ac:dyDescent="0.25">
      <c r="B53" s="191" t="s">
        <v>166</v>
      </c>
      <c r="C53" s="191"/>
      <c r="D53" s="189">
        <f>D45</f>
        <v>60060717064</v>
      </c>
      <c r="E53" s="191"/>
      <c r="F53" s="189">
        <f>F45</f>
        <v>2643917201857</v>
      </c>
      <c r="G53" s="189"/>
      <c r="H53" s="189">
        <f>H45</f>
        <v>200316920945</v>
      </c>
      <c r="I53" s="189"/>
      <c r="J53" s="189">
        <f>D53+F53+H53</f>
        <v>2904294839866</v>
      </c>
      <c r="K53" s="189"/>
      <c r="L53" s="205">
        <f>L45</f>
        <v>-2.808503864359261</v>
      </c>
      <c r="M53" s="189"/>
      <c r="N53" s="189">
        <f>N45</f>
        <v>60807100487</v>
      </c>
      <c r="O53" s="189"/>
      <c r="P53" s="189">
        <f>P45</f>
        <v>1834565338203</v>
      </c>
      <c r="Q53" s="189"/>
      <c r="R53" s="189">
        <f>R45</f>
        <v>193026647445</v>
      </c>
      <c r="S53" s="189"/>
      <c r="T53" s="189">
        <f>N53+P53+R53</f>
        <v>2088399086135</v>
      </c>
      <c r="U53" s="105"/>
      <c r="V53" s="106">
        <f>V45</f>
        <v>0.59232095753564351</v>
      </c>
      <c r="W53" s="256"/>
      <c r="X53" s="102"/>
      <c r="Z53" s="194"/>
      <c r="AA53" s="203"/>
    </row>
    <row r="54" spans="2:27" ht="36" customHeight="1" x14ac:dyDescent="0.25">
      <c r="B54" s="175" t="s">
        <v>122</v>
      </c>
      <c r="C54" s="175"/>
      <c r="D54" s="190">
        <v>0</v>
      </c>
      <c r="E54" s="188"/>
      <c r="F54" s="189">
        <v>5268954</v>
      </c>
      <c r="G54" s="189"/>
      <c r="H54" s="189">
        <v>0</v>
      </c>
      <c r="I54" s="189"/>
      <c r="J54" s="189">
        <f>D54+F54+H54</f>
        <v>5268954</v>
      </c>
      <c r="K54" s="189"/>
      <c r="L54" s="205">
        <f t="shared" ref="L54:L85" si="3">J54/$X$12</f>
        <v>-5.0951705959763851E-6</v>
      </c>
      <c r="M54" s="189"/>
      <c r="N54" s="189">
        <v>0</v>
      </c>
      <c r="O54" s="189"/>
      <c r="P54" s="189">
        <v>5229263</v>
      </c>
      <c r="Q54" s="189"/>
      <c r="R54" s="189">
        <v>0</v>
      </c>
      <c r="S54" s="189">
        <v>2132299511</v>
      </c>
      <c r="T54" s="189">
        <f>N54+P54+R54</f>
        <v>5229263</v>
      </c>
      <c r="U54" s="189">
        <v>-5155830311</v>
      </c>
      <c r="V54" s="205">
        <f>T54/درآمدها!$F$9</f>
        <v>1.4831466303205833E-6</v>
      </c>
      <c r="W54" s="256"/>
      <c r="X54" s="102"/>
      <c r="Z54" s="194"/>
      <c r="AA54" s="203"/>
    </row>
    <row r="55" spans="2:27" ht="36" customHeight="1" x14ac:dyDescent="0.25">
      <c r="B55" s="175" t="s">
        <v>127</v>
      </c>
      <c r="C55" s="175"/>
      <c r="D55" s="190">
        <v>0</v>
      </c>
      <c r="E55" s="188"/>
      <c r="F55" s="189">
        <v>1041196322790</v>
      </c>
      <c r="G55" s="189"/>
      <c r="H55" s="189">
        <v>0</v>
      </c>
      <c r="I55" s="189"/>
      <c r="J55" s="189">
        <f t="shared" ref="J55:J85" si="4">D55+F55+H55</f>
        <v>1041196322790</v>
      </c>
      <c r="K55" s="189"/>
      <c r="L55" s="205">
        <f t="shared" si="3"/>
        <v>-1.0068550396375344</v>
      </c>
      <c r="M55" s="189"/>
      <c r="N55" s="189">
        <v>0</v>
      </c>
      <c r="O55" s="189"/>
      <c r="P55" s="189">
        <v>1110615531990</v>
      </c>
      <c r="Q55" s="189"/>
      <c r="R55" s="189">
        <v>0</v>
      </c>
      <c r="S55" s="189">
        <v>1644814375</v>
      </c>
      <c r="T55" s="189">
        <f t="shared" ref="T55:T85" si="5">N55+P55+R55</f>
        <v>1110615531990</v>
      </c>
      <c r="U55" s="189">
        <v>-5155830310</v>
      </c>
      <c r="V55" s="205">
        <f>T55/درآمدها!$F$9</f>
        <v>0.31499767440510651</v>
      </c>
      <c r="W55" s="256"/>
      <c r="X55" s="102"/>
      <c r="Z55" s="194"/>
      <c r="AA55" s="203"/>
    </row>
    <row r="56" spans="2:27" ht="36" customHeight="1" x14ac:dyDescent="0.25">
      <c r="B56" s="175" t="s">
        <v>227</v>
      </c>
      <c r="C56" s="175"/>
      <c r="D56" s="190">
        <v>0</v>
      </c>
      <c r="E56" s="188"/>
      <c r="F56" s="189">
        <v>662605</v>
      </c>
      <c r="G56" s="189"/>
      <c r="H56" s="189">
        <v>0</v>
      </c>
      <c r="I56" s="189"/>
      <c r="J56" s="189">
        <f t="shared" si="4"/>
        <v>662605</v>
      </c>
      <c r="K56" s="189"/>
      <c r="L56" s="205">
        <f t="shared" si="3"/>
        <v>-6.4075061440030276E-7</v>
      </c>
      <c r="M56" s="189"/>
      <c r="N56" s="189">
        <v>0</v>
      </c>
      <c r="O56" s="189"/>
      <c r="P56" s="189">
        <v>662605</v>
      </c>
      <c r="Q56" s="189"/>
      <c r="R56" s="189">
        <v>0</v>
      </c>
      <c r="S56" s="189">
        <v>-8875524087</v>
      </c>
      <c r="T56" s="189">
        <f t="shared" si="5"/>
        <v>662605</v>
      </c>
      <c r="U56" s="189">
        <v>-803317139</v>
      </c>
      <c r="V56" s="205">
        <f>T56/درآمدها!$F$9</f>
        <v>1.8793095183462185E-7</v>
      </c>
      <c r="W56" s="256"/>
      <c r="X56" s="102"/>
      <c r="Z56" s="194"/>
      <c r="AA56" s="203"/>
    </row>
    <row r="57" spans="2:27" ht="36" customHeight="1" x14ac:dyDescent="0.45">
      <c r="B57" s="175" t="s">
        <v>148</v>
      </c>
      <c r="C57" s="175"/>
      <c r="D57" s="190">
        <v>0</v>
      </c>
      <c r="E57" s="188"/>
      <c r="F57" s="189">
        <v>30730</v>
      </c>
      <c r="G57" s="189"/>
      <c r="H57" s="189">
        <v>0</v>
      </c>
      <c r="I57" s="189"/>
      <c r="J57" s="189">
        <f t="shared" si="4"/>
        <v>30730</v>
      </c>
      <c r="K57" s="189"/>
      <c r="L57" s="205">
        <f t="shared" si="3"/>
        <v>-2.9716447024277364E-8</v>
      </c>
      <c r="M57" s="189"/>
      <c r="N57" s="189">
        <v>0</v>
      </c>
      <c r="O57" s="189"/>
      <c r="P57" s="189">
        <v>-37161</v>
      </c>
      <c r="Q57" s="189"/>
      <c r="R57" s="189">
        <v>0</v>
      </c>
      <c r="S57" s="189">
        <v>1487118809</v>
      </c>
      <c r="T57" s="189">
        <f t="shared" si="5"/>
        <v>-37161</v>
      </c>
      <c r="U57" s="189">
        <v>-38274340413</v>
      </c>
      <c r="V57" s="205">
        <f>T57/درآمدها!$F$9</f>
        <v>-1.0539766680188623E-8</v>
      </c>
      <c r="W57" s="256"/>
      <c r="X57" s="264"/>
      <c r="Z57" s="194"/>
      <c r="AA57" s="203"/>
    </row>
    <row r="58" spans="2:27" ht="36" customHeight="1" x14ac:dyDescent="0.45">
      <c r="B58" s="175" t="s">
        <v>119</v>
      </c>
      <c r="C58" s="175"/>
      <c r="D58" s="190">
        <v>0</v>
      </c>
      <c r="E58" s="188"/>
      <c r="F58" s="189">
        <v>215123968814</v>
      </c>
      <c r="G58" s="189"/>
      <c r="H58" s="189">
        <v>0</v>
      </c>
      <c r="I58" s="189"/>
      <c r="J58" s="189">
        <f t="shared" si="4"/>
        <v>215123968814</v>
      </c>
      <c r="K58" s="189"/>
      <c r="L58" s="205">
        <f t="shared" si="3"/>
        <v>-0.20802863725719253</v>
      </c>
      <c r="M58" s="189"/>
      <c r="N58" s="189">
        <v>0</v>
      </c>
      <c r="O58" s="189"/>
      <c r="P58" s="189">
        <v>53423649613</v>
      </c>
      <c r="Q58" s="189"/>
      <c r="R58" s="189">
        <v>0</v>
      </c>
      <c r="S58" s="189"/>
      <c r="T58" s="189">
        <f t="shared" si="5"/>
        <v>53423649613</v>
      </c>
      <c r="U58" s="189"/>
      <c r="V58" s="205">
        <f>T58/درآمدها!$F$9</f>
        <v>1.5152251073038111E-2</v>
      </c>
      <c r="W58" s="256"/>
      <c r="X58" s="264"/>
      <c r="Z58" s="194"/>
      <c r="AA58" s="203"/>
    </row>
    <row r="59" spans="2:27" ht="36" customHeight="1" x14ac:dyDescent="0.45">
      <c r="B59" s="175" t="s">
        <v>222</v>
      </c>
      <c r="C59" s="175"/>
      <c r="D59" s="190">
        <v>0</v>
      </c>
      <c r="E59" s="188"/>
      <c r="F59" s="189">
        <v>-531958044</v>
      </c>
      <c r="G59" s="189"/>
      <c r="H59" s="189">
        <v>0</v>
      </c>
      <c r="I59" s="189"/>
      <c r="J59" s="189">
        <f t="shared" si="4"/>
        <v>-531958044</v>
      </c>
      <c r="K59" s="189"/>
      <c r="L59" s="205">
        <f t="shared" si="3"/>
        <v>5.1441272481822997E-4</v>
      </c>
      <c r="M59" s="189"/>
      <c r="N59" s="189">
        <v>0</v>
      </c>
      <c r="O59" s="189"/>
      <c r="P59" s="189">
        <v>-531958044</v>
      </c>
      <c r="Q59" s="189"/>
      <c r="R59" s="189">
        <v>0</v>
      </c>
      <c r="S59" s="189"/>
      <c r="T59" s="189">
        <f t="shared" si="5"/>
        <v>-531958044</v>
      </c>
      <c r="U59" s="189"/>
      <c r="V59" s="205">
        <f>T59/درآمدها!$F$9</f>
        <v>-1.5087628609051191E-4</v>
      </c>
      <c r="W59" s="256"/>
      <c r="X59" s="264"/>
      <c r="Z59" s="194"/>
      <c r="AA59" s="203"/>
    </row>
    <row r="60" spans="2:27" ht="36" customHeight="1" x14ac:dyDescent="0.45">
      <c r="B60" s="175" t="s">
        <v>143</v>
      </c>
      <c r="C60" s="175"/>
      <c r="D60" s="190">
        <v>0</v>
      </c>
      <c r="E60" s="188"/>
      <c r="F60" s="189">
        <v>580478</v>
      </c>
      <c r="G60" s="189"/>
      <c r="H60" s="189">
        <v>0</v>
      </c>
      <c r="I60" s="189"/>
      <c r="J60" s="189">
        <f t="shared" si="4"/>
        <v>580478</v>
      </c>
      <c r="K60" s="189"/>
      <c r="L60" s="205">
        <f t="shared" si="3"/>
        <v>-5.6133237018413525E-7</v>
      </c>
      <c r="M60" s="189"/>
      <c r="N60" s="189">
        <v>0</v>
      </c>
      <c r="O60" s="189"/>
      <c r="P60" s="189">
        <v>567578</v>
      </c>
      <c r="Q60" s="189"/>
      <c r="R60" s="189">
        <v>0</v>
      </c>
      <c r="S60" s="189"/>
      <c r="T60" s="189">
        <f t="shared" si="5"/>
        <v>567578</v>
      </c>
      <c r="U60" s="189"/>
      <c r="V60" s="205">
        <f>T60/درآمدها!$F$9</f>
        <v>1.6097897507623846E-7</v>
      </c>
      <c r="W60" s="256"/>
      <c r="X60" s="264"/>
      <c r="Z60" s="194"/>
      <c r="AA60" s="203"/>
    </row>
    <row r="61" spans="2:27" ht="36" customHeight="1" x14ac:dyDescent="0.45">
      <c r="B61" s="175" t="s">
        <v>133</v>
      </c>
      <c r="C61" s="175"/>
      <c r="D61" s="190">
        <v>0</v>
      </c>
      <c r="E61" s="188"/>
      <c r="F61" s="189">
        <v>1270106</v>
      </c>
      <c r="G61" s="189"/>
      <c r="H61" s="189">
        <v>0</v>
      </c>
      <c r="I61" s="189"/>
      <c r="J61" s="189">
        <f t="shared" si="4"/>
        <v>1270106</v>
      </c>
      <c r="K61" s="189"/>
      <c r="L61" s="205">
        <f t="shared" si="3"/>
        <v>-1.2282146978267759E-6</v>
      </c>
      <c r="M61" s="189"/>
      <c r="N61" s="189">
        <v>0</v>
      </c>
      <c r="O61" s="189"/>
      <c r="P61" s="189">
        <v>1575725</v>
      </c>
      <c r="Q61" s="189"/>
      <c r="R61" s="189">
        <v>0</v>
      </c>
      <c r="S61" s="189"/>
      <c r="T61" s="189">
        <f t="shared" si="5"/>
        <v>1575725</v>
      </c>
      <c r="U61" s="189"/>
      <c r="V61" s="205">
        <f>T61/درآمدها!$F$9</f>
        <v>4.4691407260677102E-7</v>
      </c>
      <c r="W61" s="256"/>
      <c r="X61" s="264"/>
      <c r="Z61" s="194"/>
      <c r="AA61" s="203"/>
    </row>
    <row r="62" spans="2:27" ht="36" customHeight="1" x14ac:dyDescent="0.45">
      <c r="B62" s="175" t="s">
        <v>223</v>
      </c>
      <c r="C62" s="175"/>
      <c r="D62" s="190">
        <v>0</v>
      </c>
      <c r="E62" s="188"/>
      <c r="F62" s="189">
        <v>18002174</v>
      </c>
      <c r="G62" s="189"/>
      <c r="H62" s="189">
        <v>0</v>
      </c>
      <c r="I62" s="189"/>
      <c r="J62" s="189">
        <f t="shared" si="4"/>
        <v>18002174</v>
      </c>
      <c r="K62" s="189"/>
      <c r="L62" s="205">
        <f t="shared" si="3"/>
        <v>-1.7408416856258489E-5</v>
      </c>
      <c r="M62" s="189"/>
      <c r="N62" s="189">
        <v>0</v>
      </c>
      <c r="O62" s="189"/>
      <c r="P62" s="189">
        <v>18002174</v>
      </c>
      <c r="Q62" s="189"/>
      <c r="R62" s="189">
        <v>0</v>
      </c>
      <c r="S62" s="189"/>
      <c r="T62" s="189">
        <f t="shared" si="5"/>
        <v>18002174</v>
      </c>
      <c r="U62" s="189"/>
      <c r="V62" s="205">
        <f>T62/درآمدها!$F$9</f>
        <v>5.1058559698651259E-6</v>
      </c>
      <c r="W62" s="256"/>
      <c r="X62" s="264"/>
      <c r="Z62" s="194"/>
      <c r="AA62" s="203"/>
    </row>
    <row r="63" spans="2:27" ht="36" customHeight="1" x14ac:dyDescent="0.45">
      <c r="B63" s="175" t="s">
        <v>226</v>
      </c>
      <c r="C63" s="175"/>
      <c r="D63" s="190">
        <v>0</v>
      </c>
      <c r="E63" s="188"/>
      <c r="F63" s="189">
        <v>-1590948160</v>
      </c>
      <c r="G63" s="189"/>
      <c r="H63" s="189">
        <v>0</v>
      </c>
      <c r="I63" s="189"/>
      <c r="J63" s="189">
        <f t="shared" si="4"/>
        <v>-1590948160</v>
      </c>
      <c r="K63" s="189"/>
      <c r="L63" s="205">
        <f t="shared" si="3"/>
        <v>1.5384746734465196E-3</v>
      </c>
      <c r="M63" s="189"/>
      <c r="N63" s="189">
        <v>0</v>
      </c>
      <c r="O63" s="189"/>
      <c r="P63" s="189">
        <v>-1590948160</v>
      </c>
      <c r="Q63" s="189"/>
      <c r="R63" s="189">
        <v>0</v>
      </c>
      <c r="S63" s="189"/>
      <c r="T63" s="189">
        <f t="shared" si="5"/>
        <v>-1590948160</v>
      </c>
      <c r="U63" s="189"/>
      <c r="V63" s="205">
        <f>T63/درآمدها!$F$9</f>
        <v>-4.5123173237198669E-4</v>
      </c>
      <c r="W63" s="256"/>
      <c r="X63" s="264"/>
      <c r="Z63" s="194"/>
      <c r="AA63" s="203"/>
    </row>
    <row r="64" spans="2:27" ht="36" customHeight="1" x14ac:dyDescent="0.45">
      <c r="B64" s="175" t="s">
        <v>146</v>
      </c>
      <c r="C64" s="175"/>
      <c r="D64" s="190">
        <v>0</v>
      </c>
      <c r="E64" s="188"/>
      <c r="F64" s="189">
        <v>1379215</v>
      </c>
      <c r="G64" s="189"/>
      <c r="H64" s="189">
        <v>0</v>
      </c>
      <c r="I64" s="189"/>
      <c r="J64" s="189">
        <f t="shared" si="4"/>
        <v>1379215</v>
      </c>
      <c r="K64" s="189"/>
      <c r="L64" s="205">
        <f t="shared" si="3"/>
        <v>-1.3337250075687831E-6</v>
      </c>
      <c r="M64" s="189"/>
      <c r="N64" s="189">
        <v>0</v>
      </c>
      <c r="O64" s="189"/>
      <c r="P64" s="189">
        <v>1290804</v>
      </c>
      <c r="Q64" s="189"/>
      <c r="R64" s="189">
        <v>0</v>
      </c>
      <c r="S64" s="189"/>
      <c r="T64" s="189">
        <f t="shared" si="5"/>
        <v>1290804</v>
      </c>
      <c r="U64" s="189"/>
      <c r="V64" s="205">
        <f>T64/درآمدها!$F$9</f>
        <v>3.6610352223713555E-7</v>
      </c>
      <c r="W64" s="256"/>
      <c r="X64" s="264"/>
      <c r="Z64" s="194"/>
      <c r="AA64" s="203"/>
    </row>
    <row r="65" spans="2:31" ht="36" customHeight="1" x14ac:dyDescent="0.45">
      <c r="B65" s="175" t="s">
        <v>206</v>
      </c>
      <c r="C65" s="175"/>
      <c r="D65" s="190">
        <v>0</v>
      </c>
      <c r="E65" s="188"/>
      <c r="F65" s="189">
        <v>-12161</v>
      </c>
      <c r="G65" s="189"/>
      <c r="H65" s="189">
        <v>0</v>
      </c>
      <c r="I65" s="189"/>
      <c r="J65" s="189">
        <f t="shared" si="4"/>
        <v>-12161</v>
      </c>
      <c r="K65" s="189"/>
      <c r="L65" s="205">
        <f t="shared" si="3"/>
        <v>1.1759899520411228E-8</v>
      </c>
      <c r="M65" s="189"/>
      <c r="N65" s="189">
        <v>0</v>
      </c>
      <c r="O65" s="189"/>
      <c r="P65" s="189">
        <v>-64699</v>
      </c>
      <c r="Q65" s="189"/>
      <c r="R65" s="189">
        <v>0</v>
      </c>
      <c r="S65" s="189"/>
      <c r="T65" s="189">
        <f t="shared" si="5"/>
        <v>-64699</v>
      </c>
      <c r="U65" s="189"/>
      <c r="V65" s="205">
        <f>T65/درآمدها!$F$9</f>
        <v>-1.8350215668080076E-8</v>
      </c>
      <c r="W65" s="256"/>
      <c r="X65" s="264"/>
      <c r="Z65" s="194"/>
      <c r="AA65" s="203"/>
    </row>
    <row r="66" spans="2:31" ht="36" customHeight="1" x14ac:dyDescent="0.45">
      <c r="B66" s="175" t="s">
        <v>121</v>
      </c>
      <c r="C66" s="175"/>
      <c r="D66" s="190">
        <v>0</v>
      </c>
      <c r="E66" s="188"/>
      <c r="F66" s="189">
        <v>3340873862</v>
      </c>
      <c r="G66" s="189"/>
      <c r="H66" s="189">
        <v>0</v>
      </c>
      <c r="I66" s="189"/>
      <c r="J66" s="189">
        <f t="shared" si="4"/>
        <v>3340873862</v>
      </c>
      <c r="K66" s="189"/>
      <c r="L66" s="205">
        <f t="shared" si="3"/>
        <v>-3.230683408230261E-3</v>
      </c>
      <c r="M66" s="189"/>
      <c r="N66" s="189">
        <v>0</v>
      </c>
      <c r="O66" s="189"/>
      <c r="P66" s="189">
        <v>-13363495452</v>
      </c>
      <c r="Q66" s="189"/>
      <c r="R66" s="189">
        <v>0</v>
      </c>
      <c r="S66" s="189"/>
      <c r="T66" s="189">
        <f t="shared" si="5"/>
        <v>-13363495452</v>
      </c>
      <c r="U66" s="189"/>
      <c r="V66" s="205">
        <f>T66/درآمدها!$F$9</f>
        <v>-3.7902135059832026E-3</v>
      </c>
      <c r="W66" s="256"/>
      <c r="X66" s="264"/>
      <c r="Z66" s="194"/>
      <c r="AA66" s="203"/>
    </row>
    <row r="67" spans="2:31" ht="36" customHeight="1" x14ac:dyDescent="0.25">
      <c r="B67" s="175" t="s">
        <v>139</v>
      </c>
      <c r="C67" s="175"/>
      <c r="D67" s="190">
        <v>0</v>
      </c>
      <c r="E67" s="188"/>
      <c r="F67" s="189">
        <v>18392995</v>
      </c>
      <c r="G67" s="189"/>
      <c r="H67" s="189">
        <v>0</v>
      </c>
      <c r="I67" s="189"/>
      <c r="J67" s="189">
        <f t="shared" si="4"/>
        <v>18392995</v>
      </c>
      <c r="K67" s="189"/>
      <c r="L67" s="205">
        <f t="shared" si="3"/>
        <v>-1.7786347593078373E-5</v>
      </c>
      <c r="M67" s="189"/>
      <c r="N67" s="189">
        <v>0</v>
      </c>
      <c r="O67" s="189"/>
      <c r="P67" s="189">
        <v>8176305</v>
      </c>
      <c r="Q67" s="189"/>
      <c r="R67" s="189">
        <v>0</v>
      </c>
      <c r="S67" s="189">
        <v>3859275341</v>
      </c>
      <c r="T67" s="189">
        <f t="shared" si="5"/>
        <v>8176305</v>
      </c>
      <c r="U67" s="189">
        <v>8687840</v>
      </c>
      <c r="V67" s="205">
        <f>T67/درآمدها!$F$9</f>
        <v>2.3189996772438749E-6</v>
      </c>
      <c r="W67" s="256"/>
      <c r="X67" s="102"/>
      <c r="Z67" s="194"/>
      <c r="AA67" s="203"/>
    </row>
    <row r="68" spans="2:31" ht="36" customHeight="1" x14ac:dyDescent="0.25">
      <c r="B68" s="175" t="s">
        <v>230</v>
      </c>
      <c r="C68" s="175"/>
      <c r="D68" s="190">
        <v>0</v>
      </c>
      <c r="E68" s="188"/>
      <c r="F68" s="189">
        <v>-95894095</v>
      </c>
      <c r="G68" s="189"/>
      <c r="H68" s="189">
        <v>0</v>
      </c>
      <c r="I68" s="189"/>
      <c r="J68" s="189">
        <f t="shared" si="4"/>
        <v>-95894095</v>
      </c>
      <c r="K68" s="189"/>
      <c r="L68" s="205">
        <f t="shared" si="3"/>
        <v>9.2731265669004906E-5</v>
      </c>
      <c r="M68" s="189"/>
      <c r="N68" s="189">
        <v>0</v>
      </c>
      <c r="O68" s="189"/>
      <c r="P68" s="189">
        <v>-95894095</v>
      </c>
      <c r="Q68" s="189"/>
      <c r="R68" s="189">
        <v>0</v>
      </c>
      <c r="S68" s="189">
        <v>1937265303</v>
      </c>
      <c r="T68" s="189">
        <f t="shared" si="5"/>
        <v>-95894095</v>
      </c>
      <c r="U68" s="189">
        <v>-3013924119</v>
      </c>
      <c r="V68" s="205">
        <f>T68/درآمدها!$F$9</f>
        <v>-2.7197906065709813E-5</v>
      </c>
      <c r="W68" s="256"/>
      <c r="X68" s="102"/>
      <c r="Z68" s="194"/>
      <c r="AA68" s="203"/>
    </row>
    <row r="69" spans="2:31" ht="36" customHeight="1" x14ac:dyDescent="0.25">
      <c r="B69" s="175" t="s">
        <v>135</v>
      </c>
      <c r="C69" s="175"/>
      <c r="D69" s="189">
        <v>0</v>
      </c>
      <c r="E69" s="188"/>
      <c r="F69" s="189">
        <v>17553256</v>
      </c>
      <c r="G69" s="189"/>
      <c r="H69" s="189">
        <v>0</v>
      </c>
      <c r="I69" s="189"/>
      <c r="J69" s="189">
        <f t="shared" si="4"/>
        <v>17553256</v>
      </c>
      <c r="K69" s="189"/>
      <c r="L69" s="205">
        <f t="shared" si="3"/>
        <v>-1.6974305305160392E-5</v>
      </c>
      <c r="M69" s="189"/>
      <c r="N69" s="189">
        <v>0</v>
      </c>
      <c r="O69" s="189"/>
      <c r="P69" s="189">
        <v>17543333</v>
      </c>
      <c r="Q69" s="189"/>
      <c r="R69" s="189">
        <v>0</v>
      </c>
      <c r="S69" s="189">
        <v>1212931406</v>
      </c>
      <c r="T69" s="189">
        <f t="shared" si="5"/>
        <v>17543333</v>
      </c>
      <c r="U69" s="189">
        <v>-5189228345</v>
      </c>
      <c r="V69" s="205">
        <f>T69/درآمدها!$F$9</f>
        <v>4.9757174622010573E-6</v>
      </c>
      <c r="W69" s="256"/>
      <c r="X69" s="102"/>
      <c r="Z69" s="194"/>
      <c r="AA69" s="203"/>
    </row>
    <row r="70" spans="2:31" ht="36" customHeight="1" x14ac:dyDescent="0.25">
      <c r="B70" s="175" t="s">
        <v>224</v>
      </c>
      <c r="C70" s="175"/>
      <c r="D70" s="190">
        <v>0</v>
      </c>
      <c r="E70" s="188"/>
      <c r="F70" s="189">
        <v>-24846556421</v>
      </c>
      <c r="G70" s="189"/>
      <c r="H70" s="189">
        <v>0</v>
      </c>
      <c r="I70" s="189"/>
      <c r="J70" s="189">
        <f t="shared" si="4"/>
        <v>-24846556421</v>
      </c>
      <c r="K70" s="189"/>
      <c r="L70" s="205">
        <f t="shared" si="3"/>
        <v>2.4027054266852102E-2</v>
      </c>
      <c r="M70" s="189"/>
      <c r="N70" s="189">
        <v>0</v>
      </c>
      <c r="O70" s="189"/>
      <c r="P70" s="189">
        <v>-24846556421</v>
      </c>
      <c r="Q70" s="189"/>
      <c r="R70" s="189">
        <v>0</v>
      </c>
      <c r="S70" s="189">
        <v>6910941668</v>
      </c>
      <c r="T70" s="189">
        <f t="shared" si="5"/>
        <v>-24846556421</v>
      </c>
      <c r="U70" s="189">
        <v>3261876929</v>
      </c>
      <c r="V70" s="205">
        <f>T70/درآمدها!$F$9</f>
        <v>-7.0470898921848836E-3</v>
      </c>
      <c r="W70" s="256"/>
      <c r="X70" s="102"/>
      <c r="Z70" s="194"/>
      <c r="AA70" s="203"/>
    </row>
    <row r="71" spans="2:31" ht="36" customHeight="1" x14ac:dyDescent="0.25">
      <c r="B71" s="175" t="s">
        <v>160</v>
      </c>
      <c r="C71" s="175"/>
      <c r="D71" s="190">
        <v>0</v>
      </c>
      <c r="E71" s="188"/>
      <c r="F71" s="189">
        <v>83213518295</v>
      </c>
      <c r="G71" s="189"/>
      <c r="H71" s="189">
        <v>0</v>
      </c>
      <c r="I71" s="189"/>
      <c r="J71" s="189">
        <f t="shared" si="4"/>
        <v>83213518295</v>
      </c>
      <c r="K71" s="189"/>
      <c r="L71" s="205">
        <f t="shared" si="3"/>
        <v>-8.0468926394959409E-2</v>
      </c>
      <c r="M71" s="189"/>
      <c r="N71" s="189">
        <v>0</v>
      </c>
      <c r="O71" s="189"/>
      <c r="P71" s="189">
        <v>90234820815</v>
      </c>
      <c r="Q71" s="189"/>
      <c r="R71" s="189">
        <v>0</v>
      </c>
      <c r="S71" s="189">
        <v>151419925</v>
      </c>
      <c r="T71" s="189">
        <f t="shared" si="5"/>
        <v>90234820815</v>
      </c>
      <c r="U71" s="189">
        <v>2910175062</v>
      </c>
      <c r="V71" s="205">
        <f>T71/درآمدها!$F$9</f>
        <v>2.5592797766979567E-2</v>
      </c>
      <c r="W71" s="256"/>
      <c r="X71" s="102"/>
      <c r="Z71" s="194"/>
      <c r="AA71" s="203"/>
    </row>
    <row r="72" spans="2:31" ht="36" customHeight="1" x14ac:dyDescent="0.25">
      <c r="B72" s="175" t="s">
        <v>114</v>
      </c>
      <c r="C72" s="175"/>
      <c r="D72" s="190">
        <v>0</v>
      </c>
      <c r="E72" s="188"/>
      <c r="F72" s="189">
        <v>1206208</v>
      </c>
      <c r="G72" s="189"/>
      <c r="H72" s="189">
        <v>0</v>
      </c>
      <c r="I72" s="189"/>
      <c r="J72" s="189">
        <f t="shared" si="4"/>
        <v>1206208</v>
      </c>
      <c r="K72" s="189"/>
      <c r="L72" s="205">
        <f t="shared" si="3"/>
        <v>-1.1664242151727808E-6</v>
      </c>
      <c r="M72" s="189"/>
      <c r="N72" s="189">
        <v>0</v>
      </c>
      <c r="O72" s="189"/>
      <c r="P72" s="189">
        <v>390562</v>
      </c>
      <c r="Q72" s="189"/>
      <c r="R72" s="189">
        <v>0</v>
      </c>
      <c r="S72" s="189">
        <v>31387040</v>
      </c>
      <c r="T72" s="189">
        <f t="shared" si="5"/>
        <v>390562</v>
      </c>
      <c r="U72" s="189">
        <v>1401330331</v>
      </c>
      <c r="V72" s="205">
        <f>T72/درآمدها!$F$9-1</f>
        <v>-0.99999988922708338</v>
      </c>
      <c r="W72" s="256"/>
      <c r="X72" s="102"/>
      <c r="Z72" s="194"/>
      <c r="AA72" s="203"/>
    </row>
    <row r="73" spans="2:31" ht="36" customHeight="1" x14ac:dyDescent="0.25">
      <c r="B73" s="175" t="s">
        <v>154</v>
      </c>
      <c r="C73" s="175"/>
      <c r="D73" s="190">
        <v>0</v>
      </c>
      <c r="E73" s="188"/>
      <c r="F73" s="189">
        <v>33757025400</v>
      </c>
      <c r="G73" s="189"/>
      <c r="H73" s="189">
        <v>0</v>
      </c>
      <c r="I73" s="189"/>
      <c r="J73" s="189">
        <f t="shared" si="4"/>
        <v>33757025400</v>
      </c>
      <c r="K73" s="189"/>
      <c r="L73" s="205">
        <f t="shared" si="3"/>
        <v>-3.2643633485072744E-2</v>
      </c>
      <c r="M73" s="189"/>
      <c r="N73" s="189">
        <v>0</v>
      </c>
      <c r="O73" s="189"/>
      <c r="P73" s="189">
        <v>35304966600</v>
      </c>
      <c r="Q73" s="189"/>
      <c r="R73" s="189">
        <v>0</v>
      </c>
      <c r="S73" s="189">
        <v>1762590900</v>
      </c>
      <c r="T73" s="189">
        <f t="shared" si="5"/>
        <v>35304966600</v>
      </c>
      <c r="U73" s="189">
        <v>-160980321</v>
      </c>
      <c r="V73" s="205">
        <f>T73/درآمدها!$F$9</f>
        <v>1.0013350303163322E-2</v>
      </c>
      <c r="W73" s="256"/>
      <c r="X73" s="102"/>
      <c r="Z73" s="194"/>
      <c r="AA73" s="203"/>
    </row>
    <row r="74" spans="2:31" ht="36" customHeight="1" x14ac:dyDescent="0.25">
      <c r="B74" s="175" t="s">
        <v>152</v>
      </c>
      <c r="C74" s="175"/>
      <c r="D74" s="190">
        <v>0</v>
      </c>
      <c r="E74" s="188"/>
      <c r="F74" s="189">
        <v>51637730800</v>
      </c>
      <c r="G74" s="189"/>
      <c r="H74" s="189">
        <v>0</v>
      </c>
      <c r="I74" s="189"/>
      <c r="J74" s="189">
        <f t="shared" si="4"/>
        <v>51637730800</v>
      </c>
      <c r="K74" s="189"/>
      <c r="L74" s="205">
        <f t="shared" si="3"/>
        <v>-4.9934588082398167E-2</v>
      </c>
      <c r="M74" s="189"/>
      <c r="N74" s="189">
        <v>0</v>
      </c>
      <c r="O74" s="189"/>
      <c r="P74" s="189">
        <v>56083100400</v>
      </c>
      <c r="Q74" s="189"/>
      <c r="R74" s="189">
        <v>0</v>
      </c>
      <c r="S74" s="189">
        <v>2476602308</v>
      </c>
      <c r="T74" s="189">
        <f t="shared" si="5"/>
        <v>56083100400</v>
      </c>
      <c r="U74" s="189">
        <v>-12553533323</v>
      </c>
      <c r="V74" s="205">
        <f>T74/درآمدها!$F$9</f>
        <v>1.5906536232006489E-2</v>
      </c>
      <c r="W74" s="256"/>
      <c r="X74" s="102"/>
      <c r="Z74" s="194"/>
      <c r="AA74" s="203"/>
    </row>
    <row r="75" spans="2:31" ht="36" customHeight="1" x14ac:dyDescent="0.25">
      <c r="B75" s="175" t="s">
        <v>109</v>
      </c>
      <c r="C75" s="175"/>
      <c r="D75" s="190">
        <v>0</v>
      </c>
      <c r="E75" s="188"/>
      <c r="F75" s="189">
        <v>4217147</v>
      </c>
      <c r="G75" s="189"/>
      <c r="H75" s="189">
        <v>0</v>
      </c>
      <c r="I75" s="189"/>
      <c r="J75" s="189">
        <f t="shared" si="4"/>
        <v>4217147</v>
      </c>
      <c r="K75" s="189"/>
      <c r="L75" s="205">
        <f t="shared" si="3"/>
        <v>-4.0780548460491447E-6</v>
      </c>
      <c r="M75" s="189"/>
      <c r="N75" s="189">
        <v>0</v>
      </c>
      <c r="O75" s="189"/>
      <c r="P75" s="189">
        <v>4475137</v>
      </c>
      <c r="Q75" s="189"/>
      <c r="R75" s="189">
        <v>0</v>
      </c>
      <c r="S75" s="189">
        <v>9867221407</v>
      </c>
      <c r="T75" s="189">
        <f t="shared" si="5"/>
        <v>4475137</v>
      </c>
      <c r="U75" s="189">
        <v>-6135872031</v>
      </c>
      <c r="V75" s="205">
        <f>T75/درآمدها!$F$9</f>
        <v>1.2692580889071681E-6</v>
      </c>
      <c r="W75" s="256"/>
      <c r="X75" s="102"/>
      <c r="Z75" s="194"/>
      <c r="AA75" s="203"/>
      <c r="AD75" s="185"/>
    </row>
    <row r="76" spans="2:31" ht="36" customHeight="1" x14ac:dyDescent="0.25">
      <c r="B76" s="175" t="s">
        <v>134</v>
      </c>
      <c r="C76" s="175"/>
      <c r="D76" s="190">
        <v>0</v>
      </c>
      <c r="E76" s="188"/>
      <c r="F76" s="189">
        <v>5075341086</v>
      </c>
      <c r="G76" s="189"/>
      <c r="H76" s="189">
        <v>0</v>
      </c>
      <c r="I76" s="189"/>
      <c r="J76" s="189">
        <f t="shared" si="4"/>
        <v>5075341086</v>
      </c>
      <c r="K76" s="189"/>
      <c r="L76" s="205">
        <f t="shared" si="3"/>
        <v>-4.9079435246422824E-3</v>
      </c>
      <c r="M76" s="189"/>
      <c r="N76" s="255">
        <v>0</v>
      </c>
      <c r="O76" s="189"/>
      <c r="P76" s="189">
        <v>3289255086</v>
      </c>
      <c r="Q76" s="189"/>
      <c r="R76" s="146">
        <v>0</v>
      </c>
      <c r="S76" s="189">
        <v>-2831281270</v>
      </c>
      <c r="T76" s="189">
        <f t="shared" si="5"/>
        <v>3289255086</v>
      </c>
      <c r="U76" s="189">
        <v>-650042212</v>
      </c>
      <c r="V76" s="205">
        <f>T76/درآمدها!$F$9</f>
        <v>9.3291303135178711E-4</v>
      </c>
      <c r="W76" s="256"/>
      <c r="X76" s="102"/>
      <c r="Z76" s="194"/>
      <c r="AA76" s="203"/>
      <c r="AD76" s="185"/>
    </row>
    <row r="77" spans="2:31" ht="36" customHeight="1" x14ac:dyDescent="0.25">
      <c r="B77" s="175" t="s">
        <v>137</v>
      </c>
      <c r="C77" s="175"/>
      <c r="D77" s="190">
        <v>0</v>
      </c>
      <c r="E77" s="188"/>
      <c r="F77" s="189">
        <v>10502185679</v>
      </c>
      <c r="G77" s="189"/>
      <c r="H77" s="189">
        <v>0</v>
      </c>
      <c r="I77" s="189"/>
      <c r="J77" s="189">
        <f t="shared" si="4"/>
        <v>10502185679</v>
      </c>
      <c r="K77" s="189"/>
      <c r="L77" s="205">
        <f t="shared" si="3"/>
        <v>-1.0155797083277835E-2</v>
      </c>
      <c r="M77" s="189"/>
      <c r="N77" s="189">
        <v>0</v>
      </c>
      <c r="O77" s="189"/>
      <c r="P77" s="189">
        <v>-20307797820</v>
      </c>
      <c r="Q77" s="189"/>
      <c r="R77" s="189">
        <v>0</v>
      </c>
      <c r="S77" s="189">
        <v>2810738818</v>
      </c>
      <c r="T77" s="189">
        <f t="shared" si="5"/>
        <v>-20307797820</v>
      </c>
      <c r="U77" s="189">
        <v>298767031</v>
      </c>
      <c r="V77" s="205">
        <f>T77/درآمدها!$F$9</f>
        <v>-5.7597871642647708E-3</v>
      </c>
      <c r="W77" s="256"/>
      <c r="X77" s="102"/>
      <c r="Z77" s="194"/>
      <c r="AA77" s="203"/>
      <c r="AD77" s="185"/>
    </row>
    <row r="78" spans="2:31" ht="36" customHeight="1" x14ac:dyDescent="0.25">
      <c r="B78" s="175" t="s">
        <v>117</v>
      </c>
      <c r="C78" s="175"/>
      <c r="D78" s="190">
        <v>0</v>
      </c>
      <c r="E78" s="188"/>
      <c r="F78" s="189">
        <v>-46468655731</v>
      </c>
      <c r="G78" s="189"/>
      <c r="H78" s="189">
        <v>0</v>
      </c>
      <c r="I78" s="189"/>
      <c r="J78" s="189">
        <f t="shared" si="4"/>
        <v>-46468655731</v>
      </c>
      <c r="K78" s="189"/>
      <c r="L78" s="205">
        <f t="shared" si="3"/>
        <v>4.4936002158140066E-2</v>
      </c>
      <c r="M78" s="189"/>
      <c r="N78" s="189">
        <v>0</v>
      </c>
      <c r="O78" s="189"/>
      <c r="P78" s="189">
        <v>-73617162931</v>
      </c>
      <c r="Q78" s="189"/>
      <c r="R78" s="189">
        <v>0</v>
      </c>
      <c r="S78" s="189">
        <v>457681005</v>
      </c>
      <c r="T78" s="189">
        <f t="shared" si="5"/>
        <v>-73617162931</v>
      </c>
      <c r="U78" s="189">
        <v>628201261</v>
      </c>
      <c r="V78" s="205">
        <f>T78/درآمدها!$F$9</f>
        <v>-2.0879624362911946E-2</v>
      </c>
      <c r="W78" s="256"/>
      <c r="X78" s="102"/>
      <c r="Z78" s="194"/>
      <c r="AA78" s="203"/>
    </row>
    <row r="79" spans="2:31" ht="36" customHeight="1" x14ac:dyDescent="0.25">
      <c r="B79" s="175" t="s">
        <v>116</v>
      </c>
      <c r="C79" s="175"/>
      <c r="D79" s="190">
        <v>0</v>
      </c>
      <c r="E79" s="188"/>
      <c r="F79" s="189">
        <v>852359930</v>
      </c>
      <c r="G79" s="189"/>
      <c r="H79" s="189">
        <v>0</v>
      </c>
      <c r="I79" s="189"/>
      <c r="J79" s="189">
        <f t="shared" si="4"/>
        <v>852359930</v>
      </c>
      <c r="K79" s="189"/>
      <c r="L79" s="205">
        <f t="shared" si="3"/>
        <v>-8.2424694778593442E-4</v>
      </c>
      <c r="M79" s="189"/>
      <c r="N79" s="189">
        <v>0</v>
      </c>
      <c r="O79" s="189"/>
      <c r="P79" s="189">
        <v>-451482850</v>
      </c>
      <c r="Q79" s="189"/>
      <c r="R79" s="189">
        <v>0</v>
      </c>
      <c r="S79" s="189">
        <v>-314831742</v>
      </c>
      <c r="T79" s="189">
        <f t="shared" si="5"/>
        <v>-451482850</v>
      </c>
      <c r="U79" s="189">
        <v>-273814835</v>
      </c>
      <c r="V79" s="205">
        <f>T79/درآمدها!$F$9</f>
        <v>-1.2805155671555119E-4</v>
      </c>
      <c r="W79" s="256"/>
      <c r="X79" s="102"/>
      <c r="Z79" s="194"/>
      <c r="AA79" s="203"/>
      <c r="AD79" s="185"/>
      <c r="AE79" s="185"/>
    </row>
    <row r="80" spans="2:31" ht="36" customHeight="1" x14ac:dyDescent="0.25">
      <c r="B80" s="175" t="s">
        <v>124</v>
      </c>
      <c r="C80" s="175"/>
      <c r="D80" s="190">
        <v>0</v>
      </c>
      <c r="E80" s="188"/>
      <c r="F80" s="189">
        <v>217308</v>
      </c>
      <c r="G80" s="189"/>
      <c r="H80" s="189">
        <v>0</v>
      </c>
      <c r="I80" s="189"/>
      <c r="J80" s="189">
        <f t="shared" si="4"/>
        <v>217308</v>
      </c>
      <c r="K80" s="189"/>
      <c r="L80" s="205">
        <f t="shared" si="3"/>
        <v>-2.1014063358124523E-7</v>
      </c>
      <c r="M80" s="189"/>
      <c r="N80" s="189">
        <v>0</v>
      </c>
      <c r="O80" s="189"/>
      <c r="P80" s="189">
        <v>242114</v>
      </c>
      <c r="Q80" s="189"/>
      <c r="R80" s="189">
        <v>0</v>
      </c>
      <c r="S80" s="189">
        <v>-21899317781</v>
      </c>
      <c r="T80" s="189">
        <f t="shared" si="5"/>
        <v>242114</v>
      </c>
      <c r="U80" s="189"/>
      <c r="V80" s="205">
        <f>T80/درآمدها!$F$9</f>
        <v>6.8669440273598351E-8</v>
      </c>
      <c r="W80" s="256"/>
      <c r="X80" s="185"/>
      <c r="Y80" s="185"/>
      <c r="AA80" s="185"/>
    </row>
    <row r="81" spans="2:30" ht="36" customHeight="1" x14ac:dyDescent="0.25">
      <c r="B81" s="175" t="s">
        <v>225</v>
      </c>
      <c r="C81" s="175"/>
      <c r="D81" s="190">
        <v>0</v>
      </c>
      <c r="E81" s="188"/>
      <c r="F81" s="189">
        <v>10912233191</v>
      </c>
      <c r="G81" s="189"/>
      <c r="H81" s="189">
        <v>0</v>
      </c>
      <c r="I81" s="189"/>
      <c r="J81" s="189">
        <f t="shared" si="4"/>
        <v>10912233191</v>
      </c>
      <c r="K81" s="189"/>
      <c r="L81" s="205">
        <f t="shared" si="3"/>
        <v>-1.0552320193195986E-2</v>
      </c>
      <c r="M81" s="189"/>
      <c r="N81" s="189">
        <v>0</v>
      </c>
      <c r="O81" s="189"/>
      <c r="P81" s="189">
        <v>10912233191</v>
      </c>
      <c r="Q81" s="189"/>
      <c r="R81" s="189">
        <v>0</v>
      </c>
      <c r="S81" s="189">
        <v>24903138035</v>
      </c>
      <c r="T81" s="189">
        <f t="shared" si="5"/>
        <v>10912233191</v>
      </c>
      <c r="U81" s="189"/>
      <c r="V81" s="205">
        <f>T81/درآمدها!$F$9</f>
        <v>3.094975694759295E-3</v>
      </c>
      <c r="W81" s="256"/>
      <c r="X81" s="185"/>
      <c r="Y81" s="185"/>
      <c r="AA81" s="185"/>
    </row>
    <row r="82" spans="2:30" ht="36" customHeight="1" x14ac:dyDescent="0.25">
      <c r="B82" s="175" t="s">
        <v>229</v>
      </c>
      <c r="C82" s="175"/>
      <c r="D82" s="190">
        <v>0</v>
      </c>
      <c r="E82" s="188"/>
      <c r="F82" s="189">
        <v>4681237616</v>
      </c>
      <c r="G82" s="189"/>
      <c r="H82" s="189">
        <v>0</v>
      </c>
      <c r="I82" s="189"/>
      <c r="J82" s="189">
        <f t="shared" si="4"/>
        <v>4681237616</v>
      </c>
      <c r="K82" s="189"/>
      <c r="L82" s="205">
        <f t="shared" si="3"/>
        <v>-4.5268385819693608E-3</v>
      </c>
      <c r="M82" s="189"/>
      <c r="N82" s="189">
        <v>0</v>
      </c>
      <c r="O82" s="189"/>
      <c r="P82" s="189">
        <v>4681237620</v>
      </c>
      <c r="Q82" s="189"/>
      <c r="R82" s="189">
        <v>0</v>
      </c>
      <c r="S82" s="189"/>
      <c r="T82" s="189">
        <f t="shared" si="5"/>
        <v>4681237620</v>
      </c>
      <c r="U82" s="189"/>
      <c r="V82" s="205">
        <f>T82/درآمدها!$F$9</f>
        <v>1.3277132555453699E-3</v>
      </c>
      <c r="W82" s="256"/>
      <c r="X82" s="185"/>
      <c r="Y82" s="185"/>
      <c r="AA82" s="185"/>
    </row>
    <row r="83" spans="2:30" ht="36" customHeight="1" x14ac:dyDescent="0.25">
      <c r="B83" s="175" t="s">
        <v>123</v>
      </c>
      <c r="C83" s="175"/>
      <c r="D83" s="190">
        <v>0</v>
      </c>
      <c r="E83" s="188"/>
      <c r="F83" s="189">
        <v>79722940880</v>
      </c>
      <c r="G83" s="189"/>
      <c r="H83" s="189">
        <v>0</v>
      </c>
      <c r="I83" s="189"/>
      <c r="J83" s="189">
        <f t="shared" si="4"/>
        <v>79722940880</v>
      </c>
      <c r="K83" s="189"/>
      <c r="L83" s="205">
        <f t="shared" si="3"/>
        <v>-7.709347703482318E-2</v>
      </c>
      <c r="M83" s="189"/>
      <c r="N83" s="189">
        <v>0</v>
      </c>
      <c r="O83" s="189"/>
      <c r="P83" s="189">
        <v>15400030399</v>
      </c>
      <c r="Q83" s="189"/>
      <c r="R83" s="189">
        <v>0</v>
      </c>
      <c r="S83" s="189"/>
      <c r="T83" s="189">
        <f t="shared" si="5"/>
        <v>15400030399</v>
      </c>
      <c r="U83" s="189"/>
      <c r="V83" s="205">
        <f>T83/درآمدها!$F$9</f>
        <v>4.3678245276841873E-3</v>
      </c>
      <c r="W83" s="256"/>
      <c r="X83" s="185"/>
      <c r="Y83" s="185"/>
      <c r="AA83" s="185"/>
    </row>
    <row r="84" spans="2:30" ht="36" customHeight="1" x14ac:dyDescent="0.25">
      <c r="B84" s="175" t="s">
        <v>193</v>
      </c>
      <c r="C84" s="175"/>
      <c r="D84" s="190">
        <v>0</v>
      </c>
      <c r="E84" s="188"/>
      <c r="F84" s="189">
        <v>59595736200</v>
      </c>
      <c r="G84" s="189"/>
      <c r="H84" s="189">
        <v>0</v>
      </c>
      <c r="I84" s="189"/>
      <c r="J84" s="189">
        <f t="shared" si="4"/>
        <v>59595736200</v>
      </c>
      <c r="K84" s="189"/>
      <c r="L84" s="205">
        <f t="shared" si="3"/>
        <v>-5.7630118374881509E-2</v>
      </c>
      <c r="M84" s="189"/>
      <c r="N84" s="189">
        <v>0</v>
      </c>
      <c r="O84" s="189"/>
      <c r="P84" s="189">
        <v>64180023600</v>
      </c>
      <c r="Q84" s="189"/>
      <c r="R84" s="189">
        <v>0</v>
      </c>
      <c r="S84" s="189">
        <v>-4335963253</v>
      </c>
      <c r="T84" s="189">
        <f t="shared" si="5"/>
        <v>64180023600</v>
      </c>
      <c r="U84" s="189"/>
      <c r="V84" s="205">
        <f>T84/درآمدها!$F$9</f>
        <v>1.8203021293102969E-2</v>
      </c>
      <c r="W84" s="256"/>
      <c r="X84" s="185"/>
      <c r="Y84" s="185"/>
      <c r="AA84" s="185"/>
    </row>
    <row r="85" spans="2:30" ht="36" customHeight="1" x14ac:dyDescent="0.25">
      <c r="B85" s="175" t="s">
        <v>128</v>
      </c>
      <c r="C85" s="175"/>
      <c r="D85" s="190">
        <v>0</v>
      </c>
      <c r="E85" s="188"/>
      <c r="F85" s="189">
        <v>108317407278</v>
      </c>
      <c r="G85" s="189"/>
      <c r="H85" s="189">
        <v>0</v>
      </c>
      <c r="I85" s="189"/>
      <c r="J85" s="189">
        <f t="shared" si="4"/>
        <v>108317407278</v>
      </c>
      <c r="K85" s="189"/>
      <c r="L85" s="205">
        <f t="shared" si="3"/>
        <v>-0.10474482574629881</v>
      </c>
      <c r="M85" s="189"/>
      <c r="N85" s="189">
        <v>0</v>
      </c>
      <c r="O85" s="189"/>
      <c r="P85" s="189">
        <v>97481818878</v>
      </c>
      <c r="Q85" s="189"/>
      <c r="R85" s="189">
        <v>0</v>
      </c>
      <c r="S85" s="189">
        <v>4030409699</v>
      </c>
      <c r="T85" s="189">
        <f t="shared" si="5"/>
        <v>97481818878</v>
      </c>
      <c r="U85" s="189"/>
      <c r="V85" s="205">
        <f>T85/درآمدها!$F$9</f>
        <v>2.7648223313003595E-2</v>
      </c>
      <c r="W85" s="256"/>
      <c r="X85" s="185"/>
      <c r="Y85" s="185"/>
      <c r="AA85" s="185"/>
    </row>
    <row r="86" spans="2:30" ht="36" customHeight="1" x14ac:dyDescent="0.25">
      <c r="B86" s="196" t="s">
        <v>7</v>
      </c>
      <c r="C86" s="165"/>
      <c r="D86" s="206">
        <f>SUM(D53:D85)</f>
        <v>60060717064</v>
      </c>
      <c r="E86" s="188"/>
      <c r="F86" s="206">
        <f>SUM(F53:F85)</f>
        <v>4278380840242</v>
      </c>
      <c r="G86" s="206"/>
      <c r="H86" s="206">
        <f>SUM(H53:H85)</f>
        <v>200316920945</v>
      </c>
      <c r="I86" s="206"/>
      <c r="J86" s="206">
        <f>SUM(J53:J85)</f>
        <v>4538758478251</v>
      </c>
      <c r="K86" s="206"/>
      <c r="L86" s="120">
        <f>SUM(L53:L85)</f>
        <v>-4.3890587658618809</v>
      </c>
      <c r="M86" s="206"/>
      <c r="N86" s="206">
        <f>SUM(N53:N85)</f>
        <v>60807100487</v>
      </c>
      <c r="O86" s="206"/>
      <c r="P86" s="206">
        <f>SUM(P53:P85)</f>
        <v>3241424764362</v>
      </c>
      <c r="Q86" s="206"/>
      <c r="R86" s="206">
        <f>SUM(R53:R85)</f>
        <v>193026647445</v>
      </c>
      <c r="S86" s="206"/>
      <c r="T86" s="206">
        <f>SUM(T53:T85)</f>
        <v>3495258512294</v>
      </c>
      <c r="U86" s="189"/>
      <c r="V86" s="120">
        <f>SUM(V53:V85)</f>
        <v>-8.6593685174791019E-3</v>
      </c>
      <c r="W86" s="256"/>
      <c r="X86" s="185"/>
      <c r="Y86" s="185"/>
      <c r="AA86" s="185"/>
    </row>
    <row r="87" spans="2:30" ht="36" customHeight="1" x14ac:dyDescent="0.25">
      <c r="B87" s="175"/>
      <c r="C87" s="165"/>
      <c r="D87" s="190"/>
      <c r="E87" s="188"/>
      <c r="F87" s="189"/>
      <c r="G87" s="189"/>
      <c r="H87" s="189"/>
      <c r="I87" s="189"/>
      <c r="J87" s="189"/>
      <c r="K87" s="189"/>
      <c r="L87" s="205"/>
      <c r="M87" s="189"/>
      <c r="N87" s="189"/>
      <c r="O87" s="189"/>
      <c r="P87" s="189"/>
      <c r="Q87" s="189"/>
      <c r="R87" s="189"/>
      <c r="S87" s="189"/>
      <c r="T87" s="189"/>
      <c r="U87" s="189"/>
      <c r="V87" s="205"/>
      <c r="W87" s="256"/>
      <c r="X87" s="185"/>
      <c r="Y87" s="311"/>
      <c r="Z87" s="312"/>
      <c r="AA87" s="185"/>
    </row>
    <row r="88" spans="2:30" ht="30" hidden="1" customHeight="1" x14ac:dyDescent="0.25">
      <c r="B88" s="410" t="s">
        <v>136</v>
      </c>
      <c r="C88" s="410"/>
      <c r="D88" s="410"/>
      <c r="E88" s="410"/>
      <c r="F88" s="410"/>
      <c r="G88" s="410"/>
      <c r="H88" s="410"/>
      <c r="I88" s="410"/>
      <c r="J88" s="410"/>
      <c r="K88" s="410"/>
      <c r="L88" s="410"/>
      <c r="M88" s="410"/>
      <c r="N88" s="410"/>
      <c r="O88" s="410"/>
      <c r="P88" s="410"/>
      <c r="Q88" s="410"/>
      <c r="R88" s="410"/>
      <c r="S88" s="410"/>
      <c r="T88" s="410"/>
      <c r="U88" s="410"/>
      <c r="V88" s="410"/>
      <c r="W88" s="256"/>
      <c r="X88" s="102"/>
      <c r="Y88" s="312"/>
      <c r="Z88" s="313"/>
      <c r="AA88" s="203"/>
      <c r="AD88" s="185"/>
    </row>
    <row r="89" spans="2:30" ht="30" hidden="1" customHeight="1" x14ac:dyDescent="0.25">
      <c r="W89" s="256"/>
      <c r="X89" s="102"/>
      <c r="Y89" s="312"/>
      <c r="Z89" s="313"/>
      <c r="AA89" s="203"/>
    </row>
    <row r="90" spans="2:30" ht="30" hidden="1" customHeight="1" thickBot="1" x14ac:dyDescent="0.3">
      <c r="B90" s="263"/>
      <c r="C90" s="201"/>
      <c r="D90" s="403" t="str">
        <f>D49</f>
        <v>طی خرداد ماه</v>
      </c>
      <c r="E90" s="403"/>
      <c r="F90" s="403"/>
      <c r="G90" s="403"/>
      <c r="H90" s="403"/>
      <c r="I90" s="403"/>
      <c r="J90" s="403"/>
      <c r="K90" s="201"/>
      <c r="L90" s="201"/>
      <c r="M90" s="201"/>
      <c r="N90" s="403" t="str">
        <f>N49</f>
        <v>از ابتدای سال مالی تا پایان خرداد  ماه</v>
      </c>
      <c r="O90" s="403"/>
      <c r="P90" s="403"/>
      <c r="Q90" s="403"/>
      <c r="R90" s="403"/>
      <c r="S90" s="403"/>
      <c r="T90" s="403"/>
      <c r="U90" s="403"/>
      <c r="V90" s="403"/>
      <c r="W90" s="256"/>
      <c r="X90" s="102"/>
      <c r="Y90" s="312"/>
      <c r="Z90" s="313"/>
      <c r="AA90" s="203"/>
    </row>
    <row r="91" spans="2:30" ht="30" hidden="1" customHeight="1" x14ac:dyDescent="0.25">
      <c r="B91" s="411" t="s">
        <v>35</v>
      </c>
      <c r="C91" s="404"/>
      <c r="D91" s="409" t="s">
        <v>21</v>
      </c>
      <c r="E91" s="411"/>
      <c r="F91" s="409" t="s">
        <v>22</v>
      </c>
      <c r="G91" s="411"/>
      <c r="H91" s="409" t="s">
        <v>23</v>
      </c>
      <c r="I91" s="411"/>
      <c r="J91" s="406" t="s">
        <v>7</v>
      </c>
      <c r="K91" s="406"/>
      <c r="L91" s="406"/>
      <c r="M91" s="404"/>
      <c r="N91" s="409" t="s">
        <v>21</v>
      </c>
      <c r="O91" s="411"/>
      <c r="P91" s="409" t="s">
        <v>22</v>
      </c>
      <c r="Q91" s="411"/>
      <c r="R91" s="409" t="s">
        <v>23</v>
      </c>
      <c r="S91" s="411"/>
      <c r="T91" s="406" t="s">
        <v>7</v>
      </c>
      <c r="U91" s="406"/>
      <c r="V91" s="406"/>
      <c r="W91" s="256"/>
      <c r="X91" s="102"/>
      <c r="Y91" s="312"/>
      <c r="Z91" s="313"/>
      <c r="AA91" s="203"/>
    </row>
    <row r="92" spans="2:30" ht="30" hidden="1" customHeight="1" thickBot="1" x14ac:dyDescent="0.3">
      <c r="B92" s="404"/>
      <c r="C92" s="404"/>
      <c r="D92" s="408"/>
      <c r="E92" s="404"/>
      <c r="F92" s="408"/>
      <c r="G92" s="404"/>
      <c r="H92" s="408"/>
      <c r="I92" s="404"/>
      <c r="J92" s="403"/>
      <c r="K92" s="403"/>
      <c r="L92" s="403"/>
      <c r="M92" s="404"/>
      <c r="N92" s="408"/>
      <c r="O92" s="404"/>
      <c r="P92" s="408"/>
      <c r="Q92" s="404"/>
      <c r="R92" s="408"/>
      <c r="S92" s="404"/>
      <c r="T92" s="403"/>
      <c r="U92" s="403"/>
      <c r="V92" s="403"/>
      <c r="W92" s="256"/>
      <c r="X92" s="102"/>
      <c r="Y92" s="312"/>
      <c r="Z92" s="313"/>
      <c r="AA92" s="203"/>
    </row>
    <row r="93" spans="2:30" ht="30" hidden="1" customHeight="1" thickBot="1" x14ac:dyDescent="0.3">
      <c r="B93" s="405"/>
      <c r="C93" s="404"/>
      <c r="D93" s="88" t="s">
        <v>90</v>
      </c>
      <c r="E93" s="404"/>
      <c r="F93" s="88" t="s">
        <v>91</v>
      </c>
      <c r="G93" s="404"/>
      <c r="H93" s="88" t="s">
        <v>92</v>
      </c>
      <c r="I93" s="404"/>
      <c r="J93" s="103" t="s">
        <v>11</v>
      </c>
      <c r="K93" s="103"/>
      <c r="L93" s="103" t="s">
        <v>24</v>
      </c>
      <c r="M93" s="404"/>
      <c r="N93" s="88" t="s">
        <v>90</v>
      </c>
      <c r="O93" s="404"/>
      <c r="P93" s="88" t="s">
        <v>91</v>
      </c>
      <c r="Q93" s="404"/>
      <c r="R93" s="88" t="s">
        <v>92</v>
      </c>
      <c r="S93" s="404"/>
      <c r="T93" s="103" t="s">
        <v>11</v>
      </c>
      <c r="U93" s="103"/>
      <c r="V93" s="103" t="s">
        <v>24</v>
      </c>
      <c r="W93" s="256"/>
      <c r="X93" s="102"/>
      <c r="Y93" s="312"/>
      <c r="Z93" s="313"/>
      <c r="AA93" s="203"/>
    </row>
    <row r="94" spans="2:30" ht="30" hidden="1" customHeight="1" thickBot="1" x14ac:dyDescent="0.3">
      <c r="B94" s="191" t="s">
        <v>166</v>
      </c>
      <c r="C94" s="191"/>
      <c r="D94" s="189">
        <f>D86</f>
        <v>60060717064</v>
      </c>
      <c r="E94" s="191"/>
      <c r="F94" s="189">
        <f>F86</f>
        <v>4278380840242</v>
      </c>
      <c r="G94" s="189"/>
      <c r="H94" s="189">
        <f>H86</f>
        <v>200316920945</v>
      </c>
      <c r="I94" s="189"/>
      <c r="J94" s="189">
        <f>J86</f>
        <v>4538758478251</v>
      </c>
      <c r="K94" s="189"/>
      <c r="L94" s="205">
        <f>L86</f>
        <v>-4.3890587658618809</v>
      </c>
      <c r="M94" s="189"/>
      <c r="N94" s="189">
        <f>N86</f>
        <v>60807100487</v>
      </c>
      <c r="O94" s="189"/>
      <c r="P94" s="189">
        <f>P86</f>
        <v>3241424764362</v>
      </c>
      <c r="Q94" s="189"/>
      <c r="R94" s="189">
        <f>R86</f>
        <v>193026647445</v>
      </c>
      <c r="S94" s="189"/>
      <c r="T94" s="189">
        <f>T86</f>
        <v>3495258512294</v>
      </c>
      <c r="U94" s="105"/>
      <c r="V94" s="106">
        <f>V86</f>
        <v>-8.6593685174791019E-3</v>
      </c>
      <c r="W94" s="256"/>
      <c r="X94" s="102"/>
      <c r="Z94" s="194"/>
      <c r="AA94" s="203"/>
    </row>
    <row r="95" spans="2:30" ht="30" hidden="1" customHeight="1" thickBot="1" x14ac:dyDescent="0.3">
      <c r="B95" s="196" t="s">
        <v>7</v>
      </c>
      <c r="D95" s="61">
        <f>SUM(D94:D94)</f>
        <v>60060717064</v>
      </c>
      <c r="F95" s="61">
        <f>SUM(F94:F94)</f>
        <v>4278380840242</v>
      </c>
      <c r="G95" s="191"/>
      <c r="H95" s="61">
        <f>SUM(H94:H94)</f>
        <v>200316920945</v>
      </c>
      <c r="I95" s="191"/>
      <c r="J95" s="61">
        <f>SUM(J94:J94)</f>
        <v>4538758478251</v>
      </c>
      <c r="K95" s="61"/>
      <c r="L95" s="107">
        <f>SUM(L94:L94)</f>
        <v>-4.3890587658618809</v>
      </c>
      <c r="M95" s="191"/>
      <c r="N95" s="61">
        <f>SUM(N94:N94)</f>
        <v>60807100487</v>
      </c>
      <c r="O95" s="191"/>
      <c r="P95" s="61">
        <f>SUM(P94:P94)</f>
        <v>3241424764362</v>
      </c>
      <c r="Q95" s="191"/>
      <c r="R95" s="61">
        <f>SUM(R94:R94)</f>
        <v>193026647445</v>
      </c>
      <c r="S95" s="191"/>
      <c r="T95" s="61">
        <f>SUM(T94:T94)</f>
        <v>3495258512294</v>
      </c>
      <c r="U95" s="61"/>
      <c r="V95" s="107">
        <f>SUM(V94:V94)</f>
        <v>-8.6593685174791019E-3</v>
      </c>
      <c r="W95" s="256"/>
      <c r="X95" s="102"/>
      <c r="Z95" s="194"/>
      <c r="AA95" s="203"/>
    </row>
    <row r="96" spans="2:30" ht="30" hidden="1" customHeight="1" thickTop="1" x14ac:dyDescent="0.55000000000000004">
      <c r="B96" s="196"/>
      <c r="D96" s="266"/>
      <c r="F96" s="102"/>
      <c r="G96" s="191"/>
      <c r="H96" s="93"/>
      <c r="I96" s="191"/>
      <c r="J96" s="266"/>
      <c r="K96" s="266"/>
      <c r="L96" s="125"/>
      <c r="M96" s="191"/>
      <c r="N96" s="266"/>
      <c r="O96" s="191"/>
      <c r="P96" s="248"/>
      <c r="Q96" s="266"/>
      <c r="R96" s="266"/>
      <c r="S96" s="191"/>
      <c r="T96" s="266">
        <f>N95+P95+R95-T95</f>
        <v>0</v>
      </c>
      <c r="U96" s="266"/>
      <c r="V96" s="125"/>
      <c r="W96" s="256"/>
      <c r="X96" s="102"/>
      <c r="Z96" s="194"/>
      <c r="AA96" s="203"/>
    </row>
    <row r="97" spans="2:27" ht="30" hidden="1" customHeight="1" x14ac:dyDescent="0.55000000000000004">
      <c r="B97" s="196"/>
      <c r="D97" s="266"/>
      <c r="F97" s="266"/>
      <c r="G97" s="191"/>
      <c r="H97" s="93"/>
      <c r="I97" s="191"/>
      <c r="J97" s="203"/>
      <c r="K97" s="266"/>
      <c r="L97" s="125"/>
      <c r="M97" s="191"/>
      <c r="N97" s="266"/>
      <c r="O97" s="191"/>
      <c r="P97" s="266"/>
      <c r="Q97" s="191"/>
      <c r="R97" s="266"/>
      <c r="S97" s="191"/>
      <c r="T97" s="266"/>
      <c r="U97" s="266"/>
      <c r="V97" s="125"/>
      <c r="W97" s="256"/>
      <c r="X97" s="102"/>
      <c r="Z97" s="194"/>
      <c r="AA97" s="203"/>
    </row>
    <row r="98" spans="2:27" ht="30" hidden="1" customHeight="1" x14ac:dyDescent="0.55000000000000004">
      <c r="B98" s="196"/>
      <c r="D98" s="266"/>
      <c r="E98" s="266"/>
      <c r="F98" s="266"/>
      <c r="G98" s="266"/>
      <c r="H98" s="93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125"/>
      <c r="W98" s="256"/>
      <c r="X98" s="102"/>
      <c r="Z98" s="194"/>
      <c r="AA98" s="203"/>
    </row>
    <row r="99" spans="2:27" ht="30" hidden="1" customHeight="1" x14ac:dyDescent="0.55000000000000004">
      <c r="B99" s="196"/>
      <c r="D99" s="266"/>
      <c r="F99" s="266"/>
      <c r="G99" s="191"/>
      <c r="H99" s="93"/>
      <c r="I99" s="191"/>
      <c r="J99" s="266"/>
      <c r="K99" s="266"/>
      <c r="L99" s="125"/>
      <c r="M99" s="191"/>
      <c r="N99" s="266"/>
      <c r="O99" s="191"/>
      <c r="P99" s="266"/>
      <c r="Q99" s="191"/>
      <c r="R99" s="266"/>
      <c r="S99" s="191"/>
      <c r="T99" s="266"/>
      <c r="U99" s="266"/>
      <c r="V99" s="125"/>
      <c r="W99" s="256"/>
      <c r="X99" s="102"/>
      <c r="Z99" s="194"/>
      <c r="AA99" s="203"/>
    </row>
    <row r="100" spans="2:27" ht="30" hidden="1" customHeight="1" x14ac:dyDescent="0.25">
      <c r="B100" s="191"/>
      <c r="C100" s="266"/>
      <c r="D100" s="191"/>
      <c r="E100" s="266"/>
      <c r="F100" s="266"/>
      <c r="G100" s="125"/>
      <c r="H100" s="285"/>
      <c r="I100" s="266"/>
      <c r="J100" s="282"/>
      <c r="K100" s="266"/>
      <c r="L100" s="191"/>
      <c r="M100" s="266"/>
      <c r="N100" s="191"/>
      <c r="O100" s="266"/>
      <c r="P100" s="266"/>
      <c r="Q100" s="125"/>
      <c r="R100" s="203"/>
      <c r="S100" s="185"/>
      <c r="T100" s="185"/>
      <c r="U100" s="183"/>
      <c r="V100" s="185"/>
      <c r="W100" s="256"/>
      <c r="X100" s="102"/>
      <c r="Z100" s="194"/>
      <c r="AA100" s="203"/>
    </row>
    <row r="101" spans="2:27" ht="12.75" hidden="1" customHeight="1" x14ac:dyDescent="0.25">
      <c r="B101" s="183"/>
      <c r="C101" s="208">
        <v>-141115264157</v>
      </c>
      <c r="I101" s="185"/>
      <c r="K101" s="185"/>
      <c r="M101" s="185"/>
      <c r="O101" s="102"/>
      <c r="P101" s="102"/>
      <c r="Q101" s="209"/>
      <c r="S101" s="185"/>
      <c r="T101" s="185"/>
      <c r="U101" s="183"/>
      <c r="V101" s="185"/>
      <c r="W101" s="256"/>
      <c r="X101" s="102"/>
      <c r="Z101" s="194"/>
      <c r="AA101" s="203"/>
    </row>
    <row r="102" spans="2:27" ht="30" hidden="1" customHeight="1" x14ac:dyDescent="0.25">
      <c r="B102" s="183"/>
      <c r="C102" s="208">
        <v>495943397</v>
      </c>
      <c r="I102" s="185"/>
      <c r="K102" s="185"/>
      <c r="M102" s="185"/>
      <c r="O102" s="102"/>
      <c r="P102" s="102"/>
      <c r="Q102" s="209"/>
      <c r="S102" s="185"/>
      <c r="T102" s="185"/>
      <c r="U102" s="183"/>
      <c r="V102" s="185"/>
      <c r="W102" s="256"/>
      <c r="X102" s="102"/>
      <c r="Z102" s="194"/>
      <c r="AA102" s="203"/>
    </row>
    <row r="103" spans="2:27" ht="30" hidden="1" customHeight="1" x14ac:dyDescent="0.25">
      <c r="B103" s="183"/>
      <c r="C103" s="208">
        <v>3262800118</v>
      </c>
      <c r="E103" s="203"/>
      <c r="F103" s="203"/>
      <c r="G103" s="203"/>
      <c r="I103" s="146"/>
      <c r="J103" s="60"/>
      <c r="K103" s="272"/>
      <c r="L103" s="60"/>
      <c r="M103" s="60"/>
      <c r="N103" s="60"/>
      <c r="O103" s="60"/>
      <c r="P103" s="102"/>
      <c r="Q103" s="200"/>
      <c r="S103" s="185"/>
      <c r="T103" s="185"/>
      <c r="U103" s="183"/>
      <c r="V103" s="185"/>
      <c r="W103" s="256"/>
      <c r="X103" s="102"/>
      <c r="Z103" s="194"/>
      <c r="AA103" s="203"/>
    </row>
    <row r="104" spans="2:27" ht="30" hidden="1" customHeight="1" x14ac:dyDescent="0.25">
      <c r="B104" s="185"/>
      <c r="C104" s="208">
        <f>C101-C102-C103</f>
        <v>-144874007672</v>
      </c>
      <c r="G104" s="273"/>
      <c r="I104" s="185"/>
      <c r="J104" s="185"/>
      <c r="K104" s="185"/>
      <c r="L104" s="185"/>
      <c r="M104" s="185"/>
      <c r="N104" s="185"/>
      <c r="O104" s="185"/>
      <c r="P104" s="102"/>
      <c r="Q104" s="274"/>
      <c r="T104" s="185"/>
      <c r="U104" s="183"/>
      <c r="V104" s="185"/>
      <c r="W104" s="256"/>
      <c r="X104" s="102"/>
      <c r="Z104" s="194"/>
      <c r="AA104" s="203"/>
    </row>
    <row r="105" spans="2:27" ht="49.5" hidden="1" customHeight="1" x14ac:dyDescent="0.25">
      <c r="B105" s="183"/>
      <c r="C105" s="208">
        <f>H95-C104</f>
        <v>345190928617</v>
      </c>
      <c r="G105" s="185"/>
      <c r="I105" s="272"/>
      <c r="J105" s="203"/>
      <c r="K105" s="203"/>
      <c r="M105" s="185"/>
      <c r="O105" s="102"/>
      <c r="P105" s="102"/>
      <c r="Q105" s="200"/>
      <c r="T105" s="185"/>
      <c r="U105" s="183"/>
      <c r="V105" s="185"/>
      <c r="W105" s="256"/>
      <c r="X105" s="102"/>
      <c r="Z105" s="194"/>
      <c r="AA105" s="203"/>
    </row>
    <row r="106" spans="2:27" ht="30" hidden="1" customHeight="1" x14ac:dyDescent="0.25">
      <c r="B106" s="183"/>
      <c r="C106" s="211"/>
      <c r="D106" s="203"/>
      <c r="E106" s="203"/>
      <c r="H106" s="203"/>
      <c r="I106" s="185"/>
      <c r="K106" s="203"/>
      <c r="M106" s="275"/>
      <c r="O106" s="102"/>
      <c r="P106" s="102"/>
      <c r="Q106" s="200"/>
      <c r="R106" s="203"/>
      <c r="T106" s="185"/>
      <c r="U106" s="183"/>
      <c r="V106" s="185"/>
      <c r="W106" s="256"/>
      <c r="X106" s="102"/>
      <c r="Z106" s="194"/>
      <c r="AA106" s="203"/>
    </row>
    <row r="107" spans="2:27" ht="30" hidden="1" customHeight="1" x14ac:dyDescent="0.25">
      <c r="F107" s="185"/>
      <c r="H107" s="210"/>
      <c r="N107" s="185"/>
      <c r="P107" s="203"/>
      <c r="R107" s="210"/>
      <c r="W107" s="203"/>
      <c r="X107" s="185"/>
      <c r="Y107" s="185"/>
      <c r="AA107" s="185"/>
    </row>
    <row r="108" spans="2:27" ht="30" customHeight="1" x14ac:dyDescent="0.55000000000000004">
      <c r="F108" s="244"/>
      <c r="H108" s="93"/>
      <c r="J108" s="250"/>
      <c r="P108" s="244"/>
      <c r="R108" s="93"/>
      <c r="T108" s="102">
        <f>N86+P86+R86-T86</f>
        <v>0</v>
      </c>
      <c r="X108" s="185"/>
      <c r="Y108" s="185"/>
      <c r="AA108" s="185"/>
    </row>
    <row r="109" spans="2:27" ht="30" customHeight="1" x14ac:dyDescent="0.25">
      <c r="D109" s="305"/>
      <c r="E109" s="305"/>
      <c r="F109" s="305"/>
      <c r="G109" s="305"/>
      <c r="H109" s="305"/>
      <c r="N109" s="185"/>
      <c r="O109" s="185"/>
      <c r="P109" s="185"/>
      <c r="Q109" s="185"/>
      <c r="R109" s="185"/>
      <c r="X109" s="185"/>
      <c r="Y109" s="185"/>
      <c r="AA109" s="185"/>
    </row>
    <row r="110" spans="2:27" ht="30" customHeight="1" x14ac:dyDescent="0.25">
      <c r="D110" s="305"/>
      <c r="N110" s="185"/>
      <c r="R110" s="185"/>
    </row>
    <row r="111" spans="2:27" ht="36" hidden="1" customHeight="1" x14ac:dyDescent="0.25"/>
    <row r="112" spans="2:27" ht="36" hidden="1" customHeight="1" x14ac:dyDescent="0.25"/>
    <row r="113" spans="4:29" ht="36" hidden="1" customHeight="1" x14ac:dyDescent="0.25"/>
    <row r="114" spans="4:29" ht="30" customHeight="1" x14ac:dyDescent="0.25">
      <c r="D114" s="305"/>
      <c r="H114" s="204"/>
      <c r="N114" s="305"/>
      <c r="R114" s="204"/>
    </row>
    <row r="115" spans="4:29" ht="60" customHeight="1" x14ac:dyDescent="0.25">
      <c r="H115" s="204"/>
      <c r="R115" s="204"/>
    </row>
    <row r="116" spans="4:29" ht="36" customHeight="1" x14ac:dyDescent="0.25">
      <c r="R116" s="204"/>
    </row>
    <row r="117" spans="4:29" ht="36" customHeight="1" x14ac:dyDescent="0.25">
      <c r="Y117" s="185"/>
      <c r="AA117" s="185"/>
    </row>
    <row r="118" spans="4:29" ht="36" customHeight="1" x14ac:dyDescent="0.25">
      <c r="Y118" s="185"/>
      <c r="AA118" s="185"/>
    </row>
    <row r="119" spans="4:29" ht="36" customHeight="1" x14ac:dyDescent="0.25">
      <c r="Y119" s="185"/>
      <c r="AA119" s="185"/>
    </row>
    <row r="120" spans="4:29" ht="36" customHeight="1" x14ac:dyDescent="0.25">
      <c r="Y120" s="185"/>
      <c r="AA120" s="185"/>
    </row>
    <row r="121" spans="4:29" ht="36" customHeight="1" x14ac:dyDescent="0.25">
      <c r="AC121" s="185"/>
    </row>
    <row r="122" spans="4:29" ht="36" customHeight="1" x14ac:dyDescent="0.25">
      <c r="AA122" s="185"/>
      <c r="AC122" s="185"/>
    </row>
    <row r="123" spans="4:29" ht="36" customHeight="1" x14ac:dyDescent="0.25">
      <c r="AA123" s="185"/>
    </row>
    <row r="124" spans="4:29" ht="36" customHeight="1" x14ac:dyDescent="0.25">
      <c r="AA124" s="185"/>
    </row>
    <row r="125" spans="4:29" ht="36" customHeight="1" x14ac:dyDescent="0.25">
      <c r="AA125" s="185"/>
    </row>
  </sheetData>
  <mergeCells count="63">
    <mergeCell ref="H91:H92"/>
    <mergeCell ref="I91:I93"/>
    <mergeCell ref="J91:L92"/>
    <mergeCell ref="C91:C93"/>
    <mergeCell ref="D91:D92"/>
    <mergeCell ref="E91:E93"/>
    <mergeCell ref="F91:F92"/>
    <mergeCell ref="G91:G93"/>
    <mergeCell ref="M91:M93"/>
    <mergeCell ref="S91:S93"/>
    <mergeCell ref="T91:V92"/>
    <mergeCell ref="N91:N92"/>
    <mergeCell ref="Q50:Q52"/>
    <mergeCell ref="R50:R51"/>
    <mergeCell ref="S50:S52"/>
    <mergeCell ref="T50:V51"/>
    <mergeCell ref="O91:O93"/>
    <mergeCell ref="P91:P92"/>
    <mergeCell ref="Q91:Q93"/>
    <mergeCell ref="R91:R92"/>
    <mergeCell ref="B88:V88"/>
    <mergeCell ref="D90:J90"/>
    <mergeCell ref="N90:V90"/>
    <mergeCell ref="B91:B93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3" location="'درآمد سود سهام'!A1" display="یادداشت 2-1-1" xr:uid="{CF8085A2-6FA9-4EB4-BFCD-DC18334142B2}"/>
    <hyperlink ref="F93" location="'درآمد ناشی از تغییر قیمت اوراق '!A1" display="یادداشت 2-1-2" xr:uid="{CBB77952-CA42-4DDA-8A5D-FEA17F792437}"/>
    <hyperlink ref="H93" location="'درآمد ناشی ازفروش'!A1" display="یادداشت 2-1-3" xr:uid="{712A21DE-6CA2-4FF9-9699-E92B69F9E018}"/>
    <hyperlink ref="N93" location="'درآمد سود سهام'!A1" display="یادداشت 2-1-1" xr:uid="{665F5D3B-78CF-4008-9451-267047ED79DB}"/>
    <hyperlink ref="P93" location="'درآمد ناشی از تغییر قیمت اوراق '!A1" display="یادداشت 2-1-2" xr:uid="{83929033-AD49-4AE8-BB73-952F5EC8DD29}"/>
    <hyperlink ref="R93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99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88"/>
  <sheetViews>
    <sheetView rightToLeft="1" view="pageBreakPreview" zoomScale="85" zoomScaleNormal="85" zoomScaleSheetLayoutView="85" workbookViewId="0">
      <selection activeCell="L20" sqref="L20"/>
    </sheetView>
  </sheetViews>
  <sheetFormatPr defaultColWidth="9.140625" defaultRowHeight="22.5" x14ac:dyDescent="0.25"/>
  <cols>
    <col min="1" max="1" width="4.140625" style="12" customWidth="1"/>
    <col min="2" max="2" width="30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0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402" t="str">
        <f>درآمدها!A1</f>
        <v>صندوق سرمایه گذاری شاخص سی شرکت بزرگ فیروزه</v>
      </c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14"/>
      <c r="O1" s="402"/>
      <c r="P1" s="414"/>
      <c r="Q1" s="402"/>
      <c r="R1" s="414"/>
      <c r="S1" s="402"/>
      <c r="T1" s="414"/>
    </row>
    <row r="2" spans="2:33" ht="24" x14ac:dyDescent="0.25">
      <c r="B2" s="402" t="s">
        <v>86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14"/>
      <c r="O2" s="402"/>
      <c r="P2" s="414"/>
      <c r="Q2" s="402"/>
      <c r="R2" s="414"/>
      <c r="S2" s="402"/>
      <c r="T2" s="414"/>
    </row>
    <row r="3" spans="2:33" ht="24" x14ac:dyDescent="0.25">
      <c r="B3" s="402" t="str">
        <f>' سهام'!AC6</f>
        <v>برای ماه منتهی به 1405/03/31</v>
      </c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14"/>
      <c r="O3" s="402"/>
      <c r="P3" s="414"/>
      <c r="Q3" s="402"/>
      <c r="R3" s="414"/>
      <c r="S3" s="402"/>
      <c r="T3" s="414"/>
    </row>
    <row r="4" spans="2:33" ht="24" x14ac:dyDescent="0.25">
      <c r="B4" s="128" t="s">
        <v>95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169</v>
      </c>
    </row>
    <row r="5" spans="2:33" ht="21" customHeight="1" thickBot="1" x14ac:dyDescent="0.3">
      <c r="D5" s="412" t="s">
        <v>70</v>
      </c>
      <c r="E5" s="412"/>
      <c r="F5" s="412"/>
      <c r="G5" s="412"/>
      <c r="H5" s="412"/>
      <c r="J5" s="412" t="str">
        <f>' سهام'!AC7</f>
        <v>طی خرداد ماه</v>
      </c>
      <c r="K5" s="412"/>
      <c r="L5" s="412"/>
      <c r="M5" s="412"/>
      <c r="N5" s="412"/>
      <c r="O5" s="53"/>
      <c r="P5" s="412" t="str">
        <f>' سهام'!AC8</f>
        <v>از ابتدای سال مالی تا پایان خرداد  ماه</v>
      </c>
      <c r="Q5" s="413"/>
      <c r="R5" s="412"/>
      <c r="S5" s="413"/>
      <c r="T5" s="412"/>
      <c r="U5" s="53"/>
      <c r="V5" s="53"/>
      <c r="W5" s="53"/>
      <c r="AE5" s="12" t="s">
        <v>173</v>
      </c>
    </row>
    <row r="6" spans="2:33" ht="79.5" customHeight="1" thickBot="1" x14ac:dyDescent="0.3">
      <c r="B6" s="197" t="s">
        <v>44</v>
      </c>
      <c r="C6" s="162"/>
      <c r="D6" s="181" t="s">
        <v>138</v>
      </c>
      <c r="E6" s="162"/>
      <c r="F6" s="111" t="s">
        <v>69</v>
      </c>
      <c r="G6" s="162"/>
      <c r="H6" s="111" t="s">
        <v>65</v>
      </c>
      <c r="I6" s="162"/>
      <c r="J6" s="111" t="s">
        <v>66</v>
      </c>
      <c r="K6" s="162"/>
      <c r="L6" s="111" t="s">
        <v>67</v>
      </c>
      <c r="M6" s="162"/>
      <c r="N6" s="111" t="s">
        <v>68</v>
      </c>
      <c r="P6" s="111" t="s">
        <v>66</v>
      </c>
      <c r="Q6" s="162"/>
      <c r="R6" s="111" t="s">
        <v>67</v>
      </c>
      <c r="S6" s="162"/>
      <c r="T6" s="111" t="s">
        <v>68</v>
      </c>
      <c r="AC6" s="12" t="s">
        <v>174</v>
      </c>
    </row>
    <row r="7" spans="2:33" ht="20.25" customHeight="1" x14ac:dyDescent="0.25">
      <c r="B7" s="158" t="s">
        <v>175</v>
      </c>
      <c r="C7" s="162"/>
      <c r="D7" s="162" t="s">
        <v>219</v>
      </c>
      <c r="E7" s="162"/>
      <c r="F7" s="112">
        <v>19617870</v>
      </c>
      <c r="G7" s="162"/>
      <c r="H7" s="112">
        <v>150</v>
      </c>
      <c r="I7" s="162"/>
      <c r="J7" s="189">
        <v>2942680500</v>
      </c>
      <c r="K7" s="162"/>
      <c r="L7" s="189">
        <v>-422848518</v>
      </c>
      <c r="M7" s="162"/>
      <c r="N7" s="189">
        <v>2519831982</v>
      </c>
      <c r="P7" s="112">
        <v>2942680500</v>
      </c>
      <c r="Q7" s="162"/>
      <c r="R7" s="189">
        <v>-422848518</v>
      </c>
      <c r="S7" s="162"/>
      <c r="T7" s="198">
        <v>2519831982</v>
      </c>
    </row>
    <row r="8" spans="2:33" ht="20.25" customHeight="1" x14ac:dyDescent="0.25">
      <c r="B8" s="158" t="s">
        <v>140</v>
      </c>
      <c r="C8" s="162"/>
      <c r="D8" s="162" t="s">
        <v>231</v>
      </c>
      <c r="E8" s="162"/>
      <c r="F8" s="112">
        <v>9442434</v>
      </c>
      <c r="G8" s="162"/>
      <c r="H8" s="112">
        <v>6928</v>
      </c>
      <c r="I8" s="162"/>
      <c r="J8" s="189">
        <v>65417182752</v>
      </c>
      <c r="K8" s="162"/>
      <c r="L8" s="189">
        <v>-9268395675</v>
      </c>
      <c r="M8" s="162"/>
      <c r="N8" s="189">
        <v>56148787077</v>
      </c>
      <c r="P8" s="112">
        <v>65417182752</v>
      </c>
      <c r="Q8" s="162"/>
      <c r="R8" s="189">
        <v>-9268395675</v>
      </c>
      <c r="S8" s="162"/>
      <c r="T8" s="198">
        <v>56148787077</v>
      </c>
    </row>
    <row r="9" spans="2:33" ht="20.25" customHeight="1" x14ac:dyDescent="0.25">
      <c r="B9" s="158" t="s">
        <v>126</v>
      </c>
      <c r="C9" s="162"/>
      <c r="D9" s="162" t="s">
        <v>205</v>
      </c>
      <c r="E9" s="162"/>
      <c r="F9" s="112">
        <v>1092</v>
      </c>
      <c r="G9" s="162"/>
      <c r="H9" s="112">
        <v>200</v>
      </c>
      <c r="I9" s="162"/>
      <c r="J9" s="189">
        <v>0</v>
      </c>
      <c r="K9" s="162"/>
      <c r="L9" s="189">
        <v>0</v>
      </c>
      <c r="M9" s="162"/>
      <c r="N9" s="189">
        <v>0</v>
      </c>
      <c r="P9" s="112">
        <v>218400</v>
      </c>
      <c r="Q9" s="162"/>
      <c r="R9" s="189">
        <v>-27920</v>
      </c>
      <c r="S9" s="162"/>
      <c r="T9" s="198">
        <v>190480</v>
      </c>
    </row>
    <row r="10" spans="2:33" ht="20.25" customHeight="1" x14ac:dyDescent="0.25">
      <c r="B10" s="158" t="s">
        <v>125</v>
      </c>
      <c r="C10" s="162"/>
      <c r="D10" s="162" t="s">
        <v>208</v>
      </c>
      <c r="E10" s="162"/>
      <c r="F10" s="112">
        <v>1068</v>
      </c>
      <c r="G10" s="162"/>
      <c r="H10" s="112">
        <v>190</v>
      </c>
      <c r="I10" s="162"/>
      <c r="J10" s="189">
        <v>0</v>
      </c>
      <c r="K10" s="162"/>
      <c r="L10" s="189">
        <v>0</v>
      </c>
      <c r="M10" s="162"/>
      <c r="N10" s="189">
        <v>0</v>
      </c>
      <c r="P10" s="112">
        <v>202920</v>
      </c>
      <c r="Q10" s="162"/>
      <c r="R10" s="189">
        <v>-25835</v>
      </c>
      <c r="S10" s="162"/>
      <c r="T10" s="198">
        <v>177085</v>
      </c>
    </row>
    <row r="11" spans="2:33" ht="19.5" customHeight="1" x14ac:dyDescent="0.25">
      <c r="B11" s="158" t="s">
        <v>192</v>
      </c>
      <c r="C11" s="162"/>
      <c r="D11" s="162" t="s">
        <v>232</v>
      </c>
      <c r="E11" s="162"/>
      <c r="F11" s="112">
        <v>335000</v>
      </c>
      <c r="G11" s="162"/>
      <c r="H11" s="112">
        <v>4850</v>
      </c>
      <c r="I11" s="162"/>
      <c r="J11" s="189">
        <v>1624750000</v>
      </c>
      <c r="K11" s="162"/>
      <c r="L11" s="189">
        <v>-232651995</v>
      </c>
      <c r="M11" s="162"/>
      <c r="N11" s="189">
        <v>1392098005</v>
      </c>
      <c r="P11" s="112">
        <v>1624750000</v>
      </c>
      <c r="Q11" s="162"/>
      <c r="R11" s="189">
        <v>-232651995</v>
      </c>
      <c r="S11" s="162"/>
      <c r="T11" s="198">
        <v>1392098005</v>
      </c>
    </row>
    <row r="12" spans="2:33" ht="17.25" customHeight="1" x14ac:dyDescent="0.25">
      <c r="B12" s="158" t="s">
        <v>181</v>
      </c>
      <c r="C12" s="162"/>
      <c r="D12" s="162" t="s">
        <v>203</v>
      </c>
      <c r="E12" s="162"/>
      <c r="F12" s="112">
        <v>360000</v>
      </c>
      <c r="G12" s="162"/>
      <c r="H12" s="112">
        <v>1000</v>
      </c>
      <c r="I12" s="162"/>
      <c r="J12" s="189">
        <v>0</v>
      </c>
      <c r="K12" s="162"/>
      <c r="L12" s="189">
        <v>0</v>
      </c>
      <c r="M12" s="162"/>
      <c r="N12" s="189">
        <v>0</v>
      </c>
      <c r="P12" s="112">
        <v>360000000</v>
      </c>
      <c r="Q12" s="162"/>
      <c r="R12" s="189">
        <v>-13754941</v>
      </c>
      <c r="S12" s="162"/>
      <c r="T12" s="198">
        <v>346245059</v>
      </c>
    </row>
    <row r="13" spans="2:33" ht="19.5" customHeight="1" thickBot="1" x14ac:dyDescent="0.3">
      <c r="B13" s="158" t="s">
        <v>188</v>
      </c>
      <c r="C13" s="162"/>
      <c r="D13" s="315" t="s">
        <v>209</v>
      </c>
      <c r="E13" s="162"/>
      <c r="F13" s="112">
        <v>1475169</v>
      </c>
      <c r="G13" s="162"/>
      <c r="H13" s="112">
        <v>271</v>
      </c>
      <c r="I13" s="162"/>
      <c r="J13" s="189">
        <v>0</v>
      </c>
      <c r="K13" s="162"/>
      <c r="L13" s="189">
        <v>0</v>
      </c>
      <c r="M13" s="162"/>
      <c r="N13" s="189">
        <v>0</v>
      </c>
      <c r="P13" s="112">
        <v>399770799</v>
      </c>
      <c r="Q13" s="162"/>
      <c r="R13" s="189">
        <v>0</v>
      </c>
      <c r="S13" s="162"/>
      <c r="T13" s="198">
        <v>399770799</v>
      </c>
      <c r="V13" s="199"/>
      <c r="W13" s="199"/>
      <c r="X13" s="199"/>
      <c r="Y13" s="199"/>
      <c r="Z13" s="199"/>
    </row>
    <row r="14" spans="2:33" ht="23.25" thickBot="1" x14ac:dyDescent="0.3">
      <c r="B14" s="196" t="s">
        <v>7</v>
      </c>
      <c r="F14" s="92">
        <f>SUM(F7:F13)</f>
        <v>31232633</v>
      </c>
      <c r="H14" s="12"/>
      <c r="J14" s="92">
        <f>SUM(J7:J13)</f>
        <v>69984613252</v>
      </c>
      <c r="K14" s="90"/>
      <c r="L14" s="92">
        <f>SUM(L7:L13)</f>
        <v>-9923896188</v>
      </c>
      <c r="M14" s="90"/>
      <c r="N14" s="92">
        <f>SUM(N7:N13)</f>
        <v>60060717064</v>
      </c>
      <c r="O14" s="90"/>
      <c r="P14" s="92">
        <f>SUM(P7:P13)</f>
        <v>70744805371</v>
      </c>
      <c r="Q14" s="91"/>
      <c r="R14" s="92">
        <f>SUM(R7:R13)</f>
        <v>-9937704884</v>
      </c>
      <c r="S14" s="91"/>
      <c r="T14" s="92">
        <f>SUM(T7:T13)</f>
        <v>60807100487</v>
      </c>
      <c r="AB14" s="12" t="s">
        <v>179</v>
      </c>
    </row>
    <row r="15" spans="2:33" ht="23.25" thickTop="1" x14ac:dyDescent="0.25">
      <c r="H15" s="12"/>
      <c r="V15" s="199"/>
    </row>
    <row r="16" spans="2:33" ht="24.75" x14ac:dyDescent="0.45">
      <c r="J16" s="266"/>
      <c r="L16" s="295"/>
      <c r="M16" s="296"/>
      <c r="N16" s="298"/>
      <c r="O16" s="296"/>
      <c r="P16" s="298"/>
      <c r="Q16" s="296"/>
      <c r="R16" s="295"/>
      <c r="S16" s="296"/>
      <c r="T16" s="298"/>
    </row>
    <row r="17" spans="10:34" ht="24.75" x14ac:dyDescent="0.25">
      <c r="J17" s="266"/>
      <c r="L17" s="299">
        <f>J14+L14-N14</f>
        <v>0</v>
      </c>
      <c r="M17" s="296"/>
      <c r="N17" s="298"/>
      <c r="O17" s="296"/>
      <c r="P17" s="300"/>
      <c r="Q17" s="296"/>
      <c r="R17" s="299"/>
      <c r="S17" s="296"/>
      <c r="T17" s="298"/>
    </row>
    <row r="18" spans="10:34" ht="24.75" x14ac:dyDescent="0.25">
      <c r="J18" s="266"/>
      <c r="L18" s="300"/>
      <c r="M18" s="296"/>
      <c r="N18" s="300"/>
      <c r="O18" s="296"/>
      <c r="P18" s="300"/>
      <c r="Q18" s="296"/>
      <c r="R18" s="300"/>
      <c r="S18" s="296"/>
      <c r="T18" s="300"/>
    </row>
    <row r="19" spans="10:34" ht="24.75" x14ac:dyDescent="0.25">
      <c r="J19" s="281"/>
      <c r="L19" s="300"/>
      <c r="M19" s="296"/>
      <c r="N19" s="297"/>
      <c r="O19" s="296"/>
      <c r="P19" s="300"/>
      <c r="Q19" s="296"/>
      <c r="R19" s="300"/>
      <c r="S19" s="296"/>
      <c r="T19" s="293"/>
    </row>
    <row r="20" spans="10:34" x14ac:dyDescent="0.25">
      <c r="L20" s="300"/>
      <c r="M20" s="296"/>
      <c r="N20" s="300"/>
      <c r="O20" s="296"/>
      <c r="P20" s="300"/>
      <c r="Q20" s="296"/>
      <c r="R20" s="300"/>
      <c r="S20" s="296"/>
      <c r="T20" s="300"/>
    </row>
    <row r="30" spans="10:34" x14ac:dyDescent="0.25">
      <c r="X30" s="239"/>
      <c r="Y30" s="239"/>
      <c r="Z30" s="239"/>
      <c r="AA30" s="239"/>
      <c r="AB30" s="239"/>
      <c r="AC30" s="240"/>
      <c r="AD30" s="241"/>
      <c r="AE30" s="242"/>
      <c r="AF30" s="242"/>
      <c r="AG30" s="242"/>
      <c r="AH30" s="242"/>
    </row>
    <row r="34" spans="18:18" ht="27.75" x14ac:dyDescent="0.25">
      <c r="R34" s="146"/>
    </row>
    <row r="82" spans="25:26" x14ac:dyDescent="0.25">
      <c r="Y82" s="310"/>
      <c r="Z82" s="310"/>
    </row>
    <row r="83" spans="25:26" x14ac:dyDescent="0.25">
      <c r="Y83" s="310"/>
      <c r="Z83" s="310"/>
    </row>
    <row r="84" spans="25:26" x14ac:dyDescent="0.25">
      <c r="Y84" s="310"/>
      <c r="Z84" s="310"/>
    </row>
    <row r="85" spans="25:26" x14ac:dyDescent="0.25">
      <c r="Y85" s="310"/>
      <c r="Z85" s="310"/>
    </row>
    <row r="86" spans="25:26" x14ac:dyDescent="0.25">
      <c r="Y86" s="310"/>
      <c r="Z86" s="310"/>
    </row>
    <row r="87" spans="25:26" x14ac:dyDescent="0.25">
      <c r="Y87" s="310"/>
      <c r="Z87" s="310"/>
    </row>
    <row r="88" spans="25:26" x14ac:dyDescent="0.25">
      <c r="Y88" s="310"/>
      <c r="Z88" s="310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35"/>
  <sheetViews>
    <sheetView rightToLeft="1" view="pageBreakPreview" zoomScale="50" zoomScaleNormal="100" zoomScaleSheetLayoutView="50" workbookViewId="0">
      <selection activeCell="T25" sqref="T25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8.42578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6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402" t="str">
        <f>'درآمد ناشی ازفروش'!B1:R1</f>
        <v>صندوق سرمایه گذاری شاخص سی شرکت بزرگ فیروزه</v>
      </c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V1" s="180"/>
    </row>
    <row r="2" spans="2:28" x14ac:dyDescent="0.25">
      <c r="B2" s="402" t="s">
        <v>86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V2" s="180"/>
    </row>
    <row r="3" spans="2:28" x14ac:dyDescent="0.25">
      <c r="B3" s="402" t="str">
        <f>' سهام'!AC6</f>
        <v>برای ماه منتهی به 1405/03/31</v>
      </c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V3" s="180"/>
    </row>
    <row r="4" spans="2:28" x14ac:dyDescent="0.25">
      <c r="B4" s="418" t="s">
        <v>96</v>
      </c>
      <c r="C4" s="418"/>
      <c r="D4" s="418"/>
      <c r="E4" s="418"/>
      <c r="F4" s="418"/>
      <c r="G4" s="418"/>
      <c r="H4" s="418"/>
      <c r="I4" s="418"/>
      <c r="V4" s="180"/>
      <c r="AB4" s="12" t="s">
        <v>155</v>
      </c>
    </row>
    <row r="5" spans="2:28" ht="34.5" thickBot="1" x14ac:dyDescent="0.3">
      <c r="D5" s="413" t="str">
        <f>' سهام'!AC7</f>
        <v>طی خرداد ماه</v>
      </c>
      <c r="E5" s="413"/>
      <c r="F5" s="413"/>
      <c r="G5" s="413"/>
      <c r="H5" s="413"/>
      <c r="I5" s="413"/>
      <c r="J5" s="413"/>
      <c r="L5" s="413" t="str">
        <f>' سهام'!AC8</f>
        <v>از ابتدای سال مالی تا پایان خرداد  ماه</v>
      </c>
      <c r="M5" s="413"/>
      <c r="N5" s="413"/>
      <c r="O5" s="413"/>
      <c r="P5" s="413"/>
      <c r="Q5" s="413"/>
      <c r="R5" s="413"/>
      <c r="V5" s="180"/>
      <c r="AB5" s="12" t="s">
        <v>156</v>
      </c>
    </row>
    <row r="6" spans="2:28" ht="53.25" customHeight="1" thickBot="1" x14ac:dyDescent="0.3">
      <c r="B6" s="12" t="s">
        <v>63</v>
      </c>
      <c r="D6" s="110" t="s">
        <v>8</v>
      </c>
      <c r="F6" s="181" t="s">
        <v>31</v>
      </c>
      <c r="H6" s="129" t="s">
        <v>73</v>
      </c>
      <c r="J6" s="181" t="s">
        <v>74</v>
      </c>
      <c r="L6" s="110" t="s">
        <v>8</v>
      </c>
      <c r="N6" s="181" t="s">
        <v>31</v>
      </c>
      <c r="P6" s="129" t="s">
        <v>73</v>
      </c>
      <c r="R6" s="247" t="s">
        <v>74</v>
      </c>
      <c r="U6" s="180"/>
      <c r="V6" s="180"/>
      <c r="AB6" s="12" t="s">
        <v>157</v>
      </c>
    </row>
    <row r="7" spans="2:28" s="183" customFormat="1" ht="30" customHeight="1" x14ac:dyDescent="0.25">
      <c r="B7" s="182" t="s">
        <v>132</v>
      </c>
      <c r="C7" s="182"/>
      <c r="D7" s="101">
        <v>10000000</v>
      </c>
      <c r="E7" s="101"/>
      <c r="F7" s="101">
        <v>88470793200</v>
      </c>
      <c r="G7" s="101"/>
      <c r="H7" s="101">
        <v>-73725661000</v>
      </c>
      <c r="I7" s="101"/>
      <c r="J7" s="101">
        <f>F7+H7</f>
        <v>14745132200</v>
      </c>
      <c r="K7" s="101"/>
      <c r="L7" s="101">
        <v>10000000</v>
      </c>
      <c r="M7" s="101"/>
      <c r="N7" s="101">
        <v>88470793200</v>
      </c>
      <c r="O7" s="101"/>
      <c r="P7" s="101">
        <v>-147451322000</v>
      </c>
      <c r="Q7" s="101"/>
      <c r="R7" s="101">
        <f>N7+P7</f>
        <v>-58980528800</v>
      </c>
      <c r="S7" s="303"/>
      <c r="T7" s="303"/>
      <c r="U7" s="180"/>
      <c r="V7" s="180"/>
      <c r="W7" s="179"/>
      <c r="X7" s="179"/>
      <c r="Y7" s="184"/>
      <c r="Z7" s="179"/>
      <c r="AB7" s="183" t="s">
        <v>158</v>
      </c>
    </row>
    <row r="8" spans="2:28" s="183" customFormat="1" ht="30" customHeight="1" x14ac:dyDescent="0.25">
      <c r="B8" s="182" t="s">
        <v>122</v>
      </c>
      <c r="C8" s="182"/>
      <c r="D8" s="101">
        <v>1000</v>
      </c>
      <c r="E8" s="101"/>
      <c r="F8" s="101">
        <v>17642560</v>
      </c>
      <c r="G8" s="101"/>
      <c r="H8" s="101">
        <v>-12373606</v>
      </c>
      <c r="I8" s="101"/>
      <c r="J8" s="101">
        <f t="shared" ref="J8:J37" si="0">F8+H8</f>
        <v>5268954</v>
      </c>
      <c r="K8" s="101"/>
      <c r="L8" s="101">
        <v>1000</v>
      </c>
      <c r="M8" s="101"/>
      <c r="N8" s="101">
        <v>17642560</v>
      </c>
      <c r="O8" s="101"/>
      <c r="P8" s="101">
        <v>-12413297</v>
      </c>
      <c r="Q8" s="101"/>
      <c r="R8" s="101">
        <f t="shared" ref="R8:R37" si="1">N8+P8</f>
        <v>5229263</v>
      </c>
      <c r="S8" s="303"/>
      <c r="T8" s="303"/>
      <c r="U8" s="180"/>
      <c r="V8" s="180"/>
      <c r="W8" s="179"/>
      <c r="X8" s="179"/>
      <c r="Y8" s="184"/>
      <c r="Z8" s="179"/>
      <c r="AB8" s="183" t="s">
        <v>159</v>
      </c>
    </row>
    <row r="9" spans="2:28" s="183" customFormat="1" ht="30" customHeight="1" x14ac:dyDescent="0.25">
      <c r="B9" s="182" t="s">
        <v>202</v>
      </c>
      <c r="C9" s="182"/>
      <c r="D9" s="101">
        <v>2400000</v>
      </c>
      <c r="E9" s="101"/>
      <c r="F9" s="101">
        <v>27910570560</v>
      </c>
      <c r="G9" s="101"/>
      <c r="H9" s="101">
        <v>-21439470665</v>
      </c>
      <c r="I9" s="101"/>
      <c r="J9" s="101">
        <f t="shared" si="0"/>
        <v>6471099895</v>
      </c>
      <c r="K9" s="101"/>
      <c r="L9" s="101">
        <v>2400000</v>
      </c>
      <c r="M9" s="101"/>
      <c r="N9" s="101">
        <v>27910570560</v>
      </c>
      <c r="O9" s="101"/>
      <c r="P9" s="101">
        <v>-21259186297</v>
      </c>
      <c r="Q9" s="101"/>
      <c r="R9" s="101">
        <f t="shared" si="1"/>
        <v>6651384263</v>
      </c>
      <c r="S9" s="303"/>
      <c r="T9" s="303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113</v>
      </c>
      <c r="C10" s="182"/>
      <c r="D10" s="101">
        <v>50000000</v>
      </c>
      <c r="E10" s="101"/>
      <c r="F10" s="101">
        <v>256997930000</v>
      </c>
      <c r="G10" s="101"/>
      <c r="H10" s="101">
        <v>-153404941940</v>
      </c>
      <c r="I10" s="101"/>
      <c r="J10" s="101">
        <f t="shared" si="0"/>
        <v>103592988060</v>
      </c>
      <c r="K10" s="101"/>
      <c r="L10" s="101">
        <v>50000000</v>
      </c>
      <c r="M10" s="101"/>
      <c r="N10" s="101">
        <v>256997930000</v>
      </c>
      <c r="O10" s="101"/>
      <c r="P10" s="101">
        <v>-153404941940</v>
      </c>
      <c r="Q10" s="101"/>
      <c r="R10" s="101">
        <f t="shared" si="1"/>
        <v>103592988060</v>
      </c>
      <c r="S10" s="303"/>
      <c r="T10" s="303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127</v>
      </c>
      <c r="C11" s="182"/>
      <c r="D11" s="101">
        <v>159500000</v>
      </c>
      <c r="E11" s="101"/>
      <c r="F11" s="101">
        <v>3492954124550</v>
      </c>
      <c r="G11" s="101"/>
      <c r="H11" s="101">
        <v>-2451757801760</v>
      </c>
      <c r="I11" s="101"/>
      <c r="J11" s="101">
        <f t="shared" si="0"/>
        <v>1041196322790</v>
      </c>
      <c r="K11" s="101"/>
      <c r="L11" s="101">
        <v>159500000</v>
      </c>
      <c r="M11" s="101"/>
      <c r="N11" s="101">
        <v>3492954124550</v>
      </c>
      <c r="O11" s="101"/>
      <c r="P11" s="101">
        <v>-2382338592560</v>
      </c>
      <c r="Q11" s="101"/>
      <c r="R11" s="101">
        <f t="shared" si="1"/>
        <v>1110615531990</v>
      </c>
      <c r="S11" s="303"/>
      <c r="T11" s="303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227</v>
      </c>
      <c r="C12" s="182"/>
      <c r="D12" s="101">
        <v>1101</v>
      </c>
      <c r="E12" s="101"/>
      <c r="F12" s="101">
        <v>3726480</v>
      </c>
      <c r="G12" s="101"/>
      <c r="H12" s="101">
        <v>-3063875</v>
      </c>
      <c r="I12" s="101"/>
      <c r="J12" s="101">
        <f t="shared" si="0"/>
        <v>662605</v>
      </c>
      <c r="K12" s="101"/>
      <c r="L12" s="101">
        <v>1101</v>
      </c>
      <c r="M12" s="101"/>
      <c r="N12" s="101">
        <v>3726480</v>
      </c>
      <c r="O12" s="101"/>
      <c r="P12" s="101">
        <v>-3063875</v>
      </c>
      <c r="Q12" s="101"/>
      <c r="R12" s="101">
        <f t="shared" si="1"/>
        <v>662605</v>
      </c>
      <c r="S12" s="303"/>
      <c r="T12" s="303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148</v>
      </c>
      <c r="C13" s="182"/>
      <c r="D13" s="101">
        <v>111</v>
      </c>
      <c r="E13" s="101"/>
      <c r="F13" s="101">
        <v>111023</v>
      </c>
      <c r="G13" s="101"/>
      <c r="H13" s="101">
        <v>-80293</v>
      </c>
      <c r="I13" s="101"/>
      <c r="J13" s="101">
        <f t="shared" si="0"/>
        <v>30730</v>
      </c>
      <c r="K13" s="101"/>
      <c r="L13" s="101">
        <v>111</v>
      </c>
      <c r="M13" s="101"/>
      <c r="N13" s="101">
        <v>111023</v>
      </c>
      <c r="O13" s="101"/>
      <c r="P13" s="101">
        <v>-148185</v>
      </c>
      <c r="Q13" s="101"/>
      <c r="R13" s="101">
        <f t="shared" si="1"/>
        <v>-37162</v>
      </c>
      <c r="S13" s="303"/>
      <c r="T13" s="303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119</v>
      </c>
      <c r="C14" s="182"/>
      <c r="D14" s="101">
        <v>44000000</v>
      </c>
      <c r="E14" s="101"/>
      <c r="F14" s="101">
        <v>656207996400</v>
      </c>
      <c r="G14" s="101"/>
      <c r="H14" s="101">
        <v>-441084027586</v>
      </c>
      <c r="I14" s="101"/>
      <c r="J14" s="101">
        <f t="shared" si="0"/>
        <v>215123968814</v>
      </c>
      <c r="K14" s="101"/>
      <c r="L14" s="101">
        <v>44000000</v>
      </c>
      <c r="M14" s="101"/>
      <c r="N14" s="101">
        <v>656207996400</v>
      </c>
      <c r="O14" s="101"/>
      <c r="P14" s="101">
        <v>-602784346786</v>
      </c>
      <c r="Q14" s="101"/>
      <c r="R14" s="101">
        <f t="shared" si="1"/>
        <v>53423649614</v>
      </c>
      <c r="S14" s="303"/>
      <c r="T14" s="303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222</v>
      </c>
      <c r="C15" s="182"/>
      <c r="D15" s="101">
        <v>500000</v>
      </c>
      <c r="E15" s="101"/>
      <c r="F15" s="101">
        <v>13271611250</v>
      </c>
      <c r="G15" s="101"/>
      <c r="H15" s="101">
        <v>-13803569294</v>
      </c>
      <c r="I15" s="101"/>
      <c r="J15" s="101">
        <f t="shared" si="0"/>
        <v>-531958044</v>
      </c>
      <c r="K15" s="101"/>
      <c r="L15" s="101">
        <v>500000</v>
      </c>
      <c r="M15" s="101"/>
      <c r="N15" s="101">
        <v>13271611250</v>
      </c>
      <c r="O15" s="101"/>
      <c r="P15" s="101">
        <v>-13803569294</v>
      </c>
      <c r="Q15" s="101"/>
      <c r="R15" s="101">
        <f t="shared" si="1"/>
        <v>-531958044</v>
      </c>
      <c r="S15" s="303"/>
      <c r="T15" s="303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126</v>
      </c>
      <c r="C16" s="182"/>
      <c r="D16" s="101">
        <v>1092</v>
      </c>
      <c r="E16" s="101"/>
      <c r="F16" s="101">
        <v>2600541</v>
      </c>
      <c r="G16" s="101"/>
      <c r="H16" s="101">
        <v>-2133527</v>
      </c>
      <c r="I16" s="101"/>
      <c r="J16" s="101">
        <f t="shared" si="0"/>
        <v>467014</v>
      </c>
      <c r="K16" s="101"/>
      <c r="L16" s="101">
        <v>1092</v>
      </c>
      <c r="M16" s="101"/>
      <c r="N16" s="101">
        <v>2600541</v>
      </c>
      <c r="O16" s="101"/>
      <c r="P16" s="101">
        <v>-2298833</v>
      </c>
      <c r="Q16" s="101"/>
      <c r="R16" s="101">
        <f t="shared" si="1"/>
        <v>301708</v>
      </c>
      <c r="S16" s="303"/>
      <c r="T16" s="303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115</v>
      </c>
      <c r="C17" s="182"/>
      <c r="D17" s="101">
        <v>50600000</v>
      </c>
      <c r="E17" s="101"/>
      <c r="F17" s="101">
        <v>648698497040</v>
      </c>
      <c r="G17" s="101"/>
      <c r="H17" s="101">
        <v>-457996487286</v>
      </c>
      <c r="I17" s="101"/>
      <c r="J17" s="101">
        <f t="shared" si="0"/>
        <v>190702009754</v>
      </c>
      <c r="K17" s="101"/>
      <c r="L17" s="101">
        <v>50600000</v>
      </c>
      <c r="M17" s="101"/>
      <c r="N17" s="101">
        <v>648698497040</v>
      </c>
      <c r="O17" s="101"/>
      <c r="P17" s="101">
        <v>-654321889584</v>
      </c>
      <c r="Q17" s="101"/>
      <c r="R17" s="101">
        <f t="shared" si="1"/>
        <v>-5623392544</v>
      </c>
      <c r="S17" s="303"/>
      <c r="T17" s="303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143</v>
      </c>
      <c r="C18" s="182"/>
      <c r="D18" s="101">
        <v>1000</v>
      </c>
      <c r="E18" s="101"/>
      <c r="F18" s="101">
        <v>3313189</v>
      </c>
      <c r="G18" s="101"/>
      <c r="H18" s="101">
        <v>-2732711</v>
      </c>
      <c r="I18" s="101"/>
      <c r="J18" s="101">
        <f t="shared" si="0"/>
        <v>580478</v>
      </c>
      <c r="K18" s="101"/>
      <c r="L18" s="101">
        <v>1000</v>
      </c>
      <c r="M18" s="101"/>
      <c r="N18" s="101">
        <v>3313189</v>
      </c>
      <c r="O18" s="101"/>
      <c r="P18" s="101">
        <v>-2745611</v>
      </c>
      <c r="Q18" s="101"/>
      <c r="R18" s="101">
        <f t="shared" si="1"/>
        <v>567578</v>
      </c>
      <c r="S18" s="303"/>
      <c r="T18" s="303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176</v>
      </c>
      <c r="C19" s="182"/>
      <c r="D19" s="101">
        <v>25800000</v>
      </c>
      <c r="E19" s="101"/>
      <c r="F19" s="101">
        <v>204036511020</v>
      </c>
      <c r="G19" s="101"/>
      <c r="H19" s="101">
        <v>-157673885992</v>
      </c>
      <c r="I19" s="101"/>
      <c r="J19" s="101">
        <f t="shared" si="0"/>
        <v>46362625028</v>
      </c>
      <c r="K19" s="101"/>
      <c r="L19" s="101">
        <v>25800000</v>
      </c>
      <c r="M19" s="101"/>
      <c r="N19" s="101">
        <v>204036511020</v>
      </c>
      <c r="O19" s="101"/>
      <c r="P19" s="101">
        <v>-157673885992</v>
      </c>
      <c r="Q19" s="101"/>
      <c r="R19" s="101">
        <f t="shared" si="1"/>
        <v>46362625028</v>
      </c>
      <c r="S19" s="303"/>
      <c r="T19" s="303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192</v>
      </c>
      <c r="C20" s="182"/>
      <c r="D20" s="101">
        <v>335000</v>
      </c>
      <c r="E20" s="101"/>
      <c r="F20" s="101">
        <v>17411659371</v>
      </c>
      <c r="G20" s="101"/>
      <c r="H20" s="101">
        <v>-12608784852</v>
      </c>
      <c r="I20" s="101"/>
      <c r="J20" s="101">
        <f t="shared" si="0"/>
        <v>4802874519</v>
      </c>
      <c r="K20" s="101"/>
      <c r="L20" s="101">
        <v>335000</v>
      </c>
      <c r="M20" s="101"/>
      <c r="N20" s="101">
        <v>17411659371</v>
      </c>
      <c r="O20" s="101"/>
      <c r="P20" s="101">
        <v>-11886997691</v>
      </c>
      <c r="Q20" s="101"/>
      <c r="R20" s="101">
        <f t="shared" si="1"/>
        <v>5524661680</v>
      </c>
      <c r="S20" s="303"/>
      <c r="T20" s="303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140</v>
      </c>
      <c r="C21" s="182"/>
      <c r="D21" s="101">
        <v>9367191</v>
      </c>
      <c r="E21" s="101"/>
      <c r="F21" s="101">
        <v>601549035967</v>
      </c>
      <c r="G21" s="101"/>
      <c r="H21" s="101">
        <v>-551617634102</v>
      </c>
      <c r="I21" s="101"/>
      <c r="J21" s="101">
        <f t="shared" si="0"/>
        <v>49931401865</v>
      </c>
      <c r="K21" s="101"/>
      <c r="L21" s="101">
        <v>9367191</v>
      </c>
      <c r="M21" s="101"/>
      <c r="N21" s="101">
        <v>601549035967</v>
      </c>
      <c r="O21" s="101"/>
      <c r="P21" s="101">
        <v>-660086636882</v>
      </c>
      <c r="Q21" s="101"/>
      <c r="R21" s="101">
        <f t="shared" si="1"/>
        <v>-58537600915</v>
      </c>
      <c r="S21" s="303"/>
      <c r="T21" s="303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133</v>
      </c>
      <c r="C22" s="182"/>
      <c r="D22" s="101">
        <v>1000</v>
      </c>
      <c r="E22" s="101"/>
      <c r="F22" s="101">
        <v>6876431</v>
      </c>
      <c r="G22" s="101"/>
      <c r="H22" s="101">
        <v>-5606325</v>
      </c>
      <c r="I22" s="101"/>
      <c r="J22" s="101">
        <f t="shared" si="0"/>
        <v>1270106</v>
      </c>
      <c r="K22" s="101"/>
      <c r="L22" s="101">
        <v>1000</v>
      </c>
      <c r="M22" s="101"/>
      <c r="N22" s="101">
        <v>6876431</v>
      </c>
      <c r="O22" s="101"/>
      <c r="P22" s="101">
        <v>-5300706</v>
      </c>
      <c r="Q22" s="101"/>
      <c r="R22" s="101">
        <f t="shared" si="1"/>
        <v>1575725</v>
      </c>
      <c r="S22" s="303"/>
      <c r="T22" s="303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223</v>
      </c>
      <c r="C23" s="182"/>
      <c r="D23" s="101">
        <v>250000</v>
      </c>
      <c r="E23" s="101"/>
      <c r="F23" s="101">
        <v>9587808875</v>
      </c>
      <c r="G23" s="101"/>
      <c r="H23" s="101">
        <v>-9569806700</v>
      </c>
      <c r="I23" s="101"/>
      <c r="J23" s="101">
        <f t="shared" si="0"/>
        <v>18002175</v>
      </c>
      <c r="K23" s="101"/>
      <c r="L23" s="101">
        <v>250000</v>
      </c>
      <c r="M23" s="101"/>
      <c r="N23" s="101">
        <v>9587808875</v>
      </c>
      <c r="O23" s="101"/>
      <c r="P23" s="101">
        <v>-9569806700</v>
      </c>
      <c r="Q23" s="101"/>
      <c r="R23" s="101">
        <f t="shared" si="1"/>
        <v>18002175</v>
      </c>
      <c r="S23" s="303"/>
      <c r="T23" s="303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175</v>
      </c>
      <c r="C24" s="182"/>
      <c r="D24" s="101">
        <v>19617870</v>
      </c>
      <c r="E24" s="101"/>
      <c r="F24" s="101">
        <v>110178827075</v>
      </c>
      <c r="G24" s="101"/>
      <c r="H24" s="101">
        <v>-81523679591</v>
      </c>
      <c r="I24" s="101"/>
      <c r="J24" s="101">
        <f t="shared" si="0"/>
        <v>28655147484</v>
      </c>
      <c r="K24" s="101"/>
      <c r="L24" s="101">
        <v>19617870</v>
      </c>
      <c r="M24" s="101"/>
      <c r="N24" s="101">
        <v>110178827075</v>
      </c>
      <c r="O24" s="101"/>
      <c r="P24" s="101">
        <v>-84931134771</v>
      </c>
      <c r="Q24" s="101"/>
      <c r="R24" s="101">
        <f t="shared" si="1"/>
        <v>25247692304</v>
      </c>
      <c r="S24" s="303"/>
      <c r="T24" s="303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226</v>
      </c>
      <c r="C25" s="182"/>
      <c r="D25" s="101">
        <v>166370008</v>
      </c>
      <c r="E25" s="101"/>
      <c r="F25" s="101">
        <v>168880899098</v>
      </c>
      <c r="G25" s="101"/>
      <c r="H25" s="101">
        <v>-170471847259</v>
      </c>
      <c r="I25" s="101"/>
      <c r="J25" s="101">
        <f t="shared" si="0"/>
        <v>-1590948161</v>
      </c>
      <c r="K25" s="101"/>
      <c r="L25" s="101">
        <v>166370008</v>
      </c>
      <c r="M25" s="101"/>
      <c r="N25" s="101">
        <v>168880899098</v>
      </c>
      <c r="O25" s="101"/>
      <c r="P25" s="101">
        <v>-170471847259</v>
      </c>
      <c r="Q25" s="101"/>
      <c r="R25" s="101">
        <f t="shared" si="1"/>
        <v>-1590948161</v>
      </c>
      <c r="S25" s="303"/>
      <c r="T25" s="303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120</v>
      </c>
      <c r="C26" s="182"/>
      <c r="D26" s="101">
        <v>50000000</v>
      </c>
      <c r="E26" s="101"/>
      <c r="F26" s="101">
        <v>623145560000</v>
      </c>
      <c r="G26" s="101"/>
      <c r="H26" s="101">
        <v>-104188349998</v>
      </c>
      <c r="I26" s="101"/>
      <c r="J26" s="101">
        <f t="shared" si="0"/>
        <v>518957210002</v>
      </c>
      <c r="K26" s="101"/>
      <c r="L26" s="101">
        <v>50000000</v>
      </c>
      <c r="M26" s="101"/>
      <c r="N26" s="101">
        <v>623145560000</v>
      </c>
      <c r="O26" s="101"/>
      <c r="P26" s="101">
        <v>-520941749998</v>
      </c>
      <c r="Q26" s="101"/>
      <c r="R26" s="101">
        <f t="shared" si="1"/>
        <v>102203810002</v>
      </c>
      <c r="S26" s="303"/>
      <c r="T26" s="303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118</v>
      </c>
      <c r="C27" s="182"/>
      <c r="D27" s="101">
        <v>5000000</v>
      </c>
      <c r="E27" s="101"/>
      <c r="F27" s="101">
        <v>127903603000</v>
      </c>
      <c r="G27" s="101"/>
      <c r="H27" s="101">
        <v>-68689846253</v>
      </c>
      <c r="I27" s="101"/>
      <c r="J27" s="101">
        <f t="shared" si="0"/>
        <v>59213756747</v>
      </c>
      <c r="K27" s="101"/>
      <c r="L27" s="101">
        <v>5000000</v>
      </c>
      <c r="M27" s="101"/>
      <c r="N27" s="101">
        <v>127903603000</v>
      </c>
      <c r="O27" s="101"/>
      <c r="P27" s="101">
        <v>-96924889103</v>
      </c>
      <c r="Q27" s="101"/>
      <c r="R27" s="101">
        <f t="shared" si="1"/>
        <v>30978713897</v>
      </c>
      <c r="S27" s="303"/>
      <c r="T27" s="303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146</v>
      </c>
      <c r="C28" s="182"/>
      <c r="D28" s="101">
        <v>1782</v>
      </c>
      <c r="E28" s="101"/>
      <c r="F28" s="101">
        <v>10874584</v>
      </c>
      <c r="G28" s="101"/>
      <c r="H28" s="101">
        <v>-9495369</v>
      </c>
      <c r="I28" s="101"/>
      <c r="J28" s="101">
        <f t="shared" si="0"/>
        <v>1379215</v>
      </c>
      <c r="K28" s="101"/>
      <c r="L28" s="101">
        <v>1782</v>
      </c>
      <c r="M28" s="101"/>
      <c r="N28" s="101">
        <v>10874584</v>
      </c>
      <c r="O28" s="101"/>
      <c r="P28" s="101">
        <v>-9583780</v>
      </c>
      <c r="Q28" s="101"/>
      <c r="R28" s="101">
        <f t="shared" si="1"/>
        <v>1290804</v>
      </c>
      <c r="S28" s="303"/>
      <c r="T28" s="303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206</v>
      </c>
      <c r="C29" s="182"/>
      <c r="D29" s="101">
        <v>119</v>
      </c>
      <c r="E29" s="101"/>
      <c r="F29" s="101">
        <v>102257</v>
      </c>
      <c r="G29" s="101"/>
      <c r="H29" s="101">
        <v>-114419</v>
      </c>
      <c r="I29" s="101"/>
      <c r="J29" s="101">
        <f t="shared" si="0"/>
        <v>-12162</v>
      </c>
      <c r="K29" s="101"/>
      <c r="L29" s="101">
        <v>119</v>
      </c>
      <c r="M29" s="101"/>
      <c r="N29" s="101">
        <v>102257</v>
      </c>
      <c r="O29" s="101"/>
      <c r="P29" s="101">
        <v>-166957</v>
      </c>
      <c r="Q29" s="101"/>
      <c r="R29" s="101">
        <f t="shared" si="1"/>
        <v>-64700</v>
      </c>
      <c r="S29" s="303"/>
      <c r="T29" s="303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185</v>
      </c>
      <c r="C30" s="182"/>
      <c r="D30" s="101">
        <v>72662416</v>
      </c>
      <c r="E30" s="101"/>
      <c r="F30" s="101">
        <v>101662037089</v>
      </c>
      <c r="G30" s="101"/>
      <c r="H30" s="101">
        <v>-73914276101</v>
      </c>
      <c r="I30" s="101"/>
      <c r="J30" s="101">
        <f t="shared" si="0"/>
        <v>27747760988</v>
      </c>
      <c r="K30" s="101"/>
      <c r="L30" s="101">
        <v>72662416</v>
      </c>
      <c r="M30" s="101"/>
      <c r="N30" s="101">
        <v>101662037089</v>
      </c>
      <c r="O30" s="101"/>
      <c r="P30" s="101">
        <v>-77724592901</v>
      </c>
      <c r="Q30" s="101"/>
      <c r="R30" s="101">
        <f t="shared" si="1"/>
        <v>23937444188</v>
      </c>
      <c r="S30" s="303"/>
      <c r="T30" s="303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112</v>
      </c>
      <c r="C31" s="182"/>
      <c r="D31" s="101">
        <v>81708586</v>
      </c>
      <c r="E31" s="101"/>
      <c r="F31" s="101">
        <v>939682182324</v>
      </c>
      <c r="G31" s="101"/>
      <c r="H31" s="101">
        <v>-562674231720</v>
      </c>
      <c r="I31" s="101"/>
      <c r="J31" s="101">
        <f t="shared" si="0"/>
        <v>377007950604</v>
      </c>
      <c r="K31" s="101"/>
      <c r="L31" s="101">
        <v>81708586</v>
      </c>
      <c r="M31" s="101"/>
      <c r="N31" s="101">
        <v>939682182324</v>
      </c>
      <c r="O31" s="101"/>
      <c r="P31" s="101">
        <v>-562674231720</v>
      </c>
      <c r="Q31" s="101"/>
      <c r="R31" s="101">
        <f t="shared" si="1"/>
        <v>377007950604</v>
      </c>
      <c r="S31" s="303"/>
      <c r="T31" s="303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121</v>
      </c>
      <c r="C32" s="182"/>
      <c r="D32" s="101">
        <v>12900000</v>
      </c>
      <c r="E32" s="101"/>
      <c r="F32" s="101">
        <v>20045243178</v>
      </c>
      <c r="G32" s="101"/>
      <c r="H32" s="101">
        <v>-16704369315</v>
      </c>
      <c r="I32" s="101"/>
      <c r="J32" s="101">
        <f t="shared" si="0"/>
        <v>3340873863</v>
      </c>
      <c r="K32" s="101"/>
      <c r="L32" s="101">
        <v>12900000</v>
      </c>
      <c r="M32" s="101"/>
      <c r="N32" s="101">
        <v>20045243178</v>
      </c>
      <c r="O32" s="101"/>
      <c r="P32" s="101">
        <v>-33408738630</v>
      </c>
      <c r="Q32" s="101"/>
      <c r="R32" s="101">
        <f t="shared" si="1"/>
        <v>-13363495452</v>
      </c>
      <c r="S32" s="303"/>
      <c r="T32" s="303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139</v>
      </c>
      <c r="C33" s="182"/>
      <c r="D33" s="101">
        <v>1400</v>
      </c>
      <c r="E33" s="101"/>
      <c r="F33" s="101">
        <v>42231011</v>
      </c>
      <c r="G33" s="101"/>
      <c r="H33" s="101">
        <v>-23838016</v>
      </c>
      <c r="I33" s="101"/>
      <c r="J33" s="101">
        <f t="shared" si="0"/>
        <v>18392995</v>
      </c>
      <c r="K33" s="101"/>
      <c r="L33" s="101">
        <v>1400</v>
      </c>
      <c r="M33" s="101"/>
      <c r="N33" s="101">
        <v>42231011</v>
      </c>
      <c r="O33" s="101"/>
      <c r="P33" s="101">
        <v>-34054706</v>
      </c>
      <c r="Q33" s="101"/>
      <c r="R33" s="101">
        <f t="shared" si="1"/>
        <v>8176305</v>
      </c>
      <c r="S33" s="303"/>
      <c r="T33" s="303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230</v>
      </c>
      <c r="C34" s="182"/>
      <c r="D34" s="101">
        <v>585000</v>
      </c>
      <c r="E34" s="101"/>
      <c r="F34" s="101">
        <v>3831734947</v>
      </c>
      <c r="G34" s="101"/>
      <c r="H34" s="101">
        <v>-3927629043</v>
      </c>
      <c r="I34" s="101"/>
      <c r="J34" s="101">
        <f t="shared" si="0"/>
        <v>-95894096</v>
      </c>
      <c r="K34" s="101"/>
      <c r="L34" s="101">
        <v>585000</v>
      </c>
      <c r="M34" s="101"/>
      <c r="N34" s="101">
        <v>3831734947</v>
      </c>
      <c r="O34" s="101"/>
      <c r="P34" s="101">
        <v>-3927629043</v>
      </c>
      <c r="Q34" s="101"/>
      <c r="R34" s="101">
        <f t="shared" si="1"/>
        <v>-95894096</v>
      </c>
      <c r="S34" s="303"/>
      <c r="T34" s="303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135</v>
      </c>
      <c r="C35" s="182"/>
      <c r="D35" s="101">
        <v>1000</v>
      </c>
      <c r="E35" s="101"/>
      <c r="F35" s="101">
        <v>43243126</v>
      </c>
      <c r="G35" s="101"/>
      <c r="H35" s="101">
        <v>-25689870</v>
      </c>
      <c r="I35" s="101"/>
      <c r="J35" s="101">
        <f t="shared" si="0"/>
        <v>17553256</v>
      </c>
      <c r="K35" s="101"/>
      <c r="L35" s="101">
        <v>1000</v>
      </c>
      <c r="M35" s="101"/>
      <c r="N35" s="101">
        <v>43243126</v>
      </c>
      <c r="O35" s="101"/>
      <c r="P35" s="101">
        <v>-25699793</v>
      </c>
      <c r="Q35" s="101"/>
      <c r="R35" s="101">
        <f t="shared" si="1"/>
        <v>17543333</v>
      </c>
      <c r="S35" s="303"/>
      <c r="T35" s="303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224</v>
      </c>
      <c r="C36" s="182"/>
      <c r="D36" s="101">
        <v>2700000</v>
      </c>
      <c r="E36" s="101"/>
      <c r="F36" s="101">
        <v>178644321720</v>
      </c>
      <c r="G36" s="101"/>
      <c r="H36" s="101">
        <v>-203490878141</v>
      </c>
      <c r="I36" s="101"/>
      <c r="J36" s="101">
        <f t="shared" si="0"/>
        <v>-24846556421</v>
      </c>
      <c r="K36" s="101"/>
      <c r="L36" s="101">
        <v>2700000</v>
      </c>
      <c r="M36" s="101"/>
      <c r="N36" s="101">
        <v>178644321720</v>
      </c>
      <c r="O36" s="101"/>
      <c r="P36" s="101">
        <v>-203490878141</v>
      </c>
      <c r="Q36" s="101"/>
      <c r="R36" s="101">
        <f t="shared" si="1"/>
        <v>-24846556421</v>
      </c>
      <c r="S36" s="303"/>
      <c r="T36" s="303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153</v>
      </c>
      <c r="C37" s="182"/>
      <c r="D37" s="101">
        <v>89880000</v>
      </c>
      <c r="E37" s="101"/>
      <c r="F37" s="101">
        <v>169897858578</v>
      </c>
      <c r="G37" s="101"/>
      <c r="H37" s="101">
        <v>-112179179693</v>
      </c>
      <c r="I37" s="101"/>
      <c r="J37" s="101">
        <f t="shared" si="0"/>
        <v>57718678885</v>
      </c>
      <c r="K37" s="101"/>
      <c r="L37" s="101">
        <v>89880000</v>
      </c>
      <c r="M37" s="101"/>
      <c r="N37" s="101">
        <v>169897858578</v>
      </c>
      <c r="O37" s="101"/>
      <c r="P37" s="101">
        <v>-140555918690</v>
      </c>
      <c r="Q37" s="101"/>
      <c r="R37" s="101">
        <f t="shared" si="1"/>
        <v>29341939888</v>
      </c>
      <c r="S37" s="303"/>
      <c r="T37" s="303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165</v>
      </c>
      <c r="C38" s="188"/>
      <c r="D38" s="98">
        <f>SUM(D7:D37)</f>
        <v>854185676</v>
      </c>
      <c r="E38" s="193"/>
      <c r="F38" s="98">
        <f>SUM(F7:F37)</f>
        <v>8461099526444</v>
      </c>
      <c r="G38" s="193"/>
      <c r="H38" s="98">
        <f>SUM(H7:H37)</f>
        <v>-5742531486302</v>
      </c>
      <c r="I38" s="193"/>
      <c r="J38" s="98">
        <f>SUM(J7:J37)</f>
        <v>2718568040142</v>
      </c>
      <c r="K38" s="193"/>
      <c r="L38" s="98">
        <f>SUM(L7:L37)</f>
        <v>854185676</v>
      </c>
      <c r="M38" s="118"/>
      <c r="N38" s="98">
        <f>SUM(N7:N37)</f>
        <v>8461099526444</v>
      </c>
      <c r="O38" s="193"/>
      <c r="P38" s="98">
        <f>SUM(P7:P37)</f>
        <v>-6709728261725</v>
      </c>
      <c r="Q38" s="193"/>
      <c r="R38" s="98">
        <f>SUM(R7:R37)</f>
        <v>1751371264719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418" t="s">
        <v>96</v>
      </c>
      <c r="C40" s="418"/>
      <c r="D40" s="418"/>
      <c r="E40" s="418"/>
      <c r="F40" s="418"/>
      <c r="G40" s="418"/>
      <c r="H40" s="418"/>
      <c r="I40" s="418"/>
      <c r="S40" s="179"/>
      <c r="T40" s="180"/>
      <c r="Y40" s="12"/>
      <c r="Z40" s="12" t="s">
        <v>155</v>
      </c>
    </row>
    <row r="41" spans="2:26" ht="34.5" thickBot="1" x14ac:dyDescent="0.3">
      <c r="D41" s="413" t="str">
        <f>D5</f>
        <v>طی خرداد ماه</v>
      </c>
      <c r="E41" s="413"/>
      <c r="F41" s="413"/>
      <c r="G41" s="413"/>
      <c r="H41" s="413"/>
      <c r="I41" s="413"/>
      <c r="J41" s="413"/>
      <c r="L41" s="413" t="str">
        <f>L5</f>
        <v>از ابتدای سال مالی تا پایان خرداد  ماه</v>
      </c>
      <c r="M41" s="413"/>
      <c r="N41" s="413"/>
      <c r="O41" s="413"/>
      <c r="P41" s="413"/>
      <c r="Q41" s="413"/>
      <c r="R41" s="413"/>
      <c r="S41" s="179"/>
      <c r="T41" s="180"/>
      <c r="Y41" s="12"/>
      <c r="Z41" s="12" t="s">
        <v>156</v>
      </c>
    </row>
    <row r="42" spans="2:26" ht="53.25" customHeight="1" thickBot="1" x14ac:dyDescent="0.3">
      <c r="B42" s="12" t="s">
        <v>63</v>
      </c>
      <c r="D42" s="110" t="s">
        <v>8</v>
      </c>
      <c r="F42" s="181" t="s">
        <v>31</v>
      </c>
      <c r="H42" s="129" t="s">
        <v>73</v>
      </c>
      <c r="J42" s="181" t="s">
        <v>74</v>
      </c>
      <c r="L42" s="110" t="s">
        <v>8</v>
      </c>
      <c r="N42" s="181" t="s">
        <v>31</v>
      </c>
      <c r="P42" s="129" t="s">
        <v>73</v>
      </c>
      <c r="R42" s="247" t="s">
        <v>74</v>
      </c>
      <c r="S42" s="180"/>
      <c r="T42" s="180"/>
      <c r="Y42" s="12"/>
      <c r="Z42" s="12" t="s">
        <v>157</v>
      </c>
    </row>
    <row r="43" spans="2:26" s="183" customFormat="1" x14ac:dyDescent="0.25">
      <c r="B43" s="191" t="s">
        <v>166</v>
      </c>
      <c r="C43" s="182"/>
      <c r="D43" s="101">
        <f>D38</f>
        <v>854185676</v>
      </c>
      <c r="E43" s="101"/>
      <c r="F43" s="101">
        <f>F38</f>
        <v>8461099526444</v>
      </c>
      <c r="G43" s="101"/>
      <c r="H43" s="101">
        <f>H38</f>
        <v>-5742531486302</v>
      </c>
      <c r="I43" s="101"/>
      <c r="J43" s="101">
        <f>J38</f>
        <v>2718568040142</v>
      </c>
      <c r="K43" s="101"/>
      <c r="L43" s="101">
        <f>L38</f>
        <v>854185676</v>
      </c>
      <c r="M43" s="101"/>
      <c r="N43" s="101">
        <f>N38</f>
        <v>8461099526444</v>
      </c>
      <c r="O43" s="101"/>
      <c r="P43" s="101">
        <f>P38</f>
        <v>-6709728261725</v>
      </c>
      <c r="Q43" s="101"/>
      <c r="R43" s="101">
        <f>R38</f>
        <v>1751371264719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160</v>
      </c>
      <c r="C44" s="182"/>
      <c r="D44" s="101">
        <v>60000000</v>
      </c>
      <c r="E44" s="101"/>
      <c r="F44" s="101">
        <v>214151711400</v>
      </c>
      <c r="G44" s="101"/>
      <c r="H44" s="101">
        <v>-130938193105</v>
      </c>
      <c r="I44" s="101"/>
      <c r="J44" s="101">
        <f>H44+F44</f>
        <v>83213518295</v>
      </c>
      <c r="K44" s="101"/>
      <c r="L44" s="101">
        <v>60000000</v>
      </c>
      <c r="M44" s="101"/>
      <c r="N44" s="101">
        <v>214151711400</v>
      </c>
      <c r="O44" s="101"/>
      <c r="P44" s="101">
        <v>-123916890585</v>
      </c>
      <c r="Q44" s="101"/>
      <c r="R44" s="101">
        <f>N44+P44</f>
        <v>90234820815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114</v>
      </c>
      <c r="C45" s="182"/>
      <c r="D45" s="101">
        <v>1147</v>
      </c>
      <c r="E45" s="101"/>
      <c r="F45" s="101">
        <v>3109381</v>
      </c>
      <c r="G45" s="101"/>
      <c r="H45" s="101">
        <v>-1903173</v>
      </c>
      <c r="I45" s="101"/>
      <c r="J45" s="101">
        <f t="shared" ref="J45:J67" si="2">H45+F45</f>
        <v>1206208</v>
      </c>
      <c r="K45" s="101"/>
      <c r="L45" s="101">
        <v>1147</v>
      </c>
      <c r="M45" s="101"/>
      <c r="N45" s="101">
        <v>3109381</v>
      </c>
      <c r="O45" s="101"/>
      <c r="P45" s="101">
        <v>-2718819</v>
      </c>
      <c r="Q45" s="101"/>
      <c r="R45" s="101">
        <f t="shared" ref="R45:R67" si="3">N45+P45</f>
        <v>390562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103</v>
      </c>
      <c r="C46" s="182"/>
      <c r="D46" s="101">
        <v>388445097</v>
      </c>
      <c r="E46" s="101"/>
      <c r="F46" s="101">
        <v>858380261323</v>
      </c>
      <c r="G46" s="101"/>
      <c r="H46" s="101">
        <v>-887876140140</v>
      </c>
      <c r="I46" s="101"/>
      <c r="J46" s="101">
        <f t="shared" si="2"/>
        <v>-29495878817</v>
      </c>
      <c r="K46" s="101"/>
      <c r="L46" s="101">
        <v>388445097</v>
      </c>
      <c r="M46" s="101"/>
      <c r="N46" s="101">
        <v>858380261323</v>
      </c>
      <c r="O46" s="101"/>
      <c r="P46" s="101">
        <v>-887837977004</v>
      </c>
      <c r="Q46" s="101"/>
      <c r="R46" s="101">
        <f t="shared" si="3"/>
        <v>-29457715681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154</v>
      </c>
      <c r="C47" s="182"/>
      <c r="D47" s="101">
        <v>60000000</v>
      </c>
      <c r="E47" s="101"/>
      <c r="F47" s="101">
        <v>121930137600</v>
      </c>
      <c r="G47" s="101"/>
      <c r="H47" s="101">
        <v>-88173112200</v>
      </c>
      <c r="I47" s="101"/>
      <c r="J47" s="101">
        <f t="shared" si="2"/>
        <v>33757025400</v>
      </c>
      <c r="K47" s="101"/>
      <c r="L47" s="101">
        <v>60000000</v>
      </c>
      <c r="M47" s="101"/>
      <c r="N47" s="101">
        <v>121930137600</v>
      </c>
      <c r="O47" s="101"/>
      <c r="P47" s="101">
        <v>-86625171000</v>
      </c>
      <c r="Q47" s="101"/>
      <c r="R47" s="101">
        <f t="shared" si="3"/>
        <v>35304966600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152</v>
      </c>
      <c r="C48" s="182"/>
      <c r="D48" s="101">
        <v>2000000</v>
      </c>
      <c r="E48" s="101"/>
      <c r="F48" s="101">
        <v>120560805000</v>
      </c>
      <c r="G48" s="101"/>
      <c r="H48" s="101">
        <v>-68923074200</v>
      </c>
      <c r="I48" s="101"/>
      <c r="J48" s="101">
        <f t="shared" si="2"/>
        <v>51637730800</v>
      </c>
      <c r="K48" s="101"/>
      <c r="L48" s="101">
        <v>2000000</v>
      </c>
      <c r="M48" s="101"/>
      <c r="N48" s="101">
        <v>120560805000</v>
      </c>
      <c r="O48" s="101"/>
      <c r="P48" s="101">
        <v>-64477704600</v>
      </c>
      <c r="Q48" s="101"/>
      <c r="R48" s="101">
        <f t="shared" si="3"/>
        <v>56083100400</v>
      </c>
      <c r="S48" s="180"/>
      <c r="T48" s="180"/>
      <c r="U48" s="179"/>
      <c r="V48" s="179"/>
      <c r="W48" s="184"/>
      <c r="X48" s="179"/>
    </row>
    <row r="49" spans="2:26" s="183" customFormat="1" x14ac:dyDescent="0.25">
      <c r="B49" s="182" t="s">
        <v>109</v>
      </c>
      <c r="C49" s="182"/>
      <c r="D49" s="101">
        <v>1000</v>
      </c>
      <c r="E49" s="101"/>
      <c r="F49" s="101">
        <v>10061617</v>
      </c>
      <c r="G49" s="101"/>
      <c r="H49" s="101">
        <v>-5844470</v>
      </c>
      <c r="I49" s="101"/>
      <c r="J49" s="101">
        <f t="shared" si="2"/>
        <v>4217147</v>
      </c>
      <c r="K49" s="101"/>
      <c r="L49" s="101">
        <v>1000</v>
      </c>
      <c r="M49" s="101"/>
      <c r="N49" s="101">
        <v>10061617</v>
      </c>
      <c r="O49" s="101"/>
      <c r="P49" s="101">
        <v>-5586480</v>
      </c>
      <c r="Q49" s="101"/>
      <c r="R49" s="101">
        <f t="shared" si="3"/>
        <v>4475137</v>
      </c>
      <c r="S49" s="180"/>
      <c r="T49" s="180"/>
      <c r="U49" s="179"/>
      <c r="V49" s="179"/>
      <c r="W49" s="184"/>
      <c r="X49" s="179"/>
    </row>
    <row r="50" spans="2:26" s="183" customFormat="1" x14ac:dyDescent="0.25">
      <c r="B50" s="182" t="s">
        <v>134</v>
      </c>
      <c r="C50" s="182"/>
      <c r="D50" s="101">
        <v>668000000</v>
      </c>
      <c r="E50" s="101"/>
      <c r="F50" s="101">
        <v>377816725200</v>
      </c>
      <c r="G50" s="101"/>
      <c r="H50" s="101">
        <v>-372741384113</v>
      </c>
      <c r="I50" s="101"/>
      <c r="J50" s="101">
        <f t="shared" si="2"/>
        <v>5075341087</v>
      </c>
      <c r="K50" s="101"/>
      <c r="L50" s="101">
        <v>668000000</v>
      </c>
      <c r="M50" s="101"/>
      <c r="N50" s="101">
        <v>377816725200</v>
      </c>
      <c r="O50" s="101"/>
      <c r="P50" s="101">
        <v>-374527470113</v>
      </c>
      <c r="Q50" s="101"/>
      <c r="R50" s="101">
        <f t="shared" si="3"/>
        <v>3289255087</v>
      </c>
      <c r="S50" s="180"/>
      <c r="T50" s="180"/>
      <c r="U50" s="179"/>
      <c r="V50" s="179"/>
      <c r="W50" s="184"/>
      <c r="X50" s="179"/>
    </row>
    <row r="51" spans="2:26" s="183" customFormat="1" x14ac:dyDescent="0.25">
      <c r="B51" s="182" t="s">
        <v>137</v>
      </c>
      <c r="C51" s="182"/>
      <c r="D51" s="101">
        <v>18000000</v>
      </c>
      <c r="E51" s="101"/>
      <c r="F51" s="101">
        <v>82392147180</v>
      </c>
      <c r="G51" s="101"/>
      <c r="H51" s="101">
        <v>-71889961500</v>
      </c>
      <c r="I51" s="101"/>
      <c r="J51" s="101">
        <f t="shared" si="2"/>
        <v>10502185680</v>
      </c>
      <c r="K51" s="101"/>
      <c r="L51" s="101">
        <v>18000000</v>
      </c>
      <c r="M51" s="101"/>
      <c r="N51" s="101">
        <v>82392147180</v>
      </c>
      <c r="O51" s="101"/>
      <c r="P51" s="101">
        <v>-102699945000</v>
      </c>
      <c r="Q51" s="101"/>
      <c r="R51" s="101">
        <f t="shared" si="3"/>
        <v>-20307797820</v>
      </c>
      <c r="S51" s="180"/>
      <c r="T51" s="180"/>
      <c r="U51" s="179"/>
      <c r="V51" s="179"/>
      <c r="W51" s="184"/>
      <c r="X51" s="179"/>
    </row>
    <row r="52" spans="2:26" s="183" customFormat="1" x14ac:dyDescent="0.25">
      <c r="B52" s="182" t="s">
        <v>117</v>
      </c>
      <c r="C52" s="182"/>
      <c r="D52" s="101">
        <v>5000000</v>
      </c>
      <c r="E52" s="101"/>
      <c r="F52" s="101">
        <v>203688224250</v>
      </c>
      <c r="G52" s="101"/>
      <c r="H52" s="101">
        <v>-250156879981</v>
      </c>
      <c r="I52" s="101"/>
      <c r="J52" s="101">
        <f t="shared" si="2"/>
        <v>-46468655731</v>
      </c>
      <c r="K52" s="101"/>
      <c r="L52" s="101">
        <v>5000000</v>
      </c>
      <c r="M52" s="101"/>
      <c r="N52" s="101">
        <v>203688224250</v>
      </c>
      <c r="O52" s="101"/>
      <c r="P52" s="101">
        <v>-277305387181</v>
      </c>
      <c r="Q52" s="101"/>
      <c r="R52" s="101">
        <f t="shared" si="3"/>
        <v>-73617162931</v>
      </c>
      <c r="S52" s="180"/>
      <c r="T52" s="180"/>
      <c r="U52" s="179"/>
      <c r="V52" s="179"/>
      <c r="W52" s="184"/>
      <c r="X52" s="179"/>
    </row>
    <row r="53" spans="2:26" s="183" customFormat="1" x14ac:dyDescent="0.25">
      <c r="B53" s="182" t="s">
        <v>116</v>
      </c>
      <c r="C53" s="182"/>
      <c r="D53" s="101">
        <v>100000</v>
      </c>
      <c r="E53" s="101"/>
      <c r="F53" s="101">
        <v>3894659750</v>
      </c>
      <c r="G53" s="101"/>
      <c r="H53" s="101">
        <v>-3042299820</v>
      </c>
      <c r="I53" s="101"/>
      <c r="J53" s="101">
        <f t="shared" si="2"/>
        <v>852359930</v>
      </c>
      <c r="K53" s="101"/>
      <c r="L53" s="101">
        <v>100000</v>
      </c>
      <c r="M53" s="101"/>
      <c r="N53" s="101">
        <v>3894659750</v>
      </c>
      <c r="O53" s="101"/>
      <c r="P53" s="101">
        <v>-4346142600</v>
      </c>
      <c r="Q53" s="101"/>
      <c r="R53" s="101">
        <f t="shared" si="3"/>
        <v>-451482850</v>
      </c>
      <c r="S53" s="180"/>
      <c r="T53" s="180"/>
      <c r="U53" s="117"/>
      <c r="V53" s="117"/>
      <c r="W53" s="184"/>
      <c r="X53" s="179"/>
    </row>
    <row r="54" spans="2:26" s="183" customFormat="1" x14ac:dyDescent="0.25">
      <c r="B54" s="182" t="s">
        <v>124</v>
      </c>
      <c r="C54" s="182"/>
      <c r="D54" s="101">
        <v>1000</v>
      </c>
      <c r="E54" s="101"/>
      <c r="F54" s="101">
        <v>661844</v>
      </c>
      <c r="G54" s="101"/>
      <c r="H54" s="101">
        <v>-444536</v>
      </c>
      <c r="I54" s="101"/>
      <c r="J54" s="101">
        <f t="shared" si="2"/>
        <v>217308</v>
      </c>
      <c r="K54" s="101"/>
      <c r="L54" s="101">
        <v>1000</v>
      </c>
      <c r="M54" s="101"/>
      <c r="N54" s="101">
        <v>661844</v>
      </c>
      <c r="O54" s="101"/>
      <c r="P54" s="101">
        <v>-419730</v>
      </c>
      <c r="Q54" s="101"/>
      <c r="R54" s="101">
        <f t="shared" si="3"/>
        <v>242114</v>
      </c>
      <c r="S54" s="180"/>
      <c r="T54" s="179"/>
      <c r="U54" s="117"/>
      <c r="V54" s="117"/>
      <c r="W54" s="184"/>
      <c r="X54" s="179"/>
    </row>
    <row r="55" spans="2:26" s="183" customFormat="1" x14ac:dyDescent="0.25">
      <c r="B55" s="182" t="s">
        <v>129</v>
      </c>
      <c r="C55" s="182"/>
      <c r="D55" s="101">
        <v>1000000</v>
      </c>
      <c r="E55" s="101"/>
      <c r="F55" s="101">
        <v>16868590000</v>
      </c>
      <c r="G55" s="101"/>
      <c r="H55" s="101">
        <v>-9773859502</v>
      </c>
      <c r="I55" s="101"/>
      <c r="J55" s="101">
        <f t="shared" si="2"/>
        <v>7094730498</v>
      </c>
      <c r="K55" s="101"/>
      <c r="L55" s="101">
        <v>1000000</v>
      </c>
      <c r="M55" s="101"/>
      <c r="N55" s="101">
        <v>16868590000</v>
      </c>
      <c r="O55" s="101"/>
      <c r="P55" s="101">
        <v>-16858667292</v>
      </c>
      <c r="Q55" s="101"/>
      <c r="R55" s="101">
        <f t="shared" si="3"/>
        <v>9922708</v>
      </c>
      <c r="S55" s="180"/>
      <c r="T55" s="179"/>
      <c r="U55" s="117"/>
      <c r="V55" s="117"/>
      <c r="W55" s="184"/>
      <c r="X55" s="179"/>
    </row>
    <row r="56" spans="2:26" s="183" customFormat="1" x14ac:dyDescent="0.25">
      <c r="B56" s="182" t="s">
        <v>190</v>
      </c>
      <c r="C56" s="182"/>
      <c r="D56" s="101">
        <v>294982360</v>
      </c>
      <c r="E56" s="101"/>
      <c r="F56" s="101">
        <v>1413165962612</v>
      </c>
      <c r="G56" s="101"/>
      <c r="H56" s="101">
        <v>-1146370285363</v>
      </c>
      <c r="I56" s="101"/>
      <c r="J56" s="101">
        <f t="shared" si="2"/>
        <v>266795677249</v>
      </c>
      <c r="K56" s="101"/>
      <c r="L56" s="101">
        <v>294982360</v>
      </c>
      <c r="M56" s="101"/>
      <c r="N56" s="101">
        <v>1413165962612</v>
      </c>
      <c r="O56" s="101"/>
      <c r="P56" s="101">
        <v>-1146469494859</v>
      </c>
      <c r="Q56" s="101"/>
      <c r="R56" s="101">
        <f t="shared" si="3"/>
        <v>266696467753</v>
      </c>
      <c r="S56" s="180"/>
      <c r="T56" s="179"/>
      <c r="U56" s="117"/>
      <c r="V56" s="117"/>
      <c r="W56" s="184"/>
      <c r="X56" s="179"/>
    </row>
    <row r="57" spans="2:26" s="183" customFormat="1" x14ac:dyDescent="0.25">
      <c r="B57" s="182" t="s">
        <v>225</v>
      </c>
      <c r="C57" s="182"/>
      <c r="D57" s="101">
        <v>98000000</v>
      </c>
      <c r="E57" s="101"/>
      <c r="F57" s="101">
        <v>248260000380</v>
      </c>
      <c r="G57" s="101"/>
      <c r="H57" s="101">
        <v>-237347767188</v>
      </c>
      <c r="I57" s="101"/>
      <c r="J57" s="101">
        <f t="shared" si="2"/>
        <v>10912233192</v>
      </c>
      <c r="K57" s="101"/>
      <c r="L57" s="101">
        <v>98000000</v>
      </c>
      <c r="M57" s="101"/>
      <c r="N57" s="101">
        <v>248260000380</v>
      </c>
      <c r="O57" s="101"/>
      <c r="P57" s="101">
        <v>-237347767188</v>
      </c>
      <c r="Q57" s="101"/>
      <c r="R57" s="101">
        <f t="shared" si="3"/>
        <v>10912233192</v>
      </c>
      <c r="S57" s="180"/>
      <c r="T57" s="179"/>
      <c r="U57" s="117"/>
      <c r="V57" s="117"/>
      <c r="W57" s="184"/>
      <c r="X57" s="179"/>
    </row>
    <row r="58" spans="2:26" s="183" customFormat="1" x14ac:dyDescent="0.25">
      <c r="B58" s="182" t="s">
        <v>229</v>
      </c>
      <c r="C58" s="182"/>
      <c r="D58" s="101">
        <v>23600000</v>
      </c>
      <c r="E58" s="101"/>
      <c r="F58" s="101">
        <v>95684199192</v>
      </c>
      <c r="G58" s="101"/>
      <c r="H58" s="101">
        <v>-91002961575</v>
      </c>
      <c r="I58" s="101"/>
      <c r="J58" s="101">
        <f t="shared" si="2"/>
        <v>4681237617</v>
      </c>
      <c r="K58" s="101"/>
      <c r="L58" s="101">
        <v>23600000</v>
      </c>
      <c r="M58" s="101"/>
      <c r="N58" s="101">
        <v>95684199192</v>
      </c>
      <c r="O58" s="101"/>
      <c r="P58" s="101">
        <v>-91002961575</v>
      </c>
      <c r="Q58" s="101"/>
      <c r="R58" s="101">
        <f t="shared" si="3"/>
        <v>4681237617</v>
      </c>
      <c r="S58" s="180"/>
      <c r="T58" s="179"/>
      <c r="U58" s="117"/>
      <c r="V58" s="117"/>
      <c r="W58" s="184"/>
      <c r="X58" s="179"/>
    </row>
    <row r="59" spans="2:26" s="183" customFormat="1" x14ac:dyDescent="0.25">
      <c r="B59" s="182" t="s">
        <v>123</v>
      </c>
      <c r="C59" s="182"/>
      <c r="D59" s="101">
        <v>8000000</v>
      </c>
      <c r="E59" s="101"/>
      <c r="F59" s="101">
        <v>229809732000</v>
      </c>
      <c r="G59" s="101"/>
      <c r="H59" s="101">
        <v>-150086791120</v>
      </c>
      <c r="I59" s="101"/>
      <c r="J59" s="101">
        <f t="shared" si="2"/>
        <v>79722940880</v>
      </c>
      <c r="K59" s="101"/>
      <c r="L59" s="101">
        <v>8000000</v>
      </c>
      <c r="M59" s="101"/>
      <c r="N59" s="101">
        <v>229809732000</v>
      </c>
      <c r="O59" s="101"/>
      <c r="P59" s="101">
        <v>-214409701600</v>
      </c>
      <c r="Q59" s="101"/>
      <c r="R59" s="101">
        <f t="shared" si="3"/>
        <v>15400030400</v>
      </c>
      <c r="S59" s="180"/>
      <c r="T59" s="179"/>
      <c r="U59" s="117"/>
      <c r="V59" s="117"/>
      <c r="W59" s="184"/>
      <c r="X59" s="179"/>
    </row>
    <row r="60" spans="2:26" s="183" customFormat="1" x14ac:dyDescent="0.25">
      <c r="B60" s="182" t="s">
        <v>111</v>
      </c>
      <c r="C60" s="182"/>
      <c r="D60" s="101">
        <v>120600000</v>
      </c>
      <c r="E60" s="101"/>
      <c r="F60" s="101">
        <v>1096156699920</v>
      </c>
      <c r="G60" s="101"/>
      <c r="H60" s="101">
        <v>-625937789980</v>
      </c>
      <c r="I60" s="101"/>
      <c r="J60" s="101">
        <f t="shared" si="2"/>
        <v>470218909940</v>
      </c>
      <c r="K60" s="101"/>
      <c r="L60" s="101">
        <v>120600000</v>
      </c>
      <c r="M60" s="101"/>
      <c r="N60" s="101">
        <v>1096156699920</v>
      </c>
      <c r="O60" s="101"/>
      <c r="P60" s="101">
        <v>-624218107483</v>
      </c>
      <c r="Q60" s="101"/>
      <c r="R60" s="101">
        <f t="shared" si="3"/>
        <v>471938592437</v>
      </c>
      <c r="S60" s="180"/>
      <c r="T60" s="179"/>
      <c r="U60" s="117"/>
      <c r="V60" s="117"/>
      <c r="W60" s="184"/>
      <c r="X60" s="179"/>
    </row>
    <row r="61" spans="2:26" s="183" customFormat="1" x14ac:dyDescent="0.25">
      <c r="B61" s="182" t="s">
        <v>110</v>
      </c>
      <c r="C61" s="182"/>
      <c r="D61" s="101">
        <v>1372355188</v>
      </c>
      <c r="E61" s="101"/>
      <c r="F61" s="101">
        <v>1805676366058</v>
      </c>
      <c r="G61" s="101"/>
      <c r="H61" s="101">
        <v>-1539934855289</v>
      </c>
      <c r="I61" s="101"/>
      <c r="J61" s="101">
        <f t="shared" si="2"/>
        <v>265741510769</v>
      </c>
      <c r="K61" s="101"/>
      <c r="L61" s="101">
        <v>1372355188</v>
      </c>
      <c r="M61" s="101"/>
      <c r="N61" s="101">
        <v>1805676366058</v>
      </c>
      <c r="O61" s="101"/>
      <c r="P61" s="101">
        <v>-1487165381275</v>
      </c>
      <c r="Q61" s="101"/>
      <c r="R61" s="101">
        <f t="shared" si="3"/>
        <v>318510984783</v>
      </c>
      <c r="S61" s="180"/>
      <c r="T61" s="179"/>
      <c r="U61" s="117"/>
      <c r="V61" s="117"/>
      <c r="W61" s="184"/>
      <c r="X61" s="179"/>
    </row>
    <row r="62" spans="2:26" s="183" customFormat="1" x14ac:dyDescent="0.25">
      <c r="B62" s="182" t="s">
        <v>108</v>
      </c>
      <c r="C62" s="182"/>
      <c r="D62" s="101">
        <v>753200000</v>
      </c>
      <c r="E62" s="101"/>
      <c r="F62" s="101">
        <v>430489592064</v>
      </c>
      <c r="G62" s="101"/>
      <c r="H62" s="101">
        <v>-358286783032</v>
      </c>
      <c r="I62" s="101"/>
      <c r="J62" s="101">
        <f t="shared" si="2"/>
        <v>72202809032</v>
      </c>
      <c r="K62" s="101"/>
      <c r="L62" s="101">
        <v>753200000</v>
      </c>
      <c r="M62" s="101"/>
      <c r="N62" s="101">
        <v>430489592064</v>
      </c>
      <c r="O62" s="101"/>
      <c r="P62" s="101">
        <v>-359675961032</v>
      </c>
      <c r="Q62" s="101"/>
      <c r="R62" s="101">
        <f t="shared" si="3"/>
        <v>70813631032</v>
      </c>
      <c r="S62" s="115"/>
      <c r="T62" s="192"/>
      <c r="U62" s="180"/>
      <c r="V62" s="179"/>
      <c r="W62" s="117"/>
      <c r="X62" s="117"/>
      <c r="Y62" s="184"/>
      <c r="Z62" s="179"/>
    </row>
    <row r="63" spans="2:26" s="183" customFormat="1" x14ac:dyDescent="0.25">
      <c r="B63" s="182" t="s">
        <v>141</v>
      </c>
      <c r="C63" s="182"/>
      <c r="D63" s="101">
        <v>20714814</v>
      </c>
      <c r="E63" s="101"/>
      <c r="F63" s="101">
        <v>292698764065</v>
      </c>
      <c r="G63" s="101"/>
      <c r="H63" s="101">
        <v>-241110370023</v>
      </c>
      <c r="I63" s="101"/>
      <c r="J63" s="101">
        <f t="shared" si="2"/>
        <v>51588394042</v>
      </c>
      <c r="K63" s="101"/>
      <c r="L63" s="101">
        <v>20714814</v>
      </c>
      <c r="M63" s="101"/>
      <c r="N63" s="101">
        <v>292698764065</v>
      </c>
      <c r="O63" s="101"/>
      <c r="P63" s="101">
        <v>-240573272707</v>
      </c>
      <c r="Q63" s="101"/>
      <c r="R63" s="101">
        <f t="shared" si="3"/>
        <v>52125491358</v>
      </c>
      <c r="S63" s="115"/>
      <c r="T63" s="192"/>
      <c r="U63" s="180"/>
      <c r="V63" s="179"/>
      <c r="W63" s="117"/>
      <c r="X63" s="117"/>
      <c r="Y63" s="184"/>
      <c r="Z63" s="179"/>
    </row>
    <row r="64" spans="2:26" s="183" customFormat="1" ht="31.5" customHeight="1" x14ac:dyDescent="0.25">
      <c r="B64" s="182" t="s">
        <v>193</v>
      </c>
      <c r="C64" s="182"/>
      <c r="D64" s="101">
        <v>14000000</v>
      </c>
      <c r="E64" s="101"/>
      <c r="F64" s="101">
        <v>141557238200</v>
      </c>
      <c r="G64" s="101"/>
      <c r="H64" s="101">
        <v>-81961502000</v>
      </c>
      <c r="I64" s="101"/>
      <c r="J64" s="101">
        <f t="shared" si="2"/>
        <v>59595736200</v>
      </c>
      <c r="K64" s="101"/>
      <c r="L64" s="101">
        <v>14000000</v>
      </c>
      <c r="M64" s="101"/>
      <c r="N64" s="101">
        <v>141557238200</v>
      </c>
      <c r="O64" s="101"/>
      <c r="P64" s="101">
        <v>-77377214600</v>
      </c>
      <c r="Q64" s="101"/>
      <c r="R64" s="101">
        <f t="shared" si="3"/>
        <v>64180023600</v>
      </c>
      <c r="S64" s="115"/>
      <c r="T64" s="192"/>
      <c r="U64" s="180"/>
      <c r="V64" s="179"/>
      <c r="W64" s="117"/>
      <c r="X64" s="117"/>
      <c r="Y64" s="184"/>
      <c r="Z64" s="179"/>
    </row>
    <row r="65" spans="1:26" s="183" customFormat="1" ht="31.5" customHeight="1" x14ac:dyDescent="0.25">
      <c r="B65" s="182" t="s">
        <v>142</v>
      </c>
      <c r="C65" s="182"/>
      <c r="D65" s="101">
        <v>333200000</v>
      </c>
      <c r="E65" s="101"/>
      <c r="F65" s="101">
        <v>212260841688</v>
      </c>
      <c r="G65" s="101"/>
      <c r="H65" s="101">
        <v>-158399232588</v>
      </c>
      <c r="I65" s="101"/>
      <c r="J65" s="101">
        <f t="shared" si="2"/>
        <v>53861609100</v>
      </c>
      <c r="K65" s="101"/>
      <c r="L65" s="101">
        <v>333200000</v>
      </c>
      <c r="M65" s="101"/>
      <c r="N65" s="101">
        <v>212260841688</v>
      </c>
      <c r="O65" s="101"/>
      <c r="P65" s="101">
        <v>-156041070529</v>
      </c>
      <c r="Q65" s="101"/>
      <c r="R65" s="101">
        <f t="shared" si="3"/>
        <v>56219771159</v>
      </c>
      <c r="S65" s="115"/>
      <c r="T65" s="192"/>
      <c r="U65" s="180"/>
      <c r="V65" s="179"/>
      <c r="W65" s="117"/>
      <c r="X65" s="117"/>
      <c r="Y65" s="184"/>
      <c r="Z65" s="179"/>
    </row>
    <row r="66" spans="1:26" s="183" customFormat="1" ht="31.5" customHeight="1" x14ac:dyDescent="0.25">
      <c r="B66" s="182" t="s">
        <v>125</v>
      </c>
      <c r="C66" s="182"/>
      <c r="D66" s="101">
        <v>1068</v>
      </c>
      <c r="E66" s="101"/>
      <c r="F66" s="101">
        <v>2169296</v>
      </c>
      <c r="G66" s="101"/>
      <c r="H66" s="101">
        <v>-1832297</v>
      </c>
      <c r="I66" s="101"/>
      <c r="J66" s="101">
        <f t="shared" si="2"/>
        <v>336999</v>
      </c>
      <c r="K66" s="101"/>
      <c r="L66" s="101">
        <v>1068</v>
      </c>
      <c r="M66" s="101"/>
      <c r="N66" s="101">
        <v>2169296</v>
      </c>
      <c r="O66" s="101"/>
      <c r="P66" s="101">
        <v>-1966004</v>
      </c>
      <c r="Q66" s="101"/>
      <c r="R66" s="101">
        <f t="shared" si="3"/>
        <v>203292</v>
      </c>
      <c r="S66" s="115"/>
      <c r="T66" s="192"/>
      <c r="U66" s="180"/>
      <c r="V66" s="179"/>
      <c r="W66" s="117"/>
      <c r="X66" s="117"/>
      <c r="Y66" s="184"/>
      <c r="Z66" s="179"/>
    </row>
    <row r="67" spans="1:26" s="183" customFormat="1" ht="31.5" customHeight="1" thickBot="1" x14ac:dyDescent="0.3">
      <c r="B67" s="182" t="s">
        <v>128</v>
      </c>
      <c r="C67" s="182"/>
      <c r="D67" s="101">
        <v>660800000</v>
      </c>
      <c r="E67" s="101"/>
      <c r="F67" s="101">
        <v>1343512940784</v>
      </c>
      <c r="G67" s="101"/>
      <c r="H67" s="101">
        <v>-1235195533505</v>
      </c>
      <c r="I67" s="101"/>
      <c r="J67" s="101">
        <f t="shared" si="2"/>
        <v>108317407279</v>
      </c>
      <c r="K67" s="101"/>
      <c r="L67" s="101">
        <v>660800000</v>
      </c>
      <c r="M67" s="101"/>
      <c r="N67" s="101">
        <v>1343512940784</v>
      </c>
      <c r="O67" s="101"/>
      <c r="P67" s="101">
        <v>-1246031121905</v>
      </c>
      <c r="Q67" s="101"/>
      <c r="R67" s="101">
        <f t="shared" si="3"/>
        <v>97481818879</v>
      </c>
      <c r="S67" s="115"/>
      <c r="T67" s="192"/>
      <c r="U67" s="180"/>
      <c r="V67" s="179"/>
      <c r="W67" s="117"/>
      <c r="X67" s="117"/>
      <c r="Y67" s="184"/>
      <c r="Z67" s="179"/>
    </row>
    <row r="68" spans="1:26" s="183" customFormat="1" ht="34.5" thickBot="1" x14ac:dyDescent="0.3">
      <c r="A68" s="12"/>
      <c r="B68" s="183" t="s">
        <v>7</v>
      </c>
      <c r="D68" s="98">
        <f>SUM(D43:D67)</f>
        <v>5756187350</v>
      </c>
      <c r="E68" s="193"/>
      <c r="F68" s="98">
        <f>SUM(F43:F67)</f>
        <v>17770071127248</v>
      </c>
      <c r="G68" s="193"/>
      <c r="H68" s="98">
        <f>SUM(H43:H67)</f>
        <v>-13491690287002</v>
      </c>
      <c r="I68" s="193"/>
      <c r="J68" s="98">
        <f>SUM(J43:J67)</f>
        <v>4278380840246</v>
      </c>
      <c r="K68" s="193"/>
      <c r="L68" s="98">
        <f>SUM(L43:L67)</f>
        <v>5756187350</v>
      </c>
      <c r="M68" s="118"/>
      <c r="N68" s="98">
        <f>SUM(N43:N67)</f>
        <v>17770071127248</v>
      </c>
      <c r="O68" s="193"/>
      <c r="P68" s="98">
        <f>SUM(P43:P67)</f>
        <v>-14528646362886</v>
      </c>
      <c r="Q68" s="193"/>
      <c r="R68" s="98">
        <f>SUM(R43:R67)</f>
        <v>3241424764362</v>
      </c>
      <c r="S68" s="115"/>
      <c r="T68" s="192"/>
      <c r="U68" s="180"/>
      <c r="V68" s="179"/>
      <c r="W68" s="117"/>
      <c r="X68" s="117"/>
      <c r="Y68" s="184"/>
      <c r="Z68" s="179"/>
    </row>
    <row r="69" spans="1:26" s="183" customFormat="1" ht="34.5" thickTop="1" x14ac:dyDescent="0.25">
      <c r="A69" s="12"/>
      <c r="D69" s="102"/>
      <c r="L69" s="102"/>
      <c r="R69" s="248"/>
      <c r="S69" s="115"/>
      <c r="T69" s="192"/>
      <c r="U69" s="180"/>
      <c r="V69" s="179"/>
      <c r="W69" s="117"/>
      <c r="X69" s="117"/>
      <c r="Y69" s="184"/>
      <c r="Z69" s="179"/>
    </row>
    <row r="70" spans="1:26" s="183" customFormat="1" x14ac:dyDescent="0.25">
      <c r="A70" s="12"/>
      <c r="B70" s="415" t="s">
        <v>75</v>
      </c>
      <c r="C70" s="416"/>
      <c r="D70" s="416"/>
      <c r="E70" s="416"/>
      <c r="F70" s="416"/>
      <c r="G70" s="416"/>
      <c r="H70" s="416"/>
      <c r="I70" s="416"/>
      <c r="J70" s="416"/>
      <c r="K70" s="416"/>
      <c r="L70" s="416"/>
      <c r="M70" s="416"/>
      <c r="N70" s="416"/>
      <c r="O70" s="416"/>
      <c r="P70" s="416"/>
      <c r="Q70" s="416"/>
      <c r="R70" s="417"/>
      <c r="S70" s="115"/>
      <c r="T70" s="192"/>
      <c r="U70" s="180"/>
      <c r="V70" s="179"/>
      <c r="W70" s="117"/>
      <c r="X70" s="117"/>
      <c r="Y70" s="184"/>
      <c r="Z70" s="179"/>
    </row>
    <row r="71" spans="1:26" ht="36" x14ac:dyDescent="0.25">
      <c r="B71" s="183"/>
      <c r="C71" s="183"/>
      <c r="D71" s="102"/>
      <c r="E71" s="183"/>
      <c r="F71" s="183"/>
      <c r="G71" s="183"/>
      <c r="H71" s="203"/>
      <c r="I71" s="183"/>
      <c r="J71" s="301"/>
      <c r="K71" s="183"/>
      <c r="L71" s="102"/>
      <c r="M71" s="183"/>
      <c r="N71" s="183"/>
      <c r="O71" s="183"/>
      <c r="P71" s="203"/>
      <c r="Q71" s="183"/>
      <c r="R71" s="301"/>
      <c r="T71" s="192"/>
      <c r="Y71" s="194"/>
    </row>
    <row r="72" spans="1:26" ht="36" x14ac:dyDescent="0.25">
      <c r="F72" s="168"/>
      <c r="H72" s="168"/>
      <c r="J72" s="302"/>
      <c r="N72" s="168"/>
      <c r="P72" s="168"/>
      <c r="R72" s="302"/>
      <c r="T72" s="192"/>
    </row>
    <row r="73" spans="1:26" x14ac:dyDescent="0.25">
      <c r="E73" s="115"/>
      <c r="F73" s="115"/>
      <c r="G73" s="115"/>
      <c r="H73" s="115"/>
      <c r="I73" s="115"/>
      <c r="J73" s="115"/>
      <c r="K73" s="115"/>
      <c r="M73" s="115"/>
      <c r="N73" s="115"/>
      <c r="O73" s="115"/>
      <c r="P73" s="115"/>
      <c r="Q73" s="115"/>
      <c r="R73" s="115"/>
      <c r="T73" s="192"/>
      <c r="Y73" s="194"/>
    </row>
    <row r="74" spans="1:26" x14ac:dyDescent="0.25">
      <c r="F74" s="195"/>
      <c r="H74" s="168"/>
      <c r="J74" s="245"/>
      <c r="N74" s="168"/>
      <c r="P74" s="243"/>
      <c r="T74" s="192"/>
    </row>
    <row r="75" spans="1:26" x14ac:dyDescent="0.25">
      <c r="J75" s="168"/>
      <c r="N75" s="168"/>
      <c r="P75" s="243"/>
      <c r="T75" s="192"/>
    </row>
    <row r="76" spans="1:26" x14ac:dyDescent="0.25">
      <c r="N76" s="168"/>
      <c r="P76" s="243"/>
      <c r="T76" s="192"/>
      <c r="Y76" s="309"/>
      <c r="Z76" s="309"/>
    </row>
    <row r="77" spans="1:26" x14ac:dyDescent="0.25">
      <c r="P77" s="168"/>
      <c r="R77" s="146"/>
      <c r="T77" s="192"/>
      <c r="Y77" s="309"/>
      <c r="Z77" s="309"/>
    </row>
    <row r="78" spans="1:26" x14ac:dyDescent="0.25">
      <c r="N78" s="168"/>
      <c r="T78" s="192"/>
      <c r="Y78" s="309"/>
      <c r="Z78" s="309"/>
    </row>
    <row r="79" spans="1:26" x14ac:dyDescent="0.25">
      <c r="N79" s="168"/>
      <c r="T79" s="192"/>
      <c r="Y79" s="309"/>
      <c r="Z79" s="309"/>
    </row>
    <row r="80" spans="1:26" x14ac:dyDescent="0.25">
      <c r="T80" s="192"/>
      <c r="Y80" s="309"/>
      <c r="Z80" s="309"/>
    </row>
    <row r="81" spans="19:26" x14ac:dyDescent="0.25">
      <c r="T81" s="192"/>
      <c r="Y81" s="309"/>
      <c r="Z81" s="309"/>
    </row>
    <row r="82" spans="19:26" x14ac:dyDescent="0.25">
      <c r="T82" s="192"/>
      <c r="Y82" s="309"/>
      <c r="Z82" s="309"/>
    </row>
    <row r="83" spans="19:26" x14ac:dyDescent="0.25">
      <c r="T83" s="192"/>
    </row>
    <row r="84" spans="19:26" x14ac:dyDescent="0.25">
      <c r="T84" s="192"/>
    </row>
    <row r="85" spans="19:26" x14ac:dyDescent="0.25">
      <c r="S85" s="102"/>
      <c r="T85" s="192"/>
    </row>
    <row r="86" spans="19:26" x14ac:dyDescent="0.25">
      <c r="S86" s="102"/>
      <c r="T86" s="192"/>
    </row>
    <row r="87" spans="19:26" x14ac:dyDescent="0.25">
      <c r="S87" s="102"/>
      <c r="T87" s="192"/>
    </row>
    <row r="88" spans="19:26" x14ac:dyDescent="0.25">
      <c r="S88" s="102"/>
      <c r="T88" s="192"/>
    </row>
    <row r="89" spans="19:26" x14ac:dyDescent="0.25">
      <c r="S89" s="102"/>
      <c r="T89" s="192"/>
    </row>
    <row r="90" spans="19:26" x14ac:dyDescent="0.25">
      <c r="S90" s="102"/>
      <c r="T90" s="192"/>
    </row>
    <row r="91" spans="19:26" x14ac:dyDescent="0.25">
      <c r="S91" s="102"/>
      <c r="T91" s="192"/>
    </row>
    <row r="92" spans="19:26" x14ac:dyDescent="0.25">
      <c r="S92" s="102"/>
      <c r="T92" s="192"/>
    </row>
    <row r="96" spans="19:26" x14ac:dyDescent="0.25">
      <c r="S96" s="102"/>
      <c r="T96" s="192"/>
    </row>
    <row r="97" spans="19:20" x14ac:dyDescent="0.25">
      <c r="S97" s="102"/>
      <c r="T97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S106" s="102"/>
      <c r="T106" s="192"/>
    </row>
    <row r="107" spans="19:20" x14ac:dyDescent="0.25">
      <c r="S107" s="102"/>
      <c r="T107" s="192"/>
    </row>
    <row r="108" spans="19:20" x14ac:dyDescent="0.25">
      <c r="S108" s="102"/>
      <c r="T108" s="192"/>
    </row>
    <row r="109" spans="19:20" x14ac:dyDescent="0.25">
      <c r="S109" s="102"/>
      <c r="T109" s="192"/>
    </row>
    <row r="110" spans="19:20" x14ac:dyDescent="0.25">
      <c r="S110" s="102"/>
      <c r="T110" s="192"/>
    </row>
    <row r="111" spans="19:20" x14ac:dyDescent="0.25">
      <c r="S111" s="102"/>
      <c r="T111" s="192"/>
    </row>
    <row r="112" spans="19:20" x14ac:dyDescent="0.25">
      <c r="S112" s="102"/>
      <c r="T112" s="192"/>
    </row>
    <row r="113" spans="19:20" x14ac:dyDescent="0.25">
      <c r="S113" s="102"/>
      <c r="T113" s="192"/>
    </row>
    <row r="114" spans="19:20" x14ac:dyDescent="0.25">
      <c r="S114" s="102"/>
      <c r="T114" s="192"/>
    </row>
    <row r="115" spans="19:20" x14ac:dyDescent="0.25">
      <c r="S115" s="102"/>
      <c r="T115" s="192"/>
    </row>
    <row r="116" spans="19:20" x14ac:dyDescent="0.25">
      <c r="S116" s="102"/>
      <c r="T116" s="192"/>
    </row>
    <row r="117" spans="19:20" x14ac:dyDescent="0.25">
      <c r="T117" s="192"/>
    </row>
    <row r="118" spans="19:20" x14ac:dyDescent="0.25">
      <c r="T118" s="192"/>
    </row>
    <row r="119" spans="19:20" x14ac:dyDescent="0.25">
      <c r="T119" s="192"/>
    </row>
    <row r="120" spans="19:20" x14ac:dyDescent="0.25">
      <c r="T120" s="192"/>
    </row>
    <row r="121" spans="19:20" x14ac:dyDescent="0.25">
      <c r="T121" s="192"/>
    </row>
    <row r="122" spans="19:20" x14ac:dyDescent="0.25">
      <c r="T122" s="192"/>
    </row>
    <row r="123" spans="19:20" x14ac:dyDescent="0.25">
      <c r="T123" s="192"/>
    </row>
    <row r="124" spans="19:20" x14ac:dyDescent="0.25">
      <c r="T124" s="192"/>
    </row>
    <row r="125" spans="19:20" x14ac:dyDescent="0.25">
      <c r="T125" s="192"/>
    </row>
    <row r="126" spans="19:20" x14ac:dyDescent="0.25">
      <c r="T126" s="192"/>
    </row>
    <row r="127" spans="19:20" x14ac:dyDescent="0.25">
      <c r="T127" s="192"/>
    </row>
    <row r="128" spans="19:20" x14ac:dyDescent="0.25">
      <c r="T128" s="192"/>
    </row>
    <row r="129" spans="20:20" x14ac:dyDescent="0.25">
      <c r="T129" s="192"/>
    </row>
    <row r="130" spans="20:20" x14ac:dyDescent="0.25">
      <c r="T130" s="192"/>
    </row>
    <row r="131" spans="20:20" x14ac:dyDescent="0.25">
      <c r="T131" s="192"/>
    </row>
    <row r="132" spans="20:20" x14ac:dyDescent="0.25">
      <c r="T132" s="192"/>
    </row>
    <row r="133" spans="20:20" x14ac:dyDescent="0.25">
      <c r="T133" s="192"/>
    </row>
    <row r="134" spans="20:20" x14ac:dyDescent="0.25">
      <c r="T134" s="192"/>
    </row>
    <row r="135" spans="20:20" x14ac:dyDescent="0.25">
      <c r="T135" s="192"/>
    </row>
  </sheetData>
  <sortState xmlns:xlrd2="http://schemas.microsoft.com/office/spreadsheetml/2017/richdata2" ref="T7:U80">
    <sortCondition descending="1" ref="U1:U80"/>
  </sortState>
  <mergeCells count="10">
    <mergeCell ref="B70:R70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107"/>
  <sheetViews>
    <sheetView rightToLeft="1" view="pageBreakPreview" zoomScale="85" zoomScaleNormal="85" zoomScaleSheetLayoutView="85" workbookViewId="0">
      <selection activeCell="U21" sqref="U21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61" t="str">
        <f>'سود اوراق بهادار و سپرده بانکی'!B1:U1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</row>
    <row r="2" spans="2:29" ht="24" x14ac:dyDescent="0.6">
      <c r="B2" s="361" t="s">
        <v>86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V2" s="93"/>
    </row>
    <row r="3" spans="2:29" ht="24" x14ac:dyDescent="0.6">
      <c r="B3" s="361" t="str">
        <f>' سهام'!B3:Z3</f>
        <v>برای ماه منتهی به 1405/03/31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V3" s="93"/>
    </row>
    <row r="4" spans="2:29" ht="24" x14ac:dyDescent="0.55000000000000004">
      <c r="B4" s="418" t="s">
        <v>97</v>
      </c>
      <c r="C4" s="418"/>
      <c r="D4" s="418"/>
      <c r="E4" s="418"/>
      <c r="F4" s="418"/>
      <c r="G4" s="418"/>
      <c r="H4" s="418"/>
      <c r="I4" s="418"/>
      <c r="J4" s="418"/>
      <c r="K4" s="420"/>
      <c r="L4" s="420"/>
      <c r="M4" s="420"/>
      <c r="N4" s="420"/>
      <c r="O4" s="420"/>
      <c r="P4" s="420"/>
      <c r="Q4" s="420"/>
      <c r="R4" s="420"/>
      <c r="V4" s="93"/>
      <c r="AC4" s="1" t="s">
        <v>164</v>
      </c>
    </row>
    <row r="5" spans="2:29" ht="24.75" thickBot="1" x14ac:dyDescent="0.6">
      <c r="B5" s="12"/>
      <c r="C5" s="12"/>
      <c r="D5" s="413" t="str">
        <f>' سهام'!AC7</f>
        <v>طی خرداد ماه</v>
      </c>
      <c r="E5" s="413"/>
      <c r="F5" s="413"/>
      <c r="G5" s="413"/>
      <c r="H5" s="413"/>
      <c r="I5" s="413"/>
      <c r="J5" s="413"/>
      <c r="K5" s="12"/>
      <c r="L5" s="413" t="str">
        <f>' سهام'!AC8</f>
        <v>از ابتدای سال مالی تا پایان خرداد  ماه</v>
      </c>
      <c r="M5" s="413"/>
      <c r="N5" s="413"/>
      <c r="O5" s="413"/>
      <c r="P5" s="413"/>
      <c r="Q5" s="413"/>
      <c r="R5" s="413"/>
      <c r="V5" s="93"/>
      <c r="AC5" s="1" t="s">
        <v>169</v>
      </c>
    </row>
    <row r="6" spans="2:29" ht="45.75" thickBot="1" x14ac:dyDescent="0.6">
      <c r="B6" s="12" t="s">
        <v>63</v>
      </c>
      <c r="C6" s="12"/>
      <c r="D6" s="110" t="s">
        <v>8</v>
      </c>
      <c r="E6" s="12"/>
      <c r="F6" s="111" t="s">
        <v>76</v>
      </c>
      <c r="G6" s="12"/>
      <c r="H6" s="110" t="s">
        <v>73</v>
      </c>
      <c r="I6" s="12"/>
      <c r="J6" s="111" t="s">
        <v>77</v>
      </c>
      <c r="K6" s="12"/>
      <c r="L6" s="110" t="s">
        <v>8</v>
      </c>
      <c r="M6" s="12"/>
      <c r="N6" s="111" t="s">
        <v>31</v>
      </c>
      <c r="O6" s="12"/>
      <c r="P6" s="110" t="s">
        <v>73</v>
      </c>
      <c r="Q6" s="12"/>
      <c r="R6" s="111" t="s">
        <v>77</v>
      </c>
      <c r="T6" s="159"/>
      <c r="Z6" s="1" t="s">
        <v>170</v>
      </c>
    </row>
    <row r="7" spans="2:29" x14ac:dyDescent="0.55000000000000004">
      <c r="B7" s="12" t="s">
        <v>129</v>
      </c>
      <c r="C7" s="12"/>
      <c r="D7" s="91">
        <v>5800000</v>
      </c>
      <c r="E7" s="12"/>
      <c r="F7" s="112">
        <v>90959387096</v>
      </c>
      <c r="G7" s="12"/>
      <c r="H7" s="91">
        <v>-97780270338</v>
      </c>
      <c r="I7" s="12"/>
      <c r="J7" s="112">
        <v>-6820883242</v>
      </c>
      <c r="K7" s="12"/>
      <c r="L7" s="91">
        <v>13000000</v>
      </c>
      <c r="M7" s="12"/>
      <c r="N7" s="112">
        <v>205343491137</v>
      </c>
      <c r="O7" s="12"/>
      <c r="P7" s="91">
        <v>-219162674908</v>
      </c>
      <c r="Q7" s="12"/>
      <c r="R7" s="112">
        <v>-13819183771</v>
      </c>
      <c r="T7" s="159"/>
    </row>
    <row r="8" spans="2:29" x14ac:dyDescent="0.55000000000000004">
      <c r="B8" s="12" t="s">
        <v>190</v>
      </c>
      <c r="C8" s="12"/>
      <c r="D8" s="91">
        <v>14493</v>
      </c>
      <c r="E8" s="12"/>
      <c r="F8" s="112">
        <v>63686737</v>
      </c>
      <c r="G8" s="12"/>
      <c r="H8" s="91">
        <v>-56328055</v>
      </c>
      <c r="I8" s="12"/>
      <c r="J8" s="112">
        <v>7358682</v>
      </c>
      <c r="K8" s="12"/>
      <c r="L8" s="91">
        <v>14493</v>
      </c>
      <c r="M8" s="12"/>
      <c r="N8" s="112">
        <v>63686737</v>
      </c>
      <c r="O8" s="12"/>
      <c r="P8" s="91">
        <v>-56328055</v>
      </c>
      <c r="Q8" s="12"/>
      <c r="R8" s="112">
        <v>7358682</v>
      </c>
      <c r="T8" s="159"/>
    </row>
    <row r="9" spans="2:29" x14ac:dyDescent="0.55000000000000004">
      <c r="B9" s="12" t="s">
        <v>202</v>
      </c>
      <c r="C9" s="12"/>
      <c r="D9" s="91">
        <v>88888</v>
      </c>
      <c r="E9" s="12"/>
      <c r="F9" s="112">
        <v>833094747</v>
      </c>
      <c r="G9" s="12"/>
      <c r="H9" s="91">
        <v>-787369396</v>
      </c>
      <c r="I9" s="12"/>
      <c r="J9" s="112">
        <v>45725351</v>
      </c>
      <c r="K9" s="12"/>
      <c r="L9" s="91">
        <v>88889</v>
      </c>
      <c r="M9" s="12"/>
      <c r="N9" s="112">
        <v>833094748</v>
      </c>
      <c r="O9" s="12"/>
      <c r="P9" s="91">
        <v>-787378253</v>
      </c>
      <c r="Q9" s="12"/>
      <c r="R9" s="112">
        <v>45716495</v>
      </c>
      <c r="T9" s="159"/>
    </row>
    <row r="10" spans="2:29" x14ac:dyDescent="0.55000000000000004">
      <c r="B10" s="12" t="s">
        <v>151</v>
      </c>
      <c r="C10" s="12"/>
      <c r="D10" s="91">
        <v>232900</v>
      </c>
      <c r="E10" s="12"/>
      <c r="F10" s="112">
        <v>462048552</v>
      </c>
      <c r="G10" s="12"/>
      <c r="H10" s="91">
        <v>-459195070</v>
      </c>
      <c r="I10" s="12"/>
      <c r="J10" s="112">
        <v>2853482</v>
      </c>
      <c r="K10" s="12"/>
      <c r="L10" s="91">
        <v>232900</v>
      </c>
      <c r="M10" s="12"/>
      <c r="N10" s="112">
        <v>462048552</v>
      </c>
      <c r="O10" s="12"/>
      <c r="P10" s="91">
        <v>-459195070</v>
      </c>
      <c r="Q10" s="12"/>
      <c r="R10" s="112">
        <v>2853482</v>
      </c>
      <c r="T10" s="159"/>
    </row>
    <row r="11" spans="2:29" x14ac:dyDescent="0.55000000000000004">
      <c r="B11" s="12" t="s">
        <v>111</v>
      </c>
      <c r="C11" s="12"/>
      <c r="D11" s="91">
        <v>60440</v>
      </c>
      <c r="E11" s="12"/>
      <c r="F11" s="112">
        <v>319238572</v>
      </c>
      <c r="G11" s="12"/>
      <c r="H11" s="91">
        <v>-309786116</v>
      </c>
      <c r="I11" s="12"/>
      <c r="J11" s="112">
        <v>9452456</v>
      </c>
      <c r="K11" s="12"/>
      <c r="L11" s="91">
        <v>60440</v>
      </c>
      <c r="M11" s="12"/>
      <c r="N11" s="112">
        <v>319238572</v>
      </c>
      <c r="O11" s="12"/>
      <c r="P11" s="91">
        <v>-309786116</v>
      </c>
      <c r="Q11" s="12"/>
      <c r="R11" s="112">
        <v>9452456</v>
      </c>
      <c r="T11" s="159"/>
    </row>
    <row r="12" spans="2:29" x14ac:dyDescent="0.55000000000000004">
      <c r="B12" s="12" t="s">
        <v>113</v>
      </c>
      <c r="C12" s="12"/>
      <c r="D12" s="91">
        <v>34661723</v>
      </c>
      <c r="E12" s="12"/>
      <c r="F12" s="112">
        <v>174599834043</v>
      </c>
      <c r="G12" s="12"/>
      <c r="H12" s="91">
        <v>-106345592188</v>
      </c>
      <c r="I12" s="12"/>
      <c r="J12" s="112">
        <v>68254241855</v>
      </c>
      <c r="K12" s="12"/>
      <c r="L12" s="91">
        <v>34661723</v>
      </c>
      <c r="M12" s="12"/>
      <c r="N12" s="112">
        <v>174599834043</v>
      </c>
      <c r="O12" s="12"/>
      <c r="P12" s="91">
        <v>-106345592188</v>
      </c>
      <c r="Q12" s="12"/>
      <c r="R12" s="112">
        <v>68254241855</v>
      </c>
      <c r="T12" s="159"/>
    </row>
    <row r="13" spans="2:29" x14ac:dyDescent="0.55000000000000004">
      <c r="B13" s="12" t="s">
        <v>182</v>
      </c>
      <c r="C13" s="12"/>
      <c r="D13" s="91">
        <v>562500</v>
      </c>
      <c r="E13" s="12"/>
      <c r="F13" s="112">
        <v>4920043726</v>
      </c>
      <c r="G13" s="12"/>
      <c r="H13" s="91">
        <v>-4632660562</v>
      </c>
      <c r="I13" s="12"/>
      <c r="J13" s="112">
        <v>287383164</v>
      </c>
      <c r="K13" s="12"/>
      <c r="L13" s="91">
        <v>562500</v>
      </c>
      <c r="M13" s="12"/>
      <c r="N13" s="112">
        <v>4920043726</v>
      </c>
      <c r="O13" s="12"/>
      <c r="P13" s="91">
        <v>-4632660562</v>
      </c>
      <c r="Q13" s="12"/>
      <c r="R13" s="112">
        <v>287383164</v>
      </c>
      <c r="T13" s="159"/>
    </row>
    <row r="14" spans="2:29" x14ac:dyDescent="0.55000000000000004">
      <c r="B14" s="12" t="s">
        <v>181</v>
      </c>
      <c r="C14" s="12"/>
      <c r="D14" s="91">
        <v>360000</v>
      </c>
      <c r="E14" s="12"/>
      <c r="F14" s="112">
        <v>5965379884</v>
      </c>
      <c r="G14" s="12"/>
      <c r="H14" s="91">
        <v>-3865090104</v>
      </c>
      <c r="I14" s="12"/>
      <c r="J14" s="112">
        <v>2100289780</v>
      </c>
      <c r="K14" s="12"/>
      <c r="L14" s="91">
        <v>360000</v>
      </c>
      <c r="M14" s="12"/>
      <c r="N14" s="112">
        <v>5965379884</v>
      </c>
      <c r="O14" s="12"/>
      <c r="P14" s="91">
        <v>-3865090104</v>
      </c>
      <c r="Q14" s="12"/>
      <c r="R14" s="112">
        <v>2100289780</v>
      </c>
      <c r="T14" s="159"/>
    </row>
    <row r="15" spans="2:29" x14ac:dyDescent="0.55000000000000004">
      <c r="B15" s="12" t="s">
        <v>175</v>
      </c>
      <c r="C15" s="12"/>
      <c r="D15" s="91">
        <v>14382130</v>
      </c>
      <c r="E15" s="12"/>
      <c r="F15" s="112">
        <v>82724152535</v>
      </c>
      <c r="G15" s="12"/>
      <c r="H15" s="91">
        <v>-62264181569</v>
      </c>
      <c r="I15" s="12"/>
      <c r="J15" s="112">
        <v>20459970966</v>
      </c>
      <c r="K15" s="12"/>
      <c r="L15" s="91">
        <v>14382130</v>
      </c>
      <c r="M15" s="12"/>
      <c r="N15" s="112">
        <v>82724152535</v>
      </c>
      <c r="O15" s="12"/>
      <c r="P15" s="91">
        <v>-62264181569</v>
      </c>
      <c r="Q15" s="12"/>
      <c r="R15" s="112">
        <v>20459970966</v>
      </c>
      <c r="T15" s="159"/>
    </row>
    <row r="16" spans="2:29" x14ac:dyDescent="0.55000000000000004">
      <c r="B16" s="12" t="s">
        <v>194</v>
      </c>
      <c r="C16" s="12"/>
      <c r="D16" s="91">
        <v>375000</v>
      </c>
      <c r="E16" s="12"/>
      <c r="F16" s="112">
        <v>3727193211</v>
      </c>
      <c r="G16" s="12"/>
      <c r="H16" s="91">
        <v>-3657755287</v>
      </c>
      <c r="I16" s="12"/>
      <c r="J16" s="112">
        <v>69437924</v>
      </c>
      <c r="K16" s="12"/>
      <c r="L16" s="91">
        <v>375000</v>
      </c>
      <c r="M16" s="12"/>
      <c r="N16" s="112">
        <v>3727193211</v>
      </c>
      <c r="O16" s="12"/>
      <c r="P16" s="91">
        <v>-3657755287</v>
      </c>
      <c r="Q16" s="12"/>
      <c r="R16" s="112">
        <v>69437924</v>
      </c>
      <c r="T16" s="159"/>
    </row>
    <row r="17" spans="2:26" x14ac:dyDescent="0.55000000000000004">
      <c r="B17" s="12" t="s">
        <v>153</v>
      </c>
      <c r="C17" s="12"/>
      <c r="D17" s="91">
        <v>2520000</v>
      </c>
      <c r="E17" s="12"/>
      <c r="F17" s="112">
        <v>4126799095</v>
      </c>
      <c r="G17" s="12"/>
      <c r="H17" s="91">
        <v>-3940820149</v>
      </c>
      <c r="I17" s="12"/>
      <c r="J17" s="112">
        <v>185978946</v>
      </c>
      <c r="K17" s="12"/>
      <c r="L17" s="91">
        <v>6120000</v>
      </c>
      <c r="M17" s="12"/>
      <c r="N17" s="112">
        <v>9464629686</v>
      </c>
      <c r="O17" s="12"/>
      <c r="P17" s="91">
        <v>-9570563230</v>
      </c>
      <c r="Q17" s="12"/>
      <c r="R17" s="112">
        <v>-105933544</v>
      </c>
      <c r="T17" s="159"/>
    </row>
    <row r="18" spans="2:26" x14ac:dyDescent="0.55000000000000004">
      <c r="B18" s="12" t="s">
        <v>207</v>
      </c>
      <c r="C18" s="12"/>
      <c r="D18" s="91">
        <v>14241</v>
      </c>
      <c r="E18" s="12"/>
      <c r="F18" s="112">
        <v>15354995</v>
      </c>
      <c r="G18" s="12"/>
      <c r="H18" s="91">
        <v>-7519248</v>
      </c>
      <c r="I18" s="12"/>
      <c r="J18" s="112">
        <v>7835747</v>
      </c>
      <c r="K18" s="12"/>
      <c r="L18" s="91">
        <v>14241</v>
      </c>
      <c r="M18" s="12"/>
      <c r="N18" s="112">
        <v>15354995</v>
      </c>
      <c r="O18" s="12"/>
      <c r="P18" s="91">
        <v>-7519248</v>
      </c>
      <c r="Q18" s="12"/>
      <c r="R18" s="112">
        <v>7835747</v>
      </c>
      <c r="T18" s="159"/>
    </row>
    <row r="19" spans="2:26" x14ac:dyDescent="0.55000000000000004">
      <c r="B19" s="12" t="s">
        <v>110</v>
      </c>
      <c r="C19" s="12"/>
      <c r="D19" s="91">
        <v>120111867</v>
      </c>
      <c r="E19" s="12"/>
      <c r="F19" s="112">
        <v>162990407354</v>
      </c>
      <c r="G19" s="12"/>
      <c r="H19" s="91">
        <v>-130145756327</v>
      </c>
      <c r="I19" s="12"/>
      <c r="J19" s="112">
        <v>32844651027</v>
      </c>
      <c r="K19" s="12"/>
      <c r="L19" s="91">
        <v>120111876</v>
      </c>
      <c r="M19" s="12"/>
      <c r="N19" s="112">
        <v>162990407363</v>
      </c>
      <c r="O19" s="12"/>
      <c r="P19" s="91">
        <v>-130145764124</v>
      </c>
      <c r="Q19" s="12"/>
      <c r="R19" s="112">
        <v>32844643239</v>
      </c>
      <c r="T19" s="159"/>
    </row>
    <row r="20" spans="2:26" x14ac:dyDescent="0.55000000000000004">
      <c r="B20" s="12" t="s">
        <v>108</v>
      </c>
      <c r="C20" s="12"/>
      <c r="D20" s="91">
        <v>1200000</v>
      </c>
      <c r="E20" s="12"/>
      <c r="F20" s="112">
        <v>693399477</v>
      </c>
      <c r="G20" s="12"/>
      <c r="H20" s="91">
        <v>-573036582</v>
      </c>
      <c r="I20" s="12"/>
      <c r="J20" s="112">
        <v>120362895</v>
      </c>
      <c r="K20" s="12"/>
      <c r="L20" s="91">
        <v>1200000</v>
      </c>
      <c r="M20" s="12"/>
      <c r="N20" s="112">
        <v>693399477</v>
      </c>
      <c r="O20" s="12"/>
      <c r="P20" s="91">
        <v>-573036582</v>
      </c>
      <c r="Q20" s="12"/>
      <c r="R20" s="112">
        <v>120362895</v>
      </c>
      <c r="T20" s="159"/>
    </row>
    <row r="21" spans="2:26" x14ac:dyDescent="0.55000000000000004">
      <c r="B21" s="12" t="s">
        <v>120</v>
      </c>
      <c r="C21" s="12"/>
      <c r="D21" s="91">
        <v>30000000</v>
      </c>
      <c r="E21" s="12"/>
      <c r="F21" s="112">
        <v>343553907417</v>
      </c>
      <c r="G21" s="12"/>
      <c r="H21" s="91">
        <v>-312565050002</v>
      </c>
      <c r="I21" s="12"/>
      <c r="J21" s="112">
        <v>30988857415</v>
      </c>
      <c r="K21" s="12"/>
      <c r="L21" s="91">
        <v>30000000</v>
      </c>
      <c r="M21" s="12"/>
      <c r="N21" s="112">
        <v>343553907417</v>
      </c>
      <c r="O21" s="12"/>
      <c r="P21" s="91">
        <v>-312565050002</v>
      </c>
      <c r="Q21" s="12"/>
      <c r="R21" s="112">
        <v>30988857415</v>
      </c>
      <c r="T21" s="159"/>
    </row>
    <row r="22" spans="2:26" x14ac:dyDescent="0.55000000000000004">
      <c r="B22" s="12" t="s">
        <v>187</v>
      </c>
      <c r="C22" s="12"/>
      <c r="D22" s="91">
        <v>257500</v>
      </c>
      <c r="E22" s="12"/>
      <c r="F22" s="112">
        <v>4270675356</v>
      </c>
      <c r="G22" s="12"/>
      <c r="H22" s="91">
        <v>-3955287447</v>
      </c>
      <c r="I22" s="12"/>
      <c r="J22" s="112">
        <v>315387909</v>
      </c>
      <c r="K22" s="12"/>
      <c r="L22" s="91">
        <v>257500</v>
      </c>
      <c r="M22" s="12"/>
      <c r="N22" s="112">
        <v>4270675356</v>
      </c>
      <c r="O22" s="12"/>
      <c r="P22" s="91">
        <v>-3955287447</v>
      </c>
      <c r="Q22" s="12"/>
      <c r="R22" s="112">
        <v>315387909</v>
      </c>
      <c r="T22" s="159"/>
    </row>
    <row r="23" spans="2:26" x14ac:dyDescent="0.55000000000000004">
      <c r="B23" s="12" t="s">
        <v>118</v>
      </c>
      <c r="C23" s="12"/>
      <c r="D23" s="91">
        <v>400000</v>
      </c>
      <c r="E23" s="12"/>
      <c r="F23" s="112">
        <v>10234194759</v>
      </c>
      <c r="G23" s="12"/>
      <c r="H23" s="91">
        <v>-7753991128</v>
      </c>
      <c r="I23" s="12"/>
      <c r="J23" s="112">
        <v>2480203631</v>
      </c>
      <c r="K23" s="12"/>
      <c r="L23" s="91">
        <v>400000</v>
      </c>
      <c r="M23" s="12"/>
      <c r="N23" s="112">
        <v>10234194759</v>
      </c>
      <c r="O23" s="12"/>
      <c r="P23" s="91">
        <v>-7753991128</v>
      </c>
      <c r="Q23" s="12"/>
      <c r="R23" s="112">
        <v>2480203631</v>
      </c>
      <c r="T23" s="159"/>
    </row>
    <row r="24" spans="2:26" x14ac:dyDescent="0.55000000000000004">
      <c r="B24" s="12" t="s">
        <v>185</v>
      </c>
      <c r="C24" s="12"/>
      <c r="D24" s="91">
        <v>7337584</v>
      </c>
      <c r="E24" s="12"/>
      <c r="F24" s="112">
        <v>10303605248</v>
      </c>
      <c r="G24" s="12"/>
      <c r="H24" s="91">
        <v>-7848771899</v>
      </c>
      <c r="I24" s="12"/>
      <c r="J24" s="112">
        <v>2454833349</v>
      </c>
      <c r="K24" s="12"/>
      <c r="L24" s="91">
        <v>7337584</v>
      </c>
      <c r="M24" s="12"/>
      <c r="N24" s="112">
        <v>10303605248</v>
      </c>
      <c r="O24" s="12"/>
      <c r="P24" s="91">
        <v>-7848771899</v>
      </c>
      <c r="Q24" s="12"/>
      <c r="R24" s="112">
        <v>2454833349</v>
      </c>
      <c r="T24" s="159"/>
    </row>
    <row r="25" spans="2:26" x14ac:dyDescent="0.55000000000000004">
      <c r="B25" s="12" t="s">
        <v>115</v>
      </c>
      <c r="C25" s="12"/>
      <c r="D25" s="91">
        <v>7433</v>
      </c>
      <c r="E25" s="12"/>
      <c r="F25" s="112">
        <v>100733998</v>
      </c>
      <c r="G25" s="12"/>
      <c r="H25" s="91">
        <v>-96118075</v>
      </c>
      <c r="I25" s="12"/>
      <c r="J25" s="112">
        <v>4615923</v>
      </c>
      <c r="K25" s="12"/>
      <c r="L25" s="91">
        <v>7435</v>
      </c>
      <c r="M25" s="12"/>
      <c r="N25" s="112">
        <v>100734000</v>
      </c>
      <c r="O25" s="12"/>
      <c r="P25" s="91">
        <v>-96143937</v>
      </c>
      <c r="Q25" s="12"/>
      <c r="R25" s="112">
        <v>4590063</v>
      </c>
      <c r="T25" s="159"/>
    </row>
    <row r="26" spans="2:26" x14ac:dyDescent="0.55000000000000004">
      <c r="B26" s="12" t="s">
        <v>176</v>
      </c>
      <c r="C26" s="12"/>
      <c r="D26" s="91">
        <v>82352</v>
      </c>
      <c r="E26" s="12"/>
      <c r="F26" s="112">
        <v>514285250</v>
      </c>
      <c r="G26" s="12"/>
      <c r="H26" s="91">
        <v>-503285267</v>
      </c>
      <c r="I26" s="12"/>
      <c r="J26" s="112">
        <v>10999983</v>
      </c>
      <c r="K26" s="12"/>
      <c r="L26" s="91">
        <v>82353</v>
      </c>
      <c r="M26" s="12"/>
      <c r="N26" s="112">
        <v>514285251</v>
      </c>
      <c r="O26" s="12"/>
      <c r="P26" s="91">
        <v>-503291379</v>
      </c>
      <c r="Q26" s="12"/>
      <c r="R26" s="112">
        <v>10993872</v>
      </c>
      <c r="T26" s="159"/>
    </row>
    <row r="27" spans="2:26" x14ac:dyDescent="0.55000000000000004">
      <c r="B27" s="12" t="s">
        <v>186</v>
      </c>
      <c r="C27" s="12"/>
      <c r="D27" s="91">
        <v>401250</v>
      </c>
      <c r="E27" s="12"/>
      <c r="F27" s="112">
        <v>6021122222</v>
      </c>
      <c r="G27" s="12"/>
      <c r="H27" s="91">
        <v>-5023304858</v>
      </c>
      <c r="I27" s="12"/>
      <c r="J27" s="112">
        <v>997817364</v>
      </c>
      <c r="K27" s="12"/>
      <c r="L27" s="91">
        <v>401250</v>
      </c>
      <c r="M27" s="12"/>
      <c r="N27" s="112">
        <v>6021122222</v>
      </c>
      <c r="O27" s="12"/>
      <c r="P27" s="91">
        <v>-5023304858</v>
      </c>
      <c r="Q27" s="12"/>
      <c r="R27" s="112">
        <v>997817364</v>
      </c>
      <c r="T27" s="159"/>
    </row>
    <row r="28" spans="2:26" x14ac:dyDescent="0.55000000000000004">
      <c r="B28" s="12" t="s">
        <v>191</v>
      </c>
      <c r="C28" s="12"/>
      <c r="D28" s="91">
        <v>837500</v>
      </c>
      <c r="E28" s="12"/>
      <c r="F28" s="112">
        <v>3673905921</v>
      </c>
      <c r="G28" s="12"/>
      <c r="H28" s="91">
        <v>-3451251497</v>
      </c>
      <c r="I28" s="12"/>
      <c r="J28" s="112">
        <v>222654424</v>
      </c>
      <c r="K28" s="12"/>
      <c r="L28" s="91">
        <v>837500</v>
      </c>
      <c r="M28" s="12"/>
      <c r="N28" s="112">
        <v>3673905921</v>
      </c>
      <c r="O28" s="12"/>
      <c r="P28" s="91">
        <v>-3451251497</v>
      </c>
      <c r="Q28" s="12"/>
      <c r="R28" s="112">
        <v>222654424</v>
      </c>
      <c r="T28" s="159"/>
    </row>
    <row r="29" spans="2:26" x14ac:dyDescent="0.55000000000000004">
      <c r="B29" s="12" t="s">
        <v>192</v>
      </c>
      <c r="C29" s="12"/>
      <c r="D29" s="91">
        <v>212</v>
      </c>
      <c r="E29" s="12"/>
      <c r="F29" s="112">
        <v>8221434</v>
      </c>
      <c r="G29" s="12"/>
      <c r="H29" s="60">
        <v>-7522518</v>
      </c>
      <c r="I29" s="12"/>
      <c r="J29" s="113">
        <v>698916</v>
      </c>
      <c r="K29" s="12"/>
      <c r="L29" s="91">
        <v>212</v>
      </c>
      <c r="M29" s="12"/>
      <c r="N29" s="112">
        <v>8221434</v>
      </c>
      <c r="O29" s="12"/>
      <c r="P29" s="60">
        <v>-7522518</v>
      </c>
      <c r="Q29" s="12"/>
      <c r="R29" s="113">
        <v>698916</v>
      </c>
      <c r="S29" s="173"/>
      <c r="T29" s="159"/>
      <c r="Z29" s="1" t="s">
        <v>171</v>
      </c>
    </row>
    <row r="30" spans="2:26" x14ac:dyDescent="0.55000000000000004">
      <c r="B30" s="12" t="s">
        <v>103</v>
      </c>
      <c r="C30" s="12"/>
      <c r="D30" s="91">
        <v>215748</v>
      </c>
      <c r="E30" s="12"/>
      <c r="F30" s="112">
        <v>401650471</v>
      </c>
      <c r="G30" s="12"/>
      <c r="H30" s="60">
        <v>-355406595</v>
      </c>
      <c r="I30" s="12"/>
      <c r="J30" s="113">
        <v>46243876</v>
      </c>
      <c r="K30" s="12"/>
      <c r="L30" s="91">
        <v>215749</v>
      </c>
      <c r="M30" s="12"/>
      <c r="N30" s="112">
        <v>401650472</v>
      </c>
      <c r="O30" s="12"/>
      <c r="P30" s="60">
        <v>-355408240</v>
      </c>
      <c r="Q30" s="12"/>
      <c r="R30" s="113">
        <v>46242232</v>
      </c>
      <c r="S30" s="173"/>
      <c r="T30" s="159"/>
    </row>
    <row r="31" spans="2:26" x14ac:dyDescent="0.55000000000000004">
      <c r="B31" s="12" t="s">
        <v>200</v>
      </c>
      <c r="C31" s="12"/>
      <c r="D31" s="91">
        <v>750000</v>
      </c>
      <c r="E31" s="12"/>
      <c r="F31" s="112">
        <v>7379283443</v>
      </c>
      <c r="G31" s="12"/>
      <c r="H31" s="60">
        <v>-6556424025</v>
      </c>
      <c r="I31" s="12"/>
      <c r="J31" s="113">
        <v>822859418</v>
      </c>
      <c r="K31" s="12"/>
      <c r="L31" s="91">
        <v>750000</v>
      </c>
      <c r="M31" s="12"/>
      <c r="N31" s="112">
        <v>7379283443</v>
      </c>
      <c r="O31" s="12"/>
      <c r="P31" s="60">
        <v>-6556424025</v>
      </c>
      <c r="Q31" s="12"/>
      <c r="R31" s="113">
        <v>822859418</v>
      </c>
      <c r="S31" s="173"/>
      <c r="T31" s="159"/>
    </row>
    <row r="32" spans="2:26" x14ac:dyDescent="0.55000000000000004">
      <c r="B32" s="12" t="s">
        <v>142</v>
      </c>
      <c r="C32" s="12"/>
      <c r="D32" s="91">
        <v>926440</v>
      </c>
      <c r="E32" s="12"/>
      <c r="F32" s="112">
        <v>366083080</v>
      </c>
      <c r="G32" s="12"/>
      <c r="H32" s="60">
        <v>-345595979</v>
      </c>
      <c r="I32" s="12"/>
      <c r="J32" s="113">
        <v>20487101</v>
      </c>
      <c r="K32" s="12"/>
      <c r="L32" s="91">
        <v>926441</v>
      </c>
      <c r="M32" s="12"/>
      <c r="N32" s="112">
        <v>366083081</v>
      </c>
      <c r="O32" s="12"/>
      <c r="P32" s="60">
        <v>-345596353</v>
      </c>
      <c r="Q32" s="12"/>
      <c r="R32" s="113">
        <v>20486728</v>
      </c>
      <c r="S32" s="173"/>
      <c r="T32" s="159"/>
    </row>
    <row r="33" spans="2:26" x14ac:dyDescent="0.55000000000000004">
      <c r="B33" s="12" t="s">
        <v>140</v>
      </c>
      <c r="C33" s="12"/>
      <c r="D33" s="91">
        <v>75243</v>
      </c>
      <c r="E33" s="12"/>
      <c r="F33" s="112">
        <v>5172339142</v>
      </c>
      <c r="G33" s="12"/>
      <c r="H33" s="60">
        <v>-5302219064</v>
      </c>
      <c r="I33" s="12"/>
      <c r="J33" s="113">
        <v>-129879922</v>
      </c>
      <c r="K33" s="12"/>
      <c r="L33" s="91">
        <v>75243</v>
      </c>
      <c r="M33" s="12"/>
      <c r="N33" s="112">
        <v>5172339142</v>
      </c>
      <c r="O33" s="12"/>
      <c r="P33" s="60">
        <v>-5302219064</v>
      </c>
      <c r="Q33" s="12"/>
      <c r="R33" s="113">
        <v>-129879922</v>
      </c>
      <c r="S33" s="173"/>
      <c r="T33" s="159"/>
    </row>
    <row r="34" spans="2:26" x14ac:dyDescent="0.55000000000000004">
      <c r="B34" s="12" t="s">
        <v>228</v>
      </c>
      <c r="C34" s="12"/>
      <c r="D34" s="91">
        <v>190000000</v>
      </c>
      <c r="E34" s="12"/>
      <c r="F34" s="112">
        <v>647162323018</v>
      </c>
      <c r="G34" s="12"/>
      <c r="H34" s="60">
        <v>-647162323018</v>
      </c>
      <c r="I34" s="12"/>
      <c r="J34" s="113">
        <v>0</v>
      </c>
      <c r="K34" s="12"/>
      <c r="L34" s="91">
        <v>190000000</v>
      </c>
      <c r="M34" s="12"/>
      <c r="N34" s="112">
        <v>647162323018</v>
      </c>
      <c r="O34" s="12"/>
      <c r="P34" s="60">
        <v>-647162323018</v>
      </c>
      <c r="Q34" s="12"/>
      <c r="R34" s="113">
        <v>0</v>
      </c>
      <c r="S34" s="173"/>
      <c r="T34" s="159"/>
    </row>
    <row r="35" spans="2:26" x14ac:dyDescent="0.55000000000000004">
      <c r="B35" s="12" t="s">
        <v>112</v>
      </c>
      <c r="C35" s="12"/>
      <c r="D35" s="91">
        <v>8291414</v>
      </c>
      <c r="E35" s="12"/>
      <c r="F35" s="112">
        <v>95046222129</v>
      </c>
      <c r="G35" s="12"/>
      <c r="H35" s="60">
        <v>-57097610280</v>
      </c>
      <c r="I35" s="12"/>
      <c r="J35" s="113">
        <v>37948611849</v>
      </c>
      <c r="K35" s="12"/>
      <c r="L35" s="91">
        <v>8291414</v>
      </c>
      <c r="M35" s="12"/>
      <c r="N35" s="112">
        <v>95046222129</v>
      </c>
      <c r="O35" s="12"/>
      <c r="P35" s="60">
        <v>-57097610280</v>
      </c>
      <c r="Q35" s="12"/>
      <c r="R35" s="113">
        <v>37948611849</v>
      </c>
      <c r="S35" s="173"/>
      <c r="T35" s="159"/>
    </row>
    <row r="36" spans="2:26" x14ac:dyDescent="0.55000000000000004">
      <c r="B36" s="12" t="s">
        <v>188</v>
      </c>
      <c r="C36" s="12"/>
      <c r="D36" s="91">
        <v>1475169</v>
      </c>
      <c r="E36" s="12"/>
      <c r="F36" s="112">
        <v>16827652536</v>
      </c>
      <c r="G36" s="12"/>
      <c r="H36" s="60">
        <v>-10269781860</v>
      </c>
      <c r="I36" s="12"/>
      <c r="J36" s="113">
        <v>6557870676</v>
      </c>
      <c r="K36" s="12"/>
      <c r="L36" s="91">
        <v>1475169</v>
      </c>
      <c r="M36" s="12"/>
      <c r="N36" s="112">
        <v>16827652536</v>
      </c>
      <c r="O36" s="12"/>
      <c r="P36" s="60">
        <v>-10269781860</v>
      </c>
      <c r="Q36" s="12"/>
      <c r="R36" s="113">
        <v>6557870676</v>
      </c>
      <c r="S36" s="173"/>
      <c r="T36" s="159"/>
    </row>
    <row r="37" spans="2:26" x14ac:dyDescent="0.55000000000000004">
      <c r="B37" s="12" t="s">
        <v>141</v>
      </c>
      <c r="C37" s="12"/>
      <c r="D37" s="91">
        <v>0</v>
      </c>
      <c r="E37" s="12"/>
      <c r="F37" s="112">
        <v>0</v>
      </c>
      <c r="G37" s="12"/>
      <c r="H37" s="60">
        <v>0</v>
      </c>
      <c r="I37" s="12"/>
      <c r="J37" s="113">
        <v>0</v>
      </c>
      <c r="K37" s="12"/>
      <c r="L37" s="91">
        <v>1</v>
      </c>
      <c r="M37" s="12"/>
      <c r="N37" s="112">
        <v>1</v>
      </c>
      <c r="O37" s="12"/>
      <c r="P37" s="60">
        <v>-9850</v>
      </c>
      <c r="Q37" s="12"/>
      <c r="R37" s="113">
        <v>-9849</v>
      </c>
      <c r="S37" s="173"/>
      <c r="T37" s="159"/>
      <c r="Z37" s="1" t="s">
        <v>172</v>
      </c>
    </row>
    <row r="38" spans="2:26" ht="23.25" thickBot="1" x14ac:dyDescent="0.6">
      <c r="B38" s="175" t="s">
        <v>204</v>
      </c>
      <c r="C38" s="165"/>
      <c r="D38" s="176">
        <f>SUM(D7:D37)</f>
        <v>421442027</v>
      </c>
      <c r="E38" s="176"/>
      <c r="F38" s="176">
        <f>SUM(F7:F37)</f>
        <v>1683436225448</v>
      </c>
      <c r="G38" s="176"/>
      <c r="H38" s="176">
        <f>SUM(H7:H37)</f>
        <v>-1483119304503</v>
      </c>
      <c r="I38" s="176"/>
      <c r="J38" s="176">
        <f>SUM(J7:J37)</f>
        <v>200316920945</v>
      </c>
      <c r="K38" s="176"/>
      <c r="L38" s="176">
        <f>SUM(L7:L37)</f>
        <v>432242043</v>
      </c>
      <c r="M38" s="176"/>
      <c r="N38" s="176">
        <f>SUM(N7:N37)</f>
        <v>1803158160096</v>
      </c>
      <c r="O38" s="176"/>
      <c r="P38" s="176">
        <f>SUM(P7:P37)</f>
        <v>-1610131512651</v>
      </c>
      <c r="Q38" s="176"/>
      <c r="R38" s="176">
        <f>SUM(R7:R37)</f>
        <v>193026647445</v>
      </c>
      <c r="S38" s="173"/>
      <c r="T38" s="159"/>
    </row>
    <row r="39" spans="2:26" ht="23.25" thickTop="1" x14ac:dyDescent="0.55000000000000004">
      <c r="B39" s="12"/>
      <c r="C39" s="174"/>
      <c r="D39" s="114"/>
      <c r="E39" s="114"/>
      <c r="F39" s="114"/>
      <c r="G39" s="12"/>
      <c r="H39" s="60"/>
      <c r="I39" s="12"/>
      <c r="J39" s="113"/>
      <c r="K39" s="12"/>
      <c r="L39" s="114"/>
      <c r="M39" s="12"/>
      <c r="N39" s="114"/>
      <c r="O39" s="12"/>
      <c r="P39" s="60"/>
      <c r="Q39" s="12"/>
      <c r="R39" s="113"/>
      <c r="S39" s="173"/>
      <c r="T39" s="159"/>
    </row>
    <row r="40" spans="2:26" ht="24" hidden="1" x14ac:dyDescent="0.55000000000000004">
      <c r="B40" s="418" t="s">
        <v>97</v>
      </c>
      <c r="C40" s="418"/>
      <c r="D40" s="418"/>
      <c r="E40" s="418"/>
      <c r="F40" s="418"/>
      <c r="G40" s="418"/>
      <c r="H40" s="418"/>
      <c r="I40" s="418"/>
      <c r="J40" s="418"/>
      <c r="K40" s="420"/>
      <c r="L40" s="420"/>
      <c r="M40" s="420"/>
      <c r="N40" s="420"/>
      <c r="O40" s="420"/>
      <c r="P40" s="420"/>
      <c r="Q40" s="420"/>
      <c r="R40" s="420"/>
      <c r="Z40" s="1" t="s">
        <v>155</v>
      </c>
    </row>
    <row r="41" spans="2:26" ht="24.75" hidden="1" thickBot="1" x14ac:dyDescent="0.6">
      <c r="B41" s="12"/>
      <c r="C41" s="12"/>
      <c r="D41" s="413" t="str">
        <f>D5</f>
        <v>طی خرداد ماه</v>
      </c>
      <c r="E41" s="413"/>
      <c r="F41" s="413"/>
      <c r="G41" s="413"/>
      <c r="H41" s="413"/>
      <c r="I41" s="413"/>
      <c r="J41" s="413"/>
      <c r="K41" s="12"/>
      <c r="L41" s="413" t="str">
        <f>L5</f>
        <v>از ابتدای سال مالی تا پایان خرداد  ماه</v>
      </c>
      <c r="M41" s="413"/>
      <c r="N41" s="413"/>
      <c r="O41" s="413"/>
      <c r="P41" s="413"/>
      <c r="Q41" s="413"/>
      <c r="R41" s="413"/>
      <c r="Z41" s="1" t="s">
        <v>156</v>
      </c>
    </row>
    <row r="42" spans="2:26" ht="45.75" hidden="1" thickBot="1" x14ac:dyDescent="0.6">
      <c r="B42" s="12" t="s">
        <v>63</v>
      </c>
      <c r="C42" s="12"/>
      <c r="D42" s="110" t="s">
        <v>8</v>
      </c>
      <c r="E42" s="12"/>
      <c r="F42" s="111" t="s">
        <v>76</v>
      </c>
      <c r="G42" s="12"/>
      <c r="H42" s="110" t="s">
        <v>73</v>
      </c>
      <c r="I42" s="12"/>
      <c r="J42" s="111" t="s">
        <v>77</v>
      </c>
      <c r="K42" s="12"/>
      <c r="L42" s="110" t="s">
        <v>8</v>
      </c>
      <c r="M42" s="12"/>
      <c r="N42" s="111" t="s">
        <v>31</v>
      </c>
      <c r="O42" s="12"/>
      <c r="P42" s="110" t="s">
        <v>73</v>
      </c>
      <c r="Q42" s="12"/>
      <c r="R42" s="111" t="s">
        <v>77</v>
      </c>
      <c r="T42" s="159"/>
      <c r="X42" s="1" t="s">
        <v>157</v>
      </c>
    </row>
    <row r="43" spans="2:26" hidden="1" x14ac:dyDescent="0.55000000000000004">
      <c r="B43" s="12" t="s">
        <v>168</v>
      </c>
      <c r="C43" s="174"/>
      <c r="D43" s="114">
        <f>D38</f>
        <v>421442027</v>
      </c>
      <c r="E43" s="114"/>
      <c r="F43" s="60">
        <f>F38</f>
        <v>1683436225448</v>
      </c>
      <c r="G43" s="60"/>
      <c r="H43" s="60">
        <f>H38</f>
        <v>-1483119304503</v>
      </c>
      <c r="I43" s="60"/>
      <c r="J43" s="60">
        <f>J38</f>
        <v>200316920945</v>
      </c>
      <c r="K43" s="60"/>
      <c r="L43" s="60">
        <f>L38</f>
        <v>432242043</v>
      </c>
      <c r="M43" s="60"/>
      <c r="N43" s="60">
        <f>N38</f>
        <v>1803158160096</v>
      </c>
      <c r="O43" s="60"/>
      <c r="P43" s="60">
        <f>P38</f>
        <v>-1610131512651</v>
      </c>
      <c r="Q43" s="60"/>
      <c r="R43" s="60">
        <f>R38</f>
        <v>193026647445</v>
      </c>
      <c r="S43" s="173"/>
      <c r="T43" s="159"/>
    </row>
    <row r="44" spans="2:26" ht="23.25" hidden="1" thickBot="1" x14ac:dyDescent="0.6">
      <c r="B44" s="177" t="s">
        <v>7</v>
      </c>
      <c r="C44" s="177"/>
      <c r="D44" s="126">
        <f>SUM(D43:D43)</f>
        <v>421442027</v>
      </c>
      <c r="E44" s="178"/>
      <c r="F44" s="126">
        <f>SUM(F43:F43)</f>
        <v>1683436225448</v>
      </c>
      <c r="G44" s="178"/>
      <c r="H44" s="126">
        <f>SUM(H43:H43)</f>
        <v>-1483119304503</v>
      </c>
      <c r="I44" s="178"/>
      <c r="J44" s="126">
        <f>SUM(J43:J43)</f>
        <v>200316920945</v>
      </c>
      <c r="K44" s="178"/>
      <c r="L44" s="126">
        <f>SUM(L43:L43)</f>
        <v>432242043</v>
      </c>
      <c r="M44" s="178"/>
      <c r="N44" s="126">
        <f>SUM(N43:N43)</f>
        <v>1803158160096</v>
      </c>
      <c r="O44" s="178"/>
      <c r="P44" s="126">
        <f>SUM(P43:P43)</f>
        <v>-1610131512651</v>
      </c>
      <c r="Q44" s="178"/>
      <c r="R44" s="126">
        <f>SUM(R43:R43)</f>
        <v>193026647445</v>
      </c>
    </row>
    <row r="45" spans="2:26" ht="23.25" hidden="1" thickTop="1" x14ac:dyDescent="0.55000000000000004"/>
    <row r="46" spans="2:26" ht="23.25" hidden="1" thickTop="1" x14ac:dyDescent="0.55000000000000004">
      <c r="B46" s="419"/>
      <c r="C46" s="419"/>
      <c r="D46" s="419"/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</row>
    <row r="48" spans="2:26" x14ac:dyDescent="0.55000000000000004">
      <c r="P48" s="289"/>
    </row>
    <row r="49" spans="5:23" x14ac:dyDescent="0.55000000000000004">
      <c r="O49" s="93"/>
    </row>
    <row r="54" spans="5:23" x14ac:dyDescent="0.55000000000000004">
      <c r="E54" s="93"/>
      <c r="G54" s="93"/>
      <c r="I54" s="93"/>
      <c r="K54" s="93"/>
      <c r="M54" s="93"/>
      <c r="O54" s="93"/>
      <c r="Q54" s="93"/>
    </row>
    <row r="59" spans="5:23" x14ac:dyDescent="0.55000000000000004">
      <c r="V59" s="93"/>
      <c r="W59" s="60"/>
    </row>
    <row r="60" spans="5:23" x14ac:dyDescent="0.55000000000000004">
      <c r="V60" s="93"/>
      <c r="W60" s="60"/>
    </row>
    <row r="61" spans="5:23" x14ac:dyDescent="0.55000000000000004">
      <c r="V61" s="93"/>
      <c r="W61" s="60"/>
    </row>
    <row r="62" spans="5:23" x14ac:dyDescent="0.55000000000000004">
      <c r="V62" s="93"/>
      <c r="W62" s="60"/>
    </row>
    <row r="63" spans="5:23" x14ac:dyDescent="0.55000000000000004">
      <c r="V63" s="93"/>
      <c r="W63" s="60"/>
    </row>
    <row r="64" spans="5:23" x14ac:dyDescent="0.55000000000000004">
      <c r="V64" s="93"/>
      <c r="W64" s="60"/>
    </row>
    <row r="65" spans="22:23" x14ac:dyDescent="0.55000000000000004">
      <c r="V65" s="93"/>
      <c r="W65" s="60"/>
    </row>
    <row r="66" spans="22:23" x14ac:dyDescent="0.55000000000000004">
      <c r="V66" s="93"/>
      <c r="W66" s="60"/>
    </row>
    <row r="67" spans="22:23" x14ac:dyDescent="0.55000000000000004">
      <c r="V67" s="93"/>
      <c r="W67" s="60"/>
    </row>
    <row r="68" spans="22:23" x14ac:dyDescent="0.55000000000000004">
      <c r="V68" s="93"/>
      <c r="W68" s="60"/>
    </row>
    <row r="69" spans="22:23" x14ac:dyDescent="0.55000000000000004">
      <c r="V69" s="93"/>
      <c r="W69" s="60"/>
    </row>
    <row r="70" spans="22:23" x14ac:dyDescent="0.55000000000000004">
      <c r="V70" s="93"/>
      <c r="W70" s="60"/>
    </row>
    <row r="71" spans="22:23" x14ac:dyDescent="0.55000000000000004">
      <c r="V71" s="93"/>
      <c r="W71" s="60"/>
    </row>
    <row r="72" spans="22:23" x14ac:dyDescent="0.55000000000000004">
      <c r="V72" s="93"/>
      <c r="W72" s="60"/>
    </row>
    <row r="73" spans="22:23" x14ac:dyDescent="0.55000000000000004">
      <c r="V73" s="93"/>
      <c r="W73" s="60"/>
    </row>
    <row r="74" spans="22:23" x14ac:dyDescent="0.55000000000000004">
      <c r="V74" s="93"/>
      <c r="W74" s="60"/>
    </row>
    <row r="75" spans="22:23" x14ac:dyDescent="0.55000000000000004">
      <c r="V75" s="93"/>
      <c r="W75" s="60"/>
    </row>
    <row r="76" spans="22:23" x14ac:dyDescent="0.55000000000000004">
      <c r="V76" s="93"/>
      <c r="W76" s="60"/>
    </row>
    <row r="77" spans="22:23" x14ac:dyDescent="0.55000000000000004">
      <c r="V77" s="93"/>
      <c r="W77" s="60"/>
    </row>
    <row r="78" spans="22:23" x14ac:dyDescent="0.55000000000000004">
      <c r="V78" s="93"/>
      <c r="W78" s="60"/>
    </row>
    <row r="79" spans="22:23" x14ac:dyDescent="0.55000000000000004">
      <c r="V79" s="93"/>
      <c r="W79" s="60"/>
    </row>
    <row r="80" spans="22:23" x14ac:dyDescent="0.55000000000000004">
      <c r="V80" s="93"/>
      <c r="W80" s="60"/>
    </row>
    <row r="81" spans="22:23" x14ac:dyDescent="0.55000000000000004">
      <c r="V81" s="93"/>
      <c r="W81" s="60"/>
    </row>
    <row r="82" spans="22:23" x14ac:dyDescent="0.55000000000000004">
      <c r="V82" s="93"/>
      <c r="W82" s="60"/>
    </row>
    <row r="83" spans="22:23" x14ac:dyDescent="0.55000000000000004">
      <c r="V83" s="93"/>
      <c r="W83" s="60"/>
    </row>
    <row r="84" spans="22:23" x14ac:dyDescent="0.55000000000000004">
      <c r="V84" s="93"/>
      <c r="W84" s="60"/>
    </row>
    <row r="101" spans="25:26" x14ac:dyDescent="0.55000000000000004">
      <c r="Y101" s="276"/>
      <c r="Z101" s="276"/>
    </row>
    <row r="102" spans="25:26" x14ac:dyDescent="0.55000000000000004">
      <c r="Y102" s="276"/>
      <c r="Z102" s="276"/>
    </row>
    <row r="103" spans="25:26" x14ac:dyDescent="0.55000000000000004">
      <c r="Y103" s="276"/>
      <c r="Z103" s="276"/>
    </row>
    <row r="104" spans="25:26" x14ac:dyDescent="0.55000000000000004">
      <c r="Y104" s="276"/>
      <c r="Z104" s="276"/>
    </row>
    <row r="105" spans="25:26" x14ac:dyDescent="0.55000000000000004">
      <c r="Y105" s="276"/>
      <c r="Z105" s="276"/>
    </row>
    <row r="106" spans="25:26" x14ac:dyDescent="0.55000000000000004">
      <c r="Y106" s="276"/>
      <c r="Z106" s="276"/>
    </row>
    <row r="107" spans="25:26" x14ac:dyDescent="0.55000000000000004">
      <c r="Y107" s="276"/>
      <c r="Z107" s="276"/>
    </row>
  </sheetData>
  <mergeCells count="12">
    <mergeCell ref="B1:R1"/>
    <mergeCell ref="B2:R2"/>
    <mergeCell ref="B3:R3"/>
    <mergeCell ref="B46:R46"/>
    <mergeCell ref="D5:J5"/>
    <mergeCell ref="L5:R5"/>
    <mergeCell ref="B4:J4"/>
    <mergeCell ref="K4:R4"/>
    <mergeCell ref="B40:J40"/>
    <mergeCell ref="K40:R40"/>
    <mergeCell ref="D41:J41"/>
    <mergeCell ref="L41:R41"/>
  </mergeCells>
  <printOptions horizontalCentered="1"/>
  <pageMargins left="0.7" right="0.7" top="0.75" bottom="0.75" header="0.3" footer="0.3"/>
  <pageSetup paperSize="9" scale="36" orientation="landscape" r:id="rId1"/>
  <headerFooter>
    <oddFooter>&amp;C&amp;P</oddFooter>
  </headerFooter>
  <rowBreaks count="1" manualBreakCount="1">
    <brk id="39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21" t="s">
        <v>105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</row>
    <row r="2" spans="1:20" ht="24" x14ac:dyDescent="0.6">
      <c r="A2" s="421" t="s">
        <v>86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</row>
    <row r="3" spans="1:20" ht="24" x14ac:dyDescent="0.6">
      <c r="A3" s="421" t="str">
        <f>' سهام'!AC6</f>
        <v>برای ماه منتهی به 1405/03/31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</row>
    <row r="4" spans="1:20" ht="24" x14ac:dyDescent="0.55000000000000004">
      <c r="B4" s="424" t="s">
        <v>150</v>
      </c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4"/>
    </row>
    <row r="6" spans="1:20" ht="24.75" thickBot="1" x14ac:dyDescent="0.6">
      <c r="B6" s="36"/>
      <c r="C6" s="423" t="str">
        <f>' سهام'!AC7</f>
        <v>طی خرداد ماه</v>
      </c>
      <c r="D6" s="423"/>
      <c r="E6" s="423"/>
      <c r="F6" s="423"/>
      <c r="G6" s="423"/>
      <c r="H6" s="423"/>
      <c r="I6" s="423"/>
      <c r="J6" s="423"/>
      <c r="K6" s="423"/>
      <c r="L6" s="52"/>
      <c r="M6" s="423" t="str">
        <f>' سهام'!AC8</f>
        <v>از ابتدای سال مالی تا پایان خرداد  ماه</v>
      </c>
      <c r="N6" s="423"/>
      <c r="O6" s="423"/>
      <c r="P6" s="423"/>
      <c r="Q6" s="423"/>
      <c r="R6" s="423"/>
      <c r="S6" s="423"/>
    </row>
    <row r="7" spans="1:20" ht="20.25" customHeight="1" x14ac:dyDescent="0.55000000000000004">
      <c r="B7" s="425"/>
      <c r="C7" s="422" t="s">
        <v>25</v>
      </c>
      <c r="D7" s="422"/>
      <c r="E7" s="422" t="s">
        <v>22</v>
      </c>
      <c r="F7" s="425"/>
      <c r="G7" s="422" t="s">
        <v>23</v>
      </c>
      <c r="H7" s="426"/>
      <c r="I7" s="422" t="s">
        <v>7</v>
      </c>
      <c r="J7" s="422"/>
      <c r="K7" s="422"/>
      <c r="L7" s="53"/>
      <c r="M7" s="422" t="s">
        <v>25</v>
      </c>
      <c r="N7" s="422"/>
      <c r="O7" s="422" t="s">
        <v>22</v>
      </c>
      <c r="P7" s="425"/>
      <c r="Q7" s="422" t="s">
        <v>23</v>
      </c>
      <c r="R7" s="422" t="s">
        <v>7</v>
      </c>
      <c r="S7" s="422"/>
    </row>
    <row r="8" spans="1:20" ht="30" customHeight="1" x14ac:dyDescent="0.55000000000000004">
      <c r="B8" s="426"/>
      <c r="C8" s="423"/>
      <c r="D8" s="423"/>
      <c r="E8" s="423"/>
      <c r="F8" s="426"/>
      <c r="G8" s="423"/>
      <c r="H8" s="426"/>
      <c r="I8" s="423"/>
      <c r="J8" s="423"/>
      <c r="K8" s="423"/>
      <c r="L8" s="53"/>
      <c r="M8" s="423"/>
      <c r="N8" s="423"/>
      <c r="O8" s="423"/>
      <c r="P8" s="426"/>
      <c r="Q8" s="423"/>
      <c r="R8" s="423"/>
      <c r="S8" s="423"/>
    </row>
    <row r="9" spans="1:20" ht="24.75" thickBot="1" x14ac:dyDescent="0.6">
      <c r="B9" s="426"/>
      <c r="C9" s="56" t="s">
        <v>94</v>
      </c>
      <c r="D9" s="423"/>
      <c r="E9" s="56" t="s">
        <v>91</v>
      </c>
      <c r="F9" s="426"/>
      <c r="G9" s="56" t="s">
        <v>131</v>
      </c>
      <c r="H9" s="426"/>
      <c r="I9" s="51" t="s">
        <v>99</v>
      </c>
      <c r="J9" s="51"/>
      <c r="K9" s="51" t="s">
        <v>100</v>
      </c>
      <c r="L9" s="53"/>
      <c r="M9" s="56" t="s">
        <v>94</v>
      </c>
      <c r="N9" s="423"/>
      <c r="O9" s="56" t="s">
        <v>91</v>
      </c>
      <c r="P9" s="426"/>
      <c r="Q9" s="56" t="s">
        <v>131</v>
      </c>
      <c r="R9" s="51" t="s">
        <v>99</v>
      </c>
      <c r="S9" s="51" t="s">
        <v>100</v>
      </c>
    </row>
    <row r="10" spans="1:20" ht="23.25" thickBot="1" x14ac:dyDescent="0.6">
      <c r="B10" s="68" t="s">
        <v>101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C82"/>
  <sheetViews>
    <sheetView rightToLeft="1" view="pageBreakPreview" zoomScale="85" zoomScaleNormal="100" zoomScaleSheetLayoutView="85" workbookViewId="0">
      <selection activeCell="U20" sqref="U20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61" t="str">
        <f>'درآمد سود سهام'!B1:T1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</row>
    <row r="2" spans="2:29" ht="24" x14ac:dyDescent="0.6">
      <c r="B2" s="361" t="s">
        <v>86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</row>
    <row r="3" spans="2:29" ht="24" x14ac:dyDescent="0.6">
      <c r="B3" s="361" t="str">
        <f>' سهام'!AC6</f>
        <v>برای ماه منتهی به 1405/03/31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</row>
    <row r="4" spans="2:29" ht="24" x14ac:dyDescent="0.55000000000000004">
      <c r="B4" s="363" t="s">
        <v>93</v>
      </c>
      <c r="C4" s="363"/>
      <c r="D4" s="363"/>
      <c r="E4" s="363"/>
      <c r="F4" s="363"/>
      <c r="G4" s="363"/>
      <c r="H4" s="160"/>
      <c r="L4" s="160"/>
      <c r="AC4" s="1" t="s">
        <v>173</v>
      </c>
    </row>
    <row r="5" spans="2:29" ht="24.75" thickBot="1" x14ac:dyDescent="0.6">
      <c r="B5" s="160"/>
      <c r="C5" s="378"/>
      <c r="D5" s="378"/>
      <c r="E5" s="378"/>
      <c r="G5" s="413" t="s">
        <v>98</v>
      </c>
      <c r="H5" s="413"/>
      <c r="I5" s="413"/>
      <c r="J5" s="413"/>
      <c r="K5" s="413" t="str">
        <f>' سهام'!AC7</f>
        <v>طی خرداد ماه</v>
      </c>
      <c r="L5" s="413"/>
      <c r="M5" s="413"/>
      <c r="N5" s="413"/>
      <c r="O5" s="413"/>
      <c r="P5" s="53"/>
      <c r="Q5" s="413" t="str">
        <f>' سهام'!AC8</f>
        <v>از ابتدای سال مالی تا پایان خرداد  ماه</v>
      </c>
      <c r="R5" s="413"/>
      <c r="S5" s="413"/>
      <c r="T5" s="413"/>
      <c r="U5" s="413"/>
      <c r="AC5" s="1" t="s">
        <v>177</v>
      </c>
    </row>
    <row r="6" spans="2:29" ht="43.5" customHeight="1" thickBot="1" x14ac:dyDescent="0.6">
      <c r="B6" s="1" t="s">
        <v>63</v>
      </c>
      <c r="C6" s="161" t="s">
        <v>71</v>
      </c>
      <c r="D6" s="161" t="s">
        <v>33</v>
      </c>
      <c r="E6" s="161" t="s">
        <v>60</v>
      </c>
      <c r="F6" s="162"/>
      <c r="G6" s="161" t="s">
        <v>87</v>
      </c>
      <c r="H6" s="162"/>
      <c r="I6" s="161" t="s">
        <v>67</v>
      </c>
      <c r="J6" s="162"/>
      <c r="K6" s="161" t="s">
        <v>87</v>
      </c>
      <c r="L6" s="162"/>
      <c r="M6" s="161" t="s">
        <v>67</v>
      </c>
      <c r="N6" s="162"/>
      <c r="O6" s="161" t="s">
        <v>72</v>
      </c>
      <c r="P6" s="162"/>
      <c r="Q6" s="161" t="s">
        <v>87</v>
      </c>
      <c r="R6" s="162"/>
      <c r="S6" s="161" t="s">
        <v>67</v>
      </c>
      <c r="T6" s="162"/>
      <c r="U6" s="161" t="s">
        <v>72</v>
      </c>
      <c r="AC6" s="1" t="s">
        <v>178</v>
      </c>
    </row>
    <row r="7" spans="2:29" s="12" customFormat="1" ht="23.45" customHeight="1" x14ac:dyDescent="0.55000000000000004">
      <c r="B7" s="163" t="s">
        <v>161</v>
      </c>
      <c r="C7" s="164"/>
      <c r="D7" s="165"/>
      <c r="E7" s="157"/>
      <c r="F7" s="165" t="s">
        <v>130</v>
      </c>
      <c r="G7" s="165"/>
      <c r="H7" s="166">
        <v>0</v>
      </c>
      <c r="I7" s="165"/>
      <c r="J7" s="166">
        <v>176683</v>
      </c>
      <c r="K7" s="157">
        <v>205502</v>
      </c>
      <c r="L7" s="165"/>
      <c r="M7" s="157">
        <v>0</v>
      </c>
      <c r="N7" s="165"/>
      <c r="O7" s="157">
        <v>205502</v>
      </c>
      <c r="P7" s="157"/>
      <c r="Q7" s="166">
        <v>627768</v>
      </c>
      <c r="R7" s="165"/>
      <c r="S7" s="157">
        <v>0</v>
      </c>
      <c r="T7" s="165"/>
      <c r="U7" s="157">
        <v>627768</v>
      </c>
      <c r="AC7" s="12" t="s">
        <v>180</v>
      </c>
    </row>
    <row r="8" spans="2:29" s="12" customFormat="1" ht="23.45" customHeight="1" x14ac:dyDescent="0.55000000000000004">
      <c r="B8" s="163" t="s">
        <v>162</v>
      </c>
      <c r="C8" s="164"/>
      <c r="D8" s="165"/>
      <c r="E8" s="157"/>
      <c r="F8" s="165"/>
      <c r="G8" s="165"/>
      <c r="H8" s="166"/>
      <c r="I8" s="165"/>
      <c r="J8" s="166"/>
      <c r="K8" s="157">
        <v>10688581041</v>
      </c>
      <c r="L8" s="165"/>
      <c r="M8" s="157">
        <v>0</v>
      </c>
      <c r="N8" s="165"/>
      <c r="O8" s="157">
        <v>10688581041</v>
      </c>
      <c r="P8" s="157"/>
      <c r="Q8" s="166">
        <v>20978574246</v>
      </c>
      <c r="R8" s="165"/>
      <c r="S8" s="157">
        <v>0</v>
      </c>
      <c r="T8" s="165"/>
      <c r="U8" s="157">
        <v>20978574246</v>
      </c>
    </row>
    <row r="9" spans="2:29" s="12" customFormat="1" ht="23.45" customHeight="1" x14ac:dyDescent="0.55000000000000004">
      <c r="B9" s="163" t="s">
        <v>183</v>
      </c>
      <c r="C9" s="164"/>
      <c r="D9" s="165"/>
      <c r="E9" s="157"/>
      <c r="F9" s="165"/>
      <c r="G9" s="165"/>
      <c r="H9" s="166"/>
      <c r="I9" s="165"/>
      <c r="J9" s="166"/>
      <c r="K9" s="157">
        <v>0</v>
      </c>
      <c r="L9" s="165"/>
      <c r="M9" s="157">
        <v>0</v>
      </c>
      <c r="N9" s="165"/>
      <c r="O9" s="157">
        <v>0</v>
      </c>
      <c r="P9" s="157"/>
      <c r="Q9" s="166">
        <v>4055</v>
      </c>
      <c r="R9" s="165"/>
      <c r="S9" s="157">
        <v>0</v>
      </c>
      <c r="T9" s="165"/>
      <c r="U9" s="157">
        <v>4055</v>
      </c>
    </row>
    <row r="10" spans="2:29" s="12" customFormat="1" ht="23.45" customHeight="1" x14ac:dyDescent="0.55000000000000004">
      <c r="B10" s="163" t="s">
        <v>199</v>
      </c>
      <c r="C10" s="164"/>
      <c r="D10" s="165"/>
      <c r="E10" s="157"/>
      <c r="F10" s="165" t="s">
        <v>130</v>
      </c>
      <c r="G10" s="165"/>
      <c r="H10" s="166">
        <v>0</v>
      </c>
      <c r="I10" s="165"/>
      <c r="J10" s="166">
        <v>2202729735</v>
      </c>
      <c r="K10" s="157">
        <v>35080</v>
      </c>
      <c r="L10" s="165"/>
      <c r="M10" s="157">
        <v>0</v>
      </c>
      <c r="N10" s="165"/>
      <c r="O10" s="157">
        <v>35080</v>
      </c>
      <c r="P10" s="157"/>
      <c r="Q10" s="166">
        <v>3213304</v>
      </c>
      <c r="R10" s="165"/>
      <c r="S10" s="157">
        <v>0</v>
      </c>
      <c r="T10" s="165"/>
      <c r="U10" s="157">
        <v>3213304</v>
      </c>
      <c r="AC10" s="12" t="s">
        <v>179</v>
      </c>
    </row>
    <row r="11" spans="2:29" ht="23.25" thickBot="1" x14ac:dyDescent="0.6">
      <c r="K11" s="167">
        <f>SUM(K7:K10)</f>
        <v>10688821623</v>
      </c>
      <c r="L11" s="12"/>
      <c r="M11" s="12"/>
      <c r="N11" s="12"/>
      <c r="O11" s="167">
        <f>SUM(O7:O10)</f>
        <v>10688821623</v>
      </c>
      <c r="P11" s="168"/>
      <c r="Q11" s="167">
        <f>SUM(Q7:Q10)</f>
        <v>20982419373</v>
      </c>
      <c r="R11" s="12"/>
      <c r="S11" s="12"/>
      <c r="T11" s="12"/>
      <c r="U11" s="167">
        <f>SUM(U7:U10)</f>
        <v>20982419373</v>
      </c>
    </row>
    <row r="12" spans="2:29" ht="23.25" thickTop="1" x14ac:dyDescent="0.55000000000000004">
      <c r="K12" s="169"/>
      <c r="M12" s="170"/>
    </row>
    <row r="13" spans="2:29" x14ac:dyDescent="0.55000000000000004">
      <c r="O13" s="159"/>
      <c r="Q13" s="159"/>
      <c r="U13" s="159"/>
    </row>
    <row r="14" spans="2:29" x14ac:dyDescent="0.55000000000000004">
      <c r="K14" s="159"/>
      <c r="O14" s="159"/>
      <c r="Q14" s="159"/>
      <c r="U14" s="159"/>
    </row>
    <row r="15" spans="2:29" x14ac:dyDescent="0.55000000000000004">
      <c r="K15" s="159"/>
      <c r="O15" s="171"/>
      <c r="U15" s="159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Z82"/>
  <sheetViews>
    <sheetView rightToLeft="1" view="pageBreakPreview" zoomScale="85" zoomScaleNormal="100" zoomScaleSheetLayoutView="85" workbookViewId="0">
      <selection activeCell="J20" sqref="J20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5703125" style="1" customWidth="1"/>
    <col min="8" max="8" width="22.42578125" style="1" customWidth="1"/>
    <col min="9" max="9" width="0.7109375" style="1" customWidth="1"/>
    <col min="10" max="10" width="26.140625" style="1" bestFit="1" customWidth="1"/>
    <col min="11" max="11" width="0.7109375" style="1" customWidth="1"/>
    <col min="12" max="12" width="23.7109375" style="1" bestFit="1" customWidth="1"/>
    <col min="13" max="13" width="0.7109375" style="1" customWidth="1"/>
    <col min="14" max="16384" width="9.140625" style="1"/>
  </cols>
  <sheetData>
    <row r="1" spans="2:14" ht="24" x14ac:dyDescent="0.6">
      <c r="B1" s="361" t="str">
        <f>'سود اوراق بهادار و سپرده بانکی'!B1:U1</f>
        <v>صندوق سرمایه گذاری شاخص سی شرکت بزرگ فیروزه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</row>
    <row r="2" spans="2:14" ht="24" x14ac:dyDescent="0.6">
      <c r="B2" s="361" t="s">
        <v>86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</row>
    <row r="3" spans="2:14" ht="24" x14ac:dyDescent="0.6">
      <c r="B3" s="361" t="str">
        <f>' سهام'!B3:Z3</f>
        <v>برای ماه منتهی به 1405/03/31</v>
      </c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</row>
    <row r="4" spans="2:14" ht="24" x14ac:dyDescent="0.55000000000000004">
      <c r="B4" s="363" t="s">
        <v>145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427" t="s">
        <v>28</v>
      </c>
      <c r="C6" s="427"/>
      <c r="D6" s="427"/>
      <c r="E6" s="52"/>
      <c r="F6" s="428" t="str">
        <f>' سهام'!AC7</f>
        <v>طی خرداد ماه</v>
      </c>
      <c r="G6" s="428"/>
      <c r="H6" s="428"/>
      <c r="I6" s="428"/>
      <c r="J6" s="427" t="str">
        <f>' سهام'!AC8</f>
        <v>از ابتدای سال مالی تا پایان خرداد  ماه</v>
      </c>
      <c r="K6" s="427"/>
      <c r="L6" s="427"/>
      <c r="M6" s="427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3"/>
      <c r="H7" s="422" t="s">
        <v>218</v>
      </c>
      <c r="I7" s="52"/>
      <c r="J7" s="53" t="s">
        <v>27</v>
      </c>
      <c r="K7" s="52"/>
      <c r="L7" s="422" t="s">
        <v>218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94</v>
      </c>
      <c r="G8" s="318"/>
      <c r="H8" s="413"/>
      <c r="I8" s="52"/>
      <c r="J8" s="109" t="s">
        <v>94</v>
      </c>
      <c r="K8" s="52"/>
      <c r="L8" s="413"/>
      <c r="M8" s="52"/>
      <c r="N8" s="52"/>
    </row>
    <row r="9" spans="2:14" ht="29.25" customHeight="1" x14ac:dyDescent="0.55000000000000004">
      <c r="B9" s="38" t="s">
        <v>161</v>
      </c>
      <c r="C9" s="38"/>
      <c r="D9" s="42"/>
      <c r="E9" s="42"/>
      <c r="F9" s="33">
        <v>205502</v>
      </c>
      <c r="G9" s="33"/>
      <c r="H9" s="319">
        <f>F9/L18</f>
        <v>9.3557876850714324E-7</v>
      </c>
      <c r="I9" s="42"/>
      <c r="J9" s="33">
        <v>627768</v>
      </c>
      <c r="K9" s="42"/>
      <c r="L9" s="320">
        <f>J9/L18</f>
        <v>2.8580082546553914E-6</v>
      </c>
      <c r="M9" s="42"/>
      <c r="N9" s="52"/>
    </row>
    <row r="10" spans="2:14" ht="29.25" customHeight="1" x14ac:dyDescent="0.55000000000000004">
      <c r="B10" s="38" t="s">
        <v>162</v>
      </c>
      <c r="C10" s="38"/>
      <c r="D10" s="42"/>
      <c r="E10" s="42"/>
      <c r="F10" s="33">
        <v>10688581041</v>
      </c>
      <c r="G10" s="33"/>
      <c r="H10" s="319">
        <f>F10/L18</f>
        <v>4.866137306414331E-2</v>
      </c>
      <c r="I10" s="42"/>
      <c r="J10" s="33">
        <v>20978574246</v>
      </c>
      <c r="K10" s="42"/>
      <c r="L10" s="320">
        <f>J10/L18</f>
        <v>9.5508115045636291E-2</v>
      </c>
      <c r="M10" s="42"/>
      <c r="N10" s="52"/>
    </row>
    <row r="11" spans="2:14" ht="29.25" customHeight="1" x14ac:dyDescent="0.55000000000000004">
      <c r="B11" s="38" t="s">
        <v>183</v>
      </c>
      <c r="C11" s="38"/>
      <c r="D11" s="42"/>
      <c r="E11" s="42"/>
      <c r="F11" s="33">
        <v>0</v>
      </c>
      <c r="G11" s="33"/>
      <c r="H11" s="319">
        <f>F11/L18</f>
        <v>0</v>
      </c>
      <c r="I11" s="42"/>
      <c r="J11" s="33">
        <v>4055</v>
      </c>
      <c r="K11" s="42"/>
      <c r="L11" s="320">
        <f>J11/L18</f>
        <v>1.8460997490518174E-8</v>
      </c>
      <c r="M11" s="42"/>
      <c r="N11" s="52"/>
    </row>
    <row r="12" spans="2:14" ht="29.25" customHeight="1" thickBot="1" x14ac:dyDescent="0.6">
      <c r="B12" s="38" t="s">
        <v>199</v>
      </c>
      <c r="C12" s="38"/>
      <c r="D12" s="42"/>
      <c r="E12" s="42"/>
      <c r="F12" s="33">
        <v>35080</v>
      </c>
      <c r="G12" s="33"/>
      <c r="H12" s="319">
        <f>F12/L18</f>
        <v>1.5970697705730642E-7</v>
      </c>
      <c r="I12" s="42"/>
      <c r="J12" s="33">
        <v>3213304</v>
      </c>
      <c r="K12" s="42"/>
      <c r="L12" s="320">
        <f>J12/L18</f>
        <v>1.4629049834838967E-5</v>
      </c>
      <c r="M12" s="42"/>
      <c r="N12" s="52"/>
    </row>
    <row r="13" spans="2:14" ht="23.25" thickBot="1" x14ac:dyDescent="0.6">
      <c r="B13" s="38" t="s">
        <v>7</v>
      </c>
      <c r="C13" s="52"/>
      <c r="E13" s="42"/>
      <c r="F13" s="35">
        <f>SUM(F9:F12)</f>
        <v>10688821623</v>
      </c>
      <c r="G13" s="33"/>
      <c r="H13" s="316">
        <f>SUM(H9:H12)</f>
        <v>4.8662468349888875E-2</v>
      </c>
      <c r="I13" s="89"/>
      <c r="J13" s="35">
        <f>SUM(J9:J12)</f>
        <v>20982419373</v>
      </c>
      <c r="K13" s="52"/>
      <c r="L13" s="316">
        <f>SUM(L9:L12)</f>
        <v>9.5525620564723274E-2</v>
      </c>
      <c r="M13" s="52"/>
      <c r="N13" s="52"/>
    </row>
    <row r="14" spans="2:14" ht="23.25" thickTop="1" x14ac:dyDescent="0.55000000000000004"/>
    <row r="15" spans="2:14" x14ac:dyDescent="0.55000000000000004">
      <c r="F15" s="13"/>
      <c r="G15" s="13"/>
      <c r="H15" s="13"/>
      <c r="J15" s="159"/>
      <c r="L15" s="159"/>
    </row>
    <row r="16" spans="2:14" ht="19.5" customHeight="1" x14ac:dyDescent="0.55000000000000004">
      <c r="F16" s="108"/>
      <c r="G16" s="108"/>
      <c r="H16" s="108"/>
      <c r="I16" s="258"/>
      <c r="J16" s="159"/>
    </row>
    <row r="17" spans="6:12" x14ac:dyDescent="0.55000000000000004">
      <c r="F17" s="259"/>
      <c r="G17" s="259"/>
      <c r="H17" s="259"/>
      <c r="I17" s="258"/>
      <c r="J17" s="260"/>
      <c r="L17" s="93"/>
    </row>
    <row r="18" spans="6:12" ht="23.25" customHeight="1" x14ac:dyDescent="0.55000000000000004">
      <c r="F18" s="259"/>
      <c r="G18" s="259"/>
      <c r="H18" s="259"/>
      <c r="J18" s="328">
        <v>6809220361173</v>
      </c>
      <c r="K18" s="326"/>
      <c r="L18" s="329">
        <f>J18/31</f>
        <v>219652269715.25806</v>
      </c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9">
    <mergeCell ref="B1:M1"/>
    <mergeCell ref="B2:M2"/>
    <mergeCell ref="B3:M3"/>
    <mergeCell ref="L7:L8"/>
    <mergeCell ref="B6:D6"/>
    <mergeCell ref="F6:I6"/>
    <mergeCell ref="B4:M4"/>
    <mergeCell ref="J6:M6"/>
    <mergeCell ref="H7:H8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82"/>
  <sheetViews>
    <sheetView rightToLeft="1" view="pageBreakPreview" zoomScale="85" zoomScaleNormal="100" zoomScaleSheetLayoutView="85" workbookViewId="0">
      <selection activeCell="K19" sqref="K19"/>
    </sheetView>
  </sheetViews>
  <sheetFormatPr defaultColWidth="8.85546875" defaultRowHeight="24.75" x14ac:dyDescent="0.6"/>
  <cols>
    <col min="1" max="1" width="8.85546875" style="230"/>
    <col min="2" max="2" width="29.140625" style="230" customWidth="1"/>
    <col min="3" max="3" width="0.7109375" style="230" customWidth="1"/>
    <col min="4" max="4" width="20.7109375" style="230" bestFit="1" customWidth="1"/>
    <col min="5" max="5" width="0.42578125" style="230" customWidth="1"/>
    <col min="6" max="6" width="21.42578125" style="230" customWidth="1"/>
    <col min="7" max="16384" width="8.85546875" style="1"/>
  </cols>
  <sheetData>
    <row r="1" spans="2:12" ht="26.25" x14ac:dyDescent="0.65">
      <c r="B1" s="429" t="str">
        <f>'درآمد سپرده بانکی'!B1:M1</f>
        <v>صندوق سرمایه گذاری شاخص سی شرکت بزرگ فیروزه</v>
      </c>
      <c r="C1" s="429"/>
      <c r="D1" s="429"/>
      <c r="E1" s="429"/>
      <c r="F1" s="429"/>
    </row>
    <row r="2" spans="2:12" ht="26.25" x14ac:dyDescent="0.65">
      <c r="B2" s="429" t="s">
        <v>86</v>
      </c>
      <c r="C2" s="429"/>
      <c r="D2" s="429"/>
      <c r="E2" s="429"/>
      <c r="F2" s="429"/>
    </row>
    <row r="3" spans="2:12" ht="26.25" x14ac:dyDescent="0.65">
      <c r="B3" s="429" t="str">
        <f>' سهام'!AC6</f>
        <v>برای ماه منتهی به 1405/03/31</v>
      </c>
      <c r="C3" s="429"/>
      <c r="D3" s="429"/>
      <c r="E3" s="429"/>
      <c r="F3" s="429"/>
    </row>
    <row r="4" spans="2:12" ht="26.25" x14ac:dyDescent="0.6">
      <c r="B4" s="430" t="s">
        <v>39</v>
      </c>
      <c r="C4" s="430"/>
      <c r="D4" s="430"/>
      <c r="E4" s="430"/>
      <c r="F4" s="430"/>
    </row>
    <row r="5" spans="2:12" ht="79.5" thickBot="1" x14ac:dyDescent="0.65">
      <c r="B5" s="231"/>
      <c r="C5" s="232"/>
      <c r="D5" s="202" t="str">
        <f>' سهام'!AC7</f>
        <v>طی خرداد ماه</v>
      </c>
      <c r="E5" s="233"/>
      <c r="F5" s="202" t="str">
        <f>' سهام'!AC8</f>
        <v>از ابتدای سال مالی تا پایان خرداد  ماه</v>
      </c>
    </row>
    <row r="6" spans="2:12" x14ac:dyDescent="0.6">
      <c r="B6" s="234" t="s">
        <v>40</v>
      </c>
      <c r="C6" s="233"/>
      <c r="D6" s="190">
        <v>2382248</v>
      </c>
      <c r="E6" s="190"/>
      <c r="F6" s="190">
        <v>2394375</v>
      </c>
    </row>
    <row r="7" spans="2:12" x14ac:dyDescent="0.6">
      <c r="B7" s="235" t="s">
        <v>147</v>
      </c>
      <c r="C7" s="233"/>
      <c r="D7" s="190">
        <v>9546297921</v>
      </c>
      <c r="E7" s="190"/>
      <c r="F7" s="190">
        <v>9546297921</v>
      </c>
    </row>
    <row r="8" spans="2:12" ht="25.5" thickBot="1" x14ac:dyDescent="0.65">
      <c r="B8" s="236"/>
      <c r="C8" s="233"/>
      <c r="D8" s="237">
        <f>SUM(D6:D7)</f>
        <v>9548680169</v>
      </c>
      <c r="E8" s="249"/>
      <c r="F8" s="237">
        <f>SUM(F6:F7)</f>
        <v>9548692296</v>
      </c>
    </row>
    <row r="9" spans="2:12" ht="25.5" thickTop="1" x14ac:dyDescent="0.6"/>
    <row r="10" spans="2:12" x14ac:dyDescent="0.6">
      <c r="D10" s="261"/>
      <c r="F10" s="190"/>
    </row>
    <row r="11" spans="2:12" x14ac:dyDescent="0.6">
      <c r="D11" s="238"/>
      <c r="E11" s="238"/>
      <c r="F11" s="238"/>
    </row>
    <row r="12" spans="2:12" x14ac:dyDescent="0.6">
      <c r="D12" s="265"/>
    </row>
    <row r="15" spans="2:12" x14ac:dyDescent="0.6">
      <c r="L15" s="108"/>
    </row>
    <row r="57" spans="18:18" ht="27.75" x14ac:dyDescent="0.6">
      <c r="R57" s="146">
        <v>1783</v>
      </c>
    </row>
    <row r="74" spans="18:26" ht="27.75" x14ac:dyDescent="0.6">
      <c r="R74" s="146">
        <v>2083</v>
      </c>
    </row>
    <row r="76" spans="18:26" x14ac:dyDescent="0.6">
      <c r="Y76" s="276"/>
      <c r="Z76" s="276"/>
    </row>
    <row r="77" spans="18:26" x14ac:dyDescent="0.6">
      <c r="Y77" s="276"/>
      <c r="Z77" s="276"/>
    </row>
    <row r="78" spans="18:26" x14ac:dyDescent="0.6">
      <c r="Y78" s="276"/>
      <c r="Z78" s="276"/>
    </row>
    <row r="79" spans="18:26" x14ac:dyDescent="0.6">
      <c r="Y79" s="276"/>
      <c r="Z79" s="276"/>
    </row>
    <row r="80" spans="18:26" x14ac:dyDescent="0.6">
      <c r="Y80" s="276"/>
      <c r="Z80" s="276"/>
    </row>
    <row r="81" spans="25:26" x14ac:dyDescent="0.6">
      <c r="Y81" s="276"/>
      <c r="Z81" s="276"/>
    </row>
    <row r="82" spans="25:26" x14ac:dyDescent="0.6">
      <c r="Y82" s="276"/>
      <c r="Z82" s="276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تعدیل قیمت 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'تعدیل قیمت 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2026-04-26T12:07:46Z</cp:lastPrinted>
  <dcterms:created xsi:type="dcterms:W3CDTF">2017-11-22T14:26:20Z</dcterms:created>
  <dcterms:modified xsi:type="dcterms:W3CDTF">2026-06-29T05:45:53Z</dcterms:modified>
</cp:coreProperties>
</file>