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404SGS019\Desktop\"/>
    </mc:Choice>
  </mc:AlternateContent>
  <xr:revisionPtr revIDLastSave="0" documentId="8_{9416BEA4-782D-4068-AAF8-623D34726738}" xr6:coauthVersionLast="47" xr6:coauthVersionMax="47" xr10:uidLastSave="{00000000-0000-0000-0000-000000000000}"/>
  <bookViews>
    <workbookView xWindow="-120" yWindow="-120" windowWidth="29040" windowHeight="15720" tabRatio="778" activeTab="9" xr2:uid="{00000000-000D-0000-FFFF-FFFF00000000}"/>
  </bookViews>
  <sheets>
    <sheet name=" سهام" sheetId="1" r:id="rId1"/>
    <sheet name="اوراق تبعی" sheetId="9" state="hidden" r:id="rId2"/>
    <sheet name="تعدیل قیمت" sheetId="4" state="hidden" r:id="rId3"/>
    <sheet name="گواهی سپرده" sheetId="10" state="hidden" r:id="rId4"/>
    <sheet name="اوراق" sheetId="3" state="hidden" r:id="rId5"/>
    <sheet name="سپرده" sheetId="2" r:id="rId6"/>
    <sheet name="درآمدها" sheetId="11" r:id="rId7"/>
    <sheet name="درآمد سرمایه گذاری در سهام " sheetId="5" r:id="rId8"/>
    <sheet name="درآمد سود سهام" sheetId="12" r:id="rId9"/>
    <sheet name="درآمد ناشی از تغییر قیمت اوراق " sheetId="14" r:id="rId10"/>
    <sheet name="درآمد ناشی ازفروش" sheetId="15" r:id="rId11"/>
    <sheet name="درآمد سرمایه گذاری در اوراق بها" sheetId="6" state="hidden" r:id="rId12"/>
    <sheet name="سود اوراق بهادار و سپرده بانکی" sheetId="13" r:id="rId13"/>
    <sheet name="درآمد سپرده بانکی" sheetId="7" r:id="rId14"/>
    <sheet name="Sheet1" sheetId="16" state="hidden" r:id="rId15"/>
    <sheet name="سایر درآمدها" sheetId="8" r:id="rId16"/>
  </sheets>
  <definedNames>
    <definedName name="_xlnm._FilterDatabase" localSheetId="7" hidden="1">'درآمد سرمایه گذاری در سهام '!#REF!</definedName>
    <definedName name="_xlnm._FilterDatabase" localSheetId="8" hidden="1">'درآمد سود سهام'!$V$6:$Y$6</definedName>
    <definedName name="_xlnm._FilterDatabase" localSheetId="9" hidden="1">'درآمد ناشی از تغییر قیمت اوراق '!$B$6:$AA$67</definedName>
    <definedName name="_xlnm.Print_Area" localSheetId="0">' سهام'!$A$1:$Z$66</definedName>
    <definedName name="_xlnm.Print_Area" localSheetId="4">اوراق!$A$1:$AM$11</definedName>
    <definedName name="_xlnm.Print_Area" localSheetId="1">'اوراق تبعی'!$A$1:$R$10</definedName>
    <definedName name="_xlnm.Print_Area" localSheetId="2">'تعدیل قیمت'!$A$1:$P$11</definedName>
    <definedName name="_xlnm.Print_Area" localSheetId="13">'درآمد سپرده بانکی'!$A$1:$M$12</definedName>
    <definedName name="_xlnm.Print_Area" localSheetId="11">'درآمد سرمایه گذاری در اوراق بها'!$A$1:$S$12</definedName>
    <definedName name="_xlnm.Print_Area" localSheetId="7">'درآمد سرمایه گذاری در سهام '!$A$1:$V$117</definedName>
    <definedName name="_xlnm.Print_Area" localSheetId="8">'درآمد سود سهام'!$A$1:$U$52</definedName>
    <definedName name="_xlnm.Print_Area" localSheetId="9">'درآمد ناشی از تغییر قیمت اوراق '!$A$1:$R$66</definedName>
    <definedName name="_xlnm.Print_Area" localSheetId="10">'درآمد ناشی ازفروش'!$A$1:$R$96</definedName>
    <definedName name="_xlnm.Print_Area" localSheetId="6">درآمدها!$A$1:$J$11</definedName>
    <definedName name="_xlnm.Print_Area" localSheetId="15">'سایر درآمدها'!$A$1:$F$9</definedName>
    <definedName name="_xlnm.Print_Area" localSheetId="5">سپرده!$A$1:$T$13</definedName>
    <definedName name="_xlnm.Print_Area" localSheetId="12">'سود اوراق بهادار و سپرده بانکی'!$A$1:$U$10</definedName>
    <definedName name="_xlnm.Print_Area" localSheetId="3">'گواهی سپرده'!$A$1:$AC$12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6" i="5" l="1"/>
  <c r="C127" i="5"/>
  <c r="P51" i="12"/>
  <c r="T40" i="12"/>
  <c r="T47" i="12"/>
  <c r="N35" i="5"/>
  <c r="N43" i="5" s="1"/>
  <c r="T9" i="12"/>
  <c r="T48" i="12"/>
  <c r="R43" i="15"/>
  <c r="R48" i="15" s="1"/>
  <c r="R95" i="15" s="1"/>
  <c r="D8" i="8"/>
  <c r="T8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1" i="12"/>
  <c r="T42" i="12"/>
  <c r="T43" i="12"/>
  <c r="T44" i="12"/>
  <c r="T45" i="12"/>
  <c r="T46" i="12"/>
  <c r="T49" i="12"/>
  <c r="T50" i="12"/>
  <c r="T7" i="12"/>
  <c r="T51" i="12" l="1"/>
  <c r="J11" i="5"/>
  <c r="D35" i="5"/>
  <c r="D43" i="5" s="1"/>
  <c r="D72" i="5" s="1"/>
  <c r="D80" i="5" s="1"/>
  <c r="D117" i="5" s="1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110" i="5"/>
  <c r="L110" i="5" s="1"/>
  <c r="J111" i="5"/>
  <c r="L111" i="5" s="1"/>
  <c r="J112" i="5"/>
  <c r="L112" i="5" s="1"/>
  <c r="J113" i="5"/>
  <c r="L113" i="5" s="1"/>
  <c r="J114" i="5"/>
  <c r="J115" i="5"/>
  <c r="L114" i="5"/>
  <c r="L115" i="5"/>
  <c r="T110" i="5"/>
  <c r="V110" i="5" s="1"/>
  <c r="T111" i="5"/>
  <c r="V111" i="5" s="1"/>
  <c r="T112" i="5"/>
  <c r="V112" i="5" s="1"/>
  <c r="T113" i="5"/>
  <c r="V113" i="5" s="1"/>
  <c r="T114" i="5"/>
  <c r="T115" i="5"/>
  <c r="V115" i="5" s="1"/>
  <c r="V114" i="5"/>
  <c r="Z59" i="1"/>
  <c r="Z60" i="1"/>
  <c r="Z61" i="1"/>
  <c r="Z62" i="1"/>
  <c r="Z63" i="1"/>
  <c r="Z64" i="1"/>
  <c r="A2" i="11"/>
  <c r="J51" i="12"/>
  <c r="L66" i="1"/>
  <c r="J66" i="1"/>
  <c r="H66" i="1"/>
  <c r="R11" i="14"/>
  <c r="R61" i="14"/>
  <c r="R62" i="14"/>
  <c r="J69" i="5"/>
  <c r="B3" i="14"/>
  <c r="J7" i="14"/>
  <c r="J61" i="14"/>
  <c r="J62" i="14"/>
  <c r="H39" i="14"/>
  <c r="H44" i="14" s="1"/>
  <c r="H64" i="14" s="1"/>
  <c r="T108" i="5"/>
  <c r="V108" i="5" s="1"/>
  <c r="T109" i="5"/>
  <c r="V109" i="5" s="1"/>
  <c r="J108" i="5"/>
  <c r="J109" i="5"/>
  <c r="L109" i="5" s="1"/>
  <c r="R35" i="5"/>
  <c r="P35" i="5"/>
  <c r="H35" i="5"/>
  <c r="F35" i="5"/>
  <c r="T9" i="2"/>
  <c r="T10" i="2"/>
  <c r="T11" i="2"/>
  <c r="Z56" i="1"/>
  <c r="Z57" i="1"/>
  <c r="Z58" i="1"/>
  <c r="Z65" i="1"/>
  <c r="O8" i="13"/>
  <c r="O7" i="13"/>
  <c r="L108" i="5" l="1"/>
  <c r="J13" i="14"/>
  <c r="J8" i="14"/>
  <c r="J9" i="14"/>
  <c r="J10" i="14"/>
  <c r="J12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3" i="14"/>
  <c r="D39" i="14"/>
  <c r="E66" i="1"/>
  <c r="F66" i="1"/>
  <c r="G66" i="1"/>
  <c r="I66" i="1"/>
  <c r="K66" i="1"/>
  <c r="M66" i="1"/>
  <c r="N66" i="1"/>
  <c r="O66" i="1"/>
  <c r="P66" i="1"/>
  <c r="Q66" i="1"/>
  <c r="R66" i="1"/>
  <c r="S66" i="1"/>
  <c r="U66" i="1"/>
  <c r="V66" i="1"/>
  <c r="W66" i="1"/>
  <c r="X66" i="1"/>
  <c r="Y66" i="1"/>
  <c r="D66" i="1"/>
  <c r="R30" i="14"/>
  <c r="J107" i="5"/>
  <c r="L107" i="5" s="1"/>
  <c r="T107" i="5"/>
  <c r="V107" i="5" s="1"/>
  <c r="J39" i="14" l="1"/>
  <c r="J44" i="14" s="1"/>
  <c r="J64" i="14" s="1"/>
  <c r="P43" i="15"/>
  <c r="P48" i="15" s="1"/>
  <c r="P95" i="15" s="1"/>
  <c r="N43" i="15"/>
  <c r="L43" i="15"/>
  <c r="H43" i="15"/>
  <c r="H48" i="15" s="1"/>
  <c r="H95" i="15" s="1"/>
  <c r="F43" i="15"/>
  <c r="F48" i="15" s="1"/>
  <c r="F95" i="15" s="1"/>
  <c r="D43" i="15"/>
  <c r="D48" i="15" s="1"/>
  <c r="D95" i="15" s="1"/>
  <c r="J12" i="15"/>
  <c r="P39" i="14"/>
  <c r="P44" i="14" s="1"/>
  <c r="N39" i="14"/>
  <c r="N44" i="14" s="1"/>
  <c r="L39" i="14"/>
  <c r="L44" i="14" s="1"/>
  <c r="F39" i="14"/>
  <c r="F44" i="14" s="1"/>
  <c r="F64" i="14" s="1"/>
  <c r="D44" i="14"/>
  <c r="D64" i="14" s="1"/>
  <c r="R43" i="5"/>
  <c r="R72" i="5" s="1"/>
  <c r="P43" i="5"/>
  <c r="P72" i="5" s="1"/>
  <c r="N72" i="5"/>
  <c r="N80" i="5" s="1"/>
  <c r="H43" i="5"/>
  <c r="H72" i="5" s="1"/>
  <c r="F43" i="5"/>
  <c r="F72" i="5" s="1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N117" i="5" l="1"/>
  <c r="N51" i="12"/>
  <c r="J35" i="5"/>
  <c r="J43" i="5" s="1"/>
  <c r="L48" i="15"/>
  <c r="L95" i="15" s="1"/>
  <c r="N48" i="15"/>
  <c r="N95" i="15" s="1"/>
  <c r="L64" i="14"/>
  <c r="N64" i="14"/>
  <c r="P64" i="14"/>
  <c r="T54" i="12" l="1"/>
  <c r="J81" i="5"/>
  <c r="L81" i="5" s="1"/>
  <c r="T81" i="5"/>
  <c r="V81" i="5" s="1"/>
  <c r="J82" i="5"/>
  <c r="L82" i="5" s="1"/>
  <c r="T82" i="5"/>
  <c r="L51" i="12"/>
  <c r="R51" i="12"/>
  <c r="R58" i="14" l="1"/>
  <c r="R38" i="14"/>
  <c r="R37" i="14"/>
  <c r="J35" i="15"/>
  <c r="J36" i="15"/>
  <c r="J37" i="15"/>
  <c r="J38" i="15"/>
  <c r="J39" i="15"/>
  <c r="J40" i="15"/>
  <c r="L31" i="5"/>
  <c r="T31" i="5"/>
  <c r="V31" i="5" s="1"/>
  <c r="L32" i="5"/>
  <c r="T32" i="5"/>
  <c r="V32" i="5" s="1"/>
  <c r="L33" i="5"/>
  <c r="T33" i="5"/>
  <c r="V33" i="5" s="1"/>
  <c r="L34" i="5"/>
  <c r="T34" i="5"/>
  <c r="V34" i="5" s="1"/>
  <c r="J44" i="5"/>
  <c r="L44" i="5" s="1"/>
  <c r="T44" i="5"/>
  <c r="V44" i="5" s="1"/>
  <c r="J45" i="5"/>
  <c r="L45" i="5" s="1"/>
  <c r="T45" i="5"/>
  <c r="V45" i="5" s="1"/>
  <c r="J46" i="5"/>
  <c r="L46" i="5" s="1"/>
  <c r="T46" i="5"/>
  <c r="V46" i="5" s="1"/>
  <c r="Z35" i="1"/>
  <c r="Z34" i="1"/>
  <c r="Z33" i="1"/>
  <c r="Z32" i="1"/>
  <c r="Z31" i="1"/>
  <c r="Z30" i="1"/>
  <c r="Z29" i="1"/>
  <c r="Z28" i="1"/>
  <c r="F8" i="8"/>
  <c r="Q9" i="13"/>
  <c r="F51" i="12"/>
  <c r="J29" i="15"/>
  <c r="J30" i="15"/>
  <c r="J31" i="15"/>
  <c r="J32" i="15"/>
  <c r="J33" i="15"/>
  <c r="J34" i="15"/>
  <c r="J41" i="15"/>
  <c r="J42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103" i="5"/>
  <c r="L103" i="5" s="1"/>
  <c r="J104" i="5"/>
  <c r="L104" i="5" s="1"/>
  <c r="J105" i="5"/>
  <c r="L105" i="5" s="1"/>
  <c r="J106" i="5"/>
  <c r="J116" i="5"/>
  <c r="L116" i="5" s="1"/>
  <c r="J61" i="5"/>
  <c r="L61" i="5" s="1"/>
  <c r="J62" i="5"/>
  <c r="L62" i="5" s="1"/>
  <c r="J63" i="5"/>
  <c r="L63" i="5" s="1"/>
  <c r="J64" i="5"/>
  <c r="L64" i="5" s="1"/>
  <c r="J65" i="5"/>
  <c r="L65" i="5" s="1"/>
  <c r="J66" i="5"/>
  <c r="L66" i="5" s="1"/>
  <c r="T103" i="5"/>
  <c r="V103" i="5" s="1"/>
  <c r="T104" i="5"/>
  <c r="V104" i="5" s="1"/>
  <c r="T105" i="5"/>
  <c r="V105" i="5" s="1"/>
  <c r="T106" i="5"/>
  <c r="V106" i="5" s="1"/>
  <c r="T116" i="5"/>
  <c r="T61" i="5"/>
  <c r="V61" i="5" s="1"/>
  <c r="T62" i="5"/>
  <c r="V62" i="5" s="1"/>
  <c r="T63" i="5"/>
  <c r="V63" i="5" s="1"/>
  <c r="T64" i="5"/>
  <c r="V64" i="5" s="1"/>
  <c r="T65" i="5"/>
  <c r="V65" i="5" s="1"/>
  <c r="T66" i="5"/>
  <c r="V66" i="5" s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F11" i="7"/>
  <c r="H11" i="7"/>
  <c r="J11" i="7"/>
  <c r="L11" i="7"/>
  <c r="K9" i="13"/>
  <c r="J93" i="5"/>
  <c r="L93" i="5" s="1"/>
  <c r="T93" i="5"/>
  <c r="V93" i="5" s="1"/>
  <c r="J94" i="5"/>
  <c r="L94" i="5" s="1"/>
  <c r="T94" i="5"/>
  <c r="V94" i="5" s="1"/>
  <c r="J95" i="5"/>
  <c r="L95" i="5" s="1"/>
  <c r="T95" i="5"/>
  <c r="V95" i="5" s="1"/>
  <c r="J96" i="5"/>
  <c r="L96" i="5" s="1"/>
  <c r="T96" i="5"/>
  <c r="V96" i="5" s="1"/>
  <c r="J97" i="5"/>
  <c r="L97" i="5" s="1"/>
  <c r="T97" i="5"/>
  <c r="V97" i="5" s="1"/>
  <c r="J98" i="5"/>
  <c r="L98" i="5" s="1"/>
  <c r="T98" i="5"/>
  <c r="V98" i="5" s="1"/>
  <c r="J99" i="5"/>
  <c r="L99" i="5" s="1"/>
  <c r="T99" i="5"/>
  <c r="V99" i="5" s="1"/>
  <c r="J100" i="5"/>
  <c r="L100" i="5" s="1"/>
  <c r="T100" i="5"/>
  <c r="V100" i="5" s="1"/>
  <c r="J101" i="5"/>
  <c r="L101" i="5" s="1"/>
  <c r="T101" i="5"/>
  <c r="V101" i="5" s="1"/>
  <c r="J102" i="5"/>
  <c r="L102" i="5" s="1"/>
  <c r="T102" i="5"/>
  <c r="V102" i="5" s="1"/>
  <c r="R59" i="14"/>
  <c r="R60" i="14"/>
  <c r="R63" i="14"/>
  <c r="J7" i="15"/>
  <c r="J8" i="15"/>
  <c r="J9" i="15"/>
  <c r="J10" i="15"/>
  <c r="J11" i="15"/>
  <c r="J13" i="15"/>
  <c r="J14" i="15"/>
  <c r="J15" i="15"/>
  <c r="J16" i="15"/>
  <c r="J17" i="15"/>
  <c r="R21" i="14"/>
  <c r="R22" i="14"/>
  <c r="R23" i="14"/>
  <c r="R24" i="14"/>
  <c r="R25" i="14"/>
  <c r="T14" i="5"/>
  <c r="V14" i="5" s="1"/>
  <c r="T15" i="5"/>
  <c r="V15" i="5" s="1"/>
  <c r="T16" i="5"/>
  <c r="V16" i="5" s="1"/>
  <c r="T17" i="5"/>
  <c r="V17" i="5" s="1"/>
  <c r="L14" i="5"/>
  <c r="L15" i="5"/>
  <c r="L16" i="5"/>
  <c r="L17" i="5"/>
  <c r="R8" i="14"/>
  <c r="R9" i="14"/>
  <c r="R10" i="14"/>
  <c r="L23" i="5"/>
  <c r="L24" i="5"/>
  <c r="L25" i="5"/>
  <c r="L26" i="5"/>
  <c r="L27" i="5"/>
  <c r="T23" i="5"/>
  <c r="V23" i="5" s="1"/>
  <c r="T24" i="5"/>
  <c r="V24" i="5" s="1"/>
  <c r="T25" i="5"/>
  <c r="V25" i="5" s="1"/>
  <c r="T26" i="5"/>
  <c r="V26" i="5" s="1"/>
  <c r="T27" i="5"/>
  <c r="V27" i="5" s="1"/>
  <c r="J19" i="15"/>
  <c r="J20" i="15"/>
  <c r="J21" i="15"/>
  <c r="J22" i="15"/>
  <c r="J23" i="15"/>
  <c r="J24" i="15"/>
  <c r="T22" i="5"/>
  <c r="V22" i="5" s="1"/>
  <c r="T28" i="5"/>
  <c r="V28" i="5" s="1"/>
  <c r="T29" i="5"/>
  <c r="V29" i="5" s="1"/>
  <c r="L22" i="5"/>
  <c r="L28" i="5"/>
  <c r="L29" i="5"/>
  <c r="F7" i="11" l="1"/>
  <c r="L106" i="5"/>
  <c r="V116" i="5"/>
  <c r="Z66" i="1"/>
  <c r="P80" i="5"/>
  <c r="P117" i="5" s="1"/>
  <c r="F80" i="5"/>
  <c r="R80" i="5"/>
  <c r="R117" i="5" s="1"/>
  <c r="H80" i="5"/>
  <c r="R36" i="14"/>
  <c r="R98" i="15" l="1"/>
  <c r="H117" i="5"/>
  <c r="F117" i="5"/>
  <c r="H7" i="11"/>
  <c r="J7" i="11"/>
  <c r="R14" i="14"/>
  <c r="R15" i="14"/>
  <c r="R16" i="14"/>
  <c r="R17" i="14"/>
  <c r="R18" i="14"/>
  <c r="R19" i="14"/>
  <c r="R20" i="14"/>
  <c r="R26" i="14"/>
  <c r="R27" i="14"/>
  <c r="R28" i="14"/>
  <c r="R29" i="14"/>
  <c r="R12" i="14"/>
  <c r="R13" i="14"/>
  <c r="R31" i="14"/>
  <c r="R33" i="14"/>
  <c r="R34" i="14"/>
  <c r="R35" i="14"/>
  <c r="R46" i="14"/>
  <c r="R47" i="14"/>
  <c r="R48" i="14"/>
  <c r="R49" i="14"/>
  <c r="R53" i="14"/>
  <c r="R54" i="14"/>
  <c r="R55" i="14"/>
  <c r="R56" i="14"/>
  <c r="R57" i="14"/>
  <c r="T12" i="5"/>
  <c r="V12" i="5" s="1"/>
  <c r="T13" i="5"/>
  <c r="V13" i="5" s="1"/>
  <c r="T18" i="5"/>
  <c r="V18" i="5" s="1"/>
  <c r="T19" i="5"/>
  <c r="V19" i="5" s="1"/>
  <c r="T20" i="5"/>
  <c r="V20" i="5" s="1"/>
  <c r="T21" i="5"/>
  <c r="V21" i="5" s="1"/>
  <c r="L12" i="5"/>
  <c r="L13" i="5"/>
  <c r="L18" i="5"/>
  <c r="L19" i="5"/>
  <c r="L20" i="5"/>
  <c r="L21" i="5"/>
  <c r="J26" i="15"/>
  <c r="J27" i="15"/>
  <c r="J28" i="15"/>
  <c r="L12" i="2"/>
  <c r="N12" i="2"/>
  <c r="P12" i="2"/>
  <c r="R12" i="2"/>
  <c r="U8" i="13"/>
  <c r="U7" i="13"/>
  <c r="J25" i="15"/>
  <c r="J18" i="15"/>
  <c r="R32" i="14"/>
  <c r="R45" i="14"/>
  <c r="R50" i="14"/>
  <c r="R51" i="14"/>
  <c r="R52" i="14"/>
  <c r="R7" i="14"/>
  <c r="T30" i="5"/>
  <c r="V30" i="5" s="1"/>
  <c r="T47" i="5"/>
  <c r="V47" i="5" s="1"/>
  <c r="T48" i="5"/>
  <c r="V48" i="5" s="1"/>
  <c r="T49" i="5"/>
  <c r="V49" i="5" s="1"/>
  <c r="T50" i="5"/>
  <c r="V50" i="5" s="1"/>
  <c r="T51" i="5"/>
  <c r="V51" i="5" s="1"/>
  <c r="T52" i="5"/>
  <c r="V52" i="5" s="1"/>
  <c r="T53" i="5"/>
  <c r="V53" i="5" s="1"/>
  <c r="T54" i="5"/>
  <c r="V54" i="5" s="1"/>
  <c r="T55" i="5"/>
  <c r="V55" i="5" s="1"/>
  <c r="T56" i="5"/>
  <c r="V56" i="5" s="1"/>
  <c r="T57" i="5"/>
  <c r="V57" i="5" s="1"/>
  <c r="T58" i="5"/>
  <c r="V58" i="5" s="1"/>
  <c r="T59" i="5"/>
  <c r="V59" i="5" s="1"/>
  <c r="T60" i="5"/>
  <c r="V60" i="5" s="1"/>
  <c r="T67" i="5"/>
  <c r="V67" i="5" s="1"/>
  <c r="T68" i="5"/>
  <c r="V68" i="5" s="1"/>
  <c r="T69" i="5"/>
  <c r="V69" i="5" s="1"/>
  <c r="T70" i="5"/>
  <c r="V70" i="5" s="1"/>
  <c r="T71" i="5"/>
  <c r="V71" i="5" s="1"/>
  <c r="V82" i="5"/>
  <c r="T83" i="5"/>
  <c r="V83" i="5" s="1"/>
  <c r="T84" i="5"/>
  <c r="V84" i="5" s="1"/>
  <c r="T85" i="5"/>
  <c r="V85" i="5" s="1"/>
  <c r="T86" i="5"/>
  <c r="V86" i="5" s="1"/>
  <c r="T87" i="5"/>
  <c r="T88" i="5"/>
  <c r="V88" i="5" s="1"/>
  <c r="T89" i="5"/>
  <c r="T90" i="5"/>
  <c r="V90" i="5" s="1"/>
  <c r="T91" i="5"/>
  <c r="V91" i="5" s="1"/>
  <c r="T92" i="5"/>
  <c r="V92" i="5" s="1"/>
  <c r="T11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7" i="5"/>
  <c r="J68" i="5"/>
  <c r="J70" i="5"/>
  <c r="J71" i="5"/>
  <c r="J83" i="5"/>
  <c r="J84" i="5"/>
  <c r="J85" i="5"/>
  <c r="J86" i="5"/>
  <c r="J87" i="5"/>
  <c r="J88" i="5"/>
  <c r="J89" i="5"/>
  <c r="J90" i="5"/>
  <c r="J91" i="5"/>
  <c r="J92" i="5"/>
  <c r="J72" i="5" l="1"/>
  <c r="T35" i="5"/>
  <c r="T43" i="5" s="1"/>
  <c r="T72" i="5" s="1"/>
  <c r="R39" i="14"/>
  <c r="R44" i="14" s="1"/>
  <c r="R64" i="14" s="1"/>
  <c r="V89" i="5"/>
  <c r="J43" i="15"/>
  <c r="J48" i="15" s="1"/>
  <c r="J95" i="15" s="1"/>
  <c r="V87" i="5"/>
  <c r="V11" i="5"/>
  <c r="O9" i="13"/>
  <c r="U9" i="13"/>
  <c r="L11" i="5"/>
  <c r="T12" i="2"/>
  <c r="L30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7" i="5"/>
  <c r="L68" i="5"/>
  <c r="L69" i="5"/>
  <c r="L70" i="5"/>
  <c r="L71" i="5"/>
  <c r="L83" i="5"/>
  <c r="L84" i="5"/>
  <c r="L85" i="5"/>
  <c r="L86" i="5"/>
  <c r="L87" i="5"/>
  <c r="L88" i="5"/>
  <c r="L89" i="5"/>
  <c r="L90" i="5"/>
  <c r="L91" i="5"/>
  <c r="L92" i="5"/>
  <c r="L35" i="5" l="1"/>
  <c r="L43" i="5" s="1"/>
  <c r="L72" i="5" s="1"/>
  <c r="V35" i="5"/>
  <c r="V43" i="5" s="1"/>
  <c r="V72" i="5" s="1"/>
  <c r="T80" i="5"/>
  <c r="T117" i="5" s="1"/>
  <c r="J80" i="5"/>
  <c r="J117" i="5" s="1"/>
  <c r="B3" i="1"/>
  <c r="F6" i="11" l="1"/>
  <c r="V80" i="5"/>
  <c r="V117" i="5" s="1"/>
  <c r="R6" i="1"/>
  <c r="H6" i="11" l="1"/>
  <c r="J6" i="11"/>
  <c r="L80" i="5"/>
  <c r="L117" i="5" s="1"/>
  <c r="S10" i="6"/>
  <c r="D6" i="1" l="1"/>
  <c r="D5" i="8"/>
  <c r="K11" i="6" l="1"/>
  <c r="S11" i="6"/>
  <c r="F6" i="7"/>
  <c r="F5" i="8"/>
  <c r="B3" i="8"/>
  <c r="J6" i="7"/>
  <c r="B3" i="7"/>
  <c r="Q5" i="13"/>
  <c r="K5" i="13"/>
  <c r="B3" i="13"/>
  <c r="A3" i="6"/>
  <c r="M6" i="6"/>
  <c r="C6" i="6"/>
  <c r="L5" i="15"/>
  <c r="L46" i="15" s="1"/>
  <c r="D5" i="15"/>
  <c r="D46" i="15" s="1"/>
  <c r="B3" i="15"/>
  <c r="D5" i="14"/>
  <c r="D42" i="14" s="1"/>
  <c r="J5" i="12"/>
  <c r="B3" i="12"/>
  <c r="N7" i="5"/>
  <c r="N39" i="5" s="1"/>
  <c r="D7" i="5"/>
  <c r="D39" i="5" s="1"/>
  <c r="B3" i="5"/>
  <c r="L5" i="14"/>
  <c r="L42" i="14" s="1"/>
  <c r="P5" i="12"/>
  <c r="R6" i="2"/>
  <c r="D6" i="2"/>
  <c r="B3" i="2"/>
  <c r="A3" i="11" s="1"/>
  <c r="AE6" i="3"/>
  <c r="Q6" i="3"/>
  <c r="B3" i="3"/>
  <c r="A3" i="10"/>
  <c r="A3" i="4"/>
  <c r="B3" i="9"/>
  <c r="W6" i="10"/>
  <c r="K6" i="10"/>
  <c r="C6" i="4"/>
  <c r="L6" i="9"/>
  <c r="D6" i="9"/>
  <c r="R11" i="6"/>
  <c r="E11" i="6"/>
  <c r="D76" i="5" l="1"/>
  <c r="N76" i="5"/>
  <c r="G11" i="6"/>
  <c r="I11" i="6"/>
  <c r="O11" i="6"/>
  <c r="Q11" i="6"/>
  <c r="M11" i="6" l="1"/>
  <c r="C11" i="6"/>
  <c r="N9" i="9" l="1"/>
  <c r="L9" i="9"/>
  <c r="F9" i="9"/>
  <c r="D9" i="9"/>
  <c r="F8" i="11" l="1"/>
  <c r="H8" i="11" l="1"/>
  <c r="J8" i="11"/>
  <c r="F9" i="11"/>
  <c r="B1" i="5"/>
  <c r="B1" i="3" l="1"/>
  <c r="A1" i="4" s="1"/>
  <c r="A1" i="10" s="1"/>
  <c r="B1" i="9"/>
  <c r="H9" i="11" l="1"/>
  <c r="J9" i="11"/>
  <c r="B1" i="12"/>
  <c r="B1" i="13" s="1"/>
  <c r="B1" i="7" s="1"/>
  <c r="B1" i="8" l="1"/>
  <c r="B1" i="15"/>
  <c r="B1" i="14" l="1"/>
</calcChain>
</file>

<file path=xl/sharedStrings.xml><?xml version="1.0" encoding="utf-8"?>
<sst xmlns="http://schemas.openxmlformats.org/spreadsheetml/2006/main" count="794" uniqueCount="257">
  <si>
    <t>درصد به کل</t>
  </si>
  <si>
    <t>خالص ارزش</t>
  </si>
  <si>
    <t>فروش</t>
  </si>
  <si>
    <t>بهای تمام شده</t>
  </si>
  <si>
    <t xml:space="preserve"> دارایی‌ها</t>
  </si>
  <si>
    <t>شرکت</t>
  </si>
  <si>
    <t>.....</t>
  </si>
  <si>
    <t>جمع</t>
  </si>
  <si>
    <t>تعداد</t>
  </si>
  <si>
    <t>خرید طی دوره</t>
  </si>
  <si>
    <t>فروش طی دوره</t>
  </si>
  <si>
    <t>مبلغ</t>
  </si>
  <si>
    <t>نرخ سود مؤثر</t>
  </si>
  <si>
    <t>نرخ سود اسمی</t>
  </si>
  <si>
    <t>پذیرفته شده در بورس یا فرابورس</t>
  </si>
  <si>
    <t>دارای مجوز از سازمان</t>
  </si>
  <si>
    <t>تغییرات طی دوره</t>
  </si>
  <si>
    <t>سپرده های بانکی</t>
  </si>
  <si>
    <t>شماره حساب</t>
  </si>
  <si>
    <t>نوع سپرده</t>
  </si>
  <si>
    <t>دلیل تعدیل</t>
  </si>
  <si>
    <t>نام اوراق بهادار</t>
  </si>
  <si>
    <t>درآمد سود سهام</t>
  </si>
  <si>
    <t>درآمد تغییر ارزش</t>
  </si>
  <si>
    <t>درآمد فروش</t>
  </si>
  <si>
    <t>درصد از کل درآمد ها</t>
  </si>
  <si>
    <t>درآمد سود اوراق</t>
  </si>
  <si>
    <t>نام سپرده</t>
  </si>
  <si>
    <t>سود سپرده بانکی و گواهی سپرده</t>
  </si>
  <si>
    <t>درصد سود به میانگین سپرده</t>
  </si>
  <si>
    <t>نام سپرده بانکی</t>
  </si>
  <si>
    <t>اطلاعات اوراق بهادار با درآمد ثابت</t>
  </si>
  <si>
    <t>نام اوراق</t>
  </si>
  <si>
    <t>خالص ارزش فروش</t>
  </si>
  <si>
    <t>درصد به کل دارایی‌ها</t>
  </si>
  <si>
    <t>تاریخ سررسید</t>
  </si>
  <si>
    <t>درصد به کل  دارایی‌ها</t>
  </si>
  <si>
    <t>سهام</t>
  </si>
  <si>
    <t>1- سرمایه گذاری ها</t>
  </si>
  <si>
    <t>1-1-سرمایه‌گذاری در سهام و حق تقدم سهام</t>
  </si>
  <si>
    <t>2-1-سرمایه‌گذاری در اوراق بهادار با درآمد ثابت یا علی‌الحساب</t>
  </si>
  <si>
    <t>4-2-سایر درآمدها:</t>
  </si>
  <si>
    <t>سایر درآمدها</t>
  </si>
  <si>
    <t>قیمت بازار هر سهم</t>
  </si>
  <si>
    <t>تاریخ انتشار اوراق</t>
  </si>
  <si>
    <t>قیمت بازار هر ورقه</t>
  </si>
  <si>
    <t>نام سهام</t>
  </si>
  <si>
    <t>تعداد اوراق تبعی</t>
  </si>
  <si>
    <t xml:space="preserve">قیمت اعمال </t>
  </si>
  <si>
    <t>تاریخ اعمال</t>
  </si>
  <si>
    <t xml:space="preserve">نرخ سود مؤثر 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</si>
  <si>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</si>
  <si>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</si>
  <si>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</si>
  <si>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</si>
  <si>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</si>
  <si>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</si>
  <si>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4-1- سرمایه‌گذاری در گواهی سپرده‌ بانکی</t>
  </si>
  <si>
    <t>گواهی سپرده بانکی نزد بانک .....</t>
  </si>
  <si>
    <t>نرخ شکست</t>
  </si>
  <si>
    <t>گواهی سپرده  بانکی</t>
  </si>
  <si>
    <t>تاریخ افتتاح حساب</t>
  </si>
  <si>
    <t>نرخ سود علی الحساب</t>
  </si>
  <si>
    <t>افزایش</t>
  </si>
  <si>
    <t>کاهش</t>
  </si>
  <si>
    <t>شرح</t>
  </si>
  <si>
    <t>یادداشت</t>
  </si>
  <si>
    <t>سود متعلق به هر سهم</t>
  </si>
  <si>
    <t>جمع درآمد سود سهام</t>
  </si>
  <si>
    <t>هزینه تنزیل</t>
  </si>
  <si>
    <t>خالص درآمد سود سهام</t>
  </si>
  <si>
    <t>تعداد سهام متعلقه در زمان مجمع</t>
  </si>
  <si>
    <t>اطلاعات مجمع</t>
  </si>
  <si>
    <t>تاریخ دریافت سود</t>
  </si>
  <si>
    <t>خالص درآمد</t>
  </si>
  <si>
    <t>ارزش دفتری</t>
  </si>
  <si>
    <t>سود و زیان ناشی از تغییر قیمت</t>
  </si>
  <si>
    <t>ارزش دفتری برابر است با میانگین موزون خالص ارزش فروش هر سهم/ورقه در ابتدای دوره با خرید طی دوره ضربدر تعداد در پایان دوره</t>
  </si>
  <si>
    <t>خالص بهای فروش</t>
  </si>
  <si>
    <t>سود و زیان ناشی از فروش</t>
  </si>
  <si>
    <t>درآمد حاصل از سرمایه گذاری در سهام و حق تقدم سهام</t>
  </si>
  <si>
    <t>مبلغ فروش</t>
  </si>
  <si>
    <t xml:space="preserve">صورت وضعیت پرتفوی </t>
  </si>
  <si>
    <t>اطلاعات آماری مرتبط با اوراق اختیار فروش تبعی خریداری شده توسط صندوق سرمایه گذاری:</t>
  </si>
  <si>
    <t>3-1- سرمایه‌گذاری در  سپرده‌ بانکی</t>
  </si>
  <si>
    <t>1-2</t>
  </si>
  <si>
    <t>3-2</t>
  </si>
  <si>
    <t>4-2</t>
  </si>
  <si>
    <t xml:space="preserve">صورت وضعیت درآمدها </t>
  </si>
  <si>
    <t xml:space="preserve">درآمد سود </t>
  </si>
  <si>
    <t xml:space="preserve"> </t>
  </si>
  <si>
    <t>درصد از کل دارایی ها</t>
  </si>
  <si>
    <t>یادداشت 2-1-1</t>
  </si>
  <si>
    <t>یادداشت 2-1-2</t>
  </si>
  <si>
    <t>یادداشت 2-1-3</t>
  </si>
  <si>
    <t>1-2-2-سود اوراق بهادار با درآمد ثابت و سپرده بانکی</t>
  </si>
  <si>
    <t>یادداشت 2-2-1</t>
  </si>
  <si>
    <t>1-1-2-درآمد سود سهام</t>
  </si>
  <si>
    <t>2-1-2-درآمد ناشی از تغییر قیمت اوراق بهادار</t>
  </si>
  <si>
    <t>3-1-2-سود(زیان) حاصل از فروش اوراق بهادار</t>
  </si>
  <si>
    <t>ابتدای دوره</t>
  </si>
  <si>
    <t xml:space="preserve">مبلغ </t>
  </si>
  <si>
    <t>درصد از کل دارائیها</t>
  </si>
  <si>
    <t>-</t>
  </si>
  <si>
    <t>صندوق سرمایه گذاری شاخص سی شرکت بزرگ فیروزه</t>
  </si>
  <si>
    <t>توسعه‌معادن‌وفلزات‌</t>
  </si>
  <si>
    <t>فولاد  خوزستان</t>
  </si>
  <si>
    <t>1005-11-040-00030030-1</t>
  </si>
  <si>
    <t>1005-10-810-00030030-1</t>
  </si>
  <si>
    <t>1393/04/25</t>
  </si>
  <si>
    <t>صندوق سرمایه‌گذاری صندوق شاخص سی شرکت بزرگ فیروزه</t>
  </si>
  <si>
    <t>حساب جاری</t>
  </si>
  <si>
    <t>سپرده کوتاه مدت</t>
  </si>
  <si>
    <t>ایران‌ خودرو</t>
  </si>
  <si>
    <t>بانک  پاسارگاد</t>
  </si>
  <si>
    <t>بانک ملت</t>
  </si>
  <si>
    <t>پالایش نفت اصفهان</t>
  </si>
  <si>
    <t>پالایش نفت بندرعباس</t>
  </si>
  <si>
    <t>پالایش نفت تهران</t>
  </si>
  <si>
    <t>پتروشیمی پارس</t>
  </si>
  <si>
    <t>پتروشیمی پردیس</t>
  </si>
  <si>
    <t>پتروشیمی جم</t>
  </si>
  <si>
    <t>پتروشیمی نوری</t>
  </si>
  <si>
    <t>س. نفت و گاز و پتروشیمی تأمین</t>
  </si>
  <si>
    <t>سرمایه‌گذاری‌غدیر(هلدینگ‌</t>
  </si>
  <si>
    <t>صنایع پتروشیمی خلیج فارس</t>
  </si>
  <si>
    <t>فولاد مبارکه اصفهان</t>
  </si>
  <si>
    <t>گروه مپنا (سهامی عام)</t>
  </si>
  <si>
    <t>گسترش نفت و گاز پارسیان</t>
  </si>
  <si>
    <t>مخابرات ایران</t>
  </si>
  <si>
    <t>معدنی و صنعتی گل گهر</t>
  </si>
  <si>
    <t>معدنی‌وصنعتی‌چادرملو</t>
  </si>
  <si>
    <t>ملی‌ صنایع‌ مس‌ ایران‌</t>
  </si>
  <si>
    <t>سرمایه گذاری تامین اجتماعی</t>
  </si>
  <si>
    <t>سرمایه‌گذاری‌صندوق‌بازنشستگی‌</t>
  </si>
  <si>
    <t/>
  </si>
  <si>
    <t>یادداشت 3-1-2</t>
  </si>
  <si>
    <t>مبین انرژی خلیج فارس</t>
  </si>
  <si>
    <t>توسعه معادن وص.معدنی خاورمیانه</t>
  </si>
  <si>
    <t>سایپا</t>
  </si>
  <si>
    <t>پالایش نفت تبریز</t>
  </si>
  <si>
    <t>1-2-درآمد حاصل از سرمایه گذاری در سهام و حق تقدم سهام:</t>
  </si>
  <si>
    <t>کشتیرانی جمهوری اسلامی ایران</t>
  </si>
  <si>
    <t>تاریخ مجمع</t>
  </si>
  <si>
    <t>پتروشیمی بوعلی سینا</t>
  </si>
  <si>
    <t>گروه‌بهمن‌</t>
  </si>
  <si>
    <t>پتروشیمی‌شیراز</t>
  </si>
  <si>
    <t>سرمایه گذاری صدرتامین</t>
  </si>
  <si>
    <t>بانک تجارت</t>
  </si>
  <si>
    <t>بین المللی توسعه ص. معادن غدیر</t>
  </si>
  <si>
    <t>1402/06/19</t>
  </si>
  <si>
    <t>3-2-درآمد حاصل از سرمایه گذاری در سپرده بانکی و گواهی سپرده:</t>
  </si>
  <si>
    <t>132.9967.1490777.1</t>
  </si>
  <si>
    <t>کویر تایر</t>
  </si>
  <si>
    <t>گروه مدیریت سرمایه گذاری امید</t>
  </si>
  <si>
    <t>تعدیل کارمزد کارگزار</t>
  </si>
  <si>
    <t>ح . معدنی و صنعتی گل گهر</t>
  </si>
  <si>
    <t>ح . معدنی‌وصنعتی‌چادرملو</t>
  </si>
  <si>
    <t>درصد از کل درآمدها</t>
  </si>
  <si>
    <t>2-2-درآمد حاصل از سرمایه گذاری در اوراق بهادار با درآمد ثابت:</t>
  </si>
  <si>
    <t>نورایستا پلاستیک</t>
  </si>
  <si>
    <t>بیمه اتکایی ایران معین</t>
  </si>
  <si>
    <t>تولیدی برنا باطری</t>
  </si>
  <si>
    <t>کانی کربن طبس</t>
  </si>
  <si>
    <t>فجر انرژی خلیج فارس</t>
  </si>
  <si>
    <t>توسعه نیشکر و  صنایع جانبی</t>
  </si>
  <si>
    <t>مدیریت نیروگاهی ایرانیان مپنا</t>
  </si>
  <si>
    <t>صنایع ارتباطی آوا</t>
  </si>
  <si>
    <t>فروشگاههای زنجیره ای افق کوروش</t>
  </si>
  <si>
    <t>ایمن خودرو شرق</t>
  </si>
  <si>
    <t>اخشان خراسان</t>
  </si>
  <si>
    <t>تولید انرژی برق شمس پاسارگاد</t>
  </si>
  <si>
    <t>معدنکاران نسوز</t>
  </si>
  <si>
    <t>س. صنایع‌شیمیایی‌ایران</t>
  </si>
  <si>
    <t>مهرمام میهن</t>
  </si>
  <si>
    <t>صنایع مس افق کرمان</t>
  </si>
  <si>
    <t>سیمان‌ شرق‌</t>
  </si>
  <si>
    <t>گسترش‌سرمایه‌گذاری‌ایران‌خودرو</t>
  </si>
  <si>
    <t>پتروشیمی مارون</t>
  </si>
  <si>
    <t>صنعتی مینو</t>
  </si>
  <si>
    <t>آلومینای ایران</t>
  </si>
  <si>
    <t>شهد ایران ‌</t>
  </si>
  <si>
    <t>بانک صادرات ایران</t>
  </si>
  <si>
    <t>اقتصادی و خودکفایی آزادگان</t>
  </si>
  <si>
    <t>سرمایه گذاری سبحان</t>
  </si>
  <si>
    <t>کشت و دام گلدشت نمونه اصفهان</t>
  </si>
  <si>
    <t>گروه س توسعه صنعتی ایران</t>
  </si>
  <si>
    <t>تولیدات پتروشیمی قائد بصیر</t>
  </si>
  <si>
    <t>شرکت قند بیستون</t>
  </si>
  <si>
    <t>سرمایه گذاری پایا تدبیرپارسا</t>
  </si>
  <si>
    <t>سیمان‌ تهران‌</t>
  </si>
  <si>
    <t>1404/02/31</t>
  </si>
  <si>
    <t>1404/03/31</t>
  </si>
  <si>
    <t>برای ماه منتهی به 1404/03/31</t>
  </si>
  <si>
    <t>طی خرداد ماه</t>
  </si>
  <si>
    <t>از ابتدای سال مالی تا پایان خرداد ماه</t>
  </si>
  <si>
    <t>بانک‌اقتصادنوین‌</t>
  </si>
  <si>
    <t>جنرال مکانیک</t>
  </si>
  <si>
    <t>ح .بیمه ایران - معین</t>
  </si>
  <si>
    <t>سرمایه‌گذاری‌نیرو</t>
  </si>
  <si>
    <t>شیر و گوشت زاگرس شهرکرد</t>
  </si>
  <si>
    <t>پویا</t>
  </si>
  <si>
    <t>توسعه سرمایه و صنعت غدیر</t>
  </si>
  <si>
    <t>حساب جاری بانک خاورمیانه مهستان</t>
  </si>
  <si>
    <t>سپرده کوتاه مدت بانک خاورمیانه مهستان</t>
  </si>
  <si>
    <t>سپرده کوتاه مدت بانک گردشگری سعادت آباد</t>
  </si>
  <si>
    <t>بانک خاورمیانه</t>
  </si>
  <si>
    <t>سرمایه گذاری جامی</t>
  </si>
  <si>
    <t>1404/02/30</t>
  </si>
  <si>
    <t>1404/03/25</t>
  </si>
  <si>
    <t>1404/03/06</t>
  </si>
  <si>
    <t>سود اوراق بهادار با درآمد ثابت و سپرده بانکی</t>
  </si>
  <si>
    <t>1404/04/31</t>
  </si>
  <si>
    <t>1404/04/22</t>
  </si>
  <si>
    <t>1404/04/29</t>
  </si>
  <si>
    <t>1404/04/28</t>
  </si>
  <si>
    <t>1404/04/30</t>
  </si>
  <si>
    <t>1404/04/23</t>
  </si>
  <si>
    <t>1404/04/18</t>
  </si>
  <si>
    <t>1404/04/25</t>
  </si>
  <si>
    <t>1404/04/21</t>
  </si>
  <si>
    <t>نقل به صفحه بعد</t>
  </si>
  <si>
    <t>نقل از صفحه قبل</t>
  </si>
  <si>
    <t xml:space="preserve">نقل به صفحه بعد </t>
  </si>
  <si>
    <t xml:space="preserve">نقل از صفحه قبل </t>
  </si>
  <si>
    <t>1404/05/31</t>
  </si>
  <si>
    <t>برای ماه منتهی به 1404/05/31</t>
  </si>
  <si>
    <t>طی مرداد ماه</t>
  </si>
  <si>
    <t>از ابتدای سال مالی تا پایان مرداد ماه</t>
  </si>
  <si>
    <t>شمش طلا CD1GOB0001</t>
  </si>
  <si>
    <t>1404/05/12</t>
  </si>
  <si>
    <t>1404/05/11</t>
  </si>
  <si>
    <t>1404/05/13</t>
  </si>
  <si>
    <t>1404/05/08</t>
  </si>
  <si>
    <t>1404/05/07</t>
  </si>
  <si>
    <t>1404/05/09</t>
  </si>
  <si>
    <t>1404/06/31</t>
  </si>
  <si>
    <t>برای ماه منتهی به 1404/06/31</t>
  </si>
  <si>
    <t>سیمان باقران</t>
  </si>
  <si>
    <t>گواهی سپرده کالایی شمش طلا غیرفعال</t>
  </si>
  <si>
    <t>1404/06/23</t>
  </si>
  <si>
    <t>1404/06/26</t>
  </si>
  <si>
    <t>1404/06/17</t>
  </si>
  <si>
    <t>کشتیرانی دریای خزر</t>
  </si>
  <si>
    <t>سرمایه‌ گذاری‌ آتیه‌ دماوند</t>
  </si>
  <si>
    <t>سرمایه گذاری توسعه گوهران امید</t>
  </si>
  <si>
    <t>ایران‌ ترانسفو</t>
  </si>
  <si>
    <t>تایدواترخاورمیانه</t>
  </si>
  <si>
    <t>گروه مالی صبا تامین</t>
  </si>
  <si>
    <t>1404/07/30</t>
  </si>
  <si>
    <t>برای ماه منتهی به 1404/07/30</t>
  </si>
  <si>
    <t>طی مهر ماه</t>
  </si>
  <si>
    <t>از ابتدای سال مالی تا پایان مهر ماه</t>
  </si>
  <si>
    <t>1404/07/20</t>
  </si>
  <si>
    <t>1404/07/15</t>
  </si>
  <si>
    <t>1404/07/08</t>
  </si>
  <si>
    <t>طی مهر  ماه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</si>
</sst>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-* #,##0.00_-;_-* #,##0.00\-;_-* &quot;-&quot;??_-;_-@_-"/>
    <numFmt numFmtId="165" formatCode="_-* #,##0_-;_-* #,##0\-;_-* &quot;-&quot;??_-;_-@_-"/>
    <numFmt numFmtId="166" formatCode="#,##0_);\(#,##0\)\ "/>
    <numFmt numFmtId="167" formatCode="#,##0\ ;[Red]\(#,##0\);\-\ ;\ "/>
    <numFmt numFmtId="168" formatCode="#,##0_);[Red]\(#,##0\);\-\ ;"/>
    <numFmt numFmtId="169" formatCode="#,##0_ ;\-#,##0\ "/>
    <numFmt numFmtId="170" formatCode="0.0000%"/>
    <numFmt numFmtId="171" formatCode="#,##0\ ;[Black]\(#,##0\);\-\ ;\ "/>
    <numFmt numFmtId="172" formatCode="#,##0_);[Black]\(#,##0\);\-\ ;"/>
    <numFmt numFmtId="173" formatCode="&quot;$&quot;#,##0_);[Black]\(&quot;$&quot;#,##0\)"/>
    <numFmt numFmtId="174" formatCode="0.0%"/>
  </numFmts>
  <fonts count="62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1"/>
      <name val="Calibri"/>
      <family val="2"/>
    </font>
    <font>
      <b/>
      <sz val="14"/>
      <color theme="1"/>
      <name val="B Nazanin"/>
      <charset val="178"/>
    </font>
    <font>
      <sz val="14"/>
      <color theme="1"/>
      <name val="B Nazanin"/>
      <charset val="178"/>
    </font>
    <font>
      <sz val="14"/>
      <name val="B Nazanin"/>
      <charset val="178"/>
    </font>
    <font>
      <b/>
      <sz val="16"/>
      <color theme="1"/>
      <name val="B Nazanin"/>
      <charset val="178"/>
    </font>
    <font>
      <sz val="16"/>
      <color theme="1"/>
      <name val="B Nazanin"/>
      <charset val="178"/>
    </font>
    <font>
      <sz val="14"/>
      <color rgb="FF000000"/>
      <name val="B Nazanin"/>
      <charset val="178"/>
    </font>
    <font>
      <sz val="14"/>
      <color theme="10"/>
      <name val="B Nazanin"/>
      <charset val="178"/>
    </font>
    <font>
      <b/>
      <sz val="14"/>
      <color rgb="FF0062AC"/>
      <name val="B Nazanin"/>
      <charset val="178"/>
    </font>
    <font>
      <b/>
      <sz val="14"/>
      <color rgb="FF000000"/>
      <name val="B Nazanin"/>
      <charset val="178"/>
    </font>
    <font>
      <u/>
      <sz val="14"/>
      <color theme="1"/>
      <name val="B Nazanin"/>
      <charset val="178"/>
    </font>
    <font>
      <b/>
      <sz val="12"/>
      <name val="B Nazanin"/>
      <charset val="178"/>
    </font>
    <font>
      <sz val="12"/>
      <name val="B Nazanin"/>
      <charset val="178"/>
    </font>
    <font>
      <b/>
      <sz val="16"/>
      <color rgb="FF000000"/>
      <name val="B Nazanin"/>
      <charset val="178"/>
    </font>
    <font>
      <sz val="16"/>
      <color rgb="FF000000"/>
      <name val="B Nazanin"/>
      <charset val="178"/>
    </font>
    <font>
      <b/>
      <sz val="16"/>
      <color rgb="FF0062AC"/>
      <name val="B Nazanin"/>
      <charset val="178"/>
    </font>
    <font>
      <b/>
      <sz val="14"/>
      <color rgb="FF0070C0"/>
      <name val="B Nazanin"/>
      <charset val="178"/>
    </font>
    <font>
      <b/>
      <sz val="14"/>
      <color theme="4" tint="-0.249977111117893"/>
      <name val="B Nazanin"/>
      <charset val="178"/>
    </font>
    <font>
      <b/>
      <sz val="20"/>
      <color theme="1"/>
      <name val="B Nazanin"/>
      <charset val="178"/>
    </font>
    <font>
      <b/>
      <sz val="22"/>
      <color theme="1"/>
      <name val="B Nazanin"/>
      <charset val="178"/>
    </font>
    <font>
      <sz val="22"/>
      <color theme="1"/>
      <name val="B Nazanin"/>
      <charset val="178"/>
    </font>
    <font>
      <sz val="22"/>
      <name val="B Nazanin"/>
      <charset val="178"/>
    </font>
    <font>
      <sz val="16"/>
      <name val="B Nazanin"/>
      <charset val="178"/>
    </font>
    <font>
      <sz val="8"/>
      <name val="Calibri"/>
      <family val="2"/>
      <charset val="178"/>
      <scheme val="minor"/>
    </font>
    <font>
      <sz val="20"/>
      <color theme="1"/>
      <name val="B Nazanin"/>
      <charset val="178"/>
    </font>
    <font>
      <sz val="22"/>
      <color rgb="FFFF0000"/>
      <name val="B Nazanin"/>
      <charset val="178"/>
    </font>
    <font>
      <sz val="20"/>
      <color rgb="FF000000"/>
      <name val="B Nazanin"/>
      <charset val="178"/>
    </font>
    <font>
      <b/>
      <sz val="22"/>
      <color theme="4" tint="-0.249977111117893"/>
      <name val="B Nazanin"/>
      <charset val="178"/>
    </font>
    <font>
      <sz val="14"/>
      <color rgb="FFFF0000"/>
      <name val="B Nazanin"/>
      <charset val="178"/>
    </font>
    <font>
      <b/>
      <sz val="18"/>
      <color theme="4" tint="-0.249977111117893"/>
      <name val="B Nazanin"/>
      <charset val="178"/>
    </font>
    <font>
      <sz val="16"/>
      <color rgb="FFFF0000"/>
      <name val="B Nazanin"/>
      <charset val="178"/>
    </font>
    <font>
      <sz val="14"/>
      <color rgb="FF000000"/>
      <name val="Times New Roman"/>
      <family val="1"/>
    </font>
    <font>
      <b/>
      <sz val="16"/>
      <color theme="4" tint="-0.249977111117893"/>
      <name val="B Nazanin"/>
      <charset val="178"/>
    </font>
    <font>
      <b/>
      <sz val="18"/>
      <color theme="1"/>
      <name val="B Nazanin"/>
      <charset val="178"/>
    </font>
    <font>
      <sz val="18"/>
      <color theme="1"/>
      <name val="B Nazanin"/>
      <charset val="178"/>
    </font>
    <font>
      <b/>
      <sz val="18"/>
      <color rgb="FF0062AC"/>
      <name val="B Nazanin"/>
      <charset val="178"/>
    </font>
    <font>
      <sz val="18"/>
      <name val="B Nazanin"/>
      <charset val="178"/>
    </font>
    <font>
      <sz val="18"/>
      <color rgb="FFFF0000"/>
      <name val="B Nazanin"/>
      <charset val="178"/>
    </font>
    <font>
      <b/>
      <sz val="18"/>
      <color rgb="FFFF0000"/>
      <name val="B Nazanin"/>
      <charset val="178"/>
    </font>
    <font>
      <sz val="14"/>
      <color rgb="FFC00000"/>
      <name val="B Nazanin"/>
      <charset val="178"/>
    </font>
    <font>
      <sz val="16"/>
      <color rgb="FF92D050"/>
      <name val="B Nazanin"/>
      <charset val="178"/>
    </font>
    <font>
      <sz val="18"/>
      <color rgb="FF92D050"/>
      <name val="B Nazanin"/>
      <charset val="178"/>
    </font>
    <font>
      <sz val="14"/>
      <color rgb="FF92D050"/>
      <name val="B Nazanin"/>
      <charset val="178"/>
    </font>
    <font>
      <b/>
      <sz val="18"/>
      <color rgb="FF92D050"/>
      <name val="B Nazanin"/>
      <charset val="178"/>
    </font>
    <font>
      <b/>
      <sz val="14"/>
      <color rgb="FF92D050"/>
      <name val="B Nazanin"/>
      <charset val="178"/>
    </font>
    <font>
      <b/>
      <sz val="14"/>
      <color rgb="FF969696"/>
      <name val="B Nazanin"/>
      <charset val="178"/>
    </font>
    <font>
      <sz val="18"/>
      <color rgb="FF969696"/>
      <name val="B Nazanin"/>
      <charset val="178"/>
    </font>
    <font>
      <sz val="18"/>
      <color theme="1" tint="0.14999847407452621"/>
      <name val="B Nazanin"/>
      <charset val="178"/>
    </font>
    <font>
      <sz val="16"/>
      <color theme="1" tint="0.14999847407452621"/>
      <name val="B Nazanin"/>
      <charset val="178"/>
    </font>
    <font>
      <sz val="12"/>
      <color rgb="FF000000"/>
      <name val="B Nazanin"/>
      <charset val="178"/>
    </font>
    <font>
      <sz val="10"/>
      <color rgb="FF333333"/>
      <name val="IRANSans"/>
      <family val="2"/>
    </font>
    <font>
      <sz val="14"/>
      <color theme="2" tint="-0.749992370372631"/>
      <name val="B Nazanin"/>
      <charset val="178"/>
    </font>
    <font>
      <sz val="14"/>
      <color theme="5" tint="-0.249977111117893"/>
      <name val="B Nazanin"/>
      <charset val="178"/>
    </font>
    <font>
      <sz val="14"/>
      <color theme="2" tint="-0.249977111117893"/>
      <name val="B Nazanin"/>
      <charset val="178"/>
    </font>
    <font>
      <sz val="16"/>
      <color theme="2" tint="-0.249977111117893"/>
      <name val="B Nazanin"/>
      <charset val="178"/>
    </font>
    <font>
      <b/>
      <sz val="14"/>
      <color theme="2" tint="-0.249977111117893"/>
      <name val="B Nazanin"/>
      <charset val="178"/>
    </font>
    <font>
      <sz val="18"/>
      <color theme="2" tint="-0.249977111117893"/>
      <name val="B Nazanin"/>
      <charset val="178"/>
    </font>
    <font>
      <b/>
      <sz val="18"/>
      <color theme="2" tint="-0.249977111117893"/>
      <name val="B Nazanin"/>
      <charset val="178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" fillId="0" borderId="0"/>
  </cellStyleXfs>
  <cellXfs count="410">
    <xf numFmtId="0" fontId="0" fillId="0" borderId="0" xfId="0"/>
    <xf numFmtId="0" fontId="6" fillId="0" borderId="0" xfId="0" applyFont="1"/>
    <xf numFmtId="0" fontId="5" fillId="0" borderId="0" xfId="0" applyFont="1" applyAlignment="1">
      <alignment vertical="center" wrapText="1" readingOrder="2"/>
    </xf>
    <xf numFmtId="0" fontId="6" fillId="0" borderId="0" xfId="0" applyFont="1" applyAlignment="1">
      <alignment vertical="center" wrapText="1" readingOrder="2"/>
    </xf>
    <xf numFmtId="165" fontId="6" fillId="0" borderId="0" xfId="1" applyNumberFormat="1" applyFont="1"/>
    <xf numFmtId="0" fontId="6" fillId="0" borderId="0" xfId="0" applyFont="1" applyAlignment="1">
      <alignment horizontal="center" vertical="center" wrapText="1" readingOrder="2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4" xfId="0" applyFont="1" applyBorder="1"/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1" applyFo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8" fillId="0" borderId="0" xfId="1" applyNumberFormat="1" applyFont="1" applyAlignment="1">
      <alignment horizontal="center"/>
    </xf>
    <xf numFmtId="0" fontId="9" fillId="0" borderId="0" xfId="0" applyFont="1" applyAlignment="1">
      <alignment horizontal="center"/>
    </xf>
    <xf numFmtId="165" fontId="9" fillId="0" borderId="0" xfId="1" applyNumberFormat="1" applyFont="1"/>
    <xf numFmtId="0" fontId="8" fillId="0" borderId="0" xfId="0" applyFont="1" applyAlignment="1">
      <alignment horizontal="center" wrapText="1"/>
    </xf>
    <xf numFmtId="165" fontId="6" fillId="0" borderId="0" xfId="1" applyNumberFormat="1" applyFont="1" applyBorder="1" applyAlignment="1">
      <alignment horizontal="center" readingOrder="2"/>
    </xf>
    <xf numFmtId="169" fontId="6" fillId="0" borderId="0" xfId="1" applyNumberFormat="1" applyFont="1" applyBorder="1" applyAlignment="1">
      <alignment horizontal="center"/>
    </xf>
    <xf numFmtId="169" fontId="6" fillId="0" borderId="0" xfId="1" applyNumberFormat="1" applyFont="1" applyAlignment="1">
      <alignment horizontal="center"/>
    </xf>
    <xf numFmtId="169" fontId="6" fillId="0" borderId="0" xfId="1" applyNumberFormat="1" applyFont="1" applyBorder="1" applyAlignment="1">
      <alignment horizontal="center" wrapText="1" readingOrder="2"/>
    </xf>
    <xf numFmtId="169" fontId="6" fillId="0" borderId="0" xfId="1" applyNumberFormat="1" applyFont="1" applyAlignment="1">
      <alignment horizontal="center" wrapText="1" readingOrder="2"/>
    </xf>
    <xf numFmtId="10" fontId="6" fillId="0" borderId="0" xfId="2" applyNumberFormat="1" applyFont="1" applyBorder="1" applyAlignment="1">
      <alignment horizontal="center" vertical="center" wrapText="1" readingOrder="2"/>
    </xf>
    <xf numFmtId="165" fontId="6" fillId="0" borderId="2" xfId="1" applyNumberFormat="1" applyFont="1" applyBorder="1" applyAlignment="1">
      <alignment horizontal="center" vertical="center" wrapText="1" readingOrder="2"/>
    </xf>
    <xf numFmtId="9" fontId="6" fillId="0" borderId="2" xfId="0" applyNumberFormat="1" applyFont="1" applyBorder="1" applyAlignment="1">
      <alignment horizontal="center" vertical="center" wrapText="1" readingOrder="2"/>
    </xf>
    <xf numFmtId="0" fontId="6" fillId="0" borderId="1" xfId="0" applyFont="1" applyBorder="1"/>
    <xf numFmtId="0" fontId="5" fillId="0" borderId="1" xfId="0" applyFont="1" applyBorder="1" applyAlignment="1">
      <alignment vertical="center" wrapText="1" readingOrder="2"/>
    </xf>
    <xf numFmtId="0" fontId="6" fillId="0" borderId="0" xfId="0" applyFont="1" applyAlignment="1">
      <alignment horizontal="right" vertical="center" wrapText="1" readingOrder="2"/>
    </xf>
    <xf numFmtId="0" fontId="6" fillId="0" borderId="2" xfId="0" applyFont="1" applyBorder="1" applyAlignment="1">
      <alignment horizontal="center" vertical="center" readingOrder="2"/>
    </xf>
    <xf numFmtId="168" fontId="10" fillId="0" borderId="0" xfId="1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vertical="center" readingOrder="2"/>
    </xf>
    <xf numFmtId="168" fontId="10" fillId="0" borderId="2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right" vertical="center" wrapText="1" readingOrder="2"/>
    </xf>
    <xf numFmtId="10" fontId="10" fillId="0" borderId="0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right" vertical="center" wrapText="1" readingOrder="2"/>
    </xf>
    <xf numFmtId="168" fontId="10" fillId="0" borderId="2" xfId="1" applyNumberFormat="1" applyFont="1" applyBorder="1" applyAlignment="1">
      <alignment horizontal="center" vertical="center" wrapText="1" readingOrder="2"/>
    </xf>
    <xf numFmtId="168" fontId="6" fillId="0" borderId="0" xfId="0" applyNumberFormat="1" applyFont="1" applyAlignment="1">
      <alignment vertical="center" wrapText="1"/>
    </xf>
    <xf numFmtId="10" fontId="10" fillId="0" borderId="2" xfId="1" applyNumberFormat="1" applyFont="1" applyFill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 readingOrder="2"/>
    </xf>
    <xf numFmtId="168" fontId="10" fillId="0" borderId="0" xfId="1" applyNumberFormat="1" applyFont="1" applyBorder="1" applyAlignment="1">
      <alignment horizontal="center" vertical="center" wrapText="1" readingOrder="2"/>
    </xf>
    <xf numFmtId="10" fontId="6" fillId="0" borderId="0" xfId="2" applyNumberFormat="1" applyFont="1"/>
    <xf numFmtId="168" fontId="10" fillId="0" borderId="0" xfId="0" applyNumberFormat="1" applyFont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6" fillId="0" borderId="0" xfId="0" applyFont="1" applyAlignment="1">
      <alignment horizontal="center" vertical="center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wrapText="1" readingOrder="2"/>
    </xf>
    <xf numFmtId="0" fontId="6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 readingOrder="2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1" xfId="3" applyFont="1" applyBorder="1" applyAlignment="1">
      <alignment horizontal="center" vertical="center" wrapText="1" readingOrder="2"/>
    </xf>
    <xf numFmtId="172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 wrapText="1" readingOrder="2"/>
    </xf>
    <xf numFmtId="172" fontId="6" fillId="0" borderId="0" xfId="0" applyNumberFormat="1" applyFont="1" applyAlignment="1">
      <alignment horizontal="center" vertical="center" readingOrder="2"/>
    </xf>
    <xf numFmtId="172" fontId="18" fillId="0" borderId="2" xfId="1" applyNumberFormat="1" applyFont="1" applyFill="1" applyBorder="1" applyAlignment="1">
      <alignment horizontal="center" vertical="center" wrapText="1" readingOrder="2"/>
    </xf>
    <xf numFmtId="172" fontId="10" fillId="0" borderId="0" xfId="1" applyNumberFormat="1" applyFont="1" applyAlignment="1">
      <alignment horizontal="center" vertical="center" wrapText="1" readingOrder="2"/>
    </xf>
    <xf numFmtId="172" fontId="10" fillId="0" borderId="2" xfId="1" applyNumberFormat="1" applyFont="1" applyBorder="1" applyAlignment="1">
      <alignment horizontal="center" vertical="center" wrapText="1" readingOrder="2"/>
    </xf>
    <xf numFmtId="172" fontId="6" fillId="0" borderId="5" xfId="0" applyNumberFormat="1" applyFont="1" applyBorder="1" applyAlignment="1">
      <alignment horizontal="center" vertical="center" readingOrder="2"/>
    </xf>
    <xf numFmtId="172" fontId="6" fillId="0" borderId="4" xfId="0" applyNumberFormat="1" applyFont="1" applyBorder="1" applyAlignment="1">
      <alignment horizontal="center" vertical="center" readingOrder="2"/>
    </xf>
    <xf numFmtId="173" fontId="6" fillId="0" borderId="6" xfId="0" applyNumberFormat="1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 readingOrder="2"/>
    </xf>
    <xf numFmtId="0" fontId="16" fillId="0" borderId="0" xfId="0" applyFont="1" applyAlignment="1">
      <alignment horizontal="right" indent="2"/>
    </xf>
    <xf numFmtId="3" fontId="20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 readingOrder="2"/>
    </xf>
    <xf numFmtId="0" fontId="24" fillId="0" borderId="0" xfId="0" applyFont="1" applyAlignment="1">
      <alignment horizontal="center" vertical="center" wrapText="1" readingOrder="2"/>
    </xf>
    <xf numFmtId="0" fontId="24" fillId="0" borderId="3" xfId="0" applyFont="1" applyBorder="1" applyAlignment="1">
      <alignment horizontal="center" vertical="center" wrapText="1" readingOrder="2"/>
    </xf>
    <xf numFmtId="0" fontId="25" fillId="0" borderId="0" xfId="0" applyFont="1" applyAlignment="1">
      <alignment horizontal="center" vertical="center"/>
    </xf>
    <xf numFmtId="165" fontId="24" fillId="0" borderId="2" xfId="1" applyNumberFormat="1" applyFont="1" applyFill="1" applyBorder="1" applyAlignment="1">
      <alignment horizontal="center" vertical="center" readingOrder="2"/>
    </xf>
    <xf numFmtId="165" fontId="24" fillId="0" borderId="2" xfId="1" applyNumberFormat="1" applyFont="1" applyFill="1" applyBorder="1" applyAlignment="1">
      <alignment horizontal="center" vertical="center" wrapText="1" readingOrder="2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horizontal="center" vertical="center" readingOrder="2"/>
    </xf>
    <xf numFmtId="0" fontId="23" fillId="0" borderId="1" xfId="0" applyFont="1" applyBorder="1" applyAlignment="1">
      <alignment horizontal="center" vertical="center"/>
    </xf>
    <xf numFmtId="165" fontId="23" fillId="0" borderId="1" xfId="1" applyNumberFormat="1" applyFont="1" applyBorder="1" applyAlignment="1">
      <alignment horizontal="center" vertical="center"/>
    </xf>
    <xf numFmtId="165" fontId="24" fillId="0" borderId="0" xfId="1" applyNumberFormat="1" applyFont="1" applyFill="1" applyAlignment="1">
      <alignment horizontal="center" vertical="center" wrapText="1" readingOrder="2"/>
    </xf>
    <xf numFmtId="165" fontId="24" fillId="0" borderId="0" xfId="1" applyNumberFormat="1" applyFont="1" applyFill="1" applyAlignment="1">
      <alignment horizontal="center" vertical="center"/>
    </xf>
    <xf numFmtId="168" fontId="24" fillId="0" borderId="2" xfId="0" applyNumberFormat="1" applyFont="1" applyBorder="1" applyAlignment="1">
      <alignment horizontal="center" vertical="center" readingOrder="2"/>
    </xf>
    <xf numFmtId="168" fontId="24" fillId="0" borderId="3" xfId="0" applyNumberFormat="1" applyFont="1" applyBorder="1" applyAlignment="1">
      <alignment horizontal="center" vertical="center" readingOrder="2"/>
    </xf>
    <xf numFmtId="10" fontId="24" fillId="0" borderId="2" xfId="2" applyNumberFormat="1" applyFont="1" applyFill="1" applyBorder="1" applyAlignment="1">
      <alignment horizontal="center" vertical="center" readingOrder="2"/>
    </xf>
    <xf numFmtId="0" fontId="9" fillId="0" borderId="1" xfId="3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Alignment="1">
      <alignment vertical="center" wrapText="1"/>
    </xf>
    <xf numFmtId="165" fontId="10" fillId="0" borderId="0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 applyBorder="1" applyAlignment="1">
      <alignment horizontal="center" vertical="center"/>
    </xf>
    <xf numFmtId="172" fontId="10" fillId="0" borderId="2" xfId="1" applyNumberFormat="1" applyFont="1" applyFill="1" applyBorder="1" applyAlignment="1">
      <alignment horizontal="center" vertical="center" wrapText="1" readingOrder="2"/>
    </xf>
    <xf numFmtId="165" fontId="6" fillId="0" borderId="0" xfId="1" applyNumberFormat="1" applyFont="1" applyFill="1"/>
    <xf numFmtId="49" fontId="11" fillId="0" borderId="0" xfId="3" applyNumberFormat="1" applyFont="1" applyFill="1" applyAlignment="1">
      <alignment horizontal="center" vertical="center" readingOrder="2"/>
    </xf>
    <xf numFmtId="10" fontId="5" fillId="0" borderId="0" xfId="2" applyNumberFormat="1" applyFont="1" applyFill="1" applyAlignment="1">
      <alignment horizontal="center" vertical="center" readingOrder="2"/>
    </xf>
    <xf numFmtId="165" fontId="14" fillId="0" borderId="0" xfId="1" applyNumberFormat="1" applyFont="1" applyFill="1"/>
    <xf numFmtId="0" fontId="19" fillId="0" borderId="0" xfId="0" applyFont="1" applyAlignment="1">
      <alignment horizontal="right" vertical="center" indent="1" readingOrder="2"/>
    </xf>
    <xf numFmtId="172" fontId="30" fillId="0" borderId="2" xfId="1" applyNumberFormat="1" applyFont="1" applyFill="1" applyBorder="1" applyAlignment="1">
      <alignment horizontal="center" vertical="center" wrapText="1" readingOrder="2"/>
    </xf>
    <xf numFmtId="172" fontId="18" fillId="0" borderId="0" xfId="1" applyNumberFormat="1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center" readingOrder="2"/>
    </xf>
    <xf numFmtId="0" fontId="19" fillId="0" borderId="0" xfId="0" applyFont="1" applyAlignment="1">
      <alignment horizontal="right" vertical="center" indent="11" readingOrder="2"/>
    </xf>
    <xf numFmtId="172" fontId="30" fillId="0" borderId="0" xfId="1" applyNumberFormat="1" applyFont="1" applyFill="1" applyAlignment="1">
      <alignment horizontal="center" vertical="center" wrapText="1" readingOrder="2"/>
    </xf>
    <xf numFmtId="165" fontId="9" fillId="0" borderId="0" xfId="1" applyNumberFormat="1" applyFont="1" applyFill="1" applyAlignment="1">
      <alignment horizontal="center" vertical="center"/>
    </xf>
    <xf numFmtId="165" fontId="17" fillId="0" borderId="4" xfId="1" applyNumberFormat="1" applyFont="1" applyFill="1" applyBorder="1" applyAlignment="1">
      <alignment horizontal="center" vertical="center" wrapText="1" readingOrder="2"/>
    </xf>
    <xf numFmtId="165" fontId="38" fillId="0" borderId="0" xfId="1" applyNumberFormat="1" applyFont="1" applyFill="1" applyBorder="1" applyAlignment="1">
      <alignment horizontal="center" vertical="center" readingOrder="2"/>
    </xf>
    <xf numFmtId="165" fontId="17" fillId="0" borderId="0" xfId="1" applyNumberFormat="1" applyFont="1" applyFill="1" applyBorder="1" applyAlignment="1">
      <alignment horizontal="center" vertical="center" wrapText="1" readingOrder="2"/>
    </xf>
    <xf numFmtId="168" fontId="9" fillId="0" borderId="0" xfId="3" applyNumberFormat="1" applyFont="1" applyFill="1" applyBorder="1" applyAlignment="1">
      <alignment horizontal="center" vertical="center" wrapText="1" readingOrder="2"/>
    </xf>
    <xf numFmtId="10" fontId="9" fillId="0" borderId="0" xfId="2" applyNumberFormat="1" applyFont="1" applyFill="1" applyBorder="1" applyAlignment="1">
      <alignment horizontal="center" vertical="center" wrapText="1" readingOrder="2"/>
    </xf>
    <xf numFmtId="9" fontId="18" fillId="0" borderId="2" xfId="2" applyFont="1" applyFill="1" applyBorder="1" applyAlignment="1">
      <alignment horizontal="center" vertical="center" wrapText="1" readingOrder="2"/>
    </xf>
    <xf numFmtId="164" fontId="6" fillId="0" borderId="0" xfId="1" applyFont="1" applyFill="1"/>
    <xf numFmtId="0" fontId="7" fillId="0" borderId="1" xfId="3" applyFont="1" applyFill="1" applyBorder="1" applyAlignment="1">
      <alignment horizontal="center" vertical="center" wrapText="1" readingOrder="2"/>
    </xf>
    <xf numFmtId="165" fontId="6" fillId="0" borderId="1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 wrapText="1"/>
    </xf>
    <xf numFmtId="165" fontId="6" fillId="0" borderId="0" xfId="1" applyNumberFormat="1" applyFont="1" applyFill="1" applyBorder="1" applyAlignment="1">
      <alignment horizontal="center" vertical="center" wrapText="1"/>
    </xf>
    <xf numFmtId="172" fontId="10" fillId="0" borderId="0" xfId="1" applyNumberFormat="1" applyFont="1" applyFill="1" applyAlignment="1">
      <alignment horizontal="center" vertical="center" wrapText="1" readingOrder="2"/>
    </xf>
    <xf numFmtId="168" fontId="10" fillId="0" borderId="0" xfId="1" applyNumberFormat="1" applyFont="1" applyFill="1" applyAlignment="1">
      <alignment horizontal="center" vertical="center" wrapText="1" readingOrder="2"/>
    </xf>
    <xf numFmtId="165" fontId="32" fillId="0" borderId="0" xfId="1" applyNumberFormat="1" applyFont="1" applyFill="1"/>
    <xf numFmtId="165" fontId="6" fillId="0" borderId="0" xfId="1" applyNumberFormat="1" applyFont="1" applyFill="1" applyAlignment="1">
      <alignment horizontal="center" vertical="center"/>
    </xf>
    <xf numFmtId="10" fontId="9" fillId="0" borderId="0" xfId="2" applyNumberFormat="1" applyFont="1" applyFill="1" applyBorder="1" applyAlignment="1">
      <alignment horizontal="center" vertical="center" readingOrder="2"/>
    </xf>
    <xf numFmtId="172" fontId="25" fillId="0" borderId="0" xfId="1" applyNumberFormat="1" applyFont="1" applyFill="1" applyAlignment="1">
      <alignment horizontal="center" vertical="center" wrapText="1" readingOrder="2"/>
    </xf>
    <xf numFmtId="165" fontId="30" fillId="0" borderId="0" xfId="1" applyNumberFormat="1" applyFont="1" applyFill="1" applyBorder="1" applyAlignment="1">
      <alignment horizontal="center" vertical="center" wrapText="1" readingOrder="2"/>
    </xf>
    <xf numFmtId="165" fontId="12" fillId="0" borderId="0" xfId="1" applyNumberFormat="1" applyFont="1" applyFill="1" applyAlignment="1">
      <alignment horizontal="center" vertical="center" readingOrder="2"/>
    </xf>
    <xf numFmtId="10" fontId="9" fillId="0" borderId="15" xfId="2" applyNumberFormat="1" applyFont="1" applyFill="1" applyBorder="1" applyAlignment="1">
      <alignment horizontal="center" vertical="center" readingOrder="2"/>
    </xf>
    <xf numFmtId="3" fontId="5" fillId="0" borderId="0" xfId="1" applyNumberFormat="1" applyFont="1" applyFill="1" applyAlignment="1">
      <alignment vertical="center" readingOrder="2"/>
    </xf>
    <xf numFmtId="165" fontId="6" fillId="0" borderId="1" xfId="1" applyNumberFormat="1" applyFont="1" applyFill="1" applyBorder="1"/>
    <xf numFmtId="10" fontId="6" fillId="0" borderId="2" xfId="2" applyNumberFormat="1" applyFont="1" applyFill="1" applyBorder="1" applyAlignment="1">
      <alignment horizontal="center" vertical="center" wrapText="1" readingOrder="2"/>
    </xf>
    <xf numFmtId="165" fontId="38" fillId="0" borderId="0" xfId="1" applyNumberFormat="1" applyFont="1" applyFill="1" applyBorder="1" applyAlignment="1">
      <alignment vertical="center" readingOrder="2"/>
    </xf>
    <xf numFmtId="165" fontId="38" fillId="0" borderId="0" xfId="1" applyNumberFormat="1" applyFont="1" applyFill="1" applyAlignment="1">
      <alignment horizontal="center"/>
    </xf>
    <xf numFmtId="9" fontId="9" fillId="0" borderId="0" xfId="2" applyFont="1" applyFill="1" applyBorder="1" applyAlignment="1">
      <alignment horizontal="center" vertical="center" wrapText="1" readingOrder="2"/>
    </xf>
    <xf numFmtId="39" fontId="9" fillId="0" borderId="15" xfId="1" applyNumberFormat="1" applyFont="1" applyFill="1" applyBorder="1" applyAlignment="1">
      <alignment horizontal="center" vertical="center" readingOrder="2"/>
    </xf>
    <xf numFmtId="172" fontId="10" fillId="0" borderId="6" xfId="1" applyNumberFormat="1" applyFont="1" applyFill="1" applyBorder="1" applyAlignment="1">
      <alignment horizontal="center" vertical="center" wrapText="1" readingOrder="2"/>
    </xf>
    <xf numFmtId="9" fontId="10" fillId="0" borderId="0" xfId="2" applyFont="1" applyFill="1" applyAlignment="1">
      <alignment horizontal="center" vertical="center" wrapText="1" readingOrder="2"/>
    </xf>
    <xf numFmtId="9" fontId="10" fillId="0" borderId="2" xfId="2" applyFont="1" applyFill="1" applyBorder="1" applyAlignment="1">
      <alignment horizontal="center" vertical="center" wrapText="1" readingOrder="2"/>
    </xf>
    <xf numFmtId="165" fontId="38" fillId="0" borderId="6" xfId="1" applyNumberFormat="1" applyFont="1" applyFill="1" applyBorder="1" applyAlignment="1">
      <alignment horizontal="center" vertical="center" wrapText="1" readingOrder="2"/>
    </xf>
    <xf numFmtId="10" fontId="38" fillId="0" borderId="6" xfId="2" applyNumberFormat="1" applyFont="1" applyFill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 applyAlignment="1">
      <alignment horizontal="center" vertical="center" readingOrder="2"/>
    </xf>
    <xf numFmtId="0" fontId="37" fillId="0" borderId="0" xfId="0" applyFont="1" applyAlignment="1">
      <alignment horizontal="right" vertical="center" wrapText="1" readingOrder="2"/>
    </xf>
    <xf numFmtId="0" fontId="37" fillId="0" borderId="0" xfId="0" applyFont="1" applyAlignment="1">
      <alignment horizontal="center" vertical="center" wrapText="1" readingOrder="2"/>
    </xf>
    <xf numFmtId="0" fontId="38" fillId="0" borderId="0" xfId="0" applyFont="1" applyAlignment="1">
      <alignment horizontal="center" vertical="center"/>
    </xf>
    <xf numFmtId="0" fontId="38" fillId="0" borderId="12" xfId="0" applyFont="1" applyBorder="1" applyAlignment="1">
      <alignment horizontal="center" vertical="center" wrapText="1" readingOrder="2"/>
    </xf>
    <xf numFmtId="0" fontId="38" fillId="0" borderId="12" xfId="0" applyFont="1" applyBorder="1" applyAlignment="1">
      <alignment horizontal="center" vertical="center" readingOrder="2"/>
    </xf>
    <xf numFmtId="0" fontId="38" fillId="0" borderId="1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 wrapText="1" readingOrder="2"/>
    </xf>
    <xf numFmtId="0" fontId="38" fillId="0" borderId="8" xfId="0" applyFont="1" applyBorder="1" applyAlignment="1">
      <alignment horizontal="center" vertical="center" readingOrder="2"/>
    </xf>
    <xf numFmtId="0" fontId="38" fillId="0" borderId="8" xfId="0" applyFont="1" applyBorder="1" applyAlignment="1">
      <alignment horizontal="center" vertical="center" wrapText="1" readingOrder="2"/>
    </xf>
    <xf numFmtId="0" fontId="38" fillId="0" borderId="8" xfId="0" applyFont="1" applyBorder="1" applyAlignment="1">
      <alignment horizontal="center" vertical="center"/>
    </xf>
    <xf numFmtId="0" fontId="40" fillId="0" borderId="0" xfId="0" applyFont="1" applyAlignment="1">
      <alignment horizontal="right" vertical="center"/>
    </xf>
    <xf numFmtId="172" fontId="38" fillId="0" borderId="0" xfId="0" applyNumberFormat="1" applyFont="1" applyAlignment="1">
      <alignment horizontal="center" vertical="center" readingOrder="2"/>
    </xf>
    <xf numFmtId="0" fontId="38" fillId="0" borderId="0" xfId="0" applyFont="1" applyAlignment="1">
      <alignment horizontal="center" vertical="center" readingOrder="2"/>
    </xf>
    <xf numFmtId="10" fontId="38" fillId="0" borderId="0" xfId="0" applyNumberFormat="1" applyFont="1" applyAlignment="1">
      <alignment horizontal="center" vertical="center" wrapText="1" readingOrder="2"/>
    </xf>
    <xf numFmtId="3" fontId="38" fillId="0" borderId="0" xfId="0" applyNumberFormat="1" applyFont="1" applyAlignment="1">
      <alignment horizontal="center"/>
    </xf>
    <xf numFmtId="4" fontId="38" fillId="0" borderId="0" xfId="0" applyNumberFormat="1" applyFont="1" applyAlignment="1">
      <alignment horizontal="center"/>
    </xf>
    <xf numFmtId="172" fontId="38" fillId="0" borderId="0" xfId="0" applyNumberFormat="1" applyFont="1" applyAlignment="1">
      <alignment horizontal="center" vertical="center" wrapText="1" readingOrder="2"/>
    </xf>
    <xf numFmtId="10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right"/>
    </xf>
    <xf numFmtId="165" fontId="38" fillId="0" borderId="0" xfId="0" applyNumberFormat="1" applyFont="1" applyAlignment="1">
      <alignment horizontal="center"/>
    </xf>
    <xf numFmtId="165" fontId="41" fillId="0" borderId="0" xfId="0" applyNumberFormat="1" applyFont="1" applyAlignment="1">
      <alignment horizontal="center"/>
    </xf>
    <xf numFmtId="165" fontId="42" fillId="0" borderId="0" xfId="0" applyNumberFormat="1" applyFont="1" applyAlignment="1">
      <alignment horizontal="center"/>
    </xf>
    <xf numFmtId="43" fontId="38" fillId="0" borderId="0" xfId="0" applyNumberFormat="1" applyFont="1" applyAlignment="1">
      <alignment horizontal="center"/>
    </xf>
    <xf numFmtId="9" fontId="38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 readingOrder="2"/>
    </xf>
    <xf numFmtId="168" fontId="6" fillId="0" borderId="0" xfId="0" applyNumberFormat="1" applyFont="1" applyAlignment="1">
      <alignment horizontal="center" vertical="center" readingOrder="2"/>
    </xf>
    <xf numFmtId="0" fontId="6" fillId="0" borderId="0" xfId="0" applyFont="1" applyAlignment="1">
      <alignment horizontal="right" vertical="center" wrapText="1"/>
    </xf>
    <xf numFmtId="3" fontId="6" fillId="0" borderId="0" xfId="0" applyNumberFormat="1" applyFont="1"/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right" vertical="center"/>
    </xf>
    <xf numFmtId="3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horizontal="center" vertical="center"/>
    </xf>
    <xf numFmtId="0" fontId="6" fillId="0" borderId="7" xfId="0" applyFont="1" applyBorder="1"/>
    <xf numFmtId="165" fontId="6" fillId="0" borderId="0" xfId="0" applyNumberFormat="1" applyFont="1"/>
    <xf numFmtId="168" fontId="6" fillId="0" borderId="0" xfId="0" applyNumberFormat="1" applyFont="1"/>
    <xf numFmtId="0" fontId="12" fillId="0" borderId="0" xfId="0" applyFont="1" applyAlignment="1">
      <alignment horizontal="center" vertical="center" readingOrder="2"/>
    </xf>
    <xf numFmtId="172" fontId="6" fillId="0" borderId="0" xfId="0" applyNumberFormat="1" applyFont="1"/>
    <xf numFmtId="0" fontId="7" fillId="0" borderId="0" xfId="0" applyFont="1" applyAlignment="1">
      <alignment horizontal="right" indent="1"/>
    </xf>
    <xf numFmtId="0" fontId="7" fillId="0" borderId="0" xfId="0" applyFont="1" applyAlignment="1">
      <alignment horizontal="right" vertical="center" indent="1"/>
    </xf>
    <xf numFmtId="172" fontId="6" fillId="0" borderId="6" xfId="0" applyNumberFormat="1" applyFont="1" applyBorder="1" applyAlignment="1">
      <alignment horizontal="center" vertical="center" readingOrder="2"/>
    </xf>
    <xf numFmtId="0" fontId="15" fillId="0" borderId="0" xfId="0" applyFont="1"/>
    <xf numFmtId="3" fontId="6" fillId="0" borderId="6" xfId="0" applyNumberFormat="1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72" fontId="25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6" fillId="0" borderId="0" xfId="0" applyFont="1" applyAlignment="1">
      <alignment horizontal="right" vertical="center" indent="1"/>
    </xf>
    <xf numFmtId="0" fontId="26" fillId="0" borderId="0" xfId="0" applyFont="1" applyAlignment="1">
      <alignment horizontal="center" vertical="center"/>
    </xf>
    <xf numFmtId="168" fontId="9" fillId="0" borderId="15" xfId="0" applyNumberFormat="1" applyFont="1" applyBorder="1" applyAlignment="1">
      <alignment horizontal="center" vertical="center" readingOrder="2"/>
    </xf>
    <xf numFmtId="172" fontId="9" fillId="0" borderId="0" xfId="0" applyNumberFormat="1" applyFont="1" applyAlignment="1">
      <alignment horizontal="center" vertical="center" readingOrder="2"/>
    </xf>
    <xf numFmtId="39" fontId="9" fillId="0" borderId="15" xfId="0" applyNumberFormat="1" applyFont="1" applyBorder="1" applyAlignment="1">
      <alignment horizontal="center" vertical="center" readingOrder="2"/>
    </xf>
    <xf numFmtId="39" fontId="9" fillId="0" borderId="0" xfId="0" applyNumberFormat="1" applyFont="1" applyAlignment="1">
      <alignment horizontal="center" vertical="center" readingOrder="2"/>
    </xf>
    <xf numFmtId="168" fontId="9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center" vertical="center" wrapText="1"/>
    </xf>
    <xf numFmtId="172" fontId="6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72" fontId="24" fillId="0" borderId="0" xfId="0" applyNumberFormat="1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168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 wrapText="1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37" fontId="9" fillId="0" borderId="15" xfId="0" applyNumberFormat="1" applyFont="1" applyBorder="1" applyAlignment="1">
      <alignment horizontal="center" vertical="center" readingOrder="2"/>
    </xf>
    <xf numFmtId="37" fontId="9" fillId="0" borderId="0" xfId="0" applyNumberFormat="1" applyFont="1" applyAlignment="1">
      <alignment horizontal="center" vertical="center" readingOrder="2"/>
    </xf>
    <xf numFmtId="3" fontId="44" fillId="0" borderId="0" xfId="0" applyNumberFormat="1" applyFont="1" applyAlignment="1">
      <alignment horizontal="center" vertical="center"/>
    </xf>
    <xf numFmtId="170" fontId="9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3" fontId="33" fillId="0" borderId="0" xfId="0" applyNumberFormat="1" applyFont="1" applyAlignment="1">
      <alignment horizontal="center" vertical="center" wrapText="1"/>
    </xf>
    <xf numFmtId="172" fontId="45" fillId="0" borderId="0" xfId="0" applyNumberFormat="1" applyFont="1" applyAlignment="1">
      <alignment horizontal="center" vertical="center" readingOrder="2"/>
    </xf>
    <xf numFmtId="172" fontId="46" fillId="0" borderId="0" xfId="0" applyNumberFormat="1" applyFont="1" applyAlignment="1">
      <alignment horizontal="center" vertical="center" readingOrder="2"/>
    </xf>
    <xf numFmtId="3" fontId="21" fillId="0" borderId="0" xfId="0" applyNumberFormat="1" applyFont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3" fontId="36" fillId="0" borderId="0" xfId="0" applyNumberFormat="1" applyFont="1" applyAlignment="1">
      <alignment horizontal="center" vertical="center" wrapText="1"/>
    </xf>
    <xf numFmtId="3" fontId="10" fillId="0" borderId="0" xfId="0" applyNumberFormat="1" applyFont="1"/>
    <xf numFmtId="0" fontId="5" fillId="0" borderId="0" xfId="0" applyFont="1" applyAlignment="1">
      <alignment horizontal="right" vertical="center" readingOrder="2"/>
    </xf>
    <xf numFmtId="167" fontId="13" fillId="0" borderId="0" xfId="0" applyNumberFormat="1" applyFont="1" applyAlignment="1">
      <alignment horizontal="center" vertical="center" wrapText="1" readingOrder="2"/>
    </xf>
    <xf numFmtId="3" fontId="21" fillId="0" borderId="0" xfId="0" applyNumberFormat="1" applyFont="1"/>
    <xf numFmtId="0" fontId="14" fillId="0" borderId="0" xfId="0" applyFont="1"/>
    <xf numFmtId="171" fontId="13" fillId="0" borderId="2" xfId="0" applyNumberFormat="1" applyFont="1" applyBorder="1" applyAlignment="1">
      <alignment horizontal="center" vertical="center" wrapText="1" readingOrder="2"/>
    </xf>
    <xf numFmtId="10" fontId="5" fillId="0" borderId="2" xfId="0" applyNumberFormat="1" applyFont="1" applyBorder="1" applyAlignment="1">
      <alignment horizontal="center" vertical="center" readingOrder="1"/>
    </xf>
    <xf numFmtId="10" fontId="5" fillId="0" borderId="2" xfId="0" applyNumberFormat="1" applyFont="1" applyBorder="1" applyAlignment="1">
      <alignment horizontal="center" vertical="center" readingOrder="2"/>
    </xf>
    <xf numFmtId="171" fontId="6" fillId="0" borderId="0" xfId="0" applyNumberFormat="1" applyFont="1"/>
    <xf numFmtId="0" fontId="6" fillId="0" borderId="1" xfId="0" applyFont="1" applyBorder="1" applyAlignment="1">
      <alignment vertical="center" wrapText="1" readingOrder="2"/>
    </xf>
    <xf numFmtId="0" fontId="16" fillId="0" borderId="0" xfId="0" applyFont="1"/>
    <xf numFmtId="0" fontId="7" fillId="0" borderId="0" xfId="0" applyFont="1" applyAlignment="1">
      <alignment horizontal="center"/>
    </xf>
    <xf numFmtId="0" fontId="7" fillId="0" borderId="0" xfId="0" applyFont="1"/>
    <xf numFmtId="9" fontId="7" fillId="0" borderId="0" xfId="0" applyNumberFormat="1" applyFont="1" applyAlignment="1">
      <alignment horizontal="center"/>
    </xf>
    <xf numFmtId="10" fontId="7" fillId="0" borderId="0" xfId="0" applyNumberFormat="1" applyFont="1" applyAlignment="1">
      <alignment horizontal="center"/>
    </xf>
    <xf numFmtId="168" fontId="6" fillId="0" borderId="2" xfId="0" applyNumberFormat="1" applyFont="1" applyBorder="1" applyAlignment="1">
      <alignment horizontal="center" vertical="center" readingOrder="2"/>
    </xf>
    <xf numFmtId="3" fontId="6" fillId="0" borderId="0" xfId="0" applyNumberFormat="1" applyFont="1" applyAlignment="1">
      <alignment vertical="center" wrapText="1"/>
    </xf>
    <xf numFmtId="174" fontId="9" fillId="0" borderId="15" xfId="2" applyNumberFormat="1" applyFont="1" applyFill="1" applyBorder="1" applyAlignment="1">
      <alignment horizontal="center" vertical="center" readingOrder="2"/>
    </xf>
    <xf numFmtId="0" fontId="9" fillId="0" borderId="0" xfId="0" applyFont="1"/>
    <xf numFmtId="0" fontId="17" fillId="0" borderId="1" xfId="0" applyFont="1" applyBorder="1" applyAlignment="1">
      <alignment horizontal="right" vertical="center" wrapText="1" readingOrder="2"/>
    </xf>
    <xf numFmtId="0" fontId="17" fillId="0" borderId="0" xfId="0" applyFont="1" applyAlignment="1">
      <alignment vertical="center" wrapText="1" readingOrder="2"/>
    </xf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horizontal="right" vertical="center" wrapText="1"/>
    </xf>
    <xf numFmtId="0" fontId="9" fillId="0" borderId="0" xfId="0" applyFont="1" applyAlignment="1">
      <alignment horizontal="right" vertical="center" wrapText="1"/>
    </xf>
    <xf numFmtId="0" fontId="18" fillId="0" borderId="0" xfId="0" applyFont="1" applyAlignment="1">
      <alignment horizontal="right" vertical="center" wrapText="1" readingOrder="2"/>
    </xf>
    <xf numFmtId="168" fontId="18" fillId="0" borderId="6" xfId="1" applyNumberFormat="1" applyFont="1" applyFill="1" applyBorder="1" applyAlignment="1">
      <alignment horizontal="center" vertical="center" wrapText="1" readingOrder="2"/>
    </xf>
    <xf numFmtId="3" fontId="9" fillId="0" borderId="0" xfId="0" applyNumberFormat="1" applyFont="1"/>
    <xf numFmtId="3" fontId="45" fillId="2" borderId="0" xfId="0" applyNumberFormat="1" applyFont="1" applyFill="1" applyAlignment="1">
      <alignment horizontal="center"/>
    </xf>
    <xf numFmtId="165" fontId="47" fillId="2" borderId="0" xfId="1" applyNumberFormat="1" applyFont="1" applyFill="1" applyAlignment="1">
      <alignment horizontal="center"/>
    </xf>
    <xf numFmtId="3" fontId="48" fillId="0" borderId="0" xfId="0" applyNumberFormat="1" applyFont="1"/>
    <xf numFmtId="3" fontId="46" fillId="0" borderId="0" xfId="0" applyNumberFormat="1" applyFont="1"/>
    <xf numFmtId="172" fontId="34" fillId="0" borderId="0" xfId="1" applyNumberFormat="1" applyFont="1" applyFill="1" applyBorder="1" applyAlignment="1">
      <alignment horizontal="center" vertical="center" wrapText="1" readingOrder="2"/>
    </xf>
    <xf numFmtId="0" fontId="35" fillId="3" borderId="14" xfId="0" applyFont="1" applyFill="1" applyBorder="1" applyAlignment="1">
      <alignment horizontal="left" vertical="center" wrapText="1" shrinkToFit="1" readingOrder="2"/>
    </xf>
    <xf numFmtId="49" fontId="35" fillId="3" borderId="14" xfId="0" applyNumberFormat="1" applyFont="1" applyFill="1" applyBorder="1" applyAlignment="1">
      <alignment horizontal="right" vertical="center" wrapText="1" shrinkToFit="1" readingOrder="2"/>
    </xf>
    <xf numFmtId="0" fontId="35" fillId="3" borderId="14" xfId="0" applyFont="1" applyFill="1" applyBorder="1" applyAlignment="1">
      <alignment horizontal="right" vertical="center" wrapText="1" shrinkToFit="1" readingOrder="2"/>
    </xf>
    <xf numFmtId="3" fontId="35" fillId="3" borderId="14" xfId="0" applyNumberFormat="1" applyFont="1" applyFill="1" applyBorder="1" applyAlignment="1">
      <alignment horizontal="left" vertical="center" wrapText="1" shrinkToFit="1" readingOrder="2"/>
    </xf>
    <xf numFmtId="3" fontId="28" fillId="0" borderId="0" xfId="0" applyNumberFormat="1" applyFont="1" applyAlignment="1">
      <alignment horizontal="center" vertical="center"/>
    </xf>
    <xf numFmtId="165" fontId="46" fillId="0" borderId="0" xfId="1" applyNumberFormat="1" applyFont="1" applyFill="1"/>
    <xf numFmtId="172" fontId="30" fillId="4" borderId="0" xfId="1" applyNumberFormat="1" applyFont="1" applyFill="1" applyAlignment="1">
      <alignment horizontal="center" vertical="center" wrapText="1" readingOrder="2"/>
    </xf>
    <xf numFmtId="165" fontId="6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172" fontId="43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 wrapText="1"/>
    </xf>
    <xf numFmtId="172" fontId="10" fillId="0" borderId="0" xfId="1" applyNumberFormat="1" applyFont="1" applyFill="1" applyBorder="1" applyAlignment="1">
      <alignment horizontal="center" vertical="center" wrapText="1" readingOrder="2"/>
    </xf>
    <xf numFmtId="172" fontId="38" fillId="0" borderId="6" xfId="0" applyNumberFormat="1" applyFont="1" applyBorder="1" applyAlignment="1">
      <alignment horizontal="center" vertical="center" readingOrder="2"/>
    </xf>
    <xf numFmtId="3" fontId="49" fillId="0" borderId="0" xfId="0" applyNumberFormat="1" applyFont="1"/>
    <xf numFmtId="0" fontId="50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 vertical="center"/>
    </xf>
    <xf numFmtId="172" fontId="52" fillId="0" borderId="0" xfId="0" applyNumberFormat="1" applyFont="1" applyAlignment="1">
      <alignment horizontal="center" vertical="center" readingOrder="2"/>
    </xf>
    <xf numFmtId="165" fontId="52" fillId="0" borderId="0" xfId="0" applyNumberFormat="1" applyFont="1" applyAlignment="1">
      <alignment horizontal="center" vertical="center"/>
    </xf>
    <xf numFmtId="165" fontId="52" fillId="0" borderId="0" xfId="1" applyNumberFormat="1" applyFont="1" applyFill="1" applyAlignment="1">
      <alignment horizontal="center" vertical="center"/>
    </xf>
    <xf numFmtId="3" fontId="45" fillId="0" borderId="0" xfId="0" applyNumberFormat="1" applyFont="1" applyAlignment="1">
      <alignment horizontal="center"/>
    </xf>
    <xf numFmtId="165" fontId="45" fillId="0" borderId="0" xfId="1" applyNumberFormat="1" applyFont="1" applyFill="1" applyAlignment="1">
      <alignment horizontal="center"/>
    </xf>
    <xf numFmtId="3" fontId="47" fillId="0" borderId="0" xfId="0" applyNumberFormat="1" applyFont="1" applyAlignment="1">
      <alignment horizontal="center"/>
    </xf>
    <xf numFmtId="165" fontId="47" fillId="0" borderId="0" xfId="0" applyNumberFormat="1" applyFont="1" applyAlignment="1">
      <alignment horizontal="center"/>
    </xf>
    <xf numFmtId="0" fontId="45" fillId="0" borderId="0" xfId="0" applyFont="1" applyAlignment="1">
      <alignment horizontal="center"/>
    </xf>
    <xf numFmtId="0" fontId="46" fillId="0" borderId="0" xfId="0" applyFont="1"/>
    <xf numFmtId="165" fontId="46" fillId="0" borderId="0" xfId="0" applyNumberFormat="1" applyFont="1"/>
    <xf numFmtId="168" fontId="46" fillId="0" borderId="0" xfId="0" applyNumberFormat="1" applyFont="1"/>
    <xf numFmtId="3" fontId="44" fillId="0" borderId="0" xfId="0" applyNumberFormat="1" applyFont="1"/>
    <xf numFmtId="168" fontId="44" fillId="0" borderId="0" xfId="0" applyNumberFormat="1" applyFont="1" applyAlignment="1">
      <alignment horizontal="center" vertical="center" readingOrder="2"/>
    </xf>
    <xf numFmtId="0" fontId="9" fillId="0" borderId="0" xfId="0" applyFont="1" applyAlignment="1">
      <alignment horizontal="right" vertical="center" indent="1"/>
    </xf>
    <xf numFmtId="0" fontId="9" fillId="0" borderId="1" xfId="0" applyFont="1" applyBorder="1" applyAlignment="1">
      <alignment horizontal="right" vertical="center" indent="1"/>
    </xf>
    <xf numFmtId="3" fontId="54" fillId="0" borderId="0" xfId="0" applyNumberFormat="1" applyFont="1"/>
    <xf numFmtId="165" fontId="46" fillId="0" borderId="0" xfId="1" applyNumberFormat="1" applyFont="1" applyFill="1" applyAlignment="1">
      <alignment horizontal="center" vertical="center"/>
    </xf>
    <xf numFmtId="165" fontId="44" fillId="0" borderId="0" xfId="1" applyNumberFormat="1" applyFont="1" applyFill="1" applyAlignment="1">
      <alignment horizontal="center" vertical="center"/>
    </xf>
    <xf numFmtId="168" fontId="9" fillId="0" borderId="0" xfId="0" applyNumberFormat="1" applyFont="1"/>
    <xf numFmtId="165" fontId="55" fillId="2" borderId="0" xfId="1" applyNumberFormat="1" applyFont="1" applyFill="1" applyAlignment="1">
      <alignment horizontal="center" vertical="center"/>
    </xf>
    <xf numFmtId="165" fontId="32" fillId="6" borderId="0" xfId="1" applyNumberFormat="1" applyFont="1" applyFill="1" applyAlignment="1">
      <alignment horizontal="center" vertical="center"/>
    </xf>
    <xf numFmtId="172" fontId="44" fillId="0" borderId="0" xfId="0" applyNumberFormat="1" applyFont="1" applyAlignment="1">
      <alignment horizontal="center" vertical="center" readingOrder="2"/>
    </xf>
    <xf numFmtId="172" fontId="9" fillId="0" borderId="0" xfId="1" applyNumberFormat="1" applyFont="1" applyFill="1" applyBorder="1" applyAlignment="1">
      <alignment horizontal="center" vertical="center" wrapText="1" readingOrder="2"/>
    </xf>
    <xf numFmtId="172" fontId="9" fillId="0" borderId="0" xfId="0" applyNumberFormat="1" applyFont="1" applyAlignment="1">
      <alignment horizontal="center" vertical="center" wrapText="1"/>
    </xf>
    <xf numFmtId="165" fontId="56" fillId="4" borderId="0" xfId="0" applyNumberFormat="1" applyFont="1" applyFill="1" applyAlignment="1">
      <alignment horizontal="center" vertical="center"/>
    </xf>
    <xf numFmtId="171" fontId="13" fillId="0" borderId="0" xfId="0" applyNumberFormat="1" applyFont="1" applyAlignment="1">
      <alignment horizontal="center" vertical="center" wrapText="1" readingOrder="2"/>
    </xf>
    <xf numFmtId="0" fontId="57" fillId="0" borderId="0" xfId="0" applyFont="1"/>
    <xf numFmtId="0" fontId="57" fillId="0" borderId="0" xfId="0" applyFont="1" applyAlignment="1">
      <alignment horizontal="center" vertical="center"/>
    </xf>
    <xf numFmtId="165" fontId="58" fillId="0" borderId="0" xfId="1" applyNumberFormat="1" applyFont="1" applyFill="1" applyAlignment="1">
      <alignment horizontal="center" vertical="center"/>
    </xf>
    <xf numFmtId="0" fontId="59" fillId="0" borderId="0" xfId="0" applyFont="1" applyAlignment="1">
      <alignment vertical="center" readingOrder="2"/>
    </xf>
    <xf numFmtId="3" fontId="57" fillId="0" borderId="0" xfId="0" applyNumberFormat="1" applyFont="1"/>
    <xf numFmtId="167" fontId="57" fillId="0" borderId="0" xfId="0" applyNumberFormat="1" applyFont="1"/>
    <xf numFmtId="165" fontId="58" fillId="5" borderId="0" xfId="1" applyNumberFormat="1" applyFont="1" applyFill="1" applyAlignment="1">
      <alignment horizontal="center" vertical="center"/>
    </xf>
    <xf numFmtId="0" fontId="60" fillId="0" borderId="0" xfId="0" applyFont="1" applyAlignment="1">
      <alignment horizontal="center"/>
    </xf>
    <xf numFmtId="3" fontId="60" fillId="0" borderId="0" xfId="0" applyNumberFormat="1" applyFont="1" applyAlignment="1">
      <alignment horizontal="center"/>
    </xf>
    <xf numFmtId="3" fontId="61" fillId="0" borderId="0" xfId="0" applyNumberFormat="1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38" fillId="0" borderId="11" xfId="0" applyFont="1" applyBorder="1" applyAlignment="1">
      <alignment horizontal="center" vertical="center" wrapText="1" readingOrder="2"/>
    </xf>
    <xf numFmtId="0" fontId="38" fillId="0" borderId="9" xfId="0" applyFont="1" applyBorder="1" applyAlignment="1">
      <alignment horizontal="center" vertical="center" wrapText="1" readingOrder="2"/>
    </xf>
    <xf numFmtId="0" fontId="38" fillId="0" borderId="1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 wrapText="1" readingOrder="2"/>
    </xf>
    <xf numFmtId="0" fontId="38" fillId="0" borderId="8" xfId="0" applyFont="1" applyBorder="1" applyAlignment="1">
      <alignment horizontal="center" vertical="center" wrapText="1" readingOrder="2"/>
    </xf>
    <xf numFmtId="165" fontId="38" fillId="0" borderId="12" xfId="1" applyNumberFormat="1" applyFont="1" applyFill="1" applyBorder="1" applyAlignment="1">
      <alignment horizontal="center" vertical="center" readingOrder="2"/>
    </xf>
    <xf numFmtId="165" fontId="38" fillId="0" borderId="8" xfId="1" applyNumberFormat="1" applyFont="1" applyFill="1" applyBorder="1" applyAlignment="1">
      <alignment horizontal="center" vertical="center" readingOrder="2"/>
    </xf>
    <xf numFmtId="0" fontId="38" fillId="0" borderId="12" xfId="0" applyFont="1" applyBorder="1" applyAlignment="1">
      <alignment horizontal="center" vertical="center" readingOrder="2"/>
    </xf>
    <xf numFmtId="0" fontId="38" fillId="0" borderId="8" xfId="0" applyFont="1" applyBorder="1" applyAlignment="1">
      <alignment horizontal="center" vertical="center" readingOrder="2"/>
    </xf>
    <xf numFmtId="0" fontId="39" fillId="0" borderId="0" xfId="0" applyFont="1" applyAlignment="1">
      <alignment horizontal="right" vertical="center" readingOrder="2"/>
    </xf>
    <xf numFmtId="0" fontId="38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 wrapText="1" readingOrder="2"/>
    </xf>
    <xf numFmtId="0" fontId="38" fillId="0" borderId="13" xfId="0" applyFont="1" applyBorder="1" applyAlignment="1">
      <alignment horizontal="center" vertical="center" wrapText="1" readingOrder="2"/>
    </xf>
    <xf numFmtId="0" fontId="38" fillId="0" borderId="10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readingOrder="2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 readingOrder="2"/>
    </xf>
    <xf numFmtId="0" fontId="6" fillId="0" borderId="1" xfId="0" applyFont="1" applyBorder="1" applyAlignment="1">
      <alignment horizontal="center" vertical="center" wrapText="1" readingOrder="2"/>
    </xf>
    <xf numFmtId="0" fontId="6" fillId="0" borderId="2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center" vertical="center" readingOrder="2"/>
    </xf>
    <xf numFmtId="0" fontId="6" fillId="0" borderId="1" xfId="0" applyFont="1" applyBorder="1" applyAlignment="1">
      <alignment horizontal="center" vertical="center" readingOrder="2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 wrapText="1" readingOrder="2"/>
    </xf>
    <xf numFmtId="0" fontId="5" fillId="0" borderId="3" xfId="0" applyFont="1" applyBorder="1" applyAlignment="1">
      <alignment horizontal="center" vertical="center" wrapText="1" readingOrder="2"/>
    </xf>
    <xf numFmtId="0" fontId="5" fillId="0" borderId="0" xfId="0" applyFont="1" applyAlignment="1">
      <alignment horizontal="center" vertical="center" readingOrder="2"/>
    </xf>
    <xf numFmtId="0" fontId="5" fillId="0" borderId="1" xfId="0" applyFont="1" applyBorder="1" applyAlignment="1">
      <alignment horizontal="center" vertical="center" readingOrder="2"/>
    </xf>
    <xf numFmtId="0" fontId="5" fillId="0" borderId="3" xfId="0" applyFont="1" applyBorder="1" applyAlignment="1">
      <alignment horizontal="center" vertical="center" readingOrder="2"/>
    </xf>
    <xf numFmtId="0" fontId="22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 wrapText="1" readingOrder="2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 wrapText="1" readingOrder="2"/>
    </xf>
    <xf numFmtId="0" fontId="23" fillId="0" borderId="3" xfId="0" applyFont="1" applyBorder="1" applyAlignment="1">
      <alignment horizontal="center" vertical="center" readingOrder="2"/>
    </xf>
    <xf numFmtId="0" fontId="23" fillId="0" borderId="1" xfId="0" applyFont="1" applyBorder="1" applyAlignment="1">
      <alignment horizontal="center" vertical="center" readingOrder="2"/>
    </xf>
    <xf numFmtId="165" fontId="23" fillId="0" borderId="3" xfId="1" applyNumberFormat="1" applyFont="1" applyBorder="1" applyAlignment="1">
      <alignment horizontal="center" vertical="center" wrapText="1" readingOrder="2"/>
    </xf>
    <xf numFmtId="165" fontId="23" fillId="0" borderId="1" xfId="1" applyNumberFormat="1" applyFont="1" applyBorder="1" applyAlignment="1">
      <alignment horizontal="center" vertical="center" wrapText="1" readingOrder="2"/>
    </xf>
    <xf numFmtId="165" fontId="6" fillId="0" borderId="3" xfId="1" applyNumberFormat="1" applyFont="1" applyFill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4" readingOrder="2"/>
    </xf>
    <xf numFmtId="0" fontId="6" fillId="0" borderId="3" xfId="0" applyFont="1" applyBorder="1" applyAlignment="1">
      <alignment horizontal="center" vertical="center" readingOrder="2"/>
    </xf>
    <xf numFmtId="0" fontId="6" fillId="0" borderId="0" xfId="0" applyFont="1" applyAlignment="1">
      <alignment horizontal="right" vertical="center" wrapText="1" indent="4" readingOrder="2"/>
    </xf>
    <xf numFmtId="0" fontId="6" fillId="0" borderId="1" xfId="0" applyFont="1" applyBorder="1" applyAlignment="1">
      <alignment horizontal="right" vertical="center" wrapText="1" indent="4" readingOrder="2"/>
    </xf>
    <xf numFmtId="0" fontId="5" fillId="0" borderId="0" xfId="0" applyFont="1" applyAlignment="1">
      <alignment horizontal="center" vertical="center"/>
    </xf>
    <xf numFmtId="0" fontId="53" fillId="0" borderId="0" xfId="0" applyFont="1" applyAlignment="1">
      <alignment horizontal="right" vertical="top"/>
    </xf>
    <xf numFmtId="0" fontId="8" fillId="0" borderId="0" xfId="0" applyFont="1" applyAlignment="1">
      <alignment horizontal="center" vertical="center" wrapText="1" readingOrder="2"/>
    </xf>
    <xf numFmtId="0" fontId="9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 readingOrder="2"/>
    </xf>
    <xf numFmtId="0" fontId="17" fillId="0" borderId="1" xfId="0" applyFont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readingOrder="2"/>
    </xf>
    <xf numFmtId="0" fontId="19" fillId="0" borderId="0" xfId="0" applyFont="1" applyAlignment="1">
      <alignment horizontal="right" vertical="center" indent="1" readingOrder="2"/>
    </xf>
    <xf numFmtId="0" fontId="9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165" fontId="5" fillId="0" borderId="0" xfId="1" applyNumberFormat="1" applyFont="1" applyFill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 indent="1" readingOrder="2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 readingOrder="2"/>
    </xf>
    <xf numFmtId="49" fontId="5" fillId="0" borderId="0" xfId="0" applyNumberFormat="1" applyFont="1" applyAlignment="1">
      <alignment horizontal="center"/>
    </xf>
    <xf numFmtId="0" fontId="13" fillId="0" borderId="3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2" fillId="0" borderId="0" xfId="0" applyFont="1" applyAlignment="1">
      <alignment horizontal="right" vertical="center" indent="2" readingOrder="2"/>
    </xf>
    <xf numFmtId="0" fontId="6" fillId="0" borderId="3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3" fillId="0" borderId="4" xfId="0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9" fillId="0" borderId="0" xfId="0" applyFont="1" applyAlignment="1">
      <alignment horizontal="right" vertical="center" readingOrder="2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3" xfId="5" xr:uid="{23A15493-215C-443C-8E6F-2BB3F9E50FDC}"/>
    <cellStyle name="Percent" xfId="2" builtinId="5"/>
  </cellStyles>
  <dxfs count="0"/>
  <tableStyles count="0" defaultTableStyle="TableStyleMedium2" defaultPivotStyle="PivotStyleLight16"/>
  <colors>
    <mruColors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H119"/>
  <sheetViews>
    <sheetView rightToLeft="1" view="pageBreakPreview" topLeftCell="A57" zoomScale="70" zoomScaleNormal="40" zoomScaleSheetLayoutView="70" zoomScalePageLayoutView="10" workbookViewId="0">
      <selection activeCell="B18" sqref="B18"/>
    </sheetView>
  </sheetViews>
  <sheetFormatPr defaultColWidth="9.140625" defaultRowHeight="27.75" x14ac:dyDescent="0.65"/>
  <cols>
    <col min="1" max="1" width="3.7109375" style="141" customWidth="1"/>
    <col min="2" max="2" width="39.140625" style="161" customWidth="1"/>
    <col min="3" max="3" width="0.7109375" style="141" customWidth="1"/>
    <col min="4" max="4" width="21.5703125" style="141" bestFit="1" customWidth="1"/>
    <col min="5" max="5" width="0.7109375" style="141" customWidth="1"/>
    <col min="6" max="6" width="28" style="128" customWidth="1"/>
    <col min="7" max="7" width="0.85546875" style="141" customWidth="1"/>
    <col min="8" max="8" width="27.140625" style="141" customWidth="1"/>
    <col min="9" max="9" width="30.140625" style="141" hidden="1" customWidth="1"/>
    <col min="10" max="10" width="19.140625" style="141" bestFit="1" customWidth="1"/>
    <col min="11" max="11" width="1" style="141" customWidth="1"/>
    <col min="12" max="12" width="27.140625" style="141" bestFit="1" customWidth="1"/>
    <col min="13" max="13" width="1.28515625" style="141" customWidth="1"/>
    <col min="14" max="14" width="19" style="141" customWidth="1"/>
    <col min="15" max="15" width="1" style="141" customWidth="1"/>
    <col min="16" max="16" width="27.28515625" style="141" bestFit="1" customWidth="1"/>
    <col min="17" max="17" width="0.7109375" style="141" customWidth="1"/>
    <col min="18" max="18" width="21.42578125" style="128" bestFit="1" customWidth="1"/>
    <col min="19" max="19" width="1" style="141" customWidth="1"/>
    <col min="20" max="20" width="18.140625" style="141" customWidth="1"/>
    <col min="21" max="21" width="1.5703125" style="141" customWidth="1"/>
    <col min="22" max="22" width="25.85546875" style="128" customWidth="1"/>
    <col min="23" max="23" width="1.42578125" style="141" customWidth="1"/>
    <col min="24" max="24" width="26.28515625" style="141" customWidth="1"/>
    <col min="25" max="25" width="1.28515625" style="141" customWidth="1"/>
    <col min="26" max="26" width="26.42578125" style="141" bestFit="1" customWidth="1"/>
    <col min="27" max="27" width="7.28515625" style="141" customWidth="1"/>
    <col min="28" max="28" width="9.140625" style="141"/>
    <col min="29" max="29" width="39.42578125" style="141" bestFit="1" customWidth="1"/>
    <col min="30" max="30" width="12.140625" style="141" bestFit="1" customWidth="1"/>
    <col min="31" max="32" width="30" style="141" bestFit="1" customWidth="1"/>
    <col min="33" max="33" width="12.28515625" style="141" bestFit="1" customWidth="1"/>
    <col min="34" max="16384" width="9.140625" style="141"/>
  </cols>
  <sheetData>
    <row r="1" spans="2:34" ht="30" x14ac:dyDescent="0.75">
      <c r="B1" s="323" t="s">
        <v>104</v>
      </c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140"/>
    </row>
    <row r="2" spans="2:34" ht="30" x14ac:dyDescent="0.75">
      <c r="B2" s="323" t="s">
        <v>82</v>
      </c>
      <c r="C2" s="323"/>
      <c r="D2" s="323"/>
      <c r="E2" s="323"/>
      <c r="F2" s="323"/>
      <c r="G2" s="323"/>
      <c r="H2" s="323"/>
      <c r="I2" s="323"/>
      <c r="J2" s="323"/>
      <c r="K2" s="323"/>
      <c r="L2" s="323"/>
      <c r="M2" s="323"/>
      <c r="N2" s="323"/>
      <c r="O2" s="323"/>
      <c r="P2" s="323"/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140"/>
      <c r="AC2" s="285"/>
    </row>
    <row r="3" spans="2:34" ht="30" x14ac:dyDescent="0.75">
      <c r="B3" s="323" t="str">
        <f>AC6</f>
        <v>برای ماه منتهی به 1404/07/30</v>
      </c>
      <c r="C3" s="323"/>
      <c r="D3" s="323"/>
      <c r="E3" s="323"/>
      <c r="F3" s="323"/>
      <c r="G3" s="323"/>
      <c r="H3" s="323"/>
      <c r="I3" s="323"/>
      <c r="J3" s="323"/>
      <c r="K3" s="323"/>
      <c r="L3" s="323"/>
      <c r="M3" s="323"/>
      <c r="N3" s="323"/>
      <c r="O3" s="323"/>
      <c r="P3" s="323"/>
      <c r="Q3" s="323"/>
      <c r="R3" s="323"/>
      <c r="S3" s="323"/>
      <c r="T3" s="323"/>
      <c r="U3" s="323"/>
      <c r="V3" s="323"/>
      <c r="W3" s="323"/>
      <c r="X3" s="323"/>
      <c r="Y3" s="323"/>
      <c r="Z3" s="323"/>
      <c r="AA3" s="140"/>
      <c r="AC3" s="320"/>
      <c r="AD3" s="320"/>
    </row>
    <row r="4" spans="2:34" ht="36.75" customHeight="1" x14ac:dyDescent="0.65">
      <c r="B4" s="333" t="s">
        <v>38</v>
      </c>
      <c r="C4" s="333"/>
      <c r="D4" s="333"/>
      <c r="E4" s="333"/>
      <c r="F4" s="333"/>
      <c r="G4" s="333"/>
      <c r="H4" s="333"/>
      <c r="I4" s="333"/>
      <c r="J4" s="333"/>
      <c r="K4" s="333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142"/>
      <c r="AC4" s="320" t="s">
        <v>236</v>
      </c>
      <c r="AD4" s="320"/>
    </row>
    <row r="5" spans="2:34" ht="30" x14ac:dyDescent="0.65">
      <c r="B5" s="333" t="s">
        <v>39</v>
      </c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142"/>
      <c r="AC5" s="320" t="s">
        <v>249</v>
      </c>
      <c r="AD5" s="320"/>
    </row>
    <row r="6" spans="2:34" ht="30" x14ac:dyDescent="0.65">
      <c r="B6" s="143"/>
      <c r="C6" s="144"/>
      <c r="D6" s="335" t="str">
        <f>AC4</f>
        <v>1404/06/31</v>
      </c>
      <c r="E6" s="335"/>
      <c r="F6" s="335"/>
      <c r="G6" s="335"/>
      <c r="H6" s="335"/>
      <c r="I6" s="144"/>
      <c r="J6" s="334" t="s">
        <v>16</v>
      </c>
      <c r="K6" s="334"/>
      <c r="L6" s="334"/>
      <c r="M6" s="334"/>
      <c r="N6" s="334"/>
      <c r="O6" s="334"/>
      <c r="P6" s="334"/>
      <c r="Q6" s="145"/>
      <c r="R6" s="335" t="str">
        <f>AC5</f>
        <v>1404/07/30</v>
      </c>
      <c r="S6" s="335"/>
      <c r="T6" s="335"/>
      <c r="U6" s="335"/>
      <c r="V6" s="335"/>
      <c r="W6" s="335"/>
      <c r="X6" s="335"/>
      <c r="Y6" s="335"/>
      <c r="Z6" s="335"/>
      <c r="AA6" s="144"/>
      <c r="AC6" s="320" t="s">
        <v>250</v>
      </c>
      <c r="AD6" s="320"/>
    </row>
    <row r="7" spans="2:34" x14ac:dyDescent="0.65">
      <c r="B7" s="324" t="s">
        <v>5</v>
      </c>
      <c r="C7" s="146"/>
      <c r="D7" s="331" t="s">
        <v>8</v>
      </c>
      <c r="E7" s="327"/>
      <c r="F7" s="329" t="s">
        <v>3</v>
      </c>
      <c r="G7" s="327"/>
      <c r="H7" s="327" t="s">
        <v>33</v>
      </c>
      <c r="I7" s="147"/>
      <c r="J7" s="326" t="s">
        <v>9</v>
      </c>
      <c r="K7" s="326"/>
      <c r="L7" s="326"/>
      <c r="M7" s="148"/>
      <c r="N7" s="326" t="s">
        <v>10</v>
      </c>
      <c r="O7" s="326"/>
      <c r="P7" s="326"/>
      <c r="Q7" s="148"/>
      <c r="R7" s="329" t="s">
        <v>8</v>
      </c>
      <c r="S7" s="327"/>
      <c r="T7" s="327" t="s">
        <v>43</v>
      </c>
      <c r="U7" s="146"/>
      <c r="V7" s="329" t="s">
        <v>3</v>
      </c>
      <c r="W7" s="327"/>
      <c r="X7" s="327" t="s">
        <v>33</v>
      </c>
      <c r="Y7" s="147"/>
      <c r="Z7" s="336" t="s">
        <v>36</v>
      </c>
      <c r="AA7" s="149"/>
      <c r="AC7" s="320" t="s">
        <v>251</v>
      </c>
      <c r="AD7" s="320"/>
    </row>
    <row r="8" spans="2:34" x14ac:dyDescent="0.65">
      <c r="B8" s="325"/>
      <c r="C8" s="149"/>
      <c r="D8" s="332"/>
      <c r="E8" s="328"/>
      <c r="F8" s="330"/>
      <c r="G8" s="328"/>
      <c r="H8" s="328"/>
      <c r="I8" s="150"/>
      <c r="J8" s="152" t="s">
        <v>8</v>
      </c>
      <c r="K8" s="152"/>
      <c r="L8" s="152" t="s">
        <v>3</v>
      </c>
      <c r="M8" s="152"/>
      <c r="N8" s="152" t="s">
        <v>8</v>
      </c>
      <c r="O8" s="152"/>
      <c r="P8" s="152" t="s">
        <v>81</v>
      </c>
      <c r="Q8" s="152"/>
      <c r="R8" s="330"/>
      <c r="S8" s="328"/>
      <c r="T8" s="328"/>
      <c r="U8" s="151"/>
      <c r="V8" s="330"/>
      <c r="W8" s="328"/>
      <c r="X8" s="328"/>
      <c r="Y8" s="150"/>
      <c r="Z8" s="337"/>
      <c r="AA8" s="149"/>
      <c r="AC8" s="320" t="s">
        <v>252</v>
      </c>
      <c r="AD8" s="320"/>
    </row>
    <row r="9" spans="2:34" ht="41.25" customHeight="1" x14ac:dyDescent="0.65">
      <c r="B9" s="153" t="s">
        <v>183</v>
      </c>
      <c r="C9" s="149"/>
      <c r="D9" s="154">
        <v>14000000</v>
      </c>
      <c r="E9" s="105"/>
      <c r="F9" s="154">
        <v>95486198330</v>
      </c>
      <c r="G9" s="105"/>
      <c r="H9" s="154">
        <v>70418502000</v>
      </c>
      <c r="I9" s="105">
        <v>124544524500</v>
      </c>
      <c r="J9" s="105">
        <v>0</v>
      </c>
      <c r="K9" s="127"/>
      <c r="L9" s="105">
        <v>0</v>
      </c>
      <c r="M9" s="105"/>
      <c r="N9" s="154">
        <v>-14000000</v>
      </c>
      <c r="O9" s="154"/>
      <c r="P9" s="154">
        <v>71684704000</v>
      </c>
      <c r="Q9" s="154"/>
      <c r="R9" s="154">
        <v>0</v>
      </c>
      <c r="S9" s="154"/>
      <c r="T9" s="154">
        <v>0</v>
      </c>
      <c r="U9" s="154"/>
      <c r="V9" s="154">
        <v>0</v>
      </c>
      <c r="W9" s="154"/>
      <c r="X9" s="154">
        <v>0</v>
      </c>
      <c r="Y9" s="155"/>
      <c r="Z9" s="156">
        <f t="shared" ref="Z9:Z40" si="0">X9/$Z$69</f>
        <v>0</v>
      </c>
      <c r="AA9" s="149"/>
      <c r="AC9" s="321"/>
      <c r="AD9" s="320"/>
      <c r="AE9" s="158"/>
      <c r="AF9" s="157"/>
      <c r="AH9" s="157"/>
    </row>
    <row r="10" spans="2:34" ht="41.25" customHeight="1" x14ac:dyDescent="0.65">
      <c r="B10" s="153" t="s">
        <v>113</v>
      </c>
      <c r="C10" s="149"/>
      <c r="D10" s="154">
        <v>70000000</v>
      </c>
      <c r="E10" s="154"/>
      <c r="F10" s="154">
        <v>35776968687</v>
      </c>
      <c r="G10" s="154"/>
      <c r="H10" s="154">
        <v>27972567000</v>
      </c>
      <c r="I10" s="154">
        <v>91104682500</v>
      </c>
      <c r="J10" s="154">
        <v>49200000</v>
      </c>
      <c r="K10" s="154"/>
      <c r="L10" s="154">
        <v>23641834149</v>
      </c>
      <c r="M10" s="154"/>
      <c r="N10" s="154">
        <v>0</v>
      </c>
      <c r="O10" s="154"/>
      <c r="P10" s="154">
        <v>0</v>
      </c>
      <c r="Q10" s="154"/>
      <c r="R10" s="154">
        <v>119200000</v>
      </c>
      <c r="S10" s="154"/>
      <c r="T10" s="159">
        <v>532</v>
      </c>
      <c r="U10" s="154"/>
      <c r="V10" s="154">
        <v>59418802836</v>
      </c>
      <c r="W10" s="154"/>
      <c r="X10" s="154">
        <v>63037084320</v>
      </c>
      <c r="Y10" s="155"/>
      <c r="Z10" s="156">
        <f t="shared" si="0"/>
        <v>8.6328790393525191E-3</v>
      </c>
      <c r="AA10" s="149"/>
      <c r="AC10" s="285"/>
      <c r="AE10" s="157"/>
      <c r="AF10" s="157"/>
      <c r="AH10" s="157"/>
    </row>
    <row r="11" spans="2:34" ht="41.25" customHeight="1" x14ac:dyDescent="0.65">
      <c r="B11" s="153" t="s">
        <v>114</v>
      </c>
      <c r="C11" s="149"/>
      <c r="D11" s="154">
        <v>1000</v>
      </c>
      <c r="E11" s="154"/>
      <c r="F11" s="154">
        <v>1915216</v>
      </c>
      <c r="G11" s="154"/>
      <c r="H11" s="154">
        <v>4291313.8499999996</v>
      </c>
      <c r="I11" s="154">
        <v>6045066562.5</v>
      </c>
      <c r="J11" s="154">
        <v>0</v>
      </c>
      <c r="K11" s="154"/>
      <c r="L11" s="154">
        <v>0</v>
      </c>
      <c r="M11" s="154"/>
      <c r="N11" s="154">
        <v>0</v>
      </c>
      <c r="O11" s="154"/>
      <c r="P11" s="154">
        <v>0</v>
      </c>
      <c r="Q11" s="154"/>
      <c r="R11" s="154">
        <v>1000</v>
      </c>
      <c r="S11" s="154"/>
      <c r="T11" s="154">
        <v>5099</v>
      </c>
      <c r="U11" s="154"/>
      <c r="V11" s="154">
        <v>1915216</v>
      </c>
      <c r="W11" s="154"/>
      <c r="X11" s="154">
        <v>5068660.95</v>
      </c>
      <c r="Y11" s="155"/>
      <c r="Z11" s="156">
        <f t="shared" si="0"/>
        <v>6.9414912419984255E-7</v>
      </c>
      <c r="AA11" s="149"/>
      <c r="AE11" s="157"/>
      <c r="AF11" s="157"/>
      <c r="AH11" s="157"/>
    </row>
    <row r="12" spans="2:34" ht="41.25" customHeight="1" x14ac:dyDescent="0.65">
      <c r="B12" s="153" t="s">
        <v>148</v>
      </c>
      <c r="C12" s="149"/>
      <c r="D12" s="154">
        <v>1000</v>
      </c>
      <c r="E12" s="154"/>
      <c r="F12" s="154">
        <v>631914</v>
      </c>
      <c r="G12" s="154"/>
      <c r="H12" s="154">
        <v>389667.6</v>
      </c>
      <c r="I12" s="154">
        <v>3584544.3</v>
      </c>
      <c r="J12" s="154">
        <v>0</v>
      </c>
      <c r="K12" s="154"/>
      <c r="L12" s="154">
        <v>0</v>
      </c>
      <c r="M12" s="154"/>
      <c r="N12" s="154">
        <v>0</v>
      </c>
      <c r="O12" s="154"/>
      <c r="P12" s="154">
        <v>0</v>
      </c>
      <c r="Q12" s="154"/>
      <c r="R12" s="154">
        <v>1000</v>
      </c>
      <c r="S12" s="154"/>
      <c r="T12" s="154">
        <v>468</v>
      </c>
      <c r="U12" s="154"/>
      <c r="V12" s="154">
        <v>631914</v>
      </c>
      <c r="W12" s="154"/>
      <c r="X12" s="154">
        <v>465215.4</v>
      </c>
      <c r="Y12" s="155"/>
      <c r="Z12" s="156">
        <f t="shared" si="0"/>
        <v>6.3710882550603314E-8</v>
      </c>
      <c r="AA12" s="149"/>
      <c r="AE12" s="157"/>
      <c r="AF12" s="157"/>
      <c r="AH12" s="157"/>
    </row>
    <row r="13" spans="2:34" ht="41.25" customHeight="1" x14ac:dyDescent="0.65">
      <c r="B13" s="153" t="s">
        <v>206</v>
      </c>
      <c r="C13" s="149"/>
      <c r="D13" s="154">
        <v>13600000</v>
      </c>
      <c r="E13" s="154"/>
      <c r="F13" s="154">
        <v>33748888259</v>
      </c>
      <c r="G13" s="154"/>
      <c r="H13" s="154">
        <v>30417930000</v>
      </c>
      <c r="I13" s="154">
        <v>5785371000</v>
      </c>
      <c r="J13" s="154">
        <v>2400000</v>
      </c>
      <c r="K13" s="154"/>
      <c r="L13" s="154">
        <v>5849783461</v>
      </c>
      <c r="M13" s="154"/>
      <c r="N13" s="154">
        <v>-1000000</v>
      </c>
      <c r="O13" s="154"/>
      <c r="P13" s="154">
        <v>2379415174</v>
      </c>
      <c r="Q13" s="154"/>
      <c r="R13" s="154">
        <v>15000000</v>
      </c>
      <c r="S13" s="154"/>
      <c r="T13" s="154">
        <v>2529</v>
      </c>
      <c r="U13" s="154"/>
      <c r="V13" s="154">
        <v>37123754740</v>
      </c>
      <c r="W13" s="154"/>
      <c r="X13" s="154">
        <v>37709286750</v>
      </c>
      <c r="Y13" s="155"/>
      <c r="Z13" s="156">
        <f t="shared" si="0"/>
        <v>5.1642571144383262E-3</v>
      </c>
      <c r="AA13" s="149"/>
      <c r="AE13" s="157"/>
      <c r="AF13" s="157"/>
      <c r="AH13" s="157"/>
    </row>
    <row r="14" spans="2:34" ht="41.25" customHeight="1" x14ac:dyDescent="0.65">
      <c r="B14" s="153" t="s">
        <v>115</v>
      </c>
      <c r="C14" s="149"/>
      <c r="D14" s="154">
        <v>36390997</v>
      </c>
      <c r="E14" s="154"/>
      <c r="F14" s="154">
        <v>30896154180</v>
      </c>
      <c r="G14" s="154"/>
      <c r="H14" s="154">
        <v>36500040802.960602</v>
      </c>
      <c r="I14" s="154">
        <v>187875450000</v>
      </c>
      <c r="J14" s="154">
        <v>134000000</v>
      </c>
      <c r="K14" s="154"/>
      <c r="L14" s="154">
        <v>148357355295</v>
      </c>
      <c r="M14" s="154"/>
      <c r="N14" s="154">
        <v>-6400000</v>
      </c>
      <c r="O14" s="154"/>
      <c r="P14" s="154">
        <v>7648489552</v>
      </c>
      <c r="Q14" s="154"/>
      <c r="R14" s="154">
        <v>163990997</v>
      </c>
      <c r="S14" s="154"/>
      <c r="T14" s="154">
        <v>1224</v>
      </c>
      <c r="U14" s="154"/>
      <c r="V14" s="154">
        <v>172520627569</v>
      </c>
      <c r="W14" s="154"/>
      <c r="X14" s="154">
        <v>199530666695.048</v>
      </c>
      <c r="Y14" s="155"/>
      <c r="Z14" s="156">
        <f t="shared" si="0"/>
        <v>2.7325567621045606E-2</v>
      </c>
      <c r="AA14" s="149"/>
      <c r="AE14" s="157"/>
      <c r="AF14" s="157"/>
      <c r="AH14" s="157"/>
    </row>
    <row r="15" spans="2:34" ht="41.25" customHeight="1" x14ac:dyDescent="0.65">
      <c r="B15" s="153" t="s">
        <v>196</v>
      </c>
      <c r="C15" s="149"/>
      <c r="D15" s="154">
        <v>30000000</v>
      </c>
      <c r="E15" s="154"/>
      <c r="F15" s="154">
        <v>113395047697</v>
      </c>
      <c r="G15" s="154"/>
      <c r="H15" s="154">
        <v>106224183000</v>
      </c>
      <c r="I15" s="154">
        <v>129972037500</v>
      </c>
      <c r="J15" s="154">
        <v>0</v>
      </c>
      <c r="K15" s="154"/>
      <c r="L15" s="154">
        <v>0</v>
      </c>
      <c r="M15" s="154"/>
      <c r="N15" s="154">
        <v>0</v>
      </c>
      <c r="O15" s="154"/>
      <c r="P15" s="154">
        <v>0</v>
      </c>
      <c r="Q15" s="154"/>
      <c r="R15" s="154">
        <v>30000000</v>
      </c>
      <c r="S15" s="154"/>
      <c r="T15" s="154">
        <v>4232</v>
      </c>
      <c r="U15" s="154"/>
      <c r="V15" s="154">
        <v>113395047697</v>
      </c>
      <c r="W15" s="154"/>
      <c r="X15" s="154">
        <v>126204588000</v>
      </c>
      <c r="Y15" s="155"/>
      <c r="Z15" s="156">
        <f t="shared" si="0"/>
        <v>1.7283618907317513E-2</v>
      </c>
      <c r="AA15" s="149"/>
      <c r="AE15" s="157"/>
      <c r="AF15" s="157"/>
      <c r="AH15" s="157"/>
    </row>
    <row r="16" spans="2:34" ht="41.25" customHeight="1" x14ac:dyDescent="0.65">
      <c r="B16" s="153" t="s">
        <v>161</v>
      </c>
      <c r="C16" s="149"/>
      <c r="D16" s="154">
        <v>232900</v>
      </c>
      <c r="E16" s="154"/>
      <c r="F16" s="154">
        <v>394603131</v>
      </c>
      <c r="G16" s="154"/>
      <c r="H16" s="154">
        <v>433857695.13</v>
      </c>
      <c r="I16" s="154">
        <v>156455517600</v>
      </c>
      <c r="J16" s="154">
        <v>0</v>
      </c>
      <c r="K16" s="154"/>
      <c r="L16" s="154">
        <v>0</v>
      </c>
      <c r="M16" s="154"/>
      <c r="N16" s="154">
        <v>0</v>
      </c>
      <c r="O16" s="154"/>
      <c r="P16" s="154">
        <v>0</v>
      </c>
      <c r="Q16" s="154"/>
      <c r="R16" s="154">
        <v>232900</v>
      </c>
      <c r="S16" s="154"/>
      <c r="T16" s="154">
        <v>2020</v>
      </c>
      <c r="U16" s="154"/>
      <c r="V16" s="154">
        <v>394603131</v>
      </c>
      <c r="W16" s="154"/>
      <c r="X16" s="154">
        <v>467658774.89999998</v>
      </c>
      <c r="Y16" s="155"/>
      <c r="Z16" s="156">
        <f t="shared" si="0"/>
        <v>6.4045500818358397E-5</v>
      </c>
      <c r="AA16" s="149"/>
      <c r="AE16" s="157"/>
      <c r="AF16" s="157"/>
      <c r="AH16" s="157"/>
    </row>
    <row r="17" spans="2:34" ht="41.25" customHeight="1" x14ac:dyDescent="0.65">
      <c r="B17" s="153" t="s">
        <v>149</v>
      </c>
      <c r="C17" s="149"/>
      <c r="D17" s="154">
        <v>1000</v>
      </c>
      <c r="E17" s="154"/>
      <c r="F17" s="154">
        <v>5411279</v>
      </c>
      <c r="G17" s="154"/>
      <c r="H17" s="154">
        <v>2870816.4</v>
      </c>
      <c r="I17" s="154">
        <v>588277696.54499996</v>
      </c>
      <c r="J17" s="154">
        <v>0</v>
      </c>
      <c r="K17" s="154"/>
      <c r="L17" s="154">
        <v>0</v>
      </c>
      <c r="M17" s="154"/>
      <c r="N17" s="154">
        <v>0</v>
      </c>
      <c r="O17" s="154"/>
      <c r="P17" s="154">
        <v>0</v>
      </c>
      <c r="Q17" s="154"/>
      <c r="R17" s="154">
        <v>1000</v>
      </c>
      <c r="S17" s="154"/>
      <c r="T17" s="154">
        <v>3368</v>
      </c>
      <c r="U17" s="154"/>
      <c r="V17" s="154">
        <v>5411279</v>
      </c>
      <c r="W17" s="154"/>
      <c r="X17" s="154">
        <v>3347960.4</v>
      </c>
      <c r="Y17" s="155"/>
      <c r="Z17" s="156">
        <f t="shared" si="0"/>
        <v>4.5850053938126486E-7</v>
      </c>
      <c r="AA17" s="149"/>
      <c r="AE17" s="157"/>
      <c r="AF17" s="157"/>
      <c r="AH17" s="157"/>
    </row>
    <row r="18" spans="2:34" ht="41.25" customHeight="1" x14ac:dyDescent="0.65">
      <c r="B18" s="153"/>
      <c r="C18" s="149"/>
      <c r="D18" s="154">
        <v>140000000</v>
      </c>
      <c r="E18" s="154"/>
      <c r="F18" s="154">
        <v>535146115145</v>
      </c>
      <c r="G18" s="154"/>
      <c r="H18" s="154">
        <v>483744492000</v>
      </c>
      <c r="I18" s="154">
        <v>4419546.3</v>
      </c>
      <c r="J18" s="154">
        <v>0</v>
      </c>
      <c r="K18" s="154"/>
      <c r="L18" s="154">
        <v>0</v>
      </c>
      <c r="M18" s="154"/>
      <c r="N18" s="154">
        <v>0</v>
      </c>
      <c r="O18" s="154"/>
      <c r="P18" s="154">
        <v>0</v>
      </c>
      <c r="Q18" s="154"/>
      <c r="R18" s="154">
        <v>140000000</v>
      </c>
      <c r="S18" s="154"/>
      <c r="T18" s="154">
        <v>4900</v>
      </c>
      <c r="U18" s="154"/>
      <c r="V18" s="154">
        <v>535146115145</v>
      </c>
      <c r="W18" s="154"/>
      <c r="X18" s="154">
        <v>681918300000</v>
      </c>
      <c r="Y18" s="155"/>
      <c r="Z18" s="156">
        <f t="shared" si="0"/>
        <v>9.338817399511512E-2</v>
      </c>
      <c r="AA18" s="149"/>
      <c r="AE18" s="157"/>
      <c r="AF18" s="157"/>
      <c r="AH18" s="157"/>
    </row>
    <row r="19" spans="2:34" ht="41.25" customHeight="1" x14ac:dyDescent="0.65">
      <c r="B19" s="153" t="s">
        <v>117</v>
      </c>
      <c r="C19" s="149"/>
      <c r="D19" s="154">
        <v>24500000</v>
      </c>
      <c r="E19" s="154"/>
      <c r="F19" s="154">
        <v>244142660273</v>
      </c>
      <c r="G19" s="154"/>
      <c r="H19" s="154">
        <v>248413095000</v>
      </c>
      <c r="I19" s="154">
        <v>654830437500</v>
      </c>
      <c r="J19" s="154">
        <v>8000000</v>
      </c>
      <c r="K19" s="154"/>
      <c r="L19" s="154">
        <v>101193238160</v>
      </c>
      <c r="M19" s="154"/>
      <c r="N19" s="154">
        <v>-500000</v>
      </c>
      <c r="O19" s="154"/>
      <c r="P19" s="154">
        <v>5892489043</v>
      </c>
      <c r="Q19" s="154"/>
      <c r="R19" s="154">
        <v>97600000</v>
      </c>
      <c r="S19" s="154"/>
      <c r="T19" s="154">
        <v>4131</v>
      </c>
      <c r="U19" s="154"/>
      <c r="V19" s="154">
        <v>340353395163</v>
      </c>
      <c r="W19" s="154"/>
      <c r="X19" s="154">
        <v>400786645680</v>
      </c>
      <c r="Y19" s="155"/>
      <c r="Z19" s="156">
        <f t="shared" si="0"/>
        <v>5.4887415401056683E-2</v>
      </c>
      <c r="AA19" s="149"/>
      <c r="AE19" s="157"/>
      <c r="AF19" s="157"/>
      <c r="AH19" s="157"/>
    </row>
    <row r="20" spans="2:34" ht="41.25" customHeight="1" x14ac:dyDescent="0.65">
      <c r="B20" s="153" t="s">
        <v>140</v>
      </c>
      <c r="C20" s="149"/>
      <c r="D20" s="154">
        <v>10000000</v>
      </c>
      <c r="E20" s="154"/>
      <c r="F20" s="154">
        <v>192794933347</v>
      </c>
      <c r="G20" s="154"/>
      <c r="H20" s="154">
        <v>174952800000</v>
      </c>
      <c r="I20" s="154">
        <v>210340980000</v>
      </c>
      <c r="J20" s="154">
        <v>0</v>
      </c>
      <c r="K20" s="154"/>
      <c r="L20" s="154">
        <v>0</v>
      </c>
      <c r="M20" s="154"/>
      <c r="N20" s="154">
        <v>0</v>
      </c>
      <c r="O20" s="154"/>
      <c r="P20" s="154">
        <v>0</v>
      </c>
      <c r="Q20" s="154"/>
      <c r="R20" s="154">
        <v>10000000</v>
      </c>
      <c r="S20" s="154"/>
      <c r="T20" s="154">
        <v>23770</v>
      </c>
      <c r="U20" s="154"/>
      <c r="V20" s="154">
        <v>192794933347</v>
      </c>
      <c r="W20" s="154"/>
      <c r="X20" s="154">
        <v>236285685000</v>
      </c>
      <c r="Y20" s="155"/>
      <c r="Z20" s="156">
        <f t="shared" si="0"/>
        <v>3.2359138423671809E-2</v>
      </c>
      <c r="AA20" s="149"/>
      <c r="AE20" s="157"/>
      <c r="AF20" s="157"/>
      <c r="AH20" s="157"/>
    </row>
    <row r="21" spans="2:34" ht="41.25" customHeight="1" x14ac:dyDescent="0.65">
      <c r="B21" s="153" t="s">
        <v>118</v>
      </c>
      <c r="C21" s="149"/>
      <c r="D21" s="154">
        <v>55000000</v>
      </c>
      <c r="E21" s="154"/>
      <c r="F21" s="154">
        <v>136058190784</v>
      </c>
      <c r="G21" s="154"/>
      <c r="H21" s="154">
        <v>118475849250</v>
      </c>
      <c r="I21" s="154">
        <v>190778076000</v>
      </c>
      <c r="J21" s="154">
        <v>0</v>
      </c>
      <c r="K21" s="154"/>
      <c r="L21" s="154">
        <v>0</v>
      </c>
      <c r="M21" s="154"/>
      <c r="N21" s="154">
        <v>-35000000</v>
      </c>
      <c r="O21" s="154"/>
      <c r="P21" s="154">
        <v>86160123469</v>
      </c>
      <c r="Q21" s="154"/>
      <c r="R21" s="154">
        <v>20000000</v>
      </c>
      <c r="S21" s="154"/>
      <c r="T21" s="154">
        <v>2917</v>
      </c>
      <c r="U21" s="154"/>
      <c r="V21" s="154">
        <v>49475705739</v>
      </c>
      <c r="W21" s="154"/>
      <c r="X21" s="154">
        <v>57992877000</v>
      </c>
      <c r="Y21" s="155"/>
      <c r="Z21" s="156">
        <f t="shared" si="0"/>
        <v>7.942078820517515E-3</v>
      </c>
      <c r="AA21" s="149"/>
      <c r="AE21" s="157"/>
      <c r="AF21" s="157"/>
      <c r="AH21" s="157"/>
    </row>
    <row r="22" spans="2:34" ht="41.25" customHeight="1" x14ac:dyDescent="0.65">
      <c r="B22" s="153" t="s">
        <v>144</v>
      </c>
      <c r="C22" s="149"/>
      <c r="D22" s="154">
        <v>1000</v>
      </c>
      <c r="E22" s="154"/>
      <c r="F22" s="154">
        <v>68624286</v>
      </c>
      <c r="G22" s="154"/>
      <c r="H22" s="154">
        <v>47058327</v>
      </c>
      <c r="I22" s="154">
        <v>164435751000</v>
      </c>
      <c r="J22" s="154">
        <v>0</v>
      </c>
      <c r="K22" s="154"/>
      <c r="L22" s="154">
        <v>0</v>
      </c>
      <c r="M22" s="154"/>
      <c r="N22" s="154">
        <v>0</v>
      </c>
      <c r="O22" s="154"/>
      <c r="P22" s="154">
        <v>0</v>
      </c>
      <c r="Q22" s="154"/>
      <c r="R22" s="154">
        <v>1000</v>
      </c>
      <c r="S22" s="154"/>
      <c r="T22" s="154">
        <v>55550</v>
      </c>
      <c r="U22" s="154"/>
      <c r="V22" s="154">
        <v>68624286</v>
      </c>
      <c r="W22" s="154"/>
      <c r="X22" s="154">
        <v>55219477.5</v>
      </c>
      <c r="Y22" s="155"/>
      <c r="Z22" s="156">
        <f t="shared" si="0"/>
        <v>7.562263943773534E-6</v>
      </c>
      <c r="AA22" s="149"/>
      <c r="AE22" s="157"/>
      <c r="AF22" s="157"/>
      <c r="AH22" s="157"/>
    </row>
    <row r="23" spans="2:34" ht="41.25" customHeight="1" x14ac:dyDescent="0.65">
      <c r="B23" s="153" t="s">
        <v>119</v>
      </c>
      <c r="C23" s="149"/>
      <c r="D23" s="154">
        <v>69940113</v>
      </c>
      <c r="E23" s="154"/>
      <c r="F23" s="154">
        <v>200942238088</v>
      </c>
      <c r="G23" s="154"/>
      <c r="H23" s="154">
        <v>166857526386.35999</v>
      </c>
      <c r="I23" s="154">
        <v>74454345</v>
      </c>
      <c r="J23" s="154">
        <v>0</v>
      </c>
      <c r="K23" s="154"/>
      <c r="L23" s="154">
        <v>0</v>
      </c>
      <c r="M23" s="154"/>
      <c r="N23" s="154">
        <v>-20740113</v>
      </c>
      <c r="O23" s="154"/>
      <c r="P23" s="154">
        <v>57540140042</v>
      </c>
      <c r="Q23" s="154"/>
      <c r="R23" s="154">
        <v>49200000</v>
      </c>
      <c r="S23" s="154"/>
      <c r="T23" s="154">
        <v>2808</v>
      </c>
      <c r="U23" s="154"/>
      <c r="V23" s="154">
        <v>141354620263</v>
      </c>
      <c r="W23" s="154"/>
      <c r="X23" s="154">
        <v>137331586080</v>
      </c>
      <c r="Y23" s="155"/>
      <c r="Z23" s="156">
        <f t="shared" si="0"/>
        <v>1.8807452528938097E-2</v>
      </c>
      <c r="AA23" s="149"/>
      <c r="AE23" s="157"/>
      <c r="AF23" s="157"/>
      <c r="AH23" s="157"/>
    </row>
    <row r="24" spans="2:34" ht="41.25" customHeight="1" x14ac:dyDescent="0.65">
      <c r="B24" s="153" t="s">
        <v>120</v>
      </c>
      <c r="C24" s="149"/>
      <c r="D24" s="154">
        <v>1550000</v>
      </c>
      <c r="E24" s="154"/>
      <c r="F24" s="154">
        <v>383879335391</v>
      </c>
      <c r="G24" s="154"/>
      <c r="H24" s="154">
        <v>388584085500</v>
      </c>
      <c r="I24" s="154">
        <v>276147090000</v>
      </c>
      <c r="J24" s="154">
        <v>0</v>
      </c>
      <c r="K24" s="154"/>
      <c r="L24" s="154">
        <v>0</v>
      </c>
      <c r="M24" s="154"/>
      <c r="N24" s="154">
        <v>-50000</v>
      </c>
      <c r="O24" s="154"/>
      <c r="P24" s="154">
        <v>14107271508</v>
      </c>
      <c r="Q24" s="154"/>
      <c r="R24" s="154">
        <v>1500000</v>
      </c>
      <c r="S24" s="154"/>
      <c r="T24" s="154">
        <v>284900</v>
      </c>
      <c r="U24" s="154"/>
      <c r="V24" s="154">
        <v>371496131018</v>
      </c>
      <c r="W24" s="154"/>
      <c r="X24" s="154">
        <v>424807267500</v>
      </c>
      <c r="Y24" s="155"/>
      <c r="Z24" s="156">
        <f t="shared" si="0"/>
        <v>5.8177020636752834E-2</v>
      </c>
      <c r="AA24" s="149"/>
      <c r="AE24" s="157"/>
      <c r="AF24" s="157"/>
      <c r="AH24" s="157"/>
    </row>
    <row r="25" spans="2:34" ht="41.25" customHeight="1" x14ac:dyDescent="0.65">
      <c r="B25" s="153" t="s">
        <v>121</v>
      </c>
      <c r="C25" s="149"/>
      <c r="D25" s="154">
        <v>1000</v>
      </c>
      <c r="E25" s="154"/>
      <c r="F25" s="154">
        <v>68078893</v>
      </c>
      <c r="G25" s="154"/>
      <c r="H25" s="154">
        <v>35189370</v>
      </c>
      <c r="I25" s="154">
        <v>338593311000</v>
      </c>
      <c r="J25" s="154">
        <v>0</v>
      </c>
      <c r="K25" s="154"/>
      <c r="L25" s="154">
        <v>0</v>
      </c>
      <c r="M25" s="154"/>
      <c r="N25" s="154">
        <v>0</v>
      </c>
      <c r="O25" s="154"/>
      <c r="P25" s="154">
        <v>0</v>
      </c>
      <c r="Q25" s="154"/>
      <c r="R25" s="154">
        <v>1000</v>
      </c>
      <c r="S25" s="154"/>
      <c r="T25" s="154">
        <v>43200</v>
      </c>
      <c r="U25" s="154"/>
      <c r="V25" s="154">
        <v>68078893</v>
      </c>
      <c r="W25" s="154"/>
      <c r="X25" s="154">
        <v>42942960</v>
      </c>
      <c r="Y25" s="155"/>
      <c r="Z25" s="156">
        <f t="shared" si="0"/>
        <v>5.8810045431326133E-6</v>
      </c>
      <c r="AA25" s="149"/>
      <c r="AE25" s="157"/>
      <c r="AF25" s="157"/>
      <c r="AH25" s="157"/>
    </row>
    <row r="26" spans="2:34" ht="41.25" customHeight="1" x14ac:dyDescent="0.65">
      <c r="B26" s="153" t="s">
        <v>122</v>
      </c>
      <c r="C26" s="149"/>
      <c r="D26" s="154">
        <v>1000000</v>
      </c>
      <c r="E26" s="154"/>
      <c r="F26" s="154">
        <v>30299649812</v>
      </c>
      <c r="G26" s="154"/>
      <c r="H26" s="154">
        <v>34553178000</v>
      </c>
      <c r="I26" s="154">
        <v>280123290000</v>
      </c>
      <c r="J26" s="154">
        <v>0</v>
      </c>
      <c r="K26" s="154"/>
      <c r="L26" s="154">
        <v>0</v>
      </c>
      <c r="M26" s="154"/>
      <c r="N26" s="154">
        <v>0</v>
      </c>
      <c r="O26" s="154"/>
      <c r="P26" s="154">
        <v>0</v>
      </c>
      <c r="Q26" s="154"/>
      <c r="R26" s="154">
        <v>1000000</v>
      </c>
      <c r="S26" s="154"/>
      <c r="T26" s="154">
        <v>44790</v>
      </c>
      <c r="U26" s="154"/>
      <c r="V26" s="154">
        <v>30299649812</v>
      </c>
      <c r="W26" s="154"/>
      <c r="X26" s="154">
        <v>44523499500</v>
      </c>
      <c r="Y26" s="155"/>
      <c r="Z26" s="156">
        <f t="shared" si="0"/>
        <v>6.0974581825673554E-3</v>
      </c>
      <c r="AA26" s="149"/>
      <c r="AE26" s="157"/>
      <c r="AF26" s="157"/>
      <c r="AH26" s="157"/>
    </row>
    <row r="27" spans="2:34" ht="41.25" customHeight="1" x14ac:dyDescent="0.65">
      <c r="B27" s="153" t="s">
        <v>146</v>
      </c>
      <c r="C27" s="149"/>
      <c r="D27" s="154">
        <v>6300000</v>
      </c>
      <c r="E27" s="154"/>
      <c r="F27" s="154">
        <v>232841513410</v>
      </c>
      <c r="G27" s="154"/>
      <c r="H27" s="154">
        <v>196329845250</v>
      </c>
      <c r="I27" s="154">
        <v>196321892850</v>
      </c>
      <c r="J27" s="154">
        <v>105319</v>
      </c>
      <c r="K27" s="154"/>
      <c r="L27" s="154">
        <v>3820592343</v>
      </c>
      <c r="M27" s="154"/>
      <c r="N27" s="154">
        <v>-405319</v>
      </c>
      <c r="O27" s="154"/>
      <c r="P27" s="154">
        <v>13961383517</v>
      </c>
      <c r="Q27" s="154"/>
      <c r="R27" s="154">
        <v>6000000</v>
      </c>
      <c r="S27" s="154"/>
      <c r="T27" s="154">
        <v>36020</v>
      </c>
      <c r="U27" s="154"/>
      <c r="V27" s="154">
        <v>221684251852</v>
      </c>
      <c r="W27" s="154"/>
      <c r="X27" s="154">
        <v>214834086000</v>
      </c>
      <c r="Y27" s="155"/>
      <c r="Z27" s="156">
        <f t="shared" si="0"/>
        <v>2.9421358839393993E-2</v>
      </c>
      <c r="AA27" s="149"/>
      <c r="AE27" s="157"/>
      <c r="AF27" s="157"/>
      <c r="AH27" s="157"/>
    </row>
    <row r="28" spans="2:34" ht="41.25" customHeight="1" x14ac:dyDescent="0.65">
      <c r="B28" s="153" t="s">
        <v>201</v>
      </c>
      <c r="C28" s="149"/>
      <c r="D28" s="154">
        <v>100000</v>
      </c>
      <c r="E28" s="154"/>
      <c r="F28" s="154">
        <v>2601866800</v>
      </c>
      <c r="G28" s="154"/>
      <c r="H28" s="154">
        <v>2862864000</v>
      </c>
      <c r="I28" s="154">
        <v>234352257750</v>
      </c>
      <c r="J28" s="154">
        <v>0</v>
      </c>
      <c r="K28" s="154"/>
      <c r="L28" s="154">
        <v>0</v>
      </c>
      <c r="M28" s="154"/>
      <c r="N28" s="154">
        <v>0</v>
      </c>
      <c r="O28" s="154"/>
      <c r="P28" s="154">
        <v>0</v>
      </c>
      <c r="Q28" s="154"/>
      <c r="R28" s="154">
        <v>100000</v>
      </c>
      <c r="S28" s="154"/>
      <c r="T28" s="154">
        <v>30200</v>
      </c>
      <c r="U28" s="154"/>
      <c r="V28" s="154">
        <v>2601866800</v>
      </c>
      <c r="W28" s="154"/>
      <c r="X28" s="154">
        <v>3002031000</v>
      </c>
      <c r="Y28" s="155"/>
      <c r="Z28" s="156">
        <f t="shared" si="0"/>
        <v>4.1112578056158551E-4</v>
      </c>
      <c r="AA28" s="149"/>
      <c r="AE28" s="157"/>
      <c r="AF28" s="157"/>
      <c r="AH28" s="157"/>
    </row>
    <row r="29" spans="2:34" ht="41.25" customHeight="1" x14ac:dyDescent="0.65">
      <c r="B29" s="153" t="s">
        <v>202</v>
      </c>
      <c r="C29" s="149"/>
      <c r="D29" s="154">
        <v>7000000</v>
      </c>
      <c r="E29" s="154"/>
      <c r="F29" s="154">
        <v>121613302376</v>
      </c>
      <c r="G29" s="154"/>
      <c r="H29" s="154">
        <v>97903984500</v>
      </c>
      <c r="I29" s="154">
        <v>4622332.5</v>
      </c>
      <c r="J29" s="154">
        <v>0</v>
      </c>
      <c r="K29" s="154"/>
      <c r="L29" s="154">
        <v>0</v>
      </c>
      <c r="M29" s="154"/>
      <c r="N29" s="154">
        <v>0</v>
      </c>
      <c r="O29" s="154"/>
      <c r="P29" s="154">
        <v>0</v>
      </c>
      <c r="Q29" s="154"/>
      <c r="R29" s="154">
        <v>7000000</v>
      </c>
      <c r="S29" s="154"/>
      <c r="T29" s="154">
        <v>15190</v>
      </c>
      <c r="U29" s="154"/>
      <c r="V29" s="154">
        <v>121613302376</v>
      </c>
      <c r="W29" s="154"/>
      <c r="X29" s="154">
        <v>105697336500</v>
      </c>
      <c r="Y29" s="155"/>
      <c r="Z29" s="156">
        <f t="shared" si="0"/>
        <v>1.4475166969242843E-2</v>
      </c>
      <c r="AA29" s="149"/>
      <c r="AE29" s="157"/>
      <c r="AF29" s="157"/>
      <c r="AH29" s="157"/>
    </row>
    <row r="30" spans="2:34" ht="41.25" customHeight="1" x14ac:dyDescent="0.65">
      <c r="B30" s="153" t="s">
        <v>138</v>
      </c>
      <c r="C30" s="149"/>
      <c r="D30" s="154">
        <v>1000</v>
      </c>
      <c r="E30" s="154"/>
      <c r="F30" s="154">
        <v>4947385</v>
      </c>
      <c r="G30" s="154"/>
      <c r="H30" s="154">
        <v>3781366.2</v>
      </c>
      <c r="I30" s="154">
        <v>46052624604.744904</v>
      </c>
      <c r="J30" s="154">
        <v>0</v>
      </c>
      <c r="K30" s="154"/>
      <c r="L30" s="154">
        <v>0</v>
      </c>
      <c r="M30" s="154"/>
      <c r="N30" s="154">
        <v>0</v>
      </c>
      <c r="O30" s="154"/>
      <c r="P30" s="154">
        <v>0</v>
      </c>
      <c r="Q30" s="154"/>
      <c r="R30" s="154">
        <v>1000</v>
      </c>
      <c r="S30" s="154"/>
      <c r="T30" s="154">
        <v>4293</v>
      </c>
      <c r="U30" s="154"/>
      <c r="V30" s="154">
        <v>4947385</v>
      </c>
      <c r="W30" s="154"/>
      <c r="X30" s="154">
        <v>4267456.6500000004</v>
      </c>
      <c r="Y30" s="155"/>
      <c r="Z30" s="156">
        <f t="shared" si="0"/>
        <v>5.8442482647380357E-7</v>
      </c>
      <c r="AA30" s="149"/>
      <c r="AE30" s="157"/>
      <c r="AF30" s="157"/>
      <c r="AH30" s="157"/>
    </row>
    <row r="31" spans="2:34" ht="41.25" customHeight="1" x14ac:dyDescent="0.65">
      <c r="B31" s="153" t="s">
        <v>105</v>
      </c>
      <c r="C31" s="149"/>
      <c r="D31" s="154">
        <v>1000</v>
      </c>
      <c r="E31" s="154"/>
      <c r="F31" s="154">
        <v>2348712</v>
      </c>
      <c r="G31" s="154"/>
      <c r="H31" s="154">
        <v>1612349.1</v>
      </c>
      <c r="I31" s="154">
        <v>78696078707.614502</v>
      </c>
      <c r="J31" s="154">
        <v>210000000</v>
      </c>
      <c r="K31" s="154"/>
      <c r="L31" s="154">
        <v>349134885360</v>
      </c>
      <c r="M31" s="154"/>
      <c r="N31" s="154">
        <v>-75001000</v>
      </c>
      <c r="O31" s="154"/>
      <c r="P31" s="154">
        <v>140107134107</v>
      </c>
      <c r="Q31" s="154"/>
      <c r="R31" s="154">
        <v>135000000</v>
      </c>
      <c r="S31" s="154"/>
      <c r="T31" s="154">
        <v>2032</v>
      </c>
      <c r="U31" s="154"/>
      <c r="V31" s="154">
        <v>224444295987</v>
      </c>
      <c r="W31" s="154"/>
      <c r="X31" s="154">
        <v>272687796000</v>
      </c>
      <c r="Y31" s="155"/>
      <c r="Z31" s="156">
        <f t="shared" si="0"/>
        <v>3.7344378848892093E-2</v>
      </c>
      <c r="AA31" s="149"/>
      <c r="AE31" s="157"/>
      <c r="AF31" s="157"/>
      <c r="AH31" s="157"/>
    </row>
    <row r="32" spans="2:34" ht="41.25" customHeight="1" x14ac:dyDescent="0.65">
      <c r="B32" s="153" t="s">
        <v>198</v>
      </c>
      <c r="C32" s="149"/>
      <c r="D32" s="154">
        <v>659600</v>
      </c>
      <c r="E32" s="154"/>
      <c r="F32" s="154">
        <v>457102800</v>
      </c>
      <c r="G32" s="154"/>
      <c r="H32" s="154">
        <v>573060282.12</v>
      </c>
      <c r="I32" s="154">
        <v>50351465.542499997</v>
      </c>
      <c r="J32" s="154">
        <v>0</v>
      </c>
      <c r="K32" s="154"/>
      <c r="L32" s="154">
        <v>0</v>
      </c>
      <c r="M32" s="154"/>
      <c r="N32" s="154">
        <v>0</v>
      </c>
      <c r="O32" s="154"/>
      <c r="P32" s="154">
        <v>0</v>
      </c>
      <c r="Q32" s="154"/>
      <c r="R32" s="154">
        <v>659600</v>
      </c>
      <c r="S32" s="154"/>
      <c r="T32" s="154">
        <v>1020</v>
      </c>
      <c r="U32" s="154"/>
      <c r="V32" s="154">
        <v>457102800</v>
      </c>
      <c r="W32" s="154"/>
      <c r="X32" s="154">
        <v>668788887.60000002</v>
      </c>
      <c r="Y32" s="155"/>
      <c r="Z32" s="156">
        <f t="shared" si="0"/>
        <v>9.1590111309798085E-5</v>
      </c>
      <c r="AA32" s="149"/>
      <c r="AE32" s="157"/>
      <c r="AF32" s="157"/>
      <c r="AH32" s="157"/>
    </row>
    <row r="33" spans="2:34" ht="41.25" customHeight="1" x14ac:dyDescent="0.65">
      <c r="B33" s="153" t="s">
        <v>123</v>
      </c>
      <c r="C33" s="149"/>
      <c r="D33" s="154">
        <v>3800000</v>
      </c>
      <c r="E33" s="154"/>
      <c r="F33" s="154">
        <v>76634621894</v>
      </c>
      <c r="G33" s="154"/>
      <c r="H33" s="154">
        <v>55225441800</v>
      </c>
      <c r="I33" s="154">
        <v>1010395760.58</v>
      </c>
      <c r="J33" s="154">
        <v>0</v>
      </c>
      <c r="K33" s="154"/>
      <c r="L33" s="154">
        <v>0</v>
      </c>
      <c r="M33" s="154"/>
      <c r="N33" s="154">
        <v>0</v>
      </c>
      <c r="O33" s="154"/>
      <c r="P33" s="154">
        <v>0</v>
      </c>
      <c r="Q33" s="154"/>
      <c r="R33" s="154">
        <v>3800000</v>
      </c>
      <c r="S33" s="154"/>
      <c r="T33" s="154">
        <v>17840</v>
      </c>
      <c r="U33" s="154"/>
      <c r="V33" s="154">
        <v>76634621894</v>
      </c>
      <c r="W33" s="154"/>
      <c r="X33" s="154">
        <v>67388637600</v>
      </c>
      <c r="Y33" s="155"/>
      <c r="Z33" s="156">
        <f t="shared" si="0"/>
        <v>9.2288208330566241E-3</v>
      </c>
      <c r="AA33" s="149"/>
      <c r="AE33" s="157"/>
      <c r="AF33" s="157"/>
      <c r="AH33" s="157"/>
    </row>
    <row r="34" spans="2:34" ht="41.25" customHeight="1" x14ac:dyDescent="0.65">
      <c r="B34" s="153" t="s">
        <v>139</v>
      </c>
      <c r="C34" s="149"/>
      <c r="D34" s="154">
        <v>6000000</v>
      </c>
      <c r="E34" s="154"/>
      <c r="F34" s="154">
        <v>2321676797</v>
      </c>
      <c r="G34" s="154"/>
      <c r="H34" s="154">
        <v>2367827100</v>
      </c>
      <c r="I34" s="154">
        <v>142497051456.03299</v>
      </c>
      <c r="J34" s="154">
        <v>0</v>
      </c>
      <c r="K34" s="154"/>
      <c r="L34" s="154">
        <v>0</v>
      </c>
      <c r="M34" s="154"/>
      <c r="N34" s="154">
        <v>0</v>
      </c>
      <c r="O34" s="154"/>
      <c r="P34" s="154">
        <v>0</v>
      </c>
      <c r="Q34" s="154"/>
      <c r="R34" s="154">
        <v>6000000</v>
      </c>
      <c r="S34" s="154"/>
      <c r="T34" s="154">
        <v>483</v>
      </c>
      <c r="U34" s="154"/>
      <c r="V34" s="154">
        <v>2321676797</v>
      </c>
      <c r="W34" s="154"/>
      <c r="X34" s="154">
        <v>2880756900</v>
      </c>
      <c r="Y34" s="155"/>
      <c r="Z34" s="156">
        <f t="shared" si="0"/>
        <v>3.9451738810181283E-4</v>
      </c>
      <c r="AA34" s="149"/>
      <c r="AE34" s="157"/>
      <c r="AF34" s="157"/>
      <c r="AH34" s="157"/>
    </row>
    <row r="35" spans="2:34" ht="41.25" customHeight="1" x14ac:dyDescent="0.65">
      <c r="B35" s="153" t="s">
        <v>189</v>
      </c>
      <c r="C35" s="149"/>
      <c r="D35" s="154">
        <v>3250000</v>
      </c>
      <c r="E35" s="154"/>
      <c r="F35" s="154">
        <v>4390650225</v>
      </c>
      <c r="G35" s="154"/>
      <c r="H35" s="154">
        <v>3178971900</v>
      </c>
      <c r="I35" s="154">
        <v>81856041300</v>
      </c>
      <c r="J35" s="154">
        <v>0</v>
      </c>
      <c r="K35" s="154"/>
      <c r="L35" s="154">
        <v>0</v>
      </c>
      <c r="M35" s="154"/>
      <c r="N35" s="154">
        <v>0</v>
      </c>
      <c r="O35" s="154"/>
      <c r="P35" s="154">
        <v>0</v>
      </c>
      <c r="Q35" s="154"/>
      <c r="R35" s="154">
        <v>3250000</v>
      </c>
      <c r="S35" s="154"/>
      <c r="T35" s="154">
        <v>1161</v>
      </c>
      <c r="U35" s="154"/>
      <c r="V35" s="154">
        <v>4390650225</v>
      </c>
      <c r="W35" s="154"/>
      <c r="X35" s="154">
        <v>3750799162.5</v>
      </c>
      <c r="Y35" s="155"/>
      <c r="Z35" s="156">
        <f t="shared" si="0"/>
        <v>5.1366899056423925E-4</v>
      </c>
      <c r="AA35" s="149"/>
      <c r="AE35" s="157"/>
      <c r="AF35" s="157"/>
      <c r="AH35" s="157"/>
    </row>
    <row r="36" spans="2:34" ht="41.25" customHeight="1" x14ac:dyDescent="0.65">
      <c r="B36" s="153" t="s">
        <v>133</v>
      </c>
      <c r="C36" s="149"/>
      <c r="D36" s="154">
        <v>337000000</v>
      </c>
      <c r="E36" s="154"/>
      <c r="F36" s="154">
        <v>534760080551</v>
      </c>
      <c r="G36" s="154"/>
      <c r="H36" s="154">
        <v>391608979650</v>
      </c>
      <c r="I36" s="154">
        <v>67794210000</v>
      </c>
      <c r="J36" s="154">
        <v>0</v>
      </c>
      <c r="K36" s="154"/>
      <c r="L36" s="154">
        <v>0</v>
      </c>
      <c r="M36" s="154"/>
      <c r="N36" s="154">
        <v>-7000000</v>
      </c>
      <c r="O36" s="154"/>
      <c r="P36" s="154">
        <v>9861866649</v>
      </c>
      <c r="Q36" s="154"/>
      <c r="R36" s="154">
        <v>330000000</v>
      </c>
      <c r="S36" s="154"/>
      <c r="T36" s="154">
        <v>1243</v>
      </c>
      <c r="U36" s="154"/>
      <c r="V36" s="154">
        <v>523652304396</v>
      </c>
      <c r="W36" s="154"/>
      <c r="X36" s="154">
        <v>407749369500</v>
      </c>
      <c r="Y36" s="155"/>
      <c r="Z36" s="156">
        <f t="shared" si="0"/>
        <v>5.5840954943230714E-2</v>
      </c>
      <c r="AA36" s="149"/>
      <c r="AE36" s="157"/>
      <c r="AF36" s="157"/>
      <c r="AH36" s="157"/>
    </row>
    <row r="37" spans="2:34" ht="41.25" customHeight="1" x14ac:dyDescent="0.65">
      <c r="B37" s="153" t="s">
        <v>184</v>
      </c>
      <c r="C37" s="149"/>
      <c r="D37" s="154">
        <v>28000000</v>
      </c>
      <c r="E37" s="154"/>
      <c r="F37" s="154">
        <v>58352955715</v>
      </c>
      <c r="G37" s="154"/>
      <c r="H37" s="154">
        <v>60565478400</v>
      </c>
      <c r="I37" s="154">
        <v>4413084975</v>
      </c>
      <c r="J37" s="154">
        <v>0</v>
      </c>
      <c r="K37" s="154"/>
      <c r="L37" s="154">
        <v>0</v>
      </c>
      <c r="M37" s="154">
        <v>9102861790</v>
      </c>
      <c r="N37" s="154">
        <v>-3000000</v>
      </c>
      <c r="O37" s="154"/>
      <c r="P37" s="154">
        <v>6320238252</v>
      </c>
      <c r="Q37" s="154"/>
      <c r="R37" s="154">
        <v>25000000</v>
      </c>
      <c r="S37" s="154"/>
      <c r="T37" s="154">
        <v>2320</v>
      </c>
      <c r="U37" s="154"/>
      <c r="V37" s="154">
        <v>52100853316</v>
      </c>
      <c r="W37" s="154"/>
      <c r="X37" s="154">
        <v>57654900000</v>
      </c>
      <c r="Y37" s="155"/>
      <c r="Z37" s="156">
        <f t="shared" si="0"/>
        <v>7.8957931366132311E-3</v>
      </c>
      <c r="AA37" s="149"/>
      <c r="AE37" s="157"/>
      <c r="AF37" s="157"/>
      <c r="AH37" s="157"/>
    </row>
    <row r="38" spans="2:34" ht="41.25" customHeight="1" x14ac:dyDescent="0.65">
      <c r="B38" s="153" t="s">
        <v>147</v>
      </c>
      <c r="C38" s="149"/>
      <c r="D38" s="154">
        <v>10000000</v>
      </c>
      <c r="E38" s="154"/>
      <c r="F38" s="154">
        <v>118540901629</v>
      </c>
      <c r="G38" s="154"/>
      <c r="H38" s="154">
        <v>92645460000</v>
      </c>
      <c r="I38" s="154">
        <v>614223495000</v>
      </c>
      <c r="J38" s="154">
        <v>0</v>
      </c>
      <c r="K38" s="154"/>
      <c r="L38" s="154">
        <v>0</v>
      </c>
      <c r="M38" s="154"/>
      <c r="N38" s="154">
        <v>-8000000</v>
      </c>
      <c r="O38" s="154"/>
      <c r="P38" s="154">
        <v>78327784276</v>
      </c>
      <c r="Q38" s="154"/>
      <c r="R38" s="154">
        <v>2000000</v>
      </c>
      <c r="S38" s="154"/>
      <c r="T38" s="154">
        <v>11100</v>
      </c>
      <c r="U38" s="154"/>
      <c r="V38" s="154">
        <v>23708180334</v>
      </c>
      <c r="W38" s="154"/>
      <c r="X38" s="154">
        <v>22067910000</v>
      </c>
      <c r="Y38" s="155"/>
      <c r="Z38" s="156">
        <f t="shared" si="0"/>
        <v>3.0221828902209265E-3</v>
      </c>
      <c r="AA38" s="149"/>
      <c r="AE38" s="157"/>
      <c r="AF38" s="157"/>
      <c r="AH38" s="157"/>
    </row>
    <row r="39" spans="2:34" ht="41.25" customHeight="1" x14ac:dyDescent="0.65">
      <c r="B39" s="153" t="s">
        <v>134</v>
      </c>
      <c r="C39" s="149"/>
      <c r="D39" s="154">
        <v>12900000</v>
      </c>
      <c r="E39" s="154"/>
      <c r="F39" s="154">
        <v>291547971123</v>
      </c>
      <c r="G39" s="154"/>
      <c r="H39" s="154">
        <v>169395066450</v>
      </c>
      <c r="I39" s="154">
        <v>72158089500</v>
      </c>
      <c r="J39" s="154">
        <v>0</v>
      </c>
      <c r="K39" s="154"/>
      <c r="L39" s="154">
        <v>0</v>
      </c>
      <c r="M39" s="154"/>
      <c r="N39" s="154">
        <v>-900000</v>
      </c>
      <c r="O39" s="154"/>
      <c r="P39" s="154">
        <v>13691571754</v>
      </c>
      <c r="Q39" s="154"/>
      <c r="R39" s="154">
        <v>12000000</v>
      </c>
      <c r="S39" s="154"/>
      <c r="T39" s="154">
        <v>15300</v>
      </c>
      <c r="U39" s="154"/>
      <c r="V39" s="154">
        <v>271207414995</v>
      </c>
      <c r="W39" s="154"/>
      <c r="X39" s="154">
        <v>182507580000</v>
      </c>
      <c r="Y39" s="155"/>
      <c r="Z39" s="156">
        <f t="shared" si="0"/>
        <v>2.4994269308313607E-2</v>
      </c>
      <c r="AA39" s="149"/>
      <c r="AE39" s="157"/>
      <c r="AF39" s="157"/>
      <c r="AH39" s="157"/>
    </row>
    <row r="40" spans="2:34" ht="41.25" customHeight="1" x14ac:dyDescent="0.65">
      <c r="B40" s="153" t="s">
        <v>124</v>
      </c>
      <c r="C40" s="149"/>
      <c r="D40" s="154">
        <v>40000000</v>
      </c>
      <c r="E40" s="154"/>
      <c r="F40" s="154">
        <v>399032730193</v>
      </c>
      <c r="G40" s="154"/>
      <c r="H40" s="154">
        <v>337579380000</v>
      </c>
      <c r="I40" s="154">
        <v>266156887500</v>
      </c>
      <c r="J40" s="154">
        <v>0</v>
      </c>
      <c r="K40" s="154"/>
      <c r="L40" s="154">
        <v>0</v>
      </c>
      <c r="M40" s="154"/>
      <c r="N40" s="154">
        <v>0</v>
      </c>
      <c r="O40" s="154"/>
      <c r="P40" s="154">
        <v>0</v>
      </c>
      <c r="Q40" s="154"/>
      <c r="R40" s="154">
        <v>40000000</v>
      </c>
      <c r="S40" s="154"/>
      <c r="T40" s="154">
        <v>10080</v>
      </c>
      <c r="U40" s="154"/>
      <c r="V40" s="154">
        <v>399032730193</v>
      </c>
      <c r="W40" s="154"/>
      <c r="X40" s="154">
        <v>400800960000</v>
      </c>
      <c r="Y40" s="155"/>
      <c r="Z40" s="156">
        <f t="shared" si="0"/>
        <v>5.488937573590439E-2</v>
      </c>
      <c r="AA40" s="149"/>
      <c r="AE40" s="157"/>
      <c r="AF40" s="157"/>
      <c r="AH40" s="157"/>
    </row>
    <row r="41" spans="2:34" ht="41.25" customHeight="1" x14ac:dyDescent="0.65">
      <c r="B41" s="153" t="s">
        <v>199</v>
      </c>
      <c r="C41" s="149"/>
      <c r="D41" s="154">
        <v>10000000</v>
      </c>
      <c r="E41" s="154"/>
      <c r="F41" s="154">
        <v>56454832765</v>
      </c>
      <c r="G41" s="154"/>
      <c r="H41" s="154">
        <v>48310830000</v>
      </c>
      <c r="I41" s="154">
        <v>341244168290.41498</v>
      </c>
      <c r="J41" s="154">
        <v>0</v>
      </c>
      <c r="K41" s="154"/>
      <c r="L41" s="154">
        <v>0</v>
      </c>
      <c r="M41" s="154"/>
      <c r="N41" s="154">
        <v>-10000000</v>
      </c>
      <c r="O41" s="154"/>
      <c r="P41" s="154">
        <v>38860864777</v>
      </c>
      <c r="Q41" s="154"/>
      <c r="R41" s="154">
        <v>0</v>
      </c>
      <c r="S41" s="154"/>
      <c r="T41" s="154">
        <v>0</v>
      </c>
      <c r="U41" s="154"/>
      <c r="V41" s="154">
        <v>0</v>
      </c>
      <c r="W41" s="154"/>
      <c r="X41" s="154">
        <v>0</v>
      </c>
      <c r="Y41" s="155"/>
      <c r="Z41" s="156">
        <f t="shared" ref="Z41:Z58" si="1">X41/$Z$69</f>
        <v>0</v>
      </c>
      <c r="AA41" s="149"/>
      <c r="AE41" s="157"/>
      <c r="AF41" s="157"/>
      <c r="AH41" s="157"/>
    </row>
    <row r="42" spans="2:34" ht="41.25" customHeight="1" x14ac:dyDescent="0.65">
      <c r="B42" s="153" t="s">
        <v>238</v>
      </c>
      <c r="C42" s="149"/>
      <c r="D42" s="154">
        <v>2035713</v>
      </c>
      <c r="E42" s="154"/>
      <c r="F42" s="154">
        <v>103932356668</v>
      </c>
      <c r="G42" s="154"/>
      <c r="H42" s="154">
        <v>121416030459</v>
      </c>
      <c r="I42" s="154">
        <v>484002945000</v>
      </c>
      <c r="J42" s="154">
        <v>0</v>
      </c>
      <c r="K42" s="154"/>
      <c r="L42" s="154">
        <v>0</v>
      </c>
      <c r="M42" s="154"/>
      <c r="N42" s="154">
        <v>-2035713</v>
      </c>
      <c r="O42" s="154"/>
      <c r="P42" s="154">
        <v>137755574821</v>
      </c>
      <c r="Q42" s="154"/>
      <c r="R42" s="154">
        <v>0</v>
      </c>
      <c r="S42" s="154"/>
      <c r="T42" s="154">
        <v>0</v>
      </c>
      <c r="U42" s="154"/>
      <c r="V42" s="154">
        <v>0</v>
      </c>
      <c r="W42" s="154"/>
      <c r="X42" s="154">
        <v>0</v>
      </c>
      <c r="Y42" s="155"/>
      <c r="Z42" s="156">
        <f t="shared" si="1"/>
        <v>0</v>
      </c>
      <c r="AA42" s="149"/>
      <c r="AE42" s="157"/>
      <c r="AF42" s="157"/>
      <c r="AH42" s="157"/>
    </row>
    <row r="43" spans="2:34" ht="41.25" customHeight="1" x14ac:dyDescent="0.65">
      <c r="B43" s="153" t="s">
        <v>229</v>
      </c>
      <c r="C43" s="149"/>
      <c r="D43" s="154">
        <v>26228</v>
      </c>
      <c r="E43" s="154"/>
      <c r="F43" s="154">
        <v>149809255586</v>
      </c>
      <c r="G43" s="154"/>
      <c r="H43" s="154">
        <v>327534130950.40002</v>
      </c>
      <c r="I43" s="154">
        <v>62923365000</v>
      </c>
      <c r="J43" s="154">
        <v>0</v>
      </c>
      <c r="K43" s="154"/>
      <c r="L43" s="154">
        <v>0</v>
      </c>
      <c r="M43" s="154"/>
      <c r="N43" s="154">
        <v>-26228</v>
      </c>
      <c r="O43" s="154"/>
      <c r="P43" s="154">
        <v>356337108208</v>
      </c>
      <c r="Q43" s="154"/>
      <c r="R43" s="154">
        <v>0</v>
      </c>
      <c r="S43" s="154"/>
      <c r="T43" s="154">
        <v>0</v>
      </c>
      <c r="U43" s="154"/>
      <c r="V43" s="154">
        <v>0</v>
      </c>
      <c r="W43" s="154"/>
      <c r="X43" s="154">
        <v>0</v>
      </c>
      <c r="Y43" s="155"/>
      <c r="Z43" s="156">
        <f t="shared" si="1"/>
        <v>0</v>
      </c>
      <c r="AA43" s="149"/>
      <c r="AE43" s="157"/>
      <c r="AF43" s="157"/>
      <c r="AH43" s="157"/>
    </row>
    <row r="44" spans="2:34" ht="41.25" customHeight="1" x14ac:dyDescent="0.65">
      <c r="B44" s="153" t="s">
        <v>125</v>
      </c>
      <c r="C44" s="149"/>
      <c r="D44" s="154">
        <v>40000000</v>
      </c>
      <c r="E44" s="154"/>
      <c r="F44" s="154">
        <v>258409850710</v>
      </c>
      <c r="G44" s="154"/>
      <c r="H44" s="154">
        <v>275948280000</v>
      </c>
      <c r="I44" s="154">
        <v>50179644000</v>
      </c>
      <c r="J44" s="154">
        <v>50922576</v>
      </c>
      <c r="K44" s="154"/>
      <c r="L44" s="154">
        <v>404195810524</v>
      </c>
      <c r="M44" s="154"/>
      <c r="N44" s="154">
        <v>-922576</v>
      </c>
      <c r="O44" s="154"/>
      <c r="P44" s="154">
        <v>7065476177</v>
      </c>
      <c r="Q44" s="154"/>
      <c r="R44" s="154">
        <v>90000000</v>
      </c>
      <c r="S44" s="154"/>
      <c r="T44" s="154">
        <v>8260</v>
      </c>
      <c r="U44" s="154"/>
      <c r="V44" s="154">
        <v>656110301933</v>
      </c>
      <c r="W44" s="154"/>
      <c r="X44" s="154">
        <v>738976770000</v>
      </c>
      <c r="Y44" s="155"/>
      <c r="Z44" s="156">
        <f t="shared" si="1"/>
        <v>0.10120228651307372</v>
      </c>
      <c r="AA44" s="149"/>
      <c r="AE44" s="157"/>
      <c r="AF44" s="157"/>
      <c r="AH44" s="157"/>
    </row>
    <row r="45" spans="2:34" ht="41.25" customHeight="1" x14ac:dyDescent="0.65">
      <c r="B45" s="153" t="s">
        <v>179</v>
      </c>
      <c r="C45" s="149"/>
      <c r="D45" s="154">
        <v>3097352</v>
      </c>
      <c r="E45" s="154"/>
      <c r="F45" s="154">
        <v>23803419669</v>
      </c>
      <c r="G45" s="154"/>
      <c r="H45" s="154">
        <v>22260611522.987999</v>
      </c>
      <c r="I45" s="154">
        <v>159048000000</v>
      </c>
      <c r="J45" s="154">
        <v>1200000</v>
      </c>
      <c r="K45" s="154"/>
      <c r="L45" s="154">
        <v>9077399052</v>
      </c>
      <c r="M45" s="154"/>
      <c r="N45" s="154">
        <v>-4297352</v>
      </c>
      <c r="O45" s="154"/>
      <c r="P45" s="154">
        <v>32192653049</v>
      </c>
      <c r="Q45" s="154"/>
      <c r="R45" s="154">
        <v>0</v>
      </c>
      <c r="S45" s="154"/>
      <c r="T45" s="154">
        <v>0</v>
      </c>
      <c r="U45" s="154"/>
      <c r="V45" s="154">
        <v>0</v>
      </c>
      <c r="W45" s="154"/>
      <c r="X45" s="154">
        <v>0</v>
      </c>
      <c r="Y45" s="155"/>
      <c r="Z45" s="156">
        <f t="shared" si="1"/>
        <v>0</v>
      </c>
      <c r="AA45" s="149"/>
      <c r="AE45" s="157"/>
      <c r="AF45" s="157"/>
      <c r="AH45" s="157"/>
    </row>
    <row r="46" spans="2:34" ht="41.25" customHeight="1" x14ac:dyDescent="0.65">
      <c r="B46" s="153" t="s">
        <v>168</v>
      </c>
      <c r="C46" s="149"/>
      <c r="D46" s="154">
        <v>1000</v>
      </c>
      <c r="E46" s="154"/>
      <c r="F46" s="154">
        <v>19398366</v>
      </c>
      <c r="G46" s="154"/>
      <c r="H46" s="154">
        <v>21729933</v>
      </c>
      <c r="I46" s="154">
        <v>52485840000</v>
      </c>
      <c r="J46" s="154">
        <v>368853</v>
      </c>
      <c r="K46" s="154"/>
      <c r="L46" s="154">
        <v>8859005105</v>
      </c>
      <c r="M46" s="154"/>
      <c r="N46" s="154">
        <v>0</v>
      </c>
      <c r="O46" s="154"/>
      <c r="P46" s="154">
        <v>0</v>
      </c>
      <c r="Q46" s="154"/>
      <c r="R46" s="154">
        <v>369853</v>
      </c>
      <c r="S46" s="154"/>
      <c r="T46" s="154">
        <v>25280</v>
      </c>
      <c r="U46" s="154"/>
      <c r="V46" s="154">
        <v>8878403471</v>
      </c>
      <c r="W46" s="154"/>
      <c r="X46" s="154">
        <v>9294252031.1520004</v>
      </c>
      <c r="Y46" s="155"/>
      <c r="Z46" s="156">
        <f t="shared" si="1"/>
        <v>1.2728404940000511E-3</v>
      </c>
      <c r="AA46" s="149"/>
      <c r="AE46" s="157"/>
      <c r="AF46" s="157"/>
      <c r="AH46" s="157"/>
    </row>
    <row r="47" spans="2:34" ht="41.25" customHeight="1" x14ac:dyDescent="0.65">
      <c r="B47" s="153" t="s">
        <v>126</v>
      </c>
      <c r="C47" s="149"/>
      <c r="D47" s="154">
        <v>20000000</v>
      </c>
      <c r="E47" s="154"/>
      <c r="F47" s="154">
        <v>76210606152</v>
      </c>
      <c r="G47" s="154"/>
      <c r="H47" s="154">
        <v>44334630000</v>
      </c>
      <c r="I47" s="154">
        <v>151789446900</v>
      </c>
      <c r="J47" s="154">
        <v>42000000</v>
      </c>
      <c r="K47" s="154"/>
      <c r="L47" s="154">
        <v>102387506130</v>
      </c>
      <c r="M47" s="154"/>
      <c r="N47" s="154">
        <v>-32000000</v>
      </c>
      <c r="O47" s="154"/>
      <c r="P47" s="154">
        <v>87647971297</v>
      </c>
      <c r="Q47" s="154"/>
      <c r="R47" s="154">
        <v>30000000</v>
      </c>
      <c r="S47" s="154"/>
      <c r="T47" s="154">
        <v>2772</v>
      </c>
      <c r="U47" s="154"/>
      <c r="V47" s="154">
        <v>86418441429</v>
      </c>
      <c r="W47" s="154"/>
      <c r="X47" s="154">
        <v>82665198000</v>
      </c>
      <c r="Y47" s="155"/>
      <c r="Z47" s="156">
        <f t="shared" si="1"/>
        <v>1.1320933745530282E-2</v>
      </c>
      <c r="AA47" s="149"/>
      <c r="AE47" s="157"/>
      <c r="AF47" s="157"/>
      <c r="AH47" s="157"/>
    </row>
    <row r="48" spans="2:34" ht="41.25" customHeight="1" x14ac:dyDescent="0.65">
      <c r="B48" s="153" t="s">
        <v>186</v>
      </c>
      <c r="C48" s="149"/>
      <c r="D48" s="154">
        <v>60000000</v>
      </c>
      <c r="E48" s="154"/>
      <c r="F48" s="154">
        <v>98042294767</v>
      </c>
      <c r="G48" s="154"/>
      <c r="H48" s="154">
        <v>90657360000</v>
      </c>
      <c r="I48" s="154">
        <v>415115280000</v>
      </c>
      <c r="J48" s="154">
        <v>0</v>
      </c>
      <c r="K48" s="154"/>
      <c r="L48" s="154">
        <v>0</v>
      </c>
      <c r="M48" s="154"/>
      <c r="N48" s="154">
        <v>0</v>
      </c>
      <c r="O48" s="154"/>
      <c r="P48" s="154">
        <v>0</v>
      </c>
      <c r="Q48" s="154"/>
      <c r="R48" s="154">
        <v>60000000</v>
      </c>
      <c r="S48" s="154"/>
      <c r="T48" s="154">
        <v>1833</v>
      </c>
      <c r="U48" s="154"/>
      <c r="V48" s="154">
        <v>98042294767</v>
      </c>
      <c r="W48" s="154"/>
      <c r="X48" s="154">
        <v>109325619000</v>
      </c>
      <c r="Y48" s="155"/>
      <c r="Z48" s="156">
        <f t="shared" si="1"/>
        <v>1.4972057399391779E-2</v>
      </c>
      <c r="AA48" s="149"/>
      <c r="AE48" s="157"/>
      <c r="AF48" s="157"/>
      <c r="AH48" s="157"/>
    </row>
    <row r="49" spans="2:34" ht="41.25" customHeight="1" x14ac:dyDescent="0.65">
      <c r="B49" s="153" t="s">
        <v>127</v>
      </c>
      <c r="C49" s="149"/>
      <c r="D49" s="154">
        <v>1000</v>
      </c>
      <c r="E49" s="154"/>
      <c r="F49" s="154">
        <v>16436086</v>
      </c>
      <c r="G49" s="154"/>
      <c r="H49" s="154">
        <v>11640325.5</v>
      </c>
      <c r="I49" s="154">
        <v>97426840500</v>
      </c>
      <c r="J49" s="154">
        <v>0</v>
      </c>
      <c r="K49" s="154"/>
      <c r="L49" s="154">
        <v>0</v>
      </c>
      <c r="M49" s="154"/>
      <c r="N49" s="154">
        <v>0</v>
      </c>
      <c r="O49" s="154"/>
      <c r="P49" s="154">
        <v>0</v>
      </c>
      <c r="Q49" s="154"/>
      <c r="R49" s="154">
        <v>1000</v>
      </c>
      <c r="S49" s="154"/>
      <c r="T49" s="154">
        <v>13580</v>
      </c>
      <c r="U49" s="154"/>
      <c r="V49" s="154">
        <v>16436086</v>
      </c>
      <c r="W49" s="154"/>
      <c r="X49" s="154">
        <v>13499199</v>
      </c>
      <c r="Y49" s="155"/>
      <c r="Z49" s="156">
        <f t="shared" si="1"/>
        <v>1.848704668882891E-6</v>
      </c>
      <c r="AA49" s="149"/>
      <c r="AE49" s="157"/>
      <c r="AF49" s="157"/>
      <c r="AH49" s="157"/>
    </row>
    <row r="50" spans="2:34" ht="41.25" customHeight="1" x14ac:dyDescent="0.65">
      <c r="B50" s="153" t="s">
        <v>154</v>
      </c>
      <c r="C50" s="149"/>
      <c r="D50" s="154">
        <v>1000</v>
      </c>
      <c r="E50" s="154"/>
      <c r="F50" s="154">
        <v>17215709</v>
      </c>
      <c r="G50" s="154"/>
      <c r="H50" s="154">
        <v>12028005</v>
      </c>
      <c r="I50" s="154">
        <v>56813933700</v>
      </c>
      <c r="J50" s="154">
        <v>0</v>
      </c>
      <c r="K50" s="154"/>
      <c r="L50" s="154">
        <v>0</v>
      </c>
      <c r="M50" s="154"/>
      <c r="N50" s="154">
        <v>0</v>
      </c>
      <c r="O50" s="154"/>
      <c r="P50" s="154">
        <v>0</v>
      </c>
      <c r="Q50" s="154"/>
      <c r="R50" s="154">
        <v>1000</v>
      </c>
      <c r="S50" s="154"/>
      <c r="T50" s="154">
        <v>13920</v>
      </c>
      <c r="U50" s="154"/>
      <c r="V50" s="154">
        <v>17215709</v>
      </c>
      <c r="W50" s="154"/>
      <c r="X50" s="154">
        <v>13837176</v>
      </c>
      <c r="Y50" s="155"/>
      <c r="Z50" s="156">
        <f t="shared" si="1"/>
        <v>1.8949903527871755E-6</v>
      </c>
      <c r="AA50" s="149"/>
      <c r="AE50" s="157"/>
      <c r="AF50" s="157"/>
      <c r="AH50" s="157"/>
    </row>
    <row r="51" spans="2:34" ht="41.25" customHeight="1" x14ac:dyDescent="0.65">
      <c r="B51" s="153" t="s">
        <v>128</v>
      </c>
      <c r="C51" s="149"/>
      <c r="D51" s="154">
        <v>4599800</v>
      </c>
      <c r="E51" s="154"/>
      <c r="F51" s="154">
        <v>254929152360</v>
      </c>
      <c r="G51" s="154"/>
      <c r="H51" s="154">
        <v>256513389759</v>
      </c>
      <c r="I51" s="154">
        <v>24781666.5</v>
      </c>
      <c r="J51" s="154">
        <v>0</v>
      </c>
      <c r="K51" s="154"/>
      <c r="L51" s="154">
        <v>0</v>
      </c>
      <c r="M51" s="154"/>
      <c r="N51" s="154">
        <v>-1599800</v>
      </c>
      <c r="O51" s="154"/>
      <c r="P51" s="154">
        <v>103343959710</v>
      </c>
      <c r="Q51" s="154"/>
      <c r="R51" s="154">
        <v>3000000</v>
      </c>
      <c r="S51" s="154"/>
      <c r="T51" s="154">
        <v>67370</v>
      </c>
      <c r="U51" s="154"/>
      <c r="V51" s="154">
        <v>166265371774</v>
      </c>
      <c r="W51" s="154"/>
      <c r="X51" s="154">
        <v>200907445500</v>
      </c>
      <c r="Y51" s="155"/>
      <c r="Z51" s="156">
        <f t="shared" si="1"/>
        <v>2.7514116393808623E-2</v>
      </c>
      <c r="AA51" s="149"/>
      <c r="AE51" s="157"/>
      <c r="AF51" s="157"/>
      <c r="AH51" s="157"/>
    </row>
    <row r="52" spans="2:34" ht="41.25" customHeight="1" x14ac:dyDescent="0.65">
      <c r="B52" s="153" t="s">
        <v>137</v>
      </c>
      <c r="C52" s="149"/>
      <c r="D52" s="154">
        <v>7000000</v>
      </c>
      <c r="E52" s="154"/>
      <c r="F52" s="154">
        <v>66833715037</v>
      </c>
      <c r="G52" s="154"/>
      <c r="H52" s="154">
        <v>65686824000</v>
      </c>
      <c r="I52" s="154">
        <v>149862978000</v>
      </c>
      <c r="J52" s="154">
        <v>5700000</v>
      </c>
      <c r="K52" s="154"/>
      <c r="L52" s="154">
        <v>59608958828</v>
      </c>
      <c r="M52" s="154"/>
      <c r="N52" s="154">
        <v>-700000</v>
      </c>
      <c r="O52" s="154"/>
      <c r="P52" s="154">
        <v>7881849379</v>
      </c>
      <c r="Q52" s="154"/>
      <c r="R52" s="154">
        <v>12000000</v>
      </c>
      <c r="S52" s="154"/>
      <c r="T52" s="154">
        <v>12870</v>
      </c>
      <c r="U52" s="154"/>
      <c r="V52" s="154">
        <v>119473392630</v>
      </c>
      <c r="W52" s="154"/>
      <c r="X52" s="154">
        <v>153521082000</v>
      </c>
      <c r="Y52" s="155"/>
      <c r="Z52" s="156">
        <f t="shared" si="1"/>
        <v>2.1024591241699093E-2</v>
      </c>
      <c r="AA52" s="149"/>
      <c r="AE52" s="157"/>
      <c r="AF52" s="157"/>
      <c r="AH52" s="157"/>
    </row>
    <row r="53" spans="2:34" ht="41.25" customHeight="1" x14ac:dyDescent="0.65">
      <c r="B53" s="153" t="s">
        <v>129</v>
      </c>
      <c r="C53" s="149"/>
      <c r="D53" s="154">
        <v>1000</v>
      </c>
      <c r="E53" s="154"/>
      <c r="F53" s="154">
        <v>483356</v>
      </c>
      <c r="G53" s="154"/>
      <c r="H53" s="154">
        <v>384697.35</v>
      </c>
      <c r="I53" s="154">
        <v>142188912000</v>
      </c>
      <c r="J53" s="154">
        <v>0</v>
      </c>
      <c r="K53" s="154"/>
      <c r="L53" s="154">
        <v>0</v>
      </c>
      <c r="M53" s="154"/>
      <c r="N53" s="154">
        <v>0</v>
      </c>
      <c r="O53" s="154"/>
      <c r="P53" s="154">
        <v>0</v>
      </c>
      <c r="Q53" s="154"/>
      <c r="R53" s="154">
        <v>1000</v>
      </c>
      <c r="S53" s="154"/>
      <c r="T53" s="154">
        <v>473</v>
      </c>
      <c r="U53" s="154"/>
      <c r="V53" s="154">
        <v>483356</v>
      </c>
      <c r="W53" s="154"/>
      <c r="X53" s="154">
        <v>470185.65</v>
      </c>
      <c r="Y53" s="155"/>
      <c r="Z53" s="156">
        <f t="shared" si="1"/>
        <v>6.4391554372725144E-8</v>
      </c>
      <c r="AA53" s="149"/>
      <c r="AE53" s="157"/>
      <c r="AF53" s="157"/>
      <c r="AH53" s="157"/>
    </row>
    <row r="54" spans="2:34" ht="41.25" customHeight="1" x14ac:dyDescent="0.65">
      <c r="B54" s="153" t="s">
        <v>172</v>
      </c>
      <c r="C54" s="149"/>
      <c r="D54" s="154">
        <v>175000</v>
      </c>
      <c r="E54" s="154"/>
      <c r="F54" s="154">
        <v>6829900358</v>
      </c>
      <c r="G54" s="154"/>
      <c r="H54" s="154">
        <v>7454132429</v>
      </c>
      <c r="I54" s="154">
        <v>16610575.5</v>
      </c>
      <c r="J54" s="154">
        <v>0</v>
      </c>
      <c r="K54" s="154"/>
      <c r="L54" s="154">
        <v>0</v>
      </c>
      <c r="M54" s="154"/>
      <c r="N54" s="154">
        <v>0</v>
      </c>
      <c r="O54" s="154"/>
      <c r="P54" s="154">
        <v>0</v>
      </c>
      <c r="Q54" s="154"/>
      <c r="R54" s="154">
        <v>175000</v>
      </c>
      <c r="S54" s="154"/>
      <c r="T54" s="154">
        <v>47500</v>
      </c>
      <c r="U54" s="154"/>
      <c r="V54" s="154">
        <v>6829900358</v>
      </c>
      <c r="W54" s="154"/>
      <c r="X54" s="154">
        <v>8263040625</v>
      </c>
      <c r="Y54" s="155"/>
      <c r="Z54" s="156">
        <f t="shared" si="1"/>
        <v>1.1316169042775428E-3</v>
      </c>
      <c r="AA54" s="149"/>
      <c r="AE54" s="157"/>
      <c r="AF54" s="157"/>
      <c r="AH54" s="157"/>
    </row>
    <row r="55" spans="2:34" ht="41.25" customHeight="1" x14ac:dyDescent="0.65">
      <c r="B55" s="153" t="s">
        <v>130</v>
      </c>
      <c r="C55" s="149"/>
      <c r="D55" s="154">
        <v>1000</v>
      </c>
      <c r="E55" s="154"/>
      <c r="F55" s="154">
        <v>2644103</v>
      </c>
      <c r="G55" s="154"/>
      <c r="H55" s="154">
        <v>1646146.8</v>
      </c>
      <c r="I55" s="154">
        <v>16988314.5</v>
      </c>
      <c r="J55" s="154">
        <v>0</v>
      </c>
      <c r="K55" s="154"/>
      <c r="L55" s="154">
        <v>0</v>
      </c>
      <c r="M55" s="154"/>
      <c r="N55" s="154">
        <v>0</v>
      </c>
      <c r="O55" s="154"/>
      <c r="P55" s="154">
        <v>0</v>
      </c>
      <c r="Q55" s="154"/>
      <c r="R55" s="154">
        <v>1000</v>
      </c>
      <c r="S55" s="154"/>
      <c r="T55" s="154">
        <v>2031</v>
      </c>
      <c r="U55" s="154"/>
      <c r="V55" s="154">
        <v>2644103</v>
      </c>
      <c r="W55" s="154"/>
      <c r="X55" s="154">
        <v>2018915.55</v>
      </c>
      <c r="Y55" s="155"/>
      <c r="Z55" s="156">
        <f t="shared" si="1"/>
        <v>2.7648889414588747E-7</v>
      </c>
      <c r="AA55" s="149"/>
      <c r="AE55" s="157"/>
      <c r="AF55" s="157"/>
      <c r="AH55" s="157"/>
    </row>
    <row r="56" spans="2:34" ht="41.25" customHeight="1" x14ac:dyDescent="0.65">
      <c r="B56" s="153" t="s">
        <v>131</v>
      </c>
      <c r="C56" s="149"/>
      <c r="D56" s="154">
        <v>10383580</v>
      </c>
      <c r="E56" s="154"/>
      <c r="F56" s="154">
        <v>29005110759</v>
      </c>
      <c r="G56" s="154"/>
      <c r="H56" s="154">
        <v>19353370685.625</v>
      </c>
      <c r="I56" s="154">
        <v>308105797500</v>
      </c>
      <c r="J56" s="154">
        <v>0</v>
      </c>
      <c r="K56" s="154"/>
      <c r="L56" s="154">
        <v>0</v>
      </c>
      <c r="M56" s="154"/>
      <c r="N56" s="154">
        <v>-383580</v>
      </c>
      <c r="O56" s="154"/>
      <c r="P56" s="154">
        <v>900415942</v>
      </c>
      <c r="Q56" s="154"/>
      <c r="R56" s="154">
        <v>10000000</v>
      </c>
      <c r="S56" s="154"/>
      <c r="T56" s="154">
        <v>2599</v>
      </c>
      <c r="U56" s="154"/>
      <c r="V56" s="154">
        <v>27933632484</v>
      </c>
      <c r="W56" s="154"/>
      <c r="X56" s="154">
        <v>25835359500</v>
      </c>
      <c r="Y56" s="155"/>
      <c r="Z56" s="156">
        <f t="shared" si="1"/>
        <v>3.5381321313892738E-3</v>
      </c>
      <c r="AA56" s="149"/>
      <c r="AE56" s="157"/>
      <c r="AF56" s="157"/>
      <c r="AH56" s="157"/>
    </row>
    <row r="57" spans="2:34" ht="41.25" customHeight="1" x14ac:dyDescent="0.65">
      <c r="B57" s="153" t="s">
        <v>132</v>
      </c>
      <c r="C57" s="149"/>
      <c r="D57" s="154">
        <v>60703951</v>
      </c>
      <c r="E57" s="154"/>
      <c r="F57" s="154">
        <v>353235302647</v>
      </c>
      <c r="G57" s="154"/>
      <c r="H57" s="154">
        <v>354212015825.39801</v>
      </c>
      <c r="I57" s="154">
        <v>227635959360</v>
      </c>
      <c r="J57" s="154">
        <v>17300000</v>
      </c>
      <c r="K57" s="154"/>
      <c r="L57" s="154">
        <v>119578676797</v>
      </c>
      <c r="M57" s="154"/>
      <c r="N57" s="154">
        <v>-3951</v>
      </c>
      <c r="O57" s="154"/>
      <c r="P57" s="154">
        <v>23608739</v>
      </c>
      <c r="Q57" s="154"/>
      <c r="R57" s="154">
        <v>78000000</v>
      </c>
      <c r="S57" s="154"/>
      <c r="T57" s="154">
        <v>7930</v>
      </c>
      <c r="U57" s="154"/>
      <c r="V57" s="154">
        <v>472790988639</v>
      </c>
      <c r="W57" s="154"/>
      <c r="X57" s="154">
        <v>614859687000</v>
      </c>
      <c r="Y57" s="155"/>
      <c r="Z57" s="156">
        <f t="shared" si="1"/>
        <v>8.4204549771047382E-2</v>
      </c>
      <c r="AA57" s="149"/>
      <c r="AE57" s="157"/>
      <c r="AF57" s="157"/>
      <c r="AH57" s="157"/>
    </row>
    <row r="58" spans="2:34" ht="41.25" customHeight="1" x14ac:dyDescent="0.65">
      <c r="B58" s="153" t="s">
        <v>185</v>
      </c>
      <c r="C58" s="149"/>
      <c r="D58" s="154">
        <v>6000000</v>
      </c>
      <c r="E58" s="154"/>
      <c r="F58" s="154">
        <v>36049243187</v>
      </c>
      <c r="G58" s="154"/>
      <c r="H58" s="154">
        <v>29881143000</v>
      </c>
      <c r="I58" s="154">
        <v>289349068050</v>
      </c>
      <c r="J58" s="154">
        <v>0</v>
      </c>
      <c r="K58" s="154"/>
      <c r="L58" s="154">
        <v>0</v>
      </c>
      <c r="M58" s="154"/>
      <c r="N58" s="154">
        <v>-3000000</v>
      </c>
      <c r="O58" s="154"/>
      <c r="P58" s="154">
        <v>16714268686</v>
      </c>
      <c r="Q58" s="154"/>
      <c r="R58" s="154">
        <v>3000000</v>
      </c>
      <c r="S58" s="154"/>
      <c r="T58" s="154">
        <v>5570</v>
      </c>
      <c r="U58" s="154"/>
      <c r="V58" s="154">
        <v>18024621597</v>
      </c>
      <c r="W58" s="154"/>
      <c r="X58" s="154">
        <v>16610575500</v>
      </c>
      <c r="Y58" s="155"/>
      <c r="Z58" s="156">
        <f t="shared" si="1"/>
        <v>2.2748052295311566E-3</v>
      </c>
      <c r="AA58" s="149"/>
      <c r="AE58" s="157"/>
      <c r="AF58" s="157"/>
      <c r="AH58" s="157"/>
    </row>
    <row r="59" spans="2:34" ht="41.25" customHeight="1" x14ac:dyDescent="0.65">
      <c r="B59" s="153" t="s">
        <v>142</v>
      </c>
      <c r="C59" s="149"/>
      <c r="D59" s="154">
        <v>35000000</v>
      </c>
      <c r="E59" s="154"/>
      <c r="F59" s="154">
        <v>260361510798</v>
      </c>
      <c r="G59" s="154"/>
      <c r="H59" s="154">
        <v>206315077500</v>
      </c>
      <c r="I59" s="154"/>
      <c r="J59" s="154">
        <v>0</v>
      </c>
      <c r="K59" s="154"/>
      <c r="L59" s="154">
        <v>0</v>
      </c>
      <c r="M59" s="154"/>
      <c r="N59" s="154">
        <v>-5000000</v>
      </c>
      <c r="O59" s="154"/>
      <c r="P59" s="154">
        <v>28530711234</v>
      </c>
      <c r="Q59" s="154"/>
      <c r="R59" s="154">
        <v>30000000</v>
      </c>
      <c r="S59" s="154"/>
      <c r="T59" s="154">
        <v>5590</v>
      </c>
      <c r="U59" s="154"/>
      <c r="V59" s="154">
        <v>223167009255</v>
      </c>
      <c r="W59" s="154"/>
      <c r="X59" s="154">
        <v>166702185000</v>
      </c>
      <c r="Y59" s="155"/>
      <c r="Z59" s="156">
        <f t="shared" ref="Z59:Z64" si="2">X59/$Z$69</f>
        <v>2.2829732913966186E-2</v>
      </c>
      <c r="AA59" s="149"/>
      <c r="AE59" s="157"/>
      <c r="AF59" s="157"/>
      <c r="AH59" s="157"/>
    </row>
    <row r="60" spans="2:34" ht="41.25" customHeight="1" x14ac:dyDescent="0.65">
      <c r="B60" s="153" t="s">
        <v>243</v>
      </c>
      <c r="C60" s="149"/>
      <c r="D60" s="154">
        <v>0</v>
      </c>
      <c r="E60" s="154"/>
      <c r="F60" s="154">
        <v>0</v>
      </c>
      <c r="G60" s="154"/>
      <c r="H60" s="154">
        <v>0</v>
      </c>
      <c r="I60" s="154"/>
      <c r="J60" s="154">
        <v>20000000</v>
      </c>
      <c r="K60" s="154"/>
      <c r="L60" s="154">
        <v>51445711257</v>
      </c>
      <c r="M60" s="154"/>
      <c r="N60" s="154">
        <v>0</v>
      </c>
      <c r="O60" s="154"/>
      <c r="P60" s="154">
        <v>0</v>
      </c>
      <c r="Q60" s="154"/>
      <c r="R60" s="154">
        <v>20000000</v>
      </c>
      <c r="S60" s="154"/>
      <c r="T60" s="154">
        <v>2719</v>
      </c>
      <c r="U60" s="154"/>
      <c r="V60" s="154">
        <v>51445711257</v>
      </c>
      <c r="W60" s="154"/>
      <c r="X60" s="154">
        <v>54056439000</v>
      </c>
      <c r="Y60" s="155"/>
      <c r="Z60" s="156">
        <f t="shared" si="2"/>
        <v>7.4029867373970257E-3</v>
      </c>
      <c r="AA60" s="149"/>
      <c r="AE60" s="157"/>
      <c r="AF60" s="157"/>
      <c r="AH60" s="157"/>
    </row>
    <row r="61" spans="2:34" ht="41.25" customHeight="1" x14ac:dyDescent="0.65">
      <c r="B61" s="153" t="s">
        <v>244</v>
      </c>
      <c r="C61" s="149"/>
      <c r="D61" s="154">
        <v>0</v>
      </c>
      <c r="E61" s="154"/>
      <c r="F61" s="154">
        <v>0</v>
      </c>
      <c r="G61" s="154"/>
      <c r="H61" s="154">
        <v>0</v>
      </c>
      <c r="I61" s="154"/>
      <c r="J61" s="154">
        <v>42000000</v>
      </c>
      <c r="K61" s="154"/>
      <c r="L61" s="154">
        <v>168550341611</v>
      </c>
      <c r="M61" s="154"/>
      <c r="N61" s="154">
        <v>0</v>
      </c>
      <c r="O61" s="154"/>
      <c r="P61" s="154">
        <v>0</v>
      </c>
      <c r="Q61" s="154"/>
      <c r="R61" s="154">
        <v>42000000</v>
      </c>
      <c r="S61" s="154"/>
      <c r="T61" s="154">
        <v>4128</v>
      </c>
      <c r="U61" s="154"/>
      <c r="V61" s="154">
        <v>168550341611</v>
      </c>
      <c r="W61" s="154"/>
      <c r="X61" s="154">
        <v>172344412800</v>
      </c>
      <c r="Y61" s="155"/>
      <c r="Z61" s="156">
        <f t="shared" si="2"/>
        <v>2.3602431566438889E-2</v>
      </c>
      <c r="AA61" s="149"/>
      <c r="AE61" s="157"/>
      <c r="AF61" s="157"/>
      <c r="AH61" s="157"/>
    </row>
    <row r="62" spans="2:34" ht="41.25" customHeight="1" x14ac:dyDescent="0.65">
      <c r="B62" s="153" t="s">
        <v>245</v>
      </c>
      <c r="C62" s="149"/>
      <c r="D62" s="154">
        <v>0</v>
      </c>
      <c r="E62" s="154"/>
      <c r="F62" s="154">
        <v>0</v>
      </c>
      <c r="G62" s="154"/>
      <c r="H62" s="154">
        <v>0</v>
      </c>
      <c r="I62" s="154"/>
      <c r="J62" s="154">
        <v>94429</v>
      </c>
      <c r="K62" s="154"/>
      <c r="L62" s="154">
        <v>324037299</v>
      </c>
      <c r="M62" s="154"/>
      <c r="N62" s="154">
        <v>-94429</v>
      </c>
      <c r="O62" s="154"/>
      <c r="P62" s="154">
        <v>314925979</v>
      </c>
      <c r="Q62" s="154"/>
      <c r="R62" s="154">
        <v>0</v>
      </c>
      <c r="S62" s="154"/>
      <c r="T62" s="154">
        <v>0</v>
      </c>
      <c r="U62" s="154"/>
      <c r="V62" s="154">
        <v>0</v>
      </c>
      <c r="W62" s="154"/>
      <c r="X62" s="154">
        <v>-6</v>
      </c>
      <c r="Y62" s="155"/>
      <c r="Z62" s="156">
        <f t="shared" si="2"/>
        <v>-8.2169527342306359E-13</v>
      </c>
      <c r="AA62" s="149"/>
      <c r="AE62" s="157"/>
      <c r="AF62" s="157"/>
      <c r="AH62" s="157"/>
    </row>
    <row r="63" spans="2:34" ht="41.25" customHeight="1" x14ac:dyDescent="0.65">
      <c r="B63" s="153" t="s">
        <v>246</v>
      </c>
      <c r="C63" s="149"/>
      <c r="D63" s="154">
        <v>0</v>
      </c>
      <c r="E63" s="154"/>
      <c r="F63" s="154">
        <v>0</v>
      </c>
      <c r="G63" s="154"/>
      <c r="H63" s="154">
        <v>0</v>
      </c>
      <c r="I63" s="154"/>
      <c r="J63" s="154">
        <v>14000000</v>
      </c>
      <c r="K63" s="154"/>
      <c r="L63" s="154">
        <v>46226459745</v>
      </c>
      <c r="M63" s="154"/>
      <c r="N63" s="154">
        <v>-8400000</v>
      </c>
      <c r="O63" s="154"/>
      <c r="P63" s="154">
        <v>29645764472</v>
      </c>
      <c r="Q63" s="154"/>
      <c r="R63" s="154">
        <v>5600000</v>
      </c>
      <c r="S63" s="154"/>
      <c r="T63" s="154">
        <v>3735</v>
      </c>
      <c r="U63" s="154"/>
      <c r="V63" s="154">
        <v>18490583894</v>
      </c>
      <c r="W63" s="154"/>
      <c r="X63" s="154">
        <v>20791549800</v>
      </c>
      <c r="Y63" s="155"/>
      <c r="Z63" s="156">
        <f t="shared" si="2"/>
        <v>2.8473863663000406E-3</v>
      </c>
      <c r="AA63" s="149"/>
      <c r="AE63" s="157"/>
      <c r="AF63" s="157"/>
      <c r="AH63" s="157"/>
    </row>
    <row r="64" spans="2:34" ht="41.25" customHeight="1" x14ac:dyDescent="0.65">
      <c r="B64" s="153" t="s">
        <v>247</v>
      </c>
      <c r="C64" s="149"/>
      <c r="D64" s="154">
        <v>0</v>
      </c>
      <c r="E64" s="154"/>
      <c r="F64" s="154">
        <v>0</v>
      </c>
      <c r="G64" s="154"/>
      <c r="H64" s="154">
        <v>0</v>
      </c>
      <c r="I64" s="154"/>
      <c r="J64" s="154">
        <v>31000000</v>
      </c>
      <c r="K64" s="154"/>
      <c r="L64" s="154">
        <v>194868718120</v>
      </c>
      <c r="M64" s="154"/>
      <c r="N64" s="154">
        <v>-1000000</v>
      </c>
      <c r="O64" s="154"/>
      <c r="P64" s="154">
        <v>6513037236</v>
      </c>
      <c r="Q64" s="154"/>
      <c r="R64" s="154">
        <v>30000000</v>
      </c>
      <c r="S64" s="154"/>
      <c r="T64" s="154">
        <v>6770</v>
      </c>
      <c r="U64" s="154"/>
      <c r="V64" s="154">
        <v>188582630437</v>
      </c>
      <c r="W64" s="154"/>
      <c r="X64" s="154">
        <v>201891555000</v>
      </c>
      <c r="Y64" s="155"/>
      <c r="Z64" s="156">
        <f t="shared" si="2"/>
        <v>2.7648889414588745E-2</v>
      </c>
      <c r="AA64" s="149"/>
      <c r="AE64" s="157"/>
      <c r="AF64" s="157"/>
      <c r="AH64" s="157"/>
    </row>
    <row r="65" spans="2:34" ht="41.25" customHeight="1" x14ac:dyDescent="0.65">
      <c r="B65" s="153" t="s">
        <v>248</v>
      </c>
      <c r="C65" s="149"/>
      <c r="D65" s="154">
        <v>0</v>
      </c>
      <c r="E65" s="154"/>
      <c r="F65" s="154">
        <v>0</v>
      </c>
      <c r="G65" s="154"/>
      <c r="H65" s="154">
        <v>0</v>
      </c>
      <c r="I65" s="154">
        <v>703787.4</v>
      </c>
      <c r="J65" s="154">
        <v>70000000</v>
      </c>
      <c r="K65" s="154"/>
      <c r="L65" s="154">
        <v>199449742480</v>
      </c>
      <c r="M65" s="154"/>
      <c r="N65" s="154">
        <v>0</v>
      </c>
      <c r="O65" s="154"/>
      <c r="P65" s="154">
        <v>0</v>
      </c>
      <c r="Q65" s="154"/>
      <c r="R65" s="154">
        <v>70000000</v>
      </c>
      <c r="S65" s="154"/>
      <c r="T65" s="154">
        <v>3235</v>
      </c>
      <c r="U65" s="154"/>
      <c r="V65" s="154">
        <v>199449742480</v>
      </c>
      <c r="W65" s="154"/>
      <c r="X65" s="154">
        <v>225102622500</v>
      </c>
      <c r="Y65" s="155"/>
      <c r="Z65" s="156">
        <f>X65/$Z$69</f>
        <v>3.0827626823897693E-2</v>
      </c>
      <c r="AA65" s="149"/>
      <c r="AE65" s="157"/>
      <c r="AF65" s="157"/>
      <c r="AH65" s="157"/>
    </row>
    <row r="66" spans="2:34" ht="41.25" customHeight="1" thickBot="1" x14ac:dyDescent="0.7">
      <c r="B66" s="143" t="s">
        <v>7</v>
      </c>
      <c r="C66" s="149"/>
      <c r="D66" s="134">
        <f t="shared" ref="D66:S66" si="3">SUM(D9:D65)</f>
        <v>1180257234</v>
      </c>
      <c r="E66" s="134">
        <f t="shared" si="3"/>
        <v>0</v>
      </c>
      <c r="F66" s="134">
        <f t="shared" si="3"/>
        <v>5650171043405</v>
      </c>
      <c r="G66" s="134">
        <f t="shared" si="3"/>
        <v>0</v>
      </c>
      <c r="H66" s="134">
        <f>SUM(H9:H65)</f>
        <v>5167804914415.7813</v>
      </c>
      <c r="I66" s="134">
        <f t="shared" si="3"/>
        <v>7611520667140.9756</v>
      </c>
      <c r="J66" s="134">
        <f>SUM(J9:J65)</f>
        <v>698291177</v>
      </c>
      <c r="K66" s="134">
        <f t="shared" si="3"/>
        <v>0</v>
      </c>
      <c r="L66" s="134">
        <f>SUM(L9:L65)</f>
        <v>1996570055716</v>
      </c>
      <c r="M66" s="134">
        <f t="shared" si="3"/>
        <v>9102861790</v>
      </c>
      <c r="N66" s="281">
        <f t="shared" si="3"/>
        <v>-241460061</v>
      </c>
      <c r="O66" s="134">
        <f t="shared" si="3"/>
        <v>0</v>
      </c>
      <c r="P66" s="134">
        <f t="shared" si="3"/>
        <v>1361410801049</v>
      </c>
      <c r="Q66" s="134">
        <f t="shared" si="3"/>
        <v>0</v>
      </c>
      <c r="R66" s="134">
        <f t="shared" si="3"/>
        <v>1702688350</v>
      </c>
      <c r="S66" s="134">
        <f t="shared" si="3"/>
        <v>0</v>
      </c>
      <c r="T66" s="134" t="s">
        <v>103</v>
      </c>
      <c r="U66" s="134">
        <f t="shared" ref="U66:Z66" si="4">SUM(U9:U65)</f>
        <v>0</v>
      </c>
      <c r="V66" s="134">
        <f t="shared" si="4"/>
        <v>6478262394668</v>
      </c>
      <c r="W66" s="134">
        <f t="shared" si="4"/>
        <v>0</v>
      </c>
      <c r="X66" s="134">
        <f t="shared" si="4"/>
        <v>6953575027307.3008</v>
      </c>
      <c r="Y66" s="134">
        <f t="shared" si="4"/>
        <v>0</v>
      </c>
      <c r="Z66" s="135">
        <f t="shared" si="4"/>
        <v>0.95228662222184313</v>
      </c>
      <c r="AC66" s="160"/>
    </row>
    <row r="67" spans="2:34" ht="30.75" thickTop="1" x14ac:dyDescent="0.75">
      <c r="H67" s="292"/>
      <c r="J67" s="290"/>
      <c r="L67" s="157"/>
      <c r="N67" s="291"/>
      <c r="O67" s="128"/>
      <c r="X67" s="290"/>
      <c r="Z67" s="283"/>
      <c r="AC67" s="160"/>
    </row>
    <row r="68" spans="2:34" ht="30" hidden="1" x14ac:dyDescent="0.75">
      <c r="H68" s="292"/>
      <c r="J68" s="294"/>
      <c r="W68" s="128"/>
      <c r="X68" s="291"/>
      <c r="Z68" s="283"/>
      <c r="AC68" s="160"/>
    </row>
    <row r="69" spans="2:34" ht="42.75" customHeight="1" x14ac:dyDescent="0.75">
      <c r="D69" s="157"/>
      <c r="F69" s="157"/>
      <c r="H69" s="293"/>
      <c r="J69" s="290"/>
      <c r="L69" s="157"/>
      <c r="M69" s="157"/>
      <c r="N69" s="157"/>
      <c r="O69" s="157"/>
      <c r="P69" s="157"/>
      <c r="R69" s="157"/>
      <c r="T69" s="157"/>
      <c r="V69" s="157"/>
      <c r="X69" s="260"/>
      <c r="Z69" s="322">
        <v>7301977015159</v>
      </c>
      <c r="AC69" s="160"/>
    </row>
    <row r="70" spans="2:34" ht="30" x14ac:dyDescent="0.75">
      <c r="D70" s="162"/>
      <c r="E70" s="162"/>
      <c r="F70" s="162"/>
      <c r="G70" s="162"/>
      <c r="H70" s="164"/>
      <c r="I70" s="162"/>
      <c r="J70" s="163"/>
      <c r="K70" s="162"/>
      <c r="L70" s="162"/>
      <c r="M70" s="162"/>
      <c r="N70" s="163"/>
      <c r="O70" s="162"/>
      <c r="P70" s="163"/>
      <c r="R70" s="162"/>
      <c r="S70" s="162"/>
      <c r="T70" s="162"/>
      <c r="W70" s="128"/>
      <c r="X70" s="261"/>
      <c r="Z70" s="321"/>
      <c r="AC70" s="160"/>
    </row>
    <row r="71" spans="2:34" ht="30" x14ac:dyDescent="0.75">
      <c r="H71" s="164"/>
      <c r="J71" s="162"/>
      <c r="L71" s="157"/>
      <c r="N71" s="162"/>
      <c r="P71" s="157"/>
      <c r="X71" s="164"/>
      <c r="Z71" s="154"/>
      <c r="AC71" s="160"/>
    </row>
    <row r="72" spans="2:34" x14ac:dyDescent="0.65">
      <c r="P72" s="157"/>
      <c r="X72" s="162"/>
      <c r="Z72" s="165"/>
      <c r="AC72" s="160"/>
    </row>
    <row r="73" spans="2:34" x14ac:dyDescent="0.65">
      <c r="H73" s="162"/>
      <c r="P73" s="157"/>
      <c r="AC73" s="160"/>
    </row>
    <row r="74" spans="2:34" x14ac:dyDescent="0.65">
      <c r="P74" s="157"/>
      <c r="AC74" s="160"/>
    </row>
    <row r="75" spans="2:34" x14ac:dyDescent="0.65">
      <c r="P75" s="157"/>
      <c r="AC75" s="160"/>
    </row>
    <row r="76" spans="2:34" x14ac:dyDescent="0.65">
      <c r="P76" s="157"/>
      <c r="AC76" s="160"/>
    </row>
    <row r="77" spans="2:34" x14ac:dyDescent="0.65">
      <c r="P77" s="157"/>
      <c r="AC77" s="160"/>
    </row>
    <row r="78" spans="2:34" x14ac:dyDescent="0.65">
      <c r="P78" s="157"/>
      <c r="AC78" s="160"/>
    </row>
    <row r="79" spans="2:34" x14ac:dyDescent="0.65">
      <c r="P79" s="157"/>
      <c r="AC79" s="160"/>
    </row>
    <row r="80" spans="2:34" x14ac:dyDescent="0.65">
      <c r="P80" s="157"/>
      <c r="AC80" s="160"/>
    </row>
    <row r="81" spans="16:29" x14ac:dyDescent="0.65">
      <c r="P81" s="157"/>
      <c r="AC81" s="160"/>
    </row>
    <row r="82" spans="16:29" x14ac:dyDescent="0.65">
      <c r="P82" s="157"/>
      <c r="AC82" s="160"/>
    </row>
    <row r="83" spans="16:29" x14ac:dyDescent="0.65">
      <c r="P83" s="157"/>
      <c r="AC83" s="160"/>
    </row>
    <row r="84" spans="16:29" x14ac:dyDescent="0.65">
      <c r="P84" s="157"/>
      <c r="AC84" s="160"/>
    </row>
    <row r="85" spans="16:29" x14ac:dyDescent="0.65">
      <c r="P85" s="157"/>
      <c r="AC85" s="160"/>
    </row>
    <row r="86" spans="16:29" x14ac:dyDescent="0.65">
      <c r="P86" s="157"/>
      <c r="AC86" s="160"/>
    </row>
    <row r="87" spans="16:29" x14ac:dyDescent="0.65">
      <c r="P87" s="157"/>
      <c r="AC87" s="160"/>
    </row>
    <row r="88" spans="16:29" x14ac:dyDescent="0.65">
      <c r="P88" s="157"/>
      <c r="AC88" s="160"/>
    </row>
    <row r="89" spans="16:29" x14ac:dyDescent="0.65">
      <c r="P89" s="157"/>
      <c r="AC89" s="160"/>
    </row>
    <row r="90" spans="16:29" x14ac:dyDescent="0.65">
      <c r="P90" s="157"/>
      <c r="AC90" s="160"/>
    </row>
    <row r="91" spans="16:29" x14ac:dyDescent="0.65">
      <c r="P91" s="157"/>
      <c r="AC91" s="160"/>
    </row>
    <row r="92" spans="16:29" x14ac:dyDescent="0.65">
      <c r="P92" s="157"/>
      <c r="AC92" s="160"/>
    </row>
    <row r="93" spans="16:29" x14ac:dyDescent="0.65">
      <c r="P93" s="157"/>
      <c r="AC93" s="160"/>
    </row>
    <row r="94" spans="16:29" x14ac:dyDescent="0.65">
      <c r="P94" s="157"/>
      <c r="AC94" s="160"/>
    </row>
    <row r="95" spans="16:29" x14ac:dyDescent="0.65">
      <c r="P95" s="157"/>
      <c r="AC95" s="160"/>
    </row>
    <row r="96" spans="16:29" x14ac:dyDescent="0.65">
      <c r="P96" s="157"/>
      <c r="AC96" s="160"/>
    </row>
    <row r="97" spans="16:29" x14ac:dyDescent="0.65">
      <c r="P97" s="157"/>
      <c r="AC97" s="160"/>
    </row>
    <row r="98" spans="16:29" x14ac:dyDescent="0.65">
      <c r="P98" s="157"/>
      <c r="AC98" s="166"/>
    </row>
    <row r="99" spans="16:29" x14ac:dyDescent="0.65">
      <c r="P99" s="157"/>
      <c r="AC99" s="160"/>
    </row>
    <row r="100" spans="16:29" x14ac:dyDescent="0.65">
      <c r="P100" s="157"/>
      <c r="AC100" s="160"/>
    </row>
    <row r="101" spans="16:29" x14ac:dyDescent="0.65">
      <c r="P101" s="157"/>
      <c r="AC101" s="160"/>
    </row>
    <row r="102" spans="16:29" x14ac:dyDescent="0.65">
      <c r="P102" s="157"/>
      <c r="AC102" s="160"/>
    </row>
    <row r="103" spans="16:29" x14ac:dyDescent="0.65">
      <c r="P103" s="157"/>
      <c r="AC103" s="160"/>
    </row>
    <row r="104" spans="16:29" x14ac:dyDescent="0.65">
      <c r="P104" s="157"/>
      <c r="AC104" s="160"/>
    </row>
    <row r="105" spans="16:29" x14ac:dyDescent="0.65">
      <c r="P105" s="157"/>
      <c r="AC105" s="160"/>
    </row>
    <row r="106" spans="16:29" x14ac:dyDescent="0.65">
      <c r="P106" s="157"/>
      <c r="AC106" s="160"/>
    </row>
    <row r="107" spans="16:29" x14ac:dyDescent="0.65">
      <c r="P107" s="157"/>
      <c r="AC107" s="160"/>
    </row>
    <row r="108" spans="16:29" x14ac:dyDescent="0.65">
      <c r="P108" s="157"/>
      <c r="AC108" s="160"/>
    </row>
    <row r="109" spans="16:29" x14ac:dyDescent="0.65">
      <c r="P109" s="157"/>
      <c r="AC109" s="160"/>
    </row>
    <row r="110" spans="16:29" x14ac:dyDescent="0.65">
      <c r="P110" s="157"/>
      <c r="AC110" s="160"/>
    </row>
    <row r="111" spans="16:29" x14ac:dyDescent="0.65">
      <c r="P111" s="157"/>
    </row>
    <row r="112" spans="16:29" x14ac:dyDescent="0.65">
      <c r="P112" s="157"/>
    </row>
    <row r="113" spans="16:16" x14ac:dyDescent="0.65">
      <c r="P113" s="157"/>
    </row>
    <row r="114" spans="16:16" x14ac:dyDescent="0.65">
      <c r="P114" s="157"/>
    </row>
    <row r="115" spans="16:16" x14ac:dyDescent="0.65">
      <c r="P115" s="157"/>
    </row>
    <row r="116" spans="16:16" x14ac:dyDescent="0.65">
      <c r="P116" s="157"/>
    </row>
    <row r="117" spans="16:16" x14ac:dyDescent="0.65">
      <c r="P117" s="157"/>
    </row>
    <row r="118" spans="16:16" x14ac:dyDescent="0.65">
      <c r="P118" s="157"/>
    </row>
    <row r="119" spans="16:16" x14ac:dyDescent="0.65">
      <c r="P119" s="157"/>
    </row>
  </sheetData>
  <mergeCells count="23">
    <mergeCell ref="D6:H6"/>
    <mergeCell ref="R6:Z6"/>
    <mergeCell ref="G7:G8"/>
    <mergeCell ref="H7:H8"/>
    <mergeCell ref="X7:X8"/>
    <mergeCell ref="T7:T8"/>
    <mergeCell ref="Z7:Z8"/>
    <mergeCell ref="B1:Z1"/>
    <mergeCell ref="B2:Z2"/>
    <mergeCell ref="B3:Z3"/>
    <mergeCell ref="B7:B8"/>
    <mergeCell ref="J7:L7"/>
    <mergeCell ref="N7:P7"/>
    <mergeCell ref="S7:S8"/>
    <mergeCell ref="W7:W8"/>
    <mergeCell ref="V7:V8"/>
    <mergeCell ref="R7:R8"/>
    <mergeCell ref="F7:F8"/>
    <mergeCell ref="D7:D8"/>
    <mergeCell ref="E7:E8"/>
    <mergeCell ref="B5:Z5"/>
    <mergeCell ref="B4:Z4"/>
    <mergeCell ref="J6:P6"/>
  </mergeCells>
  <phoneticPr fontId="27" type="noConversion"/>
  <printOptions horizontalCentered="1"/>
  <pageMargins left="0.7" right="0.7" top="0.75" bottom="0.75" header="0.3" footer="0.3"/>
  <pageSetup paperSize="9" scale="26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4"/>
  <sheetViews>
    <sheetView rightToLeft="1" view="pageBreakPreview" topLeftCell="A2" zoomScaleNormal="96" zoomScaleSheetLayoutView="100" workbookViewId="0">
      <selection activeCell="P63" sqref="P63"/>
    </sheetView>
  </sheetViews>
  <sheetFormatPr defaultColWidth="9.140625" defaultRowHeight="22.5" x14ac:dyDescent="0.55000000000000004"/>
  <cols>
    <col min="1" max="1" width="2.5703125" style="1" customWidth="1"/>
    <col min="2" max="2" width="31.28515625" style="1" customWidth="1"/>
    <col min="3" max="3" width="0.28515625" style="1" customWidth="1"/>
    <col min="4" max="4" width="17.140625" style="1" bestFit="1" customWidth="1"/>
    <col min="5" max="5" width="0.28515625" style="1" customWidth="1"/>
    <col min="6" max="6" width="13.42578125" style="1" bestFit="1" customWidth="1"/>
    <col min="7" max="7" width="0.7109375" style="1" customWidth="1"/>
    <col min="8" max="8" width="12.42578125" style="1" bestFit="1" customWidth="1"/>
    <col min="9" max="9" width="0.7109375" style="1" customWidth="1"/>
    <col min="10" max="10" width="14.85546875" style="1" bestFit="1" customWidth="1"/>
    <col min="11" max="11" width="0.28515625" style="1" customWidth="1"/>
    <col min="12" max="12" width="17.140625" style="1" bestFit="1" customWidth="1"/>
    <col min="13" max="13" width="0.7109375" style="1" customWidth="1"/>
    <col min="14" max="14" width="13.42578125" style="1" bestFit="1" customWidth="1"/>
    <col min="15" max="15" width="0.28515625" style="1" customWidth="1"/>
    <col min="16" max="16" width="12.42578125" style="1" bestFit="1" customWidth="1"/>
    <col min="17" max="17" width="0.28515625" style="1" customWidth="1"/>
    <col min="18" max="18" width="14.85546875" style="1" bestFit="1" customWidth="1"/>
    <col min="19" max="16384" width="9.140625" style="1"/>
  </cols>
  <sheetData>
    <row r="1" spans="2:18" ht="24" x14ac:dyDescent="0.6">
      <c r="B1" s="339" t="str">
        <f>' سهام'!B1:Z1</f>
        <v>صندوق سرمایه گذاری شاخص سی شرکت بزرگ فیروزه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</row>
    <row r="2" spans="2:18" ht="24" x14ac:dyDescent="0.6">
      <c r="B2" s="339" t="s">
        <v>82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</row>
    <row r="3" spans="2:18" ht="24" x14ac:dyDescent="0.6">
      <c r="B3" s="339" t="str">
        <f>' سهام'!AC6</f>
        <v>برای ماه منتهی به 1404/07/30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</row>
    <row r="4" spans="2:18" ht="24" x14ac:dyDescent="0.55000000000000004">
      <c r="B4" s="34" t="s">
        <v>83</v>
      </c>
      <c r="C4" s="34"/>
      <c r="D4" s="34"/>
      <c r="E4" s="34"/>
      <c r="F4" s="34"/>
      <c r="G4" s="34"/>
      <c r="H4" s="34"/>
      <c r="I4" s="34"/>
      <c r="J4" s="34"/>
    </row>
    <row r="5" spans="2:18" ht="24.75" thickBot="1" x14ac:dyDescent="0.65">
      <c r="B5" s="8"/>
      <c r="C5" s="8"/>
      <c r="D5" s="9"/>
      <c r="E5" s="9"/>
      <c r="F5" s="9"/>
      <c r="G5" s="9"/>
      <c r="H5" s="9"/>
      <c r="I5" s="9"/>
      <c r="J5" s="9"/>
    </row>
    <row r="6" spans="2:18" ht="24.75" thickBot="1" x14ac:dyDescent="0.65">
      <c r="B6" s="8"/>
      <c r="C6" s="8"/>
      <c r="D6" s="338" t="str">
        <f>' سهام'!AC4</f>
        <v>1404/06/31</v>
      </c>
      <c r="E6" s="338"/>
      <c r="F6" s="338"/>
      <c r="G6" s="338"/>
      <c r="H6" s="338"/>
      <c r="I6" s="338"/>
      <c r="J6" s="338"/>
      <c r="L6" s="338" t="str">
        <f>' سهام'!AC5</f>
        <v>1404/07/30</v>
      </c>
      <c r="M6" s="338"/>
      <c r="N6" s="338"/>
      <c r="O6" s="338"/>
      <c r="P6" s="338"/>
      <c r="Q6" s="338"/>
      <c r="R6" s="338"/>
    </row>
    <row r="7" spans="2:18" ht="24.75" thickBot="1" x14ac:dyDescent="0.65">
      <c r="B7" s="10" t="s">
        <v>46</v>
      </c>
      <c r="C7" s="8"/>
      <c r="D7" s="10" t="s">
        <v>47</v>
      </c>
      <c r="E7" s="8"/>
      <c r="F7" s="10" t="s">
        <v>48</v>
      </c>
      <c r="G7" s="8"/>
      <c r="H7" s="10" t="s">
        <v>49</v>
      </c>
      <c r="I7" s="8"/>
      <c r="J7" s="10" t="s">
        <v>50</v>
      </c>
      <c r="L7" s="10" t="s">
        <v>47</v>
      </c>
      <c r="M7" s="8"/>
      <c r="N7" s="10" t="s">
        <v>48</v>
      </c>
      <c r="O7" s="8"/>
      <c r="P7" s="10" t="s">
        <v>49</v>
      </c>
      <c r="Q7" s="8"/>
      <c r="R7" s="10" t="s">
        <v>50</v>
      </c>
    </row>
    <row r="8" spans="2:18" ht="23.25" thickBot="1" x14ac:dyDescent="0.6">
      <c r="B8" s="3"/>
      <c r="C8" s="3"/>
      <c r="D8" s="67" t="s">
        <v>103</v>
      </c>
      <c r="E8" s="59"/>
      <c r="F8" s="58" t="s">
        <v>103</v>
      </c>
      <c r="G8" s="5"/>
      <c r="H8" s="5" t="s">
        <v>103</v>
      </c>
      <c r="I8" s="5"/>
      <c r="J8" s="60">
        <v>0</v>
      </c>
      <c r="L8" s="65">
        <v>0</v>
      </c>
      <c r="M8" s="5"/>
      <c r="N8" s="67" t="s">
        <v>103</v>
      </c>
      <c r="O8" s="5"/>
      <c r="P8" s="5" t="s">
        <v>103</v>
      </c>
      <c r="Q8" s="5"/>
      <c r="R8" s="60">
        <v>0</v>
      </c>
    </row>
    <row r="9" spans="2:18" ht="23.25" thickBot="1" x14ac:dyDescent="0.6">
      <c r="D9" s="64">
        <f>SUM(D8)</f>
        <v>0</v>
      </c>
      <c r="E9" s="66"/>
      <c r="F9" s="57">
        <f>SUM(F8)</f>
        <v>0</v>
      </c>
      <c r="G9" s="12"/>
      <c r="H9" s="11" t="s">
        <v>6</v>
      </c>
      <c r="I9" s="12"/>
      <c r="J9" s="11" t="s">
        <v>6</v>
      </c>
      <c r="K9" s="12"/>
      <c r="L9" s="64">
        <f>SUM(L8)</f>
        <v>0</v>
      </c>
      <c r="M9" s="12"/>
      <c r="N9" s="64">
        <f>SUM(N8)</f>
        <v>0</v>
      </c>
      <c r="O9" s="12"/>
      <c r="P9" s="11" t="s">
        <v>6</v>
      </c>
      <c r="Q9" s="12"/>
      <c r="R9" s="11" t="s">
        <v>6</v>
      </c>
    </row>
    <row r="10" spans="2:18" ht="23.25" thickTop="1" x14ac:dyDescent="0.55000000000000004"/>
    <row r="14" spans="2:18" x14ac:dyDescent="0.55000000000000004">
      <c r="N14" s="13"/>
    </row>
  </sheetData>
  <mergeCells count="5">
    <mergeCell ref="D6:J6"/>
    <mergeCell ref="L6:R6"/>
    <mergeCell ref="B1:R1"/>
    <mergeCell ref="B2:R2"/>
    <mergeCell ref="B3:R3"/>
  </mergeCells>
  <pageMargins left="0.5" right="1" top="0.3" bottom="0.1" header="0.31496062992126" footer="0.31496062992126"/>
  <pageSetup paperSize="9" scale="84" orientation="landscape" r:id="rId1"/>
  <headerFoot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2"/>
  <sheetViews>
    <sheetView rightToLeft="1" view="pageBreakPreview" zoomScale="130" zoomScaleNormal="100" zoomScaleSheetLayoutView="130" workbookViewId="0">
      <selection activeCell="P63" sqref="P63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9" style="1" customWidth="1"/>
    <col min="4" max="4" width="0.7109375" style="1" customWidth="1"/>
    <col min="5" max="5" width="12.140625" style="1" customWidth="1"/>
    <col min="6" max="6" width="1" style="1" customWidth="1"/>
    <col min="7" max="7" width="16.7109375" style="1" customWidth="1"/>
    <col min="8" max="8" width="0.7109375" style="1" customWidth="1"/>
    <col min="9" max="9" width="14.42578125" style="1" customWidth="1"/>
    <col min="10" max="10" width="0.85546875" style="1" customWidth="1"/>
    <col min="11" max="11" width="22.140625" style="1" customWidth="1"/>
    <col min="12" max="12" width="0.7109375" style="1" customWidth="1"/>
    <col min="13" max="13" width="10.85546875" style="1" customWidth="1"/>
    <col min="14" max="16384" width="9.140625" style="1"/>
  </cols>
  <sheetData>
    <row r="1" spans="1:16" ht="24" x14ac:dyDescent="0.6">
      <c r="A1" s="339" t="str">
        <f>اوراق!B1</f>
        <v>صندوق سرمایه گذاری شاخص سی شرکت بزرگ فیروزه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</row>
    <row r="2" spans="1:16" ht="24" x14ac:dyDescent="0.6">
      <c r="A2" s="339" t="s">
        <v>82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</row>
    <row r="3" spans="1:16" ht="24" x14ac:dyDescent="0.6">
      <c r="A3" s="339" t="str">
        <f>' سهام'!AC6</f>
        <v>برای ماه منتهی به 1404/07/30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</row>
    <row r="4" spans="1:16" ht="25.5" customHeight="1" x14ac:dyDescent="0.55000000000000004">
      <c r="A4" s="343" t="s">
        <v>52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</row>
    <row r="5" spans="1:16" ht="24" x14ac:dyDescent="0.55000000000000004">
      <c r="A5" s="343" t="s">
        <v>51</v>
      </c>
      <c r="B5" s="343"/>
      <c r="C5" s="343"/>
      <c r="D5" s="343"/>
      <c r="E5" s="343"/>
      <c r="F5" s="343"/>
      <c r="G5" s="343"/>
      <c r="H5" s="343"/>
      <c r="I5" s="343"/>
      <c r="J5" s="343"/>
      <c r="K5" s="343"/>
      <c r="L5" s="343"/>
      <c r="M5" s="343"/>
    </row>
    <row r="6" spans="1:16" ht="19.5" customHeight="1" thickBot="1" x14ac:dyDescent="0.6">
      <c r="C6" s="348" t="str">
        <f>' سهام'!AC5</f>
        <v>1404/07/30</v>
      </c>
      <c r="D6" s="349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349"/>
    </row>
    <row r="7" spans="1:16" ht="31.5" customHeight="1" x14ac:dyDescent="0.55000000000000004">
      <c r="A7" s="344" t="s">
        <v>21</v>
      </c>
      <c r="C7" s="346" t="s">
        <v>8</v>
      </c>
      <c r="E7" s="340" t="s">
        <v>56</v>
      </c>
      <c r="F7" s="340"/>
      <c r="G7" s="340" t="s">
        <v>55</v>
      </c>
      <c r="H7" s="340"/>
      <c r="I7" s="340" t="s">
        <v>53</v>
      </c>
      <c r="J7" s="340"/>
      <c r="K7" s="340" t="s">
        <v>54</v>
      </c>
      <c r="M7" s="340" t="s">
        <v>20</v>
      </c>
      <c r="N7" s="340"/>
      <c r="O7" s="340"/>
      <c r="P7" s="340"/>
    </row>
    <row r="8" spans="1:16" ht="18" customHeight="1" thickBot="1" x14ac:dyDescent="0.6">
      <c r="A8" s="345"/>
      <c r="C8" s="347"/>
      <c r="E8" s="341"/>
      <c r="F8" s="340"/>
      <c r="G8" s="341"/>
      <c r="H8" s="340"/>
      <c r="I8" s="341"/>
      <c r="J8" s="340"/>
      <c r="K8" s="341"/>
      <c r="M8" s="341"/>
      <c r="N8" s="341"/>
      <c r="O8" s="341"/>
      <c r="P8" s="341"/>
    </row>
    <row r="9" spans="1:16" ht="18" customHeight="1" thickBot="1" x14ac:dyDescent="0.6">
      <c r="A9" s="21"/>
      <c r="B9" s="7"/>
      <c r="C9" s="22" t="s">
        <v>103</v>
      </c>
      <c r="D9" s="23"/>
      <c r="E9" s="24" t="s">
        <v>103</v>
      </c>
      <c r="F9" s="25"/>
      <c r="G9" s="24" t="s">
        <v>103</v>
      </c>
      <c r="H9" s="25"/>
      <c r="I9" s="26" t="s">
        <v>103</v>
      </c>
      <c r="J9" s="25"/>
      <c r="K9" s="24" t="s">
        <v>103</v>
      </c>
      <c r="M9" s="341" t="s">
        <v>103</v>
      </c>
      <c r="N9" s="341"/>
      <c r="O9" s="341"/>
      <c r="P9" s="341"/>
    </row>
    <row r="10" spans="1:16" ht="18" customHeight="1" thickBot="1" x14ac:dyDescent="0.6">
      <c r="A10" s="6"/>
      <c r="C10" s="27" t="s">
        <v>103</v>
      </c>
      <c r="E10" s="27" t="s">
        <v>103</v>
      </c>
      <c r="F10" s="5"/>
      <c r="G10" s="27" t="s">
        <v>103</v>
      </c>
      <c r="H10" s="5"/>
      <c r="I10" s="28" t="s">
        <v>103</v>
      </c>
      <c r="J10" s="5"/>
      <c r="K10" s="27" t="s">
        <v>103</v>
      </c>
      <c r="L10" s="5"/>
      <c r="M10" s="342" t="s">
        <v>103</v>
      </c>
      <c r="N10" s="342"/>
      <c r="O10" s="342"/>
      <c r="P10" s="342"/>
    </row>
    <row r="11" spans="1:16" ht="23.25" thickTop="1" x14ac:dyDescent="0.55000000000000004"/>
    <row r="12" spans="1:16" x14ac:dyDescent="0.55000000000000004">
      <c r="M12" s="13"/>
    </row>
  </sheetData>
  <mergeCells count="18">
    <mergeCell ref="M10:P10"/>
    <mergeCell ref="A4:M4"/>
    <mergeCell ref="F7:F8"/>
    <mergeCell ref="H7:H8"/>
    <mergeCell ref="G7:G8"/>
    <mergeCell ref="J7:J8"/>
    <mergeCell ref="A7:A8"/>
    <mergeCell ref="A5:M5"/>
    <mergeCell ref="E7:E8"/>
    <mergeCell ref="K7:K8"/>
    <mergeCell ref="I7:I8"/>
    <mergeCell ref="C7:C8"/>
    <mergeCell ref="C6:P6"/>
    <mergeCell ref="A1:P1"/>
    <mergeCell ref="A2:P2"/>
    <mergeCell ref="A3:P3"/>
    <mergeCell ref="M7:P8"/>
    <mergeCell ref="M9:P9"/>
  </mergeCells>
  <pageMargins left="0.5" right="1" top="0.3" bottom="0.1" header="0.31496062992126" footer="0.31496062992126"/>
  <pageSetup paperSize="9" scale="87" orientation="landscape" r:id="rId1"/>
  <headerFoot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C14"/>
  <sheetViews>
    <sheetView rightToLeft="1" view="pageBreakPreview" zoomScale="70" zoomScaleNormal="100" zoomScaleSheetLayoutView="70" workbookViewId="0">
      <selection activeCell="A4" sqref="A4:AC11"/>
    </sheetView>
  </sheetViews>
  <sheetFormatPr defaultColWidth="9.140625" defaultRowHeight="22.5" x14ac:dyDescent="0.55000000000000004"/>
  <cols>
    <col min="1" max="1" width="31.28515625" style="1" customWidth="1"/>
    <col min="2" max="2" width="0.7109375" style="1" customWidth="1"/>
    <col min="3" max="3" width="14.7109375" style="1" customWidth="1"/>
    <col min="4" max="4" width="0.7109375" style="1" customWidth="1"/>
    <col min="5" max="5" width="25.7109375" style="1" customWidth="1"/>
    <col min="6" max="6" width="1" style="1" customWidth="1"/>
    <col min="7" max="7" width="16.140625" style="1" customWidth="1"/>
    <col min="8" max="8" width="0.7109375" style="1" customWidth="1"/>
    <col min="9" max="9" width="18.140625" style="1" customWidth="1"/>
    <col min="10" max="10" width="0.7109375" style="1" customWidth="1"/>
    <col min="11" max="11" width="6.28515625" style="1" customWidth="1"/>
    <col min="12" max="12" width="0.7109375" style="1" customWidth="1"/>
    <col min="13" max="13" width="16.28515625" style="1" customWidth="1"/>
    <col min="14" max="14" width="0.7109375" style="1" customWidth="1"/>
    <col min="15" max="15" width="14.42578125" style="1" customWidth="1"/>
    <col min="16" max="16" width="0.7109375" style="1" customWidth="1"/>
    <col min="17" max="17" width="12.140625" style="1" customWidth="1"/>
    <col min="18" max="18" width="15.140625" style="1" bestFit="1" customWidth="1"/>
    <col min="19" max="19" width="0.28515625" style="1" customWidth="1"/>
    <col min="20" max="20" width="5.28515625" style="1" customWidth="1"/>
    <col min="21" max="21" width="13.140625" style="1" customWidth="1"/>
    <col min="22" max="22" width="0.28515625" style="1" customWidth="1"/>
    <col min="23" max="23" width="6.140625" style="1" customWidth="1"/>
    <col min="24" max="24" width="0.28515625" style="1" customWidth="1"/>
    <col min="25" max="25" width="9.28515625" style="1" customWidth="1"/>
    <col min="26" max="26" width="0.7109375" style="1" customWidth="1"/>
    <col min="27" max="27" width="12.140625" style="1" customWidth="1"/>
    <col min="28" max="28" width="0.28515625" style="1" customWidth="1"/>
    <col min="29" max="29" width="13.7109375" style="1" customWidth="1"/>
    <col min="30" max="16384" width="9.140625" style="1"/>
  </cols>
  <sheetData>
    <row r="1" spans="1:29" ht="24" x14ac:dyDescent="0.6">
      <c r="A1" s="339" t="str">
        <f>'تعدیل قیمت'!A1:P1</f>
        <v>صندوق سرمایه گذاری شاخص سی شرکت بزرگ فیروزه</v>
      </c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</row>
    <row r="2" spans="1:29" ht="24" x14ac:dyDescent="0.6">
      <c r="A2" s="339" t="s">
        <v>82</v>
      </c>
      <c r="B2" s="339"/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V2" s="339"/>
      <c r="W2" s="339"/>
      <c r="X2" s="339"/>
      <c r="Y2" s="339"/>
      <c r="Z2" s="339"/>
      <c r="AA2" s="339"/>
      <c r="AB2" s="339"/>
      <c r="AC2" s="339"/>
    </row>
    <row r="3" spans="1:29" ht="24" x14ac:dyDescent="0.6">
      <c r="A3" s="339" t="str">
        <f>' سهام'!AC6</f>
        <v>برای ماه منتهی به 1404/07/30</v>
      </c>
      <c r="B3" s="339"/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V3" s="339"/>
      <c r="W3" s="339"/>
      <c r="X3" s="339"/>
      <c r="Y3" s="339"/>
      <c r="Z3" s="339"/>
      <c r="AA3" s="339"/>
      <c r="AB3" s="339"/>
      <c r="AC3" s="339"/>
    </row>
    <row r="4" spans="1:29" ht="24" x14ac:dyDescent="0.55000000000000004">
      <c r="A4" s="343" t="s">
        <v>57</v>
      </c>
      <c r="B4" s="343"/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N4" s="343"/>
      <c r="O4" s="343"/>
      <c r="P4" s="343"/>
      <c r="Q4" s="343"/>
      <c r="R4" s="343"/>
      <c r="S4" s="343"/>
      <c r="T4" s="343"/>
      <c r="U4" s="343"/>
      <c r="V4" s="343"/>
      <c r="W4" s="343"/>
      <c r="X4" s="343"/>
      <c r="Y4" s="343"/>
      <c r="Z4" s="343"/>
      <c r="AA4" s="343"/>
      <c r="AB4" s="343"/>
      <c r="AC4" s="343"/>
    </row>
    <row r="5" spans="1:29" ht="23.25" thickBot="1" x14ac:dyDescent="0.6"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 spans="1:29" ht="18.75" customHeight="1" thickBot="1" x14ac:dyDescent="0.6">
      <c r="A6" s="49"/>
      <c r="B6" s="49"/>
      <c r="C6" s="349"/>
      <c r="D6" s="349"/>
      <c r="E6" s="349"/>
      <c r="F6" s="46"/>
      <c r="G6" s="46"/>
      <c r="H6" s="46"/>
      <c r="I6" s="46"/>
      <c r="J6" s="30"/>
      <c r="K6" s="349" t="str">
        <f>' سهام'!AC4</f>
        <v>1404/06/31</v>
      </c>
      <c r="L6" s="349"/>
      <c r="M6" s="349"/>
      <c r="N6" s="349"/>
      <c r="O6" s="349"/>
      <c r="P6" s="52"/>
      <c r="Q6" s="353" t="s">
        <v>16</v>
      </c>
      <c r="R6" s="353"/>
      <c r="S6" s="353"/>
      <c r="T6" s="353"/>
      <c r="U6" s="353"/>
      <c r="W6" s="349" t="str">
        <f>' سهام'!AC5</f>
        <v>1404/07/30</v>
      </c>
      <c r="X6" s="349"/>
      <c r="Y6" s="349"/>
      <c r="Z6" s="349"/>
      <c r="AA6" s="349"/>
      <c r="AB6" s="349"/>
      <c r="AC6" s="349"/>
    </row>
    <row r="7" spans="1:29" ht="54.75" customHeight="1" x14ac:dyDescent="0.6">
      <c r="A7" s="340" t="s">
        <v>60</v>
      </c>
      <c r="B7" s="5"/>
      <c r="C7" s="350" t="s">
        <v>35</v>
      </c>
      <c r="D7" s="3"/>
      <c r="E7" s="352" t="s">
        <v>62</v>
      </c>
      <c r="F7" s="14"/>
      <c r="G7" s="352" t="s">
        <v>59</v>
      </c>
      <c r="H7" s="14"/>
      <c r="I7" s="352" t="s">
        <v>14</v>
      </c>
      <c r="J7" s="3"/>
      <c r="K7" s="356" t="s">
        <v>8</v>
      </c>
      <c r="L7" s="354"/>
      <c r="M7" s="354" t="s">
        <v>3</v>
      </c>
      <c r="N7" s="354"/>
      <c r="O7" s="49" t="s">
        <v>1</v>
      </c>
      <c r="P7" s="2"/>
      <c r="Q7" s="339" t="s">
        <v>9</v>
      </c>
      <c r="R7" s="339"/>
      <c r="S7" s="15"/>
      <c r="T7" s="339" t="s">
        <v>10</v>
      </c>
      <c r="U7" s="339"/>
      <c r="V7" s="8"/>
      <c r="W7" s="358" t="s">
        <v>8</v>
      </c>
      <c r="X7" s="354"/>
      <c r="Y7" s="355" t="s">
        <v>3</v>
      </c>
      <c r="Z7" s="354"/>
      <c r="AA7" s="49" t="s">
        <v>1</v>
      </c>
      <c r="AB7" s="50"/>
      <c r="AC7" s="49" t="s">
        <v>0</v>
      </c>
    </row>
    <row r="8" spans="1:29" ht="33" customHeight="1" thickBot="1" x14ac:dyDescent="0.65">
      <c r="A8" s="341"/>
      <c r="B8" s="5"/>
      <c r="C8" s="351"/>
      <c r="D8" s="3"/>
      <c r="E8" s="351"/>
      <c r="F8" s="14"/>
      <c r="G8" s="351"/>
      <c r="H8" s="14"/>
      <c r="I8" s="351"/>
      <c r="J8" s="3"/>
      <c r="K8" s="357"/>
      <c r="L8" s="354"/>
      <c r="M8" s="349"/>
      <c r="N8" s="354"/>
      <c r="O8" s="46" t="s">
        <v>2</v>
      </c>
      <c r="P8" s="2"/>
      <c r="Q8" s="16" t="s">
        <v>8</v>
      </c>
      <c r="R8" s="16" t="s">
        <v>3</v>
      </c>
      <c r="S8" s="8"/>
      <c r="T8" s="16" t="s">
        <v>8</v>
      </c>
      <c r="U8" s="16" t="s">
        <v>81</v>
      </c>
      <c r="V8" s="8"/>
      <c r="W8" s="357"/>
      <c r="X8" s="354"/>
      <c r="Y8" s="349"/>
      <c r="Z8" s="354"/>
      <c r="AA8" s="46" t="s">
        <v>2</v>
      </c>
      <c r="AB8" s="50"/>
      <c r="AC8" s="46" t="s">
        <v>4</v>
      </c>
    </row>
    <row r="9" spans="1:29" ht="27.6" customHeight="1" thickBot="1" x14ac:dyDescent="0.6">
      <c r="A9" s="3" t="s">
        <v>58</v>
      </c>
      <c r="B9" s="3"/>
      <c r="C9" s="48" t="s">
        <v>6</v>
      </c>
      <c r="D9" s="3"/>
      <c r="E9" s="48" t="s">
        <v>6</v>
      </c>
      <c r="F9" s="48"/>
      <c r="G9" s="48" t="s">
        <v>6</v>
      </c>
      <c r="H9" s="48"/>
      <c r="I9" s="48" t="s">
        <v>6</v>
      </c>
      <c r="J9" s="3"/>
      <c r="K9" s="48" t="s">
        <v>6</v>
      </c>
      <c r="L9" s="5"/>
      <c r="M9" s="48" t="s">
        <v>6</v>
      </c>
      <c r="N9" s="5"/>
      <c r="O9" s="5" t="s">
        <v>6</v>
      </c>
      <c r="P9" s="31"/>
      <c r="Q9" s="48" t="s">
        <v>6</v>
      </c>
      <c r="R9" s="48" t="s">
        <v>6</v>
      </c>
      <c r="T9" s="48" t="s">
        <v>6</v>
      </c>
      <c r="U9" s="48" t="s">
        <v>6</v>
      </c>
      <c r="W9" s="48" t="s">
        <v>6</v>
      </c>
      <c r="X9" s="5"/>
      <c r="Y9" s="48" t="s">
        <v>6</v>
      </c>
      <c r="Z9" s="5"/>
      <c r="AA9" s="5" t="s">
        <v>6</v>
      </c>
      <c r="AB9" s="5"/>
      <c r="AC9" s="5" t="s">
        <v>6</v>
      </c>
    </row>
    <row r="10" spans="1:29" ht="23.25" thickBot="1" x14ac:dyDescent="0.6">
      <c r="A10" s="3" t="s">
        <v>7</v>
      </c>
      <c r="B10" s="3"/>
      <c r="C10" s="32" t="s">
        <v>6</v>
      </c>
      <c r="D10" s="3"/>
      <c r="E10" s="32" t="s">
        <v>6</v>
      </c>
      <c r="F10" s="3"/>
      <c r="G10" s="32" t="s">
        <v>6</v>
      </c>
      <c r="H10" s="3"/>
      <c r="I10" s="32" t="s">
        <v>6</v>
      </c>
      <c r="J10" s="3"/>
      <c r="K10" s="32" t="s">
        <v>6</v>
      </c>
      <c r="L10" s="5"/>
      <c r="M10" s="32" t="s">
        <v>6</v>
      </c>
      <c r="N10" s="5"/>
      <c r="O10" s="47" t="s">
        <v>6</v>
      </c>
      <c r="P10" s="31"/>
      <c r="Q10" s="32" t="s">
        <v>6</v>
      </c>
      <c r="R10" s="32" t="s">
        <v>6</v>
      </c>
      <c r="T10" s="32" t="s">
        <v>6</v>
      </c>
      <c r="U10" s="32" t="s">
        <v>6</v>
      </c>
      <c r="W10" s="32" t="s">
        <v>6</v>
      </c>
      <c r="X10" s="5"/>
      <c r="Y10" s="32" t="s">
        <v>6</v>
      </c>
      <c r="Z10" s="5"/>
      <c r="AA10" s="47" t="s">
        <v>6</v>
      </c>
      <c r="AB10" s="5"/>
      <c r="AC10" s="47" t="s">
        <v>6</v>
      </c>
    </row>
    <row r="11" spans="1:29" ht="23.25" thickTop="1" x14ac:dyDescent="0.55000000000000004"/>
    <row r="14" spans="1:29" x14ac:dyDescent="0.55000000000000004">
      <c r="M14" s="13"/>
    </row>
  </sheetData>
  <mergeCells count="23">
    <mergeCell ref="W7:W8"/>
    <mergeCell ref="M7:M8"/>
    <mergeCell ref="N7:N8"/>
    <mergeCell ref="G7:G8"/>
    <mergeCell ref="T7:U7"/>
    <mergeCell ref="Q7:R7"/>
    <mergeCell ref="I7:I8"/>
    <mergeCell ref="A7:A8"/>
    <mergeCell ref="C7:C8"/>
    <mergeCell ref="E7:E8"/>
    <mergeCell ref="A1:AC1"/>
    <mergeCell ref="A2:AC2"/>
    <mergeCell ref="A3:AC3"/>
    <mergeCell ref="A4:AC4"/>
    <mergeCell ref="C6:E6"/>
    <mergeCell ref="K6:O6"/>
    <mergeCell ref="Q6:U6"/>
    <mergeCell ref="W6:AC6"/>
    <mergeCell ref="X7:X8"/>
    <mergeCell ref="Y7:Y8"/>
    <mergeCell ref="Z7:Z8"/>
    <mergeCell ref="K7:K8"/>
    <mergeCell ref="L7:L8"/>
  </mergeCells>
  <pageMargins left="0.5" right="1" top="0.3" bottom="0.1" header="0.31496062992126" footer="0.31496062992126"/>
  <pageSetup paperSize="9" scale="55" orientation="landscape" r:id="rId1"/>
  <headerFoot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N20"/>
  <sheetViews>
    <sheetView rightToLeft="1" view="pageBreakPreview" zoomScale="55" zoomScaleNormal="100" zoomScaleSheetLayoutView="55" workbookViewId="0">
      <selection activeCell="D27" sqref="D27"/>
    </sheetView>
  </sheetViews>
  <sheetFormatPr defaultColWidth="9.140625" defaultRowHeight="26.25" x14ac:dyDescent="0.65"/>
  <cols>
    <col min="1" max="1" width="4" style="54" customWidth="1"/>
    <col min="2" max="2" width="51.28515625" style="54" bestFit="1" customWidth="1"/>
    <col min="3" max="3" width="0.7109375" style="54" customWidth="1"/>
    <col min="4" max="4" width="20.42578125" style="54" customWidth="1"/>
    <col min="5" max="5" width="0.7109375" style="54" customWidth="1"/>
    <col min="6" max="6" width="18.85546875" style="54" customWidth="1"/>
    <col min="7" max="7" width="0.7109375" style="54" customWidth="1"/>
    <col min="8" max="8" width="29.85546875" style="54" bestFit="1" customWidth="1"/>
    <col min="9" max="9" width="0.7109375" style="54" customWidth="1"/>
    <col min="10" max="10" width="24.42578125" style="54" bestFit="1" customWidth="1"/>
    <col min="11" max="11" width="0.28515625" style="54" customWidth="1"/>
    <col min="12" max="12" width="1.28515625" style="54" customWidth="1"/>
    <col min="13" max="13" width="15.42578125" style="54" bestFit="1" customWidth="1"/>
    <col min="14" max="14" width="0.7109375" style="54" customWidth="1"/>
    <col min="15" max="15" width="8.140625" style="54" customWidth="1"/>
    <col min="16" max="16" width="0.5703125" style="54" customWidth="1"/>
    <col min="17" max="17" width="18.42578125" style="54" bestFit="1" customWidth="1"/>
    <col min="18" max="18" width="0.85546875" style="54" customWidth="1"/>
    <col min="19" max="19" width="33" style="54" bestFit="1" customWidth="1"/>
    <col min="20" max="20" width="0.7109375" style="54" customWidth="1"/>
    <col min="21" max="21" width="31.85546875" style="54" bestFit="1" customWidth="1"/>
    <col min="22" max="22" width="0.7109375" style="54" customWidth="1"/>
    <col min="23" max="23" width="11" style="54" bestFit="1" customWidth="1"/>
    <col min="24" max="24" width="1.5703125" style="54" customWidth="1"/>
    <col min="25" max="25" width="24.42578125" style="54" bestFit="1" customWidth="1"/>
    <col min="26" max="26" width="0.5703125" style="54" customWidth="1"/>
    <col min="27" max="27" width="18.42578125" style="17" bestFit="1" customWidth="1"/>
    <col min="28" max="28" width="1.5703125" style="17" customWidth="1"/>
    <col min="29" max="29" width="33" style="54" bestFit="1" customWidth="1"/>
    <col min="30" max="30" width="0.7109375" style="54" customWidth="1"/>
    <col min="31" max="31" width="14.85546875" style="54" bestFit="1" customWidth="1"/>
    <col min="32" max="32" width="0.7109375" style="54" customWidth="1"/>
    <col min="33" max="33" width="33" style="17" bestFit="1" customWidth="1"/>
    <col min="34" max="34" width="0.42578125" style="54" customWidth="1"/>
    <col min="35" max="35" width="30.5703125" style="54" bestFit="1" customWidth="1"/>
    <col min="36" max="36" width="0.7109375" style="54" customWidth="1"/>
    <col min="37" max="37" width="31.5703125" style="54" bestFit="1" customWidth="1"/>
    <col min="38" max="38" width="0.42578125" style="54" customWidth="1"/>
    <col min="39" max="39" width="27.28515625" style="54" customWidth="1"/>
    <col min="40" max="52" width="9.140625" style="54"/>
    <col min="53" max="53" width="19.28515625" style="54" bestFit="1" customWidth="1"/>
    <col min="54" max="16384" width="9.140625" style="54"/>
  </cols>
  <sheetData>
    <row r="1" spans="2:40" ht="33.75" x14ac:dyDescent="0.65">
      <c r="B1" s="359" t="str">
        <f>' سهام'!B1:Z1</f>
        <v>صندوق سرمایه گذاری شاخص سی شرکت بزرگ فیروزه</v>
      </c>
      <c r="C1" s="359"/>
      <c r="D1" s="359"/>
      <c r="E1" s="359"/>
      <c r="F1" s="359"/>
      <c r="G1" s="359"/>
      <c r="H1" s="359"/>
      <c r="I1" s="359"/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  <c r="Z1" s="359"/>
      <c r="AA1" s="359"/>
      <c r="AB1" s="359"/>
      <c r="AC1" s="359"/>
      <c r="AD1" s="359"/>
      <c r="AE1" s="359"/>
      <c r="AF1" s="359"/>
      <c r="AG1" s="359"/>
      <c r="AH1" s="359"/>
      <c r="AI1" s="359"/>
      <c r="AJ1" s="359"/>
      <c r="AK1" s="359"/>
      <c r="AL1" s="359"/>
      <c r="AM1" s="359"/>
    </row>
    <row r="2" spans="2:40" ht="33.75" x14ac:dyDescent="0.65">
      <c r="B2" s="359" t="s">
        <v>82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  <c r="AM2" s="359"/>
    </row>
    <row r="3" spans="2:40" ht="33.75" x14ac:dyDescent="0.65">
      <c r="B3" s="359" t="str">
        <f>' سهام'!AC6</f>
        <v>برای ماه منتهی به 1404/07/30</v>
      </c>
      <c r="C3" s="359"/>
      <c r="D3" s="359"/>
      <c r="E3" s="359"/>
      <c r="F3" s="359"/>
      <c r="G3" s="359"/>
      <c r="H3" s="359"/>
      <c r="I3" s="359"/>
      <c r="J3" s="359"/>
      <c r="K3" s="359"/>
      <c r="L3" s="359"/>
      <c r="M3" s="359"/>
      <c r="N3" s="359"/>
      <c r="O3" s="359"/>
      <c r="P3" s="359"/>
      <c r="Q3" s="359"/>
      <c r="R3" s="359"/>
      <c r="S3" s="359"/>
      <c r="T3" s="359"/>
      <c r="U3" s="359"/>
      <c r="V3" s="359"/>
      <c r="W3" s="359"/>
      <c r="X3" s="359"/>
      <c r="Y3" s="359"/>
      <c r="Z3" s="359"/>
      <c r="AA3" s="359"/>
      <c r="AB3" s="359"/>
      <c r="AC3" s="359"/>
      <c r="AD3" s="359"/>
      <c r="AE3" s="359"/>
      <c r="AF3" s="359"/>
      <c r="AG3" s="359"/>
      <c r="AH3" s="359"/>
      <c r="AI3" s="359"/>
      <c r="AJ3" s="359"/>
      <c r="AK3" s="359"/>
      <c r="AL3" s="359"/>
      <c r="AM3" s="359"/>
    </row>
    <row r="4" spans="2:40" x14ac:dyDescent="0.65">
      <c r="B4" s="101" t="s">
        <v>40</v>
      </c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</row>
    <row r="6" spans="2:40" ht="36.75" thickBot="1" x14ac:dyDescent="0.95">
      <c r="B6" s="361" t="s">
        <v>31</v>
      </c>
      <c r="C6" s="361"/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72"/>
      <c r="Q6" s="361" t="str">
        <f>' سهام'!AC4</f>
        <v>1404/06/31</v>
      </c>
      <c r="R6" s="361"/>
      <c r="S6" s="361"/>
      <c r="T6" s="361"/>
      <c r="U6" s="361"/>
      <c r="V6" s="78"/>
      <c r="W6" s="360" t="s">
        <v>16</v>
      </c>
      <c r="X6" s="360"/>
      <c r="Y6" s="360"/>
      <c r="Z6" s="360"/>
      <c r="AA6" s="360"/>
      <c r="AB6" s="360"/>
      <c r="AC6" s="360"/>
      <c r="AD6" s="71"/>
      <c r="AE6" s="361" t="str">
        <f>' سهام'!AC5</f>
        <v>1404/07/30</v>
      </c>
      <c r="AF6" s="361"/>
      <c r="AG6" s="361"/>
      <c r="AH6" s="361"/>
      <c r="AI6" s="361"/>
      <c r="AJ6" s="361"/>
      <c r="AK6" s="361"/>
      <c r="AL6" s="361"/>
      <c r="AM6" s="361"/>
    </row>
    <row r="7" spans="2:40" s="15" customFormat="1" ht="36" x14ac:dyDescent="0.9">
      <c r="B7" s="367" t="s">
        <v>32</v>
      </c>
      <c r="C7" s="72"/>
      <c r="D7" s="364" t="s">
        <v>15</v>
      </c>
      <c r="E7" s="72"/>
      <c r="F7" s="366" t="s">
        <v>14</v>
      </c>
      <c r="G7" s="72"/>
      <c r="H7" s="363" t="s">
        <v>44</v>
      </c>
      <c r="I7" s="72"/>
      <c r="J7" s="364" t="s">
        <v>35</v>
      </c>
      <c r="K7" s="72"/>
      <c r="L7" s="72"/>
      <c r="M7" s="366" t="s">
        <v>13</v>
      </c>
      <c r="N7" s="79"/>
      <c r="O7" s="366" t="s">
        <v>12</v>
      </c>
      <c r="P7" s="72"/>
      <c r="Q7" s="368" t="s">
        <v>8</v>
      </c>
      <c r="R7" s="363"/>
      <c r="S7" s="363" t="s">
        <v>3</v>
      </c>
      <c r="T7" s="363"/>
      <c r="U7" s="363" t="s">
        <v>33</v>
      </c>
      <c r="V7" s="72"/>
      <c r="W7" s="362" t="s">
        <v>9</v>
      </c>
      <c r="X7" s="362"/>
      <c r="Y7" s="362"/>
      <c r="Z7" s="71"/>
      <c r="AA7" s="362" t="s">
        <v>10</v>
      </c>
      <c r="AB7" s="362"/>
      <c r="AC7" s="362"/>
      <c r="AD7" s="71"/>
      <c r="AE7" s="368" t="s">
        <v>8</v>
      </c>
      <c r="AF7" s="367"/>
      <c r="AG7" s="370" t="s">
        <v>45</v>
      </c>
      <c r="AH7" s="72"/>
      <c r="AI7" s="363" t="s">
        <v>3</v>
      </c>
      <c r="AJ7" s="367"/>
      <c r="AK7" s="363" t="s">
        <v>33</v>
      </c>
      <c r="AL7" s="80"/>
      <c r="AM7" s="363" t="s">
        <v>34</v>
      </c>
    </row>
    <row r="8" spans="2:40" s="55" customFormat="1" ht="72.75" customHeight="1" thickBot="1" x14ac:dyDescent="0.3">
      <c r="B8" s="361"/>
      <c r="C8" s="72"/>
      <c r="D8" s="365"/>
      <c r="E8" s="72"/>
      <c r="F8" s="365"/>
      <c r="G8" s="72"/>
      <c r="H8" s="361"/>
      <c r="I8" s="72"/>
      <c r="J8" s="365"/>
      <c r="K8" s="72"/>
      <c r="L8" s="72"/>
      <c r="M8" s="365"/>
      <c r="N8" s="78"/>
      <c r="O8" s="365"/>
      <c r="P8" s="72"/>
      <c r="Q8" s="369"/>
      <c r="R8" s="367"/>
      <c r="S8" s="361"/>
      <c r="T8" s="367"/>
      <c r="U8" s="361"/>
      <c r="V8" s="72"/>
      <c r="W8" s="81" t="s">
        <v>8</v>
      </c>
      <c r="X8" s="81"/>
      <c r="Y8" s="81" t="s">
        <v>3</v>
      </c>
      <c r="Z8" s="70"/>
      <c r="AA8" s="82" t="s">
        <v>8</v>
      </c>
      <c r="AB8" s="82"/>
      <c r="AC8" s="81" t="s">
        <v>81</v>
      </c>
      <c r="AD8" s="70"/>
      <c r="AE8" s="369"/>
      <c r="AF8" s="367"/>
      <c r="AG8" s="371"/>
      <c r="AH8" s="72"/>
      <c r="AI8" s="361"/>
      <c r="AJ8" s="367"/>
      <c r="AK8" s="361"/>
      <c r="AL8" s="80"/>
      <c r="AM8" s="361"/>
      <c r="AN8" s="49"/>
    </row>
    <row r="9" spans="2:40" s="18" customFormat="1" ht="34.5" thickBot="1" x14ac:dyDescent="0.65">
      <c r="B9" s="73" t="s">
        <v>7</v>
      </c>
      <c r="C9" s="73"/>
      <c r="D9" s="73"/>
      <c r="E9" s="73"/>
      <c r="F9" s="73"/>
      <c r="G9" s="73"/>
      <c r="H9" s="73"/>
      <c r="I9" s="73"/>
      <c r="J9" s="73"/>
      <c r="K9" s="73"/>
      <c r="L9" s="73"/>
      <c r="M9" s="75" t="s">
        <v>103</v>
      </c>
      <c r="N9" s="73"/>
      <c r="O9" s="73"/>
      <c r="P9" s="73"/>
      <c r="Q9" s="76">
        <v>0</v>
      </c>
      <c r="R9" s="83"/>
      <c r="S9" s="76">
        <v>0</v>
      </c>
      <c r="T9" s="83"/>
      <c r="U9" s="77">
        <v>0</v>
      </c>
      <c r="V9" s="83"/>
      <c r="W9" s="76">
        <v>0</v>
      </c>
      <c r="X9" s="76"/>
      <c r="Y9" s="76">
        <v>0</v>
      </c>
      <c r="Z9" s="84"/>
      <c r="AA9" s="76">
        <v>0</v>
      </c>
      <c r="AB9" s="76"/>
      <c r="AC9" s="76">
        <v>0</v>
      </c>
      <c r="AD9" s="84"/>
      <c r="AE9" s="85">
        <v>0</v>
      </c>
      <c r="AF9" s="86"/>
      <c r="AG9" s="85">
        <v>0</v>
      </c>
      <c r="AH9" s="86"/>
      <c r="AI9" s="85">
        <v>0</v>
      </c>
      <c r="AJ9" s="86"/>
      <c r="AK9" s="85">
        <v>0</v>
      </c>
      <c r="AL9" s="74"/>
      <c r="AM9" s="87">
        <v>0</v>
      </c>
    </row>
    <row r="10" spans="2:40" ht="27" thickTop="1" x14ac:dyDescent="0.65"/>
    <row r="12" spans="2:40" x14ac:dyDescent="0.65">
      <c r="AI12" s="19"/>
    </row>
    <row r="14" spans="2:40" x14ac:dyDescent="0.65">
      <c r="M14" s="20"/>
    </row>
    <row r="20" spans="8:12" x14ac:dyDescent="0.65">
      <c r="H20" s="100"/>
      <c r="I20" s="100"/>
      <c r="J20" s="100"/>
      <c r="K20" s="100"/>
      <c r="L20" s="100"/>
    </row>
  </sheetData>
  <mergeCells count="28">
    <mergeCell ref="AK7:AK8"/>
    <mergeCell ref="AM7:AM8"/>
    <mergeCell ref="AE7:AE8"/>
    <mergeCell ref="AF7:AF8"/>
    <mergeCell ref="AI7:AI8"/>
    <mergeCell ref="AJ7:AJ8"/>
    <mergeCell ref="AG7:AG8"/>
    <mergeCell ref="W7:Y7"/>
    <mergeCell ref="AA7:AC7"/>
    <mergeCell ref="Q6:U6"/>
    <mergeCell ref="B6:O6"/>
    <mergeCell ref="U7:U8"/>
    <mergeCell ref="D7:D8"/>
    <mergeCell ref="F7:F8"/>
    <mergeCell ref="M7:M8"/>
    <mergeCell ref="O7:O8"/>
    <mergeCell ref="J7:J8"/>
    <mergeCell ref="H7:H8"/>
    <mergeCell ref="B7:B8"/>
    <mergeCell ref="Q7:Q8"/>
    <mergeCell ref="R7:R8"/>
    <mergeCell ref="S7:S8"/>
    <mergeCell ref="T7:T8"/>
    <mergeCell ref="B1:AM1"/>
    <mergeCell ref="B2:AM2"/>
    <mergeCell ref="B3:AM3"/>
    <mergeCell ref="W6:AC6"/>
    <mergeCell ref="AE6:AM6"/>
  </mergeCells>
  <pageMargins left="0.5" right="1" top="0.3" bottom="0.1" header="0.31496062992126" footer="0.31496062992126"/>
  <pageSetup paperSize="9" scale="26" orientation="landscape" r:id="rId1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AC19"/>
  <sheetViews>
    <sheetView rightToLeft="1" view="pageBreakPreview" zoomScaleNormal="100" zoomScaleSheetLayoutView="100" workbookViewId="0">
      <selection activeCell="B18" sqref="B18"/>
    </sheetView>
  </sheetViews>
  <sheetFormatPr defaultColWidth="9.140625" defaultRowHeight="22.5" x14ac:dyDescent="0.55000000000000004"/>
  <cols>
    <col min="1" max="1" width="6" style="1" customWidth="1"/>
    <col min="2" max="2" width="36.85546875" style="1" bestFit="1" customWidth="1"/>
    <col min="3" max="3" width="0.7109375" style="1" customWidth="1"/>
    <col min="4" max="4" width="29" style="1" bestFit="1" customWidth="1"/>
    <col min="5" max="5" width="0.7109375" style="1" customWidth="1"/>
    <col min="6" max="6" width="16" style="1" bestFit="1" customWidth="1"/>
    <col min="7" max="7" width="0.7109375" style="1" customWidth="1"/>
    <col min="8" max="8" width="19.7109375" style="1" bestFit="1" customWidth="1"/>
    <col min="9" max="9" width="0.7109375" style="1" customWidth="1"/>
    <col min="10" max="10" width="22" style="1" bestFit="1" customWidth="1"/>
    <col min="11" max="11" width="0.7109375" style="1" customWidth="1"/>
    <col min="12" max="12" width="19.42578125" style="1" bestFit="1" customWidth="1"/>
    <col min="13" max="13" width="0.7109375" style="1" customWidth="1"/>
    <col min="14" max="14" width="21.28515625" style="93" bestFit="1" customWidth="1"/>
    <col min="15" max="15" width="0.28515625" style="1" customWidth="1"/>
    <col min="16" max="16" width="21.140625" style="93" bestFit="1" customWidth="1"/>
    <col min="17" max="17" width="0.28515625" style="1" customWidth="1"/>
    <col min="18" max="18" width="19.42578125" style="1" bestFit="1" customWidth="1"/>
    <col min="19" max="19" width="0.7109375" style="1" customWidth="1"/>
    <col min="20" max="20" width="22.7109375" style="1" bestFit="1" customWidth="1"/>
    <col min="21" max="21" width="9.140625" style="1"/>
    <col min="22" max="22" width="23.7109375" style="1" bestFit="1" customWidth="1"/>
    <col min="23" max="16384" width="9.140625" style="1"/>
  </cols>
  <sheetData>
    <row r="1" spans="2:29" ht="24" x14ac:dyDescent="0.6">
      <c r="B1" s="339" t="s">
        <v>104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</row>
    <row r="2" spans="2:29" ht="24" x14ac:dyDescent="0.6">
      <c r="B2" s="339" t="s">
        <v>82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</row>
    <row r="3" spans="2:29" ht="24" x14ac:dyDescent="0.6">
      <c r="B3" s="339" t="str">
        <f>' سهام'!AC6</f>
        <v>برای ماه منتهی به 1404/07/30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</row>
    <row r="4" spans="2:29" ht="24" x14ac:dyDescent="0.55000000000000004">
      <c r="B4" s="376" t="s">
        <v>84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  <c r="O4" s="376"/>
      <c r="P4" s="376"/>
      <c r="Q4" s="376"/>
      <c r="R4" s="376"/>
      <c r="S4" s="376"/>
      <c r="T4" s="376"/>
      <c r="AC4" s="1" t="s">
        <v>191</v>
      </c>
    </row>
    <row r="5" spans="2:29" ht="23.25" thickBot="1" x14ac:dyDescent="0.6">
      <c r="D5" s="29"/>
      <c r="E5" s="29"/>
      <c r="F5" s="29"/>
      <c r="G5" s="29"/>
      <c r="H5" s="29"/>
      <c r="I5" s="29"/>
      <c r="J5" s="29"/>
      <c r="K5" s="29"/>
      <c r="L5" s="29"/>
      <c r="M5" s="29"/>
      <c r="N5" s="125"/>
      <c r="O5" s="29"/>
      <c r="P5" s="125"/>
      <c r="Q5" s="29"/>
      <c r="R5" s="29"/>
      <c r="S5" s="29"/>
      <c r="T5" s="29"/>
      <c r="AC5" s="1" t="s">
        <v>192</v>
      </c>
    </row>
    <row r="6" spans="2:29" ht="18.75" customHeight="1" thickBot="1" x14ac:dyDescent="0.6">
      <c r="B6" s="49"/>
      <c r="D6" s="374" t="str">
        <f>' سهام'!AC4</f>
        <v>1404/06/31</v>
      </c>
      <c r="E6" s="374"/>
      <c r="F6" s="374"/>
      <c r="G6" s="374"/>
      <c r="H6" s="374"/>
      <c r="I6" s="374"/>
      <c r="J6" s="374"/>
      <c r="K6" s="374"/>
      <c r="L6" s="374"/>
      <c r="M6" s="52"/>
      <c r="N6" s="353" t="s">
        <v>16</v>
      </c>
      <c r="O6" s="353"/>
      <c r="P6" s="353"/>
      <c r="R6" s="349" t="str">
        <f>' سهام'!AC5</f>
        <v>1404/07/30</v>
      </c>
      <c r="S6" s="349"/>
      <c r="T6" s="349"/>
      <c r="AC6" s="1" t="s">
        <v>193</v>
      </c>
    </row>
    <row r="7" spans="2:29" ht="24" customHeight="1" x14ac:dyDescent="0.55000000000000004">
      <c r="B7" s="378" t="s">
        <v>17</v>
      </c>
      <c r="C7" s="3"/>
      <c r="D7" s="352" t="s">
        <v>18</v>
      </c>
      <c r="E7" s="3"/>
      <c r="F7" s="352" t="s">
        <v>19</v>
      </c>
      <c r="G7" s="3"/>
      <c r="H7" s="352" t="s">
        <v>61</v>
      </c>
      <c r="I7" s="3"/>
      <c r="J7" s="352" t="s">
        <v>62</v>
      </c>
      <c r="K7" s="340"/>
      <c r="L7" s="344" t="s">
        <v>11</v>
      </c>
      <c r="M7" s="3"/>
      <c r="N7" s="372" t="s">
        <v>63</v>
      </c>
      <c r="O7" s="171"/>
      <c r="P7" s="372" t="s">
        <v>64</v>
      </c>
      <c r="R7" s="377" t="s">
        <v>11</v>
      </c>
      <c r="S7" s="340"/>
      <c r="T7" s="375" t="s">
        <v>34</v>
      </c>
      <c r="AC7" s="1" t="s">
        <v>194</v>
      </c>
    </row>
    <row r="8" spans="2:29" ht="47.25" customHeight="1" thickBot="1" x14ac:dyDescent="0.6">
      <c r="B8" s="379"/>
      <c r="C8" s="3"/>
      <c r="D8" s="351"/>
      <c r="E8" s="242"/>
      <c r="F8" s="351"/>
      <c r="G8" s="242"/>
      <c r="H8" s="351"/>
      <c r="I8" s="242"/>
      <c r="J8" s="351"/>
      <c r="K8" s="340"/>
      <c r="L8" s="345"/>
      <c r="M8" s="3"/>
      <c r="N8" s="373"/>
      <c r="P8" s="373"/>
      <c r="R8" s="345"/>
      <c r="S8" s="340"/>
      <c r="T8" s="341"/>
      <c r="X8" s="170"/>
      <c r="AC8" s="1" t="s">
        <v>195</v>
      </c>
    </row>
    <row r="9" spans="2:29" ht="25.15" customHeight="1" x14ac:dyDescent="0.55000000000000004">
      <c r="B9" s="68" t="s">
        <v>203</v>
      </c>
      <c r="C9" s="243"/>
      <c r="D9" s="244" t="s">
        <v>107</v>
      </c>
      <c r="E9" s="244"/>
      <c r="F9" s="244" t="s">
        <v>111</v>
      </c>
      <c r="G9" s="244"/>
      <c r="H9" s="244" t="s">
        <v>109</v>
      </c>
      <c r="I9" s="244"/>
      <c r="J9" s="168">
        <v>0</v>
      </c>
      <c r="K9" s="244"/>
      <c r="L9" s="175">
        <v>50000000</v>
      </c>
      <c r="M9" s="244"/>
      <c r="N9" s="168">
        <v>0</v>
      </c>
      <c r="O9" s="244"/>
      <c r="P9" s="168">
        <v>0</v>
      </c>
      <c r="Q9" s="168"/>
      <c r="R9" s="168">
        <v>50000000</v>
      </c>
      <c r="S9" s="245"/>
      <c r="T9" s="246">
        <f>R9/$T$14</f>
        <v>6.8474606118588631E-6</v>
      </c>
      <c r="V9" s="247"/>
    </row>
    <row r="10" spans="2:29" ht="25.15" customHeight="1" x14ac:dyDescent="0.55000000000000004">
      <c r="B10" s="68" t="s">
        <v>204</v>
      </c>
      <c r="C10" s="243"/>
      <c r="D10" s="244" t="s">
        <v>108</v>
      </c>
      <c r="E10" s="244"/>
      <c r="F10" s="244" t="s">
        <v>112</v>
      </c>
      <c r="G10" s="244"/>
      <c r="H10" s="244" t="s">
        <v>109</v>
      </c>
      <c r="I10" s="244"/>
      <c r="J10" s="168">
        <v>0</v>
      </c>
      <c r="K10" s="244"/>
      <c r="L10" s="175">
        <v>13911669</v>
      </c>
      <c r="M10" s="244"/>
      <c r="N10" s="168">
        <v>3845901082506</v>
      </c>
      <c r="O10" s="244"/>
      <c r="P10" s="168">
        <v>3845860637528</v>
      </c>
      <c r="Q10" s="168"/>
      <c r="R10" s="168">
        <v>54356647</v>
      </c>
      <c r="S10" s="245"/>
      <c r="T10" s="246">
        <f>R10/$T$14</f>
        <v>7.4440999865043244E-6</v>
      </c>
      <c r="V10" s="247"/>
    </row>
    <row r="11" spans="2:29" ht="25.15" customHeight="1" thickBot="1" x14ac:dyDescent="0.6">
      <c r="B11" s="68" t="s">
        <v>205</v>
      </c>
      <c r="C11" s="243"/>
      <c r="D11" s="244" t="s">
        <v>152</v>
      </c>
      <c r="E11" s="244"/>
      <c r="F11" s="244" t="s">
        <v>112</v>
      </c>
      <c r="G11" s="244"/>
      <c r="H11" s="244" t="s">
        <v>150</v>
      </c>
      <c r="I11" s="244"/>
      <c r="J11" s="168">
        <v>0</v>
      </c>
      <c r="K11" s="244"/>
      <c r="L11" s="175">
        <v>473743783</v>
      </c>
      <c r="M11" s="244"/>
      <c r="N11" s="168">
        <v>1480496691485</v>
      </c>
      <c r="O11" s="244"/>
      <c r="P11" s="168">
        <v>1480930675000</v>
      </c>
      <c r="Q11" s="168"/>
      <c r="R11" s="168">
        <v>39760268</v>
      </c>
      <c r="S11" s="245"/>
      <c r="T11" s="247">
        <f>R11/$T$14</f>
        <v>5.4451373809390472E-6</v>
      </c>
      <c r="V11" s="247"/>
    </row>
    <row r="12" spans="2:29" ht="23.25" thickBot="1" x14ac:dyDescent="0.6"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5"/>
      <c r="L12" s="248">
        <f>SUM(L9:L11)</f>
        <v>537655452</v>
      </c>
      <c r="M12" s="31"/>
      <c r="N12" s="248">
        <f>SUM(N9:N11)</f>
        <v>5326397773991</v>
      </c>
      <c r="P12" s="248">
        <f>SUM(P9:P11)</f>
        <v>5326791312528</v>
      </c>
      <c r="R12" s="248">
        <f>SUM(R9:R11)</f>
        <v>144116915</v>
      </c>
      <c r="S12" s="5"/>
      <c r="T12" s="126">
        <f>SUM(T9:T11)</f>
        <v>1.9736697979302233E-5</v>
      </c>
      <c r="V12" s="247"/>
    </row>
    <row r="13" spans="2:29" ht="24.75" thickTop="1" x14ac:dyDescent="0.6">
      <c r="L13" s="236"/>
      <c r="R13" s="170"/>
    </row>
    <row r="14" spans="2:29" ht="24" x14ac:dyDescent="0.6">
      <c r="L14" s="262"/>
      <c r="R14" s="262"/>
      <c r="T14" s="282">
        <v>7301977015159</v>
      </c>
    </row>
    <row r="15" spans="2:29" x14ac:dyDescent="0.55000000000000004">
      <c r="L15" s="263"/>
      <c r="R15" s="263"/>
    </row>
    <row r="16" spans="2:29" x14ac:dyDescent="0.55000000000000004">
      <c r="F16" s="1" t="s">
        <v>90</v>
      </c>
      <c r="N16" s="110"/>
      <c r="R16" s="93"/>
      <c r="S16" s="93"/>
      <c r="T16" s="249"/>
    </row>
    <row r="19" spans="4:4" ht="27.75" x14ac:dyDescent="0.55000000000000004">
      <c r="D19" s="154"/>
    </row>
  </sheetData>
  <mergeCells count="19">
    <mergeCell ref="H7:H8"/>
    <mergeCell ref="J7:J8"/>
    <mergeCell ref="N6:P6"/>
    <mergeCell ref="N7:N8"/>
    <mergeCell ref="P7:P8"/>
    <mergeCell ref="D6:L6"/>
    <mergeCell ref="B1:T1"/>
    <mergeCell ref="B2:T2"/>
    <mergeCell ref="B3:T3"/>
    <mergeCell ref="T7:T8"/>
    <mergeCell ref="B4:T4"/>
    <mergeCell ref="R6:T6"/>
    <mergeCell ref="R7:R8"/>
    <mergeCell ref="S7:S8"/>
    <mergeCell ref="B7:B8"/>
    <mergeCell ref="K7:K8"/>
    <mergeCell ref="L7:L8"/>
    <mergeCell ref="D7:D8"/>
    <mergeCell ref="F7:F8"/>
  </mergeCells>
  <printOptions horizontalCentered="1"/>
  <pageMargins left="0.7" right="0.7" top="0.75" bottom="0.75" header="0.3" footer="0.3"/>
  <pageSetup paperSize="9" scale="55" orientation="landscape" r:id="rId1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8"/>
  <sheetViews>
    <sheetView rightToLeft="1" view="pageBreakPreview" zoomScale="115" zoomScaleNormal="85" zoomScaleSheetLayoutView="115" workbookViewId="0">
      <selection activeCell="B18" sqref="B18"/>
    </sheetView>
  </sheetViews>
  <sheetFormatPr defaultColWidth="8.85546875" defaultRowHeight="22.5" x14ac:dyDescent="0.55000000000000004"/>
  <cols>
    <col min="1" max="1" width="8.85546875" style="1"/>
    <col min="2" max="2" width="45.5703125" style="211" customWidth="1"/>
    <col min="3" max="3" width="26.140625" style="211" customWidth="1"/>
    <col min="4" max="4" width="12.85546875" style="1" bestFit="1" customWidth="1"/>
    <col min="5" max="5" width="1.140625" style="1" customWidth="1"/>
    <col min="6" max="6" width="24.7109375" style="1" customWidth="1"/>
    <col min="7" max="7" width="1" style="1" customWidth="1"/>
    <col min="8" max="8" width="23" style="1" customWidth="1"/>
    <col min="9" max="9" width="0.85546875" style="1" customWidth="1"/>
    <col min="10" max="10" width="19.5703125" style="1" bestFit="1" customWidth="1"/>
    <col min="11" max="11" width="0.140625" style="1" customWidth="1"/>
    <col min="12" max="12" width="8.85546875" style="1" customWidth="1"/>
    <col min="13" max="13" width="24.7109375" style="1" bestFit="1" customWidth="1"/>
    <col min="14" max="14" width="8.85546875" style="1" customWidth="1"/>
    <col min="15" max="15" width="24.28515625" style="1" customWidth="1"/>
    <col min="16" max="16" width="22.140625" style="1" customWidth="1"/>
    <col min="17" max="19" width="8.85546875" style="1" customWidth="1"/>
    <col min="20" max="16384" width="8.85546875" style="1"/>
  </cols>
  <sheetData>
    <row r="1" spans="1:29" ht="24" x14ac:dyDescent="0.55000000000000004">
      <c r="A1" s="380" t="s">
        <v>104</v>
      </c>
      <c r="B1" s="380"/>
      <c r="C1" s="380"/>
      <c r="D1" s="380"/>
      <c r="E1" s="380"/>
      <c r="F1" s="380"/>
      <c r="G1" s="380"/>
      <c r="H1" s="380"/>
      <c r="I1" s="380"/>
      <c r="J1" s="380"/>
    </row>
    <row r="2" spans="1:29" ht="24" x14ac:dyDescent="0.6">
      <c r="A2" s="339" t="str">
        <f>سپرده!B2</f>
        <v xml:space="preserve">صورت وضعیت پرتفوی </v>
      </c>
      <c r="B2" s="339"/>
      <c r="C2" s="339"/>
      <c r="D2" s="339"/>
      <c r="E2" s="339"/>
      <c r="F2" s="339"/>
      <c r="G2" s="339"/>
      <c r="H2" s="339"/>
      <c r="I2" s="339"/>
      <c r="J2" s="339"/>
      <c r="K2" s="8"/>
      <c r="L2" s="8"/>
      <c r="M2" s="8"/>
      <c r="N2" s="8"/>
      <c r="O2" s="8"/>
      <c r="P2" s="8"/>
      <c r="Q2" s="8"/>
      <c r="R2" s="8"/>
      <c r="S2" s="8"/>
    </row>
    <row r="3" spans="1:29" ht="24" x14ac:dyDescent="0.6">
      <c r="A3" s="339" t="str">
        <f>سپرده!B3</f>
        <v>برای ماه منتهی به 1404/07/30</v>
      </c>
      <c r="B3" s="339"/>
      <c r="C3" s="339"/>
      <c r="D3" s="339"/>
      <c r="E3" s="339"/>
      <c r="F3" s="339"/>
      <c r="G3" s="339"/>
      <c r="H3" s="339"/>
      <c r="I3" s="339"/>
      <c r="J3" s="339"/>
      <c r="K3" s="8"/>
      <c r="L3" s="8"/>
      <c r="M3" s="8"/>
      <c r="N3" s="8"/>
      <c r="O3" s="8"/>
      <c r="P3" s="8"/>
      <c r="Q3" s="8"/>
      <c r="R3" s="8"/>
      <c r="S3" s="8"/>
    </row>
    <row r="4" spans="1:29" x14ac:dyDescent="0.55000000000000004">
      <c r="D4" s="96"/>
      <c r="E4" s="93"/>
      <c r="J4" s="233"/>
      <c r="P4" s="170"/>
      <c r="AC4" s="1" t="s">
        <v>191</v>
      </c>
    </row>
    <row r="5" spans="1:29" ht="23.25" thickBot="1" x14ac:dyDescent="0.6">
      <c r="B5" s="12" t="s">
        <v>65</v>
      </c>
      <c r="C5" s="12"/>
      <c r="D5" s="138" t="s">
        <v>66</v>
      </c>
      <c r="E5" s="171"/>
      <c r="F5" s="138" t="s">
        <v>11</v>
      </c>
      <c r="G5" s="171"/>
      <c r="H5" s="138" t="s">
        <v>158</v>
      </c>
      <c r="I5" s="171"/>
      <c r="J5" s="138" t="s">
        <v>91</v>
      </c>
      <c r="K5" s="171"/>
      <c r="M5" s="313"/>
      <c r="P5" s="170"/>
      <c r="AC5" s="1" t="s">
        <v>193</v>
      </c>
    </row>
    <row r="6" spans="1:29" ht="24" x14ac:dyDescent="0.55000000000000004">
      <c r="B6" s="234" t="s">
        <v>80</v>
      </c>
      <c r="C6" s="234"/>
      <c r="D6" s="94" t="s">
        <v>85</v>
      </c>
      <c r="E6" s="34"/>
      <c r="F6" s="312">
        <f>'درآمد سرمایه گذاری در سهام '!T117</f>
        <v>824380889553</v>
      </c>
      <c r="G6" s="34"/>
      <c r="H6" s="95">
        <f>F6/$H$12</f>
        <v>0.91226279436084368</v>
      </c>
      <c r="I6" s="34"/>
      <c r="J6" s="95">
        <f>F6/M8</f>
        <v>0.11289831340766678</v>
      </c>
      <c r="K6" s="34"/>
      <c r="L6" s="34"/>
      <c r="M6" s="316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AC6" s="1" t="s">
        <v>194</v>
      </c>
    </row>
    <row r="7" spans="1:29" ht="24" x14ac:dyDescent="0.6">
      <c r="B7" s="234" t="s">
        <v>211</v>
      </c>
      <c r="C7" s="234"/>
      <c r="D7" s="94" t="s">
        <v>86</v>
      </c>
      <c r="E7" s="34"/>
      <c r="F7" s="235">
        <f>'درآمد سپرده بانکی'!J11</f>
        <v>19500124650</v>
      </c>
      <c r="G7" s="34"/>
      <c r="H7" s="95">
        <f>F7/$H$12</f>
        <v>2.1578906581931491E-2</v>
      </c>
      <c r="I7" s="34"/>
      <c r="J7" s="95">
        <f>F7/M8</f>
        <v>2.670526709344262E-3</v>
      </c>
      <c r="K7" s="236"/>
      <c r="L7" s="34"/>
      <c r="M7" s="316"/>
      <c r="N7" s="34"/>
      <c r="O7" s="34"/>
      <c r="P7" s="34"/>
      <c r="Q7" s="34"/>
      <c r="R7" s="34"/>
      <c r="S7" s="34"/>
      <c r="T7" s="34"/>
    </row>
    <row r="8" spans="1:29" ht="24.75" thickBot="1" x14ac:dyDescent="0.6">
      <c r="B8" s="234" t="s">
        <v>42</v>
      </c>
      <c r="C8" s="234"/>
      <c r="D8" s="94" t="s">
        <v>87</v>
      </c>
      <c r="E8" s="34"/>
      <c r="F8" s="235">
        <f>'سایر درآمدها'!F8</f>
        <v>4225976593</v>
      </c>
      <c r="G8" s="34"/>
      <c r="H8" s="95">
        <f>F8/$H$12</f>
        <v>4.6764805740755156E-3</v>
      </c>
      <c r="I8" s="34"/>
      <c r="J8" s="95">
        <f>F8/M8</f>
        <v>5.7874416534410024E-4</v>
      </c>
      <c r="K8" s="235"/>
      <c r="L8" s="34"/>
      <c r="M8" s="317">
        <v>7301977015159</v>
      </c>
      <c r="O8" s="170"/>
    </row>
    <row r="9" spans="1:29" ht="24.75" thickBot="1" x14ac:dyDescent="0.6">
      <c r="B9" s="234" t="s">
        <v>7</v>
      </c>
      <c r="D9" s="237"/>
      <c r="F9" s="238">
        <f>SUM(F6:F8)</f>
        <v>848106990796</v>
      </c>
      <c r="H9" s="239">
        <f>SUM(H6:H8)</f>
        <v>0.93851818151685074</v>
      </c>
      <c r="J9" s="240">
        <f>SUM(J6:J8)</f>
        <v>0.11614758428235514</v>
      </c>
      <c r="M9" s="313"/>
      <c r="O9" s="170"/>
      <c r="P9" s="241"/>
    </row>
    <row r="10" spans="1:29" ht="23.25" thickTop="1" x14ac:dyDescent="0.55000000000000004">
      <c r="D10" s="237"/>
      <c r="O10" s="170"/>
    </row>
    <row r="11" spans="1:29" x14ac:dyDescent="0.55000000000000004">
      <c r="O11" s="170"/>
    </row>
    <row r="12" spans="1:29" ht="24.75" x14ac:dyDescent="0.55000000000000004">
      <c r="F12" s="318"/>
      <c r="G12" s="313"/>
      <c r="H12" s="319">
        <v>903666021073</v>
      </c>
      <c r="O12" s="170"/>
    </row>
    <row r="13" spans="1:29" ht="24" x14ac:dyDescent="0.55000000000000004">
      <c r="F13" s="124"/>
      <c r="O13" s="170"/>
    </row>
    <row r="14" spans="1:29" ht="24" x14ac:dyDescent="0.55000000000000004">
      <c r="F14" s="235"/>
      <c r="M14" s="93"/>
    </row>
    <row r="15" spans="1:29" ht="24" x14ac:dyDescent="0.55000000000000004">
      <c r="F15" s="124"/>
      <c r="M15" s="170"/>
    </row>
    <row r="16" spans="1:29" ht="24" x14ac:dyDescent="0.55000000000000004">
      <c r="F16" s="124"/>
      <c r="M16" s="170"/>
    </row>
    <row r="17" spans="6:13" x14ac:dyDescent="0.55000000000000004">
      <c r="F17" s="170"/>
      <c r="M17" s="181"/>
    </row>
    <row r="18" spans="6:13" x14ac:dyDescent="0.55000000000000004">
      <c r="F18" s="170"/>
      <c r="M18" s="181"/>
    </row>
  </sheetData>
  <mergeCells count="3">
    <mergeCell ref="A1:J1"/>
    <mergeCell ref="A2:J2"/>
    <mergeCell ref="A3:J3"/>
  </mergeCells>
  <phoneticPr fontId="27" type="noConversion"/>
  <hyperlinks>
    <hyperlink ref="D6" location="'درآمد سرمایه گذاری در سهام '!A1" display="1-2" xr:uid="{00000000-0004-0000-0600-000004000000}"/>
    <hyperlink ref="D7" location="'درآمد سپرده بانکی'!A1" display="3-2" xr:uid="{00000000-0004-0000-0600-000006000000}"/>
    <hyperlink ref="D8" location="'سایر درآمدها'!A1" display="4-2" xr:uid="{00000000-0004-0000-0600-000007000000}"/>
  </hyperlinks>
  <printOptions horizontalCentered="1"/>
  <pageMargins left="0.7" right="0.7" top="0.75" bottom="0.75" header="0.3" footer="0.3"/>
  <pageSetup paperSize="9" scale="80" orientation="landscape" r:id="rId1"/>
  <headerFoot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AE137"/>
  <sheetViews>
    <sheetView rightToLeft="1" view="pageBreakPreview" topLeftCell="A108" zoomScale="70" zoomScaleNormal="100" zoomScaleSheetLayoutView="70" workbookViewId="0">
      <selection activeCell="B18" sqref="B18"/>
    </sheetView>
  </sheetViews>
  <sheetFormatPr defaultColWidth="9.140625" defaultRowHeight="36" customHeight="1" x14ac:dyDescent="0.25"/>
  <cols>
    <col min="1" max="1" width="2.7109375" style="194" customWidth="1"/>
    <col min="2" max="2" width="36.7109375" style="300" customWidth="1"/>
    <col min="3" max="3" width="0.7109375" style="194" customWidth="1"/>
    <col min="4" max="4" width="24.42578125" style="194" customWidth="1"/>
    <col min="5" max="5" width="0.7109375" style="194" customWidth="1"/>
    <col min="6" max="6" width="29.5703125" style="194" bestFit="1" customWidth="1"/>
    <col min="7" max="7" width="0.7109375" style="194" customWidth="1"/>
    <col min="8" max="8" width="29.5703125" style="194" bestFit="1" customWidth="1"/>
    <col min="9" max="9" width="0.7109375" style="194" customWidth="1"/>
    <col min="10" max="10" width="29.5703125" style="194" bestFit="1" customWidth="1"/>
    <col min="11" max="11" width="0.85546875" style="194" customWidth="1"/>
    <col min="12" max="12" width="24.42578125" style="194" bestFit="1" customWidth="1"/>
    <col min="13" max="13" width="0.7109375" style="194" customWidth="1"/>
    <col min="14" max="14" width="23.140625" style="194" customWidth="1"/>
    <col min="15" max="15" width="0.7109375" style="194" customWidth="1"/>
    <col min="16" max="16" width="25.5703125" style="194" customWidth="1"/>
    <col min="17" max="17" width="0.7109375" style="194" customWidth="1"/>
    <col min="18" max="18" width="28.140625" style="194" bestFit="1" customWidth="1"/>
    <col min="19" max="19" width="0.5703125" style="194" customWidth="1"/>
    <col min="20" max="20" width="29.5703125" style="103" bestFit="1" customWidth="1"/>
    <col min="21" max="21" width="0.42578125" style="103" customWidth="1"/>
    <col min="22" max="22" width="24" style="216" customWidth="1"/>
    <col min="23" max="23" width="29.28515625" style="194" bestFit="1" customWidth="1"/>
    <col min="24" max="24" width="30.5703125" style="194" bestFit="1" customWidth="1"/>
    <col min="25" max="25" width="37.5703125" style="194" bestFit="1" customWidth="1"/>
    <col min="26" max="26" width="32.85546875" style="194" bestFit="1" customWidth="1"/>
    <col min="27" max="27" width="20.7109375" style="194" bestFit="1" customWidth="1"/>
    <col min="28" max="28" width="9.140625" style="194"/>
    <col min="29" max="29" width="23" style="194" bestFit="1" customWidth="1"/>
    <col min="30" max="30" width="24.85546875" style="194" bestFit="1" customWidth="1"/>
    <col min="31" max="31" width="20.42578125" style="194" bestFit="1" customWidth="1"/>
    <col min="32" max="16384" width="9.140625" style="194"/>
  </cols>
  <sheetData>
    <row r="1" spans="2:29" ht="36" customHeight="1" x14ac:dyDescent="0.25">
      <c r="B1" s="390" t="str">
        <f>درآمدها!A1</f>
        <v>صندوق سرمایه گذاری شاخص سی شرکت بزرگ فیروزه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286"/>
      <c r="X1" s="286"/>
    </row>
    <row r="2" spans="2:29" ht="36" customHeight="1" x14ac:dyDescent="0.25">
      <c r="B2" s="390" t="s">
        <v>88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286"/>
      <c r="X2" s="286"/>
    </row>
    <row r="3" spans="2:29" ht="36" customHeight="1" x14ac:dyDescent="0.25">
      <c r="B3" s="390" t="str">
        <f>' سهام'!AC6</f>
        <v>برای ماه منتهی به 1404/07/30</v>
      </c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286"/>
      <c r="X3" s="286"/>
    </row>
    <row r="4" spans="2:29" ht="36" customHeight="1" x14ac:dyDescent="0.25">
      <c r="W4" s="286"/>
      <c r="X4" s="286"/>
      <c r="AC4" s="194" t="s">
        <v>191</v>
      </c>
    </row>
    <row r="5" spans="2:29" ht="36" customHeight="1" x14ac:dyDescent="0.25">
      <c r="B5" s="388" t="s">
        <v>141</v>
      </c>
      <c r="C5" s="388"/>
      <c r="D5" s="388"/>
      <c r="E5" s="388"/>
      <c r="F5" s="388"/>
      <c r="G5" s="388"/>
      <c r="H5" s="388"/>
      <c r="I5" s="388"/>
      <c r="J5" s="388"/>
      <c r="K5" s="388"/>
      <c r="L5" s="388"/>
      <c r="M5" s="388"/>
      <c r="N5" s="388"/>
      <c r="O5" s="388"/>
      <c r="P5" s="388"/>
      <c r="Q5" s="388"/>
      <c r="R5" s="388"/>
      <c r="S5" s="388"/>
      <c r="T5" s="388"/>
      <c r="U5" s="388"/>
      <c r="V5" s="388"/>
      <c r="W5" s="286"/>
      <c r="X5" s="286"/>
      <c r="AC5" s="194" t="s">
        <v>192</v>
      </c>
    </row>
    <row r="6" spans="2:29" ht="9" customHeight="1" x14ac:dyDescent="0.25">
      <c r="W6" s="286"/>
      <c r="X6" s="286"/>
      <c r="AC6" s="194" t="s">
        <v>193</v>
      </c>
    </row>
    <row r="7" spans="2:29" ht="36" customHeight="1" thickBot="1" x14ac:dyDescent="0.3">
      <c r="B7" s="301"/>
      <c r="C7" s="217"/>
      <c r="D7" s="385" t="str">
        <f>' سهام'!AC7</f>
        <v>طی مهر ماه</v>
      </c>
      <c r="E7" s="385"/>
      <c r="F7" s="385"/>
      <c r="G7" s="385"/>
      <c r="H7" s="385"/>
      <c r="I7" s="385"/>
      <c r="J7" s="385"/>
      <c r="K7" s="217"/>
      <c r="L7" s="217"/>
      <c r="M7" s="217"/>
      <c r="N7" s="385" t="str">
        <f>' سهام'!AC8</f>
        <v>از ابتدای سال مالی تا پایان مهر ماه</v>
      </c>
      <c r="O7" s="385"/>
      <c r="P7" s="385"/>
      <c r="Q7" s="385"/>
      <c r="R7" s="385"/>
      <c r="S7" s="385"/>
      <c r="T7" s="385"/>
      <c r="U7" s="385"/>
      <c r="V7" s="385"/>
      <c r="W7" s="286"/>
      <c r="X7" s="287"/>
      <c r="Y7" s="219"/>
      <c r="AC7" s="194" t="s">
        <v>194</v>
      </c>
    </row>
    <row r="8" spans="2:29" ht="36" customHeight="1" x14ac:dyDescent="0.25">
      <c r="B8" s="383" t="s">
        <v>37</v>
      </c>
      <c r="C8" s="383"/>
      <c r="D8" s="382" t="s">
        <v>22</v>
      </c>
      <c r="E8" s="383"/>
      <c r="F8" s="382" t="s">
        <v>23</v>
      </c>
      <c r="G8" s="383"/>
      <c r="H8" s="382" t="s">
        <v>24</v>
      </c>
      <c r="I8" s="383"/>
      <c r="J8" s="384" t="s">
        <v>7</v>
      </c>
      <c r="K8" s="384"/>
      <c r="L8" s="384"/>
      <c r="M8" s="383"/>
      <c r="N8" s="387" t="s">
        <v>22</v>
      </c>
      <c r="O8" s="386"/>
      <c r="P8" s="387" t="s">
        <v>23</v>
      </c>
      <c r="Q8" s="386"/>
      <c r="R8" s="387" t="s">
        <v>24</v>
      </c>
      <c r="S8" s="386"/>
      <c r="T8" s="384" t="s">
        <v>7</v>
      </c>
      <c r="U8" s="384"/>
      <c r="V8" s="384"/>
      <c r="W8" s="286"/>
      <c r="X8" s="286"/>
      <c r="AC8" s="194" t="s">
        <v>195</v>
      </c>
    </row>
    <row r="9" spans="2:29" ht="36" customHeight="1" thickBot="1" x14ac:dyDescent="0.3">
      <c r="B9" s="383"/>
      <c r="C9" s="383"/>
      <c r="D9" s="382"/>
      <c r="E9" s="383"/>
      <c r="F9" s="382"/>
      <c r="G9" s="383"/>
      <c r="H9" s="382"/>
      <c r="I9" s="383"/>
      <c r="J9" s="385"/>
      <c r="K9" s="385"/>
      <c r="L9" s="385"/>
      <c r="M9" s="383"/>
      <c r="N9" s="382"/>
      <c r="O9" s="383"/>
      <c r="P9" s="382"/>
      <c r="Q9" s="383"/>
      <c r="R9" s="382"/>
      <c r="S9" s="383"/>
      <c r="T9" s="385"/>
      <c r="U9" s="385"/>
      <c r="V9" s="385"/>
      <c r="W9" s="286"/>
      <c r="X9" s="287"/>
    </row>
    <row r="10" spans="2:29" ht="49.5" customHeight="1" thickBot="1" x14ac:dyDescent="0.3">
      <c r="B10" s="389"/>
      <c r="C10" s="383"/>
      <c r="D10" s="88" t="s">
        <v>92</v>
      </c>
      <c r="E10" s="383"/>
      <c r="F10" s="88" t="s">
        <v>93</v>
      </c>
      <c r="G10" s="383"/>
      <c r="H10" s="88" t="s">
        <v>94</v>
      </c>
      <c r="I10" s="383"/>
      <c r="J10" s="104" t="s">
        <v>11</v>
      </c>
      <c r="K10" s="104"/>
      <c r="L10" s="104" t="s">
        <v>25</v>
      </c>
      <c r="M10" s="383"/>
      <c r="N10" s="88" t="s">
        <v>92</v>
      </c>
      <c r="O10" s="383"/>
      <c r="P10" s="88" t="s">
        <v>93</v>
      </c>
      <c r="Q10" s="383"/>
      <c r="R10" s="88" t="s">
        <v>94</v>
      </c>
      <c r="S10" s="383"/>
      <c r="T10" s="104" t="s">
        <v>11</v>
      </c>
      <c r="U10" s="104"/>
      <c r="V10" s="104" t="s">
        <v>25</v>
      </c>
      <c r="W10" s="288"/>
      <c r="X10" s="289"/>
    </row>
    <row r="11" spans="2:29" ht="36" customHeight="1" x14ac:dyDescent="0.25">
      <c r="B11" s="186" t="s">
        <v>134</v>
      </c>
      <c r="C11" s="176"/>
      <c r="D11" s="201">
        <v>0</v>
      </c>
      <c r="E11" s="201"/>
      <c r="F11" s="201">
        <v>34506314479</v>
      </c>
      <c r="G11" s="201"/>
      <c r="H11" s="201">
        <v>-7702229175</v>
      </c>
      <c r="I11" s="201"/>
      <c r="J11" s="201">
        <f>H11+F11+D11</f>
        <v>26804085304</v>
      </c>
      <c r="K11" s="201"/>
      <c r="L11" s="221">
        <f t="shared" ref="L11:L34" si="0">-J11/$G$126</f>
        <v>3.6483629533662583E-2</v>
      </c>
      <c r="M11" s="201"/>
      <c r="N11" s="201">
        <v>33460000000</v>
      </c>
      <c r="O11" s="201"/>
      <c r="P11" s="201">
        <v>-102743099037</v>
      </c>
      <c r="Q11" s="201"/>
      <c r="R11" s="201">
        <v>-19299860645</v>
      </c>
      <c r="S11" s="201">
        <v>-714562636</v>
      </c>
      <c r="T11" s="201">
        <f>N11+P11+R11</f>
        <v>-88582959682</v>
      </c>
      <c r="U11" s="201">
        <v>11071728389</v>
      </c>
      <c r="V11" s="221">
        <f>T11/$X$12</f>
        <v>-9.8026215013393855E-2</v>
      </c>
      <c r="W11" s="288"/>
      <c r="X11" s="315"/>
      <c r="Z11" s="208"/>
      <c r="AA11" s="219"/>
    </row>
    <row r="12" spans="2:29" ht="36" customHeight="1" x14ac:dyDescent="0.25">
      <c r="B12" s="186" t="s">
        <v>229</v>
      </c>
      <c r="C12" s="176"/>
      <c r="D12" s="201">
        <v>0</v>
      </c>
      <c r="E12" s="201"/>
      <c r="F12" s="201">
        <v>0</v>
      </c>
      <c r="G12" s="201"/>
      <c r="H12" s="201">
        <v>91895554026</v>
      </c>
      <c r="I12" s="201"/>
      <c r="J12" s="201">
        <f t="shared" ref="J12:J34" si="1">H12+F12+D12</f>
        <v>91895554026</v>
      </c>
      <c r="K12" s="201"/>
      <c r="L12" s="221">
        <f t="shared" si="0"/>
        <v>0.12508105801226257</v>
      </c>
      <c r="M12" s="201"/>
      <c r="N12" s="201">
        <v>0</v>
      </c>
      <c r="O12" s="201"/>
      <c r="P12" s="201">
        <v>0</v>
      </c>
      <c r="Q12" s="201"/>
      <c r="R12" s="201">
        <v>91895554026</v>
      </c>
      <c r="S12" s="201">
        <v>-4741243411</v>
      </c>
      <c r="T12" s="201">
        <f t="shared" ref="T12:T21" si="2">N12+P12+R12</f>
        <v>91895554026</v>
      </c>
      <c r="U12" s="201">
        <v>11071728390</v>
      </c>
      <c r="V12" s="221">
        <f>T12/$X$12</f>
        <v>0.10169194357544234</v>
      </c>
      <c r="W12" s="288"/>
      <c r="X12" s="315">
        <v>903666021073</v>
      </c>
      <c r="Z12" s="208"/>
      <c r="AA12" s="219"/>
    </row>
    <row r="13" spans="2:29" ht="36" customHeight="1" x14ac:dyDescent="0.25">
      <c r="B13" s="186" t="s">
        <v>137</v>
      </c>
      <c r="C13" s="176"/>
      <c r="D13" s="201">
        <v>0</v>
      </c>
      <c r="E13" s="201"/>
      <c r="F13" s="201">
        <v>35063455505</v>
      </c>
      <c r="G13" s="201"/>
      <c r="H13" s="201">
        <v>1043693046</v>
      </c>
      <c r="I13" s="201"/>
      <c r="J13" s="201">
        <f t="shared" si="1"/>
        <v>36107148551</v>
      </c>
      <c r="K13" s="201"/>
      <c r="L13" s="221">
        <f t="shared" si="0"/>
        <v>4.9146233356264571E-2</v>
      </c>
      <c r="M13" s="201"/>
      <c r="N13" s="201">
        <v>22230000000</v>
      </c>
      <c r="O13" s="201"/>
      <c r="P13" s="201">
        <v>36295544740</v>
      </c>
      <c r="Q13" s="201"/>
      <c r="R13" s="201">
        <v>53211014961</v>
      </c>
      <c r="S13" s="201">
        <v>-3385001208</v>
      </c>
      <c r="T13" s="201">
        <f t="shared" si="2"/>
        <v>111736559701</v>
      </c>
      <c r="U13" s="201">
        <v>11071728391</v>
      </c>
      <c r="V13" s="221">
        <f t="shared" ref="V13:V93" si="3">T13/$X$12</f>
        <v>0.12364807029960651</v>
      </c>
      <c r="W13" s="288"/>
      <c r="X13" s="315"/>
      <c r="Z13" s="208"/>
      <c r="AA13" s="219"/>
    </row>
    <row r="14" spans="2:29" ht="36" customHeight="1" x14ac:dyDescent="0.25">
      <c r="B14" s="186" t="s">
        <v>125</v>
      </c>
      <c r="C14" s="176"/>
      <c r="D14" s="201">
        <v>39350557839</v>
      </c>
      <c r="E14" s="201"/>
      <c r="F14" s="201">
        <v>65917976946</v>
      </c>
      <c r="G14" s="201"/>
      <c r="H14" s="201">
        <v>-19821294</v>
      </c>
      <c r="I14" s="201"/>
      <c r="J14" s="201">
        <f t="shared" si="1"/>
        <v>105248713491</v>
      </c>
      <c r="K14" s="201"/>
      <c r="L14" s="221">
        <f t="shared" si="0"/>
        <v>0.14325633679904809</v>
      </c>
      <c r="M14" s="201"/>
      <c r="N14" s="201">
        <v>39350557839</v>
      </c>
      <c r="O14" s="201"/>
      <c r="P14" s="201">
        <v>37416241612</v>
      </c>
      <c r="Q14" s="201"/>
      <c r="R14" s="201">
        <v>-423765184</v>
      </c>
      <c r="S14" s="201">
        <v>-2880009787</v>
      </c>
      <c r="T14" s="201">
        <f t="shared" ref="T14:T17" si="4">N14+P14+R14</f>
        <v>76343034267</v>
      </c>
      <c r="U14" s="201">
        <v>11071728392</v>
      </c>
      <c r="V14" s="221">
        <f t="shared" si="3"/>
        <v>8.4481470462230479E-2</v>
      </c>
      <c r="W14" s="288"/>
      <c r="X14" s="289"/>
      <c r="Z14" s="208"/>
      <c r="AA14" s="219"/>
    </row>
    <row r="15" spans="2:29" ht="36" customHeight="1" x14ac:dyDescent="0.25">
      <c r="B15" s="186" t="s">
        <v>126</v>
      </c>
      <c r="C15" s="176"/>
      <c r="D15" s="201">
        <v>0</v>
      </c>
      <c r="E15" s="201"/>
      <c r="F15" s="201">
        <v>28990816668</v>
      </c>
      <c r="G15" s="201"/>
      <c r="H15" s="201">
        <v>-5399783501</v>
      </c>
      <c r="I15" s="201"/>
      <c r="J15" s="201">
        <f t="shared" si="1"/>
        <v>23591033167</v>
      </c>
      <c r="K15" s="201"/>
      <c r="L15" s="221">
        <f t="shared" si="0"/>
        <v>3.2110273662378383E-2</v>
      </c>
      <c r="M15" s="201"/>
      <c r="N15" s="201">
        <v>5600000000</v>
      </c>
      <c r="O15" s="201"/>
      <c r="P15" s="201">
        <v>-4567072112</v>
      </c>
      <c r="Q15" s="201"/>
      <c r="R15" s="201">
        <v>-12135193293</v>
      </c>
      <c r="S15" s="201">
        <v>-664891573</v>
      </c>
      <c r="T15" s="201">
        <f t="shared" si="4"/>
        <v>-11102265405</v>
      </c>
      <c r="U15" s="201">
        <v>11071728393</v>
      </c>
      <c r="V15" s="221">
        <f t="shared" si="3"/>
        <v>-1.2285805979312279E-2</v>
      </c>
      <c r="W15" s="288"/>
      <c r="X15" s="289"/>
      <c r="Z15" s="208"/>
      <c r="AA15" s="219"/>
    </row>
    <row r="16" spans="2:29" ht="36" customHeight="1" x14ac:dyDescent="0.25">
      <c r="B16" s="186" t="s">
        <v>117</v>
      </c>
      <c r="C16" s="176"/>
      <c r="D16" s="201">
        <v>0</v>
      </c>
      <c r="E16" s="201"/>
      <c r="F16" s="201">
        <v>56104234159</v>
      </c>
      <c r="G16" s="201"/>
      <c r="H16" s="201">
        <v>968567403</v>
      </c>
      <c r="I16" s="201"/>
      <c r="J16" s="201">
        <f t="shared" si="1"/>
        <v>57072801562</v>
      </c>
      <c r="K16" s="201"/>
      <c r="L16" s="221">
        <f t="shared" si="0"/>
        <v>7.7683044394934633E-2</v>
      </c>
      <c r="M16" s="201"/>
      <c r="N16" s="201">
        <v>22491899048</v>
      </c>
      <c r="O16" s="201"/>
      <c r="P16" s="201">
        <v>63245168576</v>
      </c>
      <c r="Q16" s="201"/>
      <c r="R16" s="201">
        <v>1330309687</v>
      </c>
      <c r="S16" s="201">
        <v>-2538727106</v>
      </c>
      <c r="T16" s="201">
        <f t="shared" si="4"/>
        <v>87067377311</v>
      </c>
      <c r="U16" s="201">
        <v>11071728394</v>
      </c>
      <c r="V16" s="221">
        <f t="shared" si="3"/>
        <v>9.634906622649976E-2</v>
      </c>
      <c r="W16" s="288"/>
      <c r="X16" s="289"/>
      <c r="Z16" s="208"/>
      <c r="AA16" s="219"/>
    </row>
    <row r="17" spans="2:27" ht="36" customHeight="1" x14ac:dyDescent="0.25">
      <c r="B17" s="186" t="s">
        <v>183</v>
      </c>
      <c r="C17" s="176"/>
      <c r="D17" s="201">
        <v>0</v>
      </c>
      <c r="E17" s="201"/>
      <c r="F17" s="201">
        <v>0</v>
      </c>
      <c r="G17" s="201"/>
      <c r="H17" s="201">
        <v>-23801494330</v>
      </c>
      <c r="I17" s="201"/>
      <c r="J17" s="201">
        <f t="shared" si="1"/>
        <v>-23801494330</v>
      </c>
      <c r="K17" s="201"/>
      <c r="L17" s="221">
        <f t="shared" si="0"/>
        <v>-3.2396736976273668E-2</v>
      </c>
      <c r="M17" s="201"/>
      <c r="N17" s="201">
        <v>9013568521</v>
      </c>
      <c r="O17" s="201"/>
      <c r="P17" s="201">
        <v>0</v>
      </c>
      <c r="Q17" s="201"/>
      <c r="R17" s="201">
        <v>-22038903430</v>
      </c>
      <c r="S17" s="201">
        <v>-5759026841</v>
      </c>
      <c r="T17" s="201">
        <f t="shared" si="4"/>
        <v>-13025334909</v>
      </c>
      <c r="U17" s="201">
        <v>11071728395</v>
      </c>
      <c r="V17" s="221">
        <f t="shared" si="3"/>
        <v>-1.4413881462018352E-2</v>
      </c>
      <c r="W17" s="288"/>
      <c r="X17" s="289"/>
      <c r="Z17" s="208"/>
      <c r="AA17" s="219"/>
    </row>
    <row r="18" spans="2:27" ht="36" customHeight="1" x14ac:dyDescent="0.25">
      <c r="B18" s="186" t="s">
        <v>206</v>
      </c>
      <c r="C18" s="176"/>
      <c r="D18" s="201">
        <v>0</v>
      </c>
      <c r="E18" s="201"/>
      <c r="F18" s="201">
        <v>3916490268</v>
      </c>
      <c r="G18" s="201"/>
      <c r="H18" s="201">
        <v>-95501806</v>
      </c>
      <c r="I18" s="201"/>
      <c r="J18" s="201">
        <f t="shared" si="1"/>
        <v>3820988462</v>
      </c>
      <c r="K18" s="201"/>
      <c r="L18" s="221">
        <f t="shared" si="0"/>
        <v>5.2008313627924414E-3</v>
      </c>
      <c r="M18" s="201"/>
      <c r="N18" s="201">
        <v>1500000000</v>
      </c>
      <c r="O18" s="201"/>
      <c r="P18" s="201">
        <v>585532009</v>
      </c>
      <c r="Q18" s="201"/>
      <c r="R18" s="201">
        <v>9771719601</v>
      </c>
      <c r="S18" s="201">
        <v>-2808202366</v>
      </c>
      <c r="T18" s="201">
        <f t="shared" si="2"/>
        <v>11857251610</v>
      </c>
      <c r="U18" s="201">
        <v>11071728392</v>
      </c>
      <c r="V18" s="221">
        <f t="shared" si="3"/>
        <v>1.3121276371463951E-2</v>
      </c>
      <c r="W18" s="220"/>
      <c r="X18" s="103"/>
      <c r="Z18" s="208"/>
      <c r="AA18" s="219"/>
    </row>
    <row r="19" spans="2:27" ht="36" customHeight="1" x14ac:dyDescent="0.25">
      <c r="B19" s="186" t="s">
        <v>184</v>
      </c>
      <c r="C19" s="176"/>
      <c r="D19" s="201">
        <v>11107223327</v>
      </c>
      <c r="E19" s="201"/>
      <c r="F19" s="201">
        <v>3341523998</v>
      </c>
      <c r="G19" s="201"/>
      <c r="H19" s="201">
        <v>68135853</v>
      </c>
      <c r="I19" s="201"/>
      <c r="J19" s="201">
        <f t="shared" si="1"/>
        <v>14516883178</v>
      </c>
      <c r="K19" s="201"/>
      <c r="L19" s="221">
        <f t="shared" si="0"/>
        <v>1.9759248705665526E-2</v>
      </c>
      <c r="M19" s="201"/>
      <c r="N19" s="201">
        <v>11107223327</v>
      </c>
      <c r="O19" s="201"/>
      <c r="P19" s="201">
        <v>5554046683</v>
      </c>
      <c r="Q19" s="201"/>
      <c r="R19" s="201">
        <v>-596755720</v>
      </c>
      <c r="S19" s="201">
        <v>18700109240</v>
      </c>
      <c r="T19" s="201">
        <f t="shared" si="2"/>
        <v>16064514290</v>
      </c>
      <c r="U19" s="201">
        <v>11071728393</v>
      </c>
      <c r="V19" s="221">
        <f t="shared" si="3"/>
        <v>1.7777048063537044E-2</v>
      </c>
      <c r="W19" s="220"/>
      <c r="X19" s="103"/>
      <c r="Z19" s="208"/>
      <c r="AA19" s="219"/>
    </row>
    <row r="20" spans="2:27" ht="36" customHeight="1" x14ac:dyDescent="0.25">
      <c r="B20" s="186" t="s">
        <v>238</v>
      </c>
      <c r="C20" s="176"/>
      <c r="D20" s="201">
        <v>0</v>
      </c>
      <c r="E20" s="201"/>
      <c r="F20" s="201">
        <v>0</v>
      </c>
      <c r="G20" s="201"/>
      <c r="H20" s="201">
        <v>33823218153</v>
      </c>
      <c r="I20" s="201"/>
      <c r="J20" s="201">
        <f t="shared" si="1"/>
        <v>33823218153</v>
      </c>
      <c r="K20" s="201"/>
      <c r="L20" s="221">
        <f t="shared" si="0"/>
        <v>4.6037525501612733E-2</v>
      </c>
      <c r="M20" s="201"/>
      <c r="N20" s="201">
        <v>0</v>
      </c>
      <c r="O20" s="201"/>
      <c r="P20" s="201">
        <v>0</v>
      </c>
      <c r="Q20" s="201"/>
      <c r="R20" s="201">
        <v>33823218153</v>
      </c>
      <c r="S20" s="201">
        <v>8828197833</v>
      </c>
      <c r="T20" s="201">
        <f t="shared" si="2"/>
        <v>33823218153</v>
      </c>
      <c r="U20" s="201">
        <v>11071728394</v>
      </c>
      <c r="V20" s="221">
        <f t="shared" si="3"/>
        <v>3.7428892272433567E-2</v>
      </c>
      <c r="W20" s="220"/>
      <c r="X20" s="103"/>
      <c r="Z20" s="208"/>
      <c r="AA20" s="219"/>
    </row>
    <row r="21" spans="2:27" ht="36" customHeight="1" x14ac:dyDescent="0.25">
      <c r="B21" s="186" t="s">
        <v>131</v>
      </c>
      <c r="C21" s="176"/>
      <c r="D21" s="201">
        <v>0</v>
      </c>
      <c r="E21" s="201"/>
      <c r="F21" s="201">
        <v>7500816264</v>
      </c>
      <c r="G21" s="201"/>
      <c r="H21" s="201">
        <v>-118411507</v>
      </c>
      <c r="I21" s="201"/>
      <c r="J21" s="201">
        <f t="shared" si="1"/>
        <v>7382404757</v>
      </c>
      <c r="K21" s="201"/>
      <c r="L21" s="221">
        <f t="shared" si="0"/>
        <v>1.0048353344918767E-2</v>
      </c>
      <c r="M21" s="201"/>
      <c r="N21" s="201">
        <v>5051163390</v>
      </c>
      <c r="O21" s="201"/>
      <c r="P21" s="201">
        <v>-725656424</v>
      </c>
      <c r="Q21" s="201"/>
      <c r="R21" s="201">
        <v>1594153716</v>
      </c>
      <c r="S21" s="201">
        <v>-40082741567</v>
      </c>
      <c r="T21" s="201">
        <f t="shared" si="2"/>
        <v>5919660682</v>
      </c>
      <c r="U21" s="201">
        <v>11071728395</v>
      </c>
      <c r="V21" s="221">
        <f t="shared" si="3"/>
        <v>6.5507173490611942E-3</v>
      </c>
      <c r="W21" s="220"/>
      <c r="X21" s="103"/>
      <c r="Z21" s="208"/>
      <c r="AA21" s="219"/>
    </row>
    <row r="22" spans="2:27" ht="36" customHeight="1" x14ac:dyDescent="0.25">
      <c r="B22" s="186" t="s">
        <v>120</v>
      </c>
      <c r="C22" s="176"/>
      <c r="D22" s="201">
        <v>0</v>
      </c>
      <c r="E22" s="201"/>
      <c r="F22" s="201">
        <v>49745408315</v>
      </c>
      <c r="G22" s="201"/>
      <c r="H22" s="201">
        <v>585045192</v>
      </c>
      <c r="I22" s="201"/>
      <c r="J22" s="201">
        <f t="shared" si="1"/>
        <v>50330453507</v>
      </c>
      <c r="K22" s="201"/>
      <c r="L22" s="221">
        <f t="shared" si="0"/>
        <v>6.850588629251203E-2</v>
      </c>
      <c r="M22" s="201"/>
      <c r="N22" s="201">
        <v>55406125166</v>
      </c>
      <c r="O22" s="201"/>
      <c r="P22" s="201">
        <v>19140478473</v>
      </c>
      <c r="Q22" s="201"/>
      <c r="R22" s="201">
        <v>2020709172</v>
      </c>
      <c r="S22" s="201">
        <v>466959920</v>
      </c>
      <c r="T22" s="201">
        <f t="shared" ref="T22:T29" si="5">N22+P22+R22</f>
        <v>76567312811</v>
      </c>
      <c r="U22" s="201">
        <v>11071728396</v>
      </c>
      <c r="V22" s="221">
        <f t="shared" si="3"/>
        <v>8.4729657888525101E-2</v>
      </c>
      <c r="W22" s="220"/>
      <c r="X22" s="103"/>
      <c r="Z22" s="208"/>
      <c r="AA22" s="219"/>
    </row>
    <row r="23" spans="2:27" ht="36" customHeight="1" x14ac:dyDescent="0.25">
      <c r="B23" s="186" t="s">
        <v>247</v>
      </c>
      <c r="C23" s="176"/>
      <c r="D23" s="201">
        <v>0</v>
      </c>
      <c r="E23" s="201"/>
      <c r="F23" s="201">
        <v>13308924562</v>
      </c>
      <c r="G23" s="201"/>
      <c r="H23" s="201">
        <v>226949553</v>
      </c>
      <c r="I23" s="201"/>
      <c r="J23" s="201">
        <f t="shared" si="1"/>
        <v>13535874115</v>
      </c>
      <c r="K23" s="201"/>
      <c r="L23" s="221">
        <f t="shared" si="0"/>
        <v>1.8423975712100013E-2</v>
      </c>
      <c r="M23" s="201"/>
      <c r="N23" s="201">
        <v>0</v>
      </c>
      <c r="O23" s="201"/>
      <c r="P23" s="201">
        <v>13308924562</v>
      </c>
      <c r="Q23" s="201"/>
      <c r="R23" s="201">
        <v>226949553</v>
      </c>
      <c r="S23" s="201">
        <v>-102059379029</v>
      </c>
      <c r="T23" s="201">
        <f t="shared" ref="T23:T27" si="6">N23+P23+R23</f>
        <v>13535874115</v>
      </c>
      <c r="U23" s="201">
        <v>11071728398</v>
      </c>
      <c r="V23" s="221">
        <f t="shared" si="3"/>
        <v>1.4978845944575518E-2</v>
      </c>
      <c r="W23" s="220"/>
      <c r="X23" s="103"/>
      <c r="Z23" s="208"/>
      <c r="AA23" s="219"/>
    </row>
    <row r="24" spans="2:27" ht="36" customHeight="1" x14ac:dyDescent="0.25">
      <c r="B24" s="186" t="s">
        <v>199</v>
      </c>
      <c r="C24" s="176"/>
      <c r="D24" s="201">
        <v>0</v>
      </c>
      <c r="E24" s="201"/>
      <c r="F24" s="201">
        <v>0</v>
      </c>
      <c r="G24" s="201"/>
      <c r="H24" s="201">
        <v>-17593967988</v>
      </c>
      <c r="I24" s="201"/>
      <c r="J24" s="201">
        <f t="shared" si="1"/>
        <v>-17593967988</v>
      </c>
      <c r="K24" s="201"/>
      <c r="L24" s="221">
        <f t="shared" si="0"/>
        <v>-2.3947536460254465E-2</v>
      </c>
      <c r="M24" s="201"/>
      <c r="N24" s="201">
        <v>480000000</v>
      </c>
      <c r="O24" s="201"/>
      <c r="P24" s="201">
        <v>0</v>
      </c>
      <c r="Q24" s="201"/>
      <c r="R24" s="201">
        <v>-17593967988</v>
      </c>
      <c r="S24" s="201">
        <v>-11597631470</v>
      </c>
      <c r="T24" s="201">
        <f t="shared" si="6"/>
        <v>-17113967988</v>
      </c>
      <c r="U24" s="201">
        <v>11071728399</v>
      </c>
      <c r="V24" s="221">
        <f t="shared" si="3"/>
        <v>-1.8938377220025514E-2</v>
      </c>
      <c r="W24" s="220"/>
      <c r="X24" s="103"/>
      <c r="Z24" s="208"/>
      <c r="AA24" s="219"/>
    </row>
    <row r="25" spans="2:27" ht="36" customHeight="1" x14ac:dyDescent="0.25">
      <c r="B25" s="186" t="s">
        <v>246</v>
      </c>
      <c r="C25" s="176"/>
      <c r="D25" s="201">
        <v>0</v>
      </c>
      <c r="E25" s="201"/>
      <c r="F25" s="201">
        <v>2300965906</v>
      </c>
      <c r="G25" s="201"/>
      <c r="H25" s="201">
        <v>1909888621</v>
      </c>
      <c r="I25" s="201"/>
      <c r="J25" s="201">
        <f t="shared" si="1"/>
        <v>4210854527</v>
      </c>
      <c r="K25" s="201"/>
      <c r="L25" s="221">
        <f t="shared" si="0"/>
        <v>5.7314866312669147E-3</v>
      </c>
      <c r="M25" s="201"/>
      <c r="N25" s="201">
        <v>0</v>
      </c>
      <c r="O25" s="201"/>
      <c r="P25" s="201">
        <v>2300965906</v>
      </c>
      <c r="Q25" s="201"/>
      <c r="R25" s="201">
        <v>1909888621</v>
      </c>
      <c r="S25" s="201">
        <v>52167321915</v>
      </c>
      <c r="T25" s="201">
        <f t="shared" si="6"/>
        <v>4210854527</v>
      </c>
      <c r="U25" s="201">
        <v>11071728400</v>
      </c>
      <c r="V25" s="221">
        <f t="shared" si="3"/>
        <v>4.6597464426072939E-3</v>
      </c>
      <c r="W25" s="220"/>
      <c r="X25" s="103"/>
      <c r="Z25" s="208"/>
      <c r="AA25" s="219"/>
    </row>
    <row r="26" spans="2:27" ht="36" customHeight="1" x14ac:dyDescent="0.25">
      <c r="B26" s="186" t="s">
        <v>118</v>
      </c>
      <c r="C26" s="176"/>
      <c r="D26" s="201">
        <v>0</v>
      </c>
      <c r="E26" s="201"/>
      <c r="F26" s="201">
        <v>26771885473</v>
      </c>
      <c r="G26" s="201"/>
      <c r="H26" s="201">
        <v>-1094734254</v>
      </c>
      <c r="I26" s="201"/>
      <c r="J26" s="201">
        <f t="shared" si="1"/>
        <v>25677151219</v>
      </c>
      <c r="K26" s="201"/>
      <c r="L26" s="221">
        <f t="shared" si="0"/>
        <v>3.4949734785914503E-2</v>
      </c>
      <c r="M26" s="201"/>
      <c r="N26" s="201">
        <v>10640000000</v>
      </c>
      <c r="O26" s="201"/>
      <c r="P26" s="201">
        <v>8132958327</v>
      </c>
      <c r="Q26" s="201"/>
      <c r="R26" s="201">
        <v>-2449414192</v>
      </c>
      <c r="S26" s="201">
        <v>-6964477628</v>
      </c>
      <c r="T26" s="201">
        <f t="shared" si="6"/>
        <v>16323544135</v>
      </c>
      <c r="U26" s="201">
        <v>11071728401</v>
      </c>
      <c r="V26" s="221">
        <f t="shared" si="3"/>
        <v>1.8063691401849612E-2</v>
      </c>
      <c r="W26" s="220"/>
      <c r="X26" s="103"/>
      <c r="Z26" s="208"/>
      <c r="AA26" s="219"/>
    </row>
    <row r="27" spans="2:27" ht="36" customHeight="1" x14ac:dyDescent="0.25">
      <c r="B27" s="186" t="s">
        <v>132</v>
      </c>
      <c r="C27" s="176"/>
      <c r="D27" s="201">
        <v>0</v>
      </c>
      <c r="E27" s="201"/>
      <c r="F27" s="201">
        <v>141096168230</v>
      </c>
      <c r="G27" s="201"/>
      <c r="H27" s="201">
        <v>-3565113</v>
      </c>
      <c r="I27" s="201"/>
      <c r="J27" s="201">
        <f t="shared" si="1"/>
        <v>141092603117</v>
      </c>
      <c r="K27" s="201"/>
      <c r="L27" s="221">
        <f t="shared" si="0"/>
        <v>0.19204424264731532</v>
      </c>
      <c r="M27" s="201"/>
      <c r="N27" s="201">
        <v>23680000000</v>
      </c>
      <c r="O27" s="201"/>
      <c r="P27" s="201">
        <v>77803704798</v>
      </c>
      <c r="Q27" s="201"/>
      <c r="R27" s="201">
        <v>-6968042741</v>
      </c>
      <c r="S27" s="201">
        <v>-13571699443</v>
      </c>
      <c r="T27" s="201">
        <f t="shared" si="6"/>
        <v>94515662057</v>
      </c>
      <c r="U27" s="201">
        <v>11071728402</v>
      </c>
      <c r="V27" s="221">
        <f t="shared" si="3"/>
        <v>0.10459136434583816</v>
      </c>
      <c r="W27" s="220"/>
      <c r="X27" s="103"/>
      <c r="Z27" s="208"/>
      <c r="AA27" s="219"/>
    </row>
    <row r="28" spans="2:27" ht="36" customHeight="1" x14ac:dyDescent="0.25">
      <c r="B28" s="186" t="s">
        <v>133</v>
      </c>
      <c r="C28" s="176"/>
      <c r="D28" s="201">
        <v>53753376395</v>
      </c>
      <c r="E28" s="201"/>
      <c r="F28" s="201">
        <v>27222547585</v>
      </c>
      <c r="G28" s="201"/>
      <c r="H28" s="201">
        <v>-1220291087</v>
      </c>
      <c r="I28" s="201"/>
      <c r="J28" s="201">
        <f t="shared" si="1"/>
        <v>79755632893</v>
      </c>
      <c r="K28" s="201"/>
      <c r="L28" s="221">
        <f t="shared" si="0"/>
        <v>0.10855714458037399</v>
      </c>
      <c r="M28" s="201"/>
      <c r="N28" s="201">
        <v>53753376395</v>
      </c>
      <c r="O28" s="201"/>
      <c r="P28" s="201">
        <v>-114695209386</v>
      </c>
      <c r="Q28" s="201"/>
      <c r="R28" s="201">
        <v>-14791990530</v>
      </c>
      <c r="S28" s="201">
        <v>257545772</v>
      </c>
      <c r="T28" s="201">
        <f t="shared" si="5"/>
        <v>-75733823521</v>
      </c>
      <c r="U28" s="201">
        <v>11071728398</v>
      </c>
      <c r="V28" s="221">
        <f t="shared" si="3"/>
        <v>-8.3807315706166258E-2</v>
      </c>
      <c r="W28" s="220"/>
      <c r="X28" s="103"/>
      <c r="Z28" s="208"/>
      <c r="AA28" s="219"/>
    </row>
    <row r="29" spans="2:27" ht="36" customHeight="1" x14ac:dyDescent="0.25">
      <c r="B29" s="186" t="s">
        <v>146</v>
      </c>
      <c r="C29" s="176"/>
      <c r="D29" s="201">
        <v>0</v>
      </c>
      <c r="E29" s="201"/>
      <c r="F29" s="201">
        <v>29653293705</v>
      </c>
      <c r="G29" s="201"/>
      <c r="H29" s="201">
        <v>-1008261782</v>
      </c>
      <c r="I29" s="201"/>
      <c r="J29" s="201">
        <f t="shared" si="1"/>
        <v>28645031923</v>
      </c>
      <c r="K29" s="201"/>
      <c r="L29" s="221">
        <f t="shared" si="0"/>
        <v>3.8989382432039671E-2</v>
      </c>
      <c r="M29" s="201"/>
      <c r="N29" s="201">
        <v>32088303935</v>
      </c>
      <c r="O29" s="201"/>
      <c r="P29" s="201">
        <v>-6729707094</v>
      </c>
      <c r="Q29" s="201"/>
      <c r="R29" s="201">
        <v>-3774783208</v>
      </c>
      <c r="S29" s="201">
        <v>1026553445</v>
      </c>
      <c r="T29" s="201">
        <f t="shared" si="5"/>
        <v>21583813633</v>
      </c>
      <c r="U29" s="201">
        <v>11071728399</v>
      </c>
      <c r="V29" s="221">
        <f t="shared" si="3"/>
        <v>2.3884724145510849E-2</v>
      </c>
      <c r="W29" s="220"/>
      <c r="X29" s="103"/>
      <c r="Z29" s="208"/>
      <c r="AA29" s="219"/>
    </row>
    <row r="30" spans="2:27" ht="36" customHeight="1" x14ac:dyDescent="0.25">
      <c r="B30" s="186" t="s">
        <v>185</v>
      </c>
      <c r="C30" s="176"/>
      <c r="D30" s="201">
        <v>0</v>
      </c>
      <c r="E30" s="201"/>
      <c r="F30" s="201">
        <v>4754054090</v>
      </c>
      <c r="G30" s="201"/>
      <c r="H30" s="201">
        <v>-1310352904</v>
      </c>
      <c r="I30" s="201"/>
      <c r="J30" s="201">
        <f t="shared" si="1"/>
        <v>3443701186</v>
      </c>
      <c r="K30" s="201"/>
      <c r="L30" s="221">
        <f t="shared" si="0"/>
        <v>4.6872973604478599E-3</v>
      </c>
      <c r="M30" s="201"/>
      <c r="N30" s="201">
        <v>5524324324</v>
      </c>
      <c r="O30" s="201"/>
      <c r="P30" s="201">
        <v>-1414046097</v>
      </c>
      <c r="Q30" s="201"/>
      <c r="R30" s="201">
        <v>-2024915540</v>
      </c>
      <c r="S30" s="201">
        <v>-1161777565</v>
      </c>
      <c r="T30" s="201">
        <f t="shared" ref="T30:T116" si="7">N30+P30+R30</f>
        <v>2085362687</v>
      </c>
      <c r="U30" s="201">
        <v>-5155830316</v>
      </c>
      <c r="V30" s="221">
        <f t="shared" si="3"/>
        <v>2.307669690317525E-3</v>
      </c>
      <c r="W30" s="220"/>
      <c r="X30" s="103"/>
      <c r="Z30" s="208"/>
      <c r="AA30" s="219"/>
    </row>
    <row r="31" spans="2:27" ht="36" customHeight="1" x14ac:dyDescent="0.25">
      <c r="B31" s="186" t="s">
        <v>245</v>
      </c>
      <c r="C31" s="176"/>
      <c r="D31" s="201">
        <v>0</v>
      </c>
      <c r="E31" s="201"/>
      <c r="F31" s="201">
        <v>0</v>
      </c>
      <c r="G31" s="201"/>
      <c r="H31" s="201">
        <v>-9111320</v>
      </c>
      <c r="I31" s="201"/>
      <c r="J31" s="201">
        <f t="shared" si="1"/>
        <v>-9111320</v>
      </c>
      <c r="K31" s="201"/>
      <c r="L31" s="221">
        <f t="shared" si="0"/>
        <v>-1.2401617875505123E-5</v>
      </c>
      <c r="M31" s="201"/>
      <c r="N31" s="201">
        <v>0</v>
      </c>
      <c r="O31" s="201"/>
      <c r="P31" s="201">
        <v>0</v>
      </c>
      <c r="Q31" s="201"/>
      <c r="R31" s="201">
        <v>-9111320</v>
      </c>
      <c r="S31" s="201">
        <v>599022178</v>
      </c>
      <c r="T31" s="201">
        <f t="shared" ref="T31:T45" si="8">N31+P31+R31</f>
        <v>-9111320</v>
      </c>
      <c r="U31" s="201">
        <v>-5155830315</v>
      </c>
      <c r="V31" s="221">
        <f t="shared" si="3"/>
        <v>-1.0082618785623199E-5</v>
      </c>
      <c r="W31" s="220"/>
      <c r="X31" s="103"/>
      <c r="Z31" s="208"/>
      <c r="AA31" s="219"/>
    </row>
    <row r="32" spans="2:27" ht="36" customHeight="1" x14ac:dyDescent="0.25">
      <c r="B32" s="186" t="s">
        <v>128</v>
      </c>
      <c r="C32" s="176"/>
      <c r="D32" s="201">
        <v>0</v>
      </c>
      <c r="E32" s="201"/>
      <c r="F32" s="201">
        <v>35872035360</v>
      </c>
      <c r="G32" s="201"/>
      <c r="H32" s="201">
        <v>11865980091</v>
      </c>
      <c r="I32" s="201"/>
      <c r="J32" s="201">
        <f t="shared" si="1"/>
        <v>47738015451</v>
      </c>
      <c r="K32" s="201"/>
      <c r="L32" s="221">
        <f t="shared" si="0"/>
        <v>6.4977261885024493E-2</v>
      </c>
      <c r="M32" s="201"/>
      <c r="N32" s="201">
        <v>0</v>
      </c>
      <c r="O32" s="201"/>
      <c r="P32" s="201">
        <v>29364790871</v>
      </c>
      <c r="Q32" s="201"/>
      <c r="R32" s="201">
        <v>8480978883</v>
      </c>
      <c r="S32" s="201">
        <v>11615770866</v>
      </c>
      <c r="T32" s="201">
        <f t="shared" si="8"/>
        <v>37845769754</v>
      </c>
      <c r="U32" s="201">
        <v>-5155830314</v>
      </c>
      <c r="V32" s="221">
        <f t="shared" si="3"/>
        <v>4.1880262034266244E-2</v>
      </c>
      <c r="W32" s="220"/>
      <c r="X32" s="103"/>
      <c r="Z32" s="208"/>
      <c r="AA32" s="219"/>
    </row>
    <row r="33" spans="2:27" ht="36" customHeight="1" x14ac:dyDescent="0.25">
      <c r="B33" s="186" t="s">
        <v>115</v>
      </c>
      <c r="C33" s="176"/>
      <c r="D33" s="201">
        <v>0</v>
      </c>
      <c r="E33" s="201"/>
      <c r="F33" s="201">
        <v>21748902809</v>
      </c>
      <c r="G33" s="201"/>
      <c r="H33" s="201">
        <v>572857341</v>
      </c>
      <c r="I33" s="201"/>
      <c r="J33" s="201">
        <f t="shared" si="1"/>
        <v>22321760150</v>
      </c>
      <c r="K33" s="201"/>
      <c r="L33" s="221">
        <f t="shared" si="0"/>
        <v>3.0382638266351958E-2</v>
      </c>
      <c r="M33" s="201"/>
      <c r="N33" s="201">
        <v>3168000000</v>
      </c>
      <c r="O33" s="201"/>
      <c r="P33" s="201">
        <v>18227544658</v>
      </c>
      <c r="Q33" s="201"/>
      <c r="R33" s="201">
        <v>19272966581</v>
      </c>
      <c r="S33" s="201">
        <v>28553005</v>
      </c>
      <c r="T33" s="201">
        <f t="shared" si="8"/>
        <v>40668511239</v>
      </c>
      <c r="U33" s="201">
        <v>-5155830313</v>
      </c>
      <c r="V33" s="221">
        <f t="shared" si="3"/>
        <v>4.5003917698167729E-2</v>
      </c>
      <c r="W33" s="220"/>
      <c r="X33" s="103"/>
      <c r="Z33" s="208"/>
      <c r="AA33" s="219"/>
    </row>
    <row r="34" spans="2:27" ht="36" customHeight="1" x14ac:dyDescent="0.25">
      <c r="B34" s="186" t="s">
        <v>142</v>
      </c>
      <c r="C34" s="176"/>
      <c r="D34" s="201">
        <v>35913654618</v>
      </c>
      <c r="E34" s="201"/>
      <c r="F34" s="201">
        <v>-2565905117</v>
      </c>
      <c r="G34" s="201"/>
      <c r="H34" s="201">
        <v>-8516276149</v>
      </c>
      <c r="I34" s="201"/>
      <c r="J34" s="201">
        <f t="shared" si="1"/>
        <v>24831473352</v>
      </c>
      <c r="K34" s="201"/>
      <c r="L34" s="221">
        <f t="shared" si="0"/>
        <v>3.3798664057161018E-2</v>
      </c>
      <c r="M34" s="201"/>
      <c r="N34" s="201">
        <v>35913654618</v>
      </c>
      <c r="O34" s="201"/>
      <c r="P34" s="201">
        <v>-55579739338</v>
      </c>
      <c r="Q34" s="201"/>
      <c r="R34" s="201">
        <v>-8831107891</v>
      </c>
      <c r="S34" s="201">
        <v>8613312174</v>
      </c>
      <c r="T34" s="201">
        <f t="shared" si="8"/>
        <v>-28497192611</v>
      </c>
      <c r="U34" s="201">
        <v>-5155830312</v>
      </c>
      <c r="V34" s="221">
        <f t="shared" si="3"/>
        <v>-3.1535093659007835E-2</v>
      </c>
      <c r="W34" s="220"/>
      <c r="X34" s="103"/>
      <c r="Z34" s="208"/>
      <c r="AA34" s="219"/>
    </row>
    <row r="35" spans="2:27" ht="36" customHeight="1" x14ac:dyDescent="0.25">
      <c r="B35" s="186" t="s">
        <v>221</v>
      </c>
      <c r="C35" s="176"/>
      <c r="D35" s="200">
        <f>SUM(D11:D34)</f>
        <v>140124812179</v>
      </c>
      <c r="E35" s="199"/>
      <c r="F35" s="222">
        <f>SUM(F11:F34)</f>
        <v>585249909205</v>
      </c>
      <c r="G35" s="223"/>
      <c r="H35" s="222">
        <f>SUM(H11:H34)</f>
        <v>75066087069</v>
      </c>
      <c r="I35" s="223"/>
      <c r="J35" s="222">
        <f>SUM(J11:J34)</f>
        <v>800440808453</v>
      </c>
      <c r="K35" s="223"/>
      <c r="L35" s="250">
        <f>SUM(L11:L34)</f>
        <v>1.0894975742696442</v>
      </c>
      <c r="M35" s="223"/>
      <c r="N35" s="222">
        <f>SUM(N11:N34)</f>
        <v>370458196563</v>
      </c>
      <c r="O35" s="223"/>
      <c r="P35" s="222">
        <f>SUM(P11:P34)</f>
        <v>24921371727</v>
      </c>
      <c r="Q35" s="223"/>
      <c r="R35" s="222">
        <f>SUM(R11:R34)</f>
        <v>112599651272</v>
      </c>
      <c r="S35" s="223"/>
      <c r="T35" s="222">
        <f>SUM(T11:T34)</f>
        <v>507979219562</v>
      </c>
      <c r="U35" s="201"/>
      <c r="V35" s="123">
        <f>SUM(V11:V34)</f>
        <v>0.56213159255322287</v>
      </c>
      <c r="W35" s="220"/>
      <c r="X35" s="103"/>
      <c r="Z35" s="208"/>
      <c r="AA35" s="219"/>
    </row>
    <row r="36" spans="2:27" ht="22.5" customHeight="1" x14ac:dyDescent="0.25">
      <c r="B36" s="186"/>
      <c r="C36" s="176"/>
      <c r="D36" s="204"/>
      <c r="E36" s="199"/>
      <c r="F36" s="201"/>
      <c r="G36" s="201"/>
      <c r="H36" s="201"/>
      <c r="I36" s="201"/>
      <c r="J36" s="201"/>
      <c r="K36" s="201"/>
      <c r="L36" s="221"/>
      <c r="M36" s="201"/>
      <c r="N36" s="201"/>
      <c r="O36" s="201"/>
      <c r="P36" s="201"/>
      <c r="Q36" s="201"/>
      <c r="R36" s="201"/>
      <c r="S36" s="201"/>
      <c r="T36" s="201"/>
      <c r="U36" s="201"/>
      <c r="V36" s="221"/>
      <c r="W36" s="220"/>
      <c r="X36" s="103"/>
      <c r="Z36" s="208"/>
      <c r="AA36" s="219"/>
    </row>
    <row r="37" spans="2:27" ht="36" customHeight="1" x14ac:dyDescent="0.25">
      <c r="B37" s="388" t="s">
        <v>141</v>
      </c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220"/>
      <c r="X37" s="103"/>
      <c r="Z37" s="208"/>
      <c r="AA37" s="219"/>
    </row>
    <row r="38" spans="2:27" ht="11.25" customHeight="1" x14ac:dyDescent="0.25">
      <c r="W38" s="220"/>
      <c r="X38" s="103"/>
      <c r="Z38" s="208"/>
      <c r="AA38" s="219"/>
    </row>
    <row r="39" spans="2:27" ht="36" customHeight="1" thickBot="1" x14ac:dyDescent="0.3">
      <c r="B39" s="301"/>
      <c r="C39" s="217"/>
      <c r="D39" s="385" t="str">
        <f>D7</f>
        <v>طی مهر ماه</v>
      </c>
      <c r="E39" s="385"/>
      <c r="F39" s="385"/>
      <c r="G39" s="385"/>
      <c r="H39" s="385"/>
      <c r="I39" s="385"/>
      <c r="J39" s="385"/>
      <c r="K39" s="217"/>
      <c r="L39" s="217"/>
      <c r="M39" s="217"/>
      <c r="N39" s="385" t="str">
        <f>N7</f>
        <v>از ابتدای سال مالی تا پایان مهر ماه</v>
      </c>
      <c r="O39" s="385"/>
      <c r="P39" s="385"/>
      <c r="Q39" s="385"/>
      <c r="R39" s="385"/>
      <c r="S39" s="385"/>
      <c r="T39" s="385"/>
      <c r="U39" s="385"/>
      <c r="V39" s="385"/>
      <c r="W39" s="220"/>
      <c r="X39" s="103"/>
      <c r="Z39" s="208"/>
      <c r="AA39" s="219"/>
    </row>
    <row r="40" spans="2:27" ht="36" customHeight="1" x14ac:dyDescent="0.25">
      <c r="B40" s="383" t="s">
        <v>37</v>
      </c>
      <c r="C40" s="383"/>
      <c r="D40" s="382" t="s">
        <v>22</v>
      </c>
      <c r="E40" s="383"/>
      <c r="F40" s="382" t="s">
        <v>23</v>
      </c>
      <c r="G40" s="383"/>
      <c r="H40" s="382" t="s">
        <v>24</v>
      </c>
      <c r="I40" s="383"/>
      <c r="J40" s="384" t="s">
        <v>7</v>
      </c>
      <c r="K40" s="384"/>
      <c r="L40" s="384"/>
      <c r="M40" s="383"/>
      <c r="N40" s="387" t="s">
        <v>22</v>
      </c>
      <c r="O40" s="386"/>
      <c r="P40" s="387" t="s">
        <v>23</v>
      </c>
      <c r="Q40" s="386"/>
      <c r="R40" s="387" t="s">
        <v>24</v>
      </c>
      <c r="S40" s="386"/>
      <c r="T40" s="384" t="s">
        <v>7</v>
      </c>
      <c r="U40" s="384"/>
      <c r="V40" s="384"/>
      <c r="W40" s="220"/>
      <c r="X40" s="103"/>
      <c r="Z40" s="208"/>
      <c r="AA40" s="219"/>
    </row>
    <row r="41" spans="2:27" ht="36" customHeight="1" thickBot="1" x14ac:dyDescent="0.3">
      <c r="B41" s="383"/>
      <c r="C41" s="383"/>
      <c r="D41" s="382"/>
      <c r="E41" s="383"/>
      <c r="F41" s="382"/>
      <c r="G41" s="383"/>
      <c r="H41" s="382"/>
      <c r="I41" s="383"/>
      <c r="J41" s="385"/>
      <c r="K41" s="385"/>
      <c r="L41" s="385"/>
      <c r="M41" s="383"/>
      <c r="N41" s="382"/>
      <c r="O41" s="383"/>
      <c r="P41" s="382"/>
      <c r="Q41" s="383"/>
      <c r="R41" s="382"/>
      <c r="S41" s="383"/>
      <c r="T41" s="385"/>
      <c r="U41" s="385"/>
      <c r="V41" s="385"/>
      <c r="W41" s="220"/>
      <c r="X41" s="103"/>
      <c r="Z41" s="208"/>
      <c r="AA41" s="219"/>
    </row>
    <row r="42" spans="2:27" ht="49.5" customHeight="1" thickBot="1" x14ac:dyDescent="0.3">
      <c r="B42" s="389"/>
      <c r="C42" s="383"/>
      <c r="D42" s="88" t="s">
        <v>92</v>
      </c>
      <c r="E42" s="383"/>
      <c r="F42" s="88" t="s">
        <v>93</v>
      </c>
      <c r="G42" s="383"/>
      <c r="H42" s="88" t="s">
        <v>94</v>
      </c>
      <c r="I42" s="383"/>
      <c r="J42" s="104" t="s">
        <v>11</v>
      </c>
      <c r="K42" s="104"/>
      <c r="L42" s="104" t="s">
        <v>25</v>
      </c>
      <c r="M42" s="383"/>
      <c r="N42" s="88" t="s">
        <v>92</v>
      </c>
      <c r="O42" s="383"/>
      <c r="P42" s="88" t="s">
        <v>93</v>
      </c>
      <c r="Q42" s="383"/>
      <c r="R42" s="88" t="s">
        <v>94</v>
      </c>
      <c r="S42" s="383"/>
      <c r="T42" s="104" t="s">
        <v>11</v>
      </c>
      <c r="U42" s="104"/>
      <c r="V42" s="104" t="s">
        <v>25</v>
      </c>
      <c r="W42" s="220"/>
      <c r="X42" s="103"/>
      <c r="Z42" s="208"/>
      <c r="AA42" s="219"/>
    </row>
    <row r="43" spans="2:27" ht="36" customHeight="1" x14ac:dyDescent="0.25">
      <c r="B43" s="205" t="s">
        <v>222</v>
      </c>
      <c r="C43" s="205"/>
      <c r="D43" s="107">
        <f>D35</f>
        <v>140124812179</v>
      </c>
      <c r="E43" s="205"/>
      <c r="F43" s="201">
        <f>F35</f>
        <v>585249909205</v>
      </c>
      <c r="G43" s="201"/>
      <c r="H43" s="201">
        <f>H35</f>
        <v>75066087069</v>
      </c>
      <c r="I43" s="201"/>
      <c r="J43" s="201">
        <f>J35</f>
        <v>800440808453</v>
      </c>
      <c r="K43" s="201"/>
      <c r="L43" s="221">
        <f>L35</f>
        <v>1.0894975742696442</v>
      </c>
      <c r="M43" s="201"/>
      <c r="N43" s="201">
        <f>N35</f>
        <v>370458196563</v>
      </c>
      <c r="O43" s="201"/>
      <c r="P43" s="201">
        <f>P35</f>
        <v>24921371727</v>
      </c>
      <c r="Q43" s="201"/>
      <c r="R43" s="201">
        <f>R35</f>
        <v>112599651272</v>
      </c>
      <c r="S43" s="201"/>
      <c r="T43" s="201">
        <f>T35</f>
        <v>507979219562</v>
      </c>
      <c r="U43" s="106"/>
      <c r="V43" s="129">
        <f>V35</f>
        <v>0.56213159255322287</v>
      </c>
      <c r="W43" s="220"/>
      <c r="X43" s="103"/>
      <c r="Z43" s="208"/>
      <c r="AA43" s="219"/>
    </row>
    <row r="44" spans="2:27" ht="36" customHeight="1" x14ac:dyDescent="0.25">
      <c r="B44" s="381" t="s">
        <v>147</v>
      </c>
      <c r="C44" s="381"/>
      <c r="D44" s="204">
        <v>0</v>
      </c>
      <c r="E44" s="199"/>
      <c r="F44" s="201">
        <v>33538786297</v>
      </c>
      <c r="G44" s="201"/>
      <c r="H44" s="201">
        <v>-25788552021</v>
      </c>
      <c r="I44" s="201"/>
      <c r="J44" s="201">
        <f t="shared" ref="J44:J45" si="9">D44+F44+H44</f>
        <v>7750234276</v>
      </c>
      <c r="K44" s="201"/>
      <c r="L44" s="221">
        <f t="shared" ref="L44:L71" si="10">-J44/$G$126</f>
        <v>1.0549014186374104E-2</v>
      </c>
      <c r="M44" s="201"/>
      <c r="N44" s="201">
        <v>19372738239</v>
      </c>
      <c r="O44" s="201"/>
      <c r="P44" s="201">
        <v>-3961174080</v>
      </c>
      <c r="Q44" s="201"/>
      <c r="R44" s="201">
        <v>-65871293588</v>
      </c>
      <c r="S44" s="201">
        <v>2132299511</v>
      </c>
      <c r="T44" s="201">
        <f t="shared" si="8"/>
        <v>-50459729429</v>
      </c>
      <c r="U44" s="201">
        <v>-5155830311</v>
      </c>
      <c r="V44" s="221">
        <f t="shared" si="3"/>
        <v>-5.5838914214219146E-2</v>
      </c>
      <c r="W44" s="220"/>
      <c r="X44" s="103"/>
      <c r="Z44" s="208"/>
      <c r="AA44" s="219"/>
    </row>
    <row r="45" spans="2:27" ht="36" customHeight="1" x14ac:dyDescent="0.25">
      <c r="B45" s="381" t="s">
        <v>119</v>
      </c>
      <c r="C45" s="381"/>
      <c r="D45" s="204">
        <v>0</v>
      </c>
      <c r="E45" s="199"/>
      <c r="F45" s="201">
        <v>44937977526</v>
      </c>
      <c r="G45" s="201"/>
      <c r="H45" s="201">
        <v>-16923777790</v>
      </c>
      <c r="I45" s="201"/>
      <c r="J45" s="201">
        <f t="shared" si="9"/>
        <v>28014199736</v>
      </c>
      <c r="K45" s="201"/>
      <c r="L45" s="221">
        <f t="shared" si="10"/>
        <v>3.813074287962101E-2</v>
      </c>
      <c r="M45" s="201"/>
      <c r="N45" s="201">
        <v>12000000000</v>
      </c>
      <c r="O45" s="201"/>
      <c r="P45" s="201">
        <v>-39312811066</v>
      </c>
      <c r="Q45" s="201"/>
      <c r="R45" s="201">
        <v>-22682804631</v>
      </c>
      <c r="S45" s="201">
        <v>1644814375</v>
      </c>
      <c r="T45" s="201">
        <f t="shared" si="8"/>
        <v>-49995615697</v>
      </c>
      <c r="U45" s="201">
        <v>-5155830310</v>
      </c>
      <c r="V45" s="221">
        <f t="shared" si="3"/>
        <v>-5.5325324324617106E-2</v>
      </c>
      <c r="W45" s="220"/>
      <c r="X45" s="103"/>
      <c r="Z45" s="208"/>
      <c r="AA45" s="219"/>
    </row>
    <row r="46" spans="2:27" ht="36" customHeight="1" x14ac:dyDescent="0.25">
      <c r="B46" s="381" t="s">
        <v>105</v>
      </c>
      <c r="C46" s="381"/>
      <c r="D46" s="204">
        <v>0</v>
      </c>
      <c r="E46" s="199"/>
      <c r="F46" s="201">
        <v>48244237187</v>
      </c>
      <c r="G46" s="201"/>
      <c r="H46" s="201">
        <v>15414195211</v>
      </c>
      <c r="I46" s="201"/>
      <c r="J46" s="201">
        <f t="shared" ref="J46:J116" si="11">D46+F46+H46</f>
        <v>63658432398</v>
      </c>
      <c r="K46" s="201"/>
      <c r="L46" s="221">
        <f t="shared" si="10"/>
        <v>8.6646891246676794E-2</v>
      </c>
      <c r="M46" s="201"/>
      <c r="N46" s="201">
        <v>2573504011</v>
      </c>
      <c r="O46" s="201"/>
      <c r="P46" s="201">
        <v>48243498617</v>
      </c>
      <c r="Q46" s="201"/>
      <c r="R46" s="201">
        <v>6538671124</v>
      </c>
      <c r="S46" s="201">
        <v>-8875524087</v>
      </c>
      <c r="T46" s="201">
        <f t="shared" si="7"/>
        <v>57355673752</v>
      </c>
      <c r="U46" s="201">
        <v>-803317139</v>
      </c>
      <c r="V46" s="221">
        <f t="shared" si="3"/>
        <v>6.346999047711975E-2</v>
      </c>
      <c r="W46" s="220"/>
      <c r="X46" s="103"/>
      <c r="Z46" s="208"/>
      <c r="AA46" s="219"/>
    </row>
    <row r="47" spans="2:27" ht="36" customHeight="1" x14ac:dyDescent="0.45">
      <c r="B47" s="381" t="s">
        <v>179</v>
      </c>
      <c r="C47" s="381"/>
      <c r="D47" s="204">
        <v>0</v>
      </c>
      <c r="E47" s="199"/>
      <c r="F47" s="201">
        <v>0</v>
      </c>
      <c r="G47" s="201"/>
      <c r="H47" s="201">
        <v>-688165672</v>
      </c>
      <c r="I47" s="201"/>
      <c r="J47" s="201">
        <f t="shared" si="11"/>
        <v>-688165672</v>
      </c>
      <c r="K47" s="201"/>
      <c r="L47" s="221">
        <f t="shared" si="10"/>
        <v>-9.3667741876963986E-4</v>
      </c>
      <c r="M47" s="201"/>
      <c r="N47" s="201">
        <v>7300000000</v>
      </c>
      <c r="O47" s="201"/>
      <c r="P47" s="201">
        <v>0</v>
      </c>
      <c r="Q47" s="201"/>
      <c r="R47" s="201">
        <v>3171109669</v>
      </c>
      <c r="S47" s="201">
        <v>1487118809</v>
      </c>
      <c r="T47" s="201">
        <f t="shared" si="7"/>
        <v>10471109669</v>
      </c>
      <c r="U47" s="201">
        <v>-38274340413</v>
      </c>
      <c r="V47" s="221">
        <f t="shared" si="3"/>
        <v>1.1587366820063408E-2</v>
      </c>
      <c r="W47" s="220"/>
      <c r="X47" s="302"/>
      <c r="Z47" s="208"/>
      <c r="AA47" s="219"/>
    </row>
    <row r="48" spans="2:27" ht="36" customHeight="1" x14ac:dyDescent="0.25">
      <c r="B48" s="381" t="s">
        <v>197</v>
      </c>
      <c r="C48" s="381"/>
      <c r="D48" s="204">
        <v>0</v>
      </c>
      <c r="E48" s="199"/>
      <c r="F48" s="201">
        <v>0</v>
      </c>
      <c r="G48" s="201"/>
      <c r="H48" s="201">
        <v>0</v>
      </c>
      <c r="I48" s="201"/>
      <c r="J48" s="201">
        <f t="shared" si="11"/>
        <v>0</v>
      </c>
      <c r="K48" s="201"/>
      <c r="L48" s="221">
        <f t="shared" si="10"/>
        <v>0</v>
      </c>
      <c r="M48" s="201"/>
      <c r="N48" s="201">
        <v>0</v>
      </c>
      <c r="O48" s="201"/>
      <c r="P48" s="201">
        <v>0</v>
      </c>
      <c r="Q48" s="201"/>
      <c r="R48" s="201">
        <v>-14922689397</v>
      </c>
      <c r="S48" s="201">
        <v>3859275341</v>
      </c>
      <c r="T48" s="201">
        <f t="shared" si="7"/>
        <v>-14922689397</v>
      </c>
      <c r="U48" s="201">
        <v>8687840</v>
      </c>
      <c r="V48" s="221">
        <f t="shared" si="3"/>
        <v>-1.6513500617496953E-2</v>
      </c>
      <c r="W48" s="220"/>
      <c r="X48" s="103"/>
      <c r="Z48" s="208"/>
      <c r="AA48" s="219"/>
    </row>
    <row r="49" spans="2:31" ht="36" customHeight="1" x14ac:dyDescent="0.25">
      <c r="B49" s="381" t="s">
        <v>121</v>
      </c>
      <c r="C49" s="381"/>
      <c r="D49" s="204">
        <v>0</v>
      </c>
      <c r="E49" s="199"/>
      <c r="F49" s="201">
        <v>7753590</v>
      </c>
      <c r="G49" s="201"/>
      <c r="H49" s="201">
        <v>0</v>
      </c>
      <c r="I49" s="201"/>
      <c r="J49" s="201">
        <f t="shared" si="11"/>
        <v>7753590</v>
      </c>
      <c r="K49" s="201"/>
      <c r="L49" s="221">
        <f t="shared" si="10"/>
        <v>1.0553581736053367E-5</v>
      </c>
      <c r="M49" s="201"/>
      <c r="N49" s="201">
        <v>14534167200</v>
      </c>
      <c r="O49" s="201"/>
      <c r="P49" s="201">
        <v>-25232694</v>
      </c>
      <c r="Q49" s="201"/>
      <c r="R49" s="201">
        <v>-102059379029</v>
      </c>
      <c r="S49" s="201">
        <v>1937265303</v>
      </c>
      <c r="T49" s="201">
        <f t="shared" si="7"/>
        <v>-87550444523</v>
      </c>
      <c r="U49" s="201">
        <v>-3013924119</v>
      </c>
      <c r="V49" s="221">
        <f t="shared" si="3"/>
        <v>-9.6883630103789739E-2</v>
      </c>
      <c r="W49" s="220"/>
      <c r="X49" s="103"/>
      <c r="Z49" s="208"/>
      <c r="AA49" s="219"/>
    </row>
    <row r="50" spans="2:31" ht="36" customHeight="1" x14ac:dyDescent="0.25">
      <c r="B50" s="381" t="s">
        <v>201</v>
      </c>
      <c r="C50" s="381"/>
      <c r="D50" s="204">
        <v>0</v>
      </c>
      <c r="E50" s="199"/>
      <c r="F50" s="201">
        <v>139166999</v>
      </c>
      <c r="G50" s="201"/>
      <c r="H50" s="201">
        <v>0</v>
      </c>
      <c r="I50" s="201"/>
      <c r="J50" s="201">
        <f t="shared" si="11"/>
        <v>139166999</v>
      </c>
      <c r="K50" s="201"/>
      <c r="L50" s="221">
        <f t="shared" si="10"/>
        <v>1.8942326056804103E-4</v>
      </c>
      <c r="M50" s="201"/>
      <c r="N50" s="201">
        <v>235000000</v>
      </c>
      <c r="O50" s="201"/>
      <c r="P50" s="201">
        <v>400164199</v>
      </c>
      <c r="Q50" s="201"/>
      <c r="R50" s="201">
        <v>415651628</v>
      </c>
      <c r="S50" s="201">
        <v>1212931406</v>
      </c>
      <c r="T50" s="201">
        <f t="shared" si="7"/>
        <v>1050815827</v>
      </c>
      <c r="U50" s="201">
        <v>-5189228345</v>
      </c>
      <c r="V50" s="221">
        <f t="shared" si="3"/>
        <v>1.1628364932348308E-3</v>
      </c>
      <c r="W50" s="220"/>
      <c r="X50" s="103"/>
      <c r="Z50" s="208"/>
      <c r="AA50" s="219"/>
    </row>
    <row r="51" spans="2:31" ht="36" customHeight="1" x14ac:dyDescent="0.25">
      <c r="B51" s="381" t="s">
        <v>129</v>
      </c>
      <c r="C51" s="381"/>
      <c r="D51" s="204">
        <v>0</v>
      </c>
      <c r="E51" s="199"/>
      <c r="F51" s="201">
        <v>85488</v>
      </c>
      <c r="G51" s="201"/>
      <c r="H51" s="201">
        <v>0</v>
      </c>
      <c r="I51" s="201"/>
      <c r="J51" s="201">
        <f t="shared" si="11"/>
        <v>85488</v>
      </c>
      <c r="K51" s="201"/>
      <c r="L51" s="221">
        <f t="shared" si="10"/>
        <v>1.1635959541989327E-7</v>
      </c>
      <c r="M51" s="201"/>
      <c r="N51" s="201">
        <v>0</v>
      </c>
      <c r="O51" s="201"/>
      <c r="P51" s="201">
        <v>-13170</v>
      </c>
      <c r="Q51" s="201"/>
      <c r="R51" s="201">
        <v>5021464603</v>
      </c>
      <c r="S51" s="201">
        <v>6910941668</v>
      </c>
      <c r="T51" s="201">
        <f t="shared" si="7"/>
        <v>5021451433</v>
      </c>
      <c r="U51" s="201">
        <v>3261876929</v>
      </c>
      <c r="V51" s="221">
        <f t="shared" si="3"/>
        <v>5.5567558322460776E-3</v>
      </c>
      <c r="W51" s="220"/>
      <c r="X51" s="103"/>
      <c r="Z51" s="208"/>
      <c r="AA51" s="219"/>
    </row>
    <row r="52" spans="2:31" ht="36" customHeight="1" x14ac:dyDescent="0.25">
      <c r="B52" s="381" t="s">
        <v>178</v>
      </c>
      <c r="C52" s="381"/>
      <c r="D52" s="204">
        <v>0</v>
      </c>
      <c r="E52" s="199"/>
      <c r="F52" s="201">
        <v>0</v>
      </c>
      <c r="G52" s="201"/>
      <c r="H52" s="201">
        <v>0</v>
      </c>
      <c r="I52" s="201"/>
      <c r="J52" s="201">
        <f t="shared" si="11"/>
        <v>0</v>
      </c>
      <c r="K52" s="201"/>
      <c r="L52" s="221">
        <f t="shared" si="10"/>
        <v>0</v>
      </c>
      <c r="M52" s="201"/>
      <c r="N52" s="201">
        <v>0</v>
      </c>
      <c r="O52" s="201"/>
      <c r="P52" s="201">
        <v>0</v>
      </c>
      <c r="Q52" s="201"/>
      <c r="R52" s="201">
        <v>-4485653237</v>
      </c>
      <c r="S52" s="201">
        <v>151419925</v>
      </c>
      <c r="T52" s="201">
        <f t="shared" si="7"/>
        <v>-4485653237</v>
      </c>
      <c r="U52" s="201">
        <v>2910175062</v>
      </c>
      <c r="V52" s="221">
        <f t="shared" si="3"/>
        <v>-4.9638396624383423E-3</v>
      </c>
      <c r="W52" s="220"/>
      <c r="X52" s="103"/>
      <c r="Z52" s="208"/>
      <c r="AA52" s="219"/>
    </row>
    <row r="53" spans="2:31" ht="36" customHeight="1" x14ac:dyDescent="0.25">
      <c r="B53" s="381" t="s">
        <v>172</v>
      </c>
      <c r="C53" s="381"/>
      <c r="D53" s="204">
        <v>0</v>
      </c>
      <c r="E53" s="199"/>
      <c r="F53" s="201">
        <v>808908187</v>
      </c>
      <c r="G53" s="201"/>
      <c r="H53" s="201">
        <v>0</v>
      </c>
      <c r="I53" s="201"/>
      <c r="J53" s="201">
        <f t="shared" si="11"/>
        <v>808908187</v>
      </c>
      <c r="K53" s="201"/>
      <c r="L53" s="221">
        <f t="shared" si="10"/>
        <v>1.1010227092826989E-3</v>
      </c>
      <c r="M53" s="201"/>
      <c r="N53" s="201">
        <v>262500000</v>
      </c>
      <c r="O53" s="201"/>
      <c r="P53" s="201">
        <v>1200315357</v>
      </c>
      <c r="Q53" s="201"/>
      <c r="R53" s="201">
        <v>872060105</v>
      </c>
      <c r="S53" s="201">
        <v>31387040</v>
      </c>
      <c r="T53" s="201">
        <f t="shared" si="7"/>
        <v>2334875462</v>
      </c>
      <c r="U53" s="201">
        <v>1401330331</v>
      </c>
      <c r="V53" s="221">
        <f t="shared" si="3"/>
        <v>2.5837814054661505E-3</v>
      </c>
      <c r="W53" s="220"/>
      <c r="X53" s="103"/>
      <c r="Z53" s="208"/>
      <c r="AA53" s="219"/>
    </row>
    <row r="54" spans="2:31" ht="36" customHeight="1" x14ac:dyDescent="0.25">
      <c r="B54" s="381" t="s">
        <v>190</v>
      </c>
      <c r="C54" s="381"/>
      <c r="D54" s="204">
        <v>0</v>
      </c>
      <c r="E54" s="199"/>
      <c r="F54" s="201">
        <v>0</v>
      </c>
      <c r="G54" s="201"/>
      <c r="H54" s="201">
        <v>0</v>
      </c>
      <c r="I54" s="201"/>
      <c r="J54" s="201">
        <f t="shared" si="11"/>
        <v>0</v>
      </c>
      <c r="K54" s="201"/>
      <c r="L54" s="221">
        <f t="shared" si="10"/>
        <v>0</v>
      </c>
      <c r="M54" s="201"/>
      <c r="N54" s="201">
        <v>0</v>
      </c>
      <c r="O54" s="201"/>
      <c r="P54" s="201">
        <v>0</v>
      </c>
      <c r="Q54" s="201"/>
      <c r="R54" s="201">
        <v>24578982239</v>
      </c>
      <c r="S54" s="201">
        <v>1762590900</v>
      </c>
      <c r="T54" s="201">
        <f t="shared" si="7"/>
        <v>24578982239</v>
      </c>
      <c r="U54" s="201">
        <v>-160980321</v>
      </c>
      <c r="V54" s="221">
        <f t="shared" si="3"/>
        <v>2.7199188268488033E-2</v>
      </c>
      <c r="W54" s="220"/>
      <c r="X54" s="103"/>
      <c r="Z54" s="208"/>
      <c r="AA54" s="219"/>
    </row>
    <row r="55" spans="2:31" ht="36" customHeight="1" x14ac:dyDescent="0.25">
      <c r="B55" s="381" t="s">
        <v>163</v>
      </c>
      <c r="C55" s="381"/>
      <c r="D55" s="204">
        <v>0</v>
      </c>
      <c r="E55" s="199"/>
      <c r="F55" s="201">
        <v>0</v>
      </c>
      <c r="G55" s="201"/>
      <c r="H55" s="201">
        <v>0</v>
      </c>
      <c r="I55" s="201"/>
      <c r="J55" s="201">
        <f t="shared" si="11"/>
        <v>0</v>
      </c>
      <c r="K55" s="201"/>
      <c r="L55" s="221">
        <f t="shared" si="10"/>
        <v>0</v>
      </c>
      <c r="M55" s="201"/>
      <c r="N55" s="201">
        <v>0</v>
      </c>
      <c r="O55" s="201"/>
      <c r="P55" s="201">
        <v>0</v>
      </c>
      <c r="Q55" s="201"/>
      <c r="R55" s="201">
        <v>273616390</v>
      </c>
      <c r="S55" s="201">
        <v>2476602308</v>
      </c>
      <c r="T55" s="201">
        <f t="shared" si="7"/>
        <v>273616390</v>
      </c>
      <c r="U55" s="201">
        <v>-12553533323</v>
      </c>
      <c r="V55" s="221">
        <f t="shared" si="3"/>
        <v>3.0278486035705075E-4</v>
      </c>
      <c r="W55" s="220"/>
      <c r="X55" s="103"/>
      <c r="Z55" s="208"/>
      <c r="AA55" s="219"/>
    </row>
    <row r="56" spans="2:31" ht="36" customHeight="1" x14ac:dyDescent="0.25">
      <c r="B56" s="381" t="s">
        <v>123</v>
      </c>
      <c r="C56" s="381"/>
      <c r="D56" s="204">
        <v>0</v>
      </c>
      <c r="E56" s="199"/>
      <c r="F56" s="201">
        <v>12163195800</v>
      </c>
      <c r="G56" s="201"/>
      <c r="H56" s="201">
        <v>0</v>
      </c>
      <c r="I56" s="201"/>
      <c r="J56" s="201">
        <f t="shared" si="11"/>
        <v>12163195800</v>
      </c>
      <c r="K56" s="201"/>
      <c r="L56" s="221">
        <f t="shared" si="10"/>
        <v>1.6555593092608845E-2</v>
      </c>
      <c r="M56" s="201"/>
      <c r="N56" s="201">
        <v>7600000000</v>
      </c>
      <c r="O56" s="201"/>
      <c r="P56" s="201">
        <v>-9248812656</v>
      </c>
      <c r="Q56" s="201"/>
      <c r="R56" s="201">
        <v>-36917610</v>
      </c>
      <c r="S56" s="201">
        <v>9867221407</v>
      </c>
      <c r="T56" s="201">
        <f t="shared" si="7"/>
        <v>-1685730266</v>
      </c>
      <c r="U56" s="201">
        <v>-6135872031</v>
      </c>
      <c r="V56" s="221">
        <f t="shared" si="3"/>
        <v>-1.8654350464548707E-3</v>
      </c>
      <c r="W56" s="220"/>
      <c r="X56" s="103"/>
      <c r="Z56" s="208"/>
      <c r="AA56" s="219"/>
      <c r="AD56" s="196"/>
    </row>
    <row r="57" spans="2:31" ht="36" customHeight="1" x14ac:dyDescent="0.25">
      <c r="B57" s="381" t="s">
        <v>189</v>
      </c>
      <c r="C57" s="381"/>
      <c r="D57" s="204">
        <v>0</v>
      </c>
      <c r="E57" s="199"/>
      <c r="F57" s="201">
        <v>571827262</v>
      </c>
      <c r="G57" s="201"/>
      <c r="H57" s="201">
        <v>0</v>
      </c>
      <c r="I57" s="201"/>
      <c r="J57" s="201">
        <f t="shared" si="11"/>
        <v>571827262</v>
      </c>
      <c r="K57" s="201"/>
      <c r="L57" s="221">
        <f t="shared" si="10"/>
        <v>7.7832665235337485E-4</v>
      </c>
      <c r="M57" s="201"/>
      <c r="N57" s="201">
        <v>0</v>
      </c>
      <c r="O57" s="201"/>
      <c r="P57" s="201">
        <v>-639851062</v>
      </c>
      <c r="Q57" s="201"/>
      <c r="R57" s="201">
        <v>381950449</v>
      </c>
      <c r="S57" s="201">
        <v>-2831281270</v>
      </c>
      <c r="T57" s="201">
        <f t="shared" si="7"/>
        <v>-257900613</v>
      </c>
      <c r="U57" s="201">
        <v>-650042212</v>
      </c>
      <c r="V57" s="221">
        <f t="shared" si="3"/>
        <v>-2.85393726206251E-4</v>
      </c>
      <c r="W57" s="220"/>
      <c r="X57" s="103"/>
      <c r="Z57" s="208"/>
      <c r="AA57" s="219"/>
      <c r="AD57" s="196"/>
    </row>
    <row r="58" spans="2:31" ht="36" customHeight="1" x14ac:dyDescent="0.25">
      <c r="B58" s="381" t="s">
        <v>154</v>
      </c>
      <c r="C58" s="381"/>
      <c r="D58" s="204">
        <v>0</v>
      </c>
      <c r="E58" s="199"/>
      <c r="F58" s="201">
        <v>1809170</v>
      </c>
      <c r="G58" s="201"/>
      <c r="H58" s="201">
        <v>0</v>
      </c>
      <c r="I58" s="201"/>
      <c r="J58" s="201">
        <f t="shared" si="11"/>
        <v>1809170</v>
      </c>
      <c r="K58" s="201"/>
      <c r="L58" s="221">
        <f t="shared" si="10"/>
        <v>2.4625010439571436E-6</v>
      </c>
      <c r="M58" s="201"/>
      <c r="N58" s="201">
        <v>2320000</v>
      </c>
      <c r="O58" s="201"/>
      <c r="P58" s="201">
        <v>-3378506</v>
      </c>
      <c r="Q58" s="201"/>
      <c r="R58" s="201">
        <v>2034570901</v>
      </c>
      <c r="S58" s="201">
        <v>2810738818</v>
      </c>
      <c r="T58" s="201">
        <f t="shared" si="7"/>
        <v>2033512395</v>
      </c>
      <c r="U58" s="201">
        <v>298767031</v>
      </c>
      <c r="V58" s="221">
        <f t="shared" si="3"/>
        <v>2.2502919746671861E-3</v>
      </c>
      <c r="W58" s="220"/>
      <c r="X58" s="103"/>
      <c r="Z58" s="208"/>
      <c r="AA58" s="219"/>
      <c r="AD58" s="196"/>
    </row>
    <row r="59" spans="2:31" ht="36" customHeight="1" x14ac:dyDescent="0.25">
      <c r="B59" s="381" t="s">
        <v>157</v>
      </c>
      <c r="C59" s="381"/>
      <c r="D59" s="204">
        <v>0</v>
      </c>
      <c r="E59" s="199"/>
      <c r="F59" s="201">
        <v>0</v>
      </c>
      <c r="G59" s="201"/>
      <c r="H59" s="201">
        <v>0</v>
      </c>
      <c r="I59" s="201"/>
      <c r="J59" s="201">
        <f t="shared" si="11"/>
        <v>0</v>
      </c>
      <c r="K59" s="201"/>
      <c r="L59" s="221">
        <f t="shared" si="10"/>
        <v>0</v>
      </c>
      <c r="M59" s="201"/>
      <c r="N59" s="201">
        <v>0</v>
      </c>
      <c r="O59" s="201"/>
      <c r="P59" s="201">
        <v>0</v>
      </c>
      <c r="Q59" s="201"/>
      <c r="R59" s="201">
        <v>-2558077316</v>
      </c>
      <c r="S59" s="201">
        <v>457681005</v>
      </c>
      <c r="T59" s="201">
        <f t="shared" si="7"/>
        <v>-2558077316</v>
      </c>
      <c r="U59" s="201">
        <v>628201261</v>
      </c>
      <c r="V59" s="221">
        <f t="shared" si="3"/>
        <v>-2.8307773628166032E-3</v>
      </c>
      <c r="W59" s="220"/>
      <c r="X59" s="103"/>
      <c r="Z59" s="208"/>
      <c r="AA59" s="219"/>
    </row>
    <row r="60" spans="2:31" ht="36" customHeight="1" x14ac:dyDescent="0.25">
      <c r="B60" s="381" t="s">
        <v>161</v>
      </c>
      <c r="C60" s="381"/>
      <c r="D60" s="204">
        <v>0</v>
      </c>
      <c r="E60" s="199"/>
      <c r="F60" s="201">
        <v>33801079</v>
      </c>
      <c r="G60" s="201"/>
      <c r="H60" s="201">
        <v>0</v>
      </c>
      <c r="I60" s="201"/>
      <c r="J60" s="201">
        <f t="shared" si="11"/>
        <v>33801079</v>
      </c>
      <c r="K60" s="201"/>
      <c r="L60" s="221">
        <f t="shared" si="10"/>
        <v>4.6007391413951084E-5</v>
      </c>
      <c r="M60" s="201"/>
      <c r="N60" s="201">
        <v>0</v>
      </c>
      <c r="O60" s="201"/>
      <c r="P60" s="201">
        <v>-55149172</v>
      </c>
      <c r="Q60" s="201"/>
      <c r="R60" s="201">
        <v>151419925</v>
      </c>
      <c r="S60" s="201">
        <v>-314831742</v>
      </c>
      <c r="T60" s="201">
        <f t="shared" si="7"/>
        <v>96270753</v>
      </c>
      <c r="U60" s="201">
        <v>-273814835</v>
      </c>
      <c r="V60" s="221">
        <f t="shared" si="3"/>
        <v>1.0653355416162434E-4</v>
      </c>
      <c r="W60" s="220"/>
      <c r="X60" s="103"/>
      <c r="Z60" s="208"/>
      <c r="AA60" s="219"/>
      <c r="AD60" s="196"/>
      <c r="AE60" s="196"/>
    </row>
    <row r="61" spans="2:31" ht="36" customHeight="1" x14ac:dyDescent="0.25">
      <c r="B61" s="381" t="s">
        <v>144</v>
      </c>
      <c r="C61" s="381"/>
      <c r="D61" s="204">
        <v>0</v>
      </c>
      <c r="E61" s="199"/>
      <c r="F61" s="201">
        <v>8161150</v>
      </c>
      <c r="G61" s="201"/>
      <c r="H61" s="201">
        <v>0</v>
      </c>
      <c r="I61" s="201"/>
      <c r="J61" s="201">
        <f t="shared" ref="J61:J66" si="12">D61+F61+H61</f>
        <v>8161150</v>
      </c>
      <c r="K61" s="201"/>
      <c r="L61" s="221">
        <f t="shared" si="10"/>
        <v>1.1108320608284929E-5</v>
      </c>
      <c r="M61" s="201"/>
      <c r="N61" s="201">
        <v>8362000</v>
      </c>
      <c r="O61" s="201"/>
      <c r="P61" s="201">
        <v>-23956604</v>
      </c>
      <c r="Q61" s="201"/>
      <c r="R61" s="201">
        <v>31387040</v>
      </c>
      <c r="S61" s="201">
        <v>-21899317781</v>
      </c>
      <c r="T61" s="201">
        <f t="shared" ref="T61:T66" si="13">N61+P61+R61</f>
        <v>15792436</v>
      </c>
      <c r="U61" s="201"/>
      <c r="V61" s="221">
        <f t="shared" si="3"/>
        <v>1.7475965270054406E-5</v>
      </c>
      <c r="X61" s="196"/>
      <c r="Y61" s="196"/>
      <c r="AA61" s="196"/>
    </row>
    <row r="62" spans="2:31" ht="36" customHeight="1" x14ac:dyDescent="0.25">
      <c r="B62" s="381" t="s">
        <v>165</v>
      </c>
      <c r="C62" s="381"/>
      <c r="D62" s="204">
        <v>0</v>
      </c>
      <c r="E62" s="199"/>
      <c r="F62" s="201">
        <v>0</v>
      </c>
      <c r="G62" s="201"/>
      <c r="H62" s="201">
        <v>0</v>
      </c>
      <c r="I62" s="201"/>
      <c r="J62" s="201">
        <f t="shared" si="12"/>
        <v>0</v>
      </c>
      <c r="K62" s="201"/>
      <c r="L62" s="221">
        <f t="shared" si="10"/>
        <v>0</v>
      </c>
      <c r="M62" s="201"/>
      <c r="N62" s="201">
        <v>0</v>
      </c>
      <c r="O62" s="201"/>
      <c r="P62" s="201">
        <v>0</v>
      </c>
      <c r="Q62" s="201"/>
      <c r="R62" s="201">
        <v>2476602308</v>
      </c>
      <c r="S62" s="201">
        <v>24903138035</v>
      </c>
      <c r="T62" s="201">
        <f t="shared" si="13"/>
        <v>2476602308</v>
      </c>
      <c r="U62" s="201"/>
      <c r="V62" s="221">
        <f t="shared" si="3"/>
        <v>2.7406168321558867E-3</v>
      </c>
      <c r="X62" s="196"/>
      <c r="Y62" s="196"/>
      <c r="AA62" s="196"/>
    </row>
    <row r="63" spans="2:31" ht="36" customHeight="1" x14ac:dyDescent="0.25">
      <c r="B63" s="381" t="s">
        <v>164</v>
      </c>
      <c r="C63" s="381"/>
      <c r="D63" s="204">
        <v>0</v>
      </c>
      <c r="E63" s="199"/>
      <c r="F63" s="201">
        <v>0</v>
      </c>
      <c r="G63" s="201"/>
      <c r="H63" s="201">
        <v>0</v>
      </c>
      <c r="I63" s="201"/>
      <c r="J63" s="201">
        <f t="shared" si="12"/>
        <v>0</v>
      </c>
      <c r="K63" s="201"/>
      <c r="L63" s="221">
        <f t="shared" si="10"/>
        <v>0</v>
      </c>
      <c r="M63" s="201"/>
      <c r="N63" s="201">
        <v>11100000000</v>
      </c>
      <c r="O63" s="201"/>
      <c r="P63" s="201">
        <v>0</v>
      </c>
      <c r="Q63" s="201"/>
      <c r="R63" s="201">
        <v>-2831281270</v>
      </c>
      <c r="S63" s="201">
        <v>-4335963253</v>
      </c>
      <c r="T63" s="201">
        <f t="shared" si="13"/>
        <v>8268718730</v>
      </c>
      <c r="U63" s="201"/>
      <c r="V63" s="221">
        <f t="shared" si="3"/>
        <v>9.1501932541204131E-3</v>
      </c>
      <c r="X63" s="196"/>
      <c r="Y63" s="196"/>
      <c r="AA63" s="196"/>
    </row>
    <row r="64" spans="2:31" ht="36" customHeight="1" x14ac:dyDescent="0.25">
      <c r="B64" s="381" t="s">
        <v>140</v>
      </c>
      <c r="C64" s="381"/>
      <c r="D64" s="204">
        <v>0</v>
      </c>
      <c r="E64" s="199"/>
      <c r="F64" s="201">
        <v>61332885000</v>
      </c>
      <c r="G64" s="201"/>
      <c r="H64" s="201">
        <v>0</v>
      </c>
      <c r="I64" s="201"/>
      <c r="J64" s="201">
        <f t="shared" si="12"/>
        <v>61332885000</v>
      </c>
      <c r="K64" s="201"/>
      <c r="L64" s="221">
        <f t="shared" si="10"/>
        <v>8.3481537578781115E-2</v>
      </c>
      <c r="M64" s="201"/>
      <c r="N64" s="201">
        <v>17790223729</v>
      </c>
      <c r="O64" s="201"/>
      <c r="P64" s="201">
        <v>45746244757</v>
      </c>
      <c r="Q64" s="201"/>
      <c r="R64" s="201">
        <v>-2808202366</v>
      </c>
      <c r="S64" s="201">
        <v>4030409699</v>
      </c>
      <c r="T64" s="201">
        <f t="shared" si="13"/>
        <v>60728266120</v>
      </c>
      <c r="U64" s="201"/>
      <c r="V64" s="221">
        <f t="shared" si="3"/>
        <v>6.7202113063731375E-2</v>
      </c>
      <c r="X64" s="196"/>
      <c r="Y64" s="196"/>
      <c r="AA64" s="196"/>
    </row>
    <row r="65" spans="2:30" ht="36" customHeight="1" x14ac:dyDescent="0.25">
      <c r="B65" s="381" t="s">
        <v>187</v>
      </c>
      <c r="C65" s="381"/>
      <c r="D65" s="204">
        <v>0</v>
      </c>
      <c r="E65" s="199"/>
      <c r="F65" s="201">
        <v>0</v>
      </c>
      <c r="G65" s="201"/>
      <c r="H65" s="201">
        <v>0</v>
      </c>
      <c r="I65" s="201"/>
      <c r="J65" s="201">
        <f t="shared" si="12"/>
        <v>0</v>
      </c>
      <c r="K65" s="201"/>
      <c r="L65" s="221">
        <f t="shared" si="10"/>
        <v>0</v>
      </c>
      <c r="M65" s="201"/>
      <c r="N65" s="201">
        <v>0</v>
      </c>
      <c r="O65" s="201"/>
      <c r="P65" s="201">
        <v>0</v>
      </c>
      <c r="Q65" s="201"/>
      <c r="R65" s="201">
        <v>2810738818</v>
      </c>
      <c r="S65" s="201">
        <v>97323992</v>
      </c>
      <c r="T65" s="201">
        <f t="shared" si="13"/>
        <v>2810738818</v>
      </c>
      <c r="U65" s="201"/>
      <c r="V65" s="221">
        <f t="shared" si="3"/>
        <v>3.1103734703475617E-3</v>
      </c>
      <c r="X65" s="196"/>
      <c r="Y65" s="196"/>
      <c r="AA65" s="196"/>
    </row>
    <row r="66" spans="2:30" ht="36" customHeight="1" x14ac:dyDescent="0.25">
      <c r="B66" s="381" t="s">
        <v>167</v>
      </c>
      <c r="C66" s="381"/>
      <c r="D66" s="204">
        <v>0</v>
      </c>
      <c r="E66" s="199"/>
      <c r="F66" s="201">
        <v>0</v>
      </c>
      <c r="G66" s="201"/>
      <c r="H66" s="201">
        <v>0</v>
      </c>
      <c r="I66" s="201"/>
      <c r="J66" s="201">
        <f t="shared" si="12"/>
        <v>0</v>
      </c>
      <c r="K66" s="201"/>
      <c r="L66" s="221">
        <f t="shared" si="10"/>
        <v>0</v>
      </c>
      <c r="M66" s="201"/>
      <c r="N66" s="201">
        <v>0</v>
      </c>
      <c r="O66" s="201"/>
      <c r="P66" s="201">
        <v>0</v>
      </c>
      <c r="Q66" s="201"/>
      <c r="R66" s="201">
        <v>457681005</v>
      </c>
      <c r="S66" s="201">
        <v>29213444160</v>
      </c>
      <c r="T66" s="201">
        <f t="shared" si="13"/>
        <v>457681005</v>
      </c>
      <c r="U66" s="201">
        <v>3621513060</v>
      </c>
      <c r="V66" s="221">
        <f t="shared" si="3"/>
        <v>5.0647141125939002E-4</v>
      </c>
      <c r="X66" s="196"/>
      <c r="Y66" s="196"/>
      <c r="AA66" s="196"/>
    </row>
    <row r="67" spans="2:30" ht="30" customHeight="1" x14ac:dyDescent="0.25">
      <c r="B67" s="381" t="s">
        <v>153</v>
      </c>
      <c r="C67" s="381"/>
      <c r="D67" s="204">
        <v>0</v>
      </c>
      <c r="E67" s="199"/>
      <c r="F67" s="201">
        <v>0</v>
      </c>
      <c r="G67" s="201"/>
      <c r="H67" s="201">
        <v>0</v>
      </c>
      <c r="I67" s="201"/>
      <c r="J67" s="201">
        <f t="shared" si="11"/>
        <v>0</v>
      </c>
      <c r="K67" s="201"/>
      <c r="L67" s="221">
        <f t="shared" si="10"/>
        <v>0</v>
      </c>
      <c r="M67" s="201"/>
      <c r="N67" s="201">
        <v>0</v>
      </c>
      <c r="O67" s="201"/>
      <c r="P67" s="201">
        <v>0</v>
      </c>
      <c r="Q67" s="201"/>
      <c r="R67" s="201">
        <v>599022178</v>
      </c>
      <c r="S67" s="201">
        <v>-14922689397</v>
      </c>
      <c r="T67" s="201">
        <f t="shared" si="7"/>
        <v>599022178</v>
      </c>
      <c r="U67" s="201">
        <v>-9565440490</v>
      </c>
      <c r="V67" s="221">
        <f t="shared" si="3"/>
        <v>6.6288005084968191E-4</v>
      </c>
      <c r="W67" s="220"/>
      <c r="X67" s="103"/>
      <c r="Z67" s="208"/>
      <c r="AA67" s="219"/>
      <c r="AD67" s="196"/>
    </row>
    <row r="68" spans="2:30" ht="30" customHeight="1" x14ac:dyDescent="0.25">
      <c r="B68" s="381" t="s">
        <v>122</v>
      </c>
      <c r="C68" s="381"/>
      <c r="D68" s="204">
        <v>0</v>
      </c>
      <c r="E68" s="199"/>
      <c r="F68" s="201">
        <v>9970321500</v>
      </c>
      <c r="G68" s="201"/>
      <c r="H68" s="201">
        <v>0</v>
      </c>
      <c r="I68" s="201"/>
      <c r="J68" s="201">
        <f t="shared" si="11"/>
        <v>9970321500</v>
      </c>
      <c r="K68" s="201"/>
      <c r="L68" s="221">
        <f t="shared" si="10"/>
        <v>1.3570823693925035E-2</v>
      </c>
      <c r="M68" s="201"/>
      <c r="N68" s="201">
        <v>12240000000</v>
      </c>
      <c r="O68" s="201"/>
      <c r="P68" s="201">
        <v>864823356</v>
      </c>
      <c r="Q68" s="201"/>
      <c r="R68" s="201">
        <v>11615770866</v>
      </c>
      <c r="S68" s="201">
        <v>415651628</v>
      </c>
      <c r="T68" s="201">
        <f t="shared" si="7"/>
        <v>24720594222</v>
      </c>
      <c r="U68" s="201">
        <v>4529226482</v>
      </c>
      <c r="V68" s="221">
        <f t="shared" si="3"/>
        <v>2.7355896587377627E-2</v>
      </c>
      <c r="W68" s="220"/>
      <c r="X68" s="103"/>
      <c r="Z68" s="208"/>
      <c r="AA68" s="219"/>
    </row>
    <row r="69" spans="2:30" ht="30" customHeight="1" x14ac:dyDescent="0.25">
      <c r="B69" s="381" t="s">
        <v>106</v>
      </c>
      <c r="C69" s="381"/>
      <c r="D69" s="204">
        <v>0</v>
      </c>
      <c r="E69" s="199"/>
      <c r="F69" s="201">
        <v>0</v>
      </c>
      <c r="G69" s="201"/>
      <c r="H69" s="201">
        <v>0</v>
      </c>
      <c r="I69" s="201"/>
      <c r="J69" s="201">
        <f>D69+F69+H69</f>
        <v>0</v>
      </c>
      <c r="K69" s="201"/>
      <c r="L69" s="221">
        <f t="shared" si="10"/>
        <v>0</v>
      </c>
      <c r="M69" s="201"/>
      <c r="N69" s="201">
        <v>0</v>
      </c>
      <c r="O69" s="201"/>
      <c r="P69" s="201">
        <v>0</v>
      </c>
      <c r="Q69" s="201"/>
      <c r="R69" s="201">
        <v>28553005</v>
      </c>
      <c r="S69" s="201">
        <v>5021464603</v>
      </c>
      <c r="T69" s="201">
        <f t="shared" si="7"/>
        <v>28553005</v>
      </c>
      <c r="U69" s="201">
        <v>1418971271</v>
      </c>
      <c r="V69" s="221">
        <f t="shared" si="3"/>
        <v>3.1596855845145723E-5</v>
      </c>
      <c r="W69" s="220"/>
      <c r="X69" s="103"/>
      <c r="Z69" s="208"/>
      <c r="AA69" s="219"/>
    </row>
    <row r="70" spans="2:30" ht="30" customHeight="1" x14ac:dyDescent="0.25">
      <c r="B70" s="381" t="s">
        <v>188</v>
      </c>
      <c r="C70" s="381"/>
      <c r="D70" s="204">
        <v>0</v>
      </c>
      <c r="E70" s="199"/>
      <c r="F70" s="201">
        <v>0</v>
      </c>
      <c r="G70" s="201"/>
      <c r="H70" s="201">
        <v>0</v>
      </c>
      <c r="I70" s="201"/>
      <c r="J70" s="201">
        <f t="shared" si="11"/>
        <v>0</v>
      </c>
      <c r="K70" s="201"/>
      <c r="L70" s="221">
        <f t="shared" si="10"/>
        <v>0</v>
      </c>
      <c r="M70" s="201"/>
      <c r="N70" s="201">
        <v>0</v>
      </c>
      <c r="O70" s="201"/>
      <c r="P70" s="201">
        <v>0</v>
      </c>
      <c r="Q70" s="201"/>
      <c r="R70" s="201">
        <v>8613312174</v>
      </c>
      <c r="S70" s="201">
        <v>-4485653237</v>
      </c>
      <c r="T70" s="201">
        <f t="shared" si="7"/>
        <v>8613312174</v>
      </c>
      <c r="U70" s="201">
        <v>-15221139573</v>
      </c>
      <c r="V70" s="221">
        <f t="shared" si="3"/>
        <v>9.531521572286936E-3</v>
      </c>
      <c r="W70" s="220"/>
      <c r="X70" s="103"/>
      <c r="Z70" s="208"/>
      <c r="AA70" s="219"/>
    </row>
    <row r="71" spans="2:30" ht="30" customHeight="1" x14ac:dyDescent="0.25">
      <c r="B71" s="381" t="s">
        <v>196</v>
      </c>
      <c r="C71" s="381"/>
      <c r="D71" s="204">
        <v>0</v>
      </c>
      <c r="E71" s="199"/>
      <c r="F71" s="201">
        <v>19980405000</v>
      </c>
      <c r="G71" s="201"/>
      <c r="H71" s="201">
        <v>0</v>
      </c>
      <c r="I71" s="201"/>
      <c r="J71" s="201">
        <f t="shared" si="11"/>
        <v>19980405000</v>
      </c>
      <c r="K71" s="201"/>
      <c r="L71" s="221">
        <f t="shared" si="10"/>
        <v>2.7195768319829831E-2</v>
      </c>
      <c r="M71" s="201"/>
      <c r="N71" s="201">
        <v>8640000000</v>
      </c>
      <c r="O71" s="201"/>
      <c r="P71" s="201">
        <v>12809540302</v>
      </c>
      <c r="Q71" s="201"/>
      <c r="R71" s="201">
        <v>-2538727106</v>
      </c>
      <c r="S71" s="201">
        <v>872060105</v>
      </c>
      <c r="T71" s="201">
        <f t="shared" si="7"/>
        <v>18910813196</v>
      </c>
      <c r="U71" s="201">
        <v>-171239603</v>
      </c>
      <c r="V71" s="221">
        <f t="shared" si="3"/>
        <v>2.0926772452443849E-2</v>
      </c>
      <c r="W71" s="220"/>
      <c r="X71" s="103"/>
      <c r="Z71" s="208"/>
      <c r="AA71" s="219"/>
    </row>
    <row r="72" spans="2:30" ht="30" customHeight="1" x14ac:dyDescent="0.25">
      <c r="B72" s="186" t="s">
        <v>221</v>
      </c>
      <c r="C72" s="176"/>
      <c r="D72" s="200">
        <f>SUM(D43:D71)</f>
        <v>140124812179</v>
      </c>
      <c r="E72" s="199"/>
      <c r="F72" s="222">
        <f>SUM(F43:F71)</f>
        <v>816989230440</v>
      </c>
      <c r="G72" s="222"/>
      <c r="H72" s="222">
        <f>SUM(H43:H71)</f>
        <v>47079786797</v>
      </c>
      <c r="I72" s="222"/>
      <c r="J72" s="222">
        <f>SUM(J43:J71)</f>
        <v>1004193829416</v>
      </c>
      <c r="K72" s="222"/>
      <c r="L72" s="123">
        <f>SUM(L43:L71)</f>
        <v>1.3668302886252932</v>
      </c>
      <c r="M72" s="222"/>
      <c r="N72" s="222">
        <f>SUM(N43:N71)</f>
        <v>484117011742</v>
      </c>
      <c r="O72" s="222"/>
      <c r="P72" s="222">
        <f>SUM(P43:P71)</f>
        <v>80915579305</v>
      </c>
      <c r="Q72" s="222"/>
      <c r="R72" s="222">
        <f>SUM(R43:R71)</f>
        <v>-38122809851</v>
      </c>
      <c r="S72" s="222"/>
      <c r="T72" s="222">
        <f>SUM(T43:T71)</f>
        <v>526909781196</v>
      </c>
      <c r="U72" s="201"/>
      <c r="V72" s="123">
        <f>SUM(V43:V71)</f>
        <v>0.58308021869667614</v>
      </c>
      <c r="W72" s="220"/>
      <c r="X72" s="103"/>
      <c r="Z72" s="208"/>
      <c r="AA72" s="219"/>
    </row>
    <row r="73" spans="2:30" ht="30" customHeight="1" x14ac:dyDescent="0.25">
      <c r="B73" s="186"/>
      <c r="C73" s="176"/>
      <c r="D73" s="204"/>
      <c r="E73" s="199"/>
      <c r="F73" s="201"/>
      <c r="G73" s="201"/>
      <c r="H73" s="201"/>
      <c r="I73" s="201"/>
      <c r="J73" s="201"/>
      <c r="K73" s="201"/>
      <c r="L73" s="221"/>
      <c r="M73" s="201"/>
      <c r="N73" s="201"/>
      <c r="O73" s="201"/>
      <c r="P73" s="201"/>
      <c r="Q73" s="201"/>
      <c r="R73" s="201"/>
      <c r="S73" s="201"/>
      <c r="T73" s="201"/>
      <c r="U73" s="201"/>
      <c r="V73" s="221"/>
      <c r="W73" s="220"/>
      <c r="X73" s="103"/>
      <c r="Z73" s="208"/>
      <c r="AA73" s="219"/>
    </row>
    <row r="74" spans="2:30" ht="30" customHeight="1" x14ac:dyDescent="0.25">
      <c r="B74" s="388" t="s">
        <v>141</v>
      </c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220"/>
      <c r="X74" s="103"/>
      <c r="Z74" s="208"/>
      <c r="AA74" s="219"/>
    </row>
    <row r="75" spans="2:30" ht="12.75" customHeight="1" x14ac:dyDescent="0.25">
      <c r="W75" s="220"/>
      <c r="X75" s="103"/>
      <c r="Z75" s="208"/>
      <c r="AA75" s="219"/>
    </row>
    <row r="76" spans="2:30" ht="30" customHeight="1" thickBot="1" x14ac:dyDescent="0.3">
      <c r="B76" s="301"/>
      <c r="C76" s="217"/>
      <c r="D76" s="385" t="str">
        <f>D39</f>
        <v>طی مهر ماه</v>
      </c>
      <c r="E76" s="385"/>
      <c r="F76" s="385"/>
      <c r="G76" s="385"/>
      <c r="H76" s="385"/>
      <c r="I76" s="385"/>
      <c r="J76" s="385"/>
      <c r="K76" s="217"/>
      <c r="L76" s="217"/>
      <c r="M76" s="217"/>
      <c r="N76" s="385" t="str">
        <f>N39</f>
        <v>از ابتدای سال مالی تا پایان مهر ماه</v>
      </c>
      <c r="O76" s="385"/>
      <c r="P76" s="385"/>
      <c r="Q76" s="385"/>
      <c r="R76" s="385"/>
      <c r="S76" s="385"/>
      <c r="T76" s="385"/>
      <c r="U76" s="385"/>
      <c r="V76" s="385"/>
      <c r="W76" s="220"/>
      <c r="X76" s="103"/>
      <c r="Z76" s="208"/>
      <c r="AA76" s="219"/>
    </row>
    <row r="77" spans="2:30" ht="30" customHeight="1" x14ac:dyDescent="0.25">
      <c r="B77" s="383" t="s">
        <v>37</v>
      </c>
      <c r="C77" s="383"/>
      <c r="D77" s="382" t="s">
        <v>22</v>
      </c>
      <c r="E77" s="383"/>
      <c r="F77" s="382" t="s">
        <v>23</v>
      </c>
      <c r="G77" s="383"/>
      <c r="H77" s="382" t="s">
        <v>24</v>
      </c>
      <c r="I77" s="383"/>
      <c r="J77" s="384" t="s">
        <v>7</v>
      </c>
      <c r="K77" s="384"/>
      <c r="L77" s="384"/>
      <c r="M77" s="383"/>
      <c r="N77" s="387" t="s">
        <v>22</v>
      </c>
      <c r="O77" s="386"/>
      <c r="P77" s="387" t="s">
        <v>23</v>
      </c>
      <c r="Q77" s="386"/>
      <c r="R77" s="387" t="s">
        <v>24</v>
      </c>
      <c r="S77" s="386"/>
      <c r="T77" s="384" t="s">
        <v>7</v>
      </c>
      <c r="U77" s="384"/>
      <c r="V77" s="384"/>
      <c r="W77" s="220"/>
      <c r="X77" s="103"/>
      <c r="Z77" s="208"/>
      <c r="AA77" s="219"/>
    </row>
    <row r="78" spans="2:30" ht="30" customHeight="1" thickBot="1" x14ac:dyDescent="0.3">
      <c r="B78" s="383"/>
      <c r="C78" s="383"/>
      <c r="D78" s="382"/>
      <c r="E78" s="383"/>
      <c r="F78" s="382"/>
      <c r="G78" s="383"/>
      <c r="H78" s="382"/>
      <c r="I78" s="383"/>
      <c r="J78" s="385"/>
      <c r="K78" s="385"/>
      <c r="L78" s="385"/>
      <c r="M78" s="383"/>
      <c r="N78" s="382"/>
      <c r="O78" s="383"/>
      <c r="P78" s="382"/>
      <c r="Q78" s="383"/>
      <c r="R78" s="382"/>
      <c r="S78" s="383"/>
      <c r="T78" s="385"/>
      <c r="U78" s="385"/>
      <c r="V78" s="385"/>
      <c r="W78" s="220"/>
      <c r="X78" s="103"/>
      <c r="Z78" s="208"/>
      <c r="AA78" s="219"/>
    </row>
    <row r="79" spans="2:30" ht="49.5" customHeight="1" thickBot="1" x14ac:dyDescent="0.3">
      <c r="B79" s="389"/>
      <c r="C79" s="383"/>
      <c r="D79" s="88" t="s">
        <v>92</v>
      </c>
      <c r="E79" s="383"/>
      <c r="F79" s="88" t="s">
        <v>93</v>
      </c>
      <c r="G79" s="383"/>
      <c r="H79" s="88" t="s">
        <v>94</v>
      </c>
      <c r="I79" s="383"/>
      <c r="J79" s="104" t="s">
        <v>11</v>
      </c>
      <c r="K79" s="104"/>
      <c r="L79" s="104" t="s">
        <v>25</v>
      </c>
      <c r="M79" s="383"/>
      <c r="N79" s="88" t="s">
        <v>92</v>
      </c>
      <c r="O79" s="383"/>
      <c r="P79" s="88" t="s">
        <v>93</v>
      </c>
      <c r="Q79" s="383"/>
      <c r="R79" s="88" t="s">
        <v>94</v>
      </c>
      <c r="S79" s="383"/>
      <c r="T79" s="104" t="s">
        <v>11</v>
      </c>
      <c r="U79" s="104"/>
      <c r="V79" s="104" t="s">
        <v>25</v>
      </c>
      <c r="W79" s="220"/>
      <c r="X79" s="103"/>
      <c r="Z79" s="208"/>
      <c r="AA79" s="219"/>
    </row>
    <row r="80" spans="2:30" ht="30" customHeight="1" x14ac:dyDescent="0.25">
      <c r="B80" s="205" t="s">
        <v>222</v>
      </c>
      <c r="C80" s="205"/>
      <c r="D80" s="107">
        <f>D72</f>
        <v>140124812179</v>
      </c>
      <c r="E80" s="205"/>
      <c r="F80" s="201">
        <f>F72</f>
        <v>816989230440</v>
      </c>
      <c r="G80" s="201"/>
      <c r="H80" s="201">
        <f>H72</f>
        <v>47079786797</v>
      </c>
      <c r="I80" s="201"/>
      <c r="J80" s="201">
        <f>J72</f>
        <v>1004193829416</v>
      </c>
      <c r="K80" s="201"/>
      <c r="L80" s="221">
        <f>L72</f>
        <v>1.3668302886252932</v>
      </c>
      <c r="M80" s="201"/>
      <c r="N80" s="201">
        <f>N72</f>
        <v>484117011742</v>
      </c>
      <c r="O80" s="201"/>
      <c r="P80" s="201">
        <f>P72</f>
        <v>80915579305</v>
      </c>
      <c r="Q80" s="201"/>
      <c r="R80" s="201">
        <f>R72</f>
        <v>-38122809851</v>
      </c>
      <c r="S80" s="201"/>
      <c r="T80" s="201">
        <f>T72</f>
        <v>526909781196</v>
      </c>
      <c r="U80" s="106"/>
      <c r="V80" s="108">
        <f>V72</f>
        <v>0.58308021869667614</v>
      </c>
      <c r="W80" s="220"/>
      <c r="X80" s="103"/>
      <c r="Z80" s="208"/>
      <c r="AA80" s="219"/>
    </row>
    <row r="81" spans="2:30" ht="30" customHeight="1" x14ac:dyDescent="0.25">
      <c r="B81" s="186" t="s">
        <v>171</v>
      </c>
      <c r="C81" s="176"/>
      <c r="D81" s="204">
        <v>0</v>
      </c>
      <c r="E81" s="199"/>
      <c r="F81" s="201">
        <v>0</v>
      </c>
      <c r="G81" s="201"/>
      <c r="H81" s="201">
        <v>0</v>
      </c>
      <c r="I81" s="201"/>
      <c r="J81" s="201">
        <f t="shared" si="11"/>
        <v>0</v>
      </c>
      <c r="K81" s="201"/>
      <c r="L81" s="221">
        <f t="shared" ref="L81:L115" si="14">-J81/$G$126</f>
        <v>0</v>
      </c>
      <c r="M81" s="201"/>
      <c r="N81" s="201">
        <v>0</v>
      </c>
      <c r="O81" s="201"/>
      <c r="P81" s="201">
        <v>0</v>
      </c>
      <c r="Q81" s="201"/>
      <c r="R81" s="201">
        <v>573251852</v>
      </c>
      <c r="S81" s="201">
        <v>392427662</v>
      </c>
      <c r="T81" s="201">
        <f t="shared" si="7"/>
        <v>573251852</v>
      </c>
      <c r="U81" s="201">
        <v>-1542829471</v>
      </c>
      <c r="V81" s="221">
        <f>T81/$X$12</f>
        <v>6.3436251738150891E-4</v>
      </c>
      <c r="W81" s="220"/>
      <c r="X81" s="103"/>
      <c r="Z81" s="208"/>
      <c r="AA81" s="219"/>
    </row>
    <row r="82" spans="2:30" ht="30" customHeight="1" x14ac:dyDescent="0.25">
      <c r="B82" s="186" t="s">
        <v>149</v>
      </c>
      <c r="C82" s="176"/>
      <c r="D82" s="204">
        <v>0</v>
      </c>
      <c r="E82" s="199"/>
      <c r="F82" s="201">
        <v>477144</v>
      </c>
      <c r="G82" s="201"/>
      <c r="H82" s="201">
        <v>0</v>
      </c>
      <c r="I82" s="201"/>
      <c r="J82" s="201">
        <f t="shared" si="11"/>
        <v>477144</v>
      </c>
      <c r="K82" s="201"/>
      <c r="L82" s="221">
        <f t="shared" si="14"/>
        <v>6.4945118375713029E-7</v>
      </c>
      <c r="M82" s="201"/>
      <c r="N82" s="201">
        <v>0</v>
      </c>
      <c r="O82" s="201"/>
      <c r="P82" s="201">
        <v>-526843</v>
      </c>
      <c r="Q82" s="201"/>
      <c r="R82" s="201">
        <v>-272463739</v>
      </c>
      <c r="S82" s="201">
        <v>1644814375</v>
      </c>
      <c r="T82" s="201">
        <f t="shared" si="7"/>
        <v>-272990582</v>
      </c>
      <c r="U82" s="201">
        <v>11922552996</v>
      </c>
      <c r="V82" s="221">
        <f t="shared" si="3"/>
        <v>-3.0209233902128458E-4</v>
      </c>
      <c r="W82" s="220"/>
      <c r="X82" s="103"/>
      <c r="Z82" s="208"/>
      <c r="AA82" s="219"/>
    </row>
    <row r="83" spans="2:30" ht="30" customHeight="1" x14ac:dyDescent="0.25">
      <c r="B83" s="186" t="s">
        <v>180</v>
      </c>
      <c r="C83" s="176"/>
      <c r="D83" s="204">
        <v>0</v>
      </c>
      <c r="E83" s="199"/>
      <c r="F83" s="201">
        <v>0</v>
      </c>
      <c r="G83" s="201"/>
      <c r="H83" s="201">
        <v>0</v>
      </c>
      <c r="I83" s="201"/>
      <c r="J83" s="201">
        <f t="shared" si="11"/>
        <v>0</v>
      </c>
      <c r="K83" s="201"/>
      <c r="L83" s="221">
        <f t="shared" si="14"/>
        <v>0</v>
      </c>
      <c r="M83" s="201"/>
      <c r="N83" s="201">
        <v>0</v>
      </c>
      <c r="O83" s="201"/>
      <c r="P83" s="201">
        <v>0</v>
      </c>
      <c r="Q83" s="201"/>
      <c r="R83" s="201">
        <v>2367231992</v>
      </c>
      <c r="S83" s="201">
        <v>3859275341</v>
      </c>
      <c r="T83" s="201">
        <f t="shared" si="7"/>
        <v>2367231992</v>
      </c>
      <c r="U83" s="201">
        <v>-267773567</v>
      </c>
      <c r="V83" s="221">
        <f t="shared" si="3"/>
        <v>2.6195872554654462E-3</v>
      </c>
      <c r="W83" s="220"/>
      <c r="X83" s="103"/>
      <c r="Z83" s="208"/>
      <c r="AA83" s="219"/>
    </row>
    <row r="84" spans="2:30" ht="30" customHeight="1" x14ac:dyDescent="0.25">
      <c r="B84" s="186" t="s">
        <v>177</v>
      </c>
      <c r="C84" s="176"/>
      <c r="D84" s="204">
        <v>0</v>
      </c>
      <c r="E84" s="199"/>
      <c r="F84" s="201">
        <v>0</v>
      </c>
      <c r="G84" s="201"/>
      <c r="H84" s="201">
        <v>0</v>
      </c>
      <c r="I84" s="201"/>
      <c r="J84" s="201">
        <f t="shared" si="11"/>
        <v>0</v>
      </c>
      <c r="K84" s="201"/>
      <c r="L84" s="221">
        <f t="shared" si="14"/>
        <v>0</v>
      </c>
      <c r="M84" s="201"/>
      <c r="N84" s="201">
        <v>0</v>
      </c>
      <c r="O84" s="201"/>
      <c r="P84" s="201">
        <v>0</v>
      </c>
      <c r="Q84" s="201"/>
      <c r="R84" s="201">
        <v>-4335963253</v>
      </c>
      <c r="S84" s="201">
        <v>1937265303</v>
      </c>
      <c r="T84" s="201">
        <f t="shared" si="7"/>
        <v>-4335963253</v>
      </c>
      <c r="U84" s="201">
        <v>-133028242</v>
      </c>
      <c r="V84" s="221">
        <f t="shared" si="3"/>
        <v>-4.7981921992060073E-3</v>
      </c>
      <c r="W84" s="220"/>
      <c r="X84" s="103"/>
      <c r="Z84" s="208"/>
      <c r="AA84" s="219"/>
    </row>
    <row r="85" spans="2:30" ht="30" customHeight="1" x14ac:dyDescent="0.25">
      <c r="B85" s="186" t="s">
        <v>166</v>
      </c>
      <c r="C85" s="176"/>
      <c r="D85" s="204">
        <v>0</v>
      </c>
      <c r="E85" s="199"/>
      <c r="F85" s="201">
        <v>0</v>
      </c>
      <c r="G85" s="201"/>
      <c r="H85" s="201">
        <v>0</v>
      </c>
      <c r="I85" s="201"/>
      <c r="J85" s="201">
        <f t="shared" si="11"/>
        <v>0</v>
      </c>
      <c r="K85" s="201"/>
      <c r="L85" s="221">
        <f t="shared" si="14"/>
        <v>0</v>
      </c>
      <c r="M85" s="201"/>
      <c r="N85" s="201">
        <v>0</v>
      </c>
      <c r="O85" s="201"/>
      <c r="P85" s="201">
        <v>0</v>
      </c>
      <c r="Q85" s="201"/>
      <c r="R85" s="201">
        <v>4030409699</v>
      </c>
      <c r="S85" s="201">
        <v>1212931406</v>
      </c>
      <c r="T85" s="201">
        <f t="shared" si="7"/>
        <v>4030409699</v>
      </c>
      <c r="U85" s="201">
        <v>-2162615402</v>
      </c>
      <c r="V85" s="221">
        <f t="shared" si="3"/>
        <v>4.4600655607415114E-3</v>
      </c>
      <c r="W85" s="220"/>
      <c r="X85" s="103"/>
      <c r="Z85" s="208"/>
      <c r="AA85" s="219"/>
    </row>
    <row r="86" spans="2:30" ht="30" customHeight="1" x14ac:dyDescent="0.25">
      <c r="B86" s="186" t="s">
        <v>114</v>
      </c>
      <c r="C86" s="176"/>
      <c r="D86" s="204">
        <v>0</v>
      </c>
      <c r="E86" s="199"/>
      <c r="F86" s="201">
        <v>777347</v>
      </c>
      <c r="G86" s="201"/>
      <c r="H86" s="201">
        <v>0</v>
      </c>
      <c r="I86" s="201"/>
      <c r="J86" s="201">
        <f t="shared" si="11"/>
        <v>777347</v>
      </c>
      <c r="K86" s="201"/>
      <c r="L86" s="221">
        <f t="shared" si="14"/>
        <v>1.0580640840921271E-6</v>
      </c>
      <c r="M86" s="201"/>
      <c r="N86" s="201">
        <v>0</v>
      </c>
      <c r="O86" s="201"/>
      <c r="P86" s="201">
        <v>3221714</v>
      </c>
      <c r="Q86" s="201"/>
      <c r="R86" s="201">
        <v>97323992</v>
      </c>
      <c r="S86" s="201">
        <v>6910941668</v>
      </c>
      <c r="T86" s="201">
        <f t="shared" si="7"/>
        <v>100545706</v>
      </c>
      <c r="U86" s="201">
        <v>-1877733842</v>
      </c>
      <c r="V86" s="221">
        <f t="shared" si="3"/>
        <v>1.1126423220009255E-4</v>
      </c>
      <c r="W86" s="201"/>
      <c r="X86" s="208"/>
      <c r="Z86" s="208"/>
      <c r="AA86" s="219"/>
      <c r="AD86" s="196"/>
    </row>
    <row r="87" spans="2:30" ht="30" customHeight="1" x14ac:dyDescent="0.25">
      <c r="B87" s="186" t="s">
        <v>173</v>
      </c>
      <c r="C87" s="176"/>
      <c r="D87" s="204">
        <v>0</v>
      </c>
      <c r="E87" s="199"/>
      <c r="F87" s="201">
        <v>0</v>
      </c>
      <c r="G87" s="201"/>
      <c r="H87" s="201">
        <v>0</v>
      </c>
      <c r="I87" s="201"/>
      <c r="J87" s="201">
        <f t="shared" si="11"/>
        <v>0</v>
      </c>
      <c r="K87" s="201"/>
      <c r="L87" s="221">
        <f t="shared" si="14"/>
        <v>0</v>
      </c>
      <c r="M87" s="201"/>
      <c r="N87" s="201">
        <v>0</v>
      </c>
      <c r="O87" s="201"/>
      <c r="P87" s="201">
        <v>0</v>
      </c>
      <c r="Q87" s="201"/>
      <c r="R87" s="201">
        <v>29213444160</v>
      </c>
      <c r="S87" s="201">
        <v>151419925</v>
      </c>
      <c r="T87" s="201">
        <f t="shared" si="7"/>
        <v>29213444160</v>
      </c>
      <c r="U87" s="201">
        <v>-13627212560</v>
      </c>
      <c r="V87" s="221">
        <f t="shared" si="3"/>
        <v>3.2327700144476362E-2</v>
      </c>
      <c r="W87" s="201"/>
      <c r="X87" s="208"/>
      <c r="Z87" s="208"/>
      <c r="AA87" s="219"/>
      <c r="AD87" s="196"/>
    </row>
    <row r="88" spans="2:30" ht="30" customHeight="1" x14ac:dyDescent="0.25">
      <c r="B88" s="186" t="s">
        <v>139</v>
      </c>
      <c r="C88" s="176"/>
      <c r="D88" s="204">
        <v>0</v>
      </c>
      <c r="E88" s="199"/>
      <c r="F88" s="201">
        <v>512929799</v>
      </c>
      <c r="G88" s="201"/>
      <c r="H88" s="201">
        <v>0</v>
      </c>
      <c r="I88" s="201"/>
      <c r="J88" s="201">
        <f t="shared" si="11"/>
        <v>512929799</v>
      </c>
      <c r="K88" s="201"/>
      <c r="L88" s="221">
        <f t="shared" si="14"/>
        <v>6.981600211777931E-4</v>
      </c>
      <c r="M88" s="201"/>
      <c r="N88" s="201">
        <v>0</v>
      </c>
      <c r="O88" s="201"/>
      <c r="P88" s="201">
        <v>581821913</v>
      </c>
      <c r="Q88" s="201"/>
      <c r="R88" s="201">
        <v>466959920</v>
      </c>
      <c r="S88" s="201">
        <v>31387040</v>
      </c>
      <c r="T88" s="201">
        <f t="shared" si="7"/>
        <v>1048781833</v>
      </c>
      <c r="U88" s="201">
        <v>-6418415353</v>
      </c>
      <c r="V88" s="221">
        <f t="shared" si="3"/>
        <v>1.1605856683143752E-3</v>
      </c>
      <c r="W88" s="201"/>
      <c r="X88" s="208"/>
      <c r="Z88" s="208"/>
      <c r="AA88" s="219"/>
      <c r="AD88" s="196"/>
    </row>
    <row r="89" spans="2:30" ht="30" customHeight="1" x14ac:dyDescent="0.25">
      <c r="B89" s="186" t="s">
        <v>200</v>
      </c>
      <c r="C89" s="176"/>
      <c r="D89" s="204">
        <v>0</v>
      </c>
      <c r="E89" s="199"/>
      <c r="F89" s="201">
        <v>0</v>
      </c>
      <c r="G89" s="201"/>
      <c r="H89" s="201">
        <v>0</v>
      </c>
      <c r="I89" s="201"/>
      <c r="J89" s="201">
        <f t="shared" si="11"/>
        <v>0</v>
      </c>
      <c r="K89" s="201"/>
      <c r="L89" s="221">
        <f t="shared" si="14"/>
        <v>0</v>
      </c>
      <c r="M89" s="201"/>
      <c r="N89" s="201">
        <v>11898029509</v>
      </c>
      <c r="O89" s="201"/>
      <c r="P89" s="201">
        <v>0</v>
      </c>
      <c r="Q89" s="201"/>
      <c r="R89" s="201">
        <v>-8852447210</v>
      </c>
      <c r="S89" s="201">
        <v>1762590900</v>
      </c>
      <c r="T89" s="201">
        <f t="shared" si="7"/>
        <v>3045582299</v>
      </c>
      <c r="U89" s="201">
        <v>-581258774</v>
      </c>
      <c r="V89" s="221">
        <f t="shared" si="3"/>
        <v>3.3702520931170117E-3</v>
      </c>
      <c r="W89" s="201"/>
      <c r="X89" s="208"/>
      <c r="Z89" s="208"/>
      <c r="AA89" s="219"/>
    </row>
    <row r="90" spans="2:30" ht="30" customHeight="1" x14ac:dyDescent="0.25">
      <c r="B90" s="186" t="s">
        <v>138</v>
      </c>
      <c r="C90" s="176"/>
      <c r="D90" s="204">
        <v>0</v>
      </c>
      <c r="E90" s="199"/>
      <c r="F90" s="201">
        <v>486090</v>
      </c>
      <c r="G90" s="201"/>
      <c r="H90" s="201">
        <v>0</v>
      </c>
      <c r="I90" s="201"/>
      <c r="J90" s="201">
        <f t="shared" si="11"/>
        <v>486090</v>
      </c>
      <c r="K90" s="201"/>
      <c r="L90" s="221">
        <f t="shared" si="14"/>
        <v>6.6162778094768759E-7</v>
      </c>
      <c r="M90" s="201"/>
      <c r="N90" s="201">
        <v>34000</v>
      </c>
      <c r="O90" s="201"/>
      <c r="P90" s="201">
        <v>-609269</v>
      </c>
      <c r="Q90" s="201"/>
      <c r="R90" s="201">
        <v>-110542921</v>
      </c>
      <c r="S90" s="201">
        <v>2476602308</v>
      </c>
      <c r="T90" s="201">
        <f t="shared" si="7"/>
        <v>-111118190</v>
      </c>
      <c r="U90" s="201">
        <v>-1440465917</v>
      </c>
      <c r="V90" s="221">
        <f t="shared" si="3"/>
        <v>-1.2296378021169798E-4</v>
      </c>
      <c r="W90" s="201"/>
      <c r="X90" s="208"/>
      <c r="Z90" s="208"/>
      <c r="AA90" s="219"/>
      <c r="AD90" s="196"/>
    </row>
    <row r="91" spans="2:30" ht="30" customHeight="1" x14ac:dyDescent="0.25">
      <c r="B91" s="186" t="s">
        <v>156</v>
      </c>
      <c r="C91" s="176"/>
      <c r="D91" s="204">
        <v>0</v>
      </c>
      <c r="E91" s="199"/>
      <c r="F91" s="201">
        <v>0</v>
      </c>
      <c r="G91" s="201"/>
      <c r="H91" s="201">
        <v>0</v>
      </c>
      <c r="I91" s="201"/>
      <c r="J91" s="201">
        <f t="shared" si="11"/>
        <v>0</v>
      </c>
      <c r="K91" s="201"/>
      <c r="L91" s="221">
        <f t="shared" si="14"/>
        <v>0</v>
      </c>
      <c r="M91" s="201"/>
      <c r="N91" s="201">
        <v>0</v>
      </c>
      <c r="O91" s="201"/>
      <c r="P91" s="201">
        <v>0</v>
      </c>
      <c r="Q91" s="201"/>
      <c r="R91" s="201">
        <v>-2044819416</v>
      </c>
      <c r="S91" s="201">
        <v>9867221407</v>
      </c>
      <c r="T91" s="201">
        <f t="shared" si="7"/>
        <v>-2044819416</v>
      </c>
      <c r="U91" s="201">
        <v>1680299829</v>
      </c>
      <c r="V91" s="221">
        <f t="shared" si="3"/>
        <v>-2.262804363908705E-3</v>
      </c>
      <c r="W91" s="201"/>
      <c r="X91" s="208"/>
      <c r="Z91" s="208"/>
      <c r="AA91" s="219"/>
    </row>
    <row r="92" spans="2:30" ht="30" customHeight="1" x14ac:dyDescent="0.25">
      <c r="B92" s="186" t="s">
        <v>181</v>
      </c>
      <c r="C92" s="176"/>
      <c r="D92" s="204">
        <v>0</v>
      </c>
      <c r="E92" s="199"/>
      <c r="F92" s="201">
        <v>0</v>
      </c>
      <c r="G92" s="201"/>
      <c r="H92" s="201">
        <v>0</v>
      </c>
      <c r="I92" s="201"/>
      <c r="J92" s="201">
        <f t="shared" si="11"/>
        <v>0</v>
      </c>
      <c r="K92" s="201"/>
      <c r="L92" s="221">
        <f t="shared" si="14"/>
        <v>0</v>
      </c>
      <c r="M92" s="201"/>
      <c r="N92" s="201">
        <v>2400000000</v>
      </c>
      <c r="O92" s="201"/>
      <c r="P92" s="201">
        <v>0</v>
      </c>
      <c r="Q92" s="201"/>
      <c r="R92" s="201">
        <v>-6440726392</v>
      </c>
      <c r="S92" s="201">
        <v>872060105</v>
      </c>
      <c r="T92" s="201">
        <f t="shared" si="7"/>
        <v>-4040726392</v>
      </c>
      <c r="U92" s="201">
        <v>-9895859202</v>
      </c>
      <c r="V92" s="221">
        <f t="shared" si="3"/>
        <v>-4.4714820495320821E-3</v>
      </c>
      <c r="W92" s="201"/>
      <c r="X92" s="208"/>
      <c r="Z92" s="208"/>
      <c r="AA92" s="219"/>
    </row>
    <row r="93" spans="2:30" ht="30" customHeight="1" x14ac:dyDescent="0.25">
      <c r="B93" s="186" t="s">
        <v>124</v>
      </c>
      <c r="C93" s="176"/>
      <c r="D93" s="204">
        <v>0</v>
      </c>
      <c r="E93" s="199"/>
      <c r="F93" s="201">
        <v>63221579999</v>
      </c>
      <c r="G93" s="201"/>
      <c r="H93" s="201">
        <v>0</v>
      </c>
      <c r="I93" s="201"/>
      <c r="J93" s="201">
        <f t="shared" si="11"/>
        <v>63221579999</v>
      </c>
      <c r="K93" s="201"/>
      <c r="L93" s="221">
        <f t="shared" si="14"/>
        <v>8.6052281846458634E-2</v>
      </c>
      <c r="M93" s="201"/>
      <c r="N93" s="201">
        <v>0</v>
      </c>
      <c r="O93" s="201"/>
      <c r="P93" s="201">
        <v>12588425246</v>
      </c>
      <c r="Q93" s="201"/>
      <c r="R93" s="201">
        <v>-4087415768</v>
      </c>
      <c r="S93" s="201">
        <v>24578982239</v>
      </c>
      <c r="T93" s="201">
        <f t="shared" si="7"/>
        <v>8501009478</v>
      </c>
      <c r="U93" s="201">
        <v>584453468</v>
      </c>
      <c r="V93" s="221">
        <f t="shared" si="3"/>
        <v>9.4072470135659458E-3</v>
      </c>
      <c r="W93" s="201"/>
      <c r="X93" s="208"/>
      <c r="Z93" s="208"/>
      <c r="AA93" s="219"/>
    </row>
    <row r="94" spans="2:30" ht="30" customHeight="1" x14ac:dyDescent="0.25">
      <c r="B94" s="186" t="s">
        <v>239</v>
      </c>
      <c r="C94" s="176"/>
      <c r="D94" s="204">
        <v>0</v>
      </c>
      <c r="E94" s="199"/>
      <c r="F94" s="201">
        <v>0</v>
      </c>
      <c r="G94" s="201"/>
      <c r="H94" s="201">
        <v>0</v>
      </c>
      <c r="I94" s="201"/>
      <c r="J94" s="201">
        <f t="shared" si="11"/>
        <v>0</v>
      </c>
      <c r="K94" s="201"/>
      <c r="L94" s="221">
        <f t="shared" si="14"/>
        <v>0</v>
      </c>
      <c r="M94" s="201"/>
      <c r="N94" s="201">
        <v>0</v>
      </c>
      <c r="O94" s="201"/>
      <c r="P94" s="201">
        <v>0</v>
      </c>
      <c r="Q94" s="201"/>
      <c r="R94" s="201">
        <v>1</v>
      </c>
      <c r="S94" s="201">
        <v>273616390</v>
      </c>
      <c r="T94" s="201">
        <f t="shared" si="7"/>
        <v>1</v>
      </c>
      <c r="U94" s="201">
        <v>3602317932</v>
      </c>
      <c r="V94" s="221">
        <f t="shared" ref="V94:V105" si="15">T94/$X$12</f>
        <v>1.1066035201950102E-12</v>
      </c>
      <c r="W94" s="201"/>
      <c r="X94" s="208"/>
      <c r="Z94" s="208"/>
      <c r="AA94" s="219"/>
    </row>
    <row r="95" spans="2:30" ht="30" customHeight="1" x14ac:dyDescent="0.25">
      <c r="B95" s="186" t="s">
        <v>148</v>
      </c>
      <c r="C95" s="176"/>
      <c r="D95" s="204">
        <v>0</v>
      </c>
      <c r="E95" s="199"/>
      <c r="F95" s="201">
        <v>75548</v>
      </c>
      <c r="G95" s="201"/>
      <c r="H95" s="201">
        <v>0</v>
      </c>
      <c r="I95" s="201"/>
      <c r="J95" s="201">
        <f t="shared" si="11"/>
        <v>75548</v>
      </c>
      <c r="K95" s="201"/>
      <c r="L95" s="221">
        <f t="shared" si="14"/>
        <v>1.0283004298594068E-7</v>
      </c>
      <c r="M95" s="201"/>
      <c r="N95" s="201">
        <v>11000</v>
      </c>
      <c r="O95" s="201"/>
      <c r="P95" s="201">
        <v>-166612</v>
      </c>
      <c r="Q95" s="201"/>
      <c r="R95" s="201">
        <v>-8631518337</v>
      </c>
      <c r="S95" s="201">
        <v>-36917610</v>
      </c>
      <c r="T95" s="201">
        <f t="shared" si="7"/>
        <v>-8631673949</v>
      </c>
      <c r="U95" s="201">
        <v>-679942337</v>
      </c>
      <c r="V95" s="221">
        <f t="shared" si="15"/>
        <v>-9.551840777138965E-3</v>
      </c>
      <c r="W95" s="201"/>
      <c r="X95" s="208"/>
      <c r="Z95" s="208"/>
      <c r="AA95" s="219"/>
    </row>
    <row r="96" spans="2:30" ht="30" customHeight="1" x14ac:dyDescent="0.25">
      <c r="B96" s="186" t="s">
        <v>130</v>
      </c>
      <c r="C96" s="176"/>
      <c r="D96" s="204">
        <v>0</v>
      </c>
      <c r="E96" s="199"/>
      <c r="F96" s="201">
        <v>372769</v>
      </c>
      <c r="G96" s="201"/>
      <c r="H96" s="201">
        <v>0</v>
      </c>
      <c r="I96" s="201"/>
      <c r="J96" s="201">
        <f t="shared" si="11"/>
        <v>372769</v>
      </c>
      <c r="K96" s="201"/>
      <c r="L96" s="221">
        <f t="shared" si="14"/>
        <v>5.0738407759075185E-7</v>
      </c>
      <c r="M96" s="201"/>
      <c r="N96" s="201">
        <v>1714857916</v>
      </c>
      <c r="O96" s="201"/>
      <c r="P96" s="201">
        <v>-263626</v>
      </c>
      <c r="Q96" s="201"/>
      <c r="R96" s="201">
        <v>-797235242</v>
      </c>
      <c r="S96" s="201">
        <v>381950449</v>
      </c>
      <c r="T96" s="201">
        <f t="shared" si="7"/>
        <v>917359048</v>
      </c>
      <c r="U96" s="201">
        <v>-6406708234</v>
      </c>
      <c r="V96" s="221">
        <f t="shared" si="15"/>
        <v>1.0151527517995433E-3</v>
      </c>
      <c r="W96" s="201"/>
      <c r="X96" s="208"/>
      <c r="Z96" s="208"/>
      <c r="AA96" s="219"/>
    </row>
    <row r="97" spans="2:27" ht="30" customHeight="1" x14ac:dyDescent="0.25">
      <c r="B97" s="186" t="s">
        <v>170</v>
      </c>
      <c r="C97" s="176"/>
      <c r="D97" s="204">
        <v>0</v>
      </c>
      <c r="E97" s="199"/>
      <c r="F97" s="201">
        <v>0</v>
      </c>
      <c r="G97" s="201"/>
      <c r="H97" s="201">
        <v>0</v>
      </c>
      <c r="I97" s="201"/>
      <c r="J97" s="201">
        <f t="shared" si="11"/>
        <v>0</v>
      </c>
      <c r="K97" s="201"/>
      <c r="L97" s="221">
        <f t="shared" si="14"/>
        <v>0</v>
      </c>
      <c r="M97" s="201"/>
      <c r="N97" s="201">
        <v>0</v>
      </c>
      <c r="O97" s="201"/>
      <c r="P97" s="201">
        <v>0</v>
      </c>
      <c r="Q97" s="201"/>
      <c r="R97" s="201">
        <v>257545772</v>
      </c>
      <c r="S97" s="201">
        <v>2034570901</v>
      </c>
      <c r="T97" s="201">
        <f t="shared" si="7"/>
        <v>257545772</v>
      </c>
      <c r="U97" s="201">
        <v>-38135827</v>
      </c>
      <c r="V97" s="221">
        <f t="shared" si="15"/>
        <v>2.8500105790654149E-4</v>
      </c>
      <c r="W97" s="201"/>
      <c r="X97" s="208"/>
      <c r="Z97" s="208"/>
      <c r="AA97" s="219"/>
    </row>
    <row r="98" spans="2:27" ht="30" customHeight="1" x14ac:dyDescent="0.25">
      <c r="B98" s="186" t="s">
        <v>127</v>
      </c>
      <c r="C98" s="176"/>
      <c r="D98" s="204">
        <v>576561</v>
      </c>
      <c r="E98" s="199"/>
      <c r="F98" s="201">
        <v>1858873</v>
      </c>
      <c r="G98" s="201"/>
      <c r="H98" s="201">
        <v>0</v>
      </c>
      <c r="I98" s="201"/>
      <c r="J98" s="201">
        <f t="shared" si="11"/>
        <v>2435434</v>
      </c>
      <c r="K98" s="201"/>
      <c r="L98" s="221">
        <f t="shared" si="14"/>
        <v>3.3149227366630677E-6</v>
      </c>
      <c r="M98" s="201"/>
      <c r="N98" s="201">
        <v>576561</v>
      </c>
      <c r="O98" s="201"/>
      <c r="P98" s="201">
        <v>-2938036</v>
      </c>
      <c r="Q98" s="201"/>
      <c r="R98" s="201">
        <v>-4741243411</v>
      </c>
      <c r="S98" s="201">
        <v>-2558077316</v>
      </c>
      <c r="T98" s="201">
        <f t="shared" si="7"/>
        <v>-4743604886</v>
      </c>
      <c r="U98" s="201">
        <v>-2724766700</v>
      </c>
      <c r="V98" s="221">
        <f t="shared" si="15"/>
        <v>-5.2492898652618499E-3</v>
      </c>
      <c r="W98" s="201"/>
      <c r="X98" s="208"/>
      <c r="Z98" s="208"/>
      <c r="AA98" s="219"/>
    </row>
    <row r="99" spans="2:27" ht="30" customHeight="1" x14ac:dyDescent="0.25">
      <c r="B99" s="186" t="s">
        <v>162</v>
      </c>
      <c r="C99" s="176"/>
      <c r="D99" s="204">
        <v>0</v>
      </c>
      <c r="E99" s="199"/>
      <c r="F99" s="201">
        <v>0</v>
      </c>
      <c r="G99" s="201"/>
      <c r="H99" s="201">
        <v>0</v>
      </c>
      <c r="I99" s="201"/>
      <c r="J99" s="201">
        <f t="shared" si="11"/>
        <v>0</v>
      </c>
      <c r="K99" s="201"/>
      <c r="L99" s="221">
        <f t="shared" si="14"/>
        <v>0</v>
      </c>
      <c r="M99" s="201"/>
      <c r="N99" s="201">
        <v>0</v>
      </c>
      <c r="O99" s="201"/>
      <c r="P99" s="201">
        <v>0</v>
      </c>
      <c r="Q99" s="201"/>
      <c r="R99" s="201">
        <v>1026553445</v>
      </c>
      <c r="S99" s="201">
        <v>-4335963253</v>
      </c>
      <c r="T99" s="201">
        <f t="shared" si="7"/>
        <v>1026553445</v>
      </c>
      <c r="U99" s="201">
        <v>-6227581911</v>
      </c>
      <c r="V99" s="221">
        <f t="shared" si="15"/>
        <v>1.1359876559053146E-3</v>
      </c>
      <c r="W99" s="201"/>
      <c r="X99" s="208"/>
      <c r="Z99" s="208"/>
      <c r="AA99" s="219"/>
    </row>
    <row r="100" spans="2:27" ht="30" customHeight="1" x14ac:dyDescent="0.25">
      <c r="B100" s="186" t="s">
        <v>175</v>
      </c>
      <c r="C100" s="176"/>
      <c r="D100" s="204">
        <v>0</v>
      </c>
      <c r="E100" s="199"/>
      <c r="F100" s="201">
        <v>0</v>
      </c>
      <c r="G100" s="201"/>
      <c r="H100" s="201">
        <v>0</v>
      </c>
      <c r="I100" s="201"/>
      <c r="J100" s="201">
        <f t="shared" si="11"/>
        <v>0</v>
      </c>
      <c r="K100" s="201"/>
      <c r="L100" s="221">
        <f t="shared" si="14"/>
        <v>0</v>
      </c>
      <c r="M100" s="201"/>
      <c r="N100" s="201">
        <v>0</v>
      </c>
      <c r="O100" s="201"/>
      <c r="P100" s="201">
        <v>0</v>
      </c>
      <c r="Q100" s="201"/>
      <c r="R100" s="201">
        <v>-1161777565</v>
      </c>
      <c r="S100" s="201">
        <v>4030409699</v>
      </c>
      <c r="T100" s="201">
        <f t="shared" si="7"/>
        <v>-1161777565</v>
      </c>
      <c r="U100" s="201">
        <v>-5297936693</v>
      </c>
      <c r="V100" s="221">
        <f t="shared" si="15"/>
        <v>-1.2856271431125872E-3</v>
      </c>
      <c r="W100" s="201"/>
      <c r="X100" s="208"/>
      <c r="Z100" s="208"/>
      <c r="AA100" s="219"/>
    </row>
    <row r="101" spans="2:27" ht="30" customHeight="1" x14ac:dyDescent="0.25">
      <c r="B101" s="186" t="s">
        <v>116</v>
      </c>
      <c r="C101" s="176"/>
      <c r="D101" s="204">
        <v>0</v>
      </c>
      <c r="E101" s="199"/>
      <c r="F101" s="201">
        <v>198173808000</v>
      </c>
      <c r="G101" s="201"/>
      <c r="H101" s="201">
        <v>0</v>
      </c>
      <c r="I101" s="201"/>
      <c r="J101" s="201">
        <f t="shared" si="11"/>
        <v>198173808000</v>
      </c>
      <c r="K101" s="201"/>
      <c r="L101" s="221">
        <f t="shared" si="14"/>
        <v>0.26973872498712809</v>
      </c>
      <c r="M101" s="201"/>
      <c r="N101" s="201">
        <v>54648000000</v>
      </c>
      <c r="O101" s="201"/>
      <c r="P101" s="201">
        <v>159805718557</v>
      </c>
      <c r="Q101" s="201"/>
      <c r="R101" s="201">
        <v>-2880009787</v>
      </c>
      <c r="S101" s="201">
        <v>97323992</v>
      </c>
      <c r="T101" s="201">
        <f t="shared" si="7"/>
        <v>211573708770</v>
      </c>
      <c r="U101" s="201">
        <v>-3934274351</v>
      </c>
      <c r="V101" s="221">
        <f t="shared" si="15"/>
        <v>0.23412821090559588</v>
      </c>
      <c r="W101" s="201"/>
      <c r="X101" s="208"/>
      <c r="Z101" s="208"/>
      <c r="AA101" s="219"/>
    </row>
    <row r="102" spans="2:27" ht="30" customHeight="1" x14ac:dyDescent="0.25">
      <c r="B102" s="186" t="s">
        <v>182</v>
      </c>
      <c r="C102" s="176"/>
      <c r="D102" s="204">
        <v>0</v>
      </c>
      <c r="E102" s="199"/>
      <c r="F102" s="201">
        <v>0</v>
      </c>
      <c r="G102" s="201"/>
      <c r="H102" s="201">
        <v>0</v>
      </c>
      <c r="I102" s="201"/>
      <c r="J102" s="201">
        <f t="shared" si="11"/>
        <v>0</v>
      </c>
      <c r="K102" s="201"/>
      <c r="L102" s="221">
        <f t="shared" si="14"/>
        <v>0</v>
      </c>
      <c r="M102" s="201"/>
      <c r="N102" s="201">
        <v>1500000000</v>
      </c>
      <c r="O102" s="201"/>
      <c r="P102" s="201">
        <v>0</v>
      </c>
      <c r="Q102" s="201"/>
      <c r="R102" s="201">
        <v>-21899317781</v>
      </c>
      <c r="S102" s="201">
        <v>29213444160</v>
      </c>
      <c r="T102" s="201">
        <f t="shared" si="7"/>
        <v>-20399317781</v>
      </c>
      <c r="U102" s="201">
        <v>-24909597740</v>
      </c>
      <c r="V102" s="221">
        <f t="shared" si="15"/>
        <v>-2.2573956866031263E-2</v>
      </c>
      <c r="W102" s="201"/>
      <c r="X102" s="208"/>
      <c r="Z102" s="208"/>
      <c r="AA102" s="219"/>
    </row>
    <row r="103" spans="2:27" ht="30" customHeight="1" x14ac:dyDescent="0.25">
      <c r="B103" s="186" t="s">
        <v>113</v>
      </c>
      <c r="C103" s="176"/>
      <c r="D103" s="204">
        <v>0</v>
      </c>
      <c r="E103" s="199"/>
      <c r="F103" s="201">
        <v>11422683171</v>
      </c>
      <c r="G103" s="201"/>
      <c r="H103" s="201">
        <v>0</v>
      </c>
      <c r="I103" s="201"/>
      <c r="J103" s="201">
        <f t="shared" si="11"/>
        <v>11422683171</v>
      </c>
      <c r="K103" s="201"/>
      <c r="L103" s="221">
        <f t="shared" si="14"/>
        <v>1.5547665080329211E-2</v>
      </c>
      <c r="M103" s="201"/>
      <c r="N103" s="201">
        <v>0</v>
      </c>
      <c r="O103" s="201"/>
      <c r="P103" s="201">
        <v>2698580794</v>
      </c>
      <c r="Q103" s="201"/>
      <c r="R103" s="201">
        <v>8828197833</v>
      </c>
      <c r="S103" s="201">
        <v>0</v>
      </c>
      <c r="T103" s="201">
        <f t="shared" si="7"/>
        <v>11526778627</v>
      </c>
      <c r="U103" s="201"/>
      <c r="V103" s="221">
        <f t="shared" si="15"/>
        <v>1.2755573805146806E-2</v>
      </c>
      <c r="W103" s="201"/>
      <c r="X103" s="208"/>
      <c r="Z103" s="208"/>
      <c r="AA103" s="219"/>
    </row>
    <row r="104" spans="2:27" ht="30" customHeight="1" x14ac:dyDescent="0.25">
      <c r="B104" s="186" t="s">
        <v>176</v>
      </c>
      <c r="C104" s="176"/>
      <c r="D104" s="204">
        <v>0</v>
      </c>
      <c r="E104" s="199"/>
      <c r="F104" s="201">
        <v>0</v>
      </c>
      <c r="G104" s="201"/>
      <c r="H104" s="201">
        <v>0</v>
      </c>
      <c r="I104" s="201"/>
      <c r="J104" s="201">
        <f t="shared" si="11"/>
        <v>0</v>
      </c>
      <c r="K104" s="201"/>
      <c r="L104" s="221">
        <f t="shared" si="14"/>
        <v>0</v>
      </c>
      <c r="M104" s="201"/>
      <c r="N104" s="201">
        <v>0</v>
      </c>
      <c r="O104" s="201"/>
      <c r="P104" s="201">
        <v>0</v>
      </c>
      <c r="Q104" s="201"/>
      <c r="R104" s="201">
        <v>24903138035</v>
      </c>
      <c r="S104" s="201">
        <v>0</v>
      </c>
      <c r="T104" s="201">
        <f t="shared" si="7"/>
        <v>24903138035</v>
      </c>
      <c r="U104" s="201"/>
      <c r="V104" s="221">
        <f t="shared" si="15"/>
        <v>2.7557900213433247E-2</v>
      </c>
      <c r="W104" s="99"/>
      <c r="Y104" s="196"/>
      <c r="AA104" s="196"/>
    </row>
    <row r="105" spans="2:27" ht="30" customHeight="1" x14ac:dyDescent="0.25">
      <c r="B105" s="186" t="s">
        <v>169</v>
      </c>
      <c r="C105" s="176"/>
      <c r="D105" s="204">
        <v>0</v>
      </c>
      <c r="E105" s="199"/>
      <c r="F105" s="201">
        <v>0</v>
      </c>
      <c r="G105" s="201"/>
      <c r="H105" s="201">
        <v>0</v>
      </c>
      <c r="I105" s="201"/>
      <c r="J105" s="201">
        <f t="shared" si="11"/>
        <v>0</v>
      </c>
      <c r="K105" s="201"/>
      <c r="L105" s="221">
        <f t="shared" si="14"/>
        <v>0</v>
      </c>
      <c r="M105" s="201"/>
      <c r="N105" s="201">
        <v>700000000</v>
      </c>
      <c r="O105" s="201"/>
      <c r="P105" s="201">
        <v>0</v>
      </c>
      <c r="Q105" s="201"/>
      <c r="R105" s="201">
        <v>2132299511</v>
      </c>
      <c r="S105" s="201">
        <v>0</v>
      </c>
      <c r="T105" s="201">
        <f t="shared" si="7"/>
        <v>2832299511</v>
      </c>
      <c r="U105" s="201"/>
      <c r="V105" s="221">
        <f t="shared" si="15"/>
        <v>3.1342326091192058E-3</v>
      </c>
      <c r="Y105" s="196"/>
      <c r="AA105" s="196"/>
    </row>
    <row r="106" spans="2:27" ht="30" customHeight="1" x14ac:dyDescent="0.25">
      <c r="B106" s="186" t="s">
        <v>160</v>
      </c>
      <c r="C106" s="176"/>
      <c r="D106" s="204">
        <v>0</v>
      </c>
      <c r="E106" s="199"/>
      <c r="F106" s="201">
        <v>0</v>
      </c>
      <c r="G106" s="201"/>
      <c r="H106" s="201">
        <v>0</v>
      </c>
      <c r="I106" s="201"/>
      <c r="J106" s="201">
        <f t="shared" si="11"/>
        <v>0</v>
      </c>
      <c r="K106" s="201"/>
      <c r="L106" s="221">
        <f t="shared" si="14"/>
        <v>0</v>
      </c>
      <c r="M106" s="201"/>
      <c r="N106" s="201">
        <v>0</v>
      </c>
      <c r="O106" s="201"/>
      <c r="P106" s="201">
        <v>0</v>
      </c>
      <c r="Q106" s="201"/>
      <c r="R106" s="201">
        <v>1644814375</v>
      </c>
      <c r="S106" s="201">
        <v>0</v>
      </c>
      <c r="T106" s="201">
        <f t="shared" si="7"/>
        <v>1644814375</v>
      </c>
      <c r="U106" s="201"/>
      <c r="V106" s="221">
        <f>T106/$X$12</f>
        <v>1.8201573774423556E-3</v>
      </c>
      <c r="Y106" s="196"/>
      <c r="AA106" s="196"/>
    </row>
    <row r="107" spans="2:27" ht="30" customHeight="1" x14ac:dyDescent="0.25">
      <c r="B107" s="186" t="s">
        <v>174</v>
      </c>
      <c r="C107" s="176"/>
      <c r="D107" s="201">
        <v>0</v>
      </c>
      <c r="E107" s="199"/>
      <c r="F107" s="201">
        <v>0</v>
      </c>
      <c r="G107" s="201"/>
      <c r="H107" s="201">
        <v>0</v>
      </c>
      <c r="I107" s="201"/>
      <c r="J107" s="201">
        <f t="shared" si="11"/>
        <v>0</v>
      </c>
      <c r="K107" s="201"/>
      <c r="L107" s="221">
        <f t="shared" si="14"/>
        <v>0</v>
      </c>
      <c r="M107" s="201"/>
      <c r="N107" s="201">
        <v>48175036</v>
      </c>
      <c r="O107" s="201"/>
      <c r="P107" s="201">
        <v>0</v>
      </c>
      <c r="Q107" s="201"/>
      <c r="R107" s="201">
        <v>1487118809</v>
      </c>
      <c r="S107" s="201">
        <v>0</v>
      </c>
      <c r="T107" s="201">
        <f t="shared" si="7"/>
        <v>1535293845</v>
      </c>
      <c r="U107" s="201"/>
      <c r="V107" s="221">
        <f>T107/$X$12</f>
        <v>1.6989615734107322E-3</v>
      </c>
      <c r="Y107" s="196"/>
      <c r="AA107" s="196"/>
    </row>
    <row r="108" spans="2:27" ht="30" customHeight="1" x14ac:dyDescent="0.25">
      <c r="B108" s="186" t="s">
        <v>145</v>
      </c>
      <c r="C108" s="176"/>
      <c r="D108" s="201">
        <v>0</v>
      </c>
      <c r="E108" s="199"/>
      <c r="F108" s="201">
        <v>0</v>
      </c>
      <c r="G108" s="201"/>
      <c r="H108" s="201">
        <v>0</v>
      </c>
      <c r="I108" s="201"/>
      <c r="J108" s="201">
        <f t="shared" si="11"/>
        <v>0</v>
      </c>
      <c r="K108" s="201"/>
      <c r="L108" s="221">
        <f t="shared" si="14"/>
        <v>0</v>
      </c>
      <c r="M108" s="201"/>
      <c r="N108" s="201">
        <v>0</v>
      </c>
      <c r="O108" s="201"/>
      <c r="P108" s="201">
        <v>0</v>
      </c>
      <c r="Q108" s="201"/>
      <c r="R108" s="201">
        <v>1937265303</v>
      </c>
      <c r="S108" s="201"/>
      <c r="T108" s="201">
        <f t="shared" si="7"/>
        <v>1937265303</v>
      </c>
      <c r="U108" s="201"/>
      <c r="V108" s="221">
        <f t="shared" ref="V108:V115" si="16">T108/$X$12</f>
        <v>2.1437846038514529E-3</v>
      </c>
      <c r="Y108" s="196"/>
      <c r="AA108" s="196"/>
    </row>
    <row r="109" spans="2:27" ht="30" customHeight="1" x14ac:dyDescent="0.25">
      <c r="B109" s="186" t="s">
        <v>207</v>
      </c>
      <c r="C109" s="176"/>
      <c r="D109" s="201">
        <v>0</v>
      </c>
      <c r="E109" s="199"/>
      <c r="F109" s="201">
        <v>0</v>
      </c>
      <c r="G109" s="201"/>
      <c r="H109" s="201">
        <v>0</v>
      </c>
      <c r="I109" s="201"/>
      <c r="J109" s="201">
        <f t="shared" si="11"/>
        <v>0</v>
      </c>
      <c r="K109" s="201"/>
      <c r="L109" s="221">
        <f t="shared" si="14"/>
        <v>0</v>
      </c>
      <c r="M109" s="201"/>
      <c r="N109" s="201">
        <v>0</v>
      </c>
      <c r="O109" s="201"/>
      <c r="P109" s="201">
        <v>0</v>
      </c>
      <c r="Q109" s="201"/>
      <c r="R109" s="201">
        <v>1212931406</v>
      </c>
      <c r="S109" s="201"/>
      <c r="T109" s="201">
        <f t="shared" si="7"/>
        <v>1212931406</v>
      </c>
      <c r="U109" s="201"/>
      <c r="V109" s="221">
        <f t="shared" si="16"/>
        <v>1.3422341636346829E-3</v>
      </c>
      <c r="Y109" s="196"/>
      <c r="AA109" s="196"/>
    </row>
    <row r="110" spans="2:27" ht="30" customHeight="1" x14ac:dyDescent="0.25">
      <c r="B110" s="186" t="s">
        <v>186</v>
      </c>
      <c r="C110" s="176"/>
      <c r="D110" s="201">
        <v>0</v>
      </c>
      <c r="E110" s="199"/>
      <c r="F110" s="201">
        <v>18668259000</v>
      </c>
      <c r="G110" s="201"/>
      <c r="H110" s="201">
        <v>0</v>
      </c>
      <c r="I110" s="201"/>
      <c r="J110" s="201">
        <f t="shared" si="11"/>
        <v>18668259000</v>
      </c>
      <c r="K110" s="201"/>
      <c r="L110" s="221">
        <f t="shared" si="14"/>
        <v>2.5409777564497721E-2</v>
      </c>
      <c r="M110" s="201"/>
      <c r="N110" s="201">
        <v>0</v>
      </c>
      <c r="O110" s="201"/>
      <c r="P110" s="201">
        <v>11283324232</v>
      </c>
      <c r="Q110" s="201"/>
      <c r="R110" s="201">
        <v>6910941667</v>
      </c>
      <c r="S110" s="201"/>
      <c r="T110" s="201">
        <f t="shared" si="7"/>
        <v>18194265899</v>
      </c>
      <c r="U110" s="201"/>
      <c r="V110" s="221">
        <f t="shared" si="16"/>
        <v>2.013383869119743E-2</v>
      </c>
      <c r="Y110" s="196"/>
      <c r="AA110" s="196"/>
    </row>
    <row r="111" spans="2:27" ht="30" customHeight="1" x14ac:dyDescent="0.25">
      <c r="B111" s="186" t="s">
        <v>168</v>
      </c>
      <c r="C111" s="176"/>
      <c r="D111" s="201">
        <v>0</v>
      </c>
      <c r="E111" s="199"/>
      <c r="F111" s="201">
        <v>413516993</v>
      </c>
      <c r="G111" s="201"/>
      <c r="H111" s="201">
        <v>0</v>
      </c>
      <c r="I111" s="201"/>
      <c r="J111" s="201">
        <f t="shared" si="11"/>
        <v>413516993</v>
      </c>
      <c r="K111" s="201"/>
      <c r="L111" s="221">
        <f t="shared" si="14"/>
        <v>5.628470663102521E-4</v>
      </c>
      <c r="M111" s="201"/>
      <c r="N111" s="201">
        <v>1160000</v>
      </c>
      <c r="O111" s="201"/>
      <c r="P111" s="201">
        <v>416330155</v>
      </c>
      <c r="Q111" s="201"/>
      <c r="R111" s="201">
        <v>0</v>
      </c>
      <c r="S111" s="201"/>
      <c r="T111" s="201">
        <f t="shared" si="7"/>
        <v>417490155</v>
      </c>
      <c r="U111" s="201"/>
      <c r="V111" s="221">
        <f t="shared" si="16"/>
        <v>4.6199607516976039E-4</v>
      </c>
      <c r="Y111" s="196"/>
      <c r="AA111" s="196"/>
    </row>
    <row r="112" spans="2:27" ht="30" customHeight="1" x14ac:dyDescent="0.25">
      <c r="B112" s="186" t="s">
        <v>202</v>
      </c>
      <c r="C112" s="176"/>
      <c r="D112" s="201">
        <v>0</v>
      </c>
      <c r="E112" s="199"/>
      <c r="F112" s="201">
        <v>7793351999</v>
      </c>
      <c r="G112" s="201"/>
      <c r="H112" s="201">
        <v>0</v>
      </c>
      <c r="I112" s="201"/>
      <c r="J112" s="201">
        <f t="shared" si="11"/>
        <v>7793351999</v>
      </c>
      <c r="K112" s="201"/>
      <c r="L112" s="221">
        <f t="shared" si="14"/>
        <v>1.0607702666672006E-2</v>
      </c>
      <c r="M112" s="201"/>
      <c r="N112" s="201">
        <v>0</v>
      </c>
      <c r="O112" s="201"/>
      <c r="P112" s="201">
        <v>-15915965876</v>
      </c>
      <c r="Q112" s="201"/>
      <c r="R112" s="201">
        <v>0</v>
      </c>
      <c r="S112" s="201"/>
      <c r="T112" s="201">
        <f t="shared" si="7"/>
        <v>-15915965876</v>
      </c>
      <c r="U112" s="201"/>
      <c r="V112" s="221">
        <f t="shared" si="16"/>
        <v>-1.7612663865685257E-2</v>
      </c>
      <c r="X112" s="284"/>
      <c r="Y112" s="196"/>
      <c r="AA112" s="196"/>
    </row>
    <row r="113" spans="2:27" ht="30" customHeight="1" x14ac:dyDescent="0.25">
      <c r="B113" s="186" t="s">
        <v>198</v>
      </c>
      <c r="C113" s="176"/>
      <c r="D113" s="201">
        <v>0</v>
      </c>
      <c r="E113" s="199"/>
      <c r="F113" s="201">
        <v>95728605</v>
      </c>
      <c r="G113" s="201"/>
      <c r="H113" s="201">
        <v>0</v>
      </c>
      <c r="I113" s="201"/>
      <c r="J113" s="201">
        <f t="shared" si="11"/>
        <v>95728605</v>
      </c>
      <c r="K113" s="201"/>
      <c r="L113" s="221">
        <f t="shared" si="14"/>
        <v>1.3029830792521491E-4</v>
      </c>
      <c r="M113" s="201"/>
      <c r="N113" s="308">
        <v>0</v>
      </c>
      <c r="O113" s="308"/>
      <c r="P113" s="287">
        <v>211686087</v>
      </c>
      <c r="Q113" s="287"/>
      <c r="R113" s="287">
        <v>0</v>
      </c>
      <c r="S113" s="287"/>
      <c r="T113" s="287">
        <f t="shared" si="7"/>
        <v>211686087</v>
      </c>
      <c r="U113" s="201"/>
      <c r="V113" s="221">
        <f t="shared" si="16"/>
        <v>2.3425256905050716E-4</v>
      </c>
      <c r="Y113" s="196"/>
      <c r="AA113" s="196"/>
    </row>
    <row r="114" spans="2:27" ht="30" customHeight="1" x14ac:dyDescent="0.25">
      <c r="B114" s="186" t="s">
        <v>243</v>
      </c>
      <c r="C114" s="176"/>
      <c r="D114" s="201">
        <v>0</v>
      </c>
      <c r="E114" s="199"/>
      <c r="F114" s="201">
        <v>2610727742</v>
      </c>
      <c r="G114" s="201"/>
      <c r="H114" s="201">
        <v>0</v>
      </c>
      <c r="I114" s="201"/>
      <c r="J114" s="201">
        <f t="shared" si="11"/>
        <v>2610727742</v>
      </c>
      <c r="K114" s="201"/>
      <c r="L114" s="221">
        <f t="shared" si="14"/>
        <v>3.5535189010225E-3</v>
      </c>
      <c r="M114" s="201"/>
      <c r="N114" s="201">
        <v>0</v>
      </c>
      <c r="O114" s="201"/>
      <c r="P114" s="201">
        <v>2610727742</v>
      </c>
      <c r="Q114" s="201"/>
      <c r="R114" s="201">
        <v>0</v>
      </c>
      <c r="S114" s="201"/>
      <c r="T114" s="201">
        <f t="shared" si="7"/>
        <v>2610727742</v>
      </c>
      <c r="U114" s="201"/>
      <c r="V114" s="221">
        <f t="shared" si="16"/>
        <v>2.8890405095679701E-3</v>
      </c>
      <c r="Y114" s="196"/>
      <c r="AA114" s="196"/>
    </row>
    <row r="115" spans="2:27" ht="30" customHeight="1" x14ac:dyDescent="0.25">
      <c r="B115" s="186" t="s">
        <v>244</v>
      </c>
      <c r="C115" s="176"/>
      <c r="D115" s="201">
        <v>0</v>
      </c>
      <c r="E115" s="199"/>
      <c r="F115" s="201">
        <v>3794071188</v>
      </c>
      <c r="G115" s="201"/>
      <c r="H115" s="201">
        <v>0</v>
      </c>
      <c r="I115" s="201"/>
      <c r="J115" s="201">
        <f t="shared" si="11"/>
        <v>3794071188</v>
      </c>
      <c r="K115" s="201"/>
      <c r="L115" s="221">
        <f t="shared" si="14"/>
        <v>5.1641936696373032E-3</v>
      </c>
      <c r="M115" s="201"/>
      <c r="N115" s="201">
        <v>0</v>
      </c>
      <c r="O115" s="201"/>
      <c r="P115" s="201">
        <v>3794071188</v>
      </c>
      <c r="Q115" s="201"/>
      <c r="R115" s="201">
        <v>0</v>
      </c>
      <c r="S115" s="201"/>
      <c r="T115" s="201">
        <f t="shared" si="7"/>
        <v>3794071188</v>
      </c>
      <c r="U115" s="201"/>
      <c r="V115" s="221">
        <f t="shared" si="16"/>
        <v>4.1985325325112639E-3</v>
      </c>
      <c r="Y115" s="196"/>
      <c r="AA115" s="196"/>
    </row>
    <row r="116" spans="2:27" ht="30" customHeight="1" thickBot="1" x14ac:dyDescent="0.3">
      <c r="B116" s="186" t="s">
        <v>248</v>
      </c>
      <c r="C116" s="176"/>
      <c r="D116" s="204">
        <v>0</v>
      </c>
      <c r="E116" s="199"/>
      <c r="F116" s="201">
        <v>25652880019</v>
      </c>
      <c r="G116" s="201"/>
      <c r="H116" s="201">
        <v>0</v>
      </c>
      <c r="I116" s="201"/>
      <c r="J116" s="201">
        <f t="shared" si="11"/>
        <v>25652880019</v>
      </c>
      <c r="K116" s="201"/>
      <c r="L116" s="221">
        <f>-J116/$G$126</f>
        <v>3.4916698722228898E-2</v>
      </c>
      <c r="M116" s="201"/>
      <c r="N116" s="201">
        <v>0</v>
      </c>
      <c r="O116" s="201"/>
      <c r="P116" s="201">
        <v>25652880019</v>
      </c>
      <c r="Q116" s="201"/>
      <c r="R116" s="201">
        <v>0</v>
      </c>
      <c r="S116" s="201">
        <v>0</v>
      </c>
      <c r="T116" s="201">
        <f t="shared" si="7"/>
        <v>25652880019</v>
      </c>
      <c r="U116" s="201"/>
      <c r="V116" s="221">
        <f>T116/$X$12</f>
        <v>2.8387567332165638E-2</v>
      </c>
      <c r="W116" s="219"/>
      <c r="Y116" s="196"/>
      <c r="AA116" s="196"/>
    </row>
    <row r="117" spans="2:27" ht="30" customHeight="1" thickBot="1" x14ac:dyDescent="0.3">
      <c r="B117" s="211" t="s">
        <v>7</v>
      </c>
      <c r="D117" s="61">
        <f>SUM(D80:D116)</f>
        <v>140125388740</v>
      </c>
      <c r="F117" s="61">
        <f>SUM(F80:F116)</f>
        <v>1149352814726</v>
      </c>
      <c r="G117" s="205"/>
      <c r="H117" s="61">
        <f>SUM(H80:H116)</f>
        <v>47079786797</v>
      </c>
      <c r="I117" s="205"/>
      <c r="J117" s="61">
        <f>SUM(J80:J116)</f>
        <v>1336557990263</v>
      </c>
      <c r="K117" s="61"/>
      <c r="L117" s="109">
        <f>SUM(L80:L116)</f>
        <v>1.819218451738587</v>
      </c>
      <c r="M117" s="205"/>
      <c r="N117" s="61">
        <f>SUM(N80:N116)</f>
        <v>557027855764</v>
      </c>
      <c r="O117" s="205"/>
      <c r="P117" s="61">
        <f>SUM(P80:P116)</f>
        <v>284641896690</v>
      </c>
      <c r="Q117" s="205"/>
      <c r="R117" s="61">
        <f>SUM(R80:R116)</f>
        <v>-17288862901</v>
      </c>
      <c r="S117" s="205"/>
      <c r="T117" s="61">
        <f>SUM(T80:T116)</f>
        <v>824380889553</v>
      </c>
      <c r="U117" s="61"/>
      <c r="V117" s="109">
        <f>SUM(V80:V116)</f>
        <v>0.91226279436084357</v>
      </c>
      <c r="X117" s="196"/>
      <c r="Y117" s="196"/>
      <c r="AA117" s="196"/>
    </row>
    <row r="118" spans="2:27" ht="30" customHeight="1" thickTop="1" x14ac:dyDescent="0.25">
      <c r="B118" s="211"/>
      <c r="D118" s="309"/>
      <c r="F118" s="309"/>
      <c r="G118" s="205"/>
      <c r="H118" s="309"/>
      <c r="I118" s="205"/>
      <c r="J118" s="309"/>
      <c r="K118" s="309"/>
      <c r="L118" s="129"/>
      <c r="M118" s="205"/>
      <c r="N118" s="309"/>
      <c r="O118" s="205"/>
      <c r="P118" s="309"/>
      <c r="Q118" s="309"/>
      <c r="R118" s="309"/>
      <c r="S118" s="205"/>
      <c r="T118" s="309"/>
      <c r="U118" s="309"/>
      <c r="V118" s="129"/>
      <c r="W118" s="286"/>
      <c r="X118" s="196"/>
      <c r="Y118" s="196"/>
      <c r="AA118" s="196"/>
    </row>
    <row r="119" spans="2:27" ht="30" customHeight="1" x14ac:dyDescent="0.25">
      <c r="B119" s="211"/>
      <c r="D119" s="309"/>
      <c r="F119" s="309"/>
      <c r="G119" s="205"/>
      <c r="H119" s="196"/>
      <c r="I119" s="205"/>
      <c r="J119" s="309"/>
      <c r="K119" s="309"/>
      <c r="L119" s="129"/>
      <c r="M119" s="205"/>
      <c r="N119" s="309"/>
      <c r="O119" s="205"/>
      <c r="P119" s="309"/>
      <c r="Q119" s="205"/>
      <c r="R119" s="309"/>
      <c r="S119" s="205"/>
      <c r="T119" s="309"/>
      <c r="U119" s="309"/>
      <c r="V119" s="129"/>
      <c r="W119" s="286"/>
      <c r="X119" s="196"/>
      <c r="Y119" s="196"/>
      <c r="AA119" s="196"/>
    </row>
    <row r="120" spans="2:27" ht="30" customHeight="1" x14ac:dyDescent="0.25">
      <c r="B120" s="211"/>
      <c r="D120" s="309"/>
      <c r="E120" s="309"/>
      <c r="F120" s="309"/>
      <c r="G120" s="309"/>
      <c r="H120" s="309"/>
      <c r="I120" s="309"/>
      <c r="J120" s="309"/>
      <c r="K120" s="309"/>
      <c r="L120" s="309"/>
      <c r="M120" s="309"/>
      <c r="N120" s="309"/>
      <c r="O120" s="309"/>
      <c r="P120" s="309"/>
      <c r="Q120" s="309"/>
      <c r="R120" s="309"/>
      <c r="S120" s="309"/>
      <c r="T120" s="309"/>
      <c r="U120" s="309"/>
      <c r="V120" s="129"/>
      <c r="W120" s="286"/>
      <c r="X120" s="196"/>
      <c r="Y120" s="196"/>
      <c r="AA120" s="196"/>
    </row>
    <row r="121" spans="2:27" ht="30" customHeight="1" x14ac:dyDescent="0.25">
      <c r="B121" s="211"/>
      <c r="D121" s="309"/>
      <c r="F121" s="309"/>
      <c r="G121" s="205"/>
      <c r="H121" s="309"/>
      <c r="I121" s="205"/>
      <c r="J121" s="309"/>
      <c r="K121" s="309"/>
      <c r="L121" s="129"/>
      <c r="M121" s="205"/>
      <c r="N121" s="309"/>
      <c r="O121" s="205"/>
      <c r="P121" s="309"/>
      <c r="Q121" s="205"/>
      <c r="R121" s="309"/>
      <c r="S121" s="205"/>
      <c r="T121" s="309"/>
      <c r="U121" s="309"/>
      <c r="V121" s="129"/>
      <c r="W121" s="286"/>
      <c r="X121" s="196"/>
      <c r="Y121" s="196"/>
      <c r="AA121" s="196"/>
    </row>
    <row r="122" spans="2:27" ht="30" customHeight="1" x14ac:dyDescent="0.25">
      <c r="B122" s="205"/>
      <c r="C122" s="264"/>
      <c r="D122" s="205"/>
      <c r="E122" s="309"/>
      <c r="F122" s="309"/>
      <c r="G122" s="129"/>
      <c r="H122" s="310"/>
      <c r="I122" s="309"/>
      <c r="J122" s="205"/>
      <c r="K122" s="309"/>
      <c r="L122" s="205"/>
      <c r="M122" s="309"/>
      <c r="N122" s="205"/>
      <c r="O122" s="309"/>
      <c r="P122" s="309"/>
      <c r="Q122" s="129"/>
      <c r="R122" s="219"/>
      <c r="S122" s="196"/>
      <c r="T122" s="196"/>
      <c r="U122" s="194"/>
      <c r="V122" s="196"/>
    </row>
    <row r="123" spans="2:27" ht="36" hidden="1" customHeight="1" x14ac:dyDescent="0.25">
      <c r="B123" s="194"/>
      <c r="C123" s="224">
        <v>-141115264157</v>
      </c>
      <c r="I123" s="224"/>
      <c r="K123" s="196"/>
      <c r="M123" s="224"/>
      <c r="O123" s="103"/>
      <c r="P123" s="103"/>
      <c r="Q123" s="225"/>
      <c r="S123" s="196"/>
      <c r="T123" s="196"/>
      <c r="U123" s="194"/>
      <c r="V123" s="196"/>
    </row>
    <row r="124" spans="2:27" ht="36" hidden="1" customHeight="1" x14ac:dyDescent="0.25">
      <c r="B124" s="194"/>
      <c r="C124" s="224">
        <v>495943397</v>
      </c>
      <c r="I124" s="224"/>
      <c r="K124" s="226"/>
      <c r="M124" s="224"/>
      <c r="O124" s="103"/>
      <c r="P124" s="103"/>
      <c r="Q124" s="225"/>
      <c r="S124" s="196"/>
      <c r="T124" s="196"/>
      <c r="U124" s="194"/>
      <c r="V124" s="196"/>
    </row>
    <row r="125" spans="2:27" ht="36" hidden="1" customHeight="1" x14ac:dyDescent="0.25">
      <c r="B125" s="194"/>
      <c r="C125" s="224">
        <v>3262800118</v>
      </c>
      <c r="E125" s="219"/>
      <c r="F125" s="219"/>
      <c r="G125" s="219"/>
      <c r="I125" s="228"/>
      <c r="J125" s="60"/>
      <c r="K125" s="227"/>
      <c r="L125" s="60"/>
      <c r="M125" s="229"/>
      <c r="N125" s="60"/>
      <c r="O125" s="60"/>
      <c r="P125" s="103"/>
      <c r="Q125" s="216"/>
      <c r="S125" s="196"/>
      <c r="T125" s="196"/>
      <c r="U125" s="194"/>
      <c r="V125" s="196"/>
    </row>
    <row r="126" spans="2:27" ht="36" hidden="1" customHeight="1" x14ac:dyDescent="0.25">
      <c r="B126" s="196"/>
      <c r="C126" s="224">
        <f>C123-C124-C125</f>
        <v>-144874007672</v>
      </c>
      <c r="G126" s="230">
        <v>-734688013408</v>
      </c>
      <c r="I126" s="224"/>
      <c r="J126" s="196"/>
      <c r="K126" s="226"/>
      <c r="L126" s="196"/>
      <c r="M126" s="224"/>
      <c r="N126" s="196"/>
      <c r="O126" s="196"/>
      <c r="P126" s="103"/>
      <c r="Q126" s="231"/>
      <c r="T126" s="196"/>
      <c r="U126" s="194"/>
      <c r="V126" s="196"/>
    </row>
    <row r="127" spans="2:27" ht="36" hidden="1" customHeight="1" x14ac:dyDescent="0.25">
      <c r="B127" s="194"/>
      <c r="C127" s="224">
        <f>H117-C126</f>
        <v>191953794469</v>
      </c>
      <c r="G127" s="196"/>
      <c r="I127" s="227"/>
      <c r="K127" s="219"/>
      <c r="M127" s="224"/>
      <c r="O127" s="103"/>
      <c r="P127" s="103"/>
      <c r="Q127" s="216"/>
      <c r="T127" s="196"/>
      <c r="U127" s="194"/>
      <c r="V127" s="196"/>
    </row>
    <row r="128" spans="2:27" ht="36" customHeight="1" x14ac:dyDescent="0.25">
      <c r="B128" s="194"/>
      <c r="C128" s="232"/>
      <c r="D128" s="219"/>
      <c r="E128" s="219"/>
      <c r="I128" s="226"/>
      <c r="K128" s="219"/>
      <c r="M128" s="232"/>
      <c r="O128" s="103"/>
      <c r="P128" s="103"/>
      <c r="Q128" s="216"/>
      <c r="R128" s="219"/>
      <c r="T128" s="196"/>
      <c r="U128" s="194"/>
      <c r="V128" s="196"/>
    </row>
    <row r="129" spans="4:29" ht="36" customHeight="1" x14ac:dyDescent="0.25">
      <c r="F129" s="196"/>
      <c r="H129" s="226"/>
      <c r="N129" s="196"/>
      <c r="P129" s="219"/>
      <c r="R129" s="226"/>
      <c r="Y129" s="196"/>
      <c r="AA129" s="196"/>
    </row>
    <row r="130" spans="4:29" ht="36" customHeight="1" x14ac:dyDescent="0.25">
      <c r="D130" s="196"/>
      <c r="J130" s="273"/>
      <c r="K130" s="273"/>
      <c r="L130" s="273"/>
      <c r="Y130" s="196"/>
      <c r="AA130" s="196"/>
    </row>
    <row r="131" spans="4:29" ht="36" customHeight="1" x14ac:dyDescent="0.25">
      <c r="N131" s="196"/>
      <c r="Y131" s="196"/>
      <c r="AA131" s="196"/>
    </row>
    <row r="132" spans="4:29" ht="36" customHeight="1" x14ac:dyDescent="0.25">
      <c r="H132" s="280"/>
      <c r="J132" s="280"/>
      <c r="Y132" s="196"/>
      <c r="AA132" s="196"/>
    </row>
    <row r="133" spans="4:29" ht="36" customHeight="1" x14ac:dyDescent="0.25">
      <c r="N133" s="196"/>
      <c r="AC133" s="196"/>
    </row>
    <row r="134" spans="4:29" ht="36" customHeight="1" x14ac:dyDescent="0.25">
      <c r="N134" s="196"/>
      <c r="AA134" s="196"/>
      <c r="AC134" s="196"/>
    </row>
    <row r="135" spans="4:29" ht="36" customHeight="1" x14ac:dyDescent="0.25">
      <c r="AA135" s="196"/>
    </row>
    <row r="136" spans="4:29" ht="36" customHeight="1" x14ac:dyDescent="0.25">
      <c r="AA136" s="196"/>
    </row>
    <row r="137" spans="4:29" ht="36" customHeight="1" x14ac:dyDescent="0.25">
      <c r="AA137" s="196"/>
    </row>
  </sheetData>
  <mergeCells count="91">
    <mergeCell ref="D7:J7"/>
    <mergeCell ref="M8:M10"/>
    <mergeCell ref="B8:B10"/>
    <mergeCell ref="C8:C10"/>
    <mergeCell ref="E8:E10"/>
    <mergeCell ref="G8:G10"/>
    <mergeCell ref="J8:L9"/>
    <mergeCell ref="B1:V1"/>
    <mergeCell ref="B2:V2"/>
    <mergeCell ref="B3:V3"/>
    <mergeCell ref="D8:D9"/>
    <mergeCell ref="F8:F9"/>
    <mergeCell ref="H8:H9"/>
    <mergeCell ref="N8:N9"/>
    <mergeCell ref="P8:P9"/>
    <mergeCell ref="R8:R9"/>
    <mergeCell ref="T8:V9"/>
    <mergeCell ref="B5:V5"/>
    <mergeCell ref="O8:O10"/>
    <mergeCell ref="Q8:Q10"/>
    <mergeCell ref="S8:S10"/>
    <mergeCell ref="I8:I10"/>
    <mergeCell ref="N7:V7"/>
    <mergeCell ref="B37:V37"/>
    <mergeCell ref="D39:J39"/>
    <mergeCell ref="N39:V39"/>
    <mergeCell ref="B40:B42"/>
    <mergeCell ref="C40:C42"/>
    <mergeCell ref="D40:D41"/>
    <mergeCell ref="E40:E42"/>
    <mergeCell ref="F40:F41"/>
    <mergeCell ref="G40:G42"/>
    <mergeCell ref="H40:H41"/>
    <mergeCell ref="I40:I42"/>
    <mergeCell ref="J40:L41"/>
    <mergeCell ref="M40:M42"/>
    <mergeCell ref="N40:N41"/>
    <mergeCell ref="O40:O42"/>
    <mergeCell ref="P40:P41"/>
    <mergeCell ref="M77:M79"/>
    <mergeCell ref="S77:S79"/>
    <mergeCell ref="T77:V78"/>
    <mergeCell ref="N77:N78"/>
    <mergeCell ref="Q40:Q42"/>
    <mergeCell ref="R40:R41"/>
    <mergeCell ref="S40:S42"/>
    <mergeCell ref="T40:V41"/>
    <mergeCell ref="O77:O79"/>
    <mergeCell ref="P77:P78"/>
    <mergeCell ref="Q77:Q79"/>
    <mergeCell ref="R77:R78"/>
    <mergeCell ref="B74:V74"/>
    <mergeCell ref="D76:J76"/>
    <mergeCell ref="N76:V76"/>
    <mergeCell ref="B77:B79"/>
    <mergeCell ref="H77:H78"/>
    <mergeCell ref="I77:I79"/>
    <mergeCell ref="J77:L78"/>
    <mergeCell ref="C77:C79"/>
    <mergeCell ref="D77:D78"/>
    <mergeCell ref="E77:E79"/>
    <mergeCell ref="F77:F78"/>
    <mergeCell ref="G77:G79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9:C69"/>
    <mergeCell ref="B70:C70"/>
    <mergeCell ref="B71:C71"/>
    <mergeCell ref="B64:C64"/>
    <mergeCell ref="B65:C65"/>
    <mergeCell ref="B66:C66"/>
    <mergeCell ref="B67:C67"/>
    <mergeCell ref="B68:C68"/>
  </mergeCells>
  <hyperlinks>
    <hyperlink ref="D10" location="'درآمد سود سهام'!A1" display="یادداشت 2-1-1" xr:uid="{00000000-0004-0000-0700-000000000000}"/>
    <hyperlink ref="F10" location="'درآمد ناشی از تغییر قیمت اوراق '!A1" display="یادداشت 2-1-2" xr:uid="{00000000-0004-0000-0700-000001000000}"/>
    <hyperlink ref="H10" location="'درآمد ناشی ازفروش'!A1" display="یادداشت 2-1-3" xr:uid="{00000000-0004-0000-0700-000002000000}"/>
    <hyperlink ref="N10" location="'درآمد سود سهام'!A1" display="یادداشت 2-1-1" xr:uid="{00000000-0004-0000-0700-000003000000}"/>
    <hyperlink ref="P10" location="'درآمد ناشی از تغییر قیمت اوراق '!A1" display="یادداشت 2-1-2" xr:uid="{00000000-0004-0000-0700-000004000000}"/>
    <hyperlink ref="R10" location="'درآمد ناشی ازفروش'!A1" display="یادداشت 2-1-3" xr:uid="{00000000-0004-0000-0700-000005000000}"/>
    <hyperlink ref="D42" location="'درآمد سود سهام'!A1" display="یادداشت 2-1-1" xr:uid="{C29E9584-DC28-41C8-8572-B12D440A3192}"/>
    <hyperlink ref="F42" location="'درآمد ناشی از تغییر قیمت اوراق '!A1" display="یادداشت 2-1-2" xr:uid="{384BA02F-CB0B-4C65-AEE4-36269CB76D02}"/>
    <hyperlink ref="H42" location="'درآمد ناشی ازفروش'!A1" display="یادداشت 2-1-3" xr:uid="{041BB4EF-9906-4BFF-8F1E-3D496F8C9415}"/>
    <hyperlink ref="N42" location="'درآمد سود سهام'!A1" display="یادداشت 2-1-1" xr:uid="{6D501F35-BF50-437E-B739-EC9C8B570AA4}"/>
    <hyperlink ref="P42" location="'درآمد ناشی از تغییر قیمت اوراق '!A1" display="یادداشت 2-1-2" xr:uid="{8ECD3202-B22F-4D88-89D4-4F245E391B5B}"/>
    <hyperlink ref="R42" location="'درآمد ناشی ازفروش'!A1" display="یادداشت 2-1-3" xr:uid="{87B03CE5-6A66-43F9-A2C2-FEC8A0128AB9}"/>
    <hyperlink ref="D79" location="'درآمد سود سهام'!A1" display="یادداشت 2-1-1" xr:uid="{CF8085A2-6FA9-4EB4-BFCD-DC18334142B2}"/>
    <hyperlink ref="F79" location="'درآمد ناشی از تغییر قیمت اوراق '!A1" display="یادداشت 2-1-2" xr:uid="{CBB77952-CA42-4DDA-8A5D-FEA17F792437}"/>
    <hyperlink ref="H79" location="'درآمد ناشی ازفروش'!A1" display="یادداشت 2-1-3" xr:uid="{712A21DE-6CA2-4FF9-9699-E92B69F9E018}"/>
    <hyperlink ref="N79" location="'درآمد سود سهام'!A1" display="یادداشت 2-1-1" xr:uid="{665F5D3B-78CF-4008-9451-267047ED79DB}"/>
    <hyperlink ref="P79" location="'درآمد ناشی از تغییر قیمت اوراق '!A1" display="یادداشت 2-1-2" xr:uid="{83929033-AD49-4AE8-BB73-952F5EC8DD29}"/>
    <hyperlink ref="R79" location="'درآمد ناشی ازفروش'!A1" display="یادداشت 2-1-3" xr:uid="{0B288B5E-816F-4862-8B30-E002862EE8A3}"/>
  </hyperlinks>
  <printOptions horizontalCentered="1"/>
  <pageMargins left="0.7" right="0.7" top="0.75" bottom="0.75" header="0.3" footer="0.3"/>
  <pageSetup paperSize="9" scale="38" orientation="landscape" r:id="rId1"/>
  <headerFooter>
    <oddFooter>&amp;C&amp;P</oddFooter>
  </headerFooter>
  <rowBreaks count="2" manualBreakCount="2">
    <brk id="35" max="21" man="1"/>
    <brk id="73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AL67"/>
  <sheetViews>
    <sheetView rightToLeft="1" view="pageBreakPreview" zoomScale="80" zoomScaleNormal="85" zoomScaleSheetLayoutView="80" workbookViewId="0">
      <selection activeCell="B18" sqref="B18"/>
    </sheetView>
  </sheetViews>
  <sheetFormatPr defaultColWidth="9.140625" defaultRowHeight="22.5" x14ac:dyDescent="0.25"/>
  <cols>
    <col min="1" max="1" width="4.140625" style="12" customWidth="1"/>
    <col min="2" max="2" width="30.7109375" style="211" bestFit="1" customWidth="1"/>
    <col min="3" max="3" width="0.85546875" style="12" customWidth="1"/>
    <col min="4" max="4" width="12.7109375" style="12" customWidth="1"/>
    <col min="5" max="5" width="1" style="12" customWidth="1"/>
    <col min="6" max="6" width="16.7109375" style="118" bestFit="1" customWidth="1"/>
    <col min="7" max="7" width="1" style="12" customWidth="1"/>
    <col min="8" max="8" width="9.7109375" style="118" bestFit="1" customWidth="1"/>
    <col min="9" max="9" width="0.85546875" style="12" customWidth="1"/>
    <col min="10" max="10" width="20.7109375" style="118" bestFit="1" customWidth="1"/>
    <col min="11" max="11" width="1" style="12" customWidth="1"/>
    <col min="12" max="12" width="20" style="118" bestFit="1" customWidth="1"/>
    <col min="13" max="13" width="1.140625" style="12" customWidth="1"/>
    <col min="14" max="14" width="21.7109375" style="118" bestFit="1" customWidth="1"/>
    <col min="15" max="15" width="0.85546875" style="12" customWidth="1"/>
    <col min="16" max="16" width="20.7109375" style="118" bestFit="1" customWidth="1"/>
    <col min="17" max="17" width="1" style="12" customWidth="1"/>
    <col min="18" max="18" width="19.28515625" style="118" customWidth="1"/>
    <col min="19" max="19" width="0.7109375" style="12" customWidth="1"/>
    <col min="20" max="20" width="21.85546875" style="118" bestFit="1" customWidth="1"/>
    <col min="21" max="21" width="1.7109375" style="12" customWidth="1"/>
    <col min="22" max="22" width="21.42578125" style="12" bestFit="1" customWidth="1"/>
    <col min="23" max="23" width="16.42578125" style="12" bestFit="1" customWidth="1"/>
    <col min="24" max="24" width="39.85546875" style="12" bestFit="1" customWidth="1"/>
    <col min="25" max="25" width="19.28515625" style="12" bestFit="1" customWidth="1"/>
    <col min="26" max="32" width="18.140625" style="12" customWidth="1"/>
    <col min="33" max="33" width="14.85546875" style="12" bestFit="1" customWidth="1"/>
    <col min="34" max="34" width="56.5703125" style="12" customWidth="1"/>
    <col min="35" max="35" width="28.7109375" style="12" customWidth="1"/>
    <col min="36" max="36" width="18" style="12" bestFit="1" customWidth="1"/>
    <col min="37" max="37" width="18.42578125" style="12" bestFit="1" customWidth="1"/>
    <col min="38" max="38" width="18.7109375" style="12" bestFit="1" customWidth="1"/>
    <col min="39" max="40" width="9.140625" style="12"/>
    <col min="41" max="41" width="20.7109375" style="12" bestFit="1" customWidth="1"/>
    <col min="42" max="16384" width="9.140625" style="12"/>
  </cols>
  <sheetData>
    <row r="1" spans="2:37" ht="24" x14ac:dyDescent="0.25">
      <c r="B1" s="380" t="str">
        <f>درآمدها!A1</f>
        <v>صندوق سرمایه گذاری شاخص سی شرکت بزرگ فیروزه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93"/>
      <c r="O1" s="380"/>
      <c r="P1" s="393"/>
      <c r="Q1" s="380"/>
      <c r="R1" s="393"/>
      <c r="S1" s="380"/>
      <c r="T1" s="393"/>
    </row>
    <row r="2" spans="2:37" ht="24" x14ac:dyDescent="0.25">
      <c r="B2" s="380" t="s">
        <v>88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93"/>
      <c r="O2" s="380"/>
      <c r="P2" s="393"/>
      <c r="Q2" s="380"/>
      <c r="R2" s="393"/>
      <c r="S2" s="380"/>
      <c r="T2" s="393"/>
    </row>
    <row r="3" spans="2:37" ht="24" x14ac:dyDescent="0.25">
      <c r="B3" s="380" t="str">
        <f>' سهام'!AC6</f>
        <v>برای ماه منتهی به 1404/07/30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93"/>
      <c r="O3" s="380"/>
      <c r="P3" s="393"/>
      <c r="Q3" s="380"/>
      <c r="R3" s="393"/>
      <c r="S3" s="380"/>
      <c r="T3" s="393"/>
    </row>
    <row r="4" spans="2:37" ht="24" x14ac:dyDescent="0.25">
      <c r="B4" s="136" t="s">
        <v>97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22"/>
      <c r="O4" s="183"/>
      <c r="P4" s="122"/>
      <c r="Q4" s="183"/>
      <c r="R4" s="122"/>
      <c r="S4" s="183"/>
      <c r="T4" s="122"/>
      <c r="U4" s="183"/>
      <c r="V4" s="183"/>
      <c r="W4" s="183"/>
      <c r="AK4" s="12" t="s">
        <v>225</v>
      </c>
    </row>
    <row r="5" spans="2:37" ht="21" customHeight="1" thickBot="1" x14ac:dyDescent="0.3">
      <c r="D5" s="391" t="s">
        <v>72</v>
      </c>
      <c r="E5" s="391"/>
      <c r="F5" s="391"/>
      <c r="G5" s="391"/>
      <c r="H5" s="391"/>
      <c r="J5" s="391" t="str">
        <f>' سهام'!AC7</f>
        <v>طی مهر ماه</v>
      </c>
      <c r="K5" s="391"/>
      <c r="L5" s="391"/>
      <c r="M5" s="391"/>
      <c r="N5" s="391"/>
      <c r="O5" s="53"/>
      <c r="P5" s="391" t="str">
        <f>' سهام'!AC8</f>
        <v>از ابتدای سال مالی تا پایان مهر ماه</v>
      </c>
      <c r="Q5" s="392"/>
      <c r="R5" s="391"/>
      <c r="S5" s="392"/>
      <c r="T5" s="391"/>
      <c r="U5" s="53"/>
      <c r="V5" s="53"/>
      <c r="W5" s="53"/>
      <c r="AI5" s="12" t="s">
        <v>236</v>
      </c>
    </row>
    <row r="6" spans="2:37" ht="79.5" customHeight="1" thickBot="1" x14ac:dyDescent="0.3">
      <c r="B6" s="212" t="s">
        <v>46</v>
      </c>
      <c r="C6" s="173"/>
      <c r="D6" s="192" t="s">
        <v>143</v>
      </c>
      <c r="E6" s="173"/>
      <c r="F6" s="113" t="s">
        <v>71</v>
      </c>
      <c r="G6" s="173"/>
      <c r="H6" s="113" t="s">
        <v>67</v>
      </c>
      <c r="I6" s="173"/>
      <c r="J6" s="113" t="s">
        <v>68</v>
      </c>
      <c r="K6" s="173"/>
      <c r="L6" s="113" t="s">
        <v>69</v>
      </c>
      <c r="M6" s="173"/>
      <c r="N6" s="113" t="s">
        <v>70</v>
      </c>
      <c r="P6" s="113" t="s">
        <v>68</v>
      </c>
      <c r="Q6" s="173"/>
      <c r="R6" s="113" t="s">
        <v>69</v>
      </c>
      <c r="S6" s="173"/>
      <c r="T6" s="113" t="s">
        <v>70</v>
      </c>
      <c r="AI6" s="12" t="s">
        <v>237</v>
      </c>
    </row>
    <row r="7" spans="2:37" ht="19.5" customHeight="1" x14ac:dyDescent="0.25">
      <c r="B7" s="169" t="s">
        <v>196</v>
      </c>
      <c r="C7" s="173"/>
      <c r="D7" s="173" t="s">
        <v>213</v>
      </c>
      <c r="E7" s="173"/>
      <c r="F7" s="114">
        <v>36000000</v>
      </c>
      <c r="G7" s="173"/>
      <c r="H7" s="114">
        <v>240</v>
      </c>
      <c r="I7" s="173"/>
      <c r="J7" s="114">
        <v>0</v>
      </c>
      <c r="K7" s="173"/>
      <c r="L7" s="201">
        <v>0</v>
      </c>
      <c r="M7" s="173"/>
      <c r="N7" s="60">
        <v>0</v>
      </c>
      <c r="P7" s="114">
        <v>8640000000</v>
      </c>
      <c r="Q7" s="173"/>
      <c r="R7" s="60">
        <v>0</v>
      </c>
      <c r="S7" s="173"/>
      <c r="T7" s="213">
        <f t="shared" ref="T7:T50" si="0">P7+R7</f>
        <v>8640000000</v>
      </c>
      <c r="V7" s="272"/>
      <c r="W7" s="214"/>
      <c r="X7" s="214"/>
      <c r="Y7" s="214"/>
      <c r="Z7" s="214"/>
      <c r="AA7" s="214"/>
      <c r="AB7" s="214"/>
      <c r="AC7" s="214"/>
      <c r="AD7" s="214"/>
      <c r="AE7" s="214"/>
      <c r="AF7" s="214"/>
    </row>
    <row r="8" spans="2:37" ht="19.5" customHeight="1" x14ac:dyDescent="0.25">
      <c r="B8" s="169" t="s">
        <v>127</v>
      </c>
      <c r="C8" s="173"/>
      <c r="D8" s="173" t="s">
        <v>253</v>
      </c>
      <c r="E8" s="173"/>
      <c r="F8" s="114">
        <v>1000</v>
      </c>
      <c r="G8" s="173"/>
      <c r="H8" s="114">
        <v>620</v>
      </c>
      <c r="I8" s="173"/>
      <c r="J8" s="114">
        <v>620000</v>
      </c>
      <c r="K8" s="173"/>
      <c r="L8" s="201">
        <v>-43439</v>
      </c>
      <c r="M8" s="173"/>
      <c r="N8" s="60">
        <v>576561</v>
      </c>
      <c r="P8" s="114">
        <v>620000</v>
      </c>
      <c r="Q8" s="173"/>
      <c r="R8" s="60">
        <v>-43439</v>
      </c>
      <c r="S8" s="173"/>
      <c r="T8" s="213">
        <f t="shared" si="0"/>
        <v>576561</v>
      </c>
      <c r="V8" s="272"/>
      <c r="W8" s="214"/>
    </row>
    <row r="9" spans="2:37" ht="19.5" customHeight="1" x14ac:dyDescent="0.25">
      <c r="B9" s="169" t="s">
        <v>134</v>
      </c>
      <c r="C9" s="173"/>
      <c r="D9" s="173" t="s">
        <v>230</v>
      </c>
      <c r="E9" s="173"/>
      <c r="F9" s="114">
        <v>14000000</v>
      </c>
      <c r="G9" s="173"/>
      <c r="H9" s="114">
        <v>2390</v>
      </c>
      <c r="I9" s="173"/>
      <c r="J9" s="114">
        <v>0</v>
      </c>
      <c r="K9" s="173"/>
      <c r="L9" s="201">
        <v>0</v>
      </c>
      <c r="M9" s="173"/>
      <c r="N9" s="60">
        <v>0</v>
      </c>
      <c r="P9" s="114">
        <v>33460000000</v>
      </c>
      <c r="Q9" s="173"/>
      <c r="R9" s="60">
        <v>0</v>
      </c>
      <c r="S9" s="173"/>
      <c r="T9" s="213">
        <f>P9+R9</f>
        <v>33460000000</v>
      </c>
      <c r="V9" s="272"/>
      <c r="W9" s="214"/>
    </row>
    <row r="10" spans="2:37" ht="19.5" customHeight="1" x14ac:dyDescent="0.25">
      <c r="B10" s="169" t="s">
        <v>132</v>
      </c>
      <c r="C10" s="173"/>
      <c r="D10" s="173" t="s">
        <v>212</v>
      </c>
      <c r="E10" s="173"/>
      <c r="F10" s="114">
        <v>64000000</v>
      </c>
      <c r="G10" s="173"/>
      <c r="H10" s="114">
        <v>370</v>
      </c>
      <c r="I10" s="173"/>
      <c r="J10" s="114">
        <v>0</v>
      </c>
      <c r="K10" s="173"/>
      <c r="L10" s="201">
        <v>0</v>
      </c>
      <c r="M10" s="173"/>
      <c r="N10" s="60">
        <v>0</v>
      </c>
      <c r="P10" s="114">
        <v>23680000000</v>
      </c>
      <c r="Q10" s="173"/>
      <c r="R10" s="60">
        <v>0</v>
      </c>
      <c r="S10" s="173"/>
      <c r="T10" s="213">
        <f t="shared" si="0"/>
        <v>23680000000</v>
      </c>
      <c r="V10" s="272"/>
      <c r="W10" s="214"/>
    </row>
    <row r="11" spans="2:37" ht="19.5" customHeight="1" x14ac:dyDescent="0.25">
      <c r="B11" s="169" t="s">
        <v>199</v>
      </c>
      <c r="C11" s="173"/>
      <c r="D11" s="173" t="s">
        <v>212</v>
      </c>
      <c r="E11" s="173"/>
      <c r="F11" s="114">
        <v>10000000</v>
      </c>
      <c r="G11" s="173"/>
      <c r="H11" s="114">
        <v>48</v>
      </c>
      <c r="I11" s="173"/>
      <c r="J11" s="114">
        <v>0</v>
      </c>
      <c r="K11" s="173"/>
      <c r="L11" s="201">
        <v>0</v>
      </c>
      <c r="M11" s="173"/>
      <c r="N11" s="60">
        <v>0</v>
      </c>
      <c r="P11" s="114">
        <v>480000000</v>
      </c>
      <c r="Q11" s="173"/>
      <c r="R11" s="60">
        <v>0</v>
      </c>
      <c r="S11" s="173"/>
      <c r="T11" s="213">
        <f t="shared" si="0"/>
        <v>480000000</v>
      </c>
      <c r="V11" s="272"/>
      <c r="W11" s="214"/>
    </row>
    <row r="12" spans="2:37" ht="19.5" customHeight="1" x14ac:dyDescent="0.25">
      <c r="B12" s="169" t="s">
        <v>154</v>
      </c>
      <c r="C12" s="173"/>
      <c r="D12" s="173" t="s">
        <v>208</v>
      </c>
      <c r="E12" s="173"/>
      <c r="F12" s="114">
        <v>1000</v>
      </c>
      <c r="G12" s="173"/>
      <c r="H12" s="114">
        <v>2320</v>
      </c>
      <c r="I12" s="173"/>
      <c r="J12" s="114">
        <v>0</v>
      </c>
      <c r="K12" s="173"/>
      <c r="L12" s="201">
        <v>0</v>
      </c>
      <c r="M12" s="173"/>
      <c r="N12" s="60">
        <v>0</v>
      </c>
      <c r="P12" s="114">
        <v>2320000</v>
      </c>
      <c r="Q12" s="173"/>
      <c r="R12" s="60">
        <v>0</v>
      </c>
      <c r="S12" s="173"/>
      <c r="T12" s="213">
        <f t="shared" si="0"/>
        <v>2320000</v>
      </c>
      <c r="V12" s="272"/>
      <c r="W12" s="214"/>
    </row>
    <row r="13" spans="2:37" ht="19.5" customHeight="1" x14ac:dyDescent="0.25">
      <c r="B13" s="169" t="s">
        <v>142</v>
      </c>
      <c r="C13" s="173"/>
      <c r="D13" s="173" t="s">
        <v>254</v>
      </c>
      <c r="E13" s="173"/>
      <c r="F13" s="114">
        <v>35000000</v>
      </c>
      <c r="G13" s="173"/>
      <c r="H13" s="114">
        <v>1050</v>
      </c>
      <c r="I13" s="173"/>
      <c r="J13" s="114">
        <v>36750000000</v>
      </c>
      <c r="K13" s="173"/>
      <c r="L13" s="201">
        <v>-836345382</v>
      </c>
      <c r="M13" s="173"/>
      <c r="N13" s="60">
        <v>35913654618</v>
      </c>
      <c r="P13" s="114">
        <v>36750000000</v>
      </c>
      <c r="Q13" s="173"/>
      <c r="R13" s="60">
        <v>-836345382</v>
      </c>
      <c r="S13" s="173"/>
      <c r="T13" s="213">
        <f t="shared" si="0"/>
        <v>35913654618</v>
      </c>
      <c r="V13" s="272"/>
      <c r="W13" s="214"/>
    </row>
    <row r="14" spans="2:37" ht="19.5" customHeight="1" x14ac:dyDescent="0.25">
      <c r="B14" s="169" t="s">
        <v>105</v>
      </c>
      <c r="C14" s="173"/>
      <c r="D14" s="173" t="s">
        <v>214</v>
      </c>
      <c r="E14" s="173"/>
      <c r="F14" s="114">
        <v>15449319</v>
      </c>
      <c r="G14" s="173"/>
      <c r="H14" s="114">
        <v>170</v>
      </c>
      <c r="I14" s="173"/>
      <c r="J14" s="114">
        <v>0</v>
      </c>
      <c r="K14" s="173"/>
      <c r="L14" s="201">
        <v>0</v>
      </c>
      <c r="M14" s="173"/>
      <c r="N14" s="60">
        <v>0</v>
      </c>
      <c r="P14" s="114">
        <v>2626384230</v>
      </c>
      <c r="Q14" s="173"/>
      <c r="R14" s="60">
        <v>-52880219</v>
      </c>
      <c r="S14" s="173"/>
      <c r="T14" s="213">
        <f t="shared" si="0"/>
        <v>2573504011</v>
      </c>
      <c r="V14" s="272"/>
      <c r="W14" s="214"/>
    </row>
    <row r="15" spans="2:37" ht="19.5" customHeight="1" x14ac:dyDescent="0.25">
      <c r="B15" s="169" t="s">
        <v>146</v>
      </c>
      <c r="C15" s="173"/>
      <c r="D15" s="173" t="s">
        <v>231</v>
      </c>
      <c r="E15" s="173"/>
      <c r="F15" s="114">
        <v>6500000</v>
      </c>
      <c r="G15" s="173"/>
      <c r="H15" s="114">
        <v>4984</v>
      </c>
      <c r="I15" s="173"/>
      <c r="J15" s="114">
        <v>0</v>
      </c>
      <c r="K15" s="173"/>
      <c r="L15" s="201">
        <v>0</v>
      </c>
      <c r="M15" s="173"/>
      <c r="N15" s="60">
        <v>0</v>
      </c>
      <c r="P15" s="114">
        <v>32396000000</v>
      </c>
      <c r="Q15" s="173"/>
      <c r="R15" s="60">
        <v>-307696065</v>
      </c>
      <c r="S15" s="173"/>
      <c r="T15" s="213">
        <f t="shared" si="0"/>
        <v>32088303935</v>
      </c>
      <c r="V15" s="272"/>
      <c r="W15" s="214"/>
    </row>
    <row r="16" spans="2:37" ht="19.5" customHeight="1" x14ac:dyDescent="0.25">
      <c r="B16" s="169" t="s">
        <v>140</v>
      </c>
      <c r="C16" s="173"/>
      <c r="D16" s="173" t="s">
        <v>215</v>
      </c>
      <c r="E16" s="173"/>
      <c r="F16" s="114">
        <v>9000000</v>
      </c>
      <c r="G16" s="173"/>
      <c r="H16" s="114">
        <v>1997</v>
      </c>
      <c r="I16" s="173"/>
      <c r="J16" s="114">
        <v>0</v>
      </c>
      <c r="K16" s="173"/>
      <c r="L16" s="201">
        <v>0</v>
      </c>
      <c r="M16" s="173"/>
      <c r="N16" s="60">
        <v>0</v>
      </c>
      <c r="P16" s="114">
        <v>17973000000</v>
      </c>
      <c r="Q16" s="173"/>
      <c r="R16" s="60">
        <v>-182776271</v>
      </c>
      <c r="S16" s="173"/>
      <c r="T16" s="213">
        <f t="shared" si="0"/>
        <v>17790223729</v>
      </c>
      <c r="V16" s="272"/>
      <c r="W16" s="214"/>
    </row>
    <row r="17" spans="2:36" ht="19.5" customHeight="1" x14ac:dyDescent="0.25">
      <c r="B17" s="169" t="s">
        <v>116</v>
      </c>
      <c r="C17" s="173"/>
      <c r="D17" s="173" t="s">
        <v>216</v>
      </c>
      <c r="E17" s="173"/>
      <c r="F17" s="114">
        <v>151800000</v>
      </c>
      <c r="G17" s="173"/>
      <c r="H17" s="114">
        <v>360</v>
      </c>
      <c r="I17" s="173"/>
      <c r="J17" s="114">
        <v>0</v>
      </c>
      <c r="K17" s="173"/>
      <c r="L17" s="201">
        <v>0</v>
      </c>
      <c r="M17" s="173"/>
      <c r="N17" s="60">
        <v>0</v>
      </c>
      <c r="P17" s="114">
        <v>54648000000</v>
      </c>
      <c r="Q17" s="173"/>
      <c r="R17" s="60">
        <v>0</v>
      </c>
      <c r="S17" s="173"/>
      <c r="T17" s="213">
        <f t="shared" si="0"/>
        <v>54648000000</v>
      </c>
      <c r="V17" s="272"/>
      <c r="W17" s="214"/>
      <c r="AJ17" s="12">
        <v>1</v>
      </c>
    </row>
    <row r="18" spans="2:36" ht="19.5" customHeight="1" x14ac:dyDescent="0.25">
      <c r="B18" s="169" t="s">
        <v>131</v>
      </c>
      <c r="C18" s="173"/>
      <c r="D18" s="173" t="s">
        <v>217</v>
      </c>
      <c r="E18" s="173"/>
      <c r="F18" s="114">
        <v>13383580</v>
      </c>
      <c r="G18" s="173"/>
      <c r="H18" s="114">
        <v>380</v>
      </c>
      <c r="I18" s="173"/>
      <c r="J18" s="114">
        <v>0</v>
      </c>
      <c r="K18" s="173"/>
      <c r="L18" s="201">
        <v>0</v>
      </c>
      <c r="M18" s="173"/>
      <c r="N18" s="60">
        <v>0</v>
      </c>
      <c r="P18" s="114">
        <v>5085760400</v>
      </c>
      <c r="Q18" s="173"/>
      <c r="R18" s="60">
        <v>-34597010</v>
      </c>
      <c r="S18" s="173"/>
      <c r="T18" s="213">
        <f t="shared" si="0"/>
        <v>5051163390</v>
      </c>
      <c r="V18" s="272"/>
      <c r="W18" s="214"/>
    </row>
    <row r="19" spans="2:36" ht="19.5" customHeight="1" x14ac:dyDescent="0.25">
      <c r="B19" s="169" t="s">
        <v>130</v>
      </c>
      <c r="C19" s="173"/>
      <c r="D19" s="173" t="s">
        <v>217</v>
      </c>
      <c r="E19" s="173"/>
      <c r="F19" s="114">
        <v>5600000</v>
      </c>
      <c r="G19" s="173"/>
      <c r="H19" s="114">
        <v>310</v>
      </c>
      <c r="I19" s="173"/>
      <c r="J19" s="114">
        <v>0</v>
      </c>
      <c r="K19" s="173"/>
      <c r="L19" s="201">
        <v>0</v>
      </c>
      <c r="M19" s="173"/>
      <c r="N19" s="60">
        <v>0</v>
      </c>
      <c r="P19" s="114">
        <v>1736000000</v>
      </c>
      <c r="Q19" s="173"/>
      <c r="R19" s="60">
        <v>-21142084</v>
      </c>
      <c r="S19" s="173"/>
      <c r="T19" s="213">
        <f t="shared" si="0"/>
        <v>1714857916</v>
      </c>
      <c r="V19" s="272"/>
      <c r="W19" s="214"/>
    </row>
    <row r="20" spans="2:36" ht="19.5" customHeight="1" x14ac:dyDescent="0.25">
      <c r="B20" s="169" t="s">
        <v>181</v>
      </c>
      <c r="C20" s="173"/>
      <c r="D20" s="173" t="s">
        <v>215</v>
      </c>
      <c r="E20" s="173"/>
      <c r="F20" s="114">
        <v>6000000</v>
      </c>
      <c r="G20" s="173"/>
      <c r="H20" s="114">
        <v>400</v>
      </c>
      <c r="I20" s="173"/>
      <c r="J20" s="114">
        <v>0</v>
      </c>
      <c r="K20" s="173"/>
      <c r="L20" s="201">
        <v>0</v>
      </c>
      <c r="M20" s="173"/>
      <c r="N20" s="60">
        <v>0</v>
      </c>
      <c r="P20" s="114">
        <v>2400000000</v>
      </c>
      <c r="Q20" s="173"/>
      <c r="R20" s="60">
        <v>0</v>
      </c>
      <c r="S20" s="173"/>
      <c r="T20" s="213">
        <f t="shared" si="0"/>
        <v>2400000000</v>
      </c>
      <c r="V20" s="272"/>
      <c r="W20" s="214"/>
    </row>
    <row r="21" spans="2:36" ht="19.5" customHeight="1" x14ac:dyDescent="0.25">
      <c r="B21" s="169" t="s">
        <v>126</v>
      </c>
      <c r="C21" s="173"/>
      <c r="D21" s="173" t="s">
        <v>232</v>
      </c>
      <c r="E21" s="173"/>
      <c r="F21" s="114">
        <v>20000000</v>
      </c>
      <c r="G21" s="173"/>
      <c r="H21" s="114">
        <v>280</v>
      </c>
      <c r="I21" s="173"/>
      <c r="J21" s="114">
        <v>0</v>
      </c>
      <c r="K21" s="173"/>
      <c r="L21" s="201">
        <v>0</v>
      </c>
      <c r="M21" s="173"/>
      <c r="N21" s="60">
        <v>0</v>
      </c>
      <c r="P21" s="114">
        <v>5600000000</v>
      </c>
      <c r="Q21" s="173"/>
      <c r="R21" s="60">
        <v>0</v>
      </c>
      <c r="S21" s="173"/>
      <c r="T21" s="213">
        <f t="shared" si="0"/>
        <v>5600000000</v>
      </c>
      <c r="V21" s="272"/>
      <c r="W21" s="214"/>
    </row>
    <row r="22" spans="2:36" ht="19.5" customHeight="1" x14ac:dyDescent="0.25">
      <c r="B22" s="169" t="s">
        <v>115</v>
      </c>
      <c r="C22" s="173"/>
      <c r="D22" s="173" t="s">
        <v>212</v>
      </c>
      <c r="E22" s="173"/>
      <c r="F22" s="114">
        <v>35200000</v>
      </c>
      <c r="G22" s="173"/>
      <c r="H22" s="114">
        <v>90</v>
      </c>
      <c r="I22" s="173"/>
      <c r="J22" s="114">
        <v>0</v>
      </c>
      <c r="K22" s="173"/>
      <c r="L22" s="201">
        <v>0</v>
      </c>
      <c r="M22" s="173"/>
      <c r="N22" s="60">
        <v>0</v>
      </c>
      <c r="P22" s="114">
        <v>3168000000</v>
      </c>
      <c r="Q22" s="173"/>
      <c r="R22" s="60">
        <v>0</v>
      </c>
      <c r="S22" s="173"/>
      <c r="T22" s="213">
        <f t="shared" si="0"/>
        <v>3168000000</v>
      </c>
      <c r="V22" s="272"/>
      <c r="W22" s="214"/>
    </row>
    <row r="23" spans="2:36" ht="19.5" customHeight="1" x14ac:dyDescent="0.25">
      <c r="B23" s="169" t="s">
        <v>148</v>
      </c>
      <c r="C23" s="173"/>
      <c r="D23" s="173" t="s">
        <v>212</v>
      </c>
      <c r="E23" s="173"/>
      <c r="F23" s="114">
        <v>1000</v>
      </c>
      <c r="G23" s="173"/>
      <c r="H23" s="114">
        <v>11</v>
      </c>
      <c r="I23" s="173"/>
      <c r="J23" s="114">
        <v>0</v>
      </c>
      <c r="K23" s="173"/>
      <c r="L23" s="201">
        <v>0</v>
      </c>
      <c r="M23" s="173"/>
      <c r="N23" s="60">
        <v>0</v>
      </c>
      <c r="P23" s="114">
        <v>11000</v>
      </c>
      <c r="Q23" s="173"/>
      <c r="R23" s="60">
        <v>0</v>
      </c>
      <c r="S23" s="173"/>
      <c r="T23" s="213">
        <f t="shared" si="0"/>
        <v>11000</v>
      </c>
      <c r="V23" s="272"/>
      <c r="W23" s="214"/>
    </row>
    <row r="24" spans="2:36" ht="19.5" customHeight="1" x14ac:dyDescent="0.25">
      <c r="B24" s="169" t="s">
        <v>182</v>
      </c>
      <c r="C24" s="173"/>
      <c r="D24" s="173" t="s">
        <v>212</v>
      </c>
      <c r="E24" s="173"/>
      <c r="F24" s="114">
        <v>100000000</v>
      </c>
      <c r="G24" s="173"/>
      <c r="H24" s="114">
        <v>15</v>
      </c>
      <c r="I24" s="173"/>
      <c r="J24" s="114">
        <v>0</v>
      </c>
      <c r="K24" s="173"/>
      <c r="L24" s="201">
        <v>0</v>
      </c>
      <c r="M24" s="173"/>
      <c r="N24" s="60">
        <v>0</v>
      </c>
      <c r="P24" s="114">
        <v>1500000000</v>
      </c>
      <c r="Q24" s="173"/>
      <c r="R24" s="60">
        <v>0</v>
      </c>
      <c r="S24" s="173"/>
      <c r="T24" s="213">
        <f t="shared" si="0"/>
        <v>1500000000</v>
      </c>
      <c r="V24" s="272"/>
      <c r="W24" s="214"/>
    </row>
    <row r="25" spans="2:36" ht="19.5" customHeight="1" x14ac:dyDescent="0.25">
      <c r="B25" s="169" t="s">
        <v>117</v>
      </c>
      <c r="C25" s="173"/>
      <c r="D25" s="173" t="s">
        <v>233</v>
      </c>
      <c r="E25" s="173"/>
      <c r="F25" s="114">
        <v>24655240</v>
      </c>
      <c r="G25" s="173"/>
      <c r="H25" s="114">
        <v>936</v>
      </c>
      <c r="I25" s="173"/>
      <c r="J25" s="114">
        <v>0</v>
      </c>
      <c r="K25" s="173"/>
      <c r="L25" s="201">
        <v>0</v>
      </c>
      <c r="M25" s="173"/>
      <c r="N25" s="60">
        <v>0</v>
      </c>
      <c r="P25" s="114">
        <v>23077304640</v>
      </c>
      <c r="Q25" s="173"/>
      <c r="R25" s="60">
        <v>-585405592</v>
      </c>
      <c r="S25" s="173"/>
      <c r="T25" s="213">
        <f t="shared" si="0"/>
        <v>22491899048</v>
      </c>
      <c r="V25" s="272"/>
      <c r="W25" s="214"/>
    </row>
    <row r="26" spans="2:36" ht="19.5" customHeight="1" x14ac:dyDescent="0.25">
      <c r="B26" s="169" t="s">
        <v>120</v>
      </c>
      <c r="C26" s="173"/>
      <c r="D26" s="173" t="s">
        <v>240</v>
      </c>
      <c r="E26" s="173"/>
      <c r="F26" s="114">
        <v>1500000</v>
      </c>
      <c r="G26" s="173"/>
      <c r="H26" s="114">
        <v>38000</v>
      </c>
      <c r="I26" s="173"/>
      <c r="J26" s="114">
        <v>0</v>
      </c>
      <c r="K26" s="173"/>
      <c r="L26" s="201">
        <v>0</v>
      </c>
      <c r="M26" s="173"/>
      <c r="N26" s="60">
        <v>0</v>
      </c>
      <c r="P26" s="114">
        <v>57000000000</v>
      </c>
      <c r="Q26" s="173"/>
      <c r="R26" s="60">
        <v>-1593874834</v>
      </c>
      <c r="S26" s="173"/>
      <c r="T26" s="213">
        <f t="shared" si="0"/>
        <v>55406125166</v>
      </c>
      <c r="V26" s="272"/>
      <c r="W26" s="214"/>
    </row>
    <row r="27" spans="2:36" ht="19.5" customHeight="1" x14ac:dyDescent="0.25">
      <c r="B27" s="169" t="s">
        <v>125</v>
      </c>
      <c r="C27" s="173"/>
      <c r="D27" s="173" t="s">
        <v>249</v>
      </c>
      <c r="E27" s="173"/>
      <c r="F27" s="114">
        <v>90000000</v>
      </c>
      <c r="G27" s="173"/>
      <c r="H27" s="114">
        <v>510</v>
      </c>
      <c r="I27" s="173"/>
      <c r="J27" s="114">
        <v>45900000000</v>
      </c>
      <c r="K27" s="173"/>
      <c r="L27" s="201">
        <v>-6549442161</v>
      </c>
      <c r="M27" s="173"/>
      <c r="N27" s="60">
        <v>39350557839</v>
      </c>
      <c r="P27" s="114">
        <v>45900000000</v>
      </c>
      <c r="Q27" s="173"/>
      <c r="R27" s="60">
        <v>-6549442161</v>
      </c>
      <c r="S27" s="173"/>
      <c r="T27" s="213">
        <f t="shared" si="0"/>
        <v>39350557839</v>
      </c>
      <c r="V27" s="272"/>
      <c r="W27" s="214"/>
    </row>
    <row r="28" spans="2:36" ht="19.5" customHeight="1" x14ac:dyDescent="0.25">
      <c r="B28" s="169" t="s">
        <v>123</v>
      </c>
      <c r="C28" s="173"/>
      <c r="D28" s="173" t="s">
        <v>241</v>
      </c>
      <c r="E28" s="173"/>
      <c r="F28" s="114">
        <v>3800000</v>
      </c>
      <c r="G28" s="173"/>
      <c r="H28" s="114">
        <v>2000</v>
      </c>
      <c r="I28" s="173"/>
      <c r="J28" s="114">
        <v>0</v>
      </c>
      <c r="K28" s="173"/>
      <c r="L28" s="201">
        <v>0</v>
      </c>
      <c r="M28" s="173"/>
      <c r="N28" s="60">
        <v>0</v>
      </c>
      <c r="P28" s="114">
        <v>7600000000</v>
      </c>
      <c r="Q28" s="173"/>
      <c r="R28" s="60">
        <v>0</v>
      </c>
      <c r="S28" s="173"/>
      <c r="T28" s="213">
        <f t="shared" si="0"/>
        <v>7600000000</v>
      </c>
      <c r="V28" s="272"/>
      <c r="W28" s="214"/>
    </row>
    <row r="29" spans="2:36" ht="19.5" customHeight="1" x14ac:dyDescent="0.25">
      <c r="B29" s="169" t="s">
        <v>183</v>
      </c>
      <c r="C29" s="173"/>
      <c r="D29" s="173" t="s">
        <v>215</v>
      </c>
      <c r="E29" s="173"/>
      <c r="F29" s="114">
        <v>14000000</v>
      </c>
      <c r="G29" s="173"/>
      <c r="H29" s="114">
        <v>650</v>
      </c>
      <c r="I29" s="173"/>
      <c r="J29" s="114">
        <v>0</v>
      </c>
      <c r="K29" s="173"/>
      <c r="L29" s="201">
        <v>0</v>
      </c>
      <c r="M29" s="173"/>
      <c r="N29" s="60">
        <v>0</v>
      </c>
      <c r="P29" s="114">
        <v>9100000000</v>
      </c>
      <c r="Q29" s="173"/>
      <c r="R29" s="60">
        <v>-86431479</v>
      </c>
      <c r="S29" s="173"/>
      <c r="T29" s="213">
        <f t="shared" si="0"/>
        <v>9013568521</v>
      </c>
      <c r="V29" s="272"/>
      <c r="W29" s="214"/>
    </row>
    <row r="30" spans="2:36" ht="19.5" customHeight="1" x14ac:dyDescent="0.25">
      <c r="B30" s="169" t="s">
        <v>137</v>
      </c>
      <c r="C30" s="173"/>
      <c r="D30" s="173" t="s">
        <v>234</v>
      </c>
      <c r="E30" s="173"/>
      <c r="F30" s="114">
        <v>10000000</v>
      </c>
      <c r="G30" s="173"/>
      <c r="H30" s="114">
        <v>2223</v>
      </c>
      <c r="I30" s="173"/>
      <c r="J30" s="114">
        <v>0</v>
      </c>
      <c r="K30" s="173"/>
      <c r="L30" s="201">
        <v>0</v>
      </c>
      <c r="M30" s="173"/>
      <c r="N30" s="60">
        <v>0</v>
      </c>
      <c r="P30" s="114">
        <v>22230000000</v>
      </c>
      <c r="Q30" s="173"/>
      <c r="R30" s="60">
        <v>0</v>
      </c>
      <c r="S30" s="173"/>
      <c r="T30" s="213">
        <f t="shared" si="0"/>
        <v>22230000000</v>
      </c>
      <c r="V30" s="272"/>
      <c r="W30" s="214"/>
    </row>
    <row r="31" spans="2:36" ht="19.5" customHeight="1" x14ac:dyDescent="0.25">
      <c r="B31" s="169" t="s">
        <v>206</v>
      </c>
      <c r="C31" s="173"/>
      <c r="D31" s="173" t="s">
        <v>212</v>
      </c>
      <c r="E31" s="173"/>
      <c r="F31" s="114">
        <v>6000000</v>
      </c>
      <c r="G31" s="173"/>
      <c r="H31" s="114">
        <v>250</v>
      </c>
      <c r="I31" s="173"/>
      <c r="J31" s="114">
        <v>0</v>
      </c>
      <c r="K31" s="173"/>
      <c r="L31" s="201">
        <v>0</v>
      </c>
      <c r="M31" s="173"/>
      <c r="N31" s="60">
        <v>0</v>
      </c>
      <c r="P31" s="114">
        <v>1500000000</v>
      </c>
      <c r="Q31" s="173"/>
      <c r="R31" s="60">
        <v>0</v>
      </c>
      <c r="S31" s="173"/>
      <c r="T31" s="213">
        <f t="shared" si="0"/>
        <v>1500000000</v>
      </c>
      <c r="V31" s="272"/>
      <c r="W31" s="214"/>
    </row>
    <row r="32" spans="2:36" ht="19.5" customHeight="1" x14ac:dyDescent="0.25">
      <c r="B32" s="169" t="s">
        <v>121</v>
      </c>
      <c r="C32" s="173"/>
      <c r="D32" s="173" t="s">
        <v>215</v>
      </c>
      <c r="E32" s="173"/>
      <c r="F32" s="114">
        <v>3460516</v>
      </c>
      <c r="G32" s="173"/>
      <c r="H32" s="114">
        <v>4200</v>
      </c>
      <c r="I32" s="173"/>
      <c r="J32" s="114">
        <v>0</v>
      </c>
      <c r="K32" s="173"/>
      <c r="L32" s="201">
        <v>0</v>
      </c>
      <c r="M32" s="173"/>
      <c r="N32" s="60">
        <v>0</v>
      </c>
      <c r="P32" s="114">
        <v>14534169200</v>
      </c>
      <c r="Q32" s="173"/>
      <c r="R32" s="60">
        <v>0</v>
      </c>
      <c r="S32" s="173"/>
      <c r="T32" s="213">
        <f t="shared" si="0"/>
        <v>14534169200</v>
      </c>
      <c r="V32" s="272"/>
      <c r="W32" s="214"/>
    </row>
    <row r="33" spans="2:33" ht="19.5" customHeight="1" x14ac:dyDescent="0.25">
      <c r="B33" s="169" t="s">
        <v>184</v>
      </c>
      <c r="C33" s="173"/>
      <c r="D33" s="173" t="s">
        <v>255</v>
      </c>
      <c r="E33" s="173"/>
      <c r="F33" s="114">
        <v>28000000</v>
      </c>
      <c r="G33" s="173"/>
      <c r="H33" s="114">
        <v>410</v>
      </c>
      <c r="I33" s="173"/>
      <c r="J33" s="114">
        <v>11480000000</v>
      </c>
      <c r="K33" s="173"/>
      <c r="L33" s="201">
        <v>-372776673</v>
      </c>
      <c r="M33" s="173"/>
      <c r="N33" s="60">
        <v>11107223327</v>
      </c>
      <c r="P33" s="114">
        <v>11480000000</v>
      </c>
      <c r="Q33" s="173"/>
      <c r="R33" s="60">
        <v>-372776673</v>
      </c>
      <c r="S33" s="173"/>
      <c r="T33" s="213">
        <f t="shared" si="0"/>
        <v>11107223327</v>
      </c>
      <c r="V33" s="272"/>
      <c r="W33" s="214"/>
    </row>
    <row r="34" spans="2:33" ht="19.5" customHeight="1" x14ac:dyDescent="0.25">
      <c r="B34" s="169" t="s">
        <v>164</v>
      </c>
      <c r="C34" s="173"/>
      <c r="D34" s="173" t="s">
        <v>216</v>
      </c>
      <c r="E34" s="173"/>
      <c r="F34" s="114">
        <v>3700000</v>
      </c>
      <c r="G34" s="173"/>
      <c r="H34" s="114">
        <v>3000</v>
      </c>
      <c r="I34" s="173"/>
      <c r="J34" s="114">
        <v>0</v>
      </c>
      <c r="K34" s="173"/>
      <c r="L34" s="201">
        <v>0</v>
      </c>
      <c r="M34" s="173"/>
      <c r="N34" s="60">
        <v>0</v>
      </c>
      <c r="P34" s="114">
        <v>11100000000</v>
      </c>
      <c r="Q34" s="173"/>
      <c r="R34" s="60">
        <v>0</v>
      </c>
      <c r="S34" s="173"/>
      <c r="T34" s="213">
        <f t="shared" si="0"/>
        <v>11100000000</v>
      </c>
      <c r="V34" s="272"/>
      <c r="W34" s="214"/>
      <c r="X34" s="215"/>
      <c r="Y34" s="215"/>
      <c r="Z34" s="215"/>
      <c r="AA34" s="215"/>
      <c r="AB34" s="215"/>
      <c r="AC34" s="215"/>
      <c r="AD34" s="215"/>
      <c r="AE34" s="215"/>
      <c r="AF34" s="215"/>
    </row>
    <row r="35" spans="2:33" ht="19.5" customHeight="1" x14ac:dyDescent="0.25">
      <c r="B35" s="169" t="s">
        <v>185</v>
      </c>
      <c r="C35" s="173"/>
      <c r="D35" s="173" t="s">
        <v>218</v>
      </c>
      <c r="E35" s="173"/>
      <c r="F35" s="114">
        <v>14000000</v>
      </c>
      <c r="G35" s="173"/>
      <c r="H35" s="114">
        <v>400</v>
      </c>
      <c r="I35" s="173"/>
      <c r="J35" s="114">
        <v>0</v>
      </c>
      <c r="K35" s="173"/>
      <c r="L35" s="201">
        <v>0</v>
      </c>
      <c r="M35" s="173"/>
      <c r="N35" s="60">
        <v>0</v>
      </c>
      <c r="P35" s="114">
        <v>5600000000</v>
      </c>
      <c r="Q35" s="173"/>
      <c r="R35" s="60">
        <v>-75675676</v>
      </c>
      <c r="S35" s="173"/>
      <c r="T35" s="213">
        <f t="shared" si="0"/>
        <v>5524324324</v>
      </c>
      <c r="V35" s="272"/>
      <c r="W35" s="214"/>
    </row>
    <row r="36" spans="2:33" ht="19.5" customHeight="1" x14ac:dyDescent="0.25">
      <c r="B36" s="169" t="s">
        <v>118</v>
      </c>
      <c r="C36" s="173"/>
      <c r="D36" s="173" t="s">
        <v>230</v>
      </c>
      <c r="E36" s="173"/>
      <c r="F36" s="114">
        <v>56000000</v>
      </c>
      <c r="G36" s="173"/>
      <c r="H36" s="114">
        <v>190</v>
      </c>
      <c r="I36" s="173"/>
      <c r="J36" s="114">
        <v>0</v>
      </c>
      <c r="K36" s="173"/>
      <c r="L36" s="201">
        <v>0</v>
      </c>
      <c r="M36" s="173"/>
      <c r="N36" s="60">
        <v>0</v>
      </c>
      <c r="P36" s="114">
        <v>10640000000</v>
      </c>
      <c r="Q36" s="173"/>
      <c r="R36" s="60">
        <v>0</v>
      </c>
      <c r="S36" s="173"/>
      <c r="T36" s="213">
        <f t="shared" si="0"/>
        <v>10640000000</v>
      </c>
      <c r="V36" s="272"/>
      <c r="W36" s="214"/>
    </row>
    <row r="37" spans="2:33" ht="19.5" customHeight="1" x14ac:dyDescent="0.25">
      <c r="B37" s="169" t="s">
        <v>200</v>
      </c>
      <c r="C37" s="173"/>
      <c r="D37" s="173" t="s">
        <v>219</v>
      </c>
      <c r="E37" s="173"/>
      <c r="F37" s="114">
        <v>6700000</v>
      </c>
      <c r="G37" s="173"/>
      <c r="H37" s="114">
        <v>1800</v>
      </c>
      <c r="I37" s="173"/>
      <c r="J37" s="114">
        <v>0</v>
      </c>
      <c r="K37" s="173"/>
      <c r="L37" s="201">
        <v>0</v>
      </c>
      <c r="M37" s="173"/>
      <c r="N37" s="60">
        <v>0</v>
      </c>
      <c r="P37" s="114">
        <v>12060000000</v>
      </c>
      <c r="Q37" s="173"/>
      <c r="R37" s="60">
        <v>-162972973</v>
      </c>
      <c r="S37" s="173"/>
      <c r="T37" s="213">
        <f t="shared" si="0"/>
        <v>11897027027</v>
      </c>
      <c r="V37" s="272"/>
      <c r="W37" s="214"/>
    </row>
    <row r="38" spans="2:33" ht="19.5" customHeight="1" x14ac:dyDescent="0.25">
      <c r="B38" s="169" t="s">
        <v>169</v>
      </c>
      <c r="C38" s="173"/>
      <c r="D38" s="173" t="s">
        <v>191</v>
      </c>
      <c r="E38" s="173"/>
      <c r="F38" s="114">
        <v>1750000</v>
      </c>
      <c r="G38" s="173"/>
      <c r="H38" s="114">
        <v>400</v>
      </c>
      <c r="I38" s="173"/>
      <c r="J38" s="114">
        <v>0</v>
      </c>
      <c r="K38" s="173"/>
      <c r="L38" s="201">
        <v>0</v>
      </c>
      <c r="M38" s="173"/>
      <c r="N38" s="60">
        <v>0</v>
      </c>
      <c r="P38" s="114">
        <v>700000000</v>
      </c>
      <c r="Q38" s="173"/>
      <c r="R38" s="60">
        <v>0</v>
      </c>
      <c r="S38" s="173"/>
      <c r="T38" s="213">
        <f t="shared" si="0"/>
        <v>700000000</v>
      </c>
      <c r="V38" s="272"/>
      <c r="W38" s="214"/>
    </row>
    <row r="39" spans="2:33" ht="19.5" customHeight="1" x14ac:dyDescent="0.25">
      <c r="B39" s="169" t="s">
        <v>119</v>
      </c>
      <c r="C39" s="173"/>
      <c r="D39" s="173" t="s">
        <v>212</v>
      </c>
      <c r="E39" s="173"/>
      <c r="F39" s="114">
        <v>75000000</v>
      </c>
      <c r="G39" s="173"/>
      <c r="H39" s="114">
        <v>160</v>
      </c>
      <c r="I39" s="173"/>
      <c r="J39" s="114">
        <v>0</v>
      </c>
      <c r="K39" s="173"/>
      <c r="L39" s="201">
        <v>0</v>
      </c>
      <c r="M39" s="173"/>
      <c r="N39" s="60">
        <v>0</v>
      </c>
      <c r="P39" s="114">
        <v>12000000000</v>
      </c>
      <c r="Q39" s="173"/>
      <c r="R39" s="60">
        <v>0</v>
      </c>
      <c r="S39" s="173"/>
      <c r="T39" s="213">
        <f t="shared" si="0"/>
        <v>12000000000</v>
      </c>
      <c r="V39" s="272"/>
      <c r="W39" s="214"/>
    </row>
    <row r="40" spans="2:33" ht="19.5" customHeight="1" x14ac:dyDescent="0.25">
      <c r="B40" s="169" t="s">
        <v>168</v>
      </c>
      <c r="C40" s="173"/>
      <c r="D40" s="173" t="s">
        <v>218</v>
      </c>
      <c r="E40" s="173"/>
      <c r="F40" s="114">
        <v>1000</v>
      </c>
      <c r="G40" s="173"/>
      <c r="H40" s="114">
        <v>1160</v>
      </c>
      <c r="I40" s="173"/>
      <c r="J40" s="114">
        <v>0</v>
      </c>
      <c r="K40" s="173"/>
      <c r="L40" s="201">
        <v>0</v>
      </c>
      <c r="M40" s="173"/>
      <c r="N40" s="60">
        <v>0</v>
      </c>
      <c r="P40" s="114">
        <v>1160000</v>
      </c>
      <c r="Q40" s="173"/>
      <c r="R40" s="60">
        <v>0</v>
      </c>
      <c r="S40" s="173"/>
      <c r="T40" s="213">
        <f>P40+R40</f>
        <v>1160000</v>
      </c>
      <c r="V40" s="272"/>
      <c r="W40" s="214"/>
    </row>
    <row r="41" spans="2:33" ht="19.5" customHeight="1" x14ac:dyDescent="0.25">
      <c r="B41" s="169" t="s">
        <v>122</v>
      </c>
      <c r="C41" s="173"/>
      <c r="D41" s="173" t="s">
        <v>233</v>
      </c>
      <c r="E41" s="173"/>
      <c r="F41" s="114">
        <v>3600000</v>
      </c>
      <c r="G41" s="173"/>
      <c r="H41" s="114">
        <v>3400</v>
      </c>
      <c r="I41" s="173"/>
      <c r="J41" s="114">
        <v>0</v>
      </c>
      <c r="K41" s="173"/>
      <c r="L41" s="201">
        <v>0</v>
      </c>
      <c r="M41" s="173"/>
      <c r="N41" s="60">
        <v>0</v>
      </c>
      <c r="P41" s="114">
        <v>12240000000</v>
      </c>
      <c r="Q41" s="173"/>
      <c r="R41" s="60">
        <v>0</v>
      </c>
      <c r="S41" s="173"/>
      <c r="T41" s="213">
        <f t="shared" si="0"/>
        <v>12240000000</v>
      </c>
      <c r="V41" s="272"/>
      <c r="W41" s="214"/>
    </row>
    <row r="42" spans="2:33" ht="19.5" customHeight="1" x14ac:dyDescent="0.25">
      <c r="B42" s="169" t="s">
        <v>147</v>
      </c>
      <c r="C42" s="173"/>
      <c r="D42" s="173" t="s">
        <v>242</v>
      </c>
      <c r="E42" s="173"/>
      <c r="F42" s="114">
        <v>20000000</v>
      </c>
      <c r="G42" s="173"/>
      <c r="H42" s="114">
        <v>1100</v>
      </c>
      <c r="I42" s="173"/>
      <c r="J42" s="114">
        <v>0</v>
      </c>
      <c r="K42" s="173"/>
      <c r="L42" s="201">
        <v>0</v>
      </c>
      <c r="M42" s="173"/>
      <c r="N42" s="60">
        <v>0</v>
      </c>
      <c r="P42" s="114">
        <v>22000000000</v>
      </c>
      <c r="Q42" s="173"/>
      <c r="R42" s="60">
        <v>-2627261761</v>
      </c>
      <c r="S42" s="173"/>
      <c r="T42" s="213">
        <f t="shared" si="0"/>
        <v>19372738239</v>
      </c>
      <c r="V42" s="272"/>
      <c r="W42" s="214"/>
    </row>
    <row r="43" spans="2:33" ht="19.5" customHeight="1" x14ac:dyDescent="0.25">
      <c r="B43" s="169" t="s">
        <v>133</v>
      </c>
      <c r="C43" s="173"/>
      <c r="D43" s="173" t="s">
        <v>249</v>
      </c>
      <c r="E43" s="173"/>
      <c r="F43" s="114">
        <v>330000000</v>
      </c>
      <c r="G43" s="173"/>
      <c r="H43" s="114">
        <v>190</v>
      </c>
      <c r="I43" s="173"/>
      <c r="J43" s="114">
        <v>62700000000</v>
      </c>
      <c r="K43" s="173"/>
      <c r="L43" s="201">
        <v>-8946623605</v>
      </c>
      <c r="M43" s="173"/>
      <c r="N43" s="60">
        <v>53753376395</v>
      </c>
      <c r="P43" s="114">
        <v>62700000000</v>
      </c>
      <c r="Q43" s="173"/>
      <c r="R43" s="60">
        <v>-8946623605</v>
      </c>
      <c r="S43" s="173"/>
      <c r="T43" s="213">
        <f t="shared" si="0"/>
        <v>53753376395</v>
      </c>
      <c r="V43" s="272"/>
      <c r="W43" s="214"/>
    </row>
    <row r="44" spans="2:33" ht="19.5" customHeight="1" x14ac:dyDescent="0.25">
      <c r="B44" s="169" t="s">
        <v>179</v>
      </c>
      <c r="C44" s="173"/>
      <c r="D44" s="173" t="s">
        <v>209</v>
      </c>
      <c r="E44" s="173"/>
      <c r="F44" s="114">
        <v>10000000</v>
      </c>
      <c r="G44" s="173"/>
      <c r="H44" s="114">
        <v>730</v>
      </c>
      <c r="I44" s="173"/>
      <c r="J44" s="114">
        <v>0</v>
      </c>
      <c r="K44" s="173"/>
      <c r="L44" s="201">
        <v>0</v>
      </c>
      <c r="M44" s="173"/>
      <c r="N44" s="60">
        <v>0</v>
      </c>
      <c r="P44" s="114">
        <v>7300000000</v>
      </c>
      <c r="Q44" s="173"/>
      <c r="R44" s="60">
        <v>0</v>
      </c>
      <c r="S44" s="173"/>
      <c r="T44" s="213">
        <f t="shared" si="0"/>
        <v>7300000000</v>
      </c>
      <c r="V44" s="272"/>
      <c r="W44" s="214"/>
      <c r="X44" s="311"/>
      <c r="Y44" s="311"/>
      <c r="Z44" s="214"/>
      <c r="AA44" s="214"/>
      <c r="AB44" s="214"/>
      <c r="AC44" s="214"/>
      <c r="AD44" s="214"/>
      <c r="AE44" s="214"/>
      <c r="AF44" s="214"/>
      <c r="AG44" s="214"/>
    </row>
    <row r="45" spans="2:33" ht="19.5" customHeight="1" x14ac:dyDescent="0.25">
      <c r="B45" s="169" t="s">
        <v>144</v>
      </c>
      <c r="C45" s="173"/>
      <c r="D45" s="173" t="s">
        <v>214</v>
      </c>
      <c r="E45" s="173"/>
      <c r="F45" s="114">
        <v>1000</v>
      </c>
      <c r="G45" s="173"/>
      <c r="H45" s="114">
        <v>8362</v>
      </c>
      <c r="I45" s="173"/>
      <c r="J45" s="114">
        <v>0</v>
      </c>
      <c r="K45" s="173"/>
      <c r="L45" s="201">
        <v>0</v>
      </c>
      <c r="M45" s="173"/>
      <c r="N45" s="60">
        <v>0</v>
      </c>
      <c r="P45" s="114">
        <v>8362000</v>
      </c>
      <c r="Q45" s="173"/>
      <c r="R45" s="60">
        <v>0</v>
      </c>
      <c r="S45" s="173"/>
      <c r="T45" s="213">
        <f t="shared" si="0"/>
        <v>8362000</v>
      </c>
      <c r="V45" s="272"/>
      <c r="W45" s="214"/>
      <c r="X45" s="214"/>
      <c r="Y45" s="214"/>
      <c r="Z45" s="214"/>
      <c r="AA45" s="214"/>
      <c r="AB45" s="214"/>
      <c r="AC45" s="214"/>
      <c r="AD45" s="214"/>
      <c r="AE45" s="214"/>
      <c r="AF45" s="214"/>
      <c r="AG45" s="214"/>
    </row>
    <row r="46" spans="2:33" ht="19.5" customHeight="1" x14ac:dyDescent="0.25">
      <c r="B46" s="169" t="s">
        <v>138</v>
      </c>
      <c r="C46" s="173"/>
      <c r="D46" s="173" t="s">
        <v>216</v>
      </c>
      <c r="E46" s="173"/>
      <c r="F46" s="114">
        <v>1000</v>
      </c>
      <c r="G46" s="173"/>
      <c r="H46" s="114">
        <v>34</v>
      </c>
      <c r="I46" s="173"/>
      <c r="J46" s="114">
        <v>0</v>
      </c>
      <c r="K46" s="173"/>
      <c r="L46" s="201">
        <v>0</v>
      </c>
      <c r="M46" s="173"/>
      <c r="N46" s="60">
        <v>0</v>
      </c>
      <c r="P46" s="114">
        <v>34483</v>
      </c>
      <c r="Q46" s="173"/>
      <c r="R46" s="60">
        <v>0</v>
      </c>
      <c r="S46" s="173"/>
      <c r="T46" s="213">
        <f t="shared" si="0"/>
        <v>34483</v>
      </c>
      <c r="V46" s="272"/>
      <c r="W46" s="214"/>
      <c r="X46" s="214"/>
      <c r="Y46" s="214"/>
      <c r="Z46" s="214"/>
      <c r="AA46" s="214"/>
      <c r="AB46" s="214"/>
      <c r="AC46" s="214"/>
      <c r="AD46" s="214"/>
      <c r="AE46" s="214"/>
      <c r="AF46" s="214"/>
      <c r="AG46" s="214"/>
    </row>
    <row r="47" spans="2:33" ht="19.5" customHeight="1" x14ac:dyDescent="0.25">
      <c r="B47" s="169" t="s">
        <v>161</v>
      </c>
      <c r="C47" s="173"/>
      <c r="D47" s="173" t="s">
        <v>210</v>
      </c>
      <c r="E47" s="173"/>
      <c r="F47" s="114">
        <v>232900</v>
      </c>
      <c r="G47" s="173"/>
      <c r="H47" s="114">
        <v>440</v>
      </c>
      <c r="I47" s="173"/>
      <c r="J47" s="114">
        <v>0</v>
      </c>
      <c r="K47" s="173"/>
      <c r="L47" s="201">
        <v>0</v>
      </c>
      <c r="M47" s="173"/>
      <c r="N47" s="60">
        <v>0</v>
      </c>
      <c r="P47" s="60">
        <v>0</v>
      </c>
      <c r="Q47" s="173"/>
      <c r="R47" s="60">
        <v>0</v>
      </c>
      <c r="S47" s="173"/>
      <c r="T47" s="213">
        <f t="shared" si="0"/>
        <v>0</v>
      </c>
      <c r="V47" s="118"/>
      <c r="W47" s="214"/>
      <c r="X47" s="214"/>
      <c r="Y47" s="214"/>
      <c r="Z47" s="214"/>
      <c r="AA47" s="214"/>
      <c r="AB47" s="214"/>
      <c r="AC47" s="214"/>
      <c r="AD47" s="214"/>
      <c r="AE47" s="214"/>
      <c r="AF47" s="214"/>
      <c r="AG47" s="214"/>
    </row>
    <row r="48" spans="2:33" ht="19.5" customHeight="1" x14ac:dyDescent="0.25">
      <c r="B48" s="169" t="s">
        <v>174</v>
      </c>
      <c r="C48" s="173"/>
      <c r="D48" s="173" t="s">
        <v>235</v>
      </c>
      <c r="E48" s="173"/>
      <c r="F48" s="114">
        <v>999999</v>
      </c>
      <c r="G48" s="173"/>
      <c r="H48" s="114">
        <v>49</v>
      </c>
      <c r="I48" s="173"/>
      <c r="J48" s="114">
        <v>0</v>
      </c>
      <c r="K48" s="173"/>
      <c r="L48" s="201">
        <v>0</v>
      </c>
      <c r="M48" s="173"/>
      <c r="N48" s="60">
        <v>0</v>
      </c>
      <c r="P48" s="114">
        <v>49999950</v>
      </c>
      <c r="Q48" s="173"/>
      <c r="R48" s="60">
        <v>-824915</v>
      </c>
      <c r="S48" s="173"/>
      <c r="T48" s="213">
        <f>P48+R48</f>
        <v>49175035</v>
      </c>
      <c r="V48" s="272"/>
      <c r="W48" s="214"/>
      <c r="X48" s="214"/>
      <c r="Y48" s="214"/>
      <c r="Z48" s="214"/>
      <c r="AA48" s="214"/>
      <c r="AB48" s="214"/>
      <c r="AC48" s="214"/>
      <c r="AD48" s="214"/>
      <c r="AE48" s="214"/>
      <c r="AF48" s="214"/>
      <c r="AG48" s="214"/>
    </row>
    <row r="49" spans="2:34" ht="19.5" customHeight="1" x14ac:dyDescent="0.25">
      <c r="B49" s="169" t="s">
        <v>172</v>
      </c>
      <c r="C49" s="173"/>
      <c r="D49" s="173" t="s">
        <v>233</v>
      </c>
      <c r="E49" s="173"/>
      <c r="F49" s="114">
        <v>175000</v>
      </c>
      <c r="G49" s="173"/>
      <c r="H49" s="114">
        <v>1500</v>
      </c>
      <c r="I49" s="173"/>
      <c r="J49" s="114">
        <v>0</v>
      </c>
      <c r="K49" s="173"/>
      <c r="L49" s="201">
        <v>0</v>
      </c>
      <c r="M49" s="173"/>
      <c r="N49" s="60">
        <v>0</v>
      </c>
      <c r="P49" s="114">
        <v>262500000</v>
      </c>
      <c r="Q49" s="173"/>
      <c r="R49" s="60">
        <v>0</v>
      </c>
      <c r="S49" s="173"/>
      <c r="T49" s="213">
        <f t="shared" si="0"/>
        <v>262500000</v>
      </c>
      <c r="V49" s="272"/>
      <c r="W49" s="214"/>
      <c r="X49" s="214"/>
      <c r="Y49" s="214"/>
      <c r="Z49" s="214"/>
      <c r="AA49" s="214"/>
      <c r="AB49" s="214"/>
      <c r="AC49" s="214"/>
      <c r="AD49" s="214"/>
      <c r="AE49" s="214"/>
      <c r="AF49" s="214"/>
      <c r="AG49" s="214"/>
    </row>
    <row r="50" spans="2:34" ht="19.5" customHeight="1" thickBot="1" x14ac:dyDescent="0.3">
      <c r="B50" s="169" t="s">
        <v>201</v>
      </c>
      <c r="C50" s="173"/>
      <c r="D50" s="173" t="s">
        <v>220</v>
      </c>
      <c r="E50" s="173"/>
      <c r="F50" s="114">
        <v>100000</v>
      </c>
      <c r="G50" s="173"/>
      <c r="H50" s="114">
        <v>2350</v>
      </c>
      <c r="I50" s="173"/>
      <c r="J50" s="114">
        <v>0</v>
      </c>
      <c r="K50" s="173"/>
      <c r="L50" s="201">
        <v>0</v>
      </c>
      <c r="M50" s="173"/>
      <c r="N50" s="60">
        <v>0</v>
      </c>
      <c r="P50" s="114">
        <v>235000000</v>
      </c>
      <c r="Q50" s="173"/>
      <c r="R50" s="60">
        <v>0</v>
      </c>
      <c r="S50" s="173"/>
      <c r="T50" s="213">
        <f t="shared" si="0"/>
        <v>235000000</v>
      </c>
      <c r="V50" s="272"/>
      <c r="W50" s="214"/>
    </row>
    <row r="51" spans="2:34" ht="23.25" thickBot="1" x14ac:dyDescent="0.3">
      <c r="B51" s="211" t="s">
        <v>7</v>
      </c>
      <c r="F51" s="92">
        <f>SUM(F7:F50)</f>
        <v>1225612554</v>
      </c>
      <c r="H51" s="12"/>
      <c r="J51" s="92">
        <f>SUM(J7:J50)</f>
        <v>156830620000</v>
      </c>
      <c r="K51" s="90"/>
      <c r="L51" s="92">
        <f>SUM(L7:L50)</f>
        <v>-16705231260</v>
      </c>
      <c r="M51" s="90"/>
      <c r="N51" s="92">
        <f>SUM(N7:N50)</f>
        <v>140125388740</v>
      </c>
      <c r="O51" s="90"/>
      <c r="P51" s="92">
        <f>SUM(P7:P50)</f>
        <v>579464625903</v>
      </c>
      <c r="Q51" s="91"/>
      <c r="R51" s="92">
        <f>SUM(R7:R50)</f>
        <v>-22436770139</v>
      </c>
      <c r="S51" s="91"/>
      <c r="T51" s="92">
        <f>SUM(T7:T50)</f>
        <v>557027855764</v>
      </c>
      <c r="W51" s="214"/>
      <c r="AH51" s="12" t="s">
        <v>252</v>
      </c>
    </row>
    <row r="52" spans="2:34" ht="23.25" thickTop="1" x14ac:dyDescent="0.25">
      <c r="H52" s="12"/>
    </row>
    <row r="53" spans="2:34" x14ac:dyDescent="0.25">
      <c r="N53" s="303"/>
      <c r="T53" s="306"/>
    </row>
    <row r="54" spans="2:34" x14ac:dyDescent="0.25">
      <c r="N54" s="303"/>
      <c r="T54" s="306">
        <f>T51-'درآمد سرمایه گذاری در سهام '!N117</f>
        <v>0</v>
      </c>
    </row>
    <row r="55" spans="2:34" x14ac:dyDescent="0.25">
      <c r="N55" s="303"/>
      <c r="T55" s="306"/>
    </row>
    <row r="56" spans="2:34" ht="24.75" x14ac:dyDescent="0.25">
      <c r="N56" s="304"/>
      <c r="T56" s="307"/>
    </row>
    <row r="67" spans="24:38" x14ac:dyDescent="0.25">
      <c r="X67" s="265"/>
      <c r="Y67" s="265"/>
      <c r="Z67" s="265"/>
      <c r="AA67" s="265"/>
      <c r="AB67" s="265"/>
      <c r="AC67" s="265"/>
      <c r="AD67" s="265"/>
      <c r="AE67" s="265"/>
      <c r="AF67" s="265"/>
      <c r="AG67" s="266"/>
      <c r="AH67" s="267"/>
      <c r="AI67" s="268"/>
      <c r="AJ67" s="268"/>
      <c r="AK67" s="268"/>
      <c r="AL67" s="268"/>
    </row>
  </sheetData>
  <mergeCells count="6">
    <mergeCell ref="D5:H5"/>
    <mergeCell ref="J5:N5"/>
    <mergeCell ref="P5:T5"/>
    <mergeCell ref="B1:T1"/>
    <mergeCell ref="B2:T2"/>
    <mergeCell ref="B3:T3"/>
  </mergeCells>
  <phoneticPr fontId="27" type="noConversion"/>
  <printOptions horizontalCentered="1"/>
  <pageMargins left="0.7" right="0.7" top="0.75" bottom="0.75" header="0.3" footer="0.3"/>
  <pageSetup paperSize="9" scale="46" orientation="landscape" r:id="rId1"/>
  <headerFooter>
    <oddFooter>&amp;C&amp;P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31"/>
  <sheetViews>
    <sheetView rightToLeft="1" tabSelected="1" view="pageBreakPreview" zoomScale="60" zoomScaleNormal="100" workbookViewId="0">
      <selection activeCell="T21" sqref="T21"/>
    </sheetView>
  </sheetViews>
  <sheetFormatPr defaultColWidth="8.85546875" defaultRowHeight="33.75" x14ac:dyDescent="0.25"/>
  <cols>
    <col min="1" max="1" width="2.5703125" style="12" customWidth="1"/>
    <col min="2" max="2" width="42" style="12" bestFit="1" customWidth="1"/>
    <col min="3" max="3" width="1.28515625" style="12" customWidth="1"/>
    <col min="4" max="4" width="24.85546875" style="118" bestFit="1" customWidth="1"/>
    <col min="5" max="5" width="1.140625" style="12" customWidth="1"/>
    <col min="6" max="6" width="31.7109375" style="12" bestFit="1" customWidth="1"/>
    <col min="7" max="7" width="0.7109375" style="12" customWidth="1"/>
    <col min="8" max="8" width="32.140625" style="12" bestFit="1" customWidth="1"/>
    <col min="9" max="9" width="0.7109375" style="12" customWidth="1"/>
    <col min="10" max="10" width="32.5703125" style="12" bestFit="1" customWidth="1"/>
    <col min="11" max="11" width="0.7109375" style="12" customWidth="1"/>
    <col min="12" max="12" width="24.85546875" style="118" bestFit="1" customWidth="1"/>
    <col min="13" max="13" width="1" style="12" customWidth="1"/>
    <col min="14" max="14" width="31.85546875" style="12" bestFit="1" customWidth="1"/>
    <col min="15" max="15" width="0.7109375" style="12" customWidth="1"/>
    <col min="16" max="16" width="32" style="12" bestFit="1" customWidth="1"/>
    <col min="17" max="17" width="1" style="12" customWidth="1"/>
    <col min="18" max="18" width="32.5703125" style="276" bestFit="1" customWidth="1"/>
    <col min="19" max="19" width="29.140625" style="272" bestFit="1" customWidth="1"/>
    <col min="20" max="20" width="37.5703125" style="118" bestFit="1" customWidth="1"/>
    <col min="21" max="21" width="22.28515625" style="12" bestFit="1" customWidth="1"/>
    <col min="22" max="22" width="57.85546875" style="190" bestFit="1" customWidth="1"/>
    <col min="23" max="23" width="57" style="190" customWidth="1"/>
    <col min="24" max="25" width="30.5703125" style="190" bestFit="1" customWidth="1"/>
    <col min="26" max="26" width="28.7109375" style="190" bestFit="1" customWidth="1"/>
    <col min="27" max="27" width="8.85546875" style="190"/>
    <col min="28" max="16384" width="8.85546875" style="12"/>
  </cols>
  <sheetData>
    <row r="1" spans="2:29" x14ac:dyDescent="0.25">
      <c r="B1" s="380" t="str">
        <f>'درآمد ناشی ازفروش'!B1:R1</f>
        <v>صندوق سرمایه گذاری شاخص سی شرکت بزرگ فیروزه</v>
      </c>
      <c r="C1" s="380"/>
      <c r="D1" s="380"/>
      <c r="E1" s="380"/>
      <c r="F1" s="380"/>
      <c r="G1" s="380"/>
      <c r="H1" s="380"/>
      <c r="I1" s="380"/>
      <c r="J1" s="380"/>
      <c r="K1" s="380"/>
      <c r="L1" s="380"/>
      <c r="M1" s="380"/>
      <c r="N1" s="380"/>
      <c r="O1" s="380"/>
      <c r="P1" s="380"/>
      <c r="Q1" s="380"/>
      <c r="R1" s="380"/>
      <c r="W1" s="191"/>
    </row>
    <row r="2" spans="2:29" x14ac:dyDescent="0.25">
      <c r="B2" s="380" t="s">
        <v>88</v>
      </c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W2" s="191"/>
    </row>
    <row r="3" spans="2:29" x14ac:dyDescent="0.25">
      <c r="B3" s="380" t="str">
        <f>' سهام'!AC6</f>
        <v>برای ماه منتهی به 1404/07/30</v>
      </c>
      <c r="C3" s="380"/>
      <c r="D3" s="380"/>
      <c r="E3" s="380"/>
      <c r="F3" s="380"/>
      <c r="G3" s="380"/>
      <c r="H3" s="380"/>
      <c r="I3" s="380"/>
      <c r="J3" s="380"/>
      <c r="K3" s="380"/>
      <c r="L3" s="380"/>
      <c r="M3" s="380"/>
      <c r="N3" s="380"/>
      <c r="O3" s="380"/>
      <c r="P3" s="380"/>
      <c r="Q3" s="380"/>
      <c r="R3" s="380"/>
      <c r="W3" s="191"/>
    </row>
    <row r="4" spans="2:29" x14ac:dyDescent="0.25">
      <c r="B4" s="397" t="s">
        <v>98</v>
      </c>
      <c r="C4" s="397"/>
      <c r="D4" s="397"/>
      <c r="E4" s="397"/>
      <c r="F4" s="397"/>
      <c r="G4" s="397"/>
      <c r="H4" s="397"/>
      <c r="I4" s="397"/>
      <c r="W4" s="191"/>
      <c r="AC4" s="12" t="s">
        <v>191</v>
      </c>
    </row>
    <row r="5" spans="2:29" ht="34.5" thickBot="1" x14ac:dyDescent="0.3">
      <c r="D5" s="392" t="str">
        <f>' سهام'!AC7</f>
        <v>طی مهر ماه</v>
      </c>
      <c r="E5" s="392"/>
      <c r="F5" s="392"/>
      <c r="G5" s="392"/>
      <c r="H5" s="392"/>
      <c r="I5" s="392"/>
      <c r="J5" s="392"/>
      <c r="L5" s="392" t="str">
        <f>' سهام'!AC8</f>
        <v>از ابتدای سال مالی تا پایان مهر ماه</v>
      </c>
      <c r="M5" s="392"/>
      <c r="N5" s="392"/>
      <c r="O5" s="392"/>
      <c r="P5" s="392"/>
      <c r="Q5" s="392"/>
      <c r="R5" s="392"/>
      <c r="W5" s="191"/>
      <c r="AC5" s="12" t="s">
        <v>192</v>
      </c>
    </row>
    <row r="6" spans="2:29" ht="53.25" customHeight="1" thickBot="1" x14ac:dyDescent="0.3">
      <c r="B6" s="12" t="s">
        <v>65</v>
      </c>
      <c r="D6" s="112" t="s">
        <v>8</v>
      </c>
      <c r="F6" s="192" t="s">
        <v>33</v>
      </c>
      <c r="H6" s="137" t="s">
        <v>75</v>
      </c>
      <c r="J6" s="192" t="s">
        <v>76</v>
      </c>
      <c r="L6" s="112" t="s">
        <v>8</v>
      </c>
      <c r="N6" s="192" t="s">
        <v>33</v>
      </c>
      <c r="P6" s="137" t="s">
        <v>75</v>
      </c>
      <c r="R6" s="277" t="s">
        <v>76</v>
      </c>
      <c r="V6" s="191"/>
      <c r="W6" s="191"/>
      <c r="AC6" s="12" t="s">
        <v>193</v>
      </c>
    </row>
    <row r="7" spans="2:29" s="194" customFormat="1" ht="30" customHeight="1" x14ac:dyDescent="0.25">
      <c r="B7" s="193" t="s">
        <v>185</v>
      </c>
      <c r="C7" s="193"/>
      <c r="D7" s="102">
        <v>3000000</v>
      </c>
      <c r="E7" s="102"/>
      <c r="F7" s="102">
        <v>16610575500</v>
      </c>
      <c r="G7" s="102"/>
      <c r="H7" s="102">
        <v>-11856521410</v>
      </c>
      <c r="I7" s="102"/>
      <c r="J7" s="102">
        <f>F7+H7</f>
        <v>4754054090</v>
      </c>
      <c r="K7" s="102"/>
      <c r="L7" s="102">
        <v>3000000</v>
      </c>
      <c r="M7" s="102"/>
      <c r="N7" s="102">
        <v>16610575500</v>
      </c>
      <c r="O7" s="102"/>
      <c r="P7" s="102">
        <v>-18024621597</v>
      </c>
      <c r="Q7" s="102"/>
      <c r="R7" s="102">
        <f t="shared" ref="R7:R63" si="0">N7+P7</f>
        <v>-1414046097</v>
      </c>
      <c r="S7" s="271"/>
      <c r="T7" s="118"/>
      <c r="U7" s="179"/>
      <c r="V7" s="191"/>
      <c r="W7" s="191"/>
      <c r="X7" s="190"/>
      <c r="Y7" s="190"/>
      <c r="Z7" s="195"/>
      <c r="AA7" s="190"/>
      <c r="AC7" s="194" t="s">
        <v>194</v>
      </c>
    </row>
    <row r="8" spans="2:29" s="194" customFormat="1" ht="30" customHeight="1" x14ac:dyDescent="0.25">
      <c r="B8" s="193" t="s">
        <v>127</v>
      </c>
      <c r="C8" s="193"/>
      <c r="D8" s="102">
        <v>1000</v>
      </c>
      <c r="E8" s="102"/>
      <c r="F8" s="102">
        <v>13499199</v>
      </c>
      <c r="G8" s="102"/>
      <c r="H8" s="102">
        <v>-11640325</v>
      </c>
      <c r="I8" s="102"/>
      <c r="J8" s="102">
        <f t="shared" ref="J8:J12" si="1">F8+H8</f>
        <v>1858874</v>
      </c>
      <c r="K8" s="102"/>
      <c r="L8" s="102">
        <v>1000</v>
      </c>
      <c r="M8" s="102"/>
      <c r="N8" s="102">
        <v>13499199</v>
      </c>
      <c r="O8" s="102"/>
      <c r="P8" s="102">
        <v>-16437235</v>
      </c>
      <c r="Q8" s="102"/>
      <c r="R8" s="102">
        <f t="shared" si="0"/>
        <v>-2938036</v>
      </c>
      <c r="S8" s="271"/>
      <c r="T8" s="118"/>
      <c r="U8" s="179"/>
      <c r="V8" s="191"/>
      <c r="W8" s="191"/>
      <c r="X8" s="190"/>
      <c r="Y8" s="190"/>
      <c r="Z8" s="195"/>
      <c r="AA8" s="190"/>
      <c r="AC8" s="194" t="s">
        <v>195</v>
      </c>
    </row>
    <row r="9" spans="2:29" s="194" customFormat="1" ht="30" customHeight="1" x14ac:dyDescent="0.25">
      <c r="B9" s="193" t="s">
        <v>128</v>
      </c>
      <c r="C9" s="193"/>
      <c r="D9" s="102">
        <v>3000000</v>
      </c>
      <c r="E9" s="102"/>
      <c r="F9" s="102">
        <v>200907445500</v>
      </c>
      <c r="G9" s="102"/>
      <c r="H9" s="102">
        <v>-165035410140</v>
      </c>
      <c r="I9" s="102"/>
      <c r="J9" s="102">
        <f t="shared" si="1"/>
        <v>35872035360</v>
      </c>
      <c r="K9" s="102"/>
      <c r="L9" s="102">
        <v>3000000</v>
      </c>
      <c r="M9" s="102"/>
      <c r="N9" s="102">
        <v>200907445500</v>
      </c>
      <c r="O9" s="102"/>
      <c r="P9" s="102">
        <v>-171542654628</v>
      </c>
      <c r="Q9" s="102"/>
      <c r="R9" s="102">
        <f t="shared" si="0"/>
        <v>29364790872</v>
      </c>
      <c r="S9" s="271"/>
      <c r="T9" s="118"/>
      <c r="U9" s="179"/>
      <c r="V9" s="191"/>
      <c r="W9" s="191"/>
      <c r="X9" s="190"/>
      <c r="Y9" s="190"/>
      <c r="Z9" s="195"/>
      <c r="AA9" s="190"/>
    </row>
    <row r="10" spans="2:29" s="194" customFormat="1" ht="30" customHeight="1" x14ac:dyDescent="0.25">
      <c r="B10" s="193" t="s">
        <v>116</v>
      </c>
      <c r="C10" s="193"/>
      <c r="D10" s="102">
        <v>140000000</v>
      </c>
      <c r="E10" s="102"/>
      <c r="F10" s="102">
        <v>681918300000</v>
      </c>
      <c r="G10" s="102"/>
      <c r="H10" s="102">
        <v>-483744492000</v>
      </c>
      <c r="I10" s="102"/>
      <c r="J10" s="102">
        <f t="shared" si="1"/>
        <v>198173808000</v>
      </c>
      <c r="K10" s="102"/>
      <c r="L10" s="102">
        <v>140000000</v>
      </c>
      <c r="M10" s="102"/>
      <c r="N10" s="102">
        <v>681918300000</v>
      </c>
      <c r="O10" s="102"/>
      <c r="P10" s="102">
        <v>-522112581443</v>
      </c>
      <c r="Q10" s="102"/>
      <c r="R10" s="102">
        <f t="shared" si="0"/>
        <v>159805718557</v>
      </c>
      <c r="S10" s="271"/>
      <c r="T10" s="118"/>
      <c r="U10" s="179"/>
      <c r="V10" s="191"/>
      <c r="W10" s="191"/>
      <c r="X10" s="190"/>
      <c r="Y10" s="190"/>
      <c r="Z10" s="195"/>
      <c r="AA10" s="190"/>
    </row>
    <row r="11" spans="2:29" s="194" customFormat="1" ht="30" customHeight="1" x14ac:dyDescent="0.25">
      <c r="B11" s="193" t="s">
        <v>115</v>
      </c>
      <c r="C11" s="193"/>
      <c r="D11" s="102">
        <v>163990997</v>
      </c>
      <c r="E11" s="102"/>
      <c r="F11" s="102">
        <v>199530666695</v>
      </c>
      <c r="G11" s="102"/>
      <c r="H11" s="102">
        <v>-177781763886</v>
      </c>
      <c r="I11" s="102"/>
      <c r="J11" s="102">
        <v>61958845030</v>
      </c>
      <c r="K11" s="102"/>
      <c r="L11" s="102">
        <v>163990997</v>
      </c>
      <c r="M11" s="102"/>
      <c r="N11" s="102">
        <v>199530666695</v>
      </c>
      <c r="O11" s="102"/>
      <c r="P11" s="102">
        <v>-181303122037</v>
      </c>
      <c r="Q11" s="102"/>
      <c r="R11" s="102">
        <f t="shared" si="0"/>
        <v>18227544658</v>
      </c>
      <c r="S11" s="271"/>
      <c r="T11" s="118"/>
      <c r="U11" s="179"/>
      <c r="V11" s="191"/>
      <c r="W11" s="191"/>
      <c r="X11" s="190"/>
      <c r="Y11" s="190"/>
      <c r="Z11" s="195"/>
      <c r="AA11" s="190"/>
    </row>
    <row r="12" spans="2:29" s="194" customFormat="1" ht="30" customHeight="1" x14ac:dyDescent="0.25">
      <c r="B12" s="193" t="s">
        <v>142</v>
      </c>
      <c r="C12" s="193"/>
      <c r="D12" s="102">
        <v>30000000</v>
      </c>
      <c r="E12" s="102"/>
      <c r="F12" s="102">
        <v>166702185000</v>
      </c>
      <c r="G12" s="102"/>
      <c r="H12" s="102">
        <v>-169268090117</v>
      </c>
      <c r="I12" s="102"/>
      <c r="J12" s="102">
        <f t="shared" si="1"/>
        <v>-2565905117</v>
      </c>
      <c r="K12" s="102"/>
      <c r="L12" s="102">
        <v>30000000</v>
      </c>
      <c r="M12" s="102"/>
      <c r="N12" s="102">
        <v>166702185000</v>
      </c>
      <c r="O12" s="102"/>
      <c r="P12" s="102">
        <v>-222281924338</v>
      </c>
      <c r="Q12" s="102"/>
      <c r="R12" s="102">
        <f t="shared" si="0"/>
        <v>-55579739338</v>
      </c>
      <c r="S12" s="271"/>
      <c r="T12" s="118"/>
      <c r="U12" s="179"/>
      <c r="V12" s="191"/>
      <c r="W12" s="191"/>
      <c r="X12" s="190"/>
      <c r="Y12" s="190"/>
      <c r="Z12" s="195"/>
      <c r="AA12" s="190"/>
    </row>
    <row r="13" spans="2:29" s="194" customFormat="1" ht="30" customHeight="1" x14ac:dyDescent="0.25">
      <c r="B13" s="193" t="s">
        <v>202</v>
      </c>
      <c r="C13" s="193"/>
      <c r="D13" s="102">
        <v>7000000</v>
      </c>
      <c r="E13" s="102"/>
      <c r="F13" s="102">
        <v>105697336500</v>
      </c>
      <c r="G13" s="102"/>
      <c r="H13" s="102">
        <v>-97903984500</v>
      </c>
      <c r="I13" s="102"/>
      <c r="J13" s="102">
        <f t="shared" ref="J13:J63" si="2">F13+H13</f>
        <v>7793352000</v>
      </c>
      <c r="K13" s="102"/>
      <c r="L13" s="102">
        <v>7000000</v>
      </c>
      <c r="M13" s="102"/>
      <c r="N13" s="102">
        <v>105697336500</v>
      </c>
      <c r="O13" s="102"/>
      <c r="P13" s="102">
        <v>-121613302376</v>
      </c>
      <c r="Q13" s="102"/>
      <c r="R13" s="102">
        <f t="shared" si="0"/>
        <v>-15915965876</v>
      </c>
      <c r="S13" s="271"/>
      <c r="T13" s="118"/>
      <c r="U13" s="179"/>
      <c r="V13" s="191"/>
      <c r="W13" s="191"/>
      <c r="X13" s="190"/>
      <c r="Y13" s="190"/>
      <c r="Z13" s="195"/>
      <c r="AA13" s="190"/>
    </row>
    <row r="14" spans="2:29" s="194" customFormat="1" ht="30" customHeight="1" x14ac:dyDescent="0.25">
      <c r="B14" s="193" t="s">
        <v>113</v>
      </c>
      <c r="C14" s="193"/>
      <c r="D14" s="102">
        <v>119200000</v>
      </c>
      <c r="E14" s="102"/>
      <c r="F14" s="102">
        <v>63037084320</v>
      </c>
      <c r="G14" s="102"/>
      <c r="H14" s="102">
        <v>-51614401149</v>
      </c>
      <c r="I14" s="102"/>
      <c r="J14" s="102">
        <f t="shared" si="2"/>
        <v>11422683171</v>
      </c>
      <c r="K14" s="102"/>
      <c r="L14" s="102">
        <v>119200000</v>
      </c>
      <c r="M14" s="102"/>
      <c r="N14" s="102">
        <v>63037084320</v>
      </c>
      <c r="O14" s="102"/>
      <c r="P14" s="102">
        <v>-60338503525</v>
      </c>
      <c r="Q14" s="102"/>
      <c r="R14" s="102">
        <f t="shared" si="0"/>
        <v>2698580795</v>
      </c>
      <c r="S14" s="271"/>
      <c r="T14" s="118"/>
      <c r="U14" s="179"/>
      <c r="V14" s="191"/>
      <c r="W14" s="191"/>
      <c r="X14" s="190"/>
      <c r="Y14" s="190"/>
      <c r="Z14" s="195"/>
      <c r="AA14" s="190"/>
    </row>
    <row r="15" spans="2:29" s="194" customFormat="1" ht="30" customHeight="1" x14ac:dyDescent="0.25">
      <c r="B15" s="193" t="s">
        <v>147</v>
      </c>
      <c r="C15" s="193"/>
      <c r="D15" s="102">
        <v>2000000</v>
      </c>
      <c r="E15" s="102"/>
      <c r="F15" s="102">
        <v>22067910000</v>
      </c>
      <c r="G15" s="102"/>
      <c r="H15" s="102">
        <v>11470876297</v>
      </c>
      <c r="I15" s="102"/>
      <c r="J15" s="102">
        <f t="shared" si="2"/>
        <v>33538786297</v>
      </c>
      <c r="K15" s="102"/>
      <c r="L15" s="102">
        <v>2000000</v>
      </c>
      <c r="M15" s="102"/>
      <c r="N15" s="102">
        <v>22067910000</v>
      </c>
      <c r="O15" s="102"/>
      <c r="P15" s="102">
        <v>-26029084080</v>
      </c>
      <c r="Q15" s="102"/>
      <c r="R15" s="102">
        <f t="shared" si="0"/>
        <v>-3961174080</v>
      </c>
      <c r="S15" s="271"/>
      <c r="T15" s="118"/>
      <c r="U15" s="179"/>
      <c r="V15" s="191"/>
      <c r="W15" s="191"/>
      <c r="X15" s="190"/>
      <c r="Y15" s="190"/>
      <c r="Z15" s="195"/>
      <c r="AA15" s="190"/>
    </row>
    <row r="16" spans="2:29" s="194" customFormat="1" ht="30" customHeight="1" x14ac:dyDescent="0.25">
      <c r="B16" s="193" t="s">
        <v>148</v>
      </c>
      <c r="C16" s="193"/>
      <c r="D16" s="102">
        <v>1000</v>
      </c>
      <c r="E16" s="102"/>
      <c r="F16" s="102">
        <v>465215</v>
      </c>
      <c r="G16" s="102"/>
      <c r="H16" s="102">
        <v>-389667</v>
      </c>
      <c r="I16" s="102"/>
      <c r="J16" s="102">
        <f t="shared" si="2"/>
        <v>75548</v>
      </c>
      <c r="K16" s="102"/>
      <c r="L16" s="102">
        <v>1000</v>
      </c>
      <c r="M16" s="102"/>
      <c r="N16" s="102">
        <v>465215</v>
      </c>
      <c r="O16" s="102"/>
      <c r="P16" s="102">
        <v>-631828</v>
      </c>
      <c r="Q16" s="102"/>
      <c r="R16" s="102">
        <f t="shared" si="0"/>
        <v>-166613</v>
      </c>
      <c r="S16" s="271"/>
      <c r="T16" s="118"/>
      <c r="U16" s="179"/>
      <c r="V16" s="191"/>
      <c r="W16" s="191"/>
      <c r="X16" s="190"/>
      <c r="Y16" s="190"/>
      <c r="Z16" s="195"/>
      <c r="AA16" s="190"/>
    </row>
    <row r="17" spans="2:27" s="194" customFormat="1" ht="30" customHeight="1" x14ac:dyDescent="0.25">
      <c r="B17" s="193" t="s">
        <v>130</v>
      </c>
      <c r="C17" s="193"/>
      <c r="D17" s="102">
        <v>1000</v>
      </c>
      <c r="E17" s="102"/>
      <c r="F17" s="102">
        <v>2018915</v>
      </c>
      <c r="G17" s="102"/>
      <c r="H17" s="102">
        <v>-1646146</v>
      </c>
      <c r="I17" s="102"/>
      <c r="J17" s="102">
        <f t="shared" si="2"/>
        <v>372769</v>
      </c>
      <c r="K17" s="102"/>
      <c r="L17" s="102">
        <v>1000</v>
      </c>
      <c r="M17" s="102"/>
      <c r="N17" s="102">
        <v>2018915</v>
      </c>
      <c r="O17" s="102"/>
      <c r="P17" s="102">
        <v>-2282542</v>
      </c>
      <c r="Q17" s="102"/>
      <c r="R17" s="102">
        <f t="shared" si="0"/>
        <v>-263627</v>
      </c>
      <c r="S17" s="271"/>
      <c r="T17" s="118"/>
      <c r="U17" s="179"/>
      <c r="V17" s="191"/>
      <c r="W17" s="191"/>
      <c r="X17" s="190"/>
      <c r="Y17" s="190"/>
      <c r="Z17" s="195"/>
      <c r="AA17" s="190"/>
    </row>
    <row r="18" spans="2:27" s="194" customFormat="1" ht="30" customHeight="1" x14ac:dyDescent="0.25">
      <c r="B18" s="193" t="s">
        <v>133</v>
      </c>
      <c r="C18" s="193"/>
      <c r="D18" s="102">
        <v>330000000</v>
      </c>
      <c r="E18" s="102"/>
      <c r="F18" s="102">
        <v>407749369500</v>
      </c>
      <c r="G18" s="102"/>
      <c r="H18" s="102">
        <v>-380526821914</v>
      </c>
      <c r="I18" s="102"/>
      <c r="J18" s="102">
        <f t="shared" si="2"/>
        <v>27222547586</v>
      </c>
      <c r="K18" s="102"/>
      <c r="L18" s="102">
        <v>330000000</v>
      </c>
      <c r="M18" s="102"/>
      <c r="N18" s="102">
        <v>407749369500</v>
      </c>
      <c r="O18" s="102"/>
      <c r="P18" s="102">
        <v>-522444578886</v>
      </c>
      <c r="Q18" s="102"/>
      <c r="R18" s="102">
        <f t="shared" si="0"/>
        <v>-114695209386</v>
      </c>
      <c r="S18" s="271"/>
      <c r="T18" s="118"/>
      <c r="U18" s="179"/>
      <c r="V18" s="191"/>
      <c r="W18" s="191"/>
      <c r="X18" s="190"/>
      <c r="Y18" s="190"/>
      <c r="Z18" s="195"/>
      <c r="AA18" s="190"/>
    </row>
    <row r="19" spans="2:27" s="194" customFormat="1" ht="30" customHeight="1" x14ac:dyDescent="0.25">
      <c r="B19" s="193" t="s">
        <v>146</v>
      </c>
      <c r="C19" s="193"/>
      <c r="D19" s="102">
        <v>6000000</v>
      </c>
      <c r="E19" s="102"/>
      <c r="F19" s="102">
        <v>214834086000</v>
      </c>
      <c r="G19" s="102"/>
      <c r="H19" s="102">
        <v>-185180792294</v>
      </c>
      <c r="I19" s="102"/>
      <c r="J19" s="102">
        <f t="shared" si="2"/>
        <v>29653293706</v>
      </c>
      <c r="K19" s="102"/>
      <c r="L19" s="102">
        <v>6000000</v>
      </c>
      <c r="M19" s="102"/>
      <c r="N19" s="102">
        <v>214834086000</v>
      </c>
      <c r="O19" s="102"/>
      <c r="P19" s="102">
        <v>-221563793094</v>
      </c>
      <c r="Q19" s="102"/>
      <c r="R19" s="102">
        <f t="shared" si="0"/>
        <v>-6729707094</v>
      </c>
      <c r="S19" s="271"/>
      <c r="T19" s="118"/>
      <c r="U19" s="179"/>
      <c r="V19" s="191"/>
      <c r="W19" s="191"/>
      <c r="X19" s="190"/>
      <c r="Y19" s="190"/>
      <c r="Z19" s="195"/>
      <c r="AA19" s="190"/>
    </row>
    <row r="20" spans="2:27" s="194" customFormat="1" ht="30" customHeight="1" x14ac:dyDescent="0.25">
      <c r="B20" s="193" t="s">
        <v>121</v>
      </c>
      <c r="C20" s="193"/>
      <c r="D20" s="102">
        <v>1000</v>
      </c>
      <c r="E20" s="102"/>
      <c r="F20" s="102">
        <v>42942960</v>
      </c>
      <c r="G20" s="102"/>
      <c r="H20" s="102">
        <v>-35189370</v>
      </c>
      <c r="I20" s="102"/>
      <c r="J20" s="102">
        <f t="shared" si="2"/>
        <v>7753590</v>
      </c>
      <c r="K20" s="102"/>
      <c r="L20" s="102">
        <v>1000</v>
      </c>
      <c r="M20" s="102"/>
      <c r="N20" s="102">
        <v>42942960</v>
      </c>
      <c r="O20" s="102"/>
      <c r="P20" s="102">
        <v>-68175654</v>
      </c>
      <c r="Q20" s="102"/>
      <c r="R20" s="102">
        <f t="shared" si="0"/>
        <v>-25232694</v>
      </c>
      <c r="S20" s="271"/>
      <c r="T20" s="118"/>
      <c r="U20" s="179"/>
      <c r="V20" s="191"/>
      <c r="W20" s="191"/>
      <c r="X20" s="190"/>
      <c r="Y20" s="190"/>
      <c r="Z20" s="195"/>
      <c r="AA20" s="190"/>
    </row>
    <row r="21" spans="2:27" s="194" customFormat="1" ht="30" customHeight="1" x14ac:dyDescent="0.25">
      <c r="B21" s="193" t="s">
        <v>201</v>
      </c>
      <c r="C21" s="193"/>
      <c r="D21" s="102">
        <v>100000</v>
      </c>
      <c r="E21" s="102"/>
      <c r="F21" s="102">
        <v>3002031000</v>
      </c>
      <c r="G21" s="102"/>
      <c r="H21" s="102">
        <v>-2862864000</v>
      </c>
      <c r="I21" s="102"/>
      <c r="J21" s="102">
        <f t="shared" si="2"/>
        <v>139167000</v>
      </c>
      <c r="K21" s="102"/>
      <c r="L21" s="102">
        <v>100000</v>
      </c>
      <c r="M21" s="102"/>
      <c r="N21" s="102">
        <v>3002031000</v>
      </c>
      <c r="O21" s="102"/>
      <c r="P21" s="102">
        <v>-2601866800</v>
      </c>
      <c r="Q21" s="102"/>
      <c r="R21" s="102">
        <f t="shared" si="0"/>
        <v>400164200</v>
      </c>
      <c r="S21" s="271"/>
      <c r="T21" s="118"/>
      <c r="U21" s="179"/>
      <c r="V21" s="191"/>
      <c r="W21" s="191"/>
      <c r="X21" s="190"/>
      <c r="Y21" s="190"/>
      <c r="Z21" s="195"/>
      <c r="AA21" s="190"/>
    </row>
    <row r="22" spans="2:27" s="194" customFormat="1" ht="30" customHeight="1" x14ac:dyDescent="0.25">
      <c r="B22" s="193" t="s">
        <v>129</v>
      </c>
      <c r="C22" s="193"/>
      <c r="D22" s="102">
        <v>1000</v>
      </c>
      <c r="E22" s="102"/>
      <c r="F22" s="102">
        <v>470185</v>
      </c>
      <c r="G22" s="102"/>
      <c r="H22" s="102">
        <v>-384697</v>
      </c>
      <c r="I22" s="102"/>
      <c r="J22" s="102">
        <f t="shared" si="2"/>
        <v>85488</v>
      </c>
      <c r="K22" s="102"/>
      <c r="L22" s="102">
        <v>1000</v>
      </c>
      <c r="M22" s="102"/>
      <c r="N22" s="102">
        <v>470185</v>
      </c>
      <c r="O22" s="102"/>
      <c r="P22" s="102">
        <v>-483356</v>
      </c>
      <c r="Q22" s="102"/>
      <c r="R22" s="102">
        <f t="shared" si="0"/>
        <v>-13171</v>
      </c>
      <c r="S22" s="271"/>
      <c r="T22" s="118"/>
      <c r="U22" s="179"/>
      <c r="V22" s="191"/>
      <c r="W22" s="191"/>
      <c r="X22" s="190"/>
      <c r="Y22" s="190"/>
      <c r="Z22" s="195"/>
      <c r="AA22" s="190"/>
    </row>
    <row r="23" spans="2:27" s="194" customFormat="1" ht="30" customHeight="1" x14ac:dyDescent="0.25">
      <c r="B23" s="193" t="s">
        <v>134</v>
      </c>
      <c r="C23" s="193"/>
      <c r="D23" s="102">
        <v>12000000</v>
      </c>
      <c r="E23" s="102"/>
      <c r="F23" s="102">
        <v>182507580000</v>
      </c>
      <c r="G23" s="102"/>
      <c r="H23" s="102">
        <v>-148001265521</v>
      </c>
      <c r="I23" s="102"/>
      <c r="J23" s="102">
        <f t="shared" si="2"/>
        <v>34506314479</v>
      </c>
      <c r="K23" s="102"/>
      <c r="L23" s="102">
        <v>12000000</v>
      </c>
      <c r="M23" s="102"/>
      <c r="N23" s="102">
        <v>182507580000</v>
      </c>
      <c r="O23" s="102"/>
      <c r="P23" s="102">
        <v>-285250679037</v>
      </c>
      <c r="Q23" s="102"/>
      <c r="R23" s="102">
        <f t="shared" si="0"/>
        <v>-102743099037</v>
      </c>
      <c r="S23" s="271"/>
      <c r="T23" s="118"/>
      <c r="U23" s="179"/>
      <c r="V23" s="191"/>
      <c r="W23" s="191"/>
      <c r="X23" s="190"/>
      <c r="Y23" s="190"/>
      <c r="Z23" s="195"/>
      <c r="AA23" s="190"/>
    </row>
    <row r="24" spans="2:27" s="194" customFormat="1" ht="30" customHeight="1" x14ac:dyDescent="0.25">
      <c r="B24" s="193" t="s">
        <v>198</v>
      </c>
      <c r="C24" s="193"/>
      <c r="D24" s="102">
        <v>659600</v>
      </c>
      <c r="E24" s="102"/>
      <c r="F24" s="102">
        <v>668788887</v>
      </c>
      <c r="G24" s="102"/>
      <c r="H24" s="102">
        <v>-573060282</v>
      </c>
      <c r="I24" s="102"/>
      <c r="J24" s="102">
        <f t="shared" si="2"/>
        <v>95728605</v>
      </c>
      <c r="K24" s="102"/>
      <c r="L24" s="102">
        <v>659600</v>
      </c>
      <c r="M24" s="102"/>
      <c r="N24" s="102">
        <v>668788887</v>
      </c>
      <c r="O24" s="102"/>
      <c r="P24" s="102">
        <v>-457102800</v>
      </c>
      <c r="Q24" s="102"/>
      <c r="R24" s="102">
        <f>N24+P24</f>
        <v>211686087</v>
      </c>
      <c r="S24" s="271"/>
      <c r="T24" s="118"/>
      <c r="U24" s="179"/>
      <c r="V24" s="191"/>
      <c r="W24" s="191"/>
      <c r="X24" s="190"/>
      <c r="Y24" s="190"/>
      <c r="Z24" s="195"/>
      <c r="AA24" s="190"/>
    </row>
    <row r="25" spans="2:27" s="194" customFormat="1" ht="23.25" customHeight="1" x14ac:dyDescent="0.25">
      <c r="B25" s="193" t="s">
        <v>184</v>
      </c>
      <c r="C25" s="193"/>
      <c r="D25" s="102">
        <v>25000000</v>
      </c>
      <c r="E25" s="102"/>
      <c r="F25" s="102">
        <v>57654900000</v>
      </c>
      <c r="G25" s="102"/>
      <c r="H25" s="102">
        <v>-54313376001</v>
      </c>
      <c r="I25" s="102"/>
      <c r="J25" s="102">
        <f t="shared" si="2"/>
        <v>3341523999</v>
      </c>
      <c r="K25" s="102"/>
      <c r="L25" s="102">
        <v>25000000</v>
      </c>
      <c r="M25" s="102"/>
      <c r="N25" s="102">
        <v>57654900000</v>
      </c>
      <c r="O25" s="102"/>
      <c r="P25" s="102">
        <v>-52100853316</v>
      </c>
      <c r="Q25" s="102"/>
      <c r="R25" s="102">
        <f t="shared" si="0"/>
        <v>5554046684</v>
      </c>
      <c r="S25" s="271"/>
      <c r="T25" s="118"/>
      <c r="U25" s="179"/>
      <c r="V25" s="191"/>
      <c r="W25" s="191"/>
      <c r="X25" s="190"/>
      <c r="Y25" s="190"/>
      <c r="Z25" s="195"/>
      <c r="AA25" s="190"/>
    </row>
    <row r="26" spans="2:27" s="194" customFormat="1" ht="23.25" customHeight="1" x14ac:dyDescent="0.25">
      <c r="B26" s="193" t="s">
        <v>122</v>
      </c>
      <c r="C26" s="193"/>
      <c r="D26" s="102">
        <v>1000000</v>
      </c>
      <c r="E26" s="102"/>
      <c r="F26" s="102">
        <v>44523499500</v>
      </c>
      <c r="G26" s="102"/>
      <c r="H26" s="102">
        <v>-34553178000</v>
      </c>
      <c r="I26" s="102"/>
      <c r="J26" s="102">
        <f t="shared" si="2"/>
        <v>9970321500</v>
      </c>
      <c r="K26" s="102"/>
      <c r="L26" s="102">
        <v>1000000</v>
      </c>
      <c r="M26" s="102"/>
      <c r="N26" s="102">
        <v>44523499500</v>
      </c>
      <c r="O26" s="102"/>
      <c r="P26" s="102">
        <v>-43658676143</v>
      </c>
      <c r="Q26" s="102"/>
      <c r="R26" s="102">
        <f t="shared" si="0"/>
        <v>864823357</v>
      </c>
      <c r="S26" s="271"/>
      <c r="T26" s="118"/>
      <c r="U26" s="179"/>
      <c r="V26" s="191"/>
      <c r="W26" s="191"/>
      <c r="X26" s="190"/>
      <c r="Y26" s="190"/>
      <c r="Z26" s="195"/>
      <c r="AA26" s="190"/>
    </row>
    <row r="27" spans="2:27" s="194" customFormat="1" ht="23.25" customHeight="1" x14ac:dyDescent="0.25">
      <c r="B27" s="193" t="s">
        <v>196</v>
      </c>
      <c r="C27" s="193"/>
      <c r="D27" s="102">
        <v>30000000</v>
      </c>
      <c r="E27" s="102"/>
      <c r="F27" s="102">
        <v>126204588000</v>
      </c>
      <c r="G27" s="102"/>
      <c r="H27" s="102">
        <v>-106224183000</v>
      </c>
      <c r="I27" s="102"/>
      <c r="J27" s="102">
        <f t="shared" si="2"/>
        <v>19980405000</v>
      </c>
      <c r="K27" s="102"/>
      <c r="L27" s="102">
        <v>30000000</v>
      </c>
      <c r="M27" s="102"/>
      <c r="N27" s="102">
        <v>126204588000</v>
      </c>
      <c r="O27" s="102"/>
      <c r="P27" s="102">
        <v>-113395047697</v>
      </c>
      <c r="Q27" s="102"/>
      <c r="R27" s="102">
        <f t="shared" si="0"/>
        <v>12809540303</v>
      </c>
      <c r="S27" s="271"/>
      <c r="T27" s="118"/>
      <c r="U27" s="179"/>
      <c r="V27" s="191"/>
      <c r="W27" s="191"/>
      <c r="X27" s="190"/>
      <c r="Y27" s="190"/>
      <c r="Z27" s="195"/>
      <c r="AA27" s="190"/>
    </row>
    <row r="28" spans="2:27" s="194" customFormat="1" ht="23.25" customHeight="1" x14ac:dyDescent="0.25">
      <c r="B28" s="193" t="s">
        <v>119</v>
      </c>
      <c r="C28" s="193"/>
      <c r="D28" s="102">
        <v>49200000</v>
      </c>
      <c r="E28" s="102"/>
      <c r="F28" s="102">
        <v>137331586080</v>
      </c>
      <c r="G28" s="102"/>
      <c r="H28" s="102">
        <v>-92393608554</v>
      </c>
      <c r="I28" s="102"/>
      <c r="J28" s="102">
        <f t="shared" si="2"/>
        <v>44937977526</v>
      </c>
      <c r="K28" s="102"/>
      <c r="L28" s="102">
        <v>49200000</v>
      </c>
      <c r="M28" s="102"/>
      <c r="N28" s="102">
        <v>137331586080</v>
      </c>
      <c r="O28" s="102"/>
      <c r="P28" s="102">
        <v>-176644397146</v>
      </c>
      <c r="Q28" s="102"/>
      <c r="R28" s="102">
        <f t="shared" si="0"/>
        <v>-39312811066</v>
      </c>
      <c r="S28" s="271"/>
      <c r="T28" s="118"/>
      <c r="U28" s="179"/>
      <c r="V28" s="191"/>
      <c r="W28" s="191"/>
      <c r="X28" s="190"/>
      <c r="Y28" s="190"/>
      <c r="Z28" s="195"/>
      <c r="AA28" s="190"/>
    </row>
    <row r="29" spans="2:27" s="194" customFormat="1" ht="23.25" customHeight="1" x14ac:dyDescent="0.25">
      <c r="B29" s="193" t="s">
        <v>243</v>
      </c>
      <c r="C29" s="193"/>
      <c r="D29" s="102">
        <v>20000000</v>
      </c>
      <c r="E29" s="102"/>
      <c r="F29" s="102">
        <v>54056439000</v>
      </c>
      <c r="G29" s="102"/>
      <c r="H29" s="102">
        <v>-51445711257</v>
      </c>
      <c r="I29" s="102"/>
      <c r="J29" s="102">
        <f t="shared" si="2"/>
        <v>2610727743</v>
      </c>
      <c r="K29" s="102"/>
      <c r="L29" s="102">
        <v>20000000</v>
      </c>
      <c r="M29" s="102"/>
      <c r="N29" s="102">
        <v>54056439000</v>
      </c>
      <c r="O29" s="102"/>
      <c r="P29" s="102">
        <v>-51445711257</v>
      </c>
      <c r="Q29" s="102"/>
      <c r="R29" s="102">
        <f t="shared" si="0"/>
        <v>2610727743</v>
      </c>
      <c r="S29" s="271"/>
      <c r="T29" s="118"/>
      <c r="U29" s="179"/>
      <c r="V29" s="191"/>
      <c r="W29" s="191"/>
      <c r="X29" s="190"/>
      <c r="Y29" s="190"/>
      <c r="Z29" s="195"/>
      <c r="AA29" s="190"/>
    </row>
    <row r="30" spans="2:27" s="194" customFormat="1" ht="23.25" customHeight="1" x14ac:dyDescent="0.25">
      <c r="B30" s="193" t="s">
        <v>105</v>
      </c>
      <c r="C30" s="193"/>
      <c r="D30" s="102">
        <v>135000000</v>
      </c>
      <c r="E30" s="102"/>
      <c r="F30" s="102">
        <v>272687796000</v>
      </c>
      <c r="G30" s="102"/>
      <c r="H30" s="102">
        <v>-224443558813</v>
      </c>
      <c r="I30" s="102"/>
      <c r="J30" s="102">
        <f t="shared" si="2"/>
        <v>48244237187</v>
      </c>
      <c r="K30" s="102"/>
      <c r="L30" s="102">
        <v>135000000</v>
      </c>
      <c r="M30" s="102"/>
      <c r="N30" s="102">
        <v>272687796000</v>
      </c>
      <c r="O30" s="102"/>
      <c r="P30" s="102">
        <v>-224444297383</v>
      </c>
      <c r="Q30" s="102"/>
      <c r="R30" s="102">
        <f t="shared" si="0"/>
        <v>48243498617</v>
      </c>
      <c r="S30" s="271"/>
      <c r="T30" s="118"/>
      <c r="U30" s="179"/>
      <c r="V30" s="191"/>
      <c r="W30" s="191"/>
      <c r="X30" s="190"/>
      <c r="Y30" s="190"/>
      <c r="Z30" s="195"/>
      <c r="AA30" s="190"/>
    </row>
    <row r="31" spans="2:27" s="194" customFormat="1" ht="23.25" customHeight="1" x14ac:dyDescent="0.25">
      <c r="B31" s="193" t="s">
        <v>186</v>
      </c>
      <c r="C31" s="193"/>
      <c r="D31" s="102">
        <v>60000000</v>
      </c>
      <c r="E31" s="102"/>
      <c r="F31" s="102">
        <v>109325619000</v>
      </c>
      <c r="G31" s="102"/>
      <c r="H31" s="102">
        <v>-90657360000</v>
      </c>
      <c r="I31" s="102"/>
      <c r="J31" s="102">
        <f t="shared" si="2"/>
        <v>18668259000</v>
      </c>
      <c r="K31" s="102"/>
      <c r="L31" s="102">
        <v>60000000</v>
      </c>
      <c r="M31" s="102"/>
      <c r="N31" s="102">
        <v>109325619000</v>
      </c>
      <c r="O31" s="102"/>
      <c r="P31" s="102">
        <v>-98042294767</v>
      </c>
      <c r="Q31" s="102"/>
      <c r="R31" s="102">
        <f t="shared" si="0"/>
        <v>11283324233</v>
      </c>
      <c r="S31" s="271"/>
      <c r="T31" s="118"/>
      <c r="U31" s="179"/>
      <c r="V31" s="191"/>
      <c r="W31" s="191"/>
      <c r="X31" s="190"/>
      <c r="Y31" s="190"/>
      <c r="Z31" s="195"/>
      <c r="AA31" s="190"/>
    </row>
    <row r="32" spans="2:27" s="194" customFormat="1" ht="23.25" customHeight="1" x14ac:dyDescent="0.25">
      <c r="B32" s="193" t="s">
        <v>168</v>
      </c>
      <c r="C32" s="193"/>
      <c r="D32" s="102">
        <v>369853</v>
      </c>
      <c r="E32" s="102"/>
      <c r="F32" s="102">
        <v>9294252031</v>
      </c>
      <c r="G32" s="102"/>
      <c r="H32" s="102">
        <v>-8880735038</v>
      </c>
      <c r="I32" s="102"/>
      <c r="J32" s="102">
        <f t="shared" si="2"/>
        <v>413516993</v>
      </c>
      <c r="K32" s="102"/>
      <c r="L32" s="102">
        <v>369853</v>
      </c>
      <c r="M32" s="102"/>
      <c r="N32" s="102">
        <v>9294252031</v>
      </c>
      <c r="O32" s="102"/>
      <c r="P32" s="102">
        <v>-8877921876</v>
      </c>
      <c r="Q32" s="102"/>
      <c r="R32" s="102">
        <f t="shared" si="0"/>
        <v>416330155</v>
      </c>
      <c r="S32" s="271"/>
      <c r="T32" s="118"/>
      <c r="U32" s="179"/>
      <c r="V32" s="191"/>
      <c r="W32" s="191"/>
      <c r="X32" s="190"/>
      <c r="Y32" s="190"/>
      <c r="Z32" s="195"/>
      <c r="AA32" s="190"/>
    </row>
    <row r="33" spans="2:27" s="194" customFormat="1" ht="23.25" customHeight="1" x14ac:dyDescent="0.25">
      <c r="B33" s="193" t="s">
        <v>114</v>
      </c>
      <c r="C33" s="193"/>
      <c r="D33" s="102">
        <v>1000</v>
      </c>
      <c r="E33" s="102"/>
      <c r="F33" s="102">
        <v>5068660</v>
      </c>
      <c r="G33" s="102"/>
      <c r="H33" s="102">
        <v>-4291313</v>
      </c>
      <c r="I33" s="102"/>
      <c r="J33" s="102">
        <f t="shared" si="2"/>
        <v>777347</v>
      </c>
      <c r="K33" s="102"/>
      <c r="L33" s="102">
        <v>1000</v>
      </c>
      <c r="M33" s="102"/>
      <c r="N33" s="102">
        <v>5068660</v>
      </c>
      <c r="O33" s="102"/>
      <c r="P33" s="102">
        <v>-1846946</v>
      </c>
      <c r="Q33" s="102"/>
      <c r="R33" s="102">
        <f t="shared" si="0"/>
        <v>3221714</v>
      </c>
      <c r="S33" s="271"/>
      <c r="T33" s="118"/>
      <c r="U33" s="179"/>
      <c r="V33" s="191"/>
      <c r="W33" s="191"/>
      <c r="X33" s="190"/>
      <c r="Y33" s="190"/>
      <c r="Z33" s="195"/>
      <c r="AA33" s="190"/>
    </row>
    <row r="34" spans="2:27" s="194" customFormat="1" ht="23.25" customHeight="1" x14ac:dyDescent="0.25">
      <c r="B34" s="193" t="s">
        <v>139</v>
      </c>
      <c r="C34" s="193"/>
      <c r="D34" s="102">
        <v>6000000</v>
      </c>
      <c r="E34" s="102"/>
      <c r="F34" s="102">
        <v>2880756900</v>
      </c>
      <c r="G34" s="102"/>
      <c r="H34" s="102">
        <v>-2367827100</v>
      </c>
      <c r="I34" s="102"/>
      <c r="J34" s="102">
        <f t="shared" si="2"/>
        <v>512929800</v>
      </c>
      <c r="K34" s="102"/>
      <c r="L34" s="102">
        <v>6000000</v>
      </c>
      <c r="M34" s="102"/>
      <c r="N34" s="102">
        <v>2880756900</v>
      </c>
      <c r="O34" s="102"/>
      <c r="P34" s="102">
        <v>-2298934996</v>
      </c>
      <c r="Q34" s="102"/>
      <c r="R34" s="102">
        <f>N34+P34</f>
        <v>581821904</v>
      </c>
      <c r="S34" s="271"/>
      <c r="T34" s="118"/>
      <c r="U34" s="179"/>
      <c r="V34" s="191"/>
      <c r="W34" s="191"/>
      <c r="X34" s="190"/>
      <c r="Y34" s="190"/>
      <c r="Z34" s="195"/>
      <c r="AA34" s="190"/>
    </row>
    <row r="35" spans="2:27" s="194" customFormat="1" ht="23.25" customHeight="1" x14ac:dyDescent="0.25">
      <c r="B35" s="193" t="s">
        <v>161</v>
      </c>
      <c r="C35" s="193"/>
      <c r="D35" s="102">
        <v>232900</v>
      </c>
      <c r="E35" s="102"/>
      <c r="F35" s="102">
        <v>467658774</v>
      </c>
      <c r="G35" s="102"/>
      <c r="H35" s="102">
        <v>-433857695</v>
      </c>
      <c r="I35" s="102"/>
      <c r="J35" s="102">
        <f t="shared" si="2"/>
        <v>33801079</v>
      </c>
      <c r="K35" s="102"/>
      <c r="L35" s="102">
        <v>232900</v>
      </c>
      <c r="M35" s="102"/>
      <c r="N35" s="102">
        <v>467658774</v>
      </c>
      <c r="O35" s="102"/>
      <c r="P35" s="102">
        <v>-522807947</v>
      </c>
      <c r="Q35" s="102"/>
      <c r="R35" s="102">
        <f t="shared" si="0"/>
        <v>-55149173</v>
      </c>
      <c r="S35" s="271"/>
      <c r="T35" s="118"/>
      <c r="U35" s="179"/>
      <c r="V35" s="191"/>
      <c r="W35" s="191"/>
      <c r="X35" s="190"/>
      <c r="Y35" s="190"/>
      <c r="Z35" s="195"/>
      <c r="AA35" s="190"/>
    </row>
    <row r="36" spans="2:27" s="194" customFormat="1" ht="23.25" customHeight="1" x14ac:dyDescent="0.25">
      <c r="B36" s="193" t="s">
        <v>144</v>
      </c>
      <c r="C36" s="193"/>
      <c r="D36" s="102">
        <v>1000</v>
      </c>
      <c r="E36" s="102"/>
      <c r="F36" s="102">
        <v>55219477</v>
      </c>
      <c r="G36" s="102"/>
      <c r="H36" s="102">
        <v>-47058327</v>
      </c>
      <c r="I36" s="102"/>
      <c r="J36" s="102">
        <f t="shared" si="2"/>
        <v>8161150</v>
      </c>
      <c r="K36" s="102"/>
      <c r="L36" s="102">
        <v>1000</v>
      </c>
      <c r="M36" s="102"/>
      <c r="N36" s="102">
        <v>55219477</v>
      </c>
      <c r="O36" s="102"/>
      <c r="P36" s="102">
        <v>-79176082</v>
      </c>
      <c r="Q36" s="102"/>
      <c r="R36" s="102">
        <f t="shared" si="0"/>
        <v>-23956605</v>
      </c>
      <c r="S36" s="271"/>
      <c r="T36" s="118"/>
      <c r="U36" s="179"/>
      <c r="V36" s="191"/>
      <c r="W36" s="191"/>
      <c r="X36" s="190"/>
      <c r="Y36" s="190"/>
      <c r="Z36" s="195"/>
      <c r="AA36" s="190"/>
    </row>
    <row r="37" spans="2:27" s="194" customFormat="1" ht="23.25" customHeight="1" x14ac:dyDescent="0.25">
      <c r="B37" s="193" t="s">
        <v>206</v>
      </c>
      <c r="C37" s="193"/>
      <c r="D37" s="102">
        <v>15000000</v>
      </c>
      <c r="E37" s="102"/>
      <c r="F37" s="102">
        <v>37709286750</v>
      </c>
      <c r="G37" s="102"/>
      <c r="H37" s="102">
        <v>-33792796481</v>
      </c>
      <c r="I37" s="102"/>
      <c r="J37" s="102">
        <f t="shared" si="2"/>
        <v>3916490269</v>
      </c>
      <c r="K37" s="102"/>
      <c r="L37" s="102">
        <v>15000000</v>
      </c>
      <c r="M37" s="102"/>
      <c r="N37" s="102">
        <v>37709286750</v>
      </c>
      <c r="O37" s="102"/>
      <c r="P37" s="102">
        <v>-37123754740</v>
      </c>
      <c r="Q37" s="102"/>
      <c r="R37" s="102">
        <f t="shared" si="0"/>
        <v>585532010</v>
      </c>
      <c r="S37" s="271"/>
      <c r="T37" s="118"/>
      <c r="U37" s="179"/>
      <c r="V37" s="191"/>
      <c r="W37" s="191"/>
      <c r="X37" s="190"/>
      <c r="Y37" s="190"/>
      <c r="Z37" s="195"/>
      <c r="AA37" s="197"/>
    </row>
    <row r="38" spans="2:27" s="194" customFormat="1" ht="23.25" customHeight="1" x14ac:dyDescent="0.25">
      <c r="B38" s="193" t="s">
        <v>140</v>
      </c>
      <c r="C38" s="193"/>
      <c r="D38" s="102">
        <v>10000000</v>
      </c>
      <c r="E38" s="102"/>
      <c r="F38" s="102">
        <v>236285685000</v>
      </c>
      <c r="G38" s="102"/>
      <c r="H38" s="102">
        <v>-174952800000</v>
      </c>
      <c r="I38" s="102"/>
      <c r="J38" s="102">
        <f t="shared" si="2"/>
        <v>61332885000</v>
      </c>
      <c r="K38" s="102"/>
      <c r="L38" s="102">
        <v>10000000</v>
      </c>
      <c r="M38" s="102"/>
      <c r="N38" s="102">
        <v>236285685000</v>
      </c>
      <c r="O38" s="102"/>
      <c r="P38" s="102">
        <v>-190539440243</v>
      </c>
      <c r="Q38" s="102"/>
      <c r="R38" s="102">
        <f t="shared" si="0"/>
        <v>45746244757</v>
      </c>
      <c r="S38" s="271"/>
      <c r="T38" s="118"/>
      <c r="U38" s="179"/>
      <c r="V38" s="191"/>
      <c r="W38" s="191"/>
      <c r="X38" s="190"/>
      <c r="Y38" s="190"/>
      <c r="Z38" s="195"/>
      <c r="AA38" s="190"/>
    </row>
    <row r="39" spans="2:27" s="194" customFormat="1" x14ac:dyDescent="0.25">
      <c r="B39" s="198" t="s">
        <v>221</v>
      </c>
      <c r="C39" s="199"/>
      <c r="D39" s="200">
        <f>SUM(D7:D38)</f>
        <v>1168760350</v>
      </c>
      <c r="E39" s="199"/>
      <c r="F39" s="200">
        <f>SUM(F7:F38)</f>
        <v>3353775110548</v>
      </c>
      <c r="G39" s="201"/>
      <c r="H39" s="202">
        <f>SUM(H7:H38)</f>
        <v>-2737438182700</v>
      </c>
      <c r="I39" s="203"/>
      <c r="J39" s="202">
        <f>SUM(J7:J38)</f>
        <v>656546870069</v>
      </c>
      <c r="K39" s="203"/>
      <c r="L39" s="130">
        <f>SUM(L7:L38)</f>
        <v>1168760350</v>
      </c>
      <c r="M39" s="203"/>
      <c r="N39" s="202">
        <f>SUM(N7:N38)</f>
        <v>3353775110548</v>
      </c>
      <c r="O39" s="203"/>
      <c r="P39" s="202">
        <f>SUM(P7:P38)</f>
        <v>-3354826985795</v>
      </c>
      <c r="Q39" s="203"/>
      <c r="R39" s="202">
        <f>SUM(R7:R38)</f>
        <v>-1051875247</v>
      </c>
      <c r="S39" s="273"/>
      <c r="T39" s="118"/>
      <c r="U39" s="12"/>
      <c r="V39" s="191"/>
      <c r="W39" s="191"/>
      <c r="X39" s="190"/>
      <c r="Y39" s="190"/>
      <c r="Z39" s="195"/>
      <c r="AA39" s="190"/>
    </row>
    <row r="40" spans="2:27" s="194" customFormat="1" x14ac:dyDescent="0.25">
      <c r="B40" s="186"/>
      <c r="C40" s="176"/>
      <c r="D40" s="204"/>
      <c r="E40" s="199"/>
      <c r="F40" s="204"/>
      <c r="G40" s="201"/>
      <c r="H40" s="204"/>
      <c r="I40" s="201"/>
      <c r="J40" s="204"/>
      <c r="K40" s="201"/>
      <c r="L40" s="119"/>
      <c r="M40" s="201"/>
      <c r="N40" s="204"/>
      <c r="O40" s="201"/>
      <c r="P40" s="204"/>
      <c r="Q40" s="201"/>
      <c r="R40" s="204"/>
      <c r="S40" s="273"/>
      <c r="T40" s="118"/>
      <c r="U40" s="12"/>
      <c r="V40" s="191"/>
      <c r="W40" s="191"/>
      <c r="X40" s="190"/>
      <c r="Y40" s="190"/>
      <c r="Z40" s="195"/>
      <c r="AA40" s="190"/>
    </row>
    <row r="41" spans="2:27" x14ac:dyDescent="0.25">
      <c r="B41" s="397" t="s">
        <v>98</v>
      </c>
      <c r="C41" s="397"/>
      <c r="D41" s="397"/>
      <c r="E41" s="397"/>
      <c r="F41" s="397"/>
      <c r="G41" s="397"/>
      <c r="H41" s="397"/>
      <c r="I41" s="397"/>
      <c r="T41" s="190"/>
      <c r="U41" s="191"/>
      <c r="Z41" s="12"/>
      <c r="AA41" s="12" t="s">
        <v>191</v>
      </c>
    </row>
    <row r="42" spans="2:27" ht="34.5" thickBot="1" x14ac:dyDescent="0.3">
      <c r="D42" s="392" t="str">
        <f>D5</f>
        <v>طی مهر ماه</v>
      </c>
      <c r="E42" s="392"/>
      <c r="F42" s="392"/>
      <c r="G42" s="392"/>
      <c r="H42" s="392"/>
      <c r="I42" s="392"/>
      <c r="J42" s="392"/>
      <c r="L42" s="392" t="str">
        <f>L5</f>
        <v>از ابتدای سال مالی تا پایان مهر ماه</v>
      </c>
      <c r="M42" s="392"/>
      <c r="N42" s="392"/>
      <c r="O42" s="392"/>
      <c r="P42" s="392"/>
      <c r="Q42" s="392"/>
      <c r="R42" s="392"/>
      <c r="T42" s="190"/>
      <c r="U42" s="191"/>
      <c r="Z42" s="12"/>
      <c r="AA42" s="12" t="s">
        <v>192</v>
      </c>
    </row>
    <row r="43" spans="2:27" ht="53.25" customHeight="1" thickBot="1" x14ac:dyDescent="0.3">
      <c r="B43" s="12" t="s">
        <v>65</v>
      </c>
      <c r="D43" s="112" t="s">
        <v>8</v>
      </c>
      <c r="F43" s="192" t="s">
        <v>33</v>
      </c>
      <c r="H43" s="137" t="s">
        <v>75</v>
      </c>
      <c r="J43" s="192" t="s">
        <v>76</v>
      </c>
      <c r="L43" s="112" t="s">
        <v>8</v>
      </c>
      <c r="N43" s="192" t="s">
        <v>33</v>
      </c>
      <c r="P43" s="137" t="s">
        <v>75</v>
      </c>
      <c r="R43" s="277" t="s">
        <v>76</v>
      </c>
      <c r="T43" s="191"/>
      <c r="U43" s="191"/>
      <c r="Z43" s="12"/>
      <c r="AA43" s="12" t="s">
        <v>193</v>
      </c>
    </row>
    <row r="44" spans="2:27" s="194" customFormat="1" x14ac:dyDescent="0.25">
      <c r="B44" s="205" t="s">
        <v>222</v>
      </c>
      <c r="C44" s="193"/>
      <c r="D44" s="102">
        <f>D39</f>
        <v>1168760350</v>
      </c>
      <c r="E44" s="102"/>
      <c r="F44" s="102">
        <f>F39</f>
        <v>3353775110548</v>
      </c>
      <c r="G44" s="102"/>
      <c r="H44" s="102">
        <f>H39</f>
        <v>-2737438182700</v>
      </c>
      <c r="I44" s="102"/>
      <c r="J44" s="102">
        <f>J39</f>
        <v>656546870069</v>
      </c>
      <c r="K44" s="102"/>
      <c r="L44" s="102">
        <f>L39</f>
        <v>1168760350</v>
      </c>
      <c r="M44" s="102"/>
      <c r="N44" s="102">
        <f>N39</f>
        <v>3353775110548</v>
      </c>
      <c r="O44" s="102"/>
      <c r="P44" s="102">
        <f>P39</f>
        <v>-3354826985795</v>
      </c>
      <c r="Q44" s="102"/>
      <c r="R44" s="102">
        <f>R39</f>
        <v>-1051875247</v>
      </c>
      <c r="S44" s="271"/>
      <c r="T44" s="191"/>
      <c r="U44" s="191"/>
      <c r="V44" s="190"/>
      <c r="W44" s="190"/>
      <c r="X44" s="195"/>
      <c r="Y44" s="190"/>
    </row>
    <row r="45" spans="2:27" s="194" customFormat="1" x14ac:dyDescent="0.25">
      <c r="B45" s="193" t="s">
        <v>244</v>
      </c>
      <c r="C45" s="193"/>
      <c r="D45" s="102">
        <v>42000000</v>
      </c>
      <c r="E45" s="102"/>
      <c r="F45" s="102">
        <v>172344412800</v>
      </c>
      <c r="G45" s="102"/>
      <c r="H45" s="102">
        <v>-168550341611</v>
      </c>
      <c r="I45" s="102"/>
      <c r="J45" s="102">
        <f t="shared" si="2"/>
        <v>3794071189</v>
      </c>
      <c r="K45" s="102"/>
      <c r="L45" s="102">
        <v>42000000</v>
      </c>
      <c r="M45" s="102"/>
      <c r="N45" s="102">
        <v>172344412800</v>
      </c>
      <c r="O45" s="102"/>
      <c r="P45" s="102">
        <v>-168550341611</v>
      </c>
      <c r="Q45" s="102"/>
      <c r="R45" s="102">
        <f t="shared" si="0"/>
        <v>3794071189</v>
      </c>
      <c r="S45" s="271"/>
      <c r="T45" s="191"/>
      <c r="U45" s="191"/>
      <c r="V45" s="190"/>
      <c r="W45" s="190"/>
      <c r="X45" s="195"/>
      <c r="Y45" s="190"/>
    </row>
    <row r="46" spans="2:27" s="194" customFormat="1" x14ac:dyDescent="0.25">
      <c r="B46" s="193" t="s">
        <v>248</v>
      </c>
      <c r="C46" s="193"/>
      <c r="D46" s="102">
        <v>70000000</v>
      </c>
      <c r="E46" s="102"/>
      <c r="F46" s="102">
        <v>225102622500</v>
      </c>
      <c r="G46" s="102"/>
      <c r="H46" s="102">
        <v>-199449742480</v>
      </c>
      <c r="I46" s="102"/>
      <c r="J46" s="102">
        <f t="shared" si="2"/>
        <v>25652880020</v>
      </c>
      <c r="K46" s="102"/>
      <c r="L46" s="102">
        <v>70000000</v>
      </c>
      <c r="M46" s="102"/>
      <c r="N46" s="102">
        <v>225102622500</v>
      </c>
      <c r="O46" s="102"/>
      <c r="P46" s="102">
        <v>-199449742480</v>
      </c>
      <c r="Q46" s="102"/>
      <c r="R46" s="102">
        <f t="shared" si="0"/>
        <v>25652880020</v>
      </c>
      <c r="S46" s="271"/>
      <c r="T46" s="191"/>
      <c r="U46" s="191"/>
      <c r="V46" s="190"/>
      <c r="W46" s="190"/>
      <c r="X46" s="195"/>
      <c r="Y46" s="190"/>
    </row>
    <row r="47" spans="2:27" s="194" customFormat="1" x14ac:dyDescent="0.25">
      <c r="B47" s="193" t="s">
        <v>137</v>
      </c>
      <c r="C47" s="193"/>
      <c r="D47" s="102">
        <v>12000000</v>
      </c>
      <c r="E47" s="102"/>
      <c r="F47" s="102">
        <v>153521082000</v>
      </c>
      <c r="G47" s="102"/>
      <c r="H47" s="102">
        <v>-118457626495</v>
      </c>
      <c r="I47" s="102"/>
      <c r="J47" s="102">
        <f t="shared" si="2"/>
        <v>35063455505</v>
      </c>
      <c r="K47" s="102"/>
      <c r="L47" s="102">
        <v>12000000</v>
      </c>
      <c r="M47" s="102"/>
      <c r="N47" s="102">
        <v>153521082000</v>
      </c>
      <c r="O47" s="102"/>
      <c r="P47" s="102">
        <v>-117225537260</v>
      </c>
      <c r="Q47" s="102"/>
      <c r="R47" s="102">
        <f t="shared" si="0"/>
        <v>36295544740</v>
      </c>
      <c r="S47" s="271"/>
      <c r="T47" s="191"/>
      <c r="U47" s="191"/>
      <c r="V47" s="190"/>
      <c r="W47" s="190"/>
      <c r="X47" s="195"/>
      <c r="Y47" s="190"/>
    </row>
    <row r="48" spans="2:27" s="194" customFormat="1" x14ac:dyDescent="0.25">
      <c r="B48" s="193" t="s">
        <v>172</v>
      </c>
      <c r="C48" s="193"/>
      <c r="D48" s="102">
        <v>175000</v>
      </c>
      <c r="E48" s="102"/>
      <c r="F48" s="102">
        <v>8263040625</v>
      </c>
      <c r="G48" s="102"/>
      <c r="H48" s="102">
        <v>-7454132437</v>
      </c>
      <c r="I48" s="102"/>
      <c r="J48" s="102">
        <f t="shared" si="2"/>
        <v>808908188</v>
      </c>
      <c r="K48" s="102"/>
      <c r="L48" s="102">
        <v>175000</v>
      </c>
      <c r="M48" s="102"/>
      <c r="N48" s="102">
        <v>8263040625</v>
      </c>
      <c r="O48" s="102"/>
      <c r="P48" s="102">
        <v>-7062725268</v>
      </c>
      <c r="Q48" s="102"/>
      <c r="R48" s="102">
        <f t="shared" si="0"/>
        <v>1200315357</v>
      </c>
      <c r="S48" s="271"/>
      <c r="T48" s="191"/>
      <c r="U48" s="191"/>
      <c r="V48" s="190"/>
      <c r="W48" s="190"/>
      <c r="X48" s="195"/>
      <c r="Y48" s="190"/>
    </row>
    <row r="49" spans="1:27" s="194" customFormat="1" x14ac:dyDescent="0.25">
      <c r="B49" s="193" t="s">
        <v>131</v>
      </c>
      <c r="C49" s="193"/>
      <c r="D49" s="102">
        <v>10000000</v>
      </c>
      <c r="E49" s="102"/>
      <c r="F49" s="102">
        <v>25835359500</v>
      </c>
      <c r="G49" s="102"/>
      <c r="H49" s="102">
        <v>-18334543236</v>
      </c>
      <c r="I49" s="102"/>
      <c r="J49" s="102">
        <f t="shared" si="2"/>
        <v>7500816264</v>
      </c>
      <c r="K49" s="102"/>
      <c r="L49" s="102">
        <v>10000000</v>
      </c>
      <c r="M49" s="102"/>
      <c r="N49" s="102">
        <v>25835359500</v>
      </c>
      <c r="O49" s="102"/>
      <c r="P49" s="102">
        <v>-26561015924</v>
      </c>
      <c r="Q49" s="102"/>
      <c r="R49" s="102">
        <f t="shared" si="0"/>
        <v>-725656424</v>
      </c>
      <c r="S49" s="271"/>
      <c r="T49" s="191"/>
      <c r="U49" s="191"/>
      <c r="V49" s="190"/>
      <c r="W49" s="190"/>
      <c r="X49" s="195"/>
      <c r="Y49" s="190"/>
    </row>
    <row r="50" spans="1:27" s="194" customFormat="1" x14ac:dyDescent="0.25">
      <c r="B50" s="193" t="s">
        <v>120</v>
      </c>
      <c r="C50" s="193"/>
      <c r="D50" s="102">
        <v>1500000</v>
      </c>
      <c r="E50" s="102"/>
      <c r="F50" s="102">
        <v>424807267500</v>
      </c>
      <c r="G50" s="102"/>
      <c r="H50" s="102">
        <v>-375061859184</v>
      </c>
      <c r="I50" s="102"/>
      <c r="J50" s="102">
        <f t="shared" si="2"/>
        <v>49745408316</v>
      </c>
      <c r="K50" s="102"/>
      <c r="L50" s="102">
        <v>1500000</v>
      </c>
      <c r="M50" s="102"/>
      <c r="N50" s="102">
        <v>424807267500</v>
      </c>
      <c r="O50" s="102"/>
      <c r="P50" s="102">
        <v>-405666789026</v>
      </c>
      <c r="Q50" s="102"/>
      <c r="R50" s="102">
        <f t="shared" si="0"/>
        <v>19140478474</v>
      </c>
      <c r="S50" s="271"/>
      <c r="T50" s="191"/>
      <c r="U50" s="191"/>
      <c r="V50" s="190"/>
      <c r="W50" s="190"/>
      <c r="X50" s="195"/>
      <c r="Y50" s="190"/>
    </row>
    <row r="51" spans="1:27" s="194" customFormat="1" x14ac:dyDescent="0.25">
      <c r="B51" s="193" t="s">
        <v>149</v>
      </c>
      <c r="C51" s="193"/>
      <c r="D51" s="102">
        <v>1000</v>
      </c>
      <c r="E51" s="102"/>
      <c r="F51" s="102">
        <v>3347960</v>
      </c>
      <c r="G51" s="102"/>
      <c r="H51" s="102">
        <v>-2870816</v>
      </c>
      <c r="I51" s="102"/>
      <c r="J51" s="102">
        <f t="shared" si="2"/>
        <v>477144</v>
      </c>
      <c r="K51" s="102"/>
      <c r="L51" s="102">
        <v>1000</v>
      </c>
      <c r="M51" s="102"/>
      <c r="N51" s="102">
        <v>3347960</v>
      </c>
      <c r="O51" s="102"/>
      <c r="P51" s="102">
        <v>-3874804</v>
      </c>
      <c r="Q51" s="102"/>
      <c r="R51" s="102">
        <f t="shared" si="0"/>
        <v>-526844</v>
      </c>
      <c r="S51" s="271"/>
      <c r="T51" s="191"/>
      <c r="U51" s="191"/>
      <c r="V51" s="190"/>
      <c r="W51" s="190"/>
      <c r="X51" s="195"/>
      <c r="Y51" s="190"/>
    </row>
    <row r="52" spans="1:27" s="194" customFormat="1" x14ac:dyDescent="0.25">
      <c r="B52" s="193" t="s">
        <v>247</v>
      </c>
      <c r="C52" s="193"/>
      <c r="D52" s="102">
        <v>30000000</v>
      </c>
      <c r="E52" s="102"/>
      <c r="F52" s="102">
        <v>201891555000</v>
      </c>
      <c r="G52" s="102"/>
      <c r="H52" s="102">
        <v>-188582630437</v>
      </c>
      <c r="I52" s="102"/>
      <c r="J52" s="102">
        <f t="shared" si="2"/>
        <v>13308924563</v>
      </c>
      <c r="K52" s="102"/>
      <c r="L52" s="102">
        <v>30000000</v>
      </c>
      <c r="M52" s="102"/>
      <c r="N52" s="102">
        <v>201891555000</v>
      </c>
      <c r="O52" s="102"/>
      <c r="P52" s="102">
        <v>-188582630437</v>
      </c>
      <c r="Q52" s="102"/>
      <c r="R52" s="102">
        <f t="shared" si="0"/>
        <v>13308924563</v>
      </c>
      <c r="S52" s="271"/>
      <c r="T52" s="191"/>
      <c r="U52" s="191"/>
      <c r="V52" s="190"/>
      <c r="W52" s="190"/>
      <c r="X52" s="195"/>
      <c r="Y52" s="190"/>
    </row>
    <row r="53" spans="1:27" s="194" customFormat="1" x14ac:dyDescent="0.25">
      <c r="B53" s="193" t="s">
        <v>138</v>
      </c>
      <c r="C53" s="193"/>
      <c r="D53" s="102">
        <v>1000</v>
      </c>
      <c r="E53" s="102"/>
      <c r="F53" s="102">
        <v>4267456</v>
      </c>
      <c r="G53" s="102"/>
      <c r="H53" s="102">
        <v>-3781366</v>
      </c>
      <c r="I53" s="102"/>
      <c r="J53" s="102">
        <f t="shared" si="2"/>
        <v>486090</v>
      </c>
      <c r="K53" s="102"/>
      <c r="L53" s="102">
        <v>1000</v>
      </c>
      <c r="M53" s="102"/>
      <c r="N53" s="102">
        <v>4267456</v>
      </c>
      <c r="O53" s="102"/>
      <c r="P53" s="102">
        <v>-4876726</v>
      </c>
      <c r="Q53" s="102"/>
      <c r="R53" s="102">
        <f t="shared" si="0"/>
        <v>-609270</v>
      </c>
      <c r="S53" s="271"/>
      <c r="T53" s="191"/>
      <c r="U53" s="191"/>
      <c r="V53" s="190"/>
      <c r="W53" s="190"/>
      <c r="X53" s="195"/>
      <c r="Y53" s="190"/>
    </row>
    <row r="54" spans="1:27" s="194" customFormat="1" x14ac:dyDescent="0.25">
      <c r="B54" s="193" t="s">
        <v>246</v>
      </c>
      <c r="C54" s="193"/>
      <c r="D54" s="102">
        <v>5600000</v>
      </c>
      <c r="E54" s="102"/>
      <c r="F54" s="102">
        <v>20791549800</v>
      </c>
      <c r="G54" s="102"/>
      <c r="H54" s="102">
        <v>-18490583894</v>
      </c>
      <c r="I54" s="102"/>
      <c r="J54" s="102">
        <f t="shared" si="2"/>
        <v>2300965906</v>
      </c>
      <c r="K54" s="102"/>
      <c r="L54" s="102">
        <v>5600000</v>
      </c>
      <c r="M54" s="102"/>
      <c r="N54" s="102">
        <v>20791549800</v>
      </c>
      <c r="O54" s="102"/>
      <c r="P54" s="102">
        <v>-18490583894</v>
      </c>
      <c r="Q54" s="102"/>
      <c r="R54" s="102">
        <f t="shared" si="0"/>
        <v>2300965906</v>
      </c>
      <c r="S54" s="271"/>
      <c r="T54" s="191"/>
      <c r="U54" s="191"/>
      <c r="V54" s="120"/>
      <c r="W54" s="120"/>
      <c r="X54" s="195"/>
      <c r="Y54" s="190"/>
    </row>
    <row r="55" spans="1:27" s="194" customFormat="1" x14ac:dyDescent="0.25">
      <c r="B55" s="193" t="s">
        <v>118</v>
      </c>
      <c r="C55" s="193"/>
      <c r="D55" s="102">
        <v>20000000</v>
      </c>
      <c r="E55" s="102"/>
      <c r="F55" s="102">
        <v>57992877000</v>
      </c>
      <c r="G55" s="102"/>
      <c r="H55" s="102">
        <v>-31220991527</v>
      </c>
      <c r="I55" s="102"/>
      <c r="J55" s="102">
        <f t="shared" si="2"/>
        <v>26771885473</v>
      </c>
      <c r="K55" s="102"/>
      <c r="L55" s="102">
        <v>20000000</v>
      </c>
      <c r="M55" s="102"/>
      <c r="N55" s="102">
        <v>57992877000</v>
      </c>
      <c r="O55" s="102"/>
      <c r="P55" s="102">
        <v>-49859918672</v>
      </c>
      <c r="Q55" s="102"/>
      <c r="R55" s="102">
        <f t="shared" si="0"/>
        <v>8132958328</v>
      </c>
      <c r="S55" s="271"/>
      <c r="T55" s="191"/>
      <c r="U55" s="190"/>
      <c r="V55" s="120"/>
      <c r="W55" s="120"/>
      <c r="X55" s="195"/>
      <c r="Y55" s="190"/>
    </row>
    <row r="56" spans="1:27" s="194" customFormat="1" x14ac:dyDescent="0.25">
      <c r="B56" s="193" t="s">
        <v>132</v>
      </c>
      <c r="C56" s="193"/>
      <c r="D56" s="102">
        <v>78000000</v>
      </c>
      <c r="E56" s="102"/>
      <c r="F56" s="102">
        <v>614859687000</v>
      </c>
      <c r="G56" s="102"/>
      <c r="H56" s="102">
        <v>-473763518770</v>
      </c>
      <c r="I56" s="102"/>
      <c r="J56" s="102">
        <f t="shared" si="2"/>
        <v>141096168230</v>
      </c>
      <c r="K56" s="102"/>
      <c r="L56" s="102">
        <v>78000000</v>
      </c>
      <c r="M56" s="102"/>
      <c r="N56" s="102">
        <v>614859687000</v>
      </c>
      <c r="O56" s="102"/>
      <c r="P56" s="102">
        <v>-537055982202</v>
      </c>
      <c r="Q56" s="102"/>
      <c r="R56" s="102">
        <f t="shared" si="0"/>
        <v>77803704798</v>
      </c>
      <c r="S56" s="271"/>
      <c r="T56" s="191"/>
      <c r="U56" s="190"/>
      <c r="V56" s="120"/>
      <c r="W56" s="120"/>
      <c r="X56" s="195"/>
      <c r="Y56" s="190"/>
    </row>
    <row r="57" spans="1:27" s="194" customFormat="1" x14ac:dyDescent="0.25">
      <c r="B57" s="193" t="s">
        <v>124</v>
      </c>
      <c r="C57" s="193"/>
      <c r="D57" s="102">
        <v>40000000</v>
      </c>
      <c r="E57" s="102"/>
      <c r="F57" s="102">
        <v>400800960000</v>
      </c>
      <c r="G57" s="102"/>
      <c r="H57" s="102">
        <v>-337579380000</v>
      </c>
      <c r="I57" s="102"/>
      <c r="J57" s="102">
        <f t="shared" si="2"/>
        <v>63221580000</v>
      </c>
      <c r="K57" s="102"/>
      <c r="L57" s="102">
        <v>40000000</v>
      </c>
      <c r="M57" s="102"/>
      <c r="N57" s="102">
        <v>400800960000</v>
      </c>
      <c r="O57" s="102"/>
      <c r="P57" s="102">
        <v>-388212534753</v>
      </c>
      <c r="Q57" s="102"/>
      <c r="R57" s="102">
        <f t="shared" si="0"/>
        <v>12588425247</v>
      </c>
      <c r="S57" s="271"/>
      <c r="T57" s="191"/>
      <c r="U57" s="190"/>
      <c r="V57" s="120"/>
      <c r="W57" s="120"/>
      <c r="X57" s="195"/>
      <c r="Y57" s="190"/>
    </row>
    <row r="58" spans="1:27" s="194" customFormat="1" x14ac:dyDescent="0.25">
      <c r="B58" s="193" t="s">
        <v>125</v>
      </c>
      <c r="C58" s="193"/>
      <c r="D58" s="102">
        <v>90000000</v>
      </c>
      <c r="E58" s="102"/>
      <c r="F58" s="102">
        <v>738976770000</v>
      </c>
      <c r="G58" s="102"/>
      <c r="H58" s="102">
        <v>-673058793053</v>
      </c>
      <c r="I58" s="102"/>
      <c r="J58" s="102">
        <f t="shared" si="2"/>
        <v>65917976947</v>
      </c>
      <c r="K58" s="102"/>
      <c r="L58" s="102">
        <v>90000000</v>
      </c>
      <c r="M58" s="102"/>
      <c r="N58" s="102">
        <v>738976770000</v>
      </c>
      <c r="O58" s="102"/>
      <c r="P58" s="102">
        <v>-701560528387</v>
      </c>
      <c r="Q58" s="102"/>
      <c r="R58" s="102">
        <f t="shared" si="0"/>
        <v>37416241613</v>
      </c>
      <c r="S58" s="271"/>
      <c r="T58" s="191"/>
      <c r="U58" s="190"/>
      <c r="V58" s="120"/>
      <c r="W58" s="120"/>
      <c r="X58" s="195"/>
      <c r="Y58" s="190"/>
    </row>
    <row r="59" spans="1:27" s="194" customFormat="1" x14ac:dyDescent="0.25">
      <c r="B59" s="193" t="s">
        <v>126</v>
      </c>
      <c r="C59" s="193"/>
      <c r="D59" s="102">
        <v>30000000</v>
      </c>
      <c r="E59" s="102"/>
      <c r="F59" s="102">
        <v>82665198000</v>
      </c>
      <c r="G59" s="102"/>
      <c r="H59" s="102">
        <v>-53674381332</v>
      </c>
      <c r="I59" s="102"/>
      <c r="J59" s="102">
        <f t="shared" si="2"/>
        <v>28990816668</v>
      </c>
      <c r="K59" s="102"/>
      <c r="L59" s="102">
        <v>30000000</v>
      </c>
      <c r="M59" s="102"/>
      <c r="N59" s="102">
        <v>82665198000</v>
      </c>
      <c r="O59" s="102"/>
      <c r="P59" s="102">
        <v>-87232270112</v>
      </c>
      <c r="Q59" s="102"/>
      <c r="R59" s="102">
        <f t="shared" si="0"/>
        <v>-4567072112</v>
      </c>
      <c r="S59" s="271"/>
      <c r="T59" s="191"/>
      <c r="U59" s="190"/>
      <c r="V59" s="120"/>
      <c r="W59" s="120"/>
      <c r="X59" s="195"/>
      <c r="Y59" s="190"/>
    </row>
    <row r="60" spans="1:27" s="194" customFormat="1" x14ac:dyDescent="0.25">
      <c r="B60" s="193" t="s">
        <v>123</v>
      </c>
      <c r="C60" s="193"/>
      <c r="D60" s="102">
        <v>3800000</v>
      </c>
      <c r="E60" s="102"/>
      <c r="F60" s="102">
        <v>67388637600</v>
      </c>
      <c r="G60" s="102"/>
      <c r="H60" s="102">
        <v>-55225441800</v>
      </c>
      <c r="I60" s="102"/>
      <c r="J60" s="102">
        <f t="shared" si="2"/>
        <v>12163195800</v>
      </c>
      <c r="K60" s="102"/>
      <c r="L60" s="102">
        <v>3800000</v>
      </c>
      <c r="M60" s="102"/>
      <c r="N60" s="102">
        <v>67388637600</v>
      </c>
      <c r="O60" s="102"/>
      <c r="P60" s="102">
        <v>-76637450256</v>
      </c>
      <c r="Q60" s="102"/>
      <c r="R60" s="102">
        <f t="shared" si="0"/>
        <v>-9248812656</v>
      </c>
      <c r="S60" s="271"/>
      <c r="T60" s="191"/>
      <c r="U60" s="190"/>
      <c r="V60" s="120"/>
      <c r="W60" s="120"/>
      <c r="X60" s="195"/>
      <c r="Y60" s="190"/>
    </row>
    <row r="61" spans="1:27" s="194" customFormat="1" x14ac:dyDescent="0.25">
      <c r="B61" s="193" t="s">
        <v>189</v>
      </c>
      <c r="C61" s="193"/>
      <c r="D61" s="102">
        <v>3250000</v>
      </c>
      <c r="E61" s="102"/>
      <c r="F61" s="102">
        <v>3750799162</v>
      </c>
      <c r="G61" s="102"/>
      <c r="H61" s="102">
        <v>-3178971900</v>
      </c>
      <c r="I61" s="102"/>
      <c r="J61" s="102">
        <f t="shared" si="2"/>
        <v>571827262</v>
      </c>
      <c r="K61" s="102"/>
      <c r="L61" s="102">
        <v>3250000</v>
      </c>
      <c r="M61" s="102"/>
      <c r="N61" s="102">
        <v>3750799162</v>
      </c>
      <c r="O61" s="102"/>
      <c r="P61" s="102">
        <v>-4390650225</v>
      </c>
      <c r="Q61" s="102"/>
      <c r="R61" s="102">
        <f t="shared" si="0"/>
        <v>-639851063</v>
      </c>
      <c r="S61" s="271"/>
      <c r="T61" s="191"/>
      <c r="U61" s="190"/>
      <c r="V61" s="120"/>
      <c r="W61" s="120"/>
      <c r="X61" s="195"/>
      <c r="Y61" s="190"/>
    </row>
    <row r="62" spans="1:27" s="194" customFormat="1" x14ac:dyDescent="0.25">
      <c r="B62" s="193" t="s">
        <v>154</v>
      </c>
      <c r="C62" s="193"/>
      <c r="D62" s="102">
        <v>1000</v>
      </c>
      <c r="E62" s="102"/>
      <c r="F62" s="102">
        <v>13837176</v>
      </c>
      <c r="G62" s="102"/>
      <c r="H62" s="102">
        <v>-12028005</v>
      </c>
      <c r="I62" s="102"/>
      <c r="J62" s="102">
        <f t="shared" si="2"/>
        <v>1809171</v>
      </c>
      <c r="K62" s="102"/>
      <c r="L62" s="102">
        <v>1000</v>
      </c>
      <c r="M62" s="102"/>
      <c r="N62" s="102">
        <v>13837176</v>
      </c>
      <c r="O62" s="102"/>
      <c r="P62" s="102">
        <v>-17215682</v>
      </c>
      <c r="Q62" s="102"/>
      <c r="R62" s="102">
        <f t="shared" si="0"/>
        <v>-3378506</v>
      </c>
      <c r="S62" s="271"/>
      <c r="T62" s="118"/>
      <c r="U62" s="206"/>
      <c r="V62" s="191"/>
      <c r="W62" s="190"/>
      <c r="X62" s="120"/>
      <c r="Y62" s="120"/>
      <c r="Z62" s="195"/>
      <c r="AA62" s="190"/>
    </row>
    <row r="63" spans="1:27" s="194" customFormat="1" ht="34.5" thickBot="1" x14ac:dyDescent="0.3">
      <c r="B63" s="193" t="s">
        <v>117</v>
      </c>
      <c r="C63" s="193"/>
      <c r="D63" s="102">
        <v>97600000</v>
      </c>
      <c r="E63" s="102"/>
      <c r="F63" s="102">
        <v>400786645680</v>
      </c>
      <c r="G63" s="102"/>
      <c r="H63" s="102">
        <v>-344682411520</v>
      </c>
      <c r="I63" s="102"/>
      <c r="J63" s="102">
        <f t="shared" si="2"/>
        <v>56104234160</v>
      </c>
      <c r="K63" s="102"/>
      <c r="L63" s="102">
        <v>97600000</v>
      </c>
      <c r="M63" s="102"/>
      <c r="N63" s="102">
        <v>400786645680</v>
      </c>
      <c r="O63" s="102"/>
      <c r="P63" s="102">
        <v>-337541477103</v>
      </c>
      <c r="Q63" s="102"/>
      <c r="R63" s="102">
        <f t="shared" si="0"/>
        <v>63245168577</v>
      </c>
      <c r="S63" s="271"/>
      <c r="T63" s="118"/>
      <c r="U63" s="206"/>
      <c r="V63" s="191"/>
      <c r="W63" s="190"/>
      <c r="X63" s="120"/>
      <c r="Y63" s="120"/>
      <c r="Z63" s="195"/>
      <c r="AA63" s="190"/>
    </row>
    <row r="64" spans="1:27" s="194" customFormat="1" ht="34.5" thickBot="1" x14ac:dyDescent="0.3">
      <c r="A64" s="12"/>
      <c r="B64" s="194" t="s">
        <v>7</v>
      </c>
      <c r="D64" s="98">
        <f>SUM(D44:D63)</f>
        <v>1702688350</v>
      </c>
      <c r="E64" s="207"/>
      <c r="F64" s="98">
        <f>SUM(F44:F63)</f>
        <v>6953575027307</v>
      </c>
      <c r="G64" s="207"/>
      <c r="H64" s="98">
        <f>SUM(H44:H63)</f>
        <v>-5804222212563</v>
      </c>
      <c r="I64" s="207"/>
      <c r="J64" s="98">
        <f>SUM(J44:J63)</f>
        <v>1189562756965</v>
      </c>
      <c r="K64" s="207"/>
      <c r="L64" s="98">
        <f>SUM(L44:L63)</f>
        <v>1702688350</v>
      </c>
      <c r="M64" s="121"/>
      <c r="N64" s="98">
        <f>SUM(N44:N63)</f>
        <v>6953575027307</v>
      </c>
      <c r="O64" s="207"/>
      <c r="P64" s="98">
        <f>SUM(P44:P63)</f>
        <v>-6668933130617</v>
      </c>
      <c r="Q64" s="207"/>
      <c r="R64" s="98">
        <f>SUM(R44:R63)</f>
        <v>284641896690</v>
      </c>
      <c r="S64" s="273"/>
      <c r="T64" s="118"/>
      <c r="U64" s="206"/>
      <c r="V64" s="191"/>
      <c r="W64" s="190"/>
      <c r="X64" s="120"/>
      <c r="Y64" s="120"/>
      <c r="Z64" s="195"/>
      <c r="AA64" s="190"/>
    </row>
    <row r="65" spans="1:27" s="194" customFormat="1" ht="34.5" thickTop="1" x14ac:dyDescent="0.25">
      <c r="A65" s="12"/>
      <c r="D65" s="103"/>
      <c r="L65" s="103"/>
      <c r="R65" s="278"/>
      <c r="S65" s="273"/>
      <c r="T65" s="118"/>
      <c r="U65" s="206"/>
      <c r="V65" s="191"/>
      <c r="W65" s="190"/>
      <c r="X65" s="120"/>
      <c r="Y65" s="120"/>
      <c r="Z65" s="195"/>
      <c r="AA65" s="190"/>
    </row>
    <row r="66" spans="1:27" s="194" customFormat="1" x14ac:dyDescent="0.25">
      <c r="A66" s="12"/>
      <c r="B66" s="394" t="s">
        <v>77</v>
      </c>
      <c r="C66" s="395"/>
      <c r="D66" s="395"/>
      <c r="E66" s="395"/>
      <c r="F66" s="395"/>
      <c r="G66" s="395"/>
      <c r="H66" s="395"/>
      <c r="I66" s="395"/>
      <c r="J66" s="395"/>
      <c r="K66" s="395"/>
      <c r="L66" s="395"/>
      <c r="M66" s="395"/>
      <c r="N66" s="395"/>
      <c r="O66" s="395"/>
      <c r="P66" s="395"/>
      <c r="Q66" s="395"/>
      <c r="R66" s="396"/>
      <c r="S66" s="273"/>
      <c r="T66" s="118"/>
      <c r="U66" s="206"/>
      <c r="V66" s="191"/>
      <c r="W66" s="190"/>
      <c r="X66" s="120"/>
      <c r="Y66" s="120"/>
      <c r="Z66" s="195"/>
      <c r="AA66" s="190"/>
    </row>
    <row r="67" spans="1:27" x14ac:dyDescent="0.25">
      <c r="B67" s="194"/>
      <c r="C67" s="194"/>
      <c r="D67" s="103"/>
      <c r="E67" s="194"/>
      <c r="F67" s="194"/>
      <c r="G67" s="194"/>
      <c r="H67" s="194"/>
      <c r="I67" s="194"/>
      <c r="J67" s="103"/>
      <c r="K67" s="194"/>
      <c r="L67" s="103"/>
      <c r="M67" s="194"/>
      <c r="N67" s="194"/>
      <c r="O67" s="194"/>
      <c r="P67" s="194"/>
      <c r="Q67" s="194"/>
      <c r="R67" s="278"/>
      <c r="U67" s="206"/>
      <c r="Z67" s="208"/>
    </row>
    <row r="68" spans="1:27" x14ac:dyDescent="0.25">
      <c r="F68" s="209"/>
      <c r="H68" s="179"/>
      <c r="J68" s="274"/>
      <c r="N68" s="209"/>
      <c r="P68" s="179"/>
      <c r="U68" s="206"/>
    </row>
    <row r="69" spans="1:27" x14ac:dyDescent="0.25">
      <c r="E69" s="118"/>
      <c r="F69" s="118"/>
      <c r="G69" s="118"/>
      <c r="H69" s="118"/>
      <c r="I69" s="118"/>
      <c r="J69" s="118"/>
      <c r="K69" s="118"/>
      <c r="M69" s="118"/>
      <c r="N69" s="118"/>
      <c r="O69" s="118"/>
      <c r="P69" s="118"/>
      <c r="Q69" s="118"/>
      <c r="R69" s="118"/>
      <c r="U69" s="206"/>
      <c r="Z69" s="208"/>
    </row>
    <row r="70" spans="1:27" x14ac:dyDescent="0.25">
      <c r="F70" s="210"/>
      <c r="H70" s="179"/>
      <c r="J70" s="275"/>
      <c r="N70" s="179"/>
      <c r="P70" s="269"/>
      <c r="U70" s="206"/>
    </row>
    <row r="71" spans="1:27" x14ac:dyDescent="0.25">
      <c r="J71" s="179"/>
      <c r="N71" s="179"/>
      <c r="P71" s="269"/>
      <c r="U71" s="206"/>
    </row>
    <row r="72" spans="1:27" x14ac:dyDescent="0.25">
      <c r="N72" s="179"/>
      <c r="P72" s="269"/>
      <c r="U72" s="206"/>
    </row>
    <row r="73" spans="1:27" x14ac:dyDescent="0.25">
      <c r="P73" s="179"/>
      <c r="U73" s="206"/>
    </row>
    <row r="74" spans="1:27" x14ac:dyDescent="0.25">
      <c r="N74" s="179"/>
      <c r="U74" s="206"/>
    </row>
    <row r="75" spans="1:27" x14ac:dyDescent="0.25">
      <c r="N75" s="179"/>
      <c r="U75" s="206"/>
    </row>
    <row r="76" spans="1:27" x14ac:dyDescent="0.25">
      <c r="U76" s="206"/>
    </row>
    <row r="77" spans="1:27" x14ac:dyDescent="0.25">
      <c r="U77" s="206"/>
    </row>
    <row r="78" spans="1:27" x14ac:dyDescent="0.25">
      <c r="U78" s="206"/>
    </row>
    <row r="79" spans="1:27" x14ac:dyDescent="0.25">
      <c r="U79" s="206"/>
    </row>
    <row r="80" spans="1:27" x14ac:dyDescent="0.25">
      <c r="U80" s="206"/>
    </row>
    <row r="81" spans="20:21" x14ac:dyDescent="0.25">
      <c r="T81" s="103"/>
      <c r="U81" s="206"/>
    </row>
    <row r="82" spans="20:21" x14ac:dyDescent="0.25">
      <c r="T82" s="103"/>
      <c r="U82" s="206"/>
    </row>
    <row r="83" spans="20:21" x14ac:dyDescent="0.25">
      <c r="T83" s="103"/>
      <c r="U83" s="206"/>
    </row>
    <row r="84" spans="20:21" x14ac:dyDescent="0.25">
      <c r="T84" s="103"/>
      <c r="U84" s="206"/>
    </row>
    <row r="85" spans="20:21" x14ac:dyDescent="0.25">
      <c r="T85" s="103"/>
      <c r="U85" s="206"/>
    </row>
    <row r="86" spans="20:21" x14ac:dyDescent="0.25">
      <c r="T86" s="103"/>
      <c r="U86" s="206"/>
    </row>
    <row r="87" spans="20:21" x14ac:dyDescent="0.25">
      <c r="T87" s="103"/>
      <c r="U87" s="206"/>
    </row>
    <row r="88" spans="20:21" x14ac:dyDescent="0.25">
      <c r="T88" s="103"/>
      <c r="U88" s="206"/>
    </row>
    <row r="92" spans="20:21" x14ac:dyDescent="0.25">
      <c r="T92" s="103"/>
      <c r="U92" s="206"/>
    </row>
    <row r="93" spans="20:21" x14ac:dyDescent="0.25">
      <c r="T93" s="103"/>
      <c r="U93" s="206"/>
    </row>
    <row r="94" spans="20:21" x14ac:dyDescent="0.25">
      <c r="T94" s="103"/>
      <c r="U94" s="206"/>
    </row>
    <row r="95" spans="20:21" x14ac:dyDescent="0.25">
      <c r="T95" s="103"/>
      <c r="U95" s="206"/>
    </row>
    <row r="96" spans="20:21" x14ac:dyDescent="0.25">
      <c r="T96" s="103"/>
      <c r="U96" s="206"/>
    </row>
    <row r="97" spans="20:21" x14ac:dyDescent="0.25">
      <c r="T97" s="103"/>
      <c r="U97" s="206"/>
    </row>
    <row r="98" spans="20:21" x14ac:dyDescent="0.25">
      <c r="T98" s="103"/>
      <c r="U98" s="206"/>
    </row>
    <row r="99" spans="20:21" x14ac:dyDescent="0.25">
      <c r="T99" s="103"/>
      <c r="U99" s="206"/>
    </row>
    <row r="100" spans="20:21" x14ac:dyDescent="0.25">
      <c r="T100" s="103"/>
      <c r="U100" s="206"/>
    </row>
    <row r="101" spans="20:21" x14ac:dyDescent="0.25">
      <c r="T101" s="103"/>
      <c r="U101" s="206"/>
    </row>
    <row r="102" spans="20:21" x14ac:dyDescent="0.25">
      <c r="T102" s="103"/>
      <c r="U102" s="206"/>
    </row>
    <row r="103" spans="20:21" x14ac:dyDescent="0.25">
      <c r="T103" s="103"/>
      <c r="U103" s="206"/>
    </row>
    <row r="104" spans="20:21" x14ac:dyDescent="0.25">
      <c r="T104" s="103"/>
      <c r="U104" s="206"/>
    </row>
    <row r="105" spans="20:21" x14ac:dyDescent="0.25">
      <c r="T105" s="103"/>
      <c r="U105" s="206"/>
    </row>
    <row r="106" spans="20:21" x14ac:dyDescent="0.25">
      <c r="T106" s="103"/>
      <c r="U106" s="206"/>
    </row>
    <row r="107" spans="20:21" x14ac:dyDescent="0.25">
      <c r="T107" s="103"/>
      <c r="U107" s="206"/>
    </row>
    <row r="108" spans="20:21" x14ac:dyDescent="0.25">
      <c r="T108" s="103"/>
      <c r="U108" s="206"/>
    </row>
    <row r="109" spans="20:21" x14ac:dyDescent="0.25">
      <c r="T109" s="103"/>
      <c r="U109" s="206"/>
    </row>
    <row r="110" spans="20:21" x14ac:dyDescent="0.25">
      <c r="T110" s="103"/>
      <c r="U110" s="206"/>
    </row>
    <row r="111" spans="20:21" x14ac:dyDescent="0.25">
      <c r="T111" s="103"/>
      <c r="U111" s="206"/>
    </row>
    <row r="112" spans="20:21" x14ac:dyDescent="0.25">
      <c r="T112" s="103"/>
      <c r="U112" s="206"/>
    </row>
    <row r="113" spans="21:21" x14ac:dyDescent="0.25">
      <c r="U113" s="206"/>
    </row>
    <row r="114" spans="21:21" x14ac:dyDescent="0.25">
      <c r="U114" s="206"/>
    </row>
    <row r="115" spans="21:21" x14ac:dyDescent="0.25">
      <c r="U115" s="206"/>
    </row>
    <row r="116" spans="21:21" x14ac:dyDescent="0.25">
      <c r="U116" s="206"/>
    </row>
    <row r="117" spans="21:21" x14ac:dyDescent="0.25">
      <c r="U117" s="206"/>
    </row>
    <row r="118" spans="21:21" x14ac:dyDescent="0.25">
      <c r="U118" s="206"/>
    </row>
    <row r="119" spans="21:21" x14ac:dyDescent="0.25">
      <c r="U119" s="206"/>
    </row>
    <row r="120" spans="21:21" x14ac:dyDescent="0.25">
      <c r="U120" s="206"/>
    </row>
    <row r="121" spans="21:21" x14ac:dyDescent="0.25">
      <c r="U121" s="206"/>
    </row>
    <row r="122" spans="21:21" x14ac:dyDescent="0.25">
      <c r="U122" s="206"/>
    </row>
    <row r="123" spans="21:21" x14ac:dyDescent="0.25">
      <c r="U123" s="206"/>
    </row>
    <row r="124" spans="21:21" x14ac:dyDescent="0.25">
      <c r="U124" s="206"/>
    </row>
    <row r="125" spans="21:21" x14ac:dyDescent="0.25">
      <c r="U125" s="206"/>
    </row>
    <row r="126" spans="21:21" x14ac:dyDescent="0.25">
      <c r="U126" s="206"/>
    </row>
    <row r="127" spans="21:21" x14ac:dyDescent="0.25">
      <c r="U127" s="206"/>
    </row>
    <row r="128" spans="21:21" x14ac:dyDescent="0.25">
      <c r="U128" s="206"/>
    </row>
    <row r="129" spans="21:21" x14ac:dyDescent="0.25">
      <c r="U129" s="206"/>
    </row>
    <row r="130" spans="21:21" x14ac:dyDescent="0.25">
      <c r="U130" s="206"/>
    </row>
    <row r="131" spans="21:21" x14ac:dyDescent="0.25">
      <c r="U131" s="206"/>
    </row>
  </sheetData>
  <sortState xmlns:xlrd2="http://schemas.microsoft.com/office/spreadsheetml/2017/richdata2" ref="U7:V76">
    <sortCondition descending="1" ref="V1:V76"/>
  </sortState>
  <mergeCells count="10">
    <mergeCell ref="B66:R66"/>
    <mergeCell ref="D5:J5"/>
    <mergeCell ref="L5:R5"/>
    <mergeCell ref="B4:I4"/>
    <mergeCell ref="B1:R1"/>
    <mergeCell ref="B2:R2"/>
    <mergeCell ref="B3:R3"/>
    <mergeCell ref="B41:I41"/>
    <mergeCell ref="D42:J42"/>
    <mergeCell ref="L42:R42"/>
  </mergeCells>
  <printOptions horizontalCentered="1"/>
  <pageMargins left="0.7" right="0.7" top="0.75" bottom="0.75" header="0.3" footer="0.3"/>
  <pageSetup paperSize="9" scale="42" orientation="landscape" r:id="rId1"/>
  <headerFooter>
    <oddFooter>&amp;C&amp;P</oddFooter>
  </headerFooter>
  <rowBreaks count="1" manualBreakCount="1">
    <brk id="40" max="17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C135"/>
  <sheetViews>
    <sheetView rightToLeft="1" view="pageBreakPreview" zoomScale="80" zoomScaleNormal="85" zoomScaleSheetLayoutView="80" workbookViewId="0">
      <selection activeCell="B18" sqref="B18"/>
    </sheetView>
  </sheetViews>
  <sheetFormatPr defaultColWidth="8.85546875" defaultRowHeight="22.5" x14ac:dyDescent="0.55000000000000004"/>
  <cols>
    <col min="1" max="1" width="3.7109375" style="1" customWidth="1"/>
    <col min="2" max="2" width="36.7109375" style="1" bestFit="1" customWidth="1"/>
    <col min="3" max="3" width="0.5703125" style="1" customWidth="1"/>
    <col min="4" max="4" width="17.85546875" style="93" bestFit="1" customWidth="1"/>
    <col min="5" max="5" width="0.85546875" style="1" customWidth="1"/>
    <col min="6" max="6" width="21.28515625" style="93" bestFit="1" customWidth="1"/>
    <col min="7" max="7" width="0.7109375" style="1" customWidth="1"/>
    <col min="8" max="8" width="22" style="93" bestFit="1" customWidth="1"/>
    <col min="9" max="9" width="0.85546875" style="1" customWidth="1"/>
    <col min="10" max="10" width="23.85546875" style="93" bestFit="1" customWidth="1"/>
    <col min="11" max="11" width="0.7109375" style="1" customWidth="1"/>
    <col min="12" max="12" width="23" style="93" customWidth="1"/>
    <col min="13" max="13" width="0.28515625" style="1" customWidth="1"/>
    <col min="14" max="14" width="25.28515625" style="93" bestFit="1" customWidth="1"/>
    <col min="15" max="15" width="0.28515625" style="1" customWidth="1"/>
    <col min="16" max="16" width="22.85546875" style="93" bestFit="1" customWidth="1"/>
    <col min="17" max="17" width="0.7109375" style="1" customWidth="1"/>
    <col min="18" max="18" width="24" style="93" bestFit="1" customWidth="1"/>
    <col min="19" max="19" width="28.140625" style="1" bestFit="1" customWidth="1"/>
    <col min="20" max="20" width="20.140625" style="1" bestFit="1" customWidth="1"/>
    <col min="21" max="21" width="8.140625" style="1" customWidth="1"/>
    <col min="22" max="22" width="23.28515625" style="1" customWidth="1"/>
    <col min="23" max="23" width="28.85546875" style="1" customWidth="1"/>
    <col min="24" max="16384" width="8.85546875" style="1"/>
  </cols>
  <sheetData>
    <row r="1" spans="2:29" ht="24" x14ac:dyDescent="0.6">
      <c r="B1" s="339" t="str">
        <f>'سود اوراق بهادار و سپرده بانکی'!B1:U1</f>
        <v>صندوق سرمایه گذاری شاخص سی شرکت بزرگ فیروزه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</row>
    <row r="2" spans="2:29" ht="24" x14ac:dyDescent="0.6">
      <c r="B2" s="339" t="s">
        <v>88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V2" s="93"/>
    </row>
    <row r="3" spans="2:29" ht="24" x14ac:dyDescent="0.6">
      <c r="B3" s="339" t="str">
        <f>' سهام'!B3:Z3</f>
        <v>برای ماه منتهی به 1404/07/30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V3" s="93"/>
    </row>
    <row r="4" spans="2:29" ht="24" x14ac:dyDescent="0.55000000000000004">
      <c r="B4" s="397" t="s">
        <v>99</v>
      </c>
      <c r="C4" s="397"/>
      <c r="D4" s="397"/>
      <c r="E4" s="397"/>
      <c r="F4" s="397"/>
      <c r="G4" s="397"/>
      <c r="H4" s="397"/>
      <c r="I4" s="397"/>
      <c r="J4" s="397"/>
      <c r="K4" s="399"/>
      <c r="L4" s="399"/>
      <c r="M4" s="399"/>
      <c r="N4" s="399"/>
      <c r="O4" s="399"/>
      <c r="P4" s="399"/>
      <c r="Q4" s="399"/>
      <c r="R4" s="399"/>
      <c r="V4" s="93"/>
      <c r="AC4" s="1" t="s">
        <v>212</v>
      </c>
    </row>
    <row r="5" spans="2:29" ht="24.75" thickBot="1" x14ac:dyDescent="0.6">
      <c r="B5" s="12"/>
      <c r="C5" s="12"/>
      <c r="D5" s="392" t="str">
        <f>' سهام'!AC7</f>
        <v>طی مهر ماه</v>
      </c>
      <c r="E5" s="392"/>
      <c r="F5" s="392"/>
      <c r="G5" s="392"/>
      <c r="H5" s="392"/>
      <c r="I5" s="392"/>
      <c r="J5" s="392"/>
      <c r="K5" s="12"/>
      <c r="L5" s="392" t="str">
        <f>' سهام'!AC8</f>
        <v>از ابتدای سال مالی تا پایان مهر ماه</v>
      </c>
      <c r="M5" s="392"/>
      <c r="N5" s="392"/>
      <c r="O5" s="392"/>
      <c r="P5" s="392"/>
      <c r="Q5" s="392"/>
      <c r="R5" s="392"/>
      <c r="V5" s="93"/>
      <c r="AC5" s="1" t="s">
        <v>225</v>
      </c>
    </row>
    <row r="6" spans="2:29" ht="45.75" thickBot="1" x14ac:dyDescent="0.6">
      <c r="B6" s="12" t="s">
        <v>65</v>
      </c>
      <c r="C6" s="12"/>
      <c r="D6" s="112" t="s">
        <v>8</v>
      </c>
      <c r="E6" s="12"/>
      <c r="F6" s="113" t="s">
        <v>78</v>
      </c>
      <c r="G6" s="12"/>
      <c r="H6" s="112" t="s">
        <v>75</v>
      </c>
      <c r="I6" s="12"/>
      <c r="J6" s="113" t="s">
        <v>79</v>
      </c>
      <c r="K6" s="12"/>
      <c r="L6" s="112" t="s">
        <v>8</v>
      </c>
      <c r="M6" s="12"/>
      <c r="N6" s="113" t="s">
        <v>33</v>
      </c>
      <c r="O6" s="12"/>
      <c r="P6" s="112" t="s">
        <v>75</v>
      </c>
      <c r="Q6" s="12"/>
      <c r="R6" s="113" t="s">
        <v>79</v>
      </c>
      <c r="T6" s="170"/>
      <c r="Z6" s="1" t="s">
        <v>226</v>
      </c>
    </row>
    <row r="7" spans="2:29" x14ac:dyDescent="0.55000000000000004">
      <c r="B7" s="12" t="s">
        <v>134</v>
      </c>
      <c r="C7" s="12"/>
      <c r="D7" s="91">
        <v>900000</v>
      </c>
      <c r="E7" s="12"/>
      <c r="F7" s="114">
        <v>13691571754</v>
      </c>
      <c r="G7" s="12"/>
      <c r="H7" s="60">
        <v>-21393800929</v>
      </c>
      <c r="I7" s="12"/>
      <c r="J7" s="115">
        <f t="shared" ref="J7:J17" si="0">F7+H7</f>
        <v>-7702229175</v>
      </c>
      <c r="K7" s="12"/>
      <c r="L7" s="91">
        <v>2802865</v>
      </c>
      <c r="M7" s="12"/>
      <c r="N7" s="114">
        <v>47326625398</v>
      </c>
      <c r="O7" s="12"/>
      <c r="P7" s="60">
        <v>-66626486043</v>
      </c>
      <c r="Q7" s="12"/>
      <c r="R7" s="115">
        <v>-19299860645</v>
      </c>
      <c r="S7" s="184"/>
      <c r="T7" s="170"/>
      <c r="Z7" s="1" t="s">
        <v>227</v>
      </c>
    </row>
    <row r="8" spans="2:29" x14ac:dyDescent="0.55000000000000004">
      <c r="B8" s="12" t="s">
        <v>229</v>
      </c>
      <c r="C8" s="12"/>
      <c r="D8" s="91">
        <v>26228</v>
      </c>
      <c r="E8" s="12"/>
      <c r="F8" s="114">
        <v>356337108208</v>
      </c>
      <c r="G8" s="12"/>
      <c r="H8" s="60">
        <v>-264441554182</v>
      </c>
      <c r="I8" s="12"/>
      <c r="J8" s="115">
        <f t="shared" si="0"/>
        <v>91895554026</v>
      </c>
      <c r="K8" s="12"/>
      <c r="L8" s="91">
        <v>26228</v>
      </c>
      <c r="M8" s="12"/>
      <c r="N8" s="114">
        <v>356337108208</v>
      </c>
      <c r="O8" s="12"/>
      <c r="P8" s="60">
        <v>-264441554182</v>
      </c>
      <c r="Q8" s="12"/>
      <c r="R8" s="115">
        <v>91895554026</v>
      </c>
      <c r="S8" s="184"/>
      <c r="T8" s="170"/>
      <c r="Z8" s="1" t="s">
        <v>228</v>
      </c>
    </row>
    <row r="9" spans="2:29" x14ac:dyDescent="0.55000000000000004">
      <c r="B9" s="12" t="s">
        <v>137</v>
      </c>
      <c r="C9" s="12"/>
      <c r="D9" s="91">
        <v>700000</v>
      </c>
      <c r="E9" s="12"/>
      <c r="F9" s="114">
        <v>7881849379</v>
      </c>
      <c r="G9" s="12"/>
      <c r="H9" s="60">
        <v>-6838156333</v>
      </c>
      <c r="I9" s="12"/>
      <c r="J9" s="115">
        <f t="shared" si="0"/>
        <v>1043693046</v>
      </c>
      <c r="K9" s="12"/>
      <c r="L9" s="91">
        <v>18700000</v>
      </c>
      <c r="M9" s="12"/>
      <c r="N9" s="114">
        <v>225789917894</v>
      </c>
      <c r="O9" s="12"/>
      <c r="P9" s="60">
        <v>-172578902933</v>
      </c>
      <c r="Q9" s="12"/>
      <c r="R9" s="115">
        <v>53211014961</v>
      </c>
      <c r="S9" s="184"/>
      <c r="T9" s="170"/>
    </row>
    <row r="10" spans="2:29" x14ac:dyDescent="0.55000000000000004">
      <c r="B10" s="12" t="s">
        <v>125</v>
      </c>
      <c r="C10" s="12"/>
      <c r="D10" s="91">
        <v>922576</v>
      </c>
      <c r="E10" s="12"/>
      <c r="F10" s="114">
        <v>7065476177</v>
      </c>
      <c r="G10" s="12"/>
      <c r="H10" s="60">
        <v>-7085297471</v>
      </c>
      <c r="I10" s="12"/>
      <c r="J10" s="115">
        <f t="shared" si="0"/>
        <v>-19821294</v>
      </c>
      <c r="K10" s="12"/>
      <c r="L10" s="91">
        <v>13323322</v>
      </c>
      <c r="M10" s="12"/>
      <c r="N10" s="114">
        <v>101045993049</v>
      </c>
      <c r="O10" s="12"/>
      <c r="P10" s="60">
        <v>-101469758233</v>
      </c>
      <c r="Q10" s="12"/>
      <c r="R10" s="115">
        <v>-423765184</v>
      </c>
      <c r="S10" s="184"/>
      <c r="T10" s="170"/>
    </row>
    <row r="11" spans="2:29" x14ac:dyDescent="0.55000000000000004">
      <c r="B11" s="12" t="s">
        <v>126</v>
      </c>
      <c r="C11" s="12"/>
      <c r="D11" s="91">
        <v>32000000</v>
      </c>
      <c r="E11" s="12"/>
      <c r="F11" s="114">
        <v>87647971297</v>
      </c>
      <c r="G11" s="12"/>
      <c r="H11" s="60">
        <v>-93047754798</v>
      </c>
      <c r="I11" s="12"/>
      <c r="J11" s="115">
        <f t="shared" si="0"/>
        <v>-5399783501</v>
      </c>
      <c r="K11" s="12"/>
      <c r="L11" s="91">
        <v>72600000</v>
      </c>
      <c r="M11" s="12"/>
      <c r="N11" s="114">
        <v>240328360008</v>
      </c>
      <c r="O11" s="12"/>
      <c r="P11" s="60">
        <v>-252463553301</v>
      </c>
      <c r="Q11" s="12"/>
      <c r="R11" s="115">
        <v>-12135193293</v>
      </c>
      <c r="S11" s="184"/>
      <c r="T11" s="170"/>
    </row>
    <row r="12" spans="2:29" x14ac:dyDescent="0.55000000000000004">
      <c r="B12" s="12" t="s">
        <v>117</v>
      </c>
      <c r="C12" s="12"/>
      <c r="D12" s="91">
        <v>500000</v>
      </c>
      <c r="E12" s="12"/>
      <c r="F12" s="114">
        <v>5892489043</v>
      </c>
      <c r="G12" s="12"/>
      <c r="H12" s="60">
        <v>-4923921640</v>
      </c>
      <c r="I12" s="12"/>
      <c r="J12" s="115">
        <f>F12+H12</f>
        <v>968567403</v>
      </c>
      <c r="K12" s="12"/>
      <c r="L12" s="91">
        <v>4302565</v>
      </c>
      <c r="M12" s="12"/>
      <c r="N12" s="114">
        <v>41425685971</v>
      </c>
      <c r="O12" s="12"/>
      <c r="P12" s="60">
        <v>-40095376284</v>
      </c>
      <c r="Q12" s="12"/>
      <c r="R12" s="115">
        <v>1330309687</v>
      </c>
      <c r="S12" s="184"/>
      <c r="T12" s="170"/>
    </row>
    <row r="13" spans="2:29" x14ac:dyDescent="0.55000000000000004">
      <c r="B13" s="12" t="s">
        <v>183</v>
      </c>
      <c r="C13" s="12"/>
      <c r="D13" s="91">
        <v>14000000</v>
      </c>
      <c r="E13" s="12"/>
      <c r="F13" s="114">
        <v>71684704000</v>
      </c>
      <c r="G13" s="12"/>
      <c r="H13" s="60">
        <v>-95486198330</v>
      </c>
      <c r="I13" s="12"/>
      <c r="J13" s="115">
        <f t="shared" si="0"/>
        <v>-23801494330</v>
      </c>
      <c r="K13" s="12"/>
      <c r="L13" s="91">
        <v>17003374</v>
      </c>
      <c r="M13" s="12"/>
      <c r="N13" s="114">
        <v>93930456333</v>
      </c>
      <c r="O13" s="12"/>
      <c r="P13" s="60">
        <v>-115969359763</v>
      </c>
      <c r="Q13" s="12"/>
      <c r="R13" s="115">
        <v>-22038903430</v>
      </c>
      <c r="S13" s="184"/>
      <c r="T13" s="170"/>
    </row>
    <row r="14" spans="2:29" x14ac:dyDescent="0.55000000000000004">
      <c r="B14" s="12" t="s">
        <v>206</v>
      </c>
      <c r="C14" s="12"/>
      <c r="D14" s="91">
        <v>1000000</v>
      </c>
      <c r="E14" s="12"/>
      <c r="F14" s="114">
        <v>2379415174</v>
      </c>
      <c r="G14" s="12"/>
      <c r="H14" s="60">
        <v>-2474916980</v>
      </c>
      <c r="I14" s="12"/>
      <c r="J14" s="115">
        <f t="shared" si="0"/>
        <v>-95501806</v>
      </c>
      <c r="K14" s="12"/>
      <c r="L14" s="91">
        <v>44200000</v>
      </c>
      <c r="M14" s="12"/>
      <c r="N14" s="114">
        <v>196760306682</v>
      </c>
      <c r="O14" s="12"/>
      <c r="P14" s="60">
        <v>-186988587081</v>
      </c>
      <c r="Q14" s="12"/>
      <c r="R14" s="115">
        <v>9771719601</v>
      </c>
      <c r="S14" s="184"/>
      <c r="T14" s="170"/>
    </row>
    <row r="15" spans="2:29" x14ac:dyDescent="0.55000000000000004">
      <c r="B15" s="12" t="s">
        <v>184</v>
      </c>
      <c r="C15" s="12"/>
      <c r="D15" s="91">
        <v>3000000</v>
      </c>
      <c r="E15" s="12"/>
      <c r="F15" s="114">
        <v>6320238252</v>
      </c>
      <c r="G15" s="12"/>
      <c r="H15" s="60">
        <v>-6252102399</v>
      </c>
      <c r="I15" s="12"/>
      <c r="J15" s="115">
        <f t="shared" si="0"/>
        <v>68135853</v>
      </c>
      <c r="K15" s="12"/>
      <c r="L15" s="91">
        <v>15174770</v>
      </c>
      <c r="M15" s="12"/>
      <c r="N15" s="114">
        <v>30826733623</v>
      </c>
      <c r="O15" s="12"/>
      <c r="P15" s="60">
        <v>-31423489343</v>
      </c>
      <c r="Q15" s="12"/>
      <c r="R15" s="115">
        <v>-596755720</v>
      </c>
      <c r="S15" s="184"/>
      <c r="T15" s="170"/>
    </row>
    <row r="16" spans="2:29" x14ac:dyDescent="0.55000000000000004">
      <c r="B16" s="12" t="s">
        <v>238</v>
      </c>
      <c r="C16" s="12"/>
      <c r="D16" s="91">
        <v>2035713</v>
      </c>
      <c r="E16" s="12"/>
      <c r="F16" s="114">
        <v>137755574821</v>
      </c>
      <c r="G16" s="12"/>
      <c r="H16" s="60">
        <v>-103932356668</v>
      </c>
      <c r="I16" s="12"/>
      <c r="J16" s="115">
        <f t="shared" si="0"/>
        <v>33823218153</v>
      </c>
      <c r="K16" s="12"/>
      <c r="L16" s="91">
        <v>2035713</v>
      </c>
      <c r="M16" s="12"/>
      <c r="N16" s="114">
        <v>137755574821</v>
      </c>
      <c r="O16" s="12"/>
      <c r="P16" s="60">
        <v>-103932356668</v>
      </c>
      <c r="Q16" s="12"/>
      <c r="R16" s="115">
        <v>33823218153</v>
      </c>
      <c r="S16" s="184"/>
      <c r="T16" s="170"/>
    </row>
    <row r="17" spans="2:20" x14ac:dyDescent="0.55000000000000004">
      <c r="B17" s="12" t="s">
        <v>131</v>
      </c>
      <c r="C17" s="12"/>
      <c r="D17" s="91">
        <v>383580</v>
      </c>
      <c r="E17" s="12"/>
      <c r="F17" s="114">
        <v>900415942</v>
      </c>
      <c r="G17" s="12"/>
      <c r="H17" s="60">
        <v>-1018827449</v>
      </c>
      <c r="I17" s="12"/>
      <c r="J17" s="115">
        <f t="shared" si="0"/>
        <v>-118411507</v>
      </c>
      <c r="K17" s="12"/>
      <c r="L17" s="91">
        <v>45383580</v>
      </c>
      <c r="M17" s="12"/>
      <c r="N17" s="114">
        <v>122137553243</v>
      </c>
      <c r="O17" s="12"/>
      <c r="P17" s="60">
        <v>-120543399527</v>
      </c>
      <c r="Q17" s="12"/>
      <c r="R17" s="115">
        <v>1594153716</v>
      </c>
      <c r="S17" s="184"/>
      <c r="T17" s="170"/>
    </row>
    <row r="18" spans="2:20" x14ac:dyDescent="0.55000000000000004">
      <c r="B18" s="12"/>
      <c r="C18" s="185"/>
      <c r="D18" s="116">
        <v>50000</v>
      </c>
      <c r="E18" s="116"/>
      <c r="F18" s="116">
        <v>14107271508</v>
      </c>
      <c r="G18" s="12"/>
      <c r="H18" s="60">
        <v>-13522226316</v>
      </c>
      <c r="I18" s="12"/>
      <c r="J18" s="115">
        <f>F18+H18</f>
        <v>585045192</v>
      </c>
      <c r="K18" s="12"/>
      <c r="L18" s="116">
        <v>350000</v>
      </c>
      <c r="M18" s="12"/>
      <c r="N18" s="116">
        <v>93152434018</v>
      </c>
      <c r="O18" s="12"/>
      <c r="P18" s="60">
        <v>-91131724846</v>
      </c>
      <c r="Q18" s="12"/>
      <c r="R18" s="115">
        <v>2020709172</v>
      </c>
      <c r="S18" s="184"/>
      <c r="T18" s="170"/>
    </row>
    <row r="19" spans="2:20" x14ac:dyDescent="0.55000000000000004">
      <c r="B19" s="12" t="s">
        <v>247</v>
      </c>
      <c r="C19" s="185"/>
      <c r="D19" s="116">
        <v>1000000</v>
      </c>
      <c r="E19" s="116"/>
      <c r="F19" s="116">
        <v>6513037236</v>
      </c>
      <c r="G19" s="12"/>
      <c r="H19" s="60">
        <v>-6286087683</v>
      </c>
      <c r="I19" s="12"/>
      <c r="J19" s="115">
        <f t="shared" ref="J19:J25" si="1">F19+H19</f>
        <v>226949553</v>
      </c>
      <c r="K19" s="12"/>
      <c r="L19" s="116">
        <v>1000000</v>
      </c>
      <c r="M19" s="12"/>
      <c r="N19" s="116">
        <v>6513037236</v>
      </c>
      <c r="O19" s="12"/>
      <c r="P19" s="60">
        <v>-6286087683</v>
      </c>
      <c r="Q19" s="12"/>
      <c r="R19" s="115">
        <v>226949553</v>
      </c>
      <c r="S19" s="184"/>
      <c r="T19" s="170"/>
    </row>
    <row r="20" spans="2:20" x14ac:dyDescent="0.55000000000000004">
      <c r="B20" s="12" t="s">
        <v>199</v>
      </c>
      <c r="C20" s="185"/>
      <c r="D20" s="116">
        <v>10000000</v>
      </c>
      <c r="E20" s="116"/>
      <c r="F20" s="116">
        <v>38860864777</v>
      </c>
      <c r="G20" s="12"/>
      <c r="H20" s="60">
        <v>-56454832765</v>
      </c>
      <c r="I20" s="12"/>
      <c r="J20" s="115">
        <f t="shared" si="1"/>
        <v>-17593967988</v>
      </c>
      <c r="K20" s="12"/>
      <c r="L20" s="116">
        <v>10000000</v>
      </c>
      <c r="M20" s="12"/>
      <c r="N20" s="116">
        <v>38860864777</v>
      </c>
      <c r="O20" s="12"/>
      <c r="P20" s="60">
        <v>-56454832765</v>
      </c>
      <c r="Q20" s="12"/>
      <c r="R20" s="115">
        <v>-17593967988</v>
      </c>
      <c r="S20" s="184"/>
      <c r="T20" s="170"/>
    </row>
    <row r="21" spans="2:20" x14ac:dyDescent="0.55000000000000004">
      <c r="B21" s="12" t="s">
        <v>246</v>
      </c>
      <c r="C21" s="185"/>
      <c r="D21" s="116">
        <v>8400000</v>
      </c>
      <c r="E21" s="116"/>
      <c r="F21" s="116">
        <v>29645764472</v>
      </c>
      <c r="G21" s="12"/>
      <c r="H21" s="60">
        <v>-27735875851</v>
      </c>
      <c r="I21" s="12"/>
      <c r="J21" s="115">
        <f t="shared" si="1"/>
        <v>1909888621</v>
      </c>
      <c r="K21" s="12"/>
      <c r="L21" s="116">
        <v>8400000</v>
      </c>
      <c r="M21" s="12"/>
      <c r="N21" s="116">
        <v>29645764472</v>
      </c>
      <c r="O21" s="12"/>
      <c r="P21" s="60">
        <v>-27735875851</v>
      </c>
      <c r="Q21" s="12"/>
      <c r="R21" s="115">
        <v>1909888621</v>
      </c>
      <c r="S21" s="184"/>
      <c r="T21" s="170"/>
    </row>
    <row r="22" spans="2:20" x14ac:dyDescent="0.55000000000000004">
      <c r="B22" s="12" t="s">
        <v>118</v>
      </c>
      <c r="C22" s="185"/>
      <c r="D22" s="116">
        <v>35000000</v>
      </c>
      <c r="E22" s="116"/>
      <c r="F22" s="116">
        <v>86160123469</v>
      </c>
      <c r="G22" s="12"/>
      <c r="H22" s="60">
        <v>-87254857723</v>
      </c>
      <c r="I22" s="12"/>
      <c r="J22" s="115">
        <f t="shared" si="1"/>
        <v>-1094734254</v>
      </c>
      <c r="K22" s="12"/>
      <c r="L22" s="116">
        <v>55000000</v>
      </c>
      <c r="M22" s="12"/>
      <c r="N22" s="116">
        <v>132981669393</v>
      </c>
      <c r="O22" s="12"/>
      <c r="P22" s="60">
        <v>-135431083585</v>
      </c>
      <c r="Q22" s="12"/>
      <c r="R22" s="115">
        <v>-2449414192</v>
      </c>
      <c r="S22" s="184"/>
      <c r="T22" s="170"/>
    </row>
    <row r="23" spans="2:20" x14ac:dyDescent="0.55000000000000004">
      <c r="B23" s="12" t="s">
        <v>132</v>
      </c>
      <c r="C23" s="185"/>
      <c r="D23" s="116">
        <v>3951</v>
      </c>
      <c r="E23" s="116"/>
      <c r="F23" s="116">
        <v>23608739</v>
      </c>
      <c r="G23" s="12"/>
      <c r="H23" s="60">
        <v>-27173852</v>
      </c>
      <c r="I23" s="12"/>
      <c r="J23" s="115">
        <f t="shared" si="1"/>
        <v>-3565113</v>
      </c>
      <c r="K23" s="12"/>
      <c r="L23" s="116">
        <v>7315384</v>
      </c>
      <c r="M23" s="12"/>
      <c r="N23" s="116">
        <v>43619362067</v>
      </c>
      <c r="O23" s="12"/>
      <c r="P23" s="60">
        <v>-50587404808</v>
      </c>
      <c r="Q23" s="12"/>
      <c r="R23" s="115">
        <v>-6968042741</v>
      </c>
      <c r="S23" s="184"/>
      <c r="T23" s="170"/>
    </row>
    <row r="24" spans="2:20" x14ac:dyDescent="0.55000000000000004">
      <c r="B24" s="12" t="s">
        <v>133</v>
      </c>
      <c r="C24" s="185"/>
      <c r="D24" s="116">
        <v>7000000</v>
      </c>
      <c r="E24" s="116"/>
      <c r="F24" s="116">
        <v>9861866649</v>
      </c>
      <c r="G24" s="12"/>
      <c r="H24" s="60">
        <v>-11082157736</v>
      </c>
      <c r="I24" s="12"/>
      <c r="J24" s="115">
        <f t="shared" si="1"/>
        <v>-1220291087</v>
      </c>
      <c r="K24" s="12"/>
      <c r="L24" s="116">
        <v>42714631</v>
      </c>
      <c r="M24" s="12"/>
      <c r="N24" s="116">
        <v>52289922024</v>
      </c>
      <c r="O24" s="12"/>
      <c r="P24" s="60">
        <v>-67081912554</v>
      </c>
      <c r="Q24" s="12"/>
      <c r="R24" s="115">
        <v>-14791990530</v>
      </c>
      <c r="S24" s="184"/>
      <c r="T24" s="170"/>
    </row>
    <row r="25" spans="2:20" x14ac:dyDescent="0.55000000000000004">
      <c r="B25" s="12" t="s">
        <v>146</v>
      </c>
      <c r="C25" s="185"/>
      <c r="D25" s="116">
        <v>405319</v>
      </c>
      <c r="E25" s="116"/>
      <c r="F25" s="116">
        <v>13961383517</v>
      </c>
      <c r="G25" s="12"/>
      <c r="H25" s="60">
        <v>-14969645299</v>
      </c>
      <c r="I25" s="12"/>
      <c r="J25" s="115">
        <f t="shared" si="1"/>
        <v>-1008261782</v>
      </c>
      <c r="K25" s="12"/>
      <c r="L25" s="116">
        <v>705319</v>
      </c>
      <c r="M25" s="12"/>
      <c r="N25" s="116">
        <v>22304178782</v>
      </c>
      <c r="O25" s="12"/>
      <c r="P25" s="60">
        <v>-26078961990</v>
      </c>
      <c r="Q25" s="12"/>
      <c r="R25" s="115">
        <v>-3774783208</v>
      </c>
      <c r="S25" s="184"/>
      <c r="T25" s="170"/>
    </row>
    <row r="26" spans="2:20" x14ac:dyDescent="0.55000000000000004">
      <c r="B26" s="12" t="s">
        <v>185</v>
      </c>
      <c r="C26" s="185"/>
      <c r="D26" s="116">
        <v>3000000</v>
      </c>
      <c r="E26" s="116"/>
      <c r="F26" s="116">
        <v>16714268686</v>
      </c>
      <c r="G26" s="12"/>
      <c r="H26" s="60">
        <v>-18024621590</v>
      </c>
      <c r="I26" s="12"/>
      <c r="J26" s="115">
        <f t="shared" ref="J26:J89" si="2">F26+H26</f>
        <v>-1310352904</v>
      </c>
      <c r="K26" s="12"/>
      <c r="L26" s="116">
        <v>11018459</v>
      </c>
      <c r="M26" s="12"/>
      <c r="N26" s="116">
        <v>64169317239</v>
      </c>
      <c r="O26" s="12"/>
      <c r="P26" s="60">
        <v>-66194232779</v>
      </c>
      <c r="Q26" s="12"/>
      <c r="R26" s="115">
        <v>-2024915540</v>
      </c>
      <c r="S26" s="184"/>
      <c r="T26" s="170"/>
    </row>
    <row r="27" spans="2:20" x14ac:dyDescent="0.55000000000000004">
      <c r="B27" s="12" t="s">
        <v>245</v>
      </c>
      <c r="C27" s="185"/>
      <c r="D27" s="116">
        <v>94429</v>
      </c>
      <c r="E27" s="116"/>
      <c r="F27" s="116">
        <v>314925979</v>
      </c>
      <c r="G27" s="12"/>
      <c r="H27" s="60">
        <v>-324037299</v>
      </c>
      <c r="I27" s="12"/>
      <c r="J27" s="115">
        <f t="shared" si="2"/>
        <v>-9111320</v>
      </c>
      <c r="K27" s="12"/>
      <c r="L27" s="116">
        <v>94429</v>
      </c>
      <c r="M27" s="12"/>
      <c r="N27" s="116">
        <v>314925979</v>
      </c>
      <c r="O27" s="12"/>
      <c r="P27" s="60">
        <v>-324037299</v>
      </c>
      <c r="Q27" s="12"/>
      <c r="R27" s="115">
        <v>-9111320</v>
      </c>
      <c r="S27" s="184"/>
      <c r="T27" s="170"/>
    </row>
    <row r="28" spans="2:20" x14ac:dyDescent="0.55000000000000004">
      <c r="B28" s="12" t="s">
        <v>128</v>
      </c>
      <c r="C28" s="185"/>
      <c r="D28" s="116">
        <v>1599800</v>
      </c>
      <c r="E28" s="116"/>
      <c r="F28" s="116">
        <v>103343959710</v>
      </c>
      <c r="G28" s="12"/>
      <c r="H28" s="60">
        <v>-91477979619</v>
      </c>
      <c r="I28" s="12"/>
      <c r="J28" s="115">
        <f t="shared" si="2"/>
        <v>11865980091</v>
      </c>
      <c r="K28" s="12"/>
      <c r="L28" s="116">
        <v>3100000</v>
      </c>
      <c r="M28" s="12"/>
      <c r="N28" s="116">
        <v>185741721982</v>
      </c>
      <c r="O28" s="12"/>
      <c r="P28" s="60">
        <v>-177260743099</v>
      </c>
      <c r="Q28" s="12"/>
      <c r="R28" s="115">
        <v>8480978883</v>
      </c>
      <c r="S28" s="184"/>
      <c r="T28" s="170"/>
    </row>
    <row r="29" spans="2:20" x14ac:dyDescent="0.55000000000000004">
      <c r="B29" s="12" t="s">
        <v>115</v>
      </c>
      <c r="C29" s="185"/>
      <c r="D29" s="116">
        <v>6400000</v>
      </c>
      <c r="E29" s="116"/>
      <c r="F29" s="116">
        <v>7648489552</v>
      </c>
      <c r="G29" s="12"/>
      <c r="H29" s="60">
        <v>-7075632211</v>
      </c>
      <c r="I29" s="12"/>
      <c r="J29" s="115">
        <f t="shared" si="2"/>
        <v>572857341</v>
      </c>
      <c r="K29" s="12"/>
      <c r="L29" s="116">
        <v>96000000</v>
      </c>
      <c r="M29" s="12"/>
      <c r="N29" s="116">
        <v>185184855704</v>
      </c>
      <c r="O29" s="12"/>
      <c r="P29" s="60">
        <v>-165911889123</v>
      </c>
      <c r="Q29" s="12"/>
      <c r="R29" s="115">
        <v>19272966581</v>
      </c>
      <c r="S29" s="184"/>
      <c r="T29" s="170"/>
    </row>
    <row r="30" spans="2:20" x14ac:dyDescent="0.55000000000000004">
      <c r="B30" s="12" t="s">
        <v>142</v>
      </c>
      <c r="C30" s="185"/>
      <c r="D30" s="116">
        <v>5000000</v>
      </c>
      <c r="E30" s="116"/>
      <c r="F30" s="116">
        <v>28530711234</v>
      </c>
      <c r="G30" s="12"/>
      <c r="H30" s="60">
        <v>-37046987383</v>
      </c>
      <c r="I30" s="12"/>
      <c r="J30" s="115">
        <f t="shared" si="2"/>
        <v>-8516276149</v>
      </c>
      <c r="K30" s="12"/>
      <c r="L30" s="116">
        <v>14369697</v>
      </c>
      <c r="M30" s="12"/>
      <c r="N30" s="116">
        <v>105093650294</v>
      </c>
      <c r="O30" s="12"/>
      <c r="P30" s="60">
        <v>-113924758185</v>
      </c>
      <c r="Q30" s="12"/>
      <c r="R30" s="115">
        <v>-8831107891</v>
      </c>
      <c r="S30" s="184"/>
      <c r="T30" s="170"/>
    </row>
    <row r="31" spans="2:20" x14ac:dyDescent="0.55000000000000004">
      <c r="B31" s="12" t="s">
        <v>147</v>
      </c>
      <c r="C31" s="185"/>
      <c r="D31" s="116">
        <v>8000000</v>
      </c>
      <c r="E31" s="116"/>
      <c r="F31" s="116">
        <v>78327784276</v>
      </c>
      <c r="G31" s="12"/>
      <c r="H31" s="60">
        <v>-104116336297</v>
      </c>
      <c r="I31" s="12"/>
      <c r="J31" s="115">
        <f t="shared" si="2"/>
        <v>-25788552021</v>
      </c>
      <c r="K31" s="12"/>
      <c r="L31" s="116">
        <v>19265446</v>
      </c>
      <c r="M31" s="12"/>
      <c r="N31" s="116">
        <v>184861246863</v>
      </c>
      <c r="O31" s="12"/>
      <c r="P31" s="60">
        <v>-250732540451</v>
      </c>
      <c r="Q31" s="12"/>
      <c r="R31" s="115">
        <v>-65871293588</v>
      </c>
      <c r="S31" s="184"/>
      <c r="T31" s="170"/>
    </row>
    <row r="32" spans="2:20" x14ac:dyDescent="0.55000000000000004">
      <c r="B32" s="12" t="s">
        <v>119</v>
      </c>
      <c r="C32" s="185"/>
      <c r="D32" s="116">
        <v>20740113</v>
      </c>
      <c r="E32" s="116"/>
      <c r="F32" s="116">
        <v>57540140042</v>
      </c>
      <c r="G32" s="12"/>
      <c r="H32" s="60">
        <v>-74463917832</v>
      </c>
      <c r="I32" s="12"/>
      <c r="J32" s="115">
        <f t="shared" si="2"/>
        <v>-16923777790</v>
      </c>
      <c r="K32" s="12"/>
      <c r="L32" s="116">
        <v>34400000</v>
      </c>
      <c r="M32" s="12"/>
      <c r="N32" s="116">
        <v>100156622710</v>
      </c>
      <c r="O32" s="12"/>
      <c r="P32" s="60">
        <v>-122839427341</v>
      </c>
      <c r="Q32" s="12"/>
      <c r="R32" s="115">
        <v>-22682804631</v>
      </c>
      <c r="S32" s="184"/>
      <c r="T32" s="170"/>
    </row>
    <row r="33" spans="2:26" x14ac:dyDescent="0.55000000000000004">
      <c r="B33" s="12" t="s">
        <v>105</v>
      </c>
      <c r="C33" s="185"/>
      <c r="D33" s="116">
        <v>75001000</v>
      </c>
      <c r="E33" s="116"/>
      <c r="F33" s="116">
        <v>140107134107</v>
      </c>
      <c r="G33" s="12"/>
      <c r="H33" s="60">
        <v>-124692938896</v>
      </c>
      <c r="I33" s="12"/>
      <c r="J33" s="115">
        <f t="shared" si="2"/>
        <v>15414195211</v>
      </c>
      <c r="K33" s="12"/>
      <c r="L33" s="116">
        <v>123595378</v>
      </c>
      <c r="M33" s="12"/>
      <c r="N33" s="116">
        <v>245473506060</v>
      </c>
      <c r="O33" s="12"/>
      <c r="P33" s="60">
        <v>-238934834936</v>
      </c>
      <c r="Q33" s="12"/>
      <c r="R33" s="115">
        <v>6538671124</v>
      </c>
      <c r="S33" s="184"/>
      <c r="T33" s="170"/>
    </row>
    <row r="34" spans="2:26" x14ac:dyDescent="0.55000000000000004">
      <c r="B34" s="12" t="s">
        <v>179</v>
      </c>
      <c r="C34" s="185"/>
      <c r="D34" s="116">
        <v>4297352</v>
      </c>
      <c r="E34" s="116"/>
      <c r="F34" s="116">
        <v>32192653049</v>
      </c>
      <c r="G34" s="12"/>
      <c r="H34" s="60">
        <v>-32880818721</v>
      </c>
      <c r="I34" s="12"/>
      <c r="J34" s="115">
        <f t="shared" si="2"/>
        <v>-688165672</v>
      </c>
      <c r="K34" s="12"/>
      <c r="L34" s="116">
        <v>15297352</v>
      </c>
      <c r="M34" s="12"/>
      <c r="N34" s="116">
        <v>124115112292</v>
      </c>
      <c r="O34" s="12"/>
      <c r="P34" s="60">
        <v>-120944002623</v>
      </c>
      <c r="Q34" s="12"/>
      <c r="R34" s="115">
        <v>3171109669</v>
      </c>
      <c r="S34" s="184"/>
      <c r="T34" s="170"/>
    </row>
    <row r="35" spans="2:26" x14ac:dyDescent="0.55000000000000004">
      <c r="B35" s="12" t="s">
        <v>197</v>
      </c>
      <c r="C35" s="185"/>
      <c r="D35" s="116">
        <v>0</v>
      </c>
      <c r="E35" s="116"/>
      <c r="F35" s="116">
        <v>0</v>
      </c>
      <c r="G35" s="12"/>
      <c r="H35" s="60">
        <v>0</v>
      </c>
      <c r="I35" s="12"/>
      <c r="J35" s="115">
        <f t="shared" si="2"/>
        <v>0</v>
      </c>
      <c r="K35" s="12"/>
      <c r="L35" s="116">
        <v>9190000</v>
      </c>
      <c r="M35" s="12"/>
      <c r="N35" s="116">
        <v>116496701537</v>
      </c>
      <c r="O35" s="12"/>
      <c r="P35" s="60">
        <v>-131419390934</v>
      </c>
      <c r="Q35" s="12"/>
      <c r="R35" s="115">
        <v>-14922689397</v>
      </c>
      <c r="S35" s="184"/>
      <c r="T35" s="170"/>
    </row>
    <row r="36" spans="2:26" x14ac:dyDescent="0.55000000000000004">
      <c r="B36" s="12" t="s">
        <v>121</v>
      </c>
      <c r="C36" s="185"/>
      <c r="D36" s="116">
        <v>0</v>
      </c>
      <c r="E36" s="116"/>
      <c r="F36" s="116">
        <v>0</v>
      </c>
      <c r="G36" s="12"/>
      <c r="H36" s="60">
        <v>0</v>
      </c>
      <c r="I36" s="12"/>
      <c r="J36" s="115">
        <f t="shared" si="2"/>
        <v>0</v>
      </c>
      <c r="K36" s="12"/>
      <c r="L36" s="116">
        <v>4100912</v>
      </c>
      <c r="M36" s="12"/>
      <c r="N36" s="116">
        <v>177521867396</v>
      </c>
      <c r="O36" s="12"/>
      <c r="P36" s="60">
        <v>-279581246425</v>
      </c>
      <c r="Q36" s="12"/>
      <c r="R36" s="115">
        <v>-102059379029</v>
      </c>
      <c r="S36" s="184"/>
      <c r="T36" s="170"/>
    </row>
    <row r="37" spans="2:26" x14ac:dyDescent="0.55000000000000004">
      <c r="B37" s="12" t="s">
        <v>201</v>
      </c>
      <c r="C37" s="185"/>
      <c r="D37" s="116">
        <v>0</v>
      </c>
      <c r="E37" s="116"/>
      <c r="F37" s="116">
        <v>0</v>
      </c>
      <c r="G37" s="12"/>
      <c r="H37" s="60">
        <v>0</v>
      </c>
      <c r="I37" s="12"/>
      <c r="J37" s="115">
        <f t="shared" si="2"/>
        <v>0</v>
      </c>
      <c r="K37" s="12"/>
      <c r="L37" s="116">
        <v>100000</v>
      </c>
      <c r="M37" s="12"/>
      <c r="N37" s="116">
        <v>3017518428</v>
      </c>
      <c r="O37" s="12"/>
      <c r="P37" s="60">
        <v>-2601866800</v>
      </c>
      <c r="Q37" s="12"/>
      <c r="R37" s="115">
        <v>415651628</v>
      </c>
      <c r="S37" s="184"/>
      <c r="T37" s="170"/>
    </row>
    <row r="38" spans="2:26" x14ac:dyDescent="0.55000000000000004">
      <c r="B38" s="12" t="s">
        <v>129</v>
      </c>
      <c r="C38" s="185"/>
      <c r="D38" s="116">
        <v>0</v>
      </c>
      <c r="E38" s="116"/>
      <c r="F38" s="116">
        <v>0</v>
      </c>
      <c r="G38" s="12"/>
      <c r="H38" s="60">
        <v>0</v>
      </c>
      <c r="I38" s="12"/>
      <c r="J38" s="115">
        <f t="shared" si="2"/>
        <v>0</v>
      </c>
      <c r="K38" s="12"/>
      <c r="L38" s="116">
        <v>48036566</v>
      </c>
      <c r="M38" s="12"/>
      <c r="N38" s="116">
        <v>30376622165</v>
      </c>
      <c r="O38" s="12"/>
      <c r="P38" s="60">
        <v>-25355157562</v>
      </c>
      <c r="Q38" s="12"/>
      <c r="R38" s="115">
        <v>5021464603</v>
      </c>
      <c r="S38" s="184"/>
      <c r="T38" s="170"/>
    </row>
    <row r="39" spans="2:26" x14ac:dyDescent="0.55000000000000004">
      <c r="B39" s="12" t="s">
        <v>178</v>
      </c>
      <c r="C39" s="185"/>
      <c r="D39" s="116">
        <v>0</v>
      </c>
      <c r="E39" s="116"/>
      <c r="F39" s="116">
        <v>0</v>
      </c>
      <c r="G39" s="12"/>
      <c r="H39" s="60">
        <v>0</v>
      </c>
      <c r="I39" s="12"/>
      <c r="J39" s="115">
        <f t="shared" si="2"/>
        <v>0</v>
      </c>
      <c r="K39" s="12"/>
      <c r="L39" s="116">
        <v>500000</v>
      </c>
      <c r="M39" s="12"/>
      <c r="N39" s="116">
        <v>79824838253</v>
      </c>
      <c r="O39" s="12"/>
      <c r="P39" s="60">
        <v>-84310491490</v>
      </c>
      <c r="Q39" s="12"/>
      <c r="R39" s="115">
        <v>-4485653237</v>
      </c>
      <c r="S39" s="184"/>
      <c r="T39" s="170"/>
    </row>
    <row r="40" spans="2:26" x14ac:dyDescent="0.55000000000000004">
      <c r="B40" s="12" t="s">
        <v>172</v>
      </c>
      <c r="C40" s="185"/>
      <c r="D40" s="116">
        <v>0</v>
      </c>
      <c r="E40" s="116"/>
      <c r="F40" s="116">
        <v>0</v>
      </c>
      <c r="G40" s="12"/>
      <c r="H40" s="60">
        <v>0</v>
      </c>
      <c r="I40" s="12"/>
      <c r="J40" s="115">
        <f t="shared" si="2"/>
        <v>0</v>
      </c>
      <c r="K40" s="12"/>
      <c r="L40" s="116">
        <v>175000</v>
      </c>
      <c r="M40" s="12"/>
      <c r="N40" s="116">
        <v>7934785337</v>
      </c>
      <c r="O40" s="12"/>
      <c r="P40" s="60">
        <v>-7062725232</v>
      </c>
      <c r="Q40" s="12"/>
      <c r="R40" s="115">
        <v>872060105</v>
      </c>
      <c r="S40" s="184"/>
      <c r="T40" s="170"/>
    </row>
    <row r="41" spans="2:26" x14ac:dyDescent="0.55000000000000004">
      <c r="B41" s="12" t="s">
        <v>190</v>
      </c>
      <c r="C41" s="185"/>
      <c r="D41" s="116">
        <v>0</v>
      </c>
      <c r="E41" s="116"/>
      <c r="F41" s="116">
        <v>0</v>
      </c>
      <c r="G41" s="12"/>
      <c r="H41" s="60">
        <v>0</v>
      </c>
      <c r="I41" s="12"/>
      <c r="J41" s="115">
        <f t="shared" si="2"/>
        <v>0</v>
      </c>
      <c r="K41" s="12"/>
      <c r="L41" s="116">
        <v>6100000</v>
      </c>
      <c r="M41" s="12"/>
      <c r="N41" s="116">
        <v>76203951750</v>
      </c>
      <c r="O41" s="12"/>
      <c r="P41" s="60">
        <v>-51624969511</v>
      </c>
      <c r="Q41" s="12"/>
      <c r="R41" s="115">
        <v>24578982239</v>
      </c>
      <c r="S41" s="184"/>
      <c r="T41" s="170"/>
    </row>
    <row r="42" spans="2:26" x14ac:dyDescent="0.55000000000000004">
      <c r="B42" s="12" t="s">
        <v>163</v>
      </c>
      <c r="C42" s="185"/>
      <c r="D42" s="116">
        <v>0</v>
      </c>
      <c r="E42" s="116"/>
      <c r="F42" s="116">
        <v>0</v>
      </c>
      <c r="G42" s="12"/>
      <c r="H42" s="60">
        <v>0</v>
      </c>
      <c r="I42" s="12"/>
      <c r="J42" s="115">
        <f t="shared" si="2"/>
        <v>0</v>
      </c>
      <c r="K42" s="12"/>
      <c r="L42" s="116">
        <v>250000</v>
      </c>
      <c r="M42" s="12"/>
      <c r="N42" s="116">
        <v>3710544265</v>
      </c>
      <c r="O42" s="12"/>
      <c r="P42" s="60">
        <v>-3436927875</v>
      </c>
      <c r="Q42" s="12"/>
      <c r="R42" s="115">
        <v>273616390</v>
      </c>
      <c r="S42" s="184"/>
      <c r="T42" s="170"/>
    </row>
    <row r="43" spans="2:26" ht="23.25" thickBot="1" x14ac:dyDescent="0.6">
      <c r="B43" s="186" t="s">
        <v>223</v>
      </c>
      <c r="C43" s="176"/>
      <c r="D43" s="187">
        <f>SUM(D7:D42)</f>
        <v>241460061</v>
      </c>
      <c r="E43" s="187"/>
      <c r="F43" s="187">
        <f>SUM(F7:F42)</f>
        <v>1361410801049</v>
      </c>
      <c r="G43" s="187"/>
      <c r="H43" s="187">
        <f>SUM(H7:H42)</f>
        <v>-1314331014252</v>
      </c>
      <c r="I43" s="187"/>
      <c r="J43" s="187">
        <f>SUM(J7:J42)</f>
        <v>47079786797</v>
      </c>
      <c r="K43" s="187"/>
      <c r="L43" s="187">
        <f>SUM(L7:L42)</f>
        <v>746630990</v>
      </c>
      <c r="M43" s="187"/>
      <c r="N43" s="187">
        <f>SUM(N7:N42)</f>
        <v>3703229336253</v>
      </c>
      <c r="O43" s="187"/>
      <c r="P43" s="187">
        <f>SUM(P7:P42)</f>
        <v>-3759779949105</v>
      </c>
      <c r="Q43" s="187"/>
      <c r="R43" s="187">
        <f>SUM(R7:R42)</f>
        <v>-56550612852</v>
      </c>
      <c r="S43" s="184"/>
      <c r="T43" s="170"/>
    </row>
    <row r="44" spans="2:26" ht="23.25" thickTop="1" x14ac:dyDescent="0.55000000000000004">
      <c r="B44" s="12"/>
      <c r="C44" s="185"/>
      <c r="D44" s="116"/>
      <c r="E44" s="116"/>
      <c r="F44" s="116"/>
      <c r="G44" s="12"/>
      <c r="H44" s="60"/>
      <c r="I44" s="12"/>
      <c r="J44" s="115"/>
      <c r="K44" s="12"/>
      <c r="L44" s="116"/>
      <c r="M44" s="12"/>
      <c r="N44" s="116"/>
      <c r="O44" s="12"/>
      <c r="P44" s="60"/>
      <c r="Q44" s="12"/>
      <c r="R44" s="115"/>
      <c r="S44" s="184"/>
      <c r="T44" s="170"/>
    </row>
    <row r="45" spans="2:26" ht="24" x14ac:dyDescent="0.55000000000000004">
      <c r="B45" s="397" t="s">
        <v>99</v>
      </c>
      <c r="C45" s="397"/>
      <c r="D45" s="397"/>
      <c r="E45" s="397"/>
      <c r="F45" s="397"/>
      <c r="G45" s="397"/>
      <c r="H45" s="397"/>
      <c r="I45" s="397"/>
      <c r="J45" s="397"/>
      <c r="K45" s="399"/>
      <c r="L45" s="399"/>
      <c r="M45" s="399"/>
      <c r="N45" s="399"/>
      <c r="O45" s="399"/>
      <c r="P45" s="399"/>
      <c r="Q45" s="399"/>
      <c r="R45" s="399"/>
      <c r="Z45" s="1" t="s">
        <v>191</v>
      </c>
    </row>
    <row r="46" spans="2:26" ht="24.75" thickBot="1" x14ac:dyDescent="0.6">
      <c r="B46" s="12"/>
      <c r="C46" s="12"/>
      <c r="D46" s="392" t="str">
        <f>D5</f>
        <v>طی مهر ماه</v>
      </c>
      <c r="E46" s="392"/>
      <c r="F46" s="392"/>
      <c r="G46" s="392"/>
      <c r="H46" s="392"/>
      <c r="I46" s="392"/>
      <c r="J46" s="392"/>
      <c r="K46" s="12"/>
      <c r="L46" s="392" t="str">
        <f>L5</f>
        <v>از ابتدای سال مالی تا پایان مهر ماه</v>
      </c>
      <c r="M46" s="392"/>
      <c r="N46" s="392"/>
      <c r="O46" s="392"/>
      <c r="P46" s="392"/>
      <c r="Q46" s="392"/>
      <c r="R46" s="392"/>
      <c r="Z46" s="1" t="s">
        <v>192</v>
      </c>
    </row>
    <row r="47" spans="2:26" ht="45.75" thickBot="1" x14ac:dyDescent="0.6">
      <c r="B47" s="12" t="s">
        <v>65</v>
      </c>
      <c r="C47" s="12"/>
      <c r="D47" s="112" t="s">
        <v>8</v>
      </c>
      <c r="E47" s="12"/>
      <c r="F47" s="113" t="s">
        <v>78</v>
      </c>
      <c r="G47" s="12"/>
      <c r="H47" s="112" t="s">
        <v>75</v>
      </c>
      <c r="I47" s="12"/>
      <c r="J47" s="113" t="s">
        <v>79</v>
      </c>
      <c r="K47" s="12"/>
      <c r="L47" s="112" t="s">
        <v>8</v>
      </c>
      <c r="M47" s="12"/>
      <c r="N47" s="113" t="s">
        <v>33</v>
      </c>
      <c r="O47" s="12"/>
      <c r="P47" s="112" t="s">
        <v>75</v>
      </c>
      <c r="Q47" s="12"/>
      <c r="R47" s="113" t="s">
        <v>79</v>
      </c>
      <c r="T47" s="170"/>
      <c r="X47" s="1" t="s">
        <v>193</v>
      </c>
    </row>
    <row r="48" spans="2:26" x14ac:dyDescent="0.55000000000000004">
      <c r="B48" s="12" t="s">
        <v>224</v>
      </c>
      <c r="C48" s="185"/>
      <c r="D48" s="116">
        <f>D43</f>
        <v>241460061</v>
      </c>
      <c r="E48" s="116"/>
      <c r="F48" s="60">
        <f>F43</f>
        <v>1361410801049</v>
      </c>
      <c r="G48" s="60"/>
      <c r="H48" s="60">
        <f>H43</f>
        <v>-1314331014252</v>
      </c>
      <c r="I48" s="60"/>
      <c r="J48" s="60">
        <f>J43</f>
        <v>47079786797</v>
      </c>
      <c r="K48" s="60"/>
      <c r="L48" s="60">
        <f>L43</f>
        <v>746630990</v>
      </c>
      <c r="M48" s="60"/>
      <c r="N48" s="60">
        <f>N43</f>
        <v>3703229336253</v>
      </c>
      <c r="O48" s="60"/>
      <c r="P48" s="60">
        <f>P43</f>
        <v>-3759779949105</v>
      </c>
      <c r="Q48" s="60"/>
      <c r="R48" s="60">
        <f>R43</f>
        <v>-56550612852</v>
      </c>
      <c r="S48" s="184"/>
      <c r="T48" s="170"/>
    </row>
    <row r="49" spans="2:20" x14ac:dyDescent="0.55000000000000004">
      <c r="B49" s="12" t="s">
        <v>188</v>
      </c>
      <c r="C49" s="185"/>
      <c r="D49" s="116">
        <v>0</v>
      </c>
      <c r="E49" s="116"/>
      <c r="F49" s="116">
        <v>0</v>
      </c>
      <c r="G49" s="12"/>
      <c r="H49" s="60">
        <v>0</v>
      </c>
      <c r="I49" s="12"/>
      <c r="J49" s="115">
        <f t="shared" si="2"/>
        <v>0</v>
      </c>
      <c r="K49" s="12"/>
      <c r="L49" s="116">
        <v>358251</v>
      </c>
      <c r="M49" s="12"/>
      <c r="N49" s="116">
        <v>6944992773</v>
      </c>
      <c r="O49" s="12"/>
      <c r="P49" s="60">
        <v>6981910383</v>
      </c>
      <c r="Q49" s="12"/>
      <c r="R49" s="115">
        <v>-36917610</v>
      </c>
      <c r="S49" s="184"/>
      <c r="T49" s="170"/>
    </row>
    <row r="50" spans="2:20" x14ac:dyDescent="0.55000000000000004">
      <c r="B50" s="12" t="s">
        <v>196</v>
      </c>
      <c r="C50" s="185"/>
      <c r="D50" s="116">
        <v>0</v>
      </c>
      <c r="E50" s="116"/>
      <c r="F50" s="116">
        <v>0</v>
      </c>
      <c r="G50" s="12"/>
      <c r="H50" s="60">
        <v>0</v>
      </c>
      <c r="I50" s="12"/>
      <c r="J50" s="115">
        <f t="shared" si="2"/>
        <v>0</v>
      </c>
      <c r="K50" s="12"/>
      <c r="L50" s="116">
        <v>3250000</v>
      </c>
      <c r="M50" s="12"/>
      <c r="N50" s="116">
        <v>4772600674</v>
      </c>
      <c r="O50" s="12"/>
      <c r="P50" s="60">
        <v>4390650225</v>
      </c>
      <c r="Q50" s="12"/>
      <c r="R50" s="115">
        <v>381950449</v>
      </c>
      <c r="S50" s="184"/>
      <c r="T50" s="170"/>
    </row>
    <row r="51" spans="2:20" x14ac:dyDescent="0.55000000000000004">
      <c r="B51" s="12" t="s">
        <v>169</v>
      </c>
      <c r="C51" s="185"/>
      <c r="D51" s="116">
        <v>0</v>
      </c>
      <c r="E51" s="116"/>
      <c r="F51" s="116">
        <v>0</v>
      </c>
      <c r="G51" s="12"/>
      <c r="H51" s="60">
        <v>0</v>
      </c>
      <c r="I51" s="12"/>
      <c r="J51" s="115">
        <f t="shared" si="2"/>
        <v>0</v>
      </c>
      <c r="K51" s="12"/>
      <c r="L51" s="116">
        <v>4110000</v>
      </c>
      <c r="M51" s="12"/>
      <c r="N51" s="116">
        <v>69935875826</v>
      </c>
      <c r="O51" s="12"/>
      <c r="P51" s="60">
        <v>67901304925</v>
      </c>
      <c r="Q51" s="12"/>
      <c r="R51" s="115">
        <v>2034570901</v>
      </c>
      <c r="S51" s="184"/>
      <c r="T51" s="170"/>
    </row>
    <row r="52" spans="2:20" x14ac:dyDescent="0.55000000000000004">
      <c r="B52" s="12" t="s">
        <v>160</v>
      </c>
      <c r="C52" s="185"/>
      <c r="D52" s="116">
        <v>0</v>
      </c>
      <c r="E52" s="116"/>
      <c r="F52" s="116">
        <v>0</v>
      </c>
      <c r="G52" s="12"/>
      <c r="H52" s="60">
        <v>0</v>
      </c>
      <c r="I52" s="12"/>
      <c r="J52" s="115">
        <f t="shared" si="2"/>
        <v>0</v>
      </c>
      <c r="K52" s="12"/>
      <c r="L52" s="116">
        <v>8075370</v>
      </c>
      <c r="M52" s="12"/>
      <c r="N52" s="116">
        <v>10863602652</v>
      </c>
      <c r="O52" s="12"/>
      <c r="P52" s="60">
        <v>13421679968</v>
      </c>
      <c r="Q52" s="12"/>
      <c r="R52" s="115">
        <v>-2558077316</v>
      </c>
      <c r="S52" s="184"/>
      <c r="T52" s="170"/>
    </row>
    <row r="53" spans="2:20" x14ac:dyDescent="0.55000000000000004">
      <c r="B53" s="12" t="s">
        <v>174</v>
      </c>
      <c r="C53" s="185"/>
      <c r="D53" s="116">
        <v>0</v>
      </c>
      <c r="E53" s="116"/>
      <c r="F53" s="116">
        <v>0</v>
      </c>
      <c r="G53" s="12"/>
      <c r="H53" s="60">
        <v>0</v>
      </c>
      <c r="I53" s="12"/>
      <c r="J53" s="115">
        <f t="shared" si="2"/>
        <v>0</v>
      </c>
      <c r="K53" s="12"/>
      <c r="L53" s="116">
        <v>1062500</v>
      </c>
      <c r="M53" s="12"/>
      <c r="N53" s="116">
        <v>2536492684</v>
      </c>
      <c r="O53" s="12"/>
      <c r="P53" s="60">
        <v>2385072759</v>
      </c>
      <c r="Q53" s="12"/>
      <c r="R53" s="115">
        <v>151419925</v>
      </c>
      <c r="S53" s="184"/>
      <c r="T53" s="170"/>
    </row>
    <row r="54" spans="2:20" x14ac:dyDescent="0.55000000000000004">
      <c r="B54" s="12" t="s">
        <v>145</v>
      </c>
      <c r="C54" s="185"/>
      <c r="D54" s="116">
        <v>0</v>
      </c>
      <c r="E54" s="116"/>
      <c r="F54" s="116">
        <v>0</v>
      </c>
      <c r="G54" s="12"/>
      <c r="H54" s="60">
        <v>0</v>
      </c>
      <c r="I54" s="12"/>
      <c r="J54" s="115">
        <f t="shared" si="2"/>
        <v>0</v>
      </c>
      <c r="K54" s="12"/>
      <c r="L54" s="116">
        <v>9000</v>
      </c>
      <c r="M54" s="12"/>
      <c r="N54" s="116">
        <v>743971783</v>
      </c>
      <c r="O54" s="12"/>
      <c r="P54" s="60">
        <v>712584743</v>
      </c>
      <c r="Q54" s="12"/>
      <c r="R54" s="115">
        <v>31387040</v>
      </c>
      <c r="S54" s="184"/>
      <c r="T54" s="170"/>
    </row>
    <row r="55" spans="2:20" x14ac:dyDescent="0.55000000000000004">
      <c r="B55" s="12" t="s">
        <v>207</v>
      </c>
      <c r="C55" s="185"/>
      <c r="D55" s="116">
        <v>0</v>
      </c>
      <c r="E55" s="116"/>
      <c r="F55" s="116">
        <v>0</v>
      </c>
      <c r="G55" s="12"/>
      <c r="H55" s="60">
        <v>0</v>
      </c>
      <c r="I55" s="12"/>
      <c r="J55" s="115">
        <f t="shared" si="2"/>
        <v>0</v>
      </c>
      <c r="K55" s="12"/>
      <c r="L55" s="116">
        <v>285750</v>
      </c>
      <c r="M55" s="12"/>
      <c r="N55" s="116">
        <v>16096789618</v>
      </c>
      <c r="O55" s="12"/>
      <c r="P55" s="60">
        <v>13620187310</v>
      </c>
      <c r="Q55" s="12"/>
      <c r="R55" s="115">
        <v>2476602308</v>
      </c>
      <c r="S55" s="184"/>
      <c r="T55" s="170"/>
    </row>
    <row r="56" spans="2:20" x14ac:dyDescent="0.55000000000000004">
      <c r="B56" s="12" t="s">
        <v>186</v>
      </c>
      <c r="C56" s="185"/>
      <c r="D56" s="116">
        <v>0</v>
      </c>
      <c r="E56" s="116"/>
      <c r="F56" s="116">
        <v>0</v>
      </c>
      <c r="G56" s="12"/>
      <c r="H56" s="60">
        <v>0</v>
      </c>
      <c r="I56" s="12"/>
      <c r="J56" s="115">
        <f t="shared" si="2"/>
        <v>0</v>
      </c>
      <c r="K56" s="12"/>
      <c r="L56" s="116">
        <v>4100000</v>
      </c>
      <c r="M56" s="12"/>
      <c r="N56" s="116">
        <v>47787732830</v>
      </c>
      <c r="O56" s="12"/>
      <c r="P56" s="60">
        <v>50619014100</v>
      </c>
      <c r="Q56" s="12"/>
      <c r="R56" s="115">
        <v>-2831281270</v>
      </c>
      <c r="S56" s="184"/>
      <c r="T56" s="170"/>
    </row>
    <row r="57" spans="2:20" x14ac:dyDescent="0.55000000000000004">
      <c r="B57" s="12" t="s">
        <v>170</v>
      </c>
      <c r="C57" s="185"/>
      <c r="D57" s="116">
        <v>0</v>
      </c>
      <c r="E57" s="116"/>
      <c r="F57" s="116">
        <v>0</v>
      </c>
      <c r="G57" s="12"/>
      <c r="H57" s="60">
        <v>0</v>
      </c>
      <c r="I57" s="12"/>
      <c r="J57" s="115">
        <f t="shared" si="2"/>
        <v>0</v>
      </c>
      <c r="K57" s="12"/>
      <c r="L57" s="116">
        <v>1736188</v>
      </c>
      <c r="M57" s="12"/>
      <c r="N57" s="116">
        <v>30243266931</v>
      </c>
      <c r="O57" s="12"/>
      <c r="P57" s="60">
        <v>33051469297</v>
      </c>
      <c r="Q57" s="12"/>
      <c r="R57" s="115">
        <v>-2808202366</v>
      </c>
      <c r="S57" s="184"/>
      <c r="T57" s="170"/>
    </row>
    <row r="58" spans="2:20" x14ac:dyDescent="0.55000000000000004">
      <c r="B58" s="12" t="s">
        <v>127</v>
      </c>
      <c r="C58" s="185"/>
      <c r="D58" s="116">
        <v>0</v>
      </c>
      <c r="E58" s="116"/>
      <c r="F58" s="116">
        <v>0</v>
      </c>
      <c r="G58" s="12"/>
      <c r="H58" s="60">
        <v>0</v>
      </c>
      <c r="I58" s="12"/>
      <c r="J58" s="115">
        <f t="shared" si="2"/>
        <v>0</v>
      </c>
      <c r="K58" s="12"/>
      <c r="L58" s="116">
        <v>3000000</v>
      </c>
      <c r="M58" s="12"/>
      <c r="N58" s="116">
        <v>40743955200</v>
      </c>
      <c r="O58" s="12"/>
      <c r="P58" s="60">
        <v>37933216382</v>
      </c>
      <c r="Q58" s="12"/>
      <c r="R58" s="115">
        <v>2810738818</v>
      </c>
      <c r="S58" s="184"/>
      <c r="T58" s="170"/>
    </row>
    <row r="59" spans="2:20" x14ac:dyDescent="0.55000000000000004">
      <c r="B59" s="12" t="s">
        <v>156</v>
      </c>
      <c r="C59" s="185"/>
      <c r="D59" s="116">
        <v>0</v>
      </c>
      <c r="E59" s="116"/>
      <c r="F59" s="116">
        <v>0</v>
      </c>
      <c r="G59" s="12"/>
      <c r="H59" s="60">
        <v>0</v>
      </c>
      <c r="I59" s="12"/>
      <c r="J59" s="115">
        <f t="shared" si="2"/>
        <v>0</v>
      </c>
      <c r="K59" s="12"/>
      <c r="L59" s="116">
        <v>250000</v>
      </c>
      <c r="M59" s="12"/>
      <c r="N59" s="116">
        <v>2187328005</v>
      </c>
      <c r="O59" s="12"/>
      <c r="P59" s="60">
        <v>1729647000</v>
      </c>
      <c r="Q59" s="12"/>
      <c r="R59" s="115">
        <v>457681005</v>
      </c>
      <c r="S59" s="184"/>
      <c r="T59" s="170"/>
    </row>
    <row r="60" spans="2:20" x14ac:dyDescent="0.55000000000000004">
      <c r="B60" s="12" t="s">
        <v>181</v>
      </c>
      <c r="C60" s="185"/>
      <c r="D60" s="116">
        <v>0</v>
      </c>
      <c r="E60" s="116"/>
      <c r="F60" s="116">
        <v>0</v>
      </c>
      <c r="G60" s="12"/>
      <c r="H60" s="60">
        <v>0</v>
      </c>
      <c r="I60" s="12"/>
      <c r="J60" s="115">
        <f t="shared" si="2"/>
        <v>0</v>
      </c>
      <c r="K60" s="12"/>
      <c r="L60" s="116">
        <v>2293414</v>
      </c>
      <c r="M60" s="12"/>
      <c r="N60" s="116">
        <v>12408221385</v>
      </c>
      <c r="O60" s="12"/>
      <c r="P60" s="60">
        <v>11809199207</v>
      </c>
      <c r="Q60" s="12"/>
      <c r="R60" s="115">
        <v>599022178</v>
      </c>
      <c r="S60" s="184"/>
      <c r="T60" s="170"/>
    </row>
    <row r="61" spans="2:20" x14ac:dyDescent="0.55000000000000004">
      <c r="B61" s="12" t="s">
        <v>124</v>
      </c>
      <c r="C61" s="185"/>
      <c r="D61" s="116">
        <v>0</v>
      </c>
      <c r="E61" s="116"/>
      <c r="F61" s="116">
        <v>0</v>
      </c>
      <c r="G61" s="12"/>
      <c r="H61" s="60">
        <v>0</v>
      </c>
      <c r="I61" s="12"/>
      <c r="J61" s="115">
        <f t="shared" si="2"/>
        <v>0</v>
      </c>
      <c r="K61" s="12"/>
      <c r="L61" s="116">
        <v>5666666</v>
      </c>
      <c r="M61" s="12"/>
      <c r="N61" s="116">
        <v>259014905617</v>
      </c>
      <c r="O61" s="12"/>
      <c r="P61" s="60">
        <v>247399134751</v>
      </c>
      <c r="Q61" s="12"/>
      <c r="R61" s="115">
        <v>11615770866</v>
      </c>
      <c r="S61" s="184"/>
      <c r="T61" s="170"/>
    </row>
    <row r="62" spans="2:20" x14ac:dyDescent="0.55000000000000004">
      <c r="B62" s="12" t="s">
        <v>171</v>
      </c>
      <c r="C62" s="185"/>
      <c r="D62" s="116">
        <v>0</v>
      </c>
      <c r="E62" s="116"/>
      <c r="F62" s="116">
        <v>0</v>
      </c>
      <c r="G62" s="12"/>
      <c r="H62" s="60">
        <v>0</v>
      </c>
      <c r="I62" s="12"/>
      <c r="J62" s="115">
        <f t="shared" si="2"/>
        <v>0</v>
      </c>
      <c r="K62" s="12"/>
      <c r="L62" s="116">
        <v>128947</v>
      </c>
      <c r="M62" s="12"/>
      <c r="N62" s="116">
        <v>259917481</v>
      </c>
      <c r="O62" s="12"/>
      <c r="P62" s="60">
        <v>231364476</v>
      </c>
      <c r="Q62" s="12"/>
      <c r="R62" s="115">
        <v>28553005</v>
      </c>
      <c r="S62" s="184"/>
      <c r="T62" s="170"/>
    </row>
    <row r="63" spans="2:20" x14ac:dyDescent="0.55000000000000004">
      <c r="B63" s="12" t="s">
        <v>149</v>
      </c>
      <c r="C63" s="185"/>
      <c r="D63" s="116">
        <v>0</v>
      </c>
      <c r="E63" s="116"/>
      <c r="F63" s="116">
        <v>0</v>
      </c>
      <c r="G63" s="12"/>
      <c r="H63" s="60">
        <v>0</v>
      </c>
      <c r="I63" s="12"/>
      <c r="J63" s="115">
        <f t="shared" si="2"/>
        <v>0</v>
      </c>
      <c r="K63" s="12"/>
      <c r="L63" s="116">
        <v>4797393</v>
      </c>
      <c r="M63" s="12"/>
      <c r="N63" s="116">
        <v>100451005427</v>
      </c>
      <c r="O63" s="12"/>
      <c r="P63" s="60">
        <v>91837693253</v>
      </c>
      <c r="Q63" s="12"/>
      <c r="R63" s="115">
        <v>8613312174</v>
      </c>
      <c r="S63" s="184"/>
      <c r="T63" s="170"/>
    </row>
    <row r="64" spans="2:20" x14ac:dyDescent="0.55000000000000004">
      <c r="B64" s="12" t="s">
        <v>180</v>
      </c>
      <c r="C64" s="185"/>
      <c r="D64" s="116">
        <v>0</v>
      </c>
      <c r="E64" s="116"/>
      <c r="F64" s="116">
        <v>0</v>
      </c>
      <c r="G64" s="12"/>
      <c r="H64" s="60">
        <v>0</v>
      </c>
      <c r="I64" s="12"/>
      <c r="J64" s="115">
        <f t="shared" si="2"/>
        <v>0</v>
      </c>
      <c r="K64" s="12"/>
      <c r="L64" s="116">
        <v>6026011</v>
      </c>
      <c r="M64" s="12"/>
      <c r="N64" s="116">
        <v>20238589763</v>
      </c>
      <c r="O64" s="12"/>
      <c r="P64" s="60">
        <v>22777316869</v>
      </c>
      <c r="Q64" s="12"/>
      <c r="R64" s="115">
        <v>-2538727106</v>
      </c>
      <c r="S64" s="184"/>
      <c r="T64" s="170"/>
    </row>
    <row r="65" spans="2:20" x14ac:dyDescent="0.55000000000000004">
      <c r="B65" s="12" t="s">
        <v>177</v>
      </c>
      <c r="C65" s="185"/>
      <c r="D65" s="116">
        <v>0</v>
      </c>
      <c r="E65" s="116"/>
      <c r="F65" s="116">
        <v>0</v>
      </c>
      <c r="G65" s="12"/>
      <c r="H65" s="60">
        <v>0</v>
      </c>
      <c r="I65" s="12"/>
      <c r="J65" s="115">
        <f t="shared" si="2"/>
        <v>0</v>
      </c>
      <c r="K65" s="12"/>
      <c r="L65" s="116">
        <v>900000</v>
      </c>
      <c r="M65" s="12"/>
      <c r="N65" s="116">
        <v>3553314347</v>
      </c>
      <c r="O65" s="12"/>
      <c r="P65" s="60">
        <v>2980062495</v>
      </c>
      <c r="Q65" s="12"/>
      <c r="R65" s="115">
        <v>573251852</v>
      </c>
      <c r="S65" s="184"/>
      <c r="T65" s="170"/>
    </row>
    <row r="66" spans="2:20" x14ac:dyDescent="0.55000000000000004">
      <c r="B66" s="12" t="s">
        <v>166</v>
      </c>
      <c r="C66" s="185"/>
      <c r="D66" s="116">
        <v>0</v>
      </c>
      <c r="E66" s="116"/>
      <c r="F66" s="116">
        <v>0</v>
      </c>
      <c r="G66" s="12"/>
      <c r="H66" s="60">
        <v>0</v>
      </c>
      <c r="I66" s="12"/>
      <c r="J66" s="115">
        <f t="shared" si="2"/>
        <v>0</v>
      </c>
      <c r="K66" s="12"/>
      <c r="L66" s="116">
        <v>3905556</v>
      </c>
      <c r="M66" s="12"/>
      <c r="N66" s="116">
        <v>14860811601</v>
      </c>
      <c r="O66" s="12"/>
      <c r="P66" s="60">
        <v>15133275340</v>
      </c>
      <c r="Q66" s="12"/>
      <c r="R66" s="115">
        <v>-272463739</v>
      </c>
      <c r="S66" s="184"/>
      <c r="T66" s="170"/>
    </row>
    <row r="67" spans="2:20" x14ac:dyDescent="0.55000000000000004">
      <c r="B67" s="12" t="s">
        <v>114</v>
      </c>
      <c r="C67" s="185"/>
      <c r="D67" s="116">
        <v>0</v>
      </c>
      <c r="E67" s="116"/>
      <c r="F67" s="116">
        <v>0</v>
      </c>
      <c r="G67" s="12"/>
      <c r="H67" s="60">
        <v>0</v>
      </c>
      <c r="I67" s="12"/>
      <c r="J67" s="115">
        <f t="shared" si="2"/>
        <v>0</v>
      </c>
      <c r="K67" s="12"/>
      <c r="L67" s="116">
        <v>1000000</v>
      </c>
      <c r="M67" s="12"/>
      <c r="N67" s="116">
        <v>83306795067</v>
      </c>
      <c r="O67" s="12"/>
      <c r="P67" s="60">
        <v>80939563075</v>
      </c>
      <c r="Q67" s="12"/>
      <c r="R67" s="115">
        <v>2367231992</v>
      </c>
      <c r="S67" s="184"/>
      <c r="T67" s="170"/>
    </row>
    <row r="68" spans="2:20" x14ac:dyDescent="0.55000000000000004">
      <c r="B68" s="12" t="s">
        <v>173</v>
      </c>
      <c r="C68" s="185"/>
      <c r="D68" s="116">
        <v>0</v>
      </c>
      <c r="E68" s="116"/>
      <c r="F68" s="116">
        <v>0</v>
      </c>
      <c r="G68" s="12"/>
      <c r="H68" s="60">
        <v>0</v>
      </c>
      <c r="I68" s="12"/>
      <c r="J68" s="115">
        <f t="shared" si="2"/>
        <v>0</v>
      </c>
      <c r="K68" s="12"/>
      <c r="L68" s="116">
        <v>15571100</v>
      </c>
      <c r="M68" s="12"/>
      <c r="N68" s="116">
        <v>91315510092</v>
      </c>
      <c r="O68" s="12"/>
      <c r="P68" s="60">
        <v>95651473345</v>
      </c>
      <c r="Q68" s="12"/>
      <c r="R68" s="115">
        <v>-4335963253</v>
      </c>
      <c r="S68" s="184"/>
      <c r="T68" s="170"/>
    </row>
    <row r="69" spans="2:20" x14ac:dyDescent="0.55000000000000004">
      <c r="B69" s="12" t="s">
        <v>139</v>
      </c>
      <c r="C69" s="185"/>
      <c r="D69" s="116">
        <v>0</v>
      </c>
      <c r="E69" s="116"/>
      <c r="F69" s="116">
        <v>0</v>
      </c>
      <c r="G69" s="12"/>
      <c r="H69" s="60">
        <v>0</v>
      </c>
      <c r="I69" s="12"/>
      <c r="J69" s="115">
        <f t="shared" si="2"/>
        <v>0</v>
      </c>
      <c r="K69" s="12"/>
      <c r="L69" s="116">
        <v>800000</v>
      </c>
      <c r="M69" s="12"/>
      <c r="N69" s="116">
        <v>14710482899</v>
      </c>
      <c r="O69" s="12"/>
      <c r="P69" s="60">
        <v>10680073200</v>
      </c>
      <c r="Q69" s="12"/>
      <c r="R69" s="115">
        <v>4030409699</v>
      </c>
      <c r="S69" s="184"/>
      <c r="T69" s="170"/>
    </row>
    <row r="70" spans="2:20" x14ac:dyDescent="0.55000000000000004">
      <c r="B70" s="12" t="s">
        <v>200</v>
      </c>
      <c r="C70" s="185"/>
      <c r="D70" s="116">
        <v>0</v>
      </c>
      <c r="E70" s="116"/>
      <c r="F70" s="116">
        <v>0</v>
      </c>
      <c r="G70" s="12"/>
      <c r="H70" s="60">
        <v>0</v>
      </c>
      <c r="I70" s="12"/>
      <c r="J70" s="115">
        <f t="shared" si="2"/>
        <v>0</v>
      </c>
      <c r="K70" s="12"/>
      <c r="L70" s="116">
        <v>144364</v>
      </c>
      <c r="M70" s="12"/>
      <c r="N70" s="116">
        <v>363956344</v>
      </c>
      <c r="O70" s="12"/>
      <c r="P70" s="60">
        <v>266632352</v>
      </c>
      <c r="Q70" s="12"/>
      <c r="R70" s="115">
        <v>97323992</v>
      </c>
      <c r="S70" s="184"/>
      <c r="T70" s="170"/>
    </row>
    <row r="71" spans="2:20" x14ac:dyDescent="0.55000000000000004">
      <c r="B71" s="12" t="s">
        <v>138</v>
      </c>
      <c r="C71" s="185"/>
      <c r="D71" s="116">
        <v>0</v>
      </c>
      <c r="E71" s="116"/>
      <c r="F71" s="116">
        <v>0</v>
      </c>
      <c r="G71" s="12"/>
      <c r="H71" s="60">
        <v>0</v>
      </c>
      <c r="I71" s="12"/>
      <c r="J71" s="115">
        <f t="shared" si="2"/>
        <v>0</v>
      </c>
      <c r="K71" s="12"/>
      <c r="L71" s="116">
        <v>29167090</v>
      </c>
      <c r="M71" s="12"/>
      <c r="N71" s="116">
        <v>169466517260</v>
      </c>
      <c r="O71" s="12"/>
      <c r="P71" s="60">
        <v>140253073100</v>
      </c>
      <c r="Q71" s="12"/>
      <c r="R71" s="115">
        <v>29213444160</v>
      </c>
      <c r="S71" s="184"/>
      <c r="T71" s="170"/>
    </row>
    <row r="72" spans="2:20" x14ac:dyDescent="0.55000000000000004">
      <c r="B72" s="12" t="s">
        <v>162</v>
      </c>
      <c r="C72" s="185"/>
      <c r="D72" s="116">
        <v>0</v>
      </c>
      <c r="E72" s="116"/>
      <c r="F72" s="116">
        <v>0</v>
      </c>
      <c r="G72" s="12"/>
      <c r="H72" s="60">
        <v>0</v>
      </c>
      <c r="I72" s="12"/>
      <c r="J72" s="115">
        <f t="shared" si="2"/>
        <v>0</v>
      </c>
      <c r="K72" s="12"/>
      <c r="L72" s="116">
        <v>144377805</v>
      </c>
      <c r="M72" s="12"/>
      <c r="N72" s="116">
        <v>55774722684</v>
      </c>
      <c r="O72" s="12"/>
      <c r="P72" s="60">
        <v>55307762764</v>
      </c>
      <c r="Q72" s="12"/>
      <c r="R72" s="115">
        <v>466959920</v>
      </c>
      <c r="S72" s="184"/>
      <c r="T72" s="170"/>
    </row>
    <row r="73" spans="2:20" x14ac:dyDescent="0.55000000000000004">
      <c r="B73" s="12" t="s">
        <v>175</v>
      </c>
      <c r="C73" s="185"/>
      <c r="D73" s="116">
        <v>0</v>
      </c>
      <c r="E73" s="116"/>
      <c r="F73" s="116">
        <v>0</v>
      </c>
      <c r="G73" s="12"/>
      <c r="H73" s="60">
        <v>0</v>
      </c>
      <c r="I73" s="12"/>
      <c r="J73" s="115">
        <f t="shared" si="2"/>
        <v>0</v>
      </c>
      <c r="K73" s="12"/>
      <c r="L73" s="116">
        <v>9100000</v>
      </c>
      <c r="M73" s="12"/>
      <c r="N73" s="116">
        <v>123917346802</v>
      </c>
      <c r="O73" s="12"/>
      <c r="P73" s="60">
        <v>132769794012</v>
      </c>
      <c r="Q73" s="12"/>
      <c r="R73" s="115">
        <v>-8852447210</v>
      </c>
      <c r="S73" s="184"/>
      <c r="T73" s="170"/>
    </row>
    <row r="74" spans="2:20" x14ac:dyDescent="0.55000000000000004">
      <c r="B74" s="12" t="s">
        <v>116</v>
      </c>
      <c r="C74" s="185"/>
      <c r="D74" s="116">
        <v>0</v>
      </c>
      <c r="E74" s="116"/>
      <c r="F74" s="116">
        <v>0</v>
      </c>
      <c r="G74" s="12"/>
      <c r="H74" s="60">
        <v>0</v>
      </c>
      <c r="I74" s="12"/>
      <c r="J74" s="115">
        <f t="shared" si="2"/>
        <v>0</v>
      </c>
      <c r="K74" s="12"/>
      <c r="L74" s="116">
        <v>364998</v>
      </c>
      <c r="M74" s="12"/>
      <c r="N74" s="116">
        <v>1669452833</v>
      </c>
      <c r="O74" s="12"/>
      <c r="P74" s="60">
        <v>1779995754</v>
      </c>
      <c r="Q74" s="12"/>
      <c r="R74" s="115">
        <v>-110542921</v>
      </c>
      <c r="S74" s="184"/>
      <c r="T74" s="170"/>
    </row>
    <row r="75" spans="2:20" x14ac:dyDescent="0.55000000000000004">
      <c r="B75" s="12" t="s">
        <v>190</v>
      </c>
      <c r="C75" s="185"/>
      <c r="D75" s="116">
        <v>0</v>
      </c>
      <c r="E75" s="116"/>
      <c r="F75" s="116">
        <v>0</v>
      </c>
      <c r="G75" s="12"/>
      <c r="H75" s="60">
        <v>0</v>
      </c>
      <c r="I75" s="12"/>
      <c r="J75" s="115">
        <f t="shared" si="2"/>
        <v>0</v>
      </c>
      <c r="K75" s="12"/>
      <c r="L75" s="116">
        <v>5263691</v>
      </c>
      <c r="M75" s="12"/>
      <c r="N75" s="116">
        <v>4778193722</v>
      </c>
      <c r="O75" s="12"/>
      <c r="P75" s="60">
        <v>6823013138</v>
      </c>
      <c r="Q75" s="12"/>
      <c r="R75" s="115">
        <v>-2044819416</v>
      </c>
      <c r="S75" s="184"/>
      <c r="T75" s="170"/>
    </row>
    <row r="76" spans="2:20" x14ac:dyDescent="0.55000000000000004">
      <c r="B76" s="12" t="s">
        <v>163</v>
      </c>
      <c r="C76" s="185"/>
      <c r="D76" s="116">
        <v>0</v>
      </c>
      <c r="E76" s="116"/>
      <c r="F76" s="116">
        <v>0</v>
      </c>
      <c r="G76" s="12"/>
      <c r="H76" s="60">
        <v>0</v>
      </c>
      <c r="I76" s="12"/>
      <c r="J76" s="115">
        <f t="shared" si="2"/>
        <v>0</v>
      </c>
      <c r="K76" s="12"/>
      <c r="L76" s="116">
        <v>7500000</v>
      </c>
      <c r="M76" s="12"/>
      <c r="N76" s="116">
        <v>43100304000</v>
      </c>
      <c r="O76" s="12"/>
      <c r="P76" s="60">
        <v>49541030392</v>
      </c>
      <c r="Q76" s="12"/>
      <c r="R76" s="115">
        <v>-6440726392</v>
      </c>
      <c r="S76" s="184"/>
      <c r="T76" s="170"/>
    </row>
    <row r="77" spans="2:20" x14ac:dyDescent="0.55000000000000004">
      <c r="B77" s="12" t="s">
        <v>123</v>
      </c>
      <c r="C77" s="185"/>
      <c r="D77" s="116">
        <v>0</v>
      </c>
      <c r="E77" s="116"/>
      <c r="F77" s="116">
        <v>0</v>
      </c>
      <c r="G77" s="12"/>
      <c r="H77" s="60">
        <v>0</v>
      </c>
      <c r="I77" s="12"/>
      <c r="J77" s="115">
        <f t="shared" si="2"/>
        <v>0</v>
      </c>
      <c r="K77" s="12"/>
      <c r="L77" s="116">
        <v>10500000</v>
      </c>
      <c r="M77" s="12"/>
      <c r="N77" s="116">
        <v>95339481457</v>
      </c>
      <c r="O77" s="12"/>
      <c r="P77" s="60">
        <v>99426897225</v>
      </c>
      <c r="Q77" s="12"/>
      <c r="R77" s="115">
        <v>-4087415768</v>
      </c>
      <c r="S77" s="184"/>
      <c r="T77" s="170"/>
    </row>
    <row r="78" spans="2:20" x14ac:dyDescent="0.55000000000000004">
      <c r="B78" s="12" t="s">
        <v>189</v>
      </c>
      <c r="C78" s="185"/>
      <c r="D78" s="116">
        <v>0</v>
      </c>
      <c r="E78" s="116"/>
      <c r="F78" s="116">
        <v>0</v>
      </c>
      <c r="G78" s="12"/>
      <c r="H78" s="60">
        <v>0</v>
      </c>
      <c r="I78" s="12"/>
      <c r="J78" s="115">
        <f t="shared" si="2"/>
        <v>0</v>
      </c>
      <c r="K78" s="12"/>
      <c r="L78" s="116">
        <v>26228</v>
      </c>
      <c r="M78" s="12"/>
      <c r="N78" s="116">
        <v>149809255587</v>
      </c>
      <c r="O78" s="12"/>
      <c r="P78" s="60">
        <v>149809255586</v>
      </c>
      <c r="Q78" s="12"/>
      <c r="R78" s="115">
        <v>1</v>
      </c>
      <c r="S78" s="184"/>
      <c r="T78" s="170"/>
    </row>
    <row r="79" spans="2:20" x14ac:dyDescent="0.55000000000000004">
      <c r="B79" s="12" t="s">
        <v>154</v>
      </c>
      <c r="C79" s="185"/>
      <c r="D79" s="116">
        <v>0</v>
      </c>
      <c r="E79" s="116"/>
      <c r="F79" s="116">
        <v>0</v>
      </c>
      <c r="G79" s="12"/>
      <c r="H79" s="60">
        <v>0</v>
      </c>
      <c r="I79" s="12"/>
      <c r="J79" s="115">
        <f t="shared" si="2"/>
        <v>0</v>
      </c>
      <c r="K79" s="12"/>
      <c r="L79" s="116">
        <v>235605623</v>
      </c>
      <c r="M79" s="12"/>
      <c r="N79" s="116">
        <v>140143219536</v>
      </c>
      <c r="O79" s="12"/>
      <c r="P79" s="60">
        <v>148774737873</v>
      </c>
      <c r="Q79" s="12"/>
      <c r="R79" s="115">
        <v>-8631518337</v>
      </c>
      <c r="S79" s="184"/>
      <c r="T79" s="170"/>
    </row>
    <row r="80" spans="2:20" x14ac:dyDescent="0.55000000000000004">
      <c r="B80" s="12" t="s">
        <v>157</v>
      </c>
      <c r="C80" s="185"/>
      <c r="D80" s="116">
        <v>0</v>
      </c>
      <c r="E80" s="116"/>
      <c r="F80" s="116">
        <v>0</v>
      </c>
      <c r="G80" s="12"/>
      <c r="H80" s="60">
        <v>0</v>
      </c>
      <c r="I80" s="12"/>
      <c r="J80" s="115">
        <f t="shared" si="2"/>
        <v>0</v>
      </c>
      <c r="K80" s="12"/>
      <c r="L80" s="116">
        <v>28366026</v>
      </c>
      <c r="M80" s="12"/>
      <c r="N80" s="116">
        <v>63949363618</v>
      </c>
      <c r="O80" s="12"/>
      <c r="P80" s="60">
        <v>64746598860</v>
      </c>
      <c r="Q80" s="12"/>
      <c r="R80" s="115">
        <v>-797235242</v>
      </c>
      <c r="S80" s="184"/>
      <c r="T80" s="170"/>
    </row>
    <row r="81" spans="2:20" x14ac:dyDescent="0.55000000000000004">
      <c r="B81" s="12" t="s">
        <v>161</v>
      </c>
      <c r="C81" s="185"/>
      <c r="D81" s="116">
        <v>0</v>
      </c>
      <c r="E81" s="116"/>
      <c r="F81" s="116">
        <v>0</v>
      </c>
      <c r="G81" s="12"/>
      <c r="H81" s="60">
        <v>0</v>
      </c>
      <c r="I81" s="12"/>
      <c r="J81" s="115">
        <f t="shared" si="2"/>
        <v>0</v>
      </c>
      <c r="K81" s="12"/>
      <c r="L81" s="116">
        <v>200000</v>
      </c>
      <c r="M81" s="12"/>
      <c r="N81" s="116">
        <v>1683013472</v>
      </c>
      <c r="O81" s="12"/>
      <c r="P81" s="60">
        <v>1425467700</v>
      </c>
      <c r="Q81" s="12"/>
      <c r="R81" s="115">
        <v>257545772</v>
      </c>
      <c r="S81" s="184"/>
      <c r="T81" s="170"/>
    </row>
    <row r="82" spans="2:20" x14ac:dyDescent="0.55000000000000004">
      <c r="B82" s="12" t="s">
        <v>144</v>
      </c>
      <c r="C82" s="185"/>
      <c r="D82" s="116">
        <v>0</v>
      </c>
      <c r="E82" s="116"/>
      <c r="F82" s="116">
        <v>0</v>
      </c>
      <c r="G82" s="12"/>
      <c r="H82" s="60">
        <v>0</v>
      </c>
      <c r="I82" s="12"/>
      <c r="J82" s="115">
        <f t="shared" si="2"/>
        <v>0</v>
      </c>
      <c r="K82" s="12"/>
      <c r="L82" s="116">
        <v>1000000</v>
      </c>
      <c r="M82" s="12"/>
      <c r="N82" s="116">
        <v>11695985564</v>
      </c>
      <c r="O82" s="12"/>
      <c r="P82" s="60">
        <v>16437228975</v>
      </c>
      <c r="Q82" s="12"/>
      <c r="R82" s="115">
        <v>-4741243411</v>
      </c>
      <c r="S82" s="184"/>
      <c r="T82" s="170"/>
    </row>
    <row r="83" spans="2:20" x14ac:dyDescent="0.55000000000000004">
      <c r="B83" s="12" t="s">
        <v>165</v>
      </c>
      <c r="C83" s="185"/>
      <c r="D83" s="116">
        <v>0</v>
      </c>
      <c r="E83" s="116"/>
      <c r="F83" s="116">
        <v>0</v>
      </c>
      <c r="G83" s="12"/>
      <c r="H83" s="60">
        <v>0</v>
      </c>
      <c r="I83" s="12"/>
      <c r="J83" s="115">
        <f t="shared" si="2"/>
        <v>0</v>
      </c>
      <c r="K83" s="12"/>
      <c r="L83" s="116">
        <v>1000000</v>
      </c>
      <c r="M83" s="12"/>
      <c r="N83" s="116">
        <v>7418294945</v>
      </c>
      <c r="O83" s="12"/>
      <c r="P83" s="60">
        <v>6391741500</v>
      </c>
      <c r="Q83" s="12"/>
      <c r="R83" s="115">
        <v>1026553445</v>
      </c>
      <c r="S83" s="184"/>
      <c r="T83" s="170"/>
    </row>
    <row r="84" spans="2:20" x14ac:dyDescent="0.55000000000000004">
      <c r="B84" s="12" t="s">
        <v>164</v>
      </c>
      <c r="C84" s="185"/>
      <c r="D84" s="116">
        <v>0</v>
      </c>
      <c r="E84" s="116"/>
      <c r="F84" s="116">
        <v>0</v>
      </c>
      <c r="G84" s="12"/>
      <c r="H84" s="60">
        <v>0</v>
      </c>
      <c r="I84" s="12"/>
      <c r="J84" s="115">
        <f t="shared" si="2"/>
        <v>0</v>
      </c>
      <c r="K84" s="12"/>
      <c r="L84" s="116">
        <v>5233155</v>
      </c>
      <c r="M84" s="12"/>
      <c r="N84" s="116">
        <v>38009415924</v>
      </c>
      <c r="O84" s="12"/>
      <c r="P84" s="60">
        <v>39171193489</v>
      </c>
      <c r="Q84" s="12"/>
      <c r="R84" s="115">
        <v>-1161777565</v>
      </c>
      <c r="S84" s="184"/>
      <c r="T84" s="170"/>
    </row>
    <row r="85" spans="2:20" x14ac:dyDescent="0.55000000000000004">
      <c r="B85" s="12" t="s">
        <v>140</v>
      </c>
      <c r="C85" s="185"/>
      <c r="D85" s="116">
        <v>0</v>
      </c>
      <c r="E85" s="116"/>
      <c r="F85" s="116">
        <v>0</v>
      </c>
      <c r="G85" s="12"/>
      <c r="H85" s="60">
        <v>0</v>
      </c>
      <c r="I85" s="12"/>
      <c r="J85" s="115">
        <f t="shared" si="2"/>
        <v>0</v>
      </c>
      <c r="K85" s="12"/>
      <c r="L85" s="116">
        <v>18252817</v>
      </c>
      <c r="M85" s="12"/>
      <c r="N85" s="116">
        <v>64659042278</v>
      </c>
      <c r="O85" s="12"/>
      <c r="P85" s="60">
        <v>67539052065</v>
      </c>
      <c r="Q85" s="12"/>
      <c r="R85" s="115">
        <v>-2880009787</v>
      </c>
      <c r="S85" s="184"/>
      <c r="T85" s="170"/>
    </row>
    <row r="86" spans="2:20" x14ac:dyDescent="0.55000000000000004">
      <c r="B86" s="12" t="s">
        <v>187</v>
      </c>
      <c r="C86" s="185"/>
      <c r="D86" s="116">
        <v>0</v>
      </c>
      <c r="E86" s="116"/>
      <c r="F86" s="116">
        <v>0</v>
      </c>
      <c r="G86" s="12"/>
      <c r="H86" s="60">
        <v>0</v>
      </c>
      <c r="I86" s="12"/>
      <c r="J86" s="115">
        <f t="shared" si="2"/>
        <v>0</v>
      </c>
      <c r="K86" s="12"/>
      <c r="L86" s="116">
        <v>296800000</v>
      </c>
      <c r="M86" s="12"/>
      <c r="N86" s="116">
        <v>178498863128</v>
      </c>
      <c r="O86" s="12"/>
      <c r="P86" s="60">
        <v>200398180909</v>
      </c>
      <c r="Q86" s="12"/>
      <c r="R86" s="115">
        <v>-21899317781</v>
      </c>
      <c r="S86" s="184"/>
      <c r="T86" s="170"/>
    </row>
    <row r="87" spans="2:20" ht="25.9" customHeight="1" x14ac:dyDescent="0.55000000000000004">
      <c r="B87" s="12" t="s">
        <v>167</v>
      </c>
      <c r="C87" s="185"/>
      <c r="D87" s="116">
        <v>0</v>
      </c>
      <c r="E87" s="116"/>
      <c r="F87" s="116">
        <v>0</v>
      </c>
      <c r="G87" s="12"/>
      <c r="H87" s="60">
        <v>0</v>
      </c>
      <c r="I87" s="12"/>
      <c r="J87" s="115">
        <f t="shared" si="2"/>
        <v>0</v>
      </c>
      <c r="K87" s="12"/>
      <c r="L87" s="116">
        <v>135200001</v>
      </c>
      <c r="M87" s="12"/>
      <c r="N87" s="116">
        <v>79705193978</v>
      </c>
      <c r="O87" s="12"/>
      <c r="P87" s="60">
        <v>70876996145</v>
      </c>
      <c r="Q87" s="12"/>
      <c r="R87" s="115">
        <v>8828197833</v>
      </c>
    </row>
    <row r="88" spans="2:20" ht="25.9" customHeight="1" x14ac:dyDescent="0.55000000000000004">
      <c r="B88" s="12" t="s">
        <v>172</v>
      </c>
      <c r="C88" s="185"/>
      <c r="D88" s="116">
        <v>0</v>
      </c>
      <c r="E88" s="116"/>
      <c r="F88" s="116">
        <v>0</v>
      </c>
      <c r="G88" s="12"/>
      <c r="H88" s="60">
        <v>0</v>
      </c>
      <c r="I88" s="12"/>
      <c r="J88" s="115">
        <f t="shared" si="2"/>
        <v>0</v>
      </c>
      <c r="K88" s="12"/>
      <c r="L88" s="116">
        <v>10177909</v>
      </c>
      <c r="M88" s="12"/>
      <c r="N88" s="116">
        <v>151231461978</v>
      </c>
      <c r="O88" s="12"/>
      <c r="P88" s="60">
        <v>126328323943</v>
      </c>
      <c r="Q88" s="12"/>
      <c r="R88" s="115">
        <v>24903138035</v>
      </c>
    </row>
    <row r="89" spans="2:20" ht="25.9" customHeight="1" x14ac:dyDescent="0.55000000000000004">
      <c r="B89" s="12" t="s">
        <v>182</v>
      </c>
      <c r="C89" s="185"/>
      <c r="D89" s="116">
        <v>0</v>
      </c>
      <c r="E89" s="116"/>
      <c r="F89" s="116">
        <v>0</v>
      </c>
      <c r="G89" s="12"/>
      <c r="H89" s="60">
        <v>0</v>
      </c>
      <c r="I89" s="12"/>
      <c r="J89" s="115">
        <f t="shared" si="2"/>
        <v>0</v>
      </c>
      <c r="K89" s="12"/>
      <c r="L89" s="116">
        <v>1750000</v>
      </c>
      <c r="M89" s="12"/>
      <c r="N89" s="116">
        <v>6827446173</v>
      </c>
      <c r="O89" s="12"/>
      <c r="P89" s="60">
        <v>4695146662</v>
      </c>
      <c r="Q89" s="12"/>
      <c r="R89" s="115">
        <v>2132299511</v>
      </c>
    </row>
    <row r="90" spans="2:20" ht="25.9" customHeight="1" x14ac:dyDescent="0.55000000000000004">
      <c r="B90" s="12" t="s">
        <v>113</v>
      </c>
      <c r="C90" s="185"/>
      <c r="D90" s="116">
        <v>0</v>
      </c>
      <c r="E90" s="116"/>
      <c r="F90" s="116">
        <v>0</v>
      </c>
      <c r="G90" s="12"/>
      <c r="H90" s="60">
        <v>0</v>
      </c>
      <c r="I90" s="12"/>
      <c r="J90" s="115">
        <f t="shared" ref="J90:J94" si="3">F90+H90</f>
        <v>0</v>
      </c>
      <c r="K90" s="12"/>
      <c r="L90" s="116">
        <v>225000</v>
      </c>
      <c r="M90" s="12"/>
      <c r="N90" s="116">
        <v>4731339625</v>
      </c>
      <c r="O90" s="12"/>
      <c r="P90" s="60">
        <v>3086525250</v>
      </c>
      <c r="Q90" s="12"/>
      <c r="R90" s="115">
        <v>1644814375</v>
      </c>
    </row>
    <row r="91" spans="2:20" ht="25.9" customHeight="1" x14ac:dyDescent="0.55000000000000004">
      <c r="B91" s="12" t="s">
        <v>176</v>
      </c>
      <c r="C91" s="185"/>
      <c r="D91" s="116">
        <v>0</v>
      </c>
      <c r="E91" s="116"/>
      <c r="F91" s="116">
        <v>0</v>
      </c>
      <c r="G91" s="12"/>
      <c r="H91" s="60">
        <v>0</v>
      </c>
      <c r="I91" s="12"/>
      <c r="J91" s="115">
        <f t="shared" si="3"/>
        <v>0</v>
      </c>
      <c r="K91" s="12"/>
      <c r="L91" s="116">
        <v>1999999</v>
      </c>
      <c r="M91" s="12"/>
      <c r="N91" s="116">
        <v>8638310933</v>
      </c>
      <c r="O91" s="12"/>
      <c r="P91" s="60">
        <v>7151192124</v>
      </c>
      <c r="Q91" s="12"/>
      <c r="R91" s="115">
        <v>1487118809</v>
      </c>
    </row>
    <row r="92" spans="2:20" ht="25.9" customHeight="1" x14ac:dyDescent="0.55000000000000004">
      <c r="B92" s="12" t="s">
        <v>239</v>
      </c>
      <c r="C92" s="185"/>
      <c r="D92" s="116">
        <v>0</v>
      </c>
      <c r="E92" s="116"/>
      <c r="F92" s="116">
        <v>0</v>
      </c>
      <c r="G92" s="12"/>
      <c r="H92" s="60">
        <v>0</v>
      </c>
      <c r="I92" s="12"/>
      <c r="J92" s="115">
        <f t="shared" si="3"/>
        <v>0</v>
      </c>
      <c r="K92" s="12"/>
      <c r="L92" s="116">
        <v>25777644</v>
      </c>
      <c r="M92" s="12"/>
      <c r="N92" s="116">
        <v>63229742834</v>
      </c>
      <c r="O92" s="12"/>
      <c r="P92" s="60">
        <v>61292477531</v>
      </c>
      <c r="Q92" s="12"/>
      <c r="R92" s="115">
        <v>1937265303</v>
      </c>
    </row>
    <row r="93" spans="2:20" ht="25.9" customHeight="1" x14ac:dyDescent="0.55000000000000004">
      <c r="B93" s="12" t="s">
        <v>148</v>
      </c>
      <c r="C93" s="185"/>
      <c r="D93" s="116">
        <v>0</v>
      </c>
      <c r="E93" s="116"/>
      <c r="F93" s="116">
        <v>0</v>
      </c>
      <c r="G93" s="12"/>
      <c r="H93" s="60">
        <v>0</v>
      </c>
      <c r="I93" s="12"/>
      <c r="J93" s="115">
        <f t="shared" si="3"/>
        <v>0</v>
      </c>
      <c r="K93" s="12"/>
      <c r="L93" s="116">
        <v>10000000</v>
      </c>
      <c r="M93" s="12"/>
      <c r="N93" s="116">
        <v>14127514473</v>
      </c>
      <c r="O93" s="12"/>
      <c r="P93" s="60">
        <v>12914583067</v>
      </c>
      <c r="Q93" s="12"/>
      <c r="R93" s="115">
        <v>1212931405</v>
      </c>
    </row>
    <row r="94" spans="2:20" ht="19.5" customHeight="1" x14ac:dyDescent="0.55000000000000004">
      <c r="B94" s="12" t="s">
        <v>130</v>
      </c>
      <c r="C94" s="185"/>
      <c r="D94" s="116">
        <v>0</v>
      </c>
      <c r="E94" s="116"/>
      <c r="F94" s="116">
        <v>0</v>
      </c>
      <c r="G94" s="12"/>
      <c r="H94" s="60">
        <v>0</v>
      </c>
      <c r="I94" s="12"/>
      <c r="J94" s="115">
        <f t="shared" si="3"/>
        <v>0</v>
      </c>
      <c r="K94" s="12"/>
      <c r="L94" s="116">
        <v>33018562</v>
      </c>
      <c r="M94" s="12"/>
      <c r="N94" s="116">
        <v>60477350165</v>
      </c>
      <c r="O94" s="12"/>
      <c r="P94" s="60">
        <v>53566408497</v>
      </c>
      <c r="Q94" s="12"/>
      <c r="R94" s="115">
        <v>6910941668</v>
      </c>
    </row>
    <row r="95" spans="2:20" ht="23.25" thickBot="1" x14ac:dyDescent="0.6">
      <c r="B95" s="188" t="s">
        <v>7</v>
      </c>
      <c r="C95" s="188"/>
      <c r="D95" s="131">
        <f>SUM(D48:D94)</f>
        <v>241460061</v>
      </c>
      <c r="E95" s="189"/>
      <c r="F95" s="131">
        <f>SUM(F48:F94)</f>
        <v>1361410801049</v>
      </c>
      <c r="G95" s="189"/>
      <c r="H95" s="131">
        <f>SUM(H48:H94)</f>
        <v>-1314331014252</v>
      </c>
      <c r="I95" s="189"/>
      <c r="J95" s="131">
        <f>SUM(J48:J94)</f>
        <v>47079786797</v>
      </c>
      <c r="K95" s="189"/>
      <c r="L95" s="131">
        <f>SUM(L48:L94)</f>
        <v>1825008048</v>
      </c>
      <c r="M95" s="189"/>
      <c r="N95" s="131">
        <f>SUM(N48:N94)</f>
        <v>6075450288221</v>
      </c>
      <c r="O95" s="189"/>
      <c r="P95" s="131">
        <f>SUM(P48:P94)</f>
        <v>-1426820747089</v>
      </c>
      <c r="Q95" s="189"/>
      <c r="R95" s="131">
        <f>SUM(R48:R94)</f>
        <v>-17288862901</v>
      </c>
    </row>
    <row r="96" spans="2:20" ht="23.25" hidden="1" thickTop="1" x14ac:dyDescent="0.55000000000000004"/>
    <row r="97" spans="2:23" ht="23.25" hidden="1" thickTop="1" x14ac:dyDescent="0.55000000000000004">
      <c r="B97" s="398"/>
      <c r="C97" s="398"/>
      <c r="D97" s="398"/>
      <c r="E97" s="398"/>
      <c r="F97" s="398"/>
      <c r="G97" s="398"/>
      <c r="H97" s="398"/>
      <c r="I97" s="398"/>
      <c r="J97" s="398"/>
      <c r="K97" s="398"/>
      <c r="L97" s="398"/>
      <c r="M97" s="398"/>
      <c r="N97" s="398"/>
      <c r="O97" s="398"/>
      <c r="P97" s="398"/>
      <c r="Q97" s="398"/>
      <c r="R97" s="398"/>
    </row>
    <row r="98" spans="2:23" ht="23.25" thickTop="1" x14ac:dyDescent="0.55000000000000004">
      <c r="J98" s="270"/>
      <c r="R98" s="93">
        <f>R95-'درآمد سرمایه گذاری در سهام '!R117</f>
        <v>0</v>
      </c>
    </row>
    <row r="99" spans="2:23" x14ac:dyDescent="0.55000000000000004">
      <c r="F99" s="117"/>
      <c r="J99" s="270"/>
      <c r="N99" s="117"/>
    </row>
    <row r="100" spans="2:23" x14ac:dyDescent="0.55000000000000004">
      <c r="F100" s="117"/>
      <c r="J100" s="270"/>
      <c r="N100" s="117"/>
      <c r="O100" s="117"/>
    </row>
    <row r="101" spans="2:23" x14ac:dyDescent="0.55000000000000004">
      <c r="J101" s="270"/>
    </row>
    <row r="102" spans="2:23" x14ac:dyDescent="0.55000000000000004">
      <c r="J102" s="270"/>
    </row>
    <row r="105" spans="2:23" x14ac:dyDescent="0.55000000000000004">
      <c r="E105" s="93"/>
      <c r="G105" s="93"/>
      <c r="I105" s="93"/>
      <c r="K105" s="93"/>
      <c r="M105" s="93"/>
      <c r="O105" s="93"/>
      <c r="Q105" s="93"/>
    </row>
    <row r="110" spans="2:23" x14ac:dyDescent="0.55000000000000004">
      <c r="V110" s="93"/>
      <c r="W110" s="60"/>
    </row>
    <row r="111" spans="2:23" x14ac:dyDescent="0.55000000000000004">
      <c r="V111" s="93"/>
      <c r="W111" s="60"/>
    </row>
    <row r="112" spans="2:23" x14ac:dyDescent="0.55000000000000004">
      <c r="V112" s="93"/>
      <c r="W112" s="60"/>
    </row>
    <row r="113" spans="22:23" x14ac:dyDescent="0.55000000000000004">
      <c r="V113" s="93"/>
      <c r="W113" s="60"/>
    </row>
    <row r="114" spans="22:23" x14ac:dyDescent="0.55000000000000004">
      <c r="V114" s="93"/>
      <c r="W114" s="60"/>
    </row>
    <row r="115" spans="22:23" x14ac:dyDescent="0.55000000000000004">
      <c r="V115" s="93"/>
      <c r="W115" s="60"/>
    </row>
    <row r="116" spans="22:23" x14ac:dyDescent="0.55000000000000004">
      <c r="V116" s="93"/>
      <c r="W116" s="60"/>
    </row>
    <row r="117" spans="22:23" x14ac:dyDescent="0.55000000000000004">
      <c r="V117" s="93"/>
      <c r="W117" s="60"/>
    </row>
    <row r="118" spans="22:23" x14ac:dyDescent="0.55000000000000004">
      <c r="V118" s="93"/>
      <c r="W118" s="60"/>
    </row>
    <row r="119" spans="22:23" x14ac:dyDescent="0.55000000000000004">
      <c r="V119" s="93"/>
      <c r="W119" s="60"/>
    </row>
    <row r="120" spans="22:23" x14ac:dyDescent="0.55000000000000004">
      <c r="V120" s="93"/>
      <c r="W120" s="60"/>
    </row>
    <row r="121" spans="22:23" x14ac:dyDescent="0.55000000000000004">
      <c r="V121" s="93"/>
      <c r="W121" s="60"/>
    </row>
    <row r="122" spans="22:23" x14ac:dyDescent="0.55000000000000004">
      <c r="V122" s="93"/>
      <c r="W122" s="60"/>
    </row>
    <row r="123" spans="22:23" x14ac:dyDescent="0.55000000000000004">
      <c r="V123" s="93"/>
      <c r="W123" s="60"/>
    </row>
    <row r="124" spans="22:23" x14ac:dyDescent="0.55000000000000004">
      <c r="V124" s="93"/>
      <c r="W124" s="60"/>
    </row>
    <row r="125" spans="22:23" x14ac:dyDescent="0.55000000000000004">
      <c r="V125" s="93"/>
      <c r="W125" s="60"/>
    </row>
    <row r="126" spans="22:23" x14ac:dyDescent="0.55000000000000004">
      <c r="V126" s="93"/>
      <c r="W126" s="60"/>
    </row>
    <row r="127" spans="22:23" x14ac:dyDescent="0.55000000000000004">
      <c r="V127" s="93"/>
      <c r="W127" s="60"/>
    </row>
    <row r="128" spans="22:23" x14ac:dyDescent="0.55000000000000004">
      <c r="V128" s="93"/>
      <c r="W128" s="60"/>
    </row>
    <row r="129" spans="22:23" x14ac:dyDescent="0.55000000000000004">
      <c r="V129" s="93"/>
      <c r="W129" s="60"/>
    </row>
    <row r="130" spans="22:23" x14ac:dyDescent="0.55000000000000004">
      <c r="V130" s="93"/>
      <c r="W130" s="60"/>
    </row>
    <row r="131" spans="22:23" x14ac:dyDescent="0.55000000000000004">
      <c r="V131" s="93"/>
      <c r="W131" s="60"/>
    </row>
    <row r="132" spans="22:23" x14ac:dyDescent="0.55000000000000004">
      <c r="V132" s="93"/>
      <c r="W132" s="60"/>
    </row>
    <row r="133" spans="22:23" x14ac:dyDescent="0.55000000000000004">
      <c r="V133" s="93"/>
      <c r="W133" s="60"/>
    </row>
    <row r="134" spans="22:23" x14ac:dyDescent="0.55000000000000004">
      <c r="V134" s="93"/>
      <c r="W134" s="60"/>
    </row>
    <row r="135" spans="22:23" x14ac:dyDescent="0.55000000000000004">
      <c r="V135" s="93"/>
      <c r="W135" s="60"/>
    </row>
  </sheetData>
  <mergeCells count="12">
    <mergeCell ref="B1:R1"/>
    <mergeCell ref="B2:R2"/>
    <mergeCell ref="B3:R3"/>
    <mergeCell ref="B97:R97"/>
    <mergeCell ref="D5:J5"/>
    <mergeCell ref="L5:R5"/>
    <mergeCell ref="B4:J4"/>
    <mergeCell ref="K4:R4"/>
    <mergeCell ref="B45:J45"/>
    <mergeCell ref="K45:R45"/>
    <mergeCell ref="D46:J46"/>
    <mergeCell ref="L46:R46"/>
  </mergeCells>
  <printOptions horizontalCentered="1"/>
  <pageMargins left="0.7" right="0.7" top="0.75" bottom="0.75" header="0.3" footer="0.3"/>
  <pageSetup paperSize="9" scale="42" orientation="landscape" r:id="rId1"/>
  <headerFooter>
    <oddFooter>&amp;C&amp;P</oddFooter>
  </headerFooter>
  <rowBreaks count="2" manualBreakCount="2">
    <brk id="44" max="17" man="1"/>
    <brk id="95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14"/>
  <sheetViews>
    <sheetView rightToLeft="1" view="pageBreakPreview" zoomScaleNormal="100" zoomScaleSheetLayoutView="100" workbookViewId="0">
      <selection activeCell="E15" sqref="E15"/>
    </sheetView>
  </sheetViews>
  <sheetFormatPr defaultColWidth="9.140625" defaultRowHeight="22.5" x14ac:dyDescent="0.55000000000000004"/>
  <cols>
    <col min="1" max="1" width="7.42578125" style="1" customWidth="1"/>
    <col min="2" max="2" width="30.28515625" style="1" bestFit="1" customWidth="1"/>
    <col min="3" max="3" width="15.140625" style="1" bestFit="1" customWidth="1"/>
    <col min="4" max="4" width="0.7109375" style="1" customWidth="1"/>
    <col min="5" max="5" width="18.42578125" style="1" bestFit="1" customWidth="1"/>
    <col min="6" max="6" width="0.7109375" style="1" customWidth="1"/>
    <col min="7" max="7" width="15.140625" style="1" bestFit="1" customWidth="1"/>
    <col min="8" max="8" width="0.7109375" style="1" customWidth="1"/>
    <col min="9" max="9" width="10.5703125" style="1" bestFit="1" customWidth="1"/>
    <col min="10" max="10" width="0.7109375" style="1" customWidth="1"/>
    <col min="11" max="11" width="23.5703125" style="1" bestFit="1" customWidth="1"/>
    <col min="12" max="12" width="0.7109375" style="1" customWidth="1"/>
    <col min="13" max="13" width="15.140625" style="1" bestFit="1" customWidth="1"/>
    <col min="14" max="14" width="0.7109375" style="1" customWidth="1"/>
    <col min="15" max="15" width="18.42578125" style="1" bestFit="1" customWidth="1"/>
    <col min="16" max="16" width="0.28515625" style="1" customWidth="1"/>
    <col min="17" max="17" width="15.140625" style="1" customWidth="1"/>
    <col min="18" max="18" width="10.42578125" style="1" bestFit="1" customWidth="1"/>
    <col min="19" max="19" width="23.5703125" style="1" bestFit="1" customWidth="1"/>
    <col min="20" max="20" width="11.28515625" style="1" bestFit="1" customWidth="1"/>
    <col min="21" max="21" width="16.28515625" style="4" bestFit="1" customWidth="1"/>
    <col min="22" max="16384" width="9.140625" style="1"/>
  </cols>
  <sheetData>
    <row r="1" spans="1:20" ht="24" x14ac:dyDescent="0.6">
      <c r="A1" s="400" t="s">
        <v>110</v>
      </c>
      <c r="B1" s="400"/>
      <c r="C1" s="400"/>
      <c r="D1" s="400"/>
      <c r="E1" s="400"/>
      <c r="F1" s="400"/>
      <c r="G1" s="400"/>
      <c r="H1" s="400"/>
      <c r="I1" s="400"/>
      <c r="J1" s="400"/>
      <c r="K1" s="400"/>
      <c r="L1" s="400"/>
      <c r="M1" s="400"/>
      <c r="N1" s="400"/>
      <c r="O1" s="400"/>
      <c r="P1" s="400"/>
      <c r="Q1" s="400"/>
      <c r="R1" s="400"/>
      <c r="S1" s="400"/>
    </row>
    <row r="2" spans="1:20" ht="24" x14ac:dyDescent="0.6">
      <c r="A2" s="400" t="s">
        <v>88</v>
      </c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  <c r="O2" s="400"/>
      <c r="P2" s="400"/>
      <c r="Q2" s="400"/>
      <c r="R2" s="400"/>
      <c r="S2" s="400"/>
    </row>
    <row r="3" spans="1:20" ht="24" x14ac:dyDescent="0.6">
      <c r="A3" s="400" t="str">
        <f>' سهام'!AC6</f>
        <v>برای ماه منتهی به 1404/07/30</v>
      </c>
      <c r="B3" s="400"/>
      <c r="C3" s="400"/>
      <c r="D3" s="400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400"/>
      <c r="Q3" s="400"/>
      <c r="R3" s="400"/>
      <c r="S3" s="400"/>
    </row>
    <row r="4" spans="1:20" ht="24" x14ac:dyDescent="0.55000000000000004">
      <c r="B4" s="403" t="s">
        <v>159</v>
      </c>
      <c r="C4" s="403"/>
      <c r="D4" s="403"/>
      <c r="E4" s="403"/>
      <c r="F4" s="403"/>
      <c r="G4" s="403"/>
      <c r="H4" s="403"/>
      <c r="I4" s="403"/>
      <c r="J4" s="403"/>
      <c r="K4" s="403"/>
      <c r="L4" s="403"/>
      <c r="M4" s="403"/>
      <c r="N4" s="403"/>
      <c r="O4" s="403"/>
      <c r="P4" s="403"/>
      <c r="Q4" s="403"/>
      <c r="R4" s="403"/>
      <c r="S4" s="44"/>
    </row>
    <row r="6" spans="1:20" ht="24.75" thickBot="1" x14ac:dyDescent="0.6">
      <c r="B6" s="36"/>
      <c r="C6" s="402" t="str">
        <f>' سهام'!AC7</f>
        <v>طی مهر ماه</v>
      </c>
      <c r="D6" s="402"/>
      <c r="E6" s="402"/>
      <c r="F6" s="402"/>
      <c r="G6" s="402"/>
      <c r="H6" s="402"/>
      <c r="I6" s="402"/>
      <c r="J6" s="402"/>
      <c r="K6" s="402"/>
      <c r="L6" s="52"/>
      <c r="M6" s="402" t="str">
        <f>' سهام'!AC8</f>
        <v>از ابتدای سال مالی تا پایان مهر ماه</v>
      </c>
      <c r="N6" s="402"/>
      <c r="O6" s="402"/>
      <c r="P6" s="402"/>
      <c r="Q6" s="402"/>
      <c r="R6" s="402"/>
      <c r="S6" s="402"/>
    </row>
    <row r="7" spans="1:20" ht="20.25" customHeight="1" x14ac:dyDescent="0.55000000000000004">
      <c r="B7" s="404"/>
      <c r="C7" s="401" t="s">
        <v>26</v>
      </c>
      <c r="D7" s="401"/>
      <c r="E7" s="401" t="s">
        <v>23</v>
      </c>
      <c r="F7" s="404"/>
      <c r="G7" s="401" t="s">
        <v>24</v>
      </c>
      <c r="H7" s="405"/>
      <c r="I7" s="401" t="s">
        <v>7</v>
      </c>
      <c r="J7" s="401"/>
      <c r="K7" s="401"/>
      <c r="L7" s="53"/>
      <c r="M7" s="401" t="s">
        <v>26</v>
      </c>
      <c r="N7" s="401"/>
      <c r="O7" s="401" t="s">
        <v>23</v>
      </c>
      <c r="P7" s="404"/>
      <c r="Q7" s="401" t="s">
        <v>24</v>
      </c>
      <c r="R7" s="401" t="s">
        <v>7</v>
      </c>
      <c r="S7" s="401"/>
    </row>
    <row r="8" spans="1:20" ht="30" customHeight="1" x14ac:dyDescent="0.55000000000000004">
      <c r="B8" s="405"/>
      <c r="C8" s="402"/>
      <c r="D8" s="402"/>
      <c r="E8" s="402"/>
      <c r="F8" s="405"/>
      <c r="G8" s="402"/>
      <c r="H8" s="405"/>
      <c r="I8" s="402"/>
      <c r="J8" s="402"/>
      <c r="K8" s="402"/>
      <c r="L8" s="53"/>
      <c r="M8" s="402"/>
      <c r="N8" s="402"/>
      <c r="O8" s="402"/>
      <c r="P8" s="405"/>
      <c r="Q8" s="402"/>
      <c r="R8" s="402"/>
      <c r="S8" s="402"/>
    </row>
    <row r="9" spans="1:20" ht="24.75" thickBot="1" x14ac:dyDescent="0.6">
      <c r="B9" s="405"/>
      <c r="C9" s="56" t="s">
        <v>96</v>
      </c>
      <c r="D9" s="402"/>
      <c r="E9" s="56" t="s">
        <v>93</v>
      </c>
      <c r="F9" s="405"/>
      <c r="G9" s="56" t="s">
        <v>136</v>
      </c>
      <c r="H9" s="405"/>
      <c r="I9" s="51" t="s">
        <v>101</v>
      </c>
      <c r="J9" s="51"/>
      <c r="K9" s="51" t="s">
        <v>102</v>
      </c>
      <c r="L9" s="53"/>
      <c r="M9" s="56" t="s">
        <v>96</v>
      </c>
      <c r="N9" s="402"/>
      <c r="O9" s="56" t="s">
        <v>93</v>
      </c>
      <c r="P9" s="405"/>
      <c r="Q9" s="56" t="s">
        <v>136</v>
      </c>
      <c r="R9" s="51" t="s">
        <v>101</v>
      </c>
      <c r="S9" s="51" t="s">
        <v>102</v>
      </c>
    </row>
    <row r="10" spans="1:20" ht="23.25" thickBot="1" x14ac:dyDescent="0.6">
      <c r="B10" s="68" t="s">
        <v>103</v>
      </c>
      <c r="C10" s="33">
        <v>0</v>
      </c>
      <c r="D10" s="42">
        <v>0</v>
      </c>
      <c r="E10" s="62">
        <v>0</v>
      </c>
      <c r="F10" s="52">
        <v>0</v>
      </c>
      <c r="G10" s="60">
        <v>0</v>
      </c>
      <c r="H10" s="52">
        <v>0</v>
      </c>
      <c r="I10" s="60">
        <v>0</v>
      </c>
      <c r="J10" s="60">
        <v>0</v>
      </c>
      <c r="K10" s="37">
        <v>0</v>
      </c>
      <c r="L10" s="42">
        <v>0</v>
      </c>
      <c r="M10" s="33">
        <v>0</v>
      </c>
      <c r="N10" s="42">
        <v>0</v>
      </c>
      <c r="O10" s="33">
        <v>0</v>
      </c>
      <c r="P10" s="52">
        <v>875280</v>
      </c>
      <c r="Q10" s="33">
        <v>0</v>
      </c>
      <c r="R10" s="33">
        <v>0</v>
      </c>
      <c r="S10" s="37">
        <f>R10/S14</f>
        <v>0</v>
      </c>
    </row>
    <row r="11" spans="1:20" ht="23.25" thickBot="1" x14ac:dyDescent="0.6">
      <c r="B11" s="38" t="s">
        <v>7</v>
      </c>
      <c r="C11" s="39">
        <f>SUM(C10:C10)</f>
        <v>0</v>
      </c>
      <c r="D11" s="45"/>
      <c r="E11" s="63">
        <f>SUM(E10:E10)</f>
        <v>0</v>
      </c>
      <c r="F11" s="43"/>
      <c r="G11" s="39">
        <f>SUM(G10:G10)</f>
        <v>0</v>
      </c>
      <c r="H11" s="43"/>
      <c r="I11" s="39">
        <f>SUM(I10:I10)</f>
        <v>0</v>
      </c>
      <c r="J11" s="39"/>
      <c r="K11" s="41">
        <f>SUM(K10:K10)</f>
        <v>0</v>
      </c>
      <c r="L11" s="40"/>
      <c r="M11" s="39">
        <f>SUM(M10:M10)</f>
        <v>0</v>
      </c>
      <c r="N11" s="39"/>
      <c r="O11" s="39">
        <f>SUM(O10:O10)</f>
        <v>0</v>
      </c>
      <c r="P11" s="43"/>
      <c r="Q11" s="39">
        <f>SUM(Q10:Q10)</f>
        <v>0</v>
      </c>
      <c r="R11" s="39">
        <f>SUM(R10:R10)</f>
        <v>0</v>
      </c>
      <c r="S11" s="41">
        <f>SUM(S10:S10)</f>
        <v>0</v>
      </c>
    </row>
    <row r="12" spans="1:20" ht="23.25" thickTop="1" x14ac:dyDescent="0.55000000000000004"/>
    <row r="14" spans="1:20" ht="24" x14ac:dyDescent="0.6">
      <c r="K14" s="69">
        <v>2807555599778</v>
      </c>
      <c r="M14" s="34"/>
      <c r="S14" s="69">
        <v>2807555599778</v>
      </c>
      <c r="T14" s="34"/>
    </row>
  </sheetData>
  <mergeCells count="20">
    <mergeCell ref="I7:K8"/>
    <mergeCell ref="H7:H9"/>
    <mergeCell ref="M6:S6"/>
    <mergeCell ref="R7:S8"/>
    <mergeCell ref="A1:S1"/>
    <mergeCell ref="A2:S2"/>
    <mergeCell ref="A3:S3"/>
    <mergeCell ref="C7:C8"/>
    <mergeCell ref="E7:E8"/>
    <mergeCell ref="G7:G8"/>
    <mergeCell ref="M7:M8"/>
    <mergeCell ref="O7:O8"/>
    <mergeCell ref="Q7:Q8"/>
    <mergeCell ref="B4:R4"/>
    <mergeCell ref="N7:N9"/>
    <mergeCell ref="P7:P9"/>
    <mergeCell ref="F7:F9"/>
    <mergeCell ref="C6:K6"/>
    <mergeCell ref="B7:B9"/>
    <mergeCell ref="D7:D9"/>
  </mergeCells>
  <hyperlinks>
    <hyperlink ref="C9" location="'سود اوراق بهادار و سپرده بانکی'!A1" display="یادداشت 2-2-1" xr:uid="{00000000-0004-0000-0B00-000000000000}"/>
    <hyperlink ref="M9" location="'سود اوراق بهادار و سپرده بانکی'!A1" display="یادداشت 2-2-1" xr:uid="{00000000-0004-0000-0B00-000001000000}"/>
    <hyperlink ref="E9" location="'درآمد ناشی از تغییر قیمت اوراق '!A1" display="یادداشت 2-1-1" xr:uid="{00000000-0004-0000-0B00-000002000000}"/>
    <hyperlink ref="O9" location="'درآمد ناشی از تغییر قیمت اوراق '!A1" display="یادداشت 2-1-1" xr:uid="{00000000-0004-0000-0B00-000003000000}"/>
    <hyperlink ref="G9" location="'درآمد ناشی ازفروش'!A1" display="یادداشت 2-1-2" xr:uid="{00000000-0004-0000-0B00-000004000000}"/>
    <hyperlink ref="Q9" location="'درآمد ناشی ازفروش'!A1" display="یادداشت 2-1-2" xr:uid="{00000000-0004-0000-0B00-000005000000}"/>
  </hyperlinks>
  <pageMargins left="0.5" right="1" top="0.3" bottom="0.1" header="0.31496062992126" footer="0.31496062992126"/>
  <pageSetup paperSize="9" scale="63" orientation="landscape" r:id="rId1"/>
  <headerFooter>
    <oddFooter>&amp;C&amp;P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AF13"/>
  <sheetViews>
    <sheetView rightToLeft="1" view="pageBreakPreview" zoomScaleNormal="100" zoomScaleSheetLayoutView="100" workbookViewId="0">
      <selection activeCell="B18" sqref="B18"/>
    </sheetView>
  </sheetViews>
  <sheetFormatPr defaultColWidth="8.85546875" defaultRowHeight="22.5" x14ac:dyDescent="0.55000000000000004"/>
  <cols>
    <col min="1" max="1" width="1.28515625" style="1" customWidth="1"/>
    <col min="2" max="2" width="24.42578125" style="1" bestFit="1" customWidth="1"/>
    <col min="3" max="3" width="13" style="1" bestFit="1" customWidth="1"/>
    <col min="4" max="4" width="15.140625" style="1" customWidth="1"/>
    <col min="5" max="5" width="7.140625" style="1" customWidth="1"/>
    <col min="6" max="6" width="0.28515625" style="1" customWidth="1"/>
    <col min="7" max="7" width="10.85546875" style="1" hidden="1" customWidth="1"/>
    <col min="8" max="8" width="0.85546875" style="1" hidden="1" customWidth="1"/>
    <col min="9" max="9" width="2" style="1" hidden="1" customWidth="1"/>
    <col min="10" max="10" width="0.5703125" style="1" customWidth="1"/>
    <col min="11" max="11" width="16.42578125" style="1" customWidth="1"/>
    <col min="12" max="12" width="0.85546875" style="1" hidden="1" customWidth="1"/>
    <col min="13" max="13" width="9.140625" style="1" customWidth="1"/>
    <col min="14" max="14" width="0.140625" style="1" customWidth="1"/>
    <col min="15" max="15" width="16.7109375" style="1" bestFit="1" customWidth="1"/>
    <col min="16" max="16" width="0.85546875" style="1" customWidth="1"/>
    <col min="17" max="17" width="18.140625" style="1" bestFit="1" customWidth="1"/>
    <col min="18" max="18" width="0.7109375" style="1" customWidth="1"/>
    <col min="19" max="19" width="9" style="1" bestFit="1" customWidth="1"/>
    <col min="20" max="20" width="0.7109375" style="1" customWidth="1"/>
    <col min="21" max="21" width="18.140625" style="1" bestFit="1" customWidth="1"/>
    <col min="22" max="24" width="8.85546875" style="1"/>
    <col min="25" max="25" width="11" style="1" bestFit="1" customWidth="1"/>
    <col min="26" max="16384" width="8.85546875" style="1"/>
  </cols>
  <sheetData>
    <row r="1" spans="2:32" ht="24" x14ac:dyDescent="0.6">
      <c r="B1" s="339" t="str">
        <f>'درآمد سود سهام'!B1:T1</f>
        <v>صندوق سرمایه گذاری شاخص سی شرکت بزرگ فیروزه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Z1" s="313"/>
      <c r="AA1" s="313"/>
      <c r="AB1" s="313"/>
      <c r="AC1" s="313"/>
      <c r="AD1" s="313"/>
      <c r="AE1" s="313"/>
      <c r="AF1" s="313"/>
    </row>
    <row r="2" spans="2:32" ht="24" x14ac:dyDescent="0.6">
      <c r="B2" s="339" t="s">
        <v>88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  <c r="N2" s="339"/>
      <c r="O2" s="339"/>
      <c r="P2" s="339"/>
      <c r="Q2" s="339"/>
      <c r="R2" s="339"/>
      <c r="S2" s="339"/>
      <c r="T2" s="339"/>
      <c r="U2" s="339"/>
      <c r="Z2" s="313"/>
      <c r="AA2" s="313"/>
      <c r="AB2" s="313"/>
      <c r="AC2" s="313"/>
      <c r="AD2" s="313"/>
      <c r="AE2" s="313"/>
      <c r="AF2" s="313"/>
    </row>
    <row r="3" spans="2:32" ht="24" x14ac:dyDescent="0.6">
      <c r="B3" s="339" t="str">
        <f>' سهام'!AC6</f>
        <v>برای ماه منتهی به 1404/07/30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  <c r="N3" s="339"/>
      <c r="O3" s="339"/>
      <c r="P3" s="339"/>
      <c r="Q3" s="339"/>
      <c r="R3" s="339"/>
      <c r="S3" s="339"/>
      <c r="T3" s="339"/>
      <c r="U3" s="339"/>
      <c r="Z3" s="313"/>
      <c r="AA3" s="313"/>
      <c r="AB3" s="313"/>
      <c r="AC3" s="313"/>
      <c r="AD3" s="313"/>
      <c r="AE3" s="313"/>
      <c r="AF3" s="313"/>
    </row>
    <row r="4" spans="2:32" ht="24" x14ac:dyDescent="0.55000000000000004">
      <c r="B4" s="343" t="s">
        <v>95</v>
      </c>
      <c r="C4" s="343"/>
      <c r="D4" s="343"/>
      <c r="E4" s="343"/>
      <c r="F4" s="343"/>
      <c r="G4" s="343"/>
      <c r="H4" s="171"/>
      <c r="L4" s="171"/>
      <c r="Z4" s="313"/>
      <c r="AA4" s="313"/>
      <c r="AB4" s="313"/>
      <c r="AC4" s="313" t="s">
        <v>236</v>
      </c>
      <c r="AD4" s="313"/>
      <c r="AE4" s="313"/>
      <c r="AF4" s="313"/>
    </row>
    <row r="5" spans="2:32" ht="24.75" thickBot="1" x14ac:dyDescent="0.6">
      <c r="B5" s="171"/>
      <c r="C5" s="353"/>
      <c r="D5" s="353"/>
      <c r="E5" s="353"/>
      <c r="G5" s="392" t="s">
        <v>100</v>
      </c>
      <c r="H5" s="392"/>
      <c r="I5" s="392"/>
      <c r="J5" s="392"/>
      <c r="K5" s="392" t="str">
        <f>' سهام'!AC7</f>
        <v>طی مهر ماه</v>
      </c>
      <c r="L5" s="392"/>
      <c r="M5" s="392"/>
      <c r="N5" s="392"/>
      <c r="O5" s="392"/>
      <c r="P5" s="53"/>
      <c r="Q5" s="392" t="str">
        <f>' سهام'!AC8</f>
        <v>از ابتدای سال مالی تا پایان مهر ماه</v>
      </c>
      <c r="R5" s="392"/>
      <c r="S5" s="392"/>
      <c r="T5" s="392"/>
      <c r="U5" s="392"/>
      <c r="Z5" s="313"/>
      <c r="AA5" s="313"/>
      <c r="AB5" s="313"/>
      <c r="AC5" s="313" t="s">
        <v>249</v>
      </c>
      <c r="AD5" s="313"/>
      <c r="AE5" s="313"/>
      <c r="AF5" s="313"/>
    </row>
    <row r="6" spans="2:32" ht="43.5" customHeight="1" thickBot="1" x14ac:dyDescent="0.6">
      <c r="B6" s="1" t="s">
        <v>65</v>
      </c>
      <c r="C6" s="172" t="s">
        <v>73</v>
      </c>
      <c r="D6" s="172" t="s">
        <v>35</v>
      </c>
      <c r="E6" s="172" t="s">
        <v>62</v>
      </c>
      <c r="F6" s="173"/>
      <c r="G6" s="172" t="s">
        <v>89</v>
      </c>
      <c r="H6" s="173"/>
      <c r="I6" s="172" t="s">
        <v>69</v>
      </c>
      <c r="J6" s="173"/>
      <c r="K6" s="172" t="s">
        <v>89</v>
      </c>
      <c r="L6" s="173"/>
      <c r="M6" s="172" t="s">
        <v>69</v>
      </c>
      <c r="N6" s="173"/>
      <c r="O6" s="172" t="s">
        <v>74</v>
      </c>
      <c r="P6" s="173"/>
      <c r="Q6" s="172" t="s">
        <v>89</v>
      </c>
      <c r="R6" s="173"/>
      <c r="S6" s="172" t="s">
        <v>69</v>
      </c>
      <c r="T6" s="173"/>
      <c r="U6" s="172" t="s">
        <v>74</v>
      </c>
      <c r="Z6" s="313"/>
      <c r="AA6" s="313"/>
      <c r="AB6" s="313"/>
      <c r="AC6" s="313" t="s">
        <v>250</v>
      </c>
      <c r="AD6" s="313"/>
      <c r="AE6" s="313"/>
      <c r="AF6" s="313"/>
    </row>
    <row r="7" spans="2:32" s="12" customFormat="1" ht="23.45" customHeight="1" x14ac:dyDescent="0.55000000000000004">
      <c r="B7" s="174" t="s">
        <v>204</v>
      </c>
      <c r="C7" s="175"/>
      <c r="D7" s="176"/>
      <c r="E7" s="168"/>
      <c r="F7" s="176" t="s">
        <v>135</v>
      </c>
      <c r="G7" s="176"/>
      <c r="H7" s="177">
        <v>0</v>
      </c>
      <c r="I7" s="176"/>
      <c r="J7" s="177">
        <v>176683</v>
      </c>
      <c r="K7" s="168">
        <v>20096</v>
      </c>
      <c r="L7" s="176"/>
      <c r="M7" s="168">
        <v>0</v>
      </c>
      <c r="N7" s="176"/>
      <c r="O7" s="168">
        <f>K7+M7</f>
        <v>20096</v>
      </c>
      <c r="P7" s="168"/>
      <c r="Q7" s="177">
        <v>104340</v>
      </c>
      <c r="R7" s="176"/>
      <c r="S7" s="168">
        <v>0</v>
      </c>
      <c r="T7" s="176"/>
      <c r="U7" s="168">
        <f>Q7+S7</f>
        <v>104340</v>
      </c>
      <c r="Z7" s="314"/>
      <c r="AA7" s="314"/>
      <c r="AB7" s="314"/>
      <c r="AC7" s="314" t="s">
        <v>256</v>
      </c>
      <c r="AD7" s="314"/>
      <c r="AE7" s="314"/>
      <c r="AF7" s="314"/>
    </row>
    <row r="8" spans="2:32" s="12" customFormat="1" ht="23.45" customHeight="1" x14ac:dyDescent="0.55000000000000004">
      <c r="B8" s="174" t="s">
        <v>205</v>
      </c>
      <c r="C8" s="175"/>
      <c r="D8" s="176"/>
      <c r="E8" s="168"/>
      <c r="F8" s="176" t="s">
        <v>135</v>
      </c>
      <c r="G8" s="176"/>
      <c r="H8" s="177">
        <v>0</v>
      </c>
      <c r="I8" s="176"/>
      <c r="J8" s="177">
        <v>2202729735</v>
      </c>
      <c r="K8" s="168">
        <v>3971033781</v>
      </c>
      <c r="L8" s="176"/>
      <c r="M8" s="168">
        <v>0</v>
      </c>
      <c r="N8" s="176"/>
      <c r="O8" s="168">
        <f>K8+M8</f>
        <v>3971033781</v>
      </c>
      <c r="P8" s="168"/>
      <c r="Q8" s="177">
        <v>19500020310</v>
      </c>
      <c r="R8" s="176"/>
      <c r="S8" s="168">
        <v>0</v>
      </c>
      <c r="T8" s="176"/>
      <c r="U8" s="168">
        <f>Q8+S8</f>
        <v>19500020310</v>
      </c>
      <c r="Z8" s="314"/>
      <c r="AA8" s="314"/>
      <c r="AB8" s="314"/>
      <c r="AC8" s="314" t="s">
        <v>252</v>
      </c>
      <c r="AD8" s="314"/>
      <c r="AE8" s="314"/>
      <c r="AF8" s="314"/>
    </row>
    <row r="9" spans="2:32" ht="23.25" thickBot="1" x14ac:dyDescent="0.6">
      <c r="K9" s="178">
        <f>SUM(K7:K8)</f>
        <v>3971053877</v>
      </c>
      <c r="L9" s="12"/>
      <c r="M9" s="12"/>
      <c r="N9" s="12"/>
      <c r="O9" s="178">
        <f>SUM(O7:O8)</f>
        <v>3971053877</v>
      </c>
      <c r="P9" s="179"/>
      <c r="Q9" s="178">
        <f>SUM(Q7:Q8)</f>
        <v>19500124650</v>
      </c>
      <c r="R9" s="12"/>
      <c r="S9" s="12"/>
      <c r="T9" s="12"/>
      <c r="U9" s="178">
        <f>SUM(U7:U8)</f>
        <v>19500124650</v>
      </c>
      <c r="Z9" s="313"/>
      <c r="AA9" s="313"/>
      <c r="AB9" s="313"/>
      <c r="AC9" s="313"/>
      <c r="AD9" s="313"/>
      <c r="AE9" s="313"/>
      <c r="AF9" s="313"/>
    </row>
    <row r="10" spans="2:32" ht="23.25" thickTop="1" x14ac:dyDescent="0.55000000000000004">
      <c r="K10" s="180"/>
      <c r="M10" s="181"/>
      <c r="Z10" s="313"/>
      <c r="AA10" s="313"/>
      <c r="AB10" s="313"/>
      <c r="AC10" s="313"/>
      <c r="AD10" s="313"/>
      <c r="AE10" s="313"/>
      <c r="AF10" s="313"/>
    </row>
    <row r="11" spans="2:32" x14ac:dyDescent="0.55000000000000004">
      <c r="O11" s="263"/>
      <c r="P11" s="295"/>
      <c r="Q11" s="263"/>
      <c r="R11" s="295"/>
      <c r="S11" s="295"/>
      <c r="T11" s="295"/>
      <c r="U11" s="263"/>
      <c r="Z11" s="313"/>
      <c r="AA11" s="313"/>
      <c r="AB11" s="313"/>
      <c r="AC11" s="313"/>
      <c r="AD11" s="313"/>
      <c r="AE11" s="313"/>
      <c r="AF11" s="313"/>
    </row>
    <row r="12" spans="2:32" x14ac:dyDescent="0.55000000000000004">
      <c r="K12" s="170"/>
      <c r="O12" s="263"/>
      <c r="P12" s="295"/>
      <c r="Q12" s="263"/>
      <c r="R12" s="295"/>
      <c r="S12" s="295"/>
      <c r="T12" s="295"/>
      <c r="U12" s="263"/>
    </row>
    <row r="13" spans="2:32" x14ac:dyDescent="0.55000000000000004">
      <c r="K13" s="170"/>
      <c r="O13" s="182"/>
      <c r="U13" s="170"/>
    </row>
  </sheetData>
  <mergeCells count="8">
    <mergeCell ref="B1:U1"/>
    <mergeCell ref="B4:G4"/>
    <mergeCell ref="C5:E5"/>
    <mergeCell ref="G5:J5"/>
    <mergeCell ref="Q5:U5"/>
    <mergeCell ref="B2:U2"/>
    <mergeCell ref="B3:U3"/>
    <mergeCell ref="K5:O5"/>
  </mergeCells>
  <printOptions horizontalCentered="1"/>
  <pageMargins left="0.7" right="0.7" top="0.75" bottom="0.75" header="0.3" footer="0.3"/>
  <pageSetup paperSize="9" scale="86" orientation="landscape" r:id="rId1"/>
  <headerFooter>
    <oddFooter>&amp;C&amp;P</oddFooter>
  </headerFooter>
  <colBreaks count="1" manualBreakCount="1">
    <brk id="21" max="1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AC16"/>
  <sheetViews>
    <sheetView rightToLeft="1" view="pageBreakPreview" zoomScaleNormal="100" zoomScaleSheetLayoutView="100" workbookViewId="0">
      <selection activeCell="B18" sqref="B18"/>
    </sheetView>
  </sheetViews>
  <sheetFormatPr defaultColWidth="9.140625" defaultRowHeight="22.5" x14ac:dyDescent="0.55000000000000004"/>
  <cols>
    <col min="1" max="1" width="9.140625" style="1"/>
    <col min="2" max="2" width="39.5703125" style="1" customWidth="1"/>
    <col min="3" max="3" width="0.5703125" style="1" customWidth="1"/>
    <col min="4" max="4" width="29" style="1" bestFit="1" customWidth="1"/>
    <col min="5" max="5" width="0.7109375" style="1" customWidth="1"/>
    <col min="6" max="6" width="22.42578125" style="1" customWidth="1"/>
    <col min="7" max="7" width="0.7109375" style="1" customWidth="1"/>
    <col min="8" max="8" width="16.85546875" style="1" customWidth="1"/>
    <col min="9" max="9" width="0.7109375" style="1" customWidth="1"/>
    <col min="10" max="10" width="24.5703125" style="1" customWidth="1"/>
    <col min="11" max="11" width="0.7109375" style="1" customWidth="1"/>
    <col min="12" max="12" width="20.7109375" style="1" customWidth="1"/>
    <col min="13" max="13" width="0.7109375" style="1" customWidth="1"/>
    <col min="14" max="16384" width="9.140625" style="1"/>
  </cols>
  <sheetData>
    <row r="1" spans="2:29" ht="24" x14ac:dyDescent="0.6">
      <c r="B1" s="339" t="str">
        <f>'سود اوراق بهادار و سپرده بانکی'!B1:U1</f>
        <v>صندوق سرمایه گذاری شاخص سی شرکت بزرگ فیروزه</v>
      </c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</row>
    <row r="2" spans="2:29" ht="24" x14ac:dyDescent="0.6">
      <c r="B2" s="339" t="s">
        <v>88</v>
      </c>
      <c r="C2" s="339"/>
      <c r="D2" s="339"/>
      <c r="E2" s="339"/>
      <c r="F2" s="339"/>
      <c r="G2" s="339"/>
      <c r="H2" s="339"/>
      <c r="I2" s="339"/>
      <c r="J2" s="339"/>
      <c r="K2" s="339"/>
      <c r="L2" s="339"/>
      <c r="M2" s="339"/>
    </row>
    <row r="3" spans="2:29" ht="24" x14ac:dyDescent="0.6">
      <c r="B3" s="339" t="str">
        <f>' سهام'!B3:Z3</f>
        <v>برای ماه منتهی به 1404/07/30</v>
      </c>
      <c r="C3" s="339"/>
      <c r="D3" s="339"/>
      <c r="E3" s="339"/>
      <c r="F3" s="339"/>
      <c r="G3" s="339"/>
      <c r="H3" s="339"/>
      <c r="I3" s="339"/>
      <c r="J3" s="339"/>
      <c r="K3" s="339"/>
      <c r="L3" s="339"/>
      <c r="M3" s="339"/>
    </row>
    <row r="4" spans="2:29" ht="24" x14ac:dyDescent="0.55000000000000004">
      <c r="B4" s="343" t="s">
        <v>151</v>
      </c>
      <c r="C4" s="343"/>
      <c r="D4" s="343"/>
      <c r="E4" s="343"/>
      <c r="F4" s="343"/>
      <c r="G4" s="343"/>
      <c r="H4" s="343"/>
      <c r="I4" s="343"/>
      <c r="J4" s="343"/>
      <c r="K4" s="343"/>
      <c r="L4" s="343"/>
      <c r="M4" s="343"/>
      <c r="AC4" s="1" t="s">
        <v>191</v>
      </c>
    </row>
    <row r="5" spans="2:29" ht="23.25" thickBot="1" x14ac:dyDescent="0.6">
      <c r="B5" s="29"/>
      <c r="C5" s="29"/>
      <c r="D5" s="29"/>
      <c r="F5" s="29"/>
      <c r="G5" s="29"/>
      <c r="H5" s="29"/>
      <c r="I5" s="29"/>
      <c r="J5" s="29"/>
      <c r="K5" s="29"/>
      <c r="L5" s="29"/>
      <c r="M5" s="29"/>
      <c r="AC5" s="1" t="s">
        <v>192</v>
      </c>
    </row>
    <row r="6" spans="2:29" ht="24.75" thickBot="1" x14ac:dyDescent="0.6">
      <c r="B6" s="406" t="s">
        <v>30</v>
      </c>
      <c r="C6" s="406"/>
      <c r="D6" s="406"/>
      <c r="E6" s="52"/>
      <c r="F6" s="407" t="str">
        <f>' سهام'!AC7</f>
        <v>طی مهر ماه</v>
      </c>
      <c r="G6" s="407"/>
      <c r="H6" s="407"/>
      <c r="I6" s="407"/>
      <c r="J6" s="406" t="str">
        <f>' سهام'!AC8</f>
        <v>از ابتدای سال مالی تا پایان مهر ماه</v>
      </c>
      <c r="K6" s="406"/>
      <c r="L6" s="406"/>
      <c r="M6" s="406"/>
      <c r="N6" s="167"/>
      <c r="AC6" s="1" t="s">
        <v>193</v>
      </c>
    </row>
    <row r="7" spans="2:29" ht="55.5" customHeight="1" x14ac:dyDescent="0.55000000000000004">
      <c r="B7" s="139" t="s">
        <v>27</v>
      </c>
      <c r="C7" s="52"/>
      <c r="D7" s="53" t="s">
        <v>18</v>
      </c>
      <c r="E7" s="53"/>
      <c r="F7" s="53" t="s">
        <v>28</v>
      </c>
      <c r="G7" s="52"/>
      <c r="H7" s="402" t="s">
        <v>29</v>
      </c>
      <c r="I7" s="52"/>
      <c r="J7" s="53" t="s">
        <v>28</v>
      </c>
      <c r="K7" s="52"/>
      <c r="L7" s="401" t="s">
        <v>29</v>
      </c>
      <c r="M7" s="52"/>
      <c r="N7" s="52"/>
      <c r="AC7" s="1" t="s">
        <v>194</v>
      </c>
    </row>
    <row r="8" spans="2:29" ht="24" customHeight="1" thickBot="1" x14ac:dyDescent="0.6">
      <c r="B8" s="53"/>
      <c r="C8" s="52"/>
      <c r="D8" s="53"/>
      <c r="E8" s="53"/>
      <c r="F8" s="111" t="s">
        <v>96</v>
      </c>
      <c r="G8" s="52"/>
      <c r="H8" s="392"/>
      <c r="I8" s="52"/>
      <c r="J8" s="111" t="s">
        <v>96</v>
      </c>
      <c r="K8" s="52"/>
      <c r="L8" s="392"/>
      <c r="M8" s="52"/>
      <c r="N8" s="52"/>
      <c r="AC8" s="1" t="s">
        <v>195</v>
      </c>
    </row>
    <row r="9" spans="2:29" ht="29.25" customHeight="1" x14ac:dyDescent="0.55000000000000004">
      <c r="B9" s="38" t="s">
        <v>204</v>
      </c>
      <c r="C9" s="38"/>
      <c r="D9" s="42" t="s">
        <v>108</v>
      </c>
      <c r="E9" s="42"/>
      <c r="F9" s="33">
        <v>20096</v>
      </c>
      <c r="G9" s="42"/>
      <c r="H9" s="132">
        <v>0</v>
      </c>
      <c r="I9" s="42"/>
      <c r="J9" s="33">
        <v>104340</v>
      </c>
      <c r="K9" s="42"/>
      <c r="L9" s="132">
        <v>0</v>
      </c>
      <c r="M9" s="42"/>
      <c r="N9" s="52"/>
    </row>
    <row r="10" spans="2:29" ht="29.25" customHeight="1" thickBot="1" x14ac:dyDescent="0.6">
      <c r="B10" s="38" t="s">
        <v>205</v>
      </c>
      <c r="C10" s="38"/>
      <c r="D10" s="42" t="s">
        <v>152</v>
      </c>
      <c r="E10" s="42"/>
      <c r="F10" s="33">
        <v>3971033781</v>
      </c>
      <c r="G10" s="42"/>
      <c r="H10" s="132">
        <v>0</v>
      </c>
      <c r="I10" s="42"/>
      <c r="J10" s="33">
        <v>19500020310</v>
      </c>
      <c r="K10" s="42"/>
      <c r="L10" s="132">
        <v>0</v>
      </c>
      <c r="M10" s="42"/>
      <c r="N10" s="52"/>
    </row>
    <row r="11" spans="2:29" ht="23.25" thickBot="1" x14ac:dyDescent="0.6">
      <c r="B11" s="38" t="s">
        <v>7</v>
      </c>
      <c r="C11" s="52"/>
      <c r="E11" s="42"/>
      <c r="F11" s="35">
        <f>SUM(F9:F10)</f>
        <v>3971053877</v>
      </c>
      <c r="G11" s="89"/>
      <c r="H11" s="133">
        <f>SUM(H9:H9)</f>
        <v>0</v>
      </c>
      <c r="I11" s="52"/>
      <c r="J11" s="35">
        <f>SUM(J9:J10)</f>
        <v>19500124650</v>
      </c>
      <c r="K11" s="52"/>
      <c r="L11" s="133">
        <f>SUM(L9:L9)</f>
        <v>0</v>
      </c>
      <c r="M11" s="52"/>
      <c r="N11" s="52"/>
    </row>
    <row r="12" spans="2:29" ht="23.25" thickTop="1" x14ac:dyDescent="0.55000000000000004"/>
    <row r="13" spans="2:29" x14ac:dyDescent="0.55000000000000004">
      <c r="F13" s="170"/>
      <c r="H13" s="170"/>
      <c r="J13" s="170"/>
      <c r="L13" s="170"/>
    </row>
    <row r="14" spans="2:29" x14ac:dyDescent="0.55000000000000004">
      <c r="F14" s="270"/>
      <c r="G14" s="295"/>
      <c r="H14" s="295"/>
      <c r="I14" s="295"/>
      <c r="J14" s="263"/>
    </row>
    <row r="15" spans="2:29" x14ac:dyDescent="0.55000000000000004">
      <c r="F15" s="296"/>
      <c r="G15" s="295"/>
      <c r="H15" s="295"/>
      <c r="I15" s="295"/>
      <c r="J15" s="297"/>
      <c r="L15" s="93"/>
    </row>
    <row r="16" spans="2:29" x14ac:dyDescent="0.55000000000000004">
      <c r="J16" s="110"/>
    </row>
  </sheetData>
  <mergeCells count="9">
    <mergeCell ref="B1:M1"/>
    <mergeCell ref="B2:M2"/>
    <mergeCell ref="B3:M3"/>
    <mergeCell ref="H7:H8"/>
    <mergeCell ref="L7:L8"/>
    <mergeCell ref="B6:D6"/>
    <mergeCell ref="F6:I6"/>
    <mergeCell ref="B4:M4"/>
    <mergeCell ref="J6:M6"/>
  </mergeCells>
  <hyperlinks>
    <hyperlink ref="F8" location="'سود اوراق بهادار و سپرده بانکی'!A1" display="یادداشت 2-2-1" xr:uid="{00000000-0004-0000-0D00-000000000000}"/>
    <hyperlink ref="J8" location="'سود اوراق بهادار و سپرده بانکی'!A1" display="یادداشت 2-2-1" xr:uid="{00000000-0004-0000-0D00-000001000000}"/>
  </hyperlinks>
  <printOptions horizontalCentered="1"/>
  <pageMargins left="0.7" right="0.7" top="0.75" bottom="0.75" header="0.3" footer="0.3"/>
  <pageSetup paperSize="9" scale="79" orientation="landscape" r:id="rId1"/>
  <headerFooter>
    <oddFooter>&amp;C&amp;P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25A7-1E09-4A51-86EF-3320677359F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AC15"/>
  <sheetViews>
    <sheetView rightToLeft="1" view="pageBreakPreview" zoomScaleNormal="100" zoomScaleSheetLayoutView="100" workbookViewId="0">
      <selection activeCell="B18" sqref="B18"/>
    </sheetView>
  </sheetViews>
  <sheetFormatPr defaultColWidth="8.85546875" defaultRowHeight="24.75" x14ac:dyDescent="0.6"/>
  <cols>
    <col min="1" max="1" width="8.85546875" style="251"/>
    <col min="2" max="2" width="29.140625" style="251" customWidth="1"/>
    <col min="3" max="3" width="0.7109375" style="251" customWidth="1"/>
    <col min="4" max="4" width="20.7109375" style="251" bestFit="1" customWidth="1"/>
    <col min="5" max="5" width="0.42578125" style="251" customWidth="1"/>
    <col min="6" max="6" width="21.42578125" style="251" customWidth="1"/>
    <col min="7" max="16384" width="8.85546875" style="1"/>
  </cols>
  <sheetData>
    <row r="1" spans="2:29" ht="26.25" x14ac:dyDescent="0.65">
      <c r="B1" s="408" t="str">
        <f>'درآمد سپرده بانکی'!B1:M1</f>
        <v>صندوق سرمایه گذاری شاخص سی شرکت بزرگ فیروزه</v>
      </c>
      <c r="C1" s="408"/>
      <c r="D1" s="408"/>
      <c r="E1" s="408"/>
      <c r="F1" s="408"/>
    </row>
    <row r="2" spans="2:29" ht="26.25" x14ac:dyDescent="0.65">
      <c r="B2" s="408" t="s">
        <v>88</v>
      </c>
      <c r="C2" s="408"/>
      <c r="D2" s="408"/>
      <c r="E2" s="408"/>
      <c r="F2" s="408"/>
    </row>
    <row r="3" spans="2:29" ht="26.25" x14ac:dyDescent="0.65">
      <c r="B3" s="408" t="str">
        <f>' سهام'!AC6</f>
        <v>برای ماه منتهی به 1404/07/30</v>
      </c>
      <c r="C3" s="408"/>
      <c r="D3" s="408"/>
      <c r="E3" s="408"/>
      <c r="F3" s="408"/>
    </row>
    <row r="4" spans="2:29" ht="26.25" x14ac:dyDescent="0.6">
      <c r="B4" s="409" t="s">
        <v>41</v>
      </c>
      <c r="C4" s="409"/>
      <c r="D4" s="409"/>
      <c r="E4" s="409"/>
      <c r="F4" s="409"/>
      <c r="AC4" s="1" t="s">
        <v>191</v>
      </c>
    </row>
    <row r="5" spans="2:29" ht="79.5" thickBot="1" x14ac:dyDescent="0.65">
      <c r="B5" s="252"/>
      <c r="C5" s="253"/>
      <c r="D5" s="218" t="str">
        <f>' سهام'!AC7</f>
        <v>طی مهر ماه</v>
      </c>
      <c r="E5" s="254"/>
      <c r="F5" s="218" t="str">
        <f>' سهام'!AC8</f>
        <v>از ابتدای سال مالی تا پایان مهر ماه</v>
      </c>
      <c r="AC5" s="1" t="s">
        <v>192</v>
      </c>
    </row>
    <row r="6" spans="2:29" x14ac:dyDescent="0.6">
      <c r="B6" s="255" t="s">
        <v>42</v>
      </c>
      <c r="C6" s="254"/>
      <c r="D6" s="204">
        <v>2664</v>
      </c>
      <c r="E6" s="204"/>
      <c r="F6" s="204">
        <v>468601799</v>
      </c>
      <c r="AC6" s="1" t="s">
        <v>193</v>
      </c>
    </row>
    <row r="7" spans="2:29" x14ac:dyDescent="0.6">
      <c r="B7" s="256" t="s">
        <v>155</v>
      </c>
      <c r="C7" s="254"/>
      <c r="D7" s="204">
        <v>104737469</v>
      </c>
      <c r="E7" s="204"/>
      <c r="F7" s="204">
        <v>3757374794</v>
      </c>
    </row>
    <row r="8" spans="2:29" ht="25.5" thickBot="1" x14ac:dyDescent="0.65">
      <c r="B8" s="257"/>
      <c r="C8" s="254"/>
      <c r="D8" s="258">
        <f>SUM(D6:D7)</f>
        <v>104740133</v>
      </c>
      <c r="E8" s="279"/>
      <c r="F8" s="258">
        <f>SUM(F6:F7)</f>
        <v>4225976593</v>
      </c>
    </row>
    <row r="9" spans="2:29" ht="25.5" thickTop="1" x14ac:dyDescent="0.6"/>
    <row r="10" spans="2:29" x14ac:dyDescent="0.6">
      <c r="D10" s="298"/>
      <c r="F10" s="299"/>
    </row>
    <row r="11" spans="2:29" x14ac:dyDescent="0.6">
      <c r="D11" s="298"/>
      <c r="E11" s="259"/>
      <c r="F11" s="298"/>
    </row>
    <row r="12" spans="2:29" x14ac:dyDescent="0.6">
      <c r="D12" s="305"/>
    </row>
    <row r="15" spans="2:29" x14ac:dyDescent="0.6">
      <c r="L15" s="110"/>
    </row>
  </sheetData>
  <mergeCells count="4">
    <mergeCell ref="B1:F1"/>
    <mergeCell ref="B2:F2"/>
    <mergeCell ref="B3:F3"/>
    <mergeCell ref="B4:F4"/>
  </mergeCells>
  <printOptions horizontalCentered="1"/>
  <pageMargins left="0.7" right="0.7" top="0.75" bottom="0.75" header="0.3" footer="0.3"/>
  <pageSetup paperSize="9" orientation="landscape" r:id="rId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15</vt:i4>
      </vt:variant>
    </vt:vector>
  </HeadingPairs>
  <TitlesOfParts>
    <vt:vector size="31" baseType="lpstr">
      <vt:lpstr> سهام</vt:lpstr>
      <vt:lpstr>اوراق تبعی</vt:lpstr>
      <vt:lpstr>تعدیل قیمت</vt:lpstr>
      <vt:lpstr>گواهی سپرده</vt:lpstr>
      <vt:lpstr>اوراق</vt:lpstr>
      <vt:lpstr>سپرده</vt:lpstr>
      <vt:lpstr>درآمدها</vt:lpstr>
      <vt:lpstr>درآمد سرمایه گذاری در سهام </vt:lpstr>
      <vt:lpstr>درآمد سود سهام</vt:lpstr>
      <vt:lpstr>درآمد ناشی از تغییر قیمت اوراق </vt:lpstr>
      <vt:lpstr>درآمد ناشی ازفروش</vt:lpstr>
      <vt:lpstr>درآمد سرمایه گذاری در اوراق بها</vt:lpstr>
      <vt:lpstr>سود اوراق بهادار و سپرده بانکی</vt:lpstr>
      <vt:lpstr>درآمد سپرده بانکی</vt:lpstr>
      <vt:lpstr>Sheet1</vt:lpstr>
      <vt:lpstr>سایر درآمدها</vt:lpstr>
      <vt:lpstr>' سهام'!Print_Area</vt:lpstr>
      <vt:lpstr>اوراق!Print_Area</vt:lpstr>
      <vt:lpstr>'اوراق تبعی'!Print_Area</vt:lpstr>
      <vt:lpstr>'تعدیل قیمت'!Print_Area</vt:lpstr>
      <vt:lpstr>'درآمد سپرده بانکی'!Print_Area</vt:lpstr>
      <vt:lpstr>'درآمد سرمایه گذاری در اوراق بها'!Print_Area</vt:lpstr>
      <vt:lpstr>'درآمد سرمایه گذاری در سهام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'سود اوراق بهادار و سپرده بانکی'!Print_Area</vt:lpstr>
      <vt:lpstr>'گواهی سپرده'!Print_Area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Mania Ghadir Panah</cp:lastModifiedBy>
  <cp:lastPrinted>2025-10-29T11:50:29Z</cp:lastPrinted>
  <dcterms:created xsi:type="dcterms:W3CDTF">2017-11-22T14:26:20Z</dcterms:created>
  <dcterms:modified xsi:type="dcterms:W3CDTF">2025-10-29T11:53:41Z</dcterms:modified>
</cp:coreProperties>
</file>