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T:\SabadGardan\1-Investment Funds\Firouzeh 30\4- گزارش پرتفو ماهانه\1404\دی\"/>
    </mc:Choice>
  </mc:AlternateContent>
  <xr:revisionPtr revIDLastSave="0" documentId="13_ncr:1_{A3A308FC-B870-4B9A-85DD-9FB8ADE682B2}" xr6:coauthVersionLast="47" xr6:coauthVersionMax="47" xr10:uidLastSave="{00000000-0000-0000-0000-000000000000}"/>
  <bookViews>
    <workbookView xWindow="-120" yWindow="-120" windowWidth="29040" windowHeight="15720" tabRatio="778" xr2:uid="{00000000-000D-0000-FFFF-FFFF00000000}"/>
  </bookViews>
  <sheets>
    <sheet name=" سهام" sheetId="1" r:id="rId1"/>
    <sheet name="اوراق تبعی" sheetId="9" state="hidden" r:id="rId2"/>
    <sheet name="تعدیل قیمت" sheetId="4" state="hidden" r:id="rId3"/>
    <sheet name="گواهی سپرده" sheetId="10" state="hidden" r:id="rId4"/>
    <sheet name="اوراق" sheetId="3" state="hidden" r:id="rId5"/>
    <sheet name="سپرده" sheetId="2" r:id="rId6"/>
    <sheet name="درآمدها" sheetId="11" r:id="rId7"/>
    <sheet name="درآمد سرمایه گذاری در سهام " sheetId="5" r:id="rId8"/>
    <sheet name="درآمد سود سهام" sheetId="12" r:id="rId9"/>
    <sheet name="درآمد ناشی از تغییر قیمت اوراق " sheetId="14" r:id="rId10"/>
    <sheet name="درآمد ناشی ازفروش" sheetId="15" r:id="rId11"/>
    <sheet name="درآمد سرمایه گذاری در اوراق بها" sheetId="6" state="hidden" r:id="rId12"/>
    <sheet name="سود اوراق بهادار و سپرده بانکی" sheetId="13" r:id="rId13"/>
    <sheet name="درآمد سپرده بانکی" sheetId="7" r:id="rId14"/>
    <sheet name="Sheet1" sheetId="16" state="hidden" r:id="rId15"/>
    <sheet name="سایر درآمدها" sheetId="8" r:id="rId16"/>
  </sheets>
  <definedNames>
    <definedName name="_xlnm._FilterDatabase" localSheetId="7" hidden="1">'درآمد سرمایه گذاری در سهام '!#REF!</definedName>
    <definedName name="_xlnm._FilterDatabase" localSheetId="8" hidden="1">'درآمد سود سهام'!$V$6:$W$6</definedName>
    <definedName name="_xlnm._FilterDatabase" localSheetId="9" hidden="1">'درآمد ناشی از تغییر قیمت اوراق '!$B$6:$AA$67</definedName>
    <definedName name="_xlnm.Print_Area" localSheetId="0">' سهام'!$A$1:$Z$76</definedName>
    <definedName name="_xlnm.Print_Area" localSheetId="4">اوراق!$A$1:$AM$11</definedName>
    <definedName name="_xlnm.Print_Area" localSheetId="1">'اوراق تبعی'!$A$1:$R$10</definedName>
    <definedName name="_xlnm.Print_Area" localSheetId="2">'تعدیل قیمت'!$A$1:$P$11</definedName>
    <definedName name="_xlnm.Print_Area" localSheetId="13">'درآمد سپرده بانکی'!$A$1:$M$13</definedName>
    <definedName name="_xlnm.Print_Area" localSheetId="11">'درآمد سرمایه گذاری در اوراق بها'!$A$1:$S$12</definedName>
    <definedName name="_xlnm.Print_Area" localSheetId="7">'درآمد سرمایه گذاری در سهام '!$A$1:$V$134</definedName>
    <definedName name="_xlnm.Print_Area" localSheetId="8">'درآمد سود سهام'!$A$1:$U$57</definedName>
    <definedName name="_xlnm.Print_Area" localSheetId="9">'درآمد ناشی از تغییر قیمت اوراق '!$A$1:$R$66</definedName>
    <definedName name="_xlnm.Print_Area" localSheetId="10">'درآمد ناشی ازفروش'!$A$1:$R$115</definedName>
    <definedName name="_xlnm.Print_Area" localSheetId="6">درآمدها!$A$1:$J$11</definedName>
    <definedName name="_xlnm.Print_Area" localSheetId="15">'سایر درآمدها'!$A$1:$F$9</definedName>
    <definedName name="_xlnm.Print_Area" localSheetId="5">سپرده!$A$1:$R$17</definedName>
    <definedName name="_xlnm.Print_Area" localSheetId="12">'سود اوراق بهادار و سپرده بانکی'!$A$1:$U$11</definedName>
    <definedName name="_xlnm.Print_Area" localSheetId="3">'گواهی سپرده'!$A$1:$AC$12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5" l="1"/>
  <c r="V131" i="5"/>
  <c r="H6" i="11"/>
  <c r="H7" i="11"/>
  <c r="H8" i="11"/>
  <c r="L133" i="5"/>
  <c r="J133" i="5"/>
  <c r="T133" i="5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J45" i="14" l="1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44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8" i="14"/>
  <c r="F38" i="14"/>
  <c r="F43" i="14" s="1"/>
  <c r="D38" i="14"/>
  <c r="D43" i="14" s="1"/>
  <c r="J16" i="2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0" i="5"/>
  <c r="L120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X41" i="5" s="1"/>
  <c r="J42" i="5"/>
  <c r="L42" i="5" s="1"/>
  <c r="J43" i="5"/>
  <c r="L43" i="5" s="1"/>
  <c r="J44" i="5"/>
  <c r="L44" i="5" s="1"/>
  <c r="J83" i="5"/>
  <c r="L83" i="5" s="1"/>
  <c r="J84" i="5"/>
  <c r="L84" i="5" s="1"/>
  <c r="J85" i="5"/>
  <c r="L85" i="5" s="1"/>
  <c r="N52" i="12"/>
  <c r="N53" i="12"/>
  <c r="N54" i="12"/>
  <c r="R14" i="2"/>
  <c r="T96" i="5"/>
  <c r="Z74" i="1"/>
  <c r="N45" i="5"/>
  <c r="T7" i="12"/>
  <c r="P56" i="12"/>
  <c r="J109" i="15"/>
  <c r="J110" i="15"/>
  <c r="J111" i="15"/>
  <c r="J112" i="15"/>
  <c r="N51" i="12"/>
  <c r="J81" i="5"/>
  <c r="L81" i="5" s="1"/>
  <c r="J82" i="5"/>
  <c r="L82" i="5" s="1"/>
  <c r="R15" i="2"/>
  <c r="R13" i="2"/>
  <c r="E49" i="1"/>
  <c r="Z70" i="1"/>
  <c r="Z71" i="1"/>
  <c r="Z72" i="1"/>
  <c r="Z73" i="1"/>
  <c r="Z75" i="1"/>
  <c r="Z9" i="1"/>
  <c r="X49" i="1"/>
  <c r="X56" i="1" s="1"/>
  <c r="X76" i="1" s="1"/>
  <c r="V49" i="1"/>
  <c r="V56" i="1" s="1"/>
  <c r="V76" i="1" s="1"/>
  <c r="T49" i="1"/>
  <c r="T56" i="1" s="1"/>
  <c r="T76" i="1" s="1"/>
  <c r="R49" i="1"/>
  <c r="R56" i="1" s="1"/>
  <c r="R76" i="1" s="1"/>
  <c r="P49" i="1"/>
  <c r="P56" i="1" s="1"/>
  <c r="P76" i="1" s="1"/>
  <c r="N49" i="1"/>
  <c r="N56" i="1" s="1"/>
  <c r="N76" i="1" s="1"/>
  <c r="L49" i="1"/>
  <c r="L56" i="1" s="1"/>
  <c r="L76" i="1" s="1"/>
  <c r="J49" i="1"/>
  <c r="J56" i="1" s="1"/>
  <c r="J76" i="1" s="1"/>
  <c r="H49" i="1"/>
  <c r="H56" i="1" s="1"/>
  <c r="H76" i="1" s="1"/>
  <c r="F49" i="1"/>
  <c r="F56" i="1" s="1"/>
  <c r="F76" i="1" s="1"/>
  <c r="D49" i="1"/>
  <c r="D56" i="1" s="1"/>
  <c r="D76" i="1" s="1"/>
  <c r="Y49" i="1"/>
  <c r="W49" i="1"/>
  <c r="U49" i="1"/>
  <c r="S49" i="1"/>
  <c r="Q49" i="1"/>
  <c r="O49" i="1"/>
  <c r="M49" i="1"/>
  <c r="K49" i="1"/>
  <c r="I49" i="1"/>
  <c r="G49" i="1"/>
  <c r="H10" i="7" l="1"/>
  <c r="H9" i="7"/>
  <c r="H11" i="7"/>
  <c r="H12" i="7" l="1"/>
  <c r="F12" i="7"/>
  <c r="J38" i="14" l="1"/>
  <c r="N53" i="5"/>
  <c r="J43" i="14" l="1"/>
  <c r="J64" i="14" s="1"/>
  <c r="N87" i="5"/>
  <c r="T56" i="12"/>
  <c r="J73" i="15"/>
  <c r="J74" i="15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5" i="12"/>
  <c r="N7" i="12"/>
  <c r="C143" i="5"/>
  <c r="O8" i="13"/>
  <c r="O9" i="13"/>
  <c r="O7" i="13"/>
  <c r="U7" i="13"/>
  <c r="U8" i="13"/>
  <c r="R11" i="2"/>
  <c r="R12" i="2"/>
  <c r="D8" i="8"/>
  <c r="N95" i="5" l="1"/>
  <c r="N134" i="5" s="1"/>
  <c r="R57" i="15"/>
  <c r="R62" i="15" s="1"/>
  <c r="R115" i="15" s="1"/>
  <c r="J11" i="5"/>
  <c r="L11" i="5" s="1"/>
  <c r="L45" i="5" s="1"/>
  <c r="D45" i="5"/>
  <c r="D53" i="5" s="1"/>
  <c r="D87" i="5" s="1"/>
  <c r="D95" i="5" s="1"/>
  <c r="D134" i="5" s="1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13" i="15"/>
  <c r="J114" i="15"/>
  <c r="Z67" i="1"/>
  <c r="Z68" i="1"/>
  <c r="Z69" i="1"/>
  <c r="A2" i="11"/>
  <c r="J56" i="12"/>
  <c r="J79" i="5"/>
  <c r="L79" i="5" s="1"/>
  <c r="B3" i="14"/>
  <c r="H38" i="14"/>
  <c r="R45" i="5"/>
  <c r="R53" i="5" s="1"/>
  <c r="P45" i="5"/>
  <c r="H45" i="5"/>
  <c r="F45" i="5"/>
  <c r="R9" i="2"/>
  <c r="R10" i="2"/>
  <c r="Z64" i="1"/>
  <c r="Z65" i="1"/>
  <c r="Z66" i="1"/>
  <c r="H43" i="14" l="1"/>
  <c r="H64" i="14" s="1"/>
  <c r="E76" i="1"/>
  <c r="G76" i="1"/>
  <c r="I76" i="1"/>
  <c r="K76" i="1"/>
  <c r="M76" i="1"/>
  <c r="O76" i="1"/>
  <c r="Q76" i="1"/>
  <c r="S76" i="1"/>
  <c r="U76" i="1"/>
  <c r="W76" i="1"/>
  <c r="Y76" i="1"/>
  <c r="P57" i="15" l="1"/>
  <c r="P62" i="15" s="1"/>
  <c r="P115" i="15" s="1"/>
  <c r="N57" i="15"/>
  <c r="L57" i="15"/>
  <c r="H57" i="15"/>
  <c r="H62" i="15" s="1"/>
  <c r="H115" i="15" s="1"/>
  <c r="F57" i="15"/>
  <c r="F62" i="15" s="1"/>
  <c r="F115" i="15" s="1"/>
  <c r="D57" i="15"/>
  <c r="D62" i="15" s="1"/>
  <c r="D115" i="15" s="1"/>
  <c r="P38" i="14"/>
  <c r="P43" i="14" s="1"/>
  <c r="N38" i="14"/>
  <c r="N43" i="14" s="1"/>
  <c r="L38" i="14"/>
  <c r="L43" i="14" s="1"/>
  <c r="F64" i="14"/>
  <c r="D64" i="14"/>
  <c r="R87" i="5"/>
  <c r="P53" i="5"/>
  <c r="P87" i="5" s="1"/>
  <c r="H53" i="5"/>
  <c r="H87" i="5" s="1"/>
  <c r="F53" i="5"/>
  <c r="F87" i="5" s="1"/>
  <c r="N56" i="12" l="1"/>
  <c r="J45" i="5"/>
  <c r="J53" i="5" s="1"/>
  <c r="L62" i="15"/>
  <c r="L115" i="15" s="1"/>
  <c r="N62" i="15"/>
  <c r="N115" i="15" s="1"/>
  <c r="L64" i="14"/>
  <c r="N64" i="14"/>
  <c r="P64" i="14"/>
  <c r="J96" i="5" l="1"/>
  <c r="L96" i="5" s="1"/>
  <c r="L56" i="12"/>
  <c r="R56" i="12"/>
  <c r="J54" i="5" l="1"/>
  <c r="L54" i="5" s="1"/>
  <c r="T54" i="5"/>
  <c r="J55" i="5"/>
  <c r="L55" i="5" s="1"/>
  <c r="J56" i="5"/>
  <c r="L56" i="5" s="1"/>
  <c r="Z35" i="1"/>
  <c r="Z34" i="1"/>
  <c r="Z33" i="1"/>
  <c r="Z32" i="1"/>
  <c r="Z31" i="1"/>
  <c r="Z30" i="1"/>
  <c r="Z29" i="1"/>
  <c r="Z28" i="1"/>
  <c r="F8" i="8"/>
  <c r="Q10" i="13"/>
  <c r="F56" i="12"/>
  <c r="J63" i="15"/>
  <c r="J64" i="15"/>
  <c r="J65" i="15"/>
  <c r="J66" i="15"/>
  <c r="J67" i="15"/>
  <c r="J68" i="15"/>
  <c r="J69" i="15"/>
  <c r="J70" i="15"/>
  <c r="J71" i="15"/>
  <c r="J72" i="15"/>
  <c r="J75" i="15"/>
  <c r="J76" i="15"/>
  <c r="J77" i="15"/>
  <c r="J78" i="15"/>
  <c r="J79" i="15"/>
  <c r="J80" i="15"/>
  <c r="J81" i="15"/>
  <c r="J82" i="15"/>
  <c r="J83" i="15"/>
  <c r="J84" i="15"/>
  <c r="J71" i="5"/>
  <c r="L71" i="5" s="1"/>
  <c r="J72" i="5"/>
  <c r="L72" i="5" s="1"/>
  <c r="J73" i="5"/>
  <c r="L73" i="5" s="1"/>
  <c r="J74" i="5"/>
  <c r="L74" i="5" s="1"/>
  <c r="J75" i="5"/>
  <c r="L75" i="5" s="1"/>
  <c r="J76" i="5"/>
  <c r="L76" i="5" s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57" i="1"/>
  <c r="Z58" i="1"/>
  <c r="Z59" i="1"/>
  <c r="Z60" i="1"/>
  <c r="Z61" i="1"/>
  <c r="Z62" i="1"/>
  <c r="Z63" i="1"/>
  <c r="J12" i="7"/>
  <c r="K10" i="13"/>
  <c r="Z49" i="1" l="1"/>
  <c r="Z56" i="1" s="1"/>
  <c r="Z76" i="1" s="1"/>
  <c r="F7" i="11"/>
  <c r="P95" i="5"/>
  <c r="F95" i="5"/>
  <c r="F134" i="5" s="1"/>
  <c r="R95" i="5"/>
  <c r="H95" i="5"/>
  <c r="R134" i="5" l="1"/>
  <c r="P134" i="5"/>
  <c r="H134" i="5"/>
  <c r="J7" i="11"/>
  <c r="L16" i="2"/>
  <c r="N16" i="2"/>
  <c r="P16" i="2"/>
  <c r="U9" i="13"/>
  <c r="T11" i="5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7" i="5"/>
  <c r="L77" i="5" s="1"/>
  <c r="J78" i="5"/>
  <c r="L78" i="5" s="1"/>
  <c r="J80" i="5"/>
  <c r="L80" i="5" s="1"/>
  <c r="J86" i="5"/>
  <c r="L86" i="5" s="1"/>
  <c r="T45" i="5" l="1"/>
  <c r="T53" i="5" s="1"/>
  <c r="C144" i="5"/>
  <c r="J87" i="5"/>
  <c r="R38" i="14"/>
  <c r="R43" i="14" s="1"/>
  <c r="R64" i="14" s="1"/>
  <c r="J57" i="15"/>
  <c r="J62" i="15" s="1"/>
  <c r="J115" i="15" s="1"/>
  <c r="O10" i="13"/>
  <c r="U10" i="13"/>
  <c r="R16" i="2"/>
  <c r="H120" i="15" l="1"/>
  <c r="T87" i="5"/>
  <c r="L53" i="5"/>
  <c r="L87" i="5" s="1"/>
  <c r="J95" i="5"/>
  <c r="J134" i="5" s="1"/>
  <c r="B3" i="1"/>
  <c r="T95" i="5" l="1"/>
  <c r="R6" i="1"/>
  <c r="R53" i="1" s="1"/>
  <c r="T134" i="5" l="1"/>
  <c r="L95" i="5"/>
  <c r="L134" i="5" s="1"/>
  <c r="S10" i="6"/>
  <c r="F6" i="11" l="1"/>
  <c r="D6" i="1"/>
  <c r="D53" i="1" s="1"/>
  <c r="D5" i="8"/>
  <c r="J6" i="11" l="1"/>
  <c r="K11" i="6"/>
  <c r="S11" i="6"/>
  <c r="F6" i="7"/>
  <c r="F5" i="8"/>
  <c r="B3" i="8"/>
  <c r="J6" i="7"/>
  <c r="B3" i="7"/>
  <c r="Q5" i="13"/>
  <c r="K5" i="13"/>
  <c r="B3" i="13"/>
  <c r="A3" i="6"/>
  <c r="M6" i="6"/>
  <c r="C6" i="6"/>
  <c r="L5" i="15"/>
  <c r="L60" i="15" s="1"/>
  <c r="D5" i="15"/>
  <c r="D60" i="15" s="1"/>
  <c r="B3" i="15"/>
  <c r="D5" i="14"/>
  <c r="D41" i="14" s="1"/>
  <c r="J5" i="12"/>
  <c r="B3" i="12"/>
  <c r="N7" i="5"/>
  <c r="N49" i="5" s="1"/>
  <c r="D7" i="5"/>
  <c r="D49" i="5" s="1"/>
  <c r="B3" i="5"/>
  <c r="L5" i="14"/>
  <c r="L41" i="14" s="1"/>
  <c r="P5" i="12"/>
  <c r="P6" i="2"/>
  <c r="B3" i="2"/>
  <c r="A3" i="11" s="1"/>
  <c r="AE6" i="3"/>
  <c r="Q6" i="3"/>
  <c r="B3" i="3"/>
  <c r="A3" i="10"/>
  <c r="A3" i="4"/>
  <c r="B3" i="9"/>
  <c r="W6" i="10"/>
  <c r="K6" i="10"/>
  <c r="C6" i="4"/>
  <c r="L6" i="9"/>
  <c r="D6" i="9"/>
  <c r="R11" i="6"/>
  <c r="E11" i="6"/>
  <c r="D91" i="5" l="1"/>
  <c r="N91" i="5"/>
  <c r="G11" i="6"/>
  <c r="I11" i="6"/>
  <c r="O11" i="6"/>
  <c r="Q11" i="6"/>
  <c r="M11" i="6" l="1"/>
  <c r="C11" i="6"/>
  <c r="N9" i="9" l="1"/>
  <c r="L9" i="9"/>
  <c r="F9" i="9"/>
  <c r="D9" i="9"/>
  <c r="F8" i="11" l="1"/>
  <c r="J8" i="11" l="1"/>
  <c r="F9" i="11"/>
  <c r="B1" i="5"/>
  <c r="V133" i="5" l="1"/>
  <c r="V20" i="5"/>
  <c r="V86" i="5"/>
  <c r="V31" i="5"/>
  <c r="V79" i="5"/>
  <c r="V39" i="5"/>
  <c r="V43" i="5"/>
  <c r="V76" i="5"/>
  <c r="V22" i="5"/>
  <c r="V83" i="5"/>
  <c r="V107" i="5"/>
  <c r="V62" i="5"/>
  <c r="V58" i="5"/>
  <c r="V67" i="5"/>
  <c r="V27" i="5"/>
  <c r="V70" i="5"/>
  <c r="V130" i="5"/>
  <c r="V85" i="5"/>
  <c r="V59" i="5"/>
  <c r="V116" i="5"/>
  <c r="V57" i="5"/>
  <c r="V55" i="5"/>
  <c r="V15" i="5"/>
  <c r="V112" i="5"/>
  <c r="V106" i="5"/>
  <c r="V73" i="5"/>
  <c r="V125" i="5"/>
  <c r="V37" i="5"/>
  <c r="V33" i="5"/>
  <c r="V41" i="5"/>
  <c r="V121" i="5"/>
  <c r="V78" i="5"/>
  <c r="V42" i="5"/>
  <c r="V61" i="5"/>
  <c r="V101" i="5"/>
  <c r="V29" i="5"/>
  <c r="V81" i="5"/>
  <c r="V127" i="5"/>
  <c r="V23" i="5"/>
  <c r="V123" i="5"/>
  <c r="V69" i="5"/>
  <c r="V28" i="5"/>
  <c r="V104" i="5"/>
  <c r="V77" i="5"/>
  <c r="V71" i="5"/>
  <c r="V16" i="5"/>
  <c r="V44" i="5"/>
  <c r="V96" i="5"/>
  <c r="V24" i="5"/>
  <c r="V13" i="5"/>
  <c r="V21" i="5"/>
  <c r="V109" i="5"/>
  <c r="V66" i="5"/>
  <c r="V75" i="5"/>
  <c r="V108" i="5"/>
  <c r="V65" i="5"/>
  <c r="V63" i="5"/>
  <c r="V113" i="5"/>
  <c r="V26" i="5"/>
  <c r="V117" i="5"/>
  <c r="V102" i="5"/>
  <c r="V68" i="5"/>
  <c r="V100" i="5"/>
  <c r="V35" i="5"/>
  <c r="V110" i="5"/>
  <c r="V25" i="5"/>
  <c r="V82" i="5"/>
  <c r="V64" i="5"/>
  <c r="V84" i="5"/>
  <c r="V80" i="5"/>
  <c r="V97" i="5"/>
  <c r="V132" i="5"/>
  <c r="V111" i="5"/>
  <c r="V129" i="5"/>
  <c r="V115" i="5"/>
  <c r="V124" i="5"/>
  <c r="V118" i="5"/>
  <c r="V72" i="5"/>
  <c r="V56" i="5"/>
  <c r="V19" i="5"/>
  <c r="V120" i="5"/>
  <c r="V38" i="5"/>
  <c r="V105" i="5"/>
  <c r="V103" i="5"/>
  <c r="V18" i="5"/>
  <c r="V36" i="5"/>
  <c r="V60" i="5"/>
  <c r="V122" i="5"/>
  <c r="V30" i="5"/>
  <c r="V14" i="5"/>
  <c r="V126" i="5"/>
  <c r="V98" i="5"/>
  <c r="V32" i="5"/>
  <c r="V74" i="5"/>
  <c r="V99" i="5"/>
  <c r="V114" i="5"/>
  <c r="V40" i="5"/>
  <c r="V17" i="5"/>
  <c r="V119" i="5"/>
  <c r="V128" i="5"/>
  <c r="V34" i="5"/>
  <c r="V54" i="5"/>
  <c r="V11" i="5"/>
  <c r="L11" i="7"/>
  <c r="L9" i="7"/>
  <c r="L10" i="7"/>
  <c r="B1" i="3"/>
  <c r="A1" i="4" s="1"/>
  <c r="A1" i="10" s="1"/>
  <c r="B1" i="9"/>
  <c r="V45" i="5" l="1"/>
  <c r="V53" i="5" s="1"/>
  <c r="V87" i="5" s="1"/>
  <c r="V95" i="5" s="1"/>
  <c r="V134" i="5" s="1"/>
  <c r="L12" i="7"/>
  <c r="H9" i="11"/>
  <c r="J9" i="11"/>
  <c r="B1" i="12"/>
  <c r="B1" i="13" s="1"/>
  <c r="B1" i="7" s="1"/>
  <c r="B1" i="8" l="1"/>
  <c r="B1" i="15"/>
  <c r="B1" i="14" l="1"/>
</calcChain>
</file>

<file path=xl/sharedStrings.xml><?xml version="1.0" encoding="utf-8"?>
<sst xmlns="http://schemas.openxmlformats.org/spreadsheetml/2006/main" count="871" uniqueCount="286">
  <si>
    <t>درصد به کل</t>
  </si>
  <si>
    <t>خالص ارزش</t>
  </si>
  <si>
    <t>فروش</t>
  </si>
  <si>
    <t>بهای تمام شده</t>
  </si>
  <si>
    <t xml:space="preserve"> دارایی‌ها</t>
  </si>
  <si>
    <t>شرکت</t>
  </si>
  <si>
    <t>.....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</si>
  <si>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</si>
  <si>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</si>
  <si>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</si>
  <si>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</si>
  <si>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</si>
  <si>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</si>
  <si>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</si>
  <si>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</si>
  <si>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</si>
  <si>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</si>
  <si>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</si>
  <si>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نوع سپرده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</si>
  <si>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</si>
  <si>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</si>
  <si>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</si>
  <si>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</si>
  <si>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</si>
  <si>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</si>
  <si>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</si>
  <si>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</si>
  <si>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</si>
  <si>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درصد سود به میانگین سپرده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</si>
  <si>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</si>
  <si>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</si>
  <si>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</si>
  <si>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</si>
  <si>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</si>
  <si>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</si>
  <si>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</si>
  <si>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</si>
  <si>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</si>
  <si>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</si>
  <si>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2-1-سرمایه‌گذاری در اوراق بهادار با درآمد ثابت یا علی‌الحساب</t>
  </si>
  <si>
    <t>4-2-سایر درآمدها: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</si>
  <si>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</si>
  <si>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</si>
  <si>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</si>
  <si>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</si>
  <si>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</si>
  <si>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</si>
  <si>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</si>
  <si>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</si>
  <si>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</si>
  <si>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</si>
  <si>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</si>
  <si>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</si>
  <si>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</si>
  <si>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</si>
  <si>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</si>
  <si>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4-1- سرمایه‌گذاری در گواهی سپرده‌ بانکی</t>
  </si>
  <si>
    <t>گواهی سپرده بانکی نزد بانک .....</t>
  </si>
  <si>
    <t>نرخ شکست</t>
  </si>
  <si>
    <t>گواهی سپرده  بانکی</t>
  </si>
  <si>
    <t>تاریخ افتتاح حساب</t>
  </si>
  <si>
    <t>نرخ سود علی الحساب</t>
  </si>
  <si>
    <t>افزایش</t>
  </si>
  <si>
    <t>کاهش</t>
  </si>
  <si>
    <t>شرح</t>
  </si>
  <si>
    <t>یادداشت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</si>
  <si>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</si>
  <si>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</si>
  <si>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</si>
  <si>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</si>
  <si>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</si>
  <si>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</si>
  <si>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</si>
  <si>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</si>
  <si>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ارزش دفتری</t>
  </si>
  <si>
    <t>سود و زیان ناشی از تغییر قیمت</t>
  </si>
  <si>
    <t>ارزش دفتری برابر است با میانگین موزون خالص ارزش فروش هر سهم/ورقه در ابتدای دوره با خرید طی دوره ضربدر تعداد در پایان دوره</t>
  </si>
  <si>
    <t>خالص بهای فروش</t>
  </si>
  <si>
    <t>سود و زیان ناشی از فروش</t>
  </si>
  <si>
    <t>درآمد حاصل از سرمایه گذاری در سهام و حق تقدم سهام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</si>
  <si>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</si>
  <si>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</si>
  <si>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</si>
  <si>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3-1- سرمایه‌گذاری در  سپرده‌ بانکی</t>
  </si>
  <si>
    <t>1-2</t>
  </si>
  <si>
    <t>3-2</t>
  </si>
  <si>
    <t>4-2</t>
  </si>
  <si>
    <t xml:space="preserve">صورت وضعیت درآمدها </t>
  </si>
  <si>
    <t xml:space="preserve">درآمد سود </t>
  </si>
  <si>
    <t xml:space="preserve"> </t>
  </si>
  <si>
    <t>درصد از کل دارایی ها</t>
  </si>
  <si>
    <t>یادداشت 2-1-1</t>
  </si>
  <si>
    <t>یادداشت 2-1-2</t>
  </si>
  <si>
    <t>یادداشت 2-1-3</t>
  </si>
  <si>
    <t>1-2-2-سود اوراق بهادار با درآمد ثابت و سپرده بانکی</t>
  </si>
  <si>
    <t>یادداشت 2-2-1</t>
  </si>
  <si>
    <t>1-1-2-درآمد سود سهام</t>
  </si>
  <si>
    <t>2-1-2-درآمد ناشی از تغییر قیمت اوراق بهادار</t>
  </si>
  <si>
    <t>3-1-2-سود(زیان) حاصل از فروش اوراق بهادار</t>
  </si>
  <si>
    <t>ابتدای دوره</t>
  </si>
  <si>
    <t xml:space="preserve">مبلغ </t>
  </si>
  <si>
    <t>درصد از کل دارائیها</t>
  </si>
  <si>
    <t>-</t>
  </si>
  <si>
    <t>صندوق سرمایه گذاری شاخص سی شرکت بزرگ فیروزه</t>
  </si>
  <si>
    <t>توسعه‌معادن‌وفلزات‌</t>
  </si>
  <si>
    <t>فولاد  خوزستان</t>
  </si>
  <si>
    <t>1393/04/25</t>
  </si>
  <si>
    <t>صندوق سرمایه‌گذاری صندوق شاخص سی شرکت بزرگ فیروزه</t>
  </si>
  <si>
    <t>حساب جاری</t>
  </si>
  <si>
    <t>سپرده کوتاه مدت</t>
  </si>
  <si>
    <t>ایران‌ خودرو</t>
  </si>
  <si>
    <t>بانک  پاسارگاد</t>
  </si>
  <si>
    <t>بانک ملت</t>
  </si>
  <si>
    <t>پالایش نفت اصفهان</t>
  </si>
  <si>
    <t>پالایش نفت بندرعباس</t>
  </si>
  <si>
    <t>پالایش نفت تهران</t>
  </si>
  <si>
    <t>پتروشیمی پارس</t>
  </si>
  <si>
    <t>پتروشیمی پردیس</t>
  </si>
  <si>
    <t>پتروشیمی جم</t>
  </si>
  <si>
    <t>پتروشیمی نوری</t>
  </si>
  <si>
    <t>س. نفت و گاز و پتروشیمی تأمین</t>
  </si>
  <si>
    <t>سرمایه‌گذاری‌غدیر(هلدینگ‌</t>
  </si>
  <si>
    <t>صنایع پتروشیمی خلیج فارس</t>
  </si>
  <si>
    <t>فولاد مبارکه اصفهان</t>
  </si>
  <si>
    <t>گروه مپنا (سهامی عام)</t>
  </si>
  <si>
    <t>گسترش نفت و گاز پارسیان</t>
  </si>
  <si>
    <t>مخابرات ایران</t>
  </si>
  <si>
    <t>معدنی و صنعتی گل گهر</t>
  </si>
  <si>
    <t>معدنی‌وصنعتی‌چادرملو</t>
  </si>
  <si>
    <t>ملی‌ صنایع‌ مس‌ ایران‌</t>
  </si>
  <si>
    <t>سرمایه گذاری تامین اجتماعی</t>
  </si>
  <si>
    <t>سرمایه‌گذاری‌صندوق‌بازنشستگی‌</t>
  </si>
  <si>
    <t/>
  </si>
  <si>
    <t>یادداشت 3-1-2</t>
  </si>
  <si>
    <t>مبین انرژی خلیج فارس</t>
  </si>
  <si>
    <t>توسعه معادن وص.معدنی خاورمیانه</t>
  </si>
  <si>
    <t>سایپا</t>
  </si>
  <si>
    <t>پالایش نفت تبریز</t>
  </si>
  <si>
    <t>1-2-درآمد حاصل از سرمایه گذاری در سهام و حق تقدم سهام:</t>
  </si>
  <si>
    <t>کشتیرانی جمهوری اسلامی ایران</t>
  </si>
  <si>
    <t>تاریخ مجمع</t>
  </si>
  <si>
    <t>پتروشیمی بوعلی سینا</t>
  </si>
  <si>
    <t>گروه‌بهمن‌</t>
  </si>
  <si>
    <t>پتروشیمی‌شیراز</t>
  </si>
  <si>
    <t>سرمایه گذاری صدرتامین</t>
  </si>
  <si>
    <t>بانک تجارت</t>
  </si>
  <si>
    <t>بین المللی توسعه ص. معادن غدیر</t>
  </si>
  <si>
    <t>1402/06/19</t>
  </si>
  <si>
    <t>3-2-درآمد حاصل از سرمایه گذاری در سپرده بانکی و گواهی سپرده:</t>
  </si>
  <si>
    <t>کویر تایر</t>
  </si>
  <si>
    <t>گروه مدیریت سرمایه گذاری امید</t>
  </si>
  <si>
    <t>تعدیل کارمزد کارگزار</t>
  </si>
  <si>
    <t>ح . معدنی و صنعتی گل گهر</t>
  </si>
  <si>
    <t>ح . معدنی‌وصنعتی‌چادرملو</t>
  </si>
  <si>
    <t>درصد از کل درآمدها</t>
  </si>
  <si>
    <t>2-2-درآمد حاصل از سرمایه گذاری در اوراق بهادار با درآمد ثابت:</t>
  </si>
  <si>
    <t>نورایستا پلاستیک</t>
  </si>
  <si>
    <t>بیمه اتکایی ایران معین</t>
  </si>
  <si>
    <t>تولیدی برنا باطری</t>
  </si>
  <si>
    <t>کانی کربن طبس</t>
  </si>
  <si>
    <t>فجر انرژی خلیج فارس</t>
  </si>
  <si>
    <t>توسعه نیشکر و  صنایع جانبی</t>
  </si>
  <si>
    <t>مدیریت نیروگاهی ایرانیان مپنا</t>
  </si>
  <si>
    <t>صنایع ارتباطی آوا</t>
  </si>
  <si>
    <t>فروشگاههای زنجیره ای افق کوروش</t>
  </si>
  <si>
    <t>ایمن خودرو شرق</t>
  </si>
  <si>
    <t>اخشان خراسان</t>
  </si>
  <si>
    <t>تولید انرژی برق شمس پاسارگاد</t>
  </si>
  <si>
    <t>معدنکاران نسوز</t>
  </si>
  <si>
    <t>س. صنایع‌شیمیایی‌ایران</t>
  </si>
  <si>
    <t>مهرمام میهن</t>
  </si>
  <si>
    <t>صنایع مس افق کرمان</t>
  </si>
  <si>
    <t>سیمان‌ شرق‌</t>
  </si>
  <si>
    <t>گسترش‌سرمایه‌گذاری‌ایران‌خودرو</t>
  </si>
  <si>
    <t>پتروشیمی مارون</t>
  </si>
  <si>
    <t>صنعتی مینو</t>
  </si>
  <si>
    <t>آلومینای ایران</t>
  </si>
  <si>
    <t>شهد ایران ‌</t>
  </si>
  <si>
    <t>بانک صادرات ایران</t>
  </si>
  <si>
    <t>اقتصادی و خودکفایی آزادگان</t>
  </si>
  <si>
    <t>سرمایه گذاری سبحان</t>
  </si>
  <si>
    <t>کشت و دام گلدشت نمونه اصفهان</t>
  </si>
  <si>
    <t>گروه س توسعه صنعتی ایران</t>
  </si>
  <si>
    <t>تولیدات پتروشیمی قائد بصیر</t>
  </si>
  <si>
    <t>شرکت قند بیستون</t>
  </si>
  <si>
    <t>سرمایه گذاری پایا تدبیرپارسا</t>
  </si>
  <si>
    <t>سیمان‌ تهران‌</t>
  </si>
  <si>
    <t>1404/02/31</t>
  </si>
  <si>
    <t>1404/03/31</t>
  </si>
  <si>
    <t>برای ماه منتهی به 1404/03/31</t>
  </si>
  <si>
    <t>طی خرداد ماه</t>
  </si>
  <si>
    <t>از ابتدای سال مالی تا پایان خرداد ماه</t>
  </si>
  <si>
    <t>بانک‌اقتصادنوین‌</t>
  </si>
  <si>
    <t>جنرال مکانیک</t>
  </si>
  <si>
    <t>ح .بیمه ایران - معین</t>
  </si>
  <si>
    <t>سرمایه‌گذاری‌نیرو</t>
  </si>
  <si>
    <t>شیر و گوشت زاگرس شهرکرد</t>
  </si>
  <si>
    <t>پویا</t>
  </si>
  <si>
    <t>توسعه سرمایه و صنعت غدیر</t>
  </si>
  <si>
    <t>سپرده کوتاه مدت بانک خاورمیانه مهستان</t>
  </si>
  <si>
    <t>سپرده کوتاه مدت بانک گردشگری سعادت آباد</t>
  </si>
  <si>
    <t>بانک خاورمیانه</t>
  </si>
  <si>
    <t>سرمایه گذاری جامی</t>
  </si>
  <si>
    <t>1404/02/30</t>
  </si>
  <si>
    <t>1404/03/25</t>
  </si>
  <si>
    <t>1404/03/06</t>
  </si>
  <si>
    <t>سود اوراق بهادار با درآمد ثابت و سپرده بانکی</t>
  </si>
  <si>
    <t>1404/04/31</t>
  </si>
  <si>
    <t>1404/04/22</t>
  </si>
  <si>
    <t>1404/04/29</t>
  </si>
  <si>
    <t>1404/04/28</t>
  </si>
  <si>
    <t>1404/04/30</t>
  </si>
  <si>
    <t>1404/04/23</t>
  </si>
  <si>
    <t>1404/04/18</t>
  </si>
  <si>
    <t>1404/04/25</t>
  </si>
  <si>
    <t>1404/04/21</t>
  </si>
  <si>
    <t>نقل به صفحه بعد</t>
  </si>
  <si>
    <t>نقل از صفحه قبل</t>
  </si>
  <si>
    <t xml:space="preserve">نقل به صفحه بعد </t>
  </si>
  <si>
    <t xml:space="preserve">نقل از صفحه قبل </t>
  </si>
  <si>
    <t>1404/05/31</t>
  </si>
  <si>
    <t>برای ماه منتهی به 1404/05/31</t>
  </si>
  <si>
    <t>طی مرداد ماه</t>
  </si>
  <si>
    <t>از ابتدای سال مالی تا پایان مرداد ماه</t>
  </si>
  <si>
    <t>1404/05/12</t>
  </si>
  <si>
    <t>1404/05/11</t>
  </si>
  <si>
    <t>1404/05/13</t>
  </si>
  <si>
    <t>1404/05/08</t>
  </si>
  <si>
    <t>1404/05/07</t>
  </si>
  <si>
    <t>1404/05/09</t>
  </si>
  <si>
    <t>1404/06/31</t>
  </si>
  <si>
    <t>برای ماه منتهی به 1404/06/31</t>
  </si>
  <si>
    <t>سیمان باقران</t>
  </si>
  <si>
    <t>گواهی سپرده کالایی شمش طلا غیرفعال</t>
  </si>
  <si>
    <t>1404/06/23</t>
  </si>
  <si>
    <t>1404/06/26</t>
  </si>
  <si>
    <t>1404/06/17</t>
  </si>
  <si>
    <t>کشتیرانی دریای خزر</t>
  </si>
  <si>
    <t>سرمایه‌ گذاری‌ آتیه‌ دماوند</t>
  </si>
  <si>
    <t>سرمایه گذاری توسعه گوهران امید</t>
  </si>
  <si>
    <t>ایران‌ ترانسفو</t>
  </si>
  <si>
    <t>تایدواترخاورمیانه</t>
  </si>
  <si>
    <t>گروه مالی صبا تامین</t>
  </si>
  <si>
    <t>1404/07/30</t>
  </si>
  <si>
    <t>برای ماه منتهی به 1404/07/30</t>
  </si>
  <si>
    <t>از ابتدای سال مالی تا پایان مهر ماه</t>
  </si>
  <si>
    <t>1404/07/20</t>
  </si>
  <si>
    <t>1404/07/15</t>
  </si>
  <si>
    <t>1404/07/08</t>
  </si>
  <si>
    <t>طی مهر  ماه</t>
  </si>
  <si>
    <t>ح.کشت و دام گلدشت نمونه اصفهان</t>
  </si>
  <si>
    <t>کشت وصنعت و دامپروری پگاه فارس</t>
  </si>
  <si>
    <t>س. و توسعه صنایع لاستیک</t>
  </si>
  <si>
    <t>سپرده کوتاه مدت بانک صادرات بلوار میرداماد</t>
  </si>
  <si>
    <t>شمش طلا GoldBar</t>
  </si>
  <si>
    <t>1404/08/18</t>
  </si>
  <si>
    <t>1404/08/01</t>
  </si>
  <si>
    <t>1404/09/30</t>
  </si>
  <si>
    <t>ایران خودرو دیزل</t>
  </si>
  <si>
    <t>توسعه خدمات دریایی وبندری سینا</t>
  </si>
  <si>
    <t>کیمیا کالای رازی</t>
  </si>
  <si>
    <t>گروه مالی نماد غدیر(سهامی عام)</t>
  </si>
  <si>
    <t>نیان باتری خاوران</t>
  </si>
  <si>
    <t>ح.گروه مدیریت سرمایه گذار امید</t>
  </si>
  <si>
    <t>تولیدی کوچین</t>
  </si>
  <si>
    <t>1404/09/19</t>
  </si>
  <si>
    <t>1404/09/17</t>
  </si>
  <si>
    <t>1404/09/22</t>
  </si>
  <si>
    <t>1404/10/30</t>
  </si>
  <si>
    <t>برای ماه منتهی به 1404/10/30</t>
  </si>
  <si>
    <t>طی دی ماه</t>
  </si>
  <si>
    <t>از ابتدای سال مالی تا پایان دی ماه</t>
  </si>
  <si>
    <t>سرمایه گذاری خوارزمی</t>
  </si>
  <si>
    <t>آلیاژ گستر هامون</t>
  </si>
  <si>
    <t>صنایع پتروشیمی کرمانشاه</t>
  </si>
  <si>
    <t>پتروشیمی خراسان</t>
  </si>
  <si>
    <t>آلومینیوم‌ایران‌</t>
  </si>
  <si>
    <t>گروه صنعتی درپاد تبریز</t>
  </si>
  <si>
    <t>پتروشیمی اروند</t>
  </si>
  <si>
    <t>1404/10/15</t>
  </si>
  <si>
    <t>حساب جاری بانک خاورمیانه مهستان</t>
  </si>
  <si>
    <t>سپرده کوتاه مدت بانک تجارت مطهری دریای نور</t>
  </si>
  <si>
    <t>حساب جاری بانک گردشگری سعادت آباد</t>
  </si>
  <si>
    <t>سپرده کوتاه مدت بانک خاورمیانه نیاوران</t>
  </si>
  <si>
    <t>1404/10/23</t>
  </si>
  <si>
    <t>1404/10/24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</si>
</sst>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_-* #,##0.00\-;_-* &quot;-&quot;??_-;_-@_-"/>
    <numFmt numFmtId="165" formatCode="_-* #,##0_-;_-* #,##0\-;_-* &quot;-&quot;??_-;_-@_-"/>
    <numFmt numFmtId="166" formatCode="#,##0_);\(#,##0\)\ "/>
    <numFmt numFmtId="167" formatCode="#,##0\ ;[Red]\(#,##0\);\-\ ;\ "/>
    <numFmt numFmtId="168" formatCode="#,##0_);[Red]\(#,##0\);\-\ ;"/>
    <numFmt numFmtId="169" formatCode="#,##0_ ;\-#,##0\ "/>
    <numFmt numFmtId="170" formatCode="0.0000%"/>
    <numFmt numFmtId="171" formatCode="#,##0\ ;[Black]\(#,##0\);\-\ ;\ "/>
    <numFmt numFmtId="172" formatCode="#,##0_);[Black]\(#,##0\);\-\ ;"/>
    <numFmt numFmtId="173" formatCode="&quot;$&quot;#,##0_);[Black]\(&quot;$&quot;#,##0\)"/>
    <numFmt numFmtId="174" formatCode="0.0%"/>
    <numFmt numFmtId="175" formatCode="_-* #,##0.00000_-;_-* #,##0.00000\-;_-* &quot;-&quot;??_-;_-@_-"/>
  </numFmts>
  <fonts count="55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11"/>
      <name val="Calibri"/>
      <family val="2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sz val="14"/>
      <name val="B Nazanin"/>
      <charset val="178"/>
    </font>
    <font>
      <b/>
      <sz val="16"/>
      <color theme="1"/>
      <name val="B Nazanin"/>
      <charset val="178"/>
    </font>
    <font>
      <sz val="16"/>
      <color theme="1"/>
      <name val="B Nazanin"/>
      <charset val="178"/>
    </font>
    <font>
      <sz val="14"/>
      <color rgb="FF000000"/>
      <name val="B Nazanin"/>
      <charset val="178"/>
    </font>
    <font>
      <sz val="14"/>
      <color theme="10"/>
      <name val="B Nazanin"/>
      <charset val="178"/>
    </font>
    <font>
      <b/>
      <sz val="14"/>
      <color rgb="FF0062AC"/>
      <name val="B Nazanin"/>
      <charset val="178"/>
    </font>
    <font>
      <b/>
      <sz val="14"/>
      <color rgb="FF000000"/>
      <name val="B Nazanin"/>
      <charset val="178"/>
    </font>
    <font>
      <u/>
      <sz val="14"/>
      <color theme="1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6"/>
      <color rgb="FF000000"/>
      <name val="B Nazanin"/>
      <charset val="178"/>
    </font>
    <font>
      <sz val="16"/>
      <color rgb="FF000000"/>
      <name val="B Nazanin"/>
      <charset val="178"/>
    </font>
    <font>
      <b/>
      <sz val="16"/>
      <color rgb="FF0062AC"/>
      <name val="B Nazanin"/>
      <charset val="178"/>
    </font>
    <font>
      <b/>
      <sz val="14"/>
      <color rgb="FF0070C0"/>
      <name val="B Nazanin"/>
      <charset val="178"/>
    </font>
    <font>
      <b/>
      <sz val="14"/>
      <color theme="4" tint="-0.249977111117893"/>
      <name val="B Nazanin"/>
      <charset val="178"/>
    </font>
    <font>
      <b/>
      <sz val="20"/>
      <color theme="1"/>
      <name val="B Nazanin"/>
      <charset val="178"/>
    </font>
    <font>
      <b/>
      <sz val="22"/>
      <color theme="1"/>
      <name val="B Nazanin"/>
      <charset val="178"/>
    </font>
    <font>
      <sz val="22"/>
      <color theme="1"/>
      <name val="B Nazanin"/>
      <charset val="178"/>
    </font>
    <font>
      <sz val="22"/>
      <name val="B Nazanin"/>
      <charset val="178"/>
    </font>
    <font>
      <sz val="16"/>
      <name val="B Nazanin"/>
      <charset val="178"/>
    </font>
    <font>
      <sz val="8"/>
      <name val="Calibri"/>
      <family val="2"/>
      <charset val="178"/>
      <scheme val="minor"/>
    </font>
    <font>
      <sz val="20"/>
      <color theme="1"/>
      <name val="B Nazanin"/>
      <charset val="178"/>
    </font>
    <font>
      <sz val="22"/>
      <color rgb="FFFF0000"/>
      <name val="B Nazanin"/>
      <charset val="178"/>
    </font>
    <font>
      <sz val="20"/>
      <color rgb="FF000000"/>
      <name val="B Nazanin"/>
      <charset val="178"/>
    </font>
    <font>
      <sz val="16"/>
      <color rgb="FFFF0000"/>
      <name val="B Nazanin"/>
      <charset val="178"/>
    </font>
    <font>
      <sz val="14"/>
      <color rgb="FF000000"/>
      <name val="Times New Roman"/>
      <family val="1"/>
    </font>
    <font>
      <b/>
      <sz val="16"/>
      <color theme="4" tint="-0.249977111117893"/>
      <name val="B Nazanin"/>
      <charset val="178"/>
    </font>
    <font>
      <b/>
      <sz val="18"/>
      <color theme="1"/>
      <name val="B Nazanin"/>
      <charset val="178"/>
    </font>
    <font>
      <sz val="18"/>
      <color theme="1"/>
      <name val="B Nazanin"/>
      <charset val="178"/>
    </font>
    <font>
      <b/>
      <sz val="18"/>
      <color rgb="FF0062AC"/>
      <name val="B Nazanin"/>
      <charset val="178"/>
    </font>
    <font>
      <sz val="18"/>
      <name val="B Nazanin"/>
      <charset val="178"/>
    </font>
    <font>
      <sz val="14"/>
      <color rgb="FFC00000"/>
      <name val="B Nazanin"/>
      <charset val="178"/>
    </font>
    <font>
      <sz val="16"/>
      <color rgb="FF92D050"/>
      <name val="B Nazanin"/>
      <charset val="178"/>
    </font>
    <font>
      <sz val="14"/>
      <color rgb="FF92D050"/>
      <name val="B Nazanin"/>
      <charset val="178"/>
    </font>
    <font>
      <b/>
      <sz val="14"/>
      <color rgb="FF92D050"/>
      <name val="B Nazanin"/>
      <charset val="178"/>
    </font>
    <font>
      <sz val="18"/>
      <color theme="1" tint="0.14999847407452621"/>
      <name val="B Nazanin"/>
      <charset val="178"/>
    </font>
    <font>
      <sz val="14"/>
      <color theme="1" tint="0.14999847407452621"/>
      <name val="B Nazanin"/>
      <charset val="178"/>
    </font>
    <font>
      <sz val="16"/>
      <color theme="1" tint="0.14999847407452621"/>
      <name val="B Nazanin"/>
      <charset val="178"/>
    </font>
    <font>
      <sz val="10"/>
      <color rgb="FF333333"/>
      <name val="IRANSans"/>
      <family val="2"/>
    </font>
    <font>
      <sz val="14"/>
      <color theme="2" tint="-0.249977111117893"/>
      <name val="B Nazanin"/>
      <charset val="178"/>
    </font>
    <font>
      <sz val="14"/>
      <color theme="2" tint="-0.749992370372631"/>
      <name val="B Nazanin"/>
      <charset val="178"/>
    </font>
    <font>
      <b/>
      <sz val="14"/>
      <color theme="2" tint="-0.749992370372631"/>
      <name val="B Nazanin"/>
      <charset val="178"/>
    </font>
    <font>
      <sz val="14"/>
      <color theme="2" tint="-0.89999084444715716"/>
      <name val="B Nazanin"/>
      <charset val="178"/>
    </font>
    <font>
      <sz val="16"/>
      <color theme="2" tint="-0.89999084444715716"/>
      <name val="B Nazanin"/>
      <charset val="178"/>
    </font>
    <font>
      <b/>
      <sz val="10"/>
      <color theme="1"/>
      <name val="IRANSans"/>
      <family val="2"/>
    </font>
    <font>
      <b/>
      <sz val="18"/>
      <color theme="2" tint="-0.249977111117893"/>
      <name val="B Nazanin"/>
      <charset val="178"/>
    </font>
    <font>
      <b/>
      <sz val="14"/>
      <color theme="2" tint="-0.249977111117893"/>
      <name val="B Nazanin"/>
      <charset val="178"/>
    </font>
    <font>
      <sz val="16"/>
      <color theme="2" tint="-0.249977111117893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" fillId="0" borderId="0"/>
  </cellStyleXfs>
  <cellXfs count="409">
    <xf numFmtId="0" fontId="0" fillId="0" borderId="0" xfId="0"/>
    <xf numFmtId="0" fontId="6" fillId="0" borderId="0" xfId="0" applyFont="1"/>
    <xf numFmtId="0" fontId="5" fillId="0" borderId="0" xfId="0" applyFont="1" applyAlignment="1">
      <alignment vertical="center" wrapText="1" readingOrder="2"/>
    </xf>
    <xf numFmtId="0" fontId="6" fillId="0" borderId="0" xfId="0" applyFont="1" applyAlignment="1">
      <alignment vertical="center" wrapText="1" readingOrder="2"/>
    </xf>
    <xf numFmtId="165" fontId="6" fillId="0" borderId="0" xfId="1" applyNumberFormat="1" applyFont="1"/>
    <xf numFmtId="0" fontId="6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8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1" applyNumberFormat="1" applyFont="1"/>
    <xf numFmtId="0" fontId="8" fillId="0" borderId="0" xfId="0" applyFont="1" applyAlignment="1">
      <alignment horizontal="center" wrapText="1"/>
    </xf>
    <xf numFmtId="165" fontId="6" fillId="0" borderId="0" xfId="1" applyNumberFormat="1" applyFont="1" applyBorder="1" applyAlignment="1">
      <alignment horizontal="center" readingOrder="2"/>
    </xf>
    <xf numFmtId="169" fontId="6" fillId="0" borderId="0" xfId="1" applyNumberFormat="1" applyFont="1" applyBorder="1" applyAlignment="1">
      <alignment horizontal="center"/>
    </xf>
    <xf numFmtId="169" fontId="6" fillId="0" borderId="0" xfId="1" applyNumberFormat="1" applyFont="1" applyAlignment="1">
      <alignment horizontal="center"/>
    </xf>
    <xf numFmtId="169" fontId="6" fillId="0" borderId="0" xfId="1" applyNumberFormat="1" applyFont="1" applyBorder="1" applyAlignment="1">
      <alignment horizontal="center" wrapText="1" readingOrder="2"/>
    </xf>
    <xf numFmtId="169" fontId="6" fillId="0" borderId="0" xfId="1" applyNumberFormat="1" applyFont="1" applyAlignment="1">
      <alignment horizontal="center" wrapText="1" readingOrder="2"/>
    </xf>
    <xf numFmtId="10" fontId="6" fillId="0" borderId="0" xfId="2" applyNumberFormat="1" applyFont="1" applyBorder="1" applyAlignment="1">
      <alignment horizontal="center" vertical="center" wrapText="1" readingOrder="2"/>
    </xf>
    <xf numFmtId="165" fontId="6" fillId="0" borderId="2" xfId="1" applyNumberFormat="1" applyFont="1" applyBorder="1" applyAlignment="1">
      <alignment horizontal="center" vertical="center" wrapText="1" readingOrder="2"/>
    </xf>
    <xf numFmtId="9" fontId="6" fillId="0" borderId="2" xfId="0" applyNumberFormat="1" applyFont="1" applyBorder="1" applyAlignment="1">
      <alignment horizontal="center" vertical="center" wrapText="1" readingOrder="2"/>
    </xf>
    <xf numFmtId="0" fontId="6" fillId="0" borderId="1" xfId="0" applyFont="1" applyBorder="1"/>
    <xf numFmtId="0" fontId="5" fillId="0" borderId="1" xfId="0" applyFont="1" applyBorder="1" applyAlignment="1">
      <alignment vertical="center" wrapText="1" readingOrder="2"/>
    </xf>
    <xf numFmtId="0" fontId="6" fillId="0" borderId="0" xfId="0" applyFont="1" applyAlignment="1">
      <alignment horizontal="right" vertical="center" wrapText="1" readingOrder="2"/>
    </xf>
    <xf numFmtId="0" fontId="6" fillId="0" borderId="2" xfId="0" applyFont="1" applyBorder="1" applyAlignment="1">
      <alignment horizontal="center" vertical="center" readingOrder="2"/>
    </xf>
    <xf numFmtId="168" fontId="10" fillId="0" borderId="0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vertical="center" readingOrder="2"/>
    </xf>
    <xf numFmtId="168" fontId="10" fillId="0" borderId="2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10" fontId="10" fillId="0" borderId="0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right" vertical="center" wrapText="1" readingOrder="2"/>
    </xf>
    <xf numFmtId="168" fontId="10" fillId="0" borderId="2" xfId="1" applyNumberFormat="1" applyFont="1" applyBorder="1" applyAlignment="1">
      <alignment horizontal="center" vertical="center" wrapText="1" readingOrder="2"/>
    </xf>
    <xf numFmtId="168" fontId="6" fillId="0" borderId="0" xfId="0" applyNumberFormat="1" applyFont="1" applyAlignment="1">
      <alignment vertical="center" wrapText="1"/>
    </xf>
    <xf numFmtId="10" fontId="10" fillId="0" borderId="2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 readingOrder="2"/>
    </xf>
    <xf numFmtId="168" fontId="10" fillId="0" borderId="0" xfId="1" applyNumberFormat="1" applyFont="1" applyBorder="1" applyAlignment="1">
      <alignment horizontal="center" vertical="center" wrapText="1" readingOrder="2"/>
    </xf>
    <xf numFmtId="10" fontId="6" fillId="0" borderId="0" xfId="2" applyNumberFormat="1" applyFont="1"/>
    <xf numFmtId="168" fontId="10" fillId="0" borderId="0" xfId="0" applyNumberFormat="1" applyFont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1" xfId="3" applyFont="1" applyBorder="1" applyAlignment="1">
      <alignment horizontal="center" vertical="center" wrapText="1" readingOrder="2"/>
    </xf>
    <xf numFmtId="172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wrapText="1" readingOrder="2"/>
    </xf>
    <xf numFmtId="172" fontId="6" fillId="0" borderId="0" xfId="0" applyNumberFormat="1" applyFont="1" applyAlignment="1">
      <alignment horizontal="center" vertical="center" readingOrder="2"/>
    </xf>
    <xf numFmtId="172" fontId="18" fillId="0" borderId="2" xfId="1" applyNumberFormat="1" applyFont="1" applyFill="1" applyBorder="1" applyAlignment="1">
      <alignment horizontal="center" vertical="center" wrapText="1" readingOrder="2"/>
    </xf>
    <xf numFmtId="172" fontId="10" fillId="0" borderId="0" xfId="1" applyNumberFormat="1" applyFont="1" applyAlignment="1">
      <alignment horizontal="center" vertical="center" wrapText="1" readingOrder="2"/>
    </xf>
    <xf numFmtId="172" fontId="10" fillId="0" borderId="2" xfId="1" applyNumberFormat="1" applyFont="1" applyBorder="1" applyAlignment="1">
      <alignment horizontal="center" vertical="center" wrapText="1" readingOrder="2"/>
    </xf>
    <xf numFmtId="172" fontId="6" fillId="0" borderId="5" xfId="0" applyNumberFormat="1" applyFont="1" applyBorder="1" applyAlignment="1">
      <alignment horizontal="center" vertical="center" readingOrder="2"/>
    </xf>
    <xf numFmtId="172" fontId="6" fillId="0" borderId="4" xfId="0" applyNumberFormat="1" applyFont="1" applyBorder="1" applyAlignment="1">
      <alignment horizontal="center" vertical="center" readingOrder="2"/>
    </xf>
    <xf numFmtId="173" fontId="6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readingOrder="2"/>
    </xf>
    <xf numFmtId="0" fontId="16" fillId="0" borderId="0" xfId="0" applyFont="1" applyAlignment="1">
      <alignment horizontal="right" indent="2"/>
    </xf>
    <xf numFmtId="3" fontId="20" fillId="0" borderId="0" xfId="0" applyNumberFormat="1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 readingOrder="2"/>
    </xf>
    <xf numFmtId="0" fontId="24" fillId="0" borderId="0" xfId="0" applyFont="1" applyAlignment="1">
      <alignment horizontal="center" vertical="center" wrapText="1" readingOrder="2"/>
    </xf>
    <xf numFmtId="0" fontId="24" fillId="0" borderId="3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/>
    </xf>
    <xf numFmtId="165" fontId="24" fillId="0" borderId="2" xfId="1" applyNumberFormat="1" applyFont="1" applyFill="1" applyBorder="1" applyAlignment="1">
      <alignment horizontal="center" vertical="center" readingOrder="2"/>
    </xf>
    <xf numFmtId="165" fontId="24" fillId="0" borderId="2" xfId="1" applyNumberFormat="1" applyFont="1" applyFill="1" applyBorder="1" applyAlignment="1">
      <alignment horizontal="center" vertical="center" wrapText="1" readingOrder="2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 readingOrder="2"/>
    </xf>
    <xf numFmtId="0" fontId="23" fillId="0" borderId="1" xfId="0" applyFont="1" applyBorder="1" applyAlignment="1">
      <alignment horizontal="center" vertical="center"/>
    </xf>
    <xf numFmtId="165" fontId="23" fillId="0" borderId="1" xfId="1" applyNumberFormat="1" applyFont="1" applyBorder="1" applyAlignment="1">
      <alignment horizontal="center" vertical="center"/>
    </xf>
    <xf numFmtId="165" fontId="24" fillId="0" borderId="0" xfId="1" applyNumberFormat="1" applyFont="1" applyFill="1" applyAlignment="1">
      <alignment horizontal="center" vertical="center" wrapText="1" readingOrder="2"/>
    </xf>
    <xf numFmtId="165" fontId="24" fillId="0" borderId="0" xfId="1" applyNumberFormat="1" applyFont="1" applyFill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 readingOrder="2"/>
    </xf>
    <xf numFmtId="168" fontId="24" fillId="0" borderId="3" xfId="0" applyNumberFormat="1" applyFont="1" applyBorder="1" applyAlignment="1">
      <alignment horizontal="center" vertical="center" readingOrder="2"/>
    </xf>
    <xf numFmtId="10" fontId="24" fillId="0" borderId="2" xfId="2" applyNumberFormat="1" applyFont="1" applyFill="1" applyBorder="1" applyAlignment="1">
      <alignment horizontal="center" vertical="center" readingOrder="2"/>
    </xf>
    <xf numFmtId="0" fontId="9" fillId="0" borderId="1" xfId="3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Alignment="1">
      <alignment vertical="center" wrapText="1"/>
    </xf>
    <xf numFmtId="165" fontId="10" fillId="0" borderId="0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Border="1" applyAlignment="1">
      <alignment horizontal="center" vertical="center"/>
    </xf>
    <xf numFmtId="172" fontId="10" fillId="0" borderId="2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/>
    <xf numFmtId="49" fontId="11" fillId="0" borderId="0" xfId="3" applyNumberFormat="1" applyFont="1" applyFill="1" applyAlignment="1">
      <alignment horizontal="center" vertical="center" readingOrder="2"/>
    </xf>
    <xf numFmtId="10" fontId="5" fillId="0" borderId="0" xfId="2" applyNumberFormat="1" applyFont="1" applyFill="1" applyAlignment="1">
      <alignment horizontal="center" vertical="center" readingOrder="2"/>
    </xf>
    <xf numFmtId="165" fontId="14" fillId="0" borderId="0" xfId="1" applyNumberFormat="1" applyFont="1" applyFill="1"/>
    <xf numFmtId="0" fontId="19" fillId="0" borderId="0" xfId="0" applyFont="1" applyAlignment="1">
      <alignment horizontal="right" vertical="center" indent="1" readingOrder="2"/>
    </xf>
    <xf numFmtId="172" fontId="30" fillId="0" borderId="2" xfId="1" applyNumberFormat="1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 readingOrder="2"/>
    </xf>
    <xf numFmtId="0" fontId="19" fillId="0" borderId="0" xfId="0" applyFont="1" applyAlignment="1">
      <alignment horizontal="right" vertical="center" indent="11" readingOrder="2"/>
    </xf>
    <xf numFmtId="172" fontId="30" fillId="0" borderId="0" xfId="1" applyNumberFormat="1" applyFont="1" applyFill="1" applyAlignment="1">
      <alignment horizontal="center" vertical="center" wrapText="1" readingOrder="2"/>
    </xf>
    <xf numFmtId="165" fontId="9" fillId="0" borderId="0" xfId="1" applyNumberFormat="1" applyFont="1" applyFill="1" applyAlignment="1">
      <alignment horizontal="center" vertical="center"/>
    </xf>
    <xf numFmtId="165" fontId="17" fillId="0" borderId="4" xfId="1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Border="1" applyAlignment="1">
      <alignment horizontal="center" vertical="center" readingOrder="2"/>
    </xf>
    <xf numFmtId="165" fontId="17" fillId="0" borderId="0" xfId="1" applyNumberFormat="1" applyFont="1" applyFill="1" applyBorder="1" applyAlignment="1">
      <alignment horizontal="center" vertical="center" wrapText="1" readingOrder="2"/>
    </xf>
    <xf numFmtId="168" fontId="9" fillId="0" borderId="0" xfId="3" applyNumberFormat="1" applyFont="1" applyFill="1" applyBorder="1" applyAlignment="1">
      <alignment horizontal="center" vertical="center" wrapText="1" readingOrder="2"/>
    </xf>
    <xf numFmtId="10" fontId="9" fillId="0" borderId="0" xfId="2" applyNumberFormat="1" applyFont="1" applyFill="1" applyBorder="1" applyAlignment="1">
      <alignment horizontal="center" vertical="center" wrapText="1" readingOrder="2"/>
    </xf>
    <xf numFmtId="9" fontId="18" fillId="0" borderId="2" xfId="2" applyFont="1" applyFill="1" applyBorder="1" applyAlignment="1">
      <alignment horizontal="center" vertical="center" wrapText="1" readingOrder="2"/>
    </xf>
    <xf numFmtId="164" fontId="6" fillId="0" borderId="0" xfId="1" applyFont="1" applyFill="1"/>
    <xf numFmtId="0" fontId="7" fillId="0" borderId="1" xfId="3" applyFont="1" applyFill="1" applyBorder="1" applyAlignment="1">
      <alignment horizontal="center" vertical="center" wrapText="1" readingOrder="2"/>
    </xf>
    <xf numFmtId="165" fontId="6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172" fontId="10" fillId="0" borderId="0" xfId="1" applyNumberFormat="1" applyFont="1" applyFill="1" applyAlignment="1">
      <alignment horizontal="center" vertical="center" wrapText="1" readingOrder="2"/>
    </xf>
    <xf numFmtId="168" fontId="10" fillId="0" borderId="0" xfId="1" applyNumberFormat="1" applyFont="1" applyFill="1" applyAlignment="1">
      <alignment horizontal="center" vertical="center" wrapText="1" readingOrder="2"/>
    </xf>
    <xf numFmtId="165" fontId="6" fillId="0" borderId="0" xfId="1" applyNumberFormat="1" applyFont="1" applyFill="1" applyAlignment="1">
      <alignment horizontal="center" vertical="center"/>
    </xf>
    <xf numFmtId="10" fontId="9" fillId="0" borderId="0" xfId="2" applyNumberFormat="1" applyFont="1" applyFill="1" applyBorder="1" applyAlignment="1">
      <alignment horizontal="center" vertical="center" readingOrder="2"/>
    </xf>
    <xf numFmtId="172" fontId="25" fillId="0" borderId="0" xfId="1" applyNumberFormat="1" applyFont="1" applyFill="1" applyAlignment="1">
      <alignment horizontal="center" vertical="center" wrapText="1" readingOrder="2"/>
    </xf>
    <xf numFmtId="165" fontId="30" fillId="0" borderId="0" xfId="1" applyNumberFormat="1" applyFont="1" applyFill="1" applyBorder="1" applyAlignment="1">
      <alignment horizontal="center" vertical="center" wrapText="1" readingOrder="2"/>
    </xf>
    <xf numFmtId="165" fontId="12" fillId="0" borderId="0" xfId="1" applyNumberFormat="1" applyFont="1" applyFill="1" applyAlignment="1">
      <alignment horizontal="center" vertical="center" readingOrder="2"/>
    </xf>
    <xf numFmtId="10" fontId="9" fillId="0" borderId="15" xfId="2" applyNumberFormat="1" applyFont="1" applyFill="1" applyBorder="1" applyAlignment="1">
      <alignment horizontal="center" vertical="center" readingOrder="2"/>
    </xf>
    <xf numFmtId="3" fontId="5" fillId="0" borderId="0" xfId="1" applyNumberFormat="1" applyFont="1" applyFill="1" applyAlignment="1">
      <alignment vertical="center" readingOrder="2"/>
    </xf>
    <xf numFmtId="165" fontId="6" fillId="0" borderId="1" xfId="1" applyNumberFormat="1" applyFont="1" applyFill="1" applyBorder="1"/>
    <xf numFmtId="10" fontId="6" fillId="0" borderId="2" xfId="2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Border="1" applyAlignment="1">
      <alignment vertical="center" readingOrder="2"/>
    </xf>
    <xf numFmtId="165" fontId="35" fillId="0" borderId="0" xfId="1" applyNumberFormat="1" applyFont="1" applyFill="1" applyAlignment="1">
      <alignment horizontal="center"/>
    </xf>
    <xf numFmtId="9" fontId="9" fillId="0" borderId="0" xfId="2" applyFont="1" applyFill="1" applyBorder="1" applyAlignment="1">
      <alignment horizontal="center" vertical="center" wrapText="1" readingOrder="2"/>
    </xf>
    <xf numFmtId="172" fontId="10" fillId="0" borderId="6" xfId="1" applyNumberFormat="1" applyFont="1" applyFill="1" applyBorder="1" applyAlignment="1">
      <alignment horizontal="center" vertical="center" wrapText="1" readingOrder="2"/>
    </xf>
    <xf numFmtId="9" fontId="10" fillId="0" borderId="0" xfId="2" applyFont="1" applyFill="1" applyAlignment="1">
      <alignment horizontal="center" vertical="center" wrapText="1" readingOrder="2"/>
    </xf>
    <xf numFmtId="9" fontId="10" fillId="0" borderId="2" xfId="2" applyFont="1" applyFill="1" applyBorder="1" applyAlignment="1">
      <alignment horizontal="center" vertical="center" wrapText="1" readingOrder="2"/>
    </xf>
    <xf numFmtId="165" fontId="35" fillId="0" borderId="6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 vertical="center" readingOrder="2"/>
    </xf>
    <xf numFmtId="0" fontId="34" fillId="0" borderId="0" xfId="0" applyFont="1" applyAlignment="1">
      <alignment horizontal="right" vertical="center" wrapText="1" readingOrder="2"/>
    </xf>
    <xf numFmtId="0" fontId="34" fillId="0" borderId="0" xfId="0" applyFont="1" applyAlignment="1">
      <alignment horizontal="center" vertical="center" wrapText="1" readingOrder="2"/>
    </xf>
    <xf numFmtId="0" fontId="35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12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172" fontId="35" fillId="0" borderId="0" xfId="0" applyNumberFormat="1" applyFont="1" applyAlignment="1">
      <alignment horizontal="center" vertical="center" readingOrder="2"/>
    </xf>
    <xf numFmtId="0" fontId="35" fillId="0" borderId="0" xfId="0" applyFont="1" applyAlignment="1">
      <alignment horizontal="center" vertical="center" readingOrder="2"/>
    </xf>
    <xf numFmtId="10" fontId="35" fillId="0" borderId="0" xfId="0" applyNumberFormat="1" applyFont="1" applyAlignment="1">
      <alignment horizontal="center" vertical="center" wrapText="1" readingOrder="2"/>
    </xf>
    <xf numFmtId="3" fontId="35" fillId="0" borderId="0" xfId="0" applyNumberFormat="1" applyFont="1" applyAlignment="1">
      <alignment horizontal="center"/>
    </xf>
    <xf numFmtId="4" fontId="35" fillId="0" borderId="0" xfId="0" applyNumberFormat="1" applyFont="1" applyAlignment="1">
      <alignment horizontal="center"/>
    </xf>
    <xf numFmtId="172" fontId="35" fillId="0" borderId="0" xfId="0" applyNumberFormat="1" applyFont="1" applyAlignment="1">
      <alignment horizontal="center" vertical="center" wrapText="1" readingOrder="2"/>
    </xf>
    <xf numFmtId="10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right"/>
    </xf>
    <xf numFmtId="165" fontId="35" fillId="0" borderId="0" xfId="0" applyNumberFormat="1" applyFont="1" applyAlignment="1">
      <alignment horizontal="center"/>
    </xf>
    <xf numFmtId="43" fontId="35" fillId="0" borderId="0" xfId="0" applyNumberFormat="1" applyFont="1" applyAlignment="1">
      <alignment horizontal="center"/>
    </xf>
    <xf numFmtId="9" fontId="35" fillId="0" borderId="0" xfId="0" applyNumberFormat="1" applyFont="1" applyAlignment="1">
      <alignment horizontal="center"/>
    </xf>
    <xf numFmtId="0" fontId="13" fillId="0" borderId="0" xfId="0" applyFont="1" applyAlignment="1">
      <alignment vertical="center" wrapText="1" readingOrder="2"/>
    </xf>
    <xf numFmtId="168" fontId="6" fillId="0" borderId="0" xfId="0" applyNumberFormat="1" applyFont="1" applyAlignment="1">
      <alignment horizontal="center" vertical="center" readingOrder="2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8" fontId="6" fillId="0" borderId="6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/>
    </xf>
    <xf numFmtId="0" fontId="6" fillId="0" borderId="7" xfId="0" applyFont="1" applyBorder="1"/>
    <xf numFmtId="165" fontId="6" fillId="0" borderId="0" xfId="0" applyNumberFormat="1" applyFont="1"/>
    <xf numFmtId="168" fontId="6" fillId="0" borderId="0" xfId="0" applyNumberFormat="1" applyFont="1"/>
    <xf numFmtId="0" fontId="12" fillId="0" borderId="0" xfId="0" applyFont="1" applyAlignment="1">
      <alignment horizontal="center" vertical="center" readingOrder="2"/>
    </xf>
    <xf numFmtId="172" fontId="6" fillId="0" borderId="0" xfId="0" applyNumberFormat="1" applyFont="1"/>
    <xf numFmtId="0" fontId="7" fillId="0" borderId="0" xfId="0" applyFont="1" applyAlignment="1">
      <alignment horizontal="right" indent="1"/>
    </xf>
    <xf numFmtId="0" fontId="7" fillId="0" borderId="0" xfId="0" applyFont="1" applyAlignment="1">
      <alignment horizontal="right" vertical="center" indent="1"/>
    </xf>
    <xf numFmtId="172" fontId="6" fillId="0" borderId="6" xfId="0" applyNumberFormat="1" applyFont="1" applyBorder="1" applyAlignment="1">
      <alignment horizontal="center" vertical="center" readingOrder="2"/>
    </xf>
    <xf numFmtId="0" fontId="15" fillId="0" borderId="0" xfId="0" applyFont="1"/>
    <xf numFmtId="3" fontId="6" fillId="0" borderId="6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72" fontId="25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 indent="1"/>
    </xf>
    <xf numFmtId="0" fontId="26" fillId="0" borderId="0" xfId="0" applyFont="1" applyAlignment="1">
      <alignment horizontal="center" vertical="center"/>
    </xf>
    <xf numFmtId="168" fontId="9" fillId="0" borderId="15" xfId="0" applyNumberFormat="1" applyFont="1" applyBorder="1" applyAlignment="1">
      <alignment horizontal="center" vertical="center" readingOrder="2"/>
    </xf>
    <xf numFmtId="172" fontId="9" fillId="0" borderId="0" xfId="0" applyNumberFormat="1" applyFont="1" applyAlignment="1">
      <alignment horizontal="center" vertical="center" readingOrder="2"/>
    </xf>
    <xf numFmtId="168" fontId="9" fillId="0" borderId="0" xfId="0" applyNumberFormat="1" applyFont="1" applyAlignment="1">
      <alignment horizontal="center" vertical="center" readingOrder="2"/>
    </xf>
    <xf numFmtId="0" fontId="9" fillId="0" borderId="0" xfId="0" applyFont="1" applyAlignment="1">
      <alignment horizontal="center" vertical="center" wrapText="1"/>
    </xf>
    <xf numFmtId="172" fontId="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  <xf numFmtId="167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172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37" fontId="9" fillId="0" borderId="15" xfId="0" applyNumberFormat="1" applyFont="1" applyBorder="1" applyAlignment="1">
      <alignment horizontal="center" vertical="center" readingOrder="2"/>
    </xf>
    <xf numFmtId="37" fontId="9" fillId="0" borderId="0" xfId="0" applyNumberFormat="1" applyFont="1" applyAlignment="1">
      <alignment horizontal="center" vertical="center" readingOrder="2"/>
    </xf>
    <xf numFmtId="3" fontId="39" fillId="0" borderId="0" xfId="0" applyNumberFormat="1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3" fillId="0" borderId="0" xfId="0" applyNumberFormat="1" applyFont="1" applyAlignment="1">
      <alignment horizontal="center" vertical="center" wrapText="1"/>
    </xf>
    <xf numFmtId="3" fontId="10" fillId="0" borderId="0" xfId="0" applyNumberFormat="1" applyFont="1"/>
    <xf numFmtId="0" fontId="5" fillId="0" borderId="0" xfId="0" applyFont="1" applyAlignment="1">
      <alignment horizontal="right" vertical="center" readingOrder="2"/>
    </xf>
    <xf numFmtId="167" fontId="13" fillId="0" borderId="0" xfId="0" applyNumberFormat="1" applyFont="1" applyAlignment="1">
      <alignment horizontal="center" vertical="center" wrapText="1" readingOrder="2"/>
    </xf>
    <xf numFmtId="3" fontId="21" fillId="0" borderId="0" xfId="0" applyNumberFormat="1" applyFont="1"/>
    <xf numFmtId="0" fontId="14" fillId="0" borderId="0" xfId="0" applyFont="1"/>
    <xf numFmtId="171" fontId="13" fillId="0" borderId="2" xfId="0" applyNumberFormat="1" applyFont="1" applyBorder="1" applyAlignment="1">
      <alignment horizontal="center" vertical="center" wrapText="1" readingOrder="2"/>
    </xf>
    <xf numFmtId="10" fontId="5" fillId="0" borderId="2" xfId="0" applyNumberFormat="1" applyFont="1" applyBorder="1" applyAlignment="1">
      <alignment horizontal="center" vertical="center" readingOrder="1"/>
    </xf>
    <xf numFmtId="10" fontId="5" fillId="0" borderId="2" xfId="0" applyNumberFormat="1" applyFont="1" applyBorder="1" applyAlignment="1">
      <alignment horizontal="center" vertical="center" readingOrder="2"/>
    </xf>
    <xf numFmtId="171" fontId="6" fillId="0" borderId="0" xfId="0" applyNumberFormat="1" applyFont="1"/>
    <xf numFmtId="167" fontId="6" fillId="0" borderId="0" xfId="0" applyNumberFormat="1" applyFont="1"/>
    <xf numFmtId="0" fontId="6" fillId="0" borderId="1" xfId="0" applyFont="1" applyBorder="1" applyAlignment="1">
      <alignment vertical="center" wrapText="1" readingOrder="2"/>
    </xf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68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vertical="center" wrapText="1"/>
    </xf>
    <xf numFmtId="174" fontId="9" fillId="0" borderId="15" xfId="2" applyNumberFormat="1" applyFont="1" applyFill="1" applyBorder="1" applyAlignment="1">
      <alignment horizontal="center" vertical="center" readingOrder="2"/>
    </xf>
    <xf numFmtId="0" fontId="9" fillId="0" borderId="0" xfId="0" applyFont="1"/>
    <xf numFmtId="0" fontId="17" fillId="0" borderId="1" xfId="0" applyFont="1" applyBorder="1" applyAlignment="1">
      <alignment horizontal="right" vertical="center" wrapText="1" readingOrder="2"/>
    </xf>
    <xf numFmtId="0" fontId="17" fillId="0" borderId="0" xfId="0" applyFont="1" applyAlignment="1">
      <alignment vertical="center" wrapText="1" readingOrder="2"/>
    </xf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 readingOrder="2"/>
    </xf>
    <xf numFmtId="168" fontId="18" fillId="0" borderId="6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/>
    <xf numFmtId="3" fontId="41" fillId="0" borderId="0" xfId="0" applyNumberFormat="1" applyFont="1"/>
    <xf numFmtId="3" fontId="40" fillId="0" borderId="0" xfId="0" applyNumberFormat="1" applyFont="1"/>
    <xf numFmtId="0" fontId="32" fillId="3" borderId="14" xfId="0" applyFont="1" applyFill="1" applyBorder="1" applyAlignment="1">
      <alignment horizontal="left" vertical="center" wrapText="1" shrinkToFit="1" readingOrder="2"/>
    </xf>
    <xf numFmtId="49" fontId="32" fillId="3" borderId="14" xfId="0" applyNumberFormat="1" applyFont="1" applyFill="1" applyBorder="1" applyAlignment="1">
      <alignment horizontal="right" vertical="center" wrapText="1" shrinkToFit="1" readingOrder="2"/>
    </xf>
    <xf numFmtId="0" fontId="32" fillId="3" borderId="14" xfId="0" applyFont="1" applyFill="1" applyBorder="1" applyAlignment="1">
      <alignment horizontal="right" vertical="center" wrapText="1" shrinkToFit="1" readingOrder="2"/>
    </xf>
    <xf numFmtId="3" fontId="32" fillId="3" borderId="14" xfId="0" applyNumberFormat="1" applyFont="1" applyFill="1" applyBorder="1" applyAlignment="1">
      <alignment horizontal="left" vertical="center" wrapText="1" shrinkToFit="1" readingOrder="2"/>
    </xf>
    <xf numFmtId="3" fontId="28" fillId="0" borderId="0" xfId="0" applyNumberFormat="1" applyFont="1" applyAlignment="1">
      <alignment horizontal="center" vertical="center"/>
    </xf>
    <xf numFmtId="172" fontId="30" fillId="4" borderId="0" xfId="1" applyNumberFormat="1" applyFont="1" applyFill="1" applyAlignment="1">
      <alignment horizontal="center" vertical="center" wrapText="1" readingOrder="2"/>
    </xf>
    <xf numFmtId="165" fontId="6" fillId="0" borderId="0" xfId="1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 wrapText="1"/>
    </xf>
    <xf numFmtId="172" fontId="10" fillId="0" borderId="0" xfId="1" applyNumberFormat="1" applyFont="1" applyFill="1" applyBorder="1" applyAlignment="1">
      <alignment horizontal="center" vertical="center" wrapText="1" readingOrder="2"/>
    </xf>
    <xf numFmtId="0" fontId="42" fillId="0" borderId="0" xfId="0" applyFont="1" applyAlignment="1">
      <alignment horizontal="center"/>
    </xf>
    <xf numFmtId="3" fontId="42" fillId="0" borderId="0" xfId="0" applyNumberFormat="1" applyFont="1" applyAlignment="1">
      <alignment horizontal="center"/>
    </xf>
    <xf numFmtId="0" fontId="43" fillId="0" borderId="0" xfId="0" applyFont="1"/>
    <xf numFmtId="0" fontId="44" fillId="0" borderId="0" xfId="0" applyFont="1" applyAlignment="1">
      <alignment horizontal="center" vertical="center"/>
    </xf>
    <xf numFmtId="172" fontId="44" fillId="0" borderId="0" xfId="0" applyNumberFormat="1" applyFont="1" applyAlignment="1">
      <alignment horizontal="center" vertical="center" readingOrder="2"/>
    </xf>
    <xf numFmtId="165" fontId="44" fillId="0" borderId="0" xfId="0" applyNumberFormat="1" applyFont="1" applyAlignment="1">
      <alignment horizontal="center" vertical="center"/>
    </xf>
    <xf numFmtId="165" fontId="44" fillId="0" borderId="0" xfId="1" applyNumberFormat="1" applyFont="1" applyFill="1" applyAlignment="1">
      <alignment horizontal="center" vertical="center"/>
    </xf>
    <xf numFmtId="0" fontId="40" fillId="0" borderId="0" xfId="0" applyFont="1"/>
    <xf numFmtId="165" fontId="40" fillId="0" borderId="0" xfId="0" applyNumberFormat="1" applyFont="1"/>
    <xf numFmtId="168" fontId="40" fillId="0" borderId="0" xfId="0" applyNumberFormat="1" applyFont="1"/>
    <xf numFmtId="3" fontId="39" fillId="0" borderId="0" xfId="0" applyNumberFormat="1" applyFont="1"/>
    <xf numFmtId="168" fontId="39" fillId="0" borderId="0" xfId="0" applyNumberFormat="1" applyFont="1" applyAlignment="1">
      <alignment horizontal="center" vertical="center" readingOrder="2"/>
    </xf>
    <xf numFmtId="0" fontId="9" fillId="0" borderId="0" xfId="0" applyFont="1" applyAlignment="1">
      <alignment horizontal="right" vertical="center" indent="1"/>
    </xf>
    <xf numFmtId="0" fontId="9" fillId="0" borderId="1" xfId="0" applyFont="1" applyBorder="1" applyAlignment="1">
      <alignment horizontal="right" vertical="center" indent="1"/>
    </xf>
    <xf numFmtId="3" fontId="45" fillId="0" borderId="0" xfId="0" applyNumberFormat="1" applyFont="1"/>
    <xf numFmtId="168" fontId="9" fillId="0" borderId="0" xfId="0" applyNumberFormat="1" applyFont="1"/>
    <xf numFmtId="172" fontId="39" fillId="0" borderId="0" xfId="0" applyNumberFormat="1" applyFont="1" applyAlignment="1">
      <alignment horizontal="center" vertical="center" readingOrder="2"/>
    </xf>
    <xf numFmtId="172" fontId="9" fillId="0" borderId="0" xfId="1" applyNumberFormat="1" applyFont="1" applyFill="1" applyBorder="1" applyAlignment="1">
      <alignment horizontal="center" vertical="center" wrapText="1" readingOrder="2"/>
    </xf>
    <xf numFmtId="171" fontId="13" fillId="0" borderId="0" xfId="0" applyNumberFormat="1" applyFont="1" applyAlignment="1">
      <alignment horizontal="center" vertical="center" wrapText="1" readingOrder="2"/>
    </xf>
    <xf numFmtId="10" fontId="43" fillId="0" borderId="0" xfId="0" applyNumberFormat="1" applyFont="1" applyAlignment="1">
      <alignment horizontal="center"/>
    </xf>
    <xf numFmtId="10" fontId="35" fillId="0" borderId="0" xfId="2" applyNumberFormat="1" applyFont="1" applyFill="1" applyBorder="1" applyAlignment="1">
      <alignment horizontal="center" vertical="center" wrapText="1" readingOrder="2"/>
    </xf>
    <xf numFmtId="3" fontId="8" fillId="0" borderId="0" xfId="0" applyNumberFormat="1" applyFont="1" applyAlignment="1">
      <alignment horizontal="center" vertical="center"/>
    </xf>
    <xf numFmtId="165" fontId="34" fillId="0" borderId="0" xfId="0" applyNumberFormat="1" applyFont="1" applyAlignment="1">
      <alignment horizontal="center"/>
    </xf>
    <xf numFmtId="165" fontId="34" fillId="2" borderId="0" xfId="1" applyNumberFormat="1" applyFont="1" applyFill="1" applyAlignment="1">
      <alignment horizontal="center"/>
    </xf>
    <xf numFmtId="3" fontId="34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46" fillId="0" borderId="0" xfId="0" applyFont="1"/>
    <xf numFmtId="3" fontId="46" fillId="0" borderId="0" xfId="0" applyNumberFormat="1" applyFont="1"/>
    <xf numFmtId="164" fontId="40" fillId="0" borderId="0" xfId="1" applyFont="1" applyFill="1"/>
    <xf numFmtId="164" fontId="40" fillId="0" borderId="0" xfId="1" applyFont="1"/>
    <xf numFmtId="9" fontId="35" fillId="0" borderId="6" xfId="2" applyFont="1" applyFill="1" applyBorder="1" applyAlignment="1">
      <alignment horizontal="center" vertical="center" wrapText="1" readingOrder="2"/>
    </xf>
    <xf numFmtId="9" fontId="35" fillId="0" borderId="0" xfId="2" applyFont="1" applyAlignment="1">
      <alignment horizontal="center" vertical="center" readingOrder="2"/>
    </xf>
    <xf numFmtId="0" fontId="47" fillId="0" borderId="0" xfId="0" applyFont="1"/>
    <xf numFmtId="0" fontId="48" fillId="0" borderId="0" xfId="0" applyFont="1" applyAlignment="1">
      <alignment vertical="center" readingOrder="2"/>
    </xf>
    <xf numFmtId="165" fontId="40" fillId="0" borderId="0" xfId="1" applyNumberFormat="1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165" fontId="40" fillId="6" borderId="0" xfId="1" applyNumberFormat="1" applyFont="1" applyFill="1" applyAlignment="1">
      <alignment horizontal="center" vertical="center"/>
    </xf>
    <xf numFmtId="172" fontId="39" fillId="0" borderId="0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/>
    </xf>
    <xf numFmtId="3" fontId="35" fillId="2" borderId="0" xfId="0" applyNumberFormat="1" applyFont="1" applyFill="1" applyAlignment="1">
      <alignment horizontal="center"/>
    </xf>
    <xf numFmtId="172" fontId="9" fillId="0" borderId="0" xfId="0" applyNumberFormat="1" applyFont="1" applyAlignment="1">
      <alignment horizontal="center" vertical="center" wrapText="1"/>
    </xf>
    <xf numFmtId="175" fontId="35" fillId="0" borderId="0" xfId="1" applyNumberFormat="1" applyFont="1" applyFill="1" applyAlignment="1">
      <alignment horizontal="center"/>
    </xf>
    <xf numFmtId="0" fontId="49" fillId="0" borderId="0" xfId="0" applyFont="1"/>
    <xf numFmtId="165" fontId="50" fillId="0" borderId="0" xfId="1" applyNumberFormat="1" applyFont="1" applyFill="1" applyAlignment="1">
      <alignment horizontal="center" vertical="center"/>
    </xf>
    <xf numFmtId="165" fontId="5" fillId="0" borderId="0" xfId="1" applyNumberFormat="1" applyFont="1" applyFill="1" applyAlignment="1">
      <alignment horizontal="center" vertical="center"/>
    </xf>
    <xf numFmtId="165" fontId="6" fillId="4" borderId="0" xfId="1" applyNumberFormat="1" applyFont="1" applyFill="1"/>
    <xf numFmtId="172" fontId="3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indent="1"/>
    </xf>
    <xf numFmtId="172" fontId="35" fillId="0" borderId="15" xfId="0" applyNumberFormat="1" applyFont="1" applyBorder="1" applyAlignment="1">
      <alignment horizontal="center" vertical="center" readingOrder="2"/>
    </xf>
    <xf numFmtId="10" fontId="18" fillId="0" borderId="2" xfId="2" applyNumberFormat="1" applyFont="1" applyFill="1" applyBorder="1" applyAlignment="1">
      <alignment horizontal="center" vertical="center" wrapText="1" readingOrder="2"/>
    </xf>
    <xf numFmtId="3" fontId="51" fillId="0" borderId="0" xfId="0" applyNumberFormat="1" applyFont="1"/>
    <xf numFmtId="165" fontId="6" fillId="2" borderId="0" xfId="1" applyNumberFormat="1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19" fillId="0" borderId="0" xfId="0" applyFont="1" applyAlignment="1">
      <alignment horizontal="right" vertical="center" readingOrder="2"/>
    </xf>
    <xf numFmtId="0" fontId="34" fillId="0" borderId="0" xfId="0" applyFont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wrapText="1" readingOrder="2"/>
    </xf>
    <xf numFmtId="0" fontId="35" fillId="0" borderId="13" xfId="0" applyFont="1" applyBorder="1" applyAlignment="1">
      <alignment horizontal="center" vertical="center" wrapText="1" readingOrder="2"/>
    </xf>
    <xf numFmtId="0" fontId="35" fillId="0" borderId="10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center" vertical="center"/>
    </xf>
    <xf numFmtId="0" fontId="35" fillId="0" borderId="11" xfId="0" applyFont="1" applyBorder="1" applyAlignment="1">
      <alignment horizontal="center" vertical="center" wrapText="1" readingOrder="2"/>
    </xf>
    <xf numFmtId="0" fontId="35" fillId="0" borderId="9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/>
    </xf>
    <xf numFmtId="165" fontId="35" fillId="0" borderId="12" xfId="1" applyNumberFormat="1" applyFont="1" applyFill="1" applyBorder="1" applyAlignment="1">
      <alignment horizontal="center" vertical="center" readingOrder="2"/>
    </xf>
    <xf numFmtId="165" fontId="35" fillId="0" borderId="8" xfId="1" applyNumberFormat="1" applyFont="1" applyFill="1" applyBorder="1" applyAlignment="1">
      <alignment horizontal="center" vertical="center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readingOrder="2"/>
    </xf>
    <xf numFmtId="0" fontId="36" fillId="0" borderId="0" xfId="0" applyFont="1" applyAlignment="1">
      <alignment horizontal="right" vertical="center" readingOrder="2"/>
    </xf>
    <xf numFmtId="0" fontId="3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readingOrder="2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23" fillId="0" borderId="3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readingOrder="2"/>
    </xf>
    <xf numFmtId="0" fontId="23" fillId="0" borderId="1" xfId="0" applyFont="1" applyBorder="1" applyAlignment="1">
      <alignment horizontal="center" vertical="center" readingOrder="2"/>
    </xf>
    <xf numFmtId="0" fontId="23" fillId="0" borderId="0" xfId="0" applyFont="1" applyAlignment="1">
      <alignment horizontal="center" vertical="center" wrapText="1" readingOrder="2"/>
    </xf>
    <xf numFmtId="165" fontId="23" fillId="0" borderId="3" xfId="1" applyNumberFormat="1" applyFont="1" applyBorder="1" applyAlignment="1">
      <alignment horizontal="center" vertical="center" wrapText="1" readingOrder="2"/>
    </xf>
    <xf numFmtId="165" fontId="23" fillId="0" borderId="1" xfId="1" applyNumberFormat="1" applyFont="1" applyBorder="1" applyAlignment="1">
      <alignment horizontal="center" vertical="center" wrapText="1" readingOrder="2"/>
    </xf>
    <xf numFmtId="0" fontId="23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indent="4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0" xfId="0" applyFont="1" applyAlignment="1">
      <alignment horizontal="right" vertical="center" wrapText="1" indent="4" readingOrder="2"/>
    </xf>
    <xf numFmtId="0" fontId="6" fillId="0" borderId="1" xfId="0" applyFont="1" applyBorder="1" applyAlignment="1">
      <alignment horizontal="right" vertical="center" wrapText="1" indent="4" readingOrder="2"/>
    </xf>
    <xf numFmtId="165" fontId="6" fillId="0" borderId="3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 readingOrder="2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19" fillId="0" borderId="0" xfId="0" applyFont="1" applyAlignment="1">
      <alignment horizontal="right" vertical="center" indent="1" readingOrder="2"/>
    </xf>
    <xf numFmtId="0" fontId="9" fillId="0" borderId="3" xfId="0" applyFont="1" applyBorder="1" applyAlignment="1">
      <alignment horizontal="center" vertical="center" wrapText="1"/>
    </xf>
    <xf numFmtId="165" fontId="13" fillId="0" borderId="1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5" fillId="0" borderId="0" xfId="1" applyNumberFormat="1" applyFont="1" applyFill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indent="1" readingOrder="2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 readingOrder="2"/>
    </xf>
    <xf numFmtId="0" fontId="13" fillId="0" borderId="3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49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right" vertical="center" indent="2" readingOrder="2"/>
    </xf>
    <xf numFmtId="0" fontId="6" fillId="0" borderId="3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/>
    </xf>
    <xf numFmtId="3" fontId="52" fillId="0" borderId="0" xfId="0" applyNumberFormat="1" applyFont="1" applyAlignment="1">
      <alignment horizontal="center" wrapText="1"/>
    </xf>
    <xf numFmtId="3" fontId="53" fillId="7" borderId="0" xfId="0" applyNumberFormat="1" applyFont="1" applyFill="1"/>
    <xf numFmtId="165" fontId="54" fillId="5" borderId="0" xfId="1" applyNumberFormat="1" applyFont="1" applyFill="1" applyAlignment="1">
      <alignment horizontal="center" vertical="center"/>
    </xf>
    <xf numFmtId="0" fontId="53" fillId="0" borderId="0" xfId="0" applyFont="1" applyAlignment="1">
      <alignment vertical="center" readingOrder="2"/>
    </xf>
    <xf numFmtId="172" fontId="54" fillId="0" borderId="0" xfId="0" applyNumberFormat="1" applyFont="1" applyAlignment="1">
      <alignment horizontal="center" vertical="center" readingOrder="2"/>
    </xf>
    <xf numFmtId="165" fontId="54" fillId="0" borderId="0" xfId="1" applyNumberFormat="1" applyFont="1" applyFill="1" applyAlignment="1">
      <alignment horizontal="center" vertical="center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3" xfId="5" xr:uid="{23A15493-215C-443C-8E6F-2BB3F9E50FDC}"/>
    <cellStyle name="Percent" xfId="2" builtinId="5"/>
  </cellStyles>
  <dxfs count="0"/>
  <tableStyles count="0" defaultTableStyle="TableStyleMedium2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AH129"/>
  <sheetViews>
    <sheetView rightToLeft="1" tabSelected="1" view="pageBreakPreview" zoomScale="60" zoomScaleNormal="40" zoomScalePageLayoutView="10" workbookViewId="0">
      <selection activeCell="T82" sqref="T82"/>
    </sheetView>
  </sheetViews>
  <sheetFormatPr defaultColWidth="9.140625" defaultRowHeight="27.75" x14ac:dyDescent="0.65"/>
  <cols>
    <col min="1" max="1" width="3.7109375" style="137" customWidth="1"/>
    <col min="2" max="2" width="39.140625" style="157" customWidth="1"/>
    <col min="3" max="3" width="0.7109375" style="137" customWidth="1"/>
    <col min="4" max="4" width="21.5703125" style="137" bestFit="1" customWidth="1"/>
    <col min="5" max="5" width="0.7109375" style="137" customWidth="1"/>
    <col min="6" max="6" width="28" style="126" customWidth="1"/>
    <col min="7" max="7" width="0.85546875" style="137" customWidth="1"/>
    <col min="8" max="8" width="29.7109375" style="137" bestFit="1" customWidth="1"/>
    <col min="9" max="9" width="30.140625" style="137" hidden="1" customWidth="1"/>
    <col min="10" max="10" width="19.28515625" style="137" bestFit="1" customWidth="1"/>
    <col min="11" max="11" width="1" style="137" customWidth="1"/>
    <col min="12" max="12" width="27.28515625" style="137" bestFit="1" customWidth="1"/>
    <col min="13" max="13" width="1.28515625" style="137" customWidth="1"/>
    <col min="14" max="14" width="20.42578125" style="137" bestFit="1" customWidth="1"/>
    <col min="15" max="15" width="1" style="137" customWidth="1"/>
    <col min="16" max="16" width="27.42578125" style="137" bestFit="1" customWidth="1"/>
    <col min="17" max="17" width="0.7109375" style="137" customWidth="1"/>
    <col min="18" max="18" width="22.7109375" style="126" bestFit="1" customWidth="1"/>
    <col min="19" max="19" width="1" style="137" customWidth="1"/>
    <col min="20" max="20" width="18.140625" style="137" customWidth="1"/>
    <col min="21" max="21" width="1.5703125" style="137" customWidth="1"/>
    <col min="22" max="22" width="27.5703125" style="126" bestFit="1" customWidth="1"/>
    <col min="23" max="23" width="1.42578125" style="137" customWidth="1"/>
    <col min="24" max="24" width="29.7109375" style="137" bestFit="1" customWidth="1"/>
    <col min="25" max="25" width="1.28515625" style="137" customWidth="1"/>
    <col min="26" max="26" width="29.7109375" style="137" bestFit="1" customWidth="1"/>
    <col min="27" max="27" width="7.28515625" style="137" customWidth="1"/>
    <col min="28" max="28" width="9.140625" style="137"/>
    <col min="29" max="29" width="39.42578125" style="137" bestFit="1" customWidth="1"/>
    <col min="30" max="30" width="12.140625" style="137" bestFit="1" customWidth="1"/>
    <col min="31" max="32" width="30" style="137" bestFit="1" customWidth="1"/>
    <col min="33" max="33" width="12.28515625" style="137" bestFit="1" customWidth="1"/>
    <col min="34" max="16384" width="9.140625" style="137"/>
  </cols>
  <sheetData>
    <row r="1" spans="2:34" ht="30" x14ac:dyDescent="0.75">
      <c r="B1" s="324" t="s">
        <v>103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136"/>
    </row>
    <row r="2" spans="2:34" ht="30" x14ac:dyDescent="0.75">
      <c r="B2" s="324" t="s">
        <v>81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136"/>
      <c r="AC2" s="262"/>
    </row>
    <row r="3" spans="2:34" ht="30" x14ac:dyDescent="0.75">
      <c r="B3" s="324" t="str">
        <f>AC6</f>
        <v>برای ماه منتهی به 1404/10/30</v>
      </c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136"/>
      <c r="AC3" s="262"/>
    </row>
    <row r="4" spans="2:34" ht="36.75" customHeight="1" x14ac:dyDescent="0.65">
      <c r="B4" s="332" t="s">
        <v>37</v>
      </c>
      <c r="C4" s="332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138"/>
      <c r="AC4" s="262" t="s">
        <v>257</v>
      </c>
    </row>
    <row r="5" spans="2:34" ht="30" x14ac:dyDescent="0.65">
      <c r="B5" s="332" t="s">
        <v>38</v>
      </c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  <c r="AA5" s="138"/>
      <c r="AC5" s="262" t="s">
        <v>268</v>
      </c>
    </row>
    <row r="6" spans="2:34" ht="30" x14ac:dyDescent="0.65">
      <c r="B6" s="139"/>
      <c r="C6" s="140"/>
      <c r="D6" s="319" t="str">
        <f>AC4</f>
        <v>1404/09/30</v>
      </c>
      <c r="E6" s="319"/>
      <c r="F6" s="319"/>
      <c r="G6" s="319"/>
      <c r="H6" s="319"/>
      <c r="I6" s="140"/>
      <c r="J6" s="333" t="s">
        <v>16</v>
      </c>
      <c r="K6" s="333"/>
      <c r="L6" s="333"/>
      <c r="M6" s="333"/>
      <c r="N6" s="333"/>
      <c r="O6" s="333"/>
      <c r="P6" s="333"/>
      <c r="Q6" s="141"/>
      <c r="R6" s="319" t="str">
        <f>AC5</f>
        <v>1404/10/30</v>
      </c>
      <c r="S6" s="319"/>
      <c r="T6" s="319"/>
      <c r="U6" s="319"/>
      <c r="V6" s="319"/>
      <c r="W6" s="319"/>
      <c r="X6" s="319"/>
      <c r="Y6" s="319"/>
      <c r="Z6" s="319"/>
      <c r="AA6" s="140"/>
      <c r="AC6" s="262" t="s">
        <v>269</v>
      </c>
    </row>
    <row r="7" spans="2:34" x14ac:dyDescent="0.65">
      <c r="B7" s="325" t="s">
        <v>5</v>
      </c>
      <c r="C7" s="142"/>
      <c r="D7" s="330" t="s">
        <v>8</v>
      </c>
      <c r="E7" s="320"/>
      <c r="F7" s="328" t="s">
        <v>3</v>
      </c>
      <c r="G7" s="320"/>
      <c r="H7" s="320" t="s">
        <v>32</v>
      </c>
      <c r="I7" s="143"/>
      <c r="J7" s="327" t="s">
        <v>9</v>
      </c>
      <c r="K7" s="327"/>
      <c r="L7" s="327"/>
      <c r="M7" s="144"/>
      <c r="N7" s="327" t="s">
        <v>10</v>
      </c>
      <c r="O7" s="327"/>
      <c r="P7" s="327"/>
      <c r="Q7" s="144"/>
      <c r="R7" s="328" t="s">
        <v>8</v>
      </c>
      <c r="S7" s="320"/>
      <c r="T7" s="320" t="s">
        <v>42</v>
      </c>
      <c r="U7" s="142"/>
      <c r="V7" s="328" t="s">
        <v>3</v>
      </c>
      <c r="W7" s="320"/>
      <c r="X7" s="320" t="s">
        <v>32</v>
      </c>
      <c r="Y7" s="143"/>
      <c r="Z7" s="322" t="s">
        <v>35</v>
      </c>
      <c r="AA7" s="145"/>
      <c r="AC7" s="262" t="s">
        <v>270</v>
      </c>
    </row>
    <row r="8" spans="2:34" x14ac:dyDescent="0.65">
      <c r="B8" s="326"/>
      <c r="C8" s="145"/>
      <c r="D8" s="331"/>
      <c r="E8" s="321"/>
      <c r="F8" s="329"/>
      <c r="G8" s="321"/>
      <c r="H8" s="321"/>
      <c r="I8" s="146"/>
      <c r="J8" s="148" t="s">
        <v>8</v>
      </c>
      <c r="K8" s="148"/>
      <c r="L8" s="148" t="s">
        <v>3</v>
      </c>
      <c r="M8" s="148"/>
      <c r="N8" s="148" t="s">
        <v>8</v>
      </c>
      <c r="O8" s="148"/>
      <c r="P8" s="148" t="s">
        <v>80</v>
      </c>
      <c r="Q8" s="148"/>
      <c r="R8" s="329"/>
      <c r="S8" s="321"/>
      <c r="T8" s="321"/>
      <c r="U8" s="147"/>
      <c r="V8" s="329"/>
      <c r="W8" s="321"/>
      <c r="X8" s="321"/>
      <c r="Y8" s="146"/>
      <c r="Z8" s="323"/>
      <c r="AA8" s="145"/>
      <c r="AC8" s="262" t="s">
        <v>271</v>
      </c>
    </row>
    <row r="9" spans="2:34" ht="41.25" customHeight="1" x14ac:dyDescent="0.65">
      <c r="B9" s="149" t="s">
        <v>258</v>
      </c>
      <c r="C9" s="145"/>
      <c r="D9" s="150">
        <v>40000000</v>
      </c>
      <c r="E9" s="104"/>
      <c r="F9" s="150">
        <v>53183846240</v>
      </c>
      <c r="G9" s="104"/>
      <c r="H9" s="150">
        <v>52669691600</v>
      </c>
      <c r="I9" s="104">
        <v>124544524500</v>
      </c>
      <c r="J9" s="104">
        <v>40000000</v>
      </c>
      <c r="K9" s="125"/>
      <c r="L9" s="104">
        <v>55879563976</v>
      </c>
      <c r="M9" s="104"/>
      <c r="N9" s="150">
        <v>0</v>
      </c>
      <c r="O9" s="150"/>
      <c r="P9" s="150">
        <v>0</v>
      </c>
      <c r="Q9" s="150"/>
      <c r="R9" s="150">
        <v>80000000</v>
      </c>
      <c r="S9" s="150"/>
      <c r="T9" s="150">
        <v>1251</v>
      </c>
      <c r="U9" s="150"/>
      <c r="V9" s="150">
        <v>109063410216</v>
      </c>
      <c r="W9" s="150"/>
      <c r="X9" s="150">
        <v>99306381600</v>
      </c>
      <c r="Y9" s="151"/>
      <c r="Z9" s="152">
        <f t="shared" ref="Z9:Z48" si="0">X9/$Z$83</f>
        <v>7.2817839760765382E-3</v>
      </c>
      <c r="AA9" s="145"/>
      <c r="AC9" s="263"/>
      <c r="AE9" s="154"/>
      <c r="AF9" s="153"/>
      <c r="AH9" s="153"/>
    </row>
    <row r="10" spans="2:34" ht="41.25" customHeight="1" x14ac:dyDescent="0.65">
      <c r="B10" s="149" t="s">
        <v>110</v>
      </c>
      <c r="C10" s="145"/>
      <c r="D10" s="150">
        <v>120000000</v>
      </c>
      <c r="E10" s="150"/>
      <c r="F10" s="150">
        <v>59836542611</v>
      </c>
      <c r="G10" s="150"/>
      <c r="H10" s="150">
        <v>74063032800</v>
      </c>
      <c r="I10" s="150">
        <v>91104682500</v>
      </c>
      <c r="J10" s="150">
        <v>0</v>
      </c>
      <c r="K10" s="150"/>
      <c r="L10" s="150">
        <v>0</v>
      </c>
      <c r="M10" s="150"/>
      <c r="N10" s="150">
        <v>-20000000</v>
      </c>
      <c r="O10" s="150"/>
      <c r="P10" s="150">
        <v>12033221165</v>
      </c>
      <c r="Q10" s="150"/>
      <c r="R10" s="150">
        <v>100000000</v>
      </c>
      <c r="S10" s="150"/>
      <c r="T10" s="155">
        <v>612</v>
      </c>
      <c r="U10" s="150"/>
      <c r="V10" s="150">
        <v>49863785508</v>
      </c>
      <c r="W10" s="150"/>
      <c r="X10" s="150">
        <v>60726924000</v>
      </c>
      <c r="Y10" s="151"/>
      <c r="Z10" s="152">
        <f t="shared" si="0"/>
        <v>4.4528894817734222E-3</v>
      </c>
      <c r="AA10" s="145"/>
      <c r="AC10" s="262"/>
      <c r="AE10" s="153"/>
      <c r="AF10" s="153"/>
      <c r="AH10" s="153"/>
    </row>
    <row r="11" spans="2:34" ht="41.25" customHeight="1" x14ac:dyDescent="0.65">
      <c r="B11" s="149" t="s">
        <v>111</v>
      </c>
      <c r="C11" s="145"/>
      <c r="D11" s="150">
        <v>1000</v>
      </c>
      <c r="E11" s="150"/>
      <c r="F11" s="150">
        <v>1915216</v>
      </c>
      <c r="G11" s="150"/>
      <c r="H11" s="150">
        <v>5457485</v>
      </c>
      <c r="I11" s="150">
        <v>6045066562.5</v>
      </c>
      <c r="J11" s="150">
        <v>0</v>
      </c>
      <c r="K11" s="150"/>
      <c r="L11" s="150">
        <v>0</v>
      </c>
      <c r="M11" s="150"/>
      <c r="N11" s="150">
        <v>0</v>
      </c>
      <c r="O11" s="150"/>
      <c r="P11" s="150">
        <v>0</v>
      </c>
      <c r="Q11" s="150"/>
      <c r="R11" s="150">
        <v>1000</v>
      </c>
      <c r="S11" s="150"/>
      <c r="T11" s="150">
        <v>5500</v>
      </c>
      <c r="U11" s="150"/>
      <c r="V11" s="150">
        <v>1915216</v>
      </c>
      <c r="W11" s="150"/>
      <c r="X11" s="150">
        <v>5457485</v>
      </c>
      <c r="Y11" s="151"/>
      <c r="Z11" s="152">
        <f t="shared" si="0"/>
        <v>4.0017797630316706E-7</v>
      </c>
      <c r="AA11" s="145"/>
      <c r="AE11" s="153"/>
      <c r="AF11" s="153"/>
      <c r="AH11" s="153"/>
    </row>
    <row r="12" spans="2:34" ht="41.25" customHeight="1" x14ac:dyDescent="0.65">
      <c r="B12" s="149" t="s">
        <v>145</v>
      </c>
      <c r="C12" s="145"/>
      <c r="D12" s="150">
        <v>68000000</v>
      </c>
      <c r="E12" s="150"/>
      <c r="F12" s="150">
        <v>32035402253</v>
      </c>
      <c r="G12" s="150"/>
      <c r="H12" s="150">
        <v>39809872400</v>
      </c>
      <c r="I12" s="150">
        <v>3584544.3</v>
      </c>
      <c r="J12" s="150">
        <v>182000000</v>
      </c>
      <c r="K12" s="150"/>
      <c r="L12" s="150">
        <v>106537028189</v>
      </c>
      <c r="M12" s="150"/>
      <c r="N12" s="150">
        <v>0</v>
      </c>
      <c r="O12" s="150"/>
      <c r="P12" s="150">
        <v>0</v>
      </c>
      <c r="Q12" s="150"/>
      <c r="R12" s="150">
        <v>250000000</v>
      </c>
      <c r="S12" s="150"/>
      <c r="T12" s="150">
        <v>536</v>
      </c>
      <c r="U12" s="150"/>
      <c r="V12" s="150">
        <v>138572430442</v>
      </c>
      <c r="W12" s="150"/>
      <c r="X12" s="150">
        <v>132964180000</v>
      </c>
      <c r="Y12" s="151"/>
      <c r="Z12" s="152">
        <f t="shared" si="0"/>
        <v>9.7497906953862516E-3</v>
      </c>
      <c r="AA12" s="145"/>
      <c r="AE12" s="153"/>
      <c r="AF12" s="153"/>
      <c r="AH12" s="153"/>
    </row>
    <row r="13" spans="2:34" ht="41.25" customHeight="1" x14ac:dyDescent="0.65">
      <c r="B13" s="149" t="s">
        <v>201</v>
      </c>
      <c r="C13" s="145"/>
      <c r="D13" s="150">
        <v>14000000</v>
      </c>
      <c r="E13" s="150"/>
      <c r="F13" s="150">
        <v>34648837757</v>
      </c>
      <c r="G13" s="150"/>
      <c r="H13" s="150">
        <v>38619148400</v>
      </c>
      <c r="I13" s="150">
        <v>5785371000</v>
      </c>
      <c r="J13" s="150">
        <v>0</v>
      </c>
      <c r="K13" s="150"/>
      <c r="L13" s="150">
        <v>0</v>
      </c>
      <c r="M13" s="150"/>
      <c r="N13" s="150">
        <v>-14000000</v>
      </c>
      <c r="O13" s="150"/>
      <c r="P13" s="150">
        <v>41560282672</v>
      </c>
      <c r="Q13" s="150"/>
      <c r="R13" s="150">
        <v>0</v>
      </c>
      <c r="S13" s="150"/>
      <c r="T13" s="150">
        <v>0</v>
      </c>
      <c r="U13" s="150"/>
      <c r="V13" s="150">
        <v>0</v>
      </c>
      <c r="W13" s="150"/>
      <c r="X13" s="150">
        <v>0</v>
      </c>
      <c r="Y13" s="151"/>
      <c r="Z13" s="152">
        <f t="shared" si="0"/>
        <v>0</v>
      </c>
      <c r="AA13" s="145"/>
      <c r="AE13" s="153"/>
      <c r="AF13" s="153"/>
      <c r="AH13" s="153"/>
    </row>
    <row r="14" spans="2:34" ht="41.25" customHeight="1" x14ac:dyDescent="0.65">
      <c r="B14" s="149" t="s">
        <v>112</v>
      </c>
      <c r="C14" s="145"/>
      <c r="D14" s="150">
        <v>471400000</v>
      </c>
      <c r="E14" s="150"/>
      <c r="F14" s="150">
        <v>582453738612</v>
      </c>
      <c r="G14" s="150"/>
      <c r="H14" s="150">
        <v>689472458972</v>
      </c>
      <c r="I14" s="150">
        <v>187875450000</v>
      </c>
      <c r="J14" s="150">
        <v>129174764</v>
      </c>
      <c r="K14" s="150"/>
      <c r="L14" s="150">
        <v>204059923258</v>
      </c>
      <c r="M14" s="150"/>
      <c r="N14" s="150">
        <v>-574764</v>
      </c>
      <c r="O14" s="150"/>
      <c r="P14" s="150">
        <v>866040535</v>
      </c>
      <c r="Q14" s="150"/>
      <c r="R14" s="150">
        <v>600000000</v>
      </c>
      <c r="S14" s="150"/>
      <c r="T14" s="150">
        <v>1470</v>
      </c>
      <c r="U14" s="150"/>
      <c r="V14" s="150">
        <v>785782978665</v>
      </c>
      <c r="W14" s="150"/>
      <c r="X14" s="150">
        <v>875182140000</v>
      </c>
      <c r="Y14" s="151"/>
      <c r="Z14" s="152">
        <f t="shared" si="0"/>
        <v>6.4173995472616971E-2</v>
      </c>
      <c r="AA14" s="145"/>
      <c r="AE14" s="153"/>
      <c r="AF14" s="153"/>
      <c r="AH14" s="153"/>
    </row>
    <row r="15" spans="2:34" ht="41.25" customHeight="1" x14ac:dyDescent="0.65">
      <c r="B15" s="149" t="s">
        <v>192</v>
      </c>
      <c r="C15" s="145"/>
      <c r="D15" s="150">
        <v>25000000</v>
      </c>
      <c r="E15" s="150"/>
      <c r="F15" s="150">
        <v>94495873076</v>
      </c>
      <c r="G15" s="150"/>
      <c r="H15" s="150">
        <v>122520538250</v>
      </c>
      <c r="I15" s="150">
        <v>129972037500</v>
      </c>
      <c r="J15" s="150">
        <v>0</v>
      </c>
      <c r="K15" s="150"/>
      <c r="L15" s="150">
        <v>0</v>
      </c>
      <c r="M15" s="150"/>
      <c r="N15" s="150">
        <v>0</v>
      </c>
      <c r="O15" s="150"/>
      <c r="P15" s="150">
        <v>0</v>
      </c>
      <c r="Q15" s="150"/>
      <c r="R15" s="150">
        <v>58870781</v>
      </c>
      <c r="S15" s="150"/>
      <c r="T15" s="150">
        <v>2234</v>
      </c>
      <c r="U15" s="150"/>
      <c r="V15" s="150">
        <v>94495873076</v>
      </c>
      <c r="W15" s="150"/>
      <c r="X15" s="150">
        <v>130500695833.65199</v>
      </c>
      <c r="Y15" s="151"/>
      <c r="Z15" s="152">
        <f t="shared" si="0"/>
        <v>9.5691521579749639E-3</v>
      </c>
      <c r="AA15" s="145"/>
      <c r="AE15" s="153"/>
      <c r="AF15" s="153"/>
      <c r="AH15" s="153"/>
    </row>
    <row r="16" spans="2:34" ht="41.25" customHeight="1" x14ac:dyDescent="0.65">
      <c r="B16" s="149" t="s">
        <v>157</v>
      </c>
      <c r="C16" s="145"/>
      <c r="D16" s="150">
        <v>232900</v>
      </c>
      <c r="E16" s="150"/>
      <c r="F16" s="150">
        <v>394603131</v>
      </c>
      <c r="G16" s="150"/>
      <c r="H16" s="150">
        <v>524596280.41000003</v>
      </c>
      <c r="I16" s="150">
        <v>156455517600</v>
      </c>
      <c r="J16" s="150">
        <v>0</v>
      </c>
      <c r="K16" s="150"/>
      <c r="L16" s="150">
        <v>0</v>
      </c>
      <c r="M16" s="150"/>
      <c r="N16" s="150">
        <v>0</v>
      </c>
      <c r="O16" s="150"/>
      <c r="P16" s="150">
        <v>0</v>
      </c>
      <c r="Q16" s="150"/>
      <c r="R16" s="150">
        <v>232900</v>
      </c>
      <c r="S16" s="150"/>
      <c r="T16" s="150">
        <v>2036</v>
      </c>
      <c r="U16" s="150"/>
      <c r="V16" s="150">
        <v>394603131</v>
      </c>
      <c r="W16" s="150"/>
      <c r="X16" s="150">
        <v>470518954.588</v>
      </c>
      <c r="Y16" s="151"/>
      <c r="Z16" s="152">
        <f t="shared" si="0"/>
        <v>3.4501482470278451E-5</v>
      </c>
      <c r="AA16" s="145"/>
      <c r="AE16" s="153"/>
      <c r="AF16" s="153"/>
      <c r="AH16" s="153"/>
    </row>
    <row r="17" spans="2:34" ht="41.25" customHeight="1" x14ac:dyDescent="0.65">
      <c r="B17" s="149" t="s">
        <v>146</v>
      </c>
      <c r="C17" s="145"/>
      <c r="D17" s="150">
        <v>1000</v>
      </c>
      <c r="E17" s="150"/>
      <c r="F17" s="150">
        <v>5411279</v>
      </c>
      <c r="G17" s="150"/>
      <c r="H17" s="150">
        <v>3924427.85</v>
      </c>
      <c r="I17" s="150">
        <v>588277696.54499996</v>
      </c>
      <c r="J17" s="150">
        <v>0</v>
      </c>
      <c r="K17" s="150"/>
      <c r="L17" s="150">
        <v>0</v>
      </c>
      <c r="M17" s="150"/>
      <c r="N17" s="150">
        <v>0</v>
      </c>
      <c r="O17" s="150"/>
      <c r="P17" s="150">
        <v>0</v>
      </c>
      <c r="Q17" s="150"/>
      <c r="R17" s="150">
        <v>1000</v>
      </c>
      <c r="S17" s="150"/>
      <c r="T17" s="150">
        <v>3529</v>
      </c>
      <c r="U17" s="150"/>
      <c r="V17" s="150">
        <v>5411279</v>
      </c>
      <c r="W17" s="150"/>
      <c r="X17" s="150">
        <v>3501720.83</v>
      </c>
      <c r="Y17" s="151"/>
      <c r="Z17" s="152">
        <f t="shared" si="0"/>
        <v>2.5676874152252301E-7</v>
      </c>
      <c r="AA17" s="145"/>
      <c r="AE17" s="153"/>
      <c r="AF17" s="153"/>
      <c r="AH17" s="153"/>
    </row>
    <row r="18" spans="2:34" ht="41.25" customHeight="1" x14ac:dyDescent="0.65">
      <c r="B18" s="149" t="s">
        <v>113</v>
      </c>
      <c r="C18" s="145"/>
      <c r="D18" s="150">
        <v>140000000</v>
      </c>
      <c r="E18" s="150"/>
      <c r="F18" s="150">
        <v>535699100124</v>
      </c>
      <c r="G18" s="150"/>
      <c r="H18" s="150">
        <v>868236250000</v>
      </c>
      <c r="I18" s="150">
        <v>4419546.3</v>
      </c>
      <c r="J18" s="150">
        <v>0</v>
      </c>
      <c r="K18" s="150"/>
      <c r="L18" s="150">
        <v>0</v>
      </c>
      <c r="M18" s="150"/>
      <c r="N18" s="150">
        <v>-40000000</v>
      </c>
      <c r="O18" s="150"/>
      <c r="P18" s="150">
        <v>273736789514</v>
      </c>
      <c r="Q18" s="150"/>
      <c r="R18" s="150">
        <v>100000000</v>
      </c>
      <c r="S18" s="150"/>
      <c r="T18" s="150">
        <v>8030</v>
      </c>
      <c r="U18" s="150"/>
      <c r="V18" s="150">
        <v>382642214429</v>
      </c>
      <c r="W18" s="150"/>
      <c r="X18" s="150">
        <v>796792810000</v>
      </c>
      <c r="Y18" s="151"/>
      <c r="Z18" s="152">
        <f t="shared" si="0"/>
        <v>5.8425984540262391E-2</v>
      </c>
      <c r="AA18" s="145"/>
      <c r="AE18" s="153"/>
      <c r="AF18" s="153"/>
      <c r="AH18" s="153"/>
    </row>
    <row r="19" spans="2:34" ht="41.25" customHeight="1" x14ac:dyDescent="0.65">
      <c r="B19" s="149" t="s">
        <v>114</v>
      </c>
      <c r="C19" s="145"/>
      <c r="D19" s="150">
        <v>137000000</v>
      </c>
      <c r="E19" s="150"/>
      <c r="F19" s="150">
        <v>553120956036</v>
      </c>
      <c r="G19" s="150"/>
      <c r="H19" s="150">
        <v>879538205300</v>
      </c>
      <c r="I19" s="150">
        <v>654830437500</v>
      </c>
      <c r="J19" s="150">
        <v>14000000</v>
      </c>
      <c r="K19" s="150"/>
      <c r="L19" s="150">
        <v>99882716780</v>
      </c>
      <c r="M19" s="150"/>
      <c r="N19" s="150">
        <v>-7000000</v>
      </c>
      <c r="O19" s="150"/>
      <c r="P19" s="150">
        <v>47640284028</v>
      </c>
      <c r="Q19" s="150"/>
      <c r="R19" s="150">
        <v>144000000</v>
      </c>
      <c r="S19" s="150"/>
      <c r="T19" s="150">
        <v>9080</v>
      </c>
      <c r="U19" s="150"/>
      <c r="V19" s="150">
        <v>624742018140</v>
      </c>
      <c r="W19" s="150"/>
      <c r="X19" s="150">
        <v>1297412870400</v>
      </c>
      <c r="Y19" s="151"/>
      <c r="Z19" s="152">
        <f t="shared" si="0"/>
        <v>9.5134674104712172E-2</v>
      </c>
      <c r="AA19" s="145"/>
      <c r="AE19" s="153"/>
      <c r="AF19" s="153"/>
      <c r="AH19" s="153"/>
    </row>
    <row r="20" spans="2:34" ht="41.25" customHeight="1" x14ac:dyDescent="0.65">
      <c r="B20" s="149" t="s">
        <v>137</v>
      </c>
      <c r="C20" s="145"/>
      <c r="D20" s="150">
        <v>100000</v>
      </c>
      <c r="E20" s="150"/>
      <c r="F20" s="150">
        <v>2087361792</v>
      </c>
      <c r="G20" s="150"/>
      <c r="H20" s="150">
        <v>2634476850</v>
      </c>
      <c r="I20" s="150">
        <v>210340980000</v>
      </c>
      <c r="J20" s="150">
        <v>0</v>
      </c>
      <c r="K20" s="150"/>
      <c r="L20" s="150">
        <v>0</v>
      </c>
      <c r="M20" s="150"/>
      <c r="N20" s="150">
        <v>-99000</v>
      </c>
      <c r="O20" s="150"/>
      <c r="P20" s="150">
        <v>3093222812</v>
      </c>
      <c r="Q20" s="150"/>
      <c r="R20" s="150">
        <v>1000</v>
      </c>
      <c r="S20" s="150"/>
      <c r="T20" s="150">
        <v>37450</v>
      </c>
      <c r="U20" s="150"/>
      <c r="V20" s="150">
        <v>20873618</v>
      </c>
      <c r="W20" s="150"/>
      <c r="X20" s="150">
        <v>37160511.5</v>
      </c>
      <c r="Y20" s="151"/>
      <c r="Z20" s="152">
        <f t="shared" si="0"/>
        <v>2.724848220464292E-6</v>
      </c>
      <c r="AA20" s="145"/>
      <c r="AE20" s="153"/>
      <c r="AF20" s="153"/>
      <c r="AH20" s="153"/>
    </row>
    <row r="21" spans="2:34" ht="41.25" customHeight="1" x14ac:dyDescent="0.65">
      <c r="B21" s="149" t="s">
        <v>115</v>
      </c>
      <c r="C21" s="145"/>
      <c r="D21" s="150">
        <v>18000000</v>
      </c>
      <c r="E21" s="150"/>
      <c r="F21" s="150">
        <v>44528135164</v>
      </c>
      <c r="G21" s="150"/>
      <c r="H21" s="150">
        <v>65192139000</v>
      </c>
      <c r="I21" s="150">
        <v>190778076000</v>
      </c>
      <c r="J21" s="150">
        <v>52000000</v>
      </c>
      <c r="K21" s="150"/>
      <c r="L21" s="150">
        <v>207701868060</v>
      </c>
      <c r="M21" s="150"/>
      <c r="N21" s="150">
        <v>0</v>
      </c>
      <c r="O21" s="150"/>
      <c r="P21" s="150">
        <v>0</v>
      </c>
      <c r="Q21" s="150"/>
      <c r="R21" s="150">
        <v>70000000</v>
      </c>
      <c r="S21" s="150"/>
      <c r="T21" s="150">
        <v>4797</v>
      </c>
      <c r="U21" s="150"/>
      <c r="V21" s="150">
        <v>252230003224</v>
      </c>
      <c r="W21" s="150"/>
      <c r="X21" s="150">
        <v>333194343300</v>
      </c>
      <c r="Y21" s="151"/>
      <c r="Z21" s="152">
        <f t="shared" si="0"/>
        <v>2.4431956847789173E-2</v>
      </c>
      <c r="AA21" s="145"/>
      <c r="AE21" s="153"/>
      <c r="AF21" s="153"/>
      <c r="AH21" s="153"/>
    </row>
    <row r="22" spans="2:34" ht="41.25" customHeight="1" x14ac:dyDescent="0.65">
      <c r="B22" s="149" t="s">
        <v>141</v>
      </c>
      <c r="C22" s="145"/>
      <c r="D22" s="150">
        <v>1000</v>
      </c>
      <c r="E22" s="150"/>
      <c r="F22" s="150">
        <v>68624286</v>
      </c>
      <c r="G22" s="150"/>
      <c r="H22" s="150">
        <v>56351013.299999997</v>
      </c>
      <c r="I22" s="150">
        <v>164435751000</v>
      </c>
      <c r="J22" s="150">
        <v>0</v>
      </c>
      <c r="K22" s="150"/>
      <c r="L22" s="150">
        <v>0</v>
      </c>
      <c r="M22" s="150"/>
      <c r="N22" s="150">
        <v>0</v>
      </c>
      <c r="O22" s="150"/>
      <c r="P22" s="150">
        <v>0</v>
      </c>
      <c r="Q22" s="150"/>
      <c r="R22" s="150">
        <v>1000</v>
      </c>
      <c r="S22" s="150"/>
      <c r="T22" s="150">
        <v>55110</v>
      </c>
      <c r="U22" s="150"/>
      <c r="V22" s="150">
        <v>68624286</v>
      </c>
      <c r="W22" s="150"/>
      <c r="X22" s="150">
        <v>54683999.700000003</v>
      </c>
      <c r="Y22" s="151"/>
      <c r="Z22" s="152">
        <f t="shared" si="0"/>
        <v>4.0097833225577343E-6</v>
      </c>
      <c r="AA22" s="145"/>
      <c r="AE22" s="153"/>
      <c r="AF22" s="153"/>
      <c r="AH22" s="153"/>
    </row>
    <row r="23" spans="2:34" ht="41.25" customHeight="1" x14ac:dyDescent="0.65">
      <c r="B23" s="149" t="s">
        <v>116</v>
      </c>
      <c r="C23" s="145"/>
      <c r="D23" s="150">
        <v>1000</v>
      </c>
      <c r="E23" s="150"/>
      <c r="F23" s="150">
        <v>2873060</v>
      </c>
      <c r="G23" s="150"/>
      <c r="H23" s="150">
        <v>3184194.43</v>
      </c>
      <c r="I23" s="150">
        <v>74454345</v>
      </c>
      <c r="J23" s="150">
        <v>0</v>
      </c>
      <c r="K23" s="150"/>
      <c r="L23" s="150">
        <v>0</v>
      </c>
      <c r="M23" s="150"/>
      <c r="N23" s="150">
        <v>0</v>
      </c>
      <c r="O23" s="150"/>
      <c r="P23" s="150">
        <v>0</v>
      </c>
      <c r="Q23" s="150"/>
      <c r="R23" s="150">
        <v>1000</v>
      </c>
      <c r="S23" s="150"/>
      <c r="T23" s="150">
        <v>3990</v>
      </c>
      <c r="U23" s="150"/>
      <c r="V23" s="150">
        <v>2873060</v>
      </c>
      <c r="W23" s="150"/>
      <c r="X23" s="150">
        <v>3959157.3</v>
      </c>
      <c r="Y23" s="151"/>
      <c r="Z23" s="152">
        <f t="shared" si="0"/>
        <v>2.9031093189993391E-7</v>
      </c>
      <c r="AA23" s="145"/>
      <c r="AE23" s="153"/>
      <c r="AF23" s="153"/>
      <c r="AH23" s="153"/>
    </row>
    <row r="24" spans="2:34" ht="41.25" customHeight="1" x14ac:dyDescent="0.65">
      <c r="B24" s="149" t="s">
        <v>117</v>
      </c>
      <c r="C24" s="145"/>
      <c r="D24" s="150">
        <v>2000000</v>
      </c>
      <c r="E24" s="150"/>
      <c r="F24" s="150">
        <v>542617160136</v>
      </c>
      <c r="G24" s="150"/>
      <c r="H24" s="150">
        <v>784032217800</v>
      </c>
      <c r="I24" s="150">
        <v>276147090000</v>
      </c>
      <c r="J24" s="150">
        <v>50000</v>
      </c>
      <c r="K24" s="150"/>
      <c r="L24" s="150">
        <v>22198887208</v>
      </c>
      <c r="M24" s="150"/>
      <c r="N24" s="150">
        <v>-1050000</v>
      </c>
      <c r="O24" s="150"/>
      <c r="P24" s="150">
        <v>651989093356</v>
      </c>
      <c r="Q24" s="150"/>
      <c r="R24" s="150">
        <v>1000000</v>
      </c>
      <c r="S24" s="150"/>
      <c r="T24" s="150">
        <v>605930</v>
      </c>
      <c r="U24" s="150"/>
      <c r="V24" s="150">
        <v>275520023099</v>
      </c>
      <c r="W24" s="150"/>
      <c r="X24" s="150">
        <v>601246161100</v>
      </c>
      <c r="Y24" s="151"/>
      <c r="Z24" s="152">
        <f t="shared" si="0"/>
        <v>4.4087243851159641E-2</v>
      </c>
      <c r="AA24" s="145"/>
      <c r="AE24" s="153"/>
      <c r="AF24" s="153"/>
      <c r="AH24" s="153"/>
    </row>
    <row r="25" spans="2:34" ht="41.25" customHeight="1" x14ac:dyDescent="0.65">
      <c r="B25" s="149" t="s">
        <v>118</v>
      </c>
      <c r="C25" s="145"/>
      <c r="D25" s="150">
        <v>2000000</v>
      </c>
      <c r="E25" s="150"/>
      <c r="F25" s="150">
        <v>111248551617</v>
      </c>
      <c r="G25" s="150"/>
      <c r="H25" s="150">
        <v>120957713000</v>
      </c>
      <c r="I25" s="150">
        <v>338593311000</v>
      </c>
      <c r="J25" s="150">
        <v>200000</v>
      </c>
      <c r="K25" s="150"/>
      <c r="L25" s="150">
        <v>12764152243</v>
      </c>
      <c r="M25" s="150"/>
      <c r="N25" s="150">
        <v>-100000</v>
      </c>
      <c r="O25" s="150"/>
      <c r="P25" s="150">
        <v>5892505410</v>
      </c>
      <c r="Q25" s="150"/>
      <c r="R25" s="150">
        <v>2100000</v>
      </c>
      <c r="S25" s="150"/>
      <c r="T25" s="150">
        <v>60540</v>
      </c>
      <c r="U25" s="150"/>
      <c r="V25" s="150">
        <v>118375762776</v>
      </c>
      <c r="W25" s="150"/>
      <c r="X25" s="150">
        <v>126151254180</v>
      </c>
      <c r="Y25" s="151"/>
      <c r="Z25" s="152">
        <f t="shared" si="0"/>
        <v>9.2502230616957892E-3</v>
      </c>
      <c r="AA25" s="145"/>
      <c r="AE25" s="153"/>
      <c r="AF25" s="153"/>
      <c r="AH25" s="153"/>
    </row>
    <row r="26" spans="2:34" ht="41.25" customHeight="1" x14ac:dyDescent="0.65">
      <c r="B26" s="149" t="s">
        <v>119</v>
      </c>
      <c r="C26" s="145"/>
      <c r="D26" s="150">
        <v>2500000</v>
      </c>
      <c r="E26" s="150"/>
      <c r="F26" s="150">
        <v>96066812584</v>
      </c>
      <c r="G26" s="150"/>
      <c r="H26" s="150">
        <v>127357854500</v>
      </c>
      <c r="I26" s="150">
        <v>280123290000</v>
      </c>
      <c r="J26" s="150">
        <v>0</v>
      </c>
      <c r="K26" s="150"/>
      <c r="L26" s="150">
        <v>0</v>
      </c>
      <c r="M26" s="150"/>
      <c r="N26" s="150">
        <v>0</v>
      </c>
      <c r="O26" s="150"/>
      <c r="P26" s="150">
        <v>0</v>
      </c>
      <c r="Q26" s="150"/>
      <c r="R26" s="150">
        <v>2500000</v>
      </c>
      <c r="S26" s="150"/>
      <c r="T26" s="150">
        <v>60690</v>
      </c>
      <c r="U26" s="150"/>
      <c r="V26" s="150">
        <v>96066812584</v>
      </c>
      <c r="W26" s="150"/>
      <c r="X26" s="150">
        <v>150552165750</v>
      </c>
      <c r="Y26" s="151"/>
      <c r="Z26" s="152">
        <f t="shared" si="0"/>
        <v>1.1039455173563277E-2</v>
      </c>
      <c r="AA26" s="145"/>
      <c r="AE26" s="153"/>
      <c r="AF26" s="153"/>
      <c r="AH26" s="153"/>
    </row>
    <row r="27" spans="2:34" ht="41.25" customHeight="1" x14ac:dyDescent="0.65">
      <c r="B27" s="149" t="s">
        <v>143</v>
      </c>
      <c r="C27" s="145"/>
      <c r="D27" s="150">
        <v>6000000</v>
      </c>
      <c r="E27" s="150"/>
      <c r="F27" s="150">
        <v>221684251852</v>
      </c>
      <c r="G27" s="150"/>
      <c r="H27" s="150">
        <v>268031972400</v>
      </c>
      <c r="I27" s="150">
        <v>196321892850</v>
      </c>
      <c r="J27" s="150">
        <v>0</v>
      </c>
      <c r="K27" s="150"/>
      <c r="L27" s="150">
        <v>0</v>
      </c>
      <c r="M27" s="150"/>
      <c r="N27" s="150">
        <v>0</v>
      </c>
      <c r="O27" s="150"/>
      <c r="P27" s="150">
        <v>0</v>
      </c>
      <c r="Q27" s="150"/>
      <c r="R27" s="150">
        <v>6000000</v>
      </c>
      <c r="S27" s="150"/>
      <c r="T27" s="150">
        <v>68910</v>
      </c>
      <c r="U27" s="150"/>
      <c r="V27" s="150">
        <v>221684251852</v>
      </c>
      <c r="W27" s="150"/>
      <c r="X27" s="150">
        <v>410263954200</v>
      </c>
      <c r="Y27" s="151"/>
      <c r="Z27" s="152">
        <f t="shared" si="0"/>
        <v>3.0083197469510443E-2</v>
      </c>
      <c r="AA27" s="145"/>
      <c r="AE27" s="153"/>
      <c r="AF27" s="153"/>
      <c r="AH27" s="153"/>
    </row>
    <row r="28" spans="2:34" ht="41.25" customHeight="1" x14ac:dyDescent="0.65">
      <c r="B28" s="149" t="s">
        <v>241</v>
      </c>
      <c r="C28" s="145"/>
      <c r="D28" s="150">
        <v>7200000</v>
      </c>
      <c r="E28" s="150"/>
      <c r="F28" s="150">
        <v>45581913906</v>
      </c>
      <c r="G28" s="150"/>
      <c r="H28" s="150">
        <v>57940629840</v>
      </c>
      <c r="I28" s="150">
        <v>234352257750</v>
      </c>
      <c r="J28" s="150">
        <v>0</v>
      </c>
      <c r="K28" s="150"/>
      <c r="L28" s="150">
        <v>0</v>
      </c>
      <c r="M28" s="150"/>
      <c r="N28" s="150">
        <v>-7200000</v>
      </c>
      <c r="O28" s="150"/>
      <c r="P28" s="150">
        <v>66642806656</v>
      </c>
      <c r="Q28" s="150"/>
      <c r="R28" s="150">
        <v>0</v>
      </c>
      <c r="S28" s="150"/>
      <c r="T28" s="150">
        <v>0</v>
      </c>
      <c r="U28" s="150"/>
      <c r="V28" s="150">
        <v>0</v>
      </c>
      <c r="W28" s="150"/>
      <c r="X28" s="150">
        <v>0</v>
      </c>
      <c r="Y28" s="151"/>
      <c r="Z28" s="152">
        <f t="shared" si="0"/>
        <v>0</v>
      </c>
      <c r="AA28" s="145"/>
      <c r="AE28" s="153"/>
      <c r="AF28" s="153"/>
      <c r="AH28" s="153"/>
    </row>
    <row r="29" spans="2:34" ht="41.25" customHeight="1" x14ac:dyDescent="0.65">
      <c r="B29" s="149" t="s">
        <v>259</v>
      </c>
      <c r="C29" s="145"/>
      <c r="D29" s="150">
        <v>1000000</v>
      </c>
      <c r="E29" s="150"/>
      <c r="F29" s="150">
        <v>13578102653</v>
      </c>
      <c r="G29" s="150"/>
      <c r="H29" s="150">
        <v>13842166500</v>
      </c>
      <c r="I29" s="150">
        <v>4622332.5</v>
      </c>
      <c r="J29" s="150">
        <v>0</v>
      </c>
      <c r="K29" s="150"/>
      <c r="L29" s="150">
        <v>0</v>
      </c>
      <c r="M29" s="150"/>
      <c r="N29" s="150">
        <v>-1000000</v>
      </c>
      <c r="O29" s="150"/>
      <c r="P29" s="150">
        <v>16510929235</v>
      </c>
      <c r="Q29" s="150"/>
      <c r="R29" s="150">
        <v>0</v>
      </c>
      <c r="S29" s="150"/>
      <c r="T29" s="150">
        <v>0</v>
      </c>
      <c r="U29" s="150"/>
      <c r="V29" s="150">
        <v>0</v>
      </c>
      <c r="W29" s="150"/>
      <c r="X29" s="150">
        <v>0</v>
      </c>
      <c r="Y29" s="151"/>
      <c r="Z29" s="152">
        <f t="shared" si="0"/>
        <v>0</v>
      </c>
      <c r="AA29" s="145"/>
      <c r="AE29" s="153"/>
      <c r="AF29" s="153"/>
      <c r="AH29" s="153"/>
    </row>
    <row r="30" spans="2:34" ht="41.25" customHeight="1" x14ac:dyDescent="0.65">
      <c r="B30" s="149" t="s">
        <v>135</v>
      </c>
      <c r="C30" s="145"/>
      <c r="D30" s="150">
        <v>1000</v>
      </c>
      <c r="E30" s="150"/>
      <c r="F30" s="150">
        <v>4947385</v>
      </c>
      <c r="G30" s="150"/>
      <c r="H30" s="150">
        <v>5953620</v>
      </c>
      <c r="I30" s="150">
        <v>46052624604.744904</v>
      </c>
      <c r="J30" s="150">
        <v>0</v>
      </c>
      <c r="K30" s="150"/>
      <c r="L30" s="150">
        <v>0</v>
      </c>
      <c r="M30" s="150"/>
      <c r="N30" s="150">
        <v>0</v>
      </c>
      <c r="O30" s="150"/>
      <c r="P30" s="150">
        <v>0</v>
      </c>
      <c r="Q30" s="150"/>
      <c r="R30" s="150">
        <v>1000</v>
      </c>
      <c r="S30" s="150"/>
      <c r="T30" s="150">
        <v>5660</v>
      </c>
      <c r="U30" s="150"/>
      <c r="V30" s="150">
        <v>4947385</v>
      </c>
      <c r="W30" s="150"/>
      <c r="X30" s="150">
        <v>5616248.2000000002</v>
      </c>
      <c r="Y30" s="151"/>
      <c r="Z30" s="152">
        <f t="shared" si="0"/>
        <v>4.1181951743198647E-7</v>
      </c>
      <c r="AA30" s="145"/>
      <c r="AE30" s="153"/>
      <c r="AF30" s="153"/>
      <c r="AH30" s="153"/>
    </row>
    <row r="31" spans="2:34" ht="41.25" customHeight="1" x14ac:dyDescent="0.65">
      <c r="B31" s="149" t="s">
        <v>104</v>
      </c>
      <c r="C31" s="145"/>
      <c r="D31" s="150">
        <v>88000000</v>
      </c>
      <c r="E31" s="150"/>
      <c r="F31" s="150">
        <v>164619299378</v>
      </c>
      <c r="G31" s="150"/>
      <c r="H31" s="150">
        <v>230698805920</v>
      </c>
      <c r="I31" s="150">
        <v>78696078707.614502</v>
      </c>
      <c r="J31" s="150">
        <v>2000000</v>
      </c>
      <c r="K31" s="150"/>
      <c r="L31" s="150">
        <v>5575676056</v>
      </c>
      <c r="M31" s="150"/>
      <c r="N31" s="150">
        <v>-30000000</v>
      </c>
      <c r="O31" s="150"/>
      <c r="P31" s="150">
        <v>84679324126</v>
      </c>
      <c r="Q31" s="150"/>
      <c r="R31" s="150">
        <v>60000000</v>
      </c>
      <c r="S31" s="150"/>
      <c r="T31" s="150">
        <v>2991</v>
      </c>
      <c r="U31" s="150"/>
      <c r="V31" s="150">
        <v>113463316959</v>
      </c>
      <c r="W31" s="150"/>
      <c r="X31" s="150">
        <v>178072774200</v>
      </c>
      <c r="Y31" s="151"/>
      <c r="Z31" s="152">
        <f t="shared" si="0"/>
        <v>1.3057443568612066E-2</v>
      </c>
      <c r="AA31" s="145"/>
      <c r="AE31" s="153"/>
      <c r="AF31" s="153"/>
      <c r="AH31" s="153"/>
    </row>
    <row r="32" spans="2:34" ht="41.25" customHeight="1" x14ac:dyDescent="0.65">
      <c r="B32" s="149" t="s">
        <v>264</v>
      </c>
      <c r="C32" s="145"/>
      <c r="D32" s="150">
        <v>375000</v>
      </c>
      <c r="E32" s="150"/>
      <c r="F32" s="150">
        <v>6782788386</v>
      </c>
      <c r="G32" s="150"/>
      <c r="H32" s="150">
        <v>10083943875</v>
      </c>
      <c r="I32" s="150">
        <v>50351465.542499997</v>
      </c>
      <c r="J32" s="150">
        <v>0</v>
      </c>
      <c r="K32" s="150"/>
      <c r="L32" s="150">
        <v>0</v>
      </c>
      <c r="M32" s="150"/>
      <c r="N32" s="150">
        <v>0</v>
      </c>
      <c r="O32" s="150"/>
      <c r="P32" s="150">
        <v>0</v>
      </c>
      <c r="Q32" s="150"/>
      <c r="R32" s="150">
        <v>375000</v>
      </c>
      <c r="S32" s="150"/>
      <c r="T32" s="150">
        <v>28750</v>
      </c>
      <c r="U32" s="150"/>
      <c r="V32" s="150">
        <v>6782788386</v>
      </c>
      <c r="W32" s="150"/>
      <c r="X32" s="150">
        <v>10697910937.5</v>
      </c>
      <c r="Y32" s="151"/>
      <c r="Z32" s="152">
        <f t="shared" si="0"/>
        <v>7.8443978309427633E-4</v>
      </c>
      <c r="AA32" s="145"/>
      <c r="AE32" s="153"/>
      <c r="AF32" s="153"/>
      <c r="AH32" s="153"/>
    </row>
    <row r="33" spans="2:34" ht="41.25" customHeight="1" x14ac:dyDescent="0.65">
      <c r="B33" s="149" t="s">
        <v>263</v>
      </c>
      <c r="C33" s="145"/>
      <c r="D33" s="150">
        <v>2083</v>
      </c>
      <c r="E33" s="150"/>
      <c r="F33" s="150">
        <v>8311170</v>
      </c>
      <c r="G33" s="150"/>
      <c r="H33" s="150">
        <v>10375830.018200001</v>
      </c>
      <c r="I33" s="150">
        <v>1010395760.58</v>
      </c>
      <c r="J33" s="150">
        <v>0</v>
      </c>
      <c r="K33" s="150"/>
      <c r="L33" s="150">
        <v>0</v>
      </c>
      <c r="M33" s="150"/>
      <c r="N33" s="150">
        <v>-2083</v>
      </c>
      <c r="O33" s="150"/>
      <c r="P33" s="150">
        <v>6276643</v>
      </c>
      <c r="Q33" s="150"/>
      <c r="R33" s="150">
        <v>0</v>
      </c>
      <c r="S33" s="150"/>
      <c r="T33" s="150">
        <v>0</v>
      </c>
      <c r="U33" s="150"/>
      <c r="V33" s="150">
        <v>0</v>
      </c>
      <c r="W33" s="150"/>
      <c r="X33" s="150">
        <v>0</v>
      </c>
      <c r="Y33" s="151"/>
      <c r="Z33" s="152">
        <f t="shared" si="0"/>
        <v>0</v>
      </c>
      <c r="AA33" s="145"/>
      <c r="AE33" s="153"/>
      <c r="AF33" s="153"/>
      <c r="AH33" s="153"/>
    </row>
    <row r="34" spans="2:34" ht="41.25" customHeight="1" x14ac:dyDescent="0.65">
      <c r="B34" s="149" t="s">
        <v>250</v>
      </c>
      <c r="C34" s="145"/>
      <c r="D34" s="150">
        <v>1395395</v>
      </c>
      <c r="E34" s="150"/>
      <c r="F34" s="150">
        <v>4615966660</v>
      </c>
      <c r="G34" s="150"/>
      <c r="H34" s="150">
        <v>5021975380.0495501</v>
      </c>
      <c r="I34" s="150">
        <v>142497051456.03299</v>
      </c>
      <c r="J34" s="150">
        <v>0</v>
      </c>
      <c r="K34" s="150"/>
      <c r="L34" s="150">
        <v>0</v>
      </c>
      <c r="M34" s="150"/>
      <c r="N34" s="150">
        <v>-1395395</v>
      </c>
      <c r="O34" s="150"/>
      <c r="P34" s="150">
        <v>5160229803</v>
      </c>
      <c r="Q34" s="150"/>
      <c r="R34" s="150">
        <v>0</v>
      </c>
      <c r="S34" s="150"/>
      <c r="T34" s="150">
        <v>0</v>
      </c>
      <c r="U34" s="150"/>
      <c r="V34" s="150">
        <v>0</v>
      </c>
      <c r="W34" s="150"/>
      <c r="X34" s="150">
        <v>0</v>
      </c>
      <c r="Y34" s="151"/>
      <c r="Z34" s="152">
        <f t="shared" si="0"/>
        <v>0</v>
      </c>
      <c r="AA34" s="145"/>
      <c r="AE34" s="153"/>
      <c r="AF34" s="153"/>
      <c r="AH34" s="153"/>
    </row>
    <row r="35" spans="2:34" ht="41.25" customHeight="1" x14ac:dyDescent="0.65">
      <c r="B35" s="149" t="s">
        <v>120</v>
      </c>
      <c r="C35" s="145"/>
      <c r="D35" s="150">
        <v>5600000</v>
      </c>
      <c r="E35" s="150"/>
      <c r="F35" s="150">
        <v>109108588653</v>
      </c>
      <c r="G35" s="150"/>
      <c r="H35" s="150">
        <v>121914261280</v>
      </c>
      <c r="I35" s="150">
        <v>81856041300</v>
      </c>
      <c r="J35" s="150">
        <v>0</v>
      </c>
      <c r="K35" s="150"/>
      <c r="L35" s="150">
        <v>0</v>
      </c>
      <c r="M35" s="150"/>
      <c r="N35" s="150">
        <v>-100000</v>
      </c>
      <c r="O35" s="150"/>
      <c r="P35" s="150">
        <v>2377851806</v>
      </c>
      <c r="Q35" s="150"/>
      <c r="R35" s="150">
        <v>5500000</v>
      </c>
      <c r="S35" s="150"/>
      <c r="T35" s="150">
        <v>27370</v>
      </c>
      <c r="U35" s="150"/>
      <c r="V35" s="150">
        <v>107160220999</v>
      </c>
      <c r="W35" s="150"/>
      <c r="X35" s="150">
        <v>149371364450</v>
      </c>
      <c r="Y35" s="151"/>
      <c r="Z35" s="152">
        <f t="shared" si="0"/>
        <v>1.0952871211417681E-2</v>
      </c>
      <c r="AA35" s="145"/>
      <c r="AE35" s="153"/>
      <c r="AF35" s="153"/>
      <c r="AH35" s="153"/>
    </row>
    <row r="36" spans="2:34" ht="41.25" customHeight="1" x14ac:dyDescent="0.65">
      <c r="B36" s="149" t="s">
        <v>252</v>
      </c>
      <c r="C36" s="145"/>
      <c r="D36" s="150">
        <v>562500</v>
      </c>
      <c r="E36" s="150"/>
      <c r="F36" s="150">
        <v>4998586413</v>
      </c>
      <c r="G36" s="150"/>
      <c r="H36" s="150">
        <v>5542448118.75</v>
      </c>
      <c r="I36" s="150">
        <v>67794210000</v>
      </c>
      <c r="J36" s="150">
        <v>0</v>
      </c>
      <c r="K36" s="150"/>
      <c r="L36" s="150">
        <v>0</v>
      </c>
      <c r="M36" s="150"/>
      <c r="N36" s="150">
        <v>0</v>
      </c>
      <c r="O36" s="150"/>
      <c r="P36" s="150">
        <v>0</v>
      </c>
      <c r="Q36" s="150"/>
      <c r="R36" s="150">
        <v>562500</v>
      </c>
      <c r="S36" s="150"/>
      <c r="T36" s="150">
        <v>9850</v>
      </c>
      <c r="U36" s="150"/>
      <c r="V36" s="150">
        <v>4998586413</v>
      </c>
      <c r="W36" s="150"/>
      <c r="X36" s="150">
        <v>5497795968.75</v>
      </c>
      <c r="Y36" s="151"/>
      <c r="Z36" s="152">
        <f t="shared" si="0"/>
        <v>4.0313383635540634E-4</v>
      </c>
      <c r="AA36" s="145"/>
      <c r="AE36" s="153"/>
      <c r="AF36" s="153"/>
      <c r="AH36" s="153"/>
    </row>
    <row r="37" spans="2:34" ht="41.25" customHeight="1" x14ac:dyDescent="0.65">
      <c r="B37" s="149" t="s">
        <v>136</v>
      </c>
      <c r="C37" s="145"/>
      <c r="D37" s="150">
        <v>5200000</v>
      </c>
      <c r="E37" s="150"/>
      <c r="F37" s="150">
        <v>2012119891</v>
      </c>
      <c r="G37" s="150"/>
      <c r="H37" s="150">
        <v>2853371612</v>
      </c>
      <c r="I37" s="150">
        <v>4413084975</v>
      </c>
      <c r="J37" s="150">
        <v>186854116</v>
      </c>
      <c r="K37" s="150"/>
      <c r="L37" s="150">
        <v>109739767671</v>
      </c>
      <c r="M37" s="150">
        <v>9102861790</v>
      </c>
      <c r="N37" s="150">
        <v>-32054116</v>
      </c>
      <c r="O37" s="150"/>
      <c r="P37" s="150">
        <v>17542711580</v>
      </c>
      <c r="Q37" s="150"/>
      <c r="R37" s="150">
        <v>160000000</v>
      </c>
      <c r="S37" s="150"/>
      <c r="T37" s="150">
        <v>559</v>
      </c>
      <c r="U37" s="150"/>
      <c r="V37" s="150">
        <v>93100332246</v>
      </c>
      <c r="W37" s="150"/>
      <c r="X37" s="150">
        <v>88748628800</v>
      </c>
      <c r="Y37" s="151"/>
      <c r="Z37" s="152">
        <f t="shared" si="0"/>
        <v>6.5076214910100476E-3</v>
      </c>
      <c r="AA37" s="145"/>
      <c r="AE37" s="153"/>
      <c r="AF37" s="153"/>
      <c r="AH37" s="153"/>
    </row>
    <row r="38" spans="2:34" ht="41.25" customHeight="1" x14ac:dyDescent="0.65">
      <c r="B38" s="149" t="s">
        <v>130</v>
      </c>
      <c r="C38" s="145"/>
      <c r="D38" s="150">
        <v>300000000</v>
      </c>
      <c r="E38" s="150"/>
      <c r="F38" s="150">
        <v>476047549439</v>
      </c>
      <c r="G38" s="150"/>
      <c r="H38" s="150">
        <v>510522915000</v>
      </c>
      <c r="I38" s="150">
        <v>614223495000</v>
      </c>
      <c r="J38" s="150">
        <v>0</v>
      </c>
      <c r="K38" s="150"/>
      <c r="L38" s="150">
        <v>0</v>
      </c>
      <c r="M38" s="150"/>
      <c r="N38" s="150">
        <v>0</v>
      </c>
      <c r="O38" s="150"/>
      <c r="P38" s="150">
        <v>0</v>
      </c>
      <c r="Q38" s="150"/>
      <c r="R38" s="150">
        <v>300000000</v>
      </c>
      <c r="S38" s="150"/>
      <c r="T38" s="150">
        <v>1904</v>
      </c>
      <c r="U38" s="150"/>
      <c r="V38" s="150">
        <v>476047549439</v>
      </c>
      <c r="W38" s="150"/>
      <c r="X38" s="150">
        <v>566784624000</v>
      </c>
      <c r="Y38" s="151"/>
      <c r="Z38" s="152">
        <f t="shared" si="0"/>
        <v>4.1560301829885272E-2</v>
      </c>
      <c r="AA38" s="145"/>
      <c r="AE38" s="153"/>
      <c r="AF38" s="153"/>
      <c r="AH38" s="153"/>
    </row>
    <row r="39" spans="2:34" ht="41.25" customHeight="1" x14ac:dyDescent="0.65">
      <c r="B39" s="149" t="s">
        <v>180</v>
      </c>
      <c r="C39" s="145"/>
      <c r="D39" s="150">
        <v>58000000</v>
      </c>
      <c r="E39" s="150"/>
      <c r="F39" s="150">
        <v>131117964007</v>
      </c>
      <c r="G39" s="150"/>
      <c r="H39" s="150">
        <v>155389482000</v>
      </c>
      <c r="I39" s="150">
        <v>72158089500</v>
      </c>
      <c r="J39" s="150">
        <v>2000000</v>
      </c>
      <c r="K39" s="150"/>
      <c r="L39" s="150">
        <v>5802008425</v>
      </c>
      <c r="M39" s="150"/>
      <c r="N39" s="150">
        <v>0</v>
      </c>
      <c r="O39" s="150"/>
      <c r="P39" s="150">
        <v>0</v>
      </c>
      <c r="Q39" s="150"/>
      <c r="R39" s="150">
        <v>60000000</v>
      </c>
      <c r="S39" s="150"/>
      <c r="T39" s="150">
        <v>2688</v>
      </c>
      <c r="U39" s="150"/>
      <c r="V39" s="150">
        <v>136919972432</v>
      </c>
      <c r="W39" s="150"/>
      <c r="X39" s="150">
        <v>160033305600</v>
      </c>
      <c r="Y39" s="151"/>
      <c r="Z39" s="152">
        <f t="shared" si="0"/>
        <v>1.173467345784996E-2</v>
      </c>
      <c r="AA39" s="145"/>
      <c r="AE39" s="153"/>
      <c r="AF39" s="153"/>
      <c r="AH39" s="153"/>
    </row>
    <row r="40" spans="2:34" ht="41.25" customHeight="1" x14ac:dyDescent="0.65">
      <c r="B40" s="149" t="s">
        <v>144</v>
      </c>
      <c r="C40" s="145"/>
      <c r="D40" s="150">
        <v>14000000</v>
      </c>
      <c r="E40" s="150"/>
      <c r="F40" s="150">
        <v>173786719854</v>
      </c>
      <c r="G40" s="150"/>
      <c r="H40" s="150">
        <v>188233619000</v>
      </c>
      <c r="I40" s="150">
        <v>266156887500</v>
      </c>
      <c r="J40" s="150">
        <v>0</v>
      </c>
      <c r="K40" s="150"/>
      <c r="L40" s="150">
        <v>0</v>
      </c>
      <c r="M40" s="150"/>
      <c r="N40" s="150">
        <v>-4000000</v>
      </c>
      <c r="O40" s="150"/>
      <c r="P40" s="150">
        <v>66206956880</v>
      </c>
      <c r="Q40" s="150"/>
      <c r="R40" s="150">
        <v>10000000</v>
      </c>
      <c r="S40" s="150"/>
      <c r="T40" s="150">
        <v>16380</v>
      </c>
      <c r="U40" s="150"/>
      <c r="V40" s="150">
        <v>124133371320</v>
      </c>
      <c r="W40" s="150"/>
      <c r="X40" s="150">
        <v>162533826000</v>
      </c>
      <c r="Y40" s="151"/>
      <c r="Z40" s="152">
        <f t="shared" si="0"/>
        <v>1.1918027730628866E-2</v>
      </c>
      <c r="AA40" s="145"/>
      <c r="AE40" s="153"/>
      <c r="AF40" s="153"/>
      <c r="AH40" s="153"/>
    </row>
    <row r="41" spans="2:34" ht="41.25" customHeight="1" x14ac:dyDescent="0.65">
      <c r="B41" s="149" t="s">
        <v>238</v>
      </c>
      <c r="C41" s="145"/>
      <c r="D41" s="150">
        <v>40000000</v>
      </c>
      <c r="E41" s="150"/>
      <c r="F41" s="150">
        <v>160640153443</v>
      </c>
      <c r="G41" s="150"/>
      <c r="H41" s="150">
        <v>213933412000</v>
      </c>
      <c r="I41" s="150">
        <v>341244168290.41498</v>
      </c>
      <c r="J41" s="150">
        <v>1000000</v>
      </c>
      <c r="K41" s="150"/>
      <c r="L41" s="150">
        <v>5691893920</v>
      </c>
      <c r="M41" s="150"/>
      <c r="N41" s="150">
        <v>-5000000</v>
      </c>
      <c r="O41" s="150"/>
      <c r="P41" s="150">
        <v>27481811399</v>
      </c>
      <c r="Q41" s="150"/>
      <c r="R41" s="150">
        <v>36000000</v>
      </c>
      <c r="S41" s="150"/>
      <c r="T41" s="150">
        <v>5570</v>
      </c>
      <c r="U41" s="150"/>
      <c r="V41" s="150">
        <v>146047651342</v>
      </c>
      <c r="W41" s="150"/>
      <c r="X41" s="150">
        <v>198969980400</v>
      </c>
      <c r="Y41" s="151"/>
      <c r="Z41" s="152">
        <f t="shared" si="0"/>
        <v>1.4589761419692919E-2</v>
      </c>
      <c r="AA41" s="145"/>
      <c r="AE41" s="153"/>
      <c r="AF41" s="153"/>
      <c r="AH41" s="153"/>
    </row>
    <row r="42" spans="2:34" ht="41.25" customHeight="1" x14ac:dyDescent="0.65">
      <c r="B42" s="149" t="s">
        <v>131</v>
      </c>
      <c r="C42" s="145"/>
      <c r="D42" s="150">
        <v>12000000</v>
      </c>
      <c r="E42" s="150"/>
      <c r="F42" s="150">
        <v>263945457868</v>
      </c>
      <c r="G42" s="150"/>
      <c r="H42" s="150">
        <v>250052040000</v>
      </c>
      <c r="I42" s="150">
        <v>484002945000</v>
      </c>
      <c r="J42" s="150">
        <v>6000000</v>
      </c>
      <c r="K42" s="150"/>
      <c r="L42" s="150">
        <v>126268002000</v>
      </c>
      <c r="M42" s="150"/>
      <c r="N42" s="150">
        <v>0</v>
      </c>
      <c r="O42" s="150"/>
      <c r="P42" s="150">
        <v>0</v>
      </c>
      <c r="Q42" s="150"/>
      <c r="R42" s="150">
        <v>18000000</v>
      </c>
      <c r="S42" s="150"/>
      <c r="T42" s="150">
        <v>24200</v>
      </c>
      <c r="U42" s="150"/>
      <c r="V42" s="150">
        <v>390213459868</v>
      </c>
      <c r="W42" s="150"/>
      <c r="X42" s="150">
        <v>432232812000</v>
      </c>
      <c r="Y42" s="151"/>
      <c r="Z42" s="152">
        <f t="shared" si="0"/>
        <v>3.169409572321083E-2</v>
      </c>
      <c r="AA42" s="145"/>
      <c r="AE42" s="153"/>
      <c r="AF42" s="153"/>
      <c r="AH42" s="153"/>
    </row>
    <row r="43" spans="2:34" ht="41.25" customHeight="1" x14ac:dyDescent="0.65">
      <c r="B43" s="149" t="s">
        <v>121</v>
      </c>
      <c r="C43" s="145"/>
      <c r="D43" s="150">
        <v>40863003</v>
      </c>
      <c r="E43" s="150"/>
      <c r="F43" s="150">
        <v>411274809662</v>
      </c>
      <c r="G43" s="150"/>
      <c r="H43" s="150">
        <v>575769274212.70203</v>
      </c>
      <c r="I43" s="150">
        <v>62923365000</v>
      </c>
      <c r="J43" s="150">
        <v>1141884</v>
      </c>
      <c r="K43" s="150"/>
      <c r="L43" s="150">
        <v>15826307825</v>
      </c>
      <c r="M43" s="150"/>
      <c r="N43" s="150">
        <v>-4887</v>
      </c>
      <c r="O43" s="150"/>
      <c r="P43" s="150">
        <v>68364812</v>
      </c>
      <c r="Q43" s="150"/>
      <c r="R43" s="150">
        <v>42000000</v>
      </c>
      <c r="S43" s="150"/>
      <c r="T43" s="150">
        <v>16460</v>
      </c>
      <c r="U43" s="150"/>
      <c r="V43" s="150">
        <v>427051497750</v>
      </c>
      <c r="W43" s="150"/>
      <c r="X43" s="150">
        <v>685976096400</v>
      </c>
      <c r="Y43" s="151"/>
      <c r="Z43" s="152">
        <f t="shared" si="0"/>
        <v>5.0300188832346444E-2</v>
      </c>
      <c r="AA43" s="145"/>
      <c r="AE43" s="153"/>
      <c r="AF43" s="153"/>
      <c r="AH43" s="153"/>
    </row>
    <row r="44" spans="2:34" ht="41.25" customHeight="1" x14ac:dyDescent="0.65">
      <c r="B44" s="149" t="s">
        <v>122</v>
      </c>
      <c r="C44" s="145"/>
      <c r="D44" s="150">
        <v>88500000</v>
      </c>
      <c r="E44" s="150"/>
      <c r="F44" s="150">
        <v>646698425375</v>
      </c>
      <c r="G44" s="150"/>
      <c r="H44" s="150">
        <v>915919784850</v>
      </c>
      <c r="I44" s="150">
        <v>50179644000</v>
      </c>
      <c r="J44" s="150">
        <v>0</v>
      </c>
      <c r="K44" s="150"/>
      <c r="L44" s="150">
        <v>0</v>
      </c>
      <c r="M44" s="150"/>
      <c r="N44" s="150">
        <v>-500000</v>
      </c>
      <c r="O44" s="150"/>
      <c r="P44" s="150">
        <v>5367403879</v>
      </c>
      <c r="Q44" s="150"/>
      <c r="R44" s="150">
        <v>88000000</v>
      </c>
      <c r="S44" s="150"/>
      <c r="T44" s="150">
        <v>13390</v>
      </c>
      <c r="U44" s="150"/>
      <c r="V44" s="150">
        <v>643044761954</v>
      </c>
      <c r="W44" s="150"/>
      <c r="X44" s="150">
        <v>1169211586400</v>
      </c>
      <c r="Y44" s="151"/>
      <c r="Z44" s="152">
        <f t="shared" si="0"/>
        <v>8.5734129643190507E-2</v>
      </c>
      <c r="AA44" s="145"/>
      <c r="AE44" s="153"/>
      <c r="AF44" s="153"/>
      <c r="AH44" s="153"/>
    </row>
    <row r="45" spans="2:34" ht="41.25" customHeight="1" x14ac:dyDescent="0.65">
      <c r="B45" s="149" t="s">
        <v>164</v>
      </c>
      <c r="C45" s="145"/>
      <c r="D45" s="150">
        <v>4000000</v>
      </c>
      <c r="E45" s="150"/>
      <c r="F45" s="150">
        <v>100823299585</v>
      </c>
      <c r="G45" s="150"/>
      <c r="H45" s="150">
        <v>123636842000</v>
      </c>
      <c r="I45" s="150">
        <v>159048000000</v>
      </c>
      <c r="J45" s="150">
        <v>0</v>
      </c>
      <c r="K45" s="150"/>
      <c r="L45" s="150">
        <v>0</v>
      </c>
      <c r="M45" s="150"/>
      <c r="N45" s="150">
        <v>0</v>
      </c>
      <c r="O45" s="150"/>
      <c r="P45" s="150">
        <v>0</v>
      </c>
      <c r="Q45" s="150"/>
      <c r="R45" s="150">
        <v>4000000</v>
      </c>
      <c r="S45" s="150"/>
      <c r="T45" s="150">
        <v>33230</v>
      </c>
      <c r="U45" s="150"/>
      <c r="V45" s="150">
        <v>100823299585</v>
      </c>
      <c r="W45" s="150"/>
      <c r="X45" s="150">
        <v>131892528400</v>
      </c>
      <c r="Y45" s="151"/>
      <c r="Z45" s="152">
        <f t="shared" si="0"/>
        <v>9.6712102927667201E-3</v>
      </c>
      <c r="AA45" s="145"/>
      <c r="AE45" s="153"/>
      <c r="AF45" s="153"/>
      <c r="AH45" s="153"/>
    </row>
    <row r="46" spans="2:34" ht="41.25" customHeight="1" x14ac:dyDescent="0.65">
      <c r="B46" s="149" t="s">
        <v>123</v>
      </c>
      <c r="C46" s="145"/>
      <c r="D46" s="150">
        <v>137600000</v>
      </c>
      <c r="E46" s="150"/>
      <c r="F46" s="150">
        <v>444078567408</v>
      </c>
      <c r="G46" s="150"/>
      <c r="H46" s="150">
        <v>528941827648</v>
      </c>
      <c r="I46" s="150">
        <v>52485840000</v>
      </c>
      <c r="J46" s="150">
        <v>42500000</v>
      </c>
      <c r="K46" s="150"/>
      <c r="L46" s="150">
        <v>184699890773</v>
      </c>
      <c r="M46" s="150"/>
      <c r="N46" s="150">
        <v>-168470102</v>
      </c>
      <c r="O46" s="150"/>
      <c r="P46" s="150">
        <v>675949975571</v>
      </c>
      <c r="Q46" s="150"/>
      <c r="R46" s="150">
        <v>11629898</v>
      </c>
      <c r="S46" s="150"/>
      <c r="T46" s="150">
        <v>3968</v>
      </c>
      <c r="U46" s="150"/>
      <c r="V46" s="150">
        <v>40603161209</v>
      </c>
      <c r="W46" s="150"/>
      <c r="X46" s="150">
        <v>45790715589.409302</v>
      </c>
      <c r="Y46" s="151"/>
      <c r="Z46" s="152">
        <f t="shared" si="0"/>
        <v>3.3576704100961702E-3</v>
      </c>
      <c r="AA46" s="145"/>
      <c r="AE46" s="153"/>
      <c r="AF46" s="153"/>
      <c r="AH46" s="153"/>
    </row>
    <row r="47" spans="2:34" ht="41.25" customHeight="1" x14ac:dyDescent="0.65">
      <c r="B47" s="149" t="s">
        <v>182</v>
      </c>
      <c r="C47" s="145"/>
      <c r="D47" s="150">
        <v>60000000</v>
      </c>
      <c r="E47" s="150"/>
      <c r="F47" s="150">
        <v>98042294767</v>
      </c>
      <c r="G47" s="150"/>
      <c r="H47" s="150">
        <v>109070318400</v>
      </c>
      <c r="I47" s="150">
        <v>151789446900</v>
      </c>
      <c r="J47" s="150">
        <v>0</v>
      </c>
      <c r="K47" s="150"/>
      <c r="L47" s="150">
        <v>0</v>
      </c>
      <c r="M47" s="150"/>
      <c r="N47" s="150">
        <v>0</v>
      </c>
      <c r="O47" s="150"/>
      <c r="P47" s="150">
        <v>0</v>
      </c>
      <c r="Q47" s="150"/>
      <c r="R47" s="150">
        <v>60000000</v>
      </c>
      <c r="S47" s="150"/>
      <c r="T47" s="150">
        <v>1665</v>
      </c>
      <c r="U47" s="150"/>
      <c r="V47" s="150">
        <v>98042294767</v>
      </c>
      <c r="W47" s="150"/>
      <c r="X47" s="150">
        <v>99127773000</v>
      </c>
      <c r="Y47" s="151"/>
      <c r="Z47" s="152">
        <f t="shared" si="0"/>
        <v>7.268687242306616E-3</v>
      </c>
      <c r="AA47" s="145"/>
      <c r="AE47" s="153"/>
      <c r="AF47" s="153"/>
      <c r="AH47" s="153"/>
    </row>
    <row r="48" spans="2:34" ht="41.25" customHeight="1" x14ac:dyDescent="0.65">
      <c r="B48" s="149" t="s">
        <v>124</v>
      </c>
      <c r="C48" s="145"/>
      <c r="D48" s="150">
        <v>1000</v>
      </c>
      <c r="E48" s="150"/>
      <c r="F48" s="150">
        <v>16436086</v>
      </c>
      <c r="G48" s="150"/>
      <c r="H48" s="150">
        <v>15082504</v>
      </c>
      <c r="I48" s="150">
        <v>415115280000</v>
      </c>
      <c r="J48" s="150">
        <v>0</v>
      </c>
      <c r="K48" s="150"/>
      <c r="L48" s="150">
        <v>0</v>
      </c>
      <c r="M48" s="150"/>
      <c r="N48" s="150">
        <v>0</v>
      </c>
      <c r="O48" s="150"/>
      <c r="P48" s="150">
        <v>0</v>
      </c>
      <c r="Q48" s="150"/>
      <c r="R48" s="150">
        <v>1000</v>
      </c>
      <c r="S48" s="150"/>
      <c r="T48" s="150">
        <v>14980</v>
      </c>
      <c r="U48" s="150"/>
      <c r="V48" s="150">
        <v>16436086</v>
      </c>
      <c r="W48" s="150"/>
      <c r="X48" s="150">
        <v>14864204.6</v>
      </c>
      <c r="Y48" s="151"/>
      <c r="Z48" s="152">
        <f t="shared" si="0"/>
        <v>1.0899392881857168E-6</v>
      </c>
      <c r="AA48" s="145"/>
      <c r="AE48" s="153"/>
      <c r="AF48" s="153"/>
      <c r="AH48" s="153"/>
    </row>
    <row r="49" spans="2:34" ht="41.25" customHeight="1" thickBot="1" x14ac:dyDescent="0.7">
      <c r="B49" s="139" t="s">
        <v>218</v>
      </c>
      <c r="C49" s="145">
        <v>0</v>
      </c>
      <c r="D49" s="131">
        <f>SUM(D9:D48)</f>
        <v>1910536881</v>
      </c>
      <c r="E49" s="131" t="e">
        <f>AC48=SUM(#REF!)</f>
        <v>#REF!</v>
      </c>
      <c r="F49" s="131">
        <f>SUM(F9:F48)</f>
        <v>6221962298815</v>
      </c>
      <c r="G49" s="131" t="e">
        <f t="shared" ref="G49" si="1">SUM(#REF!)</f>
        <v>#REF!</v>
      </c>
      <c r="H49" s="131">
        <f>SUM(H9:H48)</f>
        <v>8153127614263.5107</v>
      </c>
      <c r="I49" s="131" t="e">
        <f t="shared" ref="I49" si="2">SUM(#REF!)</f>
        <v>#REF!</v>
      </c>
      <c r="J49" s="131">
        <f>SUM(J9:J48)</f>
        <v>658920764</v>
      </c>
      <c r="K49" s="131" t="e">
        <f t="shared" ref="K49" si="3">SUM(#REF!)</f>
        <v>#REF!</v>
      </c>
      <c r="L49" s="131">
        <f>SUM(L9:L48)</f>
        <v>1162627686384</v>
      </c>
      <c r="M49" s="131" t="e">
        <f t="shared" ref="M49" si="4">SUM(#REF!)</f>
        <v>#REF!</v>
      </c>
      <c r="N49" s="131">
        <f>SUM(N9:N48)</f>
        <v>-332550347</v>
      </c>
      <c r="O49" s="131" t="e">
        <f t="shared" ref="O49" si="5">SUM(#REF!)</f>
        <v>#REF!</v>
      </c>
      <c r="P49" s="131">
        <f>SUM(P9:P48)</f>
        <v>2004806081882</v>
      </c>
      <c r="Q49" s="131" t="e">
        <f t="shared" ref="Q49" si="6">SUM(#REF!)</f>
        <v>#REF!</v>
      </c>
      <c r="R49" s="131">
        <f>SUM(R9:R48)</f>
        <v>2270778079</v>
      </c>
      <c r="S49" s="131" t="e">
        <f t="shared" ref="S49" si="7">SUM(#REF!)</f>
        <v>#REF!</v>
      </c>
      <c r="T49" s="131">
        <f>SUM(T9:T48)</f>
        <v>1141310</v>
      </c>
      <c r="U49" s="131" t="e">
        <f t="shared" ref="U49" si="8">SUM(#REF!)</f>
        <v>#REF!</v>
      </c>
      <c r="V49" s="131">
        <f>SUM(V9:V48)</f>
        <v>6057987512741</v>
      </c>
      <c r="W49" s="131" t="e">
        <f t="shared" ref="W49" si="9">SUM(#REF!)</f>
        <v>#REF!</v>
      </c>
      <c r="X49" s="131">
        <f>SUM(X9:X48)</f>
        <v>9099831364791.0293</v>
      </c>
      <c r="Y49" s="131" t="e">
        <f t="shared" ref="Y49" si="10">SUM(#REF!)</f>
        <v>#REF!</v>
      </c>
      <c r="Z49" s="294">
        <f>SUM(Z9:Z48)</f>
        <v>0.66725828843545343</v>
      </c>
      <c r="AA49" s="145"/>
      <c r="AE49" s="153"/>
      <c r="AF49" s="153"/>
      <c r="AH49" s="153"/>
    </row>
    <row r="50" spans="2:34" ht="45" customHeight="1" thickTop="1" x14ac:dyDescent="0.65">
      <c r="B50" s="149"/>
      <c r="C50" s="145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1"/>
      <c r="Z50" s="152"/>
      <c r="AA50" s="145"/>
      <c r="AE50" s="153"/>
      <c r="AF50" s="153"/>
      <c r="AH50" s="153"/>
    </row>
    <row r="51" spans="2:34" ht="41.25" customHeight="1" x14ac:dyDescent="0.65">
      <c r="B51" s="332" t="s">
        <v>37</v>
      </c>
      <c r="C51" s="332"/>
      <c r="D51" s="332"/>
      <c r="E51" s="332"/>
      <c r="F51" s="332"/>
      <c r="G51" s="332"/>
      <c r="H51" s="332"/>
      <c r="I51" s="332"/>
      <c r="J51" s="332"/>
      <c r="K51" s="332"/>
      <c r="L51" s="332"/>
      <c r="M51" s="332"/>
      <c r="N51" s="332"/>
      <c r="O51" s="332"/>
      <c r="P51" s="332"/>
      <c r="Q51" s="332"/>
      <c r="R51" s="332"/>
      <c r="S51" s="332"/>
      <c r="T51" s="332"/>
      <c r="U51" s="332"/>
      <c r="V51" s="332"/>
      <c r="W51" s="332"/>
      <c r="X51" s="332"/>
      <c r="Y51" s="332"/>
      <c r="Z51" s="332"/>
      <c r="AA51" s="145"/>
      <c r="AE51" s="153"/>
      <c r="AF51" s="153"/>
      <c r="AH51" s="153"/>
    </row>
    <row r="52" spans="2:34" ht="41.25" customHeight="1" x14ac:dyDescent="0.65">
      <c r="B52" s="332" t="s">
        <v>38</v>
      </c>
      <c r="C52" s="332"/>
      <c r="D52" s="332"/>
      <c r="E52" s="332"/>
      <c r="F52" s="332"/>
      <c r="G52" s="332"/>
      <c r="H52" s="332"/>
      <c r="I52" s="332"/>
      <c r="J52" s="332"/>
      <c r="K52" s="332"/>
      <c r="L52" s="332"/>
      <c r="M52" s="332"/>
      <c r="N52" s="332"/>
      <c r="O52" s="332"/>
      <c r="P52" s="332"/>
      <c r="Q52" s="332"/>
      <c r="R52" s="332"/>
      <c r="S52" s="332"/>
      <c r="T52" s="332"/>
      <c r="U52" s="332"/>
      <c r="V52" s="332"/>
      <c r="W52" s="332"/>
      <c r="X52" s="332"/>
      <c r="Y52" s="332"/>
      <c r="Z52" s="332"/>
      <c r="AA52" s="145"/>
      <c r="AE52" s="153"/>
      <c r="AF52" s="153"/>
      <c r="AH52" s="153"/>
    </row>
    <row r="53" spans="2:34" ht="41.25" customHeight="1" x14ac:dyDescent="0.65">
      <c r="B53" s="139"/>
      <c r="C53" s="140"/>
      <c r="D53" s="319" t="str">
        <f>D6</f>
        <v>1404/09/30</v>
      </c>
      <c r="E53" s="319"/>
      <c r="F53" s="319"/>
      <c r="G53" s="319"/>
      <c r="H53" s="319"/>
      <c r="I53" s="140"/>
      <c r="J53" s="333" t="s">
        <v>16</v>
      </c>
      <c r="K53" s="333"/>
      <c r="L53" s="333"/>
      <c r="M53" s="333"/>
      <c r="N53" s="333"/>
      <c r="O53" s="333"/>
      <c r="P53" s="333"/>
      <c r="Q53" s="141"/>
      <c r="R53" s="319" t="str">
        <f>R6</f>
        <v>1404/10/30</v>
      </c>
      <c r="S53" s="319"/>
      <c r="T53" s="319"/>
      <c r="U53" s="319"/>
      <c r="V53" s="319"/>
      <c r="W53" s="319"/>
      <c r="X53" s="319"/>
      <c r="Y53" s="319"/>
      <c r="Z53" s="319"/>
      <c r="AA53" s="145"/>
      <c r="AE53" s="153"/>
      <c r="AF53" s="153"/>
      <c r="AH53" s="153"/>
    </row>
    <row r="54" spans="2:34" ht="41.25" customHeight="1" x14ac:dyDescent="0.65">
      <c r="B54" s="325" t="s">
        <v>5</v>
      </c>
      <c r="C54" s="142"/>
      <c r="D54" s="330" t="s">
        <v>8</v>
      </c>
      <c r="E54" s="320"/>
      <c r="F54" s="328" t="s">
        <v>3</v>
      </c>
      <c r="G54" s="320"/>
      <c r="H54" s="320" t="s">
        <v>32</v>
      </c>
      <c r="I54" s="143"/>
      <c r="J54" s="327" t="s">
        <v>9</v>
      </c>
      <c r="K54" s="327"/>
      <c r="L54" s="327"/>
      <c r="M54" s="144"/>
      <c r="N54" s="327" t="s">
        <v>10</v>
      </c>
      <c r="O54" s="327"/>
      <c r="P54" s="327"/>
      <c r="Q54" s="144"/>
      <c r="R54" s="328" t="s">
        <v>8</v>
      </c>
      <c r="S54" s="320"/>
      <c r="T54" s="320" t="s">
        <v>42</v>
      </c>
      <c r="U54" s="142"/>
      <c r="V54" s="328" t="s">
        <v>3</v>
      </c>
      <c r="W54" s="320"/>
      <c r="X54" s="320" t="s">
        <v>32</v>
      </c>
      <c r="Y54" s="143"/>
      <c r="Z54" s="322" t="s">
        <v>35</v>
      </c>
      <c r="AA54" s="145"/>
      <c r="AE54" s="153"/>
      <c r="AF54" s="153"/>
      <c r="AH54" s="153"/>
    </row>
    <row r="55" spans="2:34" ht="41.25" customHeight="1" x14ac:dyDescent="0.65">
      <c r="B55" s="326"/>
      <c r="C55" s="145"/>
      <c r="D55" s="331"/>
      <c r="E55" s="321"/>
      <c r="F55" s="329"/>
      <c r="G55" s="321"/>
      <c r="H55" s="321"/>
      <c r="I55" s="146"/>
      <c r="J55" s="148" t="s">
        <v>8</v>
      </c>
      <c r="K55" s="148"/>
      <c r="L55" s="148" t="s">
        <v>3</v>
      </c>
      <c r="M55" s="148"/>
      <c r="N55" s="148" t="s">
        <v>8</v>
      </c>
      <c r="O55" s="148"/>
      <c r="P55" s="148" t="s">
        <v>80</v>
      </c>
      <c r="Q55" s="148"/>
      <c r="R55" s="329"/>
      <c r="S55" s="321"/>
      <c r="T55" s="321"/>
      <c r="U55" s="147"/>
      <c r="V55" s="329"/>
      <c r="W55" s="321"/>
      <c r="X55" s="321"/>
      <c r="Y55" s="146"/>
      <c r="Z55" s="323"/>
      <c r="AA55" s="145"/>
      <c r="AE55" s="153"/>
      <c r="AF55" s="153"/>
      <c r="AH55" s="153"/>
    </row>
    <row r="56" spans="2:34" ht="41.25" customHeight="1" x14ac:dyDescent="0.65">
      <c r="B56" s="197" t="s">
        <v>217</v>
      </c>
      <c r="C56" s="145"/>
      <c r="D56" s="150">
        <f>D49</f>
        <v>1910536881</v>
      </c>
      <c r="E56" s="150"/>
      <c r="F56" s="150">
        <f>F49</f>
        <v>6221962298815</v>
      </c>
      <c r="G56" s="150"/>
      <c r="H56" s="150">
        <f>H49</f>
        <v>8153127614263.5107</v>
      </c>
      <c r="I56" s="150"/>
      <c r="J56" s="150">
        <f>J49</f>
        <v>658920764</v>
      </c>
      <c r="K56" s="150"/>
      <c r="L56" s="150">
        <f>L49</f>
        <v>1162627686384</v>
      </c>
      <c r="M56" s="150"/>
      <c r="N56" s="150">
        <f>N49</f>
        <v>-332550347</v>
      </c>
      <c r="O56" s="150"/>
      <c r="P56" s="150">
        <f>P49</f>
        <v>2004806081882</v>
      </c>
      <c r="Q56" s="150"/>
      <c r="R56" s="150">
        <f>R49</f>
        <v>2270778079</v>
      </c>
      <c r="S56" s="150"/>
      <c r="T56" s="150">
        <f>T49</f>
        <v>1141310</v>
      </c>
      <c r="U56" s="150"/>
      <c r="V56" s="150">
        <f>V49</f>
        <v>6057987512741</v>
      </c>
      <c r="W56" s="150"/>
      <c r="X56" s="150">
        <f>X49</f>
        <v>9099831364791.0293</v>
      </c>
      <c r="Y56" s="151"/>
      <c r="Z56" s="295">
        <f>Z49</f>
        <v>0.66725828843545343</v>
      </c>
      <c r="AA56" s="145"/>
      <c r="AE56" s="153"/>
      <c r="AF56" s="153"/>
      <c r="AH56" s="153"/>
    </row>
    <row r="57" spans="2:34" ht="41.25" customHeight="1" x14ac:dyDescent="0.65">
      <c r="B57" s="149" t="s">
        <v>150</v>
      </c>
      <c r="C57" s="145"/>
      <c r="D57" s="150">
        <v>1783</v>
      </c>
      <c r="E57" s="150"/>
      <c r="F57" s="150">
        <v>8904539</v>
      </c>
      <c r="G57" s="150"/>
      <c r="H57" s="150">
        <v>10650688.8082</v>
      </c>
      <c r="I57" s="150">
        <v>97426840500</v>
      </c>
      <c r="J57" s="150">
        <v>0</v>
      </c>
      <c r="K57" s="150"/>
      <c r="L57" s="150">
        <v>0</v>
      </c>
      <c r="M57" s="150"/>
      <c r="N57" s="150">
        <v>-1</v>
      </c>
      <c r="O57" s="150"/>
      <c r="P57" s="150">
        <v>1</v>
      </c>
      <c r="Q57" s="150"/>
      <c r="R57" s="150">
        <v>1782</v>
      </c>
      <c r="S57" s="150"/>
      <c r="T57" s="150">
        <v>5980</v>
      </c>
      <c r="U57" s="150"/>
      <c r="V57" s="150">
        <v>8899545</v>
      </c>
      <c r="W57" s="150"/>
      <c r="X57" s="150">
        <v>10573986.337200001</v>
      </c>
      <c r="Y57" s="151"/>
      <c r="Z57" s="152">
        <f t="shared" ref="Z57:Z73" si="11">X57/$Z$83</f>
        <v>7.7535283264691233E-7</v>
      </c>
      <c r="AA57" s="145"/>
      <c r="AE57" s="153"/>
      <c r="AF57" s="153"/>
      <c r="AH57" s="153"/>
    </row>
    <row r="58" spans="2:34" ht="41.25" customHeight="1" x14ac:dyDescent="0.65">
      <c r="B58" s="149" t="s">
        <v>125</v>
      </c>
      <c r="C58" s="145"/>
      <c r="D58" s="150">
        <v>3000000</v>
      </c>
      <c r="E58" s="150"/>
      <c r="F58" s="150">
        <v>166407812671</v>
      </c>
      <c r="G58" s="150"/>
      <c r="H58" s="150">
        <v>249962735700</v>
      </c>
      <c r="I58" s="150">
        <v>56813933700</v>
      </c>
      <c r="J58" s="150">
        <v>0</v>
      </c>
      <c r="K58" s="150"/>
      <c r="L58" s="150">
        <v>0</v>
      </c>
      <c r="M58" s="150"/>
      <c r="N58" s="150">
        <v>0</v>
      </c>
      <c r="O58" s="150"/>
      <c r="P58" s="150">
        <v>0</v>
      </c>
      <c r="Q58" s="150"/>
      <c r="R58" s="150">
        <v>9000000</v>
      </c>
      <c r="S58" s="150"/>
      <c r="T58" s="150">
        <v>25630</v>
      </c>
      <c r="U58" s="150"/>
      <c r="V58" s="150">
        <v>166407812671</v>
      </c>
      <c r="W58" s="150"/>
      <c r="X58" s="150">
        <v>228886920900</v>
      </c>
      <c r="Y58" s="151"/>
      <c r="Z58" s="152">
        <f t="shared" si="11"/>
        <v>1.6783464326154827E-2</v>
      </c>
      <c r="AA58" s="145"/>
      <c r="AE58" s="153"/>
      <c r="AF58" s="153"/>
      <c r="AH58" s="153"/>
    </row>
    <row r="59" spans="2:34" ht="41.25" customHeight="1" x14ac:dyDescent="0.65">
      <c r="B59" s="149" t="s">
        <v>134</v>
      </c>
      <c r="C59" s="145"/>
      <c r="D59" s="150">
        <v>11000000</v>
      </c>
      <c r="E59" s="150"/>
      <c r="F59" s="150">
        <v>109517276579</v>
      </c>
      <c r="G59" s="150"/>
      <c r="H59" s="150">
        <v>167326490100</v>
      </c>
      <c r="I59" s="150">
        <v>24781666.5</v>
      </c>
      <c r="J59" s="150">
        <v>3000000</v>
      </c>
      <c r="K59" s="150"/>
      <c r="L59" s="150">
        <v>54030400376</v>
      </c>
      <c r="M59" s="150"/>
      <c r="N59" s="150">
        <v>-2000000</v>
      </c>
      <c r="O59" s="150"/>
      <c r="P59" s="150">
        <v>33665822006</v>
      </c>
      <c r="Q59" s="150"/>
      <c r="R59" s="150">
        <v>12000000</v>
      </c>
      <c r="S59" s="150"/>
      <c r="T59" s="150">
        <v>18630</v>
      </c>
      <c r="U59" s="150"/>
      <c r="V59" s="150">
        <v>142731023997</v>
      </c>
      <c r="W59" s="150"/>
      <c r="X59" s="150">
        <v>221831881200</v>
      </c>
      <c r="Y59" s="151"/>
      <c r="Z59" s="152">
        <f t="shared" si="11"/>
        <v>1.6266143342242915E-2</v>
      </c>
      <c r="AA59" s="145"/>
      <c r="AE59" s="153"/>
      <c r="AF59" s="153"/>
      <c r="AH59" s="153"/>
    </row>
    <row r="60" spans="2:34" ht="41.25" customHeight="1" x14ac:dyDescent="0.65">
      <c r="B60" s="149" t="s">
        <v>126</v>
      </c>
      <c r="C60" s="145"/>
      <c r="D60" s="150">
        <v>1000</v>
      </c>
      <c r="E60" s="150"/>
      <c r="F60" s="150">
        <v>483356</v>
      </c>
      <c r="G60" s="150"/>
      <c r="H60" s="150">
        <v>586431.56999999995</v>
      </c>
      <c r="I60" s="150">
        <v>149862978000</v>
      </c>
      <c r="J60" s="150">
        <v>0</v>
      </c>
      <c r="K60" s="150"/>
      <c r="L60" s="150">
        <v>0</v>
      </c>
      <c r="M60" s="150"/>
      <c r="N60" s="150">
        <v>0</v>
      </c>
      <c r="O60" s="150"/>
      <c r="P60" s="150">
        <v>0</v>
      </c>
      <c r="Q60" s="150"/>
      <c r="R60" s="150">
        <v>1000</v>
      </c>
      <c r="S60" s="150"/>
      <c r="T60" s="150">
        <v>515</v>
      </c>
      <c r="U60" s="150"/>
      <c r="V60" s="150">
        <v>483356</v>
      </c>
      <c r="W60" s="150"/>
      <c r="X60" s="150">
        <v>511019.05</v>
      </c>
      <c r="Y60" s="151"/>
      <c r="Z60" s="152">
        <f t="shared" si="11"/>
        <v>3.747121050838746E-8</v>
      </c>
      <c r="AA60" s="145"/>
      <c r="AE60" s="153"/>
      <c r="AF60" s="153"/>
      <c r="AH60" s="153"/>
    </row>
    <row r="61" spans="2:34" ht="41.25" customHeight="1" x14ac:dyDescent="0.65">
      <c r="B61" s="149" t="s">
        <v>127</v>
      </c>
      <c r="C61" s="145"/>
      <c r="D61" s="150">
        <v>1000</v>
      </c>
      <c r="E61" s="150"/>
      <c r="F61" s="150">
        <v>2644103</v>
      </c>
      <c r="G61" s="150"/>
      <c r="H61" s="150">
        <v>2534257.58</v>
      </c>
      <c r="I61" s="150">
        <v>142188912000</v>
      </c>
      <c r="J61" s="150">
        <v>0</v>
      </c>
      <c r="K61" s="150"/>
      <c r="L61" s="150">
        <v>0</v>
      </c>
      <c r="M61" s="150"/>
      <c r="N61" s="150">
        <v>0</v>
      </c>
      <c r="O61" s="150"/>
      <c r="P61" s="150">
        <v>0</v>
      </c>
      <c r="Q61" s="150"/>
      <c r="R61" s="150">
        <v>1000</v>
      </c>
      <c r="S61" s="150"/>
      <c r="T61" s="150">
        <v>2671</v>
      </c>
      <c r="U61" s="150"/>
      <c r="V61" s="150">
        <v>2644103</v>
      </c>
      <c r="W61" s="150"/>
      <c r="X61" s="150">
        <v>2650353.17</v>
      </c>
      <c r="Y61" s="151"/>
      <c r="Z61" s="152">
        <f t="shared" si="11"/>
        <v>1.9434097721922894E-7</v>
      </c>
      <c r="AA61" s="145"/>
      <c r="AE61" s="153"/>
      <c r="AF61" s="153"/>
      <c r="AH61" s="153"/>
    </row>
    <row r="62" spans="2:34" ht="41.25" customHeight="1" x14ac:dyDescent="0.65">
      <c r="B62" s="149" t="s">
        <v>128</v>
      </c>
      <c r="C62" s="145"/>
      <c r="D62" s="150">
        <v>6000000</v>
      </c>
      <c r="E62" s="150"/>
      <c r="F62" s="150">
        <v>16760179492</v>
      </c>
      <c r="G62" s="150"/>
      <c r="H62" s="150">
        <v>18349056840</v>
      </c>
      <c r="I62" s="150">
        <v>16610575.5</v>
      </c>
      <c r="J62" s="150">
        <v>0</v>
      </c>
      <c r="K62" s="150"/>
      <c r="L62" s="150">
        <v>0</v>
      </c>
      <c r="M62" s="150"/>
      <c r="N62" s="150">
        <v>-5999000</v>
      </c>
      <c r="O62" s="150"/>
      <c r="P62" s="150">
        <v>18451834219</v>
      </c>
      <c r="Q62" s="150"/>
      <c r="R62" s="150">
        <v>1000</v>
      </c>
      <c r="S62" s="150"/>
      <c r="T62" s="150">
        <v>3030</v>
      </c>
      <c r="U62" s="150"/>
      <c r="V62" s="150">
        <v>2793360</v>
      </c>
      <c r="W62" s="150"/>
      <c r="X62" s="150">
        <v>3006578.1</v>
      </c>
      <c r="Y62" s="151"/>
      <c r="Z62" s="152">
        <f t="shared" si="11"/>
        <v>2.2046168512701749E-7</v>
      </c>
      <c r="AA62" s="145"/>
      <c r="AE62" s="153"/>
      <c r="AF62" s="153"/>
      <c r="AH62" s="153"/>
    </row>
    <row r="63" spans="2:34" ht="41.25" customHeight="1" x14ac:dyDescent="0.65">
      <c r="B63" s="149" t="s">
        <v>129</v>
      </c>
      <c r="C63" s="145"/>
      <c r="D63" s="150">
        <v>107985195</v>
      </c>
      <c r="E63" s="150"/>
      <c r="F63" s="150">
        <v>813459726946</v>
      </c>
      <c r="G63" s="150"/>
      <c r="H63" s="150">
        <v>1241873940840.3101</v>
      </c>
      <c r="I63" s="150">
        <v>16988314.5</v>
      </c>
      <c r="J63" s="150">
        <v>28842771</v>
      </c>
      <c r="K63" s="150"/>
      <c r="L63" s="150">
        <v>333959000429</v>
      </c>
      <c r="M63" s="150"/>
      <c r="N63" s="150">
        <v>-1827966</v>
      </c>
      <c r="O63" s="150"/>
      <c r="P63" s="150">
        <v>23218908656</v>
      </c>
      <c r="Q63" s="150"/>
      <c r="R63" s="150">
        <v>135000000</v>
      </c>
      <c r="S63" s="150"/>
      <c r="T63" s="150">
        <v>15870</v>
      </c>
      <c r="U63" s="150"/>
      <c r="V63" s="150">
        <v>1132089679646</v>
      </c>
      <c r="W63" s="150"/>
      <c r="X63" s="150">
        <v>2125888861500</v>
      </c>
      <c r="Y63" s="151"/>
      <c r="Z63" s="152">
        <f t="shared" si="11"/>
        <v>0.15588387369649459</v>
      </c>
      <c r="AA63" s="145"/>
      <c r="AE63" s="153"/>
      <c r="AF63" s="153"/>
      <c r="AH63" s="153"/>
    </row>
    <row r="64" spans="2:34" ht="41.25" customHeight="1" x14ac:dyDescent="0.65">
      <c r="B64" s="149" t="s">
        <v>262</v>
      </c>
      <c r="C64" s="145"/>
      <c r="D64" s="150">
        <v>515000</v>
      </c>
      <c r="E64" s="150"/>
      <c r="F64" s="150">
        <v>8540927220</v>
      </c>
      <c r="G64" s="150"/>
      <c r="H64" s="150">
        <v>10353245953</v>
      </c>
      <c r="I64" s="150">
        <v>308105797500</v>
      </c>
      <c r="J64" s="150">
        <v>0</v>
      </c>
      <c r="K64" s="150"/>
      <c r="L64" s="150">
        <v>0</v>
      </c>
      <c r="M64" s="150"/>
      <c r="N64" s="150">
        <v>-257500</v>
      </c>
      <c r="O64" s="150"/>
      <c r="P64" s="150">
        <v>5565561323</v>
      </c>
      <c r="Q64" s="150"/>
      <c r="R64" s="150">
        <v>257500</v>
      </c>
      <c r="S64" s="150"/>
      <c r="T64" s="150">
        <v>18900</v>
      </c>
      <c r="U64" s="150"/>
      <c r="V64" s="150">
        <v>4270463617</v>
      </c>
      <c r="W64" s="150"/>
      <c r="X64" s="150">
        <v>4829130022.5</v>
      </c>
      <c r="Y64" s="151"/>
      <c r="Z64" s="152">
        <f t="shared" si="11"/>
        <v>3.5410293930426151E-4</v>
      </c>
      <c r="AA64" s="145"/>
      <c r="AE64" s="153"/>
      <c r="AF64" s="153"/>
      <c r="AH64" s="153"/>
    </row>
    <row r="65" spans="2:34" ht="41.25" customHeight="1" x14ac:dyDescent="0.65">
      <c r="B65" s="149" t="s">
        <v>181</v>
      </c>
      <c r="C65" s="145"/>
      <c r="D65" s="150">
        <v>2700000</v>
      </c>
      <c r="E65" s="150"/>
      <c r="F65" s="150">
        <v>11635663561</v>
      </c>
      <c r="G65" s="150"/>
      <c r="H65" s="150">
        <v>13714461351</v>
      </c>
      <c r="I65" s="150">
        <v>227635959360</v>
      </c>
      <c r="J65" s="150">
        <v>0</v>
      </c>
      <c r="K65" s="150"/>
      <c r="L65" s="150">
        <v>0</v>
      </c>
      <c r="M65" s="150"/>
      <c r="N65" s="150">
        <v>-2700000</v>
      </c>
      <c r="O65" s="150"/>
      <c r="P65" s="150">
        <v>14347634342</v>
      </c>
      <c r="Q65" s="150"/>
      <c r="R65" s="150">
        <v>0</v>
      </c>
      <c r="S65" s="150"/>
      <c r="T65" s="150">
        <v>0</v>
      </c>
      <c r="U65" s="150"/>
      <c r="V65" s="150">
        <v>0</v>
      </c>
      <c r="W65" s="150"/>
      <c r="X65" s="150">
        <v>0</v>
      </c>
      <c r="Y65" s="151"/>
      <c r="Z65" s="152">
        <f t="shared" si="11"/>
        <v>0</v>
      </c>
      <c r="AA65" s="145"/>
      <c r="AE65" s="153"/>
      <c r="AF65" s="153"/>
      <c r="AH65" s="153"/>
    </row>
    <row r="66" spans="2:34" ht="41.25" customHeight="1" x14ac:dyDescent="0.65">
      <c r="B66" s="149" t="s">
        <v>251</v>
      </c>
      <c r="C66" s="145"/>
      <c r="D66" s="150">
        <v>360000</v>
      </c>
      <c r="E66" s="150"/>
      <c r="F66" s="150">
        <v>3620597726</v>
      </c>
      <c r="G66" s="150"/>
      <c r="H66" s="150">
        <v>4515225402</v>
      </c>
      <c r="I66" s="150">
        <v>289349068050</v>
      </c>
      <c r="J66" s="150">
        <v>0</v>
      </c>
      <c r="K66" s="150"/>
      <c r="L66" s="150">
        <v>0</v>
      </c>
      <c r="M66" s="150"/>
      <c r="N66" s="150">
        <v>0</v>
      </c>
      <c r="O66" s="150"/>
      <c r="P66" s="150">
        <v>0</v>
      </c>
      <c r="Q66" s="150"/>
      <c r="R66" s="150">
        <v>360000</v>
      </c>
      <c r="S66" s="150"/>
      <c r="T66" s="150">
        <v>13080</v>
      </c>
      <c r="U66" s="150"/>
      <c r="V66" s="150">
        <v>3620597726</v>
      </c>
      <c r="W66" s="150"/>
      <c r="X66" s="150">
        <v>4672400975</v>
      </c>
      <c r="Y66" s="151"/>
      <c r="Z66" s="152">
        <f t="shared" si="11"/>
        <v>3.4261055534782862E-4</v>
      </c>
      <c r="AA66" s="145"/>
      <c r="AE66" s="153"/>
      <c r="AF66" s="153"/>
      <c r="AH66" s="153"/>
    </row>
    <row r="67" spans="2:34" ht="41.25" customHeight="1" x14ac:dyDescent="0.65">
      <c r="B67" s="149" t="s">
        <v>139</v>
      </c>
      <c r="C67" s="145"/>
      <c r="D67" s="150">
        <v>21000000</v>
      </c>
      <c r="E67" s="150"/>
      <c r="F67" s="150">
        <v>156123355184</v>
      </c>
      <c r="G67" s="150"/>
      <c r="H67" s="150">
        <v>157116031800</v>
      </c>
      <c r="I67" s="150"/>
      <c r="J67" s="150">
        <v>3000000</v>
      </c>
      <c r="K67" s="150"/>
      <c r="L67" s="150">
        <v>23208496878</v>
      </c>
      <c r="M67" s="150"/>
      <c r="N67" s="150">
        <v>0</v>
      </c>
      <c r="O67" s="150"/>
      <c r="P67" s="150">
        <v>0</v>
      </c>
      <c r="Q67" s="150"/>
      <c r="R67" s="150">
        <v>24000000</v>
      </c>
      <c r="S67" s="150"/>
      <c r="T67" s="150">
        <v>7350</v>
      </c>
      <c r="U67" s="150"/>
      <c r="V67" s="150">
        <v>179331852062</v>
      </c>
      <c r="W67" s="150"/>
      <c r="X67" s="150">
        <v>175036428000</v>
      </c>
      <c r="Y67" s="151"/>
      <c r="Z67" s="152">
        <f t="shared" si="11"/>
        <v>1.2834799094523393E-2</v>
      </c>
      <c r="AA67" s="145"/>
      <c r="AE67" s="153"/>
      <c r="AF67" s="153"/>
      <c r="AH67" s="153"/>
    </row>
    <row r="68" spans="2:34" ht="41.25" customHeight="1" x14ac:dyDescent="0.65">
      <c r="B68" s="149" t="s">
        <v>260</v>
      </c>
      <c r="C68" s="145"/>
      <c r="D68" s="150">
        <v>267500</v>
      </c>
      <c r="E68" s="150"/>
      <c r="F68" s="150">
        <v>7575228505</v>
      </c>
      <c r="G68" s="150"/>
      <c r="H68" s="150">
        <v>7883337082.5</v>
      </c>
      <c r="I68" s="150"/>
      <c r="J68" s="150">
        <v>0</v>
      </c>
      <c r="K68" s="150"/>
      <c r="L68" s="150">
        <v>0</v>
      </c>
      <c r="M68" s="150"/>
      <c r="N68" s="150">
        <v>-133750</v>
      </c>
      <c r="O68" s="150"/>
      <c r="P68" s="150">
        <v>4548138053</v>
      </c>
      <c r="Q68" s="150"/>
      <c r="R68" s="150">
        <v>133750</v>
      </c>
      <c r="S68" s="150"/>
      <c r="T68" s="150">
        <v>42050</v>
      </c>
      <c r="U68" s="150"/>
      <c r="V68" s="150">
        <v>3787614251</v>
      </c>
      <c r="W68" s="150"/>
      <c r="X68" s="150">
        <v>5580712530.625</v>
      </c>
      <c r="Y68" s="151"/>
      <c r="Z68" s="152">
        <f t="shared" si="11"/>
        <v>4.0921381310901243E-4</v>
      </c>
      <c r="AA68" s="145"/>
      <c r="AE68" s="153"/>
      <c r="AF68" s="153"/>
      <c r="AH68" s="153"/>
    </row>
    <row r="69" spans="2:34" ht="41.25" customHeight="1" x14ac:dyDescent="0.65">
      <c r="B69" s="149" t="s">
        <v>272</v>
      </c>
      <c r="C69" s="145"/>
      <c r="D69" s="150">
        <v>0</v>
      </c>
      <c r="E69" s="150"/>
      <c r="F69" s="150">
        <v>0</v>
      </c>
      <c r="G69" s="150"/>
      <c r="H69" s="150">
        <v>0</v>
      </c>
      <c r="I69" s="150"/>
      <c r="J69" s="150">
        <v>79267706</v>
      </c>
      <c r="K69" s="150"/>
      <c r="L69" s="150">
        <v>380165153745</v>
      </c>
      <c r="M69" s="150"/>
      <c r="N69" s="150">
        <v>-4400000</v>
      </c>
      <c r="O69" s="150"/>
      <c r="P69" s="150">
        <v>17615762846</v>
      </c>
      <c r="Q69" s="150"/>
      <c r="R69" s="150">
        <v>74867706</v>
      </c>
      <c r="S69" s="150"/>
      <c r="T69" s="150">
        <v>4733</v>
      </c>
      <c r="U69" s="150"/>
      <c r="V69" s="150">
        <v>363938713416</v>
      </c>
      <c r="W69" s="150"/>
      <c r="X69" s="150">
        <v>351609735860</v>
      </c>
      <c r="Y69" s="151"/>
      <c r="Z69" s="152">
        <f t="shared" si="11"/>
        <v>2.5782292126308348E-2</v>
      </c>
      <c r="AA69" s="145"/>
      <c r="AE69" s="153"/>
      <c r="AF69" s="153"/>
      <c r="AH69" s="153"/>
    </row>
    <row r="70" spans="2:34" ht="41.25" customHeight="1" x14ac:dyDescent="0.65">
      <c r="B70" s="149" t="s">
        <v>273</v>
      </c>
      <c r="C70" s="145"/>
      <c r="D70" s="150">
        <v>0</v>
      </c>
      <c r="E70" s="150"/>
      <c r="F70" s="150">
        <v>0</v>
      </c>
      <c r="G70" s="150"/>
      <c r="H70" s="150">
        <v>0</v>
      </c>
      <c r="I70" s="150"/>
      <c r="J70" s="150">
        <v>1675000</v>
      </c>
      <c r="K70" s="150"/>
      <c r="L70" s="150">
        <v>7133514281</v>
      </c>
      <c r="M70" s="150"/>
      <c r="N70" s="150">
        <v>0</v>
      </c>
      <c r="O70" s="150"/>
      <c r="P70" s="150">
        <v>0</v>
      </c>
      <c r="Q70" s="150"/>
      <c r="R70" s="150">
        <v>1675000</v>
      </c>
      <c r="S70" s="150"/>
      <c r="T70" s="150">
        <v>4449</v>
      </c>
      <c r="U70" s="150"/>
      <c r="V70" s="150">
        <v>7133514281</v>
      </c>
      <c r="W70" s="150"/>
      <c r="X70" s="150">
        <v>7394470460.25</v>
      </c>
      <c r="Y70" s="151"/>
      <c r="Z70" s="152">
        <f t="shared" si="11"/>
        <v>5.4221023504716793E-4</v>
      </c>
      <c r="AA70" s="145"/>
      <c r="AE70" s="153"/>
      <c r="AF70" s="153"/>
      <c r="AH70" s="153"/>
    </row>
    <row r="71" spans="2:34" ht="41.25" customHeight="1" x14ac:dyDescent="0.65">
      <c r="B71" s="149" t="s">
        <v>274</v>
      </c>
      <c r="C71" s="145"/>
      <c r="D71" s="150">
        <v>0</v>
      </c>
      <c r="E71" s="150"/>
      <c r="F71" s="150">
        <v>0</v>
      </c>
      <c r="G71" s="150"/>
      <c r="H71" s="150">
        <v>0</v>
      </c>
      <c r="I71" s="150"/>
      <c r="J71" s="150">
        <v>100000</v>
      </c>
      <c r="K71" s="150"/>
      <c r="L71" s="150">
        <v>3787915314</v>
      </c>
      <c r="M71" s="150"/>
      <c r="N71" s="150">
        <v>-100000</v>
      </c>
      <c r="O71" s="150"/>
      <c r="P71" s="150">
        <v>4115321807</v>
      </c>
      <c r="Q71" s="150"/>
      <c r="R71" s="150">
        <v>0</v>
      </c>
      <c r="S71" s="150"/>
      <c r="T71" s="150">
        <v>0</v>
      </c>
      <c r="U71" s="150"/>
      <c r="V71" s="150">
        <v>0</v>
      </c>
      <c r="W71" s="150"/>
      <c r="X71" s="150">
        <v>0</v>
      </c>
      <c r="Y71" s="151"/>
      <c r="Z71" s="152">
        <f t="shared" si="11"/>
        <v>0</v>
      </c>
      <c r="AA71" s="145"/>
      <c r="AE71" s="153"/>
      <c r="AF71" s="153"/>
      <c r="AH71" s="153"/>
    </row>
    <row r="72" spans="2:34" ht="41.25" customHeight="1" x14ac:dyDescent="0.65">
      <c r="B72" s="149" t="s">
        <v>275</v>
      </c>
      <c r="C72" s="145"/>
      <c r="D72" s="150">
        <v>0</v>
      </c>
      <c r="E72" s="150"/>
      <c r="F72" s="150">
        <v>0</v>
      </c>
      <c r="G72" s="150"/>
      <c r="H72" s="150">
        <v>0</v>
      </c>
      <c r="I72" s="150"/>
      <c r="J72" s="150">
        <v>50000</v>
      </c>
      <c r="K72" s="150"/>
      <c r="L72" s="150">
        <v>12087758820</v>
      </c>
      <c r="M72" s="150"/>
      <c r="N72" s="150">
        <v>0</v>
      </c>
      <c r="O72" s="150"/>
      <c r="P72" s="150">
        <v>0</v>
      </c>
      <c r="Q72" s="150"/>
      <c r="R72" s="150">
        <v>50000</v>
      </c>
      <c r="S72" s="150"/>
      <c r="T72" s="150">
        <v>271320</v>
      </c>
      <c r="U72" s="150"/>
      <c r="V72" s="150">
        <v>12087758820</v>
      </c>
      <c r="W72" s="150"/>
      <c r="X72" s="150">
        <v>13461134820</v>
      </c>
      <c r="Y72" s="151"/>
      <c r="Z72" s="152">
        <f t="shared" si="11"/>
        <v>9.8705716845977538E-4</v>
      </c>
      <c r="AA72" s="145"/>
      <c r="AE72" s="153"/>
      <c r="AF72" s="153"/>
      <c r="AH72" s="153"/>
    </row>
    <row r="73" spans="2:34" ht="41.25" customHeight="1" x14ac:dyDescent="0.65">
      <c r="B73" s="149" t="s">
        <v>276</v>
      </c>
      <c r="C73" s="145"/>
      <c r="D73" s="150">
        <v>0</v>
      </c>
      <c r="E73" s="150"/>
      <c r="F73" s="150">
        <v>0</v>
      </c>
      <c r="G73" s="150"/>
      <c r="H73" s="150">
        <v>0</v>
      </c>
      <c r="I73" s="150"/>
      <c r="J73" s="150">
        <v>15865463</v>
      </c>
      <c r="K73" s="150"/>
      <c r="L73" s="150">
        <v>99149054017</v>
      </c>
      <c r="M73" s="150"/>
      <c r="N73" s="150">
        <v>-465463</v>
      </c>
      <c r="O73" s="150"/>
      <c r="P73" s="150">
        <v>2894772624</v>
      </c>
      <c r="Q73" s="150"/>
      <c r="R73" s="150">
        <v>15400000</v>
      </c>
      <c r="S73" s="150"/>
      <c r="T73" s="150">
        <v>6810</v>
      </c>
      <c r="U73" s="150"/>
      <c r="V73" s="150">
        <v>96257140430</v>
      </c>
      <c r="W73" s="150"/>
      <c r="X73" s="150">
        <v>104063323980</v>
      </c>
      <c r="Y73" s="151"/>
      <c r="Z73" s="152">
        <f t="shared" si="11"/>
        <v>7.6305936521487896E-3</v>
      </c>
      <c r="AA73" s="145"/>
      <c r="AE73" s="153"/>
      <c r="AF73" s="153"/>
      <c r="AH73" s="153"/>
    </row>
    <row r="74" spans="2:34" ht="41.25" customHeight="1" x14ac:dyDescent="0.65">
      <c r="B74" s="149" t="s">
        <v>277</v>
      </c>
      <c r="C74" s="145"/>
      <c r="D74" s="150">
        <v>0</v>
      </c>
      <c r="E74" s="150"/>
      <c r="F74" s="150">
        <v>0</v>
      </c>
      <c r="G74" s="150"/>
      <c r="H74" s="150">
        <v>0</v>
      </c>
      <c r="I74" s="150"/>
      <c r="J74" s="150">
        <v>750000</v>
      </c>
      <c r="K74" s="150"/>
      <c r="L74" s="150">
        <v>6275488425</v>
      </c>
      <c r="M74" s="150"/>
      <c r="N74" s="150">
        <v>-375000</v>
      </c>
      <c r="O74" s="150"/>
      <c r="P74" s="150">
        <v>3808782514</v>
      </c>
      <c r="Q74" s="150"/>
      <c r="R74" s="150">
        <v>375000</v>
      </c>
      <c r="S74" s="150"/>
      <c r="T74" s="150">
        <v>11490</v>
      </c>
      <c r="U74" s="150"/>
      <c r="V74" s="150">
        <v>3137744212</v>
      </c>
      <c r="W74" s="150"/>
      <c r="X74" s="150">
        <v>4275443362.5</v>
      </c>
      <c r="Y74" s="151"/>
      <c r="Z74" s="152">
        <f t="shared" ref="Z74" si="12">X74/$Z$83</f>
        <v>3.1350306461750381E-4</v>
      </c>
      <c r="AA74" s="145"/>
      <c r="AE74" s="153"/>
      <c r="AF74" s="153"/>
      <c r="AH74" s="153"/>
    </row>
    <row r="75" spans="2:34" ht="41.25" customHeight="1" x14ac:dyDescent="0.65">
      <c r="B75" s="149" t="s">
        <v>278</v>
      </c>
      <c r="C75" s="145"/>
      <c r="D75" s="150">
        <v>0</v>
      </c>
      <c r="E75" s="150"/>
      <c r="F75" s="150">
        <v>0</v>
      </c>
      <c r="G75" s="150"/>
      <c r="H75" s="150">
        <v>0</v>
      </c>
      <c r="I75" s="150"/>
      <c r="J75" s="150">
        <v>455</v>
      </c>
      <c r="K75" s="150"/>
      <c r="L75" s="150">
        <v>17098226</v>
      </c>
      <c r="M75" s="150"/>
      <c r="N75" s="150">
        <v>-455</v>
      </c>
      <c r="O75" s="150"/>
      <c r="P75" s="150">
        <v>19054489</v>
      </c>
      <c r="Q75" s="150"/>
      <c r="R75" s="150">
        <v>0</v>
      </c>
      <c r="S75" s="150"/>
      <c r="T75" s="150">
        <v>0</v>
      </c>
      <c r="U75" s="150"/>
      <c r="V75" s="150">
        <v>0</v>
      </c>
      <c r="W75" s="150"/>
      <c r="X75" s="150">
        <v>0</v>
      </c>
      <c r="Y75" s="151"/>
      <c r="Z75" s="152">
        <f>X75/$Z$83</f>
        <v>0</v>
      </c>
      <c r="AA75" s="145"/>
      <c r="AE75" s="153"/>
      <c r="AF75" s="153"/>
      <c r="AH75" s="153"/>
    </row>
    <row r="76" spans="2:34" ht="41.25" customHeight="1" thickBot="1" x14ac:dyDescent="0.7">
      <c r="B76" s="139" t="s">
        <v>7</v>
      </c>
      <c r="C76" s="145"/>
      <c r="D76" s="131">
        <f>SUM(D56:D75)</f>
        <v>2063368359</v>
      </c>
      <c r="E76" s="131" t="e">
        <f>SUM(E9:E75)</f>
        <v>#REF!</v>
      </c>
      <c r="F76" s="131">
        <f>SUM(F56:F75)</f>
        <v>7515615098697</v>
      </c>
      <c r="G76" s="131" t="e">
        <f>SUM(G9:G75)</f>
        <v>#REF!</v>
      </c>
      <c r="H76" s="131">
        <f>SUM(H56:H75)</f>
        <v>10024235910710.279</v>
      </c>
      <c r="I76" s="131" t="e">
        <f>SUM(I9:I75)</f>
        <v>#REF!</v>
      </c>
      <c r="J76" s="131">
        <f>SUM(J56:J75)</f>
        <v>791472159</v>
      </c>
      <c r="K76" s="131" t="e">
        <f>SUM(K9:K75)</f>
        <v>#REF!</v>
      </c>
      <c r="L76" s="131">
        <f>SUM(L56:L75)</f>
        <v>2082441566895</v>
      </c>
      <c r="M76" s="131" t="e">
        <f>SUM(M9:M75)</f>
        <v>#REF!</v>
      </c>
      <c r="N76" s="313">
        <f>SUM(N56:N75)</f>
        <v>-350809482</v>
      </c>
      <c r="O76" s="131" t="e">
        <f>SUM(O9:O75)</f>
        <v>#REF!</v>
      </c>
      <c r="P76" s="131">
        <f>SUM(P56:P75)</f>
        <v>2133057674762</v>
      </c>
      <c r="Q76" s="131" t="e">
        <f>SUM(Q9:Q75)</f>
        <v>#REF!</v>
      </c>
      <c r="R76" s="131">
        <f>SUM(R56:R75)</f>
        <v>2543901817</v>
      </c>
      <c r="S76" s="131" t="e">
        <f>SUM(S9:S75)</f>
        <v>#REF!</v>
      </c>
      <c r="T76" s="131">
        <f>SUM(T56:T75)</f>
        <v>1593818</v>
      </c>
      <c r="U76" s="131" t="e">
        <f>SUM(U9:U75)</f>
        <v>#REF!</v>
      </c>
      <c r="V76" s="131">
        <f>SUM(V56:V75)</f>
        <v>8172796248234</v>
      </c>
      <c r="W76" s="131" t="e">
        <f>SUM(W9:W75)</f>
        <v>#REF!</v>
      </c>
      <c r="X76" s="131">
        <f>SUM(X56:X75)</f>
        <v>12347378550338.563</v>
      </c>
      <c r="Y76" s="131" t="e">
        <f>SUM(Y9:Y75)</f>
        <v>#REF!</v>
      </c>
      <c r="Z76" s="294">
        <f>SUM(Z56:Z75)</f>
        <v>0.90538938007591729</v>
      </c>
      <c r="AC76" s="156"/>
    </row>
    <row r="77" spans="2:34" ht="30.75" thickTop="1" x14ac:dyDescent="0.75">
      <c r="H77" s="303"/>
      <c r="J77" s="153"/>
      <c r="L77" s="153"/>
      <c r="N77" s="126"/>
      <c r="O77" s="126"/>
      <c r="P77" s="153"/>
      <c r="X77" s="153"/>
      <c r="Z77" s="282"/>
      <c r="AC77" s="156"/>
    </row>
    <row r="78" spans="2:34" ht="30" hidden="1" customHeight="1" x14ac:dyDescent="0.75">
      <c r="H78" s="303"/>
      <c r="W78" s="126"/>
      <c r="X78" s="126"/>
      <c r="Z78" s="282"/>
      <c r="AC78" s="156"/>
    </row>
    <row r="79" spans="2:34" ht="42.75" customHeight="1" x14ac:dyDescent="0.75">
      <c r="D79" s="153"/>
      <c r="F79" s="153"/>
      <c r="H79" s="284"/>
      <c r="J79" s="153"/>
      <c r="L79" s="153"/>
      <c r="M79" s="153"/>
      <c r="N79" s="153"/>
      <c r="O79" s="153"/>
      <c r="P79" s="153"/>
      <c r="R79" s="153"/>
      <c r="T79" s="153"/>
      <c r="V79" s="153"/>
      <c r="X79" s="304"/>
      <c r="Z79" s="282"/>
      <c r="AC79" s="156"/>
    </row>
    <row r="80" spans="2:34" ht="30" x14ac:dyDescent="0.75">
      <c r="D80" s="158"/>
      <c r="E80" s="158"/>
      <c r="F80" s="158"/>
      <c r="G80" s="158"/>
      <c r="H80" s="284"/>
      <c r="I80" s="158"/>
      <c r="J80" s="158"/>
      <c r="K80" s="158"/>
      <c r="L80" s="158"/>
      <c r="M80" s="158"/>
      <c r="N80" s="158"/>
      <c r="O80" s="158"/>
      <c r="P80" s="158"/>
      <c r="R80" s="158"/>
      <c r="S80" s="158"/>
      <c r="T80" s="158"/>
      <c r="W80" s="126"/>
      <c r="X80" s="285"/>
      <c r="Z80" s="282"/>
      <c r="AC80" s="156"/>
    </row>
    <row r="81" spans="8:29" ht="30" x14ac:dyDescent="0.75">
      <c r="H81" s="284"/>
      <c r="J81" s="158"/>
      <c r="L81" s="153"/>
      <c r="N81" s="158"/>
      <c r="P81" s="153"/>
      <c r="X81" s="284"/>
      <c r="AC81" s="156"/>
    </row>
    <row r="82" spans="8:29" x14ac:dyDescent="0.65">
      <c r="P82" s="153"/>
      <c r="X82" s="158"/>
      <c r="AC82" s="156"/>
    </row>
    <row r="83" spans="8:29" ht="30" x14ac:dyDescent="0.75">
      <c r="H83" s="158"/>
      <c r="P83" s="153"/>
      <c r="R83" s="306"/>
      <c r="Z83" s="403">
        <v>13637644556095</v>
      </c>
      <c r="AC83" s="156"/>
    </row>
    <row r="84" spans="8:29" x14ac:dyDescent="0.65">
      <c r="P84" s="153"/>
      <c r="Z84" s="153"/>
      <c r="AC84" s="156"/>
    </row>
    <row r="85" spans="8:29" x14ac:dyDescent="0.65">
      <c r="P85" s="153"/>
      <c r="Z85" s="150"/>
      <c r="AC85" s="156"/>
    </row>
    <row r="86" spans="8:29" x14ac:dyDescent="0.65">
      <c r="P86" s="153"/>
      <c r="Z86" s="159"/>
      <c r="AC86" s="156"/>
    </row>
    <row r="87" spans="8:29" x14ac:dyDescent="0.65">
      <c r="P87" s="153"/>
      <c r="AC87" s="156"/>
    </row>
    <row r="88" spans="8:29" x14ac:dyDescent="0.65">
      <c r="P88" s="153"/>
      <c r="AC88" s="156"/>
    </row>
    <row r="89" spans="8:29" x14ac:dyDescent="0.65">
      <c r="P89" s="153"/>
      <c r="AC89" s="156"/>
    </row>
    <row r="90" spans="8:29" x14ac:dyDescent="0.65">
      <c r="P90" s="153"/>
      <c r="AC90" s="156"/>
    </row>
    <row r="91" spans="8:29" x14ac:dyDescent="0.65">
      <c r="P91" s="153"/>
      <c r="AC91" s="156"/>
    </row>
    <row r="92" spans="8:29" x14ac:dyDescent="0.65">
      <c r="P92" s="153"/>
      <c r="AC92" s="156"/>
    </row>
    <row r="93" spans="8:29" x14ac:dyDescent="0.65">
      <c r="P93" s="153"/>
      <c r="AC93" s="156"/>
    </row>
    <row r="94" spans="8:29" x14ac:dyDescent="0.65">
      <c r="P94" s="153"/>
      <c r="AC94" s="156"/>
    </row>
    <row r="95" spans="8:29" x14ac:dyDescent="0.65">
      <c r="P95" s="153"/>
      <c r="AC95" s="156"/>
    </row>
    <row r="96" spans="8:29" x14ac:dyDescent="0.65">
      <c r="P96" s="153"/>
      <c r="AC96" s="156"/>
    </row>
    <row r="97" spans="16:29" x14ac:dyDescent="0.65">
      <c r="P97" s="153"/>
      <c r="AC97" s="156"/>
    </row>
    <row r="98" spans="16:29" x14ac:dyDescent="0.65">
      <c r="P98" s="153"/>
      <c r="AC98" s="156"/>
    </row>
    <row r="99" spans="16:29" x14ac:dyDescent="0.65">
      <c r="P99" s="153"/>
      <c r="AC99" s="156"/>
    </row>
    <row r="100" spans="16:29" x14ac:dyDescent="0.65">
      <c r="P100" s="153"/>
      <c r="AC100" s="156"/>
    </row>
    <row r="101" spans="16:29" x14ac:dyDescent="0.65">
      <c r="P101" s="153"/>
      <c r="AC101" s="156"/>
    </row>
    <row r="102" spans="16:29" x14ac:dyDescent="0.65">
      <c r="P102" s="153"/>
      <c r="AC102" s="156"/>
    </row>
    <row r="103" spans="16:29" x14ac:dyDescent="0.65">
      <c r="P103" s="153"/>
      <c r="AC103" s="156"/>
    </row>
    <row r="104" spans="16:29" x14ac:dyDescent="0.65">
      <c r="P104" s="153"/>
      <c r="AC104" s="156"/>
    </row>
    <row r="105" spans="16:29" x14ac:dyDescent="0.65">
      <c r="P105" s="153"/>
      <c r="AC105" s="156"/>
    </row>
    <row r="106" spans="16:29" x14ac:dyDescent="0.65">
      <c r="P106" s="153"/>
      <c r="AC106" s="156"/>
    </row>
    <row r="107" spans="16:29" x14ac:dyDescent="0.65">
      <c r="P107" s="153"/>
      <c r="AC107" s="156"/>
    </row>
    <row r="108" spans="16:29" x14ac:dyDescent="0.65">
      <c r="P108" s="153"/>
      <c r="AC108" s="160"/>
    </row>
    <row r="109" spans="16:29" x14ac:dyDescent="0.65">
      <c r="P109" s="153"/>
      <c r="AC109" s="156"/>
    </row>
    <row r="110" spans="16:29" x14ac:dyDescent="0.65">
      <c r="P110" s="153"/>
      <c r="AC110" s="156"/>
    </row>
    <row r="111" spans="16:29" x14ac:dyDescent="0.65">
      <c r="P111" s="153"/>
      <c r="AC111" s="156"/>
    </row>
    <row r="112" spans="16:29" x14ac:dyDescent="0.65">
      <c r="P112" s="153"/>
      <c r="AC112" s="156"/>
    </row>
    <row r="113" spans="16:29" x14ac:dyDescent="0.65">
      <c r="P113" s="153"/>
      <c r="AC113" s="156"/>
    </row>
    <row r="114" spans="16:29" x14ac:dyDescent="0.65">
      <c r="P114" s="153"/>
      <c r="AC114" s="156"/>
    </row>
    <row r="115" spans="16:29" x14ac:dyDescent="0.65">
      <c r="P115" s="153"/>
      <c r="AC115" s="156"/>
    </row>
    <row r="116" spans="16:29" x14ac:dyDescent="0.65">
      <c r="P116" s="153"/>
      <c r="AC116" s="156"/>
    </row>
    <row r="117" spans="16:29" x14ac:dyDescent="0.65">
      <c r="P117" s="153"/>
      <c r="AC117" s="156"/>
    </row>
    <row r="118" spans="16:29" x14ac:dyDescent="0.65">
      <c r="P118" s="153"/>
      <c r="AC118" s="156"/>
    </row>
    <row r="119" spans="16:29" x14ac:dyDescent="0.65">
      <c r="P119" s="153"/>
      <c r="AC119" s="156"/>
    </row>
    <row r="120" spans="16:29" x14ac:dyDescent="0.65">
      <c r="P120" s="153"/>
      <c r="AC120" s="156"/>
    </row>
    <row r="121" spans="16:29" x14ac:dyDescent="0.65">
      <c r="P121" s="153"/>
    </row>
    <row r="122" spans="16:29" x14ac:dyDescent="0.65">
      <c r="P122" s="153"/>
    </row>
    <row r="123" spans="16:29" x14ac:dyDescent="0.65">
      <c r="P123" s="153"/>
    </row>
    <row r="124" spans="16:29" x14ac:dyDescent="0.65">
      <c r="P124" s="153"/>
    </row>
    <row r="125" spans="16:29" x14ac:dyDescent="0.65">
      <c r="P125" s="153"/>
    </row>
    <row r="126" spans="16:29" x14ac:dyDescent="0.65">
      <c r="P126" s="153"/>
    </row>
    <row r="127" spans="16:29" x14ac:dyDescent="0.65">
      <c r="P127" s="153"/>
    </row>
    <row r="128" spans="16:29" x14ac:dyDescent="0.65">
      <c r="P128" s="153"/>
    </row>
    <row r="129" spans="16:16" x14ac:dyDescent="0.65">
      <c r="P129" s="153"/>
    </row>
  </sheetData>
  <mergeCells count="43">
    <mergeCell ref="T54:T55"/>
    <mergeCell ref="V54:V55"/>
    <mergeCell ref="W54:W55"/>
    <mergeCell ref="X54:X55"/>
    <mergeCell ref="Z54:Z55"/>
    <mergeCell ref="H54:H55"/>
    <mergeCell ref="J54:L54"/>
    <mergeCell ref="N54:P54"/>
    <mergeCell ref="R54:R55"/>
    <mergeCell ref="S54:S55"/>
    <mergeCell ref="B54:B55"/>
    <mergeCell ref="D54:D55"/>
    <mergeCell ref="E54:E55"/>
    <mergeCell ref="F54:F55"/>
    <mergeCell ref="G54:G55"/>
    <mergeCell ref="B51:Z51"/>
    <mergeCell ref="B52:Z52"/>
    <mergeCell ref="D53:H53"/>
    <mergeCell ref="J53:P53"/>
    <mergeCell ref="R53:Z53"/>
    <mergeCell ref="B1:Z1"/>
    <mergeCell ref="B2:Z2"/>
    <mergeCell ref="B3:Z3"/>
    <mergeCell ref="B7:B8"/>
    <mergeCell ref="J7:L7"/>
    <mergeCell ref="N7:P7"/>
    <mergeCell ref="S7:S8"/>
    <mergeCell ref="W7:W8"/>
    <mergeCell ref="V7:V8"/>
    <mergeCell ref="R7:R8"/>
    <mergeCell ref="F7:F8"/>
    <mergeCell ref="D7:D8"/>
    <mergeCell ref="E7:E8"/>
    <mergeCell ref="B5:Z5"/>
    <mergeCell ref="B4:Z4"/>
    <mergeCell ref="J6:P6"/>
    <mergeCell ref="D6:H6"/>
    <mergeCell ref="R6:Z6"/>
    <mergeCell ref="G7:G8"/>
    <mergeCell ref="H7:H8"/>
    <mergeCell ref="X7:X8"/>
    <mergeCell ref="T7:T8"/>
    <mergeCell ref="Z7:Z8"/>
  </mergeCells>
  <phoneticPr fontId="27" type="noConversion"/>
  <printOptions horizontalCentered="1"/>
  <pageMargins left="0.7" right="0.7" top="0.75" bottom="0.75" header="0.3" footer="0.3"/>
  <pageSetup paperSize="9" scale="25" orientation="landscape" r:id="rId1"/>
  <headerFooter>
    <oddFooter>&amp;C&amp;P</oddFooter>
  </headerFooter>
  <rowBreaks count="1" manualBreakCount="1">
    <brk id="50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4"/>
  <sheetViews>
    <sheetView rightToLeft="1" view="pageBreakPreview" topLeftCell="A2" zoomScaleNormal="96" zoomScaleSheetLayoutView="100" workbookViewId="0">
      <selection activeCell="P63" sqref="P63"/>
    </sheetView>
  </sheetViews>
  <sheetFormatPr defaultColWidth="9.140625" defaultRowHeight="22.5" x14ac:dyDescent="0.55000000000000004"/>
  <cols>
    <col min="1" max="1" width="2.5703125" style="1" customWidth="1"/>
    <col min="2" max="2" width="31.28515625" style="1" customWidth="1"/>
    <col min="3" max="3" width="0.28515625" style="1" customWidth="1"/>
    <col min="4" max="4" width="17.140625" style="1" bestFit="1" customWidth="1"/>
    <col min="5" max="5" width="0.28515625" style="1" customWidth="1"/>
    <col min="6" max="6" width="13.42578125" style="1" bestFit="1" customWidth="1"/>
    <col min="7" max="7" width="0.7109375" style="1" customWidth="1"/>
    <col min="8" max="8" width="12.42578125" style="1" bestFit="1" customWidth="1"/>
    <col min="9" max="9" width="0.7109375" style="1" customWidth="1"/>
    <col min="10" max="10" width="14.85546875" style="1" bestFit="1" customWidth="1"/>
    <col min="11" max="11" width="0.28515625" style="1" customWidth="1"/>
    <col min="12" max="12" width="17.140625" style="1" bestFit="1" customWidth="1"/>
    <col min="13" max="13" width="0.7109375" style="1" customWidth="1"/>
    <col min="14" max="14" width="13.42578125" style="1" bestFit="1" customWidth="1"/>
    <col min="15" max="15" width="0.28515625" style="1" customWidth="1"/>
    <col min="16" max="16" width="12.42578125" style="1" bestFit="1" customWidth="1"/>
    <col min="17" max="17" width="0.28515625" style="1" customWidth="1"/>
    <col min="18" max="18" width="14.85546875" style="1" bestFit="1" customWidth="1"/>
    <col min="19" max="16384" width="9.140625" style="1"/>
  </cols>
  <sheetData>
    <row r="1" spans="2:18" ht="24" x14ac:dyDescent="0.6">
      <c r="B1" s="335" t="str">
        <f>' سهام'!B1:Z1</f>
        <v>صندوق سرمایه گذاری شاخص سی شرکت بزرگ فیروزه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</row>
    <row r="2" spans="2:18" ht="24" x14ac:dyDescent="0.6">
      <c r="B2" s="335" t="s">
        <v>81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</row>
    <row r="3" spans="2:18" ht="24" x14ac:dyDescent="0.6">
      <c r="B3" s="335" t="str">
        <f>' سهام'!AC6</f>
        <v>برای ماه منتهی به 1404/10/30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</row>
    <row r="4" spans="2:18" ht="24" x14ac:dyDescent="0.55000000000000004">
      <c r="B4" s="34" t="s">
        <v>82</v>
      </c>
      <c r="C4" s="34"/>
      <c r="D4" s="34"/>
      <c r="E4" s="34"/>
      <c r="F4" s="34"/>
      <c r="G4" s="34"/>
      <c r="H4" s="34"/>
      <c r="I4" s="34"/>
      <c r="J4" s="34"/>
    </row>
    <row r="5" spans="2:18" ht="24.75" thickBot="1" x14ac:dyDescent="0.65">
      <c r="B5" s="8"/>
      <c r="C5" s="8"/>
      <c r="D5" s="9"/>
      <c r="E5" s="9"/>
      <c r="F5" s="9"/>
      <c r="G5" s="9"/>
      <c r="H5" s="9"/>
      <c r="I5" s="9"/>
      <c r="J5" s="9"/>
    </row>
    <row r="6" spans="2:18" ht="24.75" thickBot="1" x14ac:dyDescent="0.65">
      <c r="B6" s="8"/>
      <c r="C6" s="8"/>
      <c r="D6" s="334" t="str">
        <f>' سهام'!AC4</f>
        <v>1404/09/30</v>
      </c>
      <c r="E6" s="334"/>
      <c r="F6" s="334"/>
      <c r="G6" s="334"/>
      <c r="H6" s="334"/>
      <c r="I6" s="334"/>
      <c r="J6" s="334"/>
      <c r="L6" s="334" t="str">
        <f>' سهام'!AC5</f>
        <v>1404/10/30</v>
      </c>
      <c r="M6" s="334"/>
      <c r="N6" s="334"/>
      <c r="O6" s="334"/>
      <c r="P6" s="334"/>
      <c r="Q6" s="334"/>
      <c r="R6" s="334"/>
    </row>
    <row r="7" spans="2:18" ht="24.75" thickBot="1" x14ac:dyDescent="0.65">
      <c r="B7" s="10" t="s">
        <v>45</v>
      </c>
      <c r="C7" s="8"/>
      <c r="D7" s="10" t="s">
        <v>46</v>
      </c>
      <c r="E7" s="8"/>
      <c r="F7" s="10" t="s">
        <v>47</v>
      </c>
      <c r="G7" s="8"/>
      <c r="H7" s="10" t="s">
        <v>48</v>
      </c>
      <c r="I7" s="8"/>
      <c r="J7" s="10" t="s">
        <v>49</v>
      </c>
      <c r="L7" s="10" t="s">
        <v>46</v>
      </c>
      <c r="M7" s="8"/>
      <c r="N7" s="10" t="s">
        <v>47</v>
      </c>
      <c r="O7" s="8"/>
      <c r="P7" s="10" t="s">
        <v>48</v>
      </c>
      <c r="Q7" s="8"/>
      <c r="R7" s="10" t="s">
        <v>49</v>
      </c>
    </row>
    <row r="8" spans="2:18" ht="23.25" thickBot="1" x14ac:dyDescent="0.6">
      <c r="B8" s="3"/>
      <c r="C8" s="3"/>
      <c r="D8" s="67" t="s">
        <v>102</v>
      </c>
      <c r="E8" s="59"/>
      <c r="F8" s="58" t="s">
        <v>102</v>
      </c>
      <c r="G8" s="5"/>
      <c r="H8" s="5" t="s">
        <v>102</v>
      </c>
      <c r="I8" s="5"/>
      <c r="J8" s="60">
        <v>0</v>
      </c>
      <c r="L8" s="65">
        <v>0</v>
      </c>
      <c r="M8" s="5"/>
      <c r="N8" s="67" t="s">
        <v>102</v>
      </c>
      <c r="O8" s="5"/>
      <c r="P8" s="5" t="s">
        <v>102</v>
      </c>
      <c r="Q8" s="5"/>
      <c r="R8" s="60">
        <v>0</v>
      </c>
    </row>
    <row r="9" spans="2:18" ht="23.25" thickBot="1" x14ac:dyDescent="0.6">
      <c r="D9" s="64">
        <f>SUM(D8)</f>
        <v>0</v>
      </c>
      <c r="E9" s="66"/>
      <c r="F9" s="57">
        <f>SUM(F8)</f>
        <v>0</v>
      </c>
      <c r="G9" s="12"/>
      <c r="H9" s="11" t="s">
        <v>6</v>
      </c>
      <c r="I9" s="12"/>
      <c r="J9" s="11" t="s">
        <v>6</v>
      </c>
      <c r="K9" s="12"/>
      <c r="L9" s="64">
        <f>SUM(L8)</f>
        <v>0</v>
      </c>
      <c r="M9" s="12"/>
      <c r="N9" s="64">
        <f>SUM(N8)</f>
        <v>0</v>
      </c>
      <c r="O9" s="12"/>
      <c r="P9" s="11" t="s">
        <v>6</v>
      </c>
      <c r="Q9" s="12"/>
      <c r="R9" s="11" t="s">
        <v>6</v>
      </c>
    </row>
    <row r="10" spans="2:18" ht="23.25" thickTop="1" x14ac:dyDescent="0.55000000000000004"/>
    <row r="14" spans="2:18" x14ac:dyDescent="0.55000000000000004">
      <c r="N14" s="13"/>
    </row>
  </sheetData>
  <mergeCells count="5">
    <mergeCell ref="D6:J6"/>
    <mergeCell ref="L6:R6"/>
    <mergeCell ref="B1:R1"/>
    <mergeCell ref="B2:R2"/>
    <mergeCell ref="B3:R3"/>
  </mergeCells>
  <pageMargins left="0.5" right="1" top="0.3" bottom="0.1" header="0.31496062992126" footer="0.31496062992126"/>
  <pageSetup paperSize="9" scale="84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2"/>
  <sheetViews>
    <sheetView rightToLeft="1" view="pageBreakPreview" zoomScale="130" zoomScaleNormal="100" zoomScaleSheetLayoutView="130" workbookViewId="0">
      <selection activeCell="P63" sqref="P63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9" style="1" customWidth="1"/>
    <col min="4" max="4" width="0.7109375" style="1" customWidth="1"/>
    <col min="5" max="5" width="12.140625" style="1" customWidth="1"/>
    <col min="6" max="6" width="1" style="1" customWidth="1"/>
    <col min="7" max="7" width="16.7109375" style="1" customWidth="1"/>
    <col min="8" max="8" width="0.7109375" style="1" customWidth="1"/>
    <col min="9" max="9" width="14.42578125" style="1" customWidth="1"/>
    <col min="10" max="10" width="0.85546875" style="1" customWidth="1"/>
    <col min="11" max="11" width="22.140625" style="1" customWidth="1"/>
    <col min="12" max="12" width="0.7109375" style="1" customWidth="1"/>
    <col min="13" max="13" width="10.85546875" style="1" customWidth="1"/>
    <col min="14" max="16384" width="9.140625" style="1"/>
  </cols>
  <sheetData>
    <row r="1" spans="1:16" ht="24" x14ac:dyDescent="0.6">
      <c r="A1" s="335" t="str">
        <f>اوراق!B1</f>
        <v>صندوق سرمایه گذاری شاخص سی شرکت بزرگ فیروزه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</row>
    <row r="2" spans="1:16" ht="24" x14ac:dyDescent="0.6">
      <c r="A2" s="335" t="s">
        <v>81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</row>
    <row r="3" spans="1:16" ht="24" x14ac:dyDescent="0.6">
      <c r="A3" s="335" t="str">
        <f>' سهام'!AC6</f>
        <v>برای ماه منتهی به 1404/10/30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</row>
    <row r="4" spans="1:16" ht="25.5" customHeight="1" x14ac:dyDescent="0.55000000000000004">
      <c r="A4" s="337" t="s">
        <v>51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</row>
    <row r="5" spans="1:16" ht="24" x14ac:dyDescent="0.55000000000000004">
      <c r="A5" s="337" t="s">
        <v>50</v>
      </c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</row>
    <row r="6" spans="1:16" ht="19.5" customHeight="1" thickBot="1" x14ac:dyDescent="0.6">
      <c r="C6" s="344" t="str">
        <f>' سهام'!AC5</f>
        <v>1404/10/30</v>
      </c>
      <c r="D6" s="345"/>
      <c r="E6" s="345"/>
      <c r="F6" s="345"/>
      <c r="G6" s="345"/>
      <c r="H6" s="345"/>
      <c r="I6" s="345"/>
      <c r="J6" s="345"/>
      <c r="K6" s="345"/>
      <c r="L6" s="345"/>
      <c r="M6" s="345"/>
      <c r="N6" s="345"/>
      <c r="O6" s="345"/>
      <c r="P6" s="345"/>
    </row>
    <row r="7" spans="1:16" ht="31.5" customHeight="1" x14ac:dyDescent="0.55000000000000004">
      <c r="A7" s="340" t="s">
        <v>20</v>
      </c>
      <c r="C7" s="342" t="s">
        <v>8</v>
      </c>
      <c r="E7" s="338" t="s">
        <v>55</v>
      </c>
      <c r="F7" s="338"/>
      <c r="G7" s="338" t="s">
        <v>54</v>
      </c>
      <c r="H7" s="338"/>
      <c r="I7" s="338" t="s">
        <v>52</v>
      </c>
      <c r="J7" s="338"/>
      <c r="K7" s="338" t="s">
        <v>53</v>
      </c>
      <c r="M7" s="338" t="s">
        <v>19</v>
      </c>
      <c r="N7" s="338"/>
      <c r="O7" s="338"/>
      <c r="P7" s="338"/>
    </row>
    <row r="8" spans="1:16" ht="18" customHeight="1" thickBot="1" x14ac:dyDescent="0.6">
      <c r="A8" s="341"/>
      <c r="C8" s="343"/>
      <c r="E8" s="339"/>
      <c r="F8" s="338"/>
      <c r="G8" s="339"/>
      <c r="H8" s="338"/>
      <c r="I8" s="339"/>
      <c r="J8" s="338"/>
      <c r="K8" s="339"/>
      <c r="M8" s="339"/>
      <c r="N8" s="339"/>
      <c r="O8" s="339"/>
      <c r="P8" s="339"/>
    </row>
    <row r="9" spans="1:16" ht="18" customHeight="1" thickBot="1" x14ac:dyDescent="0.6">
      <c r="A9" s="21"/>
      <c r="B9" s="7"/>
      <c r="C9" s="22" t="s">
        <v>102</v>
      </c>
      <c r="D9" s="23"/>
      <c r="E9" s="24" t="s">
        <v>102</v>
      </c>
      <c r="F9" s="25"/>
      <c r="G9" s="24" t="s">
        <v>102</v>
      </c>
      <c r="H9" s="25"/>
      <c r="I9" s="26" t="s">
        <v>102</v>
      </c>
      <c r="J9" s="25"/>
      <c r="K9" s="24" t="s">
        <v>102</v>
      </c>
      <c r="M9" s="339" t="s">
        <v>102</v>
      </c>
      <c r="N9" s="339"/>
      <c r="O9" s="339"/>
      <c r="P9" s="339"/>
    </row>
    <row r="10" spans="1:16" ht="18" customHeight="1" thickBot="1" x14ac:dyDescent="0.6">
      <c r="A10" s="6"/>
      <c r="C10" s="27" t="s">
        <v>102</v>
      </c>
      <c r="E10" s="27" t="s">
        <v>102</v>
      </c>
      <c r="F10" s="5"/>
      <c r="G10" s="27" t="s">
        <v>102</v>
      </c>
      <c r="H10" s="5"/>
      <c r="I10" s="28" t="s">
        <v>102</v>
      </c>
      <c r="J10" s="5"/>
      <c r="K10" s="27" t="s">
        <v>102</v>
      </c>
      <c r="L10" s="5"/>
      <c r="M10" s="336" t="s">
        <v>102</v>
      </c>
      <c r="N10" s="336"/>
      <c r="O10" s="336"/>
      <c r="P10" s="336"/>
    </row>
    <row r="11" spans="1:16" ht="23.25" thickTop="1" x14ac:dyDescent="0.55000000000000004"/>
    <row r="12" spans="1:16" x14ac:dyDescent="0.55000000000000004">
      <c r="M12" s="13"/>
    </row>
  </sheetData>
  <mergeCells count="18">
    <mergeCell ref="A1:P1"/>
    <mergeCell ref="A2:P2"/>
    <mergeCell ref="A3:P3"/>
    <mergeCell ref="M7:P8"/>
    <mergeCell ref="M9:P9"/>
    <mergeCell ref="M10:P10"/>
    <mergeCell ref="A4:M4"/>
    <mergeCell ref="F7:F8"/>
    <mergeCell ref="H7:H8"/>
    <mergeCell ref="G7:G8"/>
    <mergeCell ref="J7:J8"/>
    <mergeCell ref="A7:A8"/>
    <mergeCell ref="A5:M5"/>
    <mergeCell ref="E7:E8"/>
    <mergeCell ref="K7:K8"/>
    <mergeCell ref="I7:I8"/>
    <mergeCell ref="C7:C8"/>
    <mergeCell ref="C6:P6"/>
  </mergeCells>
  <pageMargins left="0.5" right="1" top="0.3" bottom="0.1" header="0.31496062992126" footer="0.31496062992126"/>
  <pageSetup paperSize="9" scale="87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14"/>
  <sheetViews>
    <sheetView rightToLeft="1" view="pageBreakPreview" zoomScale="70" zoomScaleNormal="100" zoomScaleSheetLayoutView="70" workbookViewId="0">
      <selection activeCell="A4" sqref="A4:AC11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14.7109375" style="1" customWidth="1"/>
    <col min="4" max="4" width="0.7109375" style="1" customWidth="1"/>
    <col min="5" max="5" width="25.7109375" style="1" customWidth="1"/>
    <col min="6" max="6" width="1" style="1" customWidth="1"/>
    <col min="7" max="7" width="16.140625" style="1" customWidth="1"/>
    <col min="8" max="8" width="0.7109375" style="1" customWidth="1"/>
    <col min="9" max="9" width="18.140625" style="1" customWidth="1"/>
    <col min="10" max="10" width="0.7109375" style="1" customWidth="1"/>
    <col min="11" max="11" width="6.28515625" style="1" customWidth="1"/>
    <col min="12" max="12" width="0.7109375" style="1" customWidth="1"/>
    <col min="13" max="13" width="16.28515625" style="1" customWidth="1"/>
    <col min="14" max="14" width="0.7109375" style="1" customWidth="1"/>
    <col min="15" max="15" width="14.42578125" style="1" customWidth="1"/>
    <col min="16" max="16" width="0.7109375" style="1" customWidth="1"/>
    <col min="17" max="17" width="12.140625" style="1" customWidth="1"/>
    <col min="18" max="18" width="15.140625" style="1" bestFit="1" customWidth="1"/>
    <col min="19" max="19" width="0.28515625" style="1" customWidth="1"/>
    <col min="20" max="20" width="5.28515625" style="1" customWidth="1"/>
    <col min="21" max="21" width="13.140625" style="1" customWidth="1"/>
    <col min="22" max="22" width="0.28515625" style="1" customWidth="1"/>
    <col min="23" max="23" width="6.140625" style="1" customWidth="1"/>
    <col min="24" max="24" width="0.28515625" style="1" customWidth="1"/>
    <col min="25" max="25" width="9.28515625" style="1" customWidth="1"/>
    <col min="26" max="26" width="0.7109375" style="1" customWidth="1"/>
    <col min="27" max="27" width="12.140625" style="1" customWidth="1"/>
    <col min="28" max="28" width="0.28515625" style="1" customWidth="1"/>
    <col min="29" max="29" width="13.7109375" style="1" customWidth="1"/>
    <col min="30" max="16384" width="9.140625" style="1"/>
  </cols>
  <sheetData>
    <row r="1" spans="1:29" ht="24" x14ac:dyDescent="0.6">
      <c r="A1" s="335" t="str">
        <f>'تعدیل قیمت'!A1:P1</f>
        <v>صندوق سرمایه گذاری شاخص سی شرکت بزرگ فیروزه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</row>
    <row r="2" spans="1:29" ht="24" x14ac:dyDescent="0.6">
      <c r="A2" s="335" t="s">
        <v>81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</row>
    <row r="3" spans="1:29" ht="24" x14ac:dyDescent="0.6">
      <c r="A3" s="335" t="str">
        <f>' سهام'!AC6</f>
        <v>برای ماه منتهی به 1404/10/30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</row>
    <row r="4" spans="1:29" ht="24" x14ac:dyDescent="0.55000000000000004">
      <c r="A4" s="337" t="s">
        <v>56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  <c r="W4" s="337"/>
      <c r="X4" s="337"/>
      <c r="Y4" s="337"/>
      <c r="Z4" s="337"/>
      <c r="AA4" s="337"/>
      <c r="AB4" s="337"/>
      <c r="AC4" s="337"/>
    </row>
    <row r="5" spans="1:29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8.75" customHeight="1" thickBot="1" x14ac:dyDescent="0.6">
      <c r="A6" s="49"/>
      <c r="B6" s="49"/>
      <c r="C6" s="345"/>
      <c r="D6" s="345"/>
      <c r="E6" s="345"/>
      <c r="F6" s="46"/>
      <c r="G6" s="46"/>
      <c r="H6" s="46"/>
      <c r="I6" s="46"/>
      <c r="J6" s="30"/>
      <c r="K6" s="345" t="str">
        <f>' سهام'!AC4</f>
        <v>1404/09/30</v>
      </c>
      <c r="L6" s="345"/>
      <c r="M6" s="345"/>
      <c r="N6" s="345"/>
      <c r="O6" s="345"/>
      <c r="P6" s="52"/>
      <c r="Q6" s="352" t="s">
        <v>16</v>
      </c>
      <c r="R6" s="352"/>
      <c r="S6" s="352"/>
      <c r="T6" s="352"/>
      <c r="U6" s="352"/>
      <c r="W6" s="345" t="str">
        <f>' سهام'!AC5</f>
        <v>1404/10/30</v>
      </c>
      <c r="X6" s="345"/>
      <c r="Y6" s="345"/>
      <c r="Z6" s="345"/>
      <c r="AA6" s="345"/>
      <c r="AB6" s="345"/>
      <c r="AC6" s="345"/>
    </row>
    <row r="7" spans="1:29" ht="54.75" customHeight="1" x14ac:dyDescent="0.6">
      <c r="A7" s="338" t="s">
        <v>59</v>
      </c>
      <c r="B7" s="5"/>
      <c r="C7" s="351" t="s">
        <v>34</v>
      </c>
      <c r="D7" s="3"/>
      <c r="E7" s="349" t="s">
        <v>61</v>
      </c>
      <c r="F7" s="14"/>
      <c r="G7" s="349" t="s">
        <v>58</v>
      </c>
      <c r="H7" s="14"/>
      <c r="I7" s="349" t="s">
        <v>14</v>
      </c>
      <c r="J7" s="3"/>
      <c r="K7" s="354" t="s">
        <v>8</v>
      </c>
      <c r="L7" s="348"/>
      <c r="M7" s="348" t="s">
        <v>3</v>
      </c>
      <c r="N7" s="348"/>
      <c r="O7" s="49" t="s">
        <v>1</v>
      </c>
      <c r="P7" s="2"/>
      <c r="Q7" s="335" t="s">
        <v>9</v>
      </c>
      <c r="R7" s="335"/>
      <c r="S7" s="15"/>
      <c r="T7" s="335" t="s">
        <v>10</v>
      </c>
      <c r="U7" s="335"/>
      <c r="V7" s="8"/>
      <c r="W7" s="346" t="s">
        <v>8</v>
      </c>
      <c r="X7" s="348"/>
      <c r="Y7" s="353" t="s">
        <v>3</v>
      </c>
      <c r="Z7" s="348"/>
      <c r="AA7" s="49" t="s">
        <v>1</v>
      </c>
      <c r="AB7" s="50"/>
      <c r="AC7" s="49" t="s">
        <v>0</v>
      </c>
    </row>
    <row r="8" spans="1:29" ht="33" customHeight="1" thickBot="1" x14ac:dyDescent="0.65">
      <c r="A8" s="339"/>
      <c r="B8" s="5"/>
      <c r="C8" s="350"/>
      <c r="D8" s="3"/>
      <c r="E8" s="350"/>
      <c r="F8" s="14"/>
      <c r="G8" s="350"/>
      <c r="H8" s="14"/>
      <c r="I8" s="350"/>
      <c r="J8" s="3"/>
      <c r="K8" s="347"/>
      <c r="L8" s="348"/>
      <c r="M8" s="345"/>
      <c r="N8" s="348"/>
      <c r="O8" s="46" t="s">
        <v>2</v>
      </c>
      <c r="P8" s="2"/>
      <c r="Q8" s="16" t="s">
        <v>8</v>
      </c>
      <c r="R8" s="16" t="s">
        <v>3</v>
      </c>
      <c r="S8" s="8"/>
      <c r="T8" s="16" t="s">
        <v>8</v>
      </c>
      <c r="U8" s="16" t="s">
        <v>80</v>
      </c>
      <c r="V8" s="8"/>
      <c r="W8" s="347"/>
      <c r="X8" s="348"/>
      <c r="Y8" s="345"/>
      <c r="Z8" s="348"/>
      <c r="AA8" s="46" t="s">
        <v>2</v>
      </c>
      <c r="AB8" s="50"/>
      <c r="AC8" s="46" t="s">
        <v>4</v>
      </c>
    </row>
    <row r="9" spans="1:29" ht="27.6" customHeight="1" thickBot="1" x14ac:dyDescent="0.6">
      <c r="A9" s="3" t="s">
        <v>57</v>
      </c>
      <c r="B9" s="3"/>
      <c r="C9" s="48" t="s">
        <v>6</v>
      </c>
      <c r="D9" s="3"/>
      <c r="E9" s="48" t="s">
        <v>6</v>
      </c>
      <c r="F9" s="48"/>
      <c r="G9" s="48" t="s">
        <v>6</v>
      </c>
      <c r="H9" s="48"/>
      <c r="I9" s="48" t="s">
        <v>6</v>
      </c>
      <c r="J9" s="3"/>
      <c r="K9" s="48" t="s">
        <v>6</v>
      </c>
      <c r="L9" s="5"/>
      <c r="M9" s="48" t="s">
        <v>6</v>
      </c>
      <c r="N9" s="5"/>
      <c r="O9" s="5" t="s">
        <v>6</v>
      </c>
      <c r="P9" s="31"/>
      <c r="Q9" s="48" t="s">
        <v>6</v>
      </c>
      <c r="R9" s="48" t="s">
        <v>6</v>
      </c>
      <c r="T9" s="48" t="s">
        <v>6</v>
      </c>
      <c r="U9" s="48" t="s">
        <v>6</v>
      </c>
      <c r="W9" s="48" t="s">
        <v>6</v>
      </c>
      <c r="X9" s="5"/>
      <c r="Y9" s="48" t="s">
        <v>6</v>
      </c>
      <c r="Z9" s="5"/>
      <c r="AA9" s="5" t="s">
        <v>6</v>
      </c>
      <c r="AB9" s="5"/>
      <c r="AC9" s="5" t="s">
        <v>6</v>
      </c>
    </row>
    <row r="10" spans="1:29" ht="23.25" thickBot="1" x14ac:dyDescent="0.6">
      <c r="A10" s="3" t="s">
        <v>7</v>
      </c>
      <c r="B10" s="3"/>
      <c r="C10" s="32" t="s">
        <v>6</v>
      </c>
      <c r="D10" s="3"/>
      <c r="E10" s="32" t="s">
        <v>6</v>
      </c>
      <c r="F10" s="3"/>
      <c r="G10" s="32" t="s">
        <v>6</v>
      </c>
      <c r="H10" s="3"/>
      <c r="I10" s="32" t="s">
        <v>6</v>
      </c>
      <c r="J10" s="3"/>
      <c r="K10" s="32" t="s">
        <v>6</v>
      </c>
      <c r="L10" s="5"/>
      <c r="M10" s="32" t="s">
        <v>6</v>
      </c>
      <c r="N10" s="5"/>
      <c r="O10" s="47" t="s">
        <v>6</v>
      </c>
      <c r="P10" s="31"/>
      <c r="Q10" s="32" t="s">
        <v>6</v>
      </c>
      <c r="R10" s="32" t="s">
        <v>6</v>
      </c>
      <c r="T10" s="32" t="s">
        <v>6</v>
      </c>
      <c r="U10" s="32" t="s">
        <v>6</v>
      </c>
      <c r="W10" s="32" t="s">
        <v>6</v>
      </c>
      <c r="X10" s="5"/>
      <c r="Y10" s="32" t="s">
        <v>6</v>
      </c>
      <c r="Z10" s="5"/>
      <c r="AA10" s="47" t="s">
        <v>6</v>
      </c>
      <c r="AB10" s="5"/>
      <c r="AC10" s="47" t="s">
        <v>6</v>
      </c>
    </row>
    <row r="11" spans="1:29" ht="23.25" thickTop="1" x14ac:dyDescent="0.55000000000000004"/>
    <row r="14" spans="1:29" x14ac:dyDescent="0.55000000000000004">
      <c r="M14" s="13"/>
    </row>
  </sheetData>
  <mergeCells count="23">
    <mergeCell ref="A7:A8"/>
    <mergeCell ref="C7:C8"/>
    <mergeCell ref="E7:E8"/>
    <mergeCell ref="A1:AC1"/>
    <mergeCell ref="A2:AC2"/>
    <mergeCell ref="A3:AC3"/>
    <mergeCell ref="A4:AC4"/>
    <mergeCell ref="C6:E6"/>
    <mergeCell ref="K6:O6"/>
    <mergeCell ref="Q6:U6"/>
    <mergeCell ref="W6:AC6"/>
    <mergeCell ref="X7:X8"/>
    <mergeCell ref="Y7:Y8"/>
    <mergeCell ref="Z7:Z8"/>
    <mergeCell ref="K7:K8"/>
    <mergeCell ref="L7:L8"/>
    <mergeCell ref="W7:W8"/>
    <mergeCell ref="M7:M8"/>
    <mergeCell ref="N7:N8"/>
    <mergeCell ref="G7:G8"/>
    <mergeCell ref="T7:U7"/>
    <mergeCell ref="Q7:R7"/>
    <mergeCell ref="I7:I8"/>
  </mergeCells>
  <pageMargins left="0.5" right="1" top="0.3" bottom="0.1" header="0.31496062992126" footer="0.31496062992126"/>
  <pageSetup paperSize="9" scale="55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N20"/>
  <sheetViews>
    <sheetView rightToLeft="1" view="pageBreakPreview" zoomScale="55" zoomScaleNormal="100" zoomScaleSheetLayoutView="55" workbookViewId="0">
      <selection activeCell="D27" sqref="D27"/>
    </sheetView>
  </sheetViews>
  <sheetFormatPr defaultColWidth="9.140625" defaultRowHeight="26.25" x14ac:dyDescent="0.65"/>
  <cols>
    <col min="1" max="1" width="4" style="54" customWidth="1"/>
    <col min="2" max="2" width="51.28515625" style="54" bestFit="1" customWidth="1"/>
    <col min="3" max="3" width="0.7109375" style="54" customWidth="1"/>
    <col min="4" max="4" width="20.42578125" style="54" customWidth="1"/>
    <col min="5" max="5" width="0.7109375" style="54" customWidth="1"/>
    <col min="6" max="6" width="18.85546875" style="54" customWidth="1"/>
    <col min="7" max="7" width="0.7109375" style="54" customWidth="1"/>
    <col min="8" max="8" width="29.85546875" style="54" bestFit="1" customWidth="1"/>
    <col min="9" max="9" width="0.7109375" style="54" customWidth="1"/>
    <col min="10" max="10" width="24.42578125" style="54" bestFit="1" customWidth="1"/>
    <col min="11" max="11" width="0.28515625" style="54" customWidth="1"/>
    <col min="12" max="12" width="1.28515625" style="54" customWidth="1"/>
    <col min="13" max="13" width="15.42578125" style="54" bestFit="1" customWidth="1"/>
    <col min="14" max="14" width="0.7109375" style="54" customWidth="1"/>
    <col min="15" max="15" width="8.140625" style="54" customWidth="1"/>
    <col min="16" max="16" width="0.5703125" style="54" customWidth="1"/>
    <col min="17" max="17" width="18.42578125" style="54" bestFit="1" customWidth="1"/>
    <col min="18" max="18" width="0.85546875" style="54" customWidth="1"/>
    <col min="19" max="19" width="33" style="54" bestFit="1" customWidth="1"/>
    <col min="20" max="20" width="0.7109375" style="54" customWidth="1"/>
    <col min="21" max="21" width="31.85546875" style="54" bestFit="1" customWidth="1"/>
    <col min="22" max="22" width="0.7109375" style="54" customWidth="1"/>
    <col min="23" max="23" width="11" style="54" bestFit="1" customWidth="1"/>
    <col min="24" max="24" width="1.5703125" style="54" customWidth="1"/>
    <col min="25" max="25" width="24.42578125" style="54" bestFit="1" customWidth="1"/>
    <col min="26" max="26" width="0.5703125" style="54" customWidth="1"/>
    <col min="27" max="27" width="18.42578125" style="17" bestFit="1" customWidth="1"/>
    <col min="28" max="28" width="1.5703125" style="17" customWidth="1"/>
    <col min="29" max="29" width="33" style="54" bestFit="1" customWidth="1"/>
    <col min="30" max="30" width="0.7109375" style="54" customWidth="1"/>
    <col min="31" max="31" width="14.85546875" style="54" bestFit="1" customWidth="1"/>
    <col min="32" max="32" width="0.7109375" style="54" customWidth="1"/>
    <col min="33" max="33" width="33" style="17" bestFit="1" customWidth="1"/>
    <col min="34" max="34" width="0.42578125" style="54" customWidth="1"/>
    <col min="35" max="35" width="30.5703125" style="54" bestFit="1" customWidth="1"/>
    <col min="36" max="36" width="0.7109375" style="54" customWidth="1"/>
    <col min="37" max="37" width="31.5703125" style="54" bestFit="1" customWidth="1"/>
    <col min="38" max="38" width="0.42578125" style="54" customWidth="1"/>
    <col min="39" max="39" width="27.28515625" style="54" customWidth="1"/>
    <col min="40" max="52" width="9.140625" style="54"/>
    <col min="53" max="53" width="19.28515625" style="54" bestFit="1" customWidth="1"/>
    <col min="54" max="16384" width="9.140625" style="54"/>
  </cols>
  <sheetData>
    <row r="1" spans="2:40" ht="33.75" x14ac:dyDescent="0.65">
      <c r="B1" s="366" t="str">
        <f>' سهام'!B1:Z1</f>
        <v>صندوق سرمایه گذاری شاخص سی شرکت بزرگ فیروزه</v>
      </c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</row>
    <row r="2" spans="2:40" ht="33.75" x14ac:dyDescent="0.65">
      <c r="B2" s="366" t="s">
        <v>81</v>
      </c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</row>
    <row r="3" spans="2:40" ht="33.75" x14ac:dyDescent="0.65">
      <c r="B3" s="366" t="str">
        <f>' سهام'!AC6</f>
        <v>برای ماه منتهی به 1404/10/30</v>
      </c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6"/>
      <c r="AI3" s="366"/>
      <c r="AJ3" s="366"/>
      <c r="AK3" s="366"/>
      <c r="AL3" s="366"/>
      <c r="AM3" s="366"/>
    </row>
    <row r="4" spans="2:40" x14ac:dyDescent="0.65">
      <c r="B4" s="100" t="s">
        <v>39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</row>
    <row r="6" spans="2:40" ht="36.75" thickBot="1" x14ac:dyDescent="0.95">
      <c r="B6" s="356" t="s">
        <v>30</v>
      </c>
      <c r="C6" s="356"/>
      <c r="D6" s="356"/>
      <c r="E6" s="356"/>
      <c r="F6" s="356"/>
      <c r="G6" s="356"/>
      <c r="H6" s="356"/>
      <c r="I6" s="356"/>
      <c r="J6" s="356"/>
      <c r="K6" s="356"/>
      <c r="L6" s="356"/>
      <c r="M6" s="356"/>
      <c r="N6" s="356"/>
      <c r="O6" s="356"/>
      <c r="P6" s="72"/>
      <c r="Q6" s="356" t="str">
        <f>' سهام'!AC4</f>
        <v>1404/09/30</v>
      </c>
      <c r="R6" s="356"/>
      <c r="S6" s="356"/>
      <c r="T6" s="356"/>
      <c r="U6" s="356"/>
      <c r="V6" s="78"/>
      <c r="W6" s="367" t="s">
        <v>16</v>
      </c>
      <c r="X6" s="367"/>
      <c r="Y6" s="367"/>
      <c r="Z6" s="367"/>
      <c r="AA6" s="367"/>
      <c r="AB6" s="367"/>
      <c r="AC6" s="367"/>
      <c r="AD6" s="71"/>
      <c r="AE6" s="356" t="str">
        <f>' سهام'!AC5</f>
        <v>1404/10/30</v>
      </c>
      <c r="AF6" s="356"/>
      <c r="AG6" s="356"/>
      <c r="AH6" s="356"/>
      <c r="AI6" s="356"/>
      <c r="AJ6" s="356"/>
      <c r="AK6" s="356"/>
      <c r="AL6" s="356"/>
      <c r="AM6" s="356"/>
    </row>
    <row r="7" spans="2:40" s="15" customFormat="1" ht="36" x14ac:dyDescent="0.9">
      <c r="B7" s="359" t="s">
        <v>31</v>
      </c>
      <c r="C7" s="72"/>
      <c r="D7" s="363" t="s">
        <v>15</v>
      </c>
      <c r="E7" s="72"/>
      <c r="F7" s="365" t="s">
        <v>14</v>
      </c>
      <c r="G7" s="72"/>
      <c r="H7" s="355" t="s">
        <v>43</v>
      </c>
      <c r="I7" s="72"/>
      <c r="J7" s="363" t="s">
        <v>34</v>
      </c>
      <c r="K7" s="72"/>
      <c r="L7" s="72"/>
      <c r="M7" s="365" t="s">
        <v>13</v>
      </c>
      <c r="N7" s="79"/>
      <c r="O7" s="365" t="s">
        <v>12</v>
      </c>
      <c r="P7" s="72"/>
      <c r="Q7" s="357" t="s">
        <v>8</v>
      </c>
      <c r="R7" s="355"/>
      <c r="S7" s="355" t="s">
        <v>3</v>
      </c>
      <c r="T7" s="355"/>
      <c r="U7" s="355" t="s">
        <v>32</v>
      </c>
      <c r="V7" s="72"/>
      <c r="W7" s="362" t="s">
        <v>9</v>
      </c>
      <c r="X7" s="362"/>
      <c r="Y7" s="362"/>
      <c r="Z7" s="71"/>
      <c r="AA7" s="362" t="s">
        <v>10</v>
      </c>
      <c r="AB7" s="362"/>
      <c r="AC7" s="362"/>
      <c r="AD7" s="71"/>
      <c r="AE7" s="357" t="s">
        <v>8</v>
      </c>
      <c r="AF7" s="359"/>
      <c r="AG7" s="360" t="s">
        <v>44</v>
      </c>
      <c r="AH7" s="72"/>
      <c r="AI7" s="355" t="s">
        <v>3</v>
      </c>
      <c r="AJ7" s="359"/>
      <c r="AK7" s="355" t="s">
        <v>32</v>
      </c>
      <c r="AL7" s="80"/>
      <c r="AM7" s="355" t="s">
        <v>33</v>
      </c>
    </row>
    <row r="8" spans="2:40" s="55" customFormat="1" ht="72.75" customHeight="1" thickBot="1" x14ac:dyDescent="0.3">
      <c r="B8" s="356"/>
      <c r="C8" s="72"/>
      <c r="D8" s="364"/>
      <c r="E8" s="72"/>
      <c r="F8" s="364"/>
      <c r="G8" s="72"/>
      <c r="H8" s="356"/>
      <c r="I8" s="72"/>
      <c r="J8" s="364"/>
      <c r="K8" s="72"/>
      <c r="L8" s="72"/>
      <c r="M8" s="364"/>
      <c r="N8" s="78"/>
      <c r="O8" s="364"/>
      <c r="P8" s="72"/>
      <c r="Q8" s="358"/>
      <c r="R8" s="359"/>
      <c r="S8" s="356"/>
      <c r="T8" s="359"/>
      <c r="U8" s="356"/>
      <c r="V8" s="72"/>
      <c r="W8" s="81" t="s">
        <v>8</v>
      </c>
      <c r="X8" s="81"/>
      <c r="Y8" s="81" t="s">
        <v>3</v>
      </c>
      <c r="Z8" s="70"/>
      <c r="AA8" s="82" t="s">
        <v>8</v>
      </c>
      <c r="AB8" s="82"/>
      <c r="AC8" s="81" t="s">
        <v>80</v>
      </c>
      <c r="AD8" s="70"/>
      <c r="AE8" s="358"/>
      <c r="AF8" s="359"/>
      <c r="AG8" s="361"/>
      <c r="AH8" s="72"/>
      <c r="AI8" s="356"/>
      <c r="AJ8" s="359"/>
      <c r="AK8" s="356"/>
      <c r="AL8" s="80"/>
      <c r="AM8" s="356"/>
      <c r="AN8" s="49"/>
    </row>
    <row r="9" spans="2:40" s="18" customFormat="1" ht="34.5" thickBot="1" x14ac:dyDescent="0.65">
      <c r="B9" s="73" t="s">
        <v>7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5" t="s">
        <v>102</v>
      </c>
      <c r="N9" s="73"/>
      <c r="O9" s="73"/>
      <c r="P9" s="73"/>
      <c r="Q9" s="76">
        <v>0</v>
      </c>
      <c r="R9" s="83"/>
      <c r="S9" s="76">
        <v>0</v>
      </c>
      <c r="T9" s="83"/>
      <c r="U9" s="77">
        <v>0</v>
      </c>
      <c r="V9" s="83"/>
      <c r="W9" s="76">
        <v>0</v>
      </c>
      <c r="X9" s="76"/>
      <c r="Y9" s="76">
        <v>0</v>
      </c>
      <c r="Z9" s="84"/>
      <c r="AA9" s="76">
        <v>0</v>
      </c>
      <c r="AB9" s="76"/>
      <c r="AC9" s="76">
        <v>0</v>
      </c>
      <c r="AD9" s="84"/>
      <c r="AE9" s="85">
        <v>0</v>
      </c>
      <c r="AF9" s="86"/>
      <c r="AG9" s="85">
        <v>0</v>
      </c>
      <c r="AH9" s="86"/>
      <c r="AI9" s="85">
        <v>0</v>
      </c>
      <c r="AJ9" s="86"/>
      <c r="AK9" s="85">
        <v>0</v>
      </c>
      <c r="AL9" s="74"/>
      <c r="AM9" s="87">
        <v>0</v>
      </c>
    </row>
    <row r="10" spans="2:40" ht="27" thickTop="1" x14ac:dyDescent="0.65"/>
    <row r="12" spans="2:40" x14ac:dyDescent="0.65">
      <c r="AI12" s="19"/>
    </row>
    <row r="14" spans="2:40" x14ac:dyDescent="0.65">
      <c r="M14" s="20"/>
    </row>
    <row r="20" spans="8:12" x14ac:dyDescent="0.65">
      <c r="H20" s="99"/>
      <c r="I20" s="99"/>
      <c r="J20" s="99"/>
      <c r="K20" s="99"/>
      <c r="L20" s="99"/>
    </row>
  </sheetData>
  <mergeCells count="28">
    <mergeCell ref="B1:AM1"/>
    <mergeCell ref="B2:AM2"/>
    <mergeCell ref="B3:AM3"/>
    <mergeCell ref="W6:AC6"/>
    <mergeCell ref="AE6:AM6"/>
    <mergeCell ref="W7:Y7"/>
    <mergeCell ref="AA7:AC7"/>
    <mergeCell ref="Q6:U6"/>
    <mergeCell ref="B6:O6"/>
    <mergeCell ref="U7:U8"/>
    <mergeCell ref="D7:D8"/>
    <mergeCell ref="F7:F8"/>
    <mergeCell ref="M7:M8"/>
    <mergeCell ref="O7:O8"/>
    <mergeCell ref="J7:J8"/>
    <mergeCell ref="H7:H8"/>
    <mergeCell ref="B7:B8"/>
    <mergeCell ref="Q7:Q8"/>
    <mergeCell ref="R7:R8"/>
    <mergeCell ref="S7:S8"/>
    <mergeCell ref="T7:T8"/>
    <mergeCell ref="AK7:AK8"/>
    <mergeCell ref="AM7:AM8"/>
    <mergeCell ref="AE7:AE8"/>
    <mergeCell ref="AF7:AF8"/>
    <mergeCell ref="AI7:AI8"/>
    <mergeCell ref="AJ7:AJ8"/>
    <mergeCell ref="AG7:AG8"/>
  </mergeCells>
  <pageMargins left="0.5" right="1" top="0.3" bottom="0.1" header="0.31496062992126" footer="0.31496062992126"/>
  <pageSetup paperSize="9" scale="26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1:AA75"/>
  <sheetViews>
    <sheetView rightToLeft="1" view="pageBreakPreview" zoomScaleNormal="100" zoomScaleSheetLayoutView="100" workbookViewId="0">
      <selection activeCell="T82" sqref="T82"/>
    </sheetView>
  </sheetViews>
  <sheetFormatPr defaultColWidth="9.140625" defaultRowHeight="22.5" x14ac:dyDescent="0.55000000000000004"/>
  <cols>
    <col min="1" max="1" width="6" style="1" customWidth="1"/>
    <col min="2" max="2" width="36.85546875" style="1" bestFit="1" customWidth="1"/>
    <col min="3" max="3" width="0.7109375" style="1" customWidth="1"/>
    <col min="4" max="4" width="16" style="1" bestFit="1" customWidth="1"/>
    <col min="5" max="5" width="0.7109375" style="1" customWidth="1"/>
    <col min="6" max="6" width="19.7109375" style="1" bestFit="1" customWidth="1"/>
    <col min="7" max="7" width="0.7109375" style="1" customWidth="1"/>
    <col min="8" max="8" width="22" style="1" bestFit="1" customWidth="1"/>
    <col min="9" max="9" width="0.7109375" style="1" customWidth="1"/>
    <col min="10" max="10" width="19.42578125" style="1" bestFit="1" customWidth="1"/>
    <col min="11" max="11" width="0.7109375" style="1" customWidth="1"/>
    <col min="12" max="12" width="21.28515625" style="93" bestFit="1" customWidth="1"/>
    <col min="13" max="13" width="0.28515625" style="1" customWidth="1"/>
    <col min="14" max="14" width="21.140625" style="93" bestFit="1" customWidth="1"/>
    <col min="15" max="15" width="0.28515625" style="1" customWidth="1"/>
    <col min="16" max="16" width="19.42578125" style="1" bestFit="1" customWidth="1"/>
    <col min="17" max="17" width="0.7109375" style="1" customWidth="1"/>
    <col min="18" max="18" width="22.7109375" style="1" bestFit="1" customWidth="1"/>
    <col min="19" max="19" width="9.140625" style="1"/>
    <col min="20" max="20" width="23.7109375" style="1" bestFit="1" customWidth="1"/>
    <col min="21" max="16384" width="9.140625" style="1"/>
  </cols>
  <sheetData>
    <row r="1" spans="2:27" ht="24" x14ac:dyDescent="0.6">
      <c r="B1" s="335" t="s">
        <v>103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</row>
    <row r="2" spans="2:27" ht="24" x14ac:dyDescent="0.6">
      <c r="B2" s="335" t="s">
        <v>81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</row>
    <row r="3" spans="2:27" ht="24" x14ac:dyDescent="0.6">
      <c r="B3" s="335" t="str">
        <f>' سهام'!AC6</f>
        <v>برای ماه منتهی به 1404/10/30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</row>
    <row r="4" spans="2:27" ht="24" x14ac:dyDescent="0.55000000000000004">
      <c r="B4" s="369" t="s">
        <v>83</v>
      </c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  <c r="Q4" s="369"/>
      <c r="R4" s="369"/>
      <c r="AA4" s="1" t="s">
        <v>187</v>
      </c>
    </row>
    <row r="5" spans="2:27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123"/>
      <c r="M5" s="29"/>
      <c r="N5" s="123"/>
      <c r="O5" s="29"/>
      <c r="P5" s="29"/>
      <c r="Q5" s="29"/>
      <c r="R5" s="29"/>
      <c r="S5" s="264"/>
      <c r="T5" s="264"/>
      <c r="AA5" s="1" t="s">
        <v>188</v>
      </c>
    </row>
    <row r="6" spans="2:27" ht="18.75" customHeight="1" thickBot="1" x14ac:dyDescent="0.6">
      <c r="B6" s="49"/>
      <c r="C6" s="375"/>
      <c r="D6" s="375"/>
      <c r="E6" s="375"/>
      <c r="F6" s="375"/>
      <c r="G6" s="375"/>
      <c r="H6" s="375"/>
      <c r="I6" s="375"/>
      <c r="J6" s="375"/>
      <c r="K6" s="52"/>
      <c r="L6" s="352" t="s">
        <v>16</v>
      </c>
      <c r="M6" s="352"/>
      <c r="N6" s="352"/>
      <c r="P6" s="345" t="str">
        <f>' سهام'!AC5</f>
        <v>1404/10/30</v>
      </c>
      <c r="Q6" s="345"/>
      <c r="R6" s="345"/>
      <c r="S6" s="264"/>
      <c r="T6" s="264"/>
      <c r="AA6" s="1" t="s">
        <v>189</v>
      </c>
    </row>
    <row r="7" spans="2:27" ht="24" customHeight="1" x14ac:dyDescent="0.55000000000000004">
      <c r="B7" s="371" t="s">
        <v>17</v>
      </c>
      <c r="C7" s="3"/>
      <c r="D7" s="349" t="s">
        <v>18</v>
      </c>
      <c r="E7" s="3"/>
      <c r="F7" s="349" t="s">
        <v>60</v>
      </c>
      <c r="G7" s="3"/>
      <c r="H7" s="349" t="s">
        <v>61</v>
      </c>
      <c r="I7" s="338"/>
      <c r="J7" s="340" t="s">
        <v>11</v>
      </c>
      <c r="K7" s="3"/>
      <c r="L7" s="373" t="s">
        <v>62</v>
      </c>
      <c r="M7" s="165"/>
      <c r="N7" s="373" t="s">
        <v>63</v>
      </c>
      <c r="P7" s="370" t="s">
        <v>11</v>
      </c>
      <c r="Q7" s="338"/>
      <c r="R7" s="368" t="s">
        <v>33</v>
      </c>
      <c r="S7" s="264"/>
      <c r="T7" s="264"/>
      <c r="AA7" s="1" t="s">
        <v>190</v>
      </c>
    </row>
    <row r="8" spans="2:27" ht="47.25" customHeight="1" thickBot="1" x14ac:dyDescent="0.6">
      <c r="B8" s="372"/>
      <c r="C8" s="229"/>
      <c r="D8" s="350"/>
      <c r="E8" s="229"/>
      <c r="F8" s="350"/>
      <c r="G8" s="229"/>
      <c r="H8" s="350"/>
      <c r="I8" s="338"/>
      <c r="J8" s="341"/>
      <c r="K8" s="3"/>
      <c r="L8" s="374"/>
      <c r="N8" s="374"/>
      <c r="P8" s="341"/>
      <c r="Q8" s="338"/>
      <c r="R8" s="339"/>
      <c r="S8" s="264"/>
      <c r="T8" s="264"/>
      <c r="V8" s="164"/>
      <c r="AA8" s="1" t="s">
        <v>191</v>
      </c>
    </row>
    <row r="9" spans="2:27" ht="25.15" customHeight="1" x14ac:dyDescent="0.55000000000000004">
      <c r="B9" s="68" t="s">
        <v>280</v>
      </c>
      <c r="C9" s="230"/>
      <c r="D9" s="230" t="s">
        <v>108</v>
      </c>
      <c r="E9" s="230"/>
      <c r="F9" s="230" t="s">
        <v>106</v>
      </c>
      <c r="G9" s="230"/>
      <c r="H9" s="162">
        <v>0</v>
      </c>
      <c r="I9" s="230"/>
      <c r="J9" s="169">
        <v>50000000</v>
      </c>
      <c r="K9" s="230"/>
      <c r="L9" s="162">
        <v>0</v>
      </c>
      <c r="M9" s="230"/>
      <c r="N9" s="162">
        <v>0</v>
      </c>
      <c r="O9" s="162"/>
      <c r="P9" s="162">
        <v>50000000</v>
      </c>
      <c r="Q9" s="231"/>
      <c r="R9" s="232">
        <f>P9/$R$19</f>
        <v>3.6663222739335707E-6</v>
      </c>
      <c r="S9" s="264"/>
      <c r="T9" s="281"/>
    </row>
    <row r="10" spans="2:27" ht="25.15" customHeight="1" x14ac:dyDescent="0.55000000000000004">
      <c r="B10" s="68" t="s">
        <v>199</v>
      </c>
      <c r="C10" s="230"/>
      <c r="D10" s="230" t="s">
        <v>109</v>
      </c>
      <c r="E10" s="230"/>
      <c r="F10" s="230" t="s">
        <v>106</v>
      </c>
      <c r="G10" s="230"/>
      <c r="H10" s="162">
        <v>0</v>
      </c>
      <c r="I10" s="230"/>
      <c r="J10" s="169">
        <v>44413519</v>
      </c>
      <c r="K10" s="230"/>
      <c r="L10" s="162">
        <v>2535135896426</v>
      </c>
      <c r="M10" s="230"/>
      <c r="N10" s="162">
        <v>2535133831542</v>
      </c>
      <c r="O10" s="162"/>
      <c r="P10" s="162">
        <v>46478403</v>
      </c>
      <c r="Q10" s="231"/>
      <c r="R10" s="232">
        <f>P10/$R$19</f>
        <v>3.4080960835152179E-6</v>
      </c>
      <c r="S10" s="264"/>
      <c r="T10" s="281"/>
    </row>
    <row r="11" spans="2:27" ht="25.15" customHeight="1" x14ac:dyDescent="0.55000000000000004">
      <c r="B11" s="68" t="s">
        <v>200</v>
      </c>
      <c r="C11" s="230"/>
      <c r="D11" s="230" t="s">
        <v>109</v>
      </c>
      <c r="E11" s="230"/>
      <c r="F11" s="230" t="s">
        <v>147</v>
      </c>
      <c r="G11" s="230"/>
      <c r="H11" s="162">
        <v>0</v>
      </c>
      <c r="I11" s="230"/>
      <c r="J11" s="169">
        <v>115688087790</v>
      </c>
      <c r="K11" s="230"/>
      <c r="L11" s="162">
        <v>1374365425874</v>
      </c>
      <c r="M11" s="230"/>
      <c r="N11" s="162">
        <v>1405112625000</v>
      </c>
      <c r="O11" s="162"/>
      <c r="P11" s="162">
        <v>84940888664</v>
      </c>
      <c r="Q11" s="231"/>
      <c r="R11" s="232">
        <f t="shared" ref="R11:R12" si="0">P11/$R$19</f>
        <v>6.2284134415306943E-3</v>
      </c>
      <c r="S11" s="264"/>
      <c r="T11" s="281"/>
    </row>
    <row r="12" spans="2:27" ht="25.15" customHeight="1" x14ac:dyDescent="0.55000000000000004">
      <c r="B12" s="68" t="s">
        <v>253</v>
      </c>
      <c r="C12" s="230"/>
      <c r="D12" s="230" t="s">
        <v>109</v>
      </c>
      <c r="E12" s="230"/>
      <c r="F12" s="230" t="s">
        <v>256</v>
      </c>
      <c r="G12" s="230"/>
      <c r="H12" s="162">
        <v>0</v>
      </c>
      <c r="I12" s="230"/>
      <c r="J12" s="169">
        <v>1008236</v>
      </c>
      <c r="K12" s="230"/>
      <c r="L12" s="162">
        <v>4143</v>
      </c>
      <c r="M12" s="230"/>
      <c r="N12" s="162">
        <v>0</v>
      </c>
      <c r="O12" s="162"/>
      <c r="P12" s="162">
        <v>1012379</v>
      </c>
      <c r="Q12" s="231"/>
      <c r="R12" s="232">
        <f t="shared" si="0"/>
        <v>7.4234153547251881E-8</v>
      </c>
      <c r="S12" s="264"/>
      <c r="T12" s="281"/>
    </row>
    <row r="13" spans="2:27" ht="25.15" customHeight="1" x14ac:dyDescent="0.55000000000000004">
      <c r="B13" s="68" t="s">
        <v>281</v>
      </c>
      <c r="C13" s="230"/>
      <c r="D13" s="230" t="s">
        <v>109</v>
      </c>
      <c r="E13" s="230"/>
      <c r="F13" s="230" t="s">
        <v>256</v>
      </c>
      <c r="G13" s="230"/>
      <c r="H13" s="162">
        <v>0</v>
      </c>
      <c r="I13" s="230"/>
      <c r="J13" s="169">
        <v>402500</v>
      </c>
      <c r="K13" s="230"/>
      <c r="L13" s="162">
        <v>0</v>
      </c>
      <c r="M13" s="230"/>
      <c r="N13" s="162">
        <v>0</v>
      </c>
      <c r="O13" s="162"/>
      <c r="P13" s="162">
        <v>402500</v>
      </c>
      <c r="Q13" s="231"/>
      <c r="R13" s="233">
        <f>P13/$R$19</f>
        <v>2.9513894305165243E-8</v>
      </c>
      <c r="S13" s="264"/>
      <c r="T13" s="281"/>
    </row>
    <row r="14" spans="2:27" ht="25.15" customHeight="1" x14ac:dyDescent="0.55000000000000004">
      <c r="B14" s="68" t="s">
        <v>282</v>
      </c>
      <c r="C14" s="230"/>
      <c r="D14" s="230" t="s">
        <v>108</v>
      </c>
      <c r="E14" s="230"/>
      <c r="F14" s="230" t="s">
        <v>265</v>
      </c>
      <c r="G14" s="230"/>
      <c r="H14" s="162">
        <v>0</v>
      </c>
      <c r="I14" s="230"/>
      <c r="J14" s="169">
        <v>4990000</v>
      </c>
      <c r="K14" s="230"/>
      <c r="L14" s="162">
        <v>122200000000</v>
      </c>
      <c r="M14" s="230"/>
      <c r="N14" s="162">
        <v>122200000000</v>
      </c>
      <c r="O14" s="162"/>
      <c r="P14" s="162">
        <v>4990000</v>
      </c>
      <c r="Q14" s="231"/>
      <c r="R14" s="233">
        <f>P14/$R$19</f>
        <v>3.6589896293857032E-7</v>
      </c>
      <c r="S14" s="264"/>
      <c r="T14" s="281"/>
    </row>
    <row r="15" spans="2:27" ht="25.15" customHeight="1" thickBot="1" x14ac:dyDescent="0.6">
      <c r="B15" s="68" t="s">
        <v>283</v>
      </c>
      <c r="C15" s="230"/>
      <c r="D15" s="230" t="s">
        <v>109</v>
      </c>
      <c r="E15" s="230"/>
      <c r="F15" s="230" t="s">
        <v>279</v>
      </c>
      <c r="G15" s="230"/>
      <c r="H15" s="162">
        <v>0</v>
      </c>
      <c r="I15" s="230"/>
      <c r="J15" s="169">
        <v>0</v>
      </c>
      <c r="K15" s="230"/>
      <c r="L15" s="162">
        <v>1474842588425</v>
      </c>
      <c r="M15" s="230"/>
      <c r="N15" s="162">
        <v>1474785976907</v>
      </c>
      <c r="O15" s="162"/>
      <c r="P15" s="162">
        <v>56611518</v>
      </c>
      <c r="Q15" s="231"/>
      <c r="R15" s="233">
        <f>P15/$R$19</f>
        <v>4.1511213880918252E-6</v>
      </c>
      <c r="S15" s="264"/>
      <c r="T15" s="281"/>
    </row>
    <row r="16" spans="2:27" ht="23.25" thickBot="1" x14ac:dyDescent="0.6">
      <c r="B16" s="3" t="s">
        <v>7</v>
      </c>
      <c r="C16" s="3"/>
      <c r="D16" s="3"/>
      <c r="E16" s="3"/>
      <c r="F16" s="3"/>
      <c r="G16" s="3"/>
      <c r="H16" s="3"/>
      <c r="I16" s="5"/>
      <c r="J16" s="234">
        <f>SUM(J9:J15)</f>
        <v>115788902045</v>
      </c>
      <c r="K16" s="31"/>
      <c r="L16" s="234">
        <f>SUM(L9:L15)</f>
        <v>5506543914868</v>
      </c>
      <c r="N16" s="234">
        <f>SUM(N9:N15)</f>
        <v>5537232433449</v>
      </c>
      <c r="P16" s="234">
        <f>SUM(P9:P15)</f>
        <v>85100383464</v>
      </c>
      <c r="Q16" s="5"/>
      <c r="R16" s="124">
        <f>SUM(R9:R15)</f>
        <v>6.2401086282870251E-3</v>
      </c>
      <c r="S16" s="264"/>
      <c r="T16" s="281"/>
    </row>
    <row r="17" spans="4:20" ht="24.75" thickTop="1" x14ac:dyDescent="0.6">
      <c r="J17" s="222"/>
      <c r="P17" s="164"/>
      <c r="S17" s="264"/>
      <c r="T17" s="264"/>
    </row>
    <row r="18" spans="4:20" ht="24" x14ac:dyDescent="0.6">
      <c r="J18" s="246"/>
      <c r="P18" s="246"/>
      <c r="R18" s="296"/>
      <c r="S18" s="264"/>
      <c r="T18" s="264"/>
    </row>
    <row r="19" spans="4:20" ht="24" x14ac:dyDescent="0.6">
      <c r="J19" s="247"/>
      <c r="P19" s="247"/>
      <c r="R19" s="404">
        <v>13637644556095</v>
      </c>
      <c r="S19" s="290"/>
      <c r="T19" s="264"/>
    </row>
    <row r="20" spans="4:20" x14ac:dyDescent="0.55000000000000004">
      <c r="D20" s="1" t="s">
        <v>89</v>
      </c>
      <c r="L20" s="109"/>
      <c r="P20" s="93"/>
      <c r="Q20" s="93"/>
      <c r="R20" s="290"/>
      <c r="S20" s="290"/>
      <c r="T20" s="264"/>
    </row>
    <row r="21" spans="4:20" x14ac:dyDescent="0.55000000000000004">
      <c r="R21" s="235"/>
    </row>
    <row r="58" spans="18:18" ht="27.75" x14ac:dyDescent="0.55000000000000004">
      <c r="R58" s="150">
        <v>1783</v>
      </c>
    </row>
    <row r="75" spans="18:18" ht="27.75" x14ac:dyDescent="0.55000000000000004">
      <c r="R75" s="150">
        <v>2083</v>
      </c>
    </row>
  </sheetData>
  <mergeCells count="18">
    <mergeCell ref="N7:N8"/>
    <mergeCell ref="C6:J6"/>
    <mergeCell ref="B1:R1"/>
    <mergeCell ref="B2:R2"/>
    <mergeCell ref="B3:R3"/>
    <mergeCell ref="R7:R8"/>
    <mergeCell ref="B4:R4"/>
    <mergeCell ref="P6:R6"/>
    <mergeCell ref="P7:P8"/>
    <mergeCell ref="Q7:Q8"/>
    <mergeCell ref="B7:B8"/>
    <mergeCell ref="I7:I8"/>
    <mergeCell ref="J7:J8"/>
    <mergeCell ref="D7:D8"/>
    <mergeCell ref="F7:F8"/>
    <mergeCell ref="H7:H8"/>
    <mergeCell ref="L6:N6"/>
    <mergeCell ref="L7:L8"/>
  </mergeCells>
  <phoneticPr fontId="27" type="noConversion"/>
  <printOptions horizontalCentered="1"/>
  <pageMargins left="0.7" right="0.7" top="0.75" bottom="0.75" header="0.3" footer="0.3"/>
  <pageSetup paperSize="9" scale="63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AC74"/>
  <sheetViews>
    <sheetView rightToLeft="1" view="pageBreakPreview" topLeftCell="A2" zoomScale="115" zoomScaleNormal="85" zoomScaleSheetLayoutView="115" workbookViewId="0">
      <selection activeCell="T82" sqref="T82"/>
    </sheetView>
  </sheetViews>
  <sheetFormatPr defaultColWidth="8.85546875" defaultRowHeight="22.5" x14ac:dyDescent="0.55000000000000004"/>
  <cols>
    <col min="1" max="1" width="8.85546875" style="1"/>
    <col min="2" max="2" width="45.5703125" style="202" customWidth="1"/>
    <col min="3" max="3" width="26.140625" style="202" customWidth="1"/>
    <col min="4" max="4" width="12.85546875" style="1" bestFit="1" customWidth="1"/>
    <col min="5" max="5" width="1.140625" style="1" customWidth="1"/>
    <col min="6" max="6" width="24.7109375" style="1" customWidth="1"/>
    <col min="7" max="7" width="1" style="1" customWidth="1"/>
    <col min="8" max="8" width="25.5703125" style="1" bestFit="1" customWidth="1"/>
    <col min="9" max="9" width="0.85546875" style="1" customWidth="1"/>
    <col min="10" max="10" width="19.5703125" style="1" bestFit="1" customWidth="1"/>
    <col min="11" max="11" width="0.140625" style="1" customWidth="1"/>
    <col min="12" max="12" width="8.85546875" style="1" customWidth="1"/>
    <col min="13" max="13" width="24.7109375" style="1" bestFit="1" customWidth="1"/>
    <col min="14" max="14" width="8.85546875" style="1" customWidth="1"/>
    <col min="15" max="15" width="24.28515625" style="1" customWidth="1"/>
    <col min="16" max="16" width="22.140625" style="1" customWidth="1"/>
    <col min="17" max="19" width="8.85546875" style="1" customWidth="1"/>
    <col min="20" max="16384" width="8.85546875" style="1"/>
  </cols>
  <sheetData>
    <row r="1" spans="1:29" ht="24" x14ac:dyDescent="0.55000000000000004">
      <c r="A1" s="376" t="s">
        <v>103</v>
      </c>
      <c r="B1" s="376"/>
      <c r="C1" s="376"/>
      <c r="D1" s="376"/>
      <c r="E1" s="376"/>
      <c r="F1" s="376"/>
      <c r="G1" s="376"/>
      <c r="H1" s="376"/>
      <c r="I1" s="376"/>
      <c r="J1" s="376"/>
    </row>
    <row r="2" spans="1:29" ht="24" x14ac:dyDescent="0.6">
      <c r="A2" s="335" t="str">
        <f>سپرده!B2</f>
        <v xml:space="preserve">صورت وضعیت پرتفوی </v>
      </c>
      <c r="B2" s="335"/>
      <c r="C2" s="335"/>
      <c r="D2" s="335"/>
      <c r="E2" s="335"/>
      <c r="F2" s="335"/>
      <c r="G2" s="335"/>
      <c r="H2" s="335"/>
      <c r="I2" s="335"/>
      <c r="J2" s="335"/>
      <c r="K2" s="8"/>
      <c r="L2" s="8"/>
      <c r="M2" s="8"/>
      <c r="N2" s="8"/>
      <c r="O2" s="8"/>
      <c r="P2" s="8"/>
      <c r="Q2" s="8"/>
      <c r="R2" s="8"/>
      <c r="S2" s="8"/>
    </row>
    <row r="3" spans="1:29" ht="24" x14ac:dyDescent="0.6">
      <c r="A3" s="335" t="str">
        <f>سپرده!B3</f>
        <v>برای ماه منتهی به 1404/10/30</v>
      </c>
      <c r="B3" s="335"/>
      <c r="C3" s="335"/>
      <c r="D3" s="335"/>
      <c r="E3" s="335"/>
      <c r="F3" s="335"/>
      <c r="G3" s="335"/>
      <c r="H3" s="335"/>
      <c r="I3" s="335"/>
      <c r="J3" s="335"/>
      <c r="K3" s="8"/>
      <c r="L3" s="8"/>
      <c r="M3" s="8"/>
      <c r="N3" s="8"/>
      <c r="O3" s="8"/>
      <c r="P3" s="8"/>
      <c r="Q3" s="8"/>
      <c r="R3" s="8"/>
      <c r="S3" s="8"/>
    </row>
    <row r="4" spans="1:29" x14ac:dyDescent="0.55000000000000004">
      <c r="D4" s="96"/>
      <c r="E4" s="93"/>
      <c r="J4" s="219"/>
      <c r="P4" s="164"/>
      <c r="AC4" s="1" t="s">
        <v>187</v>
      </c>
    </row>
    <row r="5" spans="1:29" ht="23.25" thickBot="1" x14ac:dyDescent="0.6">
      <c r="B5" s="12" t="s">
        <v>64</v>
      </c>
      <c r="C5" s="12"/>
      <c r="D5" s="134" t="s">
        <v>65</v>
      </c>
      <c r="E5" s="165"/>
      <c r="F5" s="134" t="s">
        <v>11</v>
      </c>
      <c r="G5" s="165"/>
      <c r="H5" s="134" t="s">
        <v>154</v>
      </c>
      <c r="I5" s="165"/>
      <c r="J5" s="134" t="s">
        <v>90</v>
      </c>
      <c r="K5" s="165"/>
      <c r="M5" s="290"/>
      <c r="N5" s="296"/>
      <c r="P5" s="164"/>
      <c r="AC5" s="1" t="s">
        <v>189</v>
      </c>
    </row>
    <row r="6" spans="1:29" ht="24" x14ac:dyDescent="0.55000000000000004">
      <c r="B6" s="220" t="s">
        <v>79</v>
      </c>
      <c r="C6" s="220"/>
      <c r="D6" s="94" t="s">
        <v>84</v>
      </c>
      <c r="E6" s="34"/>
      <c r="F6" s="280">
        <f>'درآمد سرمایه گذاری در سهام '!T134</f>
        <v>5381091786736</v>
      </c>
      <c r="G6" s="34"/>
      <c r="H6" s="95">
        <f>F6/$H$12</f>
        <v>0.98304267023485326</v>
      </c>
      <c r="I6" s="34"/>
      <c r="J6" s="95">
        <f>F6/M8</f>
        <v>0.39457633351582383</v>
      </c>
      <c r="K6" s="34"/>
      <c r="L6" s="34"/>
      <c r="M6" s="406"/>
      <c r="N6" s="297"/>
      <c r="O6" s="34"/>
      <c r="P6" s="34"/>
      <c r="Q6" s="34"/>
      <c r="R6" s="34"/>
      <c r="S6" s="34"/>
      <c r="T6" s="34"/>
      <c r="U6" s="34"/>
      <c r="V6" s="34"/>
      <c r="W6" s="34"/>
      <c r="X6" s="34"/>
      <c r="AC6" s="1" t="s">
        <v>190</v>
      </c>
    </row>
    <row r="7" spans="1:29" ht="24" x14ac:dyDescent="0.6">
      <c r="B7" s="220" t="s">
        <v>206</v>
      </c>
      <c r="C7" s="220"/>
      <c r="D7" s="94" t="s">
        <v>85</v>
      </c>
      <c r="E7" s="34"/>
      <c r="F7" s="221">
        <f>'درآمد سپرده بانکی'!J12</f>
        <v>25564520324</v>
      </c>
      <c r="G7" s="34"/>
      <c r="H7" s="95">
        <f>F7/$H$12</f>
        <v>4.6702445002934643E-3</v>
      </c>
      <c r="I7" s="34"/>
      <c r="J7" s="95">
        <f>F7/M8</f>
        <v>1.8745554057261731E-3</v>
      </c>
      <c r="K7" s="222"/>
      <c r="L7" s="34"/>
      <c r="M7" s="406"/>
      <c r="N7" s="297"/>
      <c r="O7" s="34"/>
      <c r="P7" s="34"/>
      <c r="Q7" s="34"/>
      <c r="R7" s="34"/>
      <c r="S7" s="34"/>
      <c r="T7" s="34"/>
    </row>
    <row r="8" spans="1:29" ht="24.75" thickBot="1" x14ac:dyDescent="0.65">
      <c r="B8" s="220" t="s">
        <v>41</v>
      </c>
      <c r="C8" s="220"/>
      <c r="D8" s="94" t="s">
        <v>86</v>
      </c>
      <c r="E8" s="34"/>
      <c r="F8" s="221">
        <f>'سایر درآمدها'!F8</f>
        <v>4226643143</v>
      </c>
      <c r="G8" s="34"/>
      <c r="H8" s="95">
        <f>F8/$H$12</f>
        <v>7.7214266659904459E-4</v>
      </c>
      <c r="I8" s="34"/>
      <c r="J8" s="95">
        <f>F8/M8</f>
        <v>3.099247179829899E-4</v>
      </c>
      <c r="K8" s="221"/>
      <c r="L8" s="34"/>
      <c r="M8" s="404">
        <v>13637644556095</v>
      </c>
      <c r="N8" s="296"/>
      <c r="O8" s="164"/>
    </row>
    <row r="9" spans="1:29" ht="24.75" thickBot="1" x14ac:dyDescent="0.6">
      <c r="B9" s="220" t="s">
        <v>7</v>
      </c>
      <c r="D9" s="223"/>
      <c r="F9" s="224">
        <f>SUM(F6:F8)</f>
        <v>5410882950203</v>
      </c>
      <c r="H9" s="225">
        <f>SUM(H6:H8)</f>
        <v>0.98848505740174586</v>
      </c>
      <c r="J9" s="226">
        <f>SUM(J6:J8)</f>
        <v>0.39676081363953297</v>
      </c>
      <c r="M9" s="290"/>
      <c r="N9" s="296"/>
      <c r="O9" s="164"/>
      <c r="P9" s="227"/>
    </row>
    <row r="10" spans="1:29" ht="23.25" thickTop="1" x14ac:dyDescent="0.55000000000000004">
      <c r="D10" s="223"/>
      <c r="M10" s="307"/>
      <c r="N10" s="296"/>
      <c r="O10" s="164"/>
    </row>
    <row r="11" spans="1:29" x14ac:dyDescent="0.55000000000000004">
      <c r="M11" s="307"/>
      <c r="O11" s="164"/>
    </row>
    <row r="12" spans="1:29" ht="24.75" x14ac:dyDescent="0.55000000000000004">
      <c r="F12" s="228"/>
      <c r="H12" s="405">
        <v>5473914764504</v>
      </c>
      <c r="O12" s="164"/>
    </row>
    <row r="13" spans="1:29" ht="24" x14ac:dyDescent="0.55000000000000004">
      <c r="F13" s="122"/>
      <c r="H13" s="307"/>
      <c r="O13" s="164"/>
    </row>
    <row r="14" spans="1:29" ht="24" x14ac:dyDescent="0.55000000000000004">
      <c r="F14" s="221"/>
      <c r="M14" s="93"/>
    </row>
    <row r="15" spans="1:29" ht="24" x14ac:dyDescent="0.55000000000000004">
      <c r="F15" s="122"/>
      <c r="M15" s="164"/>
    </row>
    <row r="16" spans="1:29" ht="24" x14ac:dyDescent="0.55000000000000004">
      <c r="F16" s="122"/>
      <c r="M16" s="164"/>
    </row>
    <row r="17" spans="6:13" x14ac:dyDescent="0.55000000000000004">
      <c r="F17" s="164"/>
      <c r="M17" s="175"/>
    </row>
    <row r="18" spans="6:13" x14ac:dyDescent="0.55000000000000004">
      <c r="F18" s="164"/>
      <c r="M18" s="175"/>
    </row>
    <row r="19" spans="6:13" x14ac:dyDescent="0.55000000000000004">
      <c r="F19" s="164"/>
    </row>
    <row r="57" spans="18:18" ht="27.75" x14ac:dyDescent="0.55000000000000004">
      <c r="R57" s="150">
        <v>1783</v>
      </c>
    </row>
    <row r="74" spans="18:18" ht="27.75" x14ac:dyDescent="0.55000000000000004">
      <c r="R74" s="150">
        <v>2083</v>
      </c>
    </row>
  </sheetData>
  <mergeCells count="3">
    <mergeCell ref="A1:J1"/>
    <mergeCell ref="A2:J2"/>
    <mergeCell ref="A3:J3"/>
  </mergeCells>
  <phoneticPr fontId="27" type="noConversion"/>
  <hyperlinks>
    <hyperlink ref="D6" location="'درآمد سرمایه گذاری در سهام '!A1" display="1-2" xr:uid="{00000000-0004-0000-0600-000004000000}"/>
    <hyperlink ref="D7" location="'درآمد سپرده بانکی'!A1" display="3-2" xr:uid="{00000000-0004-0000-0600-000006000000}"/>
    <hyperlink ref="D8" location="'سایر درآمدها'!A1" display="4-2" xr:uid="{00000000-0004-0000-0600-000007000000}"/>
  </hyperlinks>
  <printOptions horizontalCentered="1"/>
  <pageMargins left="0.7" right="0.7" top="0.75" bottom="0.75" header="0.3" footer="0.3"/>
  <pageSetup paperSize="9" scale="79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B1:AE154"/>
  <sheetViews>
    <sheetView rightToLeft="1" view="pageBreakPreview" zoomScale="70" zoomScaleNormal="100" zoomScaleSheetLayoutView="70" workbookViewId="0">
      <selection activeCell="T82" sqref="T82"/>
    </sheetView>
  </sheetViews>
  <sheetFormatPr defaultColWidth="9.140625" defaultRowHeight="36" customHeight="1" x14ac:dyDescent="0.25"/>
  <cols>
    <col min="1" max="1" width="2.7109375" style="188" customWidth="1"/>
    <col min="2" max="2" width="36.7109375" style="274" customWidth="1"/>
    <col min="3" max="3" width="0.7109375" style="188" customWidth="1"/>
    <col min="4" max="4" width="24.42578125" style="188" customWidth="1"/>
    <col min="5" max="5" width="0.7109375" style="188" customWidth="1"/>
    <col min="6" max="6" width="29.5703125" style="188" customWidth="1"/>
    <col min="7" max="7" width="0.85546875" style="188" customWidth="1"/>
    <col min="8" max="8" width="29.5703125" style="188" bestFit="1" customWidth="1"/>
    <col min="9" max="9" width="0.7109375" style="188" customWidth="1"/>
    <col min="10" max="10" width="29.5703125" style="188" bestFit="1" customWidth="1"/>
    <col min="11" max="11" width="0.85546875" style="188" customWidth="1"/>
    <col min="12" max="12" width="24.42578125" style="188" bestFit="1" customWidth="1"/>
    <col min="13" max="13" width="0.7109375" style="188" customWidth="1"/>
    <col min="14" max="14" width="23.140625" style="188" customWidth="1"/>
    <col min="15" max="15" width="0.7109375" style="188" customWidth="1"/>
    <col min="16" max="16" width="25.5703125" style="188" customWidth="1"/>
    <col min="17" max="17" width="0.7109375" style="188" customWidth="1"/>
    <col min="18" max="18" width="28.140625" style="188" bestFit="1" customWidth="1"/>
    <col min="19" max="19" width="0.5703125" style="188" customWidth="1"/>
    <col min="20" max="20" width="29.5703125" style="102" bestFit="1" customWidth="1"/>
    <col min="21" max="21" width="0.42578125" style="102" customWidth="1"/>
    <col min="22" max="22" width="24" style="207" customWidth="1"/>
    <col min="23" max="23" width="29.28515625" style="188" bestFit="1" customWidth="1"/>
    <col min="24" max="24" width="30.5703125" style="188" bestFit="1" customWidth="1"/>
    <col min="25" max="25" width="37.5703125" style="188" bestFit="1" customWidth="1"/>
    <col min="26" max="26" width="32.85546875" style="188" bestFit="1" customWidth="1"/>
    <col min="27" max="27" width="20.7109375" style="188" bestFit="1" customWidth="1"/>
    <col min="28" max="28" width="9.140625" style="188"/>
    <col min="29" max="29" width="23" style="188" bestFit="1" customWidth="1"/>
    <col min="30" max="30" width="24.85546875" style="188" bestFit="1" customWidth="1"/>
    <col min="31" max="31" width="20.42578125" style="188" bestFit="1" customWidth="1"/>
    <col min="32" max="16384" width="9.140625" style="188"/>
  </cols>
  <sheetData>
    <row r="1" spans="2:29" ht="36" customHeight="1" x14ac:dyDescent="0.25">
      <c r="B1" s="381" t="str">
        <f>درآمدها!A1</f>
        <v>صندوق سرمایه گذاری شاخص سی شرکت بزرگ فیروزه</v>
      </c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265"/>
      <c r="X1" s="265"/>
    </row>
    <row r="2" spans="2:29" ht="36" customHeight="1" x14ac:dyDescent="0.25">
      <c r="B2" s="381" t="s">
        <v>87</v>
      </c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265"/>
      <c r="X2" s="265"/>
    </row>
    <row r="3" spans="2:29" ht="36" customHeight="1" x14ac:dyDescent="0.25">
      <c r="B3" s="381" t="str">
        <f>' سهام'!AC6</f>
        <v>برای ماه منتهی به 1404/10/30</v>
      </c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381"/>
      <c r="Q3" s="381"/>
      <c r="R3" s="381"/>
      <c r="S3" s="381"/>
      <c r="T3" s="381"/>
      <c r="U3" s="381"/>
      <c r="V3" s="381"/>
      <c r="W3" s="265"/>
      <c r="X3" s="265"/>
    </row>
    <row r="4" spans="2:29" ht="36" customHeight="1" x14ac:dyDescent="0.25">
      <c r="W4" s="265"/>
      <c r="X4" s="265"/>
      <c r="AC4" s="188" t="s">
        <v>187</v>
      </c>
    </row>
    <row r="5" spans="2:29" ht="36" customHeight="1" x14ac:dyDescent="0.25">
      <c r="B5" s="384" t="s">
        <v>138</v>
      </c>
      <c r="C5" s="384"/>
      <c r="D5" s="384"/>
      <c r="E5" s="384"/>
      <c r="F5" s="384"/>
      <c r="G5" s="384"/>
      <c r="H5" s="384"/>
      <c r="I5" s="384"/>
      <c r="J5" s="384"/>
      <c r="K5" s="384"/>
      <c r="L5" s="384"/>
      <c r="M5" s="384"/>
      <c r="N5" s="384"/>
      <c r="O5" s="384"/>
      <c r="P5" s="384"/>
      <c r="Q5" s="384"/>
      <c r="R5" s="384"/>
      <c r="S5" s="384"/>
      <c r="T5" s="384"/>
      <c r="U5" s="384"/>
      <c r="V5" s="384"/>
      <c r="W5" s="265"/>
      <c r="X5" s="265"/>
      <c r="AC5" s="188" t="s">
        <v>188</v>
      </c>
    </row>
    <row r="6" spans="2:29" ht="9" customHeight="1" x14ac:dyDescent="0.25">
      <c r="W6" s="265"/>
      <c r="X6" s="265"/>
      <c r="AC6" s="188" t="s">
        <v>189</v>
      </c>
    </row>
    <row r="7" spans="2:29" ht="36" customHeight="1" thickBot="1" x14ac:dyDescent="0.3">
      <c r="B7" s="275"/>
      <c r="C7" s="208"/>
      <c r="D7" s="377" t="str">
        <f>' سهام'!AC7</f>
        <v>طی دی ماه</v>
      </c>
      <c r="E7" s="377"/>
      <c r="F7" s="377"/>
      <c r="G7" s="377"/>
      <c r="H7" s="377"/>
      <c r="I7" s="377"/>
      <c r="J7" s="377"/>
      <c r="K7" s="208"/>
      <c r="L7" s="208"/>
      <c r="M7" s="208"/>
      <c r="N7" s="377" t="str">
        <f>' سهام'!AC8</f>
        <v>از ابتدای سال مالی تا پایان دی ماه</v>
      </c>
      <c r="O7" s="377"/>
      <c r="P7" s="377"/>
      <c r="Q7" s="377"/>
      <c r="R7" s="377"/>
      <c r="S7" s="377"/>
      <c r="T7" s="377"/>
      <c r="U7" s="377"/>
      <c r="V7" s="377"/>
      <c r="W7" s="265"/>
      <c r="X7" s="266"/>
      <c r="Y7" s="210"/>
      <c r="AC7" s="188" t="s">
        <v>190</v>
      </c>
    </row>
    <row r="8" spans="2:29" ht="36" customHeight="1" x14ac:dyDescent="0.25">
      <c r="B8" s="378" t="s">
        <v>36</v>
      </c>
      <c r="C8" s="378"/>
      <c r="D8" s="382" t="s">
        <v>21</v>
      </c>
      <c r="E8" s="378"/>
      <c r="F8" s="382" t="s">
        <v>22</v>
      </c>
      <c r="G8" s="378"/>
      <c r="H8" s="382" t="s">
        <v>23</v>
      </c>
      <c r="I8" s="378"/>
      <c r="J8" s="380" t="s">
        <v>7</v>
      </c>
      <c r="K8" s="380"/>
      <c r="L8" s="380"/>
      <c r="M8" s="378"/>
      <c r="N8" s="383" t="s">
        <v>21</v>
      </c>
      <c r="O8" s="385"/>
      <c r="P8" s="383" t="s">
        <v>22</v>
      </c>
      <c r="Q8" s="385"/>
      <c r="R8" s="383" t="s">
        <v>23</v>
      </c>
      <c r="S8" s="385"/>
      <c r="T8" s="380" t="s">
        <v>7</v>
      </c>
      <c r="U8" s="380"/>
      <c r="V8" s="380"/>
      <c r="W8" s="265"/>
      <c r="X8" s="265"/>
      <c r="AC8" s="188" t="s">
        <v>191</v>
      </c>
    </row>
    <row r="9" spans="2:29" ht="36" customHeight="1" thickBot="1" x14ac:dyDescent="0.3">
      <c r="B9" s="378"/>
      <c r="C9" s="378"/>
      <c r="D9" s="382"/>
      <c r="E9" s="378"/>
      <c r="F9" s="382"/>
      <c r="G9" s="378"/>
      <c r="H9" s="382"/>
      <c r="I9" s="378"/>
      <c r="J9" s="377"/>
      <c r="K9" s="377"/>
      <c r="L9" s="377"/>
      <c r="M9" s="378"/>
      <c r="N9" s="382"/>
      <c r="O9" s="378"/>
      <c r="P9" s="382"/>
      <c r="Q9" s="378"/>
      <c r="R9" s="382"/>
      <c r="S9" s="378"/>
      <c r="T9" s="377"/>
      <c r="U9" s="377"/>
      <c r="V9" s="377"/>
      <c r="W9" s="265"/>
      <c r="X9" s="407"/>
    </row>
    <row r="10" spans="2:29" ht="49.5" customHeight="1" thickBot="1" x14ac:dyDescent="0.3">
      <c r="B10" s="379"/>
      <c r="C10" s="378"/>
      <c r="D10" s="88" t="s">
        <v>91</v>
      </c>
      <c r="E10" s="378"/>
      <c r="F10" s="88" t="s">
        <v>92</v>
      </c>
      <c r="G10" s="378"/>
      <c r="H10" s="88" t="s">
        <v>93</v>
      </c>
      <c r="I10" s="378"/>
      <c r="J10" s="103" t="s">
        <v>11</v>
      </c>
      <c r="K10" s="103"/>
      <c r="L10" s="103" t="s">
        <v>24</v>
      </c>
      <c r="M10" s="378"/>
      <c r="N10" s="88" t="s">
        <v>91</v>
      </c>
      <c r="O10" s="378"/>
      <c r="P10" s="88" t="s">
        <v>92</v>
      </c>
      <c r="Q10" s="378"/>
      <c r="R10" s="88" t="s">
        <v>93</v>
      </c>
      <c r="S10" s="378"/>
      <c r="T10" s="103" t="s">
        <v>11</v>
      </c>
      <c r="U10" s="103"/>
      <c r="V10" s="103" t="s">
        <v>24</v>
      </c>
      <c r="W10" s="267"/>
      <c r="X10" s="408"/>
    </row>
    <row r="11" spans="2:29" ht="36" customHeight="1" x14ac:dyDescent="0.25">
      <c r="B11" s="163" t="s">
        <v>113</v>
      </c>
      <c r="C11" s="170"/>
      <c r="D11" s="195">
        <v>0</v>
      </c>
      <c r="E11" s="195"/>
      <c r="F11" s="195">
        <v>77900188299</v>
      </c>
      <c r="G11" s="195"/>
      <c r="H11" s="195">
        <v>124393161214</v>
      </c>
      <c r="I11" s="195"/>
      <c r="J11" s="195">
        <f>H11+F11+D11</f>
        <v>202293349513</v>
      </c>
      <c r="K11" s="195"/>
      <c r="L11" s="212">
        <f>J11/$X$12</f>
        <v>3.695588225538074E-2</v>
      </c>
      <c r="M11" s="195"/>
      <c r="N11" s="195">
        <v>54648000000</v>
      </c>
      <c r="O11" s="195"/>
      <c r="P11" s="195">
        <v>423433739303</v>
      </c>
      <c r="Q11" s="195"/>
      <c r="R11" s="195">
        <v>122100707859</v>
      </c>
      <c r="S11" s="195">
        <v>-714562636</v>
      </c>
      <c r="T11" s="195">
        <f>N11+P11+R11</f>
        <v>600182447162</v>
      </c>
      <c r="U11" s="195">
        <v>11071728389</v>
      </c>
      <c r="V11" s="212">
        <f>T11/درآمدها!$F$9</f>
        <v>0.11092135104114255</v>
      </c>
      <c r="W11" s="267"/>
      <c r="X11" s="408"/>
      <c r="Z11" s="200"/>
      <c r="AA11" s="210"/>
    </row>
    <row r="12" spans="2:29" ht="36" customHeight="1" x14ac:dyDescent="0.25">
      <c r="B12" s="180" t="s">
        <v>238</v>
      </c>
      <c r="C12" s="170"/>
      <c r="D12" s="195">
        <v>0</v>
      </c>
      <c r="E12" s="195"/>
      <c r="F12" s="195">
        <v>-370929499</v>
      </c>
      <c r="G12" s="195"/>
      <c r="H12" s="195">
        <v>7197415378</v>
      </c>
      <c r="I12" s="195"/>
      <c r="J12" s="195">
        <f t="shared" ref="J12:J44" si="0">H12+F12+D12</f>
        <v>6826485879</v>
      </c>
      <c r="K12" s="195"/>
      <c r="L12" s="212">
        <f t="shared" ref="L12:L44" si="1">J12/$X$12</f>
        <v>1.247093930520593E-3</v>
      </c>
      <c r="M12" s="195"/>
      <c r="N12" s="195">
        <v>0</v>
      </c>
      <c r="O12" s="195"/>
      <c r="P12" s="195">
        <v>52922329058</v>
      </c>
      <c r="Q12" s="195"/>
      <c r="R12" s="195">
        <v>7853312483</v>
      </c>
      <c r="S12" s="195">
        <v>-4741243411</v>
      </c>
      <c r="T12" s="195">
        <f t="shared" ref="T12:T44" si="2">N12+P12+R12</f>
        <v>60775641541</v>
      </c>
      <c r="U12" s="195">
        <v>11071728390</v>
      </c>
      <c r="V12" s="212">
        <f>T12/درآمدها!$F$9</f>
        <v>1.1232111672036794E-2</v>
      </c>
      <c r="W12" s="267"/>
      <c r="X12" s="408">
        <v>5473914764504</v>
      </c>
      <c r="Z12" s="200"/>
      <c r="AA12" s="210"/>
    </row>
    <row r="13" spans="2:29" ht="36" customHeight="1" x14ac:dyDescent="0.25">
      <c r="B13" s="180" t="s">
        <v>134</v>
      </c>
      <c r="C13" s="170"/>
      <c r="D13" s="195">
        <v>0</v>
      </c>
      <c r="E13" s="195"/>
      <c r="F13" s="195">
        <v>20948221340</v>
      </c>
      <c r="G13" s="195"/>
      <c r="H13" s="195">
        <v>13192591389</v>
      </c>
      <c r="I13" s="195"/>
      <c r="J13" s="195">
        <f t="shared" si="0"/>
        <v>34140812729</v>
      </c>
      <c r="K13" s="195"/>
      <c r="L13" s="212">
        <f t="shared" si="1"/>
        <v>6.237001158729872E-3</v>
      </c>
      <c r="M13" s="195"/>
      <c r="N13" s="195">
        <v>22230000000</v>
      </c>
      <c r="O13" s="195"/>
      <c r="P13" s="195">
        <v>80817968951</v>
      </c>
      <c r="Q13" s="195"/>
      <c r="R13" s="195">
        <v>69379214731</v>
      </c>
      <c r="S13" s="195">
        <v>-3385001208</v>
      </c>
      <c r="T13" s="195">
        <f t="shared" si="2"/>
        <v>172427183682</v>
      </c>
      <c r="U13" s="195">
        <v>11071728391</v>
      </c>
      <c r="V13" s="212">
        <f>T13/درآمدها!$F$9</f>
        <v>3.186673695751098E-2</v>
      </c>
      <c r="W13" s="267"/>
      <c r="X13" s="408"/>
      <c r="Z13" s="200"/>
      <c r="AA13" s="210"/>
    </row>
    <row r="14" spans="2:29" ht="36" customHeight="1" x14ac:dyDescent="0.25">
      <c r="B14" s="180" t="s">
        <v>277</v>
      </c>
      <c r="C14" s="170"/>
      <c r="D14" s="195">
        <v>0</v>
      </c>
      <c r="E14" s="195"/>
      <c r="F14" s="195">
        <v>1137699150</v>
      </c>
      <c r="G14" s="195"/>
      <c r="H14" s="195">
        <v>671038301</v>
      </c>
      <c r="I14" s="195"/>
      <c r="J14" s="195">
        <f t="shared" si="0"/>
        <v>1808737451</v>
      </c>
      <c r="K14" s="195"/>
      <c r="L14" s="212">
        <f t="shared" si="1"/>
        <v>3.304285011394204E-4</v>
      </c>
      <c r="M14" s="195"/>
      <c r="N14" s="195">
        <v>0</v>
      </c>
      <c r="O14" s="195"/>
      <c r="P14" s="195">
        <v>1137699150</v>
      </c>
      <c r="Q14" s="195"/>
      <c r="R14" s="195">
        <v>671038301</v>
      </c>
      <c r="S14" s="195">
        <v>-2880009787</v>
      </c>
      <c r="T14" s="195">
        <f t="shared" si="2"/>
        <v>1808737451</v>
      </c>
      <c r="U14" s="195">
        <v>11071728392</v>
      </c>
      <c r="V14" s="212">
        <f>T14/درآمدها!$F$9</f>
        <v>3.3427768954642453E-4</v>
      </c>
      <c r="W14" s="267"/>
      <c r="X14" s="308"/>
      <c r="Z14" s="200"/>
      <c r="AA14" s="210"/>
    </row>
    <row r="15" spans="2:29" ht="36" customHeight="1" x14ac:dyDescent="0.25">
      <c r="B15" s="180" t="s">
        <v>122</v>
      </c>
      <c r="C15" s="170"/>
      <c r="D15" s="195">
        <v>0</v>
      </c>
      <c r="E15" s="195"/>
      <c r="F15" s="195">
        <v>257196284231</v>
      </c>
      <c r="G15" s="195"/>
      <c r="H15" s="195">
        <v>1462921197</v>
      </c>
      <c r="I15" s="195"/>
      <c r="J15" s="195">
        <f t="shared" si="0"/>
        <v>258659205428</v>
      </c>
      <c r="K15" s="195"/>
      <c r="L15" s="212">
        <f t="shared" si="1"/>
        <v>4.7253056826038746E-2</v>
      </c>
      <c r="M15" s="195"/>
      <c r="N15" s="195">
        <v>45900000000</v>
      </c>
      <c r="O15" s="195"/>
      <c r="P15" s="195">
        <v>482022635961</v>
      </c>
      <c r="Q15" s="195"/>
      <c r="R15" s="195">
        <v>3681209507</v>
      </c>
      <c r="S15" s="195">
        <v>-664891573</v>
      </c>
      <c r="T15" s="195">
        <f t="shared" si="2"/>
        <v>531603845468</v>
      </c>
      <c r="U15" s="195">
        <v>11071728393</v>
      </c>
      <c r="V15" s="212">
        <f>T15/درآمدها!$F$9</f>
        <v>9.8247153072874335E-2</v>
      </c>
      <c r="W15" s="267"/>
      <c r="X15" s="268"/>
      <c r="Z15" s="200"/>
      <c r="AA15" s="210"/>
    </row>
    <row r="16" spans="2:29" ht="36" customHeight="1" x14ac:dyDescent="0.25">
      <c r="B16" s="180" t="s">
        <v>262</v>
      </c>
      <c r="C16" s="170"/>
      <c r="D16" s="195">
        <v>0</v>
      </c>
      <c r="E16" s="195"/>
      <c r="F16" s="195">
        <v>-1253652327</v>
      </c>
      <c r="G16" s="195"/>
      <c r="H16" s="195">
        <v>1295097720</v>
      </c>
      <c r="I16" s="195"/>
      <c r="J16" s="195">
        <f t="shared" si="0"/>
        <v>41445393</v>
      </c>
      <c r="K16" s="195"/>
      <c r="L16" s="212">
        <f t="shared" si="1"/>
        <v>7.5714355782000253E-6</v>
      </c>
      <c r="M16" s="195"/>
      <c r="N16" s="195">
        <v>0</v>
      </c>
      <c r="O16" s="195"/>
      <c r="P16" s="195">
        <v>558666405</v>
      </c>
      <c r="Q16" s="195"/>
      <c r="R16" s="195">
        <v>1295097720</v>
      </c>
      <c r="S16" s="195">
        <v>-2538727106</v>
      </c>
      <c r="T16" s="195">
        <f t="shared" si="2"/>
        <v>1853764125</v>
      </c>
      <c r="U16" s="195">
        <v>11071728394</v>
      </c>
      <c r="V16" s="212">
        <f>T16/درآمدها!$F$9</f>
        <v>3.4259919167729406E-4</v>
      </c>
      <c r="W16" s="267"/>
      <c r="X16" s="268"/>
      <c r="Z16" s="200"/>
      <c r="AA16" s="210"/>
    </row>
    <row r="17" spans="2:27" ht="36" customHeight="1" x14ac:dyDescent="0.25">
      <c r="B17" s="180" t="s">
        <v>123</v>
      </c>
      <c r="C17" s="170"/>
      <c r="D17" s="195">
        <v>0</v>
      </c>
      <c r="E17" s="195"/>
      <c r="F17" s="195">
        <v>-79472263716</v>
      </c>
      <c r="G17" s="195"/>
      <c r="H17" s="195">
        <v>87571236456</v>
      </c>
      <c r="I17" s="195"/>
      <c r="J17" s="195">
        <f t="shared" si="0"/>
        <v>8098972740</v>
      </c>
      <c r="K17" s="195"/>
      <c r="L17" s="212">
        <f t="shared" si="1"/>
        <v>1.4795577001889726E-3</v>
      </c>
      <c r="M17" s="195"/>
      <c r="N17" s="195">
        <v>5600000000</v>
      </c>
      <c r="O17" s="195"/>
      <c r="P17" s="195">
        <v>5173510271</v>
      </c>
      <c r="Q17" s="195"/>
      <c r="R17" s="195">
        <v>71232942760</v>
      </c>
      <c r="S17" s="195">
        <v>-5759026841</v>
      </c>
      <c r="T17" s="195">
        <f t="shared" si="2"/>
        <v>82006453031</v>
      </c>
      <c r="U17" s="195">
        <v>11071728395</v>
      </c>
      <c r="V17" s="212">
        <f>T17/درآمدها!$F$9</f>
        <v>1.5155835708462953E-2</v>
      </c>
      <c r="W17" s="267"/>
      <c r="X17" s="268"/>
      <c r="Z17" s="200"/>
      <c r="AA17" s="210"/>
    </row>
    <row r="18" spans="2:27" ht="36" customHeight="1" x14ac:dyDescent="0.25">
      <c r="B18" s="180" t="s">
        <v>120</v>
      </c>
      <c r="C18" s="170"/>
      <c r="D18" s="195">
        <v>0</v>
      </c>
      <c r="E18" s="195"/>
      <c r="F18" s="195">
        <v>29405510697</v>
      </c>
      <c r="G18" s="195"/>
      <c r="H18" s="195">
        <v>429444278</v>
      </c>
      <c r="I18" s="195"/>
      <c r="J18" s="195">
        <f t="shared" si="0"/>
        <v>29834954975</v>
      </c>
      <c r="K18" s="195"/>
      <c r="L18" s="212">
        <f t="shared" si="1"/>
        <v>5.450387201581388E-3</v>
      </c>
      <c r="M18" s="195"/>
      <c r="N18" s="195">
        <v>7600000000</v>
      </c>
      <c r="O18" s="195"/>
      <c r="P18" s="195">
        <v>42208950406</v>
      </c>
      <c r="Q18" s="195"/>
      <c r="R18" s="195">
        <v>-1447638362</v>
      </c>
      <c r="S18" s="195">
        <v>-2808202366</v>
      </c>
      <c r="T18" s="195">
        <f t="shared" si="2"/>
        <v>48361312044</v>
      </c>
      <c r="U18" s="195">
        <v>11071728392</v>
      </c>
      <c r="V18" s="212">
        <f>T18/درآمدها!$F$9</f>
        <v>8.937785660690669E-3</v>
      </c>
      <c r="W18" s="267"/>
      <c r="X18" s="102"/>
      <c r="Z18" s="200"/>
      <c r="AA18" s="210"/>
    </row>
    <row r="19" spans="2:27" ht="36" customHeight="1" x14ac:dyDescent="0.25">
      <c r="B19" s="180" t="s">
        <v>150</v>
      </c>
      <c r="C19" s="170"/>
      <c r="D19" s="195">
        <v>0</v>
      </c>
      <c r="E19" s="195"/>
      <c r="F19" s="195">
        <v>-71707</v>
      </c>
      <c r="G19" s="195"/>
      <c r="H19" s="195">
        <v>-4993</v>
      </c>
      <c r="I19" s="195"/>
      <c r="J19" s="195">
        <f t="shared" si="0"/>
        <v>-76700</v>
      </c>
      <c r="K19" s="195"/>
      <c r="L19" s="212">
        <f t="shared" si="1"/>
        <v>-1.4011909812218259E-8</v>
      </c>
      <c r="M19" s="195"/>
      <c r="N19" s="195">
        <v>2320000</v>
      </c>
      <c r="O19" s="195"/>
      <c r="P19" s="195">
        <v>1674468</v>
      </c>
      <c r="Q19" s="195"/>
      <c r="R19" s="195">
        <v>2034565908</v>
      </c>
      <c r="S19" s="195"/>
      <c r="T19" s="195">
        <f t="shared" si="2"/>
        <v>2038560376</v>
      </c>
      <c r="U19" s="195">
        <v>11071728393</v>
      </c>
      <c r="V19" s="212">
        <f>T19/درآمدها!$F$9</f>
        <v>3.7675188961970048E-4</v>
      </c>
      <c r="W19" s="267"/>
      <c r="X19" s="102"/>
      <c r="Z19" s="200"/>
      <c r="AA19" s="210"/>
    </row>
    <row r="20" spans="2:27" ht="36" customHeight="1" x14ac:dyDescent="0.25">
      <c r="B20" s="180" t="s">
        <v>114</v>
      </c>
      <c r="C20" s="170"/>
      <c r="D20" s="195">
        <v>0</v>
      </c>
      <c r="E20" s="195"/>
      <c r="F20" s="195">
        <v>346109928328</v>
      </c>
      <c r="G20" s="195"/>
      <c r="H20" s="195">
        <v>19522304020</v>
      </c>
      <c r="I20" s="195"/>
      <c r="J20" s="195">
        <f t="shared" si="0"/>
        <v>365632232348</v>
      </c>
      <c r="K20" s="195"/>
      <c r="L20" s="212">
        <f t="shared" si="1"/>
        <v>6.6795382843548995E-2</v>
      </c>
      <c r="M20" s="195"/>
      <c r="N20" s="195">
        <v>23077304640</v>
      </c>
      <c r="O20" s="195"/>
      <c r="P20" s="195">
        <v>675339095652</v>
      </c>
      <c r="Q20" s="195"/>
      <c r="R20" s="195">
        <v>20852613707</v>
      </c>
      <c r="S20" s="195">
        <v>8828197833</v>
      </c>
      <c r="T20" s="195">
        <f t="shared" si="2"/>
        <v>719269013999</v>
      </c>
      <c r="U20" s="195">
        <v>11071728394</v>
      </c>
      <c r="V20" s="212">
        <f>T20/درآمدها!$F$9</f>
        <v>0.13293006346995831</v>
      </c>
      <c r="W20" s="267"/>
      <c r="X20" s="102"/>
      <c r="Z20" s="200"/>
      <c r="AA20" s="210"/>
    </row>
    <row r="21" spans="2:27" ht="36" customHeight="1" x14ac:dyDescent="0.25">
      <c r="B21" s="180" t="s">
        <v>259</v>
      </c>
      <c r="C21" s="170"/>
      <c r="D21" s="195">
        <v>0</v>
      </c>
      <c r="E21" s="195"/>
      <c r="F21" s="195">
        <v>0</v>
      </c>
      <c r="G21" s="195"/>
      <c r="H21" s="195">
        <v>2932826582</v>
      </c>
      <c r="I21" s="195"/>
      <c r="J21" s="195">
        <f t="shared" si="0"/>
        <v>2932826582</v>
      </c>
      <c r="K21" s="195"/>
      <c r="L21" s="212">
        <f t="shared" si="1"/>
        <v>5.357822889421166E-4</v>
      </c>
      <c r="M21" s="195"/>
      <c r="N21" s="195">
        <v>0</v>
      </c>
      <c r="O21" s="195"/>
      <c r="P21" s="195">
        <v>0</v>
      </c>
      <c r="Q21" s="195"/>
      <c r="R21" s="195">
        <v>2932826582</v>
      </c>
      <c r="S21" s="195">
        <v>-40082741567</v>
      </c>
      <c r="T21" s="195">
        <f t="shared" si="2"/>
        <v>2932826582</v>
      </c>
      <c r="U21" s="195">
        <v>11071728395</v>
      </c>
      <c r="V21" s="212">
        <f>T21/درآمدها!$F$9</f>
        <v>5.4202366027710305E-4</v>
      </c>
      <c r="W21" s="267"/>
      <c r="X21" s="102"/>
      <c r="Z21" s="200"/>
      <c r="AA21" s="210"/>
    </row>
    <row r="22" spans="2:27" ht="36" customHeight="1" x14ac:dyDescent="0.25">
      <c r="B22" s="180" t="s">
        <v>181</v>
      </c>
      <c r="C22" s="170"/>
      <c r="D22" s="195">
        <v>0</v>
      </c>
      <c r="E22" s="195"/>
      <c r="F22" s="195">
        <v>0</v>
      </c>
      <c r="G22" s="195"/>
      <c r="H22" s="195">
        <v>2711970781</v>
      </c>
      <c r="I22" s="195"/>
      <c r="J22" s="195">
        <f t="shared" si="0"/>
        <v>2711970781</v>
      </c>
      <c r="K22" s="195"/>
      <c r="L22" s="212">
        <f t="shared" si="1"/>
        <v>4.954353324216834E-4</v>
      </c>
      <c r="M22" s="195"/>
      <c r="N22" s="195">
        <v>5600000000</v>
      </c>
      <c r="O22" s="195"/>
      <c r="P22" s="195">
        <v>0</v>
      </c>
      <c r="Q22" s="195"/>
      <c r="R22" s="195">
        <v>600423215</v>
      </c>
      <c r="S22" s="195">
        <v>466959920</v>
      </c>
      <c r="T22" s="195">
        <f t="shared" si="2"/>
        <v>6200423215</v>
      </c>
      <c r="U22" s="195">
        <v>11071728396</v>
      </c>
      <c r="V22" s="212">
        <f>T22/درآمدها!$F$9</f>
        <v>1.1459170845245098E-3</v>
      </c>
      <c r="W22" s="267"/>
      <c r="X22" s="102"/>
      <c r="Z22" s="200"/>
      <c r="AA22" s="210"/>
    </row>
    <row r="23" spans="2:27" ht="36" customHeight="1" x14ac:dyDescent="0.25">
      <c r="B23" s="180" t="s">
        <v>129</v>
      </c>
      <c r="C23" s="170"/>
      <c r="D23" s="195">
        <v>0</v>
      </c>
      <c r="E23" s="195"/>
      <c r="F23" s="195">
        <v>566185341743</v>
      </c>
      <c r="G23" s="195"/>
      <c r="H23" s="195">
        <v>7089487144</v>
      </c>
      <c r="I23" s="195"/>
      <c r="J23" s="195">
        <f t="shared" si="0"/>
        <v>573274828887</v>
      </c>
      <c r="K23" s="195"/>
      <c r="L23" s="212">
        <f t="shared" si="1"/>
        <v>0.10472849022137548</v>
      </c>
      <c r="M23" s="195"/>
      <c r="N23" s="195">
        <v>23680000000</v>
      </c>
      <c r="O23" s="195"/>
      <c r="P23" s="195">
        <v>934689515329</v>
      </c>
      <c r="Q23" s="195"/>
      <c r="R23" s="195">
        <v>7881570388</v>
      </c>
      <c r="S23" s="195">
        <v>-102059379029</v>
      </c>
      <c r="T23" s="195">
        <f t="shared" si="2"/>
        <v>966251085717</v>
      </c>
      <c r="U23" s="195">
        <v>11071728398</v>
      </c>
      <c r="V23" s="212">
        <f>T23/درآمدها!$F$9</f>
        <v>0.17857549213492951</v>
      </c>
      <c r="W23" s="267"/>
      <c r="X23" s="102"/>
      <c r="Z23" s="200"/>
      <c r="AA23" s="210"/>
    </row>
    <row r="24" spans="2:27" ht="36" customHeight="1" x14ac:dyDescent="0.25">
      <c r="B24" s="180" t="s">
        <v>121</v>
      </c>
      <c r="C24" s="170"/>
      <c r="D24" s="195">
        <v>0</v>
      </c>
      <c r="E24" s="195"/>
      <c r="F24" s="195">
        <v>94428871330</v>
      </c>
      <c r="G24" s="195"/>
      <c r="H24" s="195">
        <v>20007844</v>
      </c>
      <c r="I24" s="195"/>
      <c r="J24" s="195">
        <f t="shared" si="0"/>
        <v>94448879174</v>
      </c>
      <c r="K24" s="195"/>
      <c r="L24" s="212">
        <f t="shared" si="1"/>
        <v>1.7254356934174542E-2</v>
      </c>
      <c r="M24" s="195"/>
      <c r="N24" s="195">
        <v>0</v>
      </c>
      <c r="O24" s="195"/>
      <c r="P24" s="195">
        <v>269743531321</v>
      </c>
      <c r="Q24" s="195"/>
      <c r="R24" s="195">
        <v>-4067407924</v>
      </c>
      <c r="S24" s="195">
        <v>-11597631470</v>
      </c>
      <c r="T24" s="195">
        <f t="shared" si="2"/>
        <v>265676123397</v>
      </c>
      <c r="U24" s="195">
        <v>11071728399</v>
      </c>
      <c r="V24" s="212">
        <f>T24/درآمدها!$F$9</f>
        <v>4.9100327218690371E-2</v>
      </c>
      <c r="W24" s="267"/>
      <c r="X24" s="102"/>
      <c r="Z24" s="200"/>
      <c r="AA24" s="210"/>
    </row>
    <row r="25" spans="2:27" ht="36" customHeight="1" x14ac:dyDescent="0.25">
      <c r="B25" s="180" t="s">
        <v>128</v>
      </c>
      <c r="C25" s="170"/>
      <c r="D25" s="195">
        <v>0</v>
      </c>
      <c r="E25" s="195"/>
      <c r="F25" s="195">
        <v>-2412096809</v>
      </c>
      <c r="G25" s="195"/>
      <c r="H25" s="195">
        <v>2517880767</v>
      </c>
      <c r="I25" s="195"/>
      <c r="J25" s="195">
        <f t="shared" si="0"/>
        <v>105783958</v>
      </c>
      <c r="K25" s="195"/>
      <c r="L25" s="212">
        <f t="shared" si="1"/>
        <v>1.93251014221054E-5</v>
      </c>
      <c r="M25" s="195"/>
      <c r="N25" s="195">
        <v>3040000000</v>
      </c>
      <c r="O25" s="195"/>
      <c r="P25" s="195">
        <v>350478</v>
      </c>
      <c r="Q25" s="195"/>
      <c r="R25" s="195">
        <v>3127845991</v>
      </c>
      <c r="S25" s="195">
        <v>52167321915</v>
      </c>
      <c r="T25" s="195">
        <f t="shared" si="2"/>
        <v>6168196469</v>
      </c>
      <c r="U25" s="195">
        <v>11071728400</v>
      </c>
      <c r="V25" s="212">
        <f>T25/درآمدها!$F$9</f>
        <v>1.1399611719134653E-3</v>
      </c>
      <c r="W25" s="267"/>
      <c r="X25" s="102"/>
      <c r="Z25" s="200"/>
      <c r="AA25" s="210"/>
    </row>
    <row r="26" spans="2:27" ht="36" customHeight="1" x14ac:dyDescent="0.25">
      <c r="B26" s="180" t="s">
        <v>117</v>
      </c>
      <c r="C26" s="170"/>
      <c r="D26" s="195">
        <v>0</v>
      </c>
      <c r="E26" s="195"/>
      <c r="F26" s="195">
        <v>101806159862</v>
      </c>
      <c r="G26" s="195"/>
      <c r="H26" s="195">
        <v>345197989585</v>
      </c>
      <c r="I26" s="195"/>
      <c r="J26" s="195">
        <f t="shared" si="0"/>
        <v>447004149447</v>
      </c>
      <c r="K26" s="195"/>
      <c r="L26" s="212">
        <f t="shared" si="1"/>
        <v>8.16607800226688E-2</v>
      </c>
      <c r="M26" s="195"/>
      <c r="N26" s="195">
        <v>75832573290</v>
      </c>
      <c r="O26" s="195"/>
      <c r="P26" s="195">
        <v>309064157487</v>
      </c>
      <c r="Q26" s="195"/>
      <c r="R26" s="195">
        <v>347228474242</v>
      </c>
      <c r="S26" s="195">
        <v>-6964477628</v>
      </c>
      <c r="T26" s="195">
        <f t="shared" si="2"/>
        <v>732125205019</v>
      </c>
      <c r="U26" s="195">
        <v>11071728401</v>
      </c>
      <c r="V26" s="212">
        <f>T26/درآمدها!$F$9</f>
        <v>0.13530605111159036</v>
      </c>
      <c r="W26" s="267"/>
      <c r="X26" s="102"/>
      <c r="Z26" s="200"/>
      <c r="AA26" s="210"/>
    </row>
    <row r="27" spans="2:27" ht="36" customHeight="1" x14ac:dyDescent="0.25">
      <c r="B27" s="180" t="s">
        <v>241</v>
      </c>
      <c r="C27" s="170"/>
      <c r="D27" s="195">
        <v>0</v>
      </c>
      <c r="E27" s="195"/>
      <c r="F27" s="195">
        <v>0</v>
      </c>
      <c r="G27" s="195"/>
      <c r="H27" s="195">
        <v>21060892750</v>
      </c>
      <c r="I27" s="195"/>
      <c r="J27" s="195">
        <f t="shared" si="0"/>
        <v>21060892750</v>
      </c>
      <c r="K27" s="195"/>
      <c r="L27" s="212">
        <f t="shared" si="1"/>
        <v>3.8475010401277888E-3</v>
      </c>
      <c r="M27" s="195"/>
      <c r="N27" s="195">
        <v>0</v>
      </c>
      <c r="O27" s="195"/>
      <c r="P27" s="195">
        <v>0</v>
      </c>
      <c r="Q27" s="195"/>
      <c r="R27" s="195">
        <v>40888503080</v>
      </c>
      <c r="S27" s="195">
        <v>-13571699443</v>
      </c>
      <c r="T27" s="195">
        <f t="shared" si="2"/>
        <v>40888503080</v>
      </c>
      <c r="U27" s="195">
        <v>11071728402</v>
      </c>
      <c r="V27" s="212">
        <f>T27/درآمدها!$F$9</f>
        <v>7.5567155039762942E-3</v>
      </c>
      <c r="W27" s="267"/>
      <c r="X27" s="102"/>
      <c r="Z27" s="200"/>
      <c r="AA27" s="210"/>
    </row>
    <row r="28" spans="2:27" ht="36" customHeight="1" x14ac:dyDescent="0.25">
      <c r="B28" s="180" t="s">
        <v>260</v>
      </c>
      <c r="C28" s="170"/>
      <c r="D28" s="195">
        <v>0</v>
      </c>
      <c r="E28" s="195"/>
      <c r="F28" s="195">
        <v>1484989702</v>
      </c>
      <c r="G28" s="195"/>
      <c r="H28" s="195">
        <v>760523799</v>
      </c>
      <c r="I28" s="195"/>
      <c r="J28" s="195">
        <f t="shared" si="0"/>
        <v>2245513501</v>
      </c>
      <c r="K28" s="195"/>
      <c r="L28" s="212">
        <f t="shared" si="1"/>
        <v>4.1022076477353946E-4</v>
      </c>
      <c r="M28" s="195"/>
      <c r="N28" s="195">
        <v>0</v>
      </c>
      <c r="O28" s="195"/>
      <c r="P28" s="195">
        <v>1793098279</v>
      </c>
      <c r="Q28" s="195"/>
      <c r="R28" s="195">
        <v>760523799</v>
      </c>
      <c r="S28" s="195">
        <v>257545772</v>
      </c>
      <c r="T28" s="195">
        <f t="shared" si="2"/>
        <v>2553622078</v>
      </c>
      <c r="U28" s="195">
        <v>11071728398</v>
      </c>
      <c r="V28" s="212">
        <f>T28/درآمدها!$F$9</f>
        <v>4.7194184415025938E-4</v>
      </c>
      <c r="W28" s="267"/>
      <c r="X28" s="102"/>
      <c r="Z28" s="200"/>
      <c r="AA28" s="210"/>
    </row>
    <row r="29" spans="2:27" ht="36" customHeight="1" x14ac:dyDescent="0.25">
      <c r="B29" s="180" t="s">
        <v>276</v>
      </c>
      <c r="C29" s="170"/>
      <c r="D29" s="195">
        <v>0</v>
      </c>
      <c r="E29" s="195"/>
      <c r="F29" s="195">
        <v>7806183549</v>
      </c>
      <c r="G29" s="195"/>
      <c r="H29" s="195">
        <v>2859037</v>
      </c>
      <c r="I29" s="195"/>
      <c r="J29" s="195">
        <f t="shared" si="0"/>
        <v>7809042586</v>
      </c>
      <c r="K29" s="195"/>
      <c r="L29" s="212">
        <f t="shared" si="1"/>
        <v>1.4265919222269056E-3</v>
      </c>
      <c r="M29" s="195"/>
      <c r="N29" s="195">
        <v>0</v>
      </c>
      <c r="O29" s="195"/>
      <c r="P29" s="195">
        <v>7806183549</v>
      </c>
      <c r="Q29" s="195"/>
      <c r="R29" s="195">
        <v>2859037</v>
      </c>
      <c r="S29" s="195">
        <v>1026553445</v>
      </c>
      <c r="T29" s="195">
        <f t="shared" si="2"/>
        <v>7809042586</v>
      </c>
      <c r="U29" s="195">
        <v>11071728399</v>
      </c>
      <c r="V29" s="212">
        <f>T29/درآمدها!$F$9</f>
        <v>1.4432104072232847E-3</v>
      </c>
      <c r="W29" s="267"/>
      <c r="X29" s="102"/>
      <c r="Z29" s="200"/>
      <c r="AA29" s="210"/>
    </row>
    <row r="30" spans="2:27" ht="36" customHeight="1" x14ac:dyDescent="0.25">
      <c r="B30" s="180" t="s">
        <v>118</v>
      </c>
      <c r="C30" s="170"/>
      <c r="D30" s="195">
        <v>0</v>
      </c>
      <c r="E30" s="195"/>
      <c r="F30" s="195">
        <v>-1933665583</v>
      </c>
      <c r="G30" s="195"/>
      <c r="H30" s="195">
        <v>255559930</v>
      </c>
      <c r="I30" s="195"/>
      <c r="J30" s="195">
        <f t="shared" si="0"/>
        <v>-1678105653</v>
      </c>
      <c r="K30" s="195"/>
      <c r="L30" s="212">
        <f t="shared" si="1"/>
        <v>-3.0656408168461057E-4</v>
      </c>
      <c r="M30" s="195"/>
      <c r="N30" s="195">
        <v>14534167200</v>
      </c>
      <c r="O30" s="195"/>
      <c r="P30" s="195">
        <v>7775399087</v>
      </c>
      <c r="Q30" s="195"/>
      <c r="R30" s="195">
        <v>-101804519511</v>
      </c>
      <c r="S30" s="195">
        <v>-1161777565</v>
      </c>
      <c r="T30" s="195">
        <f t="shared" si="2"/>
        <v>-79494953224</v>
      </c>
      <c r="U30" s="195">
        <v>-5155830316</v>
      </c>
      <c r="V30" s="212">
        <f>T30/درآمدها!$F$9</f>
        <v>-1.4691678595822811E-2</v>
      </c>
      <c r="W30" s="267"/>
      <c r="X30" s="102"/>
      <c r="Z30" s="200"/>
      <c r="AA30" s="210"/>
    </row>
    <row r="31" spans="2:27" ht="36" customHeight="1" x14ac:dyDescent="0.25">
      <c r="B31" s="180" t="s">
        <v>272</v>
      </c>
      <c r="C31" s="170"/>
      <c r="D31" s="195">
        <v>0</v>
      </c>
      <c r="E31" s="195"/>
      <c r="F31" s="195">
        <v>-12328977547</v>
      </c>
      <c r="G31" s="195"/>
      <c r="H31" s="195">
        <v>1389322517</v>
      </c>
      <c r="I31" s="195"/>
      <c r="J31" s="195">
        <f t="shared" si="0"/>
        <v>-10939655030</v>
      </c>
      <c r="K31" s="195"/>
      <c r="L31" s="212">
        <f t="shared" si="1"/>
        <v>-1.9985066448127749E-3</v>
      </c>
      <c r="M31" s="195"/>
      <c r="N31" s="195">
        <v>0</v>
      </c>
      <c r="O31" s="195"/>
      <c r="P31" s="195">
        <v>-12328977547</v>
      </c>
      <c r="Q31" s="195"/>
      <c r="R31" s="195">
        <v>1389322517</v>
      </c>
      <c r="S31" s="195">
        <v>599022178</v>
      </c>
      <c r="T31" s="195">
        <f t="shared" si="2"/>
        <v>-10939655030</v>
      </c>
      <c r="U31" s="195">
        <v>-5155830315</v>
      </c>
      <c r="V31" s="212">
        <f>T31/درآمدها!$F$9</f>
        <v>-2.0217874107939402E-3</v>
      </c>
      <c r="W31" s="267"/>
      <c r="X31" s="102"/>
      <c r="Z31" s="200"/>
      <c r="AA31" s="210"/>
    </row>
    <row r="32" spans="2:27" ht="36" customHeight="1" x14ac:dyDescent="0.25">
      <c r="B32" s="180" t="s">
        <v>278</v>
      </c>
      <c r="C32" s="170"/>
      <c r="D32" s="195">
        <v>0</v>
      </c>
      <c r="E32" s="195"/>
      <c r="F32" s="195">
        <v>0</v>
      </c>
      <c r="G32" s="195"/>
      <c r="H32" s="195">
        <v>1956263</v>
      </c>
      <c r="I32" s="195"/>
      <c r="J32" s="195">
        <f t="shared" si="0"/>
        <v>1956263</v>
      </c>
      <c r="K32" s="195"/>
      <c r="L32" s="212">
        <f t="shared" si="1"/>
        <v>3.5737914895670833E-7</v>
      </c>
      <c r="M32" s="195"/>
      <c r="N32" s="195">
        <v>0</v>
      </c>
      <c r="O32" s="195"/>
      <c r="P32" s="195">
        <v>0</v>
      </c>
      <c r="Q32" s="195"/>
      <c r="R32" s="195">
        <v>1956263</v>
      </c>
      <c r="S32" s="195">
        <v>11615770866</v>
      </c>
      <c r="T32" s="195">
        <f t="shared" si="2"/>
        <v>1956263</v>
      </c>
      <c r="U32" s="195">
        <v>-5155830314</v>
      </c>
      <c r="V32" s="212">
        <f>T32/درآمدها!$F$9</f>
        <v>3.6154228764579113E-7</v>
      </c>
      <c r="W32" s="267"/>
      <c r="X32" s="102"/>
      <c r="Z32" s="200"/>
      <c r="AA32" s="210"/>
    </row>
    <row r="33" spans="2:27" ht="36" customHeight="1" x14ac:dyDescent="0.25">
      <c r="B33" s="180" t="s">
        <v>263</v>
      </c>
      <c r="C33" s="170"/>
      <c r="D33" s="195">
        <v>0</v>
      </c>
      <c r="E33" s="195"/>
      <c r="F33" s="195">
        <v>0</v>
      </c>
      <c r="G33" s="195"/>
      <c r="H33" s="195">
        <v>-2034527</v>
      </c>
      <c r="I33" s="195"/>
      <c r="J33" s="195">
        <f t="shared" si="0"/>
        <v>-2034527</v>
      </c>
      <c r="K33" s="195"/>
      <c r="L33" s="212">
        <f t="shared" si="1"/>
        <v>-3.7167677750355903E-7</v>
      </c>
      <c r="M33" s="195"/>
      <c r="N33" s="195">
        <v>0</v>
      </c>
      <c r="O33" s="195"/>
      <c r="P33" s="195">
        <v>0</v>
      </c>
      <c r="Q33" s="195"/>
      <c r="R33" s="195">
        <v>-2034527</v>
      </c>
      <c r="S33" s="195">
        <v>28553005</v>
      </c>
      <c r="T33" s="195">
        <f t="shared" si="2"/>
        <v>-2034527</v>
      </c>
      <c r="U33" s="195">
        <v>-5155830313</v>
      </c>
      <c r="V33" s="212">
        <f>T33/درآمدها!$F$9</f>
        <v>-3.7600647042709926E-7</v>
      </c>
      <c r="W33" s="267"/>
      <c r="X33" s="102"/>
      <c r="Z33" s="200"/>
      <c r="AA33" s="210"/>
    </row>
    <row r="34" spans="2:27" ht="36" customHeight="1" x14ac:dyDescent="0.25">
      <c r="B34" s="180" t="s">
        <v>104</v>
      </c>
      <c r="C34" s="170"/>
      <c r="D34" s="195">
        <v>0</v>
      </c>
      <c r="E34" s="195"/>
      <c r="F34" s="195">
        <v>-1470049080</v>
      </c>
      <c r="G34" s="195"/>
      <c r="H34" s="195">
        <v>27947665430</v>
      </c>
      <c r="I34" s="195"/>
      <c r="J34" s="195">
        <f t="shared" si="0"/>
        <v>26477616350</v>
      </c>
      <c r="K34" s="195"/>
      <c r="L34" s="212">
        <f t="shared" si="1"/>
        <v>4.8370530943769967E-3</v>
      </c>
      <c r="M34" s="195"/>
      <c r="N34" s="195">
        <v>2626384230</v>
      </c>
      <c r="O34" s="195"/>
      <c r="P34" s="195">
        <v>64609456806</v>
      </c>
      <c r="Q34" s="195"/>
      <c r="R34" s="195">
        <v>59163781874</v>
      </c>
      <c r="S34" s="195"/>
      <c r="T34" s="195">
        <f t="shared" si="2"/>
        <v>126399622910</v>
      </c>
      <c r="U34" s="195"/>
      <c r="V34" s="212">
        <f>T34/درآمدها!$F$9</f>
        <v>2.336025821908749E-2</v>
      </c>
      <c r="W34" s="267"/>
      <c r="X34" s="102"/>
      <c r="Z34" s="200"/>
      <c r="AA34" s="210"/>
    </row>
    <row r="35" spans="2:27" ht="36" customHeight="1" x14ac:dyDescent="0.25">
      <c r="B35" s="180" t="s">
        <v>250</v>
      </c>
      <c r="C35" s="170"/>
      <c r="D35" s="195">
        <v>0</v>
      </c>
      <c r="E35" s="195"/>
      <c r="F35" s="195">
        <v>0</v>
      </c>
      <c r="G35" s="195"/>
      <c r="H35" s="195">
        <v>544263143</v>
      </c>
      <c r="I35" s="195"/>
      <c r="J35" s="195">
        <f t="shared" si="0"/>
        <v>544263143</v>
      </c>
      <c r="K35" s="195"/>
      <c r="L35" s="212">
        <f t="shared" si="1"/>
        <v>9.942850161447783E-5</v>
      </c>
      <c r="M35" s="195"/>
      <c r="N35" s="195">
        <v>0</v>
      </c>
      <c r="O35" s="195"/>
      <c r="P35" s="195">
        <v>0</v>
      </c>
      <c r="Q35" s="195"/>
      <c r="R35" s="195">
        <v>544263143</v>
      </c>
      <c r="S35" s="195"/>
      <c r="T35" s="195">
        <f t="shared" si="2"/>
        <v>544263143</v>
      </c>
      <c r="U35" s="195"/>
      <c r="V35" s="212">
        <f>T35/درآمدها!$F$9</f>
        <v>1.0058675229327977E-4</v>
      </c>
      <c r="W35" s="267"/>
      <c r="X35" s="102"/>
      <c r="Z35" s="200"/>
      <c r="AA35" s="210"/>
    </row>
    <row r="36" spans="2:27" ht="36" customHeight="1" x14ac:dyDescent="0.25">
      <c r="B36" s="180" t="s">
        <v>201</v>
      </c>
      <c r="C36" s="170"/>
      <c r="D36" s="195">
        <v>0</v>
      </c>
      <c r="E36" s="195"/>
      <c r="F36" s="195">
        <v>0</v>
      </c>
      <c r="G36" s="195"/>
      <c r="H36" s="195">
        <v>6911444915</v>
      </c>
      <c r="I36" s="195"/>
      <c r="J36" s="195">
        <f t="shared" si="0"/>
        <v>6911444915</v>
      </c>
      <c r="K36" s="195"/>
      <c r="L36" s="212">
        <f t="shared" si="1"/>
        <v>1.2626146391276987E-3</v>
      </c>
      <c r="M36" s="195"/>
      <c r="N36" s="195">
        <v>1500000000</v>
      </c>
      <c r="O36" s="195"/>
      <c r="P36" s="195">
        <v>0</v>
      </c>
      <c r="Q36" s="195"/>
      <c r="R36" s="195">
        <v>16759467393</v>
      </c>
      <c r="S36" s="195"/>
      <c r="T36" s="195">
        <f t="shared" si="2"/>
        <v>18259467393</v>
      </c>
      <c r="U36" s="195"/>
      <c r="V36" s="212">
        <f>T36/درآمدها!$F$9</f>
        <v>3.3745818494031478E-3</v>
      </c>
      <c r="W36" s="267"/>
      <c r="X36" s="102"/>
      <c r="Z36" s="200"/>
      <c r="AA36" s="210"/>
    </row>
    <row r="37" spans="2:27" ht="36" customHeight="1" x14ac:dyDescent="0.25">
      <c r="B37" s="180" t="s">
        <v>137</v>
      </c>
      <c r="C37" s="170"/>
      <c r="D37" s="195">
        <v>0</v>
      </c>
      <c r="E37" s="195"/>
      <c r="F37" s="195">
        <v>-530828164</v>
      </c>
      <c r="G37" s="195"/>
      <c r="H37" s="195">
        <v>1026734638</v>
      </c>
      <c r="I37" s="195"/>
      <c r="J37" s="195">
        <f t="shared" si="0"/>
        <v>495906474</v>
      </c>
      <c r="K37" s="195"/>
      <c r="L37" s="212">
        <f t="shared" si="1"/>
        <v>9.0594482255321499E-5</v>
      </c>
      <c r="M37" s="195"/>
      <c r="N37" s="195">
        <v>17973000000</v>
      </c>
      <c r="O37" s="195"/>
      <c r="P37" s="195">
        <v>16286893</v>
      </c>
      <c r="Q37" s="195"/>
      <c r="R37" s="195">
        <v>19056146444</v>
      </c>
      <c r="S37" s="195"/>
      <c r="T37" s="195">
        <f t="shared" si="2"/>
        <v>37045433337</v>
      </c>
      <c r="U37" s="195"/>
      <c r="V37" s="212">
        <f>T37/درآمدها!$F$9</f>
        <v>6.8464673285180133E-3</v>
      </c>
      <c r="W37" s="267"/>
      <c r="X37" s="102"/>
      <c r="Z37" s="200"/>
      <c r="AA37" s="210"/>
    </row>
    <row r="38" spans="2:27" ht="36" customHeight="1" x14ac:dyDescent="0.25">
      <c r="B38" s="180" t="s">
        <v>112</v>
      </c>
      <c r="C38" s="170"/>
      <c r="D38" s="195">
        <v>0</v>
      </c>
      <c r="E38" s="195"/>
      <c r="F38" s="195">
        <v>-17610489170</v>
      </c>
      <c r="G38" s="195"/>
      <c r="H38" s="195">
        <v>126287475</v>
      </c>
      <c r="I38" s="195"/>
      <c r="J38" s="195">
        <f t="shared" si="0"/>
        <v>-17484201695</v>
      </c>
      <c r="K38" s="195"/>
      <c r="L38" s="212">
        <f t="shared" si="1"/>
        <v>-3.1940946191521984E-3</v>
      </c>
      <c r="M38" s="195"/>
      <c r="N38" s="195">
        <v>3168000000</v>
      </c>
      <c r="O38" s="195"/>
      <c r="P38" s="195">
        <v>80972721720</v>
      </c>
      <c r="Q38" s="195"/>
      <c r="R38" s="195">
        <v>21217490074</v>
      </c>
      <c r="S38" s="195"/>
      <c r="T38" s="195">
        <f t="shared" si="2"/>
        <v>105358211794</v>
      </c>
      <c r="U38" s="195"/>
      <c r="V38" s="212">
        <f>T38/درآمدها!$F$9</f>
        <v>1.9471537781102301E-2</v>
      </c>
      <c r="W38" s="267"/>
      <c r="X38" s="102"/>
      <c r="Z38" s="200"/>
      <c r="AA38" s="210"/>
    </row>
    <row r="39" spans="2:27" ht="36" customHeight="1" x14ac:dyDescent="0.25">
      <c r="B39" s="180" t="s">
        <v>110</v>
      </c>
      <c r="C39" s="170"/>
      <c r="D39" s="195">
        <v>0</v>
      </c>
      <c r="E39" s="195"/>
      <c r="F39" s="195">
        <v>-3210068248</v>
      </c>
      <c r="G39" s="195"/>
      <c r="H39" s="195">
        <v>1907180613</v>
      </c>
      <c r="I39" s="195"/>
      <c r="J39" s="195">
        <f t="shared" si="0"/>
        <v>-1302887635</v>
      </c>
      <c r="K39" s="195"/>
      <c r="L39" s="212">
        <f t="shared" si="1"/>
        <v>-2.3801752329953509E-4</v>
      </c>
      <c r="M39" s="195"/>
      <c r="N39" s="195">
        <v>0</v>
      </c>
      <c r="O39" s="195"/>
      <c r="P39" s="195">
        <v>10096721252</v>
      </c>
      <c r="Q39" s="195"/>
      <c r="R39" s="195">
        <v>10735378446</v>
      </c>
      <c r="S39" s="195"/>
      <c r="T39" s="195">
        <f t="shared" si="2"/>
        <v>20832099698</v>
      </c>
      <c r="U39" s="195"/>
      <c r="V39" s="212">
        <f>T39/درآمدها!$F$9</f>
        <v>3.8500370253284526E-3</v>
      </c>
      <c r="W39" s="267"/>
      <c r="X39" s="102"/>
      <c r="Z39" s="200"/>
      <c r="AA39" s="210"/>
    </row>
    <row r="40" spans="2:27" ht="36" customHeight="1" x14ac:dyDescent="0.25">
      <c r="B40" s="180" t="s">
        <v>144</v>
      </c>
      <c r="C40" s="170"/>
      <c r="D40" s="195">
        <v>0</v>
      </c>
      <c r="E40" s="195"/>
      <c r="F40" s="195">
        <v>24616670884</v>
      </c>
      <c r="G40" s="195"/>
      <c r="H40" s="195">
        <v>15890492995</v>
      </c>
      <c r="I40" s="195"/>
      <c r="J40" s="195">
        <f t="shared" si="0"/>
        <v>40507163879</v>
      </c>
      <c r="K40" s="195"/>
      <c r="L40" s="212">
        <f t="shared" si="1"/>
        <v>7.4000355543845263E-3</v>
      </c>
      <c r="M40" s="195"/>
      <c r="N40" s="195">
        <v>22000000000</v>
      </c>
      <c r="O40" s="195"/>
      <c r="P40" s="195">
        <v>36742666285</v>
      </c>
      <c r="Q40" s="195"/>
      <c r="R40" s="195">
        <v>-49980800593</v>
      </c>
      <c r="S40" s="195"/>
      <c r="T40" s="195">
        <f t="shared" si="2"/>
        <v>8761865692</v>
      </c>
      <c r="U40" s="195"/>
      <c r="V40" s="212">
        <f>T40/درآمدها!$F$9</f>
        <v>1.6193042378917625E-3</v>
      </c>
      <c r="W40" s="267"/>
      <c r="X40" s="102"/>
      <c r="Z40" s="200"/>
      <c r="AA40" s="210"/>
    </row>
    <row r="41" spans="2:27" ht="36" customHeight="1" x14ac:dyDescent="0.25">
      <c r="B41" s="180" t="s">
        <v>136</v>
      </c>
      <c r="C41" s="170"/>
      <c r="D41" s="195">
        <v>0</v>
      </c>
      <c r="E41" s="195"/>
      <c r="F41" s="195">
        <v>-5196244695</v>
      </c>
      <c r="G41" s="195"/>
      <c r="H41" s="195">
        <v>-1105554208</v>
      </c>
      <c r="I41" s="195"/>
      <c r="J41" s="195">
        <f t="shared" si="0"/>
        <v>-6301798903</v>
      </c>
      <c r="K41" s="195"/>
      <c r="L41" s="212">
        <f t="shared" si="1"/>
        <v>-1.1512416933972876E-3</v>
      </c>
      <c r="M41" s="195"/>
      <c r="N41" s="195">
        <v>0</v>
      </c>
      <c r="O41" s="195"/>
      <c r="P41" s="195">
        <v>-4335283412</v>
      </c>
      <c r="Q41" s="195"/>
      <c r="R41" s="195">
        <v>-538673629</v>
      </c>
      <c r="S41" s="195"/>
      <c r="T41" s="195">
        <f t="shared" si="2"/>
        <v>-4873957041</v>
      </c>
      <c r="U41" s="195"/>
      <c r="V41" s="212">
        <f>T41/درآمدها!$F$9</f>
        <v>-9.0076926184794735E-4</v>
      </c>
      <c r="W41" s="267"/>
      <c r="X41" s="102">
        <f>L41/$X$12</f>
        <v>-2.1031414315447483E-16</v>
      </c>
      <c r="Z41" s="200"/>
      <c r="AA41" s="210"/>
    </row>
    <row r="42" spans="2:27" ht="36" customHeight="1" x14ac:dyDescent="0.25">
      <c r="B42" s="180" t="s">
        <v>274</v>
      </c>
      <c r="C42" s="170"/>
      <c r="D42" s="195">
        <v>0</v>
      </c>
      <c r="E42" s="195"/>
      <c r="F42" s="195">
        <v>0</v>
      </c>
      <c r="G42" s="195"/>
      <c r="H42" s="195">
        <v>327406493</v>
      </c>
      <c r="I42" s="195"/>
      <c r="J42" s="195">
        <f t="shared" si="0"/>
        <v>327406493</v>
      </c>
      <c r="K42" s="195"/>
      <c r="L42" s="212">
        <f t="shared" si="1"/>
        <v>5.9812128446553702E-5</v>
      </c>
      <c r="M42" s="195"/>
      <c r="N42" s="195">
        <v>0</v>
      </c>
      <c r="O42" s="195"/>
      <c r="P42" s="195">
        <v>0</v>
      </c>
      <c r="Q42" s="195"/>
      <c r="R42" s="195">
        <v>327406493</v>
      </c>
      <c r="S42" s="195"/>
      <c r="T42" s="195">
        <f t="shared" si="2"/>
        <v>327406493</v>
      </c>
      <c r="U42" s="195"/>
      <c r="V42" s="212">
        <f>T42/درآمدها!$F$9</f>
        <v>6.0508884781497021E-5</v>
      </c>
      <c r="W42" s="267"/>
      <c r="X42" s="102"/>
      <c r="Z42" s="200"/>
      <c r="AA42" s="210"/>
    </row>
    <row r="43" spans="2:27" ht="36" customHeight="1" x14ac:dyDescent="0.25">
      <c r="B43" s="180" t="s">
        <v>196</v>
      </c>
      <c r="C43" s="170"/>
      <c r="D43" s="195">
        <v>0</v>
      </c>
      <c r="E43" s="195"/>
      <c r="F43" s="195">
        <v>0</v>
      </c>
      <c r="G43" s="195"/>
      <c r="H43" s="195">
        <v>0</v>
      </c>
      <c r="I43" s="195"/>
      <c r="J43" s="195">
        <f t="shared" si="0"/>
        <v>0</v>
      </c>
      <c r="K43" s="195"/>
      <c r="L43" s="212">
        <f t="shared" si="1"/>
        <v>0</v>
      </c>
      <c r="M43" s="195"/>
      <c r="N43" s="195">
        <v>12060000000</v>
      </c>
      <c r="O43" s="195"/>
      <c r="P43" s="195">
        <v>0</v>
      </c>
      <c r="Q43" s="195"/>
      <c r="R43" s="195">
        <v>-8852447210</v>
      </c>
      <c r="S43" s="195"/>
      <c r="T43" s="195">
        <f t="shared" si="2"/>
        <v>3207552790</v>
      </c>
      <c r="U43" s="195"/>
      <c r="V43" s="212">
        <f>T43/درآمدها!$F$9</f>
        <v>5.9279655825481535E-4</v>
      </c>
      <c r="W43" s="267"/>
      <c r="X43" s="102"/>
      <c r="Z43" s="200"/>
      <c r="AA43" s="210"/>
    </row>
    <row r="44" spans="2:27" ht="36" customHeight="1" x14ac:dyDescent="0.25">
      <c r="B44" s="180" t="s">
        <v>135</v>
      </c>
      <c r="C44" s="170"/>
      <c r="D44" s="195">
        <v>0</v>
      </c>
      <c r="E44" s="195"/>
      <c r="F44" s="195">
        <v>-337371</v>
      </c>
      <c r="G44" s="195"/>
      <c r="H44" s="195">
        <v>0</v>
      </c>
      <c r="I44" s="195"/>
      <c r="J44" s="195">
        <f t="shared" si="0"/>
        <v>-337371</v>
      </c>
      <c r="K44" s="195"/>
      <c r="L44" s="212">
        <f t="shared" si="1"/>
        <v>-6.1632490550950274E-8</v>
      </c>
      <c r="M44" s="195"/>
      <c r="N44" s="195">
        <v>34000</v>
      </c>
      <c r="O44" s="195"/>
      <c r="P44" s="195">
        <v>739522</v>
      </c>
      <c r="Q44" s="195"/>
      <c r="R44" s="195">
        <v>-110542921</v>
      </c>
      <c r="S44" s="195">
        <v>8613312174</v>
      </c>
      <c r="T44" s="195">
        <f t="shared" si="2"/>
        <v>-109769399</v>
      </c>
      <c r="U44" s="195">
        <v>-5155830312</v>
      </c>
      <c r="V44" s="212">
        <f>T44/درآمدها!$F$9</f>
        <v>-2.0286781290636084E-5</v>
      </c>
      <c r="W44" s="267"/>
      <c r="X44" s="102"/>
      <c r="Z44" s="200"/>
      <c r="AA44" s="210"/>
    </row>
    <row r="45" spans="2:27" ht="36" customHeight="1" x14ac:dyDescent="0.25">
      <c r="B45" s="180" t="s">
        <v>216</v>
      </c>
      <c r="C45" s="170"/>
      <c r="D45" s="194">
        <f>SUM(D11:D44)</f>
        <v>0</v>
      </c>
      <c r="E45" s="193"/>
      <c r="F45" s="213">
        <f>SUM(F11:F44)</f>
        <v>1403236375199</v>
      </c>
      <c r="G45" s="214"/>
      <c r="H45" s="213">
        <f>SUM(H11:H44)</f>
        <v>693250368926</v>
      </c>
      <c r="I45" s="214"/>
      <c r="J45" s="213">
        <f>SUM(J11:J44)</f>
        <v>2096486744125</v>
      </c>
      <c r="K45" s="214"/>
      <c r="L45" s="236">
        <f>SUM(L11:L44)</f>
        <v>0.38299586937667007</v>
      </c>
      <c r="M45" s="214"/>
      <c r="N45" s="213">
        <f>SUM(N11:N44)</f>
        <v>341071783360</v>
      </c>
      <c r="O45" s="214"/>
      <c r="P45" s="213">
        <f>SUM(P11:P44)</f>
        <v>3470262836674</v>
      </c>
      <c r="Q45" s="214"/>
      <c r="R45" s="213">
        <f>SUM(R11:R44)</f>
        <v>664914877280</v>
      </c>
      <c r="S45" s="214"/>
      <c r="T45" s="213">
        <f>SUM(T11:T44)</f>
        <v>4476249497314</v>
      </c>
      <c r="U45" s="195"/>
      <c r="V45" s="121">
        <f>SUM(V11:V44)</f>
        <v>0.8272678486135181</v>
      </c>
      <c r="W45" s="267"/>
      <c r="X45" s="102"/>
      <c r="Z45" s="200"/>
      <c r="AA45" s="210"/>
    </row>
    <row r="46" spans="2:27" ht="22.5" customHeight="1" x14ac:dyDescent="0.25">
      <c r="B46" s="180"/>
      <c r="C46" s="170"/>
      <c r="D46" s="196"/>
      <c r="E46" s="193"/>
      <c r="F46" s="195"/>
      <c r="G46" s="195"/>
      <c r="H46" s="195"/>
      <c r="I46" s="195"/>
      <c r="J46" s="195"/>
      <c r="K46" s="195"/>
      <c r="L46" s="212"/>
      <c r="M46" s="195"/>
      <c r="N46" s="195"/>
      <c r="O46" s="195"/>
      <c r="P46" s="195"/>
      <c r="Q46" s="195"/>
      <c r="R46" s="195"/>
      <c r="S46" s="195"/>
      <c r="T46" s="195"/>
      <c r="U46" s="195"/>
      <c r="V46" s="212"/>
      <c r="W46" s="267"/>
      <c r="X46" s="102"/>
      <c r="Z46" s="200"/>
      <c r="AA46" s="210"/>
    </row>
    <row r="47" spans="2:27" ht="36" customHeight="1" x14ac:dyDescent="0.25">
      <c r="B47" s="384" t="s">
        <v>138</v>
      </c>
      <c r="C47" s="384"/>
      <c r="D47" s="384"/>
      <c r="E47" s="384"/>
      <c r="F47" s="384"/>
      <c r="G47" s="384"/>
      <c r="H47" s="384"/>
      <c r="I47" s="384"/>
      <c r="J47" s="384"/>
      <c r="K47" s="384"/>
      <c r="L47" s="384"/>
      <c r="M47" s="384"/>
      <c r="N47" s="384"/>
      <c r="O47" s="384"/>
      <c r="P47" s="384"/>
      <c r="Q47" s="384"/>
      <c r="R47" s="384"/>
      <c r="S47" s="384"/>
      <c r="T47" s="384"/>
      <c r="U47" s="384"/>
      <c r="V47" s="384"/>
      <c r="W47" s="267"/>
      <c r="X47" s="102"/>
      <c r="Z47" s="200"/>
      <c r="AA47" s="210"/>
    </row>
    <row r="48" spans="2:27" ht="11.25" customHeight="1" x14ac:dyDescent="0.25">
      <c r="W48" s="267"/>
      <c r="X48" s="102"/>
      <c r="Z48" s="200"/>
      <c r="AA48" s="210"/>
    </row>
    <row r="49" spans="2:27" ht="36" customHeight="1" thickBot="1" x14ac:dyDescent="0.3">
      <c r="B49" s="275"/>
      <c r="C49" s="208"/>
      <c r="D49" s="377" t="str">
        <f>D7</f>
        <v>طی دی ماه</v>
      </c>
      <c r="E49" s="377"/>
      <c r="F49" s="377"/>
      <c r="G49" s="377"/>
      <c r="H49" s="377"/>
      <c r="I49" s="377"/>
      <c r="J49" s="377"/>
      <c r="K49" s="208"/>
      <c r="L49" s="208"/>
      <c r="M49" s="208"/>
      <c r="N49" s="377" t="str">
        <f>N7</f>
        <v>از ابتدای سال مالی تا پایان دی ماه</v>
      </c>
      <c r="O49" s="377"/>
      <c r="P49" s="377"/>
      <c r="Q49" s="377"/>
      <c r="R49" s="377"/>
      <c r="S49" s="377"/>
      <c r="T49" s="377"/>
      <c r="U49" s="377"/>
      <c r="V49" s="377"/>
      <c r="W49" s="267"/>
      <c r="X49" s="102"/>
      <c r="Z49" s="200"/>
      <c r="AA49" s="210"/>
    </row>
    <row r="50" spans="2:27" ht="36" customHeight="1" x14ac:dyDescent="0.25">
      <c r="B50" s="378" t="s">
        <v>36</v>
      </c>
      <c r="C50" s="378"/>
      <c r="D50" s="382" t="s">
        <v>21</v>
      </c>
      <c r="E50" s="378"/>
      <c r="F50" s="382" t="s">
        <v>22</v>
      </c>
      <c r="G50" s="378"/>
      <c r="H50" s="382" t="s">
        <v>23</v>
      </c>
      <c r="I50" s="378"/>
      <c r="J50" s="380" t="s">
        <v>7</v>
      </c>
      <c r="K50" s="380"/>
      <c r="L50" s="380"/>
      <c r="M50" s="378"/>
      <c r="N50" s="383" t="s">
        <v>21</v>
      </c>
      <c r="O50" s="385"/>
      <c r="P50" s="383" t="s">
        <v>22</v>
      </c>
      <c r="Q50" s="385"/>
      <c r="R50" s="383" t="s">
        <v>23</v>
      </c>
      <c r="S50" s="385"/>
      <c r="T50" s="380" t="s">
        <v>7</v>
      </c>
      <c r="U50" s="380"/>
      <c r="V50" s="380"/>
      <c r="W50" s="267"/>
      <c r="X50" s="102"/>
      <c r="Z50" s="200"/>
      <c r="AA50" s="210"/>
    </row>
    <row r="51" spans="2:27" ht="36" customHeight="1" thickBot="1" x14ac:dyDescent="0.3">
      <c r="B51" s="378"/>
      <c r="C51" s="378"/>
      <c r="D51" s="382"/>
      <c r="E51" s="378"/>
      <c r="F51" s="382"/>
      <c r="G51" s="378"/>
      <c r="H51" s="382"/>
      <c r="I51" s="378"/>
      <c r="J51" s="377"/>
      <c r="K51" s="377"/>
      <c r="L51" s="377"/>
      <c r="M51" s="378"/>
      <c r="N51" s="382"/>
      <c r="O51" s="378"/>
      <c r="P51" s="382"/>
      <c r="Q51" s="378"/>
      <c r="R51" s="382"/>
      <c r="S51" s="378"/>
      <c r="T51" s="377"/>
      <c r="U51" s="377"/>
      <c r="V51" s="377"/>
      <c r="W51" s="267"/>
      <c r="X51" s="102"/>
      <c r="Z51" s="200"/>
      <c r="AA51" s="210"/>
    </row>
    <row r="52" spans="2:27" ht="49.5" customHeight="1" thickBot="1" x14ac:dyDescent="0.3">
      <c r="B52" s="379"/>
      <c r="C52" s="378"/>
      <c r="D52" s="88" t="s">
        <v>91</v>
      </c>
      <c r="E52" s="378"/>
      <c r="F52" s="88" t="s">
        <v>92</v>
      </c>
      <c r="G52" s="378"/>
      <c r="H52" s="88" t="s">
        <v>93</v>
      </c>
      <c r="I52" s="378"/>
      <c r="J52" s="103" t="s">
        <v>11</v>
      </c>
      <c r="K52" s="103"/>
      <c r="L52" s="103" t="s">
        <v>24</v>
      </c>
      <c r="M52" s="378"/>
      <c r="N52" s="88" t="s">
        <v>91</v>
      </c>
      <c r="O52" s="378"/>
      <c r="P52" s="88" t="s">
        <v>92</v>
      </c>
      <c r="Q52" s="378"/>
      <c r="R52" s="88" t="s">
        <v>93</v>
      </c>
      <c r="S52" s="378"/>
      <c r="T52" s="103" t="s">
        <v>11</v>
      </c>
      <c r="U52" s="103"/>
      <c r="V52" s="103" t="s">
        <v>24</v>
      </c>
      <c r="W52" s="267"/>
      <c r="X52" s="102"/>
      <c r="Z52" s="200"/>
      <c r="AA52" s="210"/>
    </row>
    <row r="53" spans="2:27" ht="36" customHeight="1" x14ac:dyDescent="0.25">
      <c r="B53" s="197" t="s">
        <v>217</v>
      </c>
      <c r="C53" s="197"/>
      <c r="D53" s="106">
        <f>D45</f>
        <v>0</v>
      </c>
      <c r="E53" s="197"/>
      <c r="F53" s="195">
        <f>F45</f>
        <v>1403236375199</v>
      </c>
      <c r="G53" s="195"/>
      <c r="H53" s="195">
        <f>H45</f>
        <v>693250368926</v>
      </c>
      <c r="I53" s="195"/>
      <c r="J53" s="195">
        <f>J45</f>
        <v>2096486744125</v>
      </c>
      <c r="K53" s="195"/>
      <c r="L53" s="212">
        <f>L45</f>
        <v>0.38299586937667007</v>
      </c>
      <c r="M53" s="195"/>
      <c r="N53" s="195">
        <f>N45</f>
        <v>341071783360</v>
      </c>
      <c r="O53" s="195"/>
      <c r="P53" s="195">
        <f>P45</f>
        <v>3470262836674</v>
      </c>
      <c r="Q53" s="195"/>
      <c r="R53" s="195">
        <f>R45</f>
        <v>664914877280</v>
      </c>
      <c r="S53" s="195"/>
      <c r="T53" s="195">
        <f>T45</f>
        <v>4476249497314</v>
      </c>
      <c r="U53" s="105"/>
      <c r="V53" s="107">
        <f>V45</f>
        <v>0.8272678486135181</v>
      </c>
      <c r="W53" s="267"/>
      <c r="X53" s="102"/>
      <c r="Z53" s="200"/>
      <c r="AA53" s="210"/>
    </row>
    <row r="54" spans="2:27" ht="36" customHeight="1" x14ac:dyDescent="0.25">
      <c r="B54" s="180" t="s">
        <v>240</v>
      </c>
      <c r="C54" s="180"/>
      <c r="D54" s="196">
        <v>0</v>
      </c>
      <c r="E54" s="193"/>
      <c r="F54" s="195">
        <v>0</v>
      </c>
      <c r="G54" s="195"/>
      <c r="H54" s="195">
        <v>0</v>
      </c>
      <c r="I54" s="195"/>
      <c r="J54" s="195">
        <f t="shared" ref="J54:J55" si="3">D54+F54+H54</f>
        <v>0</v>
      </c>
      <c r="K54" s="195"/>
      <c r="L54" s="212">
        <f t="shared" ref="L54:L86" si="4">J54/$X$12</f>
        <v>0</v>
      </c>
      <c r="M54" s="195"/>
      <c r="N54" s="195">
        <v>0</v>
      </c>
      <c r="O54" s="195"/>
      <c r="P54" s="195">
        <v>0</v>
      </c>
      <c r="Q54" s="195"/>
      <c r="R54" s="195">
        <v>3149850729</v>
      </c>
      <c r="S54" s="195">
        <v>2132299511</v>
      </c>
      <c r="T54" s="195">
        <f t="shared" ref="T54:T86" si="5">N54+P54+R54</f>
        <v>3149850729</v>
      </c>
      <c r="U54" s="195">
        <v>-5155830311</v>
      </c>
      <c r="V54" s="212">
        <f>T54/درآمدها!$F$9</f>
        <v>5.8213248336518291E-4</v>
      </c>
      <c r="W54" s="267"/>
      <c r="X54" s="102"/>
      <c r="Z54" s="200"/>
      <c r="AA54" s="210"/>
    </row>
    <row r="55" spans="2:27" ht="36" customHeight="1" x14ac:dyDescent="0.25">
      <c r="B55" s="180" t="s">
        <v>158</v>
      </c>
      <c r="C55" s="180"/>
      <c r="D55" s="196">
        <v>0</v>
      </c>
      <c r="E55" s="193"/>
      <c r="F55" s="195">
        <v>0</v>
      </c>
      <c r="G55" s="195"/>
      <c r="H55" s="195">
        <v>0</v>
      </c>
      <c r="I55" s="195"/>
      <c r="J55" s="195">
        <f t="shared" si="3"/>
        <v>0</v>
      </c>
      <c r="K55" s="195"/>
      <c r="L55" s="212">
        <f t="shared" si="4"/>
        <v>0</v>
      </c>
      <c r="M55" s="195"/>
      <c r="N55" s="195">
        <v>0</v>
      </c>
      <c r="O55" s="195"/>
      <c r="P55" s="195">
        <v>0</v>
      </c>
      <c r="Q55" s="195"/>
      <c r="R55" s="195">
        <v>1026553445</v>
      </c>
      <c r="S55" s="195">
        <v>1644814375</v>
      </c>
      <c r="T55" s="195">
        <f t="shared" si="5"/>
        <v>1026553445</v>
      </c>
      <c r="U55" s="195">
        <v>-5155830310</v>
      </c>
      <c r="V55" s="212">
        <f>T55/درآمدها!$F$9</f>
        <v>1.8972013522515523E-4</v>
      </c>
      <c r="W55" s="267"/>
      <c r="X55" s="102"/>
      <c r="Z55" s="200"/>
      <c r="AA55" s="210"/>
    </row>
    <row r="56" spans="2:27" ht="36" customHeight="1" x14ac:dyDescent="0.25">
      <c r="B56" s="180" t="s">
        <v>171</v>
      </c>
      <c r="C56" s="180"/>
      <c r="D56" s="196">
        <v>0</v>
      </c>
      <c r="E56" s="193"/>
      <c r="F56" s="195">
        <v>0</v>
      </c>
      <c r="G56" s="195"/>
      <c r="H56" s="195">
        <v>0</v>
      </c>
      <c r="I56" s="195"/>
      <c r="J56" s="195">
        <f t="shared" ref="J56:J132" si="6">D56+F56+H56</f>
        <v>0</v>
      </c>
      <c r="K56" s="195"/>
      <c r="L56" s="212">
        <f t="shared" si="4"/>
        <v>0</v>
      </c>
      <c r="M56" s="195"/>
      <c r="N56" s="195">
        <v>0</v>
      </c>
      <c r="O56" s="195"/>
      <c r="P56" s="195">
        <v>0</v>
      </c>
      <c r="Q56" s="195"/>
      <c r="R56" s="195">
        <v>-1161777565</v>
      </c>
      <c r="S56" s="195">
        <v>-8875524087</v>
      </c>
      <c r="T56" s="195">
        <f t="shared" si="5"/>
        <v>-1161777565</v>
      </c>
      <c r="U56" s="195">
        <v>-803317139</v>
      </c>
      <c r="V56" s="212">
        <f>T56/درآمدها!$F$9</f>
        <v>-2.1471127276120685E-4</v>
      </c>
      <c r="W56" s="267"/>
      <c r="X56" s="102"/>
      <c r="Z56" s="200"/>
      <c r="AA56" s="210"/>
    </row>
    <row r="57" spans="2:27" ht="36" customHeight="1" x14ac:dyDescent="0.45">
      <c r="B57" s="180" t="s">
        <v>125</v>
      </c>
      <c r="C57" s="180"/>
      <c r="D57" s="196">
        <v>22468160377</v>
      </c>
      <c r="E57" s="193"/>
      <c r="F57" s="195">
        <v>-21075814800</v>
      </c>
      <c r="G57" s="195"/>
      <c r="H57" s="195">
        <v>0</v>
      </c>
      <c r="I57" s="195"/>
      <c r="J57" s="195">
        <f t="shared" si="6"/>
        <v>1392345577</v>
      </c>
      <c r="K57" s="195"/>
      <c r="L57" s="212">
        <f t="shared" si="4"/>
        <v>2.5436011280788778E-4</v>
      </c>
      <c r="M57" s="195"/>
      <c r="N57" s="195">
        <v>22468160377</v>
      </c>
      <c r="O57" s="195"/>
      <c r="P57" s="195">
        <v>57228874579</v>
      </c>
      <c r="Q57" s="195"/>
      <c r="R57" s="195">
        <v>8615833784</v>
      </c>
      <c r="S57" s="195">
        <v>1487118809</v>
      </c>
      <c r="T57" s="195">
        <f t="shared" si="5"/>
        <v>88312868740</v>
      </c>
      <c r="U57" s="195">
        <v>-38274340413</v>
      </c>
      <c r="V57" s="212">
        <f>T57/درآمدها!$F$9</f>
        <v>1.6321341554188816E-2</v>
      </c>
      <c r="W57" s="267"/>
      <c r="X57" s="276"/>
      <c r="Z57" s="200"/>
      <c r="AA57" s="210"/>
    </row>
    <row r="58" spans="2:27" ht="36" customHeight="1" x14ac:dyDescent="0.25">
      <c r="B58" s="180" t="s">
        <v>242</v>
      </c>
      <c r="C58" s="180"/>
      <c r="D58" s="196">
        <v>0</v>
      </c>
      <c r="E58" s="193"/>
      <c r="F58" s="195">
        <v>0</v>
      </c>
      <c r="G58" s="195"/>
      <c r="H58" s="195">
        <v>0</v>
      </c>
      <c r="I58" s="195"/>
      <c r="J58" s="195">
        <f t="shared" si="6"/>
        <v>0</v>
      </c>
      <c r="K58" s="195"/>
      <c r="L58" s="212">
        <f t="shared" si="4"/>
        <v>0</v>
      </c>
      <c r="M58" s="195"/>
      <c r="N58" s="195">
        <v>0</v>
      </c>
      <c r="O58" s="195"/>
      <c r="P58" s="195">
        <v>0</v>
      </c>
      <c r="Q58" s="195"/>
      <c r="R58" s="195">
        <v>23502326888</v>
      </c>
      <c r="S58" s="195">
        <v>3859275341</v>
      </c>
      <c r="T58" s="195">
        <f t="shared" si="5"/>
        <v>23502326888</v>
      </c>
      <c r="U58" s="195">
        <v>8687840</v>
      </c>
      <c r="V58" s="212">
        <f>T58/درآمدها!$F$9</f>
        <v>4.3435289774875398E-3</v>
      </c>
      <c r="W58" s="267"/>
      <c r="X58" s="102"/>
      <c r="Z58" s="200"/>
      <c r="AA58" s="210"/>
    </row>
    <row r="59" spans="2:27" ht="36" customHeight="1" x14ac:dyDescent="0.25">
      <c r="B59" s="180" t="s">
        <v>168</v>
      </c>
      <c r="C59" s="180"/>
      <c r="D59" s="196">
        <v>0</v>
      </c>
      <c r="E59" s="193"/>
      <c r="F59" s="195">
        <v>0</v>
      </c>
      <c r="G59" s="195"/>
      <c r="H59" s="195">
        <v>0</v>
      </c>
      <c r="I59" s="195"/>
      <c r="J59" s="195">
        <f t="shared" si="6"/>
        <v>0</v>
      </c>
      <c r="K59" s="195"/>
      <c r="L59" s="212">
        <f t="shared" si="4"/>
        <v>0</v>
      </c>
      <c r="M59" s="195"/>
      <c r="N59" s="195">
        <v>262500000</v>
      </c>
      <c r="O59" s="195"/>
      <c r="P59" s="195">
        <v>0</v>
      </c>
      <c r="Q59" s="195"/>
      <c r="R59" s="195">
        <v>2340313737</v>
      </c>
      <c r="S59" s="195">
        <v>1937265303</v>
      </c>
      <c r="T59" s="195">
        <f t="shared" si="5"/>
        <v>2602813737</v>
      </c>
      <c r="U59" s="195">
        <v>-3013924119</v>
      </c>
      <c r="V59" s="212">
        <f>T59/درآمدها!$F$9</f>
        <v>4.8103308849110297E-4</v>
      </c>
      <c r="W59" s="267"/>
      <c r="X59" s="102"/>
      <c r="Z59" s="200"/>
      <c r="AA59" s="210"/>
    </row>
    <row r="60" spans="2:27" ht="36" customHeight="1" x14ac:dyDescent="0.25">
      <c r="B60" s="180" t="s">
        <v>261</v>
      </c>
      <c r="C60" s="180"/>
      <c r="D60" s="196">
        <v>0</v>
      </c>
      <c r="E60" s="193"/>
      <c r="F60" s="195">
        <v>0</v>
      </c>
      <c r="G60" s="195"/>
      <c r="H60" s="195">
        <v>0</v>
      </c>
      <c r="I60" s="195"/>
      <c r="J60" s="195">
        <f t="shared" si="6"/>
        <v>0</v>
      </c>
      <c r="K60" s="195"/>
      <c r="L60" s="212">
        <f t="shared" si="4"/>
        <v>0</v>
      </c>
      <c r="M60" s="195"/>
      <c r="N60" s="195">
        <v>0</v>
      </c>
      <c r="O60" s="195"/>
      <c r="P60" s="195">
        <v>0</v>
      </c>
      <c r="Q60" s="195"/>
      <c r="R60" s="195">
        <v>506290</v>
      </c>
      <c r="S60" s="195">
        <v>1212931406</v>
      </c>
      <c r="T60" s="195">
        <f t="shared" si="5"/>
        <v>506290</v>
      </c>
      <c r="U60" s="195">
        <v>-5189228345</v>
      </c>
      <c r="V60" s="212">
        <f>T60/درآمدها!$F$9</f>
        <v>9.3568832417822965E-8</v>
      </c>
      <c r="W60" s="267"/>
      <c r="X60" s="102"/>
      <c r="Z60" s="200"/>
      <c r="AA60" s="210"/>
    </row>
    <row r="61" spans="2:27" ht="36" customHeight="1" x14ac:dyDescent="0.25">
      <c r="B61" s="180" t="s">
        <v>186</v>
      </c>
      <c r="C61" s="180"/>
      <c r="D61" s="196">
        <v>0</v>
      </c>
      <c r="E61" s="193"/>
      <c r="F61" s="195">
        <v>0</v>
      </c>
      <c r="G61" s="195"/>
      <c r="H61" s="195">
        <v>0</v>
      </c>
      <c r="I61" s="195"/>
      <c r="J61" s="195">
        <f t="shared" si="6"/>
        <v>0</v>
      </c>
      <c r="K61" s="195"/>
      <c r="L61" s="212">
        <f t="shared" si="4"/>
        <v>0</v>
      </c>
      <c r="M61" s="195"/>
      <c r="N61" s="195">
        <v>0</v>
      </c>
      <c r="O61" s="195"/>
      <c r="P61" s="195">
        <v>0</v>
      </c>
      <c r="Q61" s="195"/>
      <c r="R61" s="195">
        <v>24578982239</v>
      </c>
      <c r="S61" s="195">
        <v>6910941668</v>
      </c>
      <c r="T61" s="195">
        <f t="shared" si="5"/>
        <v>24578982239</v>
      </c>
      <c r="U61" s="195">
        <v>3261876929</v>
      </c>
      <c r="V61" s="212">
        <f>T61/درآمدها!$F$9</f>
        <v>4.5425085822782159E-3</v>
      </c>
      <c r="W61" s="267"/>
      <c r="X61" s="102"/>
      <c r="Z61" s="200"/>
      <c r="AA61" s="210"/>
    </row>
    <row r="62" spans="2:27" ht="36" customHeight="1" x14ac:dyDescent="0.25">
      <c r="B62" s="180" t="s">
        <v>159</v>
      </c>
      <c r="C62" s="180"/>
      <c r="D62" s="196">
        <v>0</v>
      </c>
      <c r="E62" s="193"/>
      <c r="F62" s="195">
        <v>0</v>
      </c>
      <c r="G62" s="195"/>
      <c r="H62" s="195">
        <v>0</v>
      </c>
      <c r="I62" s="195"/>
      <c r="J62" s="195">
        <f t="shared" si="6"/>
        <v>0</v>
      </c>
      <c r="K62" s="195"/>
      <c r="L62" s="212">
        <f t="shared" si="4"/>
        <v>0</v>
      </c>
      <c r="M62" s="195"/>
      <c r="N62" s="195">
        <v>0</v>
      </c>
      <c r="O62" s="195"/>
      <c r="P62" s="195">
        <v>0</v>
      </c>
      <c r="Q62" s="195"/>
      <c r="R62" s="195">
        <v>273616390</v>
      </c>
      <c r="S62" s="195">
        <v>151419925</v>
      </c>
      <c r="T62" s="195">
        <f t="shared" si="5"/>
        <v>273616390</v>
      </c>
      <c r="U62" s="195">
        <v>2910175062</v>
      </c>
      <c r="V62" s="212">
        <f>T62/درآمدها!$F$9</f>
        <v>5.0567789493530764E-5</v>
      </c>
      <c r="W62" s="267"/>
      <c r="X62" s="102"/>
      <c r="Z62" s="200"/>
      <c r="AA62" s="210"/>
    </row>
    <row r="63" spans="2:27" ht="36" customHeight="1" x14ac:dyDescent="0.25">
      <c r="B63" s="180" t="s">
        <v>185</v>
      </c>
      <c r="C63" s="180"/>
      <c r="D63" s="196">
        <v>0</v>
      </c>
      <c r="E63" s="193"/>
      <c r="F63" s="195">
        <v>0</v>
      </c>
      <c r="G63" s="195"/>
      <c r="H63" s="195">
        <v>0</v>
      </c>
      <c r="I63" s="195"/>
      <c r="J63" s="195">
        <f t="shared" si="6"/>
        <v>0</v>
      </c>
      <c r="K63" s="195"/>
      <c r="L63" s="212">
        <f t="shared" si="4"/>
        <v>0</v>
      </c>
      <c r="M63" s="195"/>
      <c r="N63" s="195">
        <v>552500000</v>
      </c>
      <c r="O63" s="195"/>
      <c r="P63" s="195">
        <v>0</v>
      </c>
      <c r="Q63" s="195"/>
      <c r="R63" s="195">
        <v>-489193832</v>
      </c>
      <c r="S63" s="195">
        <v>31387040</v>
      </c>
      <c r="T63" s="195">
        <f t="shared" si="5"/>
        <v>63306168</v>
      </c>
      <c r="U63" s="195">
        <v>1401330331</v>
      </c>
      <c r="V63" s="212">
        <f>T63/درآمدها!$F$9</f>
        <v>1.1699785152000921E-5</v>
      </c>
      <c r="W63" s="267"/>
      <c r="X63" s="102"/>
      <c r="Z63" s="200"/>
      <c r="AA63" s="210"/>
    </row>
    <row r="64" spans="2:27" ht="36" customHeight="1" x14ac:dyDescent="0.25">
      <c r="B64" s="180" t="s">
        <v>153</v>
      </c>
      <c r="C64" s="180"/>
      <c r="D64" s="196">
        <v>0</v>
      </c>
      <c r="E64" s="193"/>
      <c r="F64" s="195">
        <v>0</v>
      </c>
      <c r="G64" s="195"/>
      <c r="H64" s="195">
        <v>0</v>
      </c>
      <c r="I64" s="195"/>
      <c r="J64" s="195">
        <f t="shared" si="6"/>
        <v>0</v>
      </c>
      <c r="K64" s="195"/>
      <c r="L64" s="212">
        <f t="shared" si="4"/>
        <v>0</v>
      </c>
      <c r="M64" s="195"/>
      <c r="N64" s="195">
        <v>0</v>
      </c>
      <c r="O64" s="195"/>
      <c r="P64" s="195">
        <v>0</v>
      </c>
      <c r="Q64" s="195"/>
      <c r="R64" s="195">
        <v>-2558077316</v>
      </c>
      <c r="S64" s="195">
        <v>1762590900</v>
      </c>
      <c r="T64" s="195">
        <f t="shared" si="5"/>
        <v>-2558077316</v>
      </c>
      <c r="U64" s="195">
        <v>-160980321</v>
      </c>
      <c r="V64" s="212">
        <f>T64/درآمدها!$F$9</f>
        <v>-4.7276522880688608E-4</v>
      </c>
      <c r="W64" s="267"/>
      <c r="X64" s="102"/>
      <c r="Z64" s="200"/>
      <c r="AA64" s="210"/>
    </row>
    <row r="65" spans="2:31" ht="36" customHeight="1" x14ac:dyDescent="0.25">
      <c r="B65" s="180" t="s">
        <v>264</v>
      </c>
      <c r="C65" s="180"/>
      <c r="D65" s="196">
        <v>0</v>
      </c>
      <c r="E65" s="193"/>
      <c r="F65" s="195">
        <v>613967062</v>
      </c>
      <c r="G65" s="195"/>
      <c r="H65" s="195">
        <v>0</v>
      </c>
      <c r="I65" s="195"/>
      <c r="J65" s="195">
        <f t="shared" si="6"/>
        <v>613967062</v>
      </c>
      <c r="K65" s="195"/>
      <c r="L65" s="212">
        <f t="shared" si="4"/>
        <v>1.1216233507713971E-4</v>
      </c>
      <c r="M65" s="195"/>
      <c r="N65" s="195">
        <v>0</v>
      </c>
      <c r="O65" s="195"/>
      <c r="P65" s="195">
        <v>3915122551</v>
      </c>
      <c r="Q65" s="195"/>
      <c r="R65" s="195">
        <v>2711244205</v>
      </c>
      <c r="S65" s="195">
        <v>2476602308</v>
      </c>
      <c r="T65" s="195">
        <f t="shared" si="5"/>
        <v>6626366756</v>
      </c>
      <c r="U65" s="195">
        <v>-12553533323</v>
      </c>
      <c r="V65" s="212">
        <f>T65/درآمدها!$F$9</f>
        <v>1.2246368692472637E-3</v>
      </c>
      <c r="W65" s="267"/>
      <c r="X65" s="102"/>
      <c r="Z65" s="200"/>
      <c r="AA65" s="210"/>
    </row>
    <row r="66" spans="2:31" ht="36" customHeight="1" x14ac:dyDescent="0.25">
      <c r="B66" s="180" t="s">
        <v>166</v>
      </c>
      <c r="C66" s="180"/>
      <c r="D66" s="196">
        <v>0</v>
      </c>
      <c r="E66" s="193"/>
      <c r="F66" s="195">
        <v>0</v>
      </c>
      <c r="G66" s="195"/>
      <c r="H66" s="195">
        <v>0</v>
      </c>
      <c r="I66" s="195"/>
      <c r="J66" s="195">
        <f t="shared" si="6"/>
        <v>0</v>
      </c>
      <c r="K66" s="195"/>
      <c r="L66" s="212">
        <f t="shared" si="4"/>
        <v>0</v>
      </c>
      <c r="M66" s="195"/>
      <c r="N66" s="195">
        <v>0</v>
      </c>
      <c r="O66" s="195"/>
      <c r="P66" s="195">
        <v>0</v>
      </c>
      <c r="Q66" s="195"/>
      <c r="R66" s="195">
        <v>257545772</v>
      </c>
      <c r="S66" s="195">
        <v>9867221407</v>
      </c>
      <c r="T66" s="195">
        <f t="shared" si="5"/>
        <v>257545772</v>
      </c>
      <c r="U66" s="195">
        <v>-6135872031</v>
      </c>
      <c r="V66" s="212">
        <f>T66/درآمدها!$F$9</f>
        <v>4.759773485588663E-5</v>
      </c>
      <c r="W66" s="267"/>
      <c r="X66" s="102"/>
      <c r="Z66" s="200"/>
      <c r="AA66" s="210"/>
      <c r="AD66" s="190"/>
    </row>
    <row r="67" spans="2:31" ht="36" customHeight="1" x14ac:dyDescent="0.25">
      <c r="B67" s="180" t="s">
        <v>239</v>
      </c>
      <c r="C67" s="180"/>
      <c r="D67" s="196">
        <v>0</v>
      </c>
      <c r="E67" s="193"/>
      <c r="F67" s="195">
        <v>0</v>
      </c>
      <c r="G67" s="195"/>
      <c r="H67" s="195">
        <v>0</v>
      </c>
      <c r="I67" s="195"/>
      <c r="J67" s="195">
        <f t="shared" si="6"/>
        <v>0</v>
      </c>
      <c r="K67" s="195"/>
      <c r="L67" s="212">
        <f t="shared" si="4"/>
        <v>0</v>
      </c>
      <c r="M67" s="195"/>
      <c r="N67" s="266">
        <v>0</v>
      </c>
      <c r="O67" s="195"/>
      <c r="P67" s="195">
        <v>0</v>
      </c>
      <c r="Q67" s="195"/>
      <c r="R67" s="150">
        <v>-9111320</v>
      </c>
      <c r="S67" s="195">
        <v>-2831281270</v>
      </c>
      <c r="T67" s="195">
        <f t="shared" si="5"/>
        <v>-9111320</v>
      </c>
      <c r="U67" s="195">
        <v>-650042212</v>
      </c>
      <c r="V67" s="212">
        <f>T67/درآمدها!$F$9</f>
        <v>-1.6838878393512782E-6</v>
      </c>
      <c r="W67" s="267"/>
      <c r="X67" s="102"/>
      <c r="Z67" s="200"/>
      <c r="AA67" s="210"/>
      <c r="AD67" s="190"/>
    </row>
    <row r="68" spans="2:31" ht="36" customHeight="1" x14ac:dyDescent="0.25">
      <c r="B68" s="180" t="s">
        <v>124</v>
      </c>
      <c r="C68" s="180"/>
      <c r="D68" s="196">
        <v>0</v>
      </c>
      <c r="E68" s="193"/>
      <c r="F68" s="195">
        <v>-218299</v>
      </c>
      <c r="G68" s="195"/>
      <c r="H68" s="195">
        <v>0</v>
      </c>
      <c r="I68" s="195"/>
      <c r="J68" s="195">
        <f t="shared" si="6"/>
        <v>-218299</v>
      </c>
      <c r="K68" s="195"/>
      <c r="L68" s="212">
        <f t="shared" si="4"/>
        <v>-3.9879868319392879E-8</v>
      </c>
      <c r="M68" s="195"/>
      <c r="N68" s="195">
        <v>611622</v>
      </c>
      <c r="O68" s="195"/>
      <c r="P68" s="195">
        <v>-1573030</v>
      </c>
      <c r="Q68" s="195"/>
      <c r="R68" s="195">
        <v>-4741243411</v>
      </c>
      <c r="S68" s="195">
        <v>2810738818</v>
      </c>
      <c r="T68" s="195">
        <f t="shared" si="5"/>
        <v>-4742204819</v>
      </c>
      <c r="U68" s="195">
        <v>298767031</v>
      </c>
      <c r="V68" s="212">
        <f>T68/درآمدها!$F$9</f>
        <v>-8.7641977522764317E-4</v>
      </c>
      <c r="W68" s="267"/>
      <c r="X68" s="102"/>
      <c r="Z68" s="200"/>
      <c r="AA68" s="210"/>
      <c r="AD68" s="190"/>
    </row>
    <row r="69" spans="2:31" ht="36" customHeight="1" x14ac:dyDescent="0.25">
      <c r="B69" s="180" t="s">
        <v>115</v>
      </c>
      <c r="C69" s="180"/>
      <c r="D69" s="196">
        <v>0</v>
      </c>
      <c r="E69" s="193"/>
      <c r="F69" s="195">
        <v>60300336239</v>
      </c>
      <c r="G69" s="195"/>
      <c r="H69" s="195">
        <v>0</v>
      </c>
      <c r="I69" s="195"/>
      <c r="J69" s="195">
        <f t="shared" si="6"/>
        <v>60300336239</v>
      </c>
      <c r="K69" s="195"/>
      <c r="L69" s="212">
        <f t="shared" si="4"/>
        <v>1.1015943585753642E-2</v>
      </c>
      <c r="M69" s="195"/>
      <c r="N69" s="195">
        <v>10640000000</v>
      </c>
      <c r="O69" s="195"/>
      <c r="P69" s="195">
        <v>80618548438</v>
      </c>
      <c r="Q69" s="195"/>
      <c r="R69" s="195">
        <v>-1377096352</v>
      </c>
      <c r="S69" s="195">
        <v>457681005</v>
      </c>
      <c r="T69" s="195">
        <f t="shared" si="5"/>
        <v>89881452086</v>
      </c>
      <c r="U69" s="195">
        <v>628201261</v>
      </c>
      <c r="V69" s="212">
        <f>T69/درآمدها!$F$9</f>
        <v>1.6611235710177009E-2</v>
      </c>
      <c r="W69" s="267"/>
      <c r="X69" s="102"/>
      <c r="Z69" s="200"/>
      <c r="AA69" s="210"/>
    </row>
    <row r="70" spans="2:31" ht="36" customHeight="1" x14ac:dyDescent="0.25">
      <c r="B70" s="180" t="s">
        <v>252</v>
      </c>
      <c r="C70" s="180"/>
      <c r="D70" s="196">
        <v>0</v>
      </c>
      <c r="E70" s="193"/>
      <c r="F70" s="195">
        <v>-44652149</v>
      </c>
      <c r="G70" s="195"/>
      <c r="H70" s="195">
        <v>0</v>
      </c>
      <c r="I70" s="195"/>
      <c r="J70" s="195">
        <f t="shared" si="6"/>
        <v>-44652149</v>
      </c>
      <c r="K70" s="195"/>
      <c r="L70" s="212">
        <f t="shared" si="4"/>
        <v>-8.157260556841353E-6</v>
      </c>
      <c r="M70" s="195"/>
      <c r="N70" s="195">
        <v>0</v>
      </c>
      <c r="O70" s="195"/>
      <c r="P70" s="195">
        <v>499209555</v>
      </c>
      <c r="Q70" s="195"/>
      <c r="R70" s="195">
        <v>1102940400</v>
      </c>
      <c r="S70" s="195">
        <v>-314831742</v>
      </c>
      <c r="T70" s="195">
        <f t="shared" si="5"/>
        <v>1602149955</v>
      </c>
      <c r="U70" s="195">
        <v>-273814835</v>
      </c>
      <c r="V70" s="212">
        <f>T70/درآمدها!$F$9</f>
        <v>2.9609769232577694E-4</v>
      </c>
      <c r="W70" s="267"/>
      <c r="X70" s="102"/>
      <c r="Z70" s="200"/>
      <c r="AA70" s="210"/>
      <c r="AD70" s="190"/>
      <c r="AE70" s="190"/>
    </row>
    <row r="71" spans="2:31" ht="36" customHeight="1" x14ac:dyDescent="0.25">
      <c r="B71" s="180" t="s">
        <v>152</v>
      </c>
      <c r="C71" s="180"/>
      <c r="D71" s="196">
        <v>0</v>
      </c>
      <c r="E71" s="193"/>
      <c r="F71" s="195">
        <v>0</v>
      </c>
      <c r="G71" s="195"/>
      <c r="H71" s="195">
        <v>0</v>
      </c>
      <c r="I71" s="195"/>
      <c r="J71" s="195">
        <f t="shared" ref="J71:J76" si="7">D71+F71+H71</f>
        <v>0</v>
      </c>
      <c r="K71" s="195"/>
      <c r="L71" s="212">
        <f t="shared" si="4"/>
        <v>0</v>
      </c>
      <c r="M71" s="195"/>
      <c r="N71" s="195">
        <v>0</v>
      </c>
      <c r="O71" s="195"/>
      <c r="P71" s="195">
        <v>0</v>
      </c>
      <c r="Q71" s="195"/>
      <c r="R71" s="195">
        <v>-2044819416</v>
      </c>
      <c r="S71" s="195">
        <v>-21899317781</v>
      </c>
      <c r="T71" s="195">
        <f t="shared" si="5"/>
        <v>-2044819416</v>
      </c>
      <c r="U71" s="195"/>
      <c r="V71" s="212">
        <f>T71/درآمدها!$F$9</f>
        <v>-3.7790863983174584E-4</v>
      </c>
      <c r="W71" s="267"/>
      <c r="X71" s="190"/>
      <c r="Y71" s="190"/>
      <c r="AA71" s="190"/>
    </row>
    <row r="72" spans="2:31" ht="36" customHeight="1" x14ac:dyDescent="0.25">
      <c r="B72" s="180" t="s">
        <v>177</v>
      </c>
      <c r="C72" s="180"/>
      <c r="D72" s="196">
        <v>0</v>
      </c>
      <c r="E72" s="193"/>
      <c r="F72" s="195">
        <v>0</v>
      </c>
      <c r="G72" s="195"/>
      <c r="H72" s="195">
        <v>0</v>
      </c>
      <c r="I72" s="195"/>
      <c r="J72" s="195">
        <f t="shared" si="7"/>
        <v>0</v>
      </c>
      <c r="K72" s="195"/>
      <c r="L72" s="212">
        <f t="shared" si="4"/>
        <v>0</v>
      </c>
      <c r="M72" s="195"/>
      <c r="N72" s="195">
        <v>2400000000</v>
      </c>
      <c r="O72" s="195"/>
      <c r="P72" s="195">
        <v>0</v>
      </c>
      <c r="Q72" s="195"/>
      <c r="R72" s="195">
        <v>-6440726392</v>
      </c>
      <c r="S72" s="195">
        <v>24903138035</v>
      </c>
      <c r="T72" s="195">
        <f t="shared" si="5"/>
        <v>-4040726392</v>
      </c>
      <c r="U72" s="195"/>
      <c r="V72" s="212">
        <f>T72/درآمدها!$F$9</f>
        <v>-7.4677763854573941E-4</v>
      </c>
      <c r="W72" s="267"/>
      <c r="X72" s="190"/>
      <c r="Y72" s="190"/>
      <c r="AA72" s="190"/>
    </row>
    <row r="73" spans="2:31" ht="36" customHeight="1" x14ac:dyDescent="0.25">
      <c r="B73" s="180" t="s">
        <v>251</v>
      </c>
      <c r="C73" s="180"/>
      <c r="D73" s="196">
        <v>0</v>
      </c>
      <c r="E73" s="193"/>
      <c r="F73" s="195">
        <v>157175567</v>
      </c>
      <c r="G73" s="195"/>
      <c r="H73" s="195">
        <v>0</v>
      </c>
      <c r="I73" s="195"/>
      <c r="J73" s="195">
        <f t="shared" si="7"/>
        <v>157175567</v>
      </c>
      <c r="K73" s="195"/>
      <c r="L73" s="212">
        <f t="shared" si="4"/>
        <v>2.8713557620446787E-5</v>
      </c>
      <c r="M73" s="195"/>
      <c r="N73" s="195">
        <v>0</v>
      </c>
      <c r="O73" s="195"/>
      <c r="P73" s="195">
        <v>1051803250</v>
      </c>
      <c r="Q73" s="195"/>
      <c r="R73" s="195">
        <v>1176011000</v>
      </c>
      <c r="S73" s="195">
        <v>-4335963253</v>
      </c>
      <c r="T73" s="195">
        <f t="shared" si="5"/>
        <v>2227814250</v>
      </c>
      <c r="U73" s="195"/>
      <c r="V73" s="212">
        <f>T73/درآمدها!$F$9</f>
        <v>4.1172841299707272E-4</v>
      </c>
      <c r="W73" s="267"/>
      <c r="X73" s="190"/>
      <c r="Y73" s="190"/>
      <c r="AA73" s="190"/>
    </row>
    <row r="74" spans="2:31" ht="36" customHeight="1" x14ac:dyDescent="0.25">
      <c r="B74" s="180" t="s">
        <v>167</v>
      </c>
      <c r="C74" s="180"/>
      <c r="D74" s="196">
        <v>0</v>
      </c>
      <c r="E74" s="193"/>
      <c r="F74" s="195">
        <v>0</v>
      </c>
      <c r="G74" s="195"/>
      <c r="H74" s="195">
        <v>0</v>
      </c>
      <c r="I74" s="195"/>
      <c r="J74" s="195">
        <f t="shared" si="7"/>
        <v>0</v>
      </c>
      <c r="K74" s="195"/>
      <c r="L74" s="212">
        <f t="shared" si="4"/>
        <v>0</v>
      </c>
      <c r="M74" s="195"/>
      <c r="N74" s="195">
        <v>0</v>
      </c>
      <c r="O74" s="195"/>
      <c r="P74" s="195">
        <v>0</v>
      </c>
      <c r="Q74" s="195"/>
      <c r="R74" s="195">
        <v>573251852</v>
      </c>
      <c r="S74" s="195">
        <v>4030409699</v>
      </c>
      <c r="T74" s="195">
        <f t="shared" si="5"/>
        <v>573251852</v>
      </c>
      <c r="U74" s="195"/>
      <c r="V74" s="212">
        <f>T74/درآمدها!$F$9</f>
        <v>1.0594423447627772E-4</v>
      </c>
      <c r="W74" s="267"/>
      <c r="X74" s="190"/>
      <c r="Y74" s="190"/>
      <c r="AA74" s="190"/>
    </row>
    <row r="75" spans="2:31" ht="36" customHeight="1" x14ac:dyDescent="0.25">
      <c r="B75" s="180" t="s">
        <v>146</v>
      </c>
      <c r="C75" s="180"/>
      <c r="D75" s="196">
        <v>327873</v>
      </c>
      <c r="E75" s="193"/>
      <c r="F75" s="195">
        <v>-422706</v>
      </c>
      <c r="G75" s="195"/>
      <c r="H75" s="195">
        <v>0</v>
      </c>
      <c r="I75" s="195"/>
      <c r="J75" s="195">
        <f t="shared" si="7"/>
        <v>-94833</v>
      </c>
      <c r="K75" s="195"/>
      <c r="L75" s="212">
        <f t="shared" si="4"/>
        <v>-1.7324529898593143E-8</v>
      </c>
      <c r="M75" s="195"/>
      <c r="N75" s="195">
        <v>327873</v>
      </c>
      <c r="O75" s="195"/>
      <c r="P75" s="195">
        <v>-373083</v>
      </c>
      <c r="Q75" s="195"/>
      <c r="R75" s="195">
        <v>-272463739</v>
      </c>
      <c r="S75" s="195">
        <v>97323992</v>
      </c>
      <c r="T75" s="195">
        <f t="shared" si="5"/>
        <v>-272508949</v>
      </c>
      <c r="U75" s="195"/>
      <c r="V75" s="212">
        <f>T75/درآمدها!$F$9</f>
        <v>-5.0363120309186562E-5</v>
      </c>
      <c r="W75" s="267"/>
      <c r="X75" s="190"/>
      <c r="Y75" s="190"/>
      <c r="AA75" s="190"/>
    </row>
    <row r="76" spans="2:31" ht="36" customHeight="1" x14ac:dyDescent="0.25">
      <c r="B76" s="180" t="s">
        <v>176</v>
      </c>
      <c r="C76" s="180"/>
      <c r="D76" s="196">
        <v>0</v>
      </c>
      <c r="E76" s="193"/>
      <c r="F76" s="195">
        <v>0</v>
      </c>
      <c r="G76" s="195"/>
      <c r="H76" s="195">
        <v>0</v>
      </c>
      <c r="I76" s="195"/>
      <c r="J76" s="195">
        <f t="shared" si="7"/>
        <v>0</v>
      </c>
      <c r="K76" s="195"/>
      <c r="L76" s="212">
        <f t="shared" si="4"/>
        <v>0</v>
      </c>
      <c r="M76" s="195"/>
      <c r="N76" s="195">
        <v>0</v>
      </c>
      <c r="O76" s="195"/>
      <c r="P76" s="195">
        <v>0</v>
      </c>
      <c r="Q76" s="195"/>
      <c r="R76" s="195">
        <v>2367231992</v>
      </c>
      <c r="S76" s="195">
        <v>29213444160</v>
      </c>
      <c r="T76" s="195">
        <f t="shared" si="5"/>
        <v>2367231992</v>
      </c>
      <c r="U76" s="195">
        <v>3621513060</v>
      </c>
      <c r="V76" s="212">
        <f>T76/درآمدها!$F$9</f>
        <v>4.3749458522498416E-4</v>
      </c>
      <c r="W76" s="267"/>
      <c r="X76" s="190"/>
      <c r="Y76" s="190"/>
      <c r="AA76" s="190"/>
    </row>
    <row r="77" spans="2:31" ht="30" customHeight="1" x14ac:dyDescent="0.25">
      <c r="B77" s="180" t="s">
        <v>233</v>
      </c>
      <c r="C77" s="180"/>
      <c r="D77" s="196">
        <v>0</v>
      </c>
      <c r="E77" s="193"/>
      <c r="F77" s="195">
        <v>0</v>
      </c>
      <c r="G77" s="195"/>
      <c r="H77" s="195">
        <v>0</v>
      </c>
      <c r="I77" s="195"/>
      <c r="J77" s="195">
        <f t="shared" si="6"/>
        <v>0</v>
      </c>
      <c r="K77" s="195"/>
      <c r="L77" s="212">
        <f t="shared" si="4"/>
        <v>0</v>
      </c>
      <c r="M77" s="195"/>
      <c r="N77" s="195">
        <v>0</v>
      </c>
      <c r="O77" s="195"/>
      <c r="P77" s="195">
        <v>0</v>
      </c>
      <c r="Q77" s="195"/>
      <c r="R77" s="195">
        <v>1</v>
      </c>
      <c r="S77" s="195">
        <v>-14922689397</v>
      </c>
      <c r="T77" s="195">
        <f t="shared" si="5"/>
        <v>1</v>
      </c>
      <c r="U77" s="195">
        <v>-9565440490</v>
      </c>
      <c r="V77" s="212">
        <f>T77/درآمدها!$F$9</f>
        <v>1.8481272080788276E-13</v>
      </c>
      <c r="W77" s="267"/>
      <c r="X77" s="102"/>
      <c r="Z77" s="200"/>
      <c r="AA77" s="210"/>
      <c r="AD77" s="190"/>
    </row>
    <row r="78" spans="2:31" ht="30" customHeight="1" x14ac:dyDescent="0.25">
      <c r="B78" s="180" t="s">
        <v>145</v>
      </c>
      <c r="C78" s="180"/>
      <c r="D78" s="196">
        <v>0</v>
      </c>
      <c r="E78" s="193"/>
      <c r="F78" s="195">
        <v>-13382720589</v>
      </c>
      <c r="G78" s="195"/>
      <c r="H78" s="195">
        <v>0</v>
      </c>
      <c r="I78" s="195"/>
      <c r="J78" s="195">
        <f t="shared" si="6"/>
        <v>-13382720589</v>
      </c>
      <c r="K78" s="195"/>
      <c r="L78" s="212">
        <f t="shared" si="4"/>
        <v>-2.4448171308368242E-3</v>
      </c>
      <c r="M78" s="195"/>
      <c r="N78" s="195">
        <v>11000</v>
      </c>
      <c r="O78" s="195"/>
      <c r="P78" s="195">
        <v>-5608250357</v>
      </c>
      <c r="Q78" s="195"/>
      <c r="R78" s="195">
        <v>-8605508431</v>
      </c>
      <c r="S78" s="195">
        <v>415651628</v>
      </c>
      <c r="T78" s="195">
        <f t="shared" si="5"/>
        <v>-14213747788</v>
      </c>
      <c r="U78" s="195">
        <v>4529226482</v>
      </c>
      <c r="V78" s="212">
        <f>T78/درآمدها!$F$9</f>
        <v>-2.626881401577305E-3</v>
      </c>
      <c r="W78" s="267"/>
      <c r="X78" s="102"/>
      <c r="Z78" s="200"/>
      <c r="AA78" s="210"/>
    </row>
    <row r="79" spans="2:31" ht="30" customHeight="1" x14ac:dyDescent="0.25">
      <c r="B79" s="180" t="s">
        <v>127</v>
      </c>
      <c r="C79" s="180"/>
      <c r="D79" s="196">
        <v>0</v>
      </c>
      <c r="E79" s="193"/>
      <c r="F79" s="195">
        <v>116096</v>
      </c>
      <c r="G79" s="195"/>
      <c r="H79" s="195">
        <v>0</v>
      </c>
      <c r="I79" s="195"/>
      <c r="J79" s="195">
        <f>D79+F79+H79</f>
        <v>116096</v>
      </c>
      <c r="K79" s="195"/>
      <c r="L79" s="212">
        <f t="shared" si="4"/>
        <v>2.1208952823458815E-8</v>
      </c>
      <c r="M79" s="195"/>
      <c r="N79" s="195">
        <v>1736000000</v>
      </c>
      <c r="O79" s="195"/>
      <c r="P79" s="195">
        <v>367811</v>
      </c>
      <c r="Q79" s="195"/>
      <c r="R79" s="195">
        <v>-797235242</v>
      </c>
      <c r="S79" s="195">
        <v>5021464603</v>
      </c>
      <c r="T79" s="195">
        <f t="shared" si="5"/>
        <v>939132569</v>
      </c>
      <c r="U79" s="195">
        <v>1418971271</v>
      </c>
      <c r="V79" s="212">
        <f>T79/درآمدها!$F$9</f>
        <v>1.7356364527618668E-4</v>
      </c>
      <c r="W79" s="267"/>
      <c r="X79" s="102"/>
      <c r="Z79" s="200"/>
      <c r="AA79" s="210"/>
    </row>
    <row r="80" spans="2:31" ht="30" customHeight="1" x14ac:dyDescent="0.25">
      <c r="B80" s="180" t="s">
        <v>130</v>
      </c>
      <c r="C80" s="180"/>
      <c r="D80" s="196">
        <v>0</v>
      </c>
      <c r="E80" s="193"/>
      <c r="F80" s="195">
        <v>56261708999</v>
      </c>
      <c r="G80" s="195"/>
      <c r="H80" s="195">
        <v>0</v>
      </c>
      <c r="I80" s="195"/>
      <c r="J80" s="195">
        <f t="shared" si="6"/>
        <v>56261708999</v>
      </c>
      <c r="K80" s="195"/>
      <c r="L80" s="212">
        <f t="shared" si="4"/>
        <v>1.0278148531620032E-2</v>
      </c>
      <c r="M80" s="195"/>
      <c r="N80" s="195">
        <v>62700000000</v>
      </c>
      <c r="O80" s="195"/>
      <c r="P80" s="195">
        <v>91835006851</v>
      </c>
      <c r="Q80" s="195"/>
      <c r="R80" s="195">
        <v>-23389841425</v>
      </c>
      <c r="S80" s="195">
        <v>-4485653237</v>
      </c>
      <c r="T80" s="195">
        <f t="shared" si="5"/>
        <v>131145165426</v>
      </c>
      <c r="U80" s="195">
        <v>-15221139573</v>
      </c>
      <c r="V80" s="212">
        <f>T80/درآمدها!$F$9</f>
        <v>2.4237294843178936E-2</v>
      </c>
      <c r="W80" s="267"/>
      <c r="X80" s="102"/>
      <c r="Z80" s="200"/>
      <c r="AA80" s="210"/>
    </row>
    <row r="81" spans="2:27" ht="30" customHeight="1" x14ac:dyDescent="0.25">
      <c r="B81" s="180" t="s">
        <v>143</v>
      </c>
      <c r="C81" s="180"/>
      <c r="D81" s="196">
        <v>0</v>
      </c>
      <c r="E81" s="193"/>
      <c r="F81" s="195">
        <v>142231981800</v>
      </c>
      <c r="G81" s="195"/>
      <c r="H81" s="195">
        <v>0</v>
      </c>
      <c r="I81" s="195"/>
      <c r="J81" s="195">
        <f t="shared" si="6"/>
        <v>142231981800</v>
      </c>
      <c r="K81" s="195"/>
      <c r="L81" s="212">
        <f t="shared" si="4"/>
        <v>2.5983594542303375E-2</v>
      </c>
      <c r="M81" s="195"/>
      <c r="N81" s="195">
        <v>32396000000</v>
      </c>
      <c r="O81" s="195"/>
      <c r="P81" s="195">
        <v>188700161106</v>
      </c>
      <c r="Q81" s="195"/>
      <c r="R81" s="195">
        <v>-3774783208</v>
      </c>
      <c r="S81" s="195"/>
      <c r="T81" s="195">
        <f t="shared" si="5"/>
        <v>217321377898</v>
      </c>
      <c r="U81" s="195"/>
      <c r="V81" s="212">
        <f>T81/درآمدها!$F$9</f>
        <v>4.0163755139047456E-2</v>
      </c>
      <c r="W81" s="267"/>
      <c r="X81" s="102"/>
      <c r="Z81" s="200"/>
      <c r="AA81" s="210"/>
    </row>
    <row r="82" spans="2:27" ht="30" customHeight="1" x14ac:dyDescent="0.25">
      <c r="B82" s="180" t="s">
        <v>193</v>
      </c>
      <c r="C82" s="180"/>
      <c r="D82" s="196">
        <v>0</v>
      </c>
      <c r="E82" s="193"/>
      <c r="F82" s="195">
        <v>0</v>
      </c>
      <c r="G82" s="195"/>
      <c r="H82" s="195">
        <v>0</v>
      </c>
      <c r="I82" s="195"/>
      <c r="J82" s="195">
        <f t="shared" si="6"/>
        <v>0</v>
      </c>
      <c r="K82" s="195"/>
      <c r="L82" s="212">
        <f t="shared" si="4"/>
        <v>0</v>
      </c>
      <c r="M82" s="195"/>
      <c r="N82" s="195">
        <v>0</v>
      </c>
      <c r="O82" s="195"/>
      <c r="P82" s="195">
        <v>0</v>
      </c>
      <c r="Q82" s="195"/>
      <c r="R82" s="195">
        <v>-14922689397</v>
      </c>
      <c r="S82" s="195"/>
      <c r="T82" s="195">
        <f t="shared" si="5"/>
        <v>-14922689397</v>
      </c>
      <c r="U82" s="195"/>
      <c r="V82" s="212">
        <f>T82/درآمدها!$F$9</f>
        <v>-2.7579028292305133E-3</v>
      </c>
      <c r="W82" s="267"/>
      <c r="X82" s="102"/>
      <c r="Z82" s="200"/>
      <c r="AA82" s="210"/>
    </row>
    <row r="83" spans="2:27" ht="30" customHeight="1" x14ac:dyDescent="0.25">
      <c r="B83" s="180" t="s">
        <v>197</v>
      </c>
      <c r="C83" s="180"/>
      <c r="D83" s="196">
        <v>0</v>
      </c>
      <c r="E83" s="193"/>
      <c r="F83" s="195">
        <v>0</v>
      </c>
      <c r="G83" s="195"/>
      <c r="H83" s="195">
        <v>0</v>
      </c>
      <c r="I83" s="195"/>
      <c r="J83" s="195">
        <f t="shared" si="6"/>
        <v>0</v>
      </c>
      <c r="K83" s="195"/>
      <c r="L83" s="212">
        <f t="shared" si="4"/>
        <v>0</v>
      </c>
      <c r="M83" s="195"/>
      <c r="N83" s="195">
        <v>235000000</v>
      </c>
      <c r="O83" s="195"/>
      <c r="P83" s="195">
        <v>0</v>
      </c>
      <c r="Q83" s="195"/>
      <c r="R83" s="195">
        <v>1290155549</v>
      </c>
      <c r="S83" s="195"/>
      <c r="T83" s="195">
        <f t="shared" si="5"/>
        <v>1525155549</v>
      </c>
      <c r="U83" s="195"/>
      <c r="V83" s="212">
        <f>T83/درآمدها!$F$9</f>
        <v>2.8186814666593017E-4</v>
      </c>
      <c r="W83" s="267"/>
      <c r="X83" s="102"/>
      <c r="Z83" s="200"/>
      <c r="AA83" s="210"/>
    </row>
    <row r="84" spans="2:27" ht="30" customHeight="1" x14ac:dyDescent="0.25">
      <c r="B84" s="180" t="s">
        <v>126</v>
      </c>
      <c r="C84" s="180"/>
      <c r="D84" s="196">
        <v>0</v>
      </c>
      <c r="E84" s="193"/>
      <c r="F84" s="195">
        <v>-75411</v>
      </c>
      <c r="G84" s="195"/>
      <c r="H84" s="195">
        <v>0</v>
      </c>
      <c r="I84" s="195"/>
      <c r="J84" s="195">
        <f t="shared" si="6"/>
        <v>-75411</v>
      </c>
      <c r="K84" s="195"/>
      <c r="L84" s="212">
        <f t="shared" si="4"/>
        <v>-1.3776429346143301E-8</v>
      </c>
      <c r="M84" s="195"/>
      <c r="N84" s="195">
        <v>0</v>
      </c>
      <c r="O84" s="195"/>
      <c r="P84" s="195">
        <v>27663</v>
      </c>
      <c r="Q84" s="195"/>
      <c r="R84" s="150">
        <v>5021464603</v>
      </c>
      <c r="S84" s="195"/>
      <c r="T84" s="195">
        <f t="shared" si="5"/>
        <v>5021492266</v>
      </c>
      <c r="U84" s="195"/>
      <c r="V84" s="212">
        <f>T84/درآمدها!$F$9</f>
        <v>9.2803564819520055E-4</v>
      </c>
      <c r="W84" s="267"/>
      <c r="X84" s="102"/>
      <c r="Z84" s="200"/>
      <c r="AA84" s="210"/>
    </row>
    <row r="85" spans="2:27" ht="30" customHeight="1" x14ac:dyDescent="0.25">
      <c r="B85" s="180" t="s">
        <v>174</v>
      </c>
      <c r="C85" s="180"/>
      <c r="D85" s="196">
        <v>0</v>
      </c>
      <c r="E85" s="193"/>
      <c r="F85" s="195">
        <v>0</v>
      </c>
      <c r="G85" s="195"/>
      <c r="H85" s="195">
        <v>0</v>
      </c>
      <c r="I85" s="195"/>
      <c r="J85" s="195">
        <f t="shared" si="6"/>
        <v>0</v>
      </c>
      <c r="K85" s="195"/>
      <c r="L85" s="212">
        <f t="shared" si="4"/>
        <v>0</v>
      </c>
      <c r="M85" s="195"/>
      <c r="N85" s="195">
        <v>0</v>
      </c>
      <c r="O85" s="195"/>
      <c r="P85" s="195">
        <v>0</v>
      </c>
      <c r="Q85" s="195"/>
      <c r="R85" s="195">
        <v>-4485653237</v>
      </c>
      <c r="S85" s="195"/>
      <c r="T85" s="195">
        <f t="shared" si="5"/>
        <v>-4485653237</v>
      </c>
      <c r="U85" s="195"/>
      <c r="V85" s="212">
        <f>T85/درآمدها!$F$9</f>
        <v>-8.290057793306565E-4</v>
      </c>
      <c r="W85" s="267"/>
      <c r="X85" s="102"/>
      <c r="Z85" s="200"/>
      <c r="AA85" s="210"/>
    </row>
    <row r="86" spans="2:27" ht="30" customHeight="1" x14ac:dyDescent="0.25">
      <c r="B86" s="180" t="s">
        <v>131</v>
      </c>
      <c r="C86" s="180"/>
      <c r="D86" s="196">
        <v>0</v>
      </c>
      <c r="E86" s="193"/>
      <c r="F86" s="195">
        <v>55912769999</v>
      </c>
      <c r="G86" s="195"/>
      <c r="H86" s="195">
        <v>0</v>
      </c>
      <c r="I86" s="195"/>
      <c r="J86" s="195">
        <f t="shared" si="6"/>
        <v>55912769999</v>
      </c>
      <c r="K86" s="195"/>
      <c r="L86" s="212">
        <f t="shared" si="4"/>
        <v>1.0214402745466634E-2</v>
      </c>
      <c r="M86" s="195"/>
      <c r="N86" s="195">
        <v>33460000000</v>
      </c>
      <c r="O86" s="195"/>
      <c r="P86" s="195">
        <v>30316632089</v>
      </c>
      <c r="Q86" s="195"/>
      <c r="R86" s="195">
        <v>-34565504789</v>
      </c>
      <c r="S86" s="195">
        <v>872060105</v>
      </c>
      <c r="T86" s="195">
        <f t="shared" si="5"/>
        <v>29211127300</v>
      </c>
      <c r="U86" s="195">
        <v>-171239603</v>
      </c>
      <c r="V86" s="212">
        <f>T86/درآمدها!$F$9</f>
        <v>5.398587914178422E-3</v>
      </c>
      <c r="W86" s="267"/>
      <c r="X86" s="102"/>
      <c r="Z86" s="200"/>
      <c r="AA86" s="210"/>
    </row>
    <row r="87" spans="2:27" ht="30" customHeight="1" x14ac:dyDescent="0.25">
      <c r="B87" s="180" t="s">
        <v>216</v>
      </c>
      <c r="C87" s="170"/>
      <c r="D87" s="194">
        <f>SUM(D53:D86)</f>
        <v>22468488250</v>
      </c>
      <c r="E87" s="193"/>
      <c r="F87" s="213">
        <f>SUM(F53:F86)</f>
        <v>1684210527007</v>
      </c>
      <c r="G87" s="213"/>
      <c r="H87" s="213">
        <f>SUM(H53:H86)</f>
        <v>693250368926</v>
      </c>
      <c r="I87" s="213"/>
      <c r="J87" s="213">
        <f>SUM(J53:J86)</f>
        <v>2399929384183</v>
      </c>
      <c r="K87" s="213"/>
      <c r="L87" s="121">
        <f>SUM(L53:L86)</f>
        <v>0.43843017062405082</v>
      </c>
      <c r="M87" s="213"/>
      <c r="N87" s="213">
        <f>SUM(N53:N86)</f>
        <v>507922894232</v>
      </c>
      <c r="O87" s="213"/>
      <c r="P87" s="213">
        <f>SUM(P53:P86)</f>
        <v>3918818394097</v>
      </c>
      <c r="Q87" s="213"/>
      <c r="R87" s="213">
        <f>SUM(R53:R86)</f>
        <v>633266981084</v>
      </c>
      <c r="S87" s="213"/>
      <c r="T87" s="213">
        <f>SUM(T53:T86)</f>
        <v>5060008269413</v>
      </c>
      <c r="U87" s="195"/>
      <c r="V87" s="121">
        <f>SUM(V53:V86)</f>
        <v>0.93515389558060324</v>
      </c>
      <c r="W87" s="267"/>
      <c r="X87" s="102"/>
      <c r="Z87" s="200"/>
      <c r="AA87" s="210"/>
    </row>
    <row r="88" spans="2:27" ht="30" customHeight="1" x14ac:dyDescent="0.25">
      <c r="B88" s="180"/>
      <c r="C88" s="170"/>
      <c r="D88" s="196"/>
      <c r="E88" s="193"/>
      <c r="F88" s="195"/>
      <c r="G88" s="195"/>
      <c r="H88" s="195"/>
      <c r="I88" s="195"/>
      <c r="J88" s="195"/>
      <c r="K88" s="195"/>
      <c r="L88" s="212"/>
      <c r="M88" s="195"/>
      <c r="N88" s="195"/>
      <c r="O88" s="195"/>
      <c r="P88" s="195"/>
      <c r="Q88" s="195"/>
      <c r="R88" s="195"/>
      <c r="S88" s="195"/>
      <c r="T88" s="195"/>
      <c r="U88" s="195"/>
      <c r="V88" s="212"/>
      <c r="W88" s="267"/>
      <c r="X88" s="102"/>
      <c r="Z88" s="200"/>
      <c r="AA88" s="210"/>
    </row>
    <row r="89" spans="2:27" ht="30" customHeight="1" x14ac:dyDescent="0.25">
      <c r="B89" s="384" t="s">
        <v>138</v>
      </c>
      <c r="C89" s="384"/>
      <c r="D89" s="384"/>
      <c r="E89" s="384"/>
      <c r="F89" s="384"/>
      <c r="G89" s="384"/>
      <c r="H89" s="384"/>
      <c r="I89" s="384"/>
      <c r="J89" s="384"/>
      <c r="K89" s="384"/>
      <c r="L89" s="384"/>
      <c r="M89" s="384"/>
      <c r="N89" s="384"/>
      <c r="O89" s="384"/>
      <c r="P89" s="384"/>
      <c r="Q89" s="384"/>
      <c r="R89" s="384"/>
      <c r="S89" s="384"/>
      <c r="T89" s="384"/>
      <c r="U89" s="384"/>
      <c r="V89" s="384"/>
      <c r="W89" s="267"/>
      <c r="X89" s="102"/>
      <c r="Z89" s="200"/>
      <c r="AA89" s="210"/>
    </row>
    <row r="90" spans="2:27" ht="12.75" customHeight="1" x14ac:dyDescent="0.25">
      <c r="W90" s="267"/>
      <c r="X90" s="102"/>
      <c r="Z90" s="200"/>
      <c r="AA90" s="210"/>
    </row>
    <row r="91" spans="2:27" ht="30" customHeight="1" thickBot="1" x14ac:dyDescent="0.3">
      <c r="B91" s="275"/>
      <c r="C91" s="208"/>
      <c r="D91" s="377" t="str">
        <f>D49</f>
        <v>طی دی ماه</v>
      </c>
      <c r="E91" s="377"/>
      <c r="F91" s="377"/>
      <c r="G91" s="377"/>
      <c r="H91" s="377"/>
      <c r="I91" s="377"/>
      <c r="J91" s="377"/>
      <c r="K91" s="208"/>
      <c r="L91" s="208"/>
      <c r="M91" s="208"/>
      <c r="N91" s="377" t="str">
        <f>N49</f>
        <v>از ابتدای سال مالی تا پایان دی ماه</v>
      </c>
      <c r="O91" s="377"/>
      <c r="P91" s="377"/>
      <c r="Q91" s="377"/>
      <c r="R91" s="377"/>
      <c r="S91" s="377"/>
      <c r="T91" s="377"/>
      <c r="U91" s="377"/>
      <c r="V91" s="377"/>
      <c r="W91" s="267"/>
      <c r="X91" s="102"/>
      <c r="Z91" s="200"/>
      <c r="AA91" s="210"/>
    </row>
    <row r="92" spans="2:27" ht="30" customHeight="1" x14ac:dyDescent="0.25">
      <c r="B92" s="378" t="s">
        <v>36</v>
      </c>
      <c r="C92" s="378"/>
      <c r="D92" s="382" t="s">
        <v>21</v>
      </c>
      <c r="E92" s="378"/>
      <c r="F92" s="382" t="s">
        <v>22</v>
      </c>
      <c r="G92" s="378"/>
      <c r="H92" s="382" t="s">
        <v>23</v>
      </c>
      <c r="I92" s="378"/>
      <c r="J92" s="380" t="s">
        <v>7</v>
      </c>
      <c r="K92" s="380"/>
      <c r="L92" s="380"/>
      <c r="M92" s="378"/>
      <c r="N92" s="383" t="s">
        <v>21</v>
      </c>
      <c r="O92" s="385"/>
      <c r="P92" s="383" t="s">
        <v>22</v>
      </c>
      <c r="Q92" s="385"/>
      <c r="R92" s="383" t="s">
        <v>23</v>
      </c>
      <c r="S92" s="385"/>
      <c r="T92" s="380" t="s">
        <v>7</v>
      </c>
      <c r="U92" s="380"/>
      <c r="V92" s="380"/>
      <c r="W92" s="267"/>
      <c r="X92" s="102"/>
      <c r="Z92" s="200"/>
      <c r="AA92" s="210"/>
    </row>
    <row r="93" spans="2:27" ht="30" customHeight="1" thickBot="1" x14ac:dyDescent="0.3">
      <c r="B93" s="378"/>
      <c r="C93" s="378"/>
      <c r="D93" s="382"/>
      <c r="E93" s="378"/>
      <c r="F93" s="382"/>
      <c r="G93" s="378"/>
      <c r="H93" s="382"/>
      <c r="I93" s="378"/>
      <c r="J93" s="377"/>
      <c r="K93" s="377"/>
      <c r="L93" s="377"/>
      <c r="M93" s="378"/>
      <c r="N93" s="382"/>
      <c r="O93" s="378"/>
      <c r="P93" s="382"/>
      <c r="Q93" s="378"/>
      <c r="R93" s="382"/>
      <c r="S93" s="378"/>
      <c r="T93" s="377"/>
      <c r="U93" s="377"/>
      <c r="V93" s="377"/>
      <c r="W93" s="267"/>
      <c r="X93" s="102"/>
      <c r="Z93" s="200"/>
      <c r="AA93" s="210"/>
    </row>
    <row r="94" spans="2:27" ht="49.5" customHeight="1" thickBot="1" x14ac:dyDescent="0.3">
      <c r="B94" s="379"/>
      <c r="C94" s="378"/>
      <c r="D94" s="88" t="s">
        <v>91</v>
      </c>
      <c r="E94" s="378"/>
      <c r="F94" s="88" t="s">
        <v>92</v>
      </c>
      <c r="G94" s="378"/>
      <c r="H94" s="88" t="s">
        <v>93</v>
      </c>
      <c r="I94" s="378"/>
      <c r="J94" s="103" t="s">
        <v>11</v>
      </c>
      <c r="K94" s="103"/>
      <c r="L94" s="103" t="s">
        <v>24</v>
      </c>
      <c r="M94" s="378"/>
      <c r="N94" s="88" t="s">
        <v>91</v>
      </c>
      <c r="O94" s="378"/>
      <c r="P94" s="88" t="s">
        <v>92</v>
      </c>
      <c r="Q94" s="378"/>
      <c r="R94" s="88" t="s">
        <v>93</v>
      </c>
      <c r="S94" s="378"/>
      <c r="T94" s="103" t="s">
        <v>11</v>
      </c>
      <c r="U94" s="103"/>
      <c r="V94" s="103" t="s">
        <v>24</v>
      </c>
      <c r="W94" s="267"/>
      <c r="X94" s="102"/>
      <c r="Z94" s="200"/>
      <c r="AA94" s="210"/>
    </row>
    <row r="95" spans="2:27" ht="30" customHeight="1" x14ac:dyDescent="0.25">
      <c r="B95" s="197" t="s">
        <v>217</v>
      </c>
      <c r="C95" s="197"/>
      <c r="D95" s="106">
        <f>D87</f>
        <v>22468488250</v>
      </c>
      <c r="E95" s="197"/>
      <c r="F95" s="195">
        <f>F87</f>
        <v>1684210527007</v>
      </c>
      <c r="G95" s="195"/>
      <c r="H95" s="195">
        <f>H87</f>
        <v>693250368926</v>
      </c>
      <c r="I95" s="195"/>
      <c r="J95" s="195">
        <f>J87</f>
        <v>2399929384183</v>
      </c>
      <c r="K95" s="195"/>
      <c r="L95" s="212">
        <f>L87</f>
        <v>0.43843017062405082</v>
      </c>
      <c r="M95" s="195"/>
      <c r="N95" s="195">
        <f>N87</f>
        <v>507922894232</v>
      </c>
      <c r="O95" s="195"/>
      <c r="P95" s="195">
        <f>P87</f>
        <v>3918818394097</v>
      </c>
      <c r="Q95" s="195"/>
      <c r="R95" s="195">
        <f>R87</f>
        <v>633266981084</v>
      </c>
      <c r="S95" s="195"/>
      <c r="T95" s="195">
        <f>T87</f>
        <v>5060008269413</v>
      </c>
      <c r="U95" s="105"/>
      <c r="V95" s="107">
        <f>V87</f>
        <v>0.93515389558060324</v>
      </c>
      <c r="W95" s="267"/>
      <c r="X95" s="102"/>
      <c r="Z95" s="200"/>
      <c r="AA95" s="210"/>
    </row>
    <row r="96" spans="2:27" ht="30" customHeight="1" x14ac:dyDescent="0.25">
      <c r="B96" s="180" t="s">
        <v>254</v>
      </c>
      <c r="C96" s="170"/>
      <c r="D96" s="196">
        <v>0</v>
      </c>
      <c r="E96" s="193"/>
      <c r="F96" s="195">
        <v>0</v>
      </c>
      <c r="G96" s="195"/>
      <c r="H96" s="195">
        <v>0</v>
      </c>
      <c r="I96" s="195"/>
      <c r="J96" s="195">
        <f t="shared" si="6"/>
        <v>0</v>
      </c>
      <c r="K96" s="195"/>
      <c r="L96" s="212">
        <f t="shared" ref="L96:L133" si="8">J96/$X$12</f>
        <v>0</v>
      </c>
      <c r="M96" s="195"/>
      <c r="N96" s="195">
        <v>0</v>
      </c>
      <c r="O96" s="195"/>
      <c r="P96" s="195">
        <v>0</v>
      </c>
      <c r="Q96" s="195"/>
      <c r="R96" s="195">
        <v>91895554026</v>
      </c>
      <c r="S96" s="195">
        <v>392427662</v>
      </c>
      <c r="T96" s="195">
        <f>N96+P96+R96</f>
        <v>91895554026</v>
      </c>
      <c r="U96" s="195">
        <v>-1542829471</v>
      </c>
      <c r="V96" s="212">
        <f>T96/درآمدها!$F$9</f>
        <v>1.6983467369692844E-2</v>
      </c>
      <c r="W96" s="267"/>
      <c r="X96" s="102"/>
      <c r="Z96" s="200"/>
      <c r="AA96" s="210"/>
    </row>
    <row r="97" spans="2:30" ht="30" customHeight="1" x14ac:dyDescent="0.25">
      <c r="B97" s="180" t="s">
        <v>183</v>
      </c>
      <c r="C97" s="170"/>
      <c r="D97" s="196">
        <v>0</v>
      </c>
      <c r="E97" s="193"/>
      <c r="F97" s="195">
        <v>0</v>
      </c>
      <c r="G97" s="195"/>
      <c r="H97" s="195">
        <v>0</v>
      </c>
      <c r="I97" s="195"/>
      <c r="J97" s="195">
        <f t="shared" si="6"/>
        <v>0</v>
      </c>
      <c r="K97" s="195"/>
      <c r="L97" s="212">
        <f t="shared" si="8"/>
        <v>0</v>
      </c>
      <c r="M97" s="195"/>
      <c r="N97" s="195">
        <v>0</v>
      </c>
      <c r="O97" s="195"/>
      <c r="P97" s="195">
        <v>0</v>
      </c>
      <c r="Q97" s="195"/>
      <c r="R97" s="195">
        <v>2810738818</v>
      </c>
      <c r="S97" s="195">
        <v>1644814375</v>
      </c>
      <c r="T97" s="195">
        <f t="shared" ref="T97:T132" si="9">N97+P97+R97</f>
        <v>2810738818</v>
      </c>
      <c r="U97" s="195">
        <v>11922552996</v>
      </c>
      <c r="V97" s="212">
        <f>T97/درآمدها!$F$9</f>
        <v>5.1946028843491236E-4</v>
      </c>
      <c r="W97" s="267"/>
      <c r="X97" s="102"/>
      <c r="Z97" s="200"/>
      <c r="AA97" s="210"/>
    </row>
    <row r="98" spans="2:30" ht="30" customHeight="1" x14ac:dyDescent="0.25">
      <c r="B98" s="180" t="s">
        <v>194</v>
      </c>
      <c r="C98" s="170"/>
      <c r="D98" s="196">
        <v>0</v>
      </c>
      <c r="E98" s="193"/>
      <c r="F98" s="195">
        <v>0</v>
      </c>
      <c r="G98" s="195"/>
      <c r="H98" s="195">
        <v>0</v>
      </c>
      <c r="I98" s="195"/>
      <c r="J98" s="195">
        <f t="shared" si="6"/>
        <v>0</v>
      </c>
      <c r="K98" s="195"/>
      <c r="L98" s="212">
        <f t="shared" si="8"/>
        <v>0</v>
      </c>
      <c r="M98" s="195"/>
      <c r="N98" s="195">
        <v>0</v>
      </c>
      <c r="O98" s="195"/>
      <c r="P98" s="195">
        <v>0</v>
      </c>
      <c r="Q98" s="195"/>
      <c r="R98" s="195">
        <v>41326305</v>
      </c>
      <c r="S98" s="195">
        <v>3859275341</v>
      </c>
      <c r="T98" s="195">
        <f t="shared" si="9"/>
        <v>41326305</v>
      </c>
      <c r="U98" s="195">
        <v>-267773567</v>
      </c>
      <c r="V98" s="212">
        <f>T98/درآمدها!$F$9</f>
        <v>7.6376268679864085E-6</v>
      </c>
      <c r="W98" s="267"/>
      <c r="X98" s="102"/>
      <c r="Z98" s="200"/>
      <c r="AA98" s="210"/>
    </row>
    <row r="99" spans="2:30" ht="30" customHeight="1" x14ac:dyDescent="0.25">
      <c r="B99" s="180" t="s">
        <v>163</v>
      </c>
      <c r="C99" s="170"/>
      <c r="D99" s="196">
        <v>0</v>
      </c>
      <c r="E99" s="193"/>
      <c r="F99" s="195">
        <v>0</v>
      </c>
      <c r="G99" s="195"/>
      <c r="H99" s="195">
        <v>0</v>
      </c>
      <c r="I99" s="195"/>
      <c r="J99" s="195">
        <f t="shared" si="6"/>
        <v>0</v>
      </c>
      <c r="K99" s="195"/>
      <c r="L99" s="212">
        <f t="shared" si="8"/>
        <v>0</v>
      </c>
      <c r="M99" s="195"/>
      <c r="N99" s="195">
        <v>0</v>
      </c>
      <c r="O99" s="195"/>
      <c r="P99" s="195">
        <v>0</v>
      </c>
      <c r="Q99" s="195"/>
      <c r="R99" s="195">
        <v>457681005</v>
      </c>
      <c r="S99" s="195">
        <v>1937265303</v>
      </c>
      <c r="T99" s="195">
        <f t="shared" si="9"/>
        <v>457681005</v>
      </c>
      <c r="U99" s="195">
        <v>-133028242</v>
      </c>
      <c r="V99" s="212">
        <f>T99/درآمدها!$F$9</f>
        <v>8.4585271796136193E-5</v>
      </c>
      <c r="W99" s="267"/>
      <c r="X99" s="102"/>
      <c r="Z99" s="200"/>
      <c r="AA99" s="210"/>
    </row>
    <row r="100" spans="2:30" ht="30" customHeight="1" x14ac:dyDescent="0.25">
      <c r="B100" s="180" t="s">
        <v>180</v>
      </c>
      <c r="C100" s="170"/>
      <c r="D100" s="196">
        <v>0</v>
      </c>
      <c r="E100" s="193"/>
      <c r="F100" s="195">
        <v>-1158184825</v>
      </c>
      <c r="G100" s="195"/>
      <c r="H100" s="195">
        <v>0</v>
      </c>
      <c r="I100" s="195"/>
      <c r="J100" s="195">
        <f t="shared" si="6"/>
        <v>-1158184825</v>
      </c>
      <c r="K100" s="195"/>
      <c r="L100" s="212">
        <f t="shared" si="8"/>
        <v>-2.1158254646388251E-4</v>
      </c>
      <c r="M100" s="195"/>
      <c r="N100" s="195">
        <v>11480000000</v>
      </c>
      <c r="O100" s="195"/>
      <c r="P100" s="195">
        <v>23113333167</v>
      </c>
      <c r="Q100" s="195"/>
      <c r="R100" s="195">
        <v>2642430581</v>
      </c>
      <c r="S100" s="195">
        <v>1212931406</v>
      </c>
      <c r="T100" s="195">
        <f t="shared" si="9"/>
        <v>37235763748</v>
      </c>
      <c r="U100" s="195">
        <v>-2162615402</v>
      </c>
      <c r="V100" s="212">
        <f>T100/درآمدها!$F$9</f>
        <v>6.8816428096274062E-3</v>
      </c>
      <c r="W100" s="267"/>
      <c r="X100" s="102"/>
      <c r="Z100" s="200"/>
      <c r="AA100" s="210"/>
    </row>
    <row r="101" spans="2:30" ht="30" customHeight="1" x14ac:dyDescent="0.25">
      <c r="B101" s="180" t="s">
        <v>149</v>
      </c>
      <c r="C101" s="170"/>
      <c r="D101" s="196">
        <v>0</v>
      </c>
      <c r="E101" s="193"/>
      <c r="F101" s="195">
        <v>0</v>
      </c>
      <c r="G101" s="195"/>
      <c r="H101" s="195">
        <v>0</v>
      </c>
      <c r="I101" s="195"/>
      <c r="J101" s="195">
        <f t="shared" si="6"/>
        <v>0</v>
      </c>
      <c r="K101" s="195"/>
      <c r="L101" s="212">
        <f t="shared" si="8"/>
        <v>0</v>
      </c>
      <c r="M101" s="195"/>
      <c r="N101" s="195">
        <v>0</v>
      </c>
      <c r="O101" s="195"/>
      <c r="P101" s="195">
        <v>0</v>
      </c>
      <c r="Q101" s="195"/>
      <c r="R101" s="195">
        <v>599022178</v>
      </c>
      <c r="S101" s="195">
        <v>6910941668</v>
      </c>
      <c r="T101" s="195">
        <f t="shared" si="9"/>
        <v>599022178</v>
      </c>
      <c r="U101" s="195">
        <v>-1877733842</v>
      </c>
      <c r="V101" s="212">
        <f>T101/درآمدها!$F$9</f>
        <v>1.1070691854044384E-4</v>
      </c>
      <c r="W101" s="267"/>
      <c r="X101" s="200"/>
      <c r="Z101" s="200"/>
      <c r="AA101" s="210"/>
      <c r="AD101" s="190"/>
    </row>
    <row r="102" spans="2:30" ht="30" customHeight="1" x14ac:dyDescent="0.25">
      <c r="B102" s="180" t="s">
        <v>119</v>
      </c>
      <c r="C102" s="170"/>
      <c r="D102" s="196">
        <v>0</v>
      </c>
      <c r="E102" s="193"/>
      <c r="F102" s="195">
        <v>23194311249</v>
      </c>
      <c r="G102" s="195"/>
      <c r="H102" s="195">
        <v>0</v>
      </c>
      <c r="I102" s="195"/>
      <c r="J102" s="195">
        <f t="shared" si="6"/>
        <v>23194311249</v>
      </c>
      <c r="K102" s="195"/>
      <c r="L102" s="212">
        <f t="shared" si="8"/>
        <v>4.2372437728488586E-3</v>
      </c>
      <c r="M102" s="195"/>
      <c r="N102" s="195">
        <v>12240000000</v>
      </c>
      <c r="O102" s="195"/>
      <c r="P102" s="195">
        <v>41126326835</v>
      </c>
      <c r="Q102" s="195"/>
      <c r="R102" s="195">
        <v>11615770866</v>
      </c>
      <c r="S102" s="195">
        <v>151419925</v>
      </c>
      <c r="T102" s="195">
        <f t="shared" si="9"/>
        <v>64982097701</v>
      </c>
      <c r="U102" s="195">
        <v>-13627212560</v>
      </c>
      <c r="V102" s="212">
        <f>T102/درآمدها!$F$9</f>
        <v>1.2009518279925472E-2</v>
      </c>
      <c r="W102" s="267"/>
      <c r="X102" s="200"/>
      <c r="Z102" s="200"/>
      <c r="AA102" s="210"/>
      <c r="AD102" s="190"/>
    </row>
    <row r="103" spans="2:30" ht="30" customHeight="1" x14ac:dyDescent="0.25">
      <c r="B103" s="180" t="s">
        <v>105</v>
      </c>
      <c r="C103" s="170"/>
      <c r="D103" s="196">
        <v>0</v>
      </c>
      <c r="E103" s="193"/>
      <c r="F103" s="195">
        <v>0</v>
      </c>
      <c r="G103" s="195"/>
      <c r="H103" s="195">
        <v>0</v>
      </c>
      <c r="I103" s="195"/>
      <c r="J103" s="195">
        <f t="shared" si="6"/>
        <v>0</v>
      </c>
      <c r="K103" s="195"/>
      <c r="L103" s="212">
        <f t="shared" si="8"/>
        <v>0</v>
      </c>
      <c r="M103" s="195"/>
      <c r="N103" s="195">
        <v>0</v>
      </c>
      <c r="O103" s="195"/>
      <c r="P103" s="195">
        <v>0</v>
      </c>
      <c r="Q103" s="195"/>
      <c r="R103" s="195">
        <v>28553005</v>
      </c>
      <c r="S103" s="195">
        <v>31387040</v>
      </c>
      <c r="T103" s="195">
        <f t="shared" si="9"/>
        <v>28553005</v>
      </c>
      <c r="U103" s="195">
        <v>-6418415353</v>
      </c>
      <c r="V103" s="212">
        <f>T103/درآمدها!$F$9</f>
        <v>5.2769585412910802E-6</v>
      </c>
      <c r="W103" s="267"/>
      <c r="X103" s="200"/>
      <c r="Z103" s="200"/>
      <c r="AA103" s="210"/>
      <c r="AD103" s="190"/>
    </row>
    <row r="104" spans="2:30" ht="30" customHeight="1" x14ac:dyDescent="0.25">
      <c r="B104" s="180" t="s">
        <v>184</v>
      </c>
      <c r="C104" s="170"/>
      <c r="D104" s="196">
        <v>0</v>
      </c>
      <c r="E104" s="193"/>
      <c r="F104" s="195">
        <v>0</v>
      </c>
      <c r="G104" s="195"/>
      <c r="H104" s="195">
        <v>0</v>
      </c>
      <c r="I104" s="195"/>
      <c r="J104" s="195">
        <f t="shared" si="6"/>
        <v>0</v>
      </c>
      <c r="K104" s="195"/>
      <c r="L104" s="212">
        <f t="shared" si="8"/>
        <v>0</v>
      </c>
      <c r="M104" s="195"/>
      <c r="N104" s="195">
        <v>0</v>
      </c>
      <c r="O104" s="195"/>
      <c r="P104" s="195">
        <v>0</v>
      </c>
      <c r="Q104" s="195"/>
      <c r="R104" s="195">
        <v>8613312174</v>
      </c>
      <c r="S104" s="195">
        <v>1762590900</v>
      </c>
      <c r="T104" s="195">
        <f t="shared" si="9"/>
        <v>8613312174</v>
      </c>
      <c r="U104" s="195">
        <v>-581258774</v>
      </c>
      <c r="V104" s="212">
        <f>T104/درآمدها!$F$9</f>
        <v>1.5918496580445997E-3</v>
      </c>
      <c r="W104" s="267"/>
      <c r="X104" s="200"/>
      <c r="Z104" s="200"/>
      <c r="AA104" s="210"/>
    </row>
    <row r="105" spans="2:30" ht="30" customHeight="1" x14ac:dyDescent="0.25">
      <c r="B105" s="180" t="s">
        <v>192</v>
      </c>
      <c r="C105" s="170"/>
      <c r="D105" s="196">
        <v>0</v>
      </c>
      <c r="E105" s="193"/>
      <c r="F105" s="195">
        <v>7980157583</v>
      </c>
      <c r="G105" s="195"/>
      <c r="H105" s="195">
        <v>0</v>
      </c>
      <c r="I105" s="195"/>
      <c r="J105" s="195">
        <f t="shared" si="6"/>
        <v>7980157583</v>
      </c>
      <c r="K105" s="195"/>
      <c r="L105" s="212">
        <f t="shared" si="8"/>
        <v>1.4578519992214556E-3</v>
      </c>
      <c r="M105" s="195"/>
      <c r="N105" s="195">
        <v>8640000000</v>
      </c>
      <c r="O105" s="195"/>
      <c r="P105" s="195">
        <v>36004822757</v>
      </c>
      <c r="Q105" s="195"/>
      <c r="R105" s="195">
        <v>-370664482</v>
      </c>
      <c r="S105" s="195">
        <v>2476602308</v>
      </c>
      <c r="T105" s="195">
        <f t="shared" si="9"/>
        <v>44274158275</v>
      </c>
      <c r="U105" s="195">
        <v>-1440465917</v>
      </c>
      <c r="V105" s="212">
        <f>T105/درآمدها!$F$9</f>
        <v>8.1824276522815872E-3</v>
      </c>
      <c r="W105" s="267"/>
      <c r="X105" s="200"/>
      <c r="Z105" s="200"/>
      <c r="AA105" s="210"/>
      <c r="AD105" s="190"/>
    </row>
    <row r="106" spans="2:30" ht="30" customHeight="1" x14ac:dyDescent="0.25">
      <c r="B106" s="180" t="s">
        <v>232</v>
      </c>
      <c r="C106" s="170"/>
      <c r="D106" s="196">
        <v>0</v>
      </c>
      <c r="E106" s="193"/>
      <c r="F106" s="195">
        <v>0</v>
      </c>
      <c r="G106" s="195"/>
      <c r="H106" s="195">
        <v>0</v>
      </c>
      <c r="I106" s="195"/>
      <c r="J106" s="195">
        <f t="shared" si="6"/>
        <v>0</v>
      </c>
      <c r="K106" s="195"/>
      <c r="L106" s="212">
        <f t="shared" si="8"/>
        <v>0</v>
      </c>
      <c r="M106" s="195"/>
      <c r="N106" s="195">
        <v>0</v>
      </c>
      <c r="O106" s="195"/>
      <c r="P106" s="195">
        <v>0</v>
      </c>
      <c r="Q106" s="195"/>
      <c r="R106" s="195">
        <v>33823218153</v>
      </c>
      <c r="S106" s="195">
        <v>9867221407</v>
      </c>
      <c r="T106" s="195">
        <f t="shared" si="9"/>
        <v>33823218153</v>
      </c>
      <c r="U106" s="195">
        <v>1680299829</v>
      </c>
      <c r="V106" s="212">
        <f>T106/درآمدها!$F$9</f>
        <v>6.2509609733345005E-3</v>
      </c>
      <c r="W106" s="267"/>
      <c r="X106" s="200"/>
      <c r="Z106" s="200"/>
      <c r="AA106" s="210"/>
    </row>
    <row r="107" spans="2:30" ht="30" customHeight="1" x14ac:dyDescent="0.25">
      <c r="B107" s="180" t="s">
        <v>165</v>
      </c>
      <c r="C107" s="170"/>
      <c r="D107" s="196">
        <v>0</v>
      </c>
      <c r="E107" s="193"/>
      <c r="F107" s="195">
        <v>0</v>
      </c>
      <c r="G107" s="195"/>
      <c r="H107" s="195">
        <v>0</v>
      </c>
      <c r="I107" s="195"/>
      <c r="J107" s="195">
        <f t="shared" si="6"/>
        <v>0</v>
      </c>
      <c r="K107" s="195"/>
      <c r="L107" s="212">
        <f t="shared" si="8"/>
        <v>0</v>
      </c>
      <c r="M107" s="195"/>
      <c r="N107" s="195">
        <v>700000000</v>
      </c>
      <c r="O107" s="195"/>
      <c r="P107" s="195">
        <v>0</v>
      </c>
      <c r="Q107" s="195"/>
      <c r="R107" s="195">
        <v>2132299511</v>
      </c>
      <c r="S107" s="195">
        <v>872060105</v>
      </c>
      <c r="T107" s="195">
        <f t="shared" si="9"/>
        <v>2832299511</v>
      </c>
      <c r="U107" s="195">
        <v>-9895859202</v>
      </c>
      <c r="V107" s="212">
        <f>T107/درآمدها!$F$9</f>
        <v>5.2344497877074585E-4</v>
      </c>
      <c r="W107" s="267"/>
      <c r="X107" s="200"/>
      <c r="Z107" s="200"/>
      <c r="AA107" s="210"/>
    </row>
    <row r="108" spans="2:30" ht="30" customHeight="1" x14ac:dyDescent="0.25">
      <c r="B108" s="180" t="s">
        <v>116</v>
      </c>
      <c r="C108" s="170"/>
      <c r="D108" s="196">
        <v>0</v>
      </c>
      <c r="E108" s="193"/>
      <c r="F108" s="195">
        <v>774963</v>
      </c>
      <c r="G108" s="195"/>
      <c r="H108" s="195">
        <v>0</v>
      </c>
      <c r="I108" s="195"/>
      <c r="J108" s="195">
        <f t="shared" si="6"/>
        <v>774963</v>
      </c>
      <c r="K108" s="195"/>
      <c r="L108" s="212">
        <f t="shared" si="8"/>
        <v>1.4157381569499478E-7</v>
      </c>
      <c r="M108" s="195"/>
      <c r="N108" s="195">
        <v>12000000000</v>
      </c>
      <c r="O108" s="195"/>
      <c r="P108" s="195">
        <v>368823</v>
      </c>
      <c r="Q108" s="195"/>
      <c r="R108" s="195">
        <v>-74811807393</v>
      </c>
      <c r="S108" s="195">
        <v>24578982239</v>
      </c>
      <c r="T108" s="195">
        <f t="shared" si="9"/>
        <v>-62811438570</v>
      </c>
      <c r="U108" s="195">
        <v>584453468</v>
      </c>
      <c r="V108" s="212">
        <f>T108/درآمدها!$F$9</f>
        <v>-1.1608352859978889E-2</v>
      </c>
      <c r="W108" s="267"/>
      <c r="X108" s="200"/>
      <c r="Z108" s="200"/>
      <c r="AA108" s="210"/>
    </row>
    <row r="109" spans="2:30" ht="30" customHeight="1" x14ac:dyDescent="0.25">
      <c r="B109" s="180" t="s">
        <v>156</v>
      </c>
      <c r="C109" s="170"/>
      <c r="D109" s="196">
        <v>0</v>
      </c>
      <c r="E109" s="193"/>
      <c r="F109" s="195">
        <v>0</v>
      </c>
      <c r="G109" s="195"/>
      <c r="H109" s="195">
        <v>0</v>
      </c>
      <c r="I109" s="195"/>
      <c r="J109" s="195">
        <f t="shared" si="6"/>
        <v>0</v>
      </c>
      <c r="K109" s="195"/>
      <c r="L109" s="212">
        <f t="shared" si="8"/>
        <v>0</v>
      </c>
      <c r="M109" s="195"/>
      <c r="N109" s="195">
        <v>0</v>
      </c>
      <c r="O109" s="195"/>
      <c r="P109" s="195">
        <v>0</v>
      </c>
      <c r="Q109" s="195"/>
      <c r="R109" s="195">
        <v>1644814375</v>
      </c>
      <c r="S109" s="195">
        <v>273616390</v>
      </c>
      <c r="T109" s="195">
        <f t="shared" si="9"/>
        <v>1644814375</v>
      </c>
      <c r="U109" s="195">
        <v>3602317932</v>
      </c>
      <c r="V109" s="212">
        <f>T109/درآمدها!$F$9</f>
        <v>3.0398261986766718E-4</v>
      </c>
      <c r="W109" s="267"/>
      <c r="X109" s="200"/>
      <c r="Z109" s="200"/>
      <c r="AA109" s="210"/>
    </row>
    <row r="110" spans="2:30" ht="30" customHeight="1" x14ac:dyDescent="0.25">
      <c r="B110" s="180" t="s">
        <v>237</v>
      </c>
      <c r="C110" s="170"/>
      <c r="D110" s="196">
        <v>0</v>
      </c>
      <c r="E110" s="193"/>
      <c r="F110" s="195">
        <v>0</v>
      </c>
      <c r="G110" s="195"/>
      <c r="H110" s="195">
        <v>0</v>
      </c>
      <c r="I110" s="195"/>
      <c r="J110" s="195">
        <f t="shared" si="6"/>
        <v>0</v>
      </c>
      <c r="K110" s="195"/>
      <c r="L110" s="212">
        <f t="shared" si="8"/>
        <v>0</v>
      </c>
      <c r="M110" s="195"/>
      <c r="N110" s="195">
        <v>0</v>
      </c>
      <c r="O110" s="195"/>
      <c r="P110" s="195">
        <v>0</v>
      </c>
      <c r="Q110" s="195"/>
      <c r="R110" s="195">
        <v>20642293424</v>
      </c>
      <c r="S110" s="195">
        <v>-36917610</v>
      </c>
      <c r="T110" s="195">
        <f t="shared" si="9"/>
        <v>20642293424</v>
      </c>
      <c r="U110" s="195">
        <v>-679942337</v>
      </c>
      <c r="V110" s="212">
        <f>T110/درآمدها!$F$9</f>
        <v>3.8149584114041063E-3</v>
      </c>
      <c r="W110" s="267"/>
      <c r="X110" s="200"/>
      <c r="Z110" s="200"/>
      <c r="AA110" s="210"/>
    </row>
    <row r="111" spans="2:30" ht="30" customHeight="1" x14ac:dyDescent="0.25">
      <c r="B111" s="180" t="s">
        <v>170</v>
      </c>
      <c r="C111" s="170"/>
      <c r="D111" s="196">
        <v>0</v>
      </c>
      <c r="E111" s="193"/>
      <c r="F111" s="195">
        <v>0</v>
      </c>
      <c r="G111" s="195"/>
      <c r="H111" s="195">
        <v>0</v>
      </c>
      <c r="I111" s="195"/>
      <c r="J111" s="195">
        <f t="shared" si="6"/>
        <v>0</v>
      </c>
      <c r="K111" s="195"/>
      <c r="L111" s="212">
        <f t="shared" si="8"/>
        <v>0</v>
      </c>
      <c r="M111" s="195"/>
      <c r="N111" s="195">
        <v>48999951</v>
      </c>
      <c r="O111" s="195"/>
      <c r="P111" s="195">
        <v>0</v>
      </c>
      <c r="Q111" s="195"/>
      <c r="R111" s="195">
        <v>1487118809</v>
      </c>
      <c r="S111" s="195">
        <v>381950449</v>
      </c>
      <c r="T111" s="195">
        <f t="shared" si="9"/>
        <v>1536118760</v>
      </c>
      <c r="U111" s="195">
        <v>-6406708234</v>
      </c>
      <c r="V111" s="212">
        <f>T111/درآمدها!$F$9</f>
        <v>2.8389428751963107E-4</v>
      </c>
      <c r="W111" s="267"/>
      <c r="X111" s="200"/>
      <c r="Z111" s="200"/>
      <c r="AA111" s="210"/>
    </row>
    <row r="112" spans="2:30" ht="30" customHeight="1" x14ac:dyDescent="0.25">
      <c r="B112" s="180" t="s">
        <v>175</v>
      </c>
      <c r="C112" s="170"/>
      <c r="D112" s="196">
        <v>0</v>
      </c>
      <c r="E112" s="193"/>
      <c r="F112" s="195">
        <v>0</v>
      </c>
      <c r="G112" s="195"/>
      <c r="H112" s="195">
        <v>0</v>
      </c>
      <c r="I112" s="195"/>
      <c r="J112" s="195">
        <f t="shared" si="6"/>
        <v>0</v>
      </c>
      <c r="K112" s="195"/>
      <c r="L112" s="212">
        <f t="shared" si="8"/>
        <v>0</v>
      </c>
      <c r="M112" s="195"/>
      <c r="N112" s="195">
        <v>7300000000</v>
      </c>
      <c r="O112" s="195"/>
      <c r="P112" s="195">
        <v>0</v>
      </c>
      <c r="Q112" s="195"/>
      <c r="R112" s="195">
        <v>3171109669</v>
      </c>
      <c r="S112" s="195">
        <v>2034570901</v>
      </c>
      <c r="T112" s="195">
        <f t="shared" si="9"/>
        <v>10471109669</v>
      </c>
      <c r="U112" s="195">
        <v>-38135827</v>
      </c>
      <c r="V112" s="212">
        <f>T112/درآمدها!$F$9</f>
        <v>1.9351942678056185E-3</v>
      </c>
      <c r="W112" s="267"/>
      <c r="X112" s="200"/>
      <c r="Z112" s="200"/>
      <c r="AA112" s="210"/>
    </row>
    <row r="113" spans="2:27" ht="30" customHeight="1" x14ac:dyDescent="0.25">
      <c r="B113" s="180" t="s">
        <v>142</v>
      </c>
      <c r="C113" s="170"/>
      <c r="D113" s="196">
        <v>0</v>
      </c>
      <c r="E113" s="193"/>
      <c r="F113" s="195">
        <v>0</v>
      </c>
      <c r="G113" s="195"/>
      <c r="H113" s="195">
        <v>0</v>
      </c>
      <c r="I113" s="195"/>
      <c r="J113" s="195">
        <f t="shared" si="6"/>
        <v>0</v>
      </c>
      <c r="K113" s="195"/>
      <c r="L113" s="212">
        <f t="shared" si="8"/>
        <v>0</v>
      </c>
      <c r="M113" s="195"/>
      <c r="N113" s="195">
        <v>0</v>
      </c>
      <c r="O113" s="195"/>
      <c r="P113" s="195">
        <v>0</v>
      </c>
      <c r="Q113" s="195"/>
      <c r="R113" s="195">
        <v>1937265303</v>
      </c>
      <c r="S113" s="195">
        <v>-2558077316</v>
      </c>
      <c r="T113" s="195">
        <f t="shared" si="9"/>
        <v>1937265303</v>
      </c>
      <c r="U113" s="195">
        <v>-2724766700</v>
      </c>
      <c r="V113" s="212">
        <f>T113/درآمدها!$F$9</f>
        <v>3.5803127157413739E-4</v>
      </c>
      <c r="W113" s="267"/>
      <c r="X113" s="200"/>
      <c r="Z113" s="200"/>
      <c r="AA113" s="210"/>
    </row>
    <row r="114" spans="2:27" ht="30" customHeight="1" x14ac:dyDescent="0.25">
      <c r="B114" s="180" t="s">
        <v>202</v>
      </c>
      <c r="C114" s="170"/>
      <c r="D114" s="196">
        <v>0</v>
      </c>
      <c r="E114" s="193"/>
      <c r="F114" s="195">
        <v>0</v>
      </c>
      <c r="G114" s="195"/>
      <c r="H114" s="195">
        <v>0</v>
      </c>
      <c r="I114" s="195"/>
      <c r="J114" s="195">
        <f t="shared" si="6"/>
        <v>0</v>
      </c>
      <c r="K114" s="195"/>
      <c r="L114" s="212">
        <f t="shared" si="8"/>
        <v>0</v>
      </c>
      <c r="M114" s="195"/>
      <c r="N114" s="195">
        <v>0</v>
      </c>
      <c r="O114" s="195"/>
      <c r="P114" s="195">
        <v>0</v>
      </c>
      <c r="Q114" s="195"/>
      <c r="R114" s="195">
        <v>1212931406</v>
      </c>
      <c r="S114" s="195">
        <v>-4335963253</v>
      </c>
      <c r="T114" s="195">
        <f t="shared" si="9"/>
        <v>1212931406</v>
      </c>
      <c r="U114" s="195">
        <v>-6227581911</v>
      </c>
      <c r="V114" s="212">
        <f>T114/درآمدها!$F$9</f>
        <v>2.2416515329619068E-4</v>
      </c>
      <c r="W114" s="267"/>
      <c r="X114" s="200"/>
      <c r="Z114" s="200"/>
      <c r="AA114" s="210"/>
    </row>
    <row r="115" spans="2:27" ht="30" customHeight="1" x14ac:dyDescent="0.25">
      <c r="B115" s="180" t="s">
        <v>182</v>
      </c>
      <c r="C115" s="170"/>
      <c r="D115" s="196">
        <v>0</v>
      </c>
      <c r="E115" s="193"/>
      <c r="F115" s="195">
        <v>-9942545400</v>
      </c>
      <c r="G115" s="195"/>
      <c r="H115" s="195">
        <v>0</v>
      </c>
      <c r="I115" s="195"/>
      <c r="J115" s="195">
        <f t="shared" si="6"/>
        <v>-9942545400</v>
      </c>
      <c r="K115" s="195"/>
      <c r="L115" s="212">
        <f t="shared" si="8"/>
        <v>-1.816350058001115E-3</v>
      </c>
      <c r="M115" s="195"/>
      <c r="N115" s="195">
        <v>19800000000</v>
      </c>
      <c r="O115" s="195"/>
      <c r="P115" s="195">
        <v>1085478232</v>
      </c>
      <c r="Q115" s="195"/>
      <c r="R115" s="195">
        <v>6910941668</v>
      </c>
      <c r="S115" s="195">
        <v>4030409699</v>
      </c>
      <c r="T115" s="195">
        <f t="shared" si="9"/>
        <v>27796419900</v>
      </c>
      <c r="U115" s="195">
        <v>-5297936693</v>
      </c>
      <c r="V115" s="212">
        <f>T115/درآمدها!$F$9</f>
        <v>5.1371319904373759E-3</v>
      </c>
      <c r="W115" s="267"/>
      <c r="X115" s="200"/>
      <c r="Z115" s="200"/>
      <c r="AA115" s="210"/>
    </row>
    <row r="116" spans="2:27" ht="30" customHeight="1" x14ac:dyDescent="0.25">
      <c r="B116" s="312" t="s">
        <v>157</v>
      </c>
      <c r="C116" s="12"/>
      <c r="D116" s="196">
        <v>0</v>
      </c>
      <c r="F116" s="195">
        <v>-54077325</v>
      </c>
      <c r="G116" s="195"/>
      <c r="H116" s="195">
        <v>0</v>
      </c>
      <c r="I116" s="195"/>
      <c r="J116" s="195">
        <f t="shared" si="6"/>
        <v>-54077325</v>
      </c>
      <c r="K116" s="195"/>
      <c r="L116" s="207">
        <f t="shared" si="8"/>
        <v>-9.8790951862583536E-6</v>
      </c>
      <c r="M116" s="195"/>
      <c r="N116" s="195">
        <v>1002482</v>
      </c>
      <c r="O116" s="195"/>
      <c r="P116" s="195">
        <v>-52288992</v>
      </c>
      <c r="Q116" s="195"/>
      <c r="R116" s="195">
        <v>151419925</v>
      </c>
      <c r="S116" s="195">
        <v>97323992</v>
      </c>
      <c r="T116" s="195">
        <f t="shared" si="9"/>
        <v>100133415</v>
      </c>
      <c r="U116" s="195">
        <v>-3934274351</v>
      </c>
      <c r="V116" s="212">
        <f>T116/درآمدها!$F$9</f>
        <v>1.850592886993486E-5</v>
      </c>
      <c r="W116" s="211"/>
      <c r="X116" s="200"/>
      <c r="Z116" s="200"/>
      <c r="AA116" s="210"/>
    </row>
    <row r="117" spans="2:27" ht="30" customHeight="1" x14ac:dyDescent="0.25">
      <c r="B117" s="180" t="s">
        <v>141</v>
      </c>
      <c r="C117" s="170"/>
      <c r="D117" s="196">
        <v>0</v>
      </c>
      <c r="E117" s="193"/>
      <c r="F117" s="195">
        <v>-1667013</v>
      </c>
      <c r="G117" s="195"/>
      <c r="H117" s="195">
        <v>0</v>
      </c>
      <c r="I117" s="195"/>
      <c r="J117" s="195">
        <f t="shared" si="6"/>
        <v>-1667013</v>
      </c>
      <c r="K117" s="195"/>
      <c r="L117" s="212">
        <f t="shared" si="8"/>
        <v>-3.045376246648683E-7</v>
      </c>
      <c r="M117" s="195"/>
      <c r="N117" s="195">
        <v>8362000</v>
      </c>
      <c r="O117" s="195"/>
      <c r="P117" s="195">
        <v>-24492082</v>
      </c>
      <c r="Q117" s="195"/>
      <c r="R117" s="195">
        <v>31387040</v>
      </c>
      <c r="S117" s="195">
        <v>29213444160</v>
      </c>
      <c r="T117" s="195">
        <f t="shared" si="9"/>
        <v>15256958</v>
      </c>
      <c r="U117" s="195">
        <v>-24909597740</v>
      </c>
      <c r="V117" s="212">
        <f>T117/درآمدها!$F$9</f>
        <v>2.8196799192315932E-6</v>
      </c>
      <c r="W117" s="267"/>
      <c r="X117" s="200"/>
      <c r="Z117" s="200"/>
      <c r="AA117" s="210"/>
    </row>
    <row r="118" spans="2:27" ht="30" customHeight="1" x14ac:dyDescent="0.25">
      <c r="B118" s="180" t="s">
        <v>179</v>
      </c>
      <c r="C118" s="170"/>
      <c r="D118" s="196">
        <v>0</v>
      </c>
      <c r="E118" s="193"/>
      <c r="F118" s="195">
        <v>0</v>
      </c>
      <c r="G118" s="195"/>
      <c r="H118" s="195">
        <v>0</v>
      </c>
      <c r="I118" s="195"/>
      <c r="J118" s="195">
        <f t="shared" si="6"/>
        <v>0</v>
      </c>
      <c r="K118" s="195"/>
      <c r="L118" s="212">
        <f t="shared" si="8"/>
        <v>0</v>
      </c>
      <c r="M118" s="195"/>
      <c r="N118" s="195">
        <v>9100000000</v>
      </c>
      <c r="O118" s="195"/>
      <c r="P118" s="195">
        <v>0</v>
      </c>
      <c r="Q118" s="195"/>
      <c r="R118" s="195">
        <v>-22038903430</v>
      </c>
      <c r="S118" s="195">
        <v>0</v>
      </c>
      <c r="T118" s="195">
        <f t="shared" si="9"/>
        <v>-12938903430</v>
      </c>
      <c r="U118" s="195"/>
      <c r="V118" s="212">
        <f>T118/درآمدها!$F$9</f>
        <v>-2.3912739471687464E-3</v>
      </c>
      <c r="W118" s="267"/>
      <c r="X118" s="200"/>
      <c r="Z118" s="200"/>
      <c r="AA118" s="210"/>
    </row>
    <row r="119" spans="2:27" ht="30" customHeight="1" x14ac:dyDescent="0.25">
      <c r="B119" s="180" t="s">
        <v>161</v>
      </c>
      <c r="C119" s="170"/>
      <c r="D119" s="196">
        <v>0</v>
      </c>
      <c r="E119" s="193"/>
      <c r="F119" s="195">
        <v>0</v>
      </c>
      <c r="G119" s="195"/>
      <c r="H119" s="195">
        <v>0</v>
      </c>
      <c r="I119" s="195"/>
      <c r="J119" s="195">
        <f t="shared" si="6"/>
        <v>0</v>
      </c>
      <c r="K119" s="195"/>
      <c r="L119" s="212">
        <f t="shared" si="8"/>
        <v>0</v>
      </c>
      <c r="M119" s="195"/>
      <c r="N119" s="195">
        <v>0</v>
      </c>
      <c r="O119" s="195"/>
      <c r="P119" s="195">
        <v>0</v>
      </c>
      <c r="Q119" s="195"/>
      <c r="R119" s="195">
        <v>2476602308</v>
      </c>
      <c r="S119" s="195">
        <v>0</v>
      </c>
      <c r="T119" s="195">
        <f t="shared" si="9"/>
        <v>2476602308</v>
      </c>
      <c r="U119" s="195"/>
      <c r="V119" s="212">
        <f>T119/درآمدها!$F$9</f>
        <v>4.5770761090056203E-4</v>
      </c>
      <c r="W119" s="267"/>
      <c r="Y119" s="190"/>
      <c r="AA119" s="190"/>
    </row>
    <row r="120" spans="2:27" ht="30" customHeight="1" x14ac:dyDescent="0.25">
      <c r="B120" s="180" t="s">
        <v>160</v>
      </c>
      <c r="C120" s="170"/>
      <c r="D120" s="196">
        <v>0</v>
      </c>
      <c r="E120" s="193"/>
      <c r="F120" s="195">
        <v>0</v>
      </c>
      <c r="G120" s="195"/>
      <c r="H120" s="195">
        <v>0</v>
      </c>
      <c r="I120" s="195"/>
      <c r="J120" s="195">
        <f t="shared" si="6"/>
        <v>0</v>
      </c>
      <c r="K120" s="195"/>
      <c r="L120" s="212">
        <f t="shared" si="8"/>
        <v>0</v>
      </c>
      <c r="M120" s="195"/>
      <c r="N120" s="195">
        <v>11100000000</v>
      </c>
      <c r="O120" s="195"/>
      <c r="P120" s="195">
        <v>0</v>
      </c>
      <c r="Q120" s="195"/>
      <c r="R120" s="195">
        <v>-2831281270</v>
      </c>
      <c r="S120" s="195">
        <v>0</v>
      </c>
      <c r="T120" s="195">
        <f t="shared" si="9"/>
        <v>8268718730</v>
      </c>
      <c r="U120" s="195"/>
      <c r="V120" s="212">
        <f>T120/درآمدها!$F$9</f>
        <v>1.5281644060864009E-3</v>
      </c>
      <c r="W120" s="267"/>
      <c r="Y120" s="190"/>
      <c r="AA120" s="190"/>
    </row>
    <row r="121" spans="2:27" ht="30" customHeight="1" x14ac:dyDescent="0.25">
      <c r="B121" s="180" t="s">
        <v>139</v>
      </c>
      <c r="C121" s="170"/>
      <c r="D121" s="196">
        <v>0</v>
      </c>
      <c r="E121" s="193"/>
      <c r="F121" s="195">
        <v>-5288100678</v>
      </c>
      <c r="G121" s="195"/>
      <c r="H121" s="195">
        <v>0</v>
      </c>
      <c r="I121" s="195"/>
      <c r="J121" s="195">
        <f t="shared" si="6"/>
        <v>-5288100678</v>
      </c>
      <c r="K121" s="195"/>
      <c r="L121" s="212">
        <f t="shared" si="8"/>
        <v>-9.6605462552889479E-4</v>
      </c>
      <c r="M121" s="195"/>
      <c r="N121" s="195">
        <v>36750000000</v>
      </c>
      <c r="O121" s="195"/>
      <c r="P121" s="195">
        <v>-3705367448</v>
      </c>
      <c r="Q121" s="195"/>
      <c r="R121" s="195">
        <v>-22758661311</v>
      </c>
      <c r="S121" s="195">
        <v>0</v>
      </c>
      <c r="T121" s="195">
        <f t="shared" si="9"/>
        <v>10285971241</v>
      </c>
      <c r="U121" s="195"/>
      <c r="V121" s="212">
        <f>T121/درآمدها!$F$9</f>
        <v>1.9009783312008443E-3</v>
      </c>
      <c r="W121" s="267"/>
      <c r="Y121" s="190"/>
      <c r="AA121" s="190"/>
    </row>
    <row r="122" spans="2:27" ht="30" customHeight="1" x14ac:dyDescent="0.25">
      <c r="B122" s="180" t="s">
        <v>178</v>
      </c>
      <c r="C122" s="170"/>
      <c r="D122" s="195">
        <v>0</v>
      </c>
      <c r="E122" s="193"/>
      <c r="F122" s="195">
        <v>0</v>
      </c>
      <c r="G122" s="195"/>
      <c r="H122" s="195">
        <v>0</v>
      </c>
      <c r="I122" s="195"/>
      <c r="J122" s="195">
        <f t="shared" si="6"/>
        <v>0</v>
      </c>
      <c r="K122" s="195"/>
      <c r="L122" s="212">
        <f t="shared" si="8"/>
        <v>0</v>
      </c>
      <c r="M122" s="195"/>
      <c r="N122" s="195">
        <v>1500000000</v>
      </c>
      <c r="O122" s="195"/>
      <c r="P122" s="195">
        <v>0</v>
      </c>
      <c r="Q122" s="195"/>
      <c r="R122" s="195">
        <v>-21899317781</v>
      </c>
      <c r="S122" s="195">
        <v>0</v>
      </c>
      <c r="T122" s="195">
        <f t="shared" si="9"/>
        <v>-20399317781</v>
      </c>
      <c r="U122" s="195"/>
      <c r="V122" s="212">
        <f>T122/درآمدها!$F$9</f>
        <v>-3.7700534217312313E-3</v>
      </c>
      <c r="W122" s="267"/>
      <c r="Y122" s="190"/>
      <c r="AA122" s="190"/>
    </row>
    <row r="123" spans="2:27" ht="30" customHeight="1" x14ac:dyDescent="0.25">
      <c r="B123" s="180" t="s">
        <v>198</v>
      </c>
      <c r="C123" s="170"/>
      <c r="D123" s="195">
        <v>0</v>
      </c>
      <c r="E123" s="193"/>
      <c r="F123" s="195">
        <v>0</v>
      </c>
      <c r="G123" s="195"/>
      <c r="H123" s="195">
        <v>0</v>
      </c>
      <c r="I123" s="195"/>
      <c r="J123" s="195">
        <f t="shared" si="6"/>
        <v>0</v>
      </c>
      <c r="K123" s="195"/>
      <c r="L123" s="212">
        <f t="shared" si="8"/>
        <v>0</v>
      </c>
      <c r="M123" s="195"/>
      <c r="N123" s="195">
        <v>0</v>
      </c>
      <c r="O123" s="195"/>
      <c r="P123" s="195">
        <v>0</v>
      </c>
      <c r="Q123" s="195"/>
      <c r="R123" s="195">
        <v>-16706594194</v>
      </c>
      <c r="S123" s="195"/>
      <c r="T123" s="195">
        <f t="shared" si="9"/>
        <v>-16706594194</v>
      </c>
      <c r="U123" s="195"/>
      <c r="V123" s="212">
        <f>T123/درآمدها!$F$9</f>
        <v>-3.0875911284263171E-3</v>
      </c>
      <c r="W123" s="267"/>
      <c r="Y123" s="190"/>
      <c r="AA123" s="190"/>
    </row>
    <row r="124" spans="2:27" ht="30" customHeight="1" x14ac:dyDescent="0.25">
      <c r="B124" s="180" t="s">
        <v>172</v>
      </c>
      <c r="C124" s="170"/>
      <c r="D124" s="195">
        <v>0</v>
      </c>
      <c r="E124" s="193"/>
      <c r="F124" s="195">
        <v>0</v>
      </c>
      <c r="G124" s="195"/>
      <c r="H124" s="195">
        <v>0</v>
      </c>
      <c r="I124" s="195"/>
      <c r="J124" s="195">
        <f t="shared" si="6"/>
        <v>0</v>
      </c>
      <c r="K124" s="195"/>
      <c r="L124" s="212">
        <f t="shared" si="8"/>
        <v>0</v>
      </c>
      <c r="M124" s="195"/>
      <c r="N124" s="195">
        <v>0</v>
      </c>
      <c r="O124" s="195"/>
      <c r="P124" s="195">
        <v>0</v>
      </c>
      <c r="Q124" s="195"/>
      <c r="R124" s="195">
        <v>24903138035</v>
      </c>
      <c r="S124" s="195"/>
      <c r="T124" s="195">
        <f t="shared" si="9"/>
        <v>24903138035</v>
      </c>
      <c r="U124" s="195"/>
      <c r="V124" s="212">
        <f>T124/درآمدها!$F$9</f>
        <v>4.6024166969026213E-3</v>
      </c>
      <c r="W124" s="267"/>
      <c r="Y124" s="190"/>
      <c r="AA124" s="190"/>
    </row>
    <row r="125" spans="2:27" ht="30" customHeight="1" x14ac:dyDescent="0.25">
      <c r="B125" s="180" t="s">
        <v>173</v>
      </c>
      <c r="C125" s="170"/>
      <c r="D125" s="195">
        <v>0</v>
      </c>
      <c r="E125" s="193"/>
      <c r="F125" s="195">
        <v>0</v>
      </c>
      <c r="G125" s="195"/>
      <c r="H125" s="195">
        <v>0</v>
      </c>
      <c r="I125" s="195"/>
      <c r="J125" s="195">
        <f t="shared" si="6"/>
        <v>0</v>
      </c>
      <c r="K125" s="195"/>
      <c r="L125" s="212">
        <f t="shared" si="8"/>
        <v>0</v>
      </c>
      <c r="M125" s="195"/>
      <c r="N125" s="195">
        <v>0</v>
      </c>
      <c r="O125" s="195"/>
      <c r="P125" s="195">
        <v>0</v>
      </c>
      <c r="Q125" s="195"/>
      <c r="R125" s="195">
        <v>-4335963253</v>
      </c>
      <c r="S125" s="195"/>
      <c r="T125" s="195">
        <f t="shared" si="9"/>
        <v>-4335963253</v>
      </c>
      <c r="U125" s="195"/>
      <c r="V125" s="212">
        <f>T125/درآمدها!$F$9</f>
        <v>-8.0134116610992812E-4</v>
      </c>
      <c r="W125" s="267"/>
      <c r="X125" s="190"/>
      <c r="Y125" s="190"/>
      <c r="AA125" s="190"/>
    </row>
    <row r="126" spans="2:27" ht="30" customHeight="1" x14ac:dyDescent="0.25">
      <c r="B126" s="180" t="s">
        <v>162</v>
      </c>
      <c r="C126" s="170"/>
      <c r="D126" s="195">
        <v>0</v>
      </c>
      <c r="E126" s="193"/>
      <c r="F126" s="195">
        <v>0</v>
      </c>
      <c r="G126" s="195"/>
      <c r="H126" s="195">
        <v>0</v>
      </c>
      <c r="I126" s="195"/>
      <c r="J126" s="195">
        <f t="shared" si="6"/>
        <v>0</v>
      </c>
      <c r="K126" s="195"/>
      <c r="L126" s="212">
        <f t="shared" si="8"/>
        <v>0</v>
      </c>
      <c r="M126" s="195"/>
      <c r="N126" s="195">
        <v>0</v>
      </c>
      <c r="O126" s="195"/>
      <c r="P126" s="195">
        <v>0</v>
      </c>
      <c r="Q126" s="195"/>
      <c r="R126" s="195">
        <v>4030409699</v>
      </c>
      <c r="S126" s="195"/>
      <c r="T126" s="195">
        <f t="shared" si="9"/>
        <v>4030409699</v>
      </c>
      <c r="U126" s="195"/>
      <c r="V126" s="212">
        <f>T126/درآمدها!$F$9</f>
        <v>7.4487098244266977E-4</v>
      </c>
      <c r="W126" s="267"/>
      <c r="X126" s="190"/>
      <c r="Y126" s="190"/>
      <c r="AA126" s="190"/>
    </row>
    <row r="127" spans="2:27" ht="30" customHeight="1" x14ac:dyDescent="0.25">
      <c r="B127" s="180" t="s">
        <v>164</v>
      </c>
      <c r="C127" s="170"/>
      <c r="D127" s="195">
        <v>0</v>
      </c>
      <c r="E127" s="193"/>
      <c r="F127" s="195">
        <v>8255686399</v>
      </c>
      <c r="G127" s="195"/>
      <c r="H127" s="195">
        <v>0</v>
      </c>
      <c r="I127" s="195"/>
      <c r="J127" s="195">
        <f t="shared" si="6"/>
        <v>8255686399</v>
      </c>
      <c r="K127" s="195"/>
      <c r="L127" s="212">
        <f t="shared" si="8"/>
        <v>1.5081868743252271E-3</v>
      </c>
      <c r="M127" s="195"/>
      <c r="N127" s="195">
        <v>1160000</v>
      </c>
      <c r="O127" s="195"/>
      <c r="P127" s="195">
        <v>31069675785</v>
      </c>
      <c r="Q127" s="195"/>
      <c r="R127" s="195">
        <v>212276377</v>
      </c>
      <c r="S127" s="195"/>
      <c r="T127" s="195">
        <f t="shared" si="9"/>
        <v>31283112162</v>
      </c>
      <c r="U127" s="195"/>
      <c r="V127" s="212">
        <f>T127/درآمدها!$F$9</f>
        <v>5.7815170739973871E-3</v>
      </c>
      <c r="W127" s="267"/>
      <c r="X127" s="283"/>
      <c r="Y127" s="190"/>
      <c r="AA127" s="190"/>
    </row>
    <row r="128" spans="2:27" ht="30" customHeight="1" x14ac:dyDescent="0.25">
      <c r="B128" s="180" t="s">
        <v>111</v>
      </c>
      <c r="C128" s="170"/>
      <c r="D128" s="195">
        <v>0</v>
      </c>
      <c r="E128" s="193"/>
      <c r="F128" s="195">
        <v>0</v>
      </c>
      <c r="G128" s="195"/>
      <c r="H128" s="195">
        <v>0</v>
      </c>
      <c r="I128" s="195"/>
      <c r="J128" s="195">
        <f t="shared" si="6"/>
        <v>0</v>
      </c>
      <c r="K128" s="195"/>
      <c r="L128" s="212">
        <f t="shared" si="8"/>
        <v>0</v>
      </c>
      <c r="M128" s="195"/>
      <c r="N128" s="195">
        <v>0</v>
      </c>
      <c r="O128" s="278"/>
      <c r="P128" s="266">
        <v>3610539</v>
      </c>
      <c r="Q128" s="266"/>
      <c r="R128" s="266">
        <v>97323992</v>
      </c>
      <c r="S128" s="266"/>
      <c r="T128" s="195">
        <f t="shared" si="9"/>
        <v>100934531</v>
      </c>
      <c r="U128" s="195"/>
      <c r="V128" s="212">
        <f>T128/درآمدها!$F$9</f>
        <v>1.8653985297577586E-5</v>
      </c>
      <c r="W128" s="267"/>
      <c r="Y128" s="190"/>
      <c r="AA128" s="190"/>
    </row>
    <row r="129" spans="2:27" ht="30" customHeight="1" x14ac:dyDescent="0.25">
      <c r="B129" s="180" t="s">
        <v>169</v>
      </c>
      <c r="C129" s="170"/>
      <c r="D129" s="195">
        <v>0</v>
      </c>
      <c r="E129" s="193"/>
      <c r="F129" s="195">
        <v>0</v>
      </c>
      <c r="G129" s="195"/>
      <c r="H129" s="195">
        <v>0</v>
      </c>
      <c r="I129" s="195"/>
      <c r="J129" s="195">
        <f t="shared" si="6"/>
        <v>0</v>
      </c>
      <c r="K129" s="195"/>
      <c r="L129" s="212">
        <f t="shared" si="8"/>
        <v>0</v>
      </c>
      <c r="M129" s="195"/>
      <c r="N129" s="195">
        <v>0</v>
      </c>
      <c r="O129" s="195"/>
      <c r="P129" s="195">
        <v>0</v>
      </c>
      <c r="Q129" s="195"/>
      <c r="R129" s="195">
        <v>29213444159</v>
      </c>
      <c r="S129" s="195"/>
      <c r="T129" s="195">
        <f t="shared" si="9"/>
        <v>29213444159</v>
      </c>
      <c r="U129" s="195"/>
      <c r="V129" s="212">
        <f>T129/درآمدها!$F$9</f>
        <v>5.3990160991939399E-3</v>
      </c>
      <c r="W129" s="267"/>
      <c r="Y129" s="190"/>
      <c r="AA129" s="190"/>
    </row>
    <row r="130" spans="2:27" ht="30" customHeight="1" x14ac:dyDescent="0.25">
      <c r="B130" s="180" t="s">
        <v>195</v>
      </c>
      <c r="C130" s="170"/>
      <c r="D130" s="195">
        <v>0</v>
      </c>
      <c r="E130" s="193"/>
      <c r="F130" s="195">
        <v>0</v>
      </c>
      <c r="G130" s="195"/>
      <c r="H130" s="195">
        <v>0</v>
      </c>
      <c r="I130" s="195"/>
      <c r="J130" s="195">
        <f t="shared" si="6"/>
        <v>0</v>
      </c>
      <c r="K130" s="195"/>
      <c r="L130" s="212">
        <f t="shared" si="8"/>
        <v>0</v>
      </c>
      <c r="M130" s="195"/>
      <c r="N130" s="195">
        <v>480000000</v>
      </c>
      <c r="O130" s="195"/>
      <c r="P130" s="195">
        <v>0</v>
      </c>
      <c r="Q130" s="195"/>
      <c r="R130" s="195">
        <v>-17593967988</v>
      </c>
      <c r="S130" s="195"/>
      <c r="T130" s="195">
        <f t="shared" si="9"/>
        <v>-17113967988</v>
      </c>
      <c r="U130" s="195"/>
      <c r="V130" s="212">
        <f>T130/درآمدها!$F$9</f>
        <v>-3.1628789876812871E-3</v>
      </c>
      <c r="W130" s="267"/>
      <c r="Y130" s="190"/>
      <c r="AA130" s="190"/>
    </row>
    <row r="131" spans="2:27" ht="30" customHeight="1" x14ac:dyDescent="0.25">
      <c r="B131" s="180" t="s">
        <v>258</v>
      </c>
      <c r="C131" s="170"/>
      <c r="D131" s="195">
        <v>0</v>
      </c>
      <c r="E131" s="193"/>
      <c r="F131" s="195">
        <v>-9242873976</v>
      </c>
      <c r="G131" s="195"/>
      <c r="H131" s="195">
        <v>0</v>
      </c>
      <c r="I131" s="195"/>
      <c r="J131" s="195">
        <f t="shared" si="6"/>
        <v>-9242873976</v>
      </c>
      <c r="K131" s="195"/>
      <c r="L131" s="212">
        <f t="shared" si="8"/>
        <v>-1.6885308547250483E-3</v>
      </c>
      <c r="M131" s="195"/>
      <c r="N131" s="195">
        <v>0</v>
      </c>
      <c r="O131" s="195"/>
      <c r="P131" s="195">
        <v>-9757028616</v>
      </c>
      <c r="Q131" s="195"/>
      <c r="R131" s="195">
        <v>0</v>
      </c>
      <c r="S131" s="195"/>
      <c r="T131" s="195">
        <f t="shared" si="9"/>
        <v>-9757028616</v>
      </c>
      <c r="U131" s="195"/>
      <c r="V131" s="212">
        <f>T131/درآمدها!$F$9</f>
        <v>-1.8032230055233308E-3</v>
      </c>
      <c r="W131" s="267"/>
      <c r="Y131" s="190"/>
      <c r="AA131" s="190"/>
    </row>
    <row r="132" spans="2:27" ht="30" customHeight="1" x14ac:dyDescent="0.25">
      <c r="B132" s="180" t="s">
        <v>275</v>
      </c>
      <c r="C132" s="170"/>
      <c r="D132" s="195">
        <v>0</v>
      </c>
      <c r="E132" s="193"/>
      <c r="F132" s="195">
        <v>1373375999</v>
      </c>
      <c r="G132" s="195"/>
      <c r="H132" s="195">
        <v>0</v>
      </c>
      <c r="I132" s="195"/>
      <c r="J132" s="195">
        <f t="shared" si="6"/>
        <v>1373375999</v>
      </c>
      <c r="K132" s="195"/>
      <c r="L132" s="212">
        <f t="shared" si="8"/>
        <v>2.5089466279339183E-4</v>
      </c>
      <c r="M132" s="195"/>
      <c r="N132" s="195">
        <v>0</v>
      </c>
      <c r="O132" s="195"/>
      <c r="P132" s="195">
        <v>1373375999</v>
      </c>
      <c r="Q132" s="195"/>
      <c r="R132" s="195">
        <v>0</v>
      </c>
      <c r="S132" s="195"/>
      <c r="T132" s="195">
        <f t="shared" si="9"/>
        <v>1373375999</v>
      </c>
      <c r="U132" s="195"/>
      <c r="V132" s="212">
        <f>T132/درآمدها!$F$9</f>
        <v>2.5381735506743405E-4</v>
      </c>
      <c r="W132" s="267"/>
      <c r="Y132" s="190"/>
      <c r="AA132" s="190"/>
    </row>
    <row r="133" spans="2:27" ht="30" customHeight="1" thickBot="1" x14ac:dyDescent="0.3">
      <c r="B133" s="180" t="s">
        <v>273</v>
      </c>
      <c r="C133" s="170"/>
      <c r="D133" s="196">
        <v>0</v>
      </c>
      <c r="E133" s="193"/>
      <c r="F133" s="195">
        <v>260956179</v>
      </c>
      <c r="G133" s="195"/>
      <c r="H133" s="195">
        <v>0</v>
      </c>
      <c r="I133" s="195"/>
      <c r="J133" s="195">
        <f>D133+F133+H133</f>
        <v>260956179</v>
      </c>
      <c r="K133" s="195"/>
      <c r="L133" s="212">
        <f t="shared" si="8"/>
        <v>4.7672678553964597E-5</v>
      </c>
      <c r="M133" s="195"/>
      <c r="N133" s="195">
        <v>0</v>
      </c>
      <c r="O133" s="195"/>
      <c r="P133" s="195">
        <v>260956182</v>
      </c>
      <c r="Q133" s="195"/>
      <c r="R133" s="195">
        <v>0</v>
      </c>
      <c r="S133" s="195">
        <v>0</v>
      </c>
      <c r="T133" s="195">
        <f>N133+P133+R133</f>
        <v>260956182</v>
      </c>
      <c r="U133" s="195"/>
      <c r="V133" s="212">
        <f>T133/درآمدها!$F$9</f>
        <v>4.8228022007057038E-5</v>
      </c>
      <c r="W133" s="267"/>
      <c r="Y133" s="190"/>
      <c r="AA133" s="190"/>
    </row>
    <row r="134" spans="2:27" ht="30" customHeight="1" thickBot="1" x14ac:dyDescent="0.3">
      <c r="B134" s="202" t="s">
        <v>7</v>
      </c>
      <c r="D134" s="61">
        <f>SUM(D95:D133)</f>
        <v>22468488250</v>
      </c>
      <c r="F134" s="61">
        <f>SUM(F95:F133)</f>
        <v>1699588340162</v>
      </c>
      <c r="G134" s="197"/>
      <c r="H134" s="61">
        <f>SUM(H95:H133)</f>
        <v>693250368926</v>
      </c>
      <c r="I134" s="197"/>
      <c r="J134" s="61">
        <f>SUM(J95:J133)</f>
        <v>2415307197338</v>
      </c>
      <c r="K134" s="61"/>
      <c r="L134" s="108">
        <f>SUM(L95:L133)</f>
        <v>0.44123946046807955</v>
      </c>
      <c r="M134" s="197"/>
      <c r="N134" s="61">
        <f>SUM(N95:N133)</f>
        <v>639072418665</v>
      </c>
      <c r="O134" s="197"/>
      <c r="P134" s="61">
        <f>SUM(P95:P133)</f>
        <v>4039317165278</v>
      </c>
      <c r="Q134" s="197"/>
      <c r="R134" s="61">
        <f>SUM(R95:R133)</f>
        <v>702702202793</v>
      </c>
      <c r="S134" s="197"/>
      <c r="T134" s="61">
        <f>SUM(T95:T133)</f>
        <v>5381091786736</v>
      </c>
      <c r="U134" s="61"/>
      <c r="V134" s="314">
        <f>SUM(V95:V133)</f>
        <v>0.99449421402363192</v>
      </c>
      <c r="W134" s="210"/>
      <c r="X134" s="190"/>
      <c r="Y134" s="190"/>
      <c r="AA134" s="190"/>
    </row>
    <row r="135" spans="2:27" ht="30" customHeight="1" thickTop="1" x14ac:dyDescent="0.55000000000000004">
      <c r="B135" s="202"/>
      <c r="D135" s="279"/>
      <c r="F135" s="102"/>
      <c r="G135" s="197"/>
      <c r="H135" s="93"/>
      <c r="I135" s="197"/>
      <c r="J135" s="279"/>
      <c r="K135" s="279"/>
      <c r="L135" s="127"/>
      <c r="M135" s="197"/>
      <c r="N135" s="279"/>
      <c r="O135" s="197"/>
      <c r="P135" s="259"/>
      <c r="Q135" s="279"/>
      <c r="R135" s="279"/>
      <c r="S135" s="197"/>
      <c r="T135" s="279"/>
      <c r="U135" s="279"/>
      <c r="V135" s="127"/>
      <c r="X135" s="190"/>
      <c r="Y135" s="190"/>
      <c r="AA135" s="190"/>
    </row>
    <row r="136" spans="2:27" ht="30" customHeight="1" x14ac:dyDescent="0.55000000000000004">
      <c r="B136" s="202"/>
      <c r="D136" s="279"/>
      <c r="F136" s="279"/>
      <c r="G136" s="197"/>
      <c r="H136" s="93"/>
      <c r="I136" s="197"/>
      <c r="J136" s="210"/>
      <c r="K136" s="279"/>
      <c r="L136" s="127"/>
      <c r="M136" s="197"/>
      <c r="N136" s="279"/>
      <c r="O136" s="197"/>
      <c r="P136" s="279"/>
      <c r="Q136" s="197"/>
      <c r="R136" s="279"/>
      <c r="S136" s="197"/>
      <c r="T136" s="279"/>
      <c r="U136" s="279"/>
      <c r="V136" s="127"/>
      <c r="X136" s="190"/>
      <c r="Y136" s="190"/>
      <c r="AA136" s="190"/>
    </row>
    <row r="137" spans="2:27" ht="30" customHeight="1" x14ac:dyDescent="0.55000000000000004">
      <c r="B137" s="202"/>
      <c r="D137" s="279"/>
      <c r="E137" s="279"/>
      <c r="F137" s="279"/>
      <c r="G137" s="279"/>
      <c r="H137" s="93"/>
      <c r="I137" s="279"/>
      <c r="J137" s="279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127"/>
      <c r="X137" s="190"/>
      <c r="Y137" s="190"/>
      <c r="AA137" s="190"/>
    </row>
    <row r="138" spans="2:27" ht="30" customHeight="1" x14ac:dyDescent="0.55000000000000004">
      <c r="B138" s="202"/>
      <c r="D138" s="279"/>
      <c r="F138" s="279"/>
      <c r="G138" s="197"/>
      <c r="H138" s="93"/>
      <c r="I138" s="197"/>
      <c r="J138" s="279"/>
      <c r="K138" s="279"/>
      <c r="L138" s="127"/>
      <c r="M138" s="197"/>
      <c r="N138" s="279"/>
      <c r="O138" s="197"/>
      <c r="P138" s="279"/>
      <c r="Q138" s="197"/>
      <c r="R138" s="279"/>
      <c r="S138" s="197"/>
      <c r="T138" s="279"/>
      <c r="U138" s="279"/>
      <c r="V138" s="127"/>
      <c r="X138" s="190"/>
      <c r="Y138" s="190"/>
      <c r="AA138" s="190"/>
    </row>
    <row r="139" spans="2:27" ht="30" customHeight="1" x14ac:dyDescent="0.25">
      <c r="B139" s="197"/>
      <c r="C139" s="279"/>
      <c r="D139" s="197"/>
      <c r="E139" s="279"/>
      <c r="F139" s="279"/>
      <c r="G139" s="127"/>
      <c r="H139" s="305"/>
      <c r="I139" s="279"/>
      <c r="J139" s="302"/>
      <c r="K139" s="279"/>
      <c r="L139" s="197"/>
      <c r="M139" s="279"/>
      <c r="N139" s="197"/>
      <c r="O139" s="279"/>
      <c r="P139" s="279"/>
      <c r="Q139" s="127"/>
      <c r="R139" s="311"/>
      <c r="S139" s="190"/>
      <c r="T139" s="190"/>
      <c r="U139" s="188"/>
      <c r="V139" s="190"/>
    </row>
    <row r="140" spans="2:27" ht="36" hidden="1" customHeight="1" x14ac:dyDescent="0.25">
      <c r="B140" s="188"/>
      <c r="C140" s="215">
        <v>-141115264157</v>
      </c>
      <c r="I140" s="190"/>
      <c r="K140" s="190"/>
      <c r="M140" s="190"/>
      <c r="O140" s="102"/>
      <c r="P140" s="102"/>
      <c r="Q140" s="216"/>
      <c r="S140" s="190"/>
      <c r="T140" s="190"/>
      <c r="U140" s="188"/>
      <c r="V140" s="190"/>
    </row>
    <row r="141" spans="2:27" ht="36" hidden="1" customHeight="1" x14ac:dyDescent="0.25">
      <c r="B141" s="188"/>
      <c r="C141" s="215">
        <v>495943397</v>
      </c>
      <c r="I141" s="190"/>
      <c r="K141" s="190"/>
      <c r="M141" s="190"/>
      <c r="O141" s="102"/>
      <c r="P141" s="102"/>
      <c r="Q141" s="216"/>
      <c r="S141" s="190"/>
      <c r="T141" s="190"/>
      <c r="U141" s="188"/>
      <c r="V141" s="190"/>
    </row>
    <row r="142" spans="2:27" ht="36" hidden="1" customHeight="1" x14ac:dyDescent="0.25">
      <c r="B142" s="188"/>
      <c r="C142" s="215">
        <v>3262800118</v>
      </c>
      <c r="E142" s="210"/>
      <c r="F142" s="210"/>
      <c r="G142" s="210"/>
      <c r="I142" s="150"/>
      <c r="J142" s="60"/>
      <c r="K142" s="286"/>
      <c r="L142" s="60"/>
      <c r="M142" s="60"/>
      <c r="N142" s="60"/>
      <c r="O142" s="60"/>
      <c r="P142" s="102"/>
      <c r="Q142" s="207"/>
      <c r="S142" s="190"/>
      <c r="T142" s="190"/>
      <c r="U142" s="188"/>
      <c r="V142" s="190"/>
    </row>
    <row r="143" spans="2:27" ht="30" customHeight="1" x14ac:dyDescent="0.25">
      <c r="B143" s="190"/>
      <c r="C143" s="215">
        <f>C140-C141-C142</f>
        <v>-144874007672</v>
      </c>
      <c r="G143" s="287">
        <v>1917901671716</v>
      </c>
      <c r="I143" s="190"/>
      <c r="J143" s="190"/>
      <c r="K143" s="190"/>
      <c r="L143" s="190"/>
      <c r="M143" s="190"/>
      <c r="N143" s="190"/>
      <c r="O143" s="190"/>
      <c r="P143" s="102"/>
      <c r="Q143" s="288"/>
      <c r="T143" s="190"/>
      <c r="U143" s="188"/>
      <c r="V143" s="190"/>
    </row>
    <row r="144" spans="2:27" ht="60" customHeight="1" x14ac:dyDescent="0.25">
      <c r="B144" s="188"/>
      <c r="C144" s="215">
        <f>H134-C143</f>
        <v>838124376598</v>
      </c>
      <c r="G144" s="190"/>
      <c r="I144" s="286"/>
      <c r="J144" s="210"/>
      <c r="K144" s="210"/>
      <c r="M144" s="190"/>
      <c r="O144" s="102"/>
      <c r="P144" s="102"/>
      <c r="Q144" s="207"/>
      <c r="T144" s="190"/>
      <c r="U144" s="188"/>
      <c r="V144" s="190"/>
    </row>
    <row r="145" spans="2:29" ht="36" customHeight="1" x14ac:dyDescent="0.25">
      <c r="B145" s="188"/>
      <c r="C145" s="218"/>
      <c r="D145" s="210"/>
      <c r="E145" s="210"/>
      <c r="H145" s="210"/>
      <c r="I145" s="190"/>
      <c r="K145" s="210"/>
      <c r="M145" s="289"/>
      <c r="O145" s="102"/>
      <c r="P145" s="102"/>
      <c r="Q145" s="207"/>
      <c r="R145" s="210"/>
      <c r="T145" s="190"/>
      <c r="U145" s="188"/>
      <c r="V145" s="190"/>
    </row>
    <row r="146" spans="2:29" ht="36" customHeight="1" x14ac:dyDescent="0.25">
      <c r="F146" s="190"/>
      <c r="H146" s="217"/>
      <c r="N146" s="190"/>
      <c r="P146" s="210"/>
      <c r="R146" s="217"/>
      <c r="Y146" s="190"/>
      <c r="AA146" s="190"/>
    </row>
    <row r="147" spans="2:29" ht="36" customHeight="1" x14ac:dyDescent="0.25">
      <c r="D147" s="190"/>
      <c r="J147" s="255"/>
      <c r="K147" s="255"/>
      <c r="L147" s="255"/>
      <c r="P147" s="211"/>
      <c r="Y147" s="190"/>
      <c r="AA147" s="190"/>
    </row>
    <row r="148" spans="2:29" ht="36" customHeight="1" x14ac:dyDescent="0.25">
      <c r="N148" s="190"/>
      <c r="Y148" s="190"/>
      <c r="AA148" s="190"/>
    </row>
    <row r="149" spans="2:29" ht="36" customHeight="1" x14ac:dyDescent="0.25">
      <c r="H149" s="261"/>
      <c r="J149" s="261"/>
      <c r="Y149" s="190"/>
      <c r="AA149" s="190"/>
    </row>
    <row r="150" spans="2:29" ht="36" customHeight="1" x14ac:dyDescent="0.25">
      <c r="N150" s="190"/>
      <c r="AC150" s="190"/>
    </row>
    <row r="151" spans="2:29" ht="36" customHeight="1" x14ac:dyDescent="0.25">
      <c r="N151" s="190"/>
      <c r="AA151" s="190"/>
      <c r="AC151" s="190"/>
    </row>
    <row r="152" spans="2:29" ht="36" customHeight="1" x14ac:dyDescent="0.25">
      <c r="AA152" s="190"/>
    </row>
    <row r="153" spans="2:29" ht="36" customHeight="1" x14ac:dyDescent="0.25">
      <c r="AA153" s="190"/>
    </row>
    <row r="154" spans="2:29" ht="36" customHeight="1" x14ac:dyDescent="0.25">
      <c r="AA154" s="190"/>
    </row>
  </sheetData>
  <mergeCells count="63">
    <mergeCell ref="H92:H93"/>
    <mergeCell ref="I92:I94"/>
    <mergeCell ref="J92:L93"/>
    <mergeCell ref="C92:C94"/>
    <mergeCell ref="D92:D93"/>
    <mergeCell ref="E92:E94"/>
    <mergeCell ref="F92:F93"/>
    <mergeCell ref="G92:G94"/>
    <mergeCell ref="M92:M94"/>
    <mergeCell ref="S92:S94"/>
    <mergeCell ref="T92:V93"/>
    <mergeCell ref="N92:N93"/>
    <mergeCell ref="Q50:Q52"/>
    <mergeCell ref="R50:R51"/>
    <mergeCell ref="S50:S52"/>
    <mergeCell ref="T50:V51"/>
    <mergeCell ref="O92:O94"/>
    <mergeCell ref="P92:P93"/>
    <mergeCell ref="Q92:Q94"/>
    <mergeCell ref="R92:R93"/>
    <mergeCell ref="B89:V89"/>
    <mergeCell ref="D91:J91"/>
    <mergeCell ref="N91:V91"/>
    <mergeCell ref="B92:B94"/>
    <mergeCell ref="B47:V47"/>
    <mergeCell ref="D49:J49"/>
    <mergeCell ref="N49:V49"/>
    <mergeCell ref="B50:B52"/>
    <mergeCell ref="C50:C52"/>
    <mergeCell ref="D50:D51"/>
    <mergeCell ref="E50:E52"/>
    <mergeCell ref="F50:F51"/>
    <mergeCell ref="G50:G52"/>
    <mergeCell ref="H50:H51"/>
    <mergeCell ref="I50:I52"/>
    <mergeCell ref="J50:L51"/>
    <mergeCell ref="M50:M52"/>
    <mergeCell ref="N50:N51"/>
    <mergeCell ref="O50:O52"/>
    <mergeCell ref="P50:P51"/>
    <mergeCell ref="B1:V1"/>
    <mergeCell ref="B2:V2"/>
    <mergeCell ref="B3:V3"/>
    <mergeCell ref="D8:D9"/>
    <mergeCell ref="F8:F9"/>
    <mergeCell ref="H8:H9"/>
    <mergeCell ref="N8:N9"/>
    <mergeCell ref="P8:P9"/>
    <mergeCell ref="R8:R9"/>
    <mergeCell ref="T8:V9"/>
    <mergeCell ref="B5:V5"/>
    <mergeCell ref="O8:O10"/>
    <mergeCell ref="Q8:Q10"/>
    <mergeCell ref="S8:S10"/>
    <mergeCell ref="I8:I10"/>
    <mergeCell ref="N7:V7"/>
    <mergeCell ref="D7:J7"/>
    <mergeCell ref="M8:M10"/>
    <mergeCell ref="B8:B10"/>
    <mergeCell ref="C8:C10"/>
    <mergeCell ref="E8:E10"/>
    <mergeCell ref="G8:G10"/>
    <mergeCell ref="J8:L9"/>
  </mergeCells>
  <hyperlinks>
    <hyperlink ref="D10" location="'درآمد سود سهام'!A1" display="یادداشت 2-1-1" xr:uid="{00000000-0004-0000-0700-000000000000}"/>
    <hyperlink ref="F10" location="'درآمد ناشی از تغییر قیمت اوراق '!A1" display="یادداشت 2-1-2" xr:uid="{00000000-0004-0000-0700-000001000000}"/>
    <hyperlink ref="H10" location="'درآمد ناشی ازفروش'!A1" display="یادداشت 2-1-3" xr:uid="{00000000-0004-0000-0700-000002000000}"/>
    <hyperlink ref="N10" location="'درآمد سود سهام'!A1" display="یادداشت 2-1-1" xr:uid="{00000000-0004-0000-0700-000003000000}"/>
    <hyperlink ref="P10" location="'درآمد ناشی از تغییر قیمت اوراق '!A1" display="یادداشت 2-1-2" xr:uid="{00000000-0004-0000-0700-000004000000}"/>
    <hyperlink ref="R10" location="'درآمد ناشی ازفروش'!A1" display="یادداشت 2-1-3" xr:uid="{00000000-0004-0000-0700-000005000000}"/>
    <hyperlink ref="D52" location="'درآمد سود سهام'!A1" display="یادداشت 2-1-1" xr:uid="{C29E9584-DC28-41C8-8572-B12D440A3192}"/>
    <hyperlink ref="F52" location="'درآمد ناشی از تغییر قیمت اوراق '!A1" display="یادداشت 2-1-2" xr:uid="{384BA02F-CB0B-4C65-AEE4-36269CB76D02}"/>
    <hyperlink ref="H52" location="'درآمد ناشی ازفروش'!A1" display="یادداشت 2-1-3" xr:uid="{041BB4EF-9906-4BFF-8F1E-3D496F8C9415}"/>
    <hyperlink ref="N52" location="'درآمد سود سهام'!A1" display="یادداشت 2-1-1" xr:uid="{6D501F35-BF50-437E-B739-EC9C8B570AA4}"/>
    <hyperlink ref="P52" location="'درآمد ناشی از تغییر قیمت اوراق '!A1" display="یادداشت 2-1-2" xr:uid="{8ECD3202-B22F-4D88-89D4-4F245E391B5B}"/>
    <hyperlink ref="R52" location="'درآمد ناشی ازفروش'!A1" display="یادداشت 2-1-3" xr:uid="{87B03CE5-6A66-43F9-A2C2-FEC8A0128AB9}"/>
    <hyperlink ref="D94" location="'درآمد سود سهام'!A1" display="یادداشت 2-1-1" xr:uid="{CF8085A2-6FA9-4EB4-BFCD-DC18334142B2}"/>
    <hyperlink ref="F94" location="'درآمد ناشی از تغییر قیمت اوراق '!A1" display="یادداشت 2-1-2" xr:uid="{CBB77952-CA42-4DDA-8A5D-FEA17F792437}"/>
    <hyperlink ref="H94" location="'درآمد ناشی ازفروش'!A1" display="یادداشت 2-1-3" xr:uid="{712A21DE-6CA2-4FF9-9699-E92B69F9E018}"/>
    <hyperlink ref="N94" location="'درآمد سود سهام'!A1" display="یادداشت 2-1-1" xr:uid="{665F5D3B-78CF-4008-9451-267047ED79DB}"/>
    <hyperlink ref="P94" location="'درآمد ناشی از تغییر قیمت اوراق '!A1" display="یادداشت 2-1-2" xr:uid="{83929033-AD49-4AE8-BB73-952F5EC8DD29}"/>
    <hyperlink ref="R94" location="'درآمد ناشی ازفروش'!A1" display="یادداشت 2-1-3" xr:uid="{0B288B5E-816F-4862-8B30-E002862EE8A3}"/>
  </hyperlinks>
  <printOptions horizontalCentered="1"/>
  <pageMargins left="0.7" right="0.7" top="0.75" bottom="0.75" header="0.3" footer="0.3"/>
  <pageSetup paperSize="9" scale="31" orientation="landscape" r:id="rId1"/>
  <headerFooter>
    <oddFooter>&amp;C&amp;P</oddFooter>
  </headerFooter>
  <rowBreaks count="2" manualBreakCount="2">
    <brk id="46" max="21" man="1"/>
    <brk id="88" max="2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B1:AH76"/>
  <sheetViews>
    <sheetView rightToLeft="1" view="pageBreakPreview" zoomScaleNormal="85" zoomScaleSheetLayoutView="100" workbookViewId="0">
      <selection activeCell="T82" sqref="T82"/>
    </sheetView>
  </sheetViews>
  <sheetFormatPr defaultColWidth="9.140625" defaultRowHeight="22.5" x14ac:dyDescent="0.25"/>
  <cols>
    <col min="1" max="1" width="4.140625" style="12" customWidth="1"/>
    <col min="2" max="2" width="30.7109375" style="202" bestFit="1" customWidth="1"/>
    <col min="3" max="3" width="0.85546875" style="12" customWidth="1"/>
    <col min="4" max="4" width="12.7109375" style="12" customWidth="1"/>
    <col min="5" max="5" width="1" style="12" customWidth="1"/>
    <col min="6" max="6" width="16.7109375" style="116" bestFit="1" customWidth="1"/>
    <col min="7" max="7" width="1" style="12" customWidth="1"/>
    <col min="8" max="8" width="9.7109375" style="116" bestFit="1" customWidth="1"/>
    <col min="9" max="9" width="0.85546875" style="12" customWidth="1"/>
    <col min="10" max="10" width="20.7109375" style="116" bestFit="1" customWidth="1"/>
    <col min="11" max="11" width="1" style="12" customWidth="1"/>
    <col min="12" max="12" width="20" style="116" bestFit="1" customWidth="1"/>
    <col min="13" max="13" width="1.140625" style="12" customWidth="1"/>
    <col min="14" max="14" width="21.7109375" style="116" bestFit="1" customWidth="1"/>
    <col min="15" max="15" width="0.85546875" style="12" customWidth="1"/>
    <col min="16" max="16" width="20.7109375" style="116" bestFit="1" customWidth="1"/>
    <col min="17" max="17" width="1" style="12" customWidth="1"/>
    <col min="18" max="18" width="19.28515625" style="116" customWidth="1"/>
    <col min="19" max="19" width="0.7109375" style="12" customWidth="1"/>
    <col min="20" max="20" width="21.85546875" style="116" bestFit="1" customWidth="1"/>
    <col min="21" max="21" width="1.7109375" style="12" customWidth="1"/>
    <col min="22" max="22" width="21.42578125" style="12" bestFit="1" customWidth="1"/>
    <col min="23" max="23" width="19.28515625" style="12" bestFit="1" customWidth="1"/>
    <col min="24" max="28" width="18.140625" style="12" customWidth="1"/>
    <col min="29" max="29" width="14.85546875" style="12" bestFit="1" customWidth="1"/>
    <col min="30" max="30" width="56.5703125" style="12" customWidth="1"/>
    <col min="31" max="31" width="28.7109375" style="12" customWidth="1"/>
    <col min="32" max="32" width="18" style="12" bestFit="1" customWidth="1"/>
    <col min="33" max="33" width="18.42578125" style="12" bestFit="1" customWidth="1"/>
    <col min="34" max="34" width="18.7109375" style="12" bestFit="1" customWidth="1"/>
    <col min="35" max="36" width="9.140625" style="12"/>
    <col min="37" max="37" width="20.7109375" style="12" bestFit="1" customWidth="1"/>
    <col min="38" max="16384" width="9.140625" style="12"/>
  </cols>
  <sheetData>
    <row r="1" spans="2:33" ht="24" x14ac:dyDescent="0.25">
      <c r="B1" s="376" t="str">
        <f>درآمدها!A1</f>
        <v>صندوق سرمایه گذاری شاخص سی شرکت بزرگ فیروزه</v>
      </c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88"/>
      <c r="O1" s="376"/>
      <c r="P1" s="388"/>
      <c r="Q1" s="376"/>
      <c r="R1" s="388"/>
      <c r="S1" s="376"/>
      <c r="T1" s="388"/>
    </row>
    <row r="2" spans="2:33" ht="24" x14ac:dyDescent="0.25">
      <c r="B2" s="376" t="s">
        <v>87</v>
      </c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88"/>
      <c r="O2" s="376"/>
      <c r="P2" s="388"/>
      <c r="Q2" s="376"/>
      <c r="R2" s="388"/>
      <c r="S2" s="376"/>
      <c r="T2" s="388"/>
    </row>
    <row r="3" spans="2:33" ht="24" x14ac:dyDescent="0.25">
      <c r="B3" s="376" t="str">
        <f>' سهام'!AC6</f>
        <v>برای ماه منتهی به 1404/10/30</v>
      </c>
      <c r="C3" s="376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88"/>
      <c r="O3" s="376"/>
      <c r="P3" s="388"/>
      <c r="Q3" s="376"/>
      <c r="R3" s="388"/>
      <c r="S3" s="376"/>
      <c r="T3" s="388"/>
    </row>
    <row r="4" spans="2:33" ht="24" x14ac:dyDescent="0.25">
      <c r="B4" s="132" t="s">
        <v>96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20"/>
      <c r="O4" s="177"/>
      <c r="P4" s="120"/>
      <c r="Q4" s="177"/>
      <c r="R4" s="120"/>
      <c r="S4" s="177"/>
      <c r="T4" s="120"/>
      <c r="U4" s="177"/>
      <c r="V4" s="177"/>
      <c r="W4" s="177"/>
      <c r="AG4" s="12" t="s">
        <v>220</v>
      </c>
    </row>
    <row r="5" spans="2:33" ht="21" customHeight="1" thickBot="1" x14ac:dyDescent="0.3">
      <c r="D5" s="386" t="s">
        <v>71</v>
      </c>
      <c r="E5" s="386"/>
      <c r="F5" s="386"/>
      <c r="G5" s="386"/>
      <c r="H5" s="386"/>
      <c r="J5" s="386" t="str">
        <f>' سهام'!AC7</f>
        <v>طی دی ماه</v>
      </c>
      <c r="K5" s="386"/>
      <c r="L5" s="386"/>
      <c r="M5" s="386"/>
      <c r="N5" s="386"/>
      <c r="O5" s="53"/>
      <c r="P5" s="386" t="str">
        <f>' سهام'!AC8</f>
        <v>از ابتدای سال مالی تا پایان دی ماه</v>
      </c>
      <c r="Q5" s="387"/>
      <c r="R5" s="386"/>
      <c r="S5" s="387"/>
      <c r="T5" s="386"/>
      <c r="U5" s="53"/>
      <c r="V5" s="53"/>
      <c r="W5" s="53"/>
      <c r="AE5" s="12" t="s">
        <v>230</v>
      </c>
    </row>
    <row r="6" spans="2:33" ht="79.5" customHeight="1" thickBot="1" x14ac:dyDescent="0.3">
      <c r="B6" s="203" t="s">
        <v>45</v>
      </c>
      <c r="C6" s="167"/>
      <c r="D6" s="186" t="s">
        <v>140</v>
      </c>
      <c r="E6" s="167"/>
      <c r="F6" s="112" t="s">
        <v>70</v>
      </c>
      <c r="G6" s="167"/>
      <c r="H6" s="112" t="s">
        <v>66</v>
      </c>
      <c r="I6" s="167"/>
      <c r="J6" s="112" t="s">
        <v>67</v>
      </c>
      <c r="K6" s="167"/>
      <c r="L6" s="112" t="s">
        <v>68</v>
      </c>
      <c r="M6" s="167"/>
      <c r="N6" s="112" t="s">
        <v>69</v>
      </c>
      <c r="P6" s="112" t="s">
        <v>67</v>
      </c>
      <c r="Q6" s="167"/>
      <c r="R6" s="112" t="s">
        <v>68</v>
      </c>
      <c r="S6" s="167"/>
      <c r="T6" s="112" t="s">
        <v>69</v>
      </c>
      <c r="AC6" s="12" t="s">
        <v>231</v>
      </c>
    </row>
    <row r="7" spans="2:33" ht="19.5" customHeight="1" x14ac:dyDescent="0.25">
      <c r="B7" s="163" t="s">
        <v>182</v>
      </c>
      <c r="C7" s="167"/>
      <c r="D7" s="167" t="s">
        <v>266</v>
      </c>
      <c r="E7" s="167"/>
      <c r="F7" s="113">
        <v>60000000</v>
      </c>
      <c r="G7" s="167"/>
      <c r="H7" s="113">
        <v>330</v>
      </c>
      <c r="I7" s="167"/>
      <c r="J7" s="196">
        <v>0</v>
      </c>
      <c r="K7" s="167"/>
      <c r="L7" s="195">
        <v>0</v>
      </c>
      <c r="M7" s="167"/>
      <c r="N7" s="60">
        <f>J7+L7</f>
        <v>0</v>
      </c>
      <c r="P7" s="113">
        <v>19800000000</v>
      </c>
      <c r="Q7" s="167"/>
      <c r="R7" s="195">
        <v>0</v>
      </c>
      <c r="S7" s="167"/>
      <c r="T7" s="204">
        <f>P7+R7</f>
        <v>19800000000</v>
      </c>
      <c r="V7" s="205"/>
      <c r="W7" s="205"/>
      <c r="X7" s="205"/>
      <c r="Y7" s="205"/>
      <c r="Z7" s="205"/>
    </row>
    <row r="8" spans="2:33" ht="19.5" customHeight="1" x14ac:dyDescent="0.25">
      <c r="B8" s="163" t="s">
        <v>192</v>
      </c>
      <c r="C8" s="167"/>
      <c r="D8" s="167" t="s">
        <v>208</v>
      </c>
      <c r="E8" s="167"/>
      <c r="F8" s="113">
        <v>36000000</v>
      </c>
      <c r="G8" s="167"/>
      <c r="H8" s="113">
        <v>240</v>
      </c>
      <c r="I8" s="167"/>
      <c r="J8" s="195">
        <v>0</v>
      </c>
      <c r="K8" s="167"/>
      <c r="L8" s="195">
        <v>0</v>
      </c>
      <c r="M8" s="167"/>
      <c r="N8" s="195">
        <f t="shared" ref="N8:N55" si="0">J8+L8</f>
        <v>0</v>
      </c>
      <c r="P8" s="113">
        <v>8640000000</v>
      </c>
      <c r="Q8" s="167"/>
      <c r="R8" s="195">
        <v>0</v>
      </c>
      <c r="S8" s="167"/>
      <c r="T8" s="204">
        <f t="shared" ref="T8:T55" si="1">P8+R8</f>
        <v>8640000000</v>
      </c>
      <c r="V8" s="205"/>
      <c r="W8" s="205"/>
    </row>
    <row r="9" spans="2:33" ht="19.5" customHeight="1" x14ac:dyDescent="0.25">
      <c r="B9" s="163" t="s">
        <v>124</v>
      </c>
      <c r="C9" s="167"/>
      <c r="D9" s="167" t="s">
        <v>246</v>
      </c>
      <c r="E9" s="167"/>
      <c r="F9" s="113">
        <v>1000</v>
      </c>
      <c r="G9" s="167"/>
      <c r="H9" s="113">
        <v>620</v>
      </c>
      <c r="I9" s="167"/>
      <c r="J9" s="195">
        <v>0</v>
      </c>
      <c r="K9" s="167"/>
      <c r="L9" s="195">
        <v>0</v>
      </c>
      <c r="M9" s="167"/>
      <c r="N9" s="195">
        <f t="shared" si="0"/>
        <v>0</v>
      </c>
      <c r="P9" s="113">
        <v>620000</v>
      </c>
      <c r="Q9" s="167"/>
      <c r="R9" s="195">
        <v>-8378</v>
      </c>
      <c r="S9" s="167"/>
      <c r="T9" s="204">
        <f t="shared" si="1"/>
        <v>611622</v>
      </c>
      <c r="V9" s="205"/>
      <c r="W9" s="205"/>
    </row>
    <row r="10" spans="2:33" ht="19.5" customHeight="1" x14ac:dyDescent="0.25">
      <c r="B10" s="163" t="s">
        <v>131</v>
      </c>
      <c r="C10" s="167"/>
      <c r="D10" s="167" t="s">
        <v>224</v>
      </c>
      <c r="E10" s="167"/>
      <c r="F10" s="113">
        <v>14000000</v>
      </c>
      <c r="G10" s="167"/>
      <c r="H10" s="113">
        <v>2390</v>
      </c>
      <c r="I10" s="167"/>
      <c r="J10" s="195">
        <v>0</v>
      </c>
      <c r="K10" s="167"/>
      <c r="L10" s="195">
        <v>0</v>
      </c>
      <c r="M10" s="167"/>
      <c r="N10" s="195">
        <f t="shared" si="0"/>
        <v>0</v>
      </c>
      <c r="P10" s="113">
        <v>33460000000</v>
      </c>
      <c r="Q10" s="167"/>
      <c r="R10" s="195">
        <v>0</v>
      </c>
      <c r="S10" s="167"/>
      <c r="T10" s="204">
        <f t="shared" si="1"/>
        <v>33460000000</v>
      </c>
      <c r="V10" s="205"/>
      <c r="W10" s="205"/>
    </row>
    <row r="11" spans="2:33" ht="19.5" customHeight="1" x14ac:dyDescent="0.25">
      <c r="B11" s="163" t="s">
        <v>129</v>
      </c>
      <c r="C11" s="167"/>
      <c r="D11" s="167" t="s">
        <v>207</v>
      </c>
      <c r="E11" s="167"/>
      <c r="F11" s="113">
        <v>64000000</v>
      </c>
      <c r="G11" s="167"/>
      <c r="H11" s="113">
        <v>370</v>
      </c>
      <c r="I11" s="167"/>
      <c r="J11" s="195">
        <v>0</v>
      </c>
      <c r="K11" s="167"/>
      <c r="L11" s="195">
        <v>0</v>
      </c>
      <c r="M11" s="167"/>
      <c r="N11" s="195">
        <f t="shared" si="0"/>
        <v>0</v>
      </c>
      <c r="P11" s="113">
        <v>23680000000</v>
      </c>
      <c r="Q11" s="167"/>
      <c r="R11" s="195">
        <v>0</v>
      </c>
      <c r="S11" s="167"/>
      <c r="T11" s="204">
        <f t="shared" si="1"/>
        <v>23680000000</v>
      </c>
      <c r="V11" s="205"/>
      <c r="W11" s="205"/>
    </row>
    <row r="12" spans="2:33" ht="19.5" customHeight="1" x14ac:dyDescent="0.25">
      <c r="B12" s="163" t="s">
        <v>195</v>
      </c>
      <c r="C12" s="167"/>
      <c r="D12" s="167" t="s">
        <v>207</v>
      </c>
      <c r="E12" s="167"/>
      <c r="F12" s="113">
        <v>10000000</v>
      </c>
      <c r="G12" s="167"/>
      <c r="H12" s="113">
        <v>48</v>
      </c>
      <c r="I12" s="167"/>
      <c r="J12" s="195">
        <v>0</v>
      </c>
      <c r="K12" s="167"/>
      <c r="L12" s="195">
        <v>0</v>
      </c>
      <c r="M12" s="167"/>
      <c r="N12" s="195">
        <f t="shared" si="0"/>
        <v>0</v>
      </c>
      <c r="P12" s="113">
        <v>480000000</v>
      </c>
      <c r="Q12" s="167"/>
      <c r="R12" s="195">
        <v>0</v>
      </c>
      <c r="S12" s="167"/>
      <c r="T12" s="204">
        <f t="shared" si="1"/>
        <v>480000000</v>
      </c>
      <c r="V12" s="205"/>
      <c r="W12" s="205"/>
    </row>
    <row r="13" spans="2:33" ht="19.5" customHeight="1" x14ac:dyDescent="0.25">
      <c r="B13" s="163" t="s">
        <v>150</v>
      </c>
      <c r="C13" s="167"/>
      <c r="D13" s="167" t="s">
        <v>203</v>
      </c>
      <c r="E13" s="167"/>
      <c r="F13" s="113">
        <v>1000</v>
      </c>
      <c r="G13" s="167"/>
      <c r="H13" s="113">
        <v>2320</v>
      </c>
      <c r="I13" s="167"/>
      <c r="J13" s="195">
        <v>0</v>
      </c>
      <c r="K13" s="167"/>
      <c r="L13" s="195">
        <v>0</v>
      </c>
      <c r="M13" s="167"/>
      <c r="N13" s="195">
        <f t="shared" si="0"/>
        <v>0</v>
      </c>
      <c r="P13" s="113">
        <v>2320000</v>
      </c>
      <c r="Q13" s="167"/>
      <c r="R13" s="195">
        <v>0</v>
      </c>
      <c r="S13" s="167"/>
      <c r="T13" s="204">
        <f t="shared" si="1"/>
        <v>2320000</v>
      </c>
      <c r="V13" s="205"/>
      <c r="W13" s="205"/>
    </row>
    <row r="14" spans="2:33" ht="19.5" customHeight="1" x14ac:dyDescent="0.25">
      <c r="B14" s="163" t="s">
        <v>139</v>
      </c>
      <c r="C14" s="167"/>
      <c r="D14" s="167" t="s">
        <v>247</v>
      </c>
      <c r="E14" s="167"/>
      <c r="F14" s="113">
        <v>35000000</v>
      </c>
      <c r="G14" s="167"/>
      <c r="H14" s="113">
        <v>1050</v>
      </c>
      <c r="I14" s="167"/>
      <c r="J14" s="195">
        <v>0</v>
      </c>
      <c r="K14" s="167"/>
      <c r="L14" s="195">
        <v>0</v>
      </c>
      <c r="M14" s="167"/>
      <c r="N14" s="195">
        <f t="shared" si="0"/>
        <v>0</v>
      </c>
      <c r="P14" s="113">
        <v>36750000000</v>
      </c>
      <c r="Q14" s="167"/>
      <c r="R14" s="195">
        <v>0</v>
      </c>
      <c r="S14" s="167"/>
      <c r="T14" s="204">
        <f t="shared" si="1"/>
        <v>36750000000</v>
      </c>
      <c r="V14" s="205"/>
      <c r="W14" s="205"/>
    </row>
    <row r="15" spans="2:33" ht="19.5" customHeight="1" x14ac:dyDescent="0.25">
      <c r="B15" s="163" t="s">
        <v>104</v>
      </c>
      <c r="C15" s="167"/>
      <c r="D15" s="167" t="s">
        <v>209</v>
      </c>
      <c r="E15" s="167"/>
      <c r="F15" s="113">
        <v>15449319</v>
      </c>
      <c r="G15" s="167"/>
      <c r="H15" s="113">
        <v>170</v>
      </c>
      <c r="I15" s="167"/>
      <c r="J15" s="195">
        <v>0</v>
      </c>
      <c r="K15" s="167"/>
      <c r="L15" s="195">
        <v>0</v>
      </c>
      <c r="M15" s="167"/>
      <c r="N15" s="195">
        <f t="shared" si="0"/>
        <v>0</v>
      </c>
      <c r="P15" s="113">
        <v>2626384230</v>
      </c>
      <c r="Q15" s="167"/>
      <c r="R15" s="195">
        <v>0</v>
      </c>
      <c r="S15" s="167"/>
      <c r="T15" s="204">
        <f t="shared" si="1"/>
        <v>2626384230</v>
      </c>
      <c r="V15" s="205"/>
      <c r="W15" s="205"/>
    </row>
    <row r="16" spans="2:33" ht="19.5" customHeight="1" x14ac:dyDescent="0.25">
      <c r="B16" s="163" t="s">
        <v>143</v>
      </c>
      <c r="C16" s="167"/>
      <c r="D16" s="167" t="s">
        <v>225</v>
      </c>
      <c r="E16" s="167"/>
      <c r="F16" s="113">
        <v>6500000</v>
      </c>
      <c r="G16" s="167"/>
      <c r="H16" s="113">
        <v>4984</v>
      </c>
      <c r="I16" s="167"/>
      <c r="J16" s="195">
        <v>0</v>
      </c>
      <c r="K16" s="167"/>
      <c r="L16" s="195">
        <v>0</v>
      </c>
      <c r="M16" s="167"/>
      <c r="N16" s="195">
        <f t="shared" si="0"/>
        <v>0</v>
      </c>
      <c r="P16" s="113">
        <v>32396000000</v>
      </c>
      <c r="Q16" s="167"/>
      <c r="R16" s="195">
        <v>0</v>
      </c>
      <c r="S16" s="167"/>
      <c r="T16" s="204">
        <f t="shared" si="1"/>
        <v>32396000000</v>
      </c>
      <c r="V16" s="205"/>
      <c r="W16" s="205"/>
    </row>
    <row r="17" spans="2:30" ht="19.5" customHeight="1" x14ac:dyDescent="0.25">
      <c r="B17" s="163" t="s">
        <v>137</v>
      </c>
      <c r="C17" s="167"/>
      <c r="D17" s="167" t="s">
        <v>210</v>
      </c>
      <c r="E17" s="167"/>
      <c r="F17" s="113">
        <v>9000000</v>
      </c>
      <c r="G17" s="167"/>
      <c r="H17" s="113">
        <v>1997</v>
      </c>
      <c r="I17" s="167"/>
      <c r="J17" s="195">
        <v>0</v>
      </c>
      <c r="K17" s="167"/>
      <c r="L17" s="195">
        <v>0</v>
      </c>
      <c r="M17" s="167"/>
      <c r="N17" s="195">
        <f t="shared" si="0"/>
        <v>0</v>
      </c>
      <c r="P17" s="113">
        <v>17973000000</v>
      </c>
      <c r="Q17" s="167"/>
      <c r="R17" s="195">
        <v>0</v>
      </c>
      <c r="S17" s="167"/>
      <c r="T17" s="204">
        <f t="shared" si="1"/>
        <v>17973000000</v>
      </c>
      <c r="V17" s="205"/>
      <c r="W17" s="205"/>
      <c r="AD17" s="12">
        <v>1</v>
      </c>
    </row>
    <row r="18" spans="2:30" ht="19.5" customHeight="1" x14ac:dyDescent="0.25">
      <c r="B18" s="163" t="s">
        <v>113</v>
      </c>
      <c r="C18" s="167"/>
      <c r="D18" s="167" t="s">
        <v>211</v>
      </c>
      <c r="E18" s="167"/>
      <c r="F18" s="113">
        <v>151800000</v>
      </c>
      <c r="G18" s="167"/>
      <c r="H18" s="113">
        <v>360</v>
      </c>
      <c r="I18" s="167"/>
      <c r="J18" s="195">
        <v>0</v>
      </c>
      <c r="K18" s="167"/>
      <c r="L18" s="195">
        <v>0</v>
      </c>
      <c r="M18" s="167"/>
      <c r="N18" s="195">
        <f t="shared" si="0"/>
        <v>0</v>
      </c>
      <c r="P18" s="113">
        <v>54648000000</v>
      </c>
      <c r="Q18" s="167"/>
      <c r="R18" s="195">
        <v>0</v>
      </c>
      <c r="S18" s="167"/>
      <c r="T18" s="204">
        <f t="shared" si="1"/>
        <v>54648000000</v>
      </c>
      <c r="V18" s="205"/>
      <c r="W18" s="205"/>
    </row>
    <row r="19" spans="2:30" ht="19.5" customHeight="1" x14ac:dyDescent="0.25">
      <c r="B19" s="163" t="s">
        <v>128</v>
      </c>
      <c r="C19" s="167"/>
      <c r="D19" s="167" t="s">
        <v>212</v>
      </c>
      <c r="E19" s="167"/>
      <c r="F19" s="113">
        <v>13383580</v>
      </c>
      <c r="G19" s="167"/>
      <c r="H19" s="113">
        <v>380</v>
      </c>
      <c r="I19" s="167"/>
      <c r="J19" s="195">
        <v>0</v>
      </c>
      <c r="K19" s="167"/>
      <c r="L19" s="195">
        <v>0</v>
      </c>
      <c r="M19" s="167"/>
      <c r="N19" s="195">
        <f t="shared" si="0"/>
        <v>0</v>
      </c>
      <c r="P19" s="113">
        <v>3040000000</v>
      </c>
      <c r="Q19" s="167"/>
      <c r="R19" s="195">
        <v>0</v>
      </c>
      <c r="S19" s="167"/>
      <c r="T19" s="204">
        <f t="shared" si="1"/>
        <v>3040000000</v>
      </c>
      <c r="V19" s="205"/>
      <c r="W19" s="205"/>
    </row>
    <row r="20" spans="2:30" ht="19.5" customHeight="1" x14ac:dyDescent="0.25">
      <c r="B20" s="163" t="s">
        <v>127</v>
      </c>
      <c r="C20" s="167"/>
      <c r="D20" s="167" t="s">
        <v>212</v>
      </c>
      <c r="E20" s="167"/>
      <c r="F20" s="113">
        <v>5600000</v>
      </c>
      <c r="G20" s="167"/>
      <c r="H20" s="113">
        <v>310</v>
      </c>
      <c r="I20" s="167"/>
      <c r="J20" s="195">
        <v>0</v>
      </c>
      <c r="K20" s="167"/>
      <c r="L20" s="195">
        <v>0</v>
      </c>
      <c r="M20" s="167"/>
      <c r="N20" s="195">
        <f t="shared" si="0"/>
        <v>0</v>
      </c>
      <c r="P20" s="113">
        <v>1736000000</v>
      </c>
      <c r="Q20" s="167"/>
      <c r="R20" s="195">
        <v>0</v>
      </c>
      <c r="S20" s="167"/>
      <c r="T20" s="204">
        <f t="shared" si="1"/>
        <v>1736000000</v>
      </c>
      <c r="V20" s="205"/>
      <c r="W20" s="205"/>
    </row>
    <row r="21" spans="2:30" ht="19.5" customHeight="1" x14ac:dyDescent="0.25">
      <c r="B21" s="163" t="s">
        <v>177</v>
      </c>
      <c r="C21" s="167"/>
      <c r="D21" s="167" t="s">
        <v>210</v>
      </c>
      <c r="E21" s="167"/>
      <c r="F21" s="113">
        <v>6000000</v>
      </c>
      <c r="G21" s="167"/>
      <c r="H21" s="113">
        <v>400</v>
      </c>
      <c r="I21" s="167"/>
      <c r="J21" s="195">
        <v>0</v>
      </c>
      <c r="K21" s="167"/>
      <c r="L21" s="195">
        <v>0</v>
      </c>
      <c r="M21" s="167"/>
      <c r="N21" s="195">
        <f t="shared" si="0"/>
        <v>0</v>
      </c>
      <c r="P21" s="113">
        <v>2400000000</v>
      </c>
      <c r="Q21" s="167"/>
      <c r="R21" s="195">
        <v>0</v>
      </c>
      <c r="S21" s="167"/>
      <c r="T21" s="204">
        <f t="shared" si="1"/>
        <v>2400000000</v>
      </c>
      <c r="V21" s="205"/>
      <c r="W21" s="205"/>
    </row>
    <row r="22" spans="2:30" ht="19.5" customHeight="1" x14ac:dyDescent="0.25">
      <c r="B22" s="163" t="s">
        <v>123</v>
      </c>
      <c r="C22" s="167"/>
      <c r="D22" s="167" t="s">
        <v>226</v>
      </c>
      <c r="E22" s="167"/>
      <c r="F22" s="113">
        <v>20000000</v>
      </c>
      <c r="G22" s="167"/>
      <c r="H22" s="113">
        <v>280</v>
      </c>
      <c r="I22" s="167"/>
      <c r="J22" s="195">
        <v>0</v>
      </c>
      <c r="K22" s="167"/>
      <c r="L22" s="195">
        <v>0</v>
      </c>
      <c r="M22" s="167"/>
      <c r="N22" s="195">
        <f t="shared" si="0"/>
        <v>0</v>
      </c>
      <c r="P22" s="113">
        <v>5600000000</v>
      </c>
      <c r="Q22" s="167"/>
      <c r="R22" s="195">
        <v>0</v>
      </c>
      <c r="S22" s="167"/>
      <c r="T22" s="204">
        <f t="shared" si="1"/>
        <v>5600000000</v>
      </c>
      <c r="V22" s="205"/>
      <c r="W22" s="205"/>
    </row>
    <row r="23" spans="2:30" ht="19.5" customHeight="1" x14ac:dyDescent="0.25">
      <c r="B23" s="163" t="s">
        <v>112</v>
      </c>
      <c r="C23" s="167"/>
      <c r="D23" s="167" t="s">
        <v>207</v>
      </c>
      <c r="E23" s="167"/>
      <c r="F23" s="113">
        <v>35200000</v>
      </c>
      <c r="G23" s="167"/>
      <c r="H23" s="113">
        <v>90</v>
      </c>
      <c r="I23" s="167"/>
      <c r="J23" s="195">
        <v>0</v>
      </c>
      <c r="K23" s="167"/>
      <c r="L23" s="195">
        <v>0</v>
      </c>
      <c r="M23" s="167"/>
      <c r="N23" s="195">
        <f t="shared" si="0"/>
        <v>0</v>
      </c>
      <c r="P23" s="113">
        <v>3168000000</v>
      </c>
      <c r="Q23" s="167"/>
      <c r="R23" s="195">
        <v>0</v>
      </c>
      <c r="S23" s="167"/>
      <c r="T23" s="204">
        <f t="shared" si="1"/>
        <v>3168000000</v>
      </c>
      <c r="V23" s="205"/>
      <c r="W23" s="205"/>
    </row>
    <row r="24" spans="2:30" ht="19.5" customHeight="1" x14ac:dyDescent="0.25">
      <c r="B24" s="163" t="s">
        <v>145</v>
      </c>
      <c r="C24" s="167"/>
      <c r="D24" s="167" t="s">
        <v>207</v>
      </c>
      <c r="E24" s="167"/>
      <c r="F24" s="113">
        <v>1000</v>
      </c>
      <c r="G24" s="167"/>
      <c r="H24" s="113">
        <v>11</v>
      </c>
      <c r="I24" s="167"/>
      <c r="J24" s="195">
        <v>0</v>
      </c>
      <c r="K24" s="167"/>
      <c r="L24" s="195">
        <v>0</v>
      </c>
      <c r="M24" s="167"/>
      <c r="N24" s="195">
        <f t="shared" si="0"/>
        <v>0</v>
      </c>
      <c r="P24" s="113">
        <v>11000</v>
      </c>
      <c r="Q24" s="167"/>
      <c r="R24" s="195">
        <v>0</v>
      </c>
      <c r="S24" s="167"/>
      <c r="T24" s="204">
        <f t="shared" si="1"/>
        <v>11000</v>
      </c>
      <c r="V24" s="205"/>
      <c r="W24" s="205"/>
    </row>
    <row r="25" spans="2:30" ht="19.5" customHeight="1" x14ac:dyDescent="0.25">
      <c r="B25" s="163" t="s">
        <v>178</v>
      </c>
      <c r="C25" s="167"/>
      <c r="D25" s="167" t="s">
        <v>207</v>
      </c>
      <c r="E25" s="167"/>
      <c r="F25" s="113">
        <v>100000000</v>
      </c>
      <c r="G25" s="167"/>
      <c r="H25" s="113">
        <v>15</v>
      </c>
      <c r="I25" s="167"/>
      <c r="J25" s="195">
        <v>0</v>
      </c>
      <c r="K25" s="167"/>
      <c r="L25" s="195">
        <v>0</v>
      </c>
      <c r="M25" s="167"/>
      <c r="N25" s="195">
        <f t="shared" si="0"/>
        <v>0</v>
      </c>
      <c r="P25" s="113">
        <v>1500000000</v>
      </c>
      <c r="Q25" s="167"/>
      <c r="R25" s="195">
        <v>0</v>
      </c>
      <c r="S25" s="167"/>
      <c r="T25" s="204">
        <f t="shared" si="1"/>
        <v>1500000000</v>
      </c>
      <c r="V25" s="205"/>
      <c r="W25" s="205"/>
    </row>
    <row r="26" spans="2:30" ht="19.5" customHeight="1" x14ac:dyDescent="0.25">
      <c r="B26" s="163" t="s">
        <v>114</v>
      </c>
      <c r="C26" s="167"/>
      <c r="D26" s="167" t="s">
        <v>227</v>
      </c>
      <c r="E26" s="167"/>
      <c r="F26" s="113">
        <v>24655240</v>
      </c>
      <c r="G26" s="167"/>
      <c r="H26" s="113">
        <v>936</v>
      </c>
      <c r="I26" s="167"/>
      <c r="J26" s="195">
        <v>0</v>
      </c>
      <c r="K26" s="167"/>
      <c r="L26" s="195">
        <v>0</v>
      </c>
      <c r="M26" s="167"/>
      <c r="N26" s="195">
        <f t="shared" si="0"/>
        <v>0</v>
      </c>
      <c r="P26" s="113">
        <v>23077304640</v>
      </c>
      <c r="Q26" s="167"/>
      <c r="R26" s="195">
        <v>0</v>
      </c>
      <c r="S26" s="167"/>
      <c r="T26" s="204">
        <f t="shared" si="1"/>
        <v>23077304640</v>
      </c>
      <c r="V26" s="205"/>
      <c r="W26" s="205"/>
    </row>
    <row r="27" spans="2:30" ht="19.5" customHeight="1" x14ac:dyDescent="0.25">
      <c r="B27" s="163" t="s">
        <v>125</v>
      </c>
      <c r="C27" s="167"/>
      <c r="D27" s="167" t="s">
        <v>284</v>
      </c>
      <c r="E27" s="167"/>
      <c r="F27" s="113">
        <v>3000000</v>
      </c>
      <c r="G27" s="167"/>
      <c r="H27" s="113">
        <v>8700</v>
      </c>
      <c r="I27" s="167"/>
      <c r="J27" s="196">
        <v>26100000000</v>
      </c>
      <c r="K27" s="167"/>
      <c r="L27" s="195">
        <v>-3631839623</v>
      </c>
      <c r="M27" s="167"/>
      <c r="N27" s="60">
        <f t="shared" si="0"/>
        <v>22468160377</v>
      </c>
      <c r="P27" s="113">
        <v>26100000000</v>
      </c>
      <c r="Q27" s="167"/>
      <c r="R27" s="195">
        <v>-3631839623</v>
      </c>
      <c r="S27" s="167"/>
      <c r="T27" s="204">
        <f t="shared" si="1"/>
        <v>22468160377</v>
      </c>
      <c r="V27" s="205"/>
      <c r="W27" s="205"/>
    </row>
    <row r="28" spans="2:30" ht="19.5" customHeight="1" x14ac:dyDescent="0.25">
      <c r="B28" s="163" t="s">
        <v>117</v>
      </c>
      <c r="C28" s="167"/>
      <c r="D28" s="167" t="s">
        <v>267</v>
      </c>
      <c r="E28" s="167"/>
      <c r="F28" s="113">
        <v>1800000</v>
      </c>
      <c r="G28" s="167"/>
      <c r="H28" s="113">
        <v>11000</v>
      </c>
      <c r="I28" s="167"/>
      <c r="J28" s="195">
        <v>0</v>
      </c>
      <c r="K28" s="167"/>
      <c r="L28" s="195">
        <v>0</v>
      </c>
      <c r="M28" s="167"/>
      <c r="N28" s="195">
        <f t="shared" si="0"/>
        <v>0</v>
      </c>
      <c r="P28" s="113">
        <v>19800000000</v>
      </c>
      <c r="Q28" s="167"/>
      <c r="R28" s="195">
        <v>-967426710</v>
      </c>
      <c r="S28" s="167"/>
      <c r="T28" s="204">
        <f t="shared" si="1"/>
        <v>18832573290</v>
      </c>
      <c r="V28" s="205"/>
      <c r="W28" s="205"/>
    </row>
    <row r="29" spans="2:30" ht="19.5" customHeight="1" x14ac:dyDescent="0.25">
      <c r="B29" s="163" t="s">
        <v>117</v>
      </c>
      <c r="C29" s="167"/>
      <c r="D29" s="167" t="s">
        <v>234</v>
      </c>
      <c r="E29" s="167"/>
      <c r="F29" s="113">
        <v>1500000</v>
      </c>
      <c r="G29" s="167"/>
      <c r="H29" s="113">
        <v>38000</v>
      </c>
      <c r="I29" s="167"/>
      <c r="J29" s="195">
        <v>0</v>
      </c>
      <c r="K29" s="167"/>
      <c r="L29" s="195">
        <v>0</v>
      </c>
      <c r="M29" s="167"/>
      <c r="N29" s="195">
        <f t="shared" si="0"/>
        <v>0</v>
      </c>
      <c r="P29" s="113">
        <v>57000000000</v>
      </c>
      <c r="Q29" s="167"/>
      <c r="R29" s="195">
        <v>0</v>
      </c>
      <c r="S29" s="167"/>
      <c r="T29" s="204">
        <f t="shared" si="1"/>
        <v>57000000000</v>
      </c>
      <c r="V29" s="205"/>
      <c r="W29" s="205"/>
    </row>
    <row r="30" spans="2:30" ht="19.5" customHeight="1" x14ac:dyDescent="0.25">
      <c r="B30" s="163" t="s">
        <v>122</v>
      </c>
      <c r="C30" s="167"/>
      <c r="D30" s="167" t="s">
        <v>243</v>
      </c>
      <c r="E30" s="167"/>
      <c r="F30" s="113">
        <v>90000000</v>
      </c>
      <c r="G30" s="167"/>
      <c r="H30" s="113">
        <v>510</v>
      </c>
      <c r="I30" s="167"/>
      <c r="J30" s="195">
        <v>0</v>
      </c>
      <c r="K30" s="167"/>
      <c r="L30" s="195">
        <v>0</v>
      </c>
      <c r="M30" s="167"/>
      <c r="N30" s="195">
        <f t="shared" si="0"/>
        <v>0</v>
      </c>
      <c r="P30" s="113">
        <v>45900000000</v>
      </c>
      <c r="Q30" s="167"/>
      <c r="R30" s="195">
        <v>0</v>
      </c>
      <c r="S30" s="167"/>
      <c r="T30" s="204">
        <f t="shared" si="1"/>
        <v>45900000000</v>
      </c>
      <c r="V30" s="205"/>
      <c r="W30" s="205"/>
    </row>
    <row r="31" spans="2:30" ht="19.5" customHeight="1" x14ac:dyDescent="0.25">
      <c r="B31" s="163" t="s">
        <v>120</v>
      </c>
      <c r="C31" s="167"/>
      <c r="D31" s="167" t="s">
        <v>235</v>
      </c>
      <c r="E31" s="167"/>
      <c r="F31" s="113">
        <v>3800000</v>
      </c>
      <c r="G31" s="167"/>
      <c r="H31" s="113">
        <v>2000</v>
      </c>
      <c r="I31" s="167"/>
      <c r="J31" s="195">
        <v>0</v>
      </c>
      <c r="K31" s="167"/>
      <c r="L31" s="195">
        <v>0</v>
      </c>
      <c r="M31" s="167"/>
      <c r="N31" s="195">
        <f t="shared" si="0"/>
        <v>0</v>
      </c>
      <c r="P31" s="113">
        <v>7600000000</v>
      </c>
      <c r="Q31" s="167"/>
      <c r="R31" s="195">
        <v>0</v>
      </c>
      <c r="S31" s="167"/>
      <c r="T31" s="204">
        <f t="shared" si="1"/>
        <v>7600000000</v>
      </c>
      <c r="V31" s="205"/>
      <c r="W31" s="205"/>
    </row>
    <row r="32" spans="2:30" ht="19.5" customHeight="1" x14ac:dyDescent="0.25">
      <c r="B32" s="163" t="s">
        <v>179</v>
      </c>
      <c r="C32" s="167"/>
      <c r="D32" s="167" t="s">
        <v>210</v>
      </c>
      <c r="E32" s="167"/>
      <c r="F32" s="113">
        <v>14000000</v>
      </c>
      <c r="G32" s="167"/>
      <c r="H32" s="113">
        <v>650</v>
      </c>
      <c r="I32" s="167"/>
      <c r="J32" s="195">
        <v>0</v>
      </c>
      <c r="K32" s="167"/>
      <c r="L32" s="195">
        <v>0</v>
      </c>
      <c r="M32" s="167"/>
      <c r="N32" s="195">
        <f t="shared" si="0"/>
        <v>0</v>
      </c>
      <c r="P32" s="113">
        <v>9100000000</v>
      </c>
      <c r="Q32" s="167"/>
      <c r="R32" s="195">
        <v>0</v>
      </c>
      <c r="S32" s="167"/>
      <c r="T32" s="204">
        <f t="shared" si="1"/>
        <v>9100000000</v>
      </c>
      <c r="V32" s="205"/>
      <c r="W32" s="205"/>
    </row>
    <row r="33" spans="2:27" ht="19.5" customHeight="1" x14ac:dyDescent="0.25">
      <c r="B33" s="163" t="s">
        <v>134</v>
      </c>
      <c r="C33" s="167"/>
      <c r="D33" s="167" t="s">
        <v>228</v>
      </c>
      <c r="E33" s="167"/>
      <c r="F33" s="113">
        <v>10000000</v>
      </c>
      <c r="G33" s="167"/>
      <c r="H33" s="113">
        <v>2223</v>
      </c>
      <c r="I33" s="167"/>
      <c r="J33" s="195">
        <v>0</v>
      </c>
      <c r="K33" s="167"/>
      <c r="L33" s="195">
        <v>0</v>
      </c>
      <c r="M33" s="167"/>
      <c r="N33" s="195">
        <f t="shared" si="0"/>
        <v>0</v>
      </c>
      <c r="P33" s="113">
        <v>22230000000</v>
      </c>
      <c r="Q33" s="167"/>
      <c r="R33" s="195">
        <v>0</v>
      </c>
      <c r="S33" s="167"/>
      <c r="T33" s="204">
        <f t="shared" si="1"/>
        <v>22230000000</v>
      </c>
      <c r="V33" s="205"/>
      <c r="W33" s="205"/>
    </row>
    <row r="34" spans="2:27" ht="19.5" customHeight="1" x14ac:dyDescent="0.25">
      <c r="B34" s="163" t="s">
        <v>201</v>
      </c>
      <c r="C34" s="167"/>
      <c r="D34" s="167" t="s">
        <v>207</v>
      </c>
      <c r="E34" s="167"/>
      <c r="F34" s="113">
        <v>6000000</v>
      </c>
      <c r="G34" s="167"/>
      <c r="H34" s="113">
        <v>250</v>
      </c>
      <c r="I34" s="167"/>
      <c r="J34" s="195">
        <v>0</v>
      </c>
      <c r="K34" s="167"/>
      <c r="L34" s="195">
        <v>0</v>
      </c>
      <c r="M34" s="167"/>
      <c r="N34" s="195">
        <f t="shared" si="0"/>
        <v>0</v>
      </c>
      <c r="P34" s="113">
        <v>1500000000</v>
      </c>
      <c r="Q34" s="167"/>
      <c r="R34" s="195">
        <v>0</v>
      </c>
      <c r="S34" s="167"/>
      <c r="T34" s="204">
        <f t="shared" si="1"/>
        <v>1500000000</v>
      </c>
      <c r="V34" s="205"/>
      <c r="W34" s="205"/>
      <c r="X34" s="206"/>
      <c r="Y34" s="206"/>
      <c r="Z34" s="206"/>
    </row>
    <row r="35" spans="2:27" ht="19.5" customHeight="1" x14ac:dyDescent="0.25">
      <c r="B35" s="163" t="s">
        <v>118</v>
      </c>
      <c r="C35" s="167"/>
      <c r="D35" s="167" t="s">
        <v>210</v>
      </c>
      <c r="E35" s="167"/>
      <c r="F35" s="113">
        <v>3460516</v>
      </c>
      <c r="G35" s="167"/>
      <c r="H35" s="113">
        <v>4200</v>
      </c>
      <c r="I35" s="167"/>
      <c r="J35" s="195">
        <v>0</v>
      </c>
      <c r="K35" s="167"/>
      <c r="L35" s="195">
        <v>0</v>
      </c>
      <c r="M35" s="167"/>
      <c r="N35" s="195">
        <f t="shared" si="0"/>
        <v>0</v>
      </c>
      <c r="P35" s="113">
        <v>14534167200</v>
      </c>
      <c r="Q35" s="167"/>
      <c r="R35" s="195">
        <v>0</v>
      </c>
      <c r="S35" s="167"/>
      <c r="T35" s="204">
        <f t="shared" si="1"/>
        <v>14534167200</v>
      </c>
      <c r="V35" s="205"/>
      <c r="W35" s="205"/>
    </row>
    <row r="36" spans="2:27" ht="19.5" customHeight="1" x14ac:dyDescent="0.25">
      <c r="B36" s="163" t="s">
        <v>180</v>
      </c>
      <c r="C36" s="167"/>
      <c r="D36" s="167" t="s">
        <v>248</v>
      </c>
      <c r="E36" s="167"/>
      <c r="F36" s="113">
        <v>28000000</v>
      </c>
      <c r="G36" s="167"/>
      <c r="H36" s="113">
        <v>410</v>
      </c>
      <c r="I36" s="167"/>
      <c r="J36" s="195">
        <v>0</v>
      </c>
      <c r="K36" s="167"/>
      <c r="L36" s="195">
        <v>0</v>
      </c>
      <c r="M36" s="167"/>
      <c r="N36" s="195">
        <f t="shared" si="0"/>
        <v>0</v>
      </c>
      <c r="P36" s="113">
        <v>11480000000</v>
      </c>
      <c r="Q36" s="167"/>
      <c r="R36" s="195">
        <v>0</v>
      </c>
      <c r="S36" s="167"/>
      <c r="T36" s="204">
        <f t="shared" si="1"/>
        <v>11480000000</v>
      </c>
      <c r="V36" s="205"/>
      <c r="W36" s="205"/>
    </row>
    <row r="37" spans="2:27" ht="19.5" customHeight="1" x14ac:dyDescent="0.25">
      <c r="B37" s="163" t="s">
        <v>160</v>
      </c>
      <c r="C37" s="167"/>
      <c r="D37" s="167" t="s">
        <v>211</v>
      </c>
      <c r="E37" s="167"/>
      <c r="F37" s="113">
        <v>3700000</v>
      </c>
      <c r="G37" s="167"/>
      <c r="H37" s="113">
        <v>3000</v>
      </c>
      <c r="I37" s="167"/>
      <c r="J37" s="195">
        <v>0</v>
      </c>
      <c r="K37" s="167"/>
      <c r="L37" s="195">
        <v>0</v>
      </c>
      <c r="M37" s="167"/>
      <c r="N37" s="195">
        <f t="shared" si="0"/>
        <v>0</v>
      </c>
      <c r="P37" s="113">
        <v>11100000000</v>
      </c>
      <c r="Q37" s="167"/>
      <c r="R37" s="195">
        <v>0</v>
      </c>
      <c r="S37" s="167"/>
      <c r="T37" s="204">
        <f t="shared" si="1"/>
        <v>11100000000</v>
      </c>
      <c r="V37" s="205"/>
      <c r="W37" s="205"/>
    </row>
    <row r="38" spans="2:27" ht="19.5" customHeight="1" x14ac:dyDescent="0.25">
      <c r="B38" s="163" t="s">
        <v>181</v>
      </c>
      <c r="C38" s="167"/>
      <c r="D38" s="167" t="s">
        <v>213</v>
      </c>
      <c r="E38" s="167"/>
      <c r="F38" s="113">
        <v>14000000</v>
      </c>
      <c r="G38" s="167"/>
      <c r="H38" s="113">
        <v>400</v>
      </c>
      <c r="I38" s="167"/>
      <c r="J38" s="195">
        <v>0</v>
      </c>
      <c r="K38" s="167"/>
      <c r="L38" s="195">
        <v>0</v>
      </c>
      <c r="M38" s="167"/>
      <c r="N38" s="195">
        <f t="shared" si="0"/>
        <v>0</v>
      </c>
      <c r="P38" s="113">
        <v>5600000000</v>
      </c>
      <c r="Q38" s="167"/>
      <c r="R38" s="195">
        <v>0</v>
      </c>
      <c r="S38" s="167"/>
      <c r="T38" s="204">
        <f t="shared" si="1"/>
        <v>5600000000</v>
      </c>
      <c r="V38" s="205"/>
      <c r="W38" s="205"/>
    </row>
    <row r="39" spans="2:27" ht="19.5" customHeight="1" x14ac:dyDescent="0.25">
      <c r="B39" s="163" t="s">
        <v>115</v>
      </c>
      <c r="C39" s="167"/>
      <c r="D39" s="167" t="s">
        <v>224</v>
      </c>
      <c r="E39" s="167"/>
      <c r="F39" s="113">
        <v>56000000</v>
      </c>
      <c r="G39" s="167"/>
      <c r="H39" s="113">
        <v>190</v>
      </c>
      <c r="I39" s="167"/>
      <c r="J39" s="195">
        <v>0</v>
      </c>
      <c r="K39" s="167"/>
      <c r="L39" s="195">
        <v>0</v>
      </c>
      <c r="M39" s="167"/>
      <c r="N39" s="195">
        <f t="shared" si="0"/>
        <v>0</v>
      </c>
      <c r="P39" s="113">
        <v>10640000000</v>
      </c>
      <c r="Q39" s="167"/>
      <c r="R39" s="195">
        <v>0</v>
      </c>
      <c r="S39" s="167"/>
      <c r="T39" s="204">
        <f t="shared" si="1"/>
        <v>10640000000</v>
      </c>
      <c r="V39" s="205"/>
      <c r="W39" s="205"/>
    </row>
    <row r="40" spans="2:27" ht="19.5" customHeight="1" x14ac:dyDescent="0.25">
      <c r="B40" s="163" t="s">
        <v>196</v>
      </c>
      <c r="C40" s="167"/>
      <c r="D40" s="167" t="s">
        <v>214</v>
      </c>
      <c r="E40" s="167"/>
      <c r="F40" s="113">
        <v>6700000</v>
      </c>
      <c r="G40" s="167"/>
      <c r="H40" s="113">
        <v>1800</v>
      </c>
      <c r="I40" s="167"/>
      <c r="J40" s="195">
        <v>0</v>
      </c>
      <c r="K40" s="167"/>
      <c r="L40" s="195">
        <v>0</v>
      </c>
      <c r="M40" s="167"/>
      <c r="N40" s="195">
        <f t="shared" si="0"/>
        <v>0</v>
      </c>
      <c r="P40" s="113">
        <v>12060000000</v>
      </c>
      <c r="Q40" s="167"/>
      <c r="R40" s="195">
        <v>0</v>
      </c>
      <c r="S40" s="167"/>
      <c r="T40" s="204">
        <f t="shared" si="1"/>
        <v>12060000000</v>
      </c>
      <c r="V40" s="205"/>
      <c r="W40" s="205"/>
    </row>
    <row r="41" spans="2:27" ht="19.5" customHeight="1" x14ac:dyDescent="0.25">
      <c r="B41" s="163" t="s">
        <v>165</v>
      </c>
      <c r="C41" s="167"/>
      <c r="D41" s="167" t="s">
        <v>187</v>
      </c>
      <c r="E41" s="167"/>
      <c r="F41" s="113">
        <v>1750000</v>
      </c>
      <c r="G41" s="167"/>
      <c r="H41" s="113">
        <v>400</v>
      </c>
      <c r="I41" s="167"/>
      <c r="J41" s="195">
        <v>0</v>
      </c>
      <c r="K41" s="167"/>
      <c r="L41" s="195">
        <v>0</v>
      </c>
      <c r="M41" s="167"/>
      <c r="N41" s="195">
        <f t="shared" si="0"/>
        <v>0</v>
      </c>
      <c r="P41" s="113">
        <v>700000000</v>
      </c>
      <c r="Q41" s="167"/>
      <c r="R41" s="195">
        <v>0</v>
      </c>
      <c r="S41" s="167"/>
      <c r="T41" s="204">
        <f t="shared" si="1"/>
        <v>700000000</v>
      </c>
      <c r="V41" s="205"/>
      <c r="W41" s="205"/>
    </row>
    <row r="42" spans="2:27" ht="19.5" customHeight="1" x14ac:dyDescent="0.25">
      <c r="B42" s="163" t="s">
        <v>116</v>
      </c>
      <c r="C42" s="167"/>
      <c r="D42" s="167" t="s">
        <v>207</v>
      </c>
      <c r="E42" s="167"/>
      <c r="F42" s="113">
        <v>75000000</v>
      </c>
      <c r="G42" s="167"/>
      <c r="H42" s="113">
        <v>160</v>
      </c>
      <c r="I42" s="167"/>
      <c r="J42" s="195">
        <v>0</v>
      </c>
      <c r="K42" s="167"/>
      <c r="L42" s="195">
        <v>0</v>
      </c>
      <c r="M42" s="167"/>
      <c r="N42" s="195">
        <f t="shared" si="0"/>
        <v>0</v>
      </c>
      <c r="P42" s="113">
        <v>12000000000</v>
      </c>
      <c r="Q42" s="167"/>
      <c r="R42" s="195">
        <v>0</v>
      </c>
      <c r="S42" s="167"/>
      <c r="T42" s="204">
        <f t="shared" si="1"/>
        <v>12000000000</v>
      </c>
      <c r="V42" s="205"/>
      <c r="W42" s="205"/>
    </row>
    <row r="43" spans="2:27" ht="19.5" customHeight="1" x14ac:dyDescent="0.25">
      <c r="B43" s="163" t="s">
        <v>164</v>
      </c>
      <c r="C43" s="167"/>
      <c r="D43" s="167" t="s">
        <v>213</v>
      </c>
      <c r="E43" s="167"/>
      <c r="F43" s="113">
        <v>1000</v>
      </c>
      <c r="G43" s="167"/>
      <c r="H43" s="113">
        <v>1160</v>
      </c>
      <c r="I43" s="167"/>
      <c r="J43" s="195">
        <v>0</v>
      </c>
      <c r="K43" s="167"/>
      <c r="L43" s="195">
        <v>0</v>
      </c>
      <c r="M43" s="167"/>
      <c r="N43" s="195">
        <f t="shared" si="0"/>
        <v>0</v>
      </c>
      <c r="P43" s="113">
        <v>1160000</v>
      </c>
      <c r="Q43" s="167"/>
      <c r="R43" s="195">
        <v>0</v>
      </c>
      <c r="S43" s="167"/>
      <c r="T43" s="204">
        <f t="shared" si="1"/>
        <v>1160000</v>
      </c>
      <c r="V43" s="205"/>
      <c r="W43" s="205"/>
    </row>
    <row r="44" spans="2:27" ht="19.5" customHeight="1" x14ac:dyDescent="0.25">
      <c r="B44" s="163" t="s">
        <v>119</v>
      </c>
      <c r="C44" s="167"/>
      <c r="D44" s="167" t="s">
        <v>227</v>
      </c>
      <c r="E44" s="167"/>
      <c r="F44" s="113">
        <v>3600000</v>
      </c>
      <c r="G44" s="167"/>
      <c r="H44" s="113">
        <v>3400</v>
      </c>
      <c r="I44" s="167"/>
      <c r="J44" s="195">
        <v>0</v>
      </c>
      <c r="K44" s="167"/>
      <c r="L44" s="195">
        <v>0</v>
      </c>
      <c r="M44" s="167"/>
      <c r="N44" s="195">
        <f t="shared" si="0"/>
        <v>0</v>
      </c>
      <c r="P44" s="113">
        <v>12240000000</v>
      </c>
      <c r="Q44" s="167"/>
      <c r="R44" s="195">
        <v>0</v>
      </c>
      <c r="S44" s="167"/>
      <c r="T44" s="204">
        <f t="shared" si="1"/>
        <v>12240000000</v>
      </c>
      <c r="V44" s="205"/>
      <c r="W44" s="205"/>
      <c r="X44" s="205"/>
      <c r="Y44" s="205"/>
      <c r="Z44" s="205"/>
      <c r="AA44" s="205"/>
    </row>
    <row r="45" spans="2:27" ht="19.5" customHeight="1" x14ac:dyDescent="0.25">
      <c r="B45" s="163" t="s">
        <v>144</v>
      </c>
      <c r="C45" s="167"/>
      <c r="D45" s="167" t="s">
        <v>236</v>
      </c>
      <c r="E45" s="167"/>
      <c r="F45" s="113">
        <v>20000000</v>
      </c>
      <c r="G45" s="167"/>
      <c r="H45" s="113">
        <v>1100</v>
      </c>
      <c r="I45" s="167"/>
      <c r="J45" s="195">
        <v>0</v>
      </c>
      <c r="K45" s="167"/>
      <c r="L45" s="195">
        <v>0</v>
      </c>
      <c r="M45" s="167"/>
      <c r="N45" s="195">
        <f t="shared" si="0"/>
        <v>0</v>
      </c>
      <c r="P45" s="113">
        <v>22000000000</v>
      </c>
      <c r="Q45" s="167"/>
      <c r="R45" s="195">
        <v>0</v>
      </c>
      <c r="S45" s="167"/>
      <c r="T45" s="204">
        <f t="shared" si="1"/>
        <v>22000000000</v>
      </c>
      <c r="V45" s="205"/>
      <c r="W45" s="205"/>
      <c r="X45" s="205"/>
      <c r="Y45" s="205"/>
      <c r="Z45" s="205"/>
      <c r="AA45" s="205"/>
    </row>
    <row r="46" spans="2:27" ht="19.5" customHeight="1" x14ac:dyDescent="0.25">
      <c r="B46" s="163" t="s">
        <v>130</v>
      </c>
      <c r="C46" s="167"/>
      <c r="D46" s="167" t="s">
        <v>243</v>
      </c>
      <c r="E46" s="167"/>
      <c r="F46" s="113">
        <v>330000000</v>
      </c>
      <c r="G46" s="167"/>
      <c r="H46" s="113">
        <v>190</v>
      </c>
      <c r="I46" s="167"/>
      <c r="J46" s="195">
        <v>0</v>
      </c>
      <c r="K46" s="167"/>
      <c r="L46" s="195">
        <v>0</v>
      </c>
      <c r="M46" s="167"/>
      <c r="N46" s="195">
        <f t="shared" si="0"/>
        <v>0</v>
      </c>
      <c r="P46" s="113">
        <v>62700000000</v>
      </c>
      <c r="Q46" s="167"/>
      <c r="R46" s="195">
        <v>0</v>
      </c>
      <c r="S46" s="167"/>
      <c r="T46" s="204">
        <f t="shared" si="1"/>
        <v>62700000000</v>
      </c>
      <c r="V46" s="205"/>
      <c r="W46" s="205"/>
      <c r="X46" s="205"/>
      <c r="Y46" s="205"/>
      <c r="Z46" s="205"/>
      <c r="AA46" s="205"/>
    </row>
    <row r="47" spans="2:27" ht="19.5" customHeight="1" x14ac:dyDescent="0.25">
      <c r="B47" s="163" t="s">
        <v>175</v>
      </c>
      <c r="C47" s="167"/>
      <c r="D47" s="167" t="s">
        <v>204</v>
      </c>
      <c r="E47" s="167"/>
      <c r="F47" s="113">
        <v>10000000</v>
      </c>
      <c r="G47" s="167"/>
      <c r="H47" s="113">
        <v>730</v>
      </c>
      <c r="I47" s="167"/>
      <c r="J47" s="195">
        <v>0</v>
      </c>
      <c r="K47" s="167"/>
      <c r="L47" s="195">
        <v>0</v>
      </c>
      <c r="M47" s="167"/>
      <c r="N47" s="195">
        <f t="shared" si="0"/>
        <v>0</v>
      </c>
      <c r="P47" s="60">
        <v>7300000000</v>
      </c>
      <c r="Q47" s="167"/>
      <c r="R47" s="195">
        <v>0</v>
      </c>
      <c r="S47" s="167"/>
      <c r="T47" s="204">
        <f t="shared" si="1"/>
        <v>7300000000</v>
      </c>
      <c r="V47" s="205"/>
      <c r="W47" s="205"/>
      <c r="X47" s="205"/>
      <c r="Y47" s="205"/>
      <c r="Z47" s="205"/>
      <c r="AA47" s="205"/>
    </row>
    <row r="48" spans="2:27" ht="19.5" customHeight="1" x14ac:dyDescent="0.25">
      <c r="B48" s="163" t="s">
        <v>141</v>
      </c>
      <c r="C48" s="167"/>
      <c r="D48" s="167" t="s">
        <v>209</v>
      </c>
      <c r="E48" s="167"/>
      <c r="F48" s="113">
        <v>1000</v>
      </c>
      <c r="G48" s="167"/>
      <c r="H48" s="113">
        <v>8362</v>
      </c>
      <c r="I48" s="167"/>
      <c r="J48" s="195">
        <v>0</v>
      </c>
      <c r="K48" s="167"/>
      <c r="L48" s="195">
        <v>0</v>
      </c>
      <c r="M48" s="167"/>
      <c r="N48" s="195">
        <f t="shared" si="0"/>
        <v>0</v>
      </c>
      <c r="P48" s="113">
        <v>8362000</v>
      </c>
      <c r="Q48" s="167"/>
      <c r="R48" s="195">
        <v>0</v>
      </c>
      <c r="S48" s="167"/>
      <c r="T48" s="204">
        <f t="shared" si="1"/>
        <v>8362000</v>
      </c>
      <c r="V48" s="205"/>
      <c r="W48" s="205"/>
      <c r="X48" s="205"/>
      <c r="Y48" s="205"/>
      <c r="Z48" s="205"/>
      <c r="AA48" s="205"/>
    </row>
    <row r="49" spans="2:28" ht="19.5" customHeight="1" x14ac:dyDescent="0.25">
      <c r="B49" s="163" t="s">
        <v>135</v>
      </c>
      <c r="C49" s="167"/>
      <c r="D49" s="167" t="s">
        <v>211</v>
      </c>
      <c r="E49" s="167"/>
      <c r="F49" s="113">
        <v>1000</v>
      </c>
      <c r="G49" s="167"/>
      <c r="H49" s="113">
        <v>34</v>
      </c>
      <c r="I49" s="167"/>
      <c r="J49" s="195">
        <v>0</v>
      </c>
      <c r="K49" s="167"/>
      <c r="L49" s="195">
        <v>0</v>
      </c>
      <c r="M49" s="167"/>
      <c r="N49" s="195">
        <f t="shared" si="0"/>
        <v>0</v>
      </c>
      <c r="P49" s="113">
        <v>34000</v>
      </c>
      <c r="Q49" s="167"/>
      <c r="R49" s="195">
        <v>0</v>
      </c>
      <c r="S49" s="167"/>
      <c r="T49" s="204">
        <f t="shared" si="1"/>
        <v>34000</v>
      </c>
      <c r="V49" s="205"/>
      <c r="W49" s="205"/>
      <c r="X49" s="205"/>
      <c r="Y49" s="205"/>
      <c r="Z49" s="205"/>
      <c r="AA49" s="205"/>
    </row>
    <row r="50" spans="2:28" ht="19.5" customHeight="1" x14ac:dyDescent="0.25">
      <c r="B50" s="163" t="s">
        <v>146</v>
      </c>
      <c r="C50" s="167"/>
      <c r="D50" s="167" t="s">
        <v>285</v>
      </c>
      <c r="E50" s="167"/>
      <c r="F50" s="113">
        <v>1000</v>
      </c>
      <c r="G50" s="167"/>
      <c r="H50" s="113">
        <v>340</v>
      </c>
      <c r="I50" s="167"/>
      <c r="J50" s="195">
        <v>340000</v>
      </c>
      <c r="K50" s="167"/>
      <c r="L50" s="195">
        <v>-12127</v>
      </c>
      <c r="M50" s="167"/>
      <c r="N50" s="195">
        <f t="shared" si="0"/>
        <v>327873</v>
      </c>
      <c r="P50" s="113">
        <v>340000</v>
      </c>
      <c r="Q50" s="167"/>
      <c r="R50" s="195">
        <v>-12127</v>
      </c>
      <c r="S50" s="167"/>
      <c r="T50" s="204">
        <f t="shared" si="1"/>
        <v>327873</v>
      </c>
      <c r="V50" s="205"/>
      <c r="W50" s="205"/>
      <c r="X50" s="205"/>
      <c r="Y50" s="205"/>
      <c r="Z50" s="205"/>
      <c r="AA50" s="205"/>
    </row>
    <row r="51" spans="2:28" ht="19.5" customHeight="1" x14ac:dyDescent="0.25">
      <c r="B51" s="163" t="s">
        <v>157</v>
      </c>
      <c r="C51" s="167"/>
      <c r="D51" s="167" t="s">
        <v>205</v>
      </c>
      <c r="E51" s="167"/>
      <c r="F51" s="113">
        <v>232900</v>
      </c>
      <c r="G51" s="167"/>
      <c r="H51" s="113">
        <v>440</v>
      </c>
      <c r="I51" s="167"/>
      <c r="J51" s="195">
        <v>0</v>
      </c>
      <c r="K51" s="167"/>
      <c r="L51" s="195">
        <v>0</v>
      </c>
      <c r="M51" s="167"/>
      <c r="N51" s="195">
        <f t="shared" si="0"/>
        <v>0</v>
      </c>
      <c r="P51" s="195">
        <v>1002482</v>
      </c>
      <c r="Q51" s="167"/>
      <c r="R51" s="195">
        <v>0</v>
      </c>
      <c r="S51" s="167"/>
      <c r="T51" s="204">
        <f t="shared" si="1"/>
        <v>1002482</v>
      </c>
      <c r="V51" s="205"/>
      <c r="W51" s="205"/>
      <c r="X51" s="205"/>
      <c r="Y51" s="205"/>
      <c r="Z51" s="205"/>
      <c r="AA51" s="205"/>
    </row>
    <row r="52" spans="2:28" ht="19.5" customHeight="1" x14ac:dyDescent="0.25">
      <c r="B52" s="163" t="s">
        <v>170</v>
      </c>
      <c r="C52" s="167"/>
      <c r="D52" s="167" t="s">
        <v>229</v>
      </c>
      <c r="E52" s="167"/>
      <c r="F52" s="113">
        <v>999999</v>
      </c>
      <c r="G52" s="167"/>
      <c r="H52" s="113">
        <v>49</v>
      </c>
      <c r="I52" s="167"/>
      <c r="J52" s="195">
        <v>0</v>
      </c>
      <c r="K52" s="167"/>
      <c r="L52" s="195">
        <v>0</v>
      </c>
      <c r="M52" s="167"/>
      <c r="N52" s="195">
        <f t="shared" si="0"/>
        <v>0</v>
      </c>
      <c r="P52" s="113">
        <v>48999951</v>
      </c>
      <c r="Q52" s="167"/>
      <c r="R52" s="195">
        <v>0</v>
      </c>
      <c r="S52" s="167"/>
      <c r="T52" s="204">
        <f t="shared" si="1"/>
        <v>48999951</v>
      </c>
      <c r="V52" s="205"/>
      <c r="W52" s="205"/>
      <c r="X52" s="205"/>
      <c r="Y52" s="205"/>
      <c r="Z52" s="205"/>
      <c r="AA52" s="205"/>
    </row>
    <row r="53" spans="2:28" ht="19.5" customHeight="1" x14ac:dyDescent="0.25">
      <c r="B53" s="163" t="s">
        <v>168</v>
      </c>
      <c r="C53" s="167"/>
      <c r="D53" s="167" t="s">
        <v>227</v>
      </c>
      <c r="E53" s="167"/>
      <c r="F53" s="113">
        <v>175000</v>
      </c>
      <c r="G53" s="167"/>
      <c r="H53" s="113">
        <v>1500</v>
      </c>
      <c r="I53" s="167"/>
      <c r="J53" s="195">
        <v>0</v>
      </c>
      <c r="K53" s="167"/>
      <c r="L53" s="195">
        <v>0</v>
      </c>
      <c r="M53" s="167"/>
      <c r="N53" s="195">
        <f t="shared" si="0"/>
        <v>0</v>
      </c>
      <c r="P53" s="113">
        <v>262500000</v>
      </c>
      <c r="Q53" s="167"/>
      <c r="R53" s="195">
        <v>0</v>
      </c>
      <c r="S53" s="167"/>
      <c r="T53" s="204">
        <f t="shared" si="1"/>
        <v>262500000</v>
      </c>
      <c r="V53" s="205"/>
      <c r="W53" s="205"/>
      <c r="X53" s="205"/>
      <c r="Y53" s="205"/>
      <c r="Z53" s="205"/>
      <c r="AA53" s="205"/>
    </row>
    <row r="54" spans="2:28" ht="19.5" customHeight="1" x14ac:dyDescent="0.25">
      <c r="B54" s="163" t="s">
        <v>197</v>
      </c>
      <c r="C54" s="167"/>
      <c r="D54" s="167" t="s">
        <v>215</v>
      </c>
      <c r="E54" s="167"/>
      <c r="F54" s="113">
        <v>100000</v>
      </c>
      <c r="G54" s="167"/>
      <c r="H54" s="113">
        <v>2350</v>
      </c>
      <c r="I54" s="167"/>
      <c r="J54" s="195">
        <v>0</v>
      </c>
      <c r="K54" s="167"/>
      <c r="L54" s="195">
        <v>0</v>
      </c>
      <c r="M54" s="167"/>
      <c r="N54" s="195">
        <f t="shared" si="0"/>
        <v>0</v>
      </c>
      <c r="P54" s="113">
        <v>235000000</v>
      </c>
      <c r="Q54" s="167"/>
      <c r="R54" s="195">
        <v>0</v>
      </c>
      <c r="S54" s="167"/>
      <c r="T54" s="204">
        <f t="shared" si="1"/>
        <v>235000000</v>
      </c>
      <c r="V54" s="205"/>
      <c r="W54" s="205"/>
      <c r="X54" s="205"/>
      <c r="Y54" s="205"/>
      <c r="Z54" s="205"/>
      <c r="AA54" s="205"/>
    </row>
    <row r="55" spans="2:28" ht="19.5" customHeight="1" thickBot="1" x14ac:dyDescent="0.3">
      <c r="B55" s="163" t="s">
        <v>185</v>
      </c>
      <c r="C55" s="167"/>
      <c r="D55" s="167" t="s">
        <v>255</v>
      </c>
      <c r="E55" s="167"/>
      <c r="F55" s="113">
        <v>3250000</v>
      </c>
      <c r="G55" s="167"/>
      <c r="H55" s="113">
        <v>170</v>
      </c>
      <c r="I55" s="167"/>
      <c r="J55" s="195">
        <v>0</v>
      </c>
      <c r="K55" s="167"/>
      <c r="L55" s="195">
        <v>0</v>
      </c>
      <c r="M55" s="167"/>
      <c r="N55" s="195">
        <f t="shared" si="0"/>
        <v>0</v>
      </c>
      <c r="P55" s="113">
        <v>552500000</v>
      </c>
      <c r="Q55" s="167"/>
      <c r="R55" s="195">
        <v>0</v>
      </c>
      <c r="S55" s="167"/>
      <c r="T55" s="204">
        <f t="shared" si="1"/>
        <v>552500000</v>
      </c>
      <c r="V55" s="205"/>
      <c r="W55" s="205"/>
    </row>
    <row r="56" spans="2:28" ht="23.25" thickBot="1" x14ac:dyDescent="0.3">
      <c r="B56" s="202" t="s">
        <v>7</v>
      </c>
      <c r="F56" s="92">
        <f>SUM(F7:F55)</f>
        <v>1293663554</v>
      </c>
      <c r="H56" s="12"/>
      <c r="J56" s="92">
        <f>SUM(J7:J55)</f>
        <v>26100340000</v>
      </c>
      <c r="K56" s="90"/>
      <c r="L56" s="92">
        <f>SUM(L7:L55)</f>
        <v>-3631851750</v>
      </c>
      <c r="M56" s="90"/>
      <c r="N56" s="92">
        <f>SUM(N7:N55)</f>
        <v>22468488250</v>
      </c>
      <c r="O56" s="90"/>
      <c r="P56" s="92">
        <f>SUM(P7:P55)</f>
        <v>643671705503</v>
      </c>
      <c r="Q56" s="91"/>
      <c r="R56" s="92">
        <f>SUM(R7:R55)</f>
        <v>-4599286838</v>
      </c>
      <c r="S56" s="91"/>
      <c r="T56" s="92">
        <f>SUM(T7:T55)</f>
        <v>639072418665</v>
      </c>
      <c r="AB56" s="12" t="s">
        <v>245</v>
      </c>
    </row>
    <row r="57" spans="2:28" ht="23.25" thickTop="1" x14ac:dyDescent="0.25">
      <c r="H57" s="12"/>
      <c r="V57" s="205"/>
    </row>
    <row r="58" spans="2:28" ht="24.75" x14ac:dyDescent="0.45">
      <c r="J58" s="279"/>
      <c r="L58" s="315"/>
      <c r="N58" s="279"/>
      <c r="P58" s="316"/>
      <c r="R58" s="315"/>
      <c r="T58" s="316"/>
    </row>
    <row r="59" spans="2:28" ht="24.75" x14ac:dyDescent="0.25">
      <c r="J59" s="279"/>
      <c r="L59" s="309"/>
      <c r="N59" s="279"/>
      <c r="R59" s="309"/>
      <c r="T59" s="316"/>
    </row>
    <row r="60" spans="2:28" ht="24.75" x14ac:dyDescent="0.25">
      <c r="J60" s="279"/>
      <c r="N60" s="279"/>
    </row>
    <row r="61" spans="2:28" ht="24.75" x14ac:dyDescent="0.25">
      <c r="J61" s="301"/>
      <c r="N61" s="301"/>
      <c r="P61" s="298"/>
      <c r="Q61" s="299"/>
      <c r="R61" s="298"/>
      <c r="S61" s="299"/>
      <c r="T61" s="300"/>
    </row>
    <row r="72" spans="18:34" x14ac:dyDescent="0.25">
      <c r="X72" s="248"/>
      <c r="Y72" s="248"/>
      <c r="Z72" s="248"/>
      <c r="AA72" s="248"/>
      <c r="AB72" s="248"/>
      <c r="AC72" s="249"/>
      <c r="AD72" s="250"/>
      <c r="AE72" s="251"/>
      <c r="AF72" s="251"/>
      <c r="AG72" s="251"/>
      <c r="AH72" s="251"/>
    </row>
    <row r="76" spans="18:34" ht="27.75" x14ac:dyDescent="0.25">
      <c r="R76" s="150"/>
    </row>
  </sheetData>
  <mergeCells count="6">
    <mergeCell ref="D5:H5"/>
    <mergeCell ref="J5:N5"/>
    <mergeCell ref="P5:T5"/>
    <mergeCell ref="B1:T1"/>
    <mergeCell ref="B2:T2"/>
    <mergeCell ref="B3:T3"/>
  </mergeCells>
  <phoneticPr fontId="27" type="noConversion"/>
  <printOptions horizontalCentered="1"/>
  <pageMargins left="0.7" right="0.7" top="0.75" bottom="0.75" header="0.3" footer="0.3"/>
  <pageSetup paperSize="9" scale="43"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C131"/>
  <sheetViews>
    <sheetView rightToLeft="1" view="pageBreakPreview" zoomScale="60" zoomScaleNormal="100" workbookViewId="0">
      <selection activeCell="T82" sqref="T82"/>
    </sheetView>
  </sheetViews>
  <sheetFormatPr defaultColWidth="8.85546875" defaultRowHeight="33.75" x14ac:dyDescent="0.25"/>
  <cols>
    <col min="1" max="1" width="2.5703125" style="12" customWidth="1"/>
    <col min="2" max="2" width="42" style="12" bestFit="1" customWidth="1"/>
    <col min="3" max="3" width="1.28515625" style="12" customWidth="1"/>
    <col min="4" max="4" width="24.85546875" style="116" bestFit="1" customWidth="1"/>
    <col min="5" max="5" width="1.140625" style="12" customWidth="1"/>
    <col min="6" max="6" width="31.7109375" style="12" bestFit="1" customWidth="1"/>
    <col min="7" max="7" width="0.7109375" style="12" customWidth="1"/>
    <col min="8" max="8" width="34.140625" style="12" bestFit="1" customWidth="1"/>
    <col min="9" max="9" width="0.7109375" style="12" customWidth="1"/>
    <col min="10" max="10" width="32.5703125" style="12" bestFit="1" customWidth="1"/>
    <col min="11" max="11" width="0.7109375" style="12" customWidth="1"/>
    <col min="12" max="12" width="24.85546875" style="116" bestFit="1" customWidth="1"/>
    <col min="13" max="13" width="1" style="12" customWidth="1"/>
    <col min="14" max="14" width="31.85546875" style="12" bestFit="1" customWidth="1"/>
    <col min="15" max="15" width="0.7109375" style="12" customWidth="1"/>
    <col min="16" max="16" width="32" style="12" bestFit="1" customWidth="1"/>
    <col min="17" max="17" width="1" style="12" customWidth="1"/>
    <col min="18" max="18" width="32.5703125" style="257" bestFit="1" customWidth="1"/>
    <col min="19" max="19" width="29.140625" style="254" bestFit="1" customWidth="1"/>
    <col min="20" max="20" width="37.5703125" style="116" bestFit="1" customWidth="1"/>
    <col min="21" max="21" width="22.28515625" style="12" bestFit="1" customWidth="1"/>
    <col min="22" max="22" width="57.85546875" style="184" bestFit="1" customWidth="1"/>
    <col min="23" max="23" width="57" style="184" customWidth="1"/>
    <col min="24" max="25" width="30.5703125" style="184" bestFit="1" customWidth="1"/>
    <col min="26" max="26" width="28.7109375" style="184" bestFit="1" customWidth="1"/>
    <col min="27" max="27" width="8.85546875" style="184"/>
    <col min="28" max="16384" width="8.85546875" style="12"/>
  </cols>
  <sheetData>
    <row r="1" spans="2:29" x14ac:dyDescent="0.25">
      <c r="B1" s="376" t="str">
        <f>'درآمد ناشی ازفروش'!B1:R1</f>
        <v>صندوق سرمایه گذاری شاخص سی شرکت بزرگ فیروزه</v>
      </c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W1" s="185"/>
    </row>
    <row r="2" spans="2:29" x14ac:dyDescent="0.25">
      <c r="B2" s="376" t="s">
        <v>87</v>
      </c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W2" s="185"/>
    </row>
    <row r="3" spans="2:29" x14ac:dyDescent="0.25">
      <c r="B3" s="376" t="str">
        <f>' سهام'!AC6</f>
        <v>برای ماه منتهی به 1404/10/30</v>
      </c>
      <c r="C3" s="376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W3" s="185"/>
    </row>
    <row r="4" spans="2:29" x14ac:dyDescent="0.25">
      <c r="B4" s="392" t="s">
        <v>97</v>
      </c>
      <c r="C4" s="392"/>
      <c r="D4" s="392"/>
      <c r="E4" s="392"/>
      <c r="F4" s="392"/>
      <c r="G4" s="392"/>
      <c r="H4" s="392"/>
      <c r="I4" s="392"/>
      <c r="W4" s="185"/>
      <c r="AC4" s="12" t="s">
        <v>187</v>
      </c>
    </row>
    <row r="5" spans="2:29" ht="34.5" thickBot="1" x14ac:dyDescent="0.3">
      <c r="D5" s="387" t="str">
        <f>' سهام'!AC7</f>
        <v>طی دی ماه</v>
      </c>
      <c r="E5" s="387"/>
      <c r="F5" s="387"/>
      <c r="G5" s="387"/>
      <c r="H5" s="387"/>
      <c r="I5" s="387"/>
      <c r="J5" s="387"/>
      <c r="L5" s="387" t="str">
        <f>' سهام'!AC8</f>
        <v>از ابتدای سال مالی تا پایان دی ماه</v>
      </c>
      <c r="M5" s="387"/>
      <c r="N5" s="387"/>
      <c r="O5" s="387"/>
      <c r="P5" s="387"/>
      <c r="Q5" s="387"/>
      <c r="R5" s="387"/>
      <c r="W5" s="185"/>
      <c r="AC5" s="12" t="s">
        <v>188</v>
      </c>
    </row>
    <row r="6" spans="2:29" ht="53.25" customHeight="1" thickBot="1" x14ac:dyDescent="0.3">
      <c r="B6" s="12" t="s">
        <v>64</v>
      </c>
      <c r="D6" s="111" t="s">
        <v>8</v>
      </c>
      <c r="F6" s="186" t="s">
        <v>32</v>
      </c>
      <c r="H6" s="133" t="s">
        <v>74</v>
      </c>
      <c r="J6" s="186" t="s">
        <v>75</v>
      </c>
      <c r="L6" s="111" t="s">
        <v>8</v>
      </c>
      <c r="N6" s="186" t="s">
        <v>32</v>
      </c>
      <c r="P6" s="133" t="s">
        <v>74</v>
      </c>
      <c r="R6" s="258" t="s">
        <v>75</v>
      </c>
      <c r="V6" s="185"/>
      <c r="W6" s="185"/>
      <c r="AC6" s="12" t="s">
        <v>189</v>
      </c>
    </row>
    <row r="7" spans="2:29" s="188" customFormat="1" ht="30" customHeight="1" x14ac:dyDescent="0.25">
      <c r="B7" s="187" t="s">
        <v>157</v>
      </c>
      <c r="C7" s="187"/>
      <c r="D7" s="101">
        <v>232900</v>
      </c>
      <c r="E7" s="101"/>
      <c r="F7" s="101">
        <v>470518954</v>
      </c>
      <c r="G7" s="101"/>
      <c r="H7" s="101">
        <v>-524596280</v>
      </c>
      <c r="I7" s="101"/>
      <c r="J7" s="101">
        <v>-54077325</v>
      </c>
      <c r="K7" s="101"/>
      <c r="L7" s="101">
        <v>232900</v>
      </c>
      <c r="M7" s="101"/>
      <c r="N7" s="101">
        <v>470518954</v>
      </c>
      <c r="O7" s="101"/>
      <c r="P7" s="101">
        <v>-522807947</v>
      </c>
      <c r="Q7" s="101"/>
      <c r="R7" s="101">
        <v>-52288992</v>
      </c>
      <c r="S7" s="253"/>
      <c r="T7" s="116"/>
      <c r="U7" s="173"/>
      <c r="V7" s="185"/>
      <c r="W7" s="185"/>
      <c r="X7" s="184"/>
      <c r="Y7" s="184"/>
      <c r="Z7" s="189"/>
      <c r="AA7" s="184"/>
      <c r="AC7" s="188" t="s">
        <v>190</v>
      </c>
    </row>
    <row r="8" spans="2:29" s="188" customFormat="1" ht="30" customHeight="1" x14ac:dyDescent="0.25">
      <c r="B8" s="187" t="s">
        <v>141</v>
      </c>
      <c r="C8" s="187"/>
      <c r="D8" s="101">
        <v>1000</v>
      </c>
      <c r="E8" s="101"/>
      <c r="F8" s="101">
        <v>54683999</v>
      </c>
      <c r="G8" s="101"/>
      <c r="H8" s="101">
        <v>-56351013</v>
      </c>
      <c r="I8" s="101"/>
      <c r="J8" s="101">
        <f>H8+F8</f>
        <v>-1667014</v>
      </c>
      <c r="K8" s="101"/>
      <c r="L8" s="101">
        <v>1000</v>
      </c>
      <c r="M8" s="101"/>
      <c r="N8" s="101">
        <v>54683999</v>
      </c>
      <c r="O8" s="101"/>
      <c r="P8" s="101">
        <v>-79176082</v>
      </c>
      <c r="Q8" s="101"/>
      <c r="R8" s="101">
        <v>-24492082</v>
      </c>
      <c r="S8" s="253"/>
      <c r="T8" s="116"/>
      <c r="U8" s="173"/>
      <c r="V8" s="185"/>
      <c r="W8" s="185"/>
      <c r="X8" s="184"/>
      <c r="Y8" s="184"/>
      <c r="Z8" s="189"/>
      <c r="AA8" s="184"/>
      <c r="AC8" s="188" t="s">
        <v>191</v>
      </c>
    </row>
    <row r="9" spans="2:29" s="188" customFormat="1" ht="30" customHeight="1" x14ac:dyDescent="0.25">
      <c r="B9" s="187" t="s">
        <v>137</v>
      </c>
      <c r="C9" s="187"/>
      <c r="D9" s="101">
        <v>1000</v>
      </c>
      <c r="E9" s="101"/>
      <c r="F9" s="101">
        <v>37160511</v>
      </c>
      <c r="G9" s="101"/>
      <c r="H9" s="101">
        <v>-567988676</v>
      </c>
      <c r="I9" s="101"/>
      <c r="J9" s="101">
        <f t="shared" ref="J9:J37" si="0">H9+F9</f>
        <v>-530828165</v>
      </c>
      <c r="K9" s="101"/>
      <c r="L9" s="101">
        <v>1000</v>
      </c>
      <c r="M9" s="101"/>
      <c r="N9" s="101">
        <v>37160511</v>
      </c>
      <c r="O9" s="101"/>
      <c r="P9" s="101">
        <v>-20873618</v>
      </c>
      <c r="Q9" s="101"/>
      <c r="R9" s="101">
        <v>16286893</v>
      </c>
      <c r="S9" s="253"/>
      <c r="T9" s="116"/>
      <c r="U9" s="173"/>
      <c r="V9" s="185"/>
      <c r="W9" s="185"/>
      <c r="X9" s="184"/>
      <c r="Y9" s="184"/>
      <c r="Z9" s="189"/>
      <c r="AA9" s="184"/>
    </row>
    <row r="10" spans="2:29" s="188" customFormat="1" ht="30" customHeight="1" x14ac:dyDescent="0.25">
      <c r="B10" s="187" t="s">
        <v>112</v>
      </c>
      <c r="C10" s="187"/>
      <c r="D10" s="101">
        <v>600000000</v>
      </c>
      <c r="E10" s="101"/>
      <c r="F10" s="101">
        <v>875182140000</v>
      </c>
      <c r="G10" s="101"/>
      <c r="H10" s="101">
        <v>-892792629170</v>
      </c>
      <c r="I10" s="101"/>
      <c r="J10" s="101">
        <f t="shared" si="0"/>
        <v>-17610489170</v>
      </c>
      <c r="K10" s="101"/>
      <c r="L10" s="101">
        <v>600000000</v>
      </c>
      <c r="M10" s="101"/>
      <c r="N10" s="101">
        <v>875182140000</v>
      </c>
      <c r="O10" s="101"/>
      <c r="P10" s="101">
        <v>-794209418279</v>
      </c>
      <c r="Q10" s="101"/>
      <c r="R10" s="101">
        <v>80972721720</v>
      </c>
      <c r="S10" s="253"/>
      <c r="T10" s="116"/>
      <c r="U10" s="173"/>
      <c r="V10" s="185"/>
      <c r="W10" s="185"/>
      <c r="X10" s="184"/>
      <c r="Y10" s="184"/>
      <c r="Z10" s="189"/>
      <c r="AA10" s="184"/>
    </row>
    <row r="11" spans="2:29" s="188" customFormat="1" ht="30" customHeight="1" x14ac:dyDescent="0.25">
      <c r="B11" s="187" t="s">
        <v>139</v>
      </c>
      <c r="C11" s="187"/>
      <c r="D11" s="101">
        <v>24000000</v>
      </c>
      <c r="E11" s="101"/>
      <c r="F11" s="101">
        <v>175036428000</v>
      </c>
      <c r="G11" s="101"/>
      <c r="H11" s="101">
        <v>-180324528678</v>
      </c>
      <c r="I11" s="101"/>
      <c r="J11" s="101">
        <f t="shared" si="0"/>
        <v>-5288100678</v>
      </c>
      <c r="K11" s="101"/>
      <c r="L11" s="101">
        <v>24000000</v>
      </c>
      <c r="M11" s="101"/>
      <c r="N11" s="101">
        <v>175036428000</v>
      </c>
      <c r="O11" s="101"/>
      <c r="P11" s="101">
        <v>-178741795448</v>
      </c>
      <c r="Q11" s="101"/>
      <c r="R11" s="101">
        <v>-3705367448</v>
      </c>
      <c r="S11" s="253"/>
      <c r="T11" s="116"/>
      <c r="U11" s="173"/>
      <c r="V11" s="185"/>
      <c r="W11" s="185"/>
      <c r="X11" s="184"/>
      <c r="Y11" s="184"/>
      <c r="Z11" s="189"/>
      <c r="AA11" s="184"/>
    </row>
    <row r="12" spans="2:29" s="188" customFormat="1" ht="30" customHeight="1" x14ac:dyDescent="0.25">
      <c r="B12" s="187" t="s">
        <v>110</v>
      </c>
      <c r="C12" s="187"/>
      <c r="D12" s="101">
        <v>100000000</v>
      </c>
      <c r="E12" s="101"/>
      <c r="F12" s="101">
        <v>60726924000</v>
      </c>
      <c r="G12" s="101"/>
      <c r="H12" s="101">
        <v>-63936992248</v>
      </c>
      <c r="I12" s="101"/>
      <c r="J12" s="101">
        <f t="shared" si="0"/>
        <v>-3210068248</v>
      </c>
      <c r="K12" s="101"/>
      <c r="L12" s="101">
        <v>100000000</v>
      </c>
      <c r="M12" s="101"/>
      <c r="N12" s="101">
        <v>60726924000</v>
      </c>
      <c r="O12" s="101"/>
      <c r="P12" s="101">
        <v>-50630202748</v>
      </c>
      <c r="Q12" s="101"/>
      <c r="R12" s="101">
        <v>10096721252</v>
      </c>
      <c r="S12" s="253"/>
      <c r="T12" s="116"/>
      <c r="U12" s="173"/>
      <c r="V12" s="185"/>
      <c r="W12" s="185"/>
      <c r="X12" s="184"/>
      <c r="Y12" s="184"/>
      <c r="Z12" s="189"/>
      <c r="AA12" s="184"/>
    </row>
    <row r="13" spans="2:29" s="188" customFormat="1" ht="30" customHeight="1" x14ac:dyDescent="0.25">
      <c r="B13" s="187" t="s">
        <v>144</v>
      </c>
      <c r="C13" s="187"/>
      <c r="D13" s="101">
        <v>10000000</v>
      </c>
      <c r="E13" s="101"/>
      <c r="F13" s="101">
        <v>162533826000</v>
      </c>
      <c r="G13" s="101"/>
      <c r="H13" s="101">
        <v>-137917155115</v>
      </c>
      <c r="I13" s="101"/>
      <c r="J13" s="101">
        <f t="shared" si="0"/>
        <v>24616670885</v>
      </c>
      <c r="K13" s="101"/>
      <c r="L13" s="101">
        <v>10000000</v>
      </c>
      <c r="M13" s="101"/>
      <c r="N13" s="101">
        <v>162533826000</v>
      </c>
      <c r="O13" s="101"/>
      <c r="P13" s="101">
        <v>-125791159715</v>
      </c>
      <c r="Q13" s="101"/>
      <c r="R13" s="101">
        <v>36742666285</v>
      </c>
      <c r="S13" s="253"/>
      <c r="T13" s="116"/>
      <c r="U13" s="173"/>
      <c r="V13" s="185"/>
      <c r="W13" s="185"/>
      <c r="X13" s="184"/>
      <c r="Y13" s="184"/>
      <c r="Z13" s="189"/>
      <c r="AA13" s="184"/>
    </row>
    <row r="14" spans="2:29" s="188" customFormat="1" ht="30" customHeight="1" x14ac:dyDescent="0.25">
      <c r="B14" s="187" t="s">
        <v>164</v>
      </c>
      <c r="C14" s="187"/>
      <c r="D14" s="101">
        <v>4000000</v>
      </c>
      <c r="E14" s="101"/>
      <c r="F14" s="101">
        <v>131892528400</v>
      </c>
      <c r="G14" s="101"/>
      <c r="H14" s="101">
        <v>-123636842000</v>
      </c>
      <c r="I14" s="101"/>
      <c r="J14" s="101">
        <f t="shared" si="0"/>
        <v>8255686400</v>
      </c>
      <c r="K14" s="101"/>
      <c r="L14" s="101">
        <v>4000000</v>
      </c>
      <c r="M14" s="101"/>
      <c r="N14" s="101">
        <v>131892528400</v>
      </c>
      <c r="O14" s="101"/>
      <c r="P14" s="101">
        <v>-100822852615</v>
      </c>
      <c r="Q14" s="101"/>
      <c r="R14" s="101">
        <v>31069675785</v>
      </c>
      <c r="S14" s="253"/>
      <c r="T14" s="116"/>
      <c r="U14" s="173"/>
      <c r="V14" s="185"/>
      <c r="W14" s="185"/>
      <c r="X14" s="184"/>
      <c r="Y14" s="184"/>
      <c r="Z14" s="189"/>
      <c r="AA14" s="184"/>
    </row>
    <row r="15" spans="2:29" s="188" customFormat="1" ht="30" customHeight="1" x14ac:dyDescent="0.25">
      <c r="B15" s="187" t="s">
        <v>111</v>
      </c>
      <c r="C15" s="187"/>
      <c r="D15" s="101">
        <v>1000</v>
      </c>
      <c r="E15" s="101"/>
      <c r="F15" s="101">
        <v>5457485</v>
      </c>
      <c r="G15" s="101"/>
      <c r="H15" s="101">
        <v>-5457485</v>
      </c>
      <c r="I15" s="101"/>
      <c r="J15" s="101">
        <f t="shared" si="0"/>
        <v>0</v>
      </c>
      <c r="K15" s="101"/>
      <c r="L15" s="101">
        <v>1000</v>
      </c>
      <c r="M15" s="101"/>
      <c r="N15" s="101">
        <v>5457485</v>
      </c>
      <c r="O15" s="101"/>
      <c r="P15" s="101">
        <v>-1846946</v>
      </c>
      <c r="Q15" s="101"/>
      <c r="R15" s="101">
        <v>3610539</v>
      </c>
      <c r="S15" s="253"/>
      <c r="T15" s="116"/>
      <c r="U15" s="173"/>
      <c r="V15" s="185"/>
      <c r="W15" s="185"/>
      <c r="X15" s="184"/>
      <c r="Y15" s="184"/>
      <c r="Z15" s="189"/>
      <c r="AA15" s="184"/>
    </row>
    <row r="16" spans="2:29" s="188" customFormat="1" ht="30" customHeight="1" x14ac:dyDescent="0.25">
      <c r="B16" s="187" t="s">
        <v>136</v>
      </c>
      <c r="C16" s="187"/>
      <c r="D16" s="101">
        <v>160000000</v>
      </c>
      <c r="E16" s="101"/>
      <c r="F16" s="101">
        <v>88748628800</v>
      </c>
      <c r="G16" s="101"/>
      <c r="H16" s="101">
        <v>-93944873495</v>
      </c>
      <c r="I16" s="101"/>
      <c r="J16" s="101">
        <f t="shared" si="0"/>
        <v>-5196244695</v>
      </c>
      <c r="K16" s="101"/>
      <c r="L16" s="101">
        <v>160000000</v>
      </c>
      <c r="M16" s="101"/>
      <c r="N16" s="101">
        <v>88748628800</v>
      </c>
      <c r="O16" s="101"/>
      <c r="P16" s="101">
        <v>-93083912212</v>
      </c>
      <c r="Q16" s="101"/>
      <c r="R16" s="101">
        <v>-4335283412</v>
      </c>
      <c r="S16" s="253"/>
      <c r="T16" s="116"/>
      <c r="U16" s="173"/>
      <c r="V16" s="185"/>
      <c r="W16" s="185"/>
      <c r="X16" s="184"/>
      <c r="Y16" s="184"/>
      <c r="Z16" s="189"/>
      <c r="AA16" s="184"/>
    </row>
    <row r="17" spans="2:27" s="188" customFormat="1" ht="30" customHeight="1" x14ac:dyDescent="0.25">
      <c r="B17" s="187" t="s">
        <v>118</v>
      </c>
      <c r="C17" s="187"/>
      <c r="D17" s="101">
        <v>2100000</v>
      </c>
      <c r="E17" s="101"/>
      <c r="F17" s="101">
        <v>126151254180</v>
      </c>
      <c r="G17" s="101"/>
      <c r="H17" s="101">
        <v>-128084919763</v>
      </c>
      <c r="I17" s="101"/>
      <c r="J17" s="101">
        <f t="shared" si="0"/>
        <v>-1933665583</v>
      </c>
      <c r="K17" s="101"/>
      <c r="L17" s="101">
        <v>2100000</v>
      </c>
      <c r="M17" s="101"/>
      <c r="N17" s="101">
        <v>126151254180</v>
      </c>
      <c r="O17" s="101"/>
      <c r="P17" s="101">
        <v>-118375855092</v>
      </c>
      <c r="Q17" s="101"/>
      <c r="R17" s="101">
        <v>7775399087</v>
      </c>
      <c r="S17" s="253"/>
      <c r="T17" s="116"/>
      <c r="U17" s="173"/>
      <c r="V17" s="185"/>
      <c r="W17" s="185"/>
      <c r="X17" s="184"/>
      <c r="Y17" s="184"/>
      <c r="Z17" s="189"/>
      <c r="AA17" s="184"/>
    </row>
    <row r="18" spans="2:27" s="188" customFormat="1" ht="30" customHeight="1" x14ac:dyDescent="0.25">
      <c r="B18" s="187" t="s">
        <v>126</v>
      </c>
      <c r="C18" s="187"/>
      <c r="D18" s="101">
        <v>1000</v>
      </c>
      <c r="E18" s="101"/>
      <c r="F18" s="101">
        <v>511019</v>
      </c>
      <c r="G18" s="101"/>
      <c r="H18" s="101">
        <v>-586431</v>
      </c>
      <c r="I18" s="101"/>
      <c r="J18" s="101">
        <f t="shared" si="0"/>
        <v>-75412</v>
      </c>
      <c r="K18" s="101"/>
      <c r="L18" s="101">
        <v>1000</v>
      </c>
      <c r="M18" s="101"/>
      <c r="N18" s="101">
        <v>511019</v>
      </c>
      <c r="O18" s="101"/>
      <c r="P18" s="101">
        <v>-483356</v>
      </c>
      <c r="Q18" s="101"/>
      <c r="R18" s="101">
        <v>27663</v>
      </c>
      <c r="S18" s="253"/>
      <c r="T18" s="116"/>
      <c r="U18" s="173"/>
      <c r="V18" s="185"/>
      <c r="W18" s="185"/>
      <c r="X18" s="184"/>
      <c r="Y18" s="184"/>
      <c r="Z18" s="189"/>
      <c r="AA18" s="184"/>
    </row>
    <row r="19" spans="2:27" s="188" customFormat="1" ht="30" customHeight="1" x14ac:dyDescent="0.25">
      <c r="B19" s="187" t="s">
        <v>131</v>
      </c>
      <c r="C19" s="187"/>
      <c r="D19" s="101">
        <v>18000000</v>
      </c>
      <c r="E19" s="101"/>
      <c r="F19" s="101">
        <v>432232812000</v>
      </c>
      <c r="G19" s="101"/>
      <c r="H19" s="101">
        <v>-376320042000</v>
      </c>
      <c r="I19" s="101"/>
      <c r="J19" s="101">
        <f t="shared" si="0"/>
        <v>55912770000</v>
      </c>
      <c r="K19" s="101"/>
      <c r="L19" s="101">
        <v>18000000</v>
      </c>
      <c r="M19" s="101"/>
      <c r="N19" s="101">
        <v>432232812000</v>
      </c>
      <c r="O19" s="101"/>
      <c r="P19" s="101">
        <v>-401916179910</v>
      </c>
      <c r="Q19" s="101"/>
      <c r="R19" s="101">
        <v>30316632089</v>
      </c>
      <c r="S19" s="253"/>
      <c r="T19" s="116"/>
      <c r="U19" s="173"/>
      <c r="V19" s="185"/>
      <c r="W19" s="185"/>
      <c r="X19" s="184"/>
      <c r="Y19" s="184"/>
      <c r="Z19" s="189"/>
      <c r="AA19" s="184"/>
    </row>
    <row r="20" spans="2:27" s="188" customFormat="1" ht="30" customHeight="1" x14ac:dyDescent="0.25">
      <c r="B20" s="187" t="s">
        <v>272</v>
      </c>
      <c r="C20" s="187"/>
      <c r="D20" s="101">
        <v>74867706</v>
      </c>
      <c r="E20" s="101"/>
      <c r="F20" s="101">
        <v>351609735868</v>
      </c>
      <c r="G20" s="101"/>
      <c r="H20" s="101">
        <v>-363938713416</v>
      </c>
      <c r="I20" s="101"/>
      <c r="J20" s="101">
        <f t="shared" si="0"/>
        <v>-12328977548</v>
      </c>
      <c r="K20" s="101"/>
      <c r="L20" s="101">
        <v>74867706</v>
      </c>
      <c r="M20" s="101"/>
      <c r="N20" s="101">
        <v>351609735868</v>
      </c>
      <c r="O20" s="101"/>
      <c r="P20" s="101">
        <v>-363938713416</v>
      </c>
      <c r="Q20" s="101"/>
      <c r="R20" s="101">
        <v>-12328977547</v>
      </c>
      <c r="S20" s="253"/>
      <c r="T20" s="116"/>
      <c r="U20" s="173"/>
      <c r="V20" s="185"/>
      <c r="W20" s="185"/>
      <c r="X20" s="184"/>
      <c r="Y20" s="184"/>
      <c r="Z20" s="189"/>
      <c r="AA20" s="184"/>
    </row>
    <row r="21" spans="2:27" s="188" customFormat="1" ht="30" customHeight="1" x14ac:dyDescent="0.25">
      <c r="B21" s="187" t="s">
        <v>135</v>
      </c>
      <c r="C21" s="187"/>
      <c r="D21" s="101">
        <v>1000</v>
      </c>
      <c r="E21" s="101"/>
      <c r="F21" s="101">
        <v>5616248</v>
      </c>
      <c r="G21" s="101"/>
      <c r="H21" s="101">
        <v>-5953620</v>
      </c>
      <c r="I21" s="101"/>
      <c r="J21" s="101">
        <f t="shared" si="0"/>
        <v>-337372</v>
      </c>
      <c r="K21" s="101"/>
      <c r="L21" s="101">
        <v>1000</v>
      </c>
      <c r="M21" s="101"/>
      <c r="N21" s="101">
        <v>5616248</v>
      </c>
      <c r="O21" s="101"/>
      <c r="P21" s="101">
        <v>-4876726</v>
      </c>
      <c r="Q21" s="101"/>
      <c r="R21" s="101">
        <v>739522</v>
      </c>
      <c r="S21" s="253"/>
      <c r="T21" s="116"/>
      <c r="U21" s="173"/>
      <c r="V21" s="185"/>
      <c r="W21" s="185"/>
      <c r="X21" s="184"/>
      <c r="Y21" s="184"/>
      <c r="Z21" s="189"/>
      <c r="AA21" s="184"/>
    </row>
    <row r="22" spans="2:27" s="188" customFormat="1" ht="30" customHeight="1" x14ac:dyDescent="0.25">
      <c r="B22" s="187" t="s">
        <v>125</v>
      </c>
      <c r="C22" s="187"/>
      <c r="D22" s="101">
        <v>9000000</v>
      </c>
      <c r="E22" s="101"/>
      <c r="F22" s="101">
        <v>228886920900</v>
      </c>
      <c r="G22" s="101"/>
      <c r="H22" s="101">
        <v>-249962735700</v>
      </c>
      <c r="I22" s="101"/>
      <c r="J22" s="101">
        <f t="shared" si="0"/>
        <v>-21075814800</v>
      </c>
      <c r="K22" s="101"/>
      <c r="L22" s="101">
        <v>9000000</v>
      </c>
      <c r="M22" s="101"/>
      <c r="N22" s="101">
        <v>228886920900</v>
      </c>
      <c r="O22" s="101"/>
      <c r="P22" s="101">
        <v>-171658046321</v>
      </c>
      <c r="Q22" s="101"/>
      <c r="R22" s="101">
        <v>57228874579</v>
      </c>
      <c r="S22" s="253"/>
      <c r="T22" s="116"/>
      <c r="U22" s="173"/>
      <c r="V22" s="185"/>
      <c r="W22" s="185"/>
      <c r="X22" s="184"/>
      <c r="Y22" s="184"/>
      <c r="Z22" s="189"/>
      <c r="AA22" s="184"/>
    </row>
    <row r="23" spans="2:27" s="188" customFormat="1" ht="30" customHeight="1" x14ac:dyDescent="0.25">
      <c r="B23" s="187" t="s">
        <v>113</v>
      </c>
      <c r="C23" s="187"/>
      <c r="D23" s="101">
        <v>100000000</v>
      </c>
      <c r="E23" s="101"/>
      <c r="F23" s="101">
        <v>796792810000</v>
      </c>
      <c r="G23" s="101"/>
      <c r="H23" s="101">
        <v>-718892621700</v>
      </c>
      <c r="I23" s="101"/>
      <c r="J23" s="101">
        <f t="shared" si="0"/>
        <v>77900188300</v>
      </c>
      <c r="K23" s="101"/>
      <c r="L23" s="101">
        <v>100000000</v>
      </c>
      <c r="M23" s="101"/>
      <c r="N23" s="101">
        <v>796792810000</v>
      </c>
      <c r="O23" s="101"/>
      <c r="P23" s="101">
        <v>-373359070697</v>
      </c>
      <c r="Q23" s="101"/>
      <c r="R23" s="101">
        <v>423433739303</v>
      </c>
      <c r="S23" s="253"/>
      <c r="T23" s="116"/>
      <c r="U23" s="173"/>
      <c r="V23" s="185"/>
      <c r="W23" s="185"/>
      <c r="X23" s="184"/>
      <c r="Y23" s="184"/>
      <c r="Z23" s="189"/>
      <c r="AA23" s="184"/>
    </row>
    <row r="24" spans="2:27" s="188" customFormat="1" ht="30" customHeight="1" x14ac:dyDescent="0.25">
      <c r="B24" s="187" t="s">
        <v>238</v>
      </c>
      <c r="C24" s="187"/>
      <c r="D24" s="101">
        <v>36000000</v>
      </c>
      <c r="E24" s="101"/>
      <c r="F24" s="101">
        <v>198969980400</v>
      </c>
      <c r="G24" s="101"/>
      <c r="H24" s="101">
        <v>-199340909899</v>
      </c>
      <c r="I24" s="101"/>
      <c r="J24" s="101">
        <f t="shared" si="0"/>
        <v>-370929499</v>
      </c>
      <c r="K24" s="101"/>
      <c r="L24" s="101">
        <v>36000000</v>
      </c>
      <c r="M24" s="101"/>
      <c r="N24" s="101">
        <v>198969980400</v>
      </c>
      <c r="O24" s="101"/>
      <c r="P24" s="101">
        <v>-146047651342</v>
      </c>
      <c r="Q24" s="101"/>
      <c r="R24" s="101">
        <v>52922329058</v>
      </c>
      <c r="S24" s="253"/>
      <c r="T24" s="116"/>
      <c r="U24" s="173"/>
      <c r="V24" s="185"/>
      <c r="W24" s="185"/>
      <c r="X24" s="184"/>
      <c r="Y24" s="184"/>
      <c r="Z24" s="189"/>
      <c r="AA24" s="184"/>
    </row>
    <row r="25" spans="2:27" s="188" customFormat="1" ht="23.25" customHeight="1" x14ac:dyDescent="0.25">
      <c r="B25" s="187" t="s">
        <v>134</v>
      </c>
      <c r="C25" s="187"/>
      <c r="D25" s="101">
        <v>12000000</v>
      </c>
      <c r="E25" s="101"/>
      <c r="F25" s="101">
        <v>221831881200</v>
      </c>
      <c r="G25" s="101"/>
      <c r="H25" s="101">
        <v>-200883659859</v>
      </c>
      <c r="I25" s="101"/>
      <c r="J25" s="101">
        <f t="shared" si="0"/>
        <v>20948221341</v>
      </c>
      <c r="K25" s="101"/>
      <c r="L25" s="101">
        <v>12000000</v>
      </c>
      <c r="M25" s="101"/>
      <c r="N25" s="101">
        <v>221831881200</v>
      </c>
      <c r="O25" s="101"/>
      <c r="P25" s="101">
        <v>-141013912249</v>
      </c>
      <c r="Q25" s="101"/>
      <c r="R25" s="101">
        <v>80817968951</v>
      </c>
      <c r="S25" s="253"/>
      <c r="T25" s="116"/>
      <c r="U25" s="173"/>
      <c r="V25" s="185"/>
      <c r="W25" s="185"/>
      <c r="X25" s="184"/>
      <c r="Y25" s="184"/>
      <c r="Z25" s="189"/>
      <c r="AA25" s="184"/>
    </row>
    <row r="26" spans="2:27" s="188" customFormat="1" ht="23.25" customHeight="1" x14ac:dyDescent="0.25">
      <c r="B26" s="187" t="s">
        <v>277</v>
      </c>
      <c r="C26" s="187"/>
      <c r="D26" s="101">
        <v>375000</v>
      </c>
      <c r="E26" s="101"/>
      <c r="F26" s="101">
        <v>4275443362</v>
      </c>
      <c r="G26" s="101"/>
      <c r="H26" s="101">
        <v>-3137744212</v>
      </c>
      <c r="I26" s="101"/>
      <c r="J26" s="101">
        <f t="shared" si="0"/>
        <v>1137699150</v>
      </c>
      <c r="K26" s="101"/>
      <c r="L26" s="101">
        <v>375000</v>
      </c>
      <c r="M26" s="101"/>
      <c r="N26" s="101">
        <v>4275443362</v>
      </c>
      <c r="O26" s="101"/>
      <c r="P26" s="101">
        <v>-3137744212</v>
      </c>
      <c r="Q26" s="101"/>
      <c r="R26" s="101">
        <v>1137699150</v>
      </c>
      <c r="S26" s="253"/>
      <c r="T26" s="116"/>
      <c r="U26" s="173"/>
      <c r="V26" s="185"/>
      <c r="W26" s="185"/>
      <c r="X26" s="184"/>
      <c r="Y26" s="184"/>
      <c r="Z26" s="189"/>
      <c r="AA26" s="184"/>
    </row>
    <row r="27" spans="2:27" s="188" customFormat="1" ht="23.25" customHeight="1" x14ac:dyDescent="0.25">
      <c r="B27" s="187" t="s">
        <v>180</v>
      </c>
      <c r="C27" s="187"/>
      <c r="D27" s="101">
        <v>60000000</v>
      </c>
      <c r="E27" s="101"/>
      <c r="F27" s="101">
        <v>160033305600</v>
      </c>
      <c r="G27" s="101"/>
      <c r="H27" s="101">
        <v>-161191490425</v>
      </c>
      <c r="I27" s="101"/>
      <c r="J27" s="101">
        <f t="shared" si="0"/>
        <v>-1158184825</v>
      </c>
      <c r="K27" s="101"/>
      <c r="L27" s="101">
        <v>60000000</v>
      </c>
      <c r="M27" s="101"/>
      <c r="N27" s="101">
        <v>160033305600</v>
      </c>
      <c r="O27" s="101"/>
      <c r="P27" s="101">
        <v>-136919972432</v>
      </c>
      <c r="Q27" s="101"/>
      <c r="R27" s="101">
        <v>23113333167</v>
      </c>
      <c r="S27" s="253"/>
      <c r="T27" s="116"/>
      <c r="U27" s="173"/>
      <c r="V27" s="185"/>
      <c r="W27" s="185"/>
      <c r="X27" s="184"/>
      <c r="Y27" s="184"/>
      <c r="Z27" s="189"/>
      <c r="AA27" s="184"/>
    </row>
    <row r="28" spans="2:27" s="188" customFormat="1" ht="23.25" customHeight="1" x14ac:dyDescent="0.25">
      <c r="B28" s="187" t="s">
        <v>119</v>
      </c>
      <c r="C28" s="187"/>
      <c r="D28" s="101">
        <v>2500000</v>
      </c>
      <c r="E28" s="101"/>
      <c r="F28" s="101">
        <v>150552165750</v>
      </c>
      <c r="G28" s="101"/>
      <c r="H28" s="101">
        <v>-127357854500</v>
      </c>
      <c r="I28" s="101"/>
      <c r="J28" s="101">
        <f t="shared" si="0"/>
        <v>23194311250</v>
      </c>
      <c r="K28" s="101"/>
      <c r="L28" s="101">
        <v>2500000</v>
      </c>
      <c r="M28" s="101"/>
      <c r="N28" s="101">
        <v>150552165750</v>
      </c>
      <c r="O28" s="101"/>
      <c r="P28" s="101">
        <v>-109425838915</v>
      </c>
      <c r="Q28" s="101"/>
      <c r="R28" s="101">
        <v>41126326835</v>
      </c>
      <c r="S28" s="253"/>
      <c r="T28" s="116"/>
      <c r="U28" s="173"/>
      <c r="V28" s="185"/>
      <c r="W28" s="185"/>
      <c r="X28" s="184"/>
      <c r="Y28" s="184"/>
      <c r="Z28" s="189"/>
      <c r="AA28" s="184"/>
    </row>
    <row r="29" spans="2:27" s="188" customFormat="1" ht="23.25" customHeight="1" x14ac:dyDescent="0.25">
      <c r="B29" s="187" t="s">
        <v>192</v>
      </c>
      <c r="C29" s="187"/>
      <c r="D29" s="101">
        <v>58870781</v>
      </c>
      <c r="E29" s="101"/>
      <c r="F29" s="101">
        <v>130500695833</v>
      </c>
      <c r="G29" s="101"/>
      <c r="H29" s="101">
        <v>-122520538250</v>
      </c>
      <c r="I29" s="101"/>
      <c r="J29" s="101">
        <f t="shared" si="0"/>
        <v>7980157583</v>
      </c>
      <c r="K29" s="101"/>
      <c r="L29" s="101">
        <v>58870781</v>
      </c>
      <c r="M29" s="101"/>
      <c r="N29" s="101">
        <v>130500695833</v>
      </c>
      <c r="O29" s="101"/>
      <c r="P29" s="101">
        <v>-94495873076</v>
      </c>
      <c r="Q29" s="101"/>
      <c r="R29" s="101">
        <v>36004822757</v>
      </c>
      <c r="S29" s="253"/>
      <c r="T29" s="116"/>
      <c r="U29" s="173"/>
      <c r="V29" s="185"/>
      <c r="W29" s="185"/>
      <c r="X29" s="184"/>
      <c r="Y29" s="184"/>
      <c r="Z29" s="189"/>
      <c r="AA29" s="184"/>
    </row>
    <row r="30" spans="2:27" s="188" customFormat="1" ht="23.25" customHeight="1" x14ac:dyDescent="0.25">
      <c r="B30" s="187" t="s">
        <v>122</v>
      </c>
      <c r="C30" s="187"/>
      <c r="D30" s="101">
        <v>88000000</v>
      </c>
      <c r="E30" s="101"/>
      <c r="F30" s="101">
        <v>1169211586400</v>
      </c>
      <c r="G30" s="101"/>
      <c r="H30" s="101">
        <v>-912015302168</v>
      </c>
      <c r="I30" s="101"/>
      <c r="J30" s="101">
        <f t="shared" si="0"/>
        <v>257196284232</v>
      </c>
      <c r="K30" s="101"/>
      <c r="L30" s="101">
        <v>88000000</v>
      </c>
      <c r="M30" s="101"/>
      <c r="N30" s="101">
        <v>1169211586400</v>
      </c>
      <c r="O30" s="101"/>
      <c r="P30" s="101">
        <v>-687188950439</v>
      </c>
      <c r="Q30" s="101"/>
      <c r="R30" s="101">
        <v>482022635961</v>
      </c>
      <c r="S30" s="253"/>
      <c r="T30" s="116"/>
      <c r="U30" s="173"/>
      <c r="V30" s="185"/>
      <c r="W30" s="185"/>
      <c r="X30" s="184"/>
      <c r="Y30" s="184"/>
      <c r="Z30" s="189"/>
      <c r="AA30" s="184"/>
    </row>
    <row r="31" spans="2:27" s="188" customFormat="1" ht="23.25" customHeight="1" x14ac:dyDescent="0.25">
      <c r="B31" s="187" t="s">
        <v>262</v>
      </c>
      <c r="C31" s="187"/>
      <c r="D31" s="101">
        <v>257500</v>
      </c>
      <c r="E31" s="101"/>
      <c r="F31" s="101">
        <v>4829130022</v>
      </c>
      <c r="G31" s="101"/>
      <c r="H31" s="101">
        <v>-6082782350</v>
      </c>
      <c r="I31" s="101"/>
      <c r="J31" s="101">
        <f t="shared" si="0"/>
        <v>-1253652328</v>
      </c>
      <c r="K31" s="101"/>
      <c r="L31" s="101">
        <v>257500</v>
      </c>
      <c r="M31" s="101"/>
      <c r="N31" s="101">
        <v>4829130022</v>
      </c>
      <c r="O31" s="101"/>
      <c r="P31" s="101">
        <v>-4270463617</v>
      </c>
      <c r="Q31" s="101"/>
      <c r="R31" s="101">
        <v>558666405</v>
      </c>
      <c r="S31" s="253"/>
      <c r="T31" s="116"/>
      <c r="U31" s="173"/>
      <c r="V31" s="185"/>
      <c r="W31" s="185"/>
      <c r="X31" s="184"/>
      <c r="Y31" s="184"/>
      <c r="Z31" s="189"/>
      <c r="AA31" s="184"/>
    </row>
    <row r="32" spans="2:27" s="188" customFormat="1" ht="23.25" customHeight="1" x14ac:dyDescent="0.25">
      <c r="B32" s="187" t="s">
        <v>123</v>
      </c>
      <c r="C32" s="187"/>
      <c r="D32" s="101">
        <v>11629898</v>
      </c>
      <c r="E32" s="101"/>
      <c r="F32" s="101">
        <v>45790715589</v>
      </c>
      <c r="G32" s="101"/>
      <c r="H32" s="101">
        <v>-125262979306</v>
      </c>
      <c r="I32" s="101"/>
      <c r="J32" s="101">
        <f t="shared" si="0"/>
        <v>-79472263717</v>
      </c>
      <c r="K32" s="101"/>
      <c r="L32" s="101">
        <v>11629898</v>
      </c>
      <c r="M32" s="101"/>
      <c r="N32" s="101">
        <v>45790715589</v>
      </c>
      <c r="O32" s="101"/>
      <c r="P32" s="101">
        <v>-40617205318</v>
      </c>
      <c r="Q32" s="101"/>
      <c r="R32" s="101">
        <v>5173510271</v>
      </c>
      <c r="S32" s="253"/>
      <c r="T32" s="116"/>
      <c r="U32" s="173"/>
      <c r="V32" s="185"/>
      <c r="W32" s="185"/>
      <c r="X32" s="184"/>
      <c r="Y32" s="184"/>
      <c r="Z32" s="189"/>
      <c r="AA32" s="184"/>
    </row>
    <row r="33" spans="2:27" s="188" customFormat="1" ht="23.25" customHeight="1" x14ac:dyDescent="0.25">
      <c r="B33" s="187" t="s">
        <v>120</v>
      </c>
      <c r="C33" s="187"/>
      <c r="D33" s="101">
        <v>5500000</v>
      </c>
      <c r="E33" s="101"/>
      <c r="F33" s="101">
        <v>149371364450</v>
      </c>
      <c r="G33" s="101"/>
      <c r="H33" s="101">
        <v>-119965853752</v>
      </c>
      <c r="I33" s="101"/>
      <c r="J33" s="101">
        <f t="shared" si="0"/>
        <v>29405510698</v>
      </c>
      <c r="K33" s="101"/>
      <c r="L33" s="101">
        <v>5500000</v>
      </c>
      <c r="M33" s="101"/>
      <c r="N33" s="101">
        <v>149371364450</v>
      </c>
      <c r="O33" s="101"/>
      <c r="P33" s="101">
        <v>-107162414044</v>
      </c>
      <c r="Q33" s="101"/>
      <c r="R33" s="101">
        <v>42208950406</v>
      </c>
      <c r="S33" s="253"/>
      <c r="T33" s="116"/>
      <c r="U33" s="173"/>
      <c r="V33" s="185"/>
      <c r="W33" s="185"/>
      <c r="X33" s="184"/>
      <c r="Y33" s="184"/>
      <c r="Z33" s="189"/>
      <c r="AA33" s="184"/>
    </row>
    <row r="34" spans="2:27" s="188" customFormat="1" ht="23.25" customHeight="1" x14ac:dyDescent="0.25">
      <c r="B34" s="187" t="s">
        <v>150</v>
      </c>
      <c r="C34" s="187"/>
      <c r="D34" s="101">
        <v>1782</v>
      </c>
      <c r="E34" s="101"/>
      <c r="F34" s="101">
        <v>10573986</v>
      </c>
      <c r="G34" s="101"/>
      <c r="H34" s="101">
        <v>-10645694</v>
      </c>
      <c r="I34" s="101"/>
      <c r="J34" s="101">
        <f t="shared" si="0"/>
        <v>-71708</v>
      </c>
      <c r="K34" s="101"/>
      <c r="L34" s="101">
        <v>1782</v>
      </c>
      <c r="M34" s="101"/>
      <c r="N34" s="101">
        <v>10573986</v>
      </c>
      <c r="O34" s="101"/>
      <c r="P34" s="101">
        <v>-8899518</v>
      </c>
      <c r="Q34" s="101"/>
      <c r="R34" s="101">
        <v>1674468</v>
      </c>
      <c r="S34" s="253"/>
      <c r="T34" s="116"/>
      <c r="U34" s="173"/>
      <c r="V34" s="185"/>
      <c r="W34" s="185"/>
      <c r="X34" s="184"/>
      <c r="Y34" s="184"/>
      <c r="Z34" s="189"/>
      <c r="AA34" s="184"/>
    </row>
    <row r="35" spans="2:27" s="188" customFormat="1" ht="23.25" customHeight="1" x14ac:dyDescent="0.25">
      <c r="B35" s="187" t="s">
        <v>258</v>
      </c>
      <c r="C35" s="187"/>
      <c r="D35" s="101">
        <v>80000000</v>
      </c>
      <c r="E35" s="101"/>
      <c r="F35" s="101">
        <v>99306381600</v>
      </c>
      <c r="G35" s="101"/>
      <c r="H35" s="101">
        <v>-108549255576</v>
      </c>
      <c r="I35" s="101"/>
      <c r="J35" s="101">
        <f t="shared" si="0"/>
        <v>-9242873976</v>
      </c>
      <c r="K35" s="101"/>
      <c r="L35" s="101">
        <v>80000000</v>
      </c>
      <c r="M35" s="101"/>
      <c r="N35" s="101">
        <v>99306381600</v>
      </c>
      <c r="O35" s="101"/>
      <c r="P35" s="101">
        <v>-109063410216</v>
      </c>
      <c r="Q35" s="101"/>
      <c r="R35" s="101">
        <v>-9757028616</v>
      </c>
      <c r="S35" s="253"/>
      <c r="T35" s="116"/>
      <c r="U35" s="173"/>
      <c r="V35" s="185"/>
      <c r="W35" s="185"/>
      <c r="X35" s="184"/>
      <c r="Y35" s="184"/>
      <c r="Z35" s="189"/>
      <c r="AA35" s="184"/>
    </row>
    <row r="36" spans="2:27" s="188" customFormat="1" ht="23.25" customHeight="1" x14ac:dyDescent="0.25">
      <c r="B36" s="187" t="s">
        <v>116</v>
      </c>
      <c r="C36" s="187"/>
      <c r="D36" s="101">
        <v>1000</v>
      </c>
      <c r="E36" s="101"/>
      <c r="F36" s="101">
        <v>3959157</v>
      </c>
      <c r="G36" s="101"/>
      <c r="H36" s="101">
        <v>-3184194</v>
      </c>
      <c r="I36" s="101"/>
      <c r="J36" s="101">
        <f t="shared" si="0"/>
        <v>774963</v>
      </c>
      <c r="K36" s="101"/>
      <c r="L36" s="101">
        <v>1000</v>
      </c>
      <c r="M36" s="101"/>
      <c r="N36" s="101">
        <v>3959157</v>
      </c>
      <c r="O36" s="101"/>
      <c r="P36" s="101">
        <v>-3590334</v>
      </c>
      <c r="Q36" s="101"/>
      <c r="R36" s="101">
        <v>368823</v>
      </c>
      <c r="S36" s="253"/>
      <c r="T36" s="116"/>
      <c r="U36" s="173"/>
      <c r="V36" s="185"/>
      <c r="W36" s="185"/>
      <c r="X36" s="184"/>
      <c r="Y36" s="184"/>
      <c r="Z36" s="189"/>
      <c r="AA36" s="184"/>
    </row>
    <row r="37" spans="2:27" s="188" customFormat="1" ht="23.25" customHeight="1" thickBot="1" x14ac:dyDescent="0.3">
      <c r="B37" s="187" t="s">
        <v>104</v>
      </c>
      <c r="C37" s="187"/>
      <c r="D37" s="101">
        <v>60000000</v>
      </c>
      <c r="E37" s="101"/>
      <c r="F37" s="101">
        <v>178072774200</v>
      </c>
      <c r="G37" s="101"/>
      <c r="H37" s="101">
        <v>-179542823280</v>
      </c>
      <c r="I37" s="101"/>
      <c r="J37" s="101">
        <f t="shared" si="0"/>
        <v>-1470049080</v>
      </c>
      <c r="K37" s="101"/>
      <c r="L37" s="101">
        <v>60000000</v>
      </c>
      <c r="M37" s="101"/>
      <c r="N37" s="101">
        <v>178072774200</v>
      </c>
      <c r="O37" s="101"/>
      <c r="P37" s="101">
        <v>-113463317394</v>
      </c>
      <c r="Q37" s="101"/>
      <c r="R37" s="101">
        <v>64609456806</v>
      </c>
      <c r="S37" s="253"/>
      <c r="T37" s="116"/>
      <c r="U37" s="173"/>
      <c r="V37" s="185"/>
      <c r="W37" s="185"/>
      <c r="X37" s="184"/>
      <c r="Y37" s="184"/>
      <c r="Z37" s="189"/>
      <c r="AA37" s="191"/>
    </row>
    <row r="38" spans="2:27" s="188" customFormat="1" ht="34.5" thickBot="1" x14ac:dyDescent="0.3">
      <c r="B38" s="192" t="s">
        <v>216</v>
      </c>
      <c r="C38" s="193"/>
      <c r="D38" s="98">
        <f>SUM(D7:D37)</f>
        <v>1517341567</v>
      </c>
      <c r="E38" s="199"/>
      <c r="F38" s="98">
        <f>SUM(F7:F37)</f>
        <v>5943127913913</v>
      </c>
      <c r="G38" s="199"/>
      <c r="H38" s="98">
        <f>SUM(H7:H37)</f>
        <v>-5596778010255</v>
      </c>
      <c r="I38" s="199"/>
      <c r="J38" s="98">
        <f>SUM(J7:J37)</f>
        <v>346349903659</v>
      </c>
      <c r="K38" s="199"/>
      <c r="L38" s="98">
        <f>SUM(L7:L37)</f>
        <v>1517341567</v>
      </c>
      <c r="M38" s="119"/>
      <c r="N38" s="98">
        <f>SUM(N7:N37)</f>
        <v>5943127913913</v>
      </c>
      <c r="O38" s="199"/>
      <c r="P38" s="98">
        <f>SUM(P7:P37)</f>
        <v>-4465976514234</v>
      </c>
      <c r="Q38" s="199"/>
      <c r="R38" s="98">
        <f>SUM(R7:R37)</f>
        <v>1477151399678</v>
      </c>
      <c r="S38" s="255"/>
      <c r="T38" s="116"/>
      <c r="U38" s="12"/>
      <c r="V38" s="185"/>
      <c r="W38" s="185"/>
      <c r="X38" s="184"/>
      <c r="Y38" s="184"/>
      <c r="Z38" s="189"/>
      <c r="AA38" s="184"/>
    </row>
    <row r="39" spans="2:27" s="188" customFormat="1" ht="34.5" thickTop="1" x14ac:dyDescent="0.25">
      <c r="B39" s="180"/>
      <c r="C39" s="170"/>
      <c r="D39" s="196"/>
      <c r="E39" s="193"/>
      <c r="F39" s="196"/>
      <c r="G39" s="195"/>
      <c r="H39" s="196"/>
      <c r="I39" s="195"/>
      <c r="J39" s="196"/>
      <c r="K39" s="195"/>
      <c r="L39" s="117"/>
      <c r="M39" s="195"/>
      <c r="N39" s="196"/>
      <c r="O39" s="195"/>
      <c r="P39" s="196"/>
      <c r="Q39" s="195"/>
      <c r="R39" s="196"/>
      <c r="S39" s="255"/>
      <c r="T39" s="116"/>
      <c r="U39" s="12"/>
      <c r="V39" s="185"/>
      <c r="W39" s="185"/>
      <c r="X39" s="184"/>
      <c r="Y39" s="184"/>
      <c r="Z39" s="189"/>
      <c r="AA39" s="184"/>
    </row>
    <row r="40" spans="2:27" x14ac:dyDescent="0.25">
      <c r="B40" s="392" t="s">
        <v>97</v>
      </c>
      <c r="C40" s="392"/>
      <c r="D40" s="392"/>
      <c r="E40" s="392"/>
      <c r="F40" s="392"/>
      <c r="G40" s="392"/>
      <c r="H40" s="392"/>
      <c r="I40" s="392"/>
      <c r="T40" s="184"/>
      <c r="U40" s="185"/>
      <c r="Z40" s="12"/>
      <c r="AA40" s="12" t="s">
        <v>187</v>
      </c>
    </row>
    <row r="41" spans="2:27" ht="34.5" thickBot="1" x14ac:dyDescent="0.3">
      <c r="D41" s="387" t="str">
        <f>D5</f>
        <v>طی دی ماه</v>
      </c>
      <c r="E41" s="387"/>
      <c r="F41" s="387"/>
      <c r="G41" s="387"/>
      <c r="H41" s="387"/>
      <c r="I41" s="387"/>
      <c r="J41" s="387"/>
      <c r="L41" s="387" t="str">
        <f>L5</f>
        <v>از ابتدای سال مالی تا پایان دی ماه</v>
      </c>
      <c r="M41" s="387"/>
      <c r="N41" s="387"/>
      <c r="O41" s="387"/>
      <c r="P41" s="387"/>
      <c r="Q41" s="387"/>
      <c r="R41" s="387"/>
      <c r="T41" s="184"/>
      <c r="U41" s="185"/>
      <c r="Z41" s="12"/>
      <c r="AA41" s="12" t="s">
        <v>188</v>
      </c>
    </row>
    <row r="42" spans="2:27" ht="53.25" customHeight="1" thickBot="1" x14ac:dyDescent="0.3">
      <c r="B42" s="12" t="s">
        <v>64</v>
      </c>
      <c r="D42" s="111" t="s">
        <v>8</v>
      </c>
      <c r="F42" s="186" t="s">
        <v>32</v>
      </c>
      <c r="H42" s="133" t="s">
        <v>74</v>
      </c>
      <c r="J42" s="186" t="s">
        <v>75</v>
      </c>
      <c r="L42" s="111" t="s">
        <v>8</v>
      </c>
      <c r="N42" s="186" t="s">
        <v>32</v>
      </c>
      <c r="P42" s="133" t="s">
        <v>74</v>
      </c>
      <c r="R42" s="258" t="s">
        <v>75</v>
      </c>
      <c r="T42" s="185"/>
      <c r="U42" s="185"/>
      <c r="Z42" s="12"/>
      <c r="AA42" s="12" t="s">
        <v>189</v>
      </c>
    </row>
    <row r="43" spans="2:27" s="188" customFormat="1" x14ac:dyDescent="0.25">
      <c r="B43" s="197" t="s">
        <v>217</v>
      </c>
      <c r="C43" s="187"/>
      <c r="D43" s="101">
        <f>D38</f>
        <v>1517341567</v>
      </c>
      <c r="E43" s="101"/>
      <c r="F43" s="101">
        <f>F38</f>
        <v>5943127913913</v>
      </c>
      <c r="G43" s="101"/>
      <c r="H43" s="101">
        <f>H38</f>
        <v>-5596778010255</v>
      </c>
      <c r="I43" s="101"/>
      <c r="J43" s="101">
        <f>J38</f>
        <v>346349903659</v>
      </c>
      <c r="K43" s="101"/>
      <c r="L43" s="101">
        <f>L38</f>
        <v>1517341567</v>
      </c>
      <c r="M43" s="101"/>
      <c r="N43" s="101">
        <f>N38</f>
        <v>5943127913913</v>
      </c>
      <c r="O43" s="101"/>
      <c r="P43" s="101">
        <f>P38</f>
        <v>-4465976514234</v>
      </c>
      <c r="Q43" s="101"/>
      <c r="R43" s="101">
        <f>R38</f>
        <v>1477151399678</v>
      </c>
      <c r="S43" s="253"/>
      <c r="T43" s="185"/>
      <c r="U43" s="185"/>
      <c r="V43" s="184"/>
      <c r="W43" s="184"/>
      <c r="X43" s="189"/>
      <c r="Y43" s="184"/>
    </row>
    <row r="44" spans="2:27" s="188" customFormat="1" x14ac:dyDescent="0.25">
      <c r="B44" s="187" t="s">
        <v>182</v>
      </c>
      <c r="C44" s="187"/>
      <c r="D44" s="101">
        <v>60000000</v>
      </c>
      <c r="E44" s="101"/>
      <c r="F44" s="101">
        <v>99127773000</v>
      </c>
      <c r="G44" s="101"/>
      <c r="H44" s="101">
        <v>-109070318400</v>
      </c>
      <c r="I44" s="101"/>
      <c r="J44" s="101">
        <f>F44+H44</f>
        <v>-9942545400</v>
      </c>
      <c r="K44" s="101"/>
      <c r="L44" s="101">
        <v>60000000</v>
      </c>
      <c r="M44" s="101"/>
      <c r="N44" s="101">
        <v>99127773000</v>
      </c>
      <c r="O44" s="101"/>
      <c r="P44" s="101">
        <v>-98042294767</v>
      </c>
      <c r="Q44" s="101"/>
      <c r="R44" s="101">
        <v>1085478232</v>
      </c>
      <c r="S44" s="253"/>
      <c r="T44" s="185"/>
      <c r="U44" s="185"/>
      <c r="V44" s="184"/>
      <c r="W44" s="184"/>
      <c r="X44" s="189"/>
      <c r="Y44" s="184"/>
    </row>
    <row r="45" spans="2:27" s="188" customFormat="1" x14ac:dyDescent="0.25">
      <c r="B45" s="187" t="s">
        <v>276</v>
      </c>
      <c r="C45" s="187"/>
      <c r="D45" s="101">
        <v>15400000</v>
      </c>
      <c r="E45" s="101"/>
      <c r="F45" s="101">
        <v>104063323980</v>
      </c>
      <c r="G45" s="101"/>
      <c r="H45" s="101">
        <v>-96257140430</v>
      </c>
      <c r="I45" s="101"/>
      <c r="J45" s="101">
        <f t="shared" ref="J45:J63" si="1">F45+H45</f>
        <v>7806183550</v>
      </c>
      <c r="K45" s="101"/>
      <c r="L45" s="101">
        <v>15400000</v>
      </c>
      <c r="M45" s="101"/>
      <c r="N45" s="101">
        <v>104063323980</v>
      </c>
      <c r="O45" s="101"/>
      <c r="P45" s="101">
        <v>-96257140430</v>
      </c>
      <c r="Q45" s="101"/>
      <c r="R45" s="101">
        <v>7806183549</v>
      </c>
      <c r="S45" s="253"/>
      <c r="T45" s="185"/>
      <c r="U45" s="185"/>
      <c r="V45" s="184"/>
      <c r="W45" s="184"/>
      <c r="X45" s="189"/>
      <c r="Y45" s="184"/>
    </row>
    <row r="46" spans="2:27" s="188" customFormat="1" x14ac:dyDescent="0.25">
      <c r="B46" s="187" t="s">
        <v>145</v>
      </c>
      <c r="C46" s="187"/>
      <c r="D46" s="101">
        <v>250000000</v>
      </c>
      <c r="E46" s="101"/>
      <c r="F46" s="101">
        <v>132964180000</v>
      </c>
      <c r="G46" s="101"/>
      <c r="H46" s="101">
        <v>-146346900589</v>
      </c>
      <c r="I46" s="101"/>
      <c r="J46" s="101">
        <f t="shared" si="1"/>
        <v>-13382720589</v>
      </c>
      <c r="K46" s="101"/>
      <c r="L46" s="101">
        <v>250000000</v>
      </c>
      <c r="M46" s="101"/>
      <c r="N46" s="101">
        <v>132964180000</v>
      </c>
      <c r="O46" s="101"/>
      <c r="P46" s="101">
        <v>-138572430357</v>
      </c>
      <c r="Q46" s="101"/>
      <c r="R46" s="101">
        <v>-5608250357</v>
      </c>
      <c r="S46" s="253"/>
      <c r="T46" s="185"/>
      <c r="U46" s="185"/>
      <c r="V46" s="184"/>
      <c r="W46" s="184"/>
      <c r="X46" s="189"/>
      <c r="Y46" s="184"/>
    </row>
    <row r="47" spans="2:27" s="188" customFormat="1" x14ac:dyDescent="0.25">
      <c r="B47" s="187" t="s">
        <v>127</v>
      </c>
      <c r="C47" s="187"/>
      <c r="D47" s="101">
        <v>1000</v>
      </c>
      <c r="E47" s="101"/>
      <c r="F47" s="101">
        <v>2650353</v>
      </c>
      <c r="G47" s="101"/>
      <c r="H47" s="101">
        <v>-2534257</v>
      </c>
      <c r="I47" s="101"/>
      <c r="J47" s="101">
        <f t="shared" si="1"/>
        <v>116096</v>
      </c>
      <c r="K47" s="101"/>
      <c r="L47" s="101">
        <v>1000</v>
      </c>
      <c r="M47" s="101"/>
      <c r="N47" s="101">
        <v>2650353</v>
      </c>
      <c r="O47" s="101"/>
      <c r="P47" s="101">
        <v>-2282542</v>
      </c>
      <c r="Q47" s="101"/>
      <c r="R47" s="101">
        <v>367811</v>
      </c>
      <c r="S47" s="253"/>
      <c r="T47" s="185"/>
      <c r="U47" s="185"/>
      <c r="V47" s="184"/>
      <c r="W47" s="184"/>
      <c r="X47" s="189"/>
      <c r="Y47" s="184"/>
    </row>
    <row r="48" spans="2:27" s="188" customFormat="1" x14ac:dyDescent="0.25">
      <c r="B48" s="187" t="s">
        <v>130</v>
      </c>
      <c r="C48" s="187"/>
      <c r="D48" s="101">
        <v>300000000</v>
      </c>
      <c r="E48" s="101"/>
      <c r="F48" s="101">
        <v>566784624000</v>
      </c>
      <c r="G48" s="101"/>
      <c r="H48" s="101">
        <v>-510522915000</v>
      </c>
      <c r="I48" s="101"/>
      <c r="J48" s="101">
        <f t="shared" si="1"/>
        <v>56261709000</v>
      </c>
      <c r="K48" s="101"/>
      <c r="L48" s="101">
        <v>300000000</v>
      </c>
      <c r="M48" s="101"/>
      <c r="N48" s="101">
        <v>566784624000</v>
      </c>
      <c r="O48" s="101"/>
      <c r="P48" s="101">
        <v>-474949617148</v>
      </c>
      <c r="Q48" s="101"/>
      <c r="R48" s="101">
        <v>91835006851</v>
      </c>
      <c r="S48" s="253"/>
      <c r="T48" s="185"/>
      <c r="U48" s="185"/>
      <c r="V48" s="184"/>
      <c r="W48" s="184"/>
      <c r="X48" s="189"/>
      <c r="Y48" s="184"/>
    </row>
    <row r="49" spans="1:27" s="188" customFormat="1" x14ac:dyDescent="0.25">
      <c r="B49" s="187" t="s">
        <v>143</v>
      </c>
      <c r="C49" s="187"/>
      <c r="D49" s="101">
        <v>6000000</v>
      </c>
      <c r="E49" s="101"/>
      <c r="F49" s="101">
        <v>410263954200</v>
      </c>
      <c r="G49" s="101"/>
      <c r="H49" s="101">
        <v>-268031972400</v>
      </c>
      <c r="I49" s="101"/>
      <c r="J49" s="101">
        <f t="shared" si="1"/>
        <v>142231981800</v>
      </c>
      <c r="K49" s="101"/>
      <c r="L49" s="101">
        <v>6000000</v>
      </c>
      <c r="M49" s="101"/>
      <c r="N49" s="101">
        <v>410263954200</v>
      </c>
      <c r="O49" s="101"/>
      <c r="P49" s="101">
        <v>-221563793094</v>
      </c>
      <c r="Q49" s="101"/>
      <c r="R49" s="101">
        <v>188700161106</v>
      </c>
      <c r="S49" s="253"/>
      <c r="T49" s="185"/>
      <c r="U49" s="185"/>
      <c r="V49" s="184"/>
      <c r="W49" s="184"/>
      <c r="X49" s="189"/>
      <c r="Y49" s="184"/>
    </row>
    <row r="50" spans="1:27" s="188" customFormat="1" x14ac:dyDescent="0.25">
      <c r="B50" s="187" t="s">
        <v>114</v>
      </c>
      <c r="C50" s="187"/>
      <c r="D50" s="101">
        <v>144000000</v>
      </c>
      <c r="E50" s="101"/>
      <c r="F50" s="101">
        <v>1297412870400</v>
      </c>
      <c r="G50" s="101"/>
      <c r="H50" s="101">
        <v>-951302942072</v>
      </c>
      <c r="I50" s="101"/>
      <c r="J50" s="101">
        <f t="shared" si="1"/>
        <v>346109928328</v>
      </c>
      <c r="K50" s="101"/>
      <c r="L50" s="101">
        <v>144000000</v>
      </c>
      <c r="M50" s="101"/>
      <c r="N50" s="101">
        <v>1297412870400</v>
      </c>
      <c r="O50" s="101"/>
      <c r="P50" s="101">
        <v>-622073774748</v>
      </c>
      <c r="Q50" s="101"/>
      <c r="R50" s="101">
        <v>675339095652</v>
      </c>
      <c r="S50" s="253"/>
      <c r="T50" s="185"/>
      <c r="U50" s="185"/>
      <c r="V50" s="184"/>
      <c r="W50" s="184"/>
      <c r="X50" s="189"/>
      <c r="Y50" s="184"/>
    </row>
    <row r="51" spans="1:27" s="188" customFormat="1" x14ac:dyDescent="0.25">
      <c r="B51" s="187" t="s">
        <v>264</v>
      </c>
      <c r="C51" s="187"/>
      <c r="D51" s="101">
        <v>375000</v>
      </c>
      <c r="E51" s="101"/>
      <c r="F51" s="101">
        <v>10697910937</v>
      </c>
      <c r="G51" s="101"/>
      <c r="H51" s="101">
        <v>-10083943875</v>
      </c>
      <c r="I51" s="101"/>
      <c r="J51" s="101">
        <f t="shared" si="1"/>
        <v>613967062</v>
      </c>
      <c r="K51" s="101"/>
      <c r="L51" s="101">
        <v>375000</v>
      </c>
      <c r="M51" s="101"/>
      <c r="N51" s="101">
        <v>10697910937</v>
      </c>
      <c r="O51" s="101"/>
      <c r="P51" s="101">
        <v>-6782788386</v>
      </c>
      <c r="Q51" s="101"/>
      <c r="R51" s="101">
        <v>3915122551</v>
      </c>
      <c r="S51" s="253"/>
      <c r="T51" s="185"/>
      <c r="U51" s="185"/>
      <c r="V51" s="184"/>
      <c r="W51" s="184"/>
      <c r="X51" s="189"/>
      <c r="Y51" s="184"/>
    </row>
    <row r="52" spans="1:27" s="188" customFormat="1" x14ac:dyDescent="0.25">
      <c r="B52" s="187" t="s">
        <v>124</v>
      </c>
      <c r="C52" s="187"/>
      <c r="D52" s="101">
        <v>1000</v>
      </c>
      <c r="E52" s="101"/>
      <c r="F52" s="101">
        <v>14864204</v>
      </c>
      <c r="G52" s="101"/>
      <c r="H52" s="101">
        <v>-15082504</v>
      </c>
      <c r="I52" s="101"/>
      <c r="J52" s="101">
        <f t="shared" si="1"/>
        <v>-218300</v>
      </c>
      <c r="K52" s="101"/>
      <c r="L52" s="101">
        <v>1000</v>
      </c>
      <c r="M52" s="101"/>
      <c r="N52" s="101">
        <v>14864204</v>
      </c>
      <c r="O52" s="101"/>
      <c r="P52" s="101">
        <v>-16437235</v>
      </c>
      <c r="Q52" s="101"/>
      <c r="R52" s="101">
        <v>-1573030</v>
      </c>
      <c r="S52" s="253"/>
      <c r="T52" s="185"/>
      <c r="U52" s="185"/>
      <c r="V52" s="184"/>
      <c r="W52" s="184"/>
      <c r="X52" s="189"/>
      <c r="Y52" s="184"/>
    </row>
    <row r="53" spans="1:27" s="188" customFormat="1" x14ac:dyDescent="0.25">
      <c r="B53" s="187" t="s">
        <v>115</v>
      </c>
      <c r="C53" s="187"/>
      <c r="D53" s="101">
        <v>70000000</v>
      </c>
      <c r="E53" s="101"/>
      <c r="F53" s="101">
        <v>333194343300</v>
      </c>
      <c r="G53" s="101"/>
      <c r="H53" s="101">
        <v>-272894007060</v>
      </c>
      <c r="I53" s="101"/>
      <c r="J53" s="101">
        <f t="shared" si="1"/>
        <v>60300336240</v>
      </c>
      <c r="K53" s="101"/>
      <c r="L53" s="101">
        <v>70000000</v>
      </c>
      <c r="M53" s="101"/>
      <c r="N53" s="101">
        <v>333194343300</v>
      </c>
      <c r="O53" s="101"/>
      <c r="P53" s="101">
        <v>-252575794862</v>
      </c>
      <c r="Q53" s="101"/>
      <c r="R53" s="101">
        <v>80618548438</v>
      </c>
      <c r="S53" s="253"/>
      <c r="T53" s="185"/>
      <c r="U53" s="185"/>
      <c r="V53" s="118"/>
      <c r="W53" s="118"/>
      <c r="X53" s="189"/>
      <c r="Y53" s="184"/>
    </row>
    <row r="54" spans="1:27" s="188" customFormat="1" x14ac:dyDescent="0.25">
      <c r="B54" s="187" t="s">
        <v>252</v>
      </c>
      <c r="C54" s="187"/>
      <c r="D54" s="101">
        <v>562500</v>
      </c>
      <c r="E54" s="101"/>
      <c r="F54" s="101">
        <v>5497795968</v>
      </c>
      <c r="G54" s="101"/>
      <c r="H54" s="101">
        <v>-5542448118</v>
      </c>
      <c r="I54" s="101"/>
      <c r="J54" s="101">
        <f t="shared" si="1"/>
        <v>-44652150</v>
      </c>
      <c r="K54" s="101"/>
      <c r="L54" s="101">
        <v>562500</v>
      </c>
      <c r="M54" s="101"/>
      <c r="N54" s="101">
        <v>5497795968</v>
      </c>
      <c r="O54" s="101"/>
      <c r="P54" s="101">
        <v>-4998586413</v>
      </c>
      <c r="Q54" s="101"/>
      <c r="R54" s="101">
        <v>499209555</v>
      </c>
      <c r="S54" s="253"/>
      <c r="T54" s="185"/>
      <c r="U54" s="184"/>
      <c r="V54" s="118"/>
      <c r="W54" s="118"/>
      <c r="X54" s="189"/>
      <c r="Y54" s="184"/>
    </row>
    <row r="55" spans="1:27" s="188" customFormat="1" x14ac:dyDescent="0.25">
      <c r="B55" s="187" t="s">
        <v>129</v>
      </c>
      <c r="C55" s="187"/>
      <c r="D55" s="101">
        <v>135000000</v>
      </c>
      <c r="E55" s="101"/>
      <c r="F55" s="101">
        <v>2125888861500</v>
      </c>
      <c r="G55" s="101"/>
      <c r="H55" s="101">
        <v>-1559703519757</v>
      </c>
      <c r="I55" s="101"/>
      <c r="J55" s="101">
        <f t="shared" si="1"/>
        <v>566185341743</v>
      </c>
      <c r="K55" s="101"/>
      <c r="L55" s="101">
        <v>135000000</v>
      </c>
      <c r="M55" s="101"/>
      <c r="N55" s="101">
        <v>2125888861500</v>
      </c>
      <c r="O55" s="101"/>
      <c r="P55" s="101">
        <v>-1191199346171</v>
      </c>
      <c r="Q55" s="101"/>
      <c r="R55" s="101">
        <v>934689515329</v>
      </c>
      <c r="S55" s="253"/>
      <c r="T55" s="185"/>
      <c r="U55" s="184"/>
      <c r="V55" s="118"/>
      <c r="W55" s="118"/>
      <c r="X55" s="189"/>
      <c r="Y55" s="184"/>
    </row>
    <row r="56" spans="1:27" s="188" customFormat="1" x14ac:dyDescent="0.25">
      <c r="B56" s="187" t="s">
        <v>121</v>
      </c>
      <c r="C56" s="187"/>
      <c r="D56" s="101">
        <v>42000000</v>
      </c>
      <c r="E56" s="101"/>
      <c r="F56" s="101">
        <v>685976096400</v>
      </c>
      <c r="G56" s="101"/>
      <c r="H56" s="101">
        <v>-591547225069</v>
      </c>
      <c r="I56" s="101"/>
      <c r="J56" s="101">
        <f t="shared" si="1"/>
        <v>94428871331</v>
      </c>
      <c r="K56" s="101"/>
      <c r="L56" s="101">
        <v>42000000</v>
      </c>
      <c r="M56" s="101"/>
      <c r="N56" s="101">
        <v>685976096400</v>
      </c>
      <c r="O56" s="101"/>
      <c r="P56" s="101">
        <v>-416232565079</v>
      </c>
      <c r="Q56" s="101"/>
      <c r="R56" s="150">
        <v>269743531321</v>
      </c>
      <c r="S56" s="253"/>
      <c r="T56" s="185"/>
      <c r="U56" s="184"/>
      <c r="V56" s="118"/>
      <c r="W56" s="118"/>
      <c r="X56" s="189"/>
      <c r="Y56" s="184"/>
    </row>
    <row r="57" spans="1:27" s="188" customFormat="1" x14ac:dyDescent="0.25">
      <c r="B57" s="187" t="s">
        <v>251</v>
      </c>
      <c r="C57" s="187"/>
      <c r="D57" s="101">
        <v>360000</v>
      </c>
      <c r="E57" s="101"/>
      <c r="F57" s="101">
        <v>4672400976</v>
      </c>
      <c r="G57" s="101"/>
      <c r="H57" s="101">
        <v>-4515225408</v>
      </c>
      <c r="I57" s="101"/>
      <c r="J57" s="101">
        <f t="shared" si="1"/>
        <v>157175568</v>
      </c>
      <c r="K57" s="101"/>
      <c r="L57" s="101">
        <v>360000</v>
      </c>
      <c r="M57" s="101"/>
      <c r="N57" s="101">
        <v>4672400976</v>
      </c>
      <c r="O57" s="101"/>
      <c r="P57" s="101">
        <v>-3620597726</v>
      </c>
      <c r="Q57" s="101"/>
      <c r="R57" s="101">
        <v>1051803250</v>
      </c>
      <c r="S57" s="253"/>
      <c r="T57" s="185"/>
      <c r="U57" s="184"/>
      <c r="V57" s="118"/>
      <c r="W57" s="118"/>
      <c r="X57" s="189"/>
      <c r="Y57" s="184"/>
    </row>
    <row r="58" spans="1:27" s="188" customFormat="1" x14ac:dyDescent="0.25">
      <c r="B58" s="187" t="s">
        <v>128</v>
      </c>
      <c r="C58" s="187"/>
      <c r="D58" s="101">
        <v>1000</v>
      </c>
      <c r="E58" s="101"/>
      <c r="F58" s="101">
        <v>3006578</v>
      </c>
      <c r="G58" s="101"/>
      <c r="H58" s="101">
        <v>-2415103388</v>
      </c>
      <c r="I58" s="101"/>
      <c r="J58" s="101">
        <f t="shared" si="1"/>
        <v>-2412096810</v>
      </c>
      <c r="K58" s="101"/>
      <c r="L58" s="101">
        <v>1000</v>
      </c>
      <c r="M58" s="101"/>
      <c r="N58" s="101">
        <v>3006578</v>
      </c>
      <c r="O58" s="101"/>
      <c r="P58" s="101">
        <v>-2656100</v>
      </c>
      <c r="Q58" s="101"/>
      <c r="R58" s="101">
        <v>350478</v>
      </c>
      <c r="S58" s="253"/>
      <c r="T58" s="185"/>
      <c r="U58" s="184"/>
      <c r="V58" s="118"/>
      <c r="W58" s="118"/>
      <c r="X58" s="189"/>
      <c r="Y58" s="184"/>
    </row>
    <row r="59" spans="1:27" s="188" customFormat="1" x14ac:dyDescent="0.25">
      <c r="B59" s="187" t="s">
        <v>117</v>
      </c>
      <c r="C59" s="187"/>
      <c r="D59" s="101">
        <v>1000000</v>
      </c>
      <c r="E59" s="101"/>
      <c r="F59" s="101">
        <v>601246161100</v>
      </c>
      <c r="G59" s="101"/>
      <c r="H59" s="101">
        <v>-499440001237</v>
      </c>
      <c r="I59" s="101"/>
      <c r="J59" s="101">
        <f t="shared" si="1"/>
        <v>101806159863</v>
      </c>
      <c r="K59" s="101"/>
      <c r="L59" s="101">
        <v>1000000</v>
      </c>
      <c r="M59" s="101"/>
      <c r="N59" s="101">
        <v>601246161100</v>
      </c>
      <c r="O59" s="101"/>
      <c r="P59" s="101">
        <v>-292182003613</v>
      </c>
      <c r="Q59" s="101"/>
      <c r="R59" s="101">
        <v>309064157487</v>
      </c>
      <c r="S59" s="253"/>
      <c r="T59" s="185"/>
      <c r="U59" s="184"/>
      <c r="V59" s="118"/>
      <c r="W59" s="118"/>
      <c r="X59" s="189"/>
      <c r="Y59" s="184"/>
    </row>
    <row r="60" spans="1:27" s="188" customFormat="1" x14ac:dyDescent="0.25">
      <c r="B60" s="187" t="s">
        <v>146</v>
      </c>
      <c r="C60" s="187"/>
      <c r="D60" s="101">
        <v>1000</v>
      </c>
      <c r="E60" s="101"/>
      <c r="F60" s="101">
        <v>35017199</v>
      </c>
      <c r="G60" s="101"/>
      <c r="H60" s="101">
        <v>-3924427</v>
      </c>
      <c r="I60" s="101"/>
      <c r="J60" s="101">
        <f t="shared" si="1"/>
        <v>31092772</v>
      </c>
      <c r="K60" s="101"/>
      <c r="L60" s="101">
        <v>1000</v>
      </c>
      <c r="M60" s="101"/>
      <c r="N60" s="101">
        <v>3501723</v>
      </c>
      <c r="O60" s="101"/>
      <c r="P60" s="101">
        <v>-3874804</v>
      </c>
      <c r="Q60" s="101"/>
      <c r="R60" s="101">
        <v>-373083</v>
      </c>
      <c r="S60" s="253"/>
      <c r="T60" s="185"/>
      <c r="U60" s="184"/>
      <c r="V60" s="118"/>
      <c r="W60" s="118"/>
      <c r="X60" s="189"/>
      <c r="Y60" s="184"/>
    </row>
    <row r="61" spans="1:27" s="188" customFormat="1" x14ac:dyDescent="0.25">
      <c r="B61" s="187" t="s">
        <v>260</v>
      </c>
      <c r="C61" s="187"/>
      <c r="D61" s="101">
        <v>133750</v>
      </c>
      <c r="E61" s="101"/>
      <c r="F61" s="101">
        <v>5580712530</v>
      </c>
      <c r="G61" s="101"/>
      <c r="H61" s="101">
        <v>-4095722828</v>
      </c>
      <c r="I61" s="101"/>
      <c r="J61" s="101">
        <f t="shared" si="1"/>
        <v>1484989702</v>
      </c>
      <c r="K61" s="101"/>
      <c r="L61" s="101">
        <v>133750</v>
      </c>
      <c r="M61" s="101"/>
      <c r="N61" s="101">
        <v>5580712527</v>
      </c>
      <c r="O61" s="101"/>
      <c r="P61" s="101">
        <v>-3787614251</v>
      </c>
      <c r="Q61" s="101"/>
      <c r="R61" s="101">
        <v>1793098282</v>
      </c>
      <c r="S61" s="253"/>
      <c r="T61" s="185"/>
      <c r="U61" s="184"/>
      <c r="V61" s="118"/>
      <c r="W61" s="118"/>
      <c r="X61" s="189"/>
      <c r="Y61" s="184"/>
    </row>
    <row r="62" spans="1:27" s="188" customFormat="1" x14ac:dyDescent="0.25">
      <c r="B62" s="187" t="s">
        <v>275</v>
      </c>
      <c r="C62" s="187"/>
      <c r="D62" s="101">
        <v>50000</v>
      </c>
      <c r="E62" s="101"/>
      <c r="F62" s="101">
        <v>13461134821</v>
      </c>
      <c r="G62" s="101"/>
      <c r="H62" s="101">
        <v>-12087758820</v>
      </c>
      <c r="I62" s="101"/>
      <c r="J62" s="101">
        <f t="shared" si="1"/>
        <v>1373376001</v>
      </c>
      <c r="K62" s="101"/>
      <c r="L62" s="101">
        <v>50000</v>
      </c>
      <c r="M62" s="101"/>
      <c r="N62" s="101">
        <v>13461134820</v>
      </c>
      <c r="O62" s="101"/>
      <c r="P62" s="101">
        <v>-12087758820</v>
      </c>
      <c r="Q62" s="101"/>
      <c r="R62" s="101">
        <v>1373375999</v>
      </c>
      <c r="S62" s="253"/>
      <c r="T62" s="116"/>
      <c r="U62" s="198"/>
      <c r="V62" s="185"/>
      <c r="W62" s="184"/>
      <c r="X62" s="118"/>
      <c r="Y62" s="118"/>
      <c r="Z62" s="189"/>
      <c r="AA62" s="184"/>
    </row>
    <row r="63" spans="1:27" s="188" customFormat="1" ht="34.5" thickBot="1" x14ac:dyDescent="0.3">
      <c r="B63" s="187" t="s">
        <v>273</v>
      </c>
      <c r="C63" s="187"/>
      <c r="D63" s="101">
        <v>1675000</v>
      </c>
      <c r="E63" s="101"/>
      <c r="F63" s="101">
        <v>7394470460</v>
      </c>
      <c r="G63" s="101"/>
      <c r="H63" s="101">
        <v>-7133514281</v>
      </c>
      <c r="I63" s="101"/>
      <c r="J63" s="101">
        <f t="shared" si="1"/>
        <v>260956179</v>
      </c>
      <c r="K63" s="101"/>
      <c r="L63" s="101">
        <v>1675000</v>
      </c>
      <c r="M63" s="101"/>
      <c r="N63" s="101">
        <v>7394470460</v>
      </c>
      <c r="O63" s="101"/>
      <c r="P63" s="101">
        <v>-7133514281</v>
      </c>
      <c r="Q63" s="101"/>
      <c r="R63" s="101">
        <v>260956179</v>
      </c>
      <c r="S63" s="253"/>
      <c r="T63" s="116"/>
      <c r="U63" s="198"/>
      <c r="V63" s="185"/>
      <c r="W63" s="184"/>
      <c r="X63" s="118"/>
      <c r="Y63" s="118"/>
      <c r="Z63" s="189"/>
      <c r="AA63" s="184"/>
    </row>
    <row r="64" spans="1:27" s="188" customFormat="1" ht="34.5" thickBot="1" x14ac:dyDescent="0.3">
      <c r="A64" s="12"/>
      <c r="B64" s="188" t="s">
        <v>7</v>
      </c>
      <c r="D64" s="98">
        <f>SUM(D43:D63)</f>
        <v>2543901817</v>
      </c>
      <c r="E64" s="199"/>
      <c r="F64" s="98">
        <f>SUM(F43:F63)</f>
        <v>12347410065819</v>
      </c>
      <c r="G64" s="199"/>
      <c r="H64" s="98">
        <f>SUM(H43:H63)</f>
        <v>-10647790210175</v>
      </c>
      <c r="I64" s="199"/>
      <c r="J64" s="98">
        <f>SUM(J43:J63)</f>
        <v>1699619855645</v>
      </c>
      <c r="K64" s="199"/>
      <c r="L64" s="98">
        <f>SUM(L43:L63)</f>
        <v>2543901817</v>
      </c>
      <c r="M64" s="119"/>
      <c r="N64" s="98">
        <f>SUM(N43:N63)</f>
        <v>12347378550339</v>
      </c>
      <c r="O64" s="199"/>
      <c r="P64" s="98">
        <f>SUM(P43:P63)</f>
        <v>-8308061385061</v>
      </c>
      <c r="Q64" s="199"/>
      <c r="R64" s="98">
        <f>SUM(R43:R63)</f>
        <v>4039317165278</v>
      </c>
      <c r="S64" s="255"/>
      <c r="T64" s="116"/>
      <c r="U64" s="198"/>
      <c r="V64" s="185"/>
      <c r="W64" s="184"/>
      <c r="X64" s="118"/>
      <c r="Y64" s="118"/>
      <c r="Z64" s="189"/>
      <c r="AA64" s="184"/>
    </row>
    <row r="65" spans="1:27" s="188" customFormat="1" ht="34.5" thickTop="1" x14ac:dyDescent="0.25">
      <c r="A65" s="12"/>
      <c r="D65" s="102"/>
      <c r="L65" s="102"/>
      <c r="R65" s="259"/>
      <c r="S65" s="255"/>
      <c r="T65" s="116"/>
      <c r="U65" s="198"/>
      <c r="V65" s="185"/>
      <c r="W65" s="184"/>
      <c r="X65" s="118"/>
      <c r="Y65" s="118"/>
      <c r="Z65" s="189"/>
      <c r="AA65" s="184"/>
    </row>
    <row r="66" spans="1:27" s="188" customFormat="1" x14ac:dyDescent="0.25">
      <c r="A66" s="12"/>
      <c r="B66" s="389" t="s">
        <v>76</v>
      </c>
      <c r="C66" s="390"/>
      <c r="D66" s="390"/>
      <c r="E66" s="390"/>
      <c r="F66" s="390"/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1"/>
      <c r="S66" s="255"/>
      <c r="T66" s="116"/>
      <c r="U66" s="198"/>
      <c r="V66" s="185"/>
      <c r="W66" s="184"/>
      <c r="X66" s="118"/>
      <c r="Y66" s="118"/>
      <c r="Z66" s="189"/>
      <c r="AA66" s="184"/>
    </row>
    <row r="67" spans="1:27" x14ac:dyDescent="0.25">
      <c r="B67" s="188"/>
      <c r="C67" s="188"/>
      <c r="D67" s="102"/>
      <c r="E67" s="188"/>
      <c r="F67" s="188"/>
      <c r="G67" s="188"/>
      <c r="H67" s="188"/>
      <c r="I67" s="188"/>
      <c r="J67" s="102"/>
      <c r="K67" s="188"/>
      <c r="L67" s="102"/>
      <c r="M67" s="188"/>
      <c r="N67" s="188"/>
      <c r="O67" s="188"/>
      <c r="P67" s="188"/>
      <c r="Q67" s="188"/>
      <c r="R67" s="259"/>
      <c r="U67" s="198"/>
      <c r="Z67" s="200"/>
    </row>
    <row r="68" spans="1:27" x14ac:dyDescent="0.25">
      <c r="F68" s="173"/>
      <c r="H68" s="173"/>
      <c r="J68" s="198"/>
      <c r="N68" s="173"/>
      <c r="P68" s="173"/>
      <c r="U68" s="198"/>
    </row>
    <row r="69" spans="1:27" x14ac:dyDescent="0.25">
      <c r="E69" s="116"/>
      <c r="F69" s="116"/>
      <c r="G69" s="116"/>
      <c r="H69" s="116"/>
      <c r="I69" s="116"/>
      <c r="J69" s="116"/>
      <c r="K69" s="116"/>
      <c r="M69" s="116"/>
      <c r="N69" s="116"/>
      <c r="O69" s="116"/>
      <c r="P69" s="116"/>
      <c r="Q69" s="116"/>
      <c r="R69" s="116"/>
      <c r="U69" s="198"/>
      <c r="Z69" s="200"/>
    </row>
    <row r="70" spans="1:27" x14ac:dyDescent="0.25">
      <c r="F70" s="201"/>
      <c r="H70" s="173"/>
      <c r="J70" s="256"/>
      <c r="N70" s="173"/>
      <c r="P70" s="252"/>
      <c r="U70" s="198"/>
    </row>
    <row r="71" spans="1:27" x14ac:dyDescent="0.25">
      <c r="J71" s="173"/>
      <c r="N71" s="173"/>
      <c r="P71" s="252"/>
      <c r="U71" s="198"/>
    </row>
    <row r="72" spans="1:27" x14ac:dyDescent="0.25">
      <c r="N72" s="173"/>
      <c r="P72" s="252"/>
      <c r="U72" s="198"/>
    </row>
    <row r="73" spans="1:27" x14ac:dyDescent="0.25">
      <c r="P73" s="173"/>
      <c r="R73" s="150"/>
      <c r="U73" s="198"/>
    </row>
    <row r="74" spans="1:27" x14ac:dyDescent="0.25">
      <c r="N74" s="173"/>
      <c r="U74" s="198"/>
    </row>
    <row r="75" spans="1:27" x14ac:dyDescent="0.25">
      <c r="N75" s="173"/>
      <c r="U75" s="198"/>
    </row>
    <row r="76" spans="1:27" x14ac:dyDescent="0.25">
      <c r="U76" s="198"/>
    </row>
    <row r="77" spans="1:27" x14ac:dyDescent="0.25">
      <c r="U77" s="198"/>
    </row>
    <row r="78" spans="1:27" x14ac:dyDescent="0.25">
      <c r="U78" s="198"/>
    </row>
    <row r="79" spans="1:27" x14ac:dyDescent="0.25">
      <c r="U79" s="198"/>
    </row>
    <row r="80" spans="1:27" x14ac:dyDescent="0.25">
      <c r="U80" s="198"/>
    </row>
    <row r="81" spans="20:21" x14ac:dyDescent="0.25">
      <c r="T81" s="102"/>
      <c r="U81" s="198"/>
    </row>
    <row r="82" spans="20:21" x14ac:dyDescent="0.25">
      <c r="T82" s="102"/>
      <c r="U82" s="198"/>
    </row>
    <row r="83" spans="20:21" x14ac:dyDescent="0.25">
      <c r="T83" s="102"/>
      <c r="U83" s="198"/>
    </row>
    <row r="84" spans="20:21" x14ac:dyDescent="0.25">
      <c r="T84" s="102"/>
      <c r="U84" s="198"/>
    </row>
    <row r="85" spans="20:21" x14ac:dyDescent="0.25">
      <c r="T85" s="102"/>
      <c r="U85" s="198"/>
    </row>
    <row r="86" spans="20:21" x14ac:dyDescent="0.25">
      <c r="T86" s="102"/>
      <c r="U86" s="198"/>
    </row>
    <row r="87" spans="20:21" x14ac:dyDescent="0.25">
      <c r="T87" s="102"/>
      <c r="U87" s="198"/>
    </row>
    <row r="88" spans="20:21" x14ac:dyDescent="0.25">
      <c r="T88" s="102"/>
      <c r="U88" s="198"/>
    </row>
    <row r="92" spans="20:21" x14ac:dyDescent="0.25">
      <c r="T92" s="102"/>
      <c r="U92" s="198"/>
    </row>
    <row r="93" spans="20:21" x14ac:dyDescent="0.25">
      <c r="T93" s="102"/>
      <c r="U93" s="198"/>
    </row>
    <row r="94" spans="20:21" x14ac:dyDescent="0.25">
      <c r="T94" s="102"/>
      <c r="U94" s="198"/>
    </row>
    <row r="95" spans="20:21" x14ac:dyDescent="0.25">
      <c r="T95" s="102"/>
      <c r="U95" s="198"/>
    </row>
    <row r="96" spans="20:21" x14ac:dyDescent="0.25">
      <c r="T96" s="102"/>
      <c r="U96" s="198"/>
    </row>
    <row r="97" spans="20:21" x14ac:dyDescent="0.25">
      <c r="T97" s="102"/>
      <c r="U97" s="198"/>
    </row>
    <row r="98" spans="20:21" x14ac:dyDescent="0.25">
      <c r="T98" s="102"/>
      <c r="U98" s="198"/>
    </row>
    <row r="99" spans="20:21" x14ac:dyDescent="0.25">
      <c r="T99" s="102"/>
      <c r="U99" s="198"/>
    </row>
    <row r="100" spans="20:21" x14ac:dyDescent="0.25">
      <c r="T100" s="102"/>
      <c r="U100" s="198"/>
    </row>
    <row r="101" spans="20:21" x14ac:dyDescent="0.25">
      <c r="T101" s="102"/>
      <c r="U101" s="198"/>
    </row>
    <row r="102" spans="20:21" x14ac:dyDescent="0.25">
      <c r="T102" s="102"/>
      <c r="U102" s="198"/>
    </row>
    <row r="103" spans="20:21" x14ac:dyDescent="0.25">
      <c r="T103" s="102"/>
      <c r="U103" s="198"/>
    </row>
    <row r="104" spans="20:21" x14ac:dyDescent="0.25">
      <c r="T104" s="102"/>
      <c r="U104" s="198"/>
    </row>
    <row r="105" spans="20:21" x14ac:dyDescent="0.25">
      <c r="T105" s="102"/>
      <c r="U105" s="198"/>
    </row>
    <row r="106" spans="20:21" x14ac:dyDescent="0.25">
      <c r="T106" s="102"/>
      <c r="U106" s="198"/>
    </row>
    <row r="107" spans="20:21" x14ac:dyDescent="0.25">
      <c r="T107" s="102"/>
      <c r="U107" s="198"/>
    </row>
    <row r="108" spans="20:21" x14ac:dyDescent="0.25">
      <c r="T108" s="102"/>
      <c r="U108" s="198"/>
    </row>
    <row r="109" spans="20:21" x14ac:dyDescent="0.25">
      <c r="T109" s="102"/>
      <c r="U109" s="198"/>
    </row>
    <row r="110" spans="20:21" x14ac:dyDescent="0.25">
      <c r="T110" s="102"/>
      <c r="U110" s="198"/>
    </row>
    <row r="111" spans="20:21" x14ac:dyDescent="0.25">
      <c r="T111" s="102"/>
      <c r="U111" s="198"/>
    </row>
    <row r="112" spans="20:21" x14ac:dyDescent="0.25">
      <c r="T112" s="102"/>
      <c r="U112" s="198"/>
    </row>
    <row r="113" spans="21:21" x14ac:dyDescent="0.25">
      <c r="U113" s="198"/>
    </row>
    <row r="114" spans="21:21" x14ac:dyDescent="0.25">
      <c r="U114" s="198"/>
    </row>
    <row r="115" spans="21:21" x14ac:dyDescent="0.25">
      <c r="U115" s="198"/>
    </row>
    <row r="116" spans="21:21" x14ac:dyDescent="0.25">
      <c r="U116" s="198"/>
    </row>
    <row r="117" spans="21:21" x14ac:dyDescent="0.25">
      <c r="U117" s="198"/>
    </row>
    <row r="118" spans="21:21" x14ac:dyDescent="0.25">
      <c r="U118" s="198"/>
    </row>
    <row r="119" spans="21:21" x14ac:dyDescent="0.25">
      <c r="U119" s="198"/>
    </row>
    <row r="120" spans="21:21" x14ac:dyDescent="0.25">
      <c r="U120" s="198"/>
    </row>
    <row r="121" spans="21:21" x14ac:dyDescent="0.25">
      <c r="U121" s="198"/>
    </row>
    <row r="122" spans="21:21" x14ac:dyDescent="0.25">
      <c r="U122" s="198"/>
    </row>
    <row r="123" spans="21:21" x14ac:dyDescent="0.25">
      <c r="U123" s="198"/>
    </row>
    <row r="124" spans="21:21" x14ac:dyDescent="0.25">
      <c r="U124" s="198"/>
    </row>
    <row r="125" spans="21:21" x14ac:dyDescent="0.25">
      <c r="U125" s="198"/>
    </row>
    <row r="126" spans="21:21" x14ac:dyDescent="0.25">
      <c r="U126" s="198"/>
    </row>
    <row r="127" spans="21:21" x14ac:dyDescent="0.25">
      <c r="U127" s="198"/>
    </row>
    <row r="128" spans="21:21" x14ac:dyDescent="0.25">
      <c r="U128" s="198"/>
    </row>
    <row r="129" spans="21:21" x14ac:dyDescent="0.25">
      <c r="U129" s="198"/>
    </row>
    <row r="130" spans="21:21" x14ac:dyDescent="0.25">
      <c r="U130" s="198"/>
    </row>
    <row r="131" spans="21:21" x14ac:dyDescent="0.25">
      <c r="U131" s="198"/>
    </row>
  </sheetData>
  <sortState xmlns:xlrd2="http://schemas.microsoft.com/office/spreadsheetml/2017/richdata2" ref="U7:V76">
    <sortCondition descending="1" ref="V1:V76"/>
  </sortState>
  <mergeCells count="10">
    <mergeCell ref="B66:R66"/>
    <mergeCell ref="D5:J5"/>
    <mergeCell ref="L5:R5"/>
    <mergeCell ref="B4:I4"/>
    <mergeCell ref="B1:R1"/>
    <mergeCell ref="B2:R2"/>
    <mergeCell ref="B3:R3"/>
    <mergeCell ref="B40:I40"/>
    <mergeCell ref="D41:J41"/>
    <mergeCell ref="L41:R41"/>
  </mergeCells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  <rowBreaks count="1" manualBreakCount="1">
    <brk id="39" max="1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B1:AC155"/>
  <sheetViews>
    <sheetView rightToLeft="1" view="pageBreakPreview" zoomScale="80" zoomScaleNormal="85" zoomScaleSheetLayoutView="80" workbookViewId="0">
      <selection activeCell="T82" sqref="T82"/>
    </sheetView>
  </sheetViews>
  <sheetFormatPr defaultColWidth="8.85546875" defaultRowHeight="22.5" x14ac:dyDescent="0.55000000000000004"/>
  <cols>
    <col min="1" max="1" width="3.7109375" style="1" customWidth="1"/>
    <col min="2" max="2" width="36.7109375" style="1" bestFit="1" customWidth="1"/>
    <col min="3" max="3" width="0.5703125" style="1" customWidth="1"/>
    <col min="4" max="4" width="17.85546875" style="93" bestFit="1" customWidth="1"/>
    <col min="5" max="5" width="0.85546875" style="1" customWidth="1"/>
    <col min="6" max="6" width="21.28515625" style="93" bestFit="1" customWidth="1"/>
    <col min="7" max="7" width="0.7109375" style="1" customWidth="1"/>
    <col min="8" max="8" width="22" style="93" bestFit="1" customWidth="1"/>
    <col min="9" max="9" width="0.85546875" style="1" customWidth="1"/>
    <col min="10" max="10" width="23.85546875" style="93" bestFit="1" customWidth="1"/>
    <col min="11" max="11" width="0.7109375" style="1" customWidth="1"/>
    <col min="12" max="12" width="23" style="93" customWidth="1"/>
    <col min="13" max="13" width="0.28515625" style="1" customWidth="1"/>
    <col min="14" max="14" width="25.28515625" style="93" bestFit="1" customWidth="1"/>
    <col min="15" max="15" width="0.28515625" style="1" customWidth="1"/>
    <col min="16" max="16" width="22.85546875" style="93" bestFit="1" customWidth="1"/>
    <col min="17" max="17" width="0.7109375" style="1" customWidth="1"/>
    <col min="18" max="18" width="24" style="93" bestFit="1" customWidth="1"/>
    <col min="19" max="19" width="28.140625" style="1" bestFit="1" customWidth="1"/>
    <col min="20" max="20" width="20.140625" style="1" bestFit="1" customWidth="1"/>
    <col min="21" max="21" width="8.140625" style="1" customWidth="1"/>
    <col min="22" max="22" width="23.28515625" style="1" customWidth="1"/>
    <col min="23" max="23" width="28.85546875" style="1" customWidth="1"/>
    <col min="24" max="16384" width="8.85546875" style="1"/>
  </cols>
  <sheetData>
    <row r="1" spans="2:29" ht="24" x14ac:dyDescent="0.6">
      <c r="B1" s="335" t="str">
        <f>'سود اوراق بهادار و سپرده بانکی'!B1:U1</f>
        <v>صندوق سرمایه گذاری شاخص سی شرکت بزرگ فیروزه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</row>
    <row r="2" spans="2:29" ht="24" x14ac:dyDescent="0.6">
      <c r="B2" s="335" t="s">
        <v>87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V2" s="93"/>
    </row>
    <row r="3" spans="2:29" ht="24" x14ac:dyDescent="0.6">
      <c r="B3" s="335" t="str">
        <f>' سهام'!B3:Z3</f>
        <v>برای ماه منتهی به 1404/10/30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V3" s="93"/>
    </row>
    <row r="4" spans="2:29" ht="24" x14ac:dyDescent="0.55000000000000004">
      <c r="B4" s="392" t="s">
        <v>98</v>
      </c>
      <c r="C4" s="392"/>
      <c r="D4" s="392"/>
      <c r="E4" s="392"/>
      <c r="F4" s="392"/>
      <c r="G4" s="392"/>
      <c r="H4" s="392"/>
      <c r="I4" s="392"/>
      <c r="J4" s="392"/>
      <c r="K4" s="394"/>
      <c r="L4" s="394"/>
      <c r="M4" s="394"/>
      <c r="N4" s="394"/>
      <c r="O4" s="394"/>
      <c r="P4" s="394"/>
      <c r="Q4" s="394"/>
      <c r="R4" s="394"/>
      <c r="V4" s="93"/>
      <c r="AC4" s="1" t="s">
        <v>207</v>
      </c>
    </row>
    <row r="5" spans="2:29" ht="24.75" thickBot="1" x14ac:dyDescent="0.6">
      <c r="B5" s="12"/>
      <c r="C5" s="12"/>
      <c r="D5" s="387" t="str">
        <f>' سهام'!AC7</f>
        <v>طی دی ماه</v>
      </c>
      <c r="E5" s="387"/>
      <c r="F5" s="387"/>
      <c r="G5" s="387"/>
      <c r="H5" s="387"/>
      <c r="I5" s="387"/>
      <c r="J5" s="387"/>
      <c r="K5" s="12"/>
      <c r="L5" s="387" t="str">
        <f>' سهام'!AC8</f>
        <v>از ابتدای سال مالی تا پایان دی ماه</v>
      </c>
      <c r="M5" s="387"/>
      <c r="N5" s="387"/>
      <c r="O5" s="387"/>
      <c r="P5" s="387"/>
      <c r="Q5" s="387"/>
      <c r="R5" s="387"/>
      <c r="V5" s="93"/>
      <c r="AC5" s="1" t="s">
        <v>220</v>
      </c>
    </row>
    <row r="6" spans="2:29" ht="45.75" thickBot="1" x14ac:dyDescent="0.6">
      <c r="B6" s="12" t="s">
        <v>64</v>
      </c>
      <c r="C6" s="12"/>
      <c r="D6" s="111" t="s">
        <v>8</v>
      </c>
      <c r="E6" s="12"/>
      <c r="F6" s="112" t="s">
        <v>77</v>
      </c>
      <c r="G6" s="12"/>
      <c r="H6" s="111" t="s">
        <v>74</v>
      </c>
      <c r="I6" s="12"/>
      <c r="J6" s="112" t="s">
        <v>78</v>
      </c>
      <c r="K6" s="12"/>
      <c r="L6" s="111" t="s">
        <v>8</v>
      </c>
      <c r="M6" s="12"/>
      <c r="N6" s="112" t="s">
        <v>32</v>
      </c>
      <c r="O6" s="12"/>
      <c r="P6" s="111" t="s">
        <v>74</v>
      </c>
      <c r="Q6" s="12"/>
      <c r="R6" s="112" t="s">
        <v>78</v>
      </c>
      <c r="T6" s="164"/>
      <c r="Z6" s="1" t="s">
        <v>221</v>
      </c>
    </row>
    <row r="7" spans="2:29" x14ac:dyDescent="0.55000000000000004">
      <c r="B7" s="12" t="s">
        <v>113</v>
      </c>
      <c r="C7" s="12"/>
      <c r="D7" s="91">
        <v>40000000</v>
      </c>
      <c r="E7" s="12"/>
      <c r="F7" s="113">
        <v>273736789514</v>
      </c>
      <c r="G7" s="12"/>
      <c r="H7" s="60">
        <v>-149343628300</v>
      </c>
      <c r="I7" s="12"/>
      <c r="J7" s="114">
        <v>124393161214</v>
      </c>
      <c r="K7" s="12"/>
      <c r="L7" s="91">
        <v>58652817</v>
      </c>
      <c r="M7" s="12"/>
      <c r="N7" s="113">
        <v>340476824506</v>
      </c>
      <c r="O7" s="12"/>
      <c r="P7" s="60">
        <v>-218376116647</v>
      </c>
      <c r="Q7" s="12"/>
      <c r="R7" s="114">
        <v>122100707859</v>
      </c>
      <c r="S7" s="178"/>
      <c r="T7" s="164"/>
      <c r="Z7" s="1" t="s">
        <v>222</v>
      </c>
    </row>
    <row r="8" spans="2:29" x14ac:dyDescent="0.55000000000000004">
      <c r="B8" s="12" t="s">
        <v>238</v>
      </c>
      <c r="C8" s="12"/>
      <c r="D8" s="91">
        <v>5000000</v>
      </c>
      <c r="E8" s="12"/>
      <c r="F8" s="113">
        <v>27481811399</v>
      </c>
      <c r="G8" s="12"/>
      <c r="H8" s="60">
        <v>-20284396021</v>
      </c>
      <c r="I8" s="12"/>
      <c r="J8" s="114">
        <v>7197415378</v>
      </c>
      <c r="K8" s="12"/>
      <c r="L8" s="91">
        <v>7254855</v>
      </c>
      <c r="M8" s="12"/>
      <c r="N8" s="113">
        <v>37186674708</v>
      </c>
      <c r="O8" s="12"/>
      <c r="P8" s="60">
        <v>-29333362225</v>
      </c>
      <c r="Q8" s="12"/>
      <c r="R8" s="114">
        <v>7853312483</v>
      </c>
      <c r="S8" s="178"/>
      <c r="T8" s="164"/>
      <c r="Z8" s="1" t="s">
        <v>223</v>
      </c>
    </row>
    <row r="9" spans="2:29" x14ac:dyDescent="0.55000000000000004">
      <c r="B9" s="12" t="s">
        <v>134</v>
      </c>
      <c r="C9" s="12"/>
      <c r="D9" s="91">
        <v>2000000</v>
      </c>
      <c r="E9" s="12"/>
      <c r="F9" s="113">
        <v>33665822006</v>
      </c>
      <c r="G9" s="12"/>
      <c r="H9" s="60">
        <v>-20473230617</v>
      </c>
      <c r="I9" s="12"/>
      <c r="J9" s="114">
        <v>13192591389</v>
      </c>
      <c r="K9" s="12"/>
      <c r="L9" s="91">
        <v>21700000</v>
      </c>
      <c r="M9" s="12"/>
      <c r="N9" s="113">
        <v>272200143051</v>
      </c>
      <c r="O9" s="12"/>
      <c r="P9" s="60">
        <v>-202820928320</v>
      </c>
      <c r="Q9" s="12"/>
      <c r="R9" s="114">
        <v>69379214731</v>
      </c>
      <c r="S9" s="178"/>
      <c r="T9" s="164"/>
    </row>
    <row r="10" spans="2:29" x14ac:dyDescent="0.55000000000000004">
      <c r="B10" s="12" t="s">
        <v>277</v>
      </c>
      <c r="C10" s="12"/>
      <c r="D10" s="91">
        <v>375000</v>
      </c>
      <c r="E10" s="12"/>
      <c r="F10" s="113">
        <v>3808782514</v>
      </c>
      <c r="G10" s="12"/>
      <c r="H10" s="60">
        <v>-3137744213</v>
      </c>
      <c r="I10" s="12"/>
      <c r="J10" s="114">
        <v>671038301</v>
      </c>
      <c r="K10" s="12"/>
      <c r="L10" s="91">
        <v>375000</v>
      </c>
      <c r="M10" s="12"/>
      <c r="N10" s="113">
        <v>3808782514</v>
      </c>
      <c r="O10" s="12"/>
      <c r="P10" s="60">
        <v>-3137744213</v>
      </c>
      <c r="Q10" s="12"/>
      <c r="R10" s="114">
        <v>671038301</v>
      </c>
      <c r="S10" s="178"/>
      <c r="T10" s="164"/>
    </row>
    <row r="11" spans="2:29" x14ac:dyDescent="0.55000000000000004">
      <c r="B11" s="12" t="s">
        <v>122</v>
      </c>
      <c r="C11" s="12"/>
      <c r="D11" s="91">
        <v>500000</v>
      </c>
      <c r="E11" s="12"/>
      <c r="F11" s="113">
        <v>5367403879</v>
      </c>
      <c r="G11" s="12"/>
      <c r="H11" s="60">
        <v>-3904482682</v>
      </c>
      <c r="I11" s="12"/>
      <c r="J11" s="114">
        <v>1462921197</v>
      </c>
      <c r="K11" s="12"/>
      <c r="L11" s="91">
        <v>15913454</v>
      </c>
      <c r="M11" s="12"/>
      <c r="N11" s="113">
        <v>125349522044</v>
      </c>
      <c r="O11" s="12"/>
      <c r="P11" s="60">
        <v>-121668312537</v>
      </c>
      <c r="Q11" s="12"/>
      <c r="R11" s="114">
        <v>3681209507</v>
      </c>
      <c r="S11" s="178"/>
      <c r="T11" s="164"/>
    </row>
    <row r="12" spans="2:29" x14ac:dyDescent="0.55000000000000004">
      <c r="B12" s="12" t="s">
        <v>262</v>
      </c>
      <c r="C12" s="12"/>
      <c r="D12" s="91">
        <v>257500</v>
      </c>
      <c r="E12" s="12"/>
      <c r="F12" s="113">
        <v>5565561323</v>
      </c>
      <c r="G12" s="12"/>
      <c r="H12" s="60">
        <v>-4270463603</v>
      </c>
      <c r="I12" s="12"/>
      <c r="J12" s="114">
        <v>1295097720</v>
      </c>
      <c r="K12" s="12"/>
      <c r="L12" s="91">
        <v>257500</v>
      </c>
      <c r="M12" s="12"/>
      <c r="N12" s="113">
        <v>5565561323</v>
      </c>
      <c r="O12" s="12"/>
      <c r="P12" s="60">
        <v>-4270463603</v>
      </c>
      <c r="Q12" s="12"/>
      <c r="R12" s="114">
        <v>1295097720</v>
      </c>
      <c r="S12" s="178"/>
      <c r="T12" s="164"/>
    </row>
    <row r="13" spans="2:29" x14ac:dyDescent="0.55000000000000004">
      <c r="B13" s="12" t="s">
        <v>123</v>
      </c>
      <c r="C13" s="12"/>
      <c r="D13" s="91">
        <v>168470102</v>
      </c>
      <c r="E13" s="12"/>
      <c r="F13" s="113">
        <v>675949975571</v>
      </c>
      <c r="G13" s="12"/>
      <c r="H13" s="60">
        <v>-588378739115</v>
      </c>
      <c r="I13" s="12"/>
      <c r="J13" s="114">
        <v>87571236456</v>
      </c>
      <c r="K13" s="12"/>
      <c r="L13" s="91">
        <v>276600102</v>
      </c>
      <c r="M13" s="12"/>
      <c r="N13" s="113">
        <v>1016408681308</v>
      </c>
      <c r="O13" s="12"/>
      <c r="P13" s="60">
        <v>-945175738548</v>
      </c>
      <c r="Q13" s="12"/>
      <c r="R13" s="114">
        <v>71232942760</v>
      </c>
      <c r="S13" s="178"/>
      <c r="T13" s="164"/>
    </row>
    <row r="14" spans="2:29" x14ac:dyDescent="0.55000000000000004">
      <c r="B14" s="12" t="s">
        <v>120</v>
      </c>
      <c r="C14" s="12"/>
      <c r="D14" s="91">
        <v>100000</v>
      </c>
      <c r="E14" s="12"/>
      <c r="F14" s="113">
        <v>2377851806</v>
      </c>
      <c r="G14" s="12"/>
      <c r="H14" s="60">
        <v>-1948407528</v>
      </c>
      <c r="I14" s="12"/>
      <c r="J14" s="114">
        <v>429444278</v>
      </c>
      <c r="K14" s="12"/>
      <c r="L14" s="91">
        <v>1258251</v>
      </c>
      <c r="M14" s="12"/>
      <c r="N14" s="113">
        <v>23616879603</v>
      </c>
      <c r="O14" s="12"/>
      <c r="P14" s="60">
        <v>-25064517965</v>
      </c>
      <c r="Q14" s="12"/>
      <c r="R14" s="114">
        <v>-1447638362</v>
      </c>
      <c r="S14" s="178"/>
      <c r="T14" s="164"/>
    </row>
    <row r="15" spans="2:29" x14ac:dyDescent="0.55000000000000004">
      <c r="B15" s="12" t="s">
        <v>150</v>
      </c>
      <c r="C15" s="12"/>
      <c r="D15" s="91">
        <v>1</v>
      </c>
      <c r="E15" s="12"/>
      <c r="F15" s="113">
        <v>1</v>
      </c>
      <c r="G15" s="12"/>
      <c r="H15" s="60">
        <v>-4994</v>
      </c>
      <c r="I15" s="12"/>
      <c r="J15" s="114">
        <v>-4993</v>
      </c>
      <c r="K15" s="12"/>
      <c r="L15" s="91">
        <v>4110001</v>
      </c>
      <c r="M15" s="12"/>
      <c r="N15" s="113">
        <v>69935875827</v>
      </c>
      <c r="O15" s="12"/>
      <c r="P15" s="60">
        <v>-67901309919</v>
      </c>
      <c r="Q15" s="12"/>
      <c r="R15" s="114">
        <v>2034565908</v>
      </c>
      <c r="S15" s="178"/>
      <c r="T15" s="164"/>
    </row>
    <row r="16" spans="2:29" x14ac:dyDescent="0.55000000000000004">
      <c r="B16" s="12" t="s">
        <v>114</v>
      </c>
      <c r="C16" s="12"/>
      <c r="D16" s="91">
        <v>7000000</v>
      </c>
      <c r="E16" s="12"/>
      <c r="F16" s="113">
        <v>47640284028</v>
      </c>
      <c r="G16" s="12"/>
      <c r="H16" s="60">
        <v>-28117980008</v>
      </c>
      <c r="I16" s="12"/>
      <c r="J16" s="114">
        <v>19522304020</v>
      </c>
      <c r="K16" s="12"/>
      <c r="L16" s="91">
        <v>11302565</v>
      </c>
      <c r="M16" s="12"/>
      <c r="N16" s="113">
        <v>89065969999</v>
      </c>
      <c r="O16" s="12"/>
      <c r="P16" s="60">
        <v>-68213356292</v>
      </c>
      <c r="Q16" s="12"/>
      <c r="R16" s="114">
        <v>20852613707</v>
      </c>
      <c r="S16" s="178"/>
      <c r="T16" s="164"/>
    </row>
    <row r="17" spans="2:20" x14ac:dyDescent="0.55000000000000004">
      <c r="B17" s="12" t="s">
        <v>259</v>
      </c>
      <c r="C17" s="12"/>
      <c r="D17" s="91">
        <v>1000000</v>
      </c>
      <c r="E17" s="12"/>
      <c r="F17" s="113">
        <v>16510929235</v>
      </c>
      <c r="G17" s="12"/>
      <c r="H17" s="60">
        <v>-13578102653</v>
      </c>
      <c r="I17" s="12"/>
      <c r="J17" s="114">
        <v>2932826582</v>
      </c>
      <c r="K17" s="12"/>
      <c r="L17" s="91">
        <v>1000000</v>
      </c>
      <c r="M17" s="12"/>
      <c r="N17" s="113">
        <v>16510929235</v>
      </c>
      <c r="O17" s="12"/>
      <c r="P17" s="60">
        <v>-13578102653</v>
      </c>
      <c r="Q17" s="12"/>
      <c r="R17" s="114">
        <v>2932826582</v>
      </c>
      <c r="S17" s="178"/>
      <c r="T17" s="164"/>
    </row>
    <row r="18" spans="2:20" x14ac:dyDescent="0.55000000000000004">
      <c r="B18" s="12" t="s">
        <v>181</v>
      </c>
      <c r="C18" s="179"/>
      <c r="D18" s="115">
        <v>2700000</v>
      </c>
      <c r="E18" s="115"/>
      <c r="F18" s="115">
        <v>14347634342</v>
      </c>
      <c r="G18" s="12"/>
      <c r="H18" s="60">
        <v>-11635663561</v>
      </c>
      <c r="I18" s="12"/>
      <c r="J18" s="114">
        <v>2711970781</v>
      </c>
      <c r="K18" s="12"/>
      <c r="L18" s="115">
        <v>14018459</v>
      </c>
      <c r="M18" s="12"/>
      <c r="N18" s="115">
        <v>80203310931</v>
      </c>
      <c r="O18" s="12"/>
      <c r="P18" s="60">
        <v>-79602887716</v>
      </c>
      <c r="Q18" s="12"/>
      <c r="R18" s="114">
        <v>600423215</v>
      </c>
      <c r="S18" s="178"/>
      <c r="T18" s="164"/>
    </row>
    <row r="19" spans="2:20" x14ac:dyDescent="0.55000000000000004">
      <c r="B19" s="12" t="s">
        <v>129</v>
      </c>
      <c r="C19" s="179"/>
      <c r="D19" s="115">
        <v>1827966</v>
      </c>
      <c r="E19" s="115"/>
      <c r="F19" s="115">
        <v>23218908656</v>
      </c>
      <c r="G19" s="12"/>
      <c r="H19" s="60">
        <v>-16129421512</v>
      </c>
      <c r="I19" s="12"/>
      <c r="J19" s="114">
        <v>7089487144</v>
      </c>
      <c r="K19" s="12"/>
      <c r="L19" s="115">
        <v>14591474</v>
      </c>
      <c r="M19" s="12"/>
      <c r="N19" s="115">
        <v>112340182500</v>
      </c>
      <c r="O19" s="12"/>
      <c r="P19" s="60">
        <v>-104458612112</v>
      </c>
      <c r="Q19" s="12"/>
      <c r="R19" s="114">
        <v>7881570388</v>
      </c>
      <c r="S19" s="178"/>
      <c r="T19" s="164"/>
    </row>
    <row r="20" spans="2:20" x14ac:dyDescent="0.55000000000000004">
      <c r="B20" s="12" t="s">
        <v>121</v>
      </c>
      <c r="C20" s="179"/>
      <c r="D20" s="115">
        <v>4887</v>
      </c>
      <c r="E20" s="115"/>
      <c r="F20" s="115">
        <v>68364812</v>
      </c>
      <c r="G20" s="12"/>
      <c r="H20" s="60">
        <v>-48356968</v>
      </c>
      <c r="I20" s="12"/>
      <c r="J20" s="114">
        <v>20007844</v>
      </c>
      <c r="K20" s="12"/>
      <c r="L20" s="115">
        <v>10504887</v>
      </c>
      <c r="M20" s="12"/>
      <c r="N20" s="115">
        <v>95407846269</v>
      </c>
      <c r="O20" s="12"/>
      <c r="P20" s="60">
        <v>-99475254193</v>
      </c>
      <c r="Q20" s="12"/>
      <c r="R20" s="114">
        <v>-4067407924</v>
      </c>
      <c r="S20" s="178"/>
      <c r="T20" s="164"/>
    </row>
    <row r="21" spans="2:20" x14ac:dyDescent="0.55000000000000004">
      <c r="B21" s="12" t="s">
        <v>128</v>
      </c>
      <c r="C21" s="179"/>
      <c r="D21" s="115">
        <v>5999000</v>
      </c>
      <c r="E21" s="115"/>
      <c r="F21" s="115">
        <v>18451834219</v>
      </c>
      <c r="G21" s="12"/>
      <c r="H21" s="60">
        <v>-15933953452</v>
      </c>
      <c r="I21" s="12"/>
      <c r="J21" s="114">
        <v>2517880767</v>
      </c>
      <c r="K21" s="12"/>
      <c r="L21" s="115">
        <v>55382580</v>
      </c>
      <c r="M21" s="12"/>
      <c r="N21" s="115">
        <v>150229605342</v>
      </c>
      <c r="O21" s="12"/>
      <c r="P21" s="60">
        <v>-147101759351</v>
      </c>
      <c r="Q21" s="12"/>
      <c r="R21" s="114">
        <v>3127845991</v>
      </c>
      <c r="S21" s="178"/>
      <c r="T21" s="164"/>
    </row>
    <row r="22" spans="2:20" x14ac:dyDescent="0.55000000000000004">
      <c r="B22" s="12" t="s">
        <v>117</v>
      </c>
      <c r="C22" s="179"/>
      <c r="D22" s="115">
        <v>1050000</v>
      </c>
      <c r="E22" s="115"/>
      <c r="F22" s="115">
        <v>651989093356</v>
      </c>
      <c r="G22" s="12"/>
      <c r="H22" s="60">
        <v>-306791103771</v>
      </c>
      <c r="I22" s="12"/>
      <c r="J22" s="114">
        <v>345197989585</v>
      </c>
      <c r="K22" s="12"/>
      <c r="L22" s="115">
        <v>1400629</v>
      </c>
      <c r="M22" s="12"/>
      <c r="N22" s="115">
        <v>745321723494</v>
      </c>
      <c r="O22" s="12"/>
      <c r="P22" s="60">
        <v>-398093249252</v>
      </c>
      <c r="Q22" s="12"/>
      <c r="R22" s="114">
        <v>347228474242</v>
      </c>
      <c r="S22" s="178"/>
      <c r="T22" s="164"/>
    </row>
    <row r="23" spans="2:20" x14ac:dyDescent="0.55000000000000004">
      <c r="B23" s="12" t="s">
        <v>241</v>
      </c>
      <c r="C23" s="179"/>
      <c r="D23" s="115">
        <v>7200000</v>
      </c>
      <c r="E23" s="115"/>
      <c r="F23" s="115">
        <v>66642806656</v>
      </c>
      <c r="G23" s="12"/>
      <c r="H23" s="60">
        <v>-45581913906</v>
      </c>
      <c r="I23" s="12"/>
      <c r="J23" s="114">
        <v>21060892750</v>
      </c>
      <c r="K23" s="12"/>
      <c r="L23" s="115">
        <v>31200000</v>
      </c>
      <c r="M23" s="12"/>
      <c r="N23" s="115">
        <v>237336521336</v>
      </c>
      <c r="O23" s="12"/>
      <c r="P23" s="60">
        <v>-196448018256</v>
      </c>
      <c r="Q23" s="12"/>
      <c r="R23" s="114">
        <v>40888503080</v>
      </c>
      <c r="S23" s="178"/>
      <c r="T23" s="164"/>
    </row>
    <row r="24" spans="2:20" x14ac:dyDescent="0.55000000000000004">
      <c r="B24" s="12" t="s">
        <v>260</v>
      </c>
      <c r="C24" s="179"/>
      <c r="D24" s="115">
        <v>133750</v>
      </c>
      <c r="E24" s="115"/>
      <c r="F24" s="115">
        <v>4548138053</v>
      </c>
      <c r="G24" s="12"/>
      <c r="H24" s="60">
        <v>-3787614254</v>
      </c>
      <c r="I24" s="12"/>
      <c r="J24" s="114">
        <v>760523799</v>
      </c>
      <c r="K24" s="12"/>
      <c r="L24" s="115">
        <v>133750</v>
      </c>
      <c r="M24" s="12"/>
      <c r="N24" s="115">
        <v>4548138053</v>
      </c>
      <c r="O24" s="12"/>
      <c r="P24" s="60">
        <v>-3787614254</v>
      </c>
      <c r="Q24" s="12"/>
      <c r="R24" s="114">
        <v>760523799</v>
      </c>
      <c r="S24" s="178"/>
      <c r="T24" s="164"/>
    </row>
    <row r="25" spans="2:20" x14ac:dyDescent="0.55000000000000004">
      <c r="B25" s="12" t="s">
        <v>276</v>
      </c>
      <c r="C25" s="179"/>
      <c r="D25" s="115">
        <v>465463</v>
      </c>
      <c r="E25" s="115"/>
      <c r="F25" s="115">
        <v>2894772624</v>
      </c>
      <c r="G25" s="12"/>
      <c r="H25" s="60">
        <v>-2891913587</v>
      </c>
      <c r="I25" s="12"/>
      <c r="J25" s="114">
        <v>2859037</v>
      </c>
      <c r="K25" s="12"/>
      <c r="L25" s="115">
        <v>465463</v>
      </c>
      <c r="M25" s="12"/>
      <c r="N25" s="115">
        <v>2894772624</v>
      </c>
      <c r="O25" s="12"/>
      <c r="P25" s="60">
        <v>-2891913587</v>
      </c>
      <c r="Q25" s="12"/>
      <c r="R25" s="114">
        <v>2859037</v>
      </c>
      <c r="S25" s="178"/>
      <c r="T25" s="164"/>
    </row>
    <row r="26" spans="2:20" x14ac:dyDescent="0.55000000000000004">
      <c r="B26" s="12" t="s">
        <v>118</v>
      </c>
      <c r="C26" s="179"/>
      <c r="D26" s="115">
        <v>100000</v>
      </c>
      <c r="E26" s="115"/>
      <c r="F26" s="115">
        <v>5892505410</v>
      </c>
      <c r="G26" s="12"/>
      <c r="H26" s="60">
        <v>-5636945480</v>
      </c>
      <c r="I26" s="12"/>
      <c r="J26" s="114">
        <v>255559930</v>
      </c>
      <c r="K26" s="12"/>
      <c r="L26" s="115">
        <v>4201912</v>
      </c>
      <c r="M26" s="12"/>
      <c r="N26" s="115">
        <v>183469296719</v>
      </c>
      <c r="O26" s="12"/>
      <c r="P26" s="60">
        <v>-285273816230</v>
      </c>
      <c r="Q26" s="12"/>
      <c r="R26" s="114">
        <v>-101804519511</v>
      </c>
      <c r="S26" s="178"/>
      <c r="T26" s="164"/>
    </row>
    <row r="27" spans="2:20" x14ac:dyDescent="0.55000000000000004">
      <c r="B27" s="12" t="s">
        <v>272</v>
      </c>
      <c r="C27" s="179"/>
      <c r="D27" s="115">
        <v>4400000</v>
      </c>
      <c r="E27" s="115"/>
      <c r="F27" s="115">
        <v>17615762846</v>
      </c>
      <c r="G27" s="12"/>
      <c r="H27" s="60">
        <v>-16226440329</v>
      </c>
      <c r="I27" s="12"/>
      <c r="J27" s="114">
        <v>1389322517</v>
      </c>
      <c r="K27" s="12"/>
      <c r="L27" s="115">
        <v>4400000</v>
      </c>
      <c r="M27" s="12"/>
      <c r="N27" s="115">
        <v>17615762846</v>
      </c>
      <c r="O27" s="12"/>
      <c r="P27" s="60">
        <v>-16226440329</v>
      </c>
      <c r="Q27" s="12"/>
      <c r="R27" s="114">
        <v>1389322517</v>
      </c>
      <c r="S27" s="178"/>
      <c r="T27" s="164"/>
    </row>
    <row r="28" spans="2:20" x14ac:dyDescent="0.55000000000000004">
      <c r="B28" s="12" t="s">
        <v>278</v>
      </c>
      <c r="C28" s="179"/>
      <c r="D28" s="115">
        <v>455</v>
      </c>
      <c r="E28" s="115"/>
      <c r="F28" s="115">
        <v>19054489</v>
      </c>
      <c r="G28" s="12"/>
      <c r="H28" s="60">
        <v>-17098226</v>
      </c>
      <c r="I28" s="12"/>
      <c r="J28" s="114">
        <v>1956263</v>
      </c>
      <c r="K28" s="12"/>
      <c r="L28" s="115">
        <v>455</v>
      </c>
      <c r="M28" s="12"/>
      <c r="N28" s="115">
        <v>19054489</v>
      </c>
      <c r="O28" s="12"/>
      <c r="P28" s="60">
        <v>-17098226</v>
      </c>
      <c r="Q28" s="12"/>
      <c r="R28" s="114">
        <v>1956263</v>
      </c>
      <c r="S28" s="178"/>
      <c r="T28" s="164"/>
    </row>
    <row r="29" spans="2:20" x14ac:dyDescent="0.55000000000000004">
      <c r="B29" s="12" t="s">
        <v>263</v>
      </c>
      <c r="C29" s="179"/>
      <c r="D29" s="115">
        <v>2083</v>
      </c>
      <c r="E29" s="115"/>
      <c r="F29" s="115">
        <v>6276643</v>
      </c>
      <c r="G29" s="12"/>
      <c r="H29" s="60">
        <v>-8311170</v>
      </c>
      <c r="I29" s="12"/>
      <c r="J29" s="114">
        <v>-2034527</v>
      </c>
      <c r="K29" s="12"/>
      <c r="L29" s="115">
        <v>2083</v>
      </c>
      <c r="M29" s="12"/>
      <c r="N29" s="115">
        <v>6276643</v>
      </c>
      <c r="O29" s="12"/>
      <c r="P29" s="60">
        <v>-8311170</v>
      </c>
      <c r="Q29" s="12"/>
      <c r="R29" s="114">
        <v>-2034527</v>
      </c>
      <c r="S29" s="178"/>
      <c r="T29" s="164"/>
    </row>
    <row r="30" spans="2:20" x14ac:dyDescent="0.55000000000000004">
      <c r="B30" s="12" t="s">
        <v>104</v>
      </c>
      <c r="C30" s="179"/>
      <c r="D30" s="115">
        <v>30000000</v>
      </c>
      <c r="E30" s="115"/>
      <c r="F30" s="115">
        <v>84679324126</v>
      </c>
      <c r="G30" s="12"/>
      <c r="H30" s="60">
        <v>-56731658696</v>
      </c>
      <c r="I30" s="12"/>
      <c r="J30" s="114">
        <v>27947665430</v>
      </c>
      <c r="K30" s="12"/>
      <c r="L30" s="115">
        <v>224995378</v>
      </c>
      <c r="M30" s="12"/>
      <c r="N30" s="115">
        <v>473554460445</v>
      </c>
      <c r="O30" s="12"/>
      <c r="P30" s="60">
        <v>-414390678571</v>
      </c>
      <c r="Q30" s="12"/>
      <c r="R30" s="114">
        <v>59163781874</v>
      </c>
      <c r="S30" s="178"/>
      <c r="T30" s="164"/>
    </row>
    <row r="31" spans="2:20" x14ac:dyDescent="0.55000000000000004">
      <c r="B31" s="12" t="s">
        <v>250</v>
      </c>
      <c r="C31" s="179"/>
      <c r="D31" s="115">
        <v>1395395</v>
      </c>
      <c r="E31" s="115"/>
      <c r="F31" s="115">
        <v>5160229803</v>
      </c>
      <c r="G31" s="12"/>
      <c r="H31" s="60">
        <v>-4615966660</v>
      </c>
      <c r="I31" s="12"/>
      <c r="J31" s="114">
        <v>544263143</v>
      </c>
      <c r="K31" s="12"/>
      <c r="L31" s="115">
        <v>1395395</v>
      </c>
      <c r="M31" s="12"/>
      <c r="N31" s="115">
        <v>5160229803</v>
      </c>
      <c r="O31" s="12"/>
      <c r="P31" s="60">
        <v>-4615966660</v>
      </c>
      <c r="Q31" s="12"/>
      <c r="R31" s="114">
        <v>544263143</v>
      </c>
      <c r="S31" s="178"/>
      <c r="T31" s="164"/>
    </row>
    <row r="32" spans="2:20" x14ac:dyDescent="0.55000000000000004">
      <c r="B32" s="12" t="s">
        <v>201</v>
      </c>
      <c r="C32" s="179"/>
      <c r="D32" s="115">
        <v>14000000</v>
      </c>
      <c r="E32" s="115"/>
      <c r="F32" s="115">
        <v>41560282672</v>
      </c>
      <c r="G32" s="12"/>
      <c r="H32" s="60">
        <v>-34648837757</v>
      </c>
      <c r="I32" s="12"/>
      <c r="J32" s="114">
        <v>6911444915</v>
      </c>
      <c r="K32" s="12"/>
      <c r="L32" s="115">
        <v>59200000</v>
      </c>
      <c r="M32" s="12"/>
      <c r="N32" s="115">
        <v>240871809214</v>
      </c>
      <c r="O32" s="12"/>
      <c r="P32" s="60">
        <v>-224112341821</v>
      </c>
      <c r="Q32" s="12"/>
      <c r="R32" s="114">
        <v>16759467393</v>
      </c>
      <c r="S32" s="178"/>
      <c r="T32" s="164"/>
    </row>
    <row r="33" spans="2:20" x14ac:dyDescent="0.55000000000000004">
      <c r="B33" s="12" t="s">
        <v>137</v>
      </c>
      <c r="C33" s="179"/>
      <c r="D33" s="115">
        <v>99000</v>
      </c>
      <c r="E33" s="115"/>
      <c r="F33" s="115">
        <v>3093222812</v>
      </c>
      <c r="G33" s="12"/>
      <c r="H33" s="60">
        <v>-2066488174</v>
      </c>
      <c r="I33" s="12"/>
      <c r="J33" s="114">
        <v>1026734638</v>
      </c>
      <c r="K33" s="12"/>
      <c r="L33" s="115">
        <v>11835188</v>
      </c>
      <c r="M33" s="12"/>
      <c r="N33" s="115">
        <v>244713544158</v>
      </c>
      <c r="O33" s="12"/>
      <c r="P33" s="60">
        <v>-225657397714</v>
      </c>
      <c r="Q33" s="12"/>
      <c r="R33" s="114">
        <v>19056146444</v>
      </c>
      <c r="S33" s="178"/>
      <c r="T33" s="164"/>
    </row>
    <row r="34" spans="2:20" x14ac:dyDescent="0.55000000000000004">
      <c r="B34" s="12" t="s">
        <v>112</v>
      </c>
      <c r="C34" s="179"/>
      <c r="D34" s="115">
        <v>574764</v>
      </c>
      <c r="E34" s="115"/>
      <c r="F34" s="115">
        <v>866040535</v>
      </c>
      <c r="G34" s="12"/>
      <c r="H34" s="60">
        <v>-739753060</v>
      </c>
      <c r="I34" s="12"/>
      <c r="J34" s="114">
        <v>126287475</v>
      </c>
      <c r="K34" s="12"/>
      <c r="L34" s="115">
        <v>111995581</v>
      </c>
      <c r="M34" s="12"/>
      <c r="N34" s="115">
        <v>206519889668</v>
      </c>
      <c r="O34" s="12"/>
      <c r="P34" s="60">
        <v>-185302399594</v>
      </c>
      <c r="Q34" s="12"/>
      <c r="R34" s="114">
        <v>21217490074</v>
      </c>
      <c r="S34" s="178"/>
      <c r="T34" s="164"/>
    </row>
    <row r="35" spans="2:20" x14ac:dyDescent="0.55000000000000004">
      <c r="B35" s="12" t="s">
        <v>110</v>
      </c>
      <c r="C35" s="179"/>
      <c r="D35" s="115">
        <v>20000000</v>
      </c>
      <c r="E35" s="115"/>
      <c r="F35" s="115">
        <v>12033221165</v>
      </c>
      <c r="G35" s="12"/>
      <c r="H35" s="60">
        <v>-10126040552</v>
      </c>
      <c r="I35" s="12"/>
      <c r="J35" s="114">
        <v>1907180613</v>
      </c>
      <c r="K35" s="12"/>
      <c r="L35" s="115">
        <v>155200001</v>
      </c>
      <c r="M35" s="12"/>
      <c r="N35" s="115">
        <v>91738415143</v>
      </c>
      <c r="O35" s="12"/>
      <c r="P35" s="60">
        <v>-81003036697</v>
      </c>
      <c r="Q35" s="12"/>
      <c r="R35" s="114">
        <v>10735378446</v>
      </c>
      <c r="S35" s="178"/>
      <c r="T35" s="164"/>
    </row>
    <row r="36" spans="2:20" x14ac:dyDescent="0.55000000000000004">
      <c r="B36" s="12" t="s">
        <v>144</v>
      </c>
      <c r="C36" s="179"/>
      <c r="D36" s="115">
        <v>4000000</v>
      </c>
      <c r="E36" s="115"/>
      <c r="F36" s="115">
        <v>66206956880</v>
      </c>
      <c r="G36" s="12"/>
      <c r="H36" s="60">
        <v>-50316463885</v>
      </c>
      <c r="I36" s="12"/>
      <c r="J36" s="114">
        <v>15890492995</v>
      </c>
      <c r="K36" s="12"/>
      <c r="L36" s="115">
        <v>23265446</v>
      </c>
      <c r="M36" s="12"/>
      <c r="N36" s="115">
        <v>251068203743</v>
      </c>
      <c r="O36" s="12"/>
      <c r="P36" s="60">
        <v>-301049004336</v>
      </c>
      <c r="Q36" s="12"/>
      <c r="R36" s="114">
        <v>-49980800593</v>
      </c>
      <c r="S36" s="178"/>
      <c r="T36" s="164"/>
    </row>
    <row r="37" spans="2:20" x14ac:dyDescent="0.55000000000000004">
      <c r="B37" s="12" t="s">
        <v>136</v>
      </c>
      <c r="C37" s="179"/>
      <c r="D37" s="115">
        <v>32054116</v>
      </c>
      <c r="E37" s="115"/>
      <c r="F37" s="115">
        <v>17542711580</v>
      </c>
      <c r="G37" s="12"/>
      <c r="H37" s="60">
        <v>-18648265788</v>
      </c>
      <c r="I37" s="12"/>
      <c r="J37" s="114">
        <v>-1105554208</v>
      </c>
      <c r="K37" s="12"/>
      <c r="L37" s="115">
        <v>177231921</v>
      </c>
      <c r="M37" s="12"/>
      <c r="N37" s="115">
        <v>73723879590</v>
      </c>
      <c r="O37" s="12"/>
      <c r="P37" s="60">
        <v>-74262553219</v>
      </c>
      <c r="Q37" s="12"/>
      <c r="R37" s="114">
        <v>-538673629</v>
      </c>
      <c r="S37" s="178"/>
      <c r="T37" s="164"/>
    </row>
    <row r="38" spans="2:20" x14ac:dyDescent="0.55000000000000004">
      <c r="B38" s="12" t="s">
        <v>274</v>
      </c>
      <c r="C38" s="179"/>
      <c r="D38" s="115">
        <v>100000</v>
      </c>
      <c r="E38" s="115"/>
      <c r="F38" s="115">
        <v>4115321807</v>
      </c>
      <c r="G38" s="12"/>
      <c r="H38" s="60">
        <v>-3787915314</v>
      </c>
      <c r="I38" s="12"/>
      <c r="J38" s="114">
        <v>327406493</v>
      </c>
      <c r="K38" s="12"/>
      <c r="L38" s="115">
        <v>100000</v>
      </c>
      <c r="M38" s="12"/>
      <c r="N38" s="115">
        <v>4115321807</v>
      </c>
      <c r="O38" s="12"/>
      <c r="P38" s="60">
        <v>-3787915314</v>
      </c>
      <c r="Q38" s="12"/>
      <c r="R38" s="114">
        <v>327406493</v>
      </c>
      <c r="S38" s="178"/>
      <c r="T38" s="164"/>
    </row>
    <row r="39" spans="2:20" x14ac:dyDescent="0.55000000000000004">
      <c r="B39" s="12" t="s">
        <v>196</v>
      </c>
      <c r="C39" s="179"/>
      <c r="D39" s="115">
        <v>0</v>
      </c>
      <c r="E39" s="115"/>
      <c r="F39" s="115">
        <v>0</v>
      </c>
      <c r="G39" s="12"/>
      <c r="H39" s="60">
        <v>0</v>
      </c>
      <c r="I39" s="12"/>
      <c r="J39" s="114">
        <v>0</v>
      </c>
      <c r="K39" s="12"/>
      <c r="L39" s="115">
        <v>9100000</v>
      </c>
      <c r="M39" s="12"/>
      <c r="N39" s="115">
        <v>123917346802</v>
      </c>
      <c r="O39" s="12"/>
      <c r="P39" s="60">
        <v>-132769794012</v>
      </c>
      <c r="Q39" s="12"/>
      <c r="R39" s="114">
        <v>-8852447210</v>
      </c>
      <c r="S39" s="178"/>
      <c r="T39" s="164"/>
    </row>
    <row r="40" spans="2:20" x14ac:dyDescent="0.55000000000000004">
      <c r="B40" s="12" t="s">
        <v>135</v>
      </c>
      <c r="C40" s="179"/>
      <c r="D40" s="115">
        <v>0</v>
      </c>
      <c r="E40" s="115"/>
      <c r="F40" s="115">
        <v>0</v>
      </c>
      <c r="G40" s="12"/>
      <c r="H40" s="60">
        <v>0</v>
      </c>
      <c r="I40" s="12"/>
      <c r="J40" s="114">
        <v>0</v>
      </c>
      <c r="K40" s="12"/>
      <c r="L40" s="115">
        <v>364998</v>
      </c>
      <c r="M40" s="12"/>
      <c r="N40" s="115">
        <v>1669452833</v>
      </c>
      <c r="O40" s="12"/>
      <c r="P40" s="60">
        <v>-1779995754</v>
      </c>
      <c r="Q40" s="12"/>
      <c r="R40" s="114">
        <v>-110542921</v>
      </c>
      <c r="S40" s="178"/>
      <c r="T40" s="164"/>
    </row>
    <row r="41" spans="2:20" x14ac:dyDescent="0.55000000000000004">
      <c r="B41" s="12" t="s">
        <v>240</v>
      </c>
      <c r="C41" s="179"/>
      <c r="D41" s="115">
        <v>0</v>
      </c>
      <c r="E41" s="115"/>
      <c r="F41" s="115">
        <v>0</v>
      </c>
      <c r="G41" s="12"/>
      <c r="H41" s="60">
        <v>0</v>
      </c>
      <c r="I41" s="12"/>
      <c r="J41" s="114">
        <v>0</v>
      </c>
      <c r="K41" s="12"/>
      <c r="L41" s="115">
        <v>14000000</v>
      </c>
      <c r="M41" s="12"/>
      <c r="N41" s="115">
        <v>49376310474</v>
      </c>
      <c r="O41" s="12"/>
      <c r="P41" s="60">
        <v>-46226459745</v>
      </c>
      <c r="Q41" s="12"/>
      <c r="R41" s="114">
        <v>3149850729</v>
      </c>
      <c r="S41" s="178"/>
      <c r="T41" s="164"/>
    </row>
    <row r="42" spans="2:20" x14ac:dyDescent="0.55000000000000004">
      <c r="B42" s="12" t="s">
        <v>158</v>
      </c>
      <c r="C42" s="179"/>
      <c r="D42" s="115">
        <v>0</v>
      </c>
      <c r="E42" s="115"/>
      <c r="F42" s="115">
        <v>0</v>
      </c>
      <c r="G42" s="12"/>
      <c r="H42" s="60">
        <v>0</v>
      </c>
      <c r="I42" s="12"/>
      <c r="J42" s="114">
        <v>0</v>
      </c>
      <c r="K42" s="12"/>
      <c r="L42" s="115">
        <v>1000000</v>
      </c>
      <c r="M42" s="12"/>
      <c r="N42" s="115">
        <v>7418294945</v>
      </c>
      <c r="O42" s="12"/>
      <c r="P42" s="60">
        <v>-6391741500</v>
      </c>
      <c r="Q42" s="12"/>
      <c r="R42" s="114">
        <v>1026553445</v>
      </c>
      <c r="S42" s="178"/>
      <c r="T42" s="164"/>
    </row>
    <row r="43" spans="2:20" x14ac:dyDescent="0.55000000000000004">
      <c r="B43" s="12" t="s">
        <v>171</v>
      </c>
      <c r="C43" s="179"/>
      <c r="D43" s="115">
        <v>0</v>
      </c>
      <c r="E43" s="115"/>
      <c r="F43" s="115">
        <v>0</v>
      </c>
      <c r="G43" s="12"/>
      <c r="H43" s="60">
        <v>0</v>
      </c>
      <c r="I43" s="12"/>
      <c r="J43" s="114">
        <v>0</v>
      </c>
      <c r="K43" s="12"/>
      <c r="L43" s="115">
        <v>5233155</v>
      </c>
      <c r="M43" s="12"/>
      <c r="N43" s="115">
        <v>38009415924</v>
      </c>
      <c r="O43" s="12"/>
      <c r="P43" s="60">
        <v>-39171193489</v>
      </c>
      <c r="Q43" s="12"/>
      <c r="R43" s="114">
        <v>-1161777565</v>
      </c>
      <c r="S43" s="178"/>
      <c r="T43" s="164"/>
    </row>
    <row r="44" spans="2:20" x14ac:dyDescent="0.55000000000000004">
      <c r="B44" s="12" t="s">
        <v>125</v>
      </c>
      <c r="C44" s="179"/>
      <c r="D44" s="115">
        <v>0</v>
      </c>
      <c r="E44" s="115"/>
      <c r="F44" s="115">
        <v>0</v>
      </c>
      <c r="G44" s="12"/>
      <c r="H44" s="60">
        <v>0</v>
      </c>
      <c r="I44" s="12"/>
      <c r="J44" s="114">
        <v>0</v>
      </c>
      <c r="K44" s="12"/>
      <c r="L44" s="115">
        <v>3115456</v>
      </c>
      <c r="M44" s="12"/>
      <c r="N44" s="115">
        <v>186760959138</v>
      </c>
      <c r="O44" s="12"/>
      <c r="P44" s="60">
        <v>-178145125354</v>
      </c>
      <c r="Q44" s="12"/>
      <c r="R44" s="114">
        <v>8615833784</v>
      </c>
      <c r="S44" s="178"/>
      <c r="T44" s="164"/>
    </row>
    <row r="45" spans="2:20" x14ac:dyDescent="0.55000000000000004">
      <c r="B45" s="12" t="s">
        <v>242</v>
      </c>
      <c r="C45" s="179"/>
      <c r="D45" s="115">
        <v>0</v>
      </c>
      <c r="E45" s="115"/>
      <c r="F45" s="115">
        <v>0</v>
      </c>
      <c r="G45" s="12"/>
      <c r="H45" s="60">
        <v>0</v>
      </c>
      <c r="I45" s="12"/>
      <c r="J45" s="114">
        <v>0</v>
      </c>
      <c r="K45" s="12"/>
      <c r="L45" s="115">
        <v>70000000</v>
      </c>
      <c r="M45" s="12"/>
      <c r="N45" s="115">
        <v>222952069368</v>
      </c>
      <c r="O45" s="12"/>
      <c r="P45" s="60">
        <v>-199449742480</v>
      </c>
      <c r="Q45" s="12"/>
      <c r="R45" s="114">
        <v>23502326888</v>
      </c>
      <c r="S45" s="178"/>
      <c r="T45" s="164"/>
    </row>
    <row r="46" spans="2:20" x14ac:dyDescent="0.55000000000000004">
      <c r="B46" s="12" t="s">
        <v>168</v>
      </c>
      <c r="C46" s="179"/>
      <c r="D46" s="115">
        <v>0</v>
      </c>
      <c r="E46" s="115"/>
      <c r="F46" s="115">
        <v>0</v>
      </c>
      <c r="G46" s="12"/>
      <c r="H46" s="60">
        <v>0</v>
      </c>
      <c r="I46" s="12"/>
      <c r="J46" s="114">
        <v>0</v>
      </c>
      <c r="K46" s="12"/>
      <c r="L46" s="115">
        <v>350000</v>
      </c>
      <c r="M46" s="12"/>
      <c r="N46" s="115">
        <v>16465764237</v>
      </c>
      <c r="O46" s="12"/>
      <c r="P46" s="60">
        <v>-14125450500</v>
      </c>
      <c r="Q46" s="12"/>
      <c r="R46" s="114">
        <v>2340313737</v>
      </c>
      <c r="S46" s="178"/>
      <c r="T46" s="164"/>
    </row>
    <row r="47" spans="2:20" x14ac:dyDescent="0.55000000000000004">
      <c r="B47" s="12" t="s">
        <v>261</v>
      </c>
      <c r="C47" s="179"/>
      <c r="D47" s="115">
        <v>0</v>
      </c>
      <c r="E47" s="115"/>
      <c r="F47" s="115">
        <v>0</v>
      </c>
      <c r="G47" s="12"/>
      <c r="H47" s="60">
        <v>0</v>
      </c>
      <c r="I47" s="12"/>
      <c r="J47" s="114">
        <v>0</v>
      </c>
      <c r="K47" s="12"/>
      <c r="L47" s="115">
        <v>4276</v>
      </c>
      <c r="M47" s="12"/>
      <c r="N47" s="115">
        <v>10503083</v>
      </c>
      <c r="O47" s="12"/>
      <c r="P47" s="60">
        <v>-9996793</v>
      </c>
      <c r="Q47" s="12"/>
      <c r="R47" s="114">
        <v>506290</v>
      </c>
      <c r="S47" s="178"/>
      <c r="T47" s="164"/>
    </row>
    <row r="48" spans="2:20" x14ac:dyDescent="0.55000000000000004">
      <c r="B48" s="12" t="s">
        <v>186</v>
      </c>
      <c r="C48" s="179"/>
      <c r="D48" s="115">
        <v>0</v>
      </c>
      <c r="E48" s="115"/>
      <c r="F48" s="115">
        <v>0</v>
      </c>
      <c r="G48" s="12"/>
      <c r="H48" s="60">
        <v>0</v>
      </c>
      <c r="I48" s="12"/>
      <c r="J48" s="114">
        <v>0</v>
      </c>
      <c r="K48" s="12"/>
      <c r="L48" s="115">
        <v>6100000</v>
      </c>
      <c r="M48" s="12"/>
      <c r="N48" s="115">
        <v>76203951750</v>
      </c>
      <c r="O48" s="12"/>
      <c r="P48" s="60">
        <v>-51624969511</v>
      </c>
      <c r="Q48" s="12"/>
      <c r="R48" s="114">
        <v>24578982239</v>
      </c>
      <c r="S48" s="178"/>
      <c r="T48" s="164"/>
    </row>
    <row r="49" spans="2:26" x14ac:dyDescent="0.55000000000000004">
      <c r="B49" s="12" t="s">
        <v>159</v>
      </c>
      <c r="C49" s="179"/>
      <c r="D49" s="115">
        <v>0</v>
      </c>
      <c r="E49" s="115"/>
      <c r="F49" s="115">
        <v>0</v>
      </c>
      <c r="G49" s="12"/>
      <c r="H49" s="60">
        <v>0</v>
      </c>
      <c r="I49" s="12"/>
      <c r="J49" s="114">
        <v>0</v>
      </c>
      <c r="K49" s="12"/>
      <c r="L49" s="115">
        <v>250000</v>
      </c>
      <c r="M49" s="12"/>
      <c r="N49" s="115">
        <v>3710544265</v>
      </c>
      <c r="O49" s="12"/>
      <c r="P49" s="60">
        <v>-3436927875</v>
      </c>
      <c r="Q49" s="12"/>
      <c r="R49" s="114">
        <v>273616390</v>
      </c>
      <c r="S49" s="178"/>
      <c r="T49" s="164"/>
    </row>
    <row r="50" spans="2:26" x14ac:dyDescent="0.55000000000000004">
      <c r="B50" s="12" t="s">
        <v>185</v>
      </c>
      <c r="C50" s="179"/>
      <c r="D50" s="115">
        <v>0</v>
      </c>
      <c r="E50" s="115"/>
      <c r="F50" s="115">
        <v>0</v>
      </c>
      <c r="G50" s="12"/>
      <c r="H50" s="60">
        <v>0</v>
      </c>
      <c r="I50" s="12"/>
      <c r="J50" s="114">
        <v>0</v>
      </c>
      <c r="K50" s="12"/>
      <c r="L50" s="115">
        <v>6500000</v>
      </c>
      <c r="M50" s="12"/>
      <c r="N50" s="115">
        <v>8292106618</v>
      </c>
      <c r="O50" s="12"/>
      <c r="P50" s="60">
        <v>-8781300450</v>
      </c>
      <c r="Q50" s="12"/>
      <c r="R50" s="114">
        <v>-489193832</v>
      </c>
      <c r="S50" s="178"/>
      <c r="T50" s="164"/>
    </row>
    <row r="51" spans="2:26" x14ac:dyDescent="0.55000000000000004">
      <c r="B51" s="12" t="s">
        <v>153</v>
      </c>
      <c r="C51" s="179"/>
      <c r="D51" s="115">
        <v>0</v>
      </c>
      <c r="E51" s="115"/>
      <c r="F51" s="115">
        <v>0</v>
      </c>
      <c r="G51" s="12"/>
      <c r="H51" s="60">
        <v>0</v>
      </c>
      <c r="I51" s="12"/>
      <c r="J51" s="114">
        <v>0</v>
      </c>
      <c r="K51" s="12"/>
      <c r="L51" s="115">
        <v>8075370</v>
      </c>
      <c r="M51" s="12"/>
      <c r="N51" s="115">
        <v>10863602652</v>
      </c>
      <c r="O51" s="12"/>
      <c r="P51" s="60">
        <v>-13421679968</v>
      </c>
      <c r="Q51" s="12"/>
      <c r="R51" s="114">
        <v>-2558077316</v>
      </c>
      <c r="S51" s="178"/>
      <c r="T51" s="164"/>
    </row>
    <row r="52" spans="2:26" x14ac:dyDescent="0.55000000000000004">
      <c r="B52" s="12" t="s">
        <v>264</v>
      </c>
      <c r="C52" s="179"/>
      <c r="D52" s="115">
        <v>0</v>
      </c>
      <c r="E52" s="115"/>
      <c r="F52" s="115">
        <v>0</v>
      </c>
      <c r="G52" s="12"/>
      <c r="H52" s="60">
        <v>0</v>
      </c>
      <c r="I52" s="12"/>
      <c r="J52" s="114">
        <v>0</v>
      </c>
      <c r="K52" s="12"/>
      <c r="L52" s="115">
        <v>375000</v>
      </c>
      <c r="M52" s="12"/>
      <c r="N52" s="115">
        <v>9494032594</v>
      </c>
      <c r="O52" s="12"/>
      <c r="P52" s="60">
        <v>-6782788389</v>
      </c>
      <c r="Q52" s="12"/>
      <c r="R52" s="114">
        <v>2711244205</v>
      </c>
      <c r="S52" s="178"/>
      <c r="T52" s="164"/>
    </row>
    <row r="53" spans="2:26" x14ac:dyDescent="0.55000000000000004">
      <c r="B53" s="12" t="s">
        <v>166</v>
      </c>
      <c r="C53" s="179"/>
      <c r="D53" s="115">
        <v>0</v>
      </c>
      <c r="E53" s="115"/>
      <c r="F53" s="115">
        <v>0</v>
      </c>
      <c r="G53" s="12"/>
      <c r="H53" s="60">
        <v>0</v>
      </c>
      <c r="I53" s="12"/>
      <c r="J53" s="114">
        <v>0</v>
      </c>
      <c r="K53" s="12"/>
      <c r="L53" s="115">
        <v>200000</v>
      </c>
      <c r="M53" s="12"/>
      <c r="N53" s="115">
        <v>1683013472</v>
      </c>
      <c r="O53" s="12"/>
      <c r="P53" s="60">
        <v>-1425467700</v>
      </c>
      <c r="Q53" s="12"/>
      <c r="R53" s="114">
        <v>257545772</v>
      </c>
      <c r="S53" s="178"/>
      <c r="T53" s="164"/>
    </row>
    <row r="54" spans="2:26" x14ac:dyDescent="0.55000000000000004">
      <c r="B54" s="12" t="s">
        <v>239</v>
      </c>
      <c r="C54" s="179"/>
      <c r="D54" s="115">
        <v>0</v>
      </c>
      <c r="E54" s="115"/>
      <c r="F54" s="115">
        <v>0</v>
      </c>
      <c r="G54" s="12"/>
      <c r="H54" s="60">
        <v>0</v>
      </c>
      <c r="I54" s="12"/>
      <c r="J54" s="114">
        <v>0</v>
      </c>
      <c r="K54" s="12"/>
      <c r="L54" s="115">
        <v>94429</v>
      </c>
      <c r="M54" s="12"/>
      <c r="N54" s="115">
        <v>314925979</v>
      </c>
      <c r="O54" s="12"/>
      <c r="P54" s="60">
        <v>-324037299</v>
      </c>
      <c r="Q54" s="12"/>
      <c r="R54" s="114">
        <v>-9111320</v>
      </c>
      <c r="S54" s="178"/>
      <c r="T54" s="164"/>
    </row>
    <row r="55" spans="2:26" x14ac:dyDescent="0.55000000000000004">
      <c r="B55" s="12" t="s">
        <v>124</v>
      </c>
      <c r="C55" s="179"/>
      <c r="D55" s="115">
        <v>0</v>
      </c>
      <c r="E55" s="115"/>
      <c r="F55" s="115">
        <v>0</v>
      </c>
      <c r="G55" s="12"/>
      <c r="H55" s="60">
        <v>0</v>
      </c>
      <c r="I55" s="12"/>
      <c r="J55" s="114">
        <v>0</v>
      </c>
      <c r="K55" s="12"/>
      <c r="L55" s="115">
        <v>1000000</v>
      </c>
      <c r="M55" s="12"/>
      <c r="N55" s="115">
        <v>11695985564</v>
      </c>
      <c r="O55" s="12"/>
      <c r="P55" s="60">
        <v>-16437228975</v>
      </c>
      <c r="Q55" s="12"/>
      <c r="R55" s="114">
        <v>-4741243411</v>
      </c>
      <c r="S55" s="178"/>
      <c r="T55" s="164"/>
    </row>
    <row r="56" spans="2:26" x14ac:dyDescent="0.55000000000000004">
      <c r="B56" s="12" t="s">
        <v>115</v>
      </c>
      <c r="C56" s="179"/>
      <c r="D56" s="115">
        <v>0</v>
      </c>
      <c r="E56" s="115"/>
      <c r="F56" s="115">
        <v>0</v>
      </c>
      <c r="G56" s="12"/>
      <c r="H56" s="60">
        <v>0</v>
      </c>
      <c r="I56" s="12"/>
      <c r="J56" s="114">
        <v>0</v>
      </c>
      <c r="K56" s="12"/>
      <c r="L56" s="115">
        <v>57000000</v>
      </c>
      <c r="M56" s="12"/>
      <c r="N56" s="115">
        <v>139039979103</v>
      </c>
      <c r="O56" s="12"/>
      <c r="P56" s="60">
        <v>-140417075455</v>
      </c>
      <c r="Q56" s="12"/>
      <c r="R56" s="114">
        <v>-1377096352</v>
      </c>
      <c r="S56" s="178"/>
      <c r="T56" s="164"/>
    </row>
    <row r="57" spans="2:26" ht="23.25" thickBot="1" x14ac:dyDescent="0.6">
      <c r="B57" s="180" t="s">
        <v>218</v>
      </c>
      <c r="C57" s="170"/>
      <c r="D57" s="181">
        <f>SUM(D7:D56)</f>
        <v>350809482</v>
      </c>
      <c r="E57" s="181"/>
      <c r="F57" s="181">
        <f>SUM(F7:F56)</f>
        <v>2133057674762</v>
      </c>
      <c r="G57" s="181"/>
      <c r="H57" s="181">
        <f>SUM(H7:H56)</f>
        <v>-1439807305836</v>
      </c>
      <c r="I57" s="181"/>
      <c r="J57" s="181">
        <f>SUM(J7:J56)</f>
        <v>693250368926</v>
      </c>
      <c r="K57" s="181"/>
      <c r="L57" s="181">
        <f>SUM(L7:L56)</f>
        <v>1482707831</v>
      </c>
      <c r="M57" s="181"/>
      <c r="N57" s="181">
        <f>SUM(N7:N56)</f>
        <v>6128862347736</v>
      </c>
      <c r="O57" s="181"/>
      <c r="P57" s="181">
        <f>SUM(P7:P56)</f>
        <v>-5407827196773</v>
      </c>
      <c r="Q57" s="181"/>
      <c r="R57" s="181">
        <f>SUM(R7:R56)</f>
        <v>721035150963</v>
      </c>
      <c r="S57" s="178"/>
      <c r="T57" s="164"/>
    </row>
    <row r="58" spans="2:26" ht="23.25" thickTop="1" x14ac:dyDescent="0.55000000000000004">
      <c r="B58" s="12"/>
      <c r="C58" s="179"/>
      <c r="D58" s="115"/>
      <c r="E58" s="115"/>
      <c r="F58" s="115"/>
      <c r="G58" s="12"/>
      <c r="H58" s="60"/>
      <c r="I58" s="12"/>
      <c r="J58" s="114"/>
      <c r="K58" s="12"/>
      <c r="L58" s="115"/>
      <c r="M58" s="12"/>
      <c r="N58" s="115"/>
      <c r="O58" s="12"/>
      <c r="P58" s="60"/>
      <c r="Q58" s="12"/>
      <c r="R58" s="114"/>
      <c r="S58" s="178"/>
      <c r="T58" s="164"/>
    </row>
    <row r="59" spans="2:26" ht="24" x14ac:dyDescent="0.55000000000000004">
      <c r="B59" s="392" t="s">
        <v>98</v>
      </c>
      <c r="C59" s="392"/>
      <c r="D59" s="392"/>
      <c r="E59" s="392"/>
      <c r="F59" s="392"/>
      <c r="G59" s="392"/>
      <c r="H59" s="392"/>
      <c r="I59" s="392"/>
      <c r="J59" s="392"/>
      <c r="K59" s="394"/>
      <c r="L59" s="394"/>
      <c r="M59" s="394"/>
      <c r="N59" s="394"/>
      <c r="O59" s="394"/>
      <c r="P59" s="394"/>
      <c r="Q59" s="394"/>
      <c r="R59" s="394"/>
      <c r="Z59" s="1" t="s">
        <v>187</v>
      </c>
    </row>
    <row r="60" spans="2:26" ht="24.75" thickBot="1" x14ac:dyDescent="0.6">
      <c r="B60" s="12"/>
      <c r="C60" s="12"/>
      <c r="D60" s="387" t="str">
        <f>D5</f>
        <v>طی دی ماه</v>
      </c>
      <c r="E60" s="387"/>
      <c r="F60" s="387"/>
      <c r="G60" s="387"/>
      <c r="H60" s="387"/>
      <c r="I60" s="387"/>
      <c r="J60" s="387"/>
      <c r="K60" s="12"/>
      <c r="L60" s="387" t="str">
        <f>L5</f>
        <v>از ابتدای سال مالی تا پایان دی ماه</v>
      </c>
      <c r="M60" s="387"/>
      <c r="N60" s="387"/>
      <c r="O60" s="387"/>
      <c r="P60" s="387"/>
      <c r="Q60" s="387"/>
      <c r="R60" s="387"/>
      <c r="Z60" s="1" t="s">
        <v>188</v>
      </c>
    </row>
    <row r="61" spans="2:26" ht="45.75" thickBot="1" x14ac:dyDescent="0.6">
      <c r="B61" s="12" t="s">
        <v>64</v>
      </c>
      <c r="C61" s="12"/>
      <c r="D61" s="111" t="s">
        <v>8</v>
      </c>
      <c r="E61" s="12"/>
      <c r="F61" s="112" t="s">
        <v>77</v>
      </c>
      <c r="G61" s="12"/>
      <c r="H61" s="111" t="s">
        <v>74</v>
      </c>
      <c r="I61" s="12"/>
      <c r="J61" s="112" t="s">
        <v>78</v>
      </c>
      <c r="K61" s="12"/>
      <c r="L61" s="111" t="s">
        <v>8</v>
      </c>
      <c r="M61" s="12"/>
      <c r="N61" s="112" t="s">
        <v>32</v>
      </c>
      <c r="O61" s="12"/>
      <c r="P61" s="111" t="s">
        <v>74</v>
      </c>
      <c r="Q61" s="12"/>
      <c r="R61" s="112" t="s">
        <v>78</v>
      </c>
      <c r="T61" s="164"/>
      <c r="X61" s="1" t="s">
        <v>189</v>
      </c>
    </row>
    <row r="62" spans="2:26" x14ac:dyDescent="0.55000000000000004">
      <c r="B62" s="12" t="s">
        <v>219</v>
      </c>
      <c r="C62" s="179"/>
      <c r="D62" s="115">
        <f>D57</f>
        <v>350809482</v>
      </c>
      <c r="E62" s="115"/>
      <c r="F62" s="60">
        <f>F57</f>
        <v>2133057674762</v>
      </c>
      <c r="G62" s="60"/>
      <c r="H62" s="60">
        <f>H57</f>
        <v>-1439807305836</v>
      </c>
      <c r="I62" s="60"/>
      <c r="J62" s="60">
        <f>J57</f>
        <v>693250368926</v>
      </c>
      <c r="K62" s="60"/>
      <c r="L62" s="60">
        <f>L57</f>
        <v>1482707831</v>
      </c>
      <c r="M62" s="60"/>
      <c r="N62" s="60">
        <f>N57</f>
        <v>6128862347736</v>
      </c>
      <c r="O62" s="60"/>
      <c r="P62" s="60">
        <f>P57</f>
        <v>-5407827196773</v>
      </c>
      <c r="Q62" s="60"/>
      <c r="R62" s="60">
        <f>R57</f>
        <v>721035150963</v>
      </c>
      <c r="S62" s="178"/>
      <c r="T62" s="164"/>
    </row>
    <row r="63" spans="2:26" x14ac:dyDescent="0.55000000000000004">
      <c r="B63" s="12" t="s">
        <v>252</v>
      </c>
      <c r="C63" s="179"/>
      <c r="D63" s="115">
        <v>0</v>
      </c>
      <c r="E63" s="115"/>
      <c r="F63" s="115">
        <v>0</v>
      </c>
      <c r="G63" s="12"/>
      <c r="H63" s="60">
        <v>0</v>
      </c>
      <c r="I63" s="12"/>
      <c r="J63" s="114">
        <f t="shared" ref="J63:J105" si="0">F63+H63</f>
        <v>0</v>
      </c>
      <c r="K63" s="12"/>
      <c r="L63" s="115">
        <v>562500</v>
      </c>
      <c r="M63" s="12"/>
      <c r="N63" s="115">
        <v>6101526807</v>
      </c>
      <c r="O63" s="12"/>
      <c r="P63" s="60">
        <v>-4998586407</v>
      </c>
      <c r="Q63" s="12"/>
      <c r="R63" s="114">
        <v>1102940400</v>
      </c>
      <c r="S63" s="178"/>
      <c r="T63" s="164"/>
    </row>
    <row r="64" spans="2:26" x14ac:dyDescent="0.55000000000000004">
      <c r="B64" s="12" t="s">
        <v>152</v>
      </c>
      <c r="C64" s="179"/>
      <c r="D64" s="115">
        <v>0</v>
      </c>
      <c r="E64" s="115"/>
      <c r="F64" s="115">
        <v>0</v>
      </c>
      <c r="G64" s="12"/>
      <c r="H64" s="60">
        <v>0</v>
      </c>
      <c r="I64" s="12"/>
      <c r="J64" s="114">
        <f t="shared" si="0"/>
        <v>0</v>
      </c>
      <c r="K64" s="12"/>
      <c r="L64" s="115">
        <v>5263691</v>
      </c>
      <c r="M64" s="12"/>
      <c r="N64" s="115">
        <v>4778193722</v>
      </c>
      <c r="O64" s="12"/>
      <c r="P64" s="60">
        <v>-6823013138</v>
      </c>
      <c r="Q64" s="12"/>
      <c r="R64" s="114">
        <v>-2044819416</v>
      </c>
      <c r="S64" s="178"/>
      <c r="T64" s="164"/>
    </row>
    <row r="65" spans="2:20" x14ac:dyDescent="0.55000000000000004">
      <c r="B65" s="12" t="s">
        <v>177</v>
      </c>
      <c r="C65" s="179"/>
      <c r="D65" s="115">
        <v>0</v>
      </c>
      <c r="E65" s="115"/>
      <c r="F65" s="115">
        <v>0</v>
      </c>
      <c r="G65" s="12"/>
      <c r="H65" s="60">
        <v>0</v>
      </c>
      <c r="I65" s="12"/>
      <c r="J65" s="114">
        <f t="shared" si="0"/>
        <v>0</v>
      </c>
      <c r="K65" s="12"/>
      <c r="L65" s="115">
        <v>7500000</v>
      </c>
      <c r="M65" s="12"/>
      <c r="N65" s="115">
        <v>43100304000</v>
      </c>
      <c r="O65" s="12"/>
      <c r="P65" s="60">
        <v>-49541030392</v>
      </c>
      <c r="Q65" s="12"/>
      <c r="R65" s="114">
        <v>-6440726392</v>
      </c>
      <c r="S65" s="178"/>
      <c r="T65" s="164"/>
    </row>
    <row r="66" spans="2:20" x14ac:dyDescent="0.55000000000000004">
      <c r="B66" s="12" t="s">
        <v>251</v>
      </c>
      <c r="C66" s="179"/>
      <c r="D66" s="115">
        <v>0</v>
      </c>
      <c r="E66" s="115"/>
      <c r="F66" s="115">
        <v>0</v>
      </c>
      <c r="G66" s="12"/>
      <c r="H66" s="60">
        <v>0</v>
      </c>
      <c r="I66" s="12"/>
      <c r="J66" s="114">
        <f t="shared" si="0"/>
        <v>0</v>
      </c>
      <c r="K66" s="12"/>
      <c r="L66" s="115">
        <v>360000</v>
      </c>
      <c r="M66" s="12"/>
      <c r="N66" s="115">
        <v>4796608722</v>
      </c>
      <c r="O66" s="12"/>
      <c r="P66" s="60">
        <v>-3620597722</v>
      </c>
      <c r="Q66" s="12"/>
      <c r="R66" s="114">
        <v>1176011000</v>
      </c>
      <c r="S66" s="178"/>
      <c r="T66" s="164"/>
    </row>
    <row r="67" spans="2:20" x14ac:dyDescent="0.55000000000000004">
      <c r="B67" s="12" t="s">
        <v>167</v>
      </c>
      <c r="C67" s="179"/>
      <c r="D67" s="115">
        <v>0</v>
      </c>
      <c r="E67" s="115"/>
      <c r="F67" s="115">
        <v>0</v>
      </c>
      <c r="G67" s="12"/>
      <c r="H67" s="60">
        <v>0</v>
      </c>
      <c r="I67" s="12"/>
      <c r="J67" s="114">
        <f t="shared" si="0"/>
        <v>0</v>
      </c>
      <c r="K67" s="12"/>
      <c r="L67" s="115">
        <v>900000</v>
      </c>
      <c r="M67" s="12"/>
      <c r="N67" s="115">
        <v>3553314347</v>
      </c>
      <c r="O67" s="12"/>
      <c r="P67" s="60">
        <v>-2980062495</v>
      </c>
      <c r="Q67" s="12"/>
      <c r="R67" s="114">
        <v>573251852</v>
      </c>
      <c r="S67" s="178"/>
      <c r="T67" s="164"/>
    </row>
    <row r="68" spans="2:20" x14ac:dyDescent="0.55000000000000004">
      <c r="B68" s="12" t="s">
        <v>146</v>
      </c>
      <c r="C68" s="179"/>
      <c r="D68" s="115">
        <v>0</v>
      </c>
      <c r="E68" s="115"/>
      <c r="F68" s="115">
        <v>0</v>
      </c>
      <c r="G68" s="12"/>
      <c r="H68" s="60">
        <v>0</v>
      </c>
      <c r="I68" s="12"/>
      <c r="J68" s="114">
        <f t="shared" si="0"/>
        <v>0</v>
      </c>
      <c r="K68" s="12"/>
      <c r="L68" s="115">
        <v>3905556</v>
      </c>
      <c r="M68" s="12"/>
      <c r="N68" s="115">
        <v>14860811601</v>
      </c>
      <c r="O68" s="12"/>
      <c r="P68" s="60">
        <v>-15133275340</v>
      </c>
      <c r="Q68" s="12"/>
      <c r="R68" s="114">
        <v>-272463739</v>
      </c>
      <c r="S68" s="178"/>
      <c r="T68" s="164"/>
    </row>
    <row r="69" spans="2:20" x14ac:dyDescent="0.55000000000000004">
      <c r="B69" s="12" t="s">
        <v>176</v>
      </c>
      <c r="C69" s="179"/>
      <c r="D69" s="115">
        <v>0</v>
      </c>
      <c r="E69" s="115"/>
      <c r="F69" s="115">
        <v>0</v>
      </c>
      <c r="G69" s="12"/>
      <c r="H69" s="60">
        <v>0</v>
      </c>
      <c r="I69" s="12"/>
      <c r="J69" s="114">
        <f t="shared" si="0"/>
        <v>0</v>
      </c>
      <c r="K69" s="12"/>
      <c r="L69" s="115">
        <v>1000000</v>
      </c>
      <c r="M69" s="12"/>
      <c r="N69" s="115">
        <v>83306795067</v>
      </c>
      <c r="O69" s="12"/>
      <c r="P69" s="60">
        <v>-80939563075</v>
      </c>
      <c r="Q69" s="12"/>
      <c r="R69" s="114">
        <v>2367231992</v>
      </c>
      <c r="S69" s="178"/>
      <c r="T69" s="164"/>
    </row>
    <row r="70" spans="2:20" x14ac:dyDescent="0.55000000000000004">
      <c r="B70" s="12" t="s">
        <v>233</v>
      </c>
      <c r="C70" s="179"/>
      <c r="D70" s="115">
        <v>0</v>
      </c>
      <c r="E70" s="115"/>
      <c r="F70" s="115">
        <v>0</v>
      </c>
      <c r="G70" s="12"/>
      <c r="H70" s="60">
        <v>0</v>
      </c>
      <c r="I70" s="12"/>
      <c r="J70" s="114">
        <f t="shared" si="0"/>
        <v>0</v>
      </c>
      <c r="K70" s="12"/>
      <c r="L70" s="115">
        <v>26228</v>
      </c>
      <c r="M70" s="12"/>
      <c r="N70" s="115">
        <v>149809255587</v>
      </c>
      <c r="O70" s="12"/>
      <c r="P70" s="60">
        <v>-149809255586</v>
      </c>
      <c r="Q70" s="12"/>
      <c r="R70" s="114">
        <v>1</v>
      </c>
      <c r="S70" s="178"/>
      <c r="T70" s="164"/>
    </row>
    <row r="71" spans="2:20" x14ac:dyDescent="0.55000000000000004">
      <c r="B71" s="12" t="s">
        <v>145</v>
      </c>
      <c r="C71" s="179"/>
      <c r="D71" s="115">
        <v>0</v>
      </c>
      <c r="E71" s="115"/>
      <c r="F71" s="115">
        <v>0</v>
      </c>
      <c r="G71" s="12"/>
      <c r="H71" s="60">
        <v>0</v>
      </c>
      <c r="I71" s="12"/>
      <c r="J71" s="114">
        <f t="shared" si="0"/>
        <v>0</v>
      </c>
      <c r="K71" s="12"/>
      <c r="L71" s="115">
        <v>236005623</v>
      </c>
      <c r="M71" s="12"/>
      <c r="N71" s="115">
        <v>140357672984</v>
      </c>
      <c r="O71" s="12"/>
      <c r="P71" s="60">
        <v>-148963181415</v>
      </c>
      <c r="Q71" s="12"/>
      <c r="R71" s="114">
        <v>-8605508431</v>
      </c>
      <c r="S71" s="178"/>
      <c r="T71" s="164"/>
    </row>
    <row r="72" spans="2:20" x14ac:dyDescent="0.55000000000000004">
      <c r="B72" s="12" t="s">
        <v>127</v>
      </c>
      <c r="C72" s="179"/>
      <c r="D72" s="115">
        <v>0</v>
      </c>
      <c r="E72" s="115"/>
      <c r="F72" s="115">
        <v>0</v>
      </c>
      <c r="G72" s="12"/>
      <c r="H72" s="60">
        <v>0</v>
      </c>
      <c r="I72" s="12"/>
      <c r="J72" s="114">
        <f t="shared" si="0"/>
        <v>0</v>
      </c>
      <c r="K72" s="12"/>
      <c r="L72" s="115">
        <v>28366026</v>
      </c>
      <c r="M72" s="12"/>
      <c r="N72" s="115">
        <v>63949363618</v>
      </c>
      <c r="O72" s="12"/>
      <c r="P72" s="60">
        <v>-64746598860</v>
      </c>
      <c r="Q72" s="12"/>
      <c r="R72" s="114">
        <v>-797235242</v>
      </c>
      <c r="S72" s="178"/>
      <c r="T72" s="164"/>
    </row>
    <row r="73" spans="2:20" x14ac:dyDescent="0.55000000000000004">
      <c r="B73" s="12" t="s">
        <v>130</v>
      </c>
      <c r="C73" s="179"/>
      <c r="D73" s="115">
        <v>0</v>
      </c>
      <c r="E73" s="115"/>
      <c r="F73" s="115">
        <v>0</v>
      </c>
      <c r="G73" s="12"/>
      <c r="H73" s="60">
        <v>0</v>
      </c>
      <c r="I73" s="12"/>
      <c r="J73" s="114">
        <f t="shared" si="0"/>
        <v>0</v>
      </c>
      <c r="K73" s="12"/>
      <c r="L73" s="115">
        <v>72714631</v>
      </c>
      <c r="M73" s="12"/>
      <c r="N73" s="115">
        <v>91187032867</v>
      </c>
      <c r="O73" s="12"/>
      <c r="P73" s="60">
        <v>-114576874292</v>
      </c>
      <c r="Q73" s="12"/>
      <c r="R73" s="114">
        <v>-23389841425</v>
      </c>
      <c r="S73" s="178"/>
      <c r="T73" s="164"/>
    </row>
    <row r="74" spans="2:20" x14ac:dyDescent="0.55000000000000004">
      <c r="B74" s="12" t="s">
        <v>143</v>
      </c>
      <c r="C74" s="179"/>
      <c r="D74" s="115">
        <v>0</v>
      </c>
      <c r="E74" s="115"/>
      <c r="F74" s="115">
        <v>0</v>
      </c>
      <c r="G74" s="12"/>
      <c r="H74" s="60">
        <v>0</v>
      </c>
      <c r="I74" s="12"/>
      <c r="J74" s="114">
        <f t="shared" si="0"/>
        <v>0</v>
      </c>
      <c r="K74" s="12"/>
      <c r="L74" s="115">
        <v>705319</v>
      </c>
      <c r="M74" s="12"/>
      <c r="N74" s="115">
        <v>22304178782</v>
      </c>
      <c r="O74" s="12"/>
      <c r="P74" s="60">
        <v>-26078961990</v>
      </c>
      <c r="Q74" s="12"/>
      <c r="R74" s="114">
        <v>-3774783208</v>
      </c>
      <c r="S74" s="178"/>
      <c r="T74" s="164"/>
    </row>
    <row r="75" spans="2:20" x14ac:dyDescent="0.55000000000000004">
      <c r="B75" s="12" t="s">
        <v>193</v>
      </c>
      <c r="C75" s="179"/>
      <c r="D75" s="115">
        <v>0</v>
      </c>
      <c r="E75" s="115"/>
      <c r="F75" s="115">
        <v>0</v>
      </c>
      <c r="G75" s="12"/>
      <c r="H75" s="60">
        <v>0</v>
      </c>
      <c r="I75" s="12"/>
      <c r="J75" s="114">
        <f t="shared" si="0"/>
        <v>0</v>
      </c>
      <c r="K75" s="12"/>
      <c r="L75" s="115">
        <v>9190000</v>
      </c>
      <c r="M75" s="12"/>
      <c r="N75" s="115">
        <v>116496701537</v>
      </c>
      <c r="O75" s="12"/>
      <c r="P75" s="60">
        <v>-131419390934</v>
      </c>
      <c r="Q75" s="12"/>
      <c r="R75" s="114">
        <v>-14922689397</v>
      </c>
      <c r="S75" s="178"/>
      <c r="T75" s="164"/>
    </row>
    <row r="76" spans="2:20" x14ac:dyDescent="0.55000000000000004">
      <c r="B76" s="12" t="s">
        <v>197</v>
      </c>
      <c r="C76" s="179"/>
      <c r="D76" s="115">
        <v>0</v>
      </c>
      <c r="E76" s="115"/>
      <c r="F76" s="115">
        <v>0</v>
      </c>
      <c r="G76" s="12"/>
      <c r="H76" s="60">
        <v>0</v>
      </c>
      <c r="I76" s="12"/>
      <c r="J76" s="114">
        <f t="shared" si="0"/>
        <v>0</v>
      </c>
      <c r="K76" s="12"/>
      <c r="L76" s="115">
        <v>200000</v>
      </c>
      <c r="M76" s="12"/>
      <c r="N76" s="115">
        <v>6493889149</v>
      </c>
      <c r="O76" s="12"/>
      <c r="P76" s="60">
        <v>-5203733600</v>
      </c>
      <c r="Q76" s="12"/>
      <c r="R76" s="114">
        <v>1290155549</v>
      </c>
      <c r="S76" s="178"/>
      <c r="T76" s="164"/>
    </row>
    <row r="77" spans="2:20" x14ac:dyDescent="0.55000000000000004">
      <c r="B77" s="12" t="s">
        <v>126</v>
      </c>
      <c r="C77" s="179"/>
      <c r="D77" s="115">
        <v>0</v>
      </c>
      <c r="E77" s="115"/>
      <c r="F77" s="115">
        <v>0</v>
      </c>
      <c r="G77" s="12"/>
      <c r="H77" s="60">
        <v>0</v>
      </c>
      <c r="I77" s="12"/>
      <c r="J77" s="114">
        <f t="shared" si="0"/>
        <v>0</v>
      </c>
      <c r="K77" s="12"/>
      <c r="L77" s="115">
        <v>48036566</v>
      </c>
      <c r="M77" s="12"/>
      <c r="N77" s="115">
        <v>30376622165</v>
      </c>
      <c r="O77" s="12"/>
      <c r="P77" s="60">
        <v>-25355157562</v>
      </c>
      <c r="Q77" s="12"/>
      <c r="R77" s="114">
        <v>5021464603</v>
      </c>
      <c r="S77" s="178"/>
      <c r="T77" s="164"/>
    </row>
    <row r="78" spans="2:20" x14ac:dyDescent="0.55000000000000004">
      <c r="B78" s="12" t="s">
        <v>174</v>
      </c>
      <c r="C78" s="179"/>
      <c r="D78" s="115">
        <v>0</v>
      </c>
      <c r="E78" s="115"/>
      <c r="F78" s="115">
        <v>0</v>
      </c>
      <c r="G78" s="12"/>
      <c r="H78" s="60">
        <v>0</v>
      </c>
      <c r="I78" s="12"/>
      <c r="J78" s="114">
        <f t="shared" si="0"/>
        <v>0</v>
      </c>
      <c r="K78" s="12"/>
      <c r="L78" s="115">
        <v>500000</v>
      </c>
      <c r="M78" s="12"/>
      <c r="N78" s="115">
        <v>79824838253</v>
      </c>
      <c r="O78" s="12"/>
      <c r="P78" s="60">
        <v>-84310491490</v>
      </c>
      <c r="Q78" s="12"/>
      <c r="R78" s="114">
        <v>-4485653237</v>
      </c>
      <c r="S78" s="178"/>
      <c r="T78" s="164"/>
    </row>
    <row r="79" spans="2:20" x14ac:dyDescent="0.55000000000000004">
      <c r="B79" s="12" t="s">
        <v>131</v>
      </c>
      <c r="C79" s="179"/>
      <c r="D79" s="115">
        <v>0</v>
      </c>
      <c r="E79" s="115"/>
      <c r="F79" s="115">
        <v>0</v>
      </c>
      <c r="G79" s="12"/>
      <c r="H79" s="60">
        <v>0</v>
      </c>
      <c r="I79" s="12"/>
      <c r="J79" s="114">
        <f t="shared" si="0"/>
        <v>0</v>
      </c>
      <c r="K79" s="12"/>
      <c r="L79" s="115">
        <v>4802865</v>
      </c>
      <c r="M79" s="12"/>
      <c r="N79" s="115">
        <v>79602761083</v>
      </c>
      <c r="O79" s="12"/>
      <c r="P79" s="60">
        <v>-114168265872</v>
      </c>
      <c r="Q79" s="12"/>
      <c r="R79" s="114">
        <v>-34565504789</v>
      </c>
      <c r="S79" s="178"/>
      <c r="T79" s="164"/>
    </row>
    <row r="80" spans="2:20" x14ac:dyDescent="0.55000000000000004">
      <c r="B80" s="12" t="s">
        <v>254</v>
      </c>
      <c r="C80" s="179"/>
      <c r="D80" s="115">
        <v>0</v>
      </c>
      <c r="E80" s="115"/>
      <c r="F80" s="115">
        <v>0</v>
      </c>
      <c r="G80" s="12"/>
      <c r="H80" s="60">
        <v>0</v>
      </c>
      <c r="I80" s="12"/>
      <c r="J80" s="114">
        <f t="shared" si="0"/>
        <v>0</v>
      </c>
      <c r="K80" s="12"/>
      <c r="L80" s="115">
        <v>26228</v>
      </c>
      <c r="M80" s="12"/>
      <c r="N80" s="115">
        <v>356337108208</v>
      </c>
      <c r="O80" s="12"/>
      <c r="P80" s="60">
        <v>-264441554182</v>
      </c>
      <c r="Q80" s="12"/>
      <c r="R80" s="114">
        <v>91895554026</v>
      </c>
      <c r="S80" s="178"/>
      <c r="T80" s="164"/>
    </row>
    <row r="81" spans="2:20" x14ac:dyDescent="0.55000000000000004">
      <c r="B81" s="12" t="s">
        <v>183</v>
      </c>
      <c r="C81" s="179"/>
      <c r="D81" s="115">
        <v>0</v>
      </c>
      <c r="E81" s="115"/>
      <c r="F81" s="115">
        <v>0</v>
      </c>
      <c r="G81" s="12"/>
      <c r="H81" s="60">
        <v>0</v>
      </c>
      <c r="I81" s="12"/>
      <c r="J81" s="114">
        <f t="shared" si="0"/>
        <v>0</v>
      </c>
      <c r="K81" s="12"/>
      <c r="L81" s="115">
        <v>3000000</v>
      </c>
      <c r="M81" s="12"/>
      <c r="N81" s="115">
        <v>40743955200</v>
      </c>
      <c r="O81" s="12"/>
      <c r="P81" s="60">
        <v>-37933216382</v>
      </c>
      <c r="Q81" s="12"/>
      <c r="R81" s="114">
        <v>2810738818</v>
      </c>
      <c r="S81" s="178"/>
      <c r="T81" s="164"/>
    </row>
    <row r="82" spans="2:20" x14ac:dyDescent="0.55000000000000004">
      <c r="B82" s="12" t="s">
        <v>194</v>
      </c>
      <c r="C82" s="179"/>
      <c r="D82" s="115">
        <v>0</v>
      </c>
      <c r="E82" s="115"/>
      <c r="F82" s="115">
        <v>0</v>
      </c>
      <c r="G82" s="12"/>
      <c r="H82" s="60">
        <v>0</v>
      </c>
      <c r="I82" s="12"/>
      <c r="J82" s="114">
        <f t="shared" si="0"/>
        <v>0</v>
      </c>
      <c r="K82" s="12"/>
      <c r="L82" s="115">
        <v>659600</v>
      </c>
      <c r="M82" s="12"/>
      <c r="N82" s="115">
        <v>498429105</v>
      </c>
      <c r="O82" s="12"/>
      <c r="P82" s="60">
        <v>-457102800</v>
      </c>
      <c r="Q82" s="12"/>
      <c r="R82" s="114">
        <v>41326305</v>
      </c>
      <c r="S82" s="178"/>
      <c r="T82" s="164"/>
    </row>
    <row r="83" spans="2:20" x14ac:dyDescent="0.55000000000000004">
      <c r="B83" s="12" t="s">
        <v>163</v>
      </c>
      <c r="C83" s="179"/>
      <c r="D83" s="115">
        <v>0</v>
      </c>
      <c r="E83" s="115"/>
      <c r="F83" s="115">
        <v>0</v>
      </c>
      <c r="G83" s="12"/>
      <c r="H83" s="60">
        <v>0</v>
      </c>
      <c r="I83" s="12"/>
      <c r="J83" s="114">
        <f t="shared" si="0"/>
        <v>0</v>
      </c>
      <c r="K83" s="12"/>
      <c r="L83" s="115">
        <v>250000</v>
      </c>
      <c r="M83" s="12"/>
      <c r="N83" s="115">
        <v>2187328005</v>
      </c>
      <c r="O83" s="12"/>
      <c r="P83" s="60">
        <v>-1729647000</v>
      </c>
      <c r="Q83" s="12"/>
      <c r="R83" s="114">
        <v>457681005</v>
      </c>
      <c r="S83" s="178"/>
      <c r="T83" s="164"/>
    </row>
    <row r="84" spans="2:20" x14ac:dyDescent="0.55000000000000004">
      <c r="B84" s="12" t="s">
        <v>180</v>
      </c>
      <c r="C84" s="179"/>
      <c r="D84" s="115">
        <v>0</v>
      </c>
      <c r="E84" s="115"/>
      <c r="F84" s="115">
        <v>0</v>
      </c>
      <c r="G84" s="12"/>
      <c r="H84" s="60">
        <v>0</v>
      </c>
      <c r="I84" s="12"/>
      <c r="J84" s="114">
        <f t="shared" si="0"/>
        <v>0</v>
      </c>
      <c r="K84" s="12"/>
      <c r="L84" s="115">
        <v>23344072</v>
      </c>
      <c r="M84" s="12"/>
      <c r="N84" s="115">
        <v>51120926313</v>
      </c>
      <c r="O84" s="12"/>
      <c r="P84" s="60">
        <v>-48478495732</v>
      </c>
      <c r="Q84" s="12"/>
      <c r="R84" s="114">
        <v>2642430581</v>
      </c>
      <c r="S84" s="178"/>
      <c r="T84" s="164"/>
    </row>
    <row r="85" spans="2:20" x14ac:dyDescent="0.55000000000000004">
      <c r="B85" s="12" t="s">
        <v>149</v>
      </c>
      <c r="C85" s="179"/>
      <c r="D85" s="115">
        <v>0</v>
      </c>
      <c r="E85" s="115"/>
      <c r="F85" s="115">
        <v>0</v>
      </c>
      <c r="G85" s="12"/>
      <c r="H85" s="60">
        <v>0</v>
      </c>
      <c r="I85" s="12"/>
      <c r="J85" s="114">
        <f t="shared" si="0"/>
        <v>0</v>
      </c>
      <c r="K85" s="12"/>
      <c r="L85" s="115">
        <v>2293414</v>
      </c>
      <c r="M85" s="12"/>
      <c r="N85" s="115">
        <v>12408221385</v>
      </c>
      <c r="O85" s="12"/>
      <c r="P85" s="60">
        <v>-11809199207</v>
      </c>
      <c r="Q85" s="12"/>
      <c r="R85" s="114">
        <v>599022178</v>
      </c>
      <c r="S85" s="178"/>
      <c r="T85" s="164"/>
    </row>
    <row r="86" spans="2:20" x14ac:dyDescent="0.55000000000000004">
      <c r="B86" s="12" t="s">
        <v>119</v>
      </c>
      <c r="C86" s="179"/>
      <c r="D86" s="115">
        <v>0</v>
      </c>
      <c r="E86" s="115"/>
      <c r="F86" s="115">
        <v>0</v>
      </c>
      <c r="G86" s="12"/>
      <c r="H86" s="60">
        <v>0</v>
      </c>
      <c r="I86" s="12"/>
      <c r="J86" s="114">
        <f t="shared" si="0"/>
        <v>0</v>
      </c>
      <c r="K86" s="12"/>
      <c r="L86" s="115">
        <v>5666666</v>
      </c>
      <c r="M86" s="12"/>
      <c r="N86" s="115">
        <v>259014905617</v>
      </c>
      <c r="O86" s="12"/>
      <c r="P86" s="60">
        <v>-247399134751</v>
      </c>
      <c r="Q86" s="12"/>
      <c r="R86" s="114">
        <v>11615770866</v>
      </c>
      <c r="S86" s="178"/>
      <c r="T86" s="164"/>
    </row>
    <row r="87" spans="2:20" x14ac:dyDescent="0.55000000000000004">
      <c r="B87" s="12" t="s">
        <v>105</v>
      </c>
      <c r="C87" s="179"/>
      <c r="D87" s="115">
        <v>0</v>
      </c>
      <c r="E87" s="115"/>
      <c r="F87" s="115">
        <v>0</v>
      </c>
      <c r="G87" s="12"/>
      <c r="H87" s="60">
        <v>0</v>
      </c>
      <c r="I87" s="12"/>
      <c r="J87" s="114">
        <f t="shared" si="0"/>
        <v>0</v>
      </c>
      <c r="K87" s="12"/>
      <c r="L87" s="115">
        <v>128947</v>
      </c>
      <c r="M87" s="12"/>
      <c r="N87" s="115">
        <v>259917481</v>
      </c>
      <c r="O87" s="12"/>
      <c r="P87" s="60">
        <v>-231364476</v>
      </c>
      <c r="Q87" s="12"/>
      <c r="R87" s="114">
        <v>28553005</v>
      </c>
      <c r="S87" s="178"/>
      <c r="T87" s="164"/>
    </row>
    <row r="88" spans="2:20" x14ac:dyDescent="0.55000000000000004">
      <c r="B88" s="12" t="s">
        <v>184</v>
      </c>
      <c r="C88" s="179"/>
      <c r="D88" s="115">
        <v>0</v>
      </c>
      <c r="E88" s="115"/>
      <c r="F88" s="115">
        <v>0</v>
      </c>
      <c r="G88" s="12"/>
      <c r="H88" s="60">
        <v>0</v>
      </c>
      <c r="I88" s="12"/>
      <c r="J88" s="114">
        <f t="shared" si="0"/>
        <v>0</v>
      </c>
      <c r="K88" s="12"/>
      <c r="L88" s="115">
        <v>4797393</v>
      </c>
      <c r="M88" s="12"/>
      <c r="N88" s="115">
        <v>100451005427</v>
      </c>
      <c r="O88" s="12"/>
      <c r="P88" s="60">
        <v>-91837693253</v>
      </c>
      <c r="Q88" s="12"/>
      <c r="R88" s="114">
        <v>8613312174</v>
      </c>
      <c r="S88" s="178"/>
      <c r="T88" s="164"/>
    </row>
    <row r="89" spans="2:20" x14ac:dyDescent="0.55000000000000004">
      <c r="B89" s="12" t="s">
        <v>192</v>
      </c>
      <c r="C89" s="179"/>
      <c r="D89" s="115">
        <v>0</v>
      </c>
      <c r="E89" s="115"/>
      <c r="F89" s="115">
        <v>0</v>
      </c>
      <c r="G89" s="12"/>
      <c r="H89" s="60">
        <v>0</v>
      </c>
      <c r="I89" s="12"/>
      <c r="J89" s="114">
        <f t="shared" si="0"/>
        <v>0</v>
      </c>
      <c r="K89" s="12"/>
      <c r="L89" s="115">
        <v>11026011</v>
      </c>
      <c r="M89" s="12"/>
      <c r="N89" s="115">
        <v>41305827008</v>
      </c>
      <c r="O89" s="12"/>
      <c r="P89" s="60">
        <v>-41676491490</v>
      </c>
      <c r="Q89" s="12"/>
      <c r="R89" s="114">
        <v>-370664482</v>
      </c>
      <c r="S89" s="178"/>
      <c r="T89" s="164"/>
    </row>
    <row r="90" spans="2:20" x14ac:dyDescent="0.55000000000000004">
      <c r="B90" s="12" t="s">
        <v>232</v>
      </c>
      <c r="C90" s="179"/>
      <c r="D90" s="115">
        <v>0</v>
      </c>
      <c r="E90" s="115"/>
      <c r="F90" s="115">
        <v>0</v>
      </c>
      <c r="G90" s="12"/>
      <c r="H90" s="60">
        <v>0</v>
      </c>
      <c r="I90" s="12"/>
      <c r="J90" s="114">
        <f t="shared" si="0"/>
        <v>0</v>
      </c>
      <c r="K90" s="12"/>
      <c r="L90" s="115">
        <v>2035713</v>
      </c>
      <c r="M90" s="12"/>
      <c r="N90" s="115">
        <v>137755574821</v>
      </c>
      <c r="O90" s="12"/>
      <c r="P90" s="60">
        <v>-103932356668</v>
      </c>
      <c r="Q90" s="12"/>
      <c r="R90" s="114">
        <v>33823218153</v>
      </c>
      <c r="S90" s="178"/>
      <c r="T90" s="164"/>
    </row>
    <row r="91" spans="2:20" x14ac:dyDescent="0.55000000000000004">
      <c r="B91" s="12" t="s">
        <v>165</v>
      </c>
      <c r="C91" s="179"/>
      <c r="D91" s="115">
        <v>0</v>
      </c>
      <c r="E91" s="115"/>
      <c r="F91" s="115">
        <v>0</v>
      </c>
      <c r="G91" s="12"/>
      <c r="H91" s="60">
        <v>0</v>
      </c>
      <c r="I91" s="12"/>
      <c r="J91" s="114">
        <f t="shared" si="0"/>
        <v>0</v>
      </c>
      <c r="K91" s="12"/>
      <c r="L91" s="115">
        <v>1750000</v>
      </c>
      <c r="M91" s="12"/>
      <c r="N91" s="115">
        <v>6827446173</v>
      </c>
      <c r="O91" s="12"/>
      <c r="P91" s="60">
        <v>-4695146662</v>
      </c>
      <c r="Q91" s="12"/>
      <c r="R91" s="114">
        <v>2132299511</v>
      </c>
      <c r="S91" s="178"/>
      <c r="T91" s="164"/>
    </row>
    <row r="92" spans="2:20" x14ac:dyDescent="0.55000000000000004">
      <c r="B92" s="12" t="s">
        <v>116</v>
      </c>
      <c r="C92" s="179"/>
      <c r="D92" s="115">
        <v>0</v>
      </c>
      <c r="E92" s="115"/>
      <c r="F92" s="115">
        <v>0</v>
      </c>
      <c r="G92" s="12"/>
      <c r="H92" s="60">
        <v>0</v>
      </c>
      <c r="I92" s="12"/>
      <c r="J92" s="114">
        <f t="shared" si="0"/>
        <v>0</v>
      </c>
      <c r="K92" s="12"/>
      <c r="L92" s="115">
        <v>83599000</v>
      </c>
      <c r="M92" s="12"/>
      <c r="N92" s="115">
        <v>224668426760</v>
      </c>
      <c r="O92" s="12"/>
      <c r="P92" s="60">
        <v>-299480234153</v>
      </c>
      <c r="Q92" s="12"/>
      <c r="R92" s="114">
        <v>-74811807393</v>
      </c>
      <c r="S92" s="178"/>
      <c r="T92" s="164"/>
    </row>
    <row r="93" spans="2:20" x14ac:dyDescent="0.55000000000000004">
      <c r="B93" s="12" t="s">
        <v>156</v>
      </c>
      <c r="C93" s="179"/>
      <c r="D93" s="115">
        <v>0</v>
      </c>
      <c r="E93" s="115"/>
      <c r="F93" s="115">
        <v>0</v>
      </c>
      <c r="G93" s="12"/>
      <c r="H93" s="60">
        <v>0</v>
      </c>
      <c r="I93" s="12"/>
      <c r="J93" s="114">
        <f t="shared" si="0"/>
        <v>0</v>
      </c>
      <c r="K93" s="12"/>
      <c r="L93" s="115">
        <v>225000</v>
      </c>
      <c r="M93" s="12"/>
      <c r="N93" s="115">
        <v>4731339625</v>
      </c>
      <c r="O93" s="12"/>
      <c r="P93" s="60">
        <v>-3086525250</v>
      </c>
      <c r="Q93" s="12"/>
      <c r="R93" s="114">
        <v>1644814375</v>
      </c>
      <c r="S93" s="178"/>
      <c r="T93" s="164"/>
    </row>
    <row r="94" spans="2:20" x14ac:dyDescent="0.55000000000000004">
      <c r="B94" s="12" t="s">
        <v>237</v>
      </c>
      <c r="C94" s="179"/>
      <c r="D94" s="115">
        <v>0</v>
      </c>
      <c r="E94" s="115"/>
      <c r="F94" s="115">
        <v>0</v>
      </c>
      <c r="G94" s="12"/>
      <c r="H94" s="60">
        <v>0</v>
      </c>
      <c r="I94" s="12"/>
      <c r="J94" s="114">
        <f t="shared" si="0"/>
        <v>0</v>
      </c>
      <c r="K94" s="12"/>
      <c r="L94" s="115">
        <v>20000000</v>
      </c>
      <c r="M94" s="12"/>
      <c r="N94" s="115">
        <v>72088004681</v>
      </c>
      <c r="O94" s="12"/>
      <c r="P94" s="60">
        <v>-51445711257</v>
      </c>
      <c r="Q94" s="12"/>
      <c r="R94" s="114">
        <v>20642293424</v>
      </c>
      <c r="S94" s="178"/>
      <c r="T94" s="164"/>
    </row>
    <row r="95" spans="2:20" x14ac:dyDescent="0.55000000000000004">
      <c r="B95" s="12" t="s">
        <v>170</v>
      </c>
      <c r="C95" s="179"/>
      <c r="D95" s="115">
        <v>0</v>
      </c>
      <c r="E95" s="115"/>
      <c r="F95" s="115">
        <v>0</v>
      </c>
      <c r="G95" s="12"/>
      <c r="H95" s="60">
        <v>0</v>
      </c>
      <c r="I95" s="12"/>
      <c r="J95" s="114">
        <f t="shared" si="0"/>
        <v>0</v>
      </c>
      <c r="K95" s="12"/>
      <c r="L95" s="115">
        <v>1999999</v>
      </c>
      <c r="M95" s="12"/>
      <c r="N95" s="115">
        <v>8638310933</v>
      </c>
      <c r="O95" s="12"/>
      <c r="P95" s="60">
        <v>-7151192124</v>
      </c>
      <c r="Q95" s="12"/>
      <c r="R95" s="114">
        <v>1487118809</v>
      </c>
      <c r="S95" s="178"/>
      <c r="T95" s="164"/>
    </row>
    <row r="96" spans="2:20" x14ac:dyDescent="0.55000000000000004">
      <c r="B96" s="12" t="s">
        <v>175</v>
      </c>
      <c r="C96" s="179"/>
      <c r="D96" s="115">
        <v>0</v>
      </c>
      <c r="E96" s="115"/>
      <c r="F96" s="115">
        <v>0</v>
      </c>
      <c r="G96" s="12"/>
      <c r="H96" s="60">
        <v>0</v>
      </c>
      <c r="I96" s="12"/>
      <c r="J96" s="114">
        <f t="shared" si="0"/>
        <v>0</v>
      </c>
      <c r="K96" s="12"/>
      <c r="L96" s="115">
        <v>15297352</v>
      </c>
      <c r="M96" s="12"/>
      <c r="N96" s="115">
        <v>124115112292</v>
      </c>
      <c r="O96" s="12"/>
      <c r="P96" s="60">
        <v>-120944002623</v>
      </c>
      <c r="Q96" s="12"/>
      <c r="R96" s="114">
        <v>3171109669</v>
      </c>
      <c r="S96" s="178"/>
      <c r="T96" s="164"/>
    </row>
    <row r="97" spans="2:20" x14ac:dyDescent="0.55000000000000004">
      <c r="B97" s="12" t="s">
        <v>142</v>
      </c>
      <c r="C97" s="179"/>
      <c r="D97" s="115">
        <v>0</v>
      </c>
      <c r="E97" s="115"/>
      <c r="F97" s="115">
        <v>0</v>
      </c>
      <c r="G97" s="12"/>
      <c r="H97" s="60">
        <v>0</v>
      </c>
      <c r="I97" s="12"/>
      <c r="J97" s="114">
        <f t="shared" si="0"/>
        <v>0</v>
      </c>
      <c r="K97" s="12"/>
      <c r="L97" s="115">
        <v>25777644</v>
      </c>
      <c r="M97" s="12"/>
      <c r="N97" s="115">
        <v>63229742834</v>
      </c>
      <c r="O97" s="12"/>
      <c r="P97" s="60">
        <v>-61292477531</v>
      </c>
      <c r="Q97" s="12"/>
      <c r="R97" s="114">
        <v>1937265303</v>
      </c>
      <c r="S97" s="178"/>
      <c r="T97" s="164"/>
    </row>
    <row r="98" spans="2:20" x14ac:dyDescent="0.55000000000000004">
      <c r="B98" s="12" t="s">
        <v>202</v>
      </c>
      <c r="C98" s="179"/>
      <c r="D98" s="115">
        <v>0</v>
      </c>
      <c r="E98" s="115"/>
      <c r="F98" s="115">
        <v>0</v>
      </c>
      <c r="G98" s="12"/>
      <c r="H98" s="60">
        <v>0</v>
      </c>
      <c r="I98" s="12"/>
      <c r="J98" s="114">
        <f t="shared" si="0"/>
        <v>0</v>
      </c>
      <c r="K98" s="12"/>
      <c r="L98" s="115">
        <v>10000000</v>
      </c>
      <c r="M98" s="12"/>
      <c r="N98" s="115">
        <v>14127514473</v>
      </c>
      <c r="O98" s="12"/>
      <c r="P98" s="60">
        <v>-12914583067</v>
      </c>
      <c r="Q98" s="12"/>
      <c r="R98" s="114">
        <v>1212931406</v>
      </c>
      <c r="S98" s="178"/>
      <c r="T98" s="164"/>
    </row>
    <row r="99" spans="2:20" x14ac:dyDescent="0.55000000000000004">
      <c r="B99" s="12" t="s">
        <v>182</v>
      </c>
      <c r="C99" s="179"/>
      <c r="D99" s="115">
        <v>0</v>
      </c>
      <c r="E99" s="115"/>
      <c r="F99" s="115">
        <v>0</v>
      </c>
      <c r="G99" s="12"/>
      <c r="H99" s="60">
        <v>0</v>
      </c>
      <c r="I99" s="12"/>
      <c r="J99" s="114">
        <f t="shared" si="0"/>
        <v>0</v>
      </c>
      <c r="K99" s="12"/>
      <c r="L99" s="115">
        <v>33018562</v>
      </c>
      <c r="M99" s="12"/>
      <c r="N99" s="115">
        <v>60477350165</v>
      </c>
      <c r="O99" s="12"/>
      <c r="P99" s="60">
        <v>-53566408497</v>
      </c>
      <c r="Q99" s="12"/>
      <c r="R99" s="114">
        <v>6910941668</v>
      </c>
      <c r="S99" s="178"/>
      <c r="T99" s="164"/>
    </row>
    <row r="100" spans="2:20" x14ac:dyDescent="0.55000000000000004">
      <c r="B100" s="12" t="s">
        <v>157</v>
      </c>
      <c r="C100" s="179"/>
      <c r="D100" s="115">
        <v>0</v>
      </c>
      <c r="E100" s="115"/>
      <c r="F100" s="115">
        <v>0</v>
      </c>
      <c r="G100" s="12"/>
      <c r="H100" s="60">
        <v>0</v>
      </c>
      <c r="I100" s="12"/>
      <c r="J100" s="114">
        <f t="shared" si="0"/>
        <v>0</v>
      </c>
      <c r="K100" s="12"/>
      <c r="L100" s="115">
        <v>1062500</v>
      </c>
      <c r="M100" s="12"/>
      <c r="N100" s="115">
        <v>2536492684</v>
      </c>
      <c r="O100" s="12"/>
      <c r="P100" s="60">
        <v>-2385072759</v>
      </c>
      <c r="Q100" s="12"/>
      <c r="R100" s="114">
        <v>151419925</v>
      </c>
      <c r="S100" s="178"/>
      <c r="T100" s="164"/>
    </row>
    <row r="101" spans="2:20" x14ac:dyDescent="0.55000000000000004">
      <c r="B101" s="12" t="s">
        <v>141</v>
      </c>
      <c r="C101" s="179"/>
      <c r="D101" s="115">
        <v>0</v>
      </c>
      <c r="E101" s="115"/>
      <c r="F101" s="115">
        <v>0</v>
      </c>
      <c r="G101" s="12"/>
      <c r="H101" s="60">
        <v>0</v>
      </c>
      <c r="I101" s="12"/>
      <c r="J101" s="114">
        <f t="shared" si="0"/>
        <v>0</v>
      </c>
      <c r="K101" s="12"/>
      <c r="L101" s="115">
        <v>9000</v>
      </c>
      <c r="M101" s="12"/>
      <c r="N101" s="115">
        <v>743971783</v>
      </c>
      <c r="O101" s="12"/>
      <c r="P101" s="60">
        <v>-712584743</v>
      </c>
      <c r="Q101" s="12"/>
      <c r="R101" s="114">
        <v>31387040</v>
      </c>
      <c r="S101" s="178"/>
      <c r="T101" s="164"/>
    </row>
    <row r="102" spans="2:20" x14ac:dyDescent="0.55000000000000004">
      <c r="B102" s="12" t="s">
        <v>179</v>
      </c>
      <c r="C102" s="179"/>
      <c r="D102" s="115">
        <v>0</v>
      </c>
      <c r="E102" s="115"/>
      <c r="F102" s="115">
        <v>0</v>
      </c>
      <c r="G102" s="12"/>
      <c r="H102" s="60">
        <v>0</v>
      </c>
      <c r="I102" s="12"/>
      <c r="J102" s="114">
        <f t="shared" si="0"/>
        <v>0</v>
      </c>
      <c r="K102" s="12"/>
      <c r="L102" s="115">
        <v>17003374</v>
      </c>
      <c r="M102" s="12"/>
      <c r="N102" s="115">
        <v>93930456333</v>
      </c>
      <c r="O102" s="12"/>
      <c r="P102" s="60">
        <v>-115969359763</v>
      </c>
      <c r="Q102" s="12"/>
      <c r="R102" s="114">
        <v>-22038903430</v>
      </c>
      <c r="S102" s="178"/>
      <c r="T102" s="164"/>
    </row>
    <row r="103" spans="2:20" ht="25.9" customHeight="1" x14ac:dyDescent="0.55000000000000004">
      <c r="B103" s="12" t="s">
        <v>161</v>
      </c>
      <c r="C103" s="179"/>
      <c r="D103" s="115">
        <v>0</v>
      </c>
      <c r="E103" s="115"/>
      <c r="F103" s="115">
        <v>0</v>
      </c>
      <c r="G103" s="12"/>
      <c r="H103" s="60">
        <v>0</v>
      </c>
      <c r="I103" s="12"/>
      <c r="J103" s="114">
        <f t="shared" si="0"/>
        <v>0</v>
      </c>
      <c r="K103" s="12"/>
      <c r="L103" s="115">
        <v>285750</v>
      </c>
      <c r="M103" s="12"/>
      <c r="N103" s="115">
        <v>16096789618</v>
      </c>
      <c r="O103" s="12"/>
      <c r="P103" s="60">
        <v>-13620187310</v>
      </c>
      <c r="Q103" s="12"/>
      <c r="R103" s="114">
        <v>2476602308</v>
      </c>
    </row>
    <row r="104" spans="2:20" ht="25.9" customHeight="1" x14ac:dyDescent="0.55000000000000004">
      <c r="B104" s="12" t="s">
        <v>160</v>
      </c>
      <c r="C104" s="179"/>
      <c r="D104" s="115">
        <v>0</v>
      </c>
      <c r="E104" s="115"/>
      <c r="F104" s="115">
        <v>0</v>
      </c>
      <c r="G104" s="12"/>
      <c r="H104" s="60">
        <v>0</v>
      </c>
      <c r="I104" s="12"/>
      <c r="J104" s="114">
        <f t="shared" si="0"/>
        <v>0</v>
      </c>
      <c r="K104" s="12"/>
      <c r="L104" s="115">
        <v>4100000</v>
      </c>
      <c r="M104" s="12"/>
      <c r="N104" s="115">
        <v>47787732830</v>
      </c>
      <c r="O104" s="12"/>
      <c r="P104" s="60">
        <v>-50619014100</v>
      </c>
      <c r="Q104" s="12"/>
      <c r="R104" s="114">
        <v>-2831281270</v>
      </c>
    </row>
    <row r="105" spans="2:20" ht="25.9" customHeight="1" x14ac:dyDescent="0.55000000000000004">
      <c r="B105" s="12" t="s">
        <v>139</v>
      </c>
      <c r="C105" s="179"/>
      <c r="D105" s="115">
        <v>0</v>
      </c>
      <c r="E105" s="115"/>
      <c r="F105" s="115">
        <v>0</v>
      </c>
      <c r="G105" s="12"/>
      <c r="H105" s="60">
        <v>0</v>
      </c>
      <c r="I105" s="12"/>
      <c r="J105" s="114">
        <f t="shared" si="0"/>
        <v>0</v>
      </c>
      <c r="K105" s="12"/>
      <c r="L105" s="115">
        <v>24369697</v>
      </c>
      <c r="M105" s="12"/>
      <c r="N105" s="115">
        <v>165260071662</v>
      </c>
      <c r="O105" s="12"/>
      <c r="P105" s="60">
        <v>-188018732973</v>
      </c>
      <c r="Q105" s="12"/>
      <c r="R105" s="114">
        <v>-22758661311</v>
      </c>
    </row>
    <row r="106" spans="2:20" ht="25.9" customHeight="1" x14ac:dyDescent="0.55000000000000004">
      <c r="B106" s="12" t="s">
        <v>178</v>
      </c>
      <c r="C106" s="179"/>
      <c r="D106" s="115">
        <v>0</v>
      </c>
      <c r="E106" s="115"/>
      <c r="F106" s="115">
        <v>0</v>
      </c>
      <c r="G106" s="12"/>
      <c r="H106" s="60">
        <v>0</v>
      </c>
      <c r="I106" s="12"/>
      <c r="J106" s="114">
        <f t="shared" ref="J106:J114" si="1">F106+H106</f>
        <v>0</v>
      </c>
      <c r="K106" s="12"/>
      <c r="L106" s="115">
        <v>296800000</v>
      </c>
      <c r="M106" s="12"/>
      <c r="N106" s="115">
        <v>178498863128</v>
      </c>
      <c r="O106" s="12"/>
      <c r="P106" s="60">
        <v>-200398180909</v>
      </c>
      <c r="Q106" s="12"/>
      <c r="R106" s="114">
        <v>-21899317781</v>
      </c>
    </row>
    <row r="107" spans="2:20" ht="25.9" customHeight="1" x14ac:dyDescent="0.55000000000000004">
      <c r="B107" s="12" t="s">
        <v>198</v>
      </c>
      <c r="C107" s="179"/>
      <c r="D107" s="115">
        <v>0</v>
      </c>
      <c r="E107" s="115"/>
      <c r="F107" s="115">
        <v>0</v>
      </c>
      <c r="G107" s="12"/>
      <c r="H107" s="60">
        <v>0</v>
      </c>
      <c r="I107" s="12"/>
      <c r="J107" s="114">
        <f t="shared" si="1"/>
        <v>0</v>
      </c>
      <c r="K107" s="12"/>
      <c r="L107" s="115">
        <v>7000000</v>
      </c>
      <c r="M107" s="12"/>
      <c r="N107" s="115">
        <v>104906708182</v>
      </c>
      <c r="O107" s="12"/>
      <c r="P107" s="60">
        <v>-121613302376</v>
      </c>
      <c r="Q107" s="12"/>
      <c r="R107" s="114">
        <v>-16706594194</v>
      </c>
    </row>
    <row r="108" spans="2:20" ht="25.9" customHeight="1" x14ac:dyDescent="0.55000000000000004">
      <c r="B108" s="12" t="s">
        <v>172</v>
      </c>
      <c r="C108" s="179"/>
      <c r="D108" s="115">
        <v>0</v>
      </c>
      <c r="E108" s="115"/>
      <c r="F108" s="115">
        <v>0</v>
      </c>
      <c r="G108" s="12"/>
      <c r="H108" s="60">
        <v>0</v>
      </c>
      <c r="I108" s="12"/>
      <c r="J108" s="114">
        <f t="shared" si="1"/>
        <v>0</v>
      </c>
      <c r="K108" s="12"/>
      <c r="L108" s="115">
        <v>10177909</v>
      </c>
      <c r="M108" s="12"/>
      <c r="N108" s="115">
        <v>151231461978</v>
      </c>
      <c r="O108" s="12"/>
      <c r="P108" s="60">
        <v>-126328323943</v>
      </c>
      <c r="Q108" s="12"/>
      <c r="R108" s="114">
        <v>24903138035</v>
      </c>
    </row>
    <row r="109" spans="2:20" ht="25.9" customHeight="1" x14ac:dyDescent="0.55000000000000004">
      <c r="B109" s="12" t="s">
        <v>173</v>
      </c>
      <c r="C109" s="179"/>
      <c r="D109" s="115"/>
      <c r="E109" s="115"/>
      <c r="F109" s="115"/>
      <c r="G109" s="12"/>
      <c r="H109" s="60"/>
      <c r="I109" s="12"/>
      <c r="J109" s="114">
        <f t="shared" si="1"/>
        <v>0</v>
      </c>
      <c r="K109" s="12"/>
      <c r="L109" s="115">
        <v>15571100</v>
      </c>
      <c r="M109" s="12"/>
      <c r="N109" s="115">
        <v>91315510092</v>
      </c>
      <c r="O109" s="12"/>
      <c r="P109" s="60">
        <v>-95651473345</v>
      </c>
      <c r="Q109" s="12"/>
      <c r="R109" s="114">
        <v>-4335963253</v>
      </c>
    </row>
    <row r="110" spans="2:20" ht="25.9" customHeight="1" x14ac:dyDescent="0.55000000000000004">
      <c r="B110" s="12" t="s">
        <v>162</v>
      </c>
      <c r="C110" s="179"/>
      <c r="D110" s="115"/>
      <c r="E110" s="115"/>
      <c r="F110" s="115"/>
      <c r="G110" s="12"/>
      <c r="H110" s="60"/>
      <c r="I110" s="12"/>
      <c r="J110" s="114">
        <f t="shared" si="1"/>
        <v>0</v>
      </c>
      <c r="K110" s="12"/>
      <c r="L110" s="115">
        <v>800000</v>
      </c>
      <c r="M110" s="12"/>
      <c r="N110" s="115">
        <v>14710482899</v>
      </c>
      <c r="O110" s="12"/>
      <c r="P110" s="60">
        <v>-10680073200</v>
      </c>
      <c r="Q110" s="12"/>
      <c r="R110" s="114">
        <v>4030409699</v>
      </c>
    </row>
    <row r="111" spans="2:20" ht="25.9" customHeight="1" x14ac:dyDescent="0.55000000000000004">
      <c r="B111" s="12" t="s">
        <v>164</v>
      </c>
      <c r="C111" s="179"/>
      <c r="D111" s="115"/>
      <c r="E111" s="115"/>
      <c r="F111" s="115"/>
      <c r="G111" s="12"/>
      <c r="H111" s="60"/>
      <c r="I111" s="12"/>
      <c r="J111" s="114">
        <f t="shared" si="1"/>
        <v>0</v>
      </c>
      <c r="K111" s="12"/>
      <c r="L111" s="115">
        <v>309853</v>
      </c>
      <c r="M111" s="12"/>
      <c r="N111" s="115">
        <v>8022342214</v>
      </c>
      <c r="O111" s="12"/>
      <c r="P111" s="60">
        <v>-7810065837</v>
      </c>
      <c r="Q111" s="12"/>
      <c r="R111" s="114">
        <v>212276377</v>
      </c>
    </row>
    <row r="112" spans="2:20" ht="25.9" customHeight="1" x14ac:dyDescent="0.55000000000000004">
      <c r="B112" s="12" t="s">
        <v>111</v>
      </c>
      <c r="C112" s="179"/>
      <c r="D112" s="115"/>
      <c r="E112" s="115"/>
      <c r="F112" s="115"/>
      <c r="G112" s="12"/>
      <c r="H112" s="60"/>
      <c r="I112" s="12"/>
      <c r="J112" s="114">
        <f t="shared" si="1"/>
        <v>0</v>
      </c>
      <c r="K112" s="12"/>
      <c r="L112" s="115">
        <v>144364</v>
      </c>
      <c r="M112" s="12"/>
      <c r="N112" s="115">
        <v>363956344</v>
      </c>
      <c r="O112" s="12"/>
      <c r="P112" s="60">
        <v>-266632352</v>
      </c>
      <c r="Q112" s="12"/>
      <c r="R112" s="114">
        <v>97323992</v>
      </c>
    </row>
    <row r="113" spans="2:18" ht="25.9" customHeight="1" x14ac:dyDescent="0.55000000000000004">
      <c r="B113" s="12" t="s">
        <v>169</v>
      </c>
      <c r="C113" s="179"/>
      <c r="D113" s="115">
        <v>0</v>
      </c>
      <c r="E113" s="115"/>
      <c r="F113" s="115">
        <v>0</v>
      </c>
      <c r="G113" s="12"/>
      <c r="H113" s="60">
        <v>0</v>
      </c>
      <c r="I113" s="12"/>
      <c r="J113" s="114">
        <f t="shared" si="1"/>
        <v>0</v>
      </c>
      <c r="K113" s="12"/>
      <c r="L113" s="115">
        <v>29167090</v>
      </c>
      <c r="M113" s="12"/>
      <c r="N113" s="115">
        <v>169466517259</v>
      </c>
      <c r="O113" s="12"/>
      <c r="P113" s="60">
        <v>-140253073100</v>
      </c>
      <c r="Q113" s="12"/>
      <c r="R113" s="114">
        <v>29213444159</v>
      </c>
    </row>
    <row r="114" spans="2:18" ht="19.5" customHeight="1" x14ac:dyDescent="0.55000000000000004">
      <c r="B114" s="12" t="s">
        <v>195</v>
      </c>
      <c r="C114" s="179"/>
      <c r="D114" s="115">
        <v>0</v>
      </c>
      <c r="E114" s="115"/>
      <c r="F114" s="115">
        <v>0</v>
      </c>
      <c r="G114" s="12"/>
      <c r="H114" s="60">
        <v>0</v>
      </c>
      <c r="I114" s="12"/>
      <c r="J114" s="114">
        <f t="shared" si="1"/>
        <v>0</v>
      </c>
      <c r="K114" s="12"/>
      <c r="L114" s="115">
        <v>10000000</v>
      </c>
      <c r="M114" s="12"/>
      <c r="N114" s="115">
        <v>38860864777</v>
      </c>
      <c r="O114" s="12"/>
      <c r="P114" s="60">
        <v>-56454832765</v>
      </c>
      <c r="Q114" s="12"/>
      <c r="R114" s="114">
        <v>-17593967988</v>
      </c>
    </row>
    <row r="115" spans="2:18" ht="23.25" thickBot="1" x14ac:dyDescent="0.6">
      <c r="B115" s="182" t="s">
        <v>7</v>
      </c>
      <c r="C115" s="182"/>
      <c r="D115" s="128">
        <f>SUM(D62:D114)</f>
        <v>350809482</v>
      </c>
      <c r="E115" s="183"/>
      <c r="F115" s="128">
        <f>SUM(F62:F114)</f>
        <v>2133057674762</v>
      </c>
      <c r="G115" s="183"/>
      <c r="H115" s="128">
        <f>SUM(H62:H114)</f>
        <v>-1439807305836</v>
      </c>
      <c r="I115" s="183"/>
      <c r="J115" s="128">
        <f>SUM(J62:J114)</f>
        <v>693250368926</v>
      </c>
      <c r="K115" s="183"/>
      <c r="L115" s="128">
        <f>SUM(L62:L114)</f>
        <v>2564443074</v>
      </c>
      <c r="M115" s="183"/>
      <c r="N115" s="128">
        <f>SUM(N62:N114)</f>
        <v>9734480886316</v>
      </c>
      <c r="O115" s="183"/>
      <c r="P115" s="128">
        <f>SUM(P62:P114)</f>
        <v>-9031778683523</v>
      </c>
      <c r="Q115" s="183"/>
      <c r="R115" s="128">
        <f>SUM(R62:R114)</f>
        <v>702702202793</v>
      </c>
    </row>
    <row r="116" spans="2:18" ht="23.25" hidden="1" thickTop="1" x14ac:dyDescent="0.55000000000000004"/>
    <row r="117" spans="2:18" ht="23.25" hidden="1" thickTop="1" x14ac:dyDescent="0.55000000000000004">
      <c r="B117" s="393"/>
      <c r="C117" s="393"/>
      <c r="D117" s="393"/>
      <c r="E117" s="393"/>
      <c r="F117" s="393"/>
      <c r="G117" s="393"/>
      <c r="H117" s="393"/>
      <c r="I117" s="393"/>
      <c r="J117" s="393"/>
      <c r="K117" s="393"/>
      <c r="L117" s="393"/>
      <c r="M117" s="393"/>
      <c r="N117" s="393"/>
      <c r="O117" s="393"/>
      <c r="P117" s="393"/>
      <c r="Q117" s="393"/>
      <c r="R117" s="393"/>
    </row>
    <row r="118" spans="2:18" ht="23.25" thickTop="1" x14ac:dyDescent="0.55000000000000004"/>
    <row r="119" spans="2:18" x14ac:dyDescent="0.55000000000000004">
      <c r="P119" s="310"/>
    </row>
    <row r="120" spans="2:18" x14ac:dyDescent="0.55000000000000004">
      <c r="H120" s="93">
        <f>F115+H115-J115</f>
        <v>0</v>
      </c>
      <c r="O120" s="93"/>
    </row>
    <row r="125" spans="2:18" x14ac:dyDescent="0.55000000000000004">
      <c r="E125" s="93"/>
      <c r="G125" s="93"/>
      <c r="I125" s="93"/>
      <c r="K125" s="93"/>
      <c r="M125" s="93"/>
      <c r="O125" s="93"/>
      <c r="Q125" s="93"/>
    </row>
    <row r="130" spans="22:23" x14ac:dyDescent="0.55000000000000004">
      <c r="V130" s="93"/>
      <c r="W130" s="60"/>
    </row>
    <row r="131" spans="22:23" x14ac:dyDescent="0.55000000000000004">
      <c r="V131" s="93"/>
      <c r="W131" s="60"/>
    </row>
    <row r="132" spans="22:23" x14ac:dyDescent="0.55000000000000004">
      <c r="V132" s="93"/>
      <c r="W132" s="60"/>
    </row>
    <row r="133" spans="22:23" x14ac:dyDescent="0.55000000000000004">
      <c r="V133" s="93"/>
      <c r="W133" s="60"/>
    </row>
    <row r="134" spans="22:23" x14ac:dyDescent="0.55000000000000004">
      <c r="V134" s="93"/>
      <c r="W134" s="60"/>
    </row>
    <row r="135" spans="22:23" x14ac:dyDescent="0.55000000000000004">
      <c r="V135" s="93"/>
      <c r="W135" s="60"/>
    </row>
    <row r="136" spans="22:23" x14ac:dyDescent="0.55000000000000004">
      <c r="V136" s="93"/>
      <c r="W136" s="60"/>
    </row>
    <row r="137" spans="22:23" x14ac:dyDescent="0.55000000000000004">
      <c r="V137" s="93"/>
      <c r="W137" s="60"/>
    </row>
    <row r="138" spans="22:23" x14ac:dyDescent="0.55000000000000004">
      <c r="V138" s="93"/>
      <c r="W138" s="60"/>
    </row>
    <row r="139" spans="22:23" x14ac:dyDescent="0.55000000000000004">
      <c r="V139" s="93"/>
      <c r="W139" s="60"/>
    </row>
    <row r="140" spans="22:23" x14ac:dyDescent="0.55000000000000004">
      <c r="V140" s="93"/>
      <c r="W140" s="60"/>
    </row>
    <row r="141" spans="22:23" x14ac:dyDescent="0.55000000000000004">
      <c r="V141" s="93"/>
      <c r="W141" s="60"/>
    </row>
    <row r="142" spans="22:23" x14ac:dyDescent="0.55000000000000004">
      <c r="V142" s="93"/>
      <c r="W142" s="60"/>
    </row>
    <row r="143" spans="22:23" x14ac:dyDescent="0.55000000000000004">
      <c r="V143" s="93"/>
      <c r="W143" s="60"/>
    </row>
    <row r="144" spans="22:23" x14ac:dyDescent="0.55000000000000004">
      <c r="V144" s="93"/>
      <c r="W144" s="60"/>
    </row>
    <row r="145" spans="22:23" x14ac:dyDescent="0.55000000000000004">
      <c r="V145" s="93"/>
      <c r="W145" s="60"/>
    </row>
    <row r="146" spans="22:23" x14ac:dyDescent="0.55000000000000004">
      <c r="V146" s="93"/>
      <c r="W146" s="60"/>
    </row>
    <row r="147" spans="22:23" x14ac:dyDescent="0.55000000000000004">
      <c r="V147" s="93"/>
      <c r="W147" s="60"/>
    </row>
    <row r="148" spans="22:23" x14ac:dyDescent="0.55000000000000004">
      <c r="V148" s="93"/>
      <c r="W148" s="60"/>
    </row>
    <row r="149" spans="22:23" x14ac:dyDescent="0.55000000000000004">
      <c r="V149" s="93"/>
      <c r="W149" s="60"/>
    </row>
    <row r="150" spans="22:23" x14ac:dyDescent="0.55000000000000004">
      <c r="V150" s="93"/>
      <c r="W150" s="60"/>
    </row>
    <row r="151" spans="22:23" x14ac:dyDescent="0.55000000000000004">
      <c r="V151" s="93"/>
      <c r="W151" s="60"/>
    </row>
    <row r="152" spans="22:23" x14ac:dyDescent="0.55000000000000004">
      <c r="V152" s="93"/>
      <c r="W152" s="60"/>
    </row>
    <row r="153" spans="22:23" x14ac:dyDescent="0.55000000000000004">
      <c r="V153" s="93"/>
      <c r="W153" s="60"/>
    </row>
    <row r="154" spans="22:23" x14ac:dyDescent="0.55000000000000004">
      <c r="V154" s="93"/>
      <c r="W154" s="60"/>
    </row>
    <row r="155" spans="22:23" x14ac:dyDescent="0.55000000000000004">
      <c r="V155" s="93"/>
      <c r="W155" s="60"/>
    </row>
  </sheetData>
  <mergeCells count="12">
    <mergeCell ref="B1:R1"/>
    <mergeCell ref="B2:R2"/>
    <mergeCell ref="B3:R3"/>
    <mergeCell ref="B117:R117"/>
    <mergeCell ref="D5:J5"/>
    <mergeCell ref="L5:R5"/>
    <mergeCell ref="B4:J4"/>
    <mergeCell ref="K4:R4"/>
    <mergeCell ref="B59:J59"/>
    <mergeCell ref="K59:R59"/>
    <mergeCell ref="D60:J60"/>
    <mergeCell ref="L60:R60"/>
  </mergeCells>
  <printOptions horizontalCentered="1"/>
  <pageMargins left="0.7" right="0.7" top="0.75" bottom="0.75" header="0.3" footer="0.3"/>
  <pageSetup paperSize="9" scale="38" orientation="landscape" r:id="rId1"/>
  <headerFooter>
    <oddFooter>&amp;C&amp;P</oddFooter>
  </headerFooter>
  <rowBreaks count="2" manualBreakCount="2">
    <brk id="58" max="17" man="1"/>
    <brk id="115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4"/>
  <sheetViews>
    <sheetView rightToLeft="1" view="pageBreakPreview" zoomScaleNormal="100" zoomScaleSheetLayoutView="100" workbookViewId="0">
      <selection activeCell="E15" sqref="E15"/>
    </sheetView>
  </sheetViews>
  <sheetFormatPr defaultColWidth="9.140625" defaultRowHeight="22.5" x14ac:dyDescent="0.55000000000000004"/>
  <cols>
    <col min="1" max="1" width="7.42578125" style="1" customWidth="1"/>
    <col min="2" max="2" width="30.28515625" style="1" bestFit="1" customWidth="1"/>
    <col min="3" max="3" width="15.140625" style="1" bestFit="1" customWidth="1"/>
    <col min="4" max="4" width="0.7109375" style="1" customWidth="1"/>
    <col min="5" max="5" width="18.42578125" style="1" bestFit="1" customWidth="1"/>
    <col min="6" max="6" width="0.7109375" style="1" customWidth="1"/>
    <col min="7" max="7" width="15.140625" style="1" bestFit="1" customWidth="1"/>
    <col min="8" max="8" width="0.7109375" style="1" customWidth="1"/>
    <col min="9" max="9" width="10.5703125" style="1" bestFit="1" customWidth="1"/>
    <col min="10" max="10" width="0.7109375" style="1" customWidth="1"/>
    <col min="11" max="11" width="23.5703125" style="1" bestFit="1" customWidth="1"/>
    <col min="12" max="12" width="0.7109375" style="1" customWidth="1"/>
    <col min="13" max="13" width="15.140625" style="1" bestFit="1" customWidth="1"/>
    <col min="14" max="14" width="0.7109375" style="1" customWidth="1"/>
    <col min="15" max="15" width="18.42578125" style="1" bestFit="1" customWidth="1"/>
    <col min="16" max="16" width="0.28515625" style="1" customWidth="1"/>
    <col min="17" max="17" width="15.140625" style="1" customWidth="1"/>
    <col min="18" max="18" width="10.42578125" style="1" bestFit="1" customWidth="1"/>
    <col min="19" max="19" width="23.5703125" style="1" bestFit="1" customWidth="1"/>
    <col min="20" max="20" width="11.28515625" style="1" bestFit="1" customWidth="1"/>
    <col min="21" max="21" width="16.28515625" style="4" bestFit="1" customWidth="1"/>
    <col min="22" max="16384" width="9.140625" style="1"/>
  </cols>
  <sheetData>
    <row r="1" spans="1:20" ht="24" x14ac:dyDescent="0.6">
      <c r="A1" s="398" t="s">
        <v>107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</row>
    <row r="2" spans="1:20" ht="24" x14ac:dyDescent="0.6">
      <c r="A2" s="398" t="s">
        <v>87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</row>
    <row r="3" spans="1:20" ht="24" x14ac:dyDescent="0.6">
      <c r="A3" s="398" t="str">
        <f>' سهام'!AC6</f>
        <v>برای ماه منتهی به 1404/10/30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</row>
    <row r="4" spans="1:20" ht="24" x14ac:dyDescent="0.55000000000000004">
      <c r="B4" s="399" t="s">
        <v>155</v>
      </c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44"/>
    </row>
    <row r="6" spans="1:20" ht="24.75" thickBot="1" x14ac:dyDescent="0.6">
      <c r="B6" s="36"/>
      <c r="C6" s="396" t="str">
        <f>' سهام'!AC7</f>
        <v>طی دی ماه</v>
      </c>
      <c r="D6" s="396"/>
      <c r="E6" s="396"/>
      <c r="F6" s="396"/>
      <c r="G6" s="396"/>
      <c r="H6" s="396"/>
      <c r="I6" s="396"/>
      <c r="J6" s="396"/>
      <c r="K6" s="396"/>
      <c r="L6" s="52"/>
      <c r="M6" s="396" t="str">
        <f>' سهام'!AC8</f>
        <v>از ابتدای سال مالی تا پایان دی ماه</v>
      </c>
      <c r="N6" s="396"/>
      <c r="O6" s="396"/>
      <c r="P6" s="396"/>
      <c r="Q6" s="396"/>
      <c r="R6" s="396"/>
      <c r="S6" s="396"/>
    </row>
    <row r="7" spans="1:20" ht="20.25" customHeight="1" x14ac:dyDescent="0.55000000000000004">
      <c r="B7" s="400"/>
      <c r="C7" s="395" t="s">
        <v>25</v>
      </c>
      <c r="D7" s="395"/>
      <c r="E7" s="395" t="s">
        <v>22</v>
      </c>
      <c r="F7" s="400"/>
      <c r="G7" s="395" t="s">
        <v>23</v>
      </c>
      <c r="H7" s="397"/>
      <c r="I7" s="395" t="s">
        <v>7</v>
      </c>
      <c r="J7" s="395"/>
      <c r="K7" s="395"/>
      <c r="L7" s="53"/>
      <c r="M7" s="395" t="s">
        <v>25</v>
      </c>
      <c r="N7" s="395"/>
      <c r="O7" s="395" t="s">
        <v>22</v>
      </c>
      <c r="P7" s="400"/>
      <c r="Q7" s="395" t="s">
        <v>23</v>
      </c>
      <c r="R7" s="395" t="s">
        <v>7</v>
      </c>
      <c r="S7" s="395"/>
    </row>
    <row r="8" spans="1:20" ht="30" customHeight="1" x14ac:dyDescent="0.55000000000000004">
      <c r="B8" s="397"/>
      <c r="C8" s="396"/>
      <c r="D8" s="396"/>
      <c r="E8" s="396"/>
      <c r="F8" s="397"/>
      <c r="G8" s="396"/>
      <c r="H8" s="397"/>
      <c r="I8" s="396"/>
      <c r="J8" s="396"/>
      <c r="K8" s="396"/>
      <c r="L8" s="53"/>
      <c r="M8" s="396"/>
      <c r="N8" s="396"/>
      <c r="O8" s="396"/>
      <c r="P8" s="397"/>
      <c r="Q8" s="396"/>
      <c r="R8" s="396"/>
      <c r="S8" s="396"/>
    </row>
    <row r="9" spans="1:20" ht="24.75" thickBot="1" x14ac:dyDescent="0.6">
      <c r="B9" s="397"/>
      <c r="C9" s="56" t="s">
        <v>95</v>
      </c>
      <c r="D9" s="396"/>
      <c r="E9" s="56" t="s">
        <v>92</v>
      </c>
      <c r="F9" s="397"/>
      <c r="G9" s="56" t="s">
        <v>133</v>
      </c>
      <c r="H9" s="397"/>
      <c r="I9" s="51" t="s">
        <v>100</v>
      </c>
      <c r="J9" s="51"/>
      <c r="K9" s="51" t="s">
        <v>101</v>
      </c>
      <c r="L9" s="53"/>
      <c r="M9" s="56" t="s">
        <v>95</v>
      </c>
      <c r="N9" s="396"/>
      <c r="O9" s="56" t="s">
        <v>92</v>
      </c>
      <c r="P9" s="397"/>
      <c r="Q9" s="56" t="s">
        <v>133</v>
      </c>
      <c r="R9" s="51" t="s">
        <v>100</v>
      </c>
      <c r="S9" s="51" t="s">
        <v>101</v>
      </c>
    </row>
    <row r="10" spans="1:20" ht="23.25" thickBot="1" x14ac:dyDescent="0.6">
      <c r="B10" s="68" t="s">
        <v>102</v>
      </c>
      <c r="C10" s="33">
        <v>0</v>
      </c>
      <c r="D10" s="42">
        <v>0</v>
      </c>
      <c r="E10" s="62">
        <v>0</v>
      </c>
      <c r="F10" s="52">
        <v>0</v>
      </c>
      <c r="G10" s="60">
        <v>0</v>
      </c>
      <c r="H10" s="52">
        <v>0</v>
      </c>
      <c r="I10" s="60">
        <v>0</v>
      </c>
      <c r="J10" s="60">
        <v>0</v>
      </c>
      <c r="K10" s="37">
        <v>0</v>
      </c>
      <c r="L10" s="42">
        <v>0</v>
      </c>
      <c r="M10" s="33">
        <v>0</v>
      </c>
      <c r="N10" s="42">
        <v>0</v>
      </c>
      <c r="O10" s="33">
        <v>0</v>
      </c>
      <c r="P10" s="52">
        <v>875280</v>
      </c>
      <c r="Q10" s="33">
        <v>0</v>
      </c>
      <c r="R10" s="33">
        <v>0</v>
      </c>
      <c r="S10" s="37">
        <f>R10/S14</f>
        <v>0</v>
      </c>
    </row>
    <row r="11" spans="1:20" ht="23.25" thickBot="1" x14ac:dyDescent="0.6">
      <c r="B11" s="38" t="s">
        <v>7</v>
      </c>
      <c r="C11" s="39">
        <f>SUM(C10:C10)</f>
        <v>0</v>
      </c>
      <c r="D11" s="45"/>
      <c r="E11" s="63">
        <f>SUM(E10:E10)</f>
        <v>0</v>
      </c>
      <c r="F11" s="43"/>
      <c r="G11" s="39">
        <f>SUM(G10:G10)</f>
        <v>0</v>
      </c>
      <c r="H11" s="43"/>
      <c r="I11" s="39">
        <f>SUM(I10:I10)</f>
        <v>0</v>
      </c>
      <c r="J11" s="39"/>
      <c r="K11" s="41">
        <f>SUM(K10:K10)</f>
        <v>0</v>
      </c>
      <c r="L11" s="40"/>
      <c r="M11" s="39">
        <f>SUM(M10:M10)</f>
        <v>0</v>
      </c>
      <c r="N11" s="39"/>
      <c r="O11" s="39">
        <f>SUM(O10:O10)</f>
        <v>0</v>
      </c>
      <c r="P11" s="43"/>
      <c r="Q11" s="39">
        <f>SUM(Q10:Q10)</f>
        <v>0</v>
      </c>
      <c r="R11" s="39">
        <f>SUM(R10:R10)</f>
        <v>0</v>
      </c>
      <c r="S11" s="41">
        <f>SUM(S10:S10)</f>
        <v>0</v>
      </c>
    </row>
    <row r="12" spans="1:20" ht="23.25" thickTop="1" x14ac:dyDescent="0.55000000000000004"/>
    <row r="14" spans="1:20" ht="24" x14ac:dyDescent="0.6">
      <c r="K14" s="69">
        <v>2807555599778</v>
      </c>
      <c r="M14" s="34"/>
      <c r="S14" s="69">
        <v>2807555599778</v>
      </c>
      <c r="T14" s="34"/>
    </row>
  </sheetData>
  <mergeCells count="20">
    <mergeCell ref="F7:F9"/>
    <mergeCell ref="C6:K6"/>
    <mergeCell ref="B7:B9"/>
    <mergeCell ref="D7:D9"/>
    <mergeCell ref="I7:K8"/>
    <mergeCell ref="H7:H9"/>
    <mergeCell ref="M6:S6"/>
    <mergeCell ref="R7:S8"/>
    <mergeCell ref="A1:S1"/>
    <mergeCell ref="A2:S2"/>
    <mergeCell ref="A3:S3"/>
    <mergeCell ref="C7:C8"/>
    <mergeCell ref="E7:E8"/>
    <mergeCell ref="G7:G8"/>
    <mergeCell ref="M7:M8"/>
    <mergeCell ref="O7:O8"/>
    <mergeCell ref="Q7:Q8"/>
    <mergeCell ref="B4:R4"/>
    <mergeCell ref="N7:N9"/>
    <mergeCell ref="P7:P9"/>
  </mergeCells>
  <hyperlinks>
    <hyperlink ref="C9" location="'سود اوراق بهادار و سپرده بانکی'!A1" display="یادداشت 2-2-1" xr:uid="{00000000-0004-0000-0B00-000000000000}"/>
    <hyperlink ref="M9" location="'سود اوراق بهادار و سپرده بانکی'!A1" display="یادداشت 2-2-1" xr:uid="{00000000-0004-0000-0B00-000001000000}"/>
    <hyperlink ref="E9" location="'درآمد ناشی از تغییر قیمت اوراق '!A1" display="یادداشت 2-1-1" xr:uid="{00000000-0004-0000-0B00-000002000000}"/>
    <hyperlink ref="O9" location="'درآمد ناشی از تغییر قیمت اوراق '!A1" display="یادداشت 2-1-1" xr:uid="{00000000-0004-0000-0B00-000003000000}"/>
    <hyperlink ref="G9" location="'درآمد ناشی ازفروش'!A1" display="یادداشت 2-1-2" xr:uid="{00000000-0004-0000-0B00-000004000000}"/>
    <hyperlink ref="Q9" location="'درآمد ناشی ازفروش'!A1" display="یادداشت 2-1-2" xr:uid="{00000000-0004-0000-0B00-000005000000}"/>
  </hyperlinks>
  <pageMargins left="0.5" right="1" top="0.3" bottom="0.1" header="0.31496062992126" footer="0.31496062992126"/>
  <pageSetup paperSize="9" scale="63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B1:AC74"/>
  <sheetViews>
    <sheetView rightToLeft="1" view="pageBreakPreview" zoomScaleNormal="100" zoomScaleSheetLayoutView="100" workbookViewId="0">
      <selection activeCell="T82" sqref="T82"/>
    </sheetView>
  </sheetViews>
  <sheetFormatPr defaultColWidth="8.85546875" defaultRowHeight="22.5" x14ac:dyDescent="0.55000000000000004"/>
  <cols>
    <col min="1" max="1" width="1.28515625" style="1" customWidth="1"/>
    <col min="2" max="2" width="40.28515625" style="1" bestFit="1" customWidth="1"/>
    <col min="3" max="3" width="13" style="1" bestFit="1" customWidth="1"/>
    <col min="4" max="4" width="15.140625" style="1" customWidth="1"/>
    <col min="5" max="5" width="7.140625" style="1" customWidth="1"/>
    <col min="6" max="6" width="0.28515625" style="1" customWidth="1"/>
    <col min="7" max="7" width="10.85546875" style="1" hidden="1" customWidth="1"/>
    <col min="8" max="8" width="0.85546875" style="1" hidden="1" customWidth="1"/>
    <col min="9" max="9" width="2" style="1" hidden="1" customWidth="1"/>
    <col min="10" max="10" width="0.5703125" style="1" customWidth="1"/>
    <col min="11" max="11" width="16.42578125" style="1" customWidth="1"/>
    <col min="12" max="12" width="0.85546875" style="1" hidden="1" customWidth="1"/>
    <col min="13" max="13" width="9.140625" style="1" customWidth="1"/>
    <col min="14" max="14" width="0.140625" style="1" customWidth="1"/>
    <col min="15" max="15" width="16.7109375" style="1" bestFit="1" customWidth="1"/>
    <col min="16" max="16" width="0.85546875" style="1" customWidth="1"/>
    <col min="17" max="17" width="18.140625" style="1" bestFit="1" customWidth="1"/>
    <col min="18" max="18" width="0.7109375" style="1" customWidth="1"/>
    <col min="19" max="19" width="9" style="1" bestFit="1" customWidth="1"/>
    <col min="20" max="20" width="0.7109375" style="1" customWidth="1"/>
    <col min="21" max="21" width="18.140625" style="1" bestFit="1" customWidth="1"/>
    <col min="22" max="24" width="8.85546875" style="1"/>
    <col min="25" max="25" width="11" style="1" bestFit="1" customWidth="1"/>
    <col min="26" max="26" width="8.85546875" style="1"/>
    <col min="27" max="31" width="0" style="1" hidden="1" customWidth="1"/>
    <col min="32" max="16384" width="8.85546875" style="1"/>
  </cols>
  <sheetData>
    <row r="1" spans="2:29" ht="24" x14ac:dyDescent="0.6">
      <c r="B1" s="335" t="str">
        <f>'درآمد سود سهام'!B1:T1</f>
        <v>صندوق سرمایه گذاری شاخص سی شرکت بزرگ فیروزه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</row>
    <row r="2" spans="2:29" ht="24" x14ac:dyDescent="0.6">
      <c r="B2" s="335" t="s">
        <v>87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</row>
    <row r="3" spans="2:29" ht="24" x14ac:dyDescent="0.6">
      <c r="B3" s="335" t="str">
        <f>' سهام'!AC6</f>
        <v>برای ماه منتهی به 1404/10/30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</row>
    <row r="4" spans="2:29" ht="24" x14ac:dyDescent="0.55000000000000004">
      <c r="B4" s="337" t="s">
        <v>94</v>
      </c>
      <c r="C4" s="337"/>
      <c r="D4" s="337"/>
      <c r="E4" s="337"/>
      <c r="F4" s="337"/>
      <c r="G4" s="337"/>
      <c r="H4" s="165"/>
      <c r="L4" s="165"/>
      <c r="AC4" s="1" t="s">
        <v>230</v>
      </c>
    </row>
    <row r="5" spans="2:29" ht="24.75" thickBot="1" x14ac:dyDescent="0.6">
      <c r="B5" s="165"/>
      <c r="C5" s="352"/>
      <c r="D5" s="352"/>
      <c r="E5" s="352"/>
      <c r="G5" s="387" t="s">
        <v>99</v>
      </c>
      <c r="H5" s="387"/>
      <c r="I5" s="387"/>
      <c r="J5" s="387"/>
      <c r="K5" s="387" t="str">
        <f>' سهام'!AC7</f>
        <v>طی دی ماه</v>
      </c>
      <c r="L5" s="387"/>
      <c r="M5" s="387"/>
      <c r="N5" s="387"/>
      <c r="O5" s="387"/>
      <c r="P5" s="53"/>
      <c r="Q5" s="387" t="str">
        <f>' سهام'!AC8</f>
        <v>از ابتدای سال مالی تا پایان دی ماه</v>
      </c>
      <c r="R5" s="387"/>
      <c r="S5" s="387"/>
      <c r="T5" s="387"/>
      <c r="U5" s="387"/>
      <c r="AC5" s="1" t="s">
        <v>243</v>
      </c>
    </row>
    <row r="6" spans="2:29" ht="43.5" customHeight="1" thickBot="1" x14ac:dyDescent="0.6">
      <c r="B6" s="1" t="s">
        <v>64</v>
      </c>
      <c r="C6" s="166" t="s">
        <v>72</v>
      </c>
      <c r="D6" s="166" t="s">
        <v>34</v>
      </c>
      <c r="E6" s="166" t="s">
        <v>61</v>
      </c>
      <c r="F6" s="167"/>
      <c r="G6" s="166" t="s">
        <v>88</v>
      </c>
      <c r="H6" s="167"/>
      <c r="I6" s="166" t="s">
        <v>68</v>
      </c>
      <c r="J6" s="167"/>
      <c r="K6" s="166" t="s">
        <v>88</v>
      </c>
      <c r="L6" s="167"/>
      <c r="M6" s="166" t="s">
        <v>68</v>
      </c>
      <c r="N6" s="167"/>
      <c r="O6" s="166" t="s">
        <v>73</v>
      </c>
      <c r="P6" s="167"/>
      <c r="Q6" s="166" t="s">
        <v>88</v>
      </c>
      <c r="R6" s="167"/>
      <c r="S6" s="166" t="s">
        <v>68</v>
      </c>
      <c r="T6" s="167"/>
      <c r="U6" s="166" t="s">
        <v>73</v>
      </c>
      <c r="AC6" s="1" t="s">
        <v>244</v>
      </c>
    </row>
    <row r="7" spans="2:29" s="12" customFormat="1" ht="23.45" customHeight="1" x14ac:dyDescent="0.55000000000000004">
      <c r="B7" s="168" t="s">
        <v>199</v>
      </c>
      <c r="C7" s="169"/>
      <c r="D7" s="170"/>
      <c r="E7" s="162"/>
      <c r="F7" s="170" t="s">
        <v>132</v>
      </c>
      <c r="G7" s="170"/>
      <c r="H7" s="171">
        <v>0</v>
      </c>
      <c r="I7" s="170"/>
      <c r="J7" s="171">
        <v>176683</v>
      </c>
      <c r="K7" s="162">
        <v>182521</v>
      </c>
      <c r="L7" s="170"/>
      <c r="M7" s="162">
        <v>0</v>
      </c>
      <c r="N7" s="170"/>
      <c r="O7" s="162">
        <f>K7+M7</f>
        <v>182521</v>
      </c>
      <c r="P7" s="162"/>
      <c r="Q7" s="171">
        <v>478064</v>
      </c>
      <c r="R7" s="170"/>
      <c r="S7" s="162">
        <v>0</v>
      </c>
      <c r="T7" s="170"/>
      <c r="U7" s="162">
        <f>Q7+S7</f>
        <v>478064</v>
      </c>
      <c r="AC7" s="12" t="s">
        <v>249</v>
      </c>
    </row>
    <row r="8" spans="2:29" s="12" customFormat="1" ht="23.45" customHeight="1" x14ac:dyDescent="0.55000000000000004">
      <c r="B8" s="168" t="s">
        <v>200</v>
      </c>
      <c r="C8" s="169"/>
      <c r="D8" s="170"/>
      <c r="E8" s="162"/>
      <c r="F8" s="170"/>
      <c r="G8" s="170"/>
      <c r="H8" s="171"/>
      <c r="I8" s="170"/>
      <c r="J8" s="171"/>
      <c r="K8" s="162">
        <v>3345361257</v>
      </c>
      <c r="L8" s="170"/>
      <c r="M8" s="162">
        <v>0</v>
      </c>
      <c r="N8" s="170"/>
      <c r="O8" s="162">
        <f t="shared" ref="O8:O9" si="0">K8+M8</f>
        <v>3345361257</v>
      </c>
      <c r="P8" s="162"/>
      <c r="Q8" s="171">
        <v>25564029881</v>
      </c>
      <c r="R8" s="170"/>
      <c r="S8" s="162">
        <v>0</v>
      </c>
      <c r="T8" s="170"/>
      <c r="U8" s="162">
        <f>Q8+S8</f>
        <v>25564029881</v>
      </c>
    </row>
    <row r="9" spans="2:29" s="12" customFormat="1" ht="23.45" customHeight="1" x14ac:dyDescent="0.55000000000000004">
      <c r="B9" s="168" t="s">
        <v>253</v>
      </c>
      <c r="C9" s="169"/>
      <c r="D9" s="170"/>
      <c r="E9" s="162"/>
      <c r="F9" s="170" t="s">
        <v>132</v>
      </c>
      <c r="G9" s="170"/>
      <c r="H9" s="171">
        <v>0</v>
      </c>
      <c r="I9" s="170"/>
      <c r="J9" s="171">
        <v>2202729735</v>
      </c>
      <c r="K9" s="162">
        <v>4143</v>
      </c>
      <c r="L9" s="170"/>
      <c r="M9" s="162">
        <v>0</v>
      </c>
      <c r="N9" s="170"/>
      <c r="O9" s="162">
        <f t="shared" si="0"/>
        <v>4143</v>
      </c>
      <c r="P9" s="162"/>
      <c r="Q9" s="171">
        <v>12379</v>
      </c>
      <c r="R9" s="170"/>
      <c r="S9" s="162">
        <v>0</v>
      </c>
      <c r="T9" s="170"/>
      <c r="U9" s="162">
        <f>Q9+S9</f>
        <v>12379</v>
      </c>
      <c r="AC9" s="12" t="s">
        <v>245</v>
      </c>
    </row>
    <row r="10" spans="2:29" ht="23.25" thickBot="1" x14ac:dyDescent="0.6">
      <c r="K10" s="172">
        <f>SUM(K7:K9)</f>
        <v>3345547921</v>
      </c>
      <c r="L10" s="12"/>
      <c r="M10" s="12"/>
      <c r="N10" s="12"/>
      <c r="O10" s="172">
        <f>SUM(O7:O9)</f>
        <v>3345547921</v>
      </c>
      <c r="P10" s="173"/>
      <c r="Q10" s="172">
        <f>SUM(Q7:Q9)</f>
        <v>25564520324</v>
      </c>
      <c r="R10" s="12"/>
      <c r="S10" s="12"/>
      <c r="T10" s="12"/>
      <c r="U10" s="172">
        <f>SUM(U7:U9)</f>
        <v>25564520324</v>
      </c>
    </row>
    <row r="11" spans="2:29" ht="23.25" thickTop="1" x14ac:dyDescent="0.55000000000000004">
      <c r="K11" s="174"/>
      <c r="M11" s="175"/>
    </row>
    <row r="12" spans="2:29" x14ac:dyDescent="0.55000000000000004">
      <c r="O12" s="247"/>
      <c r="P12" s="269"/>
      <c r="Q12" s="247"/>
      <c r="R12" s="269"/>
      <c r="S12" s="269"/>
      <c r="T12" s="269"/>
      <c r="U12" s="247"/>
    </row>
    <row r="13" spans="2:29" x14ac:dyDescent="0.55000000000000004">
      <c r="K13" s="164"/>
      <c r="O13" s="247"/>
      <c r="P13" s="269"/>
      <c r="Q13" s="247"/>
      <c r="R13" s="269"/>
      <c r="S13" s="269"/>
      <c r="T13" s="269"/>
      <c r="U13" s="247"/>
    </row>
    <row r="14" spans="2:29" x14ac:dyDescent="0.55000000000000004">
      <c r="K14" s="164"/>
      <c r="O14" s="176"/>
      <c r="U14" s="164"/>
    </row>
    <row r="57" spans="18:18" ht="27.75" x14ac:dyDescent="0.55000000000000004">
      <c r="R57" s="150">
        <v>1783</v>
      </c>
    </row>
    <row r="74" spans="18:18" ht="27.75" x14ac:dyDescent="0.55000000000000004">
      <c r="R74" s="150">
        <v>2083</v>
      </c>
    </row>
  </sheetData>
  <mergeCells count="8">
    <mergeCell ref="B1:U1"/>
    <mergeCell ref="B4:G4"/>
    <mergeCell ref="C5:E5"/>
    <mergeCell ref="G5:J5"/>
    <mergeCell ref="Q5:U5"/>
    <mergeCell ref="B2:U2"/>
    <mergeCell ref="B3:U3"/>
    <mergeCell ref="K5:O5"/>
  </mergeCells>
  <printOptions horizontalCentered="1"/>
  <pageMargins left="0.7" right="0.7" top="0.75" bottom="0.75" header="0.3" footer="0.3"/>
  <pageSetup paperSize="9" scale="77" orientation="landscape" r:id="rId1"/>
  <headerFooter>
    <oddFooter>&amp;C&amp;P</oddFooter>
  </headerFooter>
  <colBreaks count="1" manualBreakCount="1">
    <brk id="21" max="1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B1:AC74"/>
  <sheetViews>
    <sheetView rightToLeft="1" view="pageBreakPreview" zoomScaleNormal="100" zoomScaleSheetLayoutView="100" workbookViewId="0">
      <selection activeCell="T82" sqref="T82"/>
    </sheetView>
  </sheetViews>
  <sheetFormatPr defaultColWidth="9.140625" defaultRowHeight="22.5" x14ac:dyDescent="0.55000000000000004"/>
  <cols>
    <col min="1" max="1" width="9.140625" style="1"/>
    <col min="2" max="2" width="39.5703125" style="1" customWidth="1"/>
    <col min="3" max="3" width="0.5703125" style="1" customWidth="1"/>
    <col min="4" max="4" width="29" style="1" hidden="1" customWidth="1"/>
    <col min="5" max="5" width="0.7109375" style="1" customWidth="1"/>
    <col min="6" max="6" width="22.42578125" style="1" customWidth="1"/>
    <col min="7" max="7" width="0.7109375" style="1" customWidth="1"/>
    <col min="8" max="8" width="16.85546875" style="1" customWidth="1"/>
    <col min="9" max="9" width="0.7109375" style="1" customWidth="1"/>
    <col min="10" max="10" width="24.5703125" style="1" customWidth="1"/>
    <col min="11" max="11" width="0.7109375" style="1" customWidth="1"/>
    <col min="12" max="12" width="20.7109375" style="1" customWidth="1"/>
    <col min="13" max="13" width="0.7109375" style="1" customWidth="1"/>
    <col min="14" max="16384" width="9.140625" style="1"/>
  </cols>
  <sheetData>
    <row r="1" spans="2:29" ht="24" x14ac:dyDescent="0.6">
      <c r="B1" s="335" t="str">
        <f>'سود اوراق بهادار و سپرده بانکی'!B1:U1</f>
        <v>صندوق سرمایه گذاری شاخص سی شرکت بزرگ فیروزه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</row>
    <row r="2" spans="2:29" ht="24" x14ac:dyDescent="0.6">
      <c r="B2" s="335" t="s">
        <v>87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</row>
    <row r="3" spans="2:29" ht="24" x14ac:dyDescent="0.6">
      <c r="B3" s="335" t="str">
        <f>' سهام'!B3:Z3</f>
        <v>برای ماه منتهی به 1404/10/30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</row>
    <row r="4" spans="2:29" ht="24" x14ac:dyDescent="0.55000000000000004">
      <c r="B4" s="337" t="s">
        <v>148</v>
      </c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AC4" s="1" t="s">
        <v>187</v>
      </c>
    </row>
    <row r="5" spans="2:29" ht="23.25" thickBot="1" x14ac:dyDescent="0.6">
      <c r="B5" s="29"/>
      <c r="C5" s="29"/>
      <c r="D5" s="29"/>
      <c r="F5" s="29"/>
      <c r="G5" s="29"/>
      <c r="H5" s="29"/>
      <c r="I5" s="29"/>
      <c r="J5" s="29"/>
      <c r="K5" s="29"/>
      <c r="L5" s="29"/>
      <c r="M5" s="29"/>
      <c r="AC5" s="1" t="s">
        <v>188</v>
      </c>
    </row>
    <row r="6" spans="2:29" ht="24.75" thickBot="1" x14ac:dyDescent="0.6">
      <c r="B6" s="401" t="s">
        <v>29</v>
      </c>
      <c r="C6" s="401"/>
      <c r="D6" s="401"/>
      <c r="E6" s="52"/>
      <c r="F6" s="402" t="str">
        <f>' سهام'!AC7</f>
        <v>طی دی ماه</v>
      </c>
      <c r="G6" s="402"/>
      <c r="H6" s="402"/>
      <c r="I6" s="402"/>
      <c r="J6" s="401" t="str">
        <f>' سهام'!AC8</f>
        <v>از ابتدای سال مالی تا پایان دی ماه</v>
      </c>
      <c r="K6" s="401"/>
      <c r="L6" s="401"/>
      <c r="M6" s="401"/>
      <c r="N6" s="161"/>
      <c r="AC6" s="1" t="s">
        <v>189</v>
      </c>
    </row>
    <row r="7" spans="2:29" ht="55.5" customHeight="1" x14ac:dyDescent="0.55000000000000004">
      <c r="B7" s="135" t="s">
        <v>26</v>
      </c>
      <c r="C7" s="52"/>
      <c r="D7" s="53"/>
      <c r="E7" s="53"/>
      <c r="F7" s="53" t="s">
        <v>27</v>
      </c>
      <c r="G7" s="52"/>
      <c r="H7" s="396" t="s">
        <v>28</v>
      </c>
      <c r="I7" s="52"/>
      <c r="J7" s="53" t="s">
        <v>27</v>
      </c>
      <c r="K7" s="52"/>
      <c r="L7" s="395" t="s">
        <v>28</v>
      </c>
      <c r="M7" s="52"/>
      <c r="N7" s="52"/>
      <c r="AC7" s="1" t="s">
        <v>190</v>
      </c>
    </row>
    <row r="8" spans="2:29" ht="24" customHeight="1" thickBot="1" x14ac:dyDescent="0.6">
      <c r="B8" s="53"/>
      <c r="C8" s="52"/>
      <c r="D8" s="53"/>
      <c r="E8" s="53"/>
      <c r="F8" s="110" t="s">
        <v>95</v>
      </c>
      <c r="G8" s="52"/>
      <c r="H8" s="387"/>
      <c r="I8" s="52"/>
      <c r="J8" s="110" t="s">
        <v>95</v>
      </c>
      <c r="K8" s="52"/>
      <c r="L8" s="387"/>
      <c r="M8" s="52"/>
      <c r="N8" s="52"/>
      <c r="AC8" s="1" t="s">
        <v>191</v>
      </c>
    </row>
    <row r="9" spans="2:29" ht="29.25" customHeight="1" x14ac:dyDescent="0.55000000000000004">
      <c r="B9" s="38" t="s">
        <v>199</v>
      </c>
      <c r="C9" s="38"/>
      <c r="D9" s="42"/>
      <c r="E9" s="42"/>
      <c r="F9" s="33">
        <v>182521</v>
      </c>
      <c r="G9" s="42"/>
      <c r="H9" s="129">
        <f>F9/H14</f>
        <v>3.5434931794926083E-3</v>
      </c>
      <c r="I9" s="42"/>
      <c r="J9" s="33">
        <v>478064</v>
      </c>
      <c r="K9" s="42"/>
      <c r="L9" s="129">
        <f>J9/درآمدها!F9</f>
        <v>8.8352308560299657E-8</v>
      </c>
      <c r="M9" s="42"/>
      <c r="N9" s="52"/>
    </row>
    <row r="10" spans="2:29" ht="29.25" customHeight="1" x14ac:dyDescent="0.55000000000000004">
      <c r="B10" s="38" t="s">
        <v>200</v>
      </c>
      <c r="C10" s="38"/>
      <c r="D10" s="42"/>
      <c r="E10" s="42"/>
      <c r="F10" s="33">
        <v>3345361257</v>
      </c>
      <c r="G10" s="42"/>
      <c r="H10" s="129">
        <f>H14/F10</f>
        <v>1.5397074649823029E-2</v>
      </c>
      <c r="I10" s="42"/>
      <c r="J10" s="33">
        <v>25564029881</v>
      </c>
      <c r="K10" s="42"/>
      <c r="L10" s="129">
        <f>J10/درآمدها!F9</f>
        <v>4.7245579171216251E-3</v>
      </c>
      <c r="M10" s="42"/>
      <c r="N10" s="52"/>
    </row>
    <row r="11" spans="2:29" ht="29.25" customHeight="1" thickBot="1" x14ac:dyDescent="0.6">
      <c r="B11" s="38" t="s">
        <v>253</v>
      </c>
      <c r="C11" s="38"/>
      <c r="D11" s="42"/>
      <c r="E11" s="42"/>
      <c r="F11" s="33">
        <v>4143</v>
      </c>
      <c r="G11" s="42"/>
      <c r="H11" s="129">
        <f>H15/F11</f>
        <v>0</v>
      </c>
      <c r="I11" s="42"/>
      <c r="J11" s="33">
        <v>12379</v>
      </c>
      <c r="K11" s="42"/>
      <c r="L11" s="129">
        <f>J11/درآمدها!F9</f>
        <v>2.2877966708807804E-9</v>
      </c>
      <c r="M11" s="42"/>
      <c r="N11" s="52"/>
    </row>
    <row r="12" spans="2:29" ht="23.25" thickBot="1" x14ac:dyDescent="0.6">
      <c r="B12" s="38" t="s">
        <v>7</v>
      </c>
      <c r="C12" s="52"/>
      <c r="E12" s="42"/>
      <c r="F12" s="35">
        <f>SUM(F9:F11)</f>
        <v>3345547921</v>
      </c>
      <c r="G12" s="89"/>
      <c r="H12" s="130">
        <f>SUM(H9:H11)</f>
        <v>1.8940567829315635E-2</v>
      </c>
      <c r="I12" s="52"/>
      <c r="J12" s="35">
        <f>SUM(J9:J11)</f>
        <v>25564520324</v>
      </c>
      <c r="K12" s="52"/>
      <c r="L12" s="130">
        <f>SUM(L9:L11)</f>
        <v>4.7246485572268564E-3</v>
      </c>
      <c r="M12" s="52"/>
      <c r="N12" s="52"/>
    </row>
    <row r="13" spans="2:29" ht="23.25" thickTop="1" x14ac:dyDescent="0.55000000000000004"/>
    <row r="14" spans="2:29" x14ac:dyDescent="0.55000000000000004">
      <c r="F14" s="293"/>
      <c r="H14" s="291">
        <v>51508777.004654802</v>
      </c>
      <c r="J14" s="247"/>
      <c r="L14" s="164"/>
    </row>
    <row r="15" spans="2:29" x14ac:dyDescent="0.55000000000000004">
      <c r="F15" s="292"/>
      <c r="G15" s="269"/>
      <c r="H15" s="269"/>
      <c r="I15" s="269"/>
      <c r="J15" s="247"/>
    </row>
    <row r="16" spans="2:29" x14ac:dyDescent="0.55000000000000004">
      <c r="F16" s="270"/>
      <c r="G16" s="269"/>
      <c r="H16" s="269"/>
      <c r="I16" s="269"/>
      <c r="J16" s="271"/>
      <c r="L16" s="93"/>
    </row>
    <row r="17" spans="10:10" x14ac:dyDescent="0.55000000000000004">
      <c r="J17" s="109"/>
    </row>
    <row r="57" spans="18:18" ht="27.75" x14ac:dyDescent="0.55000000000000004">
      <c r="R57" s="150">
        <v>1783</v>
      </c>
    </row>
    <row r="74" spans="18:18" ht="27.75" x14ac:dyDescent="0.55000000000000004">
      <c r="R74" s="150">
        <v>2083</v>
      </c>
    </row>
  </sheetData>
  <mergeCells count="9">
    <mergeCell ref="B1:M1"/>
    <mergeCell ref="B2:M2"/>
    <mergeCell ref="B3:M3"/>
    <mergeCell ref="H7:H8"/>
    <mergeCell ref="L7:L8"/>
    <mergeCell ref="B6:D6"/>
    <mergeCell ref="F6:I6"/>
    <mergeCell ref="B4:M4"/>
    <mergeCell ref="J6:M6"/>
  </mergeCells>
  <hyperlinks>
    <hyperlink ref="F8" location="'سود اوراق بهادار و سپرده بانکی'!A1" display="یادداشت 2-2-1" xr:uid="{00000000-0004-0000-0D00-000000000000}"/>
    <hyperlink ref="J8" location="'سود اوراق بهادار و سپرده بانکی'!A1" display="یادداشت 2-2-1" xr:uid="{00000000-0004-0000-0D00-000001000000}"/>
  </hyperlinks>
  <printOptions horizontalCentered="1"/>
  <pageMargins left="0.7" right="0.7" top="0.75" bottom="0.75" header="0.3" footer="0.3"/>
  <pageSetup paperSize="9" scale="95"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25A7-1E09-4A51-86EF-3320677359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pageSetUpPr fitToPage="1"/>
  </sheetPr>
  <dimension ref="A1:AC74"/>
  <sheetViews>
    <sheetView rightToLeft="1" view="pageBreakPreview" zoomScaleNormal="100" zoomScaleSheetLayoutView="100" workbookViewId="0">
      <selection activeCell="T82" sqref="T82"/>
    </sheetView>
  </sheetViews>
  <sheetFormatPr defaultColWidth="8.85546875" defaultRowHeight="24.75" x14ac:dyDescent="0.6"/>
  <cols>
    <col min="1" max="1" width="8.85546875" style="237"/>
    <col min="2" max="2" width="29.140625" style="237" customWidth="1"/>
    <col min="3" max="3" width="0.7109375" style="237" customWidth="1"/>
    <col min="4" max="4" width="20.7109375" style="237" bestFit="1" customWidth="1"/>
    <col min="5" max="5" width="0.42578125" style="237" customWidth="1"/>
    <col min="6" max="6" width="21.42578125" style="237" customWidth="1"/>
    <col min="7" max="16384" width="8.85546875" style="1"/>
  </cols>
  <sheetData>
    <row r="1" spans="2:29" ht="26.25" x14ac:dyDescent="0.65">
      <c r="B1" s="317" t="str">
        <f>'درآمد سپرده بانکی'!B1:M1</f>
        <v>صندوق سرمایه گذاری شاخص سی شرکت بزرگ فیروزه</v>
      </c>
      <c r="C1" s="317"/>
      <c r="D1" s="317"/>
      <c r="E1" s="317"/>
      <c r="F1" s="317"/>
    </row>
    <row r="2" spans="2:29" ht="26.25" x14ac:dyDescent="0.65">
      <c r="B2" s="317" t="s">
        <v>87</v>
      </c>
      <c r="C2" s="317"/>
      <c r="D2" s="317"/>
      <c r="E2" s="317"/>
      <c r="F2" s="317"/>
    </row>
    <row r="3" spans="2:29" ht="26.25" x14ac:dyDescent="0.65">
      <c r="B3" s="317" t="str">
        <f>' سهام'!AC6</f>
        <v>برای ماه منتهی به 1404/10/30</v>
      </c>
      <c r="C3" s="317"/>
      <c r="D3" s="317"/>
      <c r="E3" s="317"/>
      <c r="F3" s="317"/>
    </row>
    <row r="4" spans="2:29" ht="26.25" x14ac:dyDescent="0.6">
      <c r="B4" s="318" t="s">
        <v>40</v>
      </c>
      <c r="C4" s="318"/>
      <c r="D4" s="318"/>
      <c r="E4" s="318"/>
      <c r="F4" s="318"/>
      <c r="AC4" s="1" t="s">
        <v>187</v>
      </c>
    </row>
    <row r="5" spans="2:29" ht="79.5" thickBot="1" x14ac:dyDescent="0.65">
      <c r="B5" s="238"/>
      <c r="C5" s="239"/>
      <c r="D5" s="209" t="str">
        <f>' سهام'!AC7</f>
        <v>طی دی ماه</v>
      </c>
      <c r="E5" s="240"/>
      <c r="F5" s="209" t="str">
        <f>' سهام'!AC8</f>
        <v>از ابتدای سال مالی تا پایان دی ماه</v>
      </c>
      <c r="AC5" s="1" t="s">
        <v>188</v>
      </c>
    </row>
    <row r="6" spans="2:29" x14ac:dyDescent="0.6">
      <c r="B6" s="241" t="s">
        <v>41</v>
      </c>
      <c r="C6" s="240"/>
      <c r="D6" s="196">
        <v>237304</v>
      </c>
      <c r="E6" s="196"/>
      <c r="F6" s="196">
        <v>469268349</v>
      </c>
      <c r="AC6" s="1" t="s">
        <v>189</v>
      </c>
    </row>
    <row r="7" spans="2:29" x14ac:dyDescent="0.6">
      <c r="B7" s="242" t="s">
        <v>151</v>
      </c>
      <c r="C7" s="240"/>
      <c r="D7" s="196">
        <v>0</v>
      </c>
      <c r="E7" s="196"/>
      <c r="F7" s="196">
        <v>3757374794</v>
      </c>
    </row>
    <row r="8" spans="2:29" ht="25.5" thickBot="1" x14ac:dyDescent="0.65">
      <c r="B8" s="243"/>
      <c r="C8" s="240"/>
      <c r="D8" s="244">
        <f>SUM(D6:D7)</f>
        <v>237304</v>
      </c>
      <c r="E8" s="260"/>
      <c r="F8" s="244">
        <f>SUM(F6:F7)</f>
        <v>4226643143</v>
      </c>
    </row>
    <row r="9" spans="2:29" ht="25.5" thickTop="1" x14ac:dyDescent="0.6"/>
    <row r="10" spans="2:29" x14ac:dyDescent="0.6">
      <c r="D10" s="272"/>
      <c r="F10" s="273"/>
    </row>
    <row r="11" spans="2:29" x14ac:dyDescent="0.6">
      <c r="D11" s="272"/>
      <c r="E11" s="245"/>
      <c r="F11" s="272"/>
    </row>
    <row r="12" spans="2:29" x14ac:dyDescent="0.6">
      <c r="D12" s="277"/>
    </row>
    <row r="15" spans="2:29" x14ac:dyDescent="0.6">
      <c r="L15" s="109"/>
    </row>
    <row r="57" spans="18:18" ht="27.75" x14ac:dyDescent="0.6">
      <c r="R57" s="150">
        <v>1783</v>
      </c>
    </row>
    <row r="74" spans="18:18" ht="27.75" x14ac:dyDescent="0.6">
      <c r="R74" s="150">
        <v>2083</v>
      </c>
    </row>
  </sheetData>
  <mergeCells count="4">
    <mergeCell ref="B1:F1"/>
    <mergeCell ref="B2:F2"/>
    <mergeCell ref="B3:F3"/>
    <mergeCell ref="B4:F4"/>
  </mergeCells>
  <printOptions horizontalCentered="1"/>
  <pageMargins left="0.7" right="0.7" top="0.75" bottom="0.75" header="0.3" footer="0.3"/>
  <pageSetup paperSize="9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15</vt:i4>
      </vt:variant>
    </vt:vector>
  </HeadingPairs>
  <TitlesOfParts>
    <vt:vector size="31" baseType="lpstr">
      <vt:lpstr> سهام</vt:lpstr>
      <vt:lpstr>اوراق تبعی</vt:lpstr>
      <vt:lpstr>تعدیل قیمت</vt:lpstr>
      <vt:lpstr>گواهی سپرده</vt:lpstr>
      <vt:lpstr>اوراق</vt:lpstr>
      <vt:lpstr>سپرده</vt:lpstr>
      <vt:lpstr>درآمدها</vt:lpstr>
      <vt:lpstr>درآمد سرمایه گذاری در سهام </vt:lpstr>
      <vt:lpstr>درآمد سود سهام</vt:lpstr>
      <vt:lpstr>درآمد ناشی از تغییر قیمت اوراق </vt:lpstr>
      <vt:lpstr>درآمد ناشی ازفروش</vt:lpstr>
      <vt:lpstr>درآمد سرمایه گذاری در اوراق بها</vt:lpstr>
      <vt:lpstr>سود اوراق بهادار و سپرده بانکی</vt:lpstr>
      <vt:lpstr>درآمد سپرده بانکی</vt:lpstr>
      <vt:lpstr>Sheet1</vt:lpstr>
      <vt:lpstr>سایر درآمدها</vt:lpstr>
      <vt:lpstr>' سهام'!Print_Area</vt:lpstr>
      <vt:lpstr>اوراق!Print_Area</vt:lpstr>
      <vt:lpstr>'اوراق تبعی'!Print_Area</vt:lpstr>
      <vt:lpstr>'تعدیل قیمت'!Print_Area</vt:lpstr>
      <vt:lpstr>'درآمد سپرده بانکی'!Print_Area</vt:lpstr>
      <vt:lpstr>'درآمد سرمایه گذاری در اوراق بها'!Print_Area</vt:lpstr>
      <vt:lpstr>'درآمد سرمایه گذاری در سهام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 و سپرده بانکی'!Print_Area</vt:lpstr>
      <vt:lpstr>'گواهی سپرده'!Print_Area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Mania Ghadir Panah</cp:lastModifiedBy>
  <cp:lastPrinted>2026-01-28T06:36:44Z</cp:lastPrinted>
  <dcterms:created xsi:type="dcterms:W3CDTF">2017-11-22T14:26:20Z</dcterms:created>
  <dcterms:modified xsi:type="dcterms:W3CDTF">2026-01-28T06:38:22Z</dcterms:modified>
</cp:coreProperties>
</file>