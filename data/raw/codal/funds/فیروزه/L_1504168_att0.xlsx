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1-Investment Funds\Firouzeh 30\4- گزارش پرتفو ماهانه\1404\اسفند\"/>
    </mc:Choice>
  </mc:AlternateContent>
  <xr:revisionPtr revIDLastSave="0" documentId="13_ncr:1_{4BF27E11-61AB-4676-AB94-E536B5ED085B}" xr6:coauthVersionLast="47" xr6:coauthVersionMax="47" xr10:uidLastSave="{00000000-0000-0000-0000-000000000000}"/>
  <bookViews>
    <workbookView xWindow="-110" yWindow="-110" windowWidth="19420" windowHeight="10420" tabRatio="778" firstSheet="9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درآمد سرمایه گذاری در سهام " sheetId="5" r:id="rId8"/>
    <sheet name="درآمد سود سهام" sheetId="12" r:id="rId9"/>
    <sheet name="درآمد ناشی از تغییر قیمت اوراق " sheetId="14" r:id="rId10"/>
    <sheet name="درآمد ناشی ازفروش" sheetId="15" r:id="rId11"/>
    <sheet name="درآمد سرمایه گذاری در اوراق بها" sheetId="6" state="hidden" r:id="rId12"/>
    <sheet name="سود اوراق بهادار و سپرده بانکی" sheetId="13" r:id="rId13"/>
    <sheet name="درآمد سپرده بانکی" sheetId="7" r:id="rId14"/>
    <sheet name="Sheet1" sheetId="16" state="hidden" r:id="rId15"/>
    <sheet name="سایر درآمدها" sheetId="8" r:id="rId16"/>
  </sheets>
  <definedNames>
    <definedName name="_xlnm._FilterDatabase" localSheetId="7" hidden="1">'درآمد سرمایه گذاری در سهام '!#REF!</definedName>
    <definedName name="_xlnm._FilterDatabase" localSheetId="8" hidden="1">'درآمد سود سهام'!$V$6:$W$6</definedName>
    <definedName name="_xlnm._FilterDatabase" localSheetId="9" hidden="1">'درآمد ناشی از تغییر قیمت اوراق '!$B$6:$Z$70</definedName>
    <definedName name="_xlnm.Print_Area" localSheetId="0">' سهام'!$A$1:$Z$71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13">'درآمد سپرده بانکی'!$A$1:$M$14</definedName>
    <definedName name="_xlnm.Print_Area" localSheetId="11">'درآمد سرمایه گذاری در اوراق بها'!$A$1:$S$12</definedName>
    <definedName name="_xlnm.Print_Area" localSheetId="7">'درآمد سرمایه گذاری در سهام '!$A$1:$V$138</definedName>
    <definedName name="_xlnm.Print_Area" localSheetId="8">'درآمد سود سهام'!$A$1:$U$58</definedName>
    <definedName name="_xlnm.Print_Area" localSheetId="9">'درآمد ناشی از تغییر قیمت اوراق '!$A$1:$R$69</definedName>
    <definedName name="_xlnm.Print_Area" localSheetId="10">'درآمد ناشی ازفروش'!$A$1:$R$119</definedName>
    <definedName name="_xlnm.Print_Area" localSheetId="6">درآمدها!$A$1:$J$11</definedName>
    <definedName name="_xlnm.Print_Area" localSheetId="15">'سایر درآمدها'!$A$1:$F$9</definedName>
    <definedName name="_xlnm.Print_Area" localSheetId="5">سپرده!$A$1:$R$17</definedName>
    <definedName name="_xlnm.Print_Area" localSheetId="12">'سود اوراق بهادار و سپرده بانکی'!$A$1:$U$12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7" l="1"/>
  <c r="J16" i="7"/>
  <c r="I71" i="1" l="1"/>
  <c r="Z67" i="1"/>
  <c r="N49" i="1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96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96" i="5"/>
  <c r="T55" i="12"/>
  <c r="Z14" i="1"/>
  <c r="D45" i="5"/>
  <c r="T50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1" i="12"/>
  <c r="T52" i="12"/>
  <c r="T53" i="12"/>
  <c r="T54" i="12"/>
  <c r="T56" i="12"/>
  <c r="T7" i="12"/>
  <c r="H9" i="7"/>
  <c r="H11" i="7"/>
  <c r="U9" i="13"/>
  <c r="O9" i="13"/>
  <c r="L133" i="5"/>
  <c r="L134" i="5"/>
  <c r="L136" i="5"/>
  <c r="L137" i="5"/>
  <c r="F38" i="14" l="1"/>
  <c r="F43" i="14" s="1"/>
  <c r="D38" i="14"/>
  <c r="D43" i="14" s="1"/>
  <c r="J16" i="2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X41" i="5" s="1"/>
  <c r="J42" i="5"/>
  <c r="L42" i="5" s="1"/>
  <c r="J43" i="5"/>
  <c r="L43" i="5" s="1"/>
  <c r="J44" i="5"/>
  <c r="L44" i="5" s="1"/>
  <c r="L83" i="5"/>
  <c r="L84" i="5"/>
  <c r="L85" i="5"/>
  <c r="R14" i="2"/>
  <c r="N45" i="5"/>
  <c r="P57" i="12"/>
  <c r="L81" i="5"/>
  <c r="L82" i="5"/>
  <c r="R15" i="2"/>
  <c r="R13" i="2"/>
  <c r="E49" i="1"/>
  <c r="Z70" i="1"/>
  <c r="Z9" i="1"/>
  <c r="X49" i="1"/>
  <c r="X56" i="1" s="1"/>
  <c r="X71" i="1" s="1"/>
  <c r="V49" i="1"/>
  <c r="V56" i="1" s="1"/>
  <c r="V71" i="1" s="1"/>
  <c r="T49" i="1"/>
  <c r="T56" i="1" s="1"/>
  <c r="T71" i="1" s="1"/>
  <c r="R49" i="1"/>
  <c r="R56" i="1" s="1"/>
  <c r="R71" i="1" s="1"/>
  <c r="P49" i="1"/>
  <c r="P56" i="1" s="1"/>
  <c r="P71" i="1" s="1"/>
  <c r="N56" i="1"/>
  <c r="N71" i="1" s="1"/>
  <c r="L49" i="1"/>
  <c r="L56" i="1" s="1"/>
  <c r="L71" i="1" s="1"/>
  <c r="J49" i="1"/>
  <c r="J56" i="1" s="1"/>
  <c r="J71" i="1" s="1"/>
  <c r="H49" i="1"/>
  <c r="H56" i="1" s="1"/>
  <c r="H71" i="1" s="1"/>
  <c r="F49" i="1"/>
  <c r="F56" i="1" s="1"/>
  <c r="F71" i="1" s="1"/>
  <c r="D49" i="1"/>
  <c r="D56" i="1" s="1"/>
  <c r="D71" i="1" s="1"/>
  <c r="Y49" i="1"/>
  <c r="W49" i="1"/>
  <c r="U49" i="1"/>
  <c r="S49" i="1"/>
  <c r="Q49" i="1"/>
  <c r="O49" i="1"/>
  <c r="M49" i="1"/>
  <c r="K49" i="1"/>
  <c r="G49" i="1"/>
  <c r="H10" i="7" l="1"/>
  <c r="H12" i="7"/>
  <c r="H13" i="7" l="1"/>
  <c r="F13" i="7"/>
  <c r="J38" i="14" l="1"/>
  <c r="N53" i="5"/>
  <c r="J43" i="14" l="1"/>
  <c r="J67" i="14" s="1"/>
  <c r="N87" i="5"/>
  <c r="T57" i="12"/>
  <c r="C147" i="5"/>
  <c r="O8" i="13"/>
  <c r="O10" i="13"/>
  <c r="O7" i="13"/>
  <c r="U7" i="13"/>
  <c r="U8" i="13"/>
  <c r="R11" i="2"/>
  <c r="R12" i="2"/>
  <c r="D8" i="8"/>
  <c r="N95" i="5" l="1"/>
  <c r="N138" i="5" s="1"/>
  <c r="R59" i="15"/>
  <c r="R64" i="15" s="1"/>
  <c r="R119" i="15" s="1"/>
  <c r="J11" i="5"/>
  <c r="L11" i="5" s="1"/>
  <c r="L45" i="5" s="1"/>
  <c r="D53" i="5"/>
  <c r="Z68" i="1"/>
  <c r="Z69" i="1"/>
  <c r="A2" i="11"/>
  <c r="J57" i="12"/>
  <c r="L79" i="5"/>
  <c r="B3" i="14"/>
  <c r="H38" i="14"/>
  <c r="R45" i="5"/>
  <c r="R53" i="5" s="1"/>
  <c r="P45" i="5"/>
  <c r="H45" i="5"/>
  <c r="F45" i="5"/>
  <c r="R9" i="2"/>
  <c r="R10" i="2"/>
  <c r="Z64" i="1"/>
  <c r="Z65" i="1"/>
  <c r="Z66" i="1"/>
  <c r="D87" i="5" l="1"/>
  <c r="D95" i="5" s="1"/>
  <c r="D138" i="5" s="1"/>
  <c r="H43" i="14"/>
  <c r="H67" i="14" s="1"/>
  <c r="E71" i="1"/>
  <c r="G71" i="1"/>
  <c r="K71" i="1"/>
  <c r="M71" i="1"/>
  <c r="O71" i="1"/>
  <c r="Q71" i="1"/>
  <c r="S71" i="1"/>
  <c r="U71" i="1"/>
  <c r="W71" i="1"/>
  <c r="Y71" i="1"/>
  <c r="P59" i="15" l="1"/>
  <c r="P64" i="15" s="1"/>
  <c r="P119" i="15" s="1"/>
  <c r="N59" i="15"/>
  <c r="L59" i="15"/>
  <c r="H59" i="15"/>
  <c r="H64" i="15" s="1"/>
  <c r="H119" i="15" s="1"/>
  <c r="F59" i="15"/>
  <c r="F64" i="15" s="1"/>
  <c r="F119" i="15" s="1"/>
  <c r="D59" i="15"/>
  <c r="D64" i="15" s="1"/>
  <c r="D119" i="15" s="1"/>
  <c r="P38" i="14"/>
  <c r="P43" i="14" s="1"/>
  <c r="N38" i="14"/>
  <c r="N43" i="14" s="1"/>
  <c r="L38" i="14"/>
  <c r="L43" i="14" s="1"/>
  <c r="F67" i="14"/>
  <c r="H70" i="14" s="1"/>
  <c r="D67" i="14"/>
  <c r="R87" i="5"/>
  <c r="P53" i="5"/>
  <c r="H53" i="5"/>
  <c r="H87" i="5" s="1"/>
  <c r="F53" i="5"/>
  <c r="F87" i="5" l="1"/>
  <c r="J53" i="5"/>
  <c r="P87" i="5"/>
  <c r="T53" i="5"/>
  <c r="N57" i="12"/>
  <c r="J45" i="5"/>
  <c r="L64" i="15"/>
  <c r="L119" i="15" s="1"/>
  <c r="N64" i="15"/>
  <c r="N119" i="15" s="1"/>
  <c r="L67" i="14"/>
  <c r="N67" i="14"/>
  <c r="P67" i="14"/>
  <c r="L96" i="5" l="1"/>
  <c r="L57" i="12"/>
  <c r="R57" i="12"/>
  <c r="L54" i="5" l="1"/>
  <c r="L55" i="5"/>
  <c r="L56" i="5"/>
  <c r="Z35" i="1"/>
  <c r="Z34" i="1"/>
  <c r="Z33" i="1"/>
  <c r="Z32" i="1"/>
  <c r="Z31" i="1"/>
  <c r="Z30" i="1"/>
  <c r="Z29" i="1"/>
  <c r="Z28" i="1"/>
  <c r="F8" i="8"/>
  <c r="Q11" i="13"/>
  <c r="F57" i="12"/>
  <c r="L71" i="5"/>
  <c r="L72" i="5"/>
  <c r="L73" i="5"/>
  <c r="L74" i="5"/>
  <c r="L75" i="5"/>
  <c r="L76" i="5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59" i="1"/>
  <c r="Z60" i="1"/>
  <c r="Z61" i="1"/>
  <c r="Z62" i="1"/>
  <c r="Z63" i="1"/>
  <c r="J13" i="7"/>
  <c r="K11" i="13"/>
  <c r="Z49" i="1" l="1"/>
  <c r="Z56" i="1" s="1"/>
  <c r="Z71" i="1" s="1"/>
  <c r="F7" i="11"/>
  <c r="P95" i="5"/>
  <c r="F95" i="5"/>
  <c r="F138" i="5" s="1"/>
  <c r="R95" i="5"/>
  <c r="H95" i="5"/>
  <c r="H7" i="11" l="1"/>
  <c r="J7" i="11"/>
  <c r="R138" i="5"/>
  <c r="P138" i="5"/>
  <c r="H138" i="5"/>
  <c r="L16" i="2"/>
  <c r="N16" i="2"/>
  <c r="P16" i="2"/>
  <c r="U10" i="13"/>
  <c r="T11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7" i="5"/>
  <c r="L78" i="5"/>
  <c r="L80" i="5"/>
  <c r="L86" i="5"/>
  <c r="T45" i="5" l="1"/>
  <c r="C148" i="5"/>
  <c r="J87" i="5"/>
  <c r="R38" i="14"/>
  <c r="R43" i="14" s="1"/>
  <c r="R67" i="14" s="1"/>
  <c r="J59" i="15"/>
  <c r="J64" i="15" s="1"/>
  <c r="J119" i="15" s="1"/>
  <c r="O11" i="13"/>
  <c r="U11" i="13"/>
  <c r="R16" i="2"/>
  <c r="T87" i="5" l="1"/>
  <c r="L53" i="5"/>
  <c r="L87" i="5" s="1"/>
  <c r="J95" i="5"/>
  <c r="J138" i="5" s="1"/>
  <c r="B3" i="1"/>
  <c r="T95" i="5" l="1"/>
  <c r="R6" i="1"/>
  <c r="R53" i="1" s="1"/>
  <c r="T138" i="5" l="1"/>
  <c r="T139" i="5" s="1"/>
  <c r="L95" i="5"/>
  <c r="L138" i="5" s="1"/>
  <c r="S10" i="6"/>
  <c r="F6" i="11" l="1"/>
  <c r="D6" i="1"/>
  <c r="D53" i="1" s="1"/>
  <c r="D5" i="8"/>
  <c r="J6" i="11" l="1"/>
  <c r="H6" i="1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62" i="15" s="1"/>
  <c r="D5" i="15"/>
  <c r="D62" i="15" s="1"/>
  <c r="B3" i="15"/>
  <c r="D5" i="14"/>
  <c r="D41" i="14" s="1"/>
  <c r="J5" i="12"/>
  <c r="B3" i="12"/>
  <c r="N7" i="5"/>
  <c r="N49" i="5" s="1"/>
  <c r="D7" i="5"/>
  <c r="D49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D91" i="5" l="1"/>
  <c r="N91" i="5"/>
  <c r="G11" i="6"/>
  <c r="I11" i="6"/>
  <c r="O11" i="6"/>
  <c r="Q11" i="6"/>
  <c r="M11" i="6" l="1"/>
  <c r="C11" i="6"/>
  <c r="N9" i="9" l="1"/>
  <c r="L9" i="9"/>
  <c r="F9" i="9"/>
  <c r="D9" i="9"/>
  <c r="F8" i="11" l="1"/>
  <c r="H8" i="11" l="1"/>
  <c r="F9" i="11"/>
  <c r="J8" i="11"/>
  <c r="V135" i="5"/>
  <c r="B1" i="5"/>
  <c r="L11" i="7" l="1"/>
  <c r="L10" i="7"/>
  <c r="L9" i="7"/>
  <c r="L12" i="7"/>
  <c r="V133" i="5"/>
  <c r="V134" i="5"/>
  <c r="V136" i="5"/>
  <c r="V137" i="5"/>
  <c r="V12" i="5"/>
  <c r="V131" i="5"/>
  <c r="V20" i="5"/>
  <c r="V86" i="5"/>
  <c r="V31" i="5"/>
  <c r="V79" i="5"/>
  <c r="V39" i="5"/>
  <c r="V43" i="5"/>
  <c r="V76" i="5"/>
  <c r="V22" i="5"/>
  <c r="V83" i="5"/>
  <c r="V107" i="5"/>
  <c r="V62" i="5"/>
  <c r="V58" i="5"/>
  <c r="V67" i="5"/>
  <c r="V27" i="5"/>
  <c r="V70" i="5"/>
  <c r="V130" i="5"/>
  <c r="V85" i="5"/>
  <c r="V59" i="5"/>
  <c r="V116" i="5"/>
  <c r="V57" i="5"/>
  <c r="V55" i="5"/>
  <c r="V15" i="5"/>
  <c r="V112" i="5"/>
  <c r="V106" i="5"/>
  <c r="V73" i="5"/>
  <c r="V125" i="5"/>
  <c r="V37" i="5"/>
  <c r="V33" i="5"/>
  <c r="V41" i="5"/>
  <c r="V121" i="5"/>
  <c r="V78" i="5"/>
  <c r="V42" i="5"/>
  <c r="V61" i="5"/>
  <c r="V101" i="5"/>
  <c r="V29" i="5"/>
  <c r="V81" i="5"/>
  <c r="V127" i="5"/>
  <c r="V23" i="5"/>
  <c r="V123" i="5"/>
  <c r="V69" i="5"/>
  <c r="V28" i="5"/>
  <c r="V104" i="5"/>
  <c r="V77" i="5"/>
  <c r="V71" i="5"/>
  <c r="V16" i="5"/>
  <c r="V44" i="5"/>
  <c r="V96" i="5"/>
  <c r="V24" i="5"/>
  <c r="V13" i="5"/>
  <c r="V21" i="5"/>
  <c r="V109" i="5"/>
  <c r="V66" i="5"/>
  <c r="V75" i="5"/>
  <c r="V108" i="5"/>
  <c r="V65" i="5"/>
  <c r="V63" i="5"/>
  <c r="V113" i="5"/>
  <c r="V26" i="5"/>
  <c r="V117" i="5"/>
  <c r="V102" i="5"/>
  <c r="V68" i="5"/>
  <c r="V100" i="5"/>
  <c r="V35" i="5"/>
  <c r="V110" i="5"/>
  <c r="V25" i="5"/>
  <c r="V82" i="5"/>
  <c r="V64" i="5"/>
  <c r="V84" i="5"/>
  <c r="V80" i="5"/>
  <c r="V97" i="5"/>
  <c r="V132" i="5"/>
  <c r="V111" i="5"/>
  <c r="V129" i="5"/>
  <c r="V115" i="5"/>
  <c r="V124" i="5"/>
  <c r="V118" i="5"/>
  <c r="V72" i="5"/>
  <c r="V56" i="5"/>
  <c r="V19" i="5"/>
  <c r="V120" i="5"/>
  <c r="V38" i="5"/>
  <c r="V105" i="5"/>
  <c r="V103" i="5"/>
  <c r="V18" i="5"/>
  <c r="V36" i="5"/>
  <c r="V60" i="5"/>
  <c r="V122" i="5"/>
  <c r="V30" i="5"/>
  <c r="V14" i="5"/>
  <c r="V126" i="5"/>
  <c r="V98" i="5"/>
  <c r="V32" i="5"/>
  <c r="V74" i="5"/>
  <c r="V99" i="5"/>
  <c r="V114" i="5"/>
  <c r="V40" i="5"/>
  <c r="V17" i="5"/>
  <c r="V119" i="5"/>
  <c r="V128" i="5"/>
  <c r="V34" i="5"/>
  <c r="V54" i="5"/>
  <c r="V11" i="5"/>
  <c r="B1" i="3"/>
  <c r="A1" i="4" s="1"/>
  <c r="A1" i="10" s="1"/>
  <c r="B1" i="9"/>
  <c r="V45" i="5" l="1"/>
  <c r="V53" i="5" s="1"/>
  <c r="V87" i="5" s="1"/>
  <c r="V95" i="5" s="1"/>
  <c r="V138" i="5" s="1"/>
  <c r="L13" i="7"/>
  <c r="H9" i="11"/>
  <c r="J9" i="11"/>
  <c r="B1" i="12"/>
  <c r="B1" i="13" s="1"/>
  <c r="B1" i="7" s="1"/>
  <c r="B1" i="8" l="1"/>
  <c r="B1" i="15"/>
  <c r="B1" i="14" l="1"/>
</calcChain>
</file>

<file path=xl/sharedStrings.xml><?xml version="1.0" encoding="utf-8"?>
<sst xmlns="http://schemas.openxmlformats.org/spreadsheetml/2006/main" count="881" uniqueCount="292">
  <si>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</si>
  <si>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</si>
  <si>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</si>
  <si>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</si>
  <si>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</si>
  <si>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</si>
  <si>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</si>
  <si>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</si>
  <si>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</si>
  <si>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</si>
  <si>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</si>
  <si>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</si>
  <si>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</si>
  <si>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</si>
  <si>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</si>
  <si>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</si>
  <si>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</si>
  <si>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</si>
  <si>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</si>
  <si>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</si>
  <si>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</si>
  <si>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</si>
  <si>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</si>
  <si>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</si>
  <si>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</si>
  <si>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</si>
  <si>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</si>
  <si>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</si>
  <si>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</si>
  <si>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</si>
  <si>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</si>
  <si>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</si>
  <si>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</si>
  <si>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</si>
  <si>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</si>
  <si>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</si>
  <si>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</si>
  <si>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</si>
  <si>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</si>
  <si>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</si>
  <si>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</si>
  <si>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</si>
  <si>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</si>
  <si>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</si>
  <si>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</si>
  <si>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</si>
  <si>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</si>
  <si>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</si>
  <si>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</si>
  <si>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</si>
  <si>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</si>
  <si>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</si>
  <si>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</si>
  <si>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</si>
  <si>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</si>
  <si>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</si>
  <si>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</si>
  <si>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</si>
  <si>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</si>
  <si>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</si>
  <si>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</si>
  <si>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</si>
  <si>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</si>
  <si>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</si>
  <si>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</si>
  <si>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</si>
  <si>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</si>
  <si>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</si>
  <si>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</si>
  <si>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</si>
  <si>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</si>
  <si>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</si>
  <si>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</si>
  <si>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</si>
  <si>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</si>
  <si>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</si>
  <si>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</si>
  <si>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</si>
  <si>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</si>
  <si>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</si>
  <si>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</si>
  <si>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</si>
  <si>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</si>
  <si>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</si>
  <si>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</si>
  <si>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</si>
  <si>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</si>
  <si>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</si>
  <si>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</si>
  <si>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</si>
  <si>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</si>
  <si>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</si>
  <si>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</si>
  <si>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</si>
  <si>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</si>
  <si>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</si>
  <si>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</si>
  <si>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</si>
  <si>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</si>
  <si>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</si>
  <si>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</si>
  <si>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</si>
  <si>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</si>
  <si>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</si>
  <si>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</si>
  <si>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فولاد  خوزستان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</si>
  <si>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</si>
  <si>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</si>
  <si>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</si>
  <si>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</si>
  <si>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</si>
  <si>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</si>
  <si>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</si>
  <si>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</si>
  <si>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</si>
  <si>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</si>
  <si>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</si>
  <si>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</si>
  <si>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</si>
  <si>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</si>
  <si>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</si>
  <si>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</si>
  <si>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</si>
  <si>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</si>
  <si>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</si>
  <si>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</si>
  <si>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</si>
  <si>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</si>
  <si>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</si>
  <si>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</si>
  <si>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</si>
  <si>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</si>
  <si>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</si>
  <si>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</si>
  <si>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</si>
  <si>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</si>
  <si>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</si>
  <si>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</si>
  <si>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</si>
  <si>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</si>
  <si>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</si>
  <si>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</si>
  <si>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گروه‌بهمن‌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</si>
  <si>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</si>
  <si>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</si>
  <si>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</si>
  <si>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</si>
  <si>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</si>
  <si>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</si>
  <si>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کویر تایر</t>
  </si>
  <si>
    <t>گروه مدیریت سرمایه گذاری امید</t>
  </si>
  <si>
    <t>تعدیل کارمزد کارگزار</t>
  </si>
  <si>
    <t>ح . معدنی و صنعتی گل گهر</t>
  </si>
  <si>
    <t>ح . معدنی‌وصنعتی‌چادرملو</t>
  </si>
  <si>
    <t>درصد از کل درآمدها</t>
  </si>
  <si>
    <t>2-2-درآمد حاصل از سرمایه گذاری در اوراق بهادار با درآمد ثابت:</t>
  </si>
  <si>
    <t>نورایستا پلاستیک</t>
  </si>
  <si>
    <t>بیمه اتکایی ایران معین</t>
  </si>
  <si>
    <t>تولیدی برنا باطری</t>
  </si>
  <si>
    <t>کانی کربن طبس</t>
  </si>
  <si>
    <t>فجر انرژی خلیج فارس</t>
  </si>
  <si>
    <t>توسعه نیشکر و  صنایع جانبی</t>
  </si>
  <si>
    <t>مدیریت نیروگاهی ایرانیان مپنا</t>
  </si>
  <si>
    <t>صنایع ارتباطی آوا</t>
  </si>
  <si>
    <t>فروشگاههای زنجیره ای افق کوروش</t>
  </si>
  <si>
    <t>ایمن خودرو شرق</t>
  </si>
  <si>
    <t>اخشان خراسان</t>
  </si>
  <si>
    <t>تولید انرژی برق شمس پاسارگاد</t>
  </si>
  <si>
    <t>معدنکاران نسوز</t>
  </si>
  <si>
    <t>س. صنایع‌شیمیایی‌ایران</t>
  </si>
  <si>
    <t>مهرمام میهن</t>
  </si>
  <si>
    <t>صنایع مس افق کرمان</t>
  </si>
  <si>
    <t>سیمان‌ شرق‌</t>
  </si>
  <si>
    <t>گسترش‌سرمایه‌گذاری‌ایران‌خودرو</t>
  </si>
  <si>
    <t>پتروشیمی مارون</t>
  </si>
  <si>
    <t>صنعتی مینو</t>
  </si>
  <si>
    <t>آلومینای ایران</t>
  </si>
  <si>
    <t>شهد ایران ‌</t>
  </si>
  <si>
    <t>بانک صادرات ایران</t>
  </si>
  <si>
    <t>اقتصادی و خودکفایی آزادگان</t>
  </si>
  <si>
    <t>سرمایه گذاری سبحان</t>
  </si>
  <si>
    <t>کشت و دام گلدشت نمونه اصفهان</t>
  </si>
  <si>
    <t>گروه س توسعه صنعتی ایران</t>
  </si>
  <si>
    <t>تولیدات پتروشیمی قائد بصیر</t>
  </si>
  <si>
    <t>شرکت قند بیستون</t>
  </si>
  <si>
    <t>سرمایه گذاری پایا تدبیرپارسا</t>
  </si>
  <si>
    <t>سیمان‌ تهران‌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</si>
  <si>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</si>
  <si>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</si>
  <si>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</si>
  <si>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</si>
  <si>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</si>
  <si>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</si>
  <si>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جنرال مکانیک</t>
  </si>
  <si>
    <t>ح .بیمه ایران - معین</t>
  </si>
  <si>
    <t>سرمایه‌گذاری‌نیرو</t>
  </si>
  <si>
    <t>شیر و گوشت زاگرس شهرکرد</t>
  </si>
  <si>
    <t>پویا</t>
  </si>
  <si>
    <t>توسعه سرمایه و صنعت غدیر</t>
  </si>
  <si>
    <t>سپرده کوتاه مدت بانک خاورمیانه مهستان</t>
  </si>
  <si>
    <t>سپرده کوتاه مدت بانک گردشگری سعادت آباد</t>
  </si>
  <si>
    <t>بانک خاورمیانه</t>
  </si>
  <si>
    <t>سرمایه گذاری جامی</t>
  </si>
  <si>
    <t>1404/02/30</t>
  </si>
  <si>
    <t>1404/03/25</t>
  </si>
  <si>
    <t>1404/03/06</t>
  </si>
  <si>
    <t>سود اوراق بهادار با درآمد ثابت و سپرده بانکی</t>
  </si>
  <si>
    <t>1404/04/31</t>
  </si>
  <si>
    <t>1404/04/22</t>
  </si>
  <si>
    <t>1404/04/29</t>
  </si>
  <si>
    <t>1404/04/28</t>
  </si>
  <si>
    <t>1404/04/30</t>
  </si>
  <si>
    <t>1404/04/23</t>
  </si>
  <si>
    <t>1404/04/18</t>
  </si>
  <si>
    <t>1404/04/25</t>
  </si>
  <si>
    <t>1404/04/21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</si>
  <si>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</si>
  <si>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</si>
  <si>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</si>
  <si>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</si>
  <si>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</si>
  <si>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</si>
  <si>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</si>
  <si>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</si>
  <si>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1404/05/12</t>
  </si>
  <si>
    <t>1404/05/11</t>
  </si>
  <si>
    <t>1404/05/13</t>
  </si>
  <si>
    <t>1404/05/08</t>
  </si>
  <si>
    <t>1404/05/07</t>
  </si>
  <si>
    <t>1404/05/09</t>
  </si>
  <si>
    <t>1404/06/31</t>
  </si>
  <si>
    <t>برای ماه منتهی به 1404/06/31</t>
  </si>
  <si>
    <t>سیمان باقران</t>
  </si>
  <si>
    <t>گواهی سپرده کالایی شمش طلا غیرفعال</t>
  </si>
  <si>
    <t>1404/06/23</t>
  </si>
  <si>
    <t>1404/06/26</t>
  </si>
  <si>
    <t>1404/06/17</t>
  </si>
  <si>
    <t>کشتیرانی دریای خزر</t>
  </si>
  <si>
    <t>سرمایه‌ گذاری‌ آتیه‌ دماوند</t>
  </si>
  <si>
    <t>سرمایه گذاری توسعه گوهران امید</t>
  </si>
  <si>
    <t>ایران‌ ترانسفو</t>
  </si>
  <si>
    <t>تایدواترخاورمیانه</t>
  </si>
  <si>
    <t>گروه مالی صبا تامین</t>
  </si>
  <si>
    <t>1404/07/30</t>
  </si>
  <si>
    <t>برای ماه منتهی به 1404/07/30</t>
  </si>
  <si>
    <t>از ابتدای سال مالی تا پایان مهر ماه</t>
  </si>
  <si>
    <t>1404/07/20</t>
  </si>
  <si>
    <t>1404/07/15</t>
  </si>
  <si>
    <t>1404/07/08</t>
  </si>
  <si>
    <t>طی مهر  ماه</t>
  </si>
  <si>
    <t>ح.کشت و دام گلدشت نمونه اصفهان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</si>
  <si>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</si>
  <si>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</si>
  <si>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</si>
  <si>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شمش طلا GoldBar</t>
  </si>
  <si>
    <t>1404/08/18</t>
  </si>
  <si>
    <t>1404/08/01</t>
  </si>
  <si>
    <t>ایران خودرو دیزل</t>
  </si>
  <si>
    <t>توسعه خدمات دریایی وبندری سینا</t>
  </si>
  <si>
    <t>کیمیا کالای رازی</t>
  </si>
  <si>
    <t>گروه مالی نماد غدیر(سهامی عام)</t>
  </si>
  <si>
    <t>نیان باتری خاوران</t>
  </si>
  <si>
    <t>ح.گروه مدیریت سرمایه گذار امید</t>
  </si>
  <si>
    <t>تولیدی کوچین</t>
  </si>
  <si>
    <t>1404/09/19</t>
  </si>
  <si>
    <t>1404/09/17</t>
  </si>
  <si>
    <t>1404/09/22</t>
  </si>
  <si>
    <t>سرمایه گذاری خوارزمی</t>
  </si>
  <si>
    <t>آلیاژ گستر هامون</t>
  </si>
  <si>
    <t>صنایع پتروشیمی کرمانشاه</t>
  </si>
  <si>
    <t>پتروشیمی خراسان</t>
  </si>
  <si>
    <t>آلومینیوم‌ایران‌</t>
  </si>
  <si>
    <t>گروه صنعتی درپاد تبریز</t>
  </si>
  <si>
    <t>پتروشیمی اروند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</si>
  <si>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</si>
  <si>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</si>
  <si>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</si>
  <si>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</si>
  <si>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</si>
  <si>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1404/10/23</t>
  </si>
  <si>
    <t>1404/10/24</t>
  </si>
  <si>
    <t>1404/11/30</t>
  </si>
  <si>
    <t>کارخانجات تولیدی نیروترانسفو</t>
  </si>
  <si>
    <t>توسعه ساختمان سپهر تهران</t>
  </si>
  <si>
    <t>ح.سرمایه گذاری خوارزمی</t>
  </si>
  <si>
    <t xml:space="preserve">سایر درآمد ها </t>
  </si>
  <si>
    <t>از ابتدای سال مالی تا پایان اسفند ماه</t>
  </si>
  <si>
    <t>طی اسفند ماه</t>
  </si>
  <si>
    <t>1404/12/29</t>
  </si>
  <si>
    <t>برای ماه منتهی به 1404/12/29</t>
  </si>
  <si>
    <t>ح . سرمایه گذاری صدرتامین</t>
  </si>
  <si>
    <t>1404/12/10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</si>
</sst>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</numFmts>
  <fonts count="56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4"/>
      <color rgb="FFC00000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b/>
      <sz val="14"/>
      <color theme="2" tint="-0.249977111117893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b/>
      <sz val="14"/>
      <color theme="0" tint="-0.34998626667073579"/>
      <name val="B Nazanin"/>
      <charset val="178"/>
    </font>
    <font>
      <b/>
      <sz val="18"/>
      <color theme="1" tint="0.1499984740745262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405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43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9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1" fillId="0" borderId="0" xfId="0" applyFont="1" applyAlignment="1">
      <alignment horizontal="center"/>
    </xf>
    <xf numFmtId="3" fontId="41" fillId="0" borderId="0" xfId="0" applyNumberFormat="1" applyFont="1" applyAlignment="1">
      <alignment horizontal="center"/>
    </xf>
    <xf numFmtId="0" fontId="42" fillId="0" borderId="0" xfId="0" applyFont="1"/>
    <xf numFmtId="0" fontId="43" fillId="0" borderId="0" xfId="0" applyFont="1" applyAlignment="1">
      <alignment horizontal="center" vertical="center"/>
    </xf>
    <xf numFmtId="172" fontId="43" fillId="0" borderId="0" xfId="0" applyNumberFormat="1" applyFont="1" applyAlignment="1">
      <alignment horizontal="center" vertical="center" readingOrder="2"/>
    </xf>
    <xf numFmtId="165" fontId="43" fillId="0" borderId="0" xfId="0" applyNumberFormat="1" applyFont="1" applyAlignment="1">
      <alignment horizontal="center" vertical="center"/>
    </xf>
    <xf numFmtId="165" fontId="43" fillId="0" borderId="0" xfId="1" applyNumberFormat="1" applyFont="1" applyFill="1" applyAlignment="1">
      <alignment horizontal="center" vertical="center"/>
    </xf>
    <xf numFmtId="0" fontId="40" fillId="0" borderId="0" xfId="0" applyFont="1"/>
    <xf numFmtId="165" fontId="40" fillId="0" borderId="0" xfId="0" applyNumberFormat="1" applyFont="1"/>
    <xf numFmtId="168" fontId="40" fillId="0" borderId="0" xfId="0" applyNumberFormat="1" applyFont="1"/>
    <xf numFmtId="3" fontId="39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4" fillId="0" borderId="0" xfId="0" applyNumberFormat="1" applyFont="1"/>
    <xf numFmtId="168" fontId="9" fillId="0" borderId="0" xfId="0" applyNumberFormat="1" applyFont="1"/>
    <xf numFmtId="172" fontId="39" fillId="0" borderId="0" xfId="0" applyNumberFormat="1" applyFont="1" applyAlignment="1">
      <alignment horizontal="center" vertical="center" readingOrder="2"/>
    </xf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2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3" fontId="8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5" fillId="0" borderId="0" xfId="0" applyFont="1"/>
    <xf numFmtId="3" fontId="45" fillId="0" borderId="0" xfId="0" applyNumberFormat="1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6" fillId="0" borderId="0" xfId="0" applyFont="1"/>
    <xf numFmtId="0" fontId="47" fillId="0" borderId="0" xfId="0" applyFont="1" applyAlignment="1">
      <alignment vertical="center" readingOrder="2"/>
    </xf>
    <xf numFmtId="172" fontId="39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8" fillId="0" borderId="0" xfId="0" applyFont="1"/>
    <xf numFmtId="165" fontId="49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0" fontId="6" fillId="0" borderId="0" xfId="0" applyFont="1" applyAlignment="1">
      <alignment horizontal="right" vertical="center" indent="1"/>
    </xf>
    <xf numFmtId="172" fontId="35" fillId="0" borderId="15" xfId="0" applyNumberFormat="1" applyFont="1" applyBorder="1" applyAlignment="1">
      <alignment horizontal="center" vertical="center" readingOrder="2"/>
    </xf>
    <xf numFmtId="0" fontId="50" fillId="0" borderId="0" xfId="0" applyFont="1" applyAlignment="1">
      <alignment vertical="center" readingOrder="2"/>
    </xf>
    <xf numFmtId="172" fontId="51" fillId="0" borderId="0" xfId="0" applyNumberFormat="1" applyFont="1" applyAlignment="1">
      <alignment horizontal="center" vertical="center" readingOrder="2"/>
    </xf>
    <xf numFmtId="165" fontId="51" fillId="0" borderId="0" xfId="1" applyNumberFormat="1" applyFont="1" applyFill="1" applyAlignment="1">
      <alignment horizontal="center" vertical="center"/>
    </xf>
    <xf numFmtId="10" fontId="10" fillId="0" borderId="2" xfId="2" applyNumberFormat="1" applyFont="1" applyFill="1" applyBorder="1" applyAlignment="1">
      <alignment horizontal="center" vertical="center" wrapText="1" readingOrder="2"/>
    </xf>
    <xf numFmtId="10" fontId="10" fillId="0" borderId="0" xfId="2" applyNumberFormat="1" applyFont="1" applyFill="1" applyAlignment="1">
      <alignment horizontal="center" vertical="center" wrapText="1" readingOrder="2"/>
    </xf>
    <xf numFmtId="165" fontId="42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3" fillId="0" borderId="0" xfId="0" applyNumberFormat="1" applyFont="1"/>
    <xf numFmtId="0" fontId="42" fillId="0" borderId="0" xfId="0" applyFont="1" applyAlignment="1">
      <alignment horizontal="center" vertical="center"/>
    </xf>
    <xf numFmtId="172" fontId="43" fillId="0" borderId="0" xfId="1" applyNumberFormat="1" applyFont="1" applyFill="1" applyBorder="1" applyAlignment="1">
      <alignment horizontal="center" vertical="center" wrapText="1" readingOrder="2"/>
    </xf>
    <xf numFmtId="165" fontId="42" fillId="2" borderId="0" xfId="1" applyNumberFormat="1" applyFont="1" applyFill="1" applyAlignment="1">
      <alignment horizontal="center" vertical="center"/>
    </xf>
    <xf numFmtId="165" fontId="52" fillId="0" borderId="0" xfId="1" applyNumberFormat="1" applyFont="1" applyFill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0" fontId="54" fillId="0" borderId="0" xfId="0" applyFont="1" applyAlignment="1">
      <alignment vertical="center" readingOrder="2"/>
    </xf>
    <xf numFmtId="3" fontId="55" fillId="0" borderId="0" xfId="0" applyNumberFormat="1" applyFont="1" applyAlignment="1">
      <alignment horizontal="center" wrapText="1"/>
    </xf>
    <xf numFmtId="3" fontId="52" fillId="7" borderId="0" xfId="0" applyNumberFormat="1" applyFont="1" applyFill="1"/>
    <xf numFmtId="3" fontId="52" fillId="8" borderId="0" xfId="0" applyNumberFormat="1" applyFont="1" applyFill="1"/>
    <xf numFmtId="165" fontId="9" fillId="5" borderId="0" xfId="1" applyNumberFormat="1" applyFont="1" applyFill="1" applyAlignment="1">
      <alignment horizontal="center" vertical="center"/>
    </xf>
    <xf numFmtId="0" fontId="34" fillId="0" borderId="0" xfId="0" applyFont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 wrapText="1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3" xfId="0" applyFont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10" fontId="35" fillId="0" borderId="6" xfId="2" applyNumberFormat="1" applyFont="1" applyFill="1" applyBorder="1" applyAlignment="1">
      <alignment horizontal="center" vertical="center" wrapText="1" readingOrder="2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H124"/>
  <sheetViews>
    <sheetView rightToLeft="1" tabSelected="1" view="pageBreakPreview" zoomScale="40" zoomScaleNormal="40" zoomScaleSheetLayoutView="40" zoomScalePageLayoutView="10" workbookViewId="0">
      <selection activeCell="AC12" sqref="AC12"/>
    </sheetView>
  </sheetViews>
  <sheetFormatPr defaultColWidth="9.1796875" defaultRowHeight="27.5"/>
  <cols>
    <col min="1" max="1" width="3.7265625" style="133" customWidth="1"/>
    <col min="2" max="2" width="43.453125" style="153" bestFit="1" customWidth="1"/>
    <col min="3" max="3" width="2.1796875" style="133" customWidth="1"/>
    <col min="4" max="4" width="24.1796875" style="133" bestFit="1" customWidth="1"/>
    <col min="5" max="5" width="0.7265625" style="133" customWidth="1"/>
    <col min="6" max="6" width="30.81640625" style="124" customWidth="1"/>
    <col min="7" max="7" width="1.08984375" style="133" customWidth="1"/>
    <col min="8" max="8" width="34.81640625" style="133" bestFit="1" customWidth="1"/>
    <col min="9" max="9" width="0.7265625" style="133" customWidth="1"/>
    <col min="10" max="10" width="26" style="133" customWidth="1"/>
    <col min="11" max="11" width="1.08984375" style="133" customWidth="1"/>
    <col min="12" max="12" width="26.26953125" style="133" bestFit="1" customWidth="1"/>
    <col min="13" max="13" width="0.453125" style="133" customWidth="1"/>
    <col min="14" max="14" width="23.453125" style="133" bestFit="1" customWidth="1"/>
    <col min="15" max="15" width="0.90625" style="133" customWidth="1"/>
    <col min="16" max="16" width="28.453125" style="133" bestFit="1" customWidth="1"/>
    <col min="17" max="17" width="0.90625" style="133" customWidth="1"/>
    <col min="18" max="18" width="24.1796875" style="124" bestFit="1" customWidth="1"/>
    <col min="19" max="19" width="0.7265625" style="133" customWidth="1"/>
    <col min="20" max="20" width="23" style="133" customWidth="1"/>
    <col min="21" max="21" width="0.90625" style="133" customWidth="1"/>
    <col min="22" max="22" width="30.54296875" style="124" bestFit="1" customWidth="1"/>
    <col min="23" max="23" width="0.90625" style="133" customWidth="1"/>
    <col min="24" max="24" width="30.81640625" style="133" bestFit="1" customWidth="1"/>
    <col min="25" max="25" width="1.08984375" style="133" customWidth="1"/>
    <col min="26" max="26" width="28.7265625" style="133" bestFit="1" customWidth="1"/>
    <col min="27" max="27" width="7.26953125" style="133" customWidth="1"/>
    <col min="28" max="28" width="9.1796875" style="133"/>
    <col min="29" max="29" width="41.453125" style="133" bestFit="1" customWidth="1"/>
    <col min="30" max="30" width="12.1796875" style="133" bestFit="1" customWidth="1"/>
    <col min="31" max="32" width="30" style="133" bestFit="1" customWidth="1"/>
    <col min="33" max="33" width="12.26953125" style="133" bestFit="1" customWidth="1"/>
    <col min="34" max="16384" width="9.1796875" style="133"/>
  </cols>
  <sheetData>
    <row r="1" spans="2:34" ht="29.5">
      <c r="B1" s="323" t="s">
        <v>103</v>
      </c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132"/>
    </row>
    <row r="2" spans="2:34" ht="29.5">
      <c r="B2" s="323" t="s">
        <v>81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132"/>
      <c r="AC2" s="253"/>
    </row>
    <row r="3" spans="2:34" ht="29.5">
      <c r="B3" s="323" t="str">
        <f>AC6</f>
        <v>برای ماه منتهی به 1404/12/29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132"/>
      <c r="AC3" s="253"/>
    </row>
    <row r="4" spans="2:34" ht="36.75" customHeight="1">
      <c r="B4" s="331" t="s">
        <v>37</v>
      </c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134"/>
      <c r="AC4" s="253" t="s">
        <v>281</v>
      </c>
    </row>
    <row r="5" spans="2:34" ht="29.5">
      <c r="B5" s="331" t="s">
        <v>38</v>
      </c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134"/>
      <c r="AC5" s="253" t="s">
        <v>288</v>
      </c>
    </row>
    <row r="6" spans="2:34" ht="29.5">
      <c r="B6" s="135"/>
      <c r="C6" s="136"/>
      <c r="D6" s="318" t="str">
        <f>AC4</f>
        <v>1404/11/30</v>
      </c>
      <c r="E6" s="318"/>
      <c r="F6" s="318"/>
      <c r="G6" s="318"/>
      <c r="H6" s="318"/>
      <c r="I6" s="136"/>
      <c r="J6" s="332" t="s">
        <v>16</v>
      </c>
      <c r="K6" s="332"/>
      <c r="L6" s="332"/>
      <c r="M6" s="332"/>
      <c r="N6" s="332"/>
      <c r="O6" s="332"/>
      <c r="P6" s="332"/>
      <c r="Q6" s="137"/>
      <c r="R6" s="318" t="str">
        <f>AC5</f>
        <v>1404/12/29</v>
      </c>
      <c r="S6" s="318"/>
      <c r="T6" s="318"/>
      <c r="U6" s="318"/>
      <c r="V6" s="318"/>
      <c r="W6" s="318"/>
      <c r="X6" s="318"/>
      <c r="Y6" s="318"/>
      <c r="Z6" s="318"/>
      <c r="AA6" s="136"/>
      <c r="AC6" s="253" t="s">
        <v>289</v>
      </c>
    </row>
    <row r="7" spans="2:34">
      <c r="B7" s="324" t="s">
        <v>5</v>
      </c>
      <c r="C7" s="138"/>
      <c r="D7" s="329" t="s">
        <v>8</v>
      </c>
      <c r="E7" s="319"/>
      <c r="F7" s="327" t="s">
        <v>3</v>
      </c>
      <c r="G7" s="319"/>
      <c r="H7" s="319" t="s">
        <v>32</v>
      </c>
      <c r="I7" s="139"/>
      <c r="J7" s="326" t="s">
        <v>9</v>
      </c>
      <c r="K7" s="326"/>
      <c r="L7" s="326"/>
      <c r="M7" s="140"/>
      <c r="N7" s="326" t="s">
        <v>10</v>
      </c>
      <c r="O7" s="326"/>
      <c r="P7" s="326"/>
      <c r="Q7" s="140"/>
      <c r="R7" s="327" t="s">
        <v>8</v>
      </c>
      <c r="S7" s="319"/>
      <c r="T7" s="319" t="s">
        <v>42</v>
      </c>
      <c r="U7" s="138"/>
      <c r="V7" s="327" t="s">
        <v>3</v>
      </c>
      <c r="W7" s="319"/>
      <c r="X7" s="319" t="s">
        <v>32</v>
      </c>
      <c r="Y7" s="139"/>
      <c r="Z7" s="321" t="s">
        <v>35</v>
      </c>
      <c r="AA7" s="141"/>
      <c r="AC7" s="253" t="s">
        <v>287</v>
      </c>
    </row>
    <row r="8" spans="2:34">
      <c r="B8" s="325"/>
      <c r="C8" s="141"/>
      <c r="D8" s="330"/>
      <c r="E8" s="320"/>
      <c r="F8" s="328"/>
      <c r="G8" s="320"/>
      <c r="H8" s="320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80</v>
      </c>
      <c r="Q8" s="144"/>
      <c r="R8" s="328"/>
      <c r="S8" s="320"/>
      <c r="T8" s="320"/>
      <c r="U8" s="143"/>
      <c r="V8" s="328"/>
      <c r="W8" s="320"/>
      <c r="X8" s="320"/>
      <c r="Y8" s="142"/>
      <c r="Z8" s="322"/>
      <c r="AA8" s="141"/>
      <c r="AC8" s="253" t="s">
        <v>286</v>
      </c>
    </row>
    <row r="9" spans="2:34" ht="41.25" customHeight="1">
      <c r="B9" s="145" t="s">
        <v>271</v>
      </c>
      <c r="C9" s="141"/>
      <c r="D9" s="146">
        <v>14600000</v>
      </c>
      <c r="E9" s="104"/>
      <c r="F9" s="146">
        <v>91256769500</v>
      </c>
      <c r="G9" s="104"/>
      <c r="H9" s="146">
        <v>85763880640</v>
      </c>
      <c r="I9" s="104"/>
      <c r="J9" s="146">
        <v>0</v>
      </c>
      <c r="K9" s="146"/>
      <c r="L9" s="146">
        <v>0</v>
      </c>
      <c r="M9" s="104"/>
      <c r="N9" s="146">
        <v>-600000</v>
      </c>
      <c r="O9" s="146"/>
      <c r="P9" s="146">
        <v>3299342676</v>
      </c>
      <c r="Q9" s="146"/>
      <c r="R9" s="146">
        <v>14000000</v>
      </c>
      <c r="S9" s="146"/>
      <c r="T9" s="146">
        <v>5570</v>
      </c>
      <c r="U9" s="146"/>
      <c r="V9" s="146">
        <v>87506491301</v>
      </c>
      <c r="W9" s="146"/>
      <c r="X9" s="146">
        <v>77377214600</v>
      </c>
      <c r="Y9" s="147"/>
      <c r="Z9" s="148">
        <f t="shared" ref="Z9:Z48" si="0">X9/$Z$78</f>
        <v>8.168996153944846E-3</v>
      </c>
      <c r="AA9" s="141"/>
      <c r="AC9" s="254"/>
      <c r="AE9" s="150"/>
      <c r="AF9" s="149"/>
      <c r="AH9" s="149"/>
    </row>
    <row r="10" spans="2:34" ht="41.25" customHeight="1">
      <c r="B10" s="145" t="s">
        <v>268</v>
      </c>
      <c r="C10" s="141"/>
      <c r="D10" s="146">
        <v>837500</v>
      </c>
      <c r="E10" s="146"/>
      <c r="F10" s="146">
        <v>3566757144</v>
      </c>
      <c r="G10" s="146"/>
      <c r="H10" s="146">
        <v>3712193700.375</v>
      </c>
      <c r="I10" s="146"/>
      <c r="J10" s="146">
        <v>0</v>
      </c>
      <c r="K10" s="146"/>
      <c r="L10" s="146">
        <v>0</v>
      </c>
      <c r="M10" s="146"/>
      <c r="N10" s="146">
        <v>0</v>
      </c>
      <c r="O10" s="146"/>
      <c r="P10" s="146">
        <v>0</v>
      </c>
      <c r="Q10" s="146"/>
      <c r="R10" s="146">
        <v>837500</v>
      </c>
      <c r="S10" s="146"/>
      <c r="T10" s="151">
        <v>4153</v>
      </c>
      <c r="U10" s="146"/>
      <c r="V10" s="146">
        <v>3566757144</v>
      </c>
      <c r="W10" s="146"/>
      <c r="X10" s="146">
        <v>3451251497.125</v>
      </c>
      <c r="Y10" s="147"/>
      <c r="Z10" s="148">
        <f t="shared" si="0"/>
        <v>3.6436127033074304E-4</v>
      </c>
      <c r="AA10" s="141"/>
      <c r="AC10" s="253"/>
      <c r="AE10" s="149"/>
      <c r="AF10" s="149"/>
      <c r="AH10" s="149"/>
    </row>
    <row r="11" spans="2:34" ht="41.25" customHeight="1">
      <c r="B11" s="145" t="s">
        <v>257</v>
      </c>
      <c r="C11" s="141"/>
      <c r="D11" s="146">
        <v>80000000</v>
      </c>
      <c r="E11" s="146"/>
      <c r="F11" s="146">
        <v>109063410216</v>
      </c>
      <c r="G11" s="146"/>
      <c r="H11" s="146">
        <v>92717708800</v>
      </c>
      <c r="I11" s="146"/>
      <c r="J11" s="146">
        <v>0</v>
      </c>
      <c r="K11" s="146"/>
      <c r="L11" s="146">
        <v>0</v>
      </c>
      <c r="M11" s="146"/>
      <c r="N11" s="146">
        <v>0</v>
      </c>
      <c r="O11" s="146"/>
      <c r="P11" s="146">
        <v>0</v>
      </c>
      <c r="Q11" s="146"/>
      <c r="R11" s="146">
        <v>80000000</v>
      </c>
      <c r="S11" s="146"/>
      <c r="T11" s="146">
        <v>1078</v>
      </c>
      <c r="U11" s="146"/>
      <c r="V11" s="146">
        <v>109063410216</v>
      </c>
      <c r="W11" s="146"/>
      <c r="X11" s="146">
        <v>85573364800</v>
      </c>
      <c r="Y11" s="147"/>
      <c r="Z11" s="148">
        <f t="shared" si="0"/>
        <v>9.034293771687657E-3</v>
      </c>
      <c r="AA11" s="141"/>
      <c r="AE11" s="149"/>
      <c r="AF11" s="149"/>
      <c r="AH11" s="149"/>
    </row>
    <row r="12" spans="2:34" ht="41.25" customHeight="1">
      <c r="B12" s="145" t="s">
        <v>110</v>
      </c>
      <c r="C12" s="141"/>
      <c r="D12" s="146">
        <v>100000000</v>
      </c>
      <c r="E12" s="146"/>
      <c r="F12" s="146">
        <v>49863785508</v>
      </c>
      <c r="G12" s="146"/>
      <c r="H12" s="146">
        <v>49811954000</v>
      </c>
      <c r="I12" s="146"/>
      <c r="J12" s="146">
        <v>0</v>
      </c>
      <c r="K12" s="146"/>
      <c r="L12" s="146">
        <v>0</v>
      </c>
      <c r="M12" s="146"/>
      <c r="N12" s="146">
        <v>0</v>
      </c>
      <c r="O12" s="146"/>
      <c r="P12" s="146">
        <v>0</v>
      </c>
      <c r="Q12" s="146"/>
      <c r="R12" s="146">
        <v>100000000</v>
      </c>
      <c r="S12" s="146"/>
      <c r="T12" s="146">
        <v>475</v>
      </c>
      <c r="U12" s="146"/>
      <c r="V12" s="146">
        <v>49863785508</v>
      </c>
      <c r="W12" s="146"/>
      <c r="X12" s="146">
        <v>47132825000</v>
      </c>
      <c r="Y12" s="147"/>
      <c r="Z12" s="148">
        <f t="shared" si="0"/>
        <v>4.975985089925368E-3</v>
      </c>
      <c r="AA12" s="141"/>
      <c r="AE12" s="149"/>
      <c r="AF12" s="149"/>
      <c r="AH12" s="149"/>
    </row>
    <row r="13" spans="2:34" ht="41.25" customHeight="1">
      <c r="B13" s="145" t="s">
        <v>111</v>
      </c>
      <c r="C13" s="141"/>
      <c r="D13" s="146">
        <v>1000</v>
      </c>
      <c r="E13" s="146"/>
      <c r="F13" s="146">
        <v>1915216</v>
      </c>
      <c r="G13" s="146"/>
      <c r="H13" s="146">
        <v>5070499.7</v>
      </c>
      <c r="I13" s="146"/>
      <c r="J13" s="146">
        <v>0</v>
      </c>
      <c r="K13" s="146"/>
      <c r="L13" s="146">
        <v>0</v>
      </c>
      <c r="M13" s="146"/>
      <c r="N13" s="146">
        <v>0</v>
      </c>
      <c r="O13" s="146"/>
      <c r="P13" s="146">
        <v>0</v>
      </c>
      <c r="Q13" s="146"/>
      <c r="R13" s="146">
        <v>1000</v>
      </c>
      <c r="S13" s="146"/>
      <c r="T13" s="146">
        <v>5630</v>
      </c>
      <c r="U13" s="146"/>
      <c r="V13" s="146">
        <v>1915216</v>
      </c>
      <c r="W13" s="146"/>
      <c r="X13" s="146">
        <v>5586480.0999999996</v>
      </c>
      <c r="Y13" s="147"/>
      <c r="Z13" s="148">
        <f t="shared" si="0"/>
        <v>5.8978518013220668E-7</v>
      </c>
      <c r="AA13" s="141"/>
      <c r="AE13" s="149"/>
      <c r="AF13" s="149"/>
      <c r="AH13" s="149"/>
    </row>
    <row r="14" spans="2:34" ht="41.25" customHeight="1">
      <c r="B14" s="145" t="s">
        <v>145</v>
      </c>
      <c r="C14" s="141"/>
      <c r="D14" s="146">
        <v>200000000</v>
      </c>
      <c r="E14" s="146"/>
      <c r="F14" s="146">
        <v>110857944356</v>
      </c>
      <c r="G14" s="146"/>
      <c r="H14" s="146">
        <v>80770778000</v>
      </c>
      <c r="I14" s="146"/>
      <c r="J14" s="146">
        <v>0</v>
      </c>
      <c r="K14" s="146"/>
      <c r="L14" s="146">
        <v>0</v>
      </c>
      <c r="M14" s="146"/>
      <c r="N14" s="146">
        <v>0</v>
      </c>
      <c r="O14" s="146"/>
      <c r="P14" s="146">
        <v>0</v>
      </c>
      <c r="Q14" s="146"/>
      <c r="R14" s="146">
        <v>200000000</v>
      </c>
      <c r="S14" s="146"/>
      <c r="T14" s="146">
        <v>404</v>
      </c>
      <c r="U14" s="146"/>
      <c r="V14" s="146">
        <v>110857944356</v>
      </c>
      <c r="W14" s="146"/>
      <c r="X14" s="146">
        <v>80175416000</v>
      </c>
      <c r="Y14" s="147"/>
      <c r="Z14" s="148">
        <f t="shared" si="0"/>
        <v>8.4644125319151518E-3</v>
      </c>
      <c r="AA14" s="141"/>
      <c r="AE14" s="149"/>
      <c r="AF14" s="149"/>
      <c r="AH14" s="149"/>
    </row>
    <row r="15" spans="2:34" ht="41.25" customHeight="1">
      <c r="B15" s="145" t="s">
        <v>112</v>
      </c>
      <c r="C15" s="141"/>
      <c r="D15" s="146">
        <v>600000000</v>
      </c>
      <c r="E15" s="146"/>
      <c r="F15" s="146">
        <v>785782978665</v>
      </c>
      <c r="G15" s="146"/>
      <c r="H15" s="146">
        <v>748370034000</v>
      </c>
      <c r="I15" s="146"/>
      <c r="J15" s="146">
        <v>232067064</v>
      </c>
      <c r="K15" s="146"/>
      <c r="L15" s="146">
        <v>0</v>
      </c>
      <c r="M15" s="146"/>
      <c r="N15" s="146">
        <v>-50000000</v>
      </c>
      <c r="O15" s="146"/>
      <c r="P15" s="146">
        <v>59614787916</v>
      </c>
      <c r="Q15" s="146"/>
      <c r="R15" s="146">
        <v>782067064</v>
      </c>
      <c r="S15" s="146"/>
      <c r="T15" s="146">
        <v>873</v>
      </c>
      <c r="U15" s="146"/>
      <c r="V15" s="146">
        <v>720301063770</v>
      </c>
      <c r="W15" s="146"/>
      <c r="X15" s="146">
        <v>677466931524.67896</v>
      </c>
      <c r="Y15" s="147"/>
      <c r="Z15" s="148">
        <f t="shared" si="0"/>
        <v>7.1522667062377282E-2</v>
      </c>
      <c r="AA15" s="141"/>
      <c r="AE15" s="149"/>
      <c r="AF15" s="149"/>
      <c r="AH15" s="149"/>
    </row>
    <row r="16" spans="2:34" ht="41.25" customHeight="1">
      <c r="B16" s="145" t="s">
        <v>192</v>
      </c>
      <c r="C16" s="141"/>
      <c r="D16" s="146">
        <v>58000000</v>
      </c>
      <c r="E16" s="146"/>
      <c r="F16" s="146">
        <v>93098147252</v>
      </c>
      <c r="G16" s="146"/>
      <c r="H16" s="146">
        <v>112916356920</v>
      </c>
      <c r="I16" s="146"/>
      <c r="J16" s="146">
        <v>0</v>
      </c>
      <c r="K16" s="146"/>
      <c r="L16" s="146">
        <v>0</v>
      </c>
      <c r="M16" s="146"/>
      <c r="N16" s="146">
        <v>0</v>
      </c>
      <c r="O16" s="146"/>
      <c r="P16" s="146">
        <v>0</v>
      </c>
      <c r="Q16" s="146"/>
      <c r="R16" s="146">
        <v>58000000</v>
      </c>
      <c r="S16" s="146"/>
      <c r="T16" s="146">
        <v>2024</v>
      </c>
      <c r="U16" s="146"/>
      <c r="V16" s="146">
        <v>93098147252</v>
      </c>
      <c r="W16" s="146"/>
      <c r="X16" s="146">
        <v>116484559840</v>
      </c>
      <c r="Y16" s="147"/>
      <c r="Z16" s="148">
        <f t="shared" si="0"/>
        <v>1.2297701930031974E-2</v>
      </c>
      <c r="AA16" s="141"/>
      <c r="AE16" s="149"/>
      <c r="AF16" s="149"/>
      <c r="AH16" s="149"/>
    </row>
    <row r="17" spans="2:34" ht="41.25" customHeight="1">
      <c r="B17" s="145" t="s">
        <v>157</v>
      </c>
      <c r="C17" s="141"/>
      <c r="D17" s="146">
        <v>232900</v>
      </c>
      <c r="E17" s="146"/>
      <c r="F17" s="146">
        <v>394603131</v>
      </c>
      <c r="G17" s="146"/>
      <c r="H17" s="146">
        <v>459657269.48699999</v>
      </c>
      <c r="I17" s="146"/>
      <c r="J17" s="146">
        <v>0</v>
      </c>
      <c r="K17" s="146"/>
      <c r="L17" s="146">
        <v>0</v>
      </c>
      <c r="M17" s="146"/>
      <c r="N17" s="146">
        <v>0</v>
      </c>
      <c r="O17" s="146"/>
      <c r="P17" s="146">
        <v>0</v>
      </c>
      <c r="Q17" s="146"/>
      <c r="R17" s="146">
        <v>232900</v>
      </c>
      <c r="S17" s="146"/>
      <c r="T17" s="146">
        <v>1987</v>
      </c>
      <c r="U17" s="146"/>
      <c r="V17" s="146">
        <v>394603131</v>
      </c>
      <c r="W17" s="146"/>
      <c r="X17" s="146">
        <v>459195070.12099999</v>
      </c>
      <c r="Y17" s="147"/>
      <c r="Z17" s="148">
        <f t="shared" si="0"/>
        <v>4.8478906628009876E-5</v>
      </c>
      <c r="AA17" s="141"/>
      <c r="AE17" s="149"/>
      <c r="AF17" s="149"/>
      <c r="AH17" s="149"/>
    </row>
    <row r="18" spans="2:34" ht="41.25" customHeight="1">
      <c r="B18" s="145" t="s">
        <v>146</v>
      </c>
      <c r="C18" s="141"/>
      <c r="D18" s="146">
        <v>1000</v>
      </c>
      <c r="E18" s="146"/>
      <c r="F18" s="146">
        <v>5411279</v>
      </c>
      <c r="G18" s="146"/>
      <c r="H18" s="146">
        <v>2808124.1</v>
      </c>
      <c r="I18" s="146"/>
      <c r="J18" s="146">
        <v>0</v>
      </c>
      <c r="K18" s="146"/>
      <c r="L18" s="146">
        <v>0</v>
      </c>
      <c r="M18" s="146"/>
      <c r="N18" s="146">
        <v>0</v>
      </c>
      <c r="O18" s="146"/>
      <c r="P18" s="146">
        <v>0</v>
      </c>
      <c r="Q18" s="146"/>
      <c r="R18" s="146">
        <v>1000</v>
      </c>
      <c r="S18" s="146"/>
      <c r="T18" s="146">
        <v>2767</v>
      </c>
      <c r="U18" s="146"/>
      <c r="V18" s="146">
        <v>5411279</v>
      </c>
      <c r="W18" s="146"/>
      <c r="X18" s="146">
        <v>2745611.09</v>
      </c>
      <c r="Y18" s="147"/>
      <c r="Z18" s="148">
        <f t="shared" si="0"/>
        <v>2.8986422618575772E-7</v>
      </c>
      <c r="AA18" s="141"/>
      <c r="AE18" s="149"/>
      <c r="AF18" s="149"/>
      <c r="AH18" s="149"/>
    </row>
    <row r="19" spans="2:34" ht="41.25" customHeight="1">
      <c r="B19" s="145" t="s">
        <v>113</v>
      </c>
      <c r="C19" s="141"/>
      <c r="D19" s="146">
        <v>100000000</v>
      </c>
      <c r="E19" s="146"/>
      <c r="F19" s="146">
        <v>382642214429</v>
      </c>
      <c r="G19" s="146"/>
      <c r="H19" s="146">
        <v>628106910000</v>
      </c>
      <c r="I19" s="146"/>
      <c r="J19" s="146">
        <v>0</v>
      </c>
      <c r="K19" s="146"/>
      <c r="L19" s="146">
        <v>0</v>
      </c>
      <c r="M19" s="146"/>
      <c r="N19" s="146">
        <v>0</v>
      </c>
      <c r="O19" s="146"/>
      <c r="P19" s="146">
        <v>0</v>
      </c>
      <c r="Q19" s="146"/>
      <c r="R19" s="146">
        <v>100000000</v>
      </c>
      <c r="S19" s="146"/>
      <c r="T19" s="146">
        <v>6150</v>
      </c>
      <c r="U19" s="146"/>
      <c r="V19" s="146">
        <v>382642214429</v>
      </c>
      <c r="W19" s="146"/>
      <c r="X19" s="146">
        <v>610246050000</v>
      </c>
      <c r="Y19" s="147"/>
      <c r="Z19" s="148">
        <f t="shared" si="0"/>
        <v>6.4425912216928449E-2</v>
      </c>
      <c r="AA19" s="141"/>
      <c r="AE19" s="149"/>
      <c r="AF19" s="149"/>
      <c r="AH19" s="149"/>
    </row>
    <row r="20" spans="2:34" ht="41.25" customHeight="1">
      <c r="B20" s="145" t="s">
        <v>114</v>
      </c>
      <c r="C20" s="141"/>
      <c r="D20" s="146">
        <v>135000000</v>
      </c>
      <c r="E20" s="146"/>
      <c r="F20" s="146">
        <v>585695642002</v>
      </c>
      <c r="G20" s="146"/>
      <c r="H20" s="146">
        <v>1010031633000</v>
      </c>
      <c r="I20" s="146"/>
      <c r="J20" s="146">
        <v>0</v>
      </c>
      <c r="K20" s="146"/>
      <c r="L20" s="146">
        <v>0</v>
      </c>
      <c r="M20" s="146"/>
      <c r="N20" s="146">
        <v>-45000000</v>
      </c>
      <c r="O20" s="146"/>
      <c r="P20" s="146">
        <v>310010475599</v>
      </c>
      <c r="Q20" s="146"/>
      <c r="R20" s="146">
        <v>90000000</v>
      </c>
      <c r="S20" s="146"/>
      <c r="T20" s="146">
        <v>6940</v>
      </c>
      <c r="U20" s="146"/>
      <c r="V20" s="146">
        <v>390463761385</v>
      </c>
      <c r="W20" s="146"/>
      <c r="X20" s="146">
        <v>619771842000</v>
      </c>
      <c r="Y20" s="147"/>
      <c r="Z20" s="148">
        <f t="shared" si="0"/>
        <v>6.5431584992997574E-2</v>
      </c>
      <c r="AA20" s="141"/>
      <c r="AE20" s="149"/>
      <c r="AF20" s="149"/>
      <c r="AH20" s="149"/>
    </row>
    <row r="21" spans="2:34" ht="41.25" customHeight="1">
      <c r="B21" s="145" t="s">
        <v>137</v>
      </c>
      <c r="C21" s="141"/>
      <c r="D21" s="146">
        <v>1000</v>
      </c>
      <c r="E21" s="146"/>
      <c r="F21" s="146">
        <v>20873618</v>
      </c>
      <c r="G21" s="146"/>
      <c r="H21" s="146">
        <v>27069125.600000001</v>
      </c>
      <c r="I21" s="146"/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1000</v>
      </c>
      <c r="S21" s="146"/>
      <c r="T21" s="146">
        <v>25900</v>
      </c>
      <c r="U21" s="146"/>
      <c r="V21" s="146">
        <v>20873618</v>
      </c>
      <c r="W21" s="146"/>
      <c r="X21" s="146">
        <v>25699793</v>
      </c>
      <c r="Y21" s="147"/>
      <c r="Z21" s="148">
        <f t="shared" si="0"/>
        <v>2.713221343769832E-6</v>
      </c>
      <c r="AA21" s="141"/>
      <c r="AE21" s="149"/>
      <c r="AF21" s="149"/>
      <c r="AH21" s="149"/>
    </row>
    <row r="22" spans="2:34" ht="41.25" customHeight="1">
      <c r="B22" s="145" t="s">
        <v>115</v>
      </c>
      <c r="C22" s="141"/>
      <c r="D22" s="146">
        <v>70000000</v>
      </c>
      <c r="E22" s="146"/>
      <c r="F22" s="146">
        <v>252230003224</v>
      </c>
      <c r="G22" s="146"/>
      <c r="H22" s="146">
        <v>272001052400</v>
      </c>
      <c r="I22" s="146"/>
      <c r="J22" s="146">
        <v>14661723</v>
      </c>
      <c r="K22" s="146"/>
      <c r="L22" s="146">
        <v>0</v>
      </c>
      <c r="M22" s="146"/>
      <c r="N22" s="146">
        <v>0</v>
      </c>
      <c r="O22" s="146"/>
      <c r="P22" s="146">
        <v>0</v>
      </c>
      <c r="Q22" s="146"/>
      <c r="R22" s="146">
        <v>84661723</v>
      </c>
      <c r="S22" s="146"/>
      <c r="T22" s="146">
        <v>3092</v>
      </c>
      <c r="U22" s="146"/>
      <c r="V22" s="146">
        <v>252230003224</v>
      </c>
      <c r="W22" s="146"/>
      <c r="X22" s="146">
        <v>259750534128.70099</v>
      </c>
      <c r="Y22" s="147"/>
      <c r="Z22" s="148">
        <f t="shared" si="0"/>
        <v>2.7422815944611139E-2</v>
      </c>
      <c r="AA22" s="141"/>
      <c r="AE22" s="149"/>
      <c r="AF22" s="149"/>
      <c r="AH22" s="149"/>
    </row>
    <row r="23" spans="2:34" ht="41.25" customHeight="1">
      <c r="B23" s="145" t="s">
        <v>141</v>
      </c>
      <c r="C23" s="141"/>
      <c r="D23" s="146">
        <v>1000</v>
      </c>
      <c r="E23" s="146"/>
      <c r="F23" s="146">
        <v>68624286</v>
      </c>
      <c r="G23" s="146"/>
      <c r="H23" s="146">
        <v>37130743.399999999</v>
      </c>
      <c r="I23" s="146"/>
      <c r="J23" s="146">
        <v>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1000</v>
      </c>
      <c r="S23" s="146"/>
      <c r="T23" s="146">
        <v>34320</v>
      </c>
      <c r="U23" s="146"/>
      <c r="V23" s="146">
        <v>68624286</v>
      </c>
      <c r="W23" s="146"/>
      <c r="X23" s="146">
        <v>34054706.399999999</v>
      </c>
      <c r="Y23" s="147"/>
      <c r="Z23" s="148">
        <f t="shared" si="0"/>
        <v>3.5952801744471288E-6</v>
      </c>
      <c r="AA23" s="141"/>
      <c r="AE23" s="149"/>
      <c r="AF23" s="149"/>
      <c r="AH23" s="149"/>
    </row>
    <row r="24" spans="2:34" ht="41.25" customHeight="1">
      <c r="B24" s="145" t="s">
        <v>116</v>
      </c>
      <c r="C24" s="141"/>
      <c r="D24" s="146">
        <v>1000</v>
      </c>
      <c r="E24" s="146"/>
      <c r="F24" s="146">
        <v>2873060</v>
      </c>
      <c r="G24" s="146"/>
      <c r="H24" s="146">
        <v>2798201.4</v>
      </c>
      <c r="I24" s="146"/>
      <c r="J24" s="146">
        <v>0</v>
      </c>
      <c r="K24" s="146"/>
      <c r="L24" s="146">
        <v>0</v>
      </c>
      <c r="M24" s="146"/>
      <c r="N24" s="146">
        <v>0</v>
      </c>
      <c r="O24" s="146"/>
      <c r="P24" s="146">
        <v>0</v>
      </c>
      <c r="Q24" s="146"/>
      <c r="R24" s="146">
        <v>1000</v>
      </c>
      <c r="S24" s="146"/>
      <c r="T24" s="146">
        <v>2740</v>
      </c>
      <c r="U24" s="146"/>
      <c r="V24" s="146">
        <v>2873060</v>
      </c>
      <c r="W24" s="146"/>
      <c r="X24" s="146">
        <v>2718819.8</v>
      </c>
      <c r="Y24" s="147"/>
      <c r="Z24" s="148">
        <f t="shared" si="0"/>
        <v>2.8703577150306332E-7</v>
      </c>
      <c r="AA24" s="141"/>
      <c r="AE24" s="149"/>
      <c r="AF24" s="149"/>
      <c r="AH24" s="149"/>
    </row>
    <row r="25" spans="2:34" ht="41.25" customHeight="1">
      <c r="B25" s="145" t="s">
        <v>117</v>
      </c>
      <c r="C25" s="141"/>
      <c r="D25" s="146">
        <v>1300000</v>
      </c>
      <c r="E25" s="146"/>
      <c r="F25" s="146">
        <v>467681261110</v>
      </c>
      <c r="G25" s="146"/>
      <c r="H25" s="146">
        <v>678165939230</v>
      </c>
      <c r="I25" s="146"/>
      <c r="J25" s="146">
        <v>49307435</v>
      </c>
      <c r="K25" s="146"/>
      <c r="L25" s="146">
        <v>0</v>
      </c>
      <c r="M25" s="146"/>
      <c r="N25" s="146">
        <v>0</v>
      </c>
      <c r="O25" s="146"/>
      <c r="P25" s="146">
        <v>0</v>
      </c>
      <c r="Q25" s="146"/>
      <c r="R25" s="146">
        <v>50607435</v>
      </c>
      <c r="S25" s="146"/>
      <c r="T25" s="146">
        <v>13032</v>
      </c>
      <c r="U25" s="146"/>
      <c r="V25" s="146">
        <v>467681261110</v>
      </c>
      <c r="W25" s="146"/>
      <c r="X25" s="146">
        <v>654418033521.72803</v>
      </c>
      <c r="Y25" s="147"/>
      <c r="Z25" s="148">
        <f t="shared" si="0"/>
        <v>6.9089310419700026E-2</v>
      </c>
      <c r="AA25" s="141"/>
      <c r="AE25" s="149"/>
      <c r="AF25" s="149"/>
      <c r="AH25" s="149"/>
    </row>
    <row r="26" spans="2:34" ht="41.25" customHeight="1">
      <c r="B26" s="145" t="s">
        <v>118</v>
      </c>
      <c r="C26" s="141"/>
      <c r="D26" s="146">
        <v>100000</v>
      </c>
      <c r="E26" s="146"/>
      <c r="F26" s="146">
        <v>5636941092</v>
      </c>
      <c r="G26" s="146"/>
      <c r="H26" s="146">
        <v>4645808140</v>
      </c>
      <c r="I26" s="146"/>
      <c r="J26" s="146">
        <v>0</v>
      </c>
      <c r="K26" s="146"/>
      <c r="L26" s="146">
        <v>0</v>
      </c>
      <c r="M26" s="146"/>
      <c r="N26" s="146">
        <v>0</v>
      </c>
      <c r="O26" s="146"/>
      <c r="P26" s="146">
        <v>0</v>
      </c>
      <c r="Q26" s="146"/>
      <c r="R26" s="146">
        <v>100000</v>
      </c>
      <c r="S26" s="146"/>
      <c r="T26" s="146">
        <v>43800</v>
      </c>
      <c r="U26" s="146"/>
      <c r="V26" s="146">
        <v>5636941092</v>
      </c>
      <c r="W26" s="146"/>
      <c r="X26" s="146">
        <v>4346142600</v>
      </c>
      <c r="Y26" s="147"/>
      <c r="Z26" s="148">
        <f t="shared" si="0"/>
        <v>4.588382040815392E-4</v>
      </c>
      <c r="AA26" s="141"/>
      <c r="AE26" s="149"/>
      <c r="AF26" s="149"/>
      <c r="AH26" s="149"/>
    </row>
    <row r="27" spans="2:34" ht="41.25" customHeight="1">
      <c r="B27" s="145" t="s">
        <v>270</v>
      </c>
      <c r="C27" s="141"/>
      <c r="D27" s="146">
        <v>335212</v>
      </c>
      <c r="E27" s="146"/>
      <c r="F27" s="146">
        <v>12087758820</v>
      </c>
      <c r="G27" s="146"/>
      <c r="H27" s="146">
        <v>12990173162.167</v>
      </c>
      <c r="I27" s="146"/>
      <c r="J27" s="146">
        <v>0</v>
      </c>
      <c r="K27" s="146"/>
      <c r="L27" s="146">
        <v>0</v>
      </c>
      <c r="M27" s="146"/>
      <c r="N27" s="146">
        <v>0</v>
      </c>
      <c r="O27" s="146"/>
      <c r="P27" s="146">
        <v>0</v>
      </c>
      <c r="Q27" s="146"/>
      <c r="R27" s="146">
        <v>335212</v>
      </c>
      <c r="S27" s="146"/>
      <c r="T27" s="146">
        <v>35760</v>
      </c>
      <c r="U27" s="146"/>
      <c r="V27" s="146">
        <v>12087758820</v>
      </c>
      <c r="W27" s="146"/>
      <c r="X27" s="146">
        <v>11894520209.9424</v>
      </c>
      <c r="Y27" s="147"/>
      <c r="Z27" s="148">
        <f t="shared" si="0"/>
        <v>1.2557480952285235E-3</v>
      </c>
      <c r="AA27" s="141"/>
      <c r="AE27" s="149"/>
      <c r="AF27" s="149"/>
      <c r="AH27" s="149"/>
    </row>
    <row r="28" spans="2:34" ht="41.25" customHeight="1">
      <c r="B28" s="145" t="s">
        <v>119</v>
      </c>
      <c r="C28" s="141"/>
      <c r="D28" s="146">
        <v>2000000</v>
      </c>
      <c r="E28" s="146"/>
      <c r="F28" s="146">
        <v>76853450065</v>
      </c>
      <c r="G28" s="146"/>
      <c r="H28" s="146">
        <v>91566675600</v>
      </c>
      <c r="I28" s="146"/>
      <c r="J28" s="146">
        <v>0</v>
      </c>
      <c r="K28" s="146"/>
      <c r="L28" s="146">
        <v>0</v>
      </c>
      <c r="M28" s="146"/>
      <c r="N28" s="146">
        <v>0</v>
      </c>
      <c r="O28" s="146"/>
      <c r="P28" s="146">
        <v>0</v>
      </c>
      <c r="Q28" s="146"/>
      <c r="R28" s="146">
        <v>2000000</v>
      </c>
      <c r="S28" s="146"/>
      <c r="T28" s="146">
        <v>45600</v>
      </c>
      <c r="U28" s="146"/>
      <c r="V28" s="146">
        <v>76853450065</v>
      </c>
      <c r="W28" s="146"/>
      <c r="X28" s="146">
        <v>90495024000</v>
      </c>
      <c r="Y28" s="147"/>
      <c r="Z28" s="148">
        <f t="shared" si="0"/>
        <v>9.553891372656706E-3</v>
      </c>
      <c r="AA28" s="141"/>
      <c r="AE28" s="149"/>
      <c r="AF28" s="149"/>
      <c r="AH28" s="149"/>
    </row>
    <row r="29" spans="2:34" ht="41.25" customHeight="1">
      <c r="B29" s="145" t="s">
        <v>143</v>
      </c>
      <c r="C29" s="141"/>
      <c r="D29" s="146">
        <v>6000000</v>
      </c>
      <c r="E29" s="146"/>
      <c r="F29" s="146">
        <v>221684251852</v>
      </c>
      <c r="G29" s="146"/>
      <c r="H29" s="146">
        <v>359241430800</v>
      </c>
      <c r="I29" s="146"/>
      <c r="J29" s="146">
        <v>0</v>
      </c>
      <c r="K29" s="146"/>
      <c r="L29" s="146">
        <v>0</v>
      </c>
      <c r="M29" s="146"/>
      <c r="N29" s="146">
        <v>0</v>
      </c>
      <c r="O29" s="146"/>
      <c r="P29" s="146">
        <v>0</v>
      </c>
      <c r="Q29" s="146"/>
      <c r="R29" s="146">
        <v>6000000</v>
      </c>
      <c r="S29" s="146"/>
      <c r="T29" s="146">
        <v>60730</v>
      </c>
      <c r="U29" s="146"/>
      <c r="V29" s="146">
        <v>221684251852</v>
      </c>
      <c r="W29" s="146"/>
      <c r="X29" s="146">
        <v>361563342600</v>
      </c>
      <c r="Y29" s="147"/>
      <c r="Z29" s="148">
        <f t="shared" si="0"/>
        <v>3.8171567306673801E-2</v>
      </c>
      <c r="AA29" s="141"/>
      <c r="AE29" s="149"/>
      <c r="AF29" s="149"/>
      <c r="AH29" s="149"/>
    </row>
    <row r="30" spans="2:34" ht="41.25" customHeight="1">
      <c r="B30" s="145" t="s">
        <v>241</v>
      </c>
      <c r="C30" s="141"/>
      <c r="D30" s="146">
        <v>20000000</v>
      </c>
      <c r="E30" s="146"/>
      <c r="F30" s="146">
        <v>198421146000</v>
      </c>
      <c r="G30" s="146"/>
      <c r="H30" s="146">
        <v>162533826000</v>
      </c>
      <c r="I30" s="146"/>
      <c r="J30" s="146">
        <v>5882353</v>
      </c>
      <c r="K30" s="146"/>
      <c r="L30" s="146">
        <v>0</v>
      </c>
      <c r="M30" s="146"/>
      <c r="N30" s="146">
        <v>0</v>
      </c>
      <c r="O30" s="146"/>
      <c r="P30" s="146">
        <v>0</v>
      </c>
      <c r="Q30" s="146"/>
      <c r="R30" s="146">
        <v>25882353</v>
      </c>
      <c r="S30" s="146"/>
      <c r="T30" s="146">
        <v>6159</v>
      </c>
      <c r="U30" s="146"/>
      <c r="V30" s="146">
        <v>198421146000</v>
      </c>
      <c r="W30" s="146"/>
      <c r="X30" s="146">
        <v>158177177371.258</v>
      </c>
      <c r="Y30" s="147"/>
      <c r="Z30" s="148">
        <f t="shared" si="0"/>
        <v>1.6699344377636181E-2</v>
      </c>
      <c r="AA30" s="141"/>
      <c r="AE30" s="149"/>
      <c r="AF30" s="149"/>
      <c r="AH30" s="149"/>
    </row>
    <row r="31" spans="2:34" ht="41.25" customHeight="1">
      <c r="B31" s="145" t="s">
        <v>135</v>
      </c>
      <c r="C31" s="141"/>
      <c r="D31" s="146">
        <v>1000</v>
      </c>
      <c r="E31" s="146"/>
      <c r="F31" s="146">
        <v>4947385</v>
      </c>
      <c r="G31" s="146"/>
      <c r="H31" s="146">
        <v>4871053.43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1000</v>
      </c>
      <c r="S31" s="146"/>
      <c r="T31" s="146">
        <v>5342</v>
      </c>
      <c r="U31" s="146"/>
      <c r="V31" s="146">
        <v>4947385</v>
      </c>
      <c r="W31" s="146"/>
      <c r="X31" s="146">
        <v>5300706.34</v>
      </c>
      <c r="Y31" s="147"/>
      <c r="Z31" s="148">
        <f t="shared" si="0"/>
        <v>5.5961499685013297E-7</v>
      </c>
      <c r="AA31" s="141"/>
      <c r="AE31" s="149"/>
      <c r="AF31" s="149"/>
      <c r="AH31" s="149"/>
    </row>
    <row r="32" spans="2:34" ht="41.25" customHeight="1">
      <c r="B32" s="145" t="s">
        <v>104</v>
      </c>
      <c r="C32" s="141"/>
      <c r="D32" s="146">
        <v>56400000</v>
      </c>
      <c r="E32" s="146"/>
      <c r="F32" s="146">
        <v>106655517940</v>
      </c>
      <c r="G32" s="146"/>
      <c r="H32" s="146">
        <v>120378624228</v>
      </c>
      <c r="I32" s="146"/>
      <c r="J32" s="146">
        <v>0</v>
      </c>
      <c r="K32" s="146"/>
      <c r="L32" s="146">
        <v>0</v>
      </c>
      <c r="M32" s="146"/>
      <c r="N32" s="146">
        <v>-56188752</v>
      </c>
      <c r="O32" s="146"/>
      <c r="P32" s="146">
        <v>114537092079</v>
      </c>
      <c r="Q32" s="146"/>
      <c r="R32" s="146">
        <v>211248</v>
      </c>
      <c r="S32" s="146"/>
      <c r="T32" s="146">
        <v>2049</v>
      </c>
      <c r="U32" s="146"/>
      <c r="V32" s="146">
        <v>399481664</v>
      </c>
      <c r="W32" s="146"/>
      <c r="X32" s="146">
        <v>429501243.51503998</v>
      </c>
      <c r="Y32" s="147"/>
      <c r="Z32" s="148">
        <f t="shared" si="0"/>
        <v>4.5344020517234929E-5</v>
      </c>
      <c r="AA32" s="141"/>
      <c r="AE32" s="149"/>
      <c r="AF32" s="149"/>
      <c r="AH32" s="149"/>
    </row>
    <row r="33" spans="2:34" ht="41.25" customHeight="1">
      <c r="B33" s="145" t="s">
        <v>263</v>
      </c>
      <c r="C33" s="141"/>
      <c r="D33" s="146">
        <v>1475169</v>
      </c>
      <c r="E33" s="146"/>
      <c r="F33" s="146">
        <v>6782788386</v>
      </c>
      <c r="G33" s="146"/>
      <c r="H33" s="146">
        <v>10269781860.508101</v>
      </c>
      <c r="I33" s="146"/>
      <c r="J33" s="146">
        <v>0</v>
      </c>
      <c r="K33" s="146"/>
      <c r="L33" s="146">
        <v>0</v>
      </c>
      <c r="M33" s="146"/>
      <c r="N33" s="146">
        <v>0</v>
      </c>
      <c r="O33" s="146"/>
      <c r="P33" s="146">
        <v>0</v>
      </c>
      <c r="Q33" s="146"/>
      <c r="R33" s="146">
        <v>1475169</v>
      </c>
      <c r="S33" s="146"/>
      <c r="T33" s="146">
        <v>7016</v>
      </c>
      <c r="U33" s="146"/>
      <c r="V33" s="146">
        <v>6782788386</v>
      </c>
      <c r="W33" s="146"/>
      <c r="X33" s="146">
        <v>10269781860.508101</v>
      </c>
      <c r="Y33" s="147"/>
      <c r="Z33" s="148">
        <f t="shared" si="0"/>
        <v>1.0842185125689858E-3</v>
      </c>
      <c r="AA33" s="141"/>
      <c r="AE33" s="149"/>
      <c r="AF33" s="149"/>
      <c r="AH33" s="149"/>
    </row>
    <row r="34" spans="2:34" ht="41.25" customHeight="1">
      <c r="B34" s="145" t="s">
        <v>120</v>
      </c>
      <c r="C34" s="141"/>
      <c r="D34" s="146">
        <v>5000000</v>
      </c>
      <c r="E34" s="146"/>
      <c r="F34" s="146">
        <v>97418382725</v>
      </c>
      <c r="G34" s="146"/>
      <c r="H34" s="146">
        <v>97589754500</v>
      </c>
      <c r="I34" s="146"/>
      <c r="J34" s="146">
        <v>0</v>
      </c>
      <c r="K34" s="146"/>
      <c r="L34" s="146">
        <v>0</v>
      </c>
      <c r="M34" s="146"/>
      <c r="N34" s="146">
        <v>0</v>
      </c>
      <c r="O34" s="146"/>
      <c r="P34" s="146">
        <v>0</v>
      </c>
      <c r="Q34" s="146"/>
      <c r="R34" s="146">
        <v>5000000</v>
      </c>
      <c r="S34" s="146"/>
      <c r="T34" s="146">
        <v>18970</v>
      </c>
      <c r="U34" s="146"/>
      <c r="V34" s="146">
        <v>97418382725</v>
      </c>
      <c r="W34" s="146"/>
      <c r="X34" s="146">
        <v>94116809500</v>
      </c>
      <c r="Y34" s="147"/>
      <c r="Z34" s="148">
        <f t="shared" si="0"/>
        <v>9.9362565427246561E-3</v>
      </c>
      <c r="AA34" s="141"/>
      <c r="AE34" s="149"/>
      <c r="AF34" s="149"/>
      <c r="AH34" s="149"/>
    </row>
    <row r="35" spans="2:34" ht="41.25" customHeight="1">
      <c r="B35" s="145" t="s">
        <v>252</v>
      </c>
      <c r="C35" s="141"/>
      <c r="D35" s="146">
        <v>562500</v>
      </c>
      <c r="E35" s="146"/>
      <c r="F35" s="146">
        <v>4998586413</v>
      </c>
      <c r="G35" s="146"/>
      <c r="H35" s="146">
        <v>4906154981.25</v>
      </c>
      <c r="I35" s="146"/>
      <c r="J35" s="146">
        <v>0</v>
      </c>
      <c r="K35" s="146"/>
      <c r="L35" s="146">
        <v>0</v>
      </c>
      <c r="M35" s="146"/>
      <c r="N35" s="146">
        <v>0</v>
      </c>
      <c r="O35" s="146"/>
      <c r="P35" s="146">
        <v>0</v>
      </c>
      <c r="Q35" s="146"/>
      <c r="R35" s="146">
        <v>562500</v>
      </c>
      <c r="S35" s="146"/>
      <c r="T35" s="146">
        <v>8300</v>
      </c>
      <c r="U35" s="146"/>
      <c r="V35" s="146">
        <v>4998586413</v>
      </c>
      <c r="W35" s="146"/>
      <c r="X35" s="146">
        <v>4632660562.5</v>
      </c>
      <c r="Y35" s="147"/>
      <c r="Z35" s="148">
        <f t="shared" si="0"/>
        <v>4.8908695554924337E-4</v>
      </c>
      <c r="AA35" s="141"/>
      <c r="AE35" s="149"/>
      <c r="AF35" s="149"/>
      <c r="AH35" s="149"/>
    </row>
    <row r="36" spans="2:34" ht="41.25" customHeight="1">
      <c r="B36" s="145" t="s">
        <v>136</v>
      </c>
      <c r="C36" s="141"/>
      <c r="D36" s="146">
        <v>160000000</v>
      </c>
      <c r="E36" s="146"/>
      <c r="F36" s="146">
        <v>93100332246</v>
      </c>
      <c r="G36" s="146"/>
      <c r="H36" s="146">
        <v>81763048000</v>
      </c>
      <c r="I36" s="146"/>
      <c r="J36" s="146">
        <v>0</v>
      </c>
      <c r="K36" s="146"/>
      <c r="L36" s="146">
        <v>0</v>
      </c>
      <c r="M36" s="146"/>
      <c r="N36" s="146">
        <v>-10000000</v>
      </c>
      <c r="O36" s="146"/>
      <c r="P36" s="146">
        <v>5063484125</v>
      </c>
      <c r="Q36" s="146"/>
      <c r="R36" s="146">
        <v>150000000</v>
      </c>
      <c r="S36" s="146"/>
      <c r="T36" s="146">
        <v>504</v>
      </c>
      <c r="U36" s="146"/>
      <c r="V36" s="146">
        <v>87281561491</v>
      </c>
      <c r="W36" s="146"/>
      <c r="X36" s="146">
        <v>75015612000</v>
      </c>
      <c r="Y36" s="147"/>
      <c r="Z36" s="148">
        <f t="shared" si="0"/>
        <v>7.9196731115443748E-3</v>
      </c>
      <c r="AA36" s="141"/>
      <c r="AE36" s="149"/>
      <c r="AF36" s="149"/>
      <c r="AH36" s="149"/>
    </row>
    <row r="37" spans="2:34" ht="41.25" customHeight="1">
      <c r="B37" s="145" t="s">
        <v>130</v>
      </c>
      <c r="C37" s="141"/>
      <c r="D37" s="146">
        <v>300000000</v>
      </c>
      <c r="E37" s="146"/>
      <c r="F37" s="146">
        <v>476047549439</v>
      </c>
      <c r="G37" s="146"/>
      <c r="H37" s="146">
        <v>490280607000</v>
      </c>
      <c r="I37" s="146"/>
      <c r="J37" s="146">
        <v>0</v>
      </c>
      <c r="K37" s="146"/>
      <c r="L37" s="146">
        <v>0</v>
      </c>
      <c r="M37" s="146">
        <v>9102861790</v>
      </c>
      <c r="N37" s="146">
        <v>-20000000</v>
      </c>
      <c r="O37" s="146"/>
      <c r="P37" s="146">
        <v>31946035695</v>
      </c>
      <c r="Q37" s="146"/>
      <c r="R37" s="146">
        <v>280000000</v>
      </c>
      <c r="S37" s="146"/>
      <c r="T37" s="146">
        <v>1639</v>
      </c>
      <c r="U37" s="146"/>
      <c r="V37" s="146">
        <v>444311046137</v>
      </c>
      <c r="W37" s="146"/>
      <c r="X37" s="146">
        <v>455372548400</v>
      </c>
      <c r="Y37" s="147"/>
      <c r="Z37" s="148">
        <f t="shared" si="0"/>
        <v>4.8075348999337887E-2</v>
      </c>
      <c r="AA37" s="141"/>
      <c r="AE37" s="149"/>
      <c r="AF37" s="149"/>
      <c r="AH37" s="149"/>
    </row>
    <row r="38" spans="2:34" ht="41.25" customHeight="1">
      <c r="B38" s="145" t="s">
        <v>267</v>
      </c>
      <c r="C38" s="141"/>
      <c r="D38" s="146">
        <v>99982360</v>
      </c>
      <c r="E38" s="146"/>
      <c r="F38" s="146">
        <v>371522240327</v>
      </c>
      <c r="G38" s="146"/>
      <c r="H38" s="146">
        <v>302886592378.53198</v>
      </c>
      <c r="I38" s="146"/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99982360</v>
      </c>
      <c r="S38" s="146"/>
      <c r="T38" s="146">
        <v>2925</v>
      </c>
      <c r="U38" s="146"/>
      <c r="V38" s="146">
        <v>371522240327</v>
      </c>
      <c r="W38" s="146"/>
      <c r="X38" s="146">
        <v>290187776844.81</v>
      </c>
      <c r="Y38" s="147"/>
      <c r="Z38" s="148">
        <f t="shared" si="0"/>
        <v>3.0636187218957583E-2</v>
      </c>
      <c r="AA38" s="141"/>
      <c r="AE38" s="149"/>
      <c r="AF38" s="149"/>
      <c r="AH38" s="149"/>
    </row>
    <row r="39" spans="2:34" ht="41.25" customHeight="1">
      <c r="B39" s="145" t="s">
        <v>180</v>
      </c>
      <c r="C39" s="141"/>
      <c r="D39" s="146">
        <v>96000000</v>
      </c>
      <c r="E39" s="146"/>
      <c r="F39" s="146">
        <v>136919972432</v>
      </c>
      <c r="G39" s="146"/>
      <c r="H39" s="146">
        <v>152793703680</v>
      </c>
      <c r="I39" s="146"/>
      <c r="J39" s="146">
        <v>0</v>
      </c>
      <c r="K39" s="146"/>
      <c r="L39" s="146">
        <v>0</v>
      </c>
      <c r="M39" s="146"/>
      <c r="N39" s="146">
        <v>0</v>
      </c>
      <c r="O39" s="146"/>
      <c r="P39" s="146">
        <v>0</v>
      </c>
      <c r="Q39" s="146"/>
      <c r="R39" s="146">
        <v>96000000</v>
      </c>
      <c r="S39" s="146"/>
      <c r="T39" s="146">
        <v>1576</v>
      </c>
      <c r="U39" s="146"/>
      <c r="V39" s="146">
        <v>136919972432</v>
      </c>
      <c r="W39" s="146"/>
      <c r="X39" s="146">
        <v>150126481920</v>
      </c>
      <c r="Y39" s="147"/>
      <c r="Z39" s="148">
        <f t="shared" si="0"/>
        <v>1.5849402950849439E-2</v>
      </c>
      <c r="AA39" s="141"/>
      <c r="AE39" s="149"/>
      <c r="AF39" s="149"/>
      <c r="AH39" s="149"/>
    </row>
    <row r="40" spans="2:34" ht="41.25" customHeight="1">
      <c r="B40" s="145" t="s">
        <v>144</v>
      </c>
      <c r="C40" s="141"/>
      <c r="D40" s="146">
        <v>10000000</v>
      </c>
      <c r="E40" s="146"/>
      <c r="F40" s="146">
        <v>124133371320</v>
      </c>
      <c r="G40" s="146"/>
      <c r="H40" s="146">
        <v>133460315000</v>
      </c>
      <c r="I40" s="146"/>
      <c r="J40" s="146">
        <v>414815</v>
      </c>
      <c r="K40" s="146"/>
      <c r="L40" s="146">
        <v>0</v>
      </c>
      <c r="M40" s="146"/>
      <c r="N40" s="146">
        <v>-3000000</v>
      </c>
      <c r="O40" s="146"/>
      <c r="P40" s="146">
        <v>38880071391</v>
      </c>
      <c r="Q40" s="146"/>
      <c r="R40" s="146">
        <v>7414815</v>
      </c>
      <c r="S40" s="146"/>
      <c r="T40" s="146">
        <v>9927</v>
      </c>
      <c r="U40" s="146"/>
      <c r="V40" s="146">
        <v>66922514585</v>
      </c>
      <c r="W40" s="146"/>
      <c r="X40" s="146">
        <v>73037887411.456299</v>
      </c>
      <c r="Y40" s="147"/>
      <c r="Z40" s="148">
        <f t="shared" si="0"/>
        <v>7.7108774778310921E-3</v>
      </c>
      <c r="AA40" s="141"/>
      <c r="AE40" s="149"/>
      <c r="AF40" s="149"/>
      <c r="AH40" s="149"/>
    </row>
    <row r="41" spans="2:34" ht="41.25" customHeight="1">
      <c r="B41" s="145" t="s">
        <v>238</v>
      </c>
      <c r="C41" s="141"/>
      <c r="D41" s="146">
        <v>35000000</v>
      </c>
      <c r="E41" s="146"/>
      <c r="F41" s="146">
        <v>141990772138</v>
      </c>
      <c r="G41" s="146"/>
      <c r="H41" s="146">
        <v>154164028550</v>
      </c>
      <c r="I41" s="146"/>
      <c r="J41" s="146">
        <v>0</v>
      </c>
      <c r="K41" s="146"/>
      <c r="L41" s="146">
        <v>0</v>
      </c>
      <c r="M41" s="146"/>
      <c r="N41" s="146">
        <v>-1000000</v>
      </c>
      <c r="O41" s="146"/>
      <c r="P41" s="146">
        <v>4145415462</v>
      </c>
      <c r="Q41" s="146"/>
      <c r="R41" s="146">
        <v>34000000</v>
      </c>
      <c r="S41" s="146"/>
      <c r="T41" s="146">
        <v>4363</v>
      </c>
      <c r="U41" s="146"/>
      <c r="V41" s="146">
        <v>137933892936</v>
      </c>
      <c r="W41" s="146"/>
      <c r="X41" s="146">
        <v>147195316340</v>
      </c>
      <c r="Y41" s="147"/>
      <c r="Z41" s="148">
        <f t="shared" si="0"/>
        <v>1.5539949057046504E-2</v>
      </c>
      <c r="AA41" s="141"/>
      <c r="AE41" s="149"/>
      <c r="AF41" s="149"/>
      <c r="AH41" s="149"/>
    </row>
    <row r="42" spans="2:34" ht="41.25" customHeight="1">
      <c r="B42" s="145" t="s">
        <v>131</v>
      </c>
      <c r="C42" s="141"/>
      <c r="D42" s="146">
        <v>18000000</v>
      </c>
      <c r="E42" s="146"/>
      <c r="F42" s="146">
        <v>390213459868</v>
      </c>
      <c r="G42" s="146"/>
      <c r="H42" s="146">
        <v>318816351000</v>
      </c>
      <c r="I42" s="146"/>
      <c r="J42" s="146">
        <v>0</v>
      </c>
      <c r="K42" s="146"/>
      <c r="L42" s="146">
        <v>0</v>
      </c>
      <c r="M42" s="146"/>
      <c r="N42" s="146">
        <v>-4000000</v>
      </c>
      <c r="O42" s="146"/>
      <c r="P42" s="146">
        <v>66088837645</v>
      </c>
      <c r="Q42" s="146"/>
      <c r="R42" s="146">
        <v>14000000</v>
      </c>
      <c r="S42" s="146"/>
      <c r="T42" s="146">
        <v>16990</v>
      </c>
      <c r="U42" s="146"/>
      <c r="V42" s="146">
        <v>303499357672</v>
      </c>
      <c r="W42" s="146"/>
      <c r="X42" s="146">
        <v>236021342200</v>
      </c>
      <c r="Y42" s="147"/>
      <c r="Z42" s="148">
        <f t="shared" si="0"/>
        <v>2.4917638178729429E-2</v>
      </c>
      <c r="AA42" s="141"/>
      <c r="AE42" s="149"/>
      <c r="AF42" s="149"/>
      <c r="AH42" s="149"/>
    </row>
    <row r="43" spans="2:34" ht="41.25" customHeight="1">
      <c r="B43" s="145" t="s">
        <v>121</v>
      </c>
      <c r="C43" s="141"/>
      <c r="D43" s="146">
        <v>40000000</v>
      </c>
      <c r="E43" s="146"/>
      <c r="F43" s="146">
        <v>406715712142</v>
      </c>
      <c r="G43" s="146"/>
      <c r="H43" s="146">
        <v>595362000000</v>
      </c>
      <c r="I43" s="146"/>
      <c r="J43" s="146">
        <v>0</v>
      </c>
      <c r="K43" s="146"/>
      <c r="L43" s="146">
        <v>0</v>
      </c>
      <c r="M43" s="146"/>
      <c r="N43" s="146">
        <v>0</v>
      </c>
      <c r="O43" s="146"/>
      <c r="P43" s="146">
        <v>0</v>
      </c>
      <c r="Q43" s="146"/>
      <c r="R43" s="146">
        <v>40000000</v>
      </c>
      <c r="S43" s="146"/>
      <c r="T43" s="146">
        <v>13580</v>
      </c>
      <c r="U43" s="146"/>
      <c r="V43" s="146">
        <v>406715712142</v>
      </c>
      <c r="W43" s="146"/>
      <c r="X43" s="146">
        <v>539001064000</v>
      </c>
      <c r="Y43" s="147"/>
      <c r="Z43" s="148">
        <f t="shared" si="0"/>
        <v>5.6904317912578099E-2</v>
      </c>
      <c r="AA43" s="141"/>
      <c r="AE43" s="149"/>
      <c r="AF43" s="149"/>
      <c r="AH43" s="149"/>
    </row>
    <row r="44" spans="2:34" ht="41.25" customHeight="1">
      <c r="B44" s="145" t="s">
        <v>122</v>
      </c>
      <c r="C44" s="141"/>
      <c r="D44" s="146">
        <v>88000000</v>
      </c>
      <c r="E44" s="146"/>
      <c r="F44" s="146">
        <v>643044761954</v>
      </c>
      <c r="G44" s="146"/>
      <c r="H44" s="146">
        <v>943053408000</v>
      </c>
      <c r="I44" s="146"/>
      <c r="J44" s="146">
        <v>0</v>
      </c>
      <c r="K44" s="146"/>
      <c r="L44" s="146">
        <v>0</v>
      </c>
      <c r="M44" s="146"/>
      <c r="N44" s="146">
        <v>-8000000</v>
      </c>
      <c r="O44" s="146"/>
      <c r="P44" s="146">
        <v>80986843843</v>
      </c>
      <c r="Q44" s="146"/>
      <c r="R44" s="146">
        <v>80000000</v>
      </c>
      <c r="S44" s="146"/>
      <c r="T44" s="146">
        <v>10500</v>
      </c>
      <c r="U44" s="146"/>
      <c r="V44" s="146">
        <v>584586147232</v>
      </c>
      <c r="W44" s="146"/>
      <c r="X44" s="146">
        <v>833506800000</v>
      </c>
      <c r="Y44" s="147"/>
      <c r="Z44" s="148">
        <f t="shared" si="0"/>
        <v>8.7996367906048603E-2</v>
      </c>
      <c r="AA44" s="141"/>
      <c r="AE44" s="149"/>
      <c r="AF44" s="149"/>
      <c r="AH44" s="149"/>
    </row>
    <row r="45" spans="2:34" ht="41.25" customHeight="1">
      <c r="B45" s="145" t="s">
        <v>164</v>
      </c>
      <c r="C45" s="141"/>
      <c r="D45" s="146">
        <v>4000000</v>
      </c>
      <c r="E45" s="146"/>
      <c r="F45" s="146">
        <v>100823299585</v>
      </c>
      <c r="G45" s="146"/>
      <c r="H45" s="146">
        <v>137846148400</v>
      </c>
      <c r="I45" s="146"/>
      <c r="J45" s="146">
        <v>0</v>
      </c>
      <c r="K45" s="146"/>
      <c r="L45" s="146">
        <v>0</v>
      </c>
      <c r="M45" s="146"/>
      <c r="N45" s="146">
        <v>-2000000</v>
      </c>
      <c r="O45" s="146"/>
      <c r="P45" s="146">
        <v>65601330928</v>
      </c>
      <c r="Q45" s="146"/>
      <c r="R45" s="146">
        <v>2000000</v>
      </c>
      <c r="S45" s="146"/>
      <c r="T45" s="146">
        <v>32490</v>
      </c>
      <c r="U45" s="146"/>
      <c r="V45" s="146">
        <v>50411649795</v>
      </c>
      <c r="W45" s="146"/>
      <c r="X45" s="146">
        <v>64477704600</v>
      </c>
      <c r="Y45" s="147"/>
      <c r="Z45" s="148">
        <f t="shared" si="0"/>
        <v>6.8071476030179033E-3</v>
      </c>
      <c r="AA45" s="141"/>
      <c r="AE45" s="149"/>
      <c r="AF45" s="149"/>
      <c r="AH45" s="149"/>
    </row>
    <row r="46" spans="2:34" ht="41.25" customHeight="1">
      <c r="B46" s="145" t="s">
        <v>123</v>
      </c>
      <c r="C46" s="141"/>
      <c r="D46" s="146">
        <v>10000000</v>
      </c>
      <c r="E46" s="146"/>
      <c r="F46" s="146">
        <v>34912740601</v>
      </c>
      <c r="G46" s="146"/>
      <c r="H46" s="146">
        <v>33439499000</v>
      </c>
      <c r="I46" s="146"/>
      <c r="J46" s="146">
        <v>2900000</v>
      </c>
      <c r="K46" s="146"/>
      <c r="L46" s="146">
        <v>0</v>
      </c>
      <c r="M46" s="146"/>
      <c r="N46" s="146">
        <v>0</v>
      </c>
      <c r="O46" s="146"/>
      <c r="P46" s="146">
        <v>0</v>
      </c>
      <c r="Q46" s="146"/>
      <c r="R46" s="146">
        <v>12900000</v>
      </c>
      <c r="S46" s="146"/>
      <c r="T46" s="146">
        <v>2610</v>
      </c>
      <c r="U46" s="146"/>
      <c r="V46" s="146">
        <v>34912740601</v>
      </c>
      <c r="W46" s="146"/>
      <c r="X46" s="146">
        <v>33408738630</v>
      </c>
      <c r="Y46" s="147"/>
      <c r="Z46" s="148">
        <f t="shared" si="0"/>
        <v>3.527082989319941E-3</v>
      </c>
      <c r="AA46" s="141"/>
      <c r="AE46" s="149"/>
      <c r="AF46" s="149"/>
      <c r="AH46" s="149"/>
    </row>
    <row r="47" spans="2:34" ht="41.25" customHeight="1">
      <c r="B47" s="145" t="s">
        <v>182</v>
      </c>
      <c r="C47" s="141"/>
      <c r="D47" s="146">
        <v>60000000</v>
      </c>
      <c r="E47" s="146"/>
      <c r="F47" s="146">
        <v>98042294767</v>
      </c>
      <c r="G47" s="146"/>
      <c r="H47" s="146">
        <v>90554560200</v>
      </c>
      <c r="I47" s="146"/>
      <c r="J47" s="146">
        <v>0</v>
      </c>
      <c r="K47" s="146"/>
      <c r="L47" s="146">
        <v>0</v>
      </c>
      <c r="M47" s="146"/>
      <c r="N47" s="146">
        <v>0</v>
      </c>
      <c r="O47" s="146"/>
      <c r="P47" s="146">
        <v>0</v>
      </c>
      <c r="Q47" s="146"/>
      <c r="R47" s="146">
        <v>60000000</v>
      </c>
      <c r="S47" s="146"/>
      <c r="T47" s="146">
        <v>1455</v>
      </c>
      <c r="U47" s="146"/>
      <c r="V47" s="146">
        <v>98042294767</v>
      </c>
      <c r="W47" s="146"/>
      <c r="X47" s="146">
        <v>86625171000</v>
      </c>
      <c r="Y47" s="147"/>
      <c r="Z47" s="148">
        <f t="shared" si="0"/>
        <v>9.1453368073786227E-3</v>
      </c>
      <c r="AA47" s="141"/>
      <c r="AE47" s="149"/>
      <c r="AF47" s="149"/>
      <c r="AH47" s="149"/>
    </row>
    <row r="48" spans="2:34" ht="41.25" customHeight="1">
      <c r="B48" s="145" t="s">
        <v>272</v>
      </c>
      <c r="C48" s="141"/>
      <c r="D48" s="146">
        <v>375000</v>
      </c>
      <c r="E48" s="146"/>
      <c r="F48" s="146">
        <v>3137744212</v>
      </c>
      <c r="G48" s="146"/>
      <c r="H48" s="146">
        <v>4119160837.5</v>
      </c>
      <c r="I48" s="146"/>
      <c r="J48" s="146">
        <v>0</v>
      </c>
      <c r="K48" s="146"/>
      <c r="L48" s="146">
        <v>0</v>
      </c>
      <c r="M48" s="146"/>
      <c r="N48" s="146">
        <v>0</v>
      </c>
      <c r="O48" s="146"/>
      <c r="P48" s="146">
        <v>0</v>
      </c>
      <c r="Q48" s="146"/>
      <c r="R48" s="146">
        <v>375000</v>
      </c>
      <c r="S48" s="146"/>
      <c r="T48" s="146">
        <v>9830</v>
      </c>
      <c r="U48" s="146"/>
      <c r="V48" s="146">
        <v>3137744212</v>
      </c>
      <c r="W48" s="146"/>
      <c r="X48" s="146">
        <v>3657755287.5</v>
      </c>
      <c r="Y48" s="147"/>
      <c r="Z48" s="148">
        <f t="shared" si="0"/>
        <v>3.8616263237341866E-4</v>
      </c>
      <c r="AA48" s="141"/>
      <c r="AE48" s="149"/>
      <c r="AF48" s="149"/>
      <c r="AH48" s="149"/>
    </row>
    <row r="49" spans="2:34" ht="41.25" customHeight="1" thickBot="1">
      <c r="B49" s="135" t="s">
        <v>218</v>
      </c>
      <c r="C49" s="141">
        <v>0</v>
      </c>
      <c r="D49" s="127">
        <f>SUM(D9:D48)</f>
        <v>2373206641</v>
      </c>
      <c r="E49" s="127" t="e">
        <f>AC48=SUM(#REF!)</f>
        <v>#REF!</v>
      </c>
      <c r="F49" s="127">
        <f>SUM(F9:F48)</f>
        <v>6683381235705</v>
      </c>
      <c r="G49" s="127" t="e">
        <f t="shared" ref="G49" si="1">SUM(#REF!)</f>
        <v>#REF!</v>
      </c>
      <c r="H49" s="127">
        <f>SUM(H9:H48)</f>
        <v>8065569497025.4492</v>
      </c>
      <c r="I49" s="127"/>
      <c r="J49" s="127">
        <f>SUM(J9:J48)</f>
        <v>305233390</v>
      </c>
      <c r="K49" s="127" t="e">
        <f t="shared" ref="K49" si="2">SUM(#REF!)</f>
        <v>#REF!</v>
      </c>
      <c r="L49" s="127">
        <f>SUM(L9:L48)</f>
        <v>0</v>
      </c>
      <c r="M49" s="127" t="e">
        <f t="shared" ref="M49" si="3">SUM(#REF!)</f>
        <v>#REF!</v>
      </c>
      <c r="N49" s="127">
        <f>SUM(N9:N48)</f>
        <v>-199788752</v>
      </c>
      <c r="O49" s="127" t="e">
        <f t="shared" ref="O49" si="4">SUM(#REF!)</f>
        <v>#REF!</v>
      </c>
      <c r="P49" s="127">
        <f>SUM(P9:P48)</f>
        <v>780173717359</v>
      </c>
      <c r="Q49" s="127" t="e">
        <f t="shared" ref="Q49" si="5">SUM(#REF!)</f>
        <v>#REF!</v>
      </c>
      <c r="R49" s="127">
        <f>SUM(R9:R48)</f>
        <v>2478651279</v>
      </c>
      <c r="S49" s="127" t="e">
        <f t="shared" ref="S49" si="6">SUM(#REF!)</f>
        <v>#REF!</v>
      </c>
      <c r="T49" s="127">
        <f>SUM(T9:T48)</f>
        <v>459250</v>
      </c>
      <c r="U49" s="127" t="e">
        <f t="shared" ref="U49" si="7">SUM(#REF!)</f>
        <v>#REF!</v>
      </c>
      <c r="V49" s="127">
        <f>SUM(V9:V48)</f>
        <v>6018253749016</v>
      </c>
      <c r="W49" s="127" t="e">
        <f t="shared" ref="W49" si="8">SUM(#REF!)</f>
        <v>#REF!</v>
      </c>
      <c r="X49" s="127">
        <f>SUM(X9:X48)</f>
        <v>6955942482680.5723</v>
      </c>
      <c r="Y49" s="127" t="e">
        <f t="shared" ref="Y49" si="9">SUM(#REF!)</f>
        <v>#REF!</v>
      </c>
      <c r="Z49" s="282">
        <f>SUM(Z9:Z48)</f>
        <v>0.734364343325421</v>
      </c>
      <c r="AA49" s="141"/>
      <c r="AE49" s="149"/>
      <c r="AF49" s="149"/>
      <c r="AH49" s="149"/>
    </row>
    <row r="50" spans="2:34" ht="45" customHeight="1" thickTop="1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>
      <c r="B51" s="331" t="s">
        <v>37</v>
      </c>
      <c r="C51" s="331"/>
      <c r="D51" s="331"/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1"/>
      <c r="Z51" s="331"/>
      <c r="AA51" s="141"/>
      <c r="AE51" s="149"/>
      <c r="AF51" s="149"/>
      <c r="AH51" s="149"/>
    </row>
    <row r="52" spans="2:34" ht="41.25" customHeight="1">
      <c r="B52" s="331" t="s">
        <v>38</v>
      </c>
      <c r="C52" s="331"/>
      <c r="D52" s="331"/>
      <c r="E52" s="331"/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141"/>
      <c r="AE52" s="149"/>
      <c r="AF52" s="149"/>
      <c r="AH52" s="149"/>
    </row>
    <row r="53" spans="2:34" ht="41.25" customHeight="1">
      <c r="B53" s="135"/>
      <c r="C53" s="136"/>
      <c r="D53" s="318" t="str">
        <f>D6</f>
        <v>1404/11/30</v>
      </c>
      <c r="E53" s="318"/>
      <c r="F53" s="318"/>
      <c r="G53" s="318"/>
      <c r="H53" s="318"/>
      <c r="I53" s="136"/>
      <c r="J53" s="332" t="s">
        <v>16</v>
      </c>
      <c r="K53" s="332"/>
      <c r="L53" s="332"/>
      <c r="M53" s="332"/>
      <c r="N53" s="332"/>
      <c r="O53" s="332"/>
      <c r="P53" s="332"/>
      <c r="Q53" s="137"/>
      <c r="R53" s="318" t="str">
        <f>R6</f>
        <v>1404/12/29</v>
      </c>
      <c r="S53" s="318"/>
      <c r="T53" s="318"/>
      <c r="U53" s="318"/>
      <c r="V53" s="318"/>
      <c r="W53" s="318"/>
      <c r="X53" s="318"/>
      <c r="Y53" s="318"/>
      <c r="Z53" s="318"/>
      <c r="AA53" s="141"/>
      <c r="AE53" s="149"/>
      <c r="AF53" s="149"/>
      <c r="AH53" s="149"/>
    </row>
    <row r="54" spans="2:34" ht="41.25" customHeight="1">
      <c r="B54" s="324" t="s">
        <v>5</v>
      </c>
      <c r="C54" s="138"/>
      <c r="D54" s="329" t="s">
        <v>8</v>
      </c>
      <c r="E54" s="319"/>
      <c r="F54" s="327" t="s">
        <v>3</v>
      </c>
      <c r="G54" s="319"/>
      <c r="H54" s="319" t="s">
        <v>32</v>
      </c>
      <c r="I54" s="139"/>
      <c r="J54" s="326" t="s">
        <v>9</v>
      </c>
      <c r="K54" s="326"/>
      <c r="L54" s="326"/>
      <c r="M54" s="140"/>
      <c r="N54" s="326" t="s">
        <v>10</v>
      </c>
      <c r="O54" s="326"/>
      <c r="P54" s="326"/>
      <c r="Q54" s="140"/>
      <c r="R54" s="327" t="s">
        <v>8</v>
      </c>
      <c r="S54" s="319"/>
      <c r="T54" s="319" t="s">
        <v>42</v>
      </c>
      <c r="U54" s="138"/>
      <c r="V54" s="327" t="s">
        <v>3</v>
      </c>
      <c r="W54" s="319"/>
      <c r="X54" s="319" t="s">
        <v>32</v>
      </c>
      <c r="Y54" s="139"/>
      <c r="Z54" s="321" t="s">
        <v>35</v>
      </c>
      <c r="AA54" s="141"/>
      <c r="AE54" s="149"/>
      <c r="AF54" s="149"/>
      <c r="AH54" s="149"/>
    </row>
    <row r="55" spans="2:34" ht="41.25" customHeight="1">
      <c r="B55" s="325"/>
      <c r="C55" s="141"/>
      <c r="D55" s="330"/>
      <c r="E55" s="320"/>
      <c r="F55" s="328"/>
      <c r="G55" s="320"/>
      <c r="H55" s="320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80</v>
      </c>
      <c r="Q55" s="144"/>
      <c r="R55" s="328"/>
      <c r="S55" s="320"/>
      <c r="T55" s="320"/>
      <c r="U55" s="143"/>
      <c r="V55" s="328"/>
      <c r="W55" s="320"/>
      <c r="X55" s="320"/>
      <c r="Y55" s="142"/>
      <c r="Z55" s="322"/>
      <c r="AA55" s="141"/>
      <c r="AE55" s="149"/>
      <c r="AF55" s="149"/>
      <c r="AH55" s="149"/>
    </row>
    <row r="56" spans="2:34" ht="41.25" customHeight="1">
      <c r="B56" s="192" t="s">
        <v>217</v>
      </c>
      <c r="C56" s="141"/>
      <c r="D56" s="146">
        <f>D49</f>
        <v>2373206641</v>
      </c>
      <c r="E56" s="146"/>
      <c r="F56" s="146">
        <f>F49</f>
        <v>6683381235705</v>
      </c>
      <c r="G56" s="146"/>
      <c r="H56" s="146">
        <f>H49</f>
        <v>8065569497025.4492</v>
      </c>
      <c r="I56" s="146"/>
      <c r="J56" s="146">
        <f>J49</f>
        <v>305233390</v>
      </c>
      <c r="K56" s="146"/>
      <c r="L56" s="146">
        <f>L49</f>
        <v>0</v>
      </c>
      <c r="M56" s="146"/>
      <c r="N56" s="146">
        <f>N49</f>
        <v>-199788752</v>
      </c>
      <c r="O56" s="146"/>
      <c r="P56" s="146">
        <f>P49</f>
        <v>780173717359</v>
      </c>
      <c r="Q56" s="146"/>
      <c r="R56" s="146">
        <f>R49</f>
        <v>2478651279</v>
      </c>
      <c r="S56" s="146"/>
      <c r="T56" s="146">
        <f>T49</f>
        <v>459250</v>
      </c>
      <c r="U56" s="146"/>
      <c r="V56" s="146">
        <f>V49</f>
        <v>6018253749016</v>
      </c>
      <c r="W56" s="146"/>
      <c r="X56" s="146">
        <f>X49</f>
        <v>6955942482680.5723</v>
      </c>
      <c r="Y56" s="147"/>
      <c r="Z56" s="283">
        <f>Z49</f>
        <v>0.734364343325421</v>
      </c>
      <c r="AA56" s="141"/>
      <c r="AE56" s="149"/>
      <c r="AF56" s="149"/>
      <c r="AH56" s="149"/>
    </row>
    <row r="57" spans="2:34" ht="41.25" customHeight="1">
      <c r="B57" s="145" t="s">
        <v>124</v>
      </c>
      <c r="C57" s="141"/>
      <c r="D57" s="146">
        <v>1000</v>
      </c>
      <c r="E57" s="146"/>
      <c r="F57" s="146">
        <v>16436086</v>
      </c>
      <c r="G57" s="146"/>
      <c r="H57" s="146">
        <v>12651442.5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1000</v>
      </c>
      <c r="S57" s="146"/>
      <c r="T57" s="146">
        <v>12510</v>
      </c>
      <c r="U57" s="146"/>
      <c r="V57" s="146">
        <v>16436086</v>
      </c>
      <c r="W57" s="146"/>
      <c r="X57" s="146">
        <v>12413297.699999999</v>
      </c>
      <c r="Y57" s="147"/>
      <c r="Z57" s="148">
        <f t="shared" ref="Z57:Z70" si="10">X57/$Z$78</f>
        <v>1.310517336315081E-6</v>
      </c>
      <c r="AA57" s="141"/>
      <c r="AE57" s="149"/>
      <c r="AF57" s="149"/>
      <c r="AH57" s="149"/>
    </row>
    <row r="58" spans="2:34" ht="41.25" customHeight="1">
      <c r="B58" s="145" t="s">
        <v>150</v>
      </c>
      <c r="C58" s="141"/>
      <c r="D58" s="146">
        <v>1782</v>
      </c>
      <c r="E58" s="146"/>
      <c r="F58" s="146">
        <v>8899545</v>
      </c>
      <c r="G58" s="146"/>
      <c r="H58" s="146">
        <v>9672190</v>
      </c>
      <c r="I58" s="146">
        <v>56813933700</v>
      </c>
      <c r="J58" s="146">
        <v>0</v>
      </c>
      <c r="K58" s="146"/>
      <c r="L58" s="146">
        <v>0</v>
      </c>
      <c r="M58" s="146"/>
      <c r="N58" s="146">
        <v>0</v>
      </c>
      <c r="O58" s="146"/>
      <c r="P58" s="146">
        <v>0</v>
      </c>
      <c r="Q58" s="146"/>
      <c r="R58" s="146">
        <v>1782</v>
      </c>
      <c r="S58" s="146"/>
      <c r="T58" s="146">
        <v>5420</v>
      </c>
      <c r="U58" s="146"/>
      <c r="V58" s="146">
        <v>8899545</v>
      </c>
      <c r="W58" s="146"/>
      <c r="X58" s="146">
        <v>9583780.2588</v>
      </c>
      <c r="Y58" s="147"/>
      <c r="Z58" s="148">
        <f t="shared" si="10"/>
        <v>1.0117948090934478E-6</v>
      </c>
      <c r="AA58" s="141"/>
      <c r="AE58" s="149"/>
      <c r="AF58" s="149"/>
      <c r="AH58" s="149"/>
    </row>
    <row r="59" spans="2:34" ht="41.25" customHeight="1">
      <c r="B59" s="145" t="s">
        <v>125</v>
      </c>
      <c r="C59" s="141"/>
      <c r="D59" s="146">
        <v>8700000</v>
      </c>
      <c r="E59" s="146"/>
      <c r="F59" s="146">
        <v>160860885581</v>
      </c>
      <c r="G59" s="146"/>
      <c r="H59" s="146">
        <v>241026352080</v>
      </c>
      <c r="I59" s="146">
        <v>24781666.5</v>
      </c>
      <c r="J59" s="146">
        <v>0</v>
      </c>
      <c r="K59" s="146"/>
      <c r="L59" s="146">
        <v>0</v>
      </c>
      <c r="M59" s="146"/>
      <c r="N59" s="146">
        <v>-700000</v>
      </c>
      <c r="O59" s="146"/>
      <c r="P59" s="146">
        <v>18926123762</v>
      </c>
      <c r="Q59" s="146"/>
      <c r="R59" s="146">
        <v>8000000</v>
      </c>
      <c r="S59" s="146"/>
      <c r="T59" s="146">
        <v>27010</v>
      </c>
      <c r="U59" s="146"/>
      <c r="V59" s="146">
        <v>147918055705</v>
      </c>
      <c r="W59" s="146"/>
      <c r="X59" s="146">
        <v>214409701600</v>
      </c>
      <c r="Y59" s="147"/>
      <c r="Z59" s="148">
        <f t="shared" si="10"/>
        <v>2.2636018068022599E-2</v>
      </c>
      <c r="AA59" s="141"/>
      <c r="AE59" s="149"/>
      <c r="AF59" s="149"/>
      <c r="AH59" s="149"/>
    </row>
    <row r="60" spans="2:34" ht="41.25" customHeight="1">
      <c r="B60" s="145" t="s">
        <v>134</v>
      </c>
      <c r="C60" s="141"/>
      <c r="D60" s="146">
        <v>11000000</v>
      </c>
      <c r="E60" s="146"/>
      <c r="F60" s="146">
        <v>130836771996</v>
      </c>
      <c r="G60" s="146"/>
      <c r="H60" s="146">
        <v>165361795500</v>
      </c>
      <c r="I60" s="146">
        <v>149862978000</v>
      </c>
      <c r="J60" s="146">
        <v>0</v>
      </c>
      <c r="K60" s="146"/>
      <c r="L60" s="146">
        <v>0</v>
      </c>
      <c r="M60" s="146"/>
      <c r="N60" s="146">
        <v>-1000000</v>
      </c>
      <c r="O60" s="146"/>
      <c r="P60" s="146">
        <v>14342852715</v>
      </c>
      <c r="Q60" s="146"/>
      <c r="R60" s="146">
        <v>10000000</v>
      </c>
      <c r="S60" s="146"/>
      <c r="T60" s="146">
        <v>14860</v>
      </c>
      <c r="U60" s="146"/>
      <c r="V60" s="146">
        <v>118942519994</v>
      </c>
      <c r="W60" s="146"/>
      <c r="X60" s="146">
        <v>147451322000</v>
      </c>
      <c r="Y60" s="147"/>
      <c r="Z60" s="148">
        <f t="shared" si="10"/>
        <v>1.5566976512903362E-2</v>
      </c>
      <c r="AA60" s="141"/>
      <c r="AE60" s="149"/>
      <c r="AF60" s="149"/>
      <c r="AH60" s="149"/>
    </row>
    <row r="61" spans="2:34" ht="41.25" customHeight="1">
      <c r="B61" s="145" t="s">
        <v>126</v>
      </c>
      <c r="C61" s="141"/>
      <c r="D61" s="146">
        <v>1000</v>
      </c>
      <c r="E61" s="146"/>
      <c r="F61" s="146">
        <v>483356</v>
      </c>
      <c r="G61" s="146"/>
      <c r="H61" s="146">
        <v>400877.08</v>
      </c>
      <c r="I61" s="146">
        <v>142188912000</v>
      </c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1000</v>
      </c>
      <c r="S61" s="146"/>
      <c r="T61" s="146">
        <v>423</v>
      </c>
      <c r="U61" s="146"/>
      <c r="V61" s="146">
        <v>483356</v>
      </c>
      <c r="W61" s="146"/>
      <c r="X61" s="146">
        <v>419730.21</v>
      </c>
      <c r="Y61" s="147"/>
      <c r="Z61" s="148">
        <f t="shared" si="10"/>
        <v>4.4312456695545909E-8</v>
      </c>
      <c r="AA61" s="141"/>
      <c r="AE61" s="149"/>
      <c r="AF61" s="149"/>
      <c r="AH61" s="149"/>
    </row>
    <row r="62" spans="2:34" ht="41.25" customHeight="1">
      <c r="B62" s="145" t="s">
        <v>127</v>
      </c>
      <c r="C62" s="141"/>
      <c r="D62" s="146">
        <v>1068</v>
      </c>
      <c r="E62" s="146"/>
      <c r="F62" s="146">
        <v>2644103</v>
      </c>
      <c r="G62" s="146"/>
      <c r="H62" s="146">
        <v>2195790.3139200001</v>
      </c>
      <c r="I62" s="146">
        <v>16610575.5</v>
      </c>
      <c r="J62" s="146">
        <v>0</v>
      </c>
      <c r="K62" s="146"/>
      <c r="L62" s="146">
        <v>0</v>
      </c>
      <c r="M62" s="146"/>
      <c r="N62" s="146">
        <v>0</v>
      </c>
      <c r="O62" s="146"/>
      <c r="P62" s="146">
        <v>0</v>
      </c>
      <c r="Q62" s="146"/>
      <c r="R62" s="146">
        <v>1068</v>
      </c>
      <c r="S62" s="146"/>
      <c r="T62" s="146">
        <v>1995</v>
      </c>
      <c r="U62" s="146"/>
      <c r="V62" s="146">
        <v>2644103</v>
      </c>
      <c r="W62" s="146"/>
      <c r="X62" s="146">
        <v>2114189.9981999998</v>
      </c>
      <c r="Y62" s="147"/>
      <c r="Z62" s="148">
        <f t="shared" si="10"/>
        <v>2.2320278719369228E-7</v>
      </c>
      <c r="AA62" s="141"/>
      <c r="AE62" s="149"/>
      <c r="AF62" s="149"/>
      <c r="AH62" s="149"/>
    </row>
    <row r="63" spans="2:34" ht="41.25" customHeight="1">
      <c r="B63" s="145" t="s">
        <v>128</v>
      </c>
      <c r="C63" s="141"/>
      <c r="D63" s="146">
        <v>1000</v>
      </c>
      <c r="E63" s="146"/>
      <c r="F63" s="146">
        <v>2793360</v>
      </c>
      <c r="G63" s="146"/>
      <c r="H63" s="146">
        <v>2496551.3199999998</v>
      </c>
      <c r="I63" s="146">
        <v>16988314.5</v>
      </c>
      <c r="J63" s="146">
        <v>0</v>
      </c>
      <c r="K63" s="146"/>
      <c r="L63" s="146">
        <v>0</v>
      </c>
      <c r="M63" s="146"/>
      <c r="N63" s="146">
        <v>0</v>
      </c>
      <c r="O63" s="146"/>
      <c r="P63" s="146">
        <v>0</v>
      </c>
      <c r="Q63" s="146"/>
      <c r="R63" s="146">
        <v>1000</v>
      </c>
      <c r="S63" s="146"/>
      <c r="T63" s="146">
        <v>2485</v>
      </c>
      <c r="U63" s="146"/>
      <c r="V63" s="146">
        <v>2793360</v>
      </c>
      <c r="W63" s="146"/>
      <c r="X63" s="146">
        <v>2465790.9500000002</v>
      </c>
      <c r="Y63" s="147"/>
      <c r="Z63" s="148">
        <f t="shared" si="10"/>
        <v>2.6032258838872715E-7</v>
      </c>
      <c r="AA63" s="141"/>
      <c r="AE63" s="149"/>
      <c r="AF63" s="149"/>
      <c r="AH63" s="149"/>
    </row>
    <row r="64" spans="2:34" ht="41.25" customHeight="1">
      <c r="B64" s="145" t="s">
        <v>129</v>
      </c>
      <c r="C64" s="141"/>
      <c r="D64" s="146">
        <v>135000000</v>
      </c>
      <c r="E64" s="146"/>
      <c r="F64" s="146">
        <v>1132089679646</v>
      </c>
      <c r="G64" s="146"/>
      <c r="H64" s="146">
        <v>1813770333000</v>
      </c>
      <c r="I64" s="146">
        <v>308105797500</v>
      </c>
      <c r="J64" s="146">
        <v>0</v>
      </c>
      <c r="K64" s="146"/>
      <c r="L64" s="146">
        <v>0</v>
      </c>
      <c r="M64" s="146"/>
      <c r="N64" s="146">
        <v>-3000000</v>
      </c>
      <c r="O64" s="146"/>
      <c r="P64" s="146">
        <v>38461404674</v>
      </c>
      <c r="Q64" s="146"/>
      <c r="R64" s="146">
        <v>132000000</v>
      </c>
      <c r="S64" s="146"/>
      <c r="T64" s="146">
        <v>13700</v>
      </c>
      <c r="U64" s="146"/>
      <c r="V64" s="146">
        <v>1106932131211</v>
      </c>
      <c r="W64" s="146"/>
      <c r="X64" s="146">
        <v>1794421068000</v>
      </c>
      <c r="Y64" s="147"/>
      <c r="Z64" s="148">
        <f t="shared" si="10"/>
        <v>0.1894436091920218</v>
      </c>
      <c r="AA64" s="141"/>
      <c r="AE64" s="149"/>
      <c r="AF64" s="149"/>
      <c r="AH64" s="149"/>
    </row>
    <row r="65" spans="2:34" ht="41.25" customHeight="1">
      <c r="B65" s="145" t="s">
        <v>261</v>
      </c>
      <c r="C65" s="141"/>
      <c r="D65" s="146">
        <v>257500</v>
      </c>
      <c r="E65" s="146"/>
      <c r="F65" s="146">
        <v>4270463617</v>
      </c>
      <c r="G65" s="146"/>
      <c r="H65" s="146">
        <v>4203131684</v>
      </c>
      <c r="I65" s="146">
        <v>227635959360</v>
      </c>
      <c r="J65" s="146">
        <v>0</v>
      </c>
      <c r="K65" s="146"/>
      <c r="L65" s="146">
        <v>0</v>
      </c>
      <c r="M65" s="146"/>
      <c r="N65" s="146">
        <v>0</v>
      </c>
      <c r="O65" s="146"/>
      <c r="P65" s="146">
        <v>0</v>
      </c>
      <c r="Q65" s="146"/>
      <c r="R65" s="146">
        <v>257500</v>
      </c>
      <c r="S65" s="146"/>
      <c r="T65" s="146">
        <v>15480</v>
      </c>
      <c r="U65" s="146"/>
      <c r="V65" s="146">
        <v>4270463617</v>
      </c>
      <c r="W65" s="146"/>
      <c r="X65" s="146">
        <v>3955287447</v>
      </c>
      <c r="Y65" s="147"/>
      <c r="Z65" s="148">
        <f t="shared" si="10"/>
        <v>4.1757419298845278E-4</v>
      </c>
      <c r="AA65" s="141"/>
      <c r="AE65" s="149"/>
      <c r="AF65" s="149"/>
      <c r="AH65" s="149"/>
    </row>
    <row r="66" spans="2:34" ht="41.25" customHeight="1">
      <c r="B66" s="145" t="s">
        <v>282</v>
      </c>
      <c r="C66" s="141"/>
      <c r="D66" s="146">
        <v>1500000</v>
      </c>
      <c r="E66" s="146"/>
      <c r="F66" s="146">
        <v>12115074660</v>
      </c>
      <c r="G66" s="146"/>
      <c r="H66" s="146">
        <v>14095195350</v>
      </c>
      <c r="I66" s="146">
        <v>289349068050</v>
      </c>
      <c r="J66" s="146">
        <v>0</v>
      </c>
      <c r="K66" s="146"/>
      <c r="L66" s="146">
        <v>0</v>
      </c>
      <c r="M66" s="146"/>
      <c r="N66" s="146">
        <v>-750000</v>
      </c>
      <c r="O66" s="146"/>
      <c r="P66" s="146">
        <v>6888840246</v>
      </c>
      <c r="Q66" s="146"/>
      <c r="R66" s="146">
        <v>750000</v>
      </c>
      <c r="S66" s="146"/>
      <c r="T66" s="146">
        <v>8810</v>
      </c>
      <c r="U66" s="146"/>
      <c r="V66" s="146">
        <v>6057537334</v>
      </c>
      <c r="W66" s="146"/>
      <c r="X66" s="146">
        <v>6556424025</v>
      </c>
      <c r="Y66" s="147"/>
      <c r="Z66" s="148">
        <f t="shared" si="10"/>
        <v>6.9218571540382884E-4</v>
      </c>
      <c r="AA66" s="141"/>
      <c r="AE66" s="149"/>
      <c r="AF66" s="149"/>
      <c r="AH66" s="149"/>
    </row>
    <row r="67" spans="2:34" ht="41.25" customHeight="1">
      <c r="B67" s="145" t="s">
        <v>251</v>
      </c>
      <c r="C67" s="141"/>
      <c r="D67" s="146">
        <v>360000</v>
      </c>
      <c r="E67" s="146"/>
      <c r="F67" s="146">
        <v>3620597726</v>
      </c>
      <c r="G67" s="146"/>
      <c r="H67" s="146">
        <v>4254456850</v>
      </c>
      <c r="I67" s="146"/>
      <c r="J67" s="146">
        <v>0</v>
      </c>
      <c r="K67" s="146"/>
      <c r="L67" s="146">
        <v>0</v>
      </c>
      <c r="M67" s="146"/>
      <c r="N67" s="146">
        <v>0</v>
      </c>
      <c r="O67" s="146"/>
      <c r="P67" s="146">
        <v>0</v>
      </c>
      <c r="Q67" s="146"/>
      <c r="R67" s="146">
        <v>360000</v>
      </c>
      <c r="S67" s="146"/>
      <c r="T67" s="146">
        <v>10820</v>
      </c>
      <c r="U67" s="146"/>
      <c r="V67" s="146">
        <v>3620597726</v>
      </c>
      <c r="W67" s="146"/>
      <c r="X67" s="146">
        <v>3865090100</v>
      </c>
      <c r="Y67" s="147"/>
      <c r="Z67" s="148">
        <f>X67/$Z$78</f>
        <v>4.0805172846775361E-4</v>
      </c>
      <c r="AA67" s="141"/>
      <c r="AE67" s="149"/>
      <c r="AF67" s="149"/>
      <c r="AH67" s="149"/>
    </row>
    <row r="68" spans="2:34" ht="41.25" customHeight="1">
      <c r="B68" s="145" t="s">
        <v>139</v>
      </c>
      <c r="C68" s="141"/>
      <c r="D68" s="146">
        <v>22000000</v>
      </c>
      <c r="E68" s="146"/>
      <c r="F68" s="146">
        <v>164387531060</v>
      </c>
      <c r="G68" s="146"/>
      <c r="H68" s="146">
        <v>121374466400</v>
      </c>
      <c r="I68" s="146"/>
      <c r="J68" s="146">
        <v>0</v>
      </c>
      <c r="K68" s="146"/>
      <c r="L68" s="146">
        <v>0</v>
      </c>
      <c r="M68" s="146"/>
      <c r="N68" s="146">
        <v>-4000000</v>
      </c>
      <c r="O68" s="146"/>
      <c r="P68" s="146">
        <v>21623573118</v>
      </c>
      <c r="Q68" s="146"/>
      <c r="R68" s="146">
        <v>18000000</v>
      </c>
      <c r="S68" s="146"/>
      <c r="T68" s="146">
        <v>5750</v>
      </c>
      <c r="U68" s="146"/>
      <c r="V68" s="146">
        <v>134498889052</v>
      </c>
      <c r="W68" s="146"/>
      <c r="X68" s="146">
        <v>102699945000</v>
      </c>
      <c r="Y68" s="147"/>
      <c r="Z68" s="148">
        <f t="shared" si="10"/>
        <v>1.0842409616995275E-2</v>
      </c>
      <c r="AA68" s="141"/>
      <c r="AE68" s="149"/>
      <c r="AF68" s="149"/>
      <c r="AH68" s="149"/>
    </row>
    <row r="69" spans="2:34" ht="41.25" customHeight="1">
      <c r="B69" s="145" t="s">
        <v>259</v>
      </c>
      <c r="C69" s="141"/>
      <c r="D69" s="146">
        <v>133750</v>
      </c>
      <c r="E69" s="146"/>
      <c r="F69" s="146">
        <v>3787614251</v>
      </c>
      <c r="G69" s="146"/>
      <c r="H69" s="146">
        <v>5122841940</v>
      </c>
      <c r="I69" s="146"/>
      <c r="J69" s="146">
        <v>0</v>
      </c>
      <c r="K69" s="146"/>
      <c r="L69" s="146">
        <v>0</v>
      </c>
      <c r="M69" s="146"/>
      <c r="N69" s="146">
        <v>0</v>
      </c>
      <c r="O69" s="146"/>
      <c r="P69" s="146">
        <v>0</v>
      </c>
      <c r="Q69" s="146"/>
      <c r="R69" s="146">
        <v>133750</v>
      </c>
      <c r="S69" s="146"/>
      <c r="T69" s="146">
        <v>37850</v>
      </c>
      <c r="U69" s="146"/>
      <c r="V69" s="146">
        <v>3787614251</v>
      </c>
      <c r="W69" s="146"/>
      <c r="X69" s="146">
        <v>5023304850</v>
      </c>
      <c r="Y69" s="147"/>
      <c r="Z69" s="148">
        <f t="shared" si="10"/>
        <v>5.3032870479861514E-4</v>
      </c>
      <c r="AA69" s="141"/>
      <c r="AE69" s="149"/>
      <c r="AF69" s="149"/>
      <c r="AH69" s="149"/>
    </row>
    <row r="70" spans="2:34" ht="41.25" customHeight="1">
      <c r="B70" s="145" t="s">
        <v>290</v>
      </c>
      <c r="C70" s="141"/>
      <c r="D70" s="146">
        <v>0</v>
      </c>
      <c r="E70" s="146"/>
      <c r="F70" s="146">
        <v>0</v>
      </c>
      <c r="G70" s="146"/>
      <c r="H70" s="146">
        <v>0</v>
      </c>
      <c r="I70" s="146"/>
      <c r="J70" s="146">
        <v>2488889</v>
      </c>
      <c r="K70" s="146"/>
      <c r="L70" s="146">
        <v>19970845336</v>
      </c>
      <c r="M70" s="146"/>
      <c r="N70" s="146">
        <v>0</v>
      </c>
      <c r="O70" s="146"/>
      <c r="P70" s="146">
        <v>0</v>
      </c>
      <c r="Q70" s="146"/>
      <c r="R70" s="146">
        <v>2488889</v>
      </c>
      <c r="S70" s="146"/>
      <c r="T70" s="146">
        <v>8927</v>
      </c>
      <c r="U70" s="146"/>
      <c r="V70" s="146">
        <v>19970845336</v>
      </c>
      <c r="W70" s="146"/>
      <c r="X70" s="146">
        <v>22046564550.443802</v>
      </c>
      <c r="Y70" s="147"/>
      <c r="Z70" s="148">
        <f t="shared" si="10"/>
        <v>2.3275366262702378E-3</v>
      </c>
      <c r="AA70" s="141"/>
      <c r="AE70" s="149"/>
      <c r="AF70" s="149"/>
      <c r="AH70" s="149"/>
    </row>
    <row r="71" spans="2:34" ht="41.25" customHeight="1" thickBot="1">
      <c r="B71" s="135" t="s">
        <v>7</v>
      </c>
      <c r="C71" s="141"/>
      <c r="D71" s="127">
        <f>SUM(D56:D70)</f>
        <v>2552163741</v>
      </c>
      <c r="E71" s="127" t="e">
        <f>SUM(E9:E70)</f>
        <v>#REF!</v>
      </c>
      <c r="F71" s="127">
        <f>SUM(F56:F70)</f>
        <v>8295381110692</v>
      </c>
      <c r="G71" s="127" t="e">
        <f>SUM(G9:G70)</f>
        <v>#REF!</v>
      </c>
      <c r="H71" s="127">
        <f>SUM(H56:H70)</f>
        <v>10434805486680.664</v>
      </c>
      <c r="I71" s="127">
        <f>SUM(I9:I70)</f>
        <v>1271441869666.5</v>
      </c>
      <c r="J71" s="127">
        <f>SUM(J56:J70)</f>
        <v>307722279</v>
      </c>
      <c r="K71" s="127" t="e">
        <f>SUM(K9:K70)</f>
        <v>#REF!</v>
      </c>
      <c r="L71" s="127">
        <f>SUM(L56:L70)</f>
        <v>19970845336</v>
      </c>
      <c r="M71" s="127" t="e">
        <f>SUM(M9:M70)</f>
        <v>#REF!</v>
      </c>
      <c r="N71" s="296">
        <f>SUM(N56:N70)</f>
        <v>-209238752</v>
      </c>
      <c r="O71" s="127" t="e">
        <f>SUM(O9:O70)</f>
        <v>#REF!</v>
      </c>
      <c r="P71" s="127">
        <f>SUM(P56:P70)</f>
        <v>880416511874</v>
      </c>
      <c r="Q71" s="127" t="e">
        <f>SUM(Q9:Q70)</f>
        <v>#REF!</v>
      </c>
      <c r="R71" s="127">
        <f>SUM(R56:R70)</f>
        <v>2650647268</v>
      </c>
      <c r="S71" s="127" t="e">
        <f>SUM(S9:S70)</f>
        <v>#REF!</v>
      </c>
      <c r="T71" s="127">
        <f>SUM(T56:T70)</f>
        <v>625290</v>
      </c>
      <c r="U71" s="127" t="e">
        <f>SUM(U9:U70)</f>
        <v>#REF!</v>
      </c>
      <c r="V71" s="127">
        <f>SUM(V56:V70)</f>
        <v>7564283659692</v>
      </c>
      <c r="W71" s="127" t="e">
        <f>SUM(W9:W70)</f>
        <v>#REF!</v>
      </c>
      <c r="X71" s="127">
        <f>SUM(X56:X70)</f>
        <v>9256398187042.1328</v>
      </c>
      <c r="Y71" s="127" t="e">
        <f>SUM(Y9:Y70)</f>
        <v>#REF!</v>
      </c>
      <c r="Z71" s="404">
        <f>SUM(Z56:Z70)</f>
        <v>0.97723188383327075</v>
      </c>
      <c r="AC71" s="152"/>
    </row>
    <row r="72" spans="2:34" ht="30" thickTop="1">
      <c r="H72" s="288"/>
      <c r="J72" s="149"/>
      <c r="L72" s="149"/>
      <c r="N72" s="124"/>
      <c r="O72" s="124"/>
      <c r="P72" s="149"/>
      <c r="X72" s="149"/>
      <c r="Z72" s="272"/>
      <c r="AC72" s="152"/>
    </row>
    <row r="73" spans="2:34" ht="30" hidden="1" customHeight="1">
      <c r="H73" s="288"/>
      <c r="W73" s="124"/>
      <c r="X73" s="124"/>
      <c r="Z73" s="272"/>
      <c r="AC73" s="152"/>
    </row>
    <row r="74" spans="2:34" ht="42.75" customHeight="1">
      <c r="D74" s="149"/>
      <c r="F74" s="149"/>
      <c r="H74" s="274"/>
      <c r="J74" s="149"/>
      <c r="L74" s="149"/>
      <c r="M74" s="149"/>
      <c r="N74" s="149"/>
      <c r="O74" s="149"/>
      <c r="P74" s="149"/>
      <c r="R74" s="149"/>
      <c r="T74" s="149"/>
      <c r="V74" s="149"/>
      <c r="X74" s="289"/>
      <c r="Z74" s="272"/>
      <c r="AC74" s="152"/>
    </row>
    <row r="75" spans="2:34" ht="29.5">
      <c r="D75" s="154"/>
      <c r="E75" s="154"/>
      <c r="F75" s="154"/>
      <c r="G75" s="154"/>
      <c r="H75" s="274"/>
      <c r="I75" s="154"/>
      <c r="J75" s="154"/>
      <c r="K75" s="154"/>
      <c r="L75" s="154"/>
      <c r="M75" s="154"/>
      <c r="N75" s="154"/>
      <c r="O75" s="154"/>
      <c r="P75" s="154"/>
      <c r="R75" s="154"/>
      <c r="S75" s="154"/>
      <c r="T75" s="154"/>
      <c r="W75" s="124"/>
      <c r="X75" s="275"/>
      <c r="Z75" s="272"/>
      <c r="AC75" s="152"/>
    </row>
    <row r="76" spans="2:34" ht="29.5">
      <c r="H76" s="274"/>
      <c r="J76" s="154"/>
      <c r="L76" s="149"/>
      <c r="N76" s="154"/>
      <c r="P76" s="149"/>
      <c r="X76" s="274"/>
      <c r="AC76" s="152"/>
    </row>
    <row r="77" spans="2:34">
      <c r="P77" s="149"/>
      <c r="X77" s="154"/>
      <c r="Z77" s="253"/>
      <c r="AC77" s="152"/>
    </row>
    <row r="78" spans="2:34" ht="29.5">
      <c r="H78" s="154"/>
      <c r="P78" s="149"/>
      <c r="R78" s="291"/>
      <c r="Z78" s="314">
        <v>9472059129644</v>
      </c>
      <c r="AC78" s="152"/>
    </row>
    <row r="79" spans="2:34">
      <c r="P79" s="149"/>
      <c r="Z79" s="149"/>
      <c r="AC79" s="152"/>
    </row>
    <row r="80" spans="2:34">
      <c r="P80" s="149"/>
      <c r="Z80" s="146"/>
      <c r="AC80" s="152"/>
    </row>
    <row r="81" spans="16:29">
      <c r="P81" s="149"/>
      <c r="Z81" s="155"/>
      <c r="AC81" s="152"/>
    </row>
    <row r="82" spans="16:29">
      <c r="P82" s="149"/>
      <c r="AC82" s="152"/>
    </row>
    <row r="83" spans="16:29">
      <c r="P83" s="149"/>
      <c r="AC83" s="152"/>
    </row>
    <row r="84" spans="16:29">
      <c r="P84" s="149"/>
      <c r="AC84" s="152"/>
    </row>
    <row r="85" spans="16:29">
      <c r="P85" s="149"/>
      <c r="AC85" s="152"/>
    </row>
    <row r="86" spans="16:29">
      <c r="P86" s="149"/>
      <c r="AC86" s="152"/>
    </row>
    <row r="87" spans="16:29">
      <c r="P87" s="149"/>
      <c r="AC87" s="152"/>
    </row>
    <row r="88" spans="16:29">
      <c r="P88" s="149"/>
      <c r="AC88" s="152"/>
    </row>
    <row r="89" spans="16:29">
      <c r="P89" s="149"/>
      <c r="AC89" s="152"/>
    </row>
    <row r="90" spans="16:29">
      <c r="P90" s="149"/>
      <c r="AC90" s="152"/>
    </row>
    <row r="91" spans="16:29">
      <c r="P91" s="149"/>
      <c r="AC91" s="152"/>
    </row>
    <row r="92" spans="16:29">
      <c r="P92" s="149"/>
      <c r="AC92" s="152"/>
    </row>
    <row r="93" spans="16:29">
      <c r="P93" s="149"/>
      <c r="AC93" s="152"/>
    </row>
    <row r="94" spans="16:29">
      <c r="P94" s="149"/>
      <c r="AC94" s="152"/>
    </row>
    <row r="95" spans="16:29">
      <c r="P95" s="149"/>
      <c r="AC95" s="152"/>
    </row>
    <row r="96" spans="16:29">
      <c r="P96" s="149"/>
      <c r="AC96" s="152"/>
    </row>
    <row r="97" spans="16:29">
      <c r="P97" s="149"/>
      <c r="AC97" s="152"/>
    </row>
    <row r="98" spans="16:29">
      <c r="P98" s="149"/>
      <c r="AC98" s="152"/>
    </row>
    <row r="99" spans="16:29">
      <c r="P99" s="149"/>
      <c r="AC99" s="152"/>
    </row>
    <row r="100" spans="16:29">
      <c r="P100" s="149"/>
      <c r="AC100" s="152"/>
    </row>
    <row r="101" spans="16:29">
      <c r="P101" s="149"/>
      <c r="AC101" s="152"/>
    </row>
    <row r="102" spans="16:29">
      <c r="P102" s="149"/>
      <c r="AC102" s="152"/>
    </row>
    <row r="103" spans="16:29">
      <c r="P103" s="149"/>
      <c r="AC103" s="156"/>
    </row>
    <row r="104" spans="16:29">
      <c r="P104" s="149"/>
      <c r="AC104" s="152"/>
    </row>
    <row r="105" spans="16:29">
      <c r="P105" s="149"/>
      <c r="AC105" s="152"/>
    </row>
    <row r="106" spans="16:29">
      <c r="P106" s="149"/>
      <c r="AC106" s="152"/>
    </row>
    <row r="107" spans="16:29">
      <c r="P107" s="149"/>
      <c r="AC107" s="152"/>
    </row>
    <row r="108" spans="16:29">
      <c r="P108" s="149"/>
      <c r="AC108" s="152"/>
    </row>
    <row r="109" spans="16:29">
      <c r="P109" s="149"/>
      <c r="AC109" s="152"/>
    </row>
    <row r="110" spans="16:29">
      <c r="P110" s="149"/>
      <c r="AC110" s="152"/>
    </row>
    <row r="111" spans="16:29">
      <c r="P111" s="149"/>
      <c r="AC111" s="152"/>
    </row>
    <row r="112" spans="16:29">
      <c r="P112" s="149"/>
      <c r="AC112" s="152"/>
    </row>
    <row r="113" spans="16:29">
      <c r="P113" s="149"/>
      <c r="AC113" s="152"/>
    </row>
    <row r="114" spans="16:29">
      <c r="P114" s="149"/>
      <c r="AC114" s="152"/>
    </row>
    <row r="115" spans="16:29">
      <c r="P115" s="149"/>
      <c r="AC115" s="152"/>
    </row>
    <row r="116" spans="16:29">
      <c r="P116" s="149"/>
    </row>
    <row r="117" spans="16:29">
      <c r="P117" s="149"/>
    </row>
    <row r="118" spans="16:29">
      <c r="P118" s="149"/>
    </row>
    <row r="119" spans="16:29">
      <c r="P119" s="149"/>
    </row>
    <row r="120" spans="16:29">
      <c r="P120" s="149"/>
    </row>
    <row r="121" spans="16:29">
      <c r="P121" s="149"/>
    </row>
    <row r="122" spans="16:29">
      <c r="P122" s="149"/>
    </row>
    <row r="123" spans="16:29">
      <c r="P123" s="149"/>
    </row>
    <row r="124" spans="16:29">
      <c r="P124" s="149"/>
    </row>
  </sheetData>
  <mergeCells count="43">
    <mergeCell ref="T54:T55"/>
    <mergeCell ref="V54:V55"/>
    <mergeCell ref="W54:W55"/>
    <mergeCell ref="X54:X55"/>
    <mergeCell ref="Z54:Z55"/>
    <mergeCell ref="H54:H55"/>
    <mergeCell ref="J54:L54"/>
    <mergeCell ref="N54:P54"/>
    <mergeCell ref="R54:R55"/>
    <mergeCell ref="S54:S55"/>
    <mergeCell ref="B54:B55"/>
    <mergeCell ref="D54:D55"/>
    <mergeCell ref="E54:E55"/>
    <mergeCell ref="F54:F55"/>
    <mergeCell ref="G54:G55"/>
    <mergeCell ref="B51:Z51"/>
    <mergeCell ref="B52:Z52"/>
    <mergeCell ref="D53:H53"/>
    <mergeCell ref="J53:P53"/>
    <mergeCell ref="R53:Z53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D6:H6"/>
    <mergeCell ref="R6:Z6"/>
    <mergeCell ref="G7:G8"/>
    <mergeCell ref="H7:H8"/>
    <mergeCell ref="X7:X8"/>
    <mergeCell ref="T7:T8"/>
    <mergeCell ref="Z7:Z8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796875" defaultRowHeight="21.5"/>
  <cols>
    <col min="1" max="1" width="2.54296875" style="1" customWidth="1"/>
    <col min="2" max="2" width="31.26953125" style="1" customWidth="1"/>
    <col min="3" max="3" width="0.26953125" style="1" customWidth="1"/>
    <col min="4" max="4" width="17.1796875" style="1" bestFit="1" customWidth="1"/>
    <col min="5" max="5" width="0.26953125" style="1" customWidth="1"/>
    <col min="6" max="6" width="13.453125" style="1" bestFit="1" customWidth="1"/>
    <col min="7" max="7" width="0.7265625" style="1" customWidth="1"/>
    <col min="8" max="8" width="12.453125" style="1" bestFit="1" customWidth="1"/>
    <col min="9" max="9" width="0.7265625" style="1" customWidth="1"/>
    <col min="10" max="10" width="14.81640625" style="1" bestFit="1" customWidth="1"/>
    <col min="11" max="11" width="0.26953125" style="1" customWidth="1"/>
    <col min="12" max="12" width="17.1796875" style="1" bestFit="1" customWidth="1"/>
    <col min="13" max="13" width="0.7265625" style="1" customWidth="1"/>
    <col min="14" max="14" width="13.453125" style="1" bestFit="1" customWidth="1"/>
    <col min="15" max="15" width="0.26953125" style="1" customWidth="1"/>
    <col min="16" max="16" width="12.453125" style="1" bestFit="1" customWidth="1"/>
    <col min="17" max="17" width="0.26953125" style="1" customWidth="1"/>
    <col min="18" max="18" width="14.81640625" style="1" bestFit="1" customWidth="1"/>
    <col min="19" max="16384" width="9.1796875" style="1"/>
  </cols>
  <sheetData>
    <row r="1" spans="2:18" ht="23">
      <c r="B1" s="334" t="str">
        <f>' سهام'!B1:Z1</f>
        <v>صندوق سرمایه گذاری شاخص سی شرکت بزرگ فیروزه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</row>
    <row r="2" spans="2:18" ht="23">
      <c r="B2" s="334" t="s">
        <v>81</v>
      </c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</row>
    <row r="3" spans="2:18" ht="23">
      <c r="B3" s="334" t="str">
        <f>' سهام'!AC6</f>
        <v>برای ماه منتهی به 1404/12/29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</row>
    <row r="4" spans="2:18" ht="23">
      <c r="B4" s="34" t="s">
        <v>82</v>
      </c>
      <c r="C4" s="34"/>
      <c r="D4" s="34"/>
      <c r="E4" s="34"/>
      <c r="F4" s="34"/>
      <c r="G4" s="34"/>
      <c r="H4" s="34"/>
      <c r="I4" s="34"/>
      <c r="J4" s="34"/>
    </row>
    <row r="5" spans="2:18" ht="23.5" thickBot="1">
      <c r="B5" s="8"/>
      <c r="C5" s="8"/>
      <c r="D5" s="9"/>
      <c r="E5" s="9"/>
      <c r="F5" s="9"/>
      <c r="G5" s="9"/>
      <c r="H5" s="9"/>
      <c r="I5" s="9"/>
      <c r="J5" s="9"/>
    </row>
    <row r="6" spans="2:18" ht="23.5" thickBot="1">
      <c r="B6" s="8"/>
      <c r="C6" s="8"/>
      <c r="D6" s="333" t="str">
        <f>' سهام'!AC4</f>
        <v>1404/11/30</v>
      </c>
      <c r="E6" s="333"/>
      <c r="F6" s="333"/>
      <c r="G6" s="333"/>
      <c r="H6" s="333"/>
      <c r="I6" s="333"/>
      <c r="J6" s="333"/>
      <c r="L6" s="333" t="str">
        <f>' سهام'!AC5</f>
        <v>1404/12/29</v>
      </c>
      <c r="M6" s="333"/>
      <c r="N6" s="333"/>
      <c r="O6" s="333"/>
      <c r="P6" s="333"/>
      <c r="Q6" s="333"/>
      <c r="R6" s="333"/>
    </row>
    <row r="7" spans="2:18" ht="23.5" thickBot="1">
      <c r="B7" s="10" t="s">
        <v>45</v>
      </c>
      <c r="C7" s="8"/>
      <c r="D7" s="10" t="s">
        <v>46</v>
      </c>
      <c r="E7" s="8"/>
      <c r="F7" s="10" t="s">
        <v>47</v>
      </c>
      <c r="G7" s="8"/>
      <c r="H7" s="10" t="s">
        <v>48</v>
      </c>
      <c r="I7" s="8"/>
      <c r="J7" s="10" t="s">
        <v>49</v>
      </c>
      <c r="L7" s="10" t="s">
        <v>46</v>
      </c>
      <c r="M7" s="8"/>
      <c r="N7" s="10" t="s">
        <v>47</v>
      </c>
      <c r="O7" s="8"/>
      <c r="P7" s="10" t="s">
        <v>48</v>
      </c>
      <c r="Q7" s="8"/>
      <c r="R7" s="10" t="s">
        <v>49</v>
      </c>
    </row>
    <row r="8" spans="2:18" ht="22" thickBot="1">
      <c r="B8" s="3"/>
      <c r="C8" s="3"/>
      <c r="D8" s="67" t="s">
        <v>102</v>
      </c>
      <c r="E8" s="59"/>
      <c r="F8" s="58" t="s">
        <v>102</v>
      </c>
      <c r="G8" s="5"/>
      <c r="H8" s="5" t="s">
        <v>102</v>
      </c>
      <c r="I8" s="5"/>
      <c r="J8" s="60">
        <v>0</v>
      </c>
      <c r="L8" s="65">
        <v>0</v>
      </c>
      <c r="M8" s="5"/>
      <c r="N8" s="67" t="s">
        <v>102</v>
      </c>
      <c r="O8" s="5"/>
      <c r="P8" s="5" t="s">
        <v>102</v>
      </c>
      <c r="Q8" s="5"/>
      <c r="R8" s="60">
        <v>0</v>
      </c>
    </row>
    <row r="9" spans="2:18" ht="22" thickBot="1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2" thickTop="1"/>
    <row r="14" spans="2:18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796875" defaultRowHeight="21.5"/>
  <cols>
    <col min="1" max="1" width="31.26953125" style="1" customWidth="1"/>
    <col min="2" max="2" width="0.7265625" style="1" customWidth="1"/>
    <col min="3" max="3" width="9" style="1" customWidth="1"/>
    <col min="4" max="4" width="0.7265625" style="1" customWidth="1"/>
    <col min="5" max="5" width="12.1796875" style="1" customWidth="1"/>
    <col min="6" max="6" width="1" style="1" customWidth="1"/>
    <col min="7" max="7" width="16.7265625" style="1" customWidth="1"/>
    <col min="8" max="8" width="0.7265625" style="1" customWidth="1"/>
    <col min="9" max="9" width="14.453125" style="1" customWidth="1"/>
    <col min="10" max="10" width="0.81640625" style="1" customWidth="1"/>
    <col min="11" max="11" width="22.1796875" style="1" customWidth="1"/>
    <col min="12" max="12" width="0.7265625" style="1" customWidth="1"/>
    <col min="13" max="13" width="10.81640625" style="1" customWidth="1"/>
    <col min="14" max="16384" width="9.1796875" style="1"/>
  </cols>
  <sheetData>
    <row r="1" spans="1:16" ht="23">
      <c r="A1" s="334" t="str">
        <f>اوراق!B1</f>
        <v>صندوق سرمایه گذاری شاخص سی شرکت بزرگ فیروزه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</row>
    <row r="2" spans="1:16" ht="23">
      <c r="A2" s="334" t="s">
        <v>81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</row>
    <row r="3" spans="1:16" ht="23">
      <c r="A3" s="334" t="str">
        <f>' سهام'!AC6</f>
        <v>برای ماه منتهی به 1404/12/29</v>
      </c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</row>
    <row r="4" spans="1:16" ht="25.5" customHeight="1">
      <c r="A4" s="336" t="s">
        <v>51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</row>
    <row r="5" spans="1:16" ht="23">
      <c r="A5" s="336" t="s">
        <v>50</v>
      </c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</row>
    <row r="6" spans="1:16" ht="19.5" customHeight="1" thickBot="1">
      <c r="C6" s="343" t="str">
        <f>' سهام'!AC5</f>
        <v>1404/12/29</v>
      </c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</row>
    <row r="7" spans="1:16" ht="31.5" customHeight="1">
      <c r="A7" s="339" t="s">
        <v>20</v>
      </c>
      <c r="C7" s="341" t="s">
        <v>8</v>
      </c>
      <c r="E7" s="337" t="s">
        <v>55</v>
      </c>
      <c r="F7" s="337"/>
      <c r="G7" s="337" t="s">
        <v>54</v>
      </c>
      <c r="H7" s="337"/>
      <c r="I7" s="337" t="s">
        <v>52</v>
      </c>
      <c r="J7" s="337"/>
      <c r="K7" s="337" t="s">
        <v>53</v>
      </c>
      <c r="M7" s="337" t="s">
        <v>19</v>
      </c>
      <c r="N7" s="337"/>
      <c r="O7" s="337"/>
      <c r="P7" s="337"/>
    </row>
    <row r="8" spans="1:16" ht="18" customHeight="1" thickBot="1">
      <c r="A8" s="340"/>
      <c r="C8" s="342"/>
      <c r="E8" s="338"/>
      <c r="F8" s="337"/>
      <c r="G8" s="338"/>
      <c r="H8" s="337"/>
      <c r="I8" s="338"/>
      <c r="J8" s="337"/>
      <c r="K8" s="338"/>
      <c r="M8" s="338"/>
      <c r="N8" s="338"/>
      <c r="O8" s="338"/>
      <c r="P8" s="338"/>
    </row>
    <row r="9" spans="1:16" ht="18" customHeight="1" thickBot="1">
      <c r="A9" s="21"/>
      <c r="B9" s="7"/>
      <c r="C9" s="22" t="s">
        <v>102</v>
      </c>
      <c r="D9" s="23"/>
      <c r="E9" s="24" t="s">
        <v>102</v>
      </c>
      <c r="F9" s="25"/>
      <c r="G9" s="24" t="s">
        <v>102</v>
      </c>
      <c r="H9" s="25"/>
      <c r="I9" s="26" t="s">
        <v>102</v>
      </c>
      <c r="J9" s="25"/>
      <c r="K9" s="24" t="s">
        <v>102</v>
      </c>
      <c r="M9" s="338" t="s">
        <v>102</v>
      </c>
      <c r="N9" s="338"/>
      <c r="O9" s="338"/>
      <c r="P9" s="338"/>
    </row>
    <row r="10" spans="1:16" ht="18" customHeight="1" thickBot="1">
      <c r="A10" s="6"/>
      <c r="C10" s="27" t="s">
        <v>102</v>
      </c>
      <c r="E10" s="27" t="s">
        <v>102</v>
      </c>
      <c r="F10" s="5"/>
      <c r="G10" s="27" t="s">
        <v>102</v>
      </c>
      <c r="H10" s="5"/>
      <c r="I10" s="28" t="s">
        <v>102</v>
      </c>
      <c r="J10" s="5"/>
      <c r="K10" s="27" t="s">
        <v>102</v>
      </c>
      <c r="L10" s="5"/>
      <c r="M10" s="335" t="s">
        <v>102</v>
      </c>
      <c r="N10" s="335"/>
      <c r="O10" s="335"/>
      <c r="P10" s="335"/>
    </row>
    <row r="11" spans="1:16" ht="22" thickTop="1"/>
    <row r="12" spans="1:16">
      <c r="M12" s="13"/>
    </row>
  </sheetData>
  <mergeCells count="18">
    <mergeCell ref="A1:P1"/>
    <mergeCell ref="A2:P2"/>
    <mergeCell ref="A3:P3"/>
    <mergeCell ref="M7:P8"/>
    <mergeCell ref="M9:P9"/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796875" defaultRowHeight="21.5"/>
  <cols>
    <col min="1" max="1" width="31.26953125" style="1" customWidth="1"/>
    <col min="2" max="2" width="0.7265625" style="1" customWidth="1"/>
    <col min="3" max="3" width="14.7265625" style="1" customWidth="1"/>
    <col min="4" max="4" width="0.7265625" style="1" customWidth="1"/>
    <col min="5" max="5" width="25.7265625" style="1" customWidth="1"/>
    <col min="6" max="6" width="1" style="1" customWidth="1"/>
    <col min="7" max="7" width="16.1796875" style="1" customWidth="1"/>
    <col min="8" max="8" width="0.7265625" style="1" customWidth="1"/>
    <col min="9" max="9" width="18.1796875" style="1" customWidth="1"/>
    <col min="10" max="10" width="0.7265625" style="1" customWidth="1"/>
    <col min="11" max="11" width="6.26953125" style="1" customWidth="1"/>
    <col min="12" max="12" width="0.7265625" style="1" customWidth="1"/>
    <col min="13" max="13" width="16.26953125" style="1" customWidth="1"/>
    <col min="14" max="14" width="0.7265625" style="1" customWidth="1"/>
    <col min="15" max="15" width="14.453125" style="1" customWidth="1"/>
    <col min="16" max="16" width="0.7265625" style="1" customWidth="1"/>
    <col min="17" max="17" width="12.1796875" style="1" customWidth="1"/>
    <col min="18" max="18" width="15.1796875" style="1" bestFit="1" customWidth="1"/>
    <col min="19" max="19" width="0.26953125" style="1" customWidth="1"/>
    <col min="20" max="20" width="5.26953125" style="1" customWidth="1"/>
    <col min="21" max="21" width="13.1796875" style="1" customWidth="1"/>
    <col min="22" max="22" width="0.26953125" style="1" customWidth="1"/>
    <col min="23" max="23" width="6.1796875" style="1" customWidth="1"/>
    <col min="24" max="24" width="0.26953125" style="1" customWidth="1"/>
    <col min="25" max="25" width="9.26953125" style="1" customWidth="1"/>
    <col min="26" max="26" width="0.7265625" style="1" customWidth="1"/>
    <col min="27" max="27" width="12.1796875" style="1" customWidth="1"/>
    <col min="28" max="28" width="0.26953125" style="1" customWidth="1"/>
    <col min="29" max="29" width="13.7265625" style="1" customWidth="1"/>
    <col min="30" max="16384" width="9.1796875" style="1"/>
  </cols>
  <sheetData>
    <row r="1" spans="1:29" ht="23">
      <c r="A1" s="334" t="str">
        <f>'تعدیل قیمت'!A1:P1</f>
        <v>صندوق سرمایه گذاری شاخص سی شرکت بزرگ فیروزه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</row>
    <row r="2" spans="1:29" ht="23">
      <c r="A2" s="334" t="s">
        <v>81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</row>
    <row r="3" spans="1:29" ht="23">
      <c r="A3" s="334" t="str">
        <f>' سهام'!AC6</f>
        <v>برای ماه منتهی به 1404/12/29</v>
      </c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</row>
    <row r="4" spans="1:29" ht="23">
      <c r="A4" s="336" t="s">
        <v>56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</row>
    <row r="5" spans="1:29" ht="22" thickBot="1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>
      <c r="A6" s="49"/>
      <c r="B6" s="49"/>
      <c r="C6" s="344"/>
      <c r="D6" s="344"/>
      <c r="E6" s="344"/>
      <c r="F6" s="46"/>
      <c r="G6" s="46"/>
      <c r="H6" s="46"/>
      <c r="I6" s="46"/>
      <c r="J6" s="30"/>
      <c r="K6" s="344" t="str">
        <f>' سهام'!AC4</f>
        <v>1404/11/30</v>
      </c>
      <c r="L6" s="344"/>
      <c r="M6" s="344"/>
      <c r="N6" s="344"/>
      <c r="O6" s="344"/>
      <c r="P6" s="52"/>
      <c r="Q6" s="351" t="s">
        <v>16</v>
      </c>
      <c r="R6" s="351"/>
      <c r="S6" s="351"/>
      <c r="T6" s="351"/>
      <c r="U6" s="351"/>
      <c r="W6" s="344" t="str">
        <f>' سهام'!AC5</f>
        <v>1404/12/29</v>
      </c>
      <c r="X6" s="344"/>
      <c r="Y6" s="344"/>
      <c r="Z6" s="344"/>
      <c r="AA6" s="344"/>
      <c r="AB6" s="344"/>
      <c r="AC6" s="344"/>
    </row>
    <row r="7" spans="1:29" ht="54.75" customHeight="1">
      <c r="A7" s="337" t="s">
        <v>59</v>
      </c>
      <c r="B7" s="5"/>
      <c r="C7" s="350" t="s">
        <v>34</v>
      </c>
      <c r="D7" s="3"/>
      <c r="E7" s="348" t="s">
        <v>61</v>
      </c>
      <c r="F7" s="14"/>
      <c r="G7" s="348" t="s">
        <v>58</v>
      </c>
      <c r="H7" s="14"/>
      <c r="I7" s="348" t="s">
        <v>14</v>
      </c>
      <c r="J7" s="3"/>
      <c r="K7" s="353" t="s">
        <v>8</v>
      </c>
      <c r="L7" s="347"/>
      <c r="M7" s="347" t="s">
        <v>3</v>
      </c>
      <c r="N7" s="347"/>
      <c r="O7" s="49" t="s">
        <v>1</v>
      </c>
      <c r="P7" s="2"/>
      <c r="Q7" s="334" t="s">
        <v>9</v>
      </c>
      <c r="R7" s="334"/>
      <c r="S7" s="15"/>
      <c r="T7" s="334" t="s">
        <v>10</v>
      </c>
      <c r="U7" s="334"/>
      <c r="V7" s="8"/>
      <c r="W7" s="345" t="s">
        <v>8</v>
      </c>
      <c r="X7" s="347"/>
      <c r="Y7" s="352" t="s">
        <v>3</v>
      </c>
      <c r="Z7" s="347"/>
      <c r="AA7" s="49" t="s">
        <v>1</v>
      </c>
      <c r="AB7" s="50"/>
      <c r="AC7" s="49" t="s">
        <v>0</v>
      </c>
    </row>
    <row r="8" spans="1:29" ht="33" customHeight="1" thickBot="1">
      <c r="A8" s="338"/>
      <c r="B8" s="5"/>
      <c r="C8" s="349"/>
      <c r="D8" s="3"/>
      <c r="E8" s="349"/>
      <c r="F8" s="14"/>
      <c r="G8" s="349"/>
      <c r="H8" s="14"/>
      <c r="I8" s="349"/>
      <c r="J8" s="3"/>
      <c r="K8" s="346"/>
      <c r="L8" s="347"/>
      <c r="M8" s="344"/>
      <c r="N8" s="347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80</v>
      </c>
      <c r="V8" s="8"/>
      <c r="W8" s="346"/>
      <c r="X8" s="347"/>
      <c r="Y8" s="344"/>
      <c r="Z8" s="347"/>
      <c r="AA8" s="46" t="s">
        <v>2</v>
      </c>
      <c r="AB8" s="50"/>
      <c r="AC8" s="46" t="s">
        <v>4</v>
      </c>
    </row>
    <row r="9" spans="1:29" ht="27.65" customHeight="1" thickBot="1">
      <c r="A9" s="3" t="s">
        <v>57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2" thickBot="1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2" thickTop="1"/>
    <row r="14" spans="1:29">
      <c r="M14" s="13"/>
    </row>
  </sheetData>
  <mergeCells count="23"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  <mergeCell ref="W7:W8"/>
    <mergeCell ref="M7:M8"/>
    <mergeCell ref="N7:N8"/>
    <mergeCell ref="G7:G8"/>
    <mergeCell ref="T7:U7"/>
    <mergeCell ref="Q7:R7"/>
    <mergeCell ref="I7:I8"/>
  </mergeCells>
  <pageMargins left="0.5" right="1" top="0.3" bottom="0.1" header="0.31496062992126" footer="0.31496062992126"/>
  <pageSetup paperSize="9" scale="54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796875" defaultRowHeight="26.5"/>
  <cols>
    <col min="1" max="1" width="4" style="54" customWidth="1"/>
    <col min="2" max="2" width="51.26953125" style="54" bestFit="1" customWidth="1"/>
    <col min="3" max="3" width="0.7265625" style="54" customWidth="1"/>
    <col min="4" max="4" width="20.453125" style="54" customWidth="1"/>
    <col min="5" max="5" width="0.7265625" style="54" customWidth="1"/>
    <col min="6" max="6" width="18.81640625" style="54" customWidth="1"/>
    <col min="7" max="7" width="0.7265625" style="54" customWidth="1"/>
    <col min="8" max="8" width="29.81640625" style="54" bestFit="1" customWidth="1"/>
    <col min="9" max="9" width="0.7265625" style="54" customWidth="1"/>
    <col min="10" max="10" width="24.453125" style="54" bestFit="1" customWidth="1"/>
    <col min="11" max="11" width="0.26953125" style="54" customWidth="1"/>
    <col min="12" max="12" width="1.26953125" style="54" customWidth="1"/>
    <col min="13" max="13" width="15.453125" style="54" bestFit="1" customWidth="1"/>
    <col min="14" max="14" width="0.7265625" style="54" customWidth="1"/>
    <col min="15" max="15" width="8.1796875" style="54" customWidth="1"/>
    <col min="16" max="16" width="0.54296875" style="54" customWidth="1"/>
    <col min="17" max="17" width="18.453125" style="54" bestFit="1" customWidth="1"/>
    <col min="18" max="18" width="0.81640625" style="54" customWidth="1"/>
    <col min="19" max="19" width="33" style="54" bestFit="1" customWidth="1"/>
    <col min="20" max="20" width="0.7265625" style="54" customWidth="1"/>
    <col min="21" max="21" width="31.81640625" style="54" bestFit="1" customWidth="1"/>
    <col min="22" max="22" width="0.7265625" style="54" customWidth="1"/>
    <col min="23" max="23" width="11" style="54" bestFit="1" customWidth="1"/>
    <col min="24" max="24" width="1.54296875" style="54" customWidth="1"/>
    <col min="25" max="25" width="24.453125" style="54" bestFit="1" customWidth="1"/>
    <col min="26" max="26" width="0.54296875" style="54" customWidth="1"/>
    <col min="27" max="27" width="18.453125" style="17" bestFit="1" customWidth="1"/>
    <col min="28" max="28" width="1.54296875" style="17" customWidth="1"/>
    <col min="29" max="29" width="33" style="54" bestFit="1" customWidth="1"/>
    <col min="30" max="30" width="0.7265625" style="54" customWidth="1"/>
    <col min="31" max="31" width="14.81640625" style="54" bestFit="1" customWidth="1"/>
    <col min="32" max="32" width="0.7265625" style="54" customWidth="1"/>
    <col min="33" max="33" width="33" style="17" bestFit="1" customWidth="1"/>
    <col min="34" max="34" width="0.453125" style="54" customWidth="1"/>
    <col min="35" max="35" width="30.54296875" style="54" bestFit="1" customWidth="1"/>
    <col min="36" max="36" width="0.7265625" style="54" customWidth="1"/>
    <col min="37" max="37" width="31.54296875" style="54" bestFit="1" customWidth="1"/>
    <col min="38" max="38" width="0.453125" style="54" customWidth="1"/>
    <col min="39" max="39" width="27.26953125" style="54" customWidth="1"/>
    <col min="40" max="52" width="9.1796875" style="54"/>
    <col min="53" max="53" width="19.26953125" style="54" bestFit="1" customWidth="1"/>
    <col min="54" max="16384" width="9.1796875" style="54"/>
  </cols>
  <sheetData>
    <row r="1" spans="2:40" ht="33.5">
      <c r="B1" s="365" t="str">
        <f>' سهام'!B1:Z1</f>
        <v>صندوق سرمایه گذاری شاخص سی شرکت بزرگ فیروزه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</row>
    <row r="2" spans="2:40" ht="33.5">
      <c r="B2" s="365" t="s">
        <v>81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</row>
    <row r="3" spans="2:40" ht="33.5">
      <c r="B3" s="365" t="str">
        <f>' سهام'!AC6</f>
        <v>برای ماه منتهی به 1404/12/29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</row>
    <row r="4" spans="2:40">
      <c r="B4" s="100" t="s">
        <v>39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7" thickBot="1">
      <c r="B6" s="355" t="s">
        <v>30</v>
      </c>
      <c r="C6" s="355"/>
      <c r="D6" s="355"/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72"/>
      <c r="Q6" s="355" t="str">
        <f>' سهام'!AC4</f>
        <v>1404/11/30</v>
      </c>
      <c r="R6" s="355"/>
      <c r="S6" s="355"/>
      <c r="T6" s="355"/>
      <c r="U6" s="355"/>
      <c r="V6" s="78"/>
      <c r="W6" s="366" t="s">
        <v>16</v>
      </c>
      <c r="X6" s="366"/>
      <c r="Y6" s="366"/>
      <c r="Z6" s="366"/>
      <c r="AA6" s="366"/>
      <c r="AB6" s="366"/>
      <c r="AC6" s="366"/>
      <c r="AD6" s="71"/>
      <c r="AE6" s="355" t="str">
        <f>' سهام'!AC5</f>
        <v>1404/12/29</v>
      </c>
      <c r="AF6" s="355"/>
      <c r="AG6" s="355"/>
      <c r="AH6" s="355"/>
      <c r="AI6" s="355"/>
      <c r="AJ6" s="355"/>
      <c r="AK6" s="355"/>
      <c r="AL6" s="355"/>
      <c r="AM6" s="355"/>
    </row>
    <row r="7" spans="2:40" s="15" customFormat="1" ht="36.5">
      <c r="B7" s="358" t="s">
        <v>31</v>
      </c>
      <c r="C7" s="72"/>
      <c r="D7" s="362" t="s">
        <v>15</v>
      </c>
      <c r="E7" s="72"/>
      <c r="F7" s="364" t="s">
        <v>14</v>
      </c>
      <c r="G7" s="72"/>
      <c r="H7" s="354" t="s">
        <v>43</v>
      </c>
      <c r="I7" s="72"/>
      <c r="J7" s="362" t="s">
        <v>34</v>
      </c>
      <c r="K7" s="72"/>
      <c r="L7" s="72"/>
      <c r="M7" s="364" t="s">
        <v>13</v>
      </c>
      <c r="N7" s="79"/>
      <c r="O7" s="364" t="s">
        <v>12</v>
      </c>
      <c r="P7" s="72"/>
      <c r="Q7" s="356" t="s">
        <v>8</v>
      </c>
      <c r="R7" s="354"/>
      <c r="S7" s="354" t="s">
        <v>3</v>
      </c>
      <c r="T7" s="354"/>
      <c r="U7" s="354" t="s">
        <v>32</v>
      </c>
      <c r="V7" s="72"/>
      <c r="W7" s="361" t="s">
        <v>9</v>
      </c>
      <c r="X7" s="361"/>
      <c r="Y7" s="361"/>
      <c r="Z7" s="71"/>
      <c r="AA7" s="361" t="s">
        <v>10</v>
      </c>
      <c r="AB7" s="361"/>
      <c r="AC7" s="361"/>
      <c r="AD7" s="71"/>
      <c r="AE7" s="356" t="s">
        <v>8</v>
      </c>
      <c r="AF7" s="358"/>
      <c r="AG7" s="359" t="s">
        <v>44</v>
      </c>
      <c r="AH7" s="72"/>
      <c r="AI7" s="354" t="s">
        <v>3</v>
      </c>
      <c r="AJ7" s="358"/>
      <c r="AK7" s="354" t="s">
        <v>32</v>
      </c>
      <c r="AL7" s="80"/>
      <c r="AM7" s="354" t="s">
        <v>33</v>
      </c>
    </row>
    <row r="8" spans="2:40" s="55" customFormat="1" ht="72.75" customHeight="1" thickBot="1">
      <c r="B8" s="355"/>
      <c r="C8" s="72"/>
      <c r="D8" s="363"/>
      <c r="E8" s="72"/>
      <c r="F8" s="363"/>
      <c r="G8" s="72"/>
      <c r="H8" s="355"/>
      <c r="I8" s="72"/>
      <c r="J8" s="363"/>
      <c r="K8" s="72"/>
      <c r="L8" s="72"/>
      <c r="M8" s="363"/>
      <c r="N8" s="78"/>
      <c r="O8" s="363"/>
      <c r="P8" s="72"/>
      <c r="Q8" s="357"/>
      <c r="R8" s="358"/>
      <c r="S8" s="355"/>
      <c r="T8" s="358"/>
      <c r="U8" s="355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80</v>
      </c>
      <c r="AD8" s="70"/>
      <c r="AE8" s="357"/>
      <c r="AF8" s="358"/>
      <c r="AG8" s="360"/>
      <c r="AH8" s="72"/>
      <c r="AI8" s="355"/>
      <c r="AJ8" s="358"/>
      <c r="AK8" s="355"/>
      <c r="AL8" s="80"/>
      <c r="AM8" s="355"/>
      <c r="AN8" s="49"/>
    </row>
    <row r="9" spans="2:40" s="18" customFormat="1" ht="34" thickBot="1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102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/>
    <row r="12" spans="2:40">
      <c r="AI12" s="19"/>
    </row>
    <row r="14" spans="2:40">
      <c r="M14" s="20"/>
    </row>
    <row r="20" spans="8:12">
      <c r="H20" s="99"/>
      <c r="I20" s="99"/>
      <c r="J20" s="99"/>
      <c r="K20" s="99"/>
      <c r="L20" s="99"/>
    </row>
  </sheetData>
  <mergeCells count="28">
    <mergeCell ref="B1:AM1"/>
    <mergeCell ref="B2:AM2"/>
    <mergeCell ref="B3:AM3"/>
    <mergeCell ref="W6:AC6"/>
    <mergeCell ref="AE6:AM6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AK7:AK8"/>
    <mergeCell ref="AM7:AM8"/>
    <mergeCell ref="AE7:AE8"/>
    <mergeCell ref="AF7:AF8"/>
    <mergeCell ref="AI7:AI8"/>
    <mergeCell ref="AJ7:AJ8"/>
    <mergeCell ref="AG7:AG8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AA75"/>
  <sheetViews>
    <sheetView rightToLeft="1" tabSelected="1" view="pageBreakPreview" zoomScale="80" zoomScaleNormal="100" zoomScaleSheetLayoutView="80" workbookViewId="0">
      <selection activeCell="AC12" sqref="AC12"/>
    </sheetView>
  </sheetViews>
  <sheetFormatPr defaultColWidth="9.1796875" defaultRowHeight="21.5"/>
  <cols>
    <col min="1" max="1" width="6" style="1" customWidth="1"/>
    <col min="2" max="2" width="36.81640625" style="1" bestFit="1" customWidth="1"/>
    <col min="3" max="3" width="0.7265625" style="1" customWidth="1"/>
    <col min="4" max="4" width="16" style="1" bestFit="1" customWidth="1"/>
    <col min="5" max="5" width="0.7265625" style="1" customWidth="1"/>
    <col min="6" max="6" width="19.7265625" style="1" bestFit="1" customWidth="1"/>
    <col min="7" max="7" width="0.7265625" style="1" customWidth="1"/>
    <col min="8" max="8" width="22" style="1" bestFit="1" customWidth="1"/>
    <col min="9" max="9" width="0.7265625" style="1" customWidth="1"/>
    <col min="10" max="10" width="19.453125" style="1" bestFit="1" customWidth="1"/>
    <col min="11" max="11" width="0.7265625" style="1" customWidth="1"/>
    <col min="12" max="12" width="21.26953125" style="93" bestFit="1" customWidth="1"/>
    <col min="13" max="13" width="0.26953125" style="1" customWidth="1"/>
    <col min="14" max="14" width="21.1796875" style="93" bestFit="1" customWidth="1"/>
    <col min="15" max="15" width="0.26953125" style="1" customWidth="1"/>
    <col min="16" max="16" width="19.453125" style="1" bestFit="1" customWidth="1"/>
    <col min="17" max="17" width="0.7265625" style="1" customWidth="1"/>
    <col min="18" max="18" width="22.7265625" style="1" bestFit="1" customWidth="1"/>
    <col min="19" max="19" width="9.1796875" style="1"/>
    <col min="20" max="20" width="23.7265625" style="1" bestFit="1" customWidth="1"/>
    <col min="21" max="16384" width="9.1796875" style="1"/>
  </cols>
  <sheetData>
    <row r="1" spans="2:27" ht="23">
      <c r="B1" s="334" t="s">
        <v>103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</row>
    <row r="2" spans="2:27" ht="23">
      <c r="B2" s="334" t="s">
        <v>81</v>
      </c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</row>
    <row r="3" spans="2:27" ht="23">
      <c r="B3" s="334" t="str">
        <f>' سهام'!AC6</f>
        <v>برای ماه منتهی به 1404/12/29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</row>
    <row r="4" spans="2:27" ht="23">
      <c r="B4" s="368" t="s">
        <v>83</v>
      </c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AA4" s="1" t="s">
        <v>187</v>
      </c>
    </row>
    <row r="5" spans="2:27" ht="22" thickBot="1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5"/>
      <c r="T5" s="255"/>
      <c r="AA5" s="1" t="s">
        <v>188</v>
      </c>
    </row>
    <row r="6" spans="2:27" ht="18.75" customHeight="1" thickBot="1">
      <c r="B6" s="49"/>
      <c r="C6" s="374"/>
      <c r="D6" s="374"/>
      <c r="E6" s="374"/>
      <c r="F6" s="374"/>
      <c r="G6" s="374"/>
      <c r="H6" s="374"/>
      <c r="I6" s="374"/>
      <c r="J6" s="374"/>
      <c r="K6" s="52"/>
      <c r="L6" s="351" t="s">
        <v>16</v>
      </c>
      <c r="M6" s="351"/>
      <c r="N6" s="351"/>
      <c r="P6" s="344" t="str">
        <f>' سهام'!AC5</f>
        <v>1404/12/29</v>
      </c>
      <c r="Q6" s="344"/>
      <c r="R6" s="344"/>
      <c r="S6" s="255"/>
      <c r="T6" s="255"/>
      <c r="AA6" s="1" t="s">
        <v>189</v>
      </c>
    </row>
    <row r="7" spans="2:27" ht="24" customHeight="1">
      <c r="B7" s="370" t="s">
        <v>17</v>
      </c>
      <c r="C7" s="3"/>
      <c r="D7" s="348" t="s">
        <v>18</v>
      </c>
      <c r="E7" s="3"/>
      <c r="F7" s="348" t="s">
        <v>60</v>
      </c>
      <c r="G7" s="3"/>
      <c r="H7" s="348" t="s">
        <v>61</v>
      </c>
      <c r="I7" s="337"/>
      <c r="J7" s="339" t="s">
        <v>11</v>
      </c>
      <c r="K7" s="3"/>
      <c r="L7" s="372" t="s">
        <v>62</v>
      </c>
      <c r="M7" s="161"/>
      <c r="N7" s="372" t="s">
        <v>63</v>
      </c>
      <c r="P7" s="369" t="s">
        <v>11</v>
      </c>
      <c r="Q7" s="337"/>
      <c r="R7" s="367" t="s">
        <v>33</v>
      </c>
      <c r="S7" s="255"/>
      <c r="T7" s="255"/>
      <c r="AA7" s="1" t="s">
        <v>190</v>
      </c>
    </row>
    <row r="8" spans="2:27" ht="47.25" customHeight="1" thickBot="1">
      <c r="B8" s="371"/>
      <c r="C8" s="224"/>
      <c r="D8" s="349"/>
      <c r="E8" s="224"/>
      <c r="F8" s="349"/>
      <c r="G8" s="224"/>
      <c r="H8" s="349"/>
      <c r="I8" s="337"/>
      <c r="J8" s="340"/>
      <c r="K8" s="3"/>
      <c r="L8" s="373"/>
      <c r="N8" s="373"/>
      <c r="P8" s="340"/>
      <c r="Q8" s="337"/>
      <c r="R8" s="338"/>
      <c r="S8" s="255"/>
      <c r="T8" s="255"/>
      <c r="V8" s="160"/>
      <c r="AA8" s="1" t="s">
        <v>191</v>
      </c>
    </row>
    <row r="9" spans="2:27" ht="25.15" customHeight="1">
      <c r="B9" s="68" t="s">
        <v>275</v>
      </c>
      <c r="C9" s="225"/>
      <c r="D9" s="225" t="s">
        <v>108</v>
      </c>
      <c r="E9" s="225"/>
      <c r="F9" s="225" t="s">
        <v>106</v>
      </c>
      <c r="G9" s="225"/>
      <c r="H9" s="158">
        <v>0</v>
      </c>
      <c r="I9" s="225"/>
      <c r="J9" s="165">
        <v>50000000</v>
      </c>
      <c r="K9" s="225"/>
      <c r="L9" s="158">
        <v>0</v>
      </c>
      <c r="M9" s="225"/>
      <c r="N9" s="158">
        <v>0</v>
      </c>
      <c r="O9" s="158"/>
      <c r="P9" s="158">
        <v>50000000</v>
      </c>
      <c r="Q9" s="226"/>
      <c r="R9" s="227">
        <f>P9/$R$19</f>
        <v>5.2786832636547538E-6</v>
      </c>
      <c r="S9" s="255"/>
      <c r="T9" s="271"/>
    </row>
    <row r="10" spans="2:27" ht="25.15" customHeight="1">
      <c r="B10" s="68" t="s">
        <v>199</v>
      </c>
      <c r="C10" s="225"/>
      <c r="D10" s="225" t="s">
        <v>109</v>
      </c>
      <c r="E10" s="225"/>
      <c r="F10" s="225" t="s">
        <v>106</v>
      </c>
      <c r="G10" s="225"/>
      <c r="H10" s="158">
        <v>0</v>
      </c>
      <c r="I10" s="225"/>
      <c r="J10" s="165">
        <v>51046468</v>
      </c>
      <c r="K10" s="225"/>
      <c r="L10" s="158">
        <v>202787</v>
      </c>
      <c r="M10" s="225"/>
      <c r="N10" s="158">
        <v>0</v>
      </c>
      <c r="O10" s="158"/>
      <c r="P10" s="158">
        <v>51249255</v>
      </c>
      <c r="Q10" s="226"/>
      <c r="R10" s="227">
        <f>P10/$R$19</f>
        <v>5.4105716928654946E-6</v>
      </c>
      <c r="S10" s="255"/>
      <c r="T10" s="271"/>
    </row>
    <row r="11" spans="2:27" ht="25.15" customHeight="1">
      <c r="B11" s="68" t="s">
        <v>200</v>
      </c>
      <c r="C11" s="225"/>
      <c r="D11" s="225" t="s">
        <v>109</v>
      </c>
      <c r="E11" s="225"/>
      <c r="F11" s="225" t="s">
        <v>147</v>
      </c>
      <c r="G11" s="225"/>
      <c r="H11" s="158">
        <v>0</v>
      </c>
      <c r="I11" s="225"/>
      <c r="J11" s="165">
        <v>40845741103</v>
      </c>
      <c r="K11" s="225"/>
      <c r="L11" s="158">
        <v>337843597532</v>
      </c>
      <c r="M11" s="225"/>
      <c r="N11" s="158">
        <v>164161350000</v>
      </c>
      <c r="O11" s="158"/>
      <c r="P11" s="158">
        <v>214527988635</v>
      </c>
      <c r="Q11" s="226"/>
      <c r="R11" s="227">
        <f t="shared" ref="R11:R12" si="0">P11/$R$19</f>
        <v>2.2648506063861835E-2</v>
      </c>
      <c r="S11" s="255"/>
      <c r="T11" s="271"/>
    </row>
    <row r="12" spans="2:27" ht="25.15" customHeight="1">
      <c r="B12" s="68" t="s">
        <v>253</v>
      </c>
      <c r="C12" s="225"/>
      <c r="D12" s="225" t="s">
        <v>109</v>
      </c>
      <c r="E12" s="225"/>
      <c r="F12" s="225" t="s">
        <v>256</v>
      </c>
      <c r="G12" s="225"/>
      <c r="H12" s="158">
        <v>0</v>
      </c>
      <c r="I12" s="225"/>
      <c r="J12" s="165">
        <v>1016539</v>
      </c>
      <c r="K12" s="225"/>
      <c r="L12" s="158">
        <v>4178</v>
      </c>
      <c r="M12" s="225"/>
      <c r="N12" s="158">
        <v>0</v>
      </c>
      <c r="O12" s="158"/>
      <c r="P12" s="158">
        <v>1020717</v>
      </c>
      <c r="Q12" s="226"/>
      <c r="R12" s="227">
        <f t="shared" si="0"/>
        <v>1.077608348965578E-7</v>
      </c>
      <c r="S12" s="255"/>
      <c r="T12" s="271"/>
    </row>
    <row r="13" spans="2:27" ht="25.15" customHeight="1">
      <c r="B13" s="68" t="s">
        <v>276</v>
      </c>
      <c r="C13" s="225"/>
      <c r="D13" s="225" t="s">
        <v>109</v>
      </c>
      <c r="E13" s="225"/>
      <c r="F13" s="225" t="s">
        <v>256</v>
      </c>
      <c r="G13" s="225"/>
      <c r="H13" s="158">
        <v>0</v>
      </c>
      <c r="I13" s="225"/>
      <c r="J13" s="165">
        <v>402500</v>
      </c>
      <c r="K13" s="225"/>
      <c r="L13" s="158">
        <v>0</v>
      </c>
      <c r="M13" s="225"/>
      <c r="N13" s="158">
        <v>0</v>
      </c>
      <c r="O13" s="158"/>
      <c r="P13" s="158">
        <v>402500</v>
      </c>
      <c r="Q13" s="226"/>
      <c r="R13" s="228">
        <f>P13/$R$19</f>
        <v>4.2493400272420768E-8</v>
      </c>
      <c r="S13" s="255"/>
      <c r="T13" s="271"/>
    </row>
    <row r="14" spans="2:27" ht="25.15" customHeight="1">
      <c r="B14" s="68" t="s">
        <v>277</v>
      </c>
      <c r="C14" s="225"/>
      <c r="D14" s="225" t="s">
        <v>108</v>
      </c>
      <c r="E14" s="225"/>
      <c r="F14" s="225" t="s">
        <v>264</v>
      </c>
      <c r="G14" s="225"/>
      <c r="H14" s="158">
        <v>0</v>
      </c>
      <c r="I14" s="225"/>
      <c r="J14" s="165">
        <v>4990000</v>
      </c>
      <c r="K14" s="225"/>
      <c r="L14" s="158">
        <v>0</v>
      </c>
      <c r="M14" s="225"/>
      <c r="N14" s="158">
        <v>0</v>
      </c>
      <c r="O14" s="158"/>
      <c r="P14" s="158">
        <v>4990000</v>
      </c>
      <c r="Q14" s="226"/>
      <c r="R14" s="228">
        <f>P14/$R$19</f>
        <v>5.2681258971274446E-7</v>
      </c>
      <c r="S14" s="255"/>
      <c r="T14" s="271"/>
    </row>
    <row r="15" spans="2:27" ht="25.15" customHeight="1" thickBot="1">
      <c r="B15" s="68" t="s">
        <v>278</v>
      </c>
      <c r="C15" s="225"/>
      <c r="D15" s="225" t="s">
        <v>109</v>
      </c>
      <c r="E15" s="225"/>
      <c r="F15" s="225" t="s">
        <v>274</v>
      </c>
      <c r="G15" s="225"/>
      <c r="H15" s="158">
        <v>0</v>
      </c>
      <c r="I15" s="225"/>
      <c r="J15" s="165">
        <v>34956421</v>
      </c>
      <c r="K15" s="225"/>
      <c r="L15" s="158">
        <v>1083298235971</v>
      </c>
      <c r="M15" s="225"/>
      <c r="N15" s="158">
        <v>1082959775000</v>
      </c>
      <c r="O15" s="158"/>
      <c r="P15" s="158">
        <v>373417392</v>
      </c>
      <c r="Q15" s="226"/>
      <c r="R15" s="228">
        <f>P15/$R$19</f>
        <v>3.9423042750160134E-5</v>
      </c>
      <c r="S15" s="255"/>
      <c r="T15" s="271"/>
    </row>
    <row r="16" spans="2:27" ht="22" thickBot="1">
      <c r="B16" s="3" t="s">
        <v>7</v>
      </c>
      <c r="C16" s="3"/>
      <c r="D16" s="3"/>
      <c r="E16" s="3"/>
      <c r="F16" s="3"/>
      <c r="G16" s="3"/>
      <c r="H16" s="3"/>
      <c r="I16" s="5"/>
      <c r="J16" s="229">
        <f>SUM(J9:J15)</f>
        <v>40988153031</v>
      </c>
      <c r="K16" s="31"/>
      <c r="L16" s="229">
        <f>SUM(L9:L15)</f>
        <v>1421142040468</v>
      </c>
      <c r="N16" s="229">
        <f>SUM(N9:N15)</f>
        <v>1247121125000</v>
      </c>
      <c r="P16" s="229">
        <f>SUM(P9:P15)</f>
        <v>215009068499</v>
      </c>
      <c r="Q16" s="5"/>
      <c r="R16" s="123">
        <f>SUM(R9:R15)</f>
        <v>2.2699295428393395E-2</v>
      </c>
      <c r="S16" s="255"/>
      <c r="T16" s="271"/>
    </row>
    <row r="17" spans="4:20" ht="23.5" thickTop="1">
      <c r="J17" s="217"/>
      <c r="P17" s="160"/>
      <c r="S17" s="255"/>
      <c r="T17" s="255"/>
    </row>
    <row r="18" spans="4:20" ht="23">
      <c r="J18" s="303"/>
      <c r="P18" s="303"/>
      <c r="R18" s="284"/>
      <c r="S18" s="255"/>
      <c r="T18" s="255"/>
    </row>
    <row r="19" spans="4:20" ht="23">
      <c r="J19" s="160"/>
      <c r="P19" s="160"/>
      <c r="R19" s="316">
        <v>9472059129644</v>
      </c>
      <c r="S19" s="280"/>
      <c r="T19" s="255"/>
    </row>
    <row r="20" spans="4:20">
      <c r="D20" s="1" t="s">
        <v>89</v>
      </c>
      <c r="L20" s="108"/>
      <c r="P20" s="93"/>
      <c r="Q20" s="93"/>
      <c r="R20" s="280"/>
      <c r="S20" s="280"/>
      <c r="T20" s="255"/>
    </row>
    <row r="21" spans="4:20">
      <c r="R21" s="230"/>
    </row>
    <row r="58" spans="18:18" ht="27.5">
      <c r="R58" s="146">
        <v>1783</v>
      </c>
    </row>
    <row r="75" spans="18:18" ht="27.5">
      <c r="R75" s="146">
        <v>2083</v>
      </c>
    </row>
  </sheetData>
  <mergeCells count="18"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  <mergeCell ref="L6:N6"/>
    <mergeCell ref="L7:L8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C74"/>
  <sheetViews>
    <sheetView rightToLeft="1" tabSelected="1" view="pageBreakPreview" zoomScale="80" zoomScaleNormal="85" zoomScaleSheetLayoutView="80" workbookViewId="0">
      <selection activeCell="AC12" sqref="AC12"/>
    </sheetView>
  </sheetViews>
  <sheetFormatPr defaultColWidth="8.81640625" defaultRowHeight="21.5"/>
  <cols>
    <col min="1" max="1" width="8.81640625" style="1"/>
    <col min="2" max="2" width="45.54296875" style="197" customWidth="1"/>
    <col min="3" max="3" width="26.1796875" style="197" customWidth="1"/>
    <col min="4" max="4" width="12.81640625" style="1" bestFit="1" customWidth="1"/>
    <col min="5" max="5" width="1.1796875" style="1" customWidth="1"/>
    <col min="6" max="6" width="24.7265625" style="1" customWidth="1"/>
    <col min="7" max="7" width="1" style="1" customWidth="1"/>
    <col min="8" max="8" width="25.54296875" style="1" bestFit="1" customWidth="1"/>
    <col min="9" max="9" width="0.81640625" style="1" customWidth="1"/>
    <col min="10" max="10" width="19.54296875" style="1" bestFit="1" customWidth="1"/>
    <col min="11" max="11" width="0.1796875" style="1" customWidth="1"/>
    <col min="12" max="12" width="8.81640625" style="1" customWidth="1"/>
    <col min="13" max="13" width="24.7265625" style="1" bestFit="1" customWidth="1"/>
    <col min="14" max="14" width="8.81640625" style="1" customWidth="1"/>
    <col min="15" max="15" width="24.26953125" style="1" customWidth="1"/>
    <col min="16" max="16" width="22.1796875" style="1" customWidth="1"/>
    <col min="17" max="19" width="8.81640625" style="1" customWidth="1"/>
    <col min="20" max="16384" width="8.81640625" style="1"/>
  </cols>
  <sheetData>
    <row r="1" spans="1:29" ht="23">
      <c r="A1" s="375" t="s">
        <v>103</v>
      </c>
      <c r="B1" s="375"/>
      <c r="C1" s="375"/>
      <c r="D1" s="375"/>
      <c r="E1" s="375"/>
      <c r="F1" s="375"/>
      <c r="G1" s="375"/>
      <c r="H1" s="375"/>
      <c r="I1" s="375"/>
      <c r="J1" s="375"/>
    </row>
    <row r="2" spans="1:29" ht="23">
      <c r="A2" s="334" t="str">
        <f>سپرده!B2</f>
        <v xml:space="preserve">صورت وضعیت پرتفوی </v>
      </c>
      <c r="B2" s="334"/>
      <c r="C2" s="334"/>
      <c r="D2" s="334"/>
      <c r="E2" s="334"/>
      <c r="F2" s="334"/>
      <c r="G2" s="334"/>
      <c r="H2" s="334"/>
      <c r="I2" s="334"/>
      <c r="J2" s="334"/>
      <c r="K2" s="8"/>
      <c r="L2" s="8"/>
      <c r="M2" s="8"/>
      <c r="N2" s="8"/>
      <c r="O2" s="8"/>
      <c r="P2" s="8"/>
      <c r="Q2" s="8"/>
      <c r="R2" s="8"/>
      <c r="S2" s="8"/>
    </row>
    <row r="3" spans="1:29" ht="23">
      <c r="A3" s="334" t="str">
        <f>سپرده!B3</f>
        <v>برای ماه منتهی به 1404/12/29</v>
      </c>
      <c r="B3" s="334"/>
      <c r="C3" s="334"/>
      <c r="D3" s="334"/>
      <c r="E3" s="334"/>
      <c r="F3" s="334"/>
      <c r="G3" s="334"/>
      <c r="H3" s="334"/>
      <c r="I3" s="334"/>
      <c r="J3" s="334"/>
      <c r="K3" s="8"/>
      <c r="L3" s="8"/>
      <c r="M3" s="8"/>
      <c r="N3" s="8"/>
      <c r="O3" s="8"/>
      <c r="P3" s="8"/>
      <c r="Q3" s="8"/>
      <c r="R3" s="8"/>
      <c r="S3" s="8"/>
    </row>
    <row r="4" spans="1:29">
      <c r="D4" s="96"/>
      <c r="E4" s="93"/>
      <c r="J4" s="214"/>
      <c r="P4" s="160"/>
      <c r="AC4" s="1" t="s">
        <v>187</v>
      </c>
    </row>
    <row r="5" spans="1:29" ht="22" thickBot="1">
      <c r="B5" s="12" t="s">
        <v>64</v>
      </c>
      <c r="C5" s="12"/>
      <c r="D5" s="130" t="s">
        <v>65</v>
      </c>
      <c r="E5" s="161"/>
      <c r="F5" s="130" t="s">
        <v>11</v>
      </c>
      <c r="G5" s="161"/>
      <c r="H5" s="130" t="s">
        <v>154</v>
      </c>
      <c r="I5" s="161"/>
      <c r="J5" s="130" t="s">
        <v>90</v>
      </c>
      <c r="K5" s="161"/>
      <c r="M5" s="280"/>
      <c r="N5" s="284"/>
      <c r="P5" s="160"/>
      <c r="AC5" s="1" t="s">
        <v>189</v>
      </c>
    </row>
    <row r="6" spans="1:29" ht="23">
      <c r="B6" s="215" t="s">
        <v>79</v>
      </c>
      <c r="C6" s="215"/>
      <c r="D6" s="94" t="s">
        <v>84</v>
      </c>
      <c r="E6" s="34"/>
      <c r="F6" s="270">
        <f>'درآمد سرمایه گذاری در سهام '!T138</f>
        <v>3146274350526</v>
      </c>
      <c r="G6" s="34"/>
      <c r="H6" s="95">
        <f>F6/$M$9</f>
        <v>0.96562967390956722</v>
      </c>
      <c r="I6" s="34"/>
      <c r="J6" s="95">
        <f>F6/M8</f>
        <v>0.33216371513975657</v>
      </c>
      <c r="K6" s="34"/>
      <c r="L6" s="34"/>
      <c r="M6" s="297"/>
      <c r="N6" s="285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190</v>
      </c>
    </row>
    <row r="7" spans="1:29" ht="23">
      <c r="B7" s="215" t="s">
        <v>206</v>
      </c>
      <c r="C7" s="215"/>
      <c r="D7" s="94" t="s">
        <v>85</v>
      </c>
      <c r="E7" s="34"/>
      <c r="F7" s="216">
        <f>'درآمد سپرده بانکی'!J13</f>
        <v>40104137325</v>
      </c>
      <c r="G7" s="34"/>
      <c r="H7" s="95">
        <f>F7/$M$9</f>
        <v>1.2308445079206145E-2</v>
      </c>
      <c r="I7" s="34"/>
      <c r="J7" s="95">
        <f>F7/M8</f>
        <v>4.2339407700157893E-3</v>
      </c>
      <c r="K7" s="217"/>
      <c r="L7" s="34"/>
      <c r="M7" s="313"/>
      <c r="N7" s="285"/>
      <c r="O7" s="34"/>
      <c r="P7" s="34"/>
      <c r="Q7" s="34"/>
      <c r="R7" s="34"/>
      <c r="S7" s="34"/>
      <c r="T7" s="34"/>
    </row>
    <row r="8" spans="1:29" ht="23.5" thickBot="1">
      <c r="B8" s="215" t="s">
        <v>285</v>
      </c>
      <c r="C8" s="215"/>
      <c r="D8" s="94" t="s">
        <v>86</v>
      </c>
      <c r="E8" s="34"/>
      <c r="F8" s="216">
        <f>'سایر درآمدها'!F8</f>
        <v>4225972993</v>
      </c>
      <c r="G8" s="34"/>
      <c r="H8" s="95">
        <f>F8/$M$9</f>
        <v>1.297002253633414E-3</v>
      </c>
      <c r="I8" s="34"/>
      <c r="J8" s="95">
        <f>F8/M8</f>
        <v>4.4615145821612178E-4</v>
      </c>
      <c r="K8" s="216"/>
      <c r="L8" s="34"/>
      <c r="M8" s="315">
        <v>9472059129644</v>
      </c>
      <c r="N8" s="284"/>
      <c r="O8" s="160"/>
    </row>
    <row r="9" spans="1:29" ht="25" thickBot="1">
      <c r="B9" s="215" t="s">
        <v>7</v>
      </c>
      <c r="D9" s="218"/>
      <c r="F9" s="219">
        <f>SUM(F6:F8)</f>
        <v>3190604460844</v>
      </c>
      <c r="H9" s="220">
        <f>SUM(H6:H8)</f>
        <v>0.97923512124240675</v>
      </c>
      <c r="J9" s="221">
        <f>SUM(J6:J8)</f>
        <v>0.33684380736798847</v>
      </c>
      <c r="M9" s="317">
        <v>3258261873610</v>
      </c>
      <c r="N9" s="284"/>
      <c r="O9" s="160"/>
      <c r="P9" s="222"/>
    </row>
    <row r="10" spans="1:29" ht="22" thickTop="1">
      <c r="D10" s="218"/>
      <c r="M10" s="255"/>
      <c r="N10" s="284"/>
      <c r="O10" s="160"/>
    </row>
    <row r="11" spans="1:29">
      <c r="M11" s="292"/>
      <c r="O11" s="160"/>
    </row>
    <row r="12" spans="1:29">
      <c r="F12" s="223"/>
      <c r="O12" s="160"/>
    </row>
    <row r="13" spans="1:29" ht="23">
      <c r="F13" s="121"/>
      <c r="H13" s="292"/>
      <c r="O13" s="160"/>
    </row>
    <row r="14" spans="1:29" ht="23">
      <c r="F14" s="216"/>
      <c r="M14" s="93"/>
    </row>
    <row r="15" spans="1:29" ht="23">
      <c r="F15" s="121"/>
      <c r="M15" s="160"/>
    </row>
    <row r="16" spans="1:29" ht="23">
      <c r="F16" s="121"/>
      <c r="M16" s="160"/>
    </row>
    <row r="17" spans="6:13">
      <c r="F17" s="160"/>
      <c r="M17" s="171"/>
    </row>
    <row r="18" spans="6:13">
      <c r="F18" s="160"/>
      <c r="M18" s="171"/>
    </row>
    <row r="19" spans="6:13">
      <c r="F19" s="160"/>
    </row>
    <row r="57" spans="18:18" ht="27.5">
      <c r="R57" s="146">
        <v>1783</v>
      </c>
    </row>
    <row r="74" spans="18:18" ht="27.5">
      <c r="R74" s="146">
        <v>2083</v>
      </c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8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AE158"/>
  <sheetViews>
    <sheetView rightToLeft="1" tabSelected="1" view="pageBreakPreview" zoomScale="50" zoomScaleNormal="100" zoomScaleSheetLayoutView="50" workbookViewId="0">
      <selection activeCell="AC12" sqref="AC12"/>
    </sheetView>
  </sheetViews>
  <sheetFormatPr defaultColWidth="9.1796875" defaultRowHeight="36" customHeight="1"/>
  <cols>
    <col min="1" max="1" width="2.7265625" style="184" customWidth="1"/>
    <col min="2" max="2" width="36.7265625" style="264" customWidth="1"/>
    <col min="3" max="3" width="0.7265625" style="184" customWidth="1"/>
    <col min="4" max="4" width="24.453125" style="184" customWidth="1"/>
    <col min="5" max="5" width="0.7265625" style="184" customWidth="1"/>
    <col min="6" max="6" width="29.54296875" style="184" customWidth="1"/>
    <col min="7" max="7" width="0.81640625" style="184" customWidth="1"/>
    <col min="8" max="8" width="29.54296875" style="184" bestFit="1" customWidth="1"/>
    <col min="9" max="9" width="0.7265625" style="184" customWidth="1"/>
    <col min="10" max="10" width="29.54296875" style="184" bestFit="1" customWidth="1"/>
    <col min="11" max="11" width="0.81640625" style="184" customWidth="1"/>
    <col min="12" max="12" width="24.453125" style="184" bestFit="1" customWidth="1"/>
    <col min="13" max="13" width="0.7265625" style="184" customWidth="1"/>
    <col min="14" max="14" width="23.1796875" style="184" customWidth="1"/>
    <col min="15" max="15" width="0.7265625" style="184" customWidth="1"/>
    <col min="16" max="16" width="25.54296875" style="184" customWidth="1"/>
    <col min="17" max="17" width="0.7265625" style="184" customWidth="1"/>
    <col min="18" max="18" width="28.1796875" style="184" bestFit="1" customWidth="1"/>
    <col min="19" max="19" width="0.54296875" style="184" customWidth="1"/>
    <col min="20" max="20" width="29.54296875" style="102" bestFit="1" customWidth="1"/>
    <col min="21" max="21" width="0.453125" style="102" customWidth="1"/>
    <col min="22" max="22" width="24" style="202" customWidth="1"/>
    <col min="23" max="23" width="29.26953125" style="184" bestFit="1" customWidth="1"/>
    <col min="24" max="24" width="30.54296875" style="184" bestFit="1" customWidth="1"/>
    <col min="25" max="25" width="37.54296875" style="184" bestFit="1" customWidth="1"/>
    <col min="26" max="26" width="32.81640625" style="184" bestFit="1" customWidth="1"/>
    <col min="27" max="27" width="20.7265625" style="184" bestFit="1" customWidth="1"/>
    <col min="28" max="28" width="9.1796875" style="184"/>
    <col min="29" max="29" width="23" style="184" bestFit="1" customWidth="1"/>
    <col min="30" max="30" width="24.81640625" style="184" bestFit="1" customWidth="1"/>
    <col min="31" max="31" width="20.453125" style="184" bestFit="1" customWidth="1"/>
    <col min="32" max="16384" width="9.1796875" style="184"/>
  </cols>
  <sheetData>
    <row r="1" spans="2:29" ht="36" customHeight="1">
      <c r="B1" s="380" t="str">
        <f>درآمدها!A1</f>
        <v>صندوق سرمایه گذاری شاخص سی شرکت بزرگ فیروزه</v>
      </c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256"/>
      <c r="X1" s="256"/>
    </row>
    <row r="2" spans="2:29" ht="36" customHeight="1">
      <c r="B2" s="380" t="s">
        <v>87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56"/>
      <c r="X2" s="256"/>
    </row>
    <row r="3" spans="2:29" ht="36" customHeight="1">
      <c r="B3" s="380" t="str">
        <f>' سهام'!AC6</f>
        <v>برای ماه منتهی به 1404/12/29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256"/>
      <c r="X3" s="256"/>
    </row>
    <row r="4" spans="2:29" ht="36" customHeight="1">
      <c r="W4" s="256"/>
      <c r="X4" s="256"/>
      <c r="AC4" s="184" t="s">
        <v>187</v>
      </c>
    </row>
    <row r="5" spans="2:29" ht="36" customHeight="1">
      <c r="B5" s="383" t="s">
        <v>138</v>
      </c>
      <c r="C5" s="383"/>
      <c r="D5" s="383"/>
      <c r="E5" s="383"/>
      <c r="F5" s="383"/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256"/>
      <c r="X5" s="256"/>
      <c r="AC5" s="184" t="s">
        <v>188</v>
      </c>
    </row>
    <row r="6" spans="2:29" ht="9" customHeight="1">
      <c r="W6" s="256"/>
      <c r="X6" s="256"/>
      <c r="AC6" s="184" t="s">
        <v>189</v>
      </c>
    </row>
    <row r="7" spans="2:29" ht="36" customHeight="1" thickBot="1">
      <c r="B7" s="265"/>
      <c r="C7" s="203"/>
      <c r="D7" s="376" t="str">
        <f>' سهام'!AC7</f>
        <v>طی اسفند ماه</v>
      </c>
      <c r="E7" s="376"/>
      <c r="F7" s="376"/>
      <c r="G7" s="376"/>
      <c r="H7" s="376"/>
      <c r="I7" s="376"/>
      <c r="J7" s="376"/>
      <c r="K7" s="203"/>
      <c r="L7" s="203"/>
      <c r="M7" s="203"/>
      <c r="N7" s="376" t="str">
        <f>' سهام'!AC8</f>
        <v>از ابتدای سال مالی تا پایان اسفند ماه</v>
      </c>
      <c r="O7" s="376"/>
      <c r="P7" s="376"/>
      <c r="Q7" s="376"/>
      <c r="R7" s="376"/>
      <c r="S7" s="376"/>
      <c r="T7" s="376"/>
      <c r="U7" s="376"/>
      <c r="V7" s="376"/>
      <c r="W7" s="256"/>
      <c r="X7" s="257"/>
      <c r="Y7" s="205"/>
      <c r="AC7" s="184" t="s">
        <v>190</v>
      </c>
    </row>
    <row r="8" spans="2:29" ht="36" customHeight="1">
      <c r="B8" s="377" t="s">
        <v>36</v>
      </c>
      <c r="C8" s="377"/>
      <c r="D8" s="381" t="s">
        <v>21</v>
      </c>
      <c r="E8" s="377"/>
      <c r="F8" s="381" t="s">
        <v>22</v>
      </c>
      <c r="G8" s="377"/>
      <c r="H8" s="381" t="s">
        <v>23</v>
      </c>
      <c r="I8" s="377"/>
      <c r="J8" s="379" t="s">
        <v>7</v>
      </c>
      <c r="K8" s="379"/>
      <c r="L8" s="379"/>
      <c r="M8" s="377"/>
      <c r="N8" s="382" t="s">
        <v>21</v>
      </c>
      <c r="O8" s="384"/>
      <c r="P8" s="382" t="s">
        <v>22</v>
      </c>
      <c r="Q8" s="384"/>
      <c r="R8" s="382" t="s">
        <v>23</v>
      </c>
      <c r="S8" s="384"/>
      <c r="T8" s="379" t="s">
        <v>7</v>
      </c>
      <c r="U8" s="379"/>
      <c r="V8" s="379"/>
      <c r="W8" s="256"/>
      <c r="X8" s="256"/>
      <c r="AC8" s="184" t="s">
        <v>191</v>
      </c>
    </row>
    <row r="9" spans="2:29" ht="36" customHeight="1" thickBot="1">
      <c r="B9" s="377"/>
      <c r="C9" s="377"/>
      <c r="D9" s="381"/>
      <c r="E9" s="377"/>
      <c r="F9" s="381"/>
      <c r="G9" s="377"/>
      <c r="H9" s="381"/>
      <c r="I9" s="377"/>
      <c r="J9" s="376"/>
      <c r="K9" s="376"/>
      <c r="L9" s="376"/>
      <c r="M9" s="377"/>
      <c r="N9" s="381"/>
      <c r="O9" s="377"/>
      <c r="P9" s="381"/>
      <c r="Q9" s="377"/>
      <c r="R9" s="381"/>
      <c r="S9" s="377"/>
      <c r="T9" s="376"/>
      <c r="U9" s="376"/>
      <c r="V9" s="376"/>
      <c r="W9" s="256"/>
      <c r="X9" s="298"/>
    </row>
    <row r="10" spans="2:29" ht="49.5" customHeight="1" thickBot="1">
      <c r="B10" s="378"/>
      <c r="C10" s="377"/>
      <c r="D10" s="88" t="s">
        <v>91</v>
      </c>
      <c r="E10" s="377"/>
      <c r="F10" s="88" t="s">
        <v>92</v>
      </c>
      <c r="G10" s="377"/>
      <c r="H10" s="88" t="s">
        <v>93</v>
      </c>
      <c r="I10" s="377"/>
      <c r="J10" s="103" t="s">
        <v>11</v>
      </c>
      <c r="K10" s="103"/>
      <c r="L10" s="103" t="s">
        <v>24</v>
      </c>
      <c r="M10" s="377"/>
      <c r="N10" s="88" t="s">
        <v>91</v>
      </c>
      <c r="O10" s="377"/>
      <c r="P10" s="88" t="s">
        <v>92</v>
      </c>
      <c r="Q10" s="377"/>
      <c r="R10" s="88" t="s">
        <v>93</v>
      </c>
      <c r="S10" s="377"/>
      <c r="T10" s="103" t="s">
        <v>11</v>
      </c>
      <c r="U10" s="103"/>
      <c r="V10" s="103" t="s">
        <v>24</v>
      </c>
      <c r="W10" s="258"/>
      <c r="X10" s="299"/>
    </row>
    <row r="11" spans="2:29" ht="36" customHeight="1">
      <c r="B11" s="159" t="s">
        <v>129</v>
      </c>
      <c r="C11" s="166"/>
      <c r="D11" s="190">
        <v>0</v>
      </c>
      <c r="E11" s="190"/>
      <c r="F11" s="190">
        <v>7121831584</v>
      </c>
      <c r="G11" s="190"/>
      <c r="H11" s="190">
        <v>11990308089</v>
      </c>
      <c r="I11" s="190"/>
      <c r="J11" s="190">
        <f>H11+F11+D11</f>
        <v>19112139673</v>
      </c>
      <c r="K11" s="190"/>
      <c r="L11" s="207">
        <f>J11/$X$12</f>
        <v>3.4914938385475175E-3</v>
      </c>
      <c r="M11" s="190"/>
      <c r="N11" s="190">
        <v>23680000000</v>
      </c>
      <c r="O11" s="190"/>
      <c r="P11" s="190">
        <v>629692818414</v>
      </c>
      <c r="Q11" s="190"/>
      <c r="R11" s="190">
        <v>19871878477</v>
      </c>
      <c r="S11" s="190">
        <v>-714562636</v>
      </c>
      <c r="T11" s="190">
        <f>N11+P11+R11</f>
        <v>673244696891</v>
      </c>
      <c r="U11" s="190">
        <v>11071728389</v>
      </c>
      <c r="V11" s="207">
        <f>T11/درآمدها!$F$9</f>
        <v>0.21100851113111929</v>
      </c>
      <c r="W11" s="258"/>
      <c r="X11" s="299"/>
      <c r="Z11" s="195"/>
      <c r="AA11" s="205"/>
    </row>
    <row r="12" spans="2:29" ht="36" customHeight="1">
      <c r="B12" s="176" t="s">
        <v>122</v>
      </c>
      <c r="C12" s="166"/>
      <c r="D12" s="190">
        <v>0</v>
      </c>
      <c r="E12" s="190"/>
      <c r="F12" s="190">
        <v>-47074885225</v>
      </c>
      <c r="G12" s="190"/>
      <c r="H12" s="190">
        <v>18515121068</v>
      </c>
      <c r="I12" s="190"/>
      <c r="J12" s="190">
        <f t="shared" ref="J12:J44" si="0">H12+F12+D12</f>
        <v>-28559764157</v>
      </c>
      <c r="K12" s="190"/>
      <c r="L12" s="207">
        <f t="shared" ref="L12:L44" si="1">J12/$X$12</f>
        <v>-5.2174294605750668E-3</v>
      </c>
      <c r="M12" s="190"/>
      <c r="N12" s="190">
        <v>45900000000</v>
      </c>
      <c r="O12" s="190"/>
      <c r="P12" s="190">
        <v>208789572336</v>
      </c>
      <c r="Q12" s="190"/>
      <c r="R12" s="190">
        <v>22196330575</v>
      </c>
      <c r="S12" s="190">
        <v>-4741243411</v>
      </c>
      <c r="T12" s="190">
        <f t="shared" ref="T12:T44" si="2">N12+P12+R12</f>
        <v>276885902911</v>
      </c>
      <c r="U12" s="190">
        <v>11071728390</v>
      </c>
      <c r="V12" s="207">
        <f>T12/درآمدها!$F$9</f>
        <v>8.6781644766382698E-2</v>
      </c>
      <c r="W12" s="258"/>
      <c r="X12" s="299">
        <v>5473914764504</v>
      </c>
      <c r="Z12" s="195"/>
      <c r="AA12" s="205"/>
    </row>
    <row r="13" spans="2:29" ht="36" customHeight="1">
      <c r="B13" s="176" t="s">
        <v>114</v>
      </c>
      <c r="C13" s="166"/>
      <c r="D13" s="190">
        <v>0</v>
      </c>
      <c r="E13" s="190"/>
      <c r="F13" s="190">
        <v>-195861736417</v>
      </c>
      <c r="G13" s="190"/>
      <c r="H13" s="190">
        <v>115612421016</v>
      </c>
      <c r="I13" s="190"/>
      <c r="J13" s="190">
        <f t="shared" si="0"/>
        <v>-80249315401</v>
      </c>
      <c r="K13" s="190"/>
      <c r="L13" s="207">
        <f t="shared" si="1"/>
        <v>-1.4660315122438981E-2</v>
      </c>
      <c r="M13" s="190"/>
      <c r="N13" s="190">
        <v>23077304640</v>
      </c>
      <c r="O13" s="190"/>
      <c r="P13" s="190">
        <v>230975732765</v>
      </c>
      <c r="Q13" s="190"/>
      <c r="R13" s="190">
        <v>168022523573</v>
      </c>
      <c r="S13" s="190">
        <v>-3385001208</v>
      </c>
      <c r="T13" s="190">
        <f t="shared" si="2"/>
        <v>422075560978</v>
      </c>
      <c r="U13" s="190">
        <v>11071728391</v>
      </c>
      <c r="V13" s="207">
        <f>T13/درآمدها!$F$9</f>
        <v>0.13228702152141722</v>
      </c>
      <c r="W13" s="258"/>
      <c r="X13" s="299"/>
      <c r="Z13" s="195"/>
      <c r="AA13" s="205"/>
    </row>
    <row r="14" spans="2:29" ht="36" customHeight="1">
      <c r="B14" s="176" t="s">
        <v>112</v>
      </c>
      <c r="C14" s="166"/>
      <c r="D14" s="190">
        <v>0</v>
      </c>
      <c r="E14" s="190"/>
      <c r="F14" s="190">
        <v>-4718984285</v>
      </c>
      <c r="G14" s="190"/>
      <c r="H14" s="190">
        <v>-6569330274</v>
      </c>
      <c r="I14" s="190"/>
      <c r="J14" s="190">
        <f t="shared" si="0"/>
        <v>-11288314559</v>
      </c>
      <c r="K14" s="190"/>
      <c r="L14" s="207">
        <f t="shared" si="1"/>
        <v>-2.0622013759147109E-3</v>
      </c>
      <c r="M14" s="190"/>
      <c r="N14" s="190">
        <v>3168000000</v>
      </c>
      <c r="O14" s="190"/>
      <c r="P14" s="190">
        <v>-50558368564</v>
      </c>
      <c r="Q14" s="190"/>
      <c r="R14" s="190">
        <v>14648159800</v>
      </c>
      <c r="S14" s="190">
        <v>-2880009787</v>
      </c>
      <c r="T14" s="190">
        <f t="shared" si="2"/>
        <v>-32742208764</v>
      </c>
      <c r="U14" s="190">
        <v>11071728392</v>
      </c>
      <c r="V14" s="207">
        <f>T14/درآمدها!$F$9</f>
        <v>-1.0262070766157837E-2</v>
      </c>
      <c r="W14" s="258"/>
      <c r="X14" s="293"/>
      <c r="Z14" s="195"/>
      <c r="AA14" s="205"/>
    </row>
    <row r="15" spans="2:29" ht="36" customHeight="1">
      <c r="B15" s="176" t="s">
        <v>139</v>
      </c>
      <c r="C15" s="166"/>
      <c r="D15" s="190">
        <v>0</v>
      </c>
      <c r="E15" s="190"/>
      <c r="F15" s="190">
        <v>11115777845</v>
      </c>
      <c r="G15" s="190"/>
      <c r="H15" s="190">
        <v>-8166726128</v>
      </c>
      <c r="I15" s="190"/>
      <c r="J15" s="190">
        <f t="shared" si="0"/>
        <v>2949051717</v>
      </c>
      <c r="K15" s="190"/>
      <c r="L15" s="207">
        <f t="shared" si="1"/>
        <v>5.3874637144943165E-4</v>
      </c>
      <c r="M15" s="190"/>
      <c r="N15" s="190">
        <v>36750000000</v>
      </c>
      <c r="O15" s="190"/>
      <c r="P15" s="190">
        <v>-31356401587</v>
      </c>
      <c r="Q15" s="190"/>
      <c r="R15" s="190">
        <v>-34502495456</v>
      </c>
      <c r="S15" s="190">
        <v>-664891573</v>
      </c>
      <c r="T15" s="190">
        <f t="shared" si="2"/>
        <v>-29108897043</v>
      </c>
      <c r="U15" s="190">
        <v>11071728393</v>
      </c>
      <c r="V15" s="207">
        <f>T15/درآمدها!$F$9</f>
        <v>-9.1233173526310187E-3</v>
      </c>
      <c r="W15" s="258"/>
      <c r="X15" s="259"/>
      <c r="Z15" s="195"/>
      <c r="AA15" s="205"/>
    </row>
    <row r="16" spans="2:29" ht="36" customHeight="1">
      <c r="B16" s="176" t="s">
        <v>144</v>
      </c>
      <c r="C16" s="166"/>
      <c r="D16" s="190">
        <v>0</v>
      </c>
      <c r="E16" s="190"/>
      <c r="F16" s="190">
        <v>-2714234340</v>
      </c>
      <c r="G16" s="190"/>
      <c r="H16" s="190">
        <v>1142723479</v>
      </c>
      <c r="I16" s="190"/>
      <c r="J16" s="190">
        <f t="shared" si="0"/>
        <v>-1571510861</v>
      </c>
      <c r="K16" s="190"/>
      <c r="L16" s="207">
        <f t="shared" si="1"/>
        <v>-2.8709085336705952E-4</v>
      </c>
      <c r="M16" s="190"/>
      <c r="N16" s="190">
        <v>22000000000</v>
      </c>
      <c r="O16" s="190"/>
      <c r="P16" s="190">
        <v>4954920944</v>
      </c>
      <c r="Q16" s="190"/>
      <c r="R16" s="190">
        <v>-48838077114</v>
      </c>
      <c r="S16" s="190">
        <v>-2538727106</v>
      </c>
      <c r="T16" s="190">
        <f t="shared" si="2"/>
        <v>-21883156170</v>
      </c>
      <c r="U16" s="190">
        <v>11071728394</v>
      </c>
      <c r="V16" s="207">
        <f>T16/درآمدها!$F$9</f>
        <v>-6.8586239499619211E-3</v>
      </c>
      <c r="W16" s="258"/>
      <c r="X16" s="259"/>
      <c r="Z16" s="195"/>
      <c r="AA16" s="205"/>
    </row>
    <row r="17" spans="2:27" ht="36" customHeight="1">
      <c r="B17" s="176" t="s">
        <v>164</v>
      </c>
      <c r="C17" s="166"/>
      <c r="D17" s="190">
        <v>0</v>
      </c>
      <c r="E17" s="190"/>
      <c r="F17" s="190">
        <v>-22957017489</v>
      </c>
      <c r="G17" s="190"/>
      <c r="H17" s="190">
        <v>15189904617</v>
      </c>
      <c r="I17" s="190"/>
      <c r="J17" s="190">
        <f t="shared" si="0"/>
        <v>-7767112872</v>
      </c>
      <c r="K17" s="190"/>
      <c r="L17" s="207">
        <f t="shared" si="1"/>
        <v>-1.4189320086542836E-3</v>
      </c>
      <c r="M17" s="190"/>
      <c r="N17" s="190">
        <v>1160000</v>
      </c>
      <c r="O17" s="190"/>
      <c r="P17" s="190">
        <v>14066278296</v>
      </c>
      <c r="Q17" s="190"/>
      <c r="R17" s="190">
        <v>15402180994</v>
      </c>
      <c r="S17" s="190">
        <v>-5759026841</v>
      </c>
      <c r="T17" s="190">
        <f t="shared" si="2"/>
        <v>29469619290</v>
      </c>
      <c r="U17" s="190">
        <v>11071728395</v>
      </c>
      <c r="V17" s="207">
        <f>T17/درآمدها!$F$9</f>
        <v>9.2363750040656868E-3</v>
      </c>
      <c r="W17" s="258"/>
      <c r="X17" s="259"/>
      <c r="Z17" s="195"/>
      <c r="AA17" s="205"/>
    </row>
    <row r="18" spans="2:27" ht="36" customHeight="1">
      <c r="B18" s="176" t="s">
        <v>136</v>
      </c>
      <c r="C18" s="166"/>
      <c r="D18" s="190">
        <v>0</v>
      </c>
      <c r="E18" s="190"/>
      <c r="F18" s="190">
        <v>-929691495</v>
      </c>
      <c r="G18" s="190"/>
      <c r="H18" s="190">
        <v>-754260380</v>
      </c>
      <c r="I18" s="190"/>
      <c r="J18" s="190">
        <f t="shared" si="0"/>
        <v>-1683951875</v>
      </c>
      <c r="K18" s="190"/>
      <c r="L18" s="207">
        <f t="shared" si="1"/>
        <v>-3.0763209648782057E-4</v>
      </c>
      <c r="M18" s="190"/>
      <c r="N18" s="190">
        <v>0</v>
      </c>
      <c r="O18" s="190"/>
      <c r="P18" s="190">
        <v>-12250555707</v>
      </c>
      <c r="Q18" s="190"/>
      <c r="R18" s="190">
        <v>-1292934009</v>
      </c>
      <c r="S18" s="190">
        <v>-2808202366</v>
      </c>
      <c r="T18" s="190">
        <f t="shared" si="2"/>
        <v>-13543489716</v>
      </c>
      <c r="U18" s="190">
        <v>11071728392</v>
      </c>
      <c r="V18" s="207">
        <f>T18/درآمدها!$F$9</f>
        <v>-4.2448037298917912E-3</v>
      </c>
      <c r="W18" s="258"/>
      <c r="X18" s="102"/>
      <c r="Z18" s="195"/>
      <c r="AA18" s="205"/>
    </row>
    <row r="19" spans="2:27" ht="36" customHeight="1">
      <c r="B19" s="176" t="s">
        <v>125</v>
      </c>
      <c r="C19" s="166"/>
      <c r="D19" s="190">
        <v>0</v>
      </c>
      <c r="E19" s="190"/>
      <c r="F19" s="190">
        <v>-13265469100</v>
      </c>
      <c r="G19" s="190"/>
      <c r="H19" s="190">
        <v>5574942382</v>
      </c>
      <c r="I19" s="190"/>
      <c r="J19" s="190">
        <f t="shared" si="0"/>
        <v>-7690526718</v>
      </c>
      <c r="K19" s="190"/>
      <c r="L19" s="207">
        <f t="shared" si="1"/>
        <v>-1.4049408967545095E-3</v>
      </c>
      <c r="M19" s="190"/>
      <c r="N19" s="190">
        <v>26100000000</v>
      </c>
      <c r="O19" s="190"/>
      <c r="P19" s="190">
        <v>61824771540</v>
      </c>
      <c r="Q19" s="190"/>
      <c r="R19" s="190">
        <v>17940618053</v>
      </c>
      <c r="S19" s="190"/>
      <c r="T19" s="190">
        <f t="shared" si="2"/>
        <v>105865389593</v>
      </c>
      <c r="U19" s="190">
        <v>11071728393</v>
      </c>
      <c r="V19" s="207">
        <f>T19/درآمدها!$F$9</f>
        <v>3.3180355287598322E-2</v>
      </c>
      <c r="W19" s="258"/>
      <c r="X19" s="102"/>
      <c r="Z19" s="195"/>
      <c r="AA19" s="205"/>
    </row>
    <row r="20" spans="2:27" ht="36" customHeight="1">
      <c r="B20" s="176" t="s">
        <v>104</v>
      </c>
      <c r="C20" s="166"/>
      <c r="D20" s="190">
        <v>0</v>
      </c>
      <c r="E20" s="190"/>
      <c r="F20" s="190">
        <v>-13693086297</v>
      </c>
      <c r="G20" s="190"/>
      <c r="H20" s="190">
        <v>8281055392</v>
      </c>
      <c r="I20" s="190"/>
      <c r="J20" s="190">
        <f t="shared" si="0"/>
        <v>-5412030905</v>
      </c>
      <c r="K20" s="190"/>
      <c r="L20" s="207">
        <f t="shared" si="1"/>
        <v>-9.886947710795041E-4</v>
      </c>
      <c r="M20" s="190"/>
      <c r="N20" s="190">
        <v>2626384230</v>
      </c>
      <c r="O20" s="190"/>
      <c r="P20" s="190">
        <v>30019579</v>
      </c>
      <c r="Q20" s="190"/>
      <c r="R20" s="190">
        <v>68505149451</v>
      </c>
      <c r="S20" s="190">
        <v>8828197833</v>
      </c>
      <c r="T20" s="190">
        <f t="shared" si="2"/>
        <v>71161553260</v>
      </c>
      <c r="U20" s="190">
        <v>11071728394</v>
      </c>
      <c r="V20" s="207">
        <f>T20/درآمدها!$F$9</f>
        <v>2.2303470747726553E-2</v>
      </c>
      <c r="W20" s="258"/>
      <c r="X20" s="102"/>
      <c r="Z20" s="195"/>
      <c r="AA20" s="205"/>
    </row>
    <row r="21" spans="2:27" ht="36" customHeight="1">
      <c r="B21" s="176" t="s">
        <v>282</v>
      </c>
      <c r="C21" s="166"/>
      <c r="D21" s="190">
        <v>0</v>
      </c>
      <c r="E21" s="190"/>
      <c r="F21" s="190">
        <v>-1481233999</v>
      </c>
      <c r="G21" s="190"/>
      <c r="H21" s="190">
        <v>831302920</v>
      </c>
      <c r="I21" s="190"/>
      <c r="J21" s="190">
        <f t="shared" si="0"/>
        <v>-649931079</v>
      </c>
      <c r="K21" s="190"/>
      <c r="L21" s="207">
        <f t="shared" si="1"/>
        <v>-1.1873240760242114E-4</v>
      </c>
      <c r="M21" s="190"/>
      <c r="N21" s="190">
        <v>0</v>
      </c>
      <c r="O21" s="190"/>
      <c r="P21" s="190">
        <v>498886690</v>
      </c>
      <c r="Q21" s="190"/>
      <c r="R21" s="190">
        <v>831302920</v>
      </c>
      <c r="S21" s="190">
        <v>-40082741567</v>
      </c>
      <c r="T21" s="190">
        <f t="shared" si="2"/>
        <v>1330189610</v>
      </c>
      <c r="U21" s="190">
        <v>11071728395</v>
      </c>
      <c r="V21" s="207">
        <f>T21/درآمدها!$F$9</f>
        <v>4.1690834019837399E-4</v>
      </c>
      <c r="W21" s="258"/>
      <c r="X21" s="102"/>
      <c r="Z21" s="195"/>
      <c r="AA21" s="205"/>
    </row>
    <row r="22" spans="2:27" ht="36" customHeight="1">
      <c r="B22" s="176" t="s">
        <v>131</v>
      </c>
      <c r="C22" s="166"/>
      <c r="D22" s="190">
        <v>0</v>
      </c>
      <c r="E22" s="190"/>
      <c r="F22" s="190">
        <v>6519697841</v>
      </c>
      <c r="G22" s="190"/>
      <c r="H22" s="190">
        <v>-23225868997</v>
      </c>
      <c r="I22" s="190"/>
      <c r="J22" s="190">
        <f t="shared" si="0"/>
        <v>-16706171156</v>
      </c>
      <c r="K22" s="190"/>
      <c r="L22" s="207">
        <f t="shared" si="1"/>
        <v>-3.0519604112823214E-3</v>
      </c>
      <c r="M22" s="190"/>
      <c r="N22" s="190">
        <v>33460000000</v>
      </c>
      <c r="O22" s="190"/>
      <c r="P22" s="190">
        <v>-76580131068</v>
      </c>
      <c r="Q22" s="190"/>
      <c r="R22" s="190">
        <v>-57791373786</v>
      </c>
      <c r="S22" s="190">
        <v>466959920</v>
      </c>
      <c r="T22" s="190">
        <f t="shared" si="2"/>
        <v>-100911504854</v>
      </c>
      <c r="U22" s="190">
        <v>11071728396</v>
      </c>
      <c r="V22" s="207">
        <f>T22/درآمدها!$F$9</f>
        <v>-3.1627707568397938E-2</v>
      </c>
      <c r="W22" s="258"/>
      <c r="X22" s="102"/>
      <c r="Z22" s="195"/>
      <c r="AA22" s="205"/>
    </row>
    <row r="23" spans="2:27" ht="36" customHeight="1">
      <c r="B23" s="176" t="s">
        <v>238</v>
      </c>
      <c r="C23" s="166"/>
      <c r="D23" s="190">
        <v>0</v>
      </c>
      <c r="E23" s="190"/>
      <c r="F23" s="190">
        <v>-2911833008</v>
      </c>
      <c r="G23" s="190"/>
      <c r="H23" s="190">
        <v>88536260</v>
      </c>
      <c r="I23" s="190"/>
      <c r="J23" s="190">
        <f t="shared" si="0"/>
        <v>-2823296748</v>
      </c>
      <c r="K23" s="190"/>
      <c r="L23" s="207">
        <f t="shared" si="1"/>
        <v>-5.1577287361284359E-4</v>
      </c>
      <c r="M23" s="190"/>
      <c r="N23" s="190">
        <v>0</v>
      </c>
      <c r="O23" s="190"/>
      <c r="P23" s="190">
        <v>9261423403</v>
      </c>
      <c r="Q23" s="190"/>
      <c r="R23" s="190">
        <v>8129586581</v>
      </c>
      <c r="S23" s="190">
        <v>-102059379029</v>
      </c>
      <c r="T23" s="190">
        <f t="shared" si="2"/>
        <v>17391009984</v>
      </c>
      <c r="U23" s="190">
        <v>11071728398</v>
      </c>
      <c r="V23" s="207">
        <f>T23/درآمدها!$F$9</f>
        <v>5.4506944365644164E-3</v>
      </c>
      <c r="W23" s="258"/>
      <c r="X23" s="102"/>
      <c r="Z23" s="195"/>
      <c r="AA23" s="205"/>
    </row>
    <row r="24" spans="2:27" ht="36" customHeight="1">
      <c r="B24" s="176" t="s">
        <v>134</v>
      </c>
      <c r="C24" s="166"/>
      <c r="D24" s="190">
        <v>0</v>
      </c>
      <c r="E24" s="190"/>
      <c r="F24" s="190">
        <v>-6159314136</v>
      </c>
      <c r="G24" s="190"/>
      <c r="H24" s="190">
        <v>2591693351</v>
      </c>
      <c r="I24" s="190"/>
      <c r="J24" s="190">
        <f t="shared" si="0"/>
        <v>-3567620785</v>
      </c>
      <c r="K24" s="190"/>
      <c r="L24" s="207">
        <f t="shared" si="1"/>
        <v>-6.5174942221141207E-4</v>
      </c>
      <c r="M24" s="190"/>
      <c r="N24" s="190">
        <v>22230000000</v>
      </c>
      <c r="O24" s="190"/>
      <c r="P24" s="190">
        <v>29939728467</v>
      </c>
      <c r="Q24" s="190"/>
      <c r="R24" s="190">
        <v>76947894058</v>
      </c>
      <c r="S24" s="190">
        <v>-11597631470</v>
      </c>
      <c r="T24" s="190">
        <f t="shared" si="2"/>
        <v>129117622525</v>
      </c>
      <c r="U24" s="190">
        <v>11071728399</v>
      </c>
      <c r="V24" s="207">
        <f>T24/درآمدها!$F$9</f>
        <v>4.0468075598078038E-2</v>
      </c>
      <c r="W24" s="258"/>
      <c r="X24" s="102"/>
      <c r="Z24" s="195"/>
      <c r="AA24" s="205"/>
    </row>
    <row r="25" spans="2:27" ht="36" customHeight="1">
      <c r="B25" s="176" t="s">
        <v>271</v>
      </c>
      <c r="C25" s="166"/>
      <c r="D25" s="190">
        <v>0</v>
      </c>
      <c r="E25" s="190"/>
      <c r="F25" s="190">
        <v>-4636387841</v>
      </c>
      <c r="G25" s="190"/>
      <c r="H25" s="190">
        <v>-450935523</v>
      </c>
      <c r="I25" s="190"/>
      <c r="J25" s="190">
        <f t="shared" si="0"/>
        <v>-5087323364</v>
      </c>
      <c r="K25" s="190"/>
      <c r="L25" s="207">
        <f t="shared" si="1"/>
        <v>-9.293756996344042E-4</v>
      </c>
      <c r="M25" s="190"/>
      <c r="N25" s="190">
        <v>0</v>
      </c>
      <c r="O25" s="190"/>
      <c r="P25" s="190">
        <v>-10129276701</v>
      </c>
      <c r="Q25" s="190"/>
      <c r="R25" s="190">
        <v>-771626388</v>
      </c>
      <c r="S25" s="190">
        <v>52167321915</v>
      </c>
      <c r="T25" s="190">
        <f t="shared" si="2"/>
        <v>-10900903089</v>
      </c>
      <c r="U25" s="190">
        <v>11071728400</v>
      </c>
      <c r="V25" s="207">
        <f>T25/درآمدها!$F$9</f>
        <v>-3.416563608174866E-3</v>
      </c>
      <c r="W25" s="258"/>
      <c r="X25" s="102"/>
      <c r="Z25" s="195"/>
      <c r="AA25" s="205"/>
    </row>
    <row r="26" spans="2:27" ht="36" customHeight="1">
      <c r="B26" s="176" t="s">
        <v>130</v>
      </c>
      <c r="C26" s="166"/>
      <c r="D26" s="190">
        <v>0</v>
      </c>
      <c r="E26" s="190"/>
      <c r="F26" s="190">
        <v>-3244750775</v>
      </c>
      <c r="G26" s="190"/>
      <c r="H26" s="190">
        <v>282727870</v>
      </c>
      <c r="I26" s="190"/>
      <c r="J26" s="190">
        <f t="shared" si="0"/>
        <v>-2962022905</v>
      </c>
      <c r="K26" s="190"/>
      <c r="L26" s="207">
        <f t="shared" si="1"/>
        <v>-5.4111600790853625E-4</v>
      </c>
      <c r="M26" s="190"/>
      <c r="N26" s="190">
        <v>62700000000</v>
      </c>
      <c r="O26" s="190"/>
      <c r="P26" s="190">
        <v>12086239076</v>
      </c>
      <c r="Q26" s="190"/>
      <c r="R26" s="190">
        <v>-23107113555</v>
      </c>
      <c r="S26" s="190">
        <v>-6964477628</v>
      </c>
      <c r="T26" s="190">
        <f t="shared" si="2"/>
        <v>51679125521</v>
      </c>
      <c r="U26" s="190">
        <v>11071728401</v>
      </c>
      <c r="V26" s="207">
        <f>T26/درآمدها!$F$9</f>
        <v>1.6197283666847719E-2</v>
      </c>
      <c r="W26" s="258"/>
      <c r="X26" s="102"/>
      <c r="Z26" s="195"/>
      <c r="AA26" s="205"/>
    </row>
    <row r="27" spans="2:27" ht="36" customHeight="1">
      <c r="B27" s="176" t="s">
        <v>181</v>
      </c>
      <c r="C27" s="166"/>
      <c r="D27" s="190">
        <v>0</v>
      </c>
      <c r="E27" s="190"/>
      <c r="F27" s="190">
        <v>0</v>
      </c>
      <c r="G27" s="190"/>
      <c r="H27" s="190">
        <v>0</v>
      </c>
      <c r="I27" s="190"/>
      <c r="J27" s="190">
        <f t="shared" si="0"/>
        <v>0</v>
      </c>
      <c r="K27" s="190"/>
      <c r="L27" s="207">
        <f t="shared" si="1"/>
        <v>0</v>
      </c>
      <c r="M27" s="190"/>
      <c r="N27" s="190">
        <v>5600000000</v>
      </c>
      <c r="O27" s="190"/>
      <c r="P27" s="190">
        <v>0</v>
      </c>
      <c r="Q27" s="190"/>
      <c r="R27" s="190">
        <v>600423215</v>
      </c>
      <c r="S27" s="190">
        <v>-13571699443</v>
      </c>
      <c r="T27" s="190">
        <f t="shared" si="2"/>
        <v>6200423215</v>
      </c>
      <c r="U27" s="190">
        <v>11071728402</v>
      </c>
      <c r="V27" s="207">
        <f>T27/درآمدها!$F$9</f>
        <v>1.9433381013200936E-3</v>
      </c>
      <c r="W27" s="258"/>
      <c r="X27" s="102"/>
      <c r="Z27" s="195"/>
      <c r="AA27" s="205"/>
    </row>
    <row r="28" spans="2:27" ht="36" customHeight="1">
      <c r="B28" s="176" t="s">
        <v>166</v>
      </c>
      <c r="C28" s="166"/>
      <c r="D28" s="190">
        <v>0</v>
      </c>
      <c r="E28" s="190"/>
      <c r="F28" s="190">
        <v>0</v>
      </c>
      <c r="G28" s="190"/>
      <c r="H28" s="190">
        <v>0</v>
      </c>
      <c r="I28" s="190"/>
      <c r="J28" s="190">
        <f t="shared" si="0"/>
        <v>0</v>
      </c>
      <c r="K28" s="190"/>
      <c r="L28" s="207">
        <f t="shared" si="1"/>
        <v>0</v>
      </c>
      <c r="M28" s="190"/>
      <c r="N28" s="190">
        <v>0</v>
      </c>
      <c r="O28" s="190"/>
      <c r="P28" s="190">
        <v>0</v>
      </c>
      <c r="Q28" s="190"/>
      <c r="R28" s="190">
        <v>257545772</v>
      </c>
      <c r="S28" s="190">
        <v>257545772</v>
      </c>
      <c r="T28" s="190">
        <f t="shared" si="2"/>
        <v>257545772</v>
      </c>
      <c r="U28" s="190">
        <v>11071728398</v>
      </c>
      <c r="V28" s="207">
        <f>T28/درآمدها!$F$9</f>
        <v>8.0720056390779402E-5</v>
      </c>
      <c r="W28" s="258"/>
      <c r="X28" s="102"/>
      <c r="Z28" s="195"/>
      <c r="AA28" s="205"/>
    </row>
    <row r="29" spans="2:27" ht="36" customHeight="1">
      <c r="B29" s="176" t="s">
        <v>239</v>
      </c>
      <c r="C29" s="166"/>
      <c r="D29" s="190">
        <v>0</v>
      </c>
      <c r="E29" s="190"/>
      <c r="F29" s="190">
        <v>0</v>
      </c>
      <c r="G29" s="190"/>
      <c r="H29" s="190">
        <v>0</v>
      </c>
      <c r="I29" s="190"/>
      <c r="J29" s="190">
        <f t="shared" si="0"/>
        <v>0</v>
      </c>
      <c r="K29" s="190"/>
      <c r="L29" s="207">
        <f t="shared" si="1"/>
        <v>0</v>
      </c>
      <c r="M29" s="190"/>
      <c r="N29" s="190">
        <v>0</v>
      </c>
      <c r="O29" s="190"/>
      <c r="P29" s="190">
        <v>0</v>
      </c>
      <c r="Q29" s="190"/>
      <c r="R29" s="190">
        <v>-9111320</v>
      </c>
      <c r="S29" s="190">
        <v>1026553445</v>
      </c>
      <c r="T29" s="190">
        <f t="shared" si="2"/>
        <v>-9111320</v>
      </c>
      <c r="U29" s="190">
        <v>11071728399</v>
      </c>
      <c r="V29" s="207">
        <f>T29/درآمدها!$F$9</f>
        <v>-2.8556720558178535E-6</v>
      </c>
      <c r="W29" s="258"/>
      <c r="X29" s="102"/>
      <c r="Z29" s="195"/>
      <c r="AA29" s="205"/>
    </row>
    <row r="30" spans="2:27" ht="36" customHeight="1">
      <c r="B30" s="176" t="s">
        <v>124</v>
      </c>
      <c r="C30" s="166"/>
      <c r="D30" s="190">
        <v>0</v>
      </c>
      <c r="E30" s="190"/>
      <c r="F30" s="190">
        <v>-238144</v>
      </c>
      <c r="G30" s="190"/>
      <c r="H30" s="190">
        <v>0</v>
      </c>
      <c r="I30" s="190"/>
      <c r="J30" s="190">
        <f t="shared" si="0"/>
        <v>-238144</v>
      </c>
      <c r="K30" s="190"/>
      <c r="L30" s="207">
        <f t="shared" si="1"/>
        <v>-4.3505244463114797E-8</v>
      </c>
      <c r="M30" s="190"/>
      <c r="N30" s="190">
        <v>620000</v>
      </c>
      <c r="O30" s="190"/>
      <c r="P30" s="190">
        <v>-4023937</v>
      </c>
      <c r="Q30" s="190"/>
      <c r="R30" s="190">
        <v>-4741243411</v>
      </c>
      <c r="S30" s="190">
        <v>-1161777565</v>
      </c>
      <c r="T30" s="190">
        <f t="shared" si="2"/>
        <v>-4744647348</v>
      </c>
      <c r="U30" s="190">
        <v>-5155830316</v>
      </c>
      <c r="V30" s="207">
        <f>T30/درآمدها!$F$9</f>
        <v>-1.4870684869364578E-3</v>
      </c>
      <c r="W30" s="258"/>
      <c r="X30" s="102"/>
      <c r="Z30" s="195"/>
      <c r="AA30" s="205"/>
    </row>
    <row r="31" spans="2:27" ht="36" customHeight="1">
      <c r="B31" s="176" t="s">
        <v>115</v>
      </c>
      <c r="C31" s="166"/>
      <c r="D31" s="190">
        <v>0</v>
      </c>
      <c r="E31" s="190"/>
      <c r="F31" s="190">
        <v>-12250518271</v>
      </c>
      <c r="G31" s="190"/>
      <c r="H31" s="190">
        <v>0</v>
      </c>
      <c r="I31" s="190"/>
      <c r="J31" s="190">
        <f t="shared" si="0"/>
        <v>-12250518271</v>
      </c>
      <c r="K31" s="190"/>
      <c r="L31" s="207">
        <f t="shared" si="1"/>
        <v>-2.2379811886073528E-3</v>
      </c>
      <c r="M31" s="190"/>
      <c r="N31" s="190">
        <v>10640000000</v>
      </c>
      <c r="O31" s="190"/>
      <c r="P31" s="190">
        <v>7174739266</v>
      </c>
      <c r="Q31" s="190"/>
      <c r="R31" s="190">
        <v>-1377096352</v>
      </c>
      <c r="S31" s="190">
        <v>599022178</v>
      </c>
      <c r="T31" s="190">
        <f t="shared" si="2"/>
        <v>16437642914</v>
      </c>
      <c r="U31" s="190">
        <v>-5155830315</v>
      </c>
      <c r="V31" s="207">
        <f>T31/درآمدها!$F$9</f>
        <v>5.1518899054167951E-3</v>
      </c>
      <c r="W31" s="258"/>
      <c r="X31" s="102"/>
      <c r="Z31" s="195"/>
      <c r="AA31" s="205"/>
    </row>
    <row r="32" spans="2:27" ht="36" customHeight="1">
      <c r="B32" s="176" t="s">
        <v>252</v>
      </c>
      <c r="C32" s="166"/>
      <c r="D32" s="190">
        <v>0</v>
      </c>
      <c r="E32" s="190"/>
      <c r="F32" s="190">
        <v>-273494418</v>
      </c>
      <c r="G32" s="190"/>
      <c r="H32" s="190">
        <v>0</v>
      </c>
      <c r="I32" s="190"/>
      <c r="J32" s="190">
        <f t="shared" si="0"/>
        <v>-273494418</v>
      </c>
      <c r="K32" s="190"/>
      <c r="L32" s="207">
        <f t="shared" si="1"/>
        <v>-4.996322189258308E-5</v>
      </c>
      <c r="M32" s="190"/>
      <c r="N32" s="190">
        <v>0</v>
      </c>
      <c r="O32" s="190"/>
      <c r="P32" s="190">
        <v>-365925850</v>
      </c>
      <c r="Q32" s="190"/>
      <c r="R32" s="190">
        <v>1102940400</v>
      </c>
      <c r="S32" s="190">
        <v>11615770866</v>
      </c>
      <c r="T32" s="190">
        <f t="shared" si="2"/>
        <v>737014550</v>
      </c>
      <c r="U32" s="190">
        <v>-5155830314</v>
      </c>
      <c r="V32" s="207">
        <f>T32/درآمدها!$F$9</f>
        <v>2.3099527348026085E-4</v>
      </c>
      <c r="W32" s="258"/>
      <c r="X32" s="102"/>
      <c r="Z32" s="195"/>
      <c r="AA32" s="205"/>
    </row>
    <row r="33" spans="2:27" ht="36" customHeight="1">
      <c r="B33" s="176" t="s">
        <v>152</v>
      </c>
      <c r="C33" s="166"/>
      <c r="D33" s="190">
        <v>0</v>
      </c>
      <c r="E33" s="190"/>
      <c r="F33" s="190">
        <v>0</v>
      </c>
      <c r="G33" s="190"/>
      <c r="H33" s="190">
        <v>0</v>
      </c>
      <c r="I33" s="190"/>
      <c r="J33" s="190">
        <f t="shared" si="0"/>
        <v>0</v>
      </c>
      <c r="K33" s="190"/>
      <c r="L33" s="207">
        <f t="shared" si="1"/>
        <v>0</v>
      </c>
      <c r="M33" s="190"/>
      <c r="N33" s="190">
        <v>0</v>
      </c>
      <c r="O33" s="190"/>
      <c r="P33" s="190">
        <v>0</v>
      </c>
      <c r="Q33" s="190"/>
      <c r="R33" s="190">
        <v>-2044819416</v>
      </c>
      <c r="S33" s="190">
        <v>28553005</v>
      </c>
      <c r="T33" s="190">
        <f t="shared" si="2"/>
        <v>-2044819416</v>
      </c>
      <c r="U33" s="190">
        <v>-5155830313</v>
      </c>
      <c r="V33" s="207">
        <f>T33/درآمدها!$F$9</f>
        <v>-6.4088778195310701E-4</v>
      </c>
      <c r="W33" s="258"/>
      <c r="X33" s="102"/>
      <c r="Z33" s="195"/>
      <c r="AA33" s="205"/>
    </row>
    <row r="34" spans="2:27" ht="36" customHeight="1">
      <c r="B34" s="176" t="s">
        <v>177</v>
      </c>
      <c r="C34" s="166"/>
      <c r="D34" s="190">
        <v>0</v>
      </c>
      <c r="E34" s="190"/>
      <c r="F34" s="190">
        <v>0</v>
      </c>
      <c r="G34" s="190"/>
      <c r="H34" s="190">
        <v>0</v>
      </c>
      <c r="I34" s="190"/>
      <c r="J34" s="190">
        <f t="shared" si="0"/>
        <v>0</v>
      </c>
      <c r="K34" s="190"/>
      <c r="L34" s="207">
        <f t="shared" si="1"/>
        <v>0</v>
      </c>
      <c r="M34" s="190"/>
      <c r="N34" s="190">
        <v>2400000000</v>
      </c>
      <c r="O34" s="190"/>
      <c r="P34" s="190">
        <v>0</v>
      </c>
      <c r="Q34" s="190"/>
      <c r="R34" s="190">
        <v>-6440726392</v>
      </c>
      <c r="S34" s="190"/>
      <c r="T34" s="190">
        <f t="shared" si="2"/>
        <v>-4040726392</v>
      </c>
      <c r="U34" s="190"/>
      <c r="V34" s="207">
        <f>T34/درآمدها!$F$9</f>
        <v>-1.2664454154656074E-3</v>
      </c>
      <c r="W34" s="258"/>
      <c r="X34" s="102"/>
      <c r="Z34" s="195"/>
      <c r="AA34" s="205"/>
    </row>
    <row r="35" spans="2:27" ht="36" customHeight="1">
      <c r="B35" s="176" t="s">
        <v>121</v>
      </c>
      <c r="C35" s="166"/>
      <c r="D35" s="190">
        <v>60000000000</v>
      </c>
      <c r="E35" s="190"/>
      <c r="F35" s="190">
        <v>-56360936000</v>
      </c>
      <c r="G35" s="190"/>
      <c r="H35" s="190">
        <v>0</v>
      </c>
      <c r="I35" s="190"/>
      <c r="J35" s="190">
        <f t="shared" si="0"/>
        <v>3639064000</v>
      </c>
      <c r="K35" s="190"/>
      <c r="L35" s="207">
        <f t="shared" si="1"/>
        <v>6.6480099829061576E-4</v>
      </c>
      <c r="M35" s="190"/>
      <c r="N35" s="190">
        <v>60000000000</v>
      </c>
      <c r="O35" s="190"/>
      <c r="P35" s="190">
        <v>142589097255</v>
      </c>
      <c r="Q35" s="190"/>
      <c r="R35" s="190">
        <v>6416000523</v>
      </c>
      <c r="S35" s="190"/>
      <c r="T35" s="190">
        <f t="shared" si="2"/>
        <v>209005097778</v>
      </c>
      <c r="U35" s="190"/>
      <c r="V35" s="207">
        <f>T35/درآمدها!$F$9</f>
        <v>6.5506426867689066E-2</v>
      </c>
      <c r="W35" s="258"/>
      <c r="X35" s="102"/>
      <c r="Z35" s="195"/>
      <c r="AA35" s="205"/>
    </row>
    <row r="36" spans="2:27" ht="36" customHeight="1">
      <c r="B36" s="176" t="s">
        <v>251</v>
      </c>
      <c r="C36" s="166"/>
      <c r="D36" s="190">
        <v>0</v>
      </c>
      <c r="E36" s="190"/>
      <c r="F36" s="190">
        <v>-389366748</v>
      </c>
      <c r="G36" s="190"/>
      <c r="H36" s="190">
        <v>0</v>
      </c>
      <c r="I36" s="190"/>
      <c r="J36" s="190">
        <f t="shared" si="0"/>
        <v>-389366748</v>
      </c>
      <c r="K36" s="190"/>
      <c r="L36" s="207">
        <f t="shared" si="1"/>
        <v>-7.1131313648666413E-5</v>
      </c>
      <c r="M36" s="190"/>
      <c r="N36" s="190">
        <v>0</v>
      </c>
      <c r="O36" s="190"/>
      <c r="P36" s="190">
        <v>244492377</v>
      </c>
      <c r="Q36" s="190"/>
      <c r="R36" s="190">
        <v>1176011000</v>
      </c>
      <c r="S36" s="190"/>
      <c r="T36" s="190">
        <f t="shared" si="2"/>
        <v>1420503377</v>
      </c>
      <c r="U36" s="190"/>
      <c r="V36" s="207">
        <f>T36/درآمدها!$F$9</f>
        <v>4.4521450227780315E-4</v>
      </c>
      <c r="W36" s="258"/>
      <c r="X36" s="102"/>
      <c r="Z36" s="195"/>
      <c r="AA36" s="205"/>
    </row>
    <row r="37" spans="2:27" ht="36" customHeight="1">
      <c r="B37" s="176" t="s">
        <v>260</v>
      </c>
      <c r="C37" s="166"/>
      <c r="D37" s="190">
        <v>0</v>
      </c>
      <c r="E37" s="190"/>
      <c r="F37" s="190">
        <v>0</v>
      </c>
      <c r="G37" s="190"/>
      <c r="H37" s="190">
        <v>0</v>
      </c>
      <c r="I37" s="190"/>
      <c r="J37" s="190">
        <f t="shared" si="0"/>
        <v>0</v>
      </c>
      <c r="K37" s="190"/>
      <c r="L37" s="207">
        <f t="shared" si="1"/>
        <v>0</v>
      </c>
      <c r="M37" s="190"/>
      <c r="N37" s="190">
        <v>0</v>
      </c>
      <c r="O37" s="190"/>
      <c r="P37" s="190">
        <v>0</v>
      </c>
      <c r="Q37" s="190"/>
      <c r="R37" s="190">
        <v>506290</v>
      </c>
      <c r="S37" s="190"/>
      <c r="T37" s="190">
        <f t="shared" si="2"/>
        <v>506290</v>
      </c>
      <c r="U37" s="190"/>
      <c r="V37" s="207">
        <f>T37/درآمدها!$F$9</f>
        <v>1.5868153079246707E-7</v>
      </c>
      <c r="W37" s="258"/>
      <c r="X37" s="102"/>
      <c r="Z37" s="195"/>
      <c r="AA37" s="205"/>
    </row>
    <row r="38" spans="2:27" ht="36" customHeight="1">
      <c r="B38" s="176" t="s">
        <v>186</v>
      </c>
      <c r="C38" s="166"/>
      <c r="D38" s="190">
        <v>0</v>
      </c>
      <c r="E38" s="190"/>
      <c r="F38" s="190">
        <v>0</v>
      </c>
      <c r="G38" s="190"/>
      <c r="H38" s="190">
        <v>0</v>
      </c>
      <c r="I38" s="190"/>
      <c r="J38" s="190">
        <f t="shared" si="0"/>
        <v>0</v>
      </c>
      <c r="K38" s="190"/>
      <c r="L38" s="207">
        <f t="shared" si="1"/>
        <v>0</v>
      </c>
      <c r="M38" s="190"/>
      <c r="N38" s="190">
        <v>0</v>
      </c>
      <c r="O38" s="190"/>
      <c r="P38" s="190">
        <v>0</v>
      </c>
      <c r="Q38" s="190"/>
      <c r="R38" s="190">
        <v>24578982239</v>
      </c>
      <c r="S38" s="190"/>
      <c r="T38" s="190">
        <f t="shared" si="2"/>
        <v>24578982239</v>
      </c>
      <c r="U38" s="190"/>
      <c r="V38" s="207">
        <f>T38/درآمدها!$F$9</f>
        <v>7.7035503901032604E-3</v>
      </c>
      <c r="W38" s="258"/>
      <c r="X38" s="102"/>
      <c r="Z38" s="195"/>
      <c r="AA38" s="205"/>
    </row>
    <row r="39" spans="2:27" ht="36" customHeight="1">
      <c r="B39" s="176" t="s">
        <v>261</v>
      </c>
      <c r="C39" s="166"/>
      <c r="D39" s="190">
        <v>0</v>
      </c>
      <c r="E39" s="190"/>
      <c r="F39" s="190">
        <v>-247844239</v>
      </c>
      <c r="G39" s="190"/>
      <c r="H39" s="190">
        <v>0</v>
      </c>
      <c r="I39" s="190"/>
      <c r="J39" s="190">
        <f t="shared" si="0"/>
        <v>-247844239</v>
      </c>
      <c r="K39" s="190"/>
      <c r="L39" s="207">
        <f t="shared" si="1"/>
        <v>-4.5277328870219916E-5</v>
      </c>
      <c r="M39" s="190"/>
      <c r="N39" s="190">
        <v>0</v>
      </c>
      <c r="O39" s="190"/>
      <c r="P39" s="190">
        <v>-315176170</v>
      </c>
      <c r="Q39" s="190"/>
      <c r="R39" s="190">
        <v>1295097720</v>
      </c>
      <c r="S39" s="190"/>
      <c r="T39" s="190">
        <f t="shared" si="2"/>
        <v>979921550</v>
      </c>
      <c r="U39" s="190"/>
      <c r="V39" s="207">
        <f>T39/درآمدها!$F$9</f>
        <v>3.0712724251027486E-4</v>
      </c>
      <c r="W39" s="258"/>
      <c r="X39" s="102"/>
      <c r="Z39" s="195"/>
      <c r="AA39" s="205"/>
    </row>
    <row r="40" spans="2:27" ht="36" customHeight="1">
      <c r="B40" s="176" t="s">
        <v>123</v>
      </c>
      <c r="C40" s="166"/>
      <c r="D40" s="190">
        <v>0</v>
      </c>
      <c r="E40" s="190"/>
      <c r="F40" s="190">
        <v>-30760370</v>
      </c>
      <c r="G40" s="190"/>
      <c r="H40" s="190">
        <v>0</v>
      </c>
      <c r="I40" s="190"/>
      <c r="J40" s="190">
        <f t="shared" si="0"/>
        <v>-30760370</v>
      </c>
      <c r="K40" s="190"/>
      <c r="L40" s="207">
        <f t="shared" si="1"/>
        <v>-5.6194462872289986E-6</v>
      </c>
      <c r="M40" s="190"/>
      <c r="N40" s="190">
        <v>5600000000</v>
      </c>
      <c r="O40" s="190"/>
      <c r="P40" s="190">
        <v>-1516077837</v>
      </c>
      <c r="Q40" s="190"/>
      <c r="R40" s="190">
        <v>71201598286</v>
      </c>
      <c r="S40" s="190"/>
      <c r="T40" s="190">
        <f t="shared" si="2"/>
        <v>75285520449</v>
      </c>
      <c r="U40" s="190"/>
      <c r="V40" s="207">
        <f>T40/درآمدها!$F$9</f>
        <v>2.359600551335184E-2</v>
      </c>
      <c r="W40" s="258"/>
      <c r="X40" s="102"/>
      <c r="Z40" s="195"/>
      <c r="AA40" s="205"/>
    </row>
    <row r="41" spans="2:27" ht="36" customHeight="1">
      <c r="B41" s="176" t="s">
        <v>159</v>
      </c>
      <c r="C41" s="166"/>
      <c r="D41" s="190">
        <v>0</v>
      </c>
      <c r="E41" s="190"/>
      <c r="F41" s="190">
        <v>0</v>
      </c>
      <c r="G41" s="190"/>
      <c r="H41" s="190">
        <v>0</v>
      </c>
      <c r="I41" s="190"/>
      <c r="J41" s="190">
        <f t="shared" si="0"/>
        <v>0</v>
      </c>
      <c r="K41" s="190"/>
      <c r="L41" s="207">
        <f t="shared" si="1"/>
        <v>0</v>
      </c>
      <c r="M41" s="190"/>
      <c r="N41" s="190">
        <v>0</v>
      </c>
      <c r="O41" s="190"/>
      <c r="P41" s="190">
        <v>0</v>
      </c>
      <c r="Q41" s="190"/>
      <c r="R41" s="190">
        <v>273616390</v>
      </c>
      <c r="S41" s="190"/>
      <c r="T41" s="190">
        <f t="shared" si="2"/>
        <v>273616390</v>
      </c>
      <c r="U41" s="190"/>
      <c r="V41" s="207">
        <f>T41/درآمدها!$F$9</f>
        <v>8.575691326138909E-5</v>
      </c>
      <c r="W41" s="258"/>
      <c r="X41" s="102">
        <f>L41/$X$12</f>
        <v>0</v>
      </c>
      <c r="Z41" s="195"/>
      <c r="AA41" s="205"/>
    </row>
    <row r="42" spans="2:27" ht="36" customHeight="1">
      <c r="B42" s="176" t="s">
        <v>120</v>
      </c>
      <c r="C42" s="166"/>
      <c r="D42" s="190">
        <v>0</v>
      </c>
      <c r="E42" s="190"/>
      <c r="F42" s="190">
        <v>-3472945000</v>
      </c>
      <c r="G42" s="190"/>
      <c r="H42" s="190">
        <v>0</v>
      </c>
      <c r="I42" s="190"/>
      <c r="J42" s="190">
        <f t="shared" si="0"/>
        <v>-3472945000</v>
      </c>
      <c r="K42" s="190"/>
      <c r="L42" s="207">
        <f t="shared" si="1"/>
        <v>-6.3445361307424176E-4</v>
      </c>
      <c r="M42" s="190"/>
      <c r="N42" s="190">
        <v>7600000000</v>
      </c>
      <c r="O42" s="190"/>
      <c r="P42" s="190">
        <v>-3303566903</v>
      </c>
      <c r="Q42" s="190"/>
      <c r="R42" s="190">
        <v>-1160756855</v>
      </c>
      <c r="S42" s="190"/>
      <c r="T42" s="190">
        <f t="shared" si="2"/>
        <v>3135676242</v>
      </c>
      <c r="U42" s="190"/>
      <c r="V42" s="207">
        <f>T42/درآمدها!$F$9</f>
        <v>9.8278438474022883E-4</v>
      </c>
      <c r="W42" s="258"/>
      <c r="X42" s="102"/>
      <c r="Z42" s="195"/>
      <c r="AA42" s="205"/>
    </row>
    <row r="43" spans="2:27" ht="36" customHeight="1">
      <c r="B43" s="176" t="s">
        <v>185</v>
      </c>
      <c r="C43" s="166"/>
      <c r="D43" s="190">
        <v>0</v>
      </c>
      <c r="E43" s="190"/>
      <c r="F43" s="190">
        <v>0</v>
      </c>
      <c r="G43" s="190"/>
      <c r="H43" s="190">
        <v>0</v>
      </c>
      <c r="I43" s="190"/>
      <c r="J43" s="190">
        <f t="shared" si="0"/>
        <v>0</v>
      </c>
      <c r="K43" s="190"/>
      <c r="L43" s="207">
        <f t="shared" si="1"/>
        <v>0</v>
      </c>
      <c r="M43" s="190"/>
      <c r="N43" s="190">
        <v>552500000</v>
      </c>
      <c r="O43" s="190"/>
      <c r="P43" s="190">
        <v>0</v>
      </c>
      <c r="Q43" s="190"/>
      <c r="R43" s="190">
        <v>-489193832</v>
      </c>
      <c r="S43" s="190"/>
      <c r="T43" s="190">
        <f t="shared" si="2"/>
        <v>63306168</v>
      </c>
      <c r="U43" s="190"/>
      <c r="V43" s="207">
        <f>T43/درآمدها!$F$9</f>
        <v>1.9841434053299679E-5</v>
      </c>
      <c r="W43" s="258"/>
      <c r="X43" s="102"/>
      <c r="Z43" s="195"/>
      <c r="AA43" s="205"/>
    </row>
    <row r="44" spans="2:27" ht="36" customHeight="1">
      <c r="B44" s="176" t="s">
        <v>150</v>
      </c>
      <c r="C44" s="166"/>
      <c r="D44" s="190">
        <v>0</v>
      </c>
      <c r="E44" s="190"/>
      <c r="F44" s="190">
        <v>-88410</v>
      </c>
      <c r="G44" s="190"/>
      <c r="H44" s="190">
        <v>0</v>
      </c>
      <c r="I44" s="190"/>
      <c r="J44" s="190">
        <f t="shared" si="0"/>
        <v>-88410</v>
      </c>
      <c r="K44" s="190"/>
      <c r="L44" s="207">
        <f t="shared" si="1"/>
        <v>-1.6151146629702951E-8</v>
      </c>
      <c r="M44" s="190"/>
      <c r="N44" s="190">
        <v>2320000</v>
      </c>
      <c r="O44" s="190"/>
      <c r="P44" s="190">
        <v>684262</v>
      </c>
      <c r="Q44" s="190"/>
      <c r="R44" s="190">
        <v>2034565908</v>
      </c>
      <c r="S44" s="190">
        <v>8613312174</v>
      </c>
      <c r="T44" s="190">
        <f t="shared" si="2"/>
        <v>2037570170</v>
      </c>
      <c r="U44" s="190">
        <v>-5155830312</v>
      </c>
      <c r="V44" s="207">
        <f>T44/درآمدها!$F$9</f>
        <v>6.3861572156800916E-4</v>
      </c>
      <c r="W44" s="258"/>
      <c r="X44" s="102"/>
      <c r="Z44" s="195"/>
      <c r="AA44" s="205"/>
    </row>
    <row r="45" spans="2:27" ht="36" customHeight="1">
      <c r="B45" s="176" t="s">
        <v>216</v>
      </c>
      <c r="C45" s="166"/>
      <c r="D45" s="208">
        <f>SUM(D11:D44)</f>
        <v>60000000000</v>
      </c>
      <c r="E45" s="189"/>
      <c r="F45" s="208">
        <f>SUM(F11:F44)</f>
        <v>-367917508737</v>
      </c>
      <c r="G45" s="209"/>
      <c r="H45" s="208">
        <f>SUM(H11:H44)</f>
        <v>140933615142</v>
      </c>
      <c r="I45" s="209"/>
      <c r="J45" s="208">
        <f>SUM(J11:J44)</f>
        <v>-166983893595</v>
      </c>
      <c r="K45" s="209"/>
      <c r="L45" s="231">
        <f>SUM(L11:L44)</f>
        <v>-3.0505387968007686E-2</v>
      </c>
      <c r="M45" s="209"/>
      <c r="N45" s="208">
        <f>SUM(N11:N44)</f>
        <v>394088288870</v>
      </c>
      <c r="O45" s="209"/>
      <c r="P45" s="208">
        <f>SUM(P11:P44)</f>
        <v>1165749900346</v>
      </c>
      <c r="Q45" s="209"/>
      <c r="R45" s="208">
        <f>SUM(R11:R44)</f>
        <v>338866344339</v>
      </c>
      <c r="S45" s="209"/>
      <c r="T45" s="208">
        <f>SUM(T11:T44)</f>
        <v>1898704533555</v>
      </c>
      <c r="U45" s="190"/>
      <c r="V45" s="120">
        <f>SUM(V11:V44)</f>
        <v>0.59509242115606598</v>
      </c>
      <c r="W45" s="258"/>
      <c r="X45" s="102"/>
      <c r="Z45" s="195"/>
      <c r="AA45" s="205"/>
    </row>
    <row r="46" spans="2:27" ht="22.5" customHeight="1">
      <c r="B46" s="176"/>
      <c r="C46" s="166"/>
      <c r="D46" s="191"/>
      <c r="E46" s="189"/>
      <c r="F46" s="190"/>
      <c r="G46" s="190"/>
      <c r="H46" s="190"/>
      <c r="I46" s="190"/>
      <c r="J46" s="190"/>
      <c r="K46" s="190"/>
      <c r="L46" s="207"/>
      <c r="M46" s="190"/>
      <c r="N46" s="190"/>
      <c r="O46" s="190"/>
      <c r="P46" s="190"/>
      <c r="Q46" s="190"/>
      <c r="R46" s="190"/>
      <c r="S46" s="190"/>
      <c r="T46" s="190"/>
      <c r="U46" s="190"/>
      <c r="V46" s="207"/>
      <c r="W46" s="258"/>
      <c r="X46" s="102"/>
      <c r="Z46" s="195"/>
      <c r="AA46" s="205"/>
    </row>
    <row r="47" spans="2:27" ht="36" customHeight="1">
      <c r="B47" s="383" t="s">
        <v>138</v>
      </c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258"/>
      <c r="X47" s="102"/>
      <c r="Z47" s="195"/>
      <c r="AA47" s="205"/>
    </row>
    <row r="48" spans="2:27" ht="11.25" customHeight="1">
      <c r="W48" s="258"/>
      <c r="X48" s="102"/>
      <c r="Z48" s="195"/>
      <c r="AA48" s="205"/>
    </row>
    <row r="49" spans="2:27" ht="36" customHeight="1" thickBot="1">
      <c r="B49" s="265"/>
      <c r="C49" s="203"/>
      <c r="D49" s="376" t="str">
        <f>D7</f>
        <v>طی اسفند ماه</v>
      </c>
      <c r="E49" s="376"/>
      <c r="F49" s="376"/>
      <c r="G49" s="376"/>
      <c r="H49" s="376"/>
      <c r="I49" s="376"/>
      <c r="J49" s="376"/>
      <c r="K49" s="203"/>
      <c r="L49" s="203"/>
      <c r="M49" s="203"/>
      <c r="N49" s="376" t="str">
        <f>N7</f>
        <v>از ابتدای سال مالی تا پایان اسفند ماه</v>
      </c>
      <c r="O49" s="376"/>
      <c r="P49" s="376"/>
      <c r="Q49" s="376"/>
      <c r="R49" s="376"/>
      <c r="S49" s="376"/>
      <c r="T49" s="376"/>
      <c r="U49" s="376"/>
      <c r="V49" s="376"/>
      <c r="W49" s="258"/>
      <c r="X49" s="102"/>
      <c r="Z49" s="195"/>
      <c r="AA49" s="205"/>
    </row>
    <row r="50" spans="2:27" ht="36" customHeight="1">
      <c r="B50" s="377" t="s">
        <v>36</v>
      </c>
      <c r="C50" s="377"/>
      <c r="D50" s="381" t="s">
        <v>21</v>
      </c>
      <c r="E50" s="377"/>
      <c r="F50" s="381" t="s">
        <v>22</v>
      </c>
      <c r="G50" s="377"/>
      <c r="H50" s="381" t="s">
        <v>23</v>
      </c>
      <c r="I50" s="377"/>
      <c r="J50" s="379" t="s">
        <v>7</v>
      </c>
      <c r="K50" s="379"/>
      <c r="L50" s="379"/>
      <c r="M50" s="377"/>
      <c r="N50" s="382" t="s">
        <v>21</v>
      </c>
      <c r="O50" s="384"/>
      <c r="P50" s="382" t="s">
        <v>22</v>
      </c>
      <c r="Q50" s="384"/>
      <c r="R50" s="382" t="s">
        <v>23</v>
      </c>
      <c r="S50" s="384"/>
      <c r="T50" s="379" t="s">
        <v>7</v>
      </c>
      <c r="U50" s="379"/>
      <c r="V50" s="379"/>
      <c r="W50" s="258"/>
      <c r="X50" s="102"/>
      <c r="Z50" s="195"/>
      <c r="AA50" s="205"/>
    </row>
    <row r="51" spans="2:27" ht="36" customHeight="1" thickBot="1">
      <c r="B51" s="377"/>
      <c r="C51" s="377"/>
      <c r="D51" s="381"/>
      <c r="E51" s="377"/>
      <c r="F51" s="381"/>
      <c r="G51" s="377"/>
      <c r="H51" s="381"/>
      <c r="I51" s="377"/>
      <c r="J51" s="376"/>
      <c r="K51" s="376"/>
      <c r="L51" s="376"/>
      <c r="M51" s="377"/>
      <c r="N51" s="381"/>
      <c r="O51" s="377"/>
      <c r="P51" s="381"/>
      <c r="Q51" s="377"/>
      <c r="R51" s="381"/>
      <c r="S51" s="377"/>
      <c r="T51" s="376"/>
      <c r="U51" s="376"/>
      <c r="V51" s="376"/>
      <c r="W51" s="258"/>
      <c r="X51" s="102"/>
      <c r="Z51" s="195"/>
      <c r="AA51" s="205"/>
    </row>
    <row r="52" spans="2:27" ht="49.5" customHeight="1" thickBot="1">
      <c r="B52" s="378"/>
      <c r="C52" s="377"/>
      <c r="D52" s="88" t="s">
        <v>91</v>
      </c>
      <c r="E52" s="377"/>
      <c r="F52" s="88" t="s">
        <v>92</v>
      </c>
      <c r="G52" s="377"/>
      <c r="H52" s="88" t="s">
        <v>93</v>
      </c>
      <c r="I52" s="377"/>
      <c r="J52" s="103" t="s">
        <v>11</v>
      </c>
      <c r="K52" s="103"/>
      <c r="L52" s="103" t="s">
        <v>24</v>
      </c>
      <c r="M52" s="377"/>
      <c r="N52" s="88" t="s">
        <v>91</v>
      </c>
      <c r="O52" s="377"/>
      <c r="P52" s="88" t="s">
        <v>92</v>
      </c>
      <c r="Q52" s="377"/>
      <c r="R52" s="88" t="s">
        <v>93</v>
      </c>
      <c r="S52" s="377"/>
      <c r="T52" s="103" t="s">
        <v>11</v>
      </c>
      <c r="U52" s="103"/>
      <c r="V52" s="103" t="s">
        <v>24</v>
      </c>
      <c r="W52" s="258"/>
      <c r="X52" s="102"/>
      <c r="Z52" s="195"/>
      <c r="AA52" s="205"/>
    </row>
    <row r="53" spans="2:27" ht="36" customHeight="1">
      <c r="B53" s="192" t="s">
        <v>217</v>
      </c>
      <c r="C53" s="192"/>
      <c r="D53" s="208">
        <f>D45</f>
        <v>60000000000</v>
      </c>
      <c r="E53" s="192"/>
      <c r="F53" s="190">
        <f>F45</f>
        <v>-367917508737</v>
      </c>
      <c r="G53" s="190"/>
      <c r="H53" s="190">
        <f>H45</f>
        <v>140933615142</v>
      </c>
      <c r="I53" s="190"/>
      <c r="J53" s="190">
        <f>D53+F53+H53</f>
        <v>-166983893595</v>
      </c>
      <c r="K53" s="190"/>
      <c r="L53" s="207">
        <f>L45</f>
        <v>-3.0505387968007686E-2</v>
      </c>
      <c r="M53" s="190"/>
      <c r="N53" s="190">
        <f>N45</f>
        <v>394088288870</v>
      </c>
      <c r="O53" s="190"/>
      <c r="P53" s="190">
        <f>P45</f>
        <v>1165749900346</v>
      </c>
      <c r="Q53" s="190"/>
      <c r="R53" s="190">
        <f>R45</f>
        <v>338866344339</v>
      </c>
      <c r="S53" s="190"/>
      <c r="T53" s="190">
        <f>N53+P53+R53</f>
        <v>1898704533555</v>
      </c>
      <c r="U53" s="105"/>
      <c r="V53" s="106">
        <f>V45</f>
        <v>0.59509242115606598</v>
      </c>
      <c r="W53" s="258"/>
      <c r="X53" s="102"/>
      <c r="Z53" s="195"/>
      <c r="AA53" s="205"/>
    </row>
    <row r="54" spans="2:27" ht="36" customHeight="1">
      <c r="B54" s="176" t="s">
        <v>153</v>
      </c>
      <c r="C54" s="176"/>
      <c r="D54" s="191">
        <v>0</v>
      </c>
      <c r="E54" s="189"/>
      <c r="F54" s="190">
        <v>0</v>
      </c>
      <c r="G54" s="190"/>
      <c r="H54" s="190">
        <v>0</v>
      </c>
      <c r="I54" s="190"/>
      <c r="J54" s="190">
        <f t="shared" ref="J54:J86" si="3">D54+F54+H54</f>
        <v>0</v>
      </c>
      <c r="K54" s="190"/>
      <c r="L54" s="207">
        <f t="shared" ref="L54:L86" si="4">J54/$X$12</f>
        <v>0</v>
      </c>
      <c r="M54" s="190"/>
      <c r="N54" s="190">
        <v>0</v>
      </c>
      <c r="O54" s="190"/>
      <c r="P54" s="190">
        <v>0</v>
      </c>
      <c r="Q54" s="190"/>
      <c r="R54" s="190">
        <v>-2558077316</v>
      </c>
      <c r="S54" s="190">
        <v>2132299511</v>
      </c>
      <c r="T54" s="190">
        <f t="shared" ref="T54:T86" si="5">N54+P54+R54</f>
        <v>-2558077316</v>
      </c>
      <c r="U54" s="190">
        <v>-5155830311</v>
      </c>
      <c r="V54" s="207">
        <f>T54/درآمدها!$F$9</f>
        <v>-8.017531936012276E-4</v>
      </c>
      <c r="W54" s="258"/>
      <c r="X54" s="102"/>
      <c r="Z54" s="195"/>
      <c r="AA54" s="205"/>
    </row>
    <row r="55" spans="2:27" ht="36" customHeight="1">
      <c r="B55" s="176" t="s">
        <v>263</v>
      </c>
      <c r="C55" s="176"/>
      <c r="D55" s="191">
        <v>0</v>
      </c>
      <c r="E55" s="189"/>
      <c r="F55" s="190">
        <v>0</v>
      </c>
      <c r="G55" s="190"/>
      <c r="H55" s="190">
        <v>0</v>
      </c>
      <c r="I55" s="190"/>
      <c r="J55" s="190">
        <f t="shared" si="3"/>
        <v>0</v>
      </c>
      <c r="K55" s="190"/>
      <c r="L55" s="207">
        <f t="shared" si="4"/>
        <v>0</v>
      </c>
      <c r="M55" s="190"/>
      <c r="N55" s="190">
        <v>0</v>
      </c>
      <c r="O55" s="190"/>
      <c r="P55" s="190">
        <v>3486993474</v>
      </c>
      <c r="Q55" s="190"/>
      <c r="R55" s="190">
        <v>2711244205</v>
      </c>
      <c r="S55" s="190">
        <v>1644814375</v>
      </c>
      <c r="T55" s="190">
        <f t="shared" si="5"/>
        <v>6198237679</v>
      </c>
      <c r="U55" s="190">
        <v>-5155830310</v>
      </c>
      <c r="V55" s="207">
        <f>T55/درآمدها!$F$9</f>
        <v>1.942653110113311E-3</v>
      </c>
      <c r="W55" s="258"/>
      <c r="X55" s="102"/>
      <c r="Z55" s="195"/>
      <c r="AA55" s="205"/>
    </row>
    <row r="56" spans="2:27" ht="36" customHeight="1">
      <c r="B56" s="176" t="s">
        <v>258</v>
      </c>
      <c r="C56" s="176"/>
      <c r="D56" s="191">
        <v>0</v>
      </c>
      <c r="E56" s="189"/>
      <c r="F56" s="190">
        <v>0</v>
      </c>
      <c r="G56" s="190"/>
      <c r="H56" s="190">
        <v>0</v>
      </c>
      <c r="I56" s="190"/>
      <c r="J56" s="190">
        <f t="shared" si="3"/>
        <v>0</v>
      </c>
      <c r="K56" s="190"/>
      <c r="L56" s="207">
        <f t="shared" si="4"/>
        <v>0</v>
      </c>
      <c r="M56" s="190"/>
      <c r="N56" s="190">
        <v>0</v>
      </c>
      <c r="O56" s="190"/>
      <c r="P56" s="190">
        <v>0</v>
      </c>
      <c r="Q56" s="190"/>
      <c r="R56" s="190">
        <v>2932826582</v>
      </c>
      <c r="S56" s="190">
        <v>-8875524087</v>
      </c>
      <c r="T56" s="190">
        <f t="shared" si="5"/>
        <v>2932826582</v>
      </c>
      <c r="U56" s="190">
        <v>-803317139</v>
      </c>
      <c r="V56" s="207">
        <f>T56/درآمدها!$F$9</f>
        <v>9.192071966276224E-4</v>
      </c>
      <c r="W56" s="258"/>
      <c r="X56" s="102"/>
      <c r="Z56" s="195"/>
      <c r="AA56" s="205"/>
    </row>
    <row r="57" spans="2:27" ht="36" customHeight="1">
      <c r="B57" s="176" t="s">
        <v>157</v>
      </c>
      <c r="C57" s="176"/>
      <c r="D57" s="191">
        <v>0</v>
      </c>
      <c r="E57" s="189"/>
      <c r="F57" s="190">
        <v>-462198</v>
      </c>
      <c r="G57" s="190"/>
      <c r="H57" s="190">
        <v>0</v>
      </c>
      <c r="I57" s="190"/>
      <c r="J57" s="190">
        <f t="shared" si="3"/>
        <v>-462198</v>
      </c>
      <c r="K57" s="190"/>
      <c r="L57" s="207">
        <f t="shared" si="4"/>
        <v>-8.4436462729956395E-8</v>
      </c>
      <c r="M57" s="190"/>
      <c r="N57" s="190">
        <v>1002482</v>
      </c>
      <c r="O57" s="190"/>
      <c r="P57" s="190">
        <v>-63612876</v>
      </c>
      <c r="Q57" s="190"/>
      <c r="R57" s="190">
        <v>151419925</v>
      </c>
      <c r="S57" s="190">
        <v>1487118809</v>
      </c>
      <c r="T57" s="190">
        <f t="shared" si="5"/>
        <v>88809531</v>
      </c>
      <c r="U57" s="190">
        <v>-38274340413</v>
      </c>
      <c r="V57" s="207">
        <f>T57/درآمدها!$F$9</f>
        <v>2.7834704078771178E-5</v>
      </c>
      <c r="W57" s="258"/>
      <c r="X57" s="266"/>
      <c r="Z57" s="195"/>
      <c r="AA57" s="205"/>
    </row>
    <row r="58" spans="2:27" ht="36" customHeight="1">
      <c r="B58" s="176" t="s">
        <v>141</v>
      </c>
      <c r="C58" s="176"/>
      <c r="D58" s="191">
        <v>0</v>
      </c>
      <c r="E58" s="189"/>
      <c r="F58" s="190">
        <v>-3076036</v>
      </c>
      <c r="G58" s="190"/>
      <c r="H58" s="190">
        <v>0</v>
      </c>
      <c r="I58" s="190"/>
      <c r="J58" s="190">
        <f t="shared" si="3"/>
        <v>-3076036</v>
      </c>
      <c r="K58" s="190"/>
      <c r="L58" s="207">
        <f t="shared" si="4"/>
        <v>-5.6194444603828689E-7</v>
      </c>
      <c r="M58" s="190"/>
      <c r="N58" s="190">
        <v>8362000</v>
      </c>
      <c r="O58" s="190"/>
      <c r="P58" s="190">
        <v>-45121375</v>
      </c>
      <c r="Q58" s="190"/>
      <c r="R58" s="190">
        <v>31387040</v>
      </c>
      <c r="S58" s="190">
        <v>3859275341</v>
      </c>
      <c r="T58" s="190">
        <f t="shared" si="5"/>
        <v>-5372335</v>
      </c>
      <c r="U58" s="190">
        <v>8687840</v>
      </c>
      <c r="V58" s="207">
        <f>T58/درآمدها!$F$9</f>
        <v>-1.6837984983506462E-6</v>
      </c>
      <c r="W58" s="258"/>
      <c r="X58" s="102"/>
      <c r="Z58" s="195"/>
      <c r="AA58" s="205"/>
    </row>
    <row r="59" spans="2:27" ht="36" customHeight="1">
      <c r="B59" s="176" t="s">
        <v>179</v>
      </c>
      <c r="C59" s="176"/>
      <c r="D59" s="191">
        <v>0</v>
      </c>
      <c r="E59" s="189"/>
      <c r="F59" s="190">
        <v>0</v>
      </c>
      <c r="G59" s="190"/>
      <c r="H59" s="190">
        <v>0</v>
      </c>
      <c r="I59" s="190"/>
      <c r="J59" s="190">
        <f t="shared" si="3"/>
        <v>0</v>
      </c>
      <c r="K59" s="190"/>
      <c r="L59" s="207">
        <f t="shared" si="4"/>
        <v>0</v>
      </c>
      <c r="M59" s="190"/>
      <c r="N59" s="190">
        <v>9100000000</v>
      </c>
      <c r="O59" s="190"/>
      <c r="P59" s="190">
        <v>0</v>
      </c>
      <c r="Q59" s="190"/>
      <c r="R59" s="190">
        <v>-22038903430</v>
      </c>
      <c r="S59" s="190">
        <v>1937265303</v>
      </c>
      <c r="T59" s="190">
        <f t="shared" si="5"/>
        <v>-12938903430</v>
      </c>
      <c r="U59" s="190">
        <v>-3013924119</v>
      </c>
      <c r="V59" s="207">
        <f>T59/درآمدها!$F$9</f>
        <v>-4.0553141540387973E-3</v>
      </c>
      <c r="W59" s="258"/>
      <c r="X59" s="102"/>
      <c r="Z59" s="195"/>
      <c r="AA59" s="205"/>
    </row>
    <row r="60" spans="2:27" ht="36" customHeight="1">
      <c r="B60" s="176" t="s">
        <v>250</v>
      </c>
      <c r="C60" s="176"/>
      <c r="D60" s="190">
        <v>0</v>
      </c>
      <c r="E60" s="189"/>
      <c r="F60" s="190">
        <v>0</v>
      </c>
      <c r="G60" s="190"/>
      <c r="H60" s="190">
        <v>0</v>
      </c>
      <c r="I60" s="190"/>
      <c r="J60" s="190">
        <f t="shared" si="3"/>
        <v>0</v>
      </c>
      <c r="K60" s="190"/>
      <c r="L60" s="207">
        <f t="shared" si="4"/>
        <v>0</v>
      </c>
      <c r="M60" s="190"/>
      <c r="N60" s="190">
        <v>0</v>
      </c>
      <c r="O60" s="190"/>
      <c r="P60" s="190">
        <v>0</v>
      </c>
      <c r="Q60" s="190"/>
      <c r="R60" s="190">
        <v>544263143</v>
      </c>
      <c r="S60" s="190">
        <v>1212931406</v>
      </c>
      <c r="T60" s="190">
        <f t="shared" si="5"/>
        <v>544263143</v>
      </c>
      <c r="U60" s="190">
        <v>-5189228345</v>
      </c>
      <c r="V60" s="207">
        <f>T60/درآمدها!$F$9</f>
        <v>1.7058308219628949E-4</v>
      </c>
      <c r="W60" s="258"/>
      <c r="X60" s="102"/>
      <c r="Z60" s="195"/>
      <c r="AA60" s="205"/>
    </row>
    <row r="61" spans="2:27" ht="36" customHeight="1">
      <c r="B61" s="176" t="s">
        <v>161</v>
      </c>
      <c r="C61" s="176"/>
      <c r="D61" s="191">
        <v>0</v>
      </c>
      <c r="E61" s="189"/>
      <c r="F61" s="190">
        <v>0</v>
      </c>
      <c r="G61" s="190"/>
      <c r="H61" s="190">
        <v>0</v>
      </c>
      <c r="I61" s="190"/>
      <c r="J61" s="190">
        <f t="shared" si="3"/>
        <v>0</v>
      </c>
      <c r="K61" s="190"/>
      <c r="L61" s="207">
        <f t="shared" si="4"/>
        <v>0</v>
      </c>
      <c r="M61" s="190"/>
      <c r="N61" s="190">
        <v>0</v>
      </c>
      <c r="O61" s="190"/>
      <c r="P61" s="190">
        <v>0</v>
      </c>
      <c r="Q61" s="190"/>
      <c r="R61" s="190">
        <v>2476602308</v>
      </c>
      <c r="S61" s="190">
        <v>6910941668</v>
      </c>
      <c r="T61" s="190">
        <f t="shared" si="5"/>
        <v>2476602308</v>
      </c>
      <c r="U61" s="190">
        <v>3261876929</v>
      </c>
      <c r="V61" s="207">
        <f>T61/درآمدها!$F$9</f>
        <v>7.7621727744493676E-4</v>
      </c>
      <c r="W61" s="258"/>
      <c r="X61" s="102"/>
      <c r="Z61" s="195"/>
      <c r="AA61" s="205"/>
    </row>
    <row r="62" spans="2:27" ht="36" customHeight="1">
      <c r="B62" s="176" t="s">
        <v>201</v>
      </c>
      <c r="C62" s="176"/>
      <c r="D62" s="191">
        <v>0</v>
      </c>
      <c r="E62" s="189"/>
      <c r="F62" s="190">
        <v>0</v>
      </c>
      <c r="G62" s="190"/>
      <c r="H62" s="190">
        <v>0</v>
      </c>
      <c r="I62" s="190"/>
      <c r="J62" s="190">
        <f t="shared" si="3"/>
        <v>0</v>
      </c>
      <c r="K62" s="190"/>
      <c r="L62" s="207">
        <f t="shared" si="4"/>
        <v>0</v>
      </c>
      <c r="M62" s="190"/>
      <c r="N62" s="190">
        <v>1500000000</v>
      </c>
      <c r="O62" s="190"/>
      <c r="P62" s="190">
        <v>0</v>
      </c>
      <c r="Q62" s="190"/>
      <c r="R62" s="190">
        <v>16759467393</v>
      </c>
      <c r="S62" s="190">
        <v>151419925</v>
      </c>
      <c r="T62" s="190">
        <f t="shared" si="5"/>
        <v>18259467393</v>
      </c>
      <c r="U62" s="190">
        <v>2910175062</v>
      </c>
      <c r="V62" s="207">
        <f>T62/درآمدها!$F$9</f>
        <v>5.7228865618052464E-3</v>
      </c>
      <c r="W62" s="258"/>
      <c r="X62" s="102"/>
      <c r="Z62" s="195"/>
      <c r="AA62" s="205"/>
    </row>
    <row r="63" spans="2:27" ht="36" customHeight="1">
      <c r="B63" s="176" t="s">
        <v>160</v>
      </c>
      <c r="C63" s="176"/>
      <c r="D63" s="191">
        <v>0</v>
      </c>
      <c r="E63" s="189"/>
      <c r="F63" s="190">
        <v>0</v>
      </c>
      <c r="G63" s="190"/>
      <c r="H63" s="190">
        <v>0</v>
      </c>
      <c r="I63" s="190"/>
      <c r="J63" s="190">
        <f t="shared" si="3"/>
        <v>0</v>
      </c>
      <c r="K63" s="190"/>
      <c r="L63" s="207">
        <f t="shared" si="4"/>
        <v>0</v>
      </c>
      <c r="M63" s="190"/>
      <c r="N63" s="190">
        <v>11100000000</v>
      </c>
      <c r="O63" s="190"/>
      <c r="P63" s="190">
        <v>0</v>
      </c>
      <c r="Q63" s="190"/>
      <c r="R63" s="190">
        <v>-2831281270</v>
      </c>
      <c r="S63" s="190">
        <v>31387040</v>
      </c>
      <c r="T63" s="190">
        <f t="shared" si="5"/>
        <v>8268718730</v>
      </c>
      <c r="U63" s="190">
        <v>1401330331</v>
      </c>
      <c r="V63" s="207">
        <f>T63/درآمدها!$F$9</f>
        <v>2.5915837677393276E-3</v>
      </c>
      <c r="W63" s="258"/>
      <c r="X63" s="102"/>
      <c r="Z63" s="195"/>
      <c r="AA63" s="205"/>
    </row>
    <row r="64" spans="2:27" ht="36" customHeight="1">
      <c r="B64" s="176" t="s">
        <v>137</v>
      </c>
      <c r="C64" s="176"/>
      <c r="D64" s="191">
        <v>0</v>
      </c>
      <c r="E64" s="189"/>
      <c r="F64" s="190">
        <v>-1369332</v>
      </c>
      <c r="G64" s="190"/>
      <c r="H64" s="190">
        <v>0</v>
      </c>
      <c r="I64" s="190"/>
      <c r="J64" s="190">
        <f t="shared" si="3"/>
        <v>-1369332</v>
      </c>
      <c r="K64" s="190"/>
      <c r="L64" s="207">
        <f t="shared" si="4"/>
        <v>-2.5015588640136187E-7</v>
      </c>
      <c r="M64" s="190"/>
      <c r="N64" s="190">
        <v>17973000000</v>
      </c>
      <c r="O64" s="190"/>
      <c r="P64" s="190">
        <v>4826175</v>
      </c>
      <c r="Q64" s="190"/>
      <c r="R64" s="190">
        <v>19056146444</v>
      </c>
      <c r="S64" s="190">
        <v>1762590900</v>
      </c>
      <c r="T64" s="190">
        <f t="shared" si="5"/>
        <v>37033972619</v>
      </c>
      <c r="U64" s="190">
        <v>-160980321</v>
      </c>
      <c r="V64" s="207">
        <f>T64/درآمدها!$F$9</f>
        <v>1.1607196402277807E-2</v>
      </c>
      <c r="W64" s="258"/>
      <c r="X64" s="102"/>
      <c r="Z64" s="195"/>
      <c r="AA64" s="205"/>
    </row>
    <row r="65" spans="2:31" ht="36" customHeight="1">
      <c r="B65" s="176" t="s">
        <v>183</v>
      </c>
      <c r="C65" s="176"/>
      <c r="D65" s="191">
        <v>0</v>
      </c>
      <c r="E65" s="189"/>
      <c r="F65" s="190">
        <v>0</v>
      </c>
      <c r="G65" s="190"/>
      <c r="H65" s="190">
        <v>0</v>
      </c>
      <c r="I65" s="190"/>
      <c r="J65" s="190">
        <f t="shared" si="3"/>
        <v>0</v>
      </c>
      <c r="K65" s="190"/>
      <c r="L65" s="207">
        <f t="shared" si="4"/>
        <v>0</v>
      </c>
      <c r="M65" s="190"/>
      <c r="N65" s="190">
        <v>0</v>
      </c>
      <c r="O65" s="190"/>
      <c r="P65" s="190">
        <v>0</v>
      </c>
      <c r="Q65" s="190"/>
      <c r="R65" s="190">
        <v>2810738818</v>
      </c>
      <c r="S65" s="190">
        <v>2476602308</v>
      </c>
      <c r="T65" s="190">
        <f t="shared" si="5"/>
        <v>2810738818</v>
      </c>
      <c r="U65" s="190">
        <v>-12553533323</v>
      </c>
      <c r="V65" s="207">
        <f>T65/درآمدها!$F$9</f>
        <v>8.8094242094066547E-4</v>
      </c>
      <c r="W65" s="258"/>
      <c r="X65" s="102"/>
      <c r="Z65" s="195"/>
      <c r="AA65" s="205"/>
    </row>
    <row r="66" spans="2:31" ht="36" customHeight="1">
      <c r="B66" s="176" t="s">
        <v>194</v>
      </c>
      <c r="C66" s="176"/>
      <c r="D66" s="191">
        <v>0</v>
      </c>
      <c r="E66" s="189"/>
      <c r="F66" s="190">
        <v>0</v>
      </c>
      <c r="G66" s="190"/>
      <c r="H66" s="190">
        <v>0</v>
      </c>
      <c r="I66" s="190"/>
      <c r="J66" s="190">
        <f t="shared" si="3"/>
        <v>0</v>
      </c>
      <c r="K66" s="190"/>
      <c r="L66" s="207">
        <f t="shared" si="4"/>
        <v>0</v>
      </c>
      <c r="M66" s="190"/>
      <c r="N66" s="190">
        <v>0</v>
      </c>
      <c r="O66" s="190"/>
      <c r="P66" s="190">
        <v>0</v>
      </c>
      <c r="Q66" s="190"/>
      <c r="R66" s="190">
        <v>41326305</v>
      </c>
      <c r="S66" s="190">
        <v>9867221407</v>
      </c>
      <c r="T66" s="190">
        <f t="shared" si="5"/>
        <v>41326305</v>
      </c>
      <c r="U66" s="190">
        <v>-6135872031</v>
      </c>
      <c r="V66" s="207">
        <f>T66/درآمدها!$F$9</f>
        <v>1.2952500225950318E-5</v>
      </c>
      <c r="W66" s="258"/>
      <c r="X66" s="102"/>
      <c r="Z66" s="195"/>
      <c r="AA66" s="205"/>
      <c r="AD66" s="186"/>
    </row>
    <row r="67" spans="2:31" ht="36" customHeight="1">
      <c r="B67" s="176" t="s">
        <v>163</v>
      </c>
      <c r="C67" s="176"/>
      <c r="D67" s="191">
        <v>0</v>
      </c>
      <c r="E67" s="189"/>
      <c r="F67" s="190">
        <v>0</v>
      </c>
      <c r="G67" s="190"/>
      <c r="H67" s="190">
        <v>0</v>
      </c>
      <c r="I67" s="190"/>
      <c r="J67" s="190">
        <f t="shared" si="3"/>
        <v>0</v>
      </c>
      <c r="K67" s="190"/>
      <c r="L67" s="207">
        <f t="shared" si="4"/>
        <v>0</v>
      </c>
      <c r="M67" s="190"/>
      <c r="N67" s="257">
        <v>0</v>
      </c>
      <c r="O67" s="190"/>
      <c r="P67" s="190">
        <v>0</v>
      </c>
      <c r="Q67" s="190"/>
      <c r="R67" s="146">
        <v>457681005</v>
      </c>
      <c r="S67" s="190">
        <v>-2831281270</v>
      </c>
      <c r="T67" s="190">
        <f t="shared" si="5"/>
        <v>457681005</v>
      </c>
      <c r="U67" s="190">
        <v>-650042212</v>
      </c>
      <c r="V67" s="207">
        <f>T67/درآمدها!$F$9</f>
        <v>1.4344648815507868E-4</v>
      </c>
      <c r="W67" s="258"/>
      <c r="X67" s="102"/>
      <c r="Z67" s="195"/>
      <c r="AA67" s="205"/>
      <c r="AD67" s="186"/>
    </row>
    <row r="68" spans="2:31" ht="36" customHeight="1">
      <c r="B68" s="176" t="s">
        <v>178</v>
      </c>
      <c r="C68" s="176"/>
      <c r="D68" s="191">
        <v>0</v>
      </c>
      <c r="E68" s="189"/>
      <c r="F68" s="190">
        <v>0</v>
      </c>
      <c r="G68" s="190"/>
      <c r="H68" s="190">
        <v>0</v>
      </c>
      <c r="I68" s="190"/>
      <c r="J68" s="190">
        <f t="shared" si="3"/>
        <v>0</v>
      </c>
      <c r="K68" s="190"/>
      <c r="L68" s="207">
        <f t="shared" si="4"/>
        <v>0</v>
      </c>
      <c r="M68" s="190"/>
      <c r="N68" s="190">
        <v>1500000000</v>
      </c>
      <c r="O68" s="190"/>
      <c r="P68" s="190">
        <v>0</v>
      </c>
      <c r="Q68" s="190"/>
      <c r="R68" s="190">
        <v>-21899317781</v>
      </c>
      <c r="S68" s="190">
        <v>2810738818</v>
      </c>
      <c r="T68" s="190">
        <f t="shared" si="5"/>
        <v>-20399317781</v>
      </c>
      <c r="U68" s="190">
        <v>298767031</v>
      </c>
      <c r="V68" s="207">
        <f>T68/درآمدها!$F$9</f>
        <v>-6.3935589733375587E-3</v>
      </c>
      <c r="W68" s="258"/>
      <c r="X68" s="102"/>
      <c r="Z68" s="195"/>
      <c r="AA68" s="205"/>
      <c r="AD68" s="186"/>
    </row>
    <row r="69" spans="2:31" ht="36" customHeight="1">
      <c r="B69" s="176" t="s">
        <v>198</v>
      </c>
      <c r="C69" s="176"/>
      <c r="D69" s="191">
        <v>0</v>
      </c>
      <c r="E69" s="189"/>
      <c r="F69" s="190">
        <v>0</v>
      </c>
      <c r="G69" s="190"/>
      <c r="H69" s="190">
        <v>0</v>
      </c>
      <c r="I69" s="190"/>
      <c r="J69" s="190">
        <f t="shared" si="3"/>
        <v>0</v>
      </c>
      <c r="K69" s="190"/>
      <c r="L69" s="207">
        <f t="shared" si="4"/>
        <v>0</v>
      </c>
      <c r="M69" s="190"/>
      <c r="N69" s="190">
        <v>0</v>
      </c>
      <c r="O69" s="190"/>
      <c r="P69" s="190">
        <v>0</v>
      </c>
      <c r="Q69" s="190"/>
      <c r="R69" s="190">
        <v>-16706594194</v>
      </c>
      <c r="S69" s="190">
        <v>457681005</v>
      </c>
      <c r="T69" s="190">
        <f t="shared" si="5"/>
        <v>-16706594194</v>
      </c>
      <c r="U69" s="190">
        <v>628201261</v>
      </c>
      <c r="V69" s="207">
        <f>T69/درآمدها!$F$9</f>
        <v>-5.2361846788055513E-3</v>
      </c>
      <c r="W69" s="258"/>
      <c r="X69" s="102"/>
      <c r="Z69" s="195"/>
      <c r="AA69" s="205"/>
    </row>
    <row r="70" spans="2:31" ht="36" customHeight="1">
      <c r="B70" s="176" t="s">
        <v>110</v>
      </c>
      <c r="C70" s="176"/>
      <c r="D70" s="191">
        <v>0</v>
      </c>
      <c r="E70" s="189"/>
      <c r="F70" s="190">
        <v>-2679129000</v>
      </c>
      <c r="G70" s="190"/>
      <c r="H70" s="190">
        <v>0</v>
      </c>
      <c r="I70" s="190"/>
      <c r="J70" s="190">
        <f t="shared" si="3"/>
        <v>-2679129000</v>
      </c>
      <c r="K70" s="190"/>
      <c r="L70" s="207">
        <f t="shared" si="4"/>
        <v>-4.8943564437155794E-4</v>
      </c>
      <c r="M70" s="190"/>
      <c r="N70" s="190">
        <v>0</v>
      </c>
      <c r="O70" s="190"/>
      <c r="P70" s="190">
        <v>-3497377748</v>
      </c>
      <c r="Q70" s="190"/>
      <c r="R70" s="190">
        <v>10735378446</v>
      </c>
      <c r="S70" s="190">
        <v>-314831742</v>
      </c>
      <c r="T70" s="190">
        <f t="shared" si="5"/>
        <v>7238000698</v>
      </c>
      <c r="U70" s="190">
        <v>-273814835</v>
      </c>
      <c r="V70" s="207">
        <f>T70/درآمدها!$F$9</f>
        <v>2.2685358799020032E-3</v>
      </c>
      <c r="W70" s="258"/>
      <c r="X70" s="102"/>
      <c r="Z70" s="195"/>
      <c r="AA70" s="205"/>
      <c r="AD70" s="186"/>
      <c r="AE70" s="186"/>
    </row>
    <row r="71" spans="2:31" ht="36" customHeight="1">
      <c r="B71" s="176" t="s">
        <v>172</v>
      </c>
      <c r="C71" s="176"/>
      <c r="D71" s="191">
        <v>0</v>
      </c>
      <c r="E71" s="189"/>
      <c r="F71" s="190">
        <v>0</v>
      </c>
      <c r="G71" s="190"/>
      <c r="H71" s="190">
        <v>0</v>
      </c>
      <c r="I71" s="190"/>
      <c r="J71" s="190">
        <f t="shared" si="3"/>
        <v>0</v>
      </c>
      <c r="K71" s="190"/>
      <c r="L71" s="207">
        <f t="shared" si="4"/>
        <v>0</v>
      </c>
      <c r="M71" s="190"/>
      <c r="N71" s="190">
        <v>0</v>
      </c>
      <c r="O71" s="190"/>
      <c r="P71" s="190">
        <v>0</v>
      </c>
      <c r="Q71" s="190"/>
      <c r="R71" s="190">
        <v>24903138035</v>
      </c>
      <c r="S71" s="190">
        <v>-21899317781</v>
      </c>
      <c r="T71" s="190">
        <f t="shared" si="5"/>
        <v>24903138035</v>
      </c>
      <c r="U71" s="190"/>
      <c r="V71" s="207">
        <f>T71/درآمدها!$F$9</f>
        <v>7.8051473758713593E-3</v>
      </c>
      <c r="W71" s="258"/>
      <c r="X71" s="186"/>
      <c r="Y71" s="186"/>
      <c r="AA71" s="186"/>
    </row>
    <row r="72" spans="2:31" ht="36" customHeight="1">
      <c r="B72" s="176" t="s">
        <v>173</v>
      </c>
      <c r="C72" s="176"/>
      <c r="D72" s="191">
        <v>0</v>
      </c>
      <c r="E72" s="189"/>
      <c r="F72" s="190">
        <v>0</v>
      </c>
      <c r="G72" s="190"/>
      <c r="H72" s="190">
        <v>0</v>
      </c>
      <c r="I72" s="190"/>
      <c r="J72" s="190">
        <f t="shared" si="3"/>
        <v>0</v>
      </c>
      <c r="K72" s="190"/>
      <c r="L72" s="207">
        <f t="shared" si="4"/>
        <v>0</v>
      </c>
      <c r="M72" s="190"/>
      <c r="N72" s="190">
        <v>0</v>
      </c>
      <c r="O72" s="190"/>
      <c r="P72" s="190">
        <v>0</v>
      </c>
      <c r="Q72" s="190"/>
      <c r="R72" s="190">
        <v>-4335963253</v>
      </c>
      <c r="S72" s="190">
        <v>24903138035</v>
      </c>
      <c r="T72" s="190">
        <f t="shared" si="5"/>
        <v>-4335963253</v>
      </c>
      <c r="U72" s="190"/>
      <c r="V72" s="207">
        <f>T72/درآمدها!$F$9</f>
        <v>-1.3589786218292385E-3</v>
      </c>
      <c r="W72" s="258"/>
      <c r="X72" s="186"/>
      <c r="Y72" s="186"/>
      <c r="AA72" s="186"/>
    </row>
    <row r="73" spans="2:31" ht="36" customHeight="1">
      <c r="B73" s="176" t="s">
        <v>284</v>
      </c>
      <c r="C73" s="176"/>
      <c r="D73" s="191">
        <v>0</v>
      </c>
      <c r="E73" s="189"/>
      <c r="F73" s="190">
        <v>0</v>
      </c>
      <c r="G73" s="190"/>
      <c r="H73" s="190">
        <v>0</v>
      </c>
      <c r="I73" s="190"/>
      <c r="J73" s="190">
        <f t="shared" si="3"/>
        <v>0</v>
      </c>
      <c r="K73" s="190"/>
      <c r="L73" s="207">
        <f t="shared" si="4"/>
        <v>0</v>
      </c>
      <c r="M73" s="190"/>
      <c r="N73" s="190">
        <v>0</v>
      </c>
      <c r="O73" s="190"/>
      <c r="P73" s="190">
        <v>0</v>
      </c>
      <c r="Q73" s="190"/>
      <c r="R73" s="190">
        <v>-10777911044</v>
      </c>
      <c r="S73" s="190">
        <v>-4335963253</v>
      </c>
      <c r="T73" s="190">
        <f t="shared" si="5"/>
        <v>-10777911044</v>
      </c>
      <c r="U73" s="190"/>
      <c r="V73" s="207">
        <f>T73/درآمدها!$F$9</f>
        <v>-3.3780154125243574E-3</v>
      </c>
      <c r="W73" s="258"/>
      <c r="X73" s="186"/>
      <c r="Y73" s="186"/>
      <c r="AA73" s="186"/>
    </row>
    <row r="74" spans="2:31" ht="36" customHeight="1">
      <c r="B74" s="176" t="s">
        <v>162</v>
      </c>
      <c r="C74" s="176"/>
      <c r="D74" s="191">
        <v>0</v>
      </c>
      <c r="E74" s="189"/>
      <c r="F74" s="190">
        <v>0</v>
      </c>
      <c r="G74" s="190"/>
      <c r="H74" s="190">
        <v>0</v>
      </c>
      <c r="I74" s="190"/>
      <c r="J74" s="190">
        <f t="shared" si="3"/>
        <v>0</v>
      </c>
      <c r="K74" s="190"/>
      <c r="L74" s="207">
        <f t="shared" si="4"/>
        <v>0</v>
      </c>
      <c r="M74" s="190"/>
      <c r="N74" s="190">
        <v>0</v>
      </c>
      <c r="O74" s="190"/>
      <c r="P74" s="190">
        <v>0</v>
      </c>
      <c r="Q74" s="190"/>
      <c r="R74" s="190">
        <v>4030409699</v>
      </c>
      <c r="S74" s="190">
        <v>4030409699</v>
      </c>
      <c r="T74" s="190">
        <f t="shared" si="5"/>
        <v>4030409699</v>
      </c>
      <c r="U74" s="190"/>
      <c r="V74" s="207">
        <f>T74/درآمدها!$F$9</f>
        <v>1.2632119551208329E-3</v>
      </c>
      <c r="W74" s="258"/>
      <c r="X74" s="186"/>
      <c r="Y74" s="186"/>
      <c r="AA74" s="186"/>
    </row>
    <row r="75" spans="2:31" ht="36" customHeight="1">
      <c r="B75" s="176" t="s">
        <v>111</v>
      </c>
      <c r="C75" s="176"/>
      <c r="D75" s="191">
        <v>0</v>
      </c>
      <c r="E75" s="189"/>
      <c r="F75" s="190">
        <v>515981</v>
      </c>
      <c r="G75" s="190"/>
      <c r="H75" s="190">
        <v>0</v>
      </c>
      <c r="I75" s="190"/>
      <c r="J75" s="190">
        <f t="shared" si="3"/>
        <v>515981</v>
      </c>
      <c r="K75" s="190"/>
      <c r="L75" s="207">
        <f t="shared" si="4"/>
        <v>9.4261789267512251E-8</v>
      </c>
      <c r="M75" s="190"/>
      <c r="N75" s="190">
        <v>0</v>
      </c>
      <c r="O75" s="190"/>
      <c r="P75" s="190">
        <v>3739534</v>
      </c>
      <c r="Q75" s="190"/>
      <c r="R75" s="190">
        <v>97323992</v>
      </c>
      <c r="S75" s="190">
        <v>97323992</v>
      </c>
      <c r="T75" s="190">
        <f t="shared" si="5"/>
        <v>101063526</v>
      </c>
      <c r="U75" s="190"/>
      <c r="V75" s="207">
        <f>T75/درآمدها!$F$9</f>
        <v>3.1675354071706529E-5</v>
      </c>
      <c r="W75" s="258"/>
      <c r="X75" s="186"/>
      <c r="Y75" s="186"/>
      <c r="AA75" s="186"/>
    </row>
    <row r="76" spans="2:31" ht="36" customHeight="1">
      <c r="B76" s="176" t="s">
        <v>169</v>
      </c>
      <c r="C76" s="176"/>
      <c r="D76" s="191">
        <v>0</v>
      </c>
      <c r="E76" s="189"/>
      <c r="F76" s="190">
        <v>0</v>
      </c>
      <c r="G76" s="190"/>
      <c r="H76" s="190">
        <v>0</v>
      </c>
      <c r="I76" s="190"/>
      <c r="J76" s="190">
        <f t="shared" si="3"/>
        <v>0</v>
      </c>
      <c r="K76" s="190"/>
      <c r="L76" s="207">
        <f t="shared" si="4"/>
        <v>0</v>
      </c>
      <c r="M76" s="190"/>
      <c r="N76" s="190">
        <v>0</v>
      </c>
      <c r="O76" s="190"/>
      <c r="P76" s="190">
        <v>0</v>
      </c>
      <c r="Q76" s="190"/>
      <c r="R76" s="190">
        <v>29213444160</v>
      </c>
      <c r="S76" s="190">
        <v>29213444160</v>
      </c>
      <c r="T76" s="190">
        <f t="shared" si="5"/>
        <v>29213444160</v>
      </c>
      <c r="U76" s="190">
        <v>3621513060</v>
      </c>
      <c r="V76" s="207">
        <f>T76/درآمدها!$F$9</f>
        <v>9.1560845346126876E-3</v>
      </c>
      <c r="W76" s="258"/>
      <c r="X76" s="186"/>
      <c r="Y76" s="186"/>
      <c r="AA76" s="186"/>
    </row>
    <row r="77" spans="2:31" ht="30" customHeight="1">
      <c r="B77" s="176" t="s">
        <v>195</v>
      </c>
      <c r="C77" s="176"/>
      <c r="D77" s="191">
        <v>0</v>
      </c>
      <c r="E77" s="189"/>
      <c r="F77" s="190">
        <v>0</v>
      </c>
      <c r="G77" s="190"/>
      <c r="H77" s="190">
        <v>0</v>
      </c>
      <c r="I77" s="190"/>
      <c r="J77" s="190">
        <f t="shared" si="3"/>
        <v>0</v>
      </c>
      <c r="K77" s="190"/>
      <c r="L77" s="207">
        <f t="shared" si="4"/>
        <v>0</v>
      </c>
      <c r="M77" s="190"/>
      <c r="N77" s="190">
        <v>480000000</v>
      </c>
      <c r="O77" s="190"/>
      <c r="P77" s="190">
        <v>0</v>
      </c>
      <c r="Q77" s="190"/>
      <c r="R77" s="190">
        <v>-17593967988</v>
      </c>
      <c r="S77" s="190">
        <v>-14922689397</v>
      </c>
      <c r="T77" s="190">
        <f t="shared" si="5"/>
        <v>-17113967988</v>
      </c>
      <c r="U77" s="190">
        <v>-9565440490</v>
      </c>
      <c r="V77" s="207">
        <f>T77/درآمدها!$F$9</f>
        <v>-5.3638638690653934E-3</v>
      </c>
      <c r="W77" s="258"/>
      <c r="X77" s="102"/>
      <c r="Z77" s="195"/>
      <c r="AA77" s="205"/>
      <c r="AD77" s="186"/>
    </row>
    <row r="78" spans="2:31" ht="30" customHeight="1">
      <c r="B78" s="176" t="s">
        <v>269</v>
      </c>
      <c r="C78" s="176"/>
      <c r="D78" s="191">
        <v>0</v>
      </c>
      <c r="E78" s="189"/>
      <c r="F78" s="190">
        <v>0</v>
      </c>
      <c r="G78" s="190"/>
      <c r="H78" s="190">
        <v>0</v>
      </c>
      <c r="I78" s="190"/>
      <c r="J78" s="190">
        <f t="shared" si="3"/>
        <v>0</v>
      </c>
      <c r="K78" s="190"/>
      <c r="L78" s="207">
        <f t="shared" si="4"/>
        <v>0</v>
      </c>
      <c r="M78" s="190"/>
      <c r="N78" s="190">
        <v>0</v>
      </c>
      <c r="O78" s="190"/>
      <c r="P78" s="190">
        <v>0</v>
      </c>
      <c r="Q78" s="190"/>
      <c r="R78" s="190">
        <v>327406493</v>
      </c>
      <c r="S78" s="190">
        <v>415651628</v>
      </c>
      <c r="T78" s="190">
        <f t="shared" si="5"/>
        <v>327406493</v>
      </c>
      <c r="U78" s="190">
        <v>4529226482</v>
      </c>
      <c r="V78" s="207">
        <f>T78/درآمدها!$F$9</f>
        <v>1.0261581998584439E-4</v>
      </c>
      <c r="W78" s="258"/>
      <c r="X78" s="102"/>
      <c r="Z78" s="195"/>
      <c r="AA78" s="205"/>
    </row>
    <row r="79" spans="2:31" ht="30" customHeight="1">
      <c r="B79" s="176" t="s">
        <v>196</v>
      </c>
      <c r="C79" s="176"/>
      <c r="D79" s="191">
        <v>0</v>
      </c>
      <c r="E79" s="189"/>
      <c r="F79" s="190">
        <v>0</v>
      </c>
      <c r="G79" s="190"/>
      <c r="H79" s="190">
        <v>0</v>
      </c>
      <c r="I79" s="190"/>
      <c r="J79" s="190">
        <f t="shared" si="3"/>
        <v>0</v>
      </c>
      <c r="K79" s="190"/>
      <c r="L79" s="207">
        <f t="shared" si="4"/>
        <v>0</v>
      </c>
      <c r="M79" s="190"/>
      <c r="N79" s="190">
        <v>12060000000</v>
      </c>
      <c r="O79" s="190"/>
      <c r="P79" s="190">
        <v>0</v>
      </c>
      <c r="Q79" s="190"/>
      <c r="R79" s="190">
        <v>-8852447210</v>
      </c>
      <c r="S79" s="190">
        <v>5021464603</v>
      </c>
      <c r="T79" s="190">
        <f t="shared" si="5"/>
        <v>3207552790</v>
      </c>
      <c r="U79" s="190">
        <v>1418971271</v>
      </c>
      <c r="V79" s="207">
        <f>T79/درآمدها!$F$9</f>
        <v>1.0053119493074101E-3</v>
      </c>
      <c r="W79" s="258"/>
      <c r="X79" s="102"/>
      <c r="Z79" s="195"/>
      <c r="AA79" s="205"/>
    </row>
    <row r="80" spans="2:31" ht="30" customHeight="1">
      <c r="B80" s="176" t="s">
        <v>135</v>
      </c>
      <c r="C80" s="176"/>
      <c r="D80" s="191">
        <v>0</v>
      </c>
      <c r="E80" s="189"/>
      <c r="F80" s="190">
        <v>429653</v>
      </c>
      <c r="G80" s="190"/>
      <c r="H80" s="190">
        <v>0</v>
      </c>
      <c r="I80" s="190"/>
      <c r="J80" s="190">
        <f t="shared" si="3"/>
        <v>429653</v>
      </c>
      <c r="K80" s="190"/>
      <c r="L80" s="207">
        <f t="shared" si="4"/>
        <v>7.8490992001942785E-8</v>
      </c>
      <c r="M80" s="190"/>
      <c r="N80" s="190">
        <v>34000</v>
      </c>
      <c r="O80" s="190"/>
      <c r="P80" s="190">
        <v>423980</v>
      </c>
      <c r="Q80" s="190"/>
      <c r="R80" s="190">
        <v>-110542921</v>
      </c>
      <c r="S80" s="190">
        <v>-4485653237</v>
      </c>
      <c r="T80" s="190">
        <f t="shared" si="5"/>
        <v>-110084941</v>
      </c>
      <c r="U80" s="190">
        <v>-15221139573</v>
      </c>
      <c r="V80" s="207">
        <f>T80/درآمدها!$F$9</f>
        <v>-3.4502848081294159E-5</v>
      </c>
      <c r="W80" s="258"/>
      <c r="X80" s="102"/>
      <c r="Z80" s="195"/>
      <c r="AA80" s="205"/>
    </row>
    <row r="81" spans="2:27" ht="30" customHeight="1">
      <c r="B81" s="176" t="s">
        <v>240</v>
      </c>
      <c r="C81" s="176"/>
      <c r="D81" s="191">
        <v>0</v>
      </c>
      <c r="E81" s="189"/>
      <c r="F81" s="190">
        <v>0</v>
      </c>
      <c r="G81" s="190"/>
      <c r="H81" s="190">
        <v>0</v>
      </c>
      <c r="I81" s="190"/>
      <c r="J81" s="190">
        <f t="shared" si="3"/>
        <v>0</v>
      </c>
      <c r="K81" s="190"/>
      <c r="L81" s="207">
        <f t="shared" si="4"/>
        <v>0</v>
      </c>
      <c r="M81" s="190"/>
      <c r="N81" s="190">
        <v>0</v>
      </c>
      <c r="O81" s="190"/>
      <c r="P81" s="190">
        <v>0</v>
      </c>
      <c r="Q81" s="190"/>
      <c r="R81" s="190">
        <v>3149850729</v>
      </c>
      <c r="S81" s="190"/>
      <c r="T81" s="190">
        <f t="shared" si="5"/>
        <v>3149850729</v>
      </c>
      <c r="U81" s="190"/>
      <c r="V81" s="207">
        <f>T81/درآمدها!$F$9</f>
        <v>9.8722695578717413E-4</v>
      </c>
      <c r="W81" s="258"/>
      <c r="X81" s="102"/>
      <c r="Z81" s="195"/>
      <c r="AA81" s="205"/>
    </row>
    <row r="82" spans="2:27" ht="30" customHeight="1">
      <c r="B82" s="176" t="s">
        <v>283</v>
      </c>
      <c r="C82" s="176"/>
      <c r="D82" s="191">
        <v>0</v>
      </c>
      <c r="E82" s="189"/>
      <c r="F82" s="190">
        <v>0</v>
      </c>
      <c r="G82" s="190"/>
      <c r="H82" s="190">
        <v>0</v>
      </c>
      <c r="I82" s="190"/>
      <c r="J82" s="190">
        <f t="shared" si="3"/>
        <v>0</v>
      </c>
      <c r="K82" s="190"/>
      <c r="L82" s="207">
        <f t="shared" si="4"/>
        <v>0</v>
      </c>
      <c r="M82" s="190"/>
      <c r="N82" s="190">
        <v>0</v>
      </c>
      <c r="O82" s="190"/>
      <c r="P82" s="190">
        <v>0</v>
      </c>
      <c r="Q82" s="190"/>
      <c r="R82" s="190">
        <v>58416</v>
      </c>
      <c r="S82" s="190"/>
      <c r="T82" s="190">
        <f t="shared" si="5"/>
        <v>58416</v>
      </c>
      <c r="U82" s="190"/>
      <c r="V82" s="207">
        <f>T82/درآمدها!$F$9</f>
        <v>1.8308756449411912E-8</v>
      </c>
      <c r="W82" s="258"/>
      <c r="X82" s="102"/>
      <c r="Z82" s="195"/>
      <c r="AA82" s="205"/>
    </row>
    <row r="83" spans="2:27" ht="30" customHeight="1">
      <c r="B83" s="176" t="s">
        <v>158</v>
      </c>
      <c r="C83" s="176"/>
      <c r="D83" s="191">
        <v>0</v>
      </c>
      <c r="E83" s="189"/>
      <c r="F83" s="190">
        <v>0</v>
      </c>
      <c r="G83" s="190"/>
      <c r="H83" s="190">
        <v>0</v>
      </c>
      <c r="I83" s="190"/>
      <c r="J83" s="190">
        <f t="shared" si="3"/>
        <v>0</v>
      </c>
      <c r="K83" s="190"/>
      <c r="L83" s="207">
        <f t="shared" si="4"/>
        <v>0</v>
      </c>
      <c r="M83" s="190"/>
      <c r="N83" s="190">
        <v>0</v>
      </c>
      <c r="O83" s="190"/>
      <c r="P83" s="190">
        <v>0</v>
      </c>
      <c r="Q83" s="190"/>
      <c r="R83" s="190">
        <v>1026553445</v>
      </c>
      <c r="S83" s="190"/>
      <c r="T83" s="190">
        <f t="shared" si="5"/>
        <v>1026553445</v>
      </c>
      <c r="U83" s="190"/>
      <c r="V83" s="207">
        <f>T83/درآمدها!$F$9</f>
        <v>3.2174262200098888E-4</v>
      </c>
      <c r="W83" s="258"/>
      <c r="X83" s="102"/>
      <c r="Z83" s="195"/>
      <c r="AA83" s="205"/>
    </row>
    <row r="84" spans="2:27" ht="30" customHeight="1">
      <c r="B84" s="176" t="s">
        <v>171</v>
      </c>
      <c r="C84" s="176"/>
      <c r="D84" s="191">
        <v>0</v>
      </c>
      <c r="E84" s="189"/>
      <c r="F84" s="190">
        <v>0</v>
      </c>
      <c r="G84" s="190"/>
      <c r="H84" s="190">
        <v>0</v>
      </c>
      <c r="I84" s="190"/>
      <c r="J84" s="190">
        <f t="shared" si="3"/>
        <v>0</v>
      </c>
      <c r="K84" s="190"/>
      <c r="L84" s="207">
        <f t="shared" si="4"/>
        <v>0</v>
      </c>
      <c r="M84" s="190"/>
      <c r="N84" s="190">
        <v>0</v>
      </c>
      <c r="O84" s="190"/>
      <c r="P84" s="190">
        <v>0</v>
      </c>
      <c r="Q84" s="190"/>
      <c r="R84" s="146">
        <v>-1161777565</v>
      </c>
      <c r="S84" s="190"/>
      <c r="T84" s="190">
        <f t="shared" si="5"/>
        <v>-1161777565</v>
      </c>
      <c r="U84" s="190"/>
      <c r="V84" s="207">
        <f>T84/درآمدها!$F$9</f>
        <v>-3.6412459747288102E-4</v>
      </c>
      <c r="W84" s="258"/>
      <c r="X84" s="102"/>
      <c r="Z84" s="195"/>
      <c r="AA84" s="205"/>
    </row>
    <row r="85" spans="2:27" ht="30" customHeight="1">
      <c r="B85" s="176" t="s">
        <v>113</v>
      </c>
      <c r="C85" s="176"/>
      <c r="D85" s="191">
        <v>0</v>
      </c>
      <c r="E85" s="189"/>
      <c r="F85" s="190">
        <v>-17860860000</v>
      </c>
      <c r="G85" s="190"/>
      <c r="H85" s="190">
        <v>0</v>
      </c>
      <c r="I85" s="190"/>
      <c r="J85" s="190">
        <f t="shared" si="3"/>
        <v>-17860860000</v>
      </c>
      <c r="K85" s="190"/>
      <c r="L85" s="207">
        <f t="shared" si="4"/>
        <v>-3.2629042958103862E-3</v>
      </c>
      <c r="M85" s="190"/>
      <c r="N85" s="190">
        <v>54648000000</v>
      </c>
      <c r="O85" s="190"/>
      <c r="P85" s="190">
        <v>236886979303</v>
      </c>
      <c r="Q85" s="190"/>
      <c r="R85" s="190">
        <v>122100707859</v>
      </c>
      <c r="S85" s="190"/>
      <c r="T85" s="190">
        <f t="shared" si="5"/>
        <v>413635687162</v>
      </c>
      <c r="U85" s="190"/>
      <c r="V85" s="207">
        <f>T85/درآمدها!$F$9</f>
        <v>0.12964179428639749</v>
      </c>
      <c r="W85" s="258"/>
      <c r="X85" s="102"/>
      <c r="Z85" s="195"/>
      <c r="AA85" s="205"/>
    </row>
    <row r="86" spans="2:27" ht="30" customHeight="1">
      <c r="B86" s="176" t="s">
        <v>273</v>
      </c>
      <c r="C86" s="176"/>
      <c r="D86" s="191">
        <v>0</v>
      </c>
      <c r="E86" s="189"/>
      <c r="F86" s="190">
        <v>0</v>
      </c>
      <c r="G86" s="190"/>
      <c r="H86" s="190">
        <v>0</v>
      </c>
      <c r="I86" s="190"/>
      <c r="J86" s="190">
        <f t="shared" si="3"/>
        <v>0</v>
      </c>
      <c r="K86" s="190"/>
      <c r="L86" s="207">
        <f t="shared" si="4"/>
        <v>0</v>
      </c>
      <c r="M86" s="190"/>
      <c r="N86" s="190">
        <v>0</v>
      </c>
      <c r="O86" s="190"/>
      <c r="P86" s="190">
        <v>0</v>
      </c>
      <c r="Q86" s="190"/>
      <c r="R86" s="190">
        <v>1956263</v>
      </c>
      <c r="S86" s="190">
        <v>872060105</v>
      </c>
      <c r="T86" s="190">
        <f t="shared" si="5"/>
        <v>1956263</v>
      </c>
      <c r="U86" s="190">
        <v>-171239603</v>
      </c>
      <c r="V86" s="207">
        <f>T86/درآمدها!$F$9</f>
        <v>6.1313240923712501E-7</v>
      </c>
      <c r="W86" s="258"/>
      <c r="X86" s="102"/>
      <c r="Z86" s="195"/>
      <c r="AA86" s="205"/>
    </row>
    <row r="87" spans="2:27" ht="30" customHeight="1">
      <c r="B87" s="176" t="s">
        <v>216</v>
      </c>
      <c r="C87" s="166"/>
      <c r="D87" s="208">
        <f>SUM(D53:D86)</f>
        <v>60000000000</v>
      </c>
      <c r="E87" s="189"/>
      <c r="F87" s="208">
        <f>SUM(F53:F86)</f>
        <v>-388461459669</v>
      </c>
      <c r="G87" s="208"/>
      <c r="H87" s="208">
        <f>SUM(H53:H86)</f>
        <v>140933615142</v>
      </c>
      <c r="I87" s="208"/>
      <c r="J87" s="208">
        <f>SUM(J53:J86)</f>
        <v>-187527844527</v>
      </c>
      <c r="K87" s="208"/>
      <c r="L87" s="120">
        <f>SUM(L53:L86)</f>
        <v>-3.4258451692203533E-2</v>
      </c>
      <c r="M87" s="208"/>
      <c r="N87" s="208">
        <f>SUM(N53:N86)</f>
        <v>502458687352</v>
      </c>
      <c r="O87" s="208"/>
      <c r="P87" s="208">
        <f>SUM(P53:P86)</f>
        <v>1402526750813</v>
      </c>
      <c r="Q87" s="208"/>
      <c r="R87" s="208">
        <f>SUM(R53:R86)</f>
        <v>473558891072</v>
      </c>
      <c r="S87" s="208"/>
      <c r="T87" s="208">
        <f>SUM(T53:T86)</f>
        <v>2378544329237</v>
      </c>
      <c r="U87" s="190"/>
      <c r="V87" s="120">
        <f>SUM(V53:V86)</f>
        <v>0.74548392269463948</v>
      </c>
      <c r="W87" s="258"/>
      <c r="X87" s="102"/>
      <c r="Z87" s="195"/>
      <c r="AA87" s="205"/>
    </row>
    <row r="88" spans="2:27" ht="30" customHeight="1">
      <c r="B88" s="176"/>
      <c r="C88" s="166"/>
      <c r="D88" s="191"/>
      <c r="E88" s="189"/>
      <c r="F88" s="190"/>
      <c r="G88" s="190"/>
      <c r="H88" s="190"/>
      <c r="I88" s="190"/>
      <c r="J88" s="190"/>
      <c r="K88" s="190"/>
      <c r="L88" s="207"/>
      <c r="M88" s="190"/>
      <c r="N88" s="190"/>
      <c r="O88" s="190"/>
      <c r="P88" s="190"/>
      <c r="Q88" s="190"/>
      <c r="R88" s="190"/>
      <c r="S88" s="190"/>
      <c r="T88" s="190"/>
      <c r="U88" s="190"/>
      <c r="V88" s="207"/>
      <c r="W88" s="258"/>
      <c r="X88" s="102"/>
      <c r="Z88" s="195"/>
      <c r="AA88" s="205"/>
    </row>
    <row r="89" spans="2:27" ht="30" customHeight="1">
      <c r="B89" s="383" t="s">
        <v>138</v>
      </c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258"/>
      <c r="X89" s="102"/>
      <c r="Z89" s="195"/>
      <c r="AA89" s="205"/>
    </row>
    <row r="90" spans="2:27" ht="12.75" customHeight="1">
      <c r="W90" s="258"/>
      <c r="X90" s="102"/>
      <c r="Z90" s="195"/>
      <c r="AA90" s="205"/>
    </row>
    <row r="91" spans="2:27" ht="30" customHeight="1" thickBot="1">
      <c r="B91" s="265"/>
      <c r="C91" s="203"/>
      <c r="D91" s="376" t="str">
        <f>D49</f>
        <v>طی اسفند ماه</v>
      </c>
      <c r="E91" s="376"/>
      <c r="F91" s="376"/>
      <c r="G91" s="376"/>
      <c r="H91" s="376"/>
      <c r="I91" s="376"/>
      <c r="J91" s="376"/>
      <c r="K91" s="203"/>
      <c r="L91" s="203"/>
      <c r="M91" s="203"/>
      <c r="N91" s="376" t="str">
        <f>N49</f>
        <v>از ابتدای سال مالی تا پایان اسفند ماه</v>
      </c>
      <c r="O91" s="376"/>
      <c r="P91" s="376"/>
      <c r="Q91" s="376"/>
      <c r="R91" s="376"/>
      <c r="S91" s="376"/>
      <c r="T91" s="376"/>
      <c r="U91" s="376"/>
      <c r="V91" s="376"/>
      <c r="W91" s="258"/>
      <c r="X91" s="102"/>
      <c r="Z91" s="195"/>
      <c r="AA91" s="205"/>
    </row>
    <row r="92" spans="2:27" ht="30" customHeight="1">
      <c r="B92" s="377" t="s">
        <v>36</v>
      </c>
      <c r="C92" s="377"/>
      <c r="D92" s="381" t="s">
        <v>21</v>
      </c>
      <c r="E92" s="377"/>
      <c r="F92" s="381" t="s">
        <v>22</v>
      </c>
      <c r="G92" s="377"/>
      <c r="H92" s="381" t="s">
        <v>23</v>
      </c>
      <c r="I92" s="377"/>
      <c r="J92" s="379" t="s">
        <v>7</v>
      </c>
      <c r="K92" s="379"/>
      <c r="L92" s="379"/>
      <c r="M92" s="377"/>
      <c r="N92" s="382" t="s">
        <v>21</v>
      </c>
      <c r="O92" s="384"/>
      <c r="P92" s="382" t="s">
        <v>22</v>
      </c>
      <c r="Q92" s="384"/>
      <c r="R92" s="382" t="s">
        <v>23</v>
      </c>
      <c r="S92" s="384"/>
      <c r="T92" s="379" t="s">
        <v>7</v>
      </c>
      <c r="U92" s="379"/>
      <c r="V92" s="379"/>
      <c r="W92" s="258"/>
      <c r="X92" s="102"/>
      <c r="Z92" s="195"/>
      <c r="AA92" s="205"/>
    </row>
    <row r="93" spans="2:27" ht="30" customHeight="1" thickBot="1">
      <c r="B93" s="377"/>
      <c r="C93" s="377"/>
      <c r="D93" s="381"/>
      <c r="E93" s="377"/>
      <c r="F93" s="381"/>
      <c r="G93" s="377"/>
      <c r="H93" s="381"/>
      <c r="I93" s="377"/>
      <c r="J93" s="376"/>
      <c r="K93" s="376"/>
      <c r="L93" s="376"/>
      <c r="M93" s="377"/>
      <c r="N93" s="381"/>
      <c r="O93" s="377"/>
      <c r="P93" s="381"/>
      <c r="Q93" s="377"/>
      <c r="R93" s="381"/>
      <c r="S93" s="377"/>
      <c r="T93" s="376"/>
      <c r="U93" s="376"/>
      <c r="V93" s="376"/>
      <c r="W93" s="258"/>
      <c r="X93" s="102"/>
      <c r="Z93" s="195"/>
      <c r="AA93" s="205"/>
    </row>
    <row r="94" spans="2:27" ht="49.5" customHeight="1" thickBot="1">
      <c r="B94" s="378"/>
      <c r="C94" s="377"/>
      <c r="D94" s="88" t="s">
        <v>91</v>
      </c>
      <c r="E94" s="377"/>
      <c r="F94" s="88" t="s">
        <v>92</v>
      </c>
      <c r="G94" s="377"/>
      <c r="H94" s="88" t="s">
        <v>93</v>
      </c>
      <c r="I94" s="377"/>
      <c r="J94" s="103" t="s">
        <v>11</v>
      </c>
      <c r="K94" s="103"/>
      <c r="L94" s="103" t="s">
        <v>24</v>
      </c>
      <c r="M94" s="377"/>
      <c r="N94" s="88" t="s">
        <v>91</v>
      </c>
      <c r="O94" s="377"/>
      <c r="P94" s="88" t="s">
        <v>92</v>
      </c>
      <c r="Q94" s="377"/>
      <c r="R94" s="88" t="s">
        <v>93</v>
      </c>
      <c r="S94" s="377"/>
      <c r="T94" s="103" t="s">
        <v>11</v>
      </c>
      <c r="U94" s="103"/>
      <c r="V94" s="103" t="s">
        <v>24</v>
      </c>
      <c r="W94" s="258"/>
      <c r="X94" s="102"/>
      <c r="Z94" s="195"/>
      <c r="AA94" s="205"/>
    </row>
    <row r="95" spans="2:27" ht="30" customHeight="1">
      <c r="B95" s="192" t="s">
        <v>217</v>
      </c>
      <c r="C95" s="192"/>
      <c r="D95" s="190">
        <f>D87</f>
        <v>60000000000</v>
      </c>
      <c r="E95" s="192"/>
      <c r="F95" s="190">
        <f>F87</f>
        <v>-388461459669</v>
      </c>
      <c r="G95" s="190"/>
      <c r="H95" s="190">
        <f>H87</f>
        <v>140933615142</v>
      </c>
      <c r="I95" s="190"/>
      <c r="J95" s="190">
        <f>J87</f>
        <v>-187527844527</v>
      </c>
      <c r="K95" s="190"/>
      <c r="L95" s="207">
        <f>L87</f>
        <v>-3.4258451692203533E-2</v>
      </c>
      <c r="M95" s="190"/>
      <c r="N95" s="190">
        <f>N87</f>
        <v>502458687352</v>
      </c>
      <c r="O95" s="190"/>
      <c r="P95" s="190">
        <f>P87</f>
        <v>1402526750813</v>
      </c>
      <c r="Q95" s="190"/>
      <c r="R95" s="190">
        <f>R87</f>
        <v>473558891072</v>
      </c>
      <c r="S95" s="190"/>
      <c r="T95" s="190">
        <f>T87</f>
        <v>2378544329237</v>
      </c>
      <c r="U95" s="105"/>
      <c r="V95" s="106">
        <f>V87</f>
        <v>0.74548392269463948</v>
      </c>
      <c r="W95" s="258"/>
      <c r="X95" s="102"/>
      <c r="Z95" s="195"/>
      <c r="AA95" s="205"/>
    </row>
    <row r="96" spans="2:27" ht="30" customHeight="1">
      <c r="B96" s="176" t="s">
        <v>180</v>
      </c>
      <c r="C96" s="166"/>
      <c r="D96" s="191">
        <v>0</v>
      </c>
      <c r="E96" s="189"/>
      <c r="F96" s="190">
        <v>-2667221760</v>
      </c>
      <c r="G96" s="190"/>
      <c r="H96" s="190">
        <v>0</v>
      </c>
      <c r="I96" s="190"/>
      <c r="J96" s="190">
        <f>D96+F96+H96</f>
        <v>-2667221760</v>
      </c>
      <c r="K96" s="190"/>
      <c r="L96" s="207">
        <f t="shared" ref="L96:L137" si="6">J96/$X$12</f>
        <v>-4.8726037484101765E-4</v>
      </c>
      <c r="M96" s="190"/>
      <c r="N96" s="190">
        <v>11480000000</v>
      </c>
      <c r="O96" s="190"/>
      <c r="P96" s="190">
        <v>13206509487</v>
      </c>
      <c r="Q96" s="190"/>
      <c r="R96" s="190">
        <v>2642430581</v>
      </c>
      <c r="S96" s="190">
        <v>392427662</v>
      </c>
      <c r="T96" s="190">
        <f>N96+P96+R96</f>
        <v>27328940068</v>
      </c>
      <c r="U96" s="190">
        <v>-1542829471</v>
      </c>
      <c r="V96" s="207">
        <f>T96/درآمدها!$F$9</f>
        <v>8.5654428191862947E-3</v>
      </c>
      <c r="W96" s="258"/>
      <c r="X96" s="102"/>
      <c r="Z96" s="195"/>
      <c r="AA96" s="205"/>
    </row>
    <row r="97" spans="2:30" ht="30" customHeight="1">
      <c r="B97" s="176" t="s">
        <v>149</v>
      </c>
      <c r="C97" s="166"/>
      <c r="D97" s="191">
        <v>0</v>
      </c>
      <c r="E97" s="189"/>
      <c r="F97" s="190">
        <v>0</v>
      </c>
      <c r="G97" s="190"/>
      <c r="H97" s="190">
        <v>0</v>
      </c>
      <c r="I97" s="190"/>
      <c r="J97" s="190">
        <f t="shared" ref="J97:J137" si="7">D97+F97+H97</f>
        <v>0</v>
      </c>
      <c r="K97" s="190"/>
      <c r="L97" s="207">
        <f t="shared" si="6"/>
        <v>0</v>
      </c>
      <c r="M97" s="190"/>
      <c r="N97" s="190">
        <v>0</v>
      </c>
      <c r="O97" s="190"/>
      <c r="P97" s="190">
        <v>0</v>
      </c>
      <c r="Q97" s="190"/>
      <c r="R97" s="190">
        <v>599022178</v>
      </c>
      <c r="S97" s="190">
        <v>1644814375</v>
      </c>
      <c r="T97" s="190">
        <f t="shared" ref="T97:T137" si="8">N97+P97+R97</f>
        <v>599022178</v>
      </c>
      <c r="U97" s="190">
        <v>11922552996</v>
      </c>
      <c r="V97" s="207">
        <f>T97/درآمدها!$F$9</f>
        <v>1.8774567181591124E-4</v>
      </c>
      <c r="W97" s="258"/>
      <c r="X97" s="102"/>
      <c r="Z97" s="195"/>
      <c r="AA97" s="205"/>
    </row>
    <row r="98" spans="2:30" ht="30" customHeight="1">
      <c r="B98" s="176" t="s">
        <v>119</v>
      </c>
      <c r="C98" s="166"/>
      <c r="D98" s="191">
        <v>0</v>
      </c>
      <c r="E98" s="189"/>
      <c r="F98" s="190">
        <v>-1071651600</v>
      </c>
      <c r="G98" s="190"/>
      <c r="H98" s="190">
        <v>0</v>
      </c>
      <c r="I98" s="190"/>
      <c r="J98" s="190">
        <f t="shared" si="7"/>
        <v>-1071651600</v>
      </c>
      <c r="K98" s="190"/>
      <c r="L98" s="207">
        <f t="shared" si="6"/>
        <v>-1.9577425774862316E-4</v>
      </c>
      <c r="M98" s="190"/>
      <c r="N98" s="190">
        <v>12240000000</v>
      </c>
      <c r="O98" s="190"/>
      <c r="P98" s="190">
        <v>2954352865</v>
      </c>
      <c r="Q98" s="190"/>
      <c r="R98" s="190">
        <v>14288500591</v>
      </c>
      <c r="S98" s="190">
        <v>3859275341</v>
      </c>
      <c r="T98" s="190">
        <f t="shared" si="8"/>
        <v>29482853456</v>
      </c>
      <c r="U98" s="190">
        <v>-267773567</v>
      </c>
      <c r="V98" s="207">
        <f>T98/درآمدها!$F$9</f>
        <v>9.2405228594838098E-3</v>
      </c>
      <c r="W98" s="258"/>
      <c r="X98" s="102"/>
      <c r="Z98" s="195"/>
      <c r="AA98" s="205"/>
    </row>
    <row r="99" spans="2:30" ht="30" customHeight="1">
      <c r="B99" s="176" t="s">
        <v>105</v>
      </c>
      <c r="C99" s="166"/>
      <c r="D99" s="191">
        <v>0</v>
      </c>
      <c r="E99" s="189"/>
      <c r="F99" s="190">
        <v>0</v>
      </c>
      <c r="G99" s="190"/>
      <c r="H99" s="190">
        <v>0</v>
      </c>
      <c r="I99" s="190"/>
      <c r="J99" s="190">
        <f t="shared" si="7"/>
        <v>0</v>
      </c>
      <c r="K99" s="190"/>
      <c r="L99" s="207">
        <f t="shared" si="6"/>
        <v>0</v>
      </c>
      <c r="M99" s="190"/>
      <c r="N99" s="190">
        <v>0</v>
      </c>
      <c r="O99" s="190"/>
      <c r="P99" s="190">
        <v>0</v>
      </c>
      <c r="Q99" s="190"/>
      <c r="R99" s="190">
        <v>28553005</v>
      </c>
      <c r="S99" s="190">
        <v>1937265303</v>
      </c>
      <c r="T99" s="190">
        <f t="shared" si="8"/>
        <v>28553005</v>
      </c>
      <c r="U99" s="190">
        <v>-133028242</v>
      </c>
      <c r="V99" s="207">
        <f>T99/درآمدها!$F$9</f>
        <v>8.9490895378636077E-6</v>
      </c>
      <c r="W99" s="258"/>
      <c r="X99" s="102"/>
      <c r="Z99" s="195"/>
      <c r="AA99" s="205"/>
    </row>
    <row r="100" spans="2:30" ht="30" customHeight="1">
      <c r="B100" s="176" t="s">
        <v>184</v>
      </c>
      <c r="C100" s="166"/>
      <c r="D100" s="191">
        <v>0</v>
      </c>
      <c r="E100" s="189"/>
      <c r="F100" s="190">
        <v>0</v>
      </c>
      <c r="G100" s="190"/>
      <c r="H100" s="190">
        <v>0</v>
      </c>
      <c r="I100" s="190"/>
      <c r="J100" s="190">
        <f t="shared" si="7"/>
        <v>0</v>
      </c>
      <c r="K100" s="190"/>
      <c r="L100" s="207">
        <f t="shared" si="6"/>
        <v>0</v>
      </c>
      <c r="M100" s="190"/>
      <c r="N100" s="190">
        <v>0</v>
      </c>
      <c r="O100" s="190"/>
      <c r="P100" s="190">
        <v>0</v>
      </c>
      <c r="Q100" s="190"/>
      <c r="R100" s="190">
        <v>8613312174</v>
      </c>
      <c r="S100" s="190">
        <v>1212931406</v>
      </c>
      <c r="T100" s="190">
        <f t="shared" si="8"/>
        <v>8613312174</v>
      </c>
      <c r="U100" s="190">
        <v>-2162615402</v>
      </c>
      <c r="V100" s="207">
        <f>T100/درآمدها!$F$9</f>
        <v>2.6995863259470115E-3</v>
      </c>
      <c r="W100" s="258"/>
      <c r="X100" s="102"/>
      <c r="Z100" s="195"/>
      <c r="AA100" s="205"/>
    </row>
    <row r="101" spans="2:30" ht="30" customHeight="1">
      <c r="B101" s="176" t="s">
        <v>192</v>
      </c>
      <c r="C101" s="166"/>
      <c r="D101" s="191">
        <v>0</v>
      </c>
      <c r="E101" s="189"/>
      <c r="F101" s="190">
        <v>3568202919</v>
      </c>
      <c r="G101" s="190"/>
      <c r="H101" s="190">
        <v>0</v>
      </c>
      <c r="I101" s="190"/>
      <c r="J101" s="190">
        <f t="shared" si="7"/>
        <v>3568202919</v>
      </c>
      <c r="K101" s="190"/>
      <c r="L101" s="207">
        <f t="shared" si="6"/>
        <v>6.5185576913587924E-4</v>
      </c>
      <c r="M101" s="190"/>
      <c r="N101" s="190">
        <v>8640000000</v>
      </c>
      <c r="O101" s="190"/>
      <c r="P101" s="190">
        <v>23386412588</v>
      </c>
      <c r="Q101" s="190"/>
      <c r="R101" s="190">
        <v>-144872270</v>
      </c>
      <c r="S101" s="190">
        <v>6910941668</v>
      </c>
      <c r="T101" s="190">
        <f t="shared" si="8"/>
        <v>31881540318</v>
      </c>
      <c r="U101" s="190">
        <v>-1877733842</v>
      </c>
      <c r="V101" s="207">
        <f>T101/درآمدها!$F$9</f>
        <v>9.9923198595310934E-3</v>
      </c>
      <c r="W101" s="258"/>
      <c r="X101" s="195"/>
      <c r="Z101" s="195"/>
      <c r="AA101" s="205"/>
      <c r="AD101" s="186"/>
    </row>
    <row r="102" spans="2:30" ht="30" customHeight="1">
      <c r="B102" s="176" t="s">
        <v>232</v>
      </c>
      <c r="C102" s="166"/>
      <c r="D102" s="191">
        <v>0</v>
      </c>
      <c r="E102" s="189"/>
      <c r="F102" s="190">
        <v>0</v>
      </c>
      <c r="G102" s="190"/>
      <c r="H102" s="190">
        <v>0</v>
      </c>
      <c r="I102" s="190"/>
      <c r="J102" s="190">
        <f t="shared" si="7"/>
        <v>0</v>
      </c>
      <c r="K102" s="190"/>
      <c r="L102" s="207">
        <f t="shared" si="6"/>
        <v>0</v>
      </c>
      <c r="M102" s="190"/>
      <c r="N102" s="190">
        <v>0</v>
      </c>
      <c r="O102" s="190"/>
      <c r="P102" s="190">
        <v>0</v>
      </c>
      <c r="Q102" s="190"/>
      <c r="R102" s="190">
        <v>33823218153</v>
      </c>
      <c r="S102" s="190">
        <v>151419925</v>
      </c>
      <c r="T102" s="190">
        <f t="shared" si="8"/>
        <v>33823218153</v>
      </c>
      <c r="U102" s="190">
        <v>-13627212560</v>
      </c>
      <c r="V102" s="207">
        <f>T102/درآمدها!$F$9</f>
        <v>1.0600880982925992E-2</v>
      </c>
      <c r="W102" s="258"/>
      <c r="X102" s="195"/>
      <c r="Z102" s="195"/>
      <c r="AA102" s="205"/>
      <c r="AD102" s="186"/>
    </row>
    <row r="103" spans="2:30" ht="30" customHeight="1">
      <c r="B103" s="176" t="s">
        <v>165</v>
      </c>
      <c r="C103" s="166"/>
      <c r="D103" s="191">
        <v>0</v>
      </c>
      <c r="E103" s="189"/>
      <c r="F103" s="190">
        <v>0</v>
      </c>
      <c r="G103" s="190"/>
      <c r="H103" s="190">
        <v>0</v>
      </c>
      <c r="I103" s="190"/>
      <c r="J103" s="190">
        <f t="shared" si="7"/>
        <v>0</v>
      </c>
      <c r="K103" s="190"/>
      <c r="L103" s="207">
        <f t="shared" si="6"/>
        <v>0</v>
      </c>
      <c r="M103" s="190"/>
      <c r="N103" s="190">
        <v>700000000</v>
      </c>
      <c r="O103" s="190"/>
      <c r="P103" s="190">
        <v>0</v>
      </c>
      <c r="Q103" s="190"/>
      <c r="R103" s="190">
        <v>2132299511</v>
      </c>
      <c r="S103" s="190">
        <v>31387040</v>
      </c>
      <c r="T103" s="190">
        <f t="shared" si="8"/>
        <v>2832299511</v>
      </c>
      <c r="U103" s="190">
        <v>-6418415353</v>
      </c>
      <c r="V103" s="207">
        <f>T103/درآمدها!$F$9</f>
        <v>8.8769997840809796E-4</v>
      </c>
      <c r="W103" s="258"/>
      <c r="X103" s="195"/>
      <c r="Z103" s="195"/>
      <c r="AA103" s="205"/>
      <c r="AD103" s="186"/>
    </row>
    <row r="104" spans="2:30" ht="30" customHeight="1">
      <c r="B104" s="176" t="s">
        <v>116</v>
      </c>
      <c r="C104" s="166"/>
      <c r="D104" s="191">
        <v>0</v>
      </c>
      <c r="E104" s="189"/>
      <c r="F104" s="190">
        <v>-79381</v>
      </c>
      <c r="G104" s="190"/>
      <c r="H104" s="190">
        <v>0</v>
      </c>
      <c r="I104" s="190"/>
      <c r="J104" s="190">
        <f t="shared" si="7"/>
        <v>-79381</v>
      </c>
      <c r="K104" s="190"/>
      <c r="L104" s="207">
        <f t="shared" si="6"/>
        <v>-1.4501687259500621E-8</v>
      </c>
      <c r="M104" s="190"/>
      <c r="N104" s="190">
        <v>12000000000</v>
      </c>
      <c r="O104" s="190"/>
      <c r="P104" s="190">
        <v>-871514</v>
      </c>
      <c r="Q104" s="190"/>
      <c r="R104" s="190">
        <v>-74811807393</v>
      </c>
      <c r="S104" s="190">
        <v>1762590900</v>
      </c>
      <c r="T104" s="190">
        <f t="shared" si="8"/>
        <v>-62812678907</v>
      </c>
      <c r="U104" s="190">
        <v>-581258774</v>
      </c>
      <c r="V104" s="207">
        <f>T104/درآمدها!$F$9</f>
        <v>-1.9686764585787726E-2</v>
      </c>
      <c r="W104" s="258"/>
      <c r="X104" s="195"/>
      <c r="Z104" s="195"/>
      <c r="AA104" s="205"/>
    </row>
    <row r="105" spans="2:30" ht="30" customHeight="1">
      <c r="B105" s="176" t="s">
        <v>262</v>
      </c>
      <c r="C105" s="166"/>
      <c r="D105" s="191">
        <v>0</v>
      </c>
      <c r="E105" s="189"/>
      <c r="F105" s="190">
        <v>0</v>
      </c>
      <c r="G105" s="190"/>
      <c r="H105" s="190">
        <v>0</v>
      </c>
      <c r="I105" s="190"/>
      <c r="J105" s="190">
        <f t="shared" si="7"/>
        <v>0</v>
      </c>
      <c r="K105" s="190"/>
      <c r="L105" s="207">
        <f t="shared" si="6"/>
        <v>0</v>
      </c>
      <c r="M105" s="190"/>
      <c r="N105" s="190">
        <v>0</v>
      </c>
      <c r="O105" s="190"/>
      <c r="P105" s="190">
        <v>0</v>
      </c>
      <c r="Q105" s="190"/>
      <c r="R105" s="190">
        <v>-2034527</v>
      </c>
      <c r="S105" s="190">
        <v>2476602308</v>
      </c>
      <c r="T105" s="190">
        <f t="shared" si="8"/>
        <v>-2034527</v>
      </c>
      <c r="U105" s="190">
        <v>-1440465917</v>
      </c>
      <c r="V105" s="207">
        <f>T105/درآمدها!$F$9</f>
        <v>-6.3766193051137816E-7</v>
      </c>
      <c r="W105" s="258"/>
      <c r="X105" s="195"/>
      <c r="Z105" s="195"/>
      <c r="AA105" s="205"/>
      <c r="AD105" s="186"/>
    </row>
    <row r="106" spans="2:30" ht="30" customHeight="1">
      <c r="B106" s="176" t="s">
        <v>156</v>
      </c>
      <c r="C106" s="166"/>
      <c r="D106" s="191">
        <v>0</v>
      </c>
      <c r="E106" s="189"/>
      <c r="F106" s="190">
        <v>0</v>
      </c>
      <c r="G106" s="190"/>
      <c r="H106" s="190">
        <v>0</v>
      </c>
      <c r="I106" s="190"/>
      <c r="J106" s="190">
        <f t="shared" si="7"/>
        <v>0</v>
      </c>
      <c r="K106" s="190"/>
      <c r="L106" s="207">
        <f t="shared" si="6"/>
        <v>0</v>
      </c>
      <c r="M106" s="190"/>
      <c r="N106" s="190">
        <v>0</v>
      </c>
      <c r="O106" s="190"/>
      <c r="P106" s="190">
        <v>0</v>
      </c>
      <c r="Q106" s="190"/>
      <c r="R106" s="190">
        <v>1644814375</v>
      </c>
      <c r="S106" s="190">
        <v>9867221407</v>
      </c>
      <c r="T106" s="190">
        <f t="shared" si="8"/>
        <v>1644814375</v>
      </c>
      <c r="U106" s="190">
        <v>1680299829</v>
      </c>
      <c r="V106" s="207">
        <f>T106/درآمدها!$F$9</f>
        <v>5.155181079903909E-4</v>
      </c>
      <c r="W106" s="258"/>
      <c r="X106" s="195"/>
      <c r="Z106" s="195"/>
      <c r="AA106" s="205"/>
    </row>
    <row r="107" spans="2:30" ht="30" customHeight="1">
      <c r="B107" s="176" t="s">
        <v>237</v>
      </c>
      <c r="C107" s="166"/>
      <c r="D107" s="191">
        <v>0</v>
      </c>
      <c r="E107" s="189"/>
      <c r="F107" s="190">
        <v>0</v>
      </c>
      <c r="G107" s="190"/>
      <c r="H107" s="190">
        <v>0</v>
      </c>
      <c r="I107" s="190"/>
      <c r="J107" s="190">
        <f t="shared" si="7"/>
        <v>0</v>
      </c>
      <c r="K107" s="190"/>
      <c r="L107" s="207">
        <f t="shared" si="6"/>
        <v>0</v>
      </c>
      <c r="M107" s="190"/>
      <c r="N107" s="190">
        <v>0</v>
      </c>
      <c r="O107" s="190"/>
      <c r="P107" s="190">
        <v>0</v>
      </c>
      <c r="Q107" s="190"/>
      <c r="R107" s="190">
        <v>20642293424</v>
      </c>
      <c r="S107" s="190">
        <v>872060105</v>
      </c>
      <c r="T107" s="190">
        <f t="shared" si="8"/>
        <v>20642293424</v>
      </c>
      <c r="U107" s="190">
        <v>-9895859202</v>
      </c>
      <c r="V107" s="207">
        <f>T107/درآمدها!$F$9</f>
        <v>6.4697124564727657E-3</v>
      </c>
      <c r="W107" s="258"/>
      <c r="X107" s="195"/>
      <c r="Z107" s="195"/>
      <c r="AA107" s="205"/>
    </row>
    <row r="108" spans="2:30" ht="30" customHeight="1">
      <c r="B108" s="176" t="s">
        <v>170</v>
      </c>
      <c r="C108" s="166"/>
      <c r="D108" s="191">
        <v>0</v>
      </c>
      <c r="E108" s="189"/>
      <c r="F108" s="190">
        <v>0</v>
      </c>
      <c r="G108" s="190"/>
      <c r="H108" s="190">
        <v>0</v>
      </c>
      <c r="I108" s="190"/>
      <c r="J108" s="190">
        <f t="shared" si="7"/>
        <v>0</v>
      </c>
      <c r="K108" s="190"/>
      <c r="L108" s="207">
        <f t="shared" si="6"/>
        <v>0</v>
      </c>
      <c r="M108" s="190"/>
      <c r="N108" s="190">
        <v>48999951</v>
      </c>
      <c r="O108" s="190"/>
      <c r="P108" s="190">
        <v>0</v>
      </c>
      <c r="Q108" s="190"/>
      <c r="R108" s="190">
        <v>1487118809</v>
      </c>
      <c r="S108" s="190">
        <v>24578982239</v>
      </c>
      <c r="T108" s="190">
        <f t="shared" si="8"/>
        <v>1536118760</v>
      </c>
      <c r="U108" s="190">
        <v>584453468</v>
      </c>
      <c r="V108" s="207">
        <f>T108/درآمدها!$F$9</f>
        <v>4.8145070279054762E-4</v>
      </c>
      <c r="W108" s="258"/>
      <c r="X108" s="195"/>
      <c r="Z108" s="195"/>
      <c r="AA108" s="205"/>
    </row>
    <row r="109" spans="2:30" ht="30" customHeight="1">
      <c r="B109" s="176" t="s">
        <v>175</v>
      </c>
      <c r="C109" s="166"/>
      <c r="D109" s="191">
        <v>0</v>
      </c>
      <c r="E109" s="189"/>
      <c r="F109" s="190">
        <v>0</v>
      </c>
      <c r="G109" s="190"/>
      <c r="H109" s="190">
        <v>0</v>
      </c>
      <c r="I109" s="190"/>
      <c r="J109" s="190">
        <f t="shared" si="7"/>
        <v>0</v>
      </c>
      <c r="K109" s="190"/>
      <c r="L109" s="207">
        <f t="shared" si="6"/>
        <v>0</v>
      </c>
      <c r="M109" s="190"/>
      <c r="N109" s="190">
        <v>7300000000</v>
      </c>
      <c r="O109" s="190"/>
      <c r="P109" s="190">
        <v>0</v>
      </c>
      <c r="Q109" s="190"/>
      <c r="R109" s="190">
        <v>3171109669</v>
      </c>
      <c r="S109" s="190">
        <v>273616390</v>
      </c>
      <c r="T109" s="190">
        <f t="shared" si="8"/>
        <v>10471109669</v>
      </c>
      <c r="U109" s="190">
        <v>3602317932</v>
      </c>
      <c r="V109" s="207">
        <f>T109/درآمدها!$F$9</f>
        <v>3.2818576534648586E-3</v>
      </c>
      <c r="W109" s="258"/>
      <c r="X109" s="195"/>
      <c r="Z109" s="195"/>
      <c r="AA109" s="205"/>
    </row>
    <row r="110" spans="2:30" ht="30" customHeight="1">
      <c r="B110" s="176" t="s">
        <v>142</v>
      </c>
      <c r="C110" s="166"/>
      <c r="D110" s="191">
        <v>0</v>
      </c>
      <c r="E110" s="189"/>
      <c r="F110" s="190">
        <v>0</v>
      </c>
      <c r="G110" s="190"/>
      <c r="H110" s="190">
        <v>0</v>
      </c>
      <c r="I110" s="190"/>
      <c r="J110" s="190">
        <f t="shared" si="7"/>
        <v>0</v>
      </c>
      <c r="K110" s="190"/>
      <c r="L110" s="207">
        <f t="shared" si="6"/>
        <v>0</v>
      </c>
      <c r="M110" s="190"/>
      <c r="N110" s="190">
        <v>0</v>
      </c>
      <c r="O110" s="190"/>
      <c r="P110" s="190">
        <v>0</v>
      </c>
      <c r="Q110" s="190"/>
      <c r="R110" s="190">
        <v>1937265303</v>
      </c>
      <c r="S110" s="190">
        <v>-36917610</v>
      </c>
      <c r="T110" s="190">
        <f t="shared" si="8"/>
        <v>1937265303</v>
      </c>
      <c r="U110" s="190">
        <v>-679942337</v>
      </c>
      <c r="V110" s="207">
        <f>T110/درآمدها!$F$9</f>
        <v>6.0717814657838896E-4</v>
      </c>
      <c r="W110" s="258"/>
      <c r="X110" s="195"/>
      <c r="Z110" s="195"/>
      <c r="AA110" s="205"/>
    </row>
    <row r="111" spans="2:30" ht="30" customHeight="1">
      <c r="B111" s="176" t="s">
        <v>202</v>
      </c>
      <c r="C111" s="166"/>
      <c r="D111" s="191">
        <v>0</v>
      </c>
      <c r="E111" s="189"/>
      <c r="F111" s="190">
        <v>0</v>
      </c>
      <c r="G111" s="190"/>
      <c r="H111" s="190">
        <v>0</v>
      </c>
      <c r="I111" s="190"/>
      <c r="J111" s="190">
        <f t="shared" si="7"/>
        <v>0</v>
      </c>
      <c r="K111" s="190"/>
      <c r="L111" s="207">
        <f t="shared" si="6"/>
        <v>0</v>
      </c>
      <c r="M111" s="190"/>
      <c r="N111" s="190">
        <v>0</v>
      </c>
      <c r="O111" s="190"/>
      <c r="P111" s="190">
        <v>0</v>
      </c>
      <c r="Q111" s="190"/>
      <c r="R111" s="190">
        <v>1212931406</v>
      </c>
      <c r="S111" s="190">
        <v>381950449</v>
      </c>
      <c r="T111" s="190">
        <f t="shared" si="8"/>
        <v>1212931406</v>
      </c>
      <c r="U111" s="190">
        <v>-6406708234</v>
      </c>
      <c r="V111" s="207">
        <f>T111/درآمدها!$F$9</f>
        <v>3.8015724634170018E-4</v>
      </c>
      <c r="W111" s="258"/>
      <c r="X111" s="195"/>
      <c r="Z111" s="195"/>
      <c r="AA111" s="205"/>
    </row>
    <row r="112" spans="2:30" ht="30" customHeight="1">
      <c r="B112" s="176" t="s">
        <v>182</v>
      </c>
      <c r="C112" s="166"/>
      <c r="D112" s="191">
        <v>0</v>
      </c>
      <c r="E112" s="189"/>
      <c r="F112" s="190">
        <v>-3929389200</v>
      </c>
      <c r="G112" s="190"/>
      <c r="H112" s="190">
        <v>0</v>
      </c>
      <c r="I112" s="190"/>
      <c r="J112" s="190">
        <f t="shared" si="7"/>
        <v>-3929389200</v>
      </c>
      <c r="K112" s="190"/>
      <c r="L112" s="207">
        <f t="shared" si="6"/>
        <v>-7.1783894507828499E-4</v>
      </c>
      <c r="M112" s="190"/>
      <c r="N112" s="190">
        <v>19800000000</v>
      </c>
      <c r="O112" s="190"/>
      <c r="P112" s="190">
        <v>-11417123767</v>
      </c>
      <c r="Q112" s="190"/>
      <c r="R112" s="190">
        <v>6910941668</v>
      </c>
      <c r="S112" s="190">
        <v>2034570901</v>
      </c>
      <c r="T112" s="190">
        <f t="shared" si="8"/>
        <v>15293817901</v>
      </c>
      <c r="U112" s="190">
        <v>-38135827</v>
      </c>
      <c r="V112" s="207">
        <f>T112/درآمدها!$F$9</f>
        <v>4.7933920010111118E-3</v>
      </c>
      <c r="W112" s="258"/>
      <c r="X112" s="195"/>
      <c r="Z112" s="195"/>
      <c r="AA112" s="205"/>
    </row>
    <row r="113" spans="2:27" ht="30" customHeight="1">
      <c r="B113" s="176" t="s">
        <v>193</v>
      </c>
      <c r="C113" s="166"/>
      <c r="D113" s="191">
        <v>0</v>
      </c>
      <c r="E113" s="189"/>
      <c r="F113" s="190">
        <v>0</v>
      </c>
      <c r="G113" s="190"/>
      <c r="H113" s="190">
        <v>0</v>
      </c>
      <c r="I113" s="190"/>
      <c r="J113" s="190">
        <f t="shared" si="7"/>
        <v>0</v>
      </c>
      <c r="K113" s="190"/>
      <c r="L113" s="207">
        <f t="shared" si="6"/>
        <v>0</v>
      </c>
      <c r="M113" s="190"/>
      <c r="N113" s="190">
        <v>0</v>
      </c>
      <c r="O113" s="190"/>
      <c r="P113" s="190">
        <v>0</v>
      </c>
      <c r="Q113" s="190"/>
      <c r="R113" s="190">
        <v>-14922689397</v>
      </c>
      <c r="S113" s="190">
        <v>-2558077316</v>
      </c>
      <c r="T113" s="190">
        <f t="shared" si="8"/>
        <v>-14922689397</v>
      </c>
      <c r="U113" s="190">
        <v>-2724766700</v>
      </c>
      <c r="V113" s="207">
        <f>T113/درآمدها!$F$9</f>
        <v>-4.6770728180617381E-3</v>
      </c>
      <c r="W113" s="258"/>
      <c r="X113" s="195"/>
      <c r="Z113" s="195"/>
      <c r="AA113" s="205"/>
    </row>
    <row r="114" spans="2:27" ht="30" customHeight="1">
      <c r="B114" s="176" t="s">
        <v>118</v>
      </c>
      <c r="C114" s="166"/>
      <c r="D114" s="191">
        <v>0</v>
      </c>
      <c r="E114" s="189"/>
      <c r="F114" s="190">
        <v>-299665540</v>
      </c>
      <c r="G114" s="190"/>
      <c r="H114" s="190">
        <v>0</v>
      </c>
      <c r="I114" s="190"/>
      <c r="J114" s="190">
        <f t="shared" si="7"/>
        <v>-299665540</v>
      </c>
      <c r="K114" s="190"/>
      <c r="L114" s="207">
        <f t="shared" si="6"/>
        <v>-5.4744283185263145E-5</v>
      </c>
      <c r="M114" s="190"/>
      <c r="N114" s="190">
        <v>14534167200</v>
      </c>
      <c r="O114" s="190"/>
      <c r="P114" s="190">
        <v>-1290802879</v>
      </c>
      <c r="Q114" s="190"/>
      <c r="R114" s="190">
        <v>-124599372288</v>
      </c>
      <c r="S114" s="190">
        <v>-4335963253</v>
      </c>
      <c r="T114" s="190">
        <f t="shared" si="8"/>
        <v>-111356007967</v>
      </c>
      <c r="U114" s="190">
        <v>-6227581911</v>
      </c>
      <c r="V114" s="207">
        <f>T114/درآمدها!$F$9</f>
        <v>-3.4901226188827982E-2</v>
      </c>
      <c r="W114" s="258"/>
      <c r="X114" s="195"/>
      <c r="Z114" s="195"/>
      <c r="AA114" s="205"/>
    </row>
    <row r="115" spans="2:27" ht="30" customHeight="1">
      <c r="B115" s="176" t="s">
        <v>197</v>
      </c>
      <c r="C115" s="166"/>
      <c r="D115" s="191">
        <v>0</v>
      </c>
      <c r="E115" s="189"/>
      <c r="F115" s="190">
        <v>0</v>
      </c>
      <c r="G115" s="190"/>
      <c r="H115" s="190">
        <v>0</v>
      </c>
      <c r="I115" s="190"/>
      <c r="J115" s="190">
        <f t="shared" si="7"/>
        <v>0</v>
      </c>
      <c r="K115" s="190"/>
      <c r="L115" s="207">
        <f t="shared" si="6"/>
        <v>0</v>
      </c>
      <c r="M115" s="190"/>
      <c r="N115" s="190">
        <v>235000000</v>
      </c>
      <c r="O115" s="190"/>
      <c r="P115" s="190">
        <v>0</v>
      </c>
      <c r="Q115" s="190"/>
      <c r="R115" s="190">
        <v>1290155549</v>
      </c>
      <c r="S115" s="190">
        <v>4030409699</v>
      </c>
      <c r="T115" s="190">
        <f t="shared" si="8"/>
        <v>1525155549</v>
      </c>
      <c r="U115" s="190">
        <v>-5297936693</v>
      </c>
      <c r="V115" s="207">
        <f>T115/درآمدها!$F$9</f>
        <v>4.7801461062226301E-4</v>
      </c>
      <c r="W115" s="258"/>
      <c r="X115" s="195"/>
      <c r="Z115" s="195"/>
      <c r="AA115" s="205"/>
    </row>
    <row r="116" spans="2:27" ht="30" customHeight="1">
      <c r="B116" s="295" t="s">
        <v>126</v>
      </c>
      <c r="C116" s="12"/>
      <c r="D116" s="191">
        <v>0</v>
      </c>
      <c r="F116" s="190">
        <v>18853</v>
      </c>
      <c r="G116" s="190"/>
      <c r="H116" s="190">
        <v>0</v>
      </c>
      <c r="I116" s="190"/>
      <c r="J116" s="190">
        <f t="shared" si="7"/>
        <v>18853</v>
      </c>
      <c r="K116" s="190"/>
      <c r="L116" s="202">
        <f t="shared" si="6"/>
        <v>3.4441530076890591E-9</v>
      </c>
      <c r="M116" s="190"/>
      <c r="N116" s="190">
        <v>0</v>
      </c>
      <c r="O116" s="190"/>
      <c r="P116" s="190">
        <v>-63625</v>
      </c>
      <c r="Q116" s="190"/>
      <c r="R116" s="190">
        <v>5021464603</v>
      </c>
      <c r="S116" s="190">
        <v>97323992</v>
      </c>
      <c r="T116" s="190">
        <f t="shared" si="8"/>
        <v>5021400978</v>
      </c>
      <c r="U116" s="190">
        <v>-3934274351</v>
      </c>
      <c r="V116" s="207">
        <f>T116/درآمدها!$F$9</f>
        <v>1.5738086746959871E-3</v>
      </c>
      <c r="W116" s="206"/>
      <c r="X116" s="195"/>
      <c r="Z116" s="195"/>
      <c r="AA116" s="205"/>
    </row>
    <row r="117" spans="2:27" ht="30" customHeight="1">
      <c r="B117" s="176" t="s">
        <v>174</v>
      </c>
      <c r="C117" s="166"/>
      <c r="D117" s="191">
        <v>0</v>
      </c>
      <c r="E117" s="189"/>
      <c r="F117" s="190">
        <v>0</v>
      </c>
      <c r="G117" s="190"/>
      <c r="H117" s="190">
        <v>0</v>
      </c>
      <c r="I117" s="190"/>
      <c r="J117" s="190">
        <f t="shared" si="7"/>
        <v>0</v>
      </c>
      <c r="K117" s="190"/>
      <c r="L117" s="207">
        <f t="shared" si="6"/>
        <v>0</v>
      </c>
      <c r="M117" s="190"/>
      <c r="N117" s="190">
        <v>0</v>
      </c>
      <c r="O117" s="190"/>
      <c r="P117" s="190">
        <v>0</v>
      </c>
      <c r="Q117" s="190"/>
      <c r="R117" s="190">
        <v>-4485653237</v>
      </c>
      <c r="S117" s="190">
        <v>29213444160</v>
      </c>
      <c r="T117" s="190">
        <f t="shared" si="8"/>
        <v>-4485653237</v>
      </c>
      <c r="U117" s="190">
        <v>-24909597740</v>
      </c>
      <c r="V117" s="207">
        <f>T117/درآمدها!$F$9</f>
        <v>-1.4058944917958978E-3</v>
      </c>
      <c r="W117" s="258"/>
      <c r="X117" s="195"/>
      <c r="Z117" s="195"/>
      <c r="AA117" s="205"/>
    </row>
    <row r="118" spans="2:27" ht="30" customHeight="1">
      <c r="B118" s="176" t="s">
        <v>267</v>
      </c>
      <c r="C118" s="166"/>
      <c r="D118" s="191">
        <v>0</v>
      </c>
      <c r="E118" s="189"/>
      <c r="F118" s="190">
        <v>-12698815533</v>
      </c>
      <c r="G118" s="190"/>
      <c r="H118" s="190">
        <v>0</v>
      </c>
      <c r="I118" s="190"/>
      <c r="J118" s="190">
        <f t="shared" si="7"/>
        <v>-12698815533</v>
      </c>
      <c r="K118" s="190"/>
      <c r="L118" s="207">
        <f t="shared" si="6"/>
        <v>-2.3198782003962496E-3</v>
      </c>
      <c r="M118" s="190"/>
      <c r="N118" s="190">
        <v>0</v>
      </c>
      <c r="O118" s="190"/>
      <c r="P118" s="190">
        <v>-81334463482</v>
      </c>
      <c r="Q118" s="190"/>
      <c r="R118" s="190">
        <v>1389322007</v>
      </c>
      <c r="S118" s="190">
        <v>0</v>
      </c>
      <c r="T118" s="190">
        <f t="shared" si="8"/>
        <v>-79945141475</v>
      </c>
      <c r="U118" s="190"/>
      <c r="V118" s="207">
        <f>T118/درآمدها!$F$9</f>
        <v>-2.5056425030463469E-2</v>
      </c>
      <c r="W118" s="258"/>
      <c r="X118" s="195"/>
      <c r="Z118" s="195"/>
      <c r="AA118" s="205"/>
    </row>
    <row r="119" spans="2:27" ht="30" customHeight="1">
      <c r="B119" s="176" t="s">
        <v>254</v>
      </c>
      <c r="C119" s="166"/>
      <c r="D119" s="191">
        <v>0</v>
      </c>
      <c r="E119" s="189"/>
      <c r="F119" s="190">
        <v>0</v>
      </c>
      <c r="G119" s="190"/>
      <c r="H119" s="190">
        <v>0</v>
      </c>
      <c r="I119" s="190"/>
      <c r="J119" s="190">
        <f t="shared" si="7"/>
        <v>0</v>
      </c>
      <c r="K119" s="190"/>
      <c r="L119" s="207">
        <f t="shared" si="6"/>
        <v>0</v>
      </c>
      <c r="M119" s="190"/>
      <c r="N119" s="190">
        <v>0</v>
      </c>
      <c r="O119" s="190"/>
      <c r="P119" s="190">
        <v>0</v>
      </c>
      <c r="Q119" s="190"/>
      <c r="R119" s="190">
        <v>91895554026</v>
      </c>
      <c r="S119" s="190">
        <v>0</v>
      </c>
      <c r="T119" s="190">
        <f t="shared" si="8"/>
        <v>91895554026</v>
      </c>
      <c r="U119" s="190"/>
      <c r="V119" s="207">
        <f>T119/درآمدها!$F$9</f>
        <v>2.8801926140882776E-2</v>
      </c>
      <c r="W119" s="258"/>
      <c r="Y119" s="186"/>
      <c r="AA119" s="186"/>
    </row>
    <row r="120" spans="2:27" ht="30" customHeight="1">
      <c r="B120" s="176" t="s">
        <v>242</v>
      </c>
      <c r="C120" s="166"/>
      <c r="D120" s="191">
        <v>0</v>
      </c>
      <c r="E120" s="189"/>
      <c r="F120" s="190">
        <v>0</v>
      </c>
      <c r="G120" s="190"/>
      <c r="H120" s="190">
        <v>0</v>
      </c>
      <c r="I120" s="190"/>
      <c r="J120" s="190">
        <f t="shared" si="7"/>
        <v>0</v>
      </c>
      <c r="K120" s="190"/>
      <c r="L120" s="207">
        <f t="shared" si="6"/>
        <v>0</v>
      </c>
      <c r="M120" s="190"/>
      <c r="N120" s="190">
        <v>0</v>
      </c>
      <c r="O120" s="190"/>
      <c r="P120" s="190">
        <v>0</v>
      </c>
      <c r="Q120" s="190"/>
      <c r="R120" s="190">
        <v>23502326888</v>
      </c>
      <c r="S120" s="190">
        <v>0</v>
      </c>
      <c r="T120" s="190">
        <f t="shared" si="8"/>
        <v>23502326888</v>
      </c>
      <c r="U120" s="190"/>
      <c r="V120" s="207">
        <f>T120/درآمدها!$F$9</f>
        <v>7.3661048169483875E-3</v>
      </c>
      <c r="W120" s="258"/>
      <c r="Y120" s="186"/>
      <c r="AA120" s="186"/>
    </row>
    <row r="121" spans="2:27" ht="30" customHeight="1">
      <c r="B121" s="176" t="s">
        <v>272</v>
      </c>
      <c r="C121" s="166"/>
      <c r="D121" s="191">
        <v>0</v>
      </c>
      <c r="E121" s="189"/>
      <c r="F121" s="190">
        <v>-461405549</v>
      </c>
      <c r="G121" s="190"/>
      <c r="H121" s="190">
        <v>0</v>
      </c>
      <c r="I121" s="190"/>
      <c r="J121" s="190">
        <f t="shared" si="7"/>
        <v>-461405549</v>
      </c>
      <c r="K121" s="190"/>
      <c r="L121" s="207">
        <f t="shared" si="6"/>
        <v>-8.4291694125750364E-5</v>
      </c>
      <c r="M121" s="190"/>
      <c r="N121" s="190">
        <v>0</v>
      </c>
      <c r="O121" s="190"/>
      <c r="P121" s="190">
        <v>520011075</v>
      </c>
      <c r="Q121" s="190"/>
      <c r="R121" s="190">
        <v>671038301</v>
      </c>
      <c r="S121" s="190">
        <v>0</v>
      </c>
      <c r="T121" s="190">
        <f t="shared" si="8"/>
        <v>1191049376</v>
      </c>
      <c r="U121" s="190"/>
      <c r="V121" s="207">
        <f>T121/درآمدها!$F$9</f>
        <v>3.7329897535620432E-4</v>
      </c>
      <c r="W121" s="258"/>
      <c r="Y121" s="186"/>
      <c r="AA121" s="186"/>
    </row>
    <row r="122" spans="2:27" ht="30" customHeight="1">
      <c r="B122" s="176" t="s">
        <v>168</v>
      </c>
      <c r="C122" s="166"/>
      <c r="D122" s="190">
        <v>0</v>
      </c>
      <c r="E122" s="189"/>
      <c r="F122" s="190">
        <v>0</v>
      </c>
      <c r="G122" s="190"/>
      <c r="H122" s="190">
        <v>0</v>
      </c>
      <c r="I122" s="190"/>
      <c r="J122" s="190">
        <f t="shared" si="7"/>
        <v>0</v>
      </c>
      <c r="K122" s="190"/>
      <c r="L122" s="207">
        <f t="shared" si="6"/>
        <v>0</v>
      </c>
      <c r="M122" s="190"/>
      <c r="N122" s="190">
        <v>262500000</v>
      </c>
      <c r="O122" s="190"/>
      <c r="P122" s="190">
        <v>0</v>
      </c>
      <c r="Q122" s="190"/>
      <c r="R122" s="190">
        <v>2340313737</v>
      </c>
      <c r="S122" s="190">
        <v>0</v>
      </c>
      <c r="T122" s="190">
        <f t="shared" si="8"/>
        <v>2602813737</v>
      </c>
      <c r="U122" s="190"/>
      <c r="V122" s="207">
        <f>T122/درآمدها!$F$9</f>
        <v>8.1577449318537168E-4</v>
      </c>
      <c r="W122" s="258"/>
      <c r="Y122" s="186"/>
      <c r="AA122" s="186"/>
    </row>
    <row r="123" spans="2:27" ht="30" customHeight="1">
      <c r="B123" s="176" t="s">
        <v>128</v>
      </c>
      <c r="C123" s="166"/>
      <c r="D123" s="190">
        <v>0</v>
      </c>
      <c r="E123" s="189"/>
      <c r="F123" s="190">
        <v>-30760</v>
      </c>
      <c r="G123" s="190"/>
      <c r="H123" s="190">
        <v>0</v>
      </c>
      <c r="I123" s="190"/>
      <c r="J123" s="190">
        <f t="shared" si="7"/>
        <v>-30760</v>
      </c>
      <c r="K123" s="190"/>
      <c r="L123" s="207">
        <f t="shared" si="6"/>
        <v>-5.6193786939222124E-9</v>
      </c>
      <c r="M123" s="190"/>
      <c r="N123" s="190">
        <v>3040000000</v>
      </c>
      <c r="O123" s="190"/>
      <c r="P123" s="190">
        <v>-190309</v>
      </c>
      <c r="Q123" s="190"/>
      <c r="R123" s="190">
        <v>3127845991</v>
      </c>
      <c r="S123" s="190"/>
      <c r="T123" s="190">
        <f t="shared" si="8"/>
        <v>6167655682</v>
      </c>
      <c r="U123" s="190"/>
      <c r="V123" s="207">
        <f>T123/درآمدها!$F$9</f>
        <v>1.9330680934259367E-3</v>
      </c>
      <c r="W123" s="258"/>
      <c r="Y123" s="186"/>
      <c r="AA123" s="186"/>
    </row>
    <row r="124" spans="2:27" ht="30" customHeight="1">
      <c r="B124" s="176" t="s">
        <v>167</v>
      </c>
      <c r="C124" s="166"/>
      <c r="D124" s="190">
        <v>0</v>
      </c>
      <c r="E124" s="189"/>
      <c r="F124" s="190">
        <v>0</v>
      </c>
      <c r="G124" s="190"/>
      <c r="H124" s="190">
        <v>0</v>
      </c>
      <c r="I124" s="190"/>
      <c r="J124" s="190">
        <f t="shared" si="7"/>
        <v>0</v>
      </c>
      <c r="K124" s="190"/>
      <c r="L124" s="207">
        <f t="shared" si="6"/>
        <v>0</v>
      </c>
      <c r="M124" s="190"/>
      <c r="N124" s="190">
        <v>0</v>
      </c>
      <c r="O124" s="190"/>
      <c r="P124" s="190">
        <v>0</v>
      </c>
      <c r="Q124" s="190"/>
      <c r="R124" s="190">
        <v>573251852</v>
      </c>
      <c r="S124" s="190"/>
      <c r="T124" s="190">
        <f t="shared" si="8"/>
        <v>573251852</v>
      </c>
      <c r="U124" s="190"/>
      <c r="V124" s="207">
        <f>T124/درآمدها!$F$9</f>
        <v>1.7966873018423587E-4</v>
      </c>
      <c r="W124" s="258"/>
      <c r="Y124" s="186"/>
      <c r="AA124" s="186"/>
    </row>
    <row r="125" spans="2:27" ht="30" customHeight="1">
      <c r="B125" s="176" t="s">
        <v>117</v>
      </c>
      <c r="C125" s="166"/>
      <c r="D125" s="190">
        <v>0</v>
      </c>
      <c r="E125" s="189"/>
      <c r="F125" s="190">
        <v>-23747905708</v>
      </c>
      <c r="G125" s="190"/>
      <c r="H125" s="190">
        <v>0</v>
      </c>
      <c r="I125" s="190"/>
      <c r="J125" s="190">
        <f t="shared" si="7"/>
        <v>-23747905708</v>
      </c>
      <c r="K125" s="190"/>
      <c r="L125" s="207">
        <f t="shared" si="6"/>
        <v>-4.3383769623149835E-3</v>
      </c>
      <c r="M125" s="190"/>
      <c r="N125" s="190">
        <v>76800000000</v>
      </c>
      <c r="O125" s="190"/>
      <c r="P125" s="190">
        <v>171264933369</v>
      </c>
      <c r="Q125" s="190"/>
      <c r="R125" s="190">
        <v>366358099067</v>
      </c>
      <c r="S125" s="190"/>
      <c r="T125" s="190">
        <f t="shared" si="8"/>
        <v>614423032436</v>
      </c>
      <c r="U125" s="190"/>
      <c r="V125" s="207">
        <f>T125/درآمدها!$F$9</f>
        <v>0.19257261123287864</v>
      </c>
      <c r="W125" s="258"/>
      <c r="X125" s="186"/>
      <c r="Y125" s="186"/>
      <c r="AA125" s="186"/>
    </row>
    <row r="126" spans="2:27" ht="30" customHeight="1">
      <c r="B126" s="176" t="s">
        <v>146</v>
      </c>
      <c r="C126" s="166"/>
      <c r="D126" s="190">
        <v>0</v>
      </c>
      <c r="E126" s="189"/>
      <c r="F126" s="190">
        <v>-62512</v>
      </c>
      <c r="G126" s="190"/>
      <c r="H126" s="190">
        <v>0</v>
      </c>
      <c r="I126" s="190"/>
      <c r="J126" s="190">
        <f t="shared" si="7"/>
        <v>-62512</v>
      </c>
      <c r="K126" s="190"/>
      <c r="L126" s="207">
        <f t="shared" si="6"/>
        <v>-1.1419980523877286E-8</v>
      </c>
      <c r="M126" s="190"/>
      <c r="N126" s="190">
        <v>327873</v>
      </c>
      <c r="O126" s="190"/>
      <c r="P126" s="190">
        <v>-1129192</v>
      </c>
      <c r="Q126" s="190"/>
      <c r="R126" s="190">
        <v>-272463739</v>
      </c>
      <c r="S126" s="190"/>
      <c r="T126" s="190">
        <f t="shared" si="8"/>
        <v>-273265058</v>
      </c>
      <c r="U126" s="190"/>
      <c r="V126" s="207">
        <f>T126/درآمدها!$F$9</f>
        <v>-8.5646798703376128E-5</v>
      </c>
      <c r="W126" s="258"/>
      <c r="X126" s="186"/>
      <c r="Y126" s="186"/>
      <c r="AA126" s="186"/>
    </row>
    <row r="127" spans="2:27" ht="30" customHeight="1">
      <c r="B127" s="176" t="s">
        <v>241</v>
      </c>
      <c r="C127" s="166"/>
      <c r="D127" s="190">
        <v>0</v>
      </c>
      <c r="E127" s="189"/>
      <c r="F127" s="190">
        <v>-4356648628</v>
      </c>
      <c r="G127" s="190"/>
      <c r="H127" s="190">
        <v>0</v>
      </c>
      <c r="I127" s="190"/>
      <c r="J127" s="190">
        <f t="shared" si="7"/>
        <v>-4356648628</v>
      </c>
      <c r="K127" s="190"/>
      <c r="L127" s="207">
        <f t="shared" si="6"/>
        <v>-7.9589266830587242E-4</v>
      </c>
      <c r="M127" s="190"/>
      <c r="N127" s="190">
        <v>0</v>
      </c>
      <c r="O127" s="190"/>
      <c r="P127" s="190">
        <v>-40243968628</v>
      </c>
      <c r="Q127" s="190"/>
      <c r="R127" s="190">
        <v>40888503080</v>
      </c>
      <c r="S127" s="190"/>
      <c r="T127" s="190">
        <f t="shared" si="8"/>
        <v>644534452</v>
      </c>
      <c r="U127" s="190"/>
      <c r="V127" s="207">
        <f>T127/درآمدها!$F$9</f>
        <v>2.0201013942966264E-4</v>
      </c>
      <c r="W127" s="258"/>
      <c r="X127" s="273"/>
      <c r="Y127" s="186"/>
      <c r="AA127" s="186"/>
    </row>
    <row r="128" spans="2:27" ht="30" customHeight="1">
      <c r="B128" s="176" t="s">
        <v>176</v>
      </c>
      <c r="C128" s="166"/>
      <c r="D128" s="190">
        <v>0</v>
      </c>
      <c r="E128" s="189"/>
      <c r="F128" s="190">
        <v>0</v>
      </c>
      <c r="G128" s="190"/>
      <c r="H128" s="190">
        <v>0</v>
      </c>
      <c r="I128" s="190"/>
      <c r="J128" s="190">
        <f t="shared" si="7"/>
        <v>0</v>
      </c>
      <c r="K128" s="190"/>
      <c r="L128" s="207">
        <f t="shared" si="6"/>
        <v>0</v>
      </c>
      <c r="M128" s="190"/>
      <c r="N128" s="190">
        <v>0</v>
      </c>
      <c r="O128" s="268"/>
      <c r="P128" s="257">
        <v>0</v>
      </c>
      <c r="Q128" s="257"/>
      <c r="R128" s="257">
        <v>2367231992</v>
      </c>
      <c r="S128" s="257"/>
      <c r="T128" s="190">
        <f t="shared" si="8"/>
        <v>2367231992</v>
      </c>
      <c r="U128" s="190"/>
      <c r="V128" s="207">
        <f>T128/درآمدها!$F$9</f>
        <v>7.4193840729909965E-4</v>
      </c>
      <c r="W128" s="258"/>
      <c r="Y128" s="186"/>
      <c r="AA128" s="186"/>
    </row>
    <row r="129" spans="2:27" ht="30" customHeight="1">
      <c r="B129" s="176" t="s">
        <v>259</v>
      </c>
      <c r="C129" s="166"/>
      <c r="D129" s="190">
        <v>0</v>
      </c>
      <c r="E129" s="189"/>
      <c r="F129" s="190">
        <v>-99537084</v>
      </c>
      <c r="G129" s="190"/>
      <c r="H129" s="190">
        <v>0</v>
      </c>
      <c r="I129" s="190"/>
      <c r="J129" s="190">
        <f t="shared" si="7"/>
        <v>-99537084</v>
      </c>
      <c r="K129" s="190"/>
      <c r="L129" s="207">
        <f t="shared" si="6"/>
        <v>-1.8183893663353234E-5</v>
      </c>
      <c r="M129" s="190"/>
      <c r="N129" s="190">
        <v>0</v>
      </c>
      <c r="O129" s="190"/>
      <c r="P129" s="190">
        <v>1235690607</v>
      </c>
      <c r="Q129" s="190"/>
      <c r="R129" s="190">
        <v>760523799</v>
      </c>
      <c r="S129" s="190"/>
      <c r="T129" s="190">
        <f t="shared" si="8"/>
        <v>1996214406</v>
      </c>
      <c r="U129" s="190"/>
      <c r="V129" s="207">
        <f>T129/درآمدها!$F$9</f>
        <v>6.2565398829535516E-4</v>
      </c>
      <c r="W129" s="258"/>
      <c r="Y129" s="186"/>
      <c r="AA129" s="186"/>
    </row>
    <row r="130" spans="2:27" ht="30" customHeight="1">
      <c r="B130" s="176" t="s">
        <v>268</v>
      </c>
      <c r="C130" s="166"/>
      <c r="D130" s="190">
        <v>0</v>
      </c>
      <c r="E130" s="189"/>
      <c r="F130" s="190">
        <v>-260942202</v>
      </c>
      <c r="G130" s="190"/>
      <c r="H130" s="190">
        <v>0</v>
      </c>
      <c r="I130" s="190"/>
      <c r="J130" s="190">
        <f t="shared" si="7"/>
        <v>-260942202</v>
      </c>
      <c r="K130" s="190"/>
      <c r="L130" s="207">
        <f t="shared" si="6"/>
        <v>-4.7670125171129581E-5</v>
      </c>
      <c r="M130" s="190"/>
      <c r="N130" s="190">
        <v>0</v>
      </c>
      <c r="O130" s="190"/>
      <c r="P130" s="190">
        <v>-115505646</v>
      </c>
      <c r="Q130" s="190"/>
      <c r="R130" s="190">
        <v>474349934</v>
      </c>
      <c r="S130" s="190"/>
      <c r="T130" s="190">
        <f t="shared" si="8"/>
        <v>358844288</v>
      </c>
      <c r="U130" s="190"/>
      <c r="V130" s="207">
        <f>T130/درآمدها!$F$9</f>
        <v>1.1246906108351522E-4</v>
      </c>
      <c r="W130" s="258"/>
      <c r="Y130" s="186"/>
      <c r="AA130" s="186"/>
    </row>
    <row r="131" spans="2:27" ht="30" customHeight="1">
      <c r="B131" s="176" t="s">
        <v>233</v>
      </c>
      <c r="C131" s="166"/>
      <c r="D131" s="190">
        <v>0</v>
      </c>
      <c r="E131" s="189"/>
      <c r="F131" s="190">
        <v>0</v>
      </c>
      <c r="G131" s="190"/>
      <c r="H131" s="190">
        <v>0</v>
      </c>
      <c r="I131" s="190"/>
      <c r="J131" s="190">
        <f t="shared" si="7"/>
        <v>0</v>
      </c>
      <c r="K131" s="190"/>
      <c r="L131" s="207">
        <f t="shared" si="6"/>
        <v>0</v>
      </c>
      <c r="M131" s="190"/>
      <c r="N131" s="190">
        <v>0</v>
      </c>
      <c r="O131" s="190"/>
      <c r="P131" s="190">
        <v>0</v>
      </c>
      <c r="Q131" s="190"/>
      <c r="R131" s="190">
        <v>0</v>
      </c>
      <c r="S131" s="190"/>
      <c r="T131" s="190">
        <f t="shared" si="8"/>
        <v>0</v>
      </c>
      <c r="U131" s="190"/>
      <c r="V131" s="207">
        <f>T131/درآمدها!$F$9</f>
        <v>0</v>
      </c>
      <c r="W131" s="258"/>
      <c r="Y131" s="186"/>
      <c r="AA131" s="186"/>
    </row>
    <row r="132" spans="2:27" ht="30" customHeight="1">
      <c r="B132" s="176" t="s">
        <v>145</v>
      </c>
      <c r="C132" s="166"/>
      <c r="D132" s="190">
        <v>0</v>
      </c>
      <c r="E132" s="189"/>
      <c r="F132" s="190">
        <v>-595362000</v>
      </c>
      <c r="G132" s="190"/>
      <c r="H132" s="190">
        <v>0</v>
      </c>
      <c r="I132" s="190"/>
      <c r="J132" s="190">
        <f t="shared" si="7"/>
        <v>-595362000</v>
      </c>
      <c r="K132" s="190"/>
      <c r="L132" s="207">
        <f t="shared" si="6"/>
        <v>-1.0876347652701288E-4</v>
      </c>
      <c r="M132" s="190"/>
      <c r="N132" s="190">
        <v>11000</v>
      </c>
      <c r="O132" s="190"/>
      <c r="P132" s="190">
        <v>-30682528275</v>
      </c>
      <c r="Q132" s="190"/>
      <c r="R132" s="190">
        <v>-15338944116</v>
      </c>
      <c r="S132" s="190"/>
      <c r="T132" s="190">
        <f t="shared" si="8"/>
        <v>-46021461391</v>
      </c>
      <c r="U132" s="190"/>
      <c r="V132" s="207">
        <f>T132/درآمدها!$F$9</f>
        <v>-1.4424057245512061E-2</v>
      </c>
      <c r="W132" s="258"/>
      <c r="Y132" s="186"/>
      <c r="AA132" s="186"/>
    </row>
    <row r="133" spans="2:27" ht="30" customHeight="1">
      <c r="B133" s="176" t="s">
        <v>127</v>
      </c>
      <c r="C133" s="166"/>
      <c r="D133" s="190">
        <v>0</v>
      </c>
      <c r="E133" s="189"/>
      <c r="F133" s="190">
        <v>-81600</v>
      </c>
      <c r="G133" s="190"/>
      <c r="H133" s="190">
        <v>0</v>
      </c>
      <c r="I133" s="190"/>
      <c r="J133" s="190">
        <f t="shared" si="7"/>
        <v>-81600</v>
      </c>
      <c r="K133" s="190"/>
      <c r="L133" s="207">
        <f t="shared" si="6"/>
        <v>-1.4907064415606387E-8</v>
      </c>
      <c r="M133" s="190"/>
      <c r="N133" s="190">
        <v>1736000000</v>
      </c>
      <c r="O133" s="190"/>
      <c r="P133" s="190">
        <v>-168352</v>
      </c>
      <c r="Q133" s="190"/>
      <c r="R133" s="190">
        <v>-797235242</v>
      </c>
      <c r="S133" s="190"/>
      <c r="T133" s="190">
        <f t="shared" si="8"/>
        <v>938596406</v>
      </c>
      <c r="U133" s="190"/>
      <c r="V133" s="207">
        <f>T133/درآمدها!$F$9</f>
        <v>2.9417510616521744E-4</v>
      </c>
      <c r="W133" s="258"/>
      <c r="Y133" s="186"/>
      <c r="AA133" s="186"/>
    </row>
    <row r="134" spans="2:27" ht="30" customHeight="1">
      <c r="B134" s="176" t="s">
        <v>143</v>
      </c>
      <c r="C134" s="166"/>
      <c r="D134" s="190">
        <v>0</v>
      </c>
      <c r="E134" s="189"/>
      <c r="F134" s="190">
        <v>2321911799</v>
      </c>
      <c r="G134" s="190"/>
      <c r="H134" s="190">
        <v>0</v>
      </c>
      <c r="I134" s="190"/>
      <c r="J134" s="190">
        <f t="shared" si="7"/>
        <v>2321911799</v>
      </c>
      <c r="K134" s="190"/>
      <c r="L134" s="207">
        <f t="shared" si="6"/>
        <v>4.2417755827266559E-4</v>
      </c>
      <c r="M134" s="190"/>
      <c r="N134" s="190">
        <v>32396000000</v>
      </c>
      <c r="O134" s="190"/>
      <c r="P134" s="190">
        <v>139999549506</v>
      </c>
      <c r="Q134" s="190"/>
      <c r="R134" s="190">
        <v>-3774783208</v>
      </c>
      <c r="S134" s="190"/>
      <c r="T134" s="190">
        <f t="shared" si="8"/>
        <v>168620766298</v>
      </c>
      <c r="U134" s="190"/>
      <c r="V134" s="207">
        <f>T134/درآمدها!$F$9</f>
        <v>5.2849160203767565E-2</v>
      </c>
      <c r="W134" s="258"/>
      <c r="Y134" s="186"/>
      <c r="AA134" s="186"/>
    </row>
    <row r="135" spans="2:27" ht="30" customHeight="1">
      <c r="B135" s="176" t="s">
        <v>257</v>
      </c>
      <c r="C135" s="166"/>
      <c r="D135" s="190">
        <v>0</v>
      </c>
      <c r="E135" s="189"/>
      <c r="F135" s="190">
        <v>-7144344000</v>
      </c>
      <c r="G135" s="190"/>
      <c r="H135" s="190">
        <v>0</v>
      </c>
      <c r="I135" s="190"/>
      <c r="J135" s="190">
        <f t="shared" si="7"/>
        <v>-7144344000</v>
      </c>
      <c r="K135" s="190"/>
      <c r="L135" s="207"/>
      <c r="M135" s="190"/>
      <c r="N135" s="190">
        <v>0</v>
      </c>
      <c r="O135" s="190"/>
      <c r="P135" s="190">
        <v>-23490045416</v>
      </c>
      <c r="Q135" s="190"/>
      <c r="R135" s="190">
        <v>0</v>
      </c>
      <c r="S135" s="190"/>
      <c r="T135" s="190">
        <f t="shared" si="8"/>
        <v>-23490045416</v>
      </c>
      <c r="U135" s="190"/>
      <c r="V135" s="207">
        <f>T135/درآمدها!$F$9</f>
        <v>-7.3622555551076541E-3</v>
      </c>
      <c r="W135" s="258"/>
      <c r="Y135" s="186"/>
      <c r="AA135" s="186"/>
    </row>
    <row r="136" spans="2:27" ht="30" customHeight="1">
      <c r="B136" s="176" t="s">
        <v>290</v>
      </c>
      <c r="C136" s="166"/>
      <c r="D136" s="190">
        <v>0</v>
      </c>
      <c r="E136" s="189"/>
      <c r="F136" s="190">
        <v>2075719200</v>
      </c>
      <c r="G136" s="190"/>
      <c r="H136" s="190">
        <v>0</v>
      </c>
      <c r="I136" s="190"/>
      <c r="J136" s="190">
        <f t="shared" si="7"/>
        <v>2075719200</v>
      </c>
      <c r="K136" s="190"/>
      <c r="L136" s="207">
        <f t="shared" si="6"/>
        <v>3.7920195861655589E-4</v>
      </c>
      <c r="M136" s="190"/>
      <c r="N136" s="190">
        <v>0</v>
      </c>
      <c r="O136" s="190"/>
      <c r="P136" s="190">
        <v>2075719207</v>
      </c>
      <c r="Q136" s="190"/>
      <c r="R136" s="190">
        <v>0</v>
      </c>
      <c r="S136" s="190"/>
      <c r="T136" s="190">
        <f t="shared" si="8"/>
        <v>2075719207</v>
      </c>
      <c r="U136" s="190"/>
      <c r="V136" s="207">
        <f>T136/درآمدها!$F$9</f>
        <v>6.505724017106517E-4</v>
      </c>
      <c r="W136" s="258"/>
      <c r="Y136" s="186"/>
      <c r="AA136" s="186"/>
    </row>
    <row r="137" spans="2:27" ht="30" customHeight="1" thickBot="1">
      <c r="B137" s="176" t="s">
        <v>270</v>
      </c>
      <c r="C137" s="166"/>
      <c r="D137" s="191">
        <v>0</v>
      </c>
      <c r="E137" s="189"/>
      <c r="F137" s="190">
        <v>-1095652952</v>
      </c>
      <c r="G137" s="190"/>
      <c r="H137" s="190">
        <v>0</v>
      </c>
      <c r="I137" s="190"/>
      <c r="J137" s="190">
        <f t="shared" si="7"/>
        <v>-1095652952</v>
      </c>
      <c r="K137" s="190"/>
      <c r="L137" s="207">
        <f t="shared" si="6"/>
        <v>-2.0015893544869233E-4</v>
      </c>
      <c r="M137" s="190"/>
      <c r="N137" s="190">
        <v>0</v>
      </c>
      <c r="O137" s="190"/>
      <c r="P137" s="190">
        <v>-193238610</v>
      </c>
      <c r="Q137" s="190"/>
      <c r="R137" s="190">
        <v>0</v>
      </c>
      <c r="S137" s="190">
        <v>0</v>
      </c>
      <c r="T137" s="190">
        <f t="shared" si="8"/>
        <v>-193238610</v>
      </c>
      <c r="U137" s="190"/>
      <c r="V137" s="207">
        <f>T137/درآمدها!$F$9</f>
        <v>-6.056489056273783E-5</v>
      </c>
      <c r="W137" s="258"/>
      <c r="Y137" s="186"/>
      <c r="AA137" s="186"/>
    </row>
    <row r="138" spans="2:27" ht="30" customHeight="1" thickBot="1">
      <c r="B138" s="197" t="s">
        <v>7</v>
      </c>
      <c r="D138" s="61">
        <f>SUM(D95:D137)</f>
        <v>60000000000</v>
      </c>
      <c r="F138" s="61">
        <f>SUM(F95:F137)</f>
        <v>-438924402907</v>
      </c>
      <c r="G138" s="192"/>
      <c r="H138" s="61">
        <f>SUM(H95:H137)</f>
        <v>140933615142</v>
      </c>
      <c r="I138" s="192"/>
      <c r="J138" s="61">
        <f>SUM(J95:J137)</f>
        <v>-237990787765</v>
      </c>
      <c r="K138" s="61"/>
      <c r="L138" s="107">
        <f>SUM(L95:L137)</f>
        <v>-4.2172093226942549E-2</v>
      </c>
      <c r="M138" s="192"/>
      <c r="N138" s="61">
        <f>SUM(N95:N137)</f>
        <v>703671693376</v>
      </c>
      <c r="O138" s="192"/>
      <c r="P138" s="61">
        <f>SUM(P95:P137)</f>
        <v>1568399829822</v>
      </c>
      <c r="Q138" s="192"/>
      <c r="R138" s="61">
        <f>SUM(R95:R137)</f>
        <v>874202827328</v>
      </c>
      <c r="S138" s="192"/>
      <c r="T138" s="61">
        <f>SUM(T95:T137)</f>
        <v>3146274350526</v>
      </c>
      <c r="U138" s="61"/>
      <c r="V138" s="107">
        <f>SUM(V95:V137)</f>
        <v>0.98610604640530342</v>
      </c>
      <c r="W138" s="205"/>
      <c r="X138" s="186"/>
      <c r="Y138" s="186"/>
      <c r="AA138" s="186"/>
    </row>
    <row r="139" spans="2:27" ht="30" customHeight="1" thickTop="1">
      <c r="B139" s="197"/>
      <c r="D139" s="269"/>
      <c r="F139" s="102"/>
      <c r="G139" s="192"/>
      <c r="H139" s="93"/>
      <c r="I139" s="192"/>
      <c r="J139" s="269"/>
      <c r="K139" s="269"/>
      <c r="L139" s="125"/>
      <c r="M139" s="192"/>
      <c r="N139" s="269"/>
      <c r="O139" s="192"/>
      <c r="P139" s="250"/>
      <c r="Q139" s="269"/>
      <c r="R139" s="269"/>
      <c r="S139" s="192"/>
      <c r="T139" s="269">
        <f>N138+P138+R138-T138</f>
        <v>0</v>
      </c>
      <c r="U139" s="269"/>
      <c r="V139" s="125"/>
      <c r="X139" s="186"/>
      <c r="Y139" s="186"/>
      <c r="AA139" s="186"/>
    </row>
    <row r="140" spans="2:27" ht="30" customHeight="1">
      <c r="B140" s="197"/>
      <c r="D140" s="269"/>
      <c r="F140" s="269"/>
      <c r="G140" s="192"/>
      <c r="H140" s="93"/>
      <c r="I140" s="192"/>
      <c r="J140" s="205"/>
      <c r="K140" s="269"/>
      <c r="L140" s="125"/>
      <c r="M140" s="192"/>
      <c r="N140" s="269"/>
      <c r="O140" s="192"/>
      <c r="P140" s="269"/>
      <c r="Q140" s="192"/>
      <c r="R140" s="269"/>
      <c r="S140" s="192"/>
      <c r="T140" s="269"/>
      <c r="U140" s="269"/>
      <c r="V140" s="125"/>
      <c r="X140" s="186"/>
      <c r="Y140" s="186"/>
      <c r="AA140" s="186"/>
    </row>
    <row r="141" spans="2:27" ht="30" customHeight="1">
      <c r="B141" s="197"/>
      <c r="D141" s="269"/>
      <c r="E141" s="269"/>
      <c r="F141" s="269"/>
      <c r="G141" s="269"/>
      <c r="H141" s="93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125"/>
      <c r="X141" s="186"/>
      <c r="Y141" s="186"/>
      <c r="AA141" s="186"/>
    </row>
    <row r="142" spans="2:27" ht="30" customHeight="1">
      <c r="B142" s="197"/>
      <c r="D142" s="269"/>
      <c r="F142" s="269"/>
      <c r="G142" s="192"/>
      <c r="H142" s="93"/>
      <c r="I142" s="192"/>
      <c r="J142" s="269"/>
      <c r="K142" s="269"/>
      <c r="L142" s="125"/>
      <c r="M142" s="192"/>
      <c r="N142" s="269"/>
      <c r="O142" s="192"/>
      <c r="P142" s="269"/>
      <c r="Q142" s="192"/>
      <c r="R142" s="269"/>
      <c r="S142" s="192"/>
      <c r="T142" s="269"/>
      <c r="U142" s="269"/>
      <c r="V142" s="125"/>
      <c r="X142" s="186"/>
      <c r="Y142" s="186"/>
      <c r="AA142" s="186"/>
    </row>
    <row r="143" spans="2:27" ht="30" customHeight="1">
      <c r="B143" s="192"/>
      <c r="C143" s="269"/>
      <c r="D143" s="192"/>
      <c r="E143" s="269"/>
      <c r="F143" s="269"/>
      <c r="G143" s="125"/>
      <c r="H143" s="290"/>
      <c r="I143" s="269"/>
      <c r="J143" s="287"/>
      <c r="K143" s="269"/>
      <c r="L143" s="192"/>
      <c r="M143" s="269"/>
      <c r="N143" s="192"/>
      <c r="O143" s="269"/>
      <c r="P143" s="269"/>
      <c r="Q143" s="125"/>
      <c r="R143" s="205"/>
      <c r="S143" s="186"/>
      <c r="T143" s="186"/>
      <c r="U143" s="184"/>
      <c r="V143" s="186"/>
    </row>
    <row r="144" spans="2:27" ht="36" hidden="1" customHeight="1">
      <c r="B144" s="184"/>
      <c r="C144" s="210">
        <v>-141115264157</v>
      </c>
      <c r="I144" s="186"/>
      <c r="K144" s="186"/>
      <c r="M144" s="186"/>
      <c r="O144" s="102"/>
      <c r="P144" s="102"/>
      <c r="Q144" s="211"/>
      <c r="S144" s="186"/>
      <c r="T144" s="186"/>
      <c r="U144" s="184"/>
      <c r="V144" s="186"/>
    </row>
    <row r="145" spans="2:29" ht="36" hidden="1" customHeight="1">
      <c r="B145" s="184"/>
      <c r="C145" s="210">
        <v>495943397</v>
      </c>
      <c r="I145" s="186"/>
      <c r="K145" s="186"/>
      <c r="M145" s="186"/>
      <c r="O145" s="102"/>
      <c r="P145" s="102"/>
      <c r="Q145" s="211"/>
      <c r="S145" s="186"/>
      <c r="T145" s="186"/>
      <c r="U145" s="184"/>
      <c r="V145" s="186"/>
    </row>
    <row r="146" spans="2:29" ht="36" hidden="1" customHeight="1">
      <c r="B146" s="184"/>
      <c r="C146" s="210">
        <v>3262800118</v>
      </c>
      <c r="E146" s="205"/>
      <c r="F146" s="205"/>
      <c r="G146" s="205"/>
      <c r="I146" s="146"/>
      <c r="J146" s="60"/>
      <c r="K146" s="276"/>
      <c r="L146" s="60"/>
      <c r="M146" s="60"/>
      <c r="N146" s="60"/>
      <c r="O146" s="60"/>
      <c r="P146" s="102"/>
      <c r="Q146" s="202"/>
      <c r="S146" s="186"/>
      <c r="T146" s="186"/>
      <c r="U146" s="184"/>
      <c r="V146" s="186"/>
    </row>
    <row r="147" spans="2:29" ht="30" customHeight="1">
      <c r="B147" s="186"/>
      <c r="C147" s="210">
        <f>C144-C145-C146</f>
        <v>-144874007672</v>
      </c>
      <c r="G147" s="277"/>
      <c r="I147" s="186"/>
      <c r="J147" s="186"/>
      <c r="K147" s="186"/>
      <c r="L147" s="186"/>
      <c r="M147" s="186"/>
      <c r="N147" s="186"/>
      <c r="O147" s="186"/>
      <c r="P147" s="102"/>
      <c r="Q147" s="278"/>
      <c r="T147" s="186"/>
      <c r="U147" s="184"/>
      <c r="V147" s="186"/>
    </row>
    <row r="148" spans="2:29" ht="60" customHeight="1">
      <c r="B148" s="184"/>
      <c r="C148" s="210">
        <f>H138-C147</f>
        <v>285807622814</v>
      </c>
      <c r="G148" s="186"/>
      <c r="I148" s="276"/>
      <c r="J148" s="205"/>
      <c r="K148" s="205"/>
      <c r="M148" s="186"/>
      <c r="O148" s="102"/>
      <c r="P148" s="102"/>
      <c r="Q148" s="202"/>
      <c r="T148" s="186"/>
      <c r="U148" s="184"/>
      <c r="V148" s="186"/>
    </row>
    <row r="149" spans="2:29" ht="36" customHeight="1">
      <c r="B149" s="184"/>
      <c r="C149" s="213"/>
      <c r="D149" s="205"/>
      <c r="E149" s="205"/>
      <c r="H149" s="205"/>
      <c r="I149" s="186"/>
      <c r="K149" s="205"/>
      <c r="M149" s="279"/>
      <c r="O149" s="102"/>
      <c r="P149" s="102"/>
      <c r="Q149" s="202"/>
      <c r="R149" s="205"/>
      <c r="T149" s="186"/>
      <c r="U149" s="184"/>
      <c r="V149" s="186"/>
    </row>
    <row r="150" spans="2:29" ht="36" customHeight="1">
      <c r="F150" s="186"/>
      <c r="H150" s="212"/>
      <c r="N150" s="186"/>
      <c r="P150" s="205"/>
      <c r="R150" s="212"/>
      <c r="Y150" s="186"/>
      <c r="AA150" s="186"/>
    </row>
    <row r="151" spans="2:29" ht="36" customHeight="1">
      <c r="D151" s="186"/>
      <c r="J151" s="246"/>
      <c r="K151" s="246"/>
      <c r="L151" s="246"/>
      <c r="P151" s="206"/>
      <c r="Y151" s="186"/>
      <c r="AA151" s="186"/>
    </row>
    <row r="152" spans="2:29" ht="36" customHeight="1">
      <c r="N152" s="186"/>
      <c r="Y152" s="186"/>
      <c r="AA152" s="186"/>
    </row>
    <row r="153" spans="2:29" ht="36" customHeight="1">
      <c r="H153" s="252"/>
      <c r="J153" s="252"/>
      <c r="Y153" s="186"/>
      <c r="AA153" s="186"/>
    </row>
    <row r="154" spans="2:29" ht="36" customHeight="1">
      <c r="N154" s="186"/>
      <c r="AC154" s="186"/>
    </row>
    <row r="155" spans="2:29" ht="36" customHeight="1">
      <c r="N155" s="186"/>
      <c r="AA155" s="186"/>
      <c r="AC155" s="186"/>
    </row>
    <row r="156" spans="2:29" ht="36" customHeight="1">
      <c r="AA156" s="186"/>
    </row>
    <row r="157" spans="2:29" ht="36" customHeight="1">
      <c r="AA157" s="186"/>
    </row>
    <row r="158" spans="2:29" ht="36" customHeight="1">
      <c r="AA158" s="186"/>
    </row>
  </sheetData>
  <mergeCells count="63">
    <mergeCell ref="H92:H93"/>
    <mergeCell ref="I92:I94"/>
    <mergeCell ref="J92:L93"/>
    <mergeCell ref="C92:C94"/>
    <mergeCell ref="D92:D93"/>
    <mergeCell ref="E92:E94"/>
    <mergeCell ref="F92:F93"/>
    <mergeCell ref="G92:G94"/>
    <mergeCell ref="M92:M94"/>
    <mergeCell ref="S92:S94"/>
    <mergeCell ref="T92:V93"/>
    <mergeCell ref="N92:N93"/>
    <mergeCell ref="Q50:Q52"/>
    <mergeCell ref="R50:R51"/>
    <mergeCell ref="S50:S52"/>
    <mergeCell ref="T50:V51"/>
    <mergeCell ref="O92:O94"/>
    <mergeCell ref="P92:P93"/>
    <mergeCell ref="Q92:Q94"/>
    <mergeCell ref="R92:R93"/>
    <mergeCell ref="B89:V89"/>
    <mergeCell ref="D91:J91"/>
    <mergeCell ref="N91:V91"/>
    <mergeCell ref="B92:B94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D7:J7"/>
    <mergeCell ref="M8:M10"/>
    <mergeCell ref="B8:B10"/>
    <mergeCell ref="C8:C10"/>
    <mergeCell ref="E8:E10"/>
    <mergeCell ref="G8:G10"/>
    <mergeCell ref="J8:L9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94" location="'درآمد سود سهام'!A1" display="یادداشت 2-1-1" xr:uid="{CF8085A2-6FA9-4EB4-BFCD-DC18334142B2}"/>
    <hyperlink ref="F94" location="'درآمد ناشی از تغییر قیمت اوراق '!A1" display="یادداشت 2-1-2" xr:uid="{CBB77952-CA42-4DDA-8A5D-FEA17F792437}"/>
    <hyperlink ref="H94" location="'درآمد ناشی ازفروش'!A1" display="یادداشت 2-1-3" xr:uid="{712A21DE-6CA2-4FF9-9699-E92B69F9E018}"/>
    <hyperlink ref="N94" location="'درآمد سود سهام'!A1" display="یادداشت 2-1-1" xr:uid="{665F5D3B-78CF-4008-9451-267047ED79DB}"/>
    <hyperlink ref="P94" location="'درآمد ناشی از تغییر قیمت اوراق '!A1" display="یادداشت 2-1-2" xr:uid="{83929033-AD49-4AE8-BB73-952F5EC8DD29}"/>
    <hyperlink ref="R9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88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AH77"/>
  <sheetViews>
    <sheetView rightToLeft="1" tabSelected="1" view="pageBreakPreview" zoomScale="80" zoomScaleNormal="85" zoomScaleSheetLayoutView="80" workbookViewId="0">
      <selection activeCell="AC12" sqref="AC12"/>
    </sheetView>
  </sheetViews>
  <sheetFormatPr defaultColWidth="9.1796875" defaultRowHeight="21.5"/>
  <cols>
    <col min="1" max="1" width="4.1796875" style="12" customWidth="1"/>
    <col min="2" max="2" width="30.7265625" style="197" bestFit="1" customWidth="1"/>
    <col min="3" max="3" width="0.81640625" style="12" customWidth="1"/>
    <col min="4" max="4" width="12.7265625" style="12" customWidth="1"/>
    <col min="5" max="5" width="1" style="12" customWidth="1"/>
    <col min="6" max="6" width="16.7265625" style="115" bestFit="1" customWidth="1"/>
    <col min="7" max="7" width="1" style="12" customWidth="1"/>
    <col min="8" max="8" width="9.7265625" style="115" bestFit="1" customWidth="1"/>
    <col min="9" max="9" width="0.81640625" style="12" customWidth="1"/>
    <col min="10" max="10" width="20.7265625" style="115" bestFit="1" customWidth="1"/>
    <col min="11" max="11" width="1" style="12" customWidth="1"/>
    <col min="12" max="12" width="20" style="115" bestFit="1" customWidth="1"/>
    <col min="13" max="13" width="1.1796875" style="12" customWidth="1"/>
    <col min="14" max="14" width="21.7265625" style="115" bestFit="1" customWidth="1"/>
    <col min="15" max="15" width="0.81640625" style="12" customWidth="1"/>
    <col min="16" max="16" width="20.7265625" style="115" bestFit="1" customWidth="1"/>
    <col min="17" max="17" width="1" style="12" customWidth="1"/>
    <col min="18" max="18" width="19.26953125" style="115" customWidth="1"/>
    <col min="19" max="19" width="0.7265625" style="12" customWidth="1"/>
    <col min="20" max="20" width="21.81640625" style="115" bestFit="1" customWidth="1"/>
    <col min="21" max="21" width="1.7265625" style="12" customWidth="1"/>
    <col min="22" max="22" width="21.453125" style="12" bestFit="1" customWidth="1"/>
    <col min="23" max="23" width="19.26953125" style="12" bestFit="1" customWidth="1"/>
    <col min="24" max="28" width="18.1796875" style="12" customWidth="1"/>
    <col min="29" max="29" width="14.81640625" style="12" bestFit="1" customWidth="1"/>
    <col min="30" max="30" width="56.54296875" style="12" customWidth="1"/>
    <col min="31" max="31" width="28.7265625" style="12" customWidth="1"/>
    <col min="32" max="32" width="18" style="12" bestFit="1" customWidth="1"/>
    <col min="33" max="33" width="18.453125" style="12" bestFit="1" customWidth="1"/>
    <col min="34" max="34" width="18.7265625" style="12" bestFit="1" customWidth="1"/>
    <col min="35" max="36" width="9.1796875" style="12"/>
    <col min="37" max="37" width="20.7265625" style="12" bestFit="1" customWidth="1"/>
    <col min="38" max="16384" width="9.1796875" style="12"/>
  </cols>
  <sheetData>
    <row r="1" spans="2:33" ht="23">
      <c r="B1" s="375" t="str">
        <f>درآمدها!A1</f>
        <v>صندوق سرمایه گذاری شاخص سی شرکت بزرگ فیروزه</v>
      </c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87"/>
      <c r="O1" s="375"/>
      <c r="P1" s="387"/>
      <c r="Q1" s="375"/>
      <c r="R1" s="387"/>
      <c r="S1" s="375"/>
      <c r="T1" s="387"/>
    </row>
    <row r="2" spans="2:33" ht="23">
      <c r="B2" s="375" t="s">
        <v>87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87"/>
      <c r="O2" s="375"/>
      <c r="P2" s="387"/>
      <c r="Q2" s="375"/>
      <c r="R2" s="387"/>
      <c r="S2" s="375"/>
      <c r="T2" s="387"/>
    </row>
    <row r="3" spans="2:33" ht="23">
      <c r="B3" s="375" t="str">
        <f>' سهام'!AC6</f>
        <v>برای ماه منتهی به 1404/12/29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87"/>
      <c r="O3" s="375"/>
      <c r="P3" s="387"/>
      <c r="Q3" s="375"/>
      <c r="R3" s="387"/>
      <c r="S3" s="375"/>
      <c r="T3" s="387"/>
    </row>
    <row r="4" spans="2:33" ht="23">
      <c r="B4" s="128" t="s">
        <v>96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19"/>
      <c r="O4" s="173"/>
      <c r="P4" s="119"/>
      <c r="Q4" s="173"/>
      <c r="R4" s="119"/>
      <c r="S4" s="173"/>
      <c r="T4" s="119"/>
      <c r="U4" s="173"/>
      <c r="V4" s="173"/>
      <c r="W4" s="173"/>
      <c r="AG4" s="12" t="s">
        <v>220</v>
      </c>
    </row>
    <row r="5" spans="2:33" ht="21" customHeight="1" thickBot="1">
      <c r="D5" s="385" t="s">
        <v>71</v>
      </c>
      <c r="E5" s="385"/>
      <c r="F5" s="385"/>
      <c r="G5" s="385"/>
      <c r="H5" s="385"/>
      <c r="J5" s="385" t="str">
        <f>' سهام'!AC7</f>
        <v>طی اسفند ماه</v>
      </c>
      <c r="K5" s="385"/>
      <c r="L5" s="385"/>
      <c r="M5" s="385"/>
      <c r="N5" s="385"/>
      <c r="O5" s="53"/>
      <c r="P5" s="385" t="str">
        <f>' سهام'!AC8</f>
        <v>از ابتدای سال مالی تا پایان اسفند ماه</v>
      </c>
      <c r="Q5" s="386"/>
      <c r="R5" s="385"/>
      <c r="S5" s="386"/>
      <c r="T5" s="385"/>
      <c r="U5" s="53"/>
      <c r="V5" s="53"/>
      <c r="W5" s="53"/>
      <c r="AE5" s="12" t="s">
        <v>230</v>
      </c>
    </row>
    <row r="6" spans="2:33" ht="79.5" customHeight="1" thickBot="1">
      <c r="B6" s="198" t="s">
        <v>45</v>
      </c>
      <c r="C6" s="163"/>
      <c r="D6" s="182" t="s">
        <v>140</v>
      </c>
      <c r="E6" s="163"/>
      <c r="F6" s="111" t="s">
        <v>70</v>
      </c>
      <c r="G6" s="163"/>
      <c r="H6" s="111" t="s">
        <v>66</v>
      </c>
      <c r="I6" s="163"/>
      <c r="J6" s="111" t="s">
        <v>67</v>
      </c>
      <c r="K6" s="163"/>
      <c r="L6" s="111" t="s">
        <v>68</v>
      </c>
      <c r="M6" s="163"/>
      <c r="N6" s="111" t="s">
        <v>69</v>
      </c>
      <c r="P6" s="111" t="s">
        <v>67</v>
      </c>
      <c r="Q6" s="163"/>
      <c r="R6" s="111" t="s">
        <v>68</v>
      </c>
      <c r="S6" s="163"/>
      <c r="T6" s="111" t="s">
        <v>69</v>
      </c>
      <c r="AC6" s="12" t="s">
        <v>231</v>
      </c>
    </row>
    <row r="7" spans="2:33" ht="19.5" customHeight="1">
      <c r="B7" s="159" t="s">
        <v>182</v>
      </c>
      <c r="C7" s="163"/>
      <c r="D7" s="163" t="s">
        <v>265</v>
      </c>
      <c r="E7" s="163"/>
      <c r="F7" s="112">
        <v>60000000</v>
      </c>
      <c r="G7" s="163"/>
      <c r="H7" s="112">
        <v>330</v>
      </c>
      <c r="I7" s="163"/>
      <c r="J7" s="191">
        <v>0</v>
      </c>
      <c r="K7" s="163"/>
      <c r="L7" s="190">
        <v>0</v>
      </c>
      <c r="M7" s="163"/>
      <c r="N7" s="60">
        <v>0</v>
      </c>
      <c r="P7" s="112">
        <v>19800000000</v>
      </c>
      <c r="Q7" s="163"/>
      <c r="R7" s="190">
        <v>0</v>
      </c>
      <c r="S7" s="163"/>
      <c r="T7" s="199">
        <f>P7+R7</f>
        <v>19800000000</v>
      </c>
      <c r="V7" s="200"/>
      <c r="W7" s="200"/>
      <c r="X7" s="200"/>
      <c r="Y7" s="200"/>
      <c r="Z7" s="200"/>
    </row>
    <row r="8" spans="2:33" ht="19.5" customHeight="1">
      <c r="B8" s="159" t="s">
        <v>192</v>
      </c>
      <c r="C8" s="163"/>
      <c r="D8" s="163" t="s">
        <v>208</v>
      </c>
      <c r="E8" s="163"/>
      <c r="F8" s="112">
        <v>36000000</v>
      </c>
      <c r="G8" s="163"/>
      <c r="H8" s="112">
        <v>240</v>
      </c>
      <c r="I8" s="163"/>
      <c r="J8" s="190">
        <v>0</v>
      </c>
      <c r="K8" s="163"/>
      <c r="L8" s="190">
        <v>0</v>
      </c>
      <c r="M8" s="163"/>
      <c r="N8" s="60">
        <v>0</v>
      </c>
      <c r="P8" s="112">
        <v>8640000000</v>
      </c>
      <c r="Q8" s="163"/>
      <c r="R8" s="190">
        <v>0</v>
      </c>
      <c r="S8" s="163"/>
      <c r="T8" s="199">
        <f t="shared" ref="T8:T56" si="0">P8+R8</f>
        <v>8640000000</v>
      </c>
      <c r="V8" s="200"/>
      <c r="W8" s="200"/>
    </row>
    <row r="9" spans="2:33" ht="19.5" customHeight="1">
      <c r="B9" s="159" t="s">
        <v>124</v>
      </c>
      <c r="C9" s="163"/>
      <c r="D9" s="163" t="s">
        <v>246</v>
      </c>
      <c r="E9" s="163"/>
      <c r="F9" s="112">
        <v>1000</v>
      </c>
      <c r="G9" s="163"/>
      <c r="H9" s="112">
        <v>620</v>
      </c>
      <c r="I9" s="163"/>
      <c r="J9" s="190">
        <v>0</v>
      </c>
      <c r="K9" s="163"/>
      <c r="L9" s="190">
        <v>0</v>
      </c>
      <c r="M9" s="163"/>
      <c r="N9" s="60">
        <v>0</v>
      </c>
      <c r="P9" s="112">
        <v>620000</v>
      </c>
      <c r="Q9" s="163"/>
      <c r="R9" s="190">
        <v>0</v>
      </c>
      <c r="S9" s="163"/>
      <c r="T9" s="199">
        <f t="shared" si="0"/>
        <v>620000</v>
      </c>
      <c r="V9" s="200"/>
      <c r="W9" s="200"/>
    </row>
    <row r="10" spans="2:33" ht="19.5" customHeight="1">
      <c r="B10" s="159" t="s">
        <v>131</v>
      </c>
      <c r="C10" s="163"/>
      <c r="D10" s="163" t="s">
        <v>224</v>
      </c>
      <c r="E10" s="163"/>
      <c r="F10" s="112">
        <v>14000000</v>
      </c>
      <c r="G10" s="163"/>
      <c r="H10" s="112">
        <v>2390</v>
      </c>
      <c r="I10" s="163"/>
      <c r="J10" s="190">
        <v>0</v>
      </c>
      <c r="K10" s="163"/>
      <c r="L10" s="190">
        <v>0</v>
      </c>
      <c r="M10" s="163"/>
      <c r="N10" s="60">
        <v>0</v>
      </c>
      <c r="P10" s="112">
        <v>33460000000</v>
      </c>
      <c r="Q10" s="163"/>
      <c r="R10" s="190">
        <v>0</v>
      </c>
      <c r="S10" s="163"/>
      <c r="T10" s="199">
        <f t="shared" si="0"/>
        <v>33460000000</v>
      </c>
      <c r="V10" s="200"/>
      <c r="W10" s="200"/>
    </row>
    <row r="11" spans="2:33" ht="19.5" customHeight="1">
      <c r="B11" s="159" t="s">
        <v>121</v>
      </c>
      <c r="C11" s="163"/>
      <c r="D11" s="163" t="s">
        <v>291</v>
      </c>
      <c r="E11" s="163"/>
      <c r="F11" s="112">
        <v>40000000</v>
      </c>
      <c r="G11" s="163"/>
      <c r="H11" s="112">
        <v>1500</v>
      </c>
      <c r="I11" s="163"/>
      <c r="J11" s="190">
        <v>60000000000</v>
      </c>
      <c r="K11" s="163"/>
      <c r="L11" s="190">
        <v>0</v>
      </c>
      <c r="M11" s="163"/>
      <c r="N11" s="60">
        <v>60000000000</v>
      </c>
      <c r="P11" s="112">
        <v>60000000000</v>
      </c>
      <c r="Q11" s="163"/>
      <c r="R11" s="190">
        <v>0</v>
      </c>
      <c r="S11" s="163"/>
      <c r="T11" s="199">
        <f t="shared" si="0"/>
        <v>60000000000</v>
      </c>
      <c r="V11" s="200"/>
      <c r="W11" s="200"/>
    </row>
    <row r="12" spans="2:33" ht="19.5" customHeight="1">
      <c r="B12" s="159" t="s">
        <v>129</v>
      </c>
      <c r="C12" s="163"/>
      <c r="D12" s="163" t="s">
        <v>207</v>
      </c>
      <c r="E12" s="163"/>
      <c r="F12" s="112">
        <v>64000000</v>
      </c>
      <c r="G12" s="163"/>
      <c r="H12" s="112">
        <v>370</v>
      </c>
      <c r="I12" s="163"/>
      <c r="J12" s="190">
        <v>0</v>
      </c>
      <c r="K12" s="163"/>
      <c r="L12" s="190">
        <v>0</v>
      </c>
      <c r="M12" s="163"/>
      <c r="N12" s="60">
        <v>0</v>
      </c>
      <c r="P12" s="112">
        <v>23680000000</v>
      </c>
      <c r="Q12" s="163"/>
      <c r="R12" s="190">
        <v>0</v>
      </c>
      <c r="S12" s="163"/>
      <c r="T12" s="199">
        <f t="shared" si="0"/>
        <v>23680000000</v>
      </c>
      <c r="V12" s="200"/>
      <c r="W12" s="200"/>
    </row>
    <row r="13" spans="2:33" ht="19.5" customHeight="1">
      <c r="B13" s="159" t="s">
        <v>195</v>
      </c>
      <c r="C13" s="163"/>
      <c r="D13" s="163" t="s">
        <v>207</v>
      </c>
      <c r="E13" s="163"/>
      <c r="F13" s="112">
        <v>10000000</v>
      </c>
      <c r="G13" s="163"/>
      <c r="H13" s="112">
        <v>48</v>
      </c>
      <c r="I13" s="163"/>
      <c r="J13" s="190">
        <v>0</v>
      </c>
      <c r="K13" s="163"/>
      <c r="L13" s="190">
        <v>0</v>
      </c>
      <c r="M13" s="163"/>
      <c r="N13" s="60">
        <v>0</v>
      </c>
      <c r="P13" s="112">
        <v>480000000</v>
      </c>
      <c r="Q13" s="163"/>
      <c r="R13" s="190">
        <v>0</v>
      </c>
      <c r="S13" s="163"/>
      <c r="T13" s="199">
        <f t="shared" si="0"/>
        <v>480000000</v>
      </c>
      <c r="V13" s="200"/>
      <c r="W13" s="200"/>
    </row>
    <row r="14" spans="2:33" ht="19.5" customHeight="1">
      <c r="B14" s="159" t="s">
        <v>150</v>
      </c>
      <c r="C14" s="163"/>
      <c r="D14" s="163" t="s">
        <v>203</v>
      </c>
      <c r="E14" s="163"/>
      <c r="F14" s="112">
        <v>1000</v>
      </c>
      <c r="G14" s="163"/>
      <c r="H14" s="112">
        <v>2320</v>
      </c>
      <c r="I14" s="163"/>
      <c r="J14" s="190">
        <v>0</v>
      </c>
      <c r="K14" s="163"/>
      <c r="L14" s="190">
        <v>0</v>
      </c>
      <c r="M14" s="163"/>
      <c r="N14" s="60">
        <v>0</v>
      </c>
      <c r="P14" s="112">
        <v>2320000</v>
      </c>
      <c r="Q14" s="163"/>
      <c r="R14" s="190">
        <v>0</v>
      </c>
      <c r="S14" s="163"/>
      <c r="T14" s="199">
        <f t="shared" si="0"/>
        <v>2320000</v>
      </c>
      <c r="V14" s="200"/>
      <c r="W14" s="200"/>
    </row>
    <row r="15" spans="2:33" ht="19.5" customHeight="1">
      <c r="B15" s="159" t="s">
        <v>139</v>
      </c>
      <c r="C15" s="163"/>
      <c r="D15" s="163" t="s">
        <v>247</v>
      </c>
      <c r="E15" s="163"/>
      <c r="F15" s="112">
        <v>35000000</v>
      </c>
      <c r="G15" s="163"/>
      <c r="H15" s="112">
        <v>1050</v>
      </c>
      <c r="I15" s="163"/>
      <c r="J15" s="190">
        <v>0</v>
      </c>
      <c r="K15" s="163"/>
      <c r="L15" s="190">
        <v>0</v>
      </c>
      <c r="M15" s="163"/>
      <c r="N15" s="60">
        <v>0</v>
      </c>
      <c r="P15" s="112">
        <v>36750000000</v>
      </c>
      <c r="Q15" s="163"/>
      <c r="R15" s="190">
        <v>0</v>
      </c>
      <c r="S15" s="163"/>
      <c r="T15" s="199">
        <f t="shared" si="0"/>
        <v>36750000000</v>
      </c>
      <c r="V15" s="200"/>
      <c r="W15" s="200"/>
    </row>
    <row r="16" spans="2:33" ht="19.5" customHeight="1">
      <c r="B16" s="159" t="s">
        <v>104</v>
      </c>
      <c r="C16" s="163"/>
      <c r="D16" s="163" t="s">
        <v>209</v>
      </c>
      <c r="E16" s="163"/>
      <c r="F16" s="112">
        <v>15449319</v>
      </c>
      <c r="G16" s="163"/>
      <c r="H16" s="112">
        <v>170</v>
      </c>
      <c r="I16" s="163"/>
      <c r="J16" s="190">
        <v>0</v>
      </c>
      <c r="K16" s="163"/>
      <c r="L16" s="190">
        <v>0</v>
      </c>
      <c r="M16" s="163"/>
      <c r="N16" s="60">
        <v>0</v>
      </c>
      <c r="P16" s="112">
        <v>2626384230</v>
      </c>
      <c r="Q16" s="163"/>
      <c r="R16" s="190">
        <v>0</v>
      </c>
      <c r="S16" s="163"/>
      <c r="T16" s="199">
        <f t="shared" si="0"/>
        <v>2626384230</v>
      </c>
      <c r="V16" s="200"/>
      <c r="W16" s="200"/>
    </row>
    <row r="17" spans="2:30" ht="19.5" customHeight="1">
      <c r="B17" s="159" t="s">
        <v>143</v>
      </c>
      <c r="C17" s="163"/>
      <c r="D17" s="163" t="s">
        <v>225</v>
      </c>
      <c r="E17" s="163"/>
      <c r="F17" s="112">
        <v>6500000</v>
      </c>
      <c r="G17" s="163"/>
      <c r="H17" s="112">
        <v>4984</v>
      </c>
      <c r="I17" s="163"/>
      <c r="J17" s="190">
        <v>0</v>
      </c>
      <c r="K17" s="163"/>
      <c r="L17" s="190">
        <v>0</v>
      </c>
      <c r="M17" s="163"/>
      <c r="N17" s="60">
        <v>0</v>
      </c>
      <c r="P17" s="112">
        <v>32396000000</v>
      </c>
      <c r="Q17" s="163"/>
      <c r="R17" s="190">
        <v>0</v>
      </c>
      <c r="S17" s="163"/>
      <c r="T17" s="199">
        <f t="shared" si="0"/>
        <v>32396000000</v>
      </c>
      <c r="V17" s="200"/>
      <c r="W17" s="200"/>
      <c r="AD17" s="12">
        <v>1</v>
      </c>
    </row>
    <row r="18" spans="2:30" ht="19.5" customHeight="1">
      <c r="B18" s="159" t="s">
        <v>137</v>
      </c>
      <c r="C18" s="163"/>
      <c r="D18" s="163" t="s">
        <v>210</v>
      </c>
      <c r="E18" s="163"/>
      <c r="F18" s="112">
        <v>9000000</v>
      </c>
      <c r="G18" s="163"/>
      <c r="H18" s="112">
        <v>1997</v>
      </c>
      <c r="I18" s="163"/>
      <c r="J18" s="190">
        <v>0</v>
      </c>
      <c r="K18" s="163"/>
      <c r="L18" s="190">
        <v>0</v>
      </c>
      <c r="M18" s="163"/>
      <c r="N18" s="60">
        <v>0</v>
      </c>
      <c r="P18" s="112">
        <v>17973000000</v>
      </c>
      <c r="Q18" s="163"/>
      <c r="R18" s="190">
        <v>0</v>
      </c>
      <c r="S18" s="163"/>
      <c r="T18" s="199">
        <f t="shared" si="0"/>
        <v>17973000000</v>
      </c>
      <c r="V18" s="200"/>
      <c r="W18" s="200"/>
    </row>
    <row r="19" spans="2:30" ht="19.5" customHeight="1">
      <c r="B19" s="159" t="s">
        <v>113</v>
      </c>
      <c r="C19" s="163"/>
      <c r="D19" s="163" t="s">
        <v>211</v>
      </c>
      <c r="E19" s="163"/>
      <c r="F19" s="112">
        <v>151800000</v>
      </c>
      <c r="G19" s="163"/>
      <c r="H19" s="112">
        <v>360</v>
      </c>
      <c r="I19" s="163"/>
      <c r="J19" s="190">
        <v>0</v>
      </c>
      <c r="K19" s="163"/>
      <c r="L19" s="190">
        <v>0</v>
      </c>
      <c r="M19" s="163"/>
      <c r="N19" s="60">
        <v>0</v>
      </c>
      <c r="P19" s="112">
        <v>54648000000</v>
      </c>
      <c r="Q19" s="163"/>
      <c r="R19" s="190">
        <v>0</v>
      </c>
      <c r="S19" s="163"/>
      <c r="T19" s="199">
        <f t="shared" si="0"/>
        <v>54648000000</v>
      </c>
      <c r="V19" s="200"/>
      <c r="W19" s="200"/>
    </row>
    <row r="20" spans="2:30" ht="19.5" customHeight="1">
      <c r="B20" s="159" t="s">
        <v>128</v>
      </c>
      <c r="C20" s="163"/>
      <c r="D20" s="163" t="s">
        <v>212</v>
      </c>
      <c r="E20" s="163"/>
      <c r="F20" s="112">
        <v>13383580</v>
      </c>
      <c r="G20" s="163"/>
      <c r="H20" s="112">
        <v>380</v>
      </c>
      <c r="I20" s="163"/>
      <c r="J20" s="190">
        <v>0</v>
      </c>
      <c r="K20" s="163"/>
      <c r="L20" s="190">
        <v>0</v>
      </c>
      <c r="M20" s="163"/>
      <c r="N20" s="60">
        <v>0</v>
      </c>
      <c r="P20" s="112">
        <v>3040000000</v>
      </c>
      <c r="Q20" s="163"/>
      <c r="R20" s="190">
        <v>0</v>
      </c>
      <c r="S20" s="163"/>
      <c r="T20" s="199">
        <f t="shared" si="0"/>
        <v>3040000000</v>
      </c>
      <c r="V20" s="200"/>
      <c r="W20" s="200"/>
    </row>
    <row r="21" spans="2:30" ht="19.5" customHeight="1">
      <c r="B21" s="159" t="s">
        <v>127</v>
      </c>
      <c r="C21" s="163"/>
      <c r="D21" s="163" t="s">
        <v>212</v>
      </c>
      <c r="E21" s="163"/>
      <c r="F21" s="112">
        <v>5600000</v>
      </c>
      <c r="G21" s="163"/>
      <c r="H21" s="112">
        <v>310</v>
      </c>
      <c r="I21" s="163"/>
      <c r="J21" s="190">
        <v>0</v>
      </c>
      <c r="K21" s="163"/>
      <c r="L21" s="190">
        <v>0</v>
      </c>
      <c r="M21" s="163"/>
      <c r="N21" s="60">
        <v>0</v>
      </c>
      <c r="P21" s="112">
        <v>1736000000</v>
      </c>
      <c r="Q21" s="163"/>
      <c r="R21" s="190">
        <v>0</v>
      </c>
      <c r="S21" s="163"/>
      <c r="T21" s="199">
        <f t="shared" si="0"/>
        <v>1736000000</v>
      </c>
      <c r="V21" s="200"/>
      <c r="W21" s="200"/>
    </row>
    <row r="22" spans="2:30" ht="19.5" customHeight="1">
      <c r="B22" s="159" t="s">
        <v>177</v>
      </c>
      <c r="C22" s="163"/>
      <c r="D22" s="163" t="s">
        <v>210</v>
      </c>
      <c r="E22" s="163"/>
      <c r="F22" s="112">
        <v>6000000</v>
      </c>
      <c r="G22" s="163"/>
      <c r="H22" s="112">
        <v>400</v>
      </c>
      <c r="I22" s="163"/>
      <c r="J22" s="190">
        <v>0</v>
      </c>
      <c r="K22" s="163"/>
      <c r="L22" s="190">
        <v>0</v>
      </c>
      <c r="M22" s="163"/>
      <c r="N22" s="60">
        <v>0</v>
      </c>
      <c r="P22" s="112">
        <v>2400000000</v>
      </c>
      <c r="Q22" s="163"/>
      <c r="R22" s="190">
        <v>0</v>
      </c>
      <c r="S22" s="163"/>
      <c r="T22" s="199">
        <f t="shared" si="0"/>
        <v>2400000000</v>
      </c>
      <c r="V22" s="200"/>
    </row>
    <row r="23" spans="2:30" ht="19.5" customHeight="1">
      <c r="B23" s="159" t="s">
        <v>123</v>
      </c>
      <c r="C23" s="163"/>
      <c r="D23" s="163" t="s">
        <v>226</v>
      </c>
      <c r="E23" s="163"/>
      <c r="F23" s="112">
        <v>20000000</v>
      </c>
      <c r="G23" s="163"/>
      <c r="H23" s="112">
        <v>280</v>
      </c>
      <c r="I23" s="163"/>
      <c r="J23" s="190">
        <v>0</v>
      </c>
      <c r="K23" s="163"/>
      <c r="L23" s="190">
        <v>0</v>
      </c>
      <c r="M23" s="163"/>
      <c r="N23" s="60">
        <v>0</v>
      </c>
      <c r="P23" s="112">
        <v>5600000000</v>
      </c>
      <c r="Q23" s="163"/>
      <c r="R23" s="190">
        <v>0</v>
      </c>
      <c r="S23" s="163"/>
      <c r="T23" s="199">
        <f t="shared" si="0"/>
        <v>5600000000</v>
      </c>
      <c r="V23" s="200"/>
      <c r="W23" s="200"/>
    </row>
    <row r="24" spans="2:30" ht="19.5" customHeight="1">
      <c r="B24" s="159" t="s">
        <v>112</v>
      </c>
      <c r="C24" s="163"/>
      <c r="D24" s="163" t="s">
        <v>207</v>
      </c>
      <c r="E24" s="163"/>
      <c r="F24" s="112">
        <v>35200000</v>
      </c>
      <c r="G24" s="163"/>
      <c r="H24" s="112">
        <v>90</v>
      </c>
      <c r="I24" s="163"/>
      <c r="J24" s="190">
        <v>0</v>
      </c>
      <c r="K24" s="163"/>
      <c r="L24" s="190">
        <v>0</v>
      </c>
      <c r="M24" s="163"/>
      <c r="N24" s="60">
        <v>0</v>
      </c>
      <c r="P24" s="112">
        <v>3168000000</v>
      </c>
      <c r="Q24" s="163"/>
      <c r="R24" s="190">
        <v>0</v>
      </c>
      <c r="S24" s="163"/>
      <c r="T24" s="199">
        <f t="shared" si="0"/>
        <v>3168000000</v>
      </c>
      <c r="V24" s="200"/>
      <c r="W24" s="200"/>
    </row>
    <row r="25" spans="2:30" ht="19.5" customHeight="1">
      <c r="B25" s="159" t="s">
        <v>145</v>
      </c>
      <c r="C25" s="163"/>
      <c r="D25" s="163" t="s">
        <v>207</v>
      </c>
      <c r="E25" s="163"/>
      <c r="F25" s="112">
        <v>1000</v>
      </c>
      <c r="G25" s="163"/>
      <c r="H25" s="112">
        <v>11</v>
      </c>
      <c r="I25" s="163"/>
      <c r="J25" s="190">
        <v>0</v>
      </c>
      <c r="K25" s="163"/>
      <c r="L25" s="190">
        <v>0</v>
      </c>
      <c r="M25" s="163"/>
      <c r="N25" s="60">
        <v>0</v>
      </c>
      <c r="P25" s="112">
        <v>11000</v>
      </c>
      <c r="Q25" s="163"/>
      <c r="R25" s="190">
        <v>0</v>
      </c>
      <c r="S25" s="163"/>
      <c r="T25" s="199">
        <f t="shared" si="0"/>
        <v>11000</v>
      </c>
      <c r="V25" s="200"/>
      <c r="W25" s="200"/>
    </row>
    <row r="26" spans="2:30" ht="19.5" customHeight="1">
      <c r="B26" s="159" t="s">
        <v>178</v>
      </c>
      <c r="C26" s="163"/>
      <c r="D26" s="163" t="s">
        <v>207</v>
      </c>
      <c r="E26" s="163"/>
      <c r="F26" s="112">
        <v>100000000</v>
      </c>
      <c r="G26" s="163"/>
      <c r="H26" s="112">
        <v>15</v>
      </c>
      <c r="I26" s="163"/>
      <c r="J26" s="190">
        <v>0</v>
      </c>
      <c r="K26" s="163"/>
      <c r="L26" s="190">
        <v>0</v>
      </c>
      <c r="M26" s="163"/>
      <c r="N26" s="60">
        <v>0</v>
      </c>
      <c r="P26" s="112">
        <v>1500000000</v>
      </c>
      <c r="Q26" s="163"/>
      <c r="R26" s="190">
        <v>0</v>
      </c>
      <c r="S26" s="163"/>
      <c r="T26" s="199">
        <f t="shared" si="0"/>
        <v>1500000000</v>
      </c>
      <c r="V26" s="200"/>
      <c r="W26" s="200"/>
    </row>
    <row r="27" spans="2:30" ht="19.5" customHeight="1">
      <c r="B27" s="159" t="s">
        <v>114</v>
      </c>
      <c r="C27" s="163"/>
      <c r="D27" s="163" t="s">
        <v>227</v>
      </c>
      <c r="E27" s="163"/>
      <c r="F27" s="112">
        <v>24655240</v>
      </c>
      <c r="G27" s="163"/>
      <c r="H27" s="112">
        <v>936</v>
      </c>
      <c r="I27" s="163"/>
      <c r="J27" s="191">
        <v>0</v>
      </c>
      <c r="K27" s="163"/>
      <c r="L27" s="190">
        <v>0</v>
      </c>
      <c r="M27" s="163"/>
      <c r="N27" s="60">
        <v>0</v>
      </c>
      <c r="P27" s="112">
        <v>23077304640</v>
      </c>
      <c r="Q27" s="163"/>
      <c r="R27" s="190">
        <v>0</v>
      </c>
      <c r="S27" s="163"/>
      <c r="T27" s="199">
        <f t="shared" si="0"/>
        <v>23077304640</v>
      </c>
      <c r="V27" s="200"/>
      <c r="W27" s="200"/>
    </row>
    <row r="28" spans="2:30" ht="19.5" customHeight="1">
      <c r="B28" s="159" t="s">
        <v>125</v>
      </c>
      <c r="C28" s="163"/>
      <c r="D28" s="163" t="s">
        <v>279</v>
      </c>
      <c r="E28" s="163"/>
      <c r="F28" s="112">
        <v>3000000</v>
      </c>
      <c r="G28" s="163"/>
      <c r="H28" s="112">
        <v>8700</v>
      </c>
      <c r="I28" s="163"/>
      <c r="J28" s="190">
        <v>0</v>
      </c>
      <c r="K28" s="163"/>
      <c r="L28" s="190">
        <v>0</v>
      </c>
      <c r="M28" s="163"/>
      <c r="N28" s="60">
        <v>0</v>
      </c>
      <c r="P28" s="112">
        <v>26100000000</v>
      </c>
      <c r="Q28" s="163"/>
      <c r="R28" s="190">
        <v>0</v>
      </c>
      <c r="S28" s="163"/>
      <c r="T28" s="199">
        <f t="shared" si="0"/>
        <v>26100000000</v>
      </c>
      <c r="V28" s="200"/>
      <c r="W28" s="200"/>
    </row>
    <row r="29" spans="2:30" ht="19.5" customHeight="1">
      <c r="B29" s="159" t="s">
        <v>117</v>
      </c>
      <c r="C29" s="163"/>
      <c r="D29" s="163" t="s">
        <v>266</v>
      </c>
      <c r="E29" s="163"/>
      <c r="F29" s="112">
        <v>1800000</v>
      </c>
      <c r="G29" s="163"/>
      <c r="H29" s="112">
        <v>11000</v>
      </c>
      <c r="I29" s="163"/>
      <c r="J29" s="190">
        <v>0</v>
      </c>
      <c r="K29" s="163"/>
      <c r="L29" s="190">
        <v>0</v>
      </c>
      <c r="M29" s="163"/>
      <c r="N29" s="60">
        <v>0</v>
      </c>
      <c r="P29" s="112">
        <v>19800000000</v>
      </c>
      <c r="Q29" s="163"/>
      <c r="R29" s="190">
        <v>0</v>
      </c>
      <c r="S29" s="163"/>
      <c r="T29" s="199">
        <f t="shared" si="0"/>
        <v>19800000000</v>
      </c>
      <c r="V29" s="200"/>
      <c r="W29" s="200"/>
    </row>
    <row r="30" spans="2:30" ht="19.5" customHeight="1">
      <c r="B30" s="159" t="s">
        <v>117</v>
      </c>
      <c r="C30" s="163"/>
      <c r="D30" s="163" t="s">
        <v>234</v>
      </c>
      <c r="E30" s="163"/>
      <c r="F30" s="112">
        <v>1500000</v>
      </c>
      <c r="G30" s="163"/>
      <c r="H30" s="112">
        <v>38000</v>
      </c>
      <c r="I30" s="163"/>
      <c r="J30" s="190">
        <v>0</v>
      </c>
      <c r="K30" s="163"/>
      <c r="L30" s="190">
        <v>0</v>
      </c>
      <c r="M30" s="163"/>
      <c r="N30" s="60">
        <v>0</v>
      </c>
      <c r="P30" s="112">
        <v>57000000000</v>
      </c>
      <c r="Q30" s="163"/>
      <c r="R30" s="190">
        <v>0</v>
      </c>
      <c r="S30" s="163"/>
      <c r="T30" s="199">
        <f t="shared" si="0"/>
        <v>57000000000</v>
      </c>
      <c r="V30" s="200"/>
      <c r="W30" s="200"/>
    </row>
    <row r="31" spans="2:30" ht="19.5" customHeight="1">
      <c r="B31" s="159" t="s">
        <v>122</v>
      </c>
      <c r="C31" s="163"/>
      <c r="D31" s="163" t="s">
        <v>243</v>
      </c>
      <c r="E31" s="163"/>
      <c r="F31" s="112">
        <v>90000000</v>
      </c>
      <c r="G31" s="163"/>
      <c r="H31" s="112">
        <v>510</v>
      </c>
      <c r="I31" s="163"/>
      <c r="J31" s="190">
        <v>0</v>
      </c>
      <c r="K31" s="163"/>
      <c r="L31" s="190">
        <v>0</v>
      </c>
      <c r="M31" s="163"/>
      <c r="N31" s="60">
        <v>0</v>
      </c>
      <c r="P31" s="112">
        <v>45900000000</v>
      </c>
      <c r="Q31" s="163"/>
      <c r="R31" s="190">
        <v>0</v>
      </c>
      <c r="S31" s="163"/>
      <c r="T31" s="199">
        <f t="shared" si="0"/>
        <v>45900000000</v>
      </c>
      <c r="V31" s="200"/>
      <c r="W31" s="200"/>
    </row>
    <row r="32" spans="2:30" ht="19.5" customHeight="1">
      <c r="B32" s="159" t="s">
        <v>120</v>
      </c>
      <c r="C32" s="163"/>
      <c r="D32" s="163" t="s">
        <v>235</v>
      </c>
      <c r="E32" s="163"/>
      <c r="F32" s="112">
        <v>3800000</v>
      </c>
      <c r="G32" s="163"/>
      <c r="H32" s="112">
        <v>2000</v>
      </c>
      <c r="I32" s="163"/>
      <c r="J32" s="190">
        <v>0</v>
      </c>
      <c r="K32" s="163"/>
      <c r="L32" s="190">
        <v>0</v>
      </c>
      <c r="M32" s="163"/>
      <c r="N32" s="60">
        <v>0</v>
      </c>
      <c r="P32" s="112">
        <v>7600000000</v>
      </c>
      <c r="Q32" s="163"/>
      <c r="R32" s="190">
        <v>0</v>
      </c>
      <c r="S32" s="163"/>
      <c r="T32" s="199">
        <f t="shared" si="0"/>
        <v>7600000000</v>
      </c>
      <c r="V32" s="200"/>
      <c r="W32" s="200"/>
    </row>
    <row r="33" spans="2:27" ht="19.5" customHeight="1">
      <c r="B33" s="159" t="s">
        <v>179</v>
      </c>
      <c r="C33" s="163"/>
      <c r="D33" s="163" t="s">
        <v>210</v>
      </c>
      <c r="E33" s="163"/>
      <c r="F33" s="112">
        <v>14000000</v>
      </c>
      <c r="G33" s="163"/>
      <c r="H33" s="112">
        <v>650</v>
      </c>
      <c r="I33" s="163"/>
      <c r="J33" s="190">
        <v>0</v>
      </c>
      <c r="K33" s="163"/>
      <c r="L33" s="190">
        <v>0</v>
      </c>
      <c r="M33" s="163"/>
      <c r="N33" s="60">
        <v>0</v>
      </c>
      <c r="P33" s="112">
        <v>9100000000</v>
      </c>
      <c r="Q33" s="163"/>
      <c r="R33" s="190">
        <v>0</v>
      </c>
      <c r="S33" s="163"/>
      <c r="T33" s="199">
        <f t="shared" si="0"/>
        <v>9100000000</v>
      </c>
      <c r="V33" s="200"/>
      <c r="W33" s="200"/>
    </row>
    <row r="34" spans="2:27" ht="19.5" customHeight="1">
      <c r="B34" s="159" t="s">
        <v>134</v>
      </c>
      <c r="C34" s="163"/>
      <c r="D34" s="163" t="s">
        <v>228</v>
      </c>
      <c r="E34" s="163"/>
      <c r="F34" s="112">
        <v>10000000</v>
      </c>
      <c r="G34" s="163"/>
      <c r="H34" s="112">
        <v>2223</v>
      </c>
      <c r="I34" s="163"/>
      <c r="J34" s="190">
        <v>0</v>
      </c>
      <c r="K34" s="163"/>
      <c r="L34" s="190">
        <v>0</v>
      </c>
      <c r="M34" s="163"/>
      <c r="N34" s="60">
        <v>0</v>
      </c>
      <c r="P34" s="112">
        <v>22230000000</v>
      </c>
      <c r="Q34" s="163"/>
      <c r="R34" s="190">
        <v>0</v>
      </c>
      <c r="S34" s="163"/>
      <c r="T34" s="199">
        <f t="shared" si="0"/>
        <v>22230000000</v>
      </c>
      <c r="V34" s="200"/>
      <c r="W34" s="200"/>
      <c r="X34" s="201"/>
      <c r="Y34" s="201"/>
      <c r="Z34" s="201"/>
    </row>
    <row r="35" spans="2:27" ht="19.5" customHeight="1">
      <c r="B35" s="159" t="s">
        <v>201</v>
      </c>
      <c r="C35" s="163"/>
      <c r="D35" s="163" t="s">
        <v>207</v>
      </c>
      <c r="E35" s="163"/>
      <c r="F35" s="112">
        <v>6000000</v>
      </c>
      <c r="G35" s="163"/>
      <c r="H35" s="112">
        <v>250</v>
      </c>
      <c r="I35" s="163"/>
      <c r="J35" s="190">
        <v>0</v>
      </c>
      <c r="K35" s="163"/>
      <c r="L35" s="190">
        <v>0</v>
      </c>
      <c r="M35" s="163"/>
      <c r="N35" s="60">
        <v>0</v>
      </c>
      <c r="P35" s="112">
        <v>1500000000</v>
      </c>
      <c r="Q35" s="163"/>
      <c r="R35" s="190">
        <v>0</v>
      </c>
      <c r="S35" s="163"/>
      <c r="T35" s="199">
        <f t="shared" si="0"/>
        <v>1500000000</v>
      </c>
      <c r="V35" s="200"/>
      <c r="W35" s="200"/>
    </row>
    <row r="36" spans="2:27" ht="19.5" customHeight="1">
      <c r="B36" s="159" t="s">
        <v>118</v>
      </c>
      <c r="C36" s="163"/>
      <c r="D36" s="163" t="s">
        <v>210</v>
      </c>
      <c r="E36" s="163"/>
      <c r="F36" s="112">
        <v>3460516</v>
      </c>
      <c r="G36" s="163"/>
      <c r="H36" s="112">
        <v>4200</v>
      </c>
      <c r="I36" s="163"/>
      <c r="J36" s="190">
        <v>0</v>
      </c>
      <c r="K36" s="163"/>
      <c r="L36" s="190">
        <v>0</v>
      </c>
      <c r="M36" s="163"/>
      <c r="N36" s="60">
        <v>0</v>
      </c>
      <c r="P36" s="112">
        <v>14534167200</v>
      </c>
      <c r="Q36" s="163"/>
      <c r="R36" s="190">
        <v>0</v>
      </c>
      <c r="S36" s="163"/>
      <c r="T36" s="199">
        <f t="shared" si="0"/>
        <v>14534167200</v>
      </c>
      <c r="V36" s="200"/>
      <c r="W36" s="200"/>
    </row>
    <row r="37" spans="2:27" ht="19.5" customHeight="1">
      <c r="B37" s="159" t="s">
        <v>180</v>
      </c>
      <c r="C37" s="163"/>
      <c r="D37" s="163" t="s">
        <v>248</v>
      </c>
      <c r="E37" s="163"/>
      <c r="F37" s="112">
        <v>28000000</v>
      </c>
      <c r="G37" s="163"/>
      <c r="H37" s="112">
        <v>410</v>
      </c>
      <c r="I37" s="163"/>
      <c r="J37" s="190">
        <v>0</v>
      </c>
      <c r="K37" s="163"/>
      <c r="L37" s="190">
        <v>0</v>
      </c>
      <c r="M37" s="163"/>
      <c r="N37" s="60">
        <v>0</v>
      </c>
      <c r="P37" s="112">
        <v>11480000000</v>
      </c>
      <c r="Q37" s="163"/>
      <c r="R37" s="190">
        <v>0</v>
      </c>
      <c r="S37" s="163"/>
      <c r="T37" s="199">
        <f t="shared" si="0"/>
        <v>11480000000</v>
      </c>
      <c r="V37" s="200"/>
      <c r="W37" s="200"/>
    </row>
    <row r="38" spans="2:27" ht="19.5" customHeight="1">
      <c r="B38" s="159" t="s">
        <v>160</v>
      </c>
      <c r="C38" s="163"/>
      <c r="D38" s="163" t="s">
        <v>211</v>
      </c>
      <c r="E38" s="163"/>
      <c r="F38" s="112">
        <v>3700000</v>
      </c>
      <c r="G38" s="163"/>
      <c r="H38" s="112">
        <v>3000</v>
      </c>
      <c r="I38" s="163"/>
      <c r="J38" s="190">
        <v>0</v>
      </c>
      <c r="K38" s="163"/>
      <c r="L38" s="190">
        <v>0</v>
      </c>
      <c r="M38" s="163"/>
      <c r="N38" s="60">
        <v>0</v>
      </c>
      <c r="P38" s="112">
        <v>11100000000</v>
      </c>
      <c r="Q38" s="163"/>
      <c r="R38" s="190">
        <v>0</v>
      </c>
      <c r="S38" s="163"/>
      <c r="T38" s="199">
        <f t="shared" si="0"/>
        <v>11100000000</v>
      </c>
      <c r="V38" s="200"/>
      <c r="W38" s="200"/>
    </row>
    <row r="39" spans="2:27" ht="19.5" customHeight="1">
      <c r="B39" s="159" t="s">
        <v>181</v>
      </c>
      <c r="C39" s="163"/>
      <c r="D39" s="163" t="s">
        <v>213</v>
      </c>
      <c r="E39" s="163"/>
      <c r="F39" s="112">
        <v>14000000</v>
      </c>
      <c r="G39" s="163"/>
      <c r="H39" s="112">
        <v>400</v>
      </c>
      <c r="I39" s="163"/>
      <c r="J39" s="190">
        <v>0</v>
      </c>
      <c r="K39" s="163"/>
      <c r="L39" s="190">
        <v>0</v>
      </c>
      <c r="M39" s="163"/>
      <c r="N39" s="60">
        <v>0</v>
      </c>
      <c r="P39" s="112">
        <v>5600000000</v>
      </c>
      <c r="Q39" s="163"/>
      <c r="R39" s="190">
        <v>0</v>
      </c>
      <c r="S39" s="163"/>
      <c r="T39" s="199">
        <f t="shared" si="0"/>
        <v>5600000000</v>
      </c>
      <c r="V39" s="200"/>
      <c r="W39" s="200"/>
    </row>
    <row r="40" spans="2:27" ht="19.5" customHeight="1">
      <c r="B40" s="159" t="s">
        <v>115</v>
      </c>
      <c r="C40" s="163"/>
      <c r="D40" s="163" t="s">
        <v>224</v>
      </c>
      <c r="E40" s="163"/>
      <c r="F40" s="112">
        <v>56000000</v>
      </c>
      <c r="G40" s="163"/>
      <c r="H40" s="112">
        <v>190</v>
      </c>
      <c r="I40" s="163"/>
      <c r="J40" s="190">
        <v>0</v>
      </c>
      <c r="K40" s="163"/>
      <c r="L40" s="190">
        <v>0</v>
      </c>
      <c r="M40" s="163"/>
      <c r="N40" s="60">
        <v>0</v>
      </c>
      <c r="P40" s="112">
        <v>10640000000</v>
      </c>
      <c r="Q40" s="163"/>
      <c r="R40" s="190">
        <v>0</v>
      </c>
      <c r="S40" s="163"/>
      <c r="T40" s="199">
        <f t="shared" si="0"/>
        <v>10640000000</v>
      </c>
      <c r="V40" s="200"/>
      <c r="W40" s="200"/>
    </row>
    <row r="41" spans="2:27" ht="19.5" customHeight="1">
      <c r="B41" s="159" t="s">
        <v>196</v>
      </c>
      <c r="C41" s="163"/>
      <c r="D41" s="163" t="s">
        <v>214</v>
      </c>
      <c r="E41" s="163"/>
      <c r="F41" s="112">
        <v>6700000</v>
      </c>
      <c r="G41" s="163"/>
      <c r="H41" s="112">
        <v>1800</v>
      </c>
      <c r="I41" s="163"/>
      <c r="J41" s="190">
        <v>0</v>
      </c>
      <c r="K41" s="163"/>
      <c r="L41" s="190">
        <v>0</v>
      </c>
      <c r="M41" s="163"/>
      <c r="N41" s="60">
        <v>0</v>
      </c>
      <c r="P41" s="112">
        <v>12060000000</v>
      </c>
      <c r="Q41" s="163"/>
      <c r="R41" s="190">
        <v>0</v>
      </c>
      <c r="S41" s="163"/>
      <c r="T41" s="199">
        <f t="shared" si="0"/>
        <v>12060000000</v>
      </c>
      <c r="V41" s="200"/>
      <c r="W41" s="200"/>
    </row>
    <row r="42" spans="2:27" ht="19.5" customHeight="1">
      <c r="B42" s="159" t="s">
        <v>165</v>
      </c>
      <c r="C42" s="163"/>
      <c r="D42" s="163" t="s">
        <v>187</v>
      </c>
      <c r="E42" s="163"/>
      <c r="F42" s="112">
        <v>1750000</v>
      </c>
      <c r="G42" s="163"/>
      <c r="H42" s="112">
        <v>400</v>
      </c>
      <c r="I42" s="163"/>
      <c r="J42" s="190">
        <v>0</v>
      </c>
      <c r="K42" s="163"/>
      <c r="L42" s="190">
        <v>0</v>
      </c>
      <c r="M42" s="163"/>
      <c r="N42" s="60">
        <v>0</v>
      </c>
      <c r="P42" s="112">
        <v>700000000</v>
      </c>
      <c r="Q42" s="163"/>
      <c r="R42" s="190">
        <v>0</v>
      </c>
      <c r="S42" s="163"/>
      <c r="T42" s="199">
        <f t="shared" si="0"/>
        <v>700000000</v>
      </c>
      <c r="V42" s="200"/>
      <c r="W42" s="200"/>
    </row>
    <row r="43" spans="2:27" ht="19.5" customHeight="1">
      <c r="B43" s="159" t="s">
        <v>116</v>
      </c>
      <c r="C43" s="163"/>
      <c r="D43" s="163" t="s">
        <v>207</v>
      </c>
      <c r="E43" s="163"/>
      <c r="F43" s="112">
        <v>75000000</v>
      </c>
      <c r="G43" s="163"/>
      <c r="H43" s="112">
        <v>160</v>
      </c>
      <c r="I43" s="163"/>
      <c r="J43" s="190">
        <v>0</v>
      </c>
      <c r="K43" s="163"/>
      <c r="L43" s="190">
        <v>0</v>
      </c>
      <c r="M43" s="163"/>
      <c r="N43" s="60">
        <v>0</v>
      </c>
      <c r="P43" s="112">
        <v>12000000000</v>
      </c>
      <c r="Q43" s="163"/>
      <c r="R43" s="190">
        <v>0</v>
      </c>
      <c r="S43" s="163"/>
      <c r="T43" s="199">
        <f t="shared" si="0"/>
        <v>12000000000</v>
      </c>
      <c r="V43" s="200"/>
      <c r="W43" s="200"/>
    </row>
    <row r="44" spans="2:27" ht="19.5" customHeight="1">
      <c r="B44" s="159" t="s">
        <v>164</v>
      </c>
      <c r="C44" s="163"/>
      <c r="D44" s="163" t="s">
        <v>213</v>
      </c>
      <c r="E44" s="163"/>
      <c r="F44" s="112">
        <v>1000</v>
      </c>
      <c r="G44" s="163"/>
      <c r="H44" s="112">
        <v>1160</v>
      </c>
      <c r="I44" s="163"/>
      <c r="J44" s="190">
        <v>0</v>
      </c>
      <c r="K44" s="163"/>
      <c r="L44" s="190">
        <v>0</v>
      </c>
      <c r="M44" s="163"/>
      <c r="N44" s="60">
        <v>0</v>
      </c>
      <c r="P44" s="112">
        <v>1160000</v>
      </c>
      <c r="Q44" s="163"/>
      <c r="R44" s="190">
        <v>0</v>
      </c>
      <c r="S44" s="163"/>
      <c r="T44" s="199">
        <f t="shared" si="0"/>
        <v>1160000</v>
      </c>
      <c r="V44" s="200"/>
      <c r="W44" s="200"/>
      <c r="X44" s="200"/>
      <c r="Y44" s="200"/>
      <c r="Z44" s="200"/>
      <c r="AA44" s="200"/>
    </row>
    <row r="45" spans="2:27" ht="19.5" customHeight="1">
      <c r="B45" s="159" t="s">
        <v>119</v>
      </c>
      <c r="C45" s="163"/>
      <c r="D45" s="163" t="s">
        <v>227</v>
      </c>
      <c r="E45" s="163"/>
      <c r="F45" s="112">
        <v>3600000</v>
      </c>
      <c r="G45" s="163"/>
      <c r="H45" s="112">
        <v>3400</v>
      </c>
      <c r="I45" s="163"/>
      <c r="J45" s="190">
        <v>0</v>
      </c>
      <c r="K45" s="163"/>
      <c r="L45" s="190">
        <v>0</v>
      </c>
      <c r="M45" s="163"/>
      <c r="N45" s="60">
        <v>0</v>
      </c>
      <c r="P45" s="112">
        <v>12240000000</v>
      </c>
      <c r="Q45" s="163"/>
      <c r="R45" s="190">
        <v>0</v>
      </c>
      <c r="S45" s="163"/>
      <c r="T45" s="199">
        <f t="shared" si="0"/>
        <v>12240000000</v>
      </c>
      <c r="V45" s="200"/>
      <c r="W45" s="200"/>
      <c r="X45" s="200"/>
      <c r="Y45" s="200"/>
      <c r="Z45" s="200"/>
      <c r="AA45" s="200"/>
    </row>
    <row r="46" spans="2:27" ht="19.5" customHeight="1">
      <c r="B46" s="159" t="s">
        <v>144</v>
      </c>
      <c r="C46" s="163"/>
      <c r="D46" s="163" t="s">
        <v>236</v>
      </c>
      <c r="E46" s="163"/>
      <c r="F46" s="112">
        <v>20000000</v>
      </c>
      <c r="G46" s="163"/>
      <c r="H46" s="112">
        <v>1100</v>
      </c>
      <c r="I46" s="163"/>
      <c r="J46" s="190">
        <v>0</v>
      </c>
      <c r="K46" s="163"/>
      <c r="L46" s="190">
        <v>0</v>
      </c>
      <c r="M46" s="163"/>
      <c r="N46" s="60">
        <v>0</v>
      </c>
      <c r="P46" s="112">
        <v>22000000000</v>
      </c>
      <c r="Q46" s="163"/>
      <c r="R46" s="190">
        <v>0</v>
      </c>
      <c r="S46" s="163"/>
      <c r="T46" s="199">
        <f t="shared" si="0"/>
        <v>22000000000</v>
      </c>
      <c r="V46" s="200"/>
      <c r="W46" s="200"/>
      <c r="X46" s="200"/>
      <c r="Y46" s="200"/>
      <c r="Z46" s="200"/>
      <c r="AA46" s="200"/>
    </row>
    <row r="47" spans="2:27" ht="19.5" customHeight="1">
      <c r="B47" s="159" t="s">
        <v>130</v>
      </c>
      <c r="C47" s="163"/>
      <c r="D47" s="163" t="s">
        <v>243</v>
      </c>
      <c r="E47" s="163"/>
      <c r="F47" s="112">
        <v>330000000</v>
      </c>
      <c r="G47" s="163"/>
      <c r="H47" s="112">
        <v>190</v>
      </c>
      <c r="I47" s="163"/>
      <c r="J47" s="190">
        <v>0</v>
      </c>
      <c r="K47" s="163"/>
      <c r="L47" s="190">
        <v>0</v>
      </c>
      <c r="M47" s="163"/>
      <c r="N47" s="60">
        <v>0</v>
      </c>
      <c r="P47" s="60">
        <v>62700000000</v>
      </c>
      <c r="Q47" s="163"/>
      <c r="R47" s="190">
        <v>0</v>
      </c>
      <c r="S47" s="163"/>
      <c r="T47" s="199">
        <f t="shared" si="0"/>
        <v>62700000000</v>
      </c>
      <c r="V47" s="200"/>
      <c r="W47" s="200"/>
      <c r="X47" s="200"/>
      <c r="Y47" s="200"/>
      <c r="Z47" s="200"/>
      <c r="AA47" s="200"/>
    </row>
    <row r="48" spans="2:27" ht="19.5" customHeight="1">
      <c r="B48" s="159" t="s">
        <v>175</v>
      </c>
      <c r="C48" s="163"/>
      <c r="D48" s="163" t="s">
        <v>204</v>
      </c>
      <c r="E48" s="163"/>
      <c r="F48" s="112">
        <v>10000000</v>
      </c>
      <c r="G48" s="163"/>
      <c r="H48" s="112">
        <v>730</v>
      </c>
      <c r="I48" s="163"/>
      <c r="J48" s="190">
        <v>0</v>
      </c>
      <c r="K48" s="163"/>
      <c r="L48" s="190">
        <v>0</v>
      </c>
      <c r="M48" s="163"/>
      <c r="N48" s="60">
        <v>0</v>
      </c>
      <c r="P48" s="112">
        <v>7300000000</v>
      </c>
      <c r="Q48" s="163"/>
      <c r="R48" s="190">
        <v>0</v>
      </c>
      <c r="S48" s="163"/>
      <c r="T48" s="199">
        <f t="shared" si="0"/>
        <v>7300000000</v>
      </c>
      <c r="V48" s="200"/>
      <c r="W48" s="200"/>
      <c r="X48" s="200"/>
      <c r="Y48" s="200"/>
      <c r="Z48" s="200"/>
      <c r="AA48" s="200"/>
    </row>
    <row r="49" spans="2:28" ht="19.5" customHeight="1">
      <c r="B49" s="159" t="s">
        <v>141</v>
      </c>
      <c r="C49" s="163"/>
      <c r="D49" s="163" t="s">
        <v>209</v>
      </c>
      <c r="E49" s="163"/>
      <c r="F49" s="112">
        <v>1000</v>
      </c>
      <c r="G49" s="163"/>
      <c r="H49" s="112">
        <v>8362</v>
      </c>
      <c r="I49" s="163"/>
      <c r="J49" s="190">
        <v>0</v>
      </c>
      <c r="K49" s="163"/>
      <c r="L49" s="190">
        <v>0</v>
      </c>
      <c r="M49" s="163"/>
      <c r="N49" s="60">
        <v>0</v>
      </c>
      <c r="P49" s="112">
        <v>8362000</v>
      </c>
      <c r="Q49" s="163"/>
      <c r="R49" s="190">
        <v>0</v>
      </c>
      <c r="S49" s="163"/>
      <c r="T49" s="199">
        <f t="shared" si="0"/>
        <v>8362000</v>
      </c>
      <c r="V49" s="200"/>
      <c r="W49" s="200"/>
      <c r="X49" s="200"/>
      <c r="Y49" s="200"/>
      <c r="Z49" s="200"/>
      <c r="AA49" s="200"/>
    </row>
    <row r="50" spans="2:28" ht="19.5" customHeight="1">
      <c r="B50" s="159" t="s">
        <v>135</v>
      </c>
      <c r="C50" s="163"/>
      <c r="D50" s="163" t="s">
        <v>211</v>
      </c>
      <c r="E50" s="163"/>
      <c r="F50" s="112">
        <v>1000</v>
      </c>
      <c r="G50" s="163"/>
      <c r="H50" s="112">
        <v>34</v>
      </c>
      <c r="I50" s="163"/>
      <c r="J50" s="190">
        <v>0</v>
      </c>
      <c r="K50" s="163"/>
      <c r="L50" s="190">
        <v>0</v>
      </c>
      <c r="M50" s="163"/>
      <c r="N50" s="60">
        <v>0</v>
      </c>
      <c r="P50" s="112">
        <v>34000</v>
      </c>
      <c r="Q50" s="163"/>
      <c r="R50" s="190">
        <v>0</v>
      </c>
      <c r="S50" s="163"/>
      <c r="T50" s="199">
        <f>P50+R50</f>
        <v>34000</v>
      </c>
      <c r="V50" s="200"/>
      <c r="W50" s="200"/>
      <c r="X50" s="200"/>
      <c r="Y50" s="200"/>
      <c r="Z50" s="200"/>
      <c r="AA50" s="200"/>
    </row>
    <row r="51" spans="2:28" ht="19.5" customHeight="1">
      <c r="B51" s="159" t="s">
        <v>146</v>
      </c>
      <c r="C51" s="163"/>
      <c r="D51" s="163" t="s">
        <v>280</v>
      </c>
      <c r="E51" s="163"/>
      <c r="F51" s="112">
        <v>1000</v>
      </c>
      <c r="G51" s="163"/>
      <c r="H51" s="112">
        <v>340</v>
      </c>
      <c r="I51" s="163"/>
      <c r="J51" s="190">
        <v>0</v>
      </c>
      <c r="K51" s="163"/>
      <c r="L51" s="190">
        <v>0</v>
      </c>
      <c r="M51" s="163"/>
      <c r="N51" s="60">
        <v>0</v>
      </c>
      <c r="P51" s="190">
        <v>340000</v>
      </c>
      <c r="Q51" s="163"/>
      <c r="R51" s="190">
        <v>-12127</v>
      </c>
      <c r="S51" s="163"/>
      <c r="T51" s="199">
        <f t="shared" si="0"/>
        <v>327873</v>
      </c>
      <c r="V51" s="200"/>
      <c r="W51" s="200"/>
      <c r="X51" s="200"/>
      <c r="Y51" s="200"/>
      <c r="Z51" s="200"/>
      <c r="AA51" s="200"/>
    </row>
    <row r="52" spans="2:28" ht="19.5" customHeight="1">
      <c r="B52" s="159" t="s">
        <v>157</v>
      </c>
      <c r="C52" s="163"/>
      <c r="D52" s="163" t="s">
        <v>205</v>
      </c>
      <c r="E52" s="163"/>
      <c r="F52" s="112">
        <v>232900</v>
      </c>
      <c r="G52" s="163"/>
      <c r="H52" s="112">
        <v>440</v>
      </c>
      <c r="I52" s="163"/>
      <c r="J52" s="190">
        <v>0</v>
      </c>
      <c r="K52" s="163"/>
      <c r="L52" s="190">
        <v>0</v>
      </c>
      <c r="M52" s="163"/>
      <c r="N52" s="60">
        <v>0</v>
      </c>
      <c r="P52" s="112">
        <v>1002482</v>
      </c>
      <c r="Q52" s="163"/>
      <c r="R52" s="190">
        <v>0</v>
      </c>
      <c r="S52" s="163"/>
      <c r="T52" s="199">
        <f t="shared" si="0"/>
        <v>1002482</v>
      </c>
      <c r="V52" s="200"/>
      <c r="W52" s="200"/>
      <c r="X52" s="200"/>
      <c r="Y52" s="200"/>
      <c r="Z52" s="200"/>
      <c r="AA52" s="200"/>
    </row>
    <row r="53" spans="2:28" ht="19.5" customHeight="1">
      <c r="B53" s="159" t="s">
        <v>170</v>
      </c>
      <c r="C53" s="163"/>
      <c r="D53" s="163" t="s">
        <v>229</v>
      </c>
      <c r="E53" s="163"/>
      <c r="F53" s="112">
        <v>999999</v>
      </c>
      <c r="G53" s="163"/>
      <c r="H53" s="112">
        <v>49</v>
      </c>
      <c r="I53" s="163"/>
      <c r="J53" s="190">
        <v>0</v>
      </c>
      <c r="K53" s="163"/>
      <c r="L53" s="190">
        <v>0</v>
      </c>
      <c r="M53" s="163"/>
      <c r="N53" s="60">
        <v>0</v>
      </c>
      <c r="P53" s="112">
        <v>48999951</v>
      </c>
      <c r="Q53" s="163"/>
      <c r="R53" s="190">
        <v>0</v>
      </c>
      <c r="S53" s="163"/>
      <c r="T53" s="199">
        <f t="shared" si="0"/>
        <v>48999951</v>
      </c>
      <c r="V53" s="200"/>
      <c r="W53" s="200"/>
      <c r="X53" s="200"/>
      <c r="Y53" s="200"/>
      <c r="Z53" s="200"/>
      <c r="AA53" s="200"/>
    </row>
    <row r="54" spans="2:28" ht="19.5" customHeight="1">
      <c r="B54" s="159" t="s">
        <v>168</v>
      </c>
      <c r="C54" s="163"/>
      <c r="D54" s="163" t="s">
        <v>227</v>
      </c>
      <c r="E54" s="163"/>
      <c r="F54" s="112">
        <v>175000</v>
      </c>
      <c r="G54" s="163"/>
      <c r="H54" s="112">
        <v>1500</v>
      </c>
      <c r="I54" s="163"/>
      <c r="J54" s="190">
        <v>0</v>
      </c>
      <c r="K54" s="163"/>
      <c r="L54" s="190">
        <v>0</v>
      </c>
      <c r="M54" s="163"/>
      <c r="N54" s="60">
        <v>0</v>
      </c>
      <c r="P54" s="112">
        <v>262500000</v>
      </c>
      <c r="Q54" s="163"/>
      <c r="R54" s="190">
        <v>0</v>
      </c>
      <c r="S54" s="163"/>
      <c r="T54" s="199">
        <f t="shared" si="0"/>
        <v>262500000</v>
      </c>
      <c r="V54" s="200"/>
      <c r="W54" s="200"/>
      <c r="X54" s="200"/>
      <c r="Y54" s="200"/>
      <c r="Z54" s="200"/>
      <c r="AA54" s="200"/>
    </row>
    <row r="55" spans="2:28" ht="19.5" customHeight="1">
      <c r="B55" s="159" t="s">
        <v>197</v>
      </c>
      <c r="C55" s="163"/>
      <c r="D55" s="163" t="s">
        <v>215</v>
      </c>
      <c r="E55" s="163"/>
      <c r="F55" s="112">
        <v>100000</v>
      </c>
      <c r="G55" s="163"/>
      <c r="H55" s="112">
        <v>2350</v>
      </c>
      <c r="I55" s="163"/>
      <c r="J55" s="190">
        <v>0</v>
      </c>
      <c r="K55" s="163"/>
      <c r="L55" s="190">
        <v>0</v>
      </c>
      <c r="M55" s="163"/>
      <c r="N55" s="60">
        <v>0</v>
      </c>
      <c r="P55" s="112">
        <v>235000000</v>
      </c>
      <c r="Q55" s="163"/>
      <c r="R55" s="190">
        <v>0</v>
      </c>
      <c r="S55" s="163"/>
      <c r="T55" s="199">
        <f t="shared" si="0"/>
        <v>235000000</v>
      </c>
      <c r="V55" s="200"/>
      <c r="W55" s="200"/>
      <c r="X55" s="200"/>
      <c r="Y55" s="200"/>
      <c r="Z55" s="200"/>
      <c r="AA55" s="200"/>
    </row>
    <row r="56" spans="2:28" ht="19.5" customHeight="1" thickBot="1">
      <c r="B56" s="159" t="s">
        <v>185</v>
      </c>
      <c r="C56" s="163"/>
      <c r="D56" s="163" t="s">
        <v>255</v>
      </c>
      <c r="E56" s="163"/>
      <c r="F56" s="112">
        <v>3250000</v>
      </c>
      <c r="G56" s="163"/>
      <c r="H56" s="112">
        <v>170</v>
      </c>
      <c r="I56" s="163"/>
      <c r="J56" s="190">
        <v>0</v>
      </c>
      <c r="K56" s="163"/>
      <c r="L56" s="190">
        <v>0</v>
      </c>
      <c r="M56" s="163"/>
      <c r="N56" s="60">
        <v>0</v>
      </c>
      <c r="P56" s="112">
        <v>552500000</v>
      </c>
      <c r="Q56" s="163"/>
      <c r="R56" s="190">
        <v>0</v>
      </c>
      <c r="S56" s="163"/>
      <c r="T56" s="199">
        <f t="shared" si="0"/>
        <v>552500000</v>
      </c>
      <c r="V56" s="200"/>
      <c r="W56" s="200"/>
    </row>
    <row r="57" spans="2:28" ht="22" thickBot="1">
      <c r="B57" s="197" t="s">
        <v>7</v>
      </c>
      <c r="F57" s="92">
        <f>SUM(F7:F56)</f>
        <v>1333663554</v>
      </c>
      <c r="H57" s="12"/>
      <c r="J57" s="92">
        <f>SUM(J7:J56)</f>
        <v>60000000000</v>
      </c>
      <c r="K57" s="90"/>
      <c r="L57" s="92">
        <f>SUM(L7:L56)</f>
        <v>0</v>
      </c>
      <c r="M57" s="90"/>
      <c r="N57" s="92">
        <f>SUM(N7:N56)</f>
        <v>60000000000</v>
      </c>
      <c r="O57" s="90"/>
      <c r="P57" s="92">
        <f>SUM(P7:P56)</f>
        <v>703671705503</v>
      </c>
      <c r="Q57" s="91"/>
      <c r="R57" s="92">
        <f>SUM(R7:R56)</f>
        <v>-12127</v>
      </c>
      <c r="S57" s="91"/>
      <c r="T57" s="92">
        <f>SUM(T7:T56)</f>
        <v>703671693376</v>
      </c>
      <c r="AB57" s="12" t="s">
        <v>245</v>
      </c>
    </row>
    <row r="58" spans="2:28" ht="22" thickTop="1">
      <c r="H58" s="12"/>
      <c r="V58" s="200"/>
    </row>
    <row r="59" spans="2:28" ht="24.5">
      <c r="J59" s="269"/>
      <c r="L59" s="304"/>
      <c r="M59" s="305"/>
      <c r="N59" s="306"/>
      <c r="O59" s="305"/>
      <c r="P59" s="307"/>
      <c r="Q59" s="305"/>
      <c r="R59" s="304"/>
      <c r="S59" s="305"/>
      <c r="T59" s="307"/>
    </row>
    <row r="60" spans="2:28" ht="24.5">
      <c r="J60" s="269"/>
      <c r="L60" s="308"/>
      <c r="M60" s="305"/>
      <c r="N60" s="306"/>
      <c r="O60" s="305"/>
      <c r="P60" s="309"/>
      <c r="Q60" s="305"/>
      <c r="R60" s="308"/>
      <c r="S60" s="305"/>
      <c r="T60" s="307"/>
    </row>
    <row r="61" spans="2:28" ht="24.5">
      <c r="J61" s="269"/>
      <c r="L61" s="309"/>
      <c r="M61" s="305"/>
      <c r="N61" s="306"/>
      <c r="O61" s="305"/>
      <c r="P61" s="309"/>
      <c r="Q61" s="305"/>
      <c r="R61" s="309"/>
      <c r="S61" s="305"/>
      <c r="T61" s="309"/>
    </row>
    <row r="62" spans="2:28" ht="24.5">
      <c r="J62" s="286"/>
      <c r="L62" s="309"/>
      <c r="M62" s="305"/>
      <c r="N62" s="306"/>
      <c r="O62" s="305"/>
      <c r="P62" s="309"/>
      <c r="Q62" s="305"/>
      <c r="R62" s="309"/>
      <c r="S62" s="305"/>
      <c r="T62" s="302"/>
    </row>
    <row r="63" spans="2:28">
      <c r="L63" s="309"/>
      <c r="M63" s="305"/>
      <c r="N63" s="309"/>
      <c r="O63" s="305"/>
      <c r="P63" s="309"/>
      <c r="Q63" s="305"/>
      <c r="R63" s="309"/>
      <c r="S63" s="305"/>
      <c r="T63" s="309"/>
    </row>
    <row r="73" spans="18:34">
      <c r="X73" s="241"/>
      <c r="Y73" s="241"/>
      <c r="Z73" s="241"/>
      <c r="AA73" s="241"/>
      <c r="AB73" s="241"/>
      <c r="AC73" s="242"/>
      <c r="AD73" s="243"/>
      <c r="AE73" s="244"/>
      <c r="AF73" s="244"/>
      <c r="AG73" s="244"/>
      <c r="AH73" s="244"/>
    </row>
    <row r="77" spans="18:34" ht="27.5">
      <c r="R77" s="146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B134"/>
  <sheetViews>
    <sheetView rightToLeft="1" tabSelected="1" view="pageBreakPreview" zoomScale="50" zoomScaleNormal="100" zoomScaleSheetLayoutView="50" workbookViewId="0">
      <selection activeCell="AC12" sqref="AC12"/>
    </sheetView>
  </sheetViews>
  <sheetFormatPr defaultColWidth="8.81640625" defaultRowHeight="33.5"/>
  <cols>
    <col min="1" max="1" width="2.54296875" style="12" customWidth="1"/>
    <col min="2" max="2" width="42" style="12" bestFit="1" customWidth="1"/>
    <col min="3" max="3" width="1.26953125" style="12" customWidth="1"/>
    <col min="4" max="4" width="24.81640625" style="115" bestFit="1" customWidth="1"/>
    <col min="5" max="5" width="1.1796875" style="12" customWidth="1"/>
    <col min="6" max="6" width="31.7265625" style="12" bestFit="1" customWidth="1"/>
    <col min="7" max="7" width="0.7265625" style="12" customWidth="1"/>
    <col min="8" max="8" width="34.1796875" style="12" bestFit="1" customWidth="1"/>
    <col min="9" max="9" width="0.7265625" style="12" customWidth="1"/>
    <col min="10" max="10" width="38.453125" style="12" bestFit="1" customWidth="1"/>
    <col min="11" max="11" width="0.7265625" style="12" customWidth="1"/>
    <col min="12" max="12" width="24.81640625" style="115" bestFit="1" customWidth="1"/>
    <col min="13" max="13" width="1" style="12" customWidth="1"/>
    <col min="14" max="14" width="31.81640625" style="12" bestFit="1" customWidth="1"/>
    <col min="15" max="15" width="0.7265625" style="12" customWidth="1"/>
    <col min="16" max="16" width="32" style="12" bestFit="1" customWidth="1"/>
    <col min="17" max="17" width="1" style="12" customWidth="1"/>
    <col min="18" max="18" width="38.7265625" style="248" bestFit="1" customWidth="1"/>
    <col min="19" max="19" width="37.54296875" style="115" bestFit="1" customWidth="1"/>
    <col min="20" max="20" width="22.26953125" style="12" bestFit="1" customWidth="1"/>
    <col min="21" max="21" width="57.81640625" style="180" bestFit="1" customWidth="1"/>
    <col min="22" max="22" width="57" style="180" customWidth="1"/>
    <col min="23" max="24" width="30.54296875" style="180" bestFit="1" customWidth="1"/>
    <col min="25" max="25" width="28.7265625" style="180" bestFit="1" customWidth="1"/>
    <col min="26" max="26" width="8.81640625" style="180"/>
    <col min="27" max="16384" width="8.81640625" style="12"/>
  </cols>
  <sheetData>
    <row r="1" spans="2:28">
      <c r="B1" s="375" t="str">
        <f>'درآمد ناشی ازفروش'!B1:R1</f>
        <v>صندوق سرمایه گذاری شاخص سی شرکت بزرگ فیروزه</v>
      </c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V1" s="181"/>
    </row>
    <row r="2" spans="2:28">
      <c r="B2" s="375" t="s">
        <v>87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V2" s="181"/>
    </row>
    <row r="3" spans="2:28">
      <c r="B3" s="375" t="str">
        <f>' سهام'!AC6</f>
        <v>برای ماه منتهی به 1404/12/29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V3" s="181"/>
    </row>
    <row r="4" spans="2:28">
      <c r="B4" s="391" t="s">
        <v>97</v>
      </c>
      <c r="C4" s="391"/>
      <c r="D4" s="391"/>
      <c r="E4" s="391"/>
      <c r="F4" s="391"/>
      <c r="G4" s="391"/>
      <c r="H4" s="391"/>
      <c r="I4" s="391"/>
      <c r="V4" s="181"/>
      <c r="AB4" s="12" t="s">
        <v>187</v>
      </c>
    </row>
    <row r="5" spans="2:28" ht="34" thickBot="1">
      <c r="D5" s="386" t="str">
        <f>' سهام'!AC7</f>
        <v>طی اسفند ماه</v>
      </c>
      <c r="E5" s="386"/>
      <c r="F5" s="386"/>
      <c r="G5" s="386"/>
      <c r="H5" s="386"/>
      <c r="I5" s="386"/>
      <c r="J5" s="386"/>
      <c r="L5" s="386" t="str">
        <f>' سهام'!AC8</f>
        <v>از ابتدای سال مالی تا پایان اسفند ماه</v>
      </c>
      <c r="M5" s="386"/>
      <c r="N5" s="386"/>
      <c r="O5" s="386"/>
      <c r="P5" s="386"/>
      <c r="Q5" s="386"/>
      <c r="R5" s="386"/>
      <c r="V5" s="181"/>
      <c r="AB5" s="12" t="s">
        <v>188</v>
      </c>
    </row>
    <row r="6" spans="2:28" ht="53.25" customHeight="1" thickBot="1">
      <c r="B6" s="12" t="s">
        <v>64</v>
      </c>
      <c r="D6" s="110" t="s">
        <v>8</v>
      </c>
      <c r="F6" s="182" t="s">
        <v>32</v>
      </c>
      <c r="H6" s="129" t="s">
        <v>74</v>
      </c>
      <c r="J6" s="182" t="s">
        <v>75</v>
      </c>
      <c r="L6" s="110" t="s">
        <v>8</v>
      </c>
      <c r="N6" s="182" t="s">
        <v>32</v>
      </c>
      <c r="P6" s="129" t="s">
        <v>74</v>
      </c>
      <c r="R6" s="249" t="s">
        <v>75</v>
      </c>
      <c r="U6" s="181"/>
      <c r="V6" s="181"/>
      <c r="AB6" s="12" t="s">
        <v>189</v>
      </c>
    </row>
    <row r="7" spans="2:28" s="184" customFormat="1" ht="30" customHeight="1">
      <c r="B7" s="183" t="s">
        <v>118</v>
      </c>
      <c r="C7" s="183"/>
      <c r="D7" s="101">
        <v>100000</v>
      </c>
      <c r="E7" s="101"/>
      <c r="F7" s="101">
        <v>4346142600</v>
      </c>
      <c r="G7" s="101"/>
      <c r="H7" s="101">
        <v>-4645808140</v>
      </c>
      <c r="I7" s="101"/>
      <c r="J7" s="101">
        <v>-299665540</v>
      </c>
      <c r="K7" s="101"/>
      <c r="L7" s="101">
        <v>100000</v>
      </c>
      <c r="M7" s="101"/>
      <c r="N7" s="101">
        <v>4346142600</v>
      </c>
      <c r="O7" s="101"/>
      <c r="P7" s="101">
        <v>-5636945479</v>
      </c>
      <c r="Q7" s="101"/>
      <c r="R7" s="101">
        <v>-1290802879</v>
      </c>
      <c r="S7" s="312"/>
      <c r="T7" s="312"/>
      <c r="U7" s="181"/>
      <c r="V7" s="181"/>
      <c r="W7" s="180"/>
      <c r="X7" s="180"/>
      <c r="Y7" s="185"/>
      <c r="Z7" s="180"/>
      <c r="AB7" s="184" t="s">
        <v>190</v>
      </c>
    </row>
    <row r="8" spans="2:28" s="184" customFormat="1" ht="30" customHeight="1">
      <c r="B8" s="183" t="s">
        <v>126</v>
      </c>
      <c r="C8" s="183"/>
      <c r="D8" s="101">
        <v>1000</v>
      </c>
      <c r="E8" s="101"/>
      <c r="F8" s="101">
        <v>419730</v>
      </c>
      <c r="G8" s="101"/>
      <c r="H8" s="101">
        <v>-400877</v>
      </c>
      <c r="I8" s="101"/>
      <c r="J8" s="101">
        <v>18853</v>
      </c>
      <c r="K8" s="101"/>
      <c r="L8" s="101">
        <v>1000</v>
      </c>
      <c r="M8" s="101"/>
      <c r="N8" s="101">
        <v>419730</v>
      </c>
      <c r="O8" s="101"/>
      <c r="P8" s="101">
        <v>-483356</v>
      </c>
      <c r="Q8" s="101"/>
      <c r="R8" s="101">
        <v>-63625</v>
      </c>
      <c r="S8" s="312"/>
      <c r="T8" s="312"/>
      <c r="U8" s="181"/>
      <c r="V8" s="181"/>
      <c r="W8" s="180"/>
      <c r="X8" s="180"/>
      <c r="Y8" s="185"/>
      <c r="Z8" s="180"/>
      <c r="AB8" s="184" t="s">
        <v>191</v>
      </c>
    </row>
    <row r="9" spans="2:28" s="184" customFormat="1" ht="30" customHeight="1">
      <c r="B9" s="183" t="s">
        <v>131</v>
      </c>
      <c r="C9" s="183"/>
      <c r="D9" s="101">
        <v>14000000</v>
      </c>
      <c r="E9" s="101"/>
      <c r="F9" s="101">
        <v>236021342200</v>
      </c>
      <c r="G9" s="101"/>
      <c r="H9" s="101">
        <v>-229501644358</v>
      </c>
      <c r="I9" s="101"/>
      <c r="J9" s="101">
        <v>6519697841</v>
      </c>
      <c r="K9" s="101"/>
      <c r="L9" s="101">
        <v>14000000</v>
      </c>
      <c r="M9" s="101"/>
      <c r="N9" s="101">
        <v>236021342200</v>
      </c>
      <c r="O9" s="101"/>
      <c r="P9" s="101">
        <v>-312601473268</v>
      </c>
      <c r="Q9" s="101"/>
      <c r="R9" s="101">
        <v>-76580131068</v>
      </c>
      <c r="S9" s="312"/>
      <c r="T9" s="312"/>
      <c r="U9" s="181"/>
      <c r="V9" s="181"/>
      <c r="W9" s="180"/>
      <c r="X9" s="180"/>
      <c r="Y9" s="185"/>
      <c r="Z9" s="180"/>
    </row>
    <row r="10" spans="2:28" s="184" customFormat="1" ht="30" customHeight="1">
      <c r="B10" s="183" t="s">
        <v>267</v>
      </c>
      <c r="C10" s="183"/>
      <c r="D10" s="101">
        <v>99982360</v>
      </c>
      <c r="E10" s="101"/>
      <c r="F10" s="101">
        <v>290187776844</v>
      </c>
      <c r="G10" s="101"/>
      <c r="H10" s="101">
        <v>-302886592378</v>
      </c>
      <c r="I10" s="101"/>
      <c r="J10" s="101">
        <v>-12698815533</v>
      </c>
      <c r="K10" s="101"/>
      <c r="L10" s="101">
        <v>99982360</v>
      </c>
      <c r="M10" s="101"/>
      <c r="N10" s="101">
        <v>290187776844</v>
      </c>
      <c r="O10" s="101"/>
      <c r="P10" s="101">
        <v>-371522240327</v>
      </c>
      <c r="Q10" s="101"/>
      <c r="R10" s="101">
        <v>-81334463482</v>
      </c>
      <c r="S10" s="312"/>
      <c r="T10" s="312"/>
      <c r="U10" s="181"/>
      <c r="V10" s="181"/>
      <c r="W10" s="180"/>
      <c r="X10" s="180"/>
      <c r="Y10" s="185"/>
      <c r="Z10" s="180"/>
    </row>
    <row r="11" spans="2:28" s="184" customFormat="1" ht="30" customHeight="1">
      <c r="B11" s="183" t="s">
        <v>180</v>
      </c>
      <c r="C11" s="183"/>
      <c r="D11" s="101">
        <v>96000000</v>
      </c>
      <c r="E11" s="101"/>
      <c r="F11" s="101">
        <v>150126481920</v>
      </c>
      <c r="G11" s="101"/>
      <c r="H11" s="101">
        <v>-152793703680</v>
      </c>
      <c r="I11" s="101"/>
      <c r="J11" s="101">
        <v>-2667221760</v>
      </c>
      <c r="K11" s="101"/>
      <c r="L11" s="101">
        <v>96000000</v>
      </c>
      <c r="M11" s="101"/>
      <c r="N11" s="101">
        <v>150126481920</v>
      </c>
      <c r="O11" s="101"/>
      <c r="P11" s="101">
        <v>-136919972432</v>
      </c>
      <c r="Q11" s="101"/>
      <c r="R11" s="101">
        <v>13206509487</v>
      </c>
      <c r="S11" s="312"/>
      <c r="T11" s="312"/>
      <c r="U11" s="181"/>
      <c r="V11" s="181"/>
      <c r="W11" s="180"/>
      <c r="X11" s="180"/>
      <c r="Y11" s="185"/>
      <c r="Z11" s="180"/>
    </row>
    <row r="12" spans="2:28" s="184" customFormat="1" ht="30" customHeight="1">
      <c r="B12" s="183" t="s">
        <v>119</v>
      </c>
      <c r="C12" s="183"/>
      <c r="D12" s="101">
        <v>2000000</v>
      </c>
      <c r="E12" s="101"/>
      <c r="F12" s="101">
        <v>90495024000</v>
      </c>
      <c r="G12" s="101"/>
      <c r="H12" s="101">
        <v>-91566675600</v>
      </c>
      <c r="I12" s="101"/>
      <c r="J12" s="101">
        <v>-1071651600</v>
      </c>
      <c r="K12" s="101"/>
      <c r="L12" s="101">
        <v>2000000</v>
      </c>
      <c r="M12" s="101"/>
      <c r="N12" s="101">
        <v>90495024000</v>
      </c>
      <c r="O12" s="101"/>
      <c r="P12" s="101">
        <v>-87540671134</v>
      </c>
      <c r="Q12" s="101"/>
      <c r="R12" s="101">
        <v>2954352865</v>
      </c>
      <c r="S12" s="312"/>
      <c r="T12" s="312"/>
      <c r="U12" s="181"/>
      <c r="V12" s="181"/>
      <c r="W12" s="180"/>
      <c r="X12" s="180"/>
      <c r="Y12" s="185"/>
      <c r="Z12" s="180"/>
    </row>
    <row r="13" spans="2:28" s="184" customFormat="1" ht="30" customHeight="1">
      <c r="B13" s="183" t="s">
        <v>192</v>
      </c>
      <c r="C13" s="183"/>
      <c r="D13" s="101">
        <v>58000000</v>
      </c>
      <c r="E13" s="101"/>
      <c r="F13" s="101">
        <v>116484559840</v>
      </c>
      <c r="G13" s="101"/>
      <c r="H13" s="101">
        <v>-112916356920</v>
      </c>
      <c r="I13" s="101"/>
      <c r="J13" s="101">
        <v>3568202919</v>
      </c>
      <c r="K13" s="101"/>
      <c r="L13" s="101">
        <v>58000000</v>
      </c>
      <c r="M13" s="101"/>
      <c r="N13" s="101">
        <v>116484559840</v>
      </c>
      <c r="O13" s="101"/>
      <c r="P13" s="101">
        <v>-93098147252</v>
      </c>
      <c r="Q13" s="101"/>
      <c r="R13" s="101">
        <v>23386412588</v>
      </c>
      <c r="S13" s="312"/>
      <c r="T13" s="312"/>
      <c r="U13" s="181"/>
      <c r="V13" s="181"/>
      <c r="W13" s="180"/>
      <c r="X13" s="180"/>
      <c r="Y13" s="185"/>
      <c r="Z13" s="180"/>
    </row>
    <row r="14" spans="2:28" s="184" customFormat="1" ht="30" customHeight="1">
      <c r="B14" s="183" t="s">
        <v>128</v>
      </c>
      <c r="C14" s="183"/>
      <c r="D14" s="101">
        <v>1000</v>
      </c>
      <c r="E14" s="101"/>
      <c r="F14" s="101">
        <v>2465790</v>
      </c>
      <c r="G14" s="101"/>
      <c r="H14" s="101">
        <v>-2496551</v>
      </c>
      <c r="I14" s="101"/>
      <c r="J14" s="101">
        <v>-30760</v>
      </c>
      <c r="K14" s="101"/>
      <c r="L14" s="101">
        <v>1000</v>
      </c>
      <c r="M14" s="101"/>
      <c r="N14" s="101">
        <v>2465790</v>
      </c>
      <c r="O14" s="101"/>
      <c r="P14" s="101">
        <v>-2656100</v>
      </c>
      <c r="Q14" s="101"/>
      <c r="R14" s="101">
        <v>-190309</v>
      </c>
      <c r="S14" s="312"/>
      <c r="T14" s="312"/>
      <c r="U14" s="181"/>
      <c r="V14" s="181"/>
      <c r="W14" s="180"/>
      <c r="X14" s="180"/>
      <c r="Y14" s="185"/>
      <c r="Z14" s="180"/>
    </row>
    <row r="15" spans="2:28" s="184" customFormat="1" ht="30" customHeight="1">
      <c r="B15" s="183" t="s">
        <v>117</v>
      </c>
      <c r="C15" s="183"/>
      <c r="D15" s="101">
        <v>50607435</v>
      </c>
      <c r="E15" s="101"/>
      <c r="F15" s="101">
        <v>654418033521</v>
      </c>
      <c r="G15" s="101"/>
      <c r="H15" s="101">
        <v>-678165939230</v>
      </c>
      <c r="I15" s="101"/>
      <c r="J15" s="101">
        <v>-23747905708</v>
      </c>
      <c r="K15" s="101"/>
      <c r="L15" s="101">
        <v>50607435</v>
      </c>
      <c r="M15" s="101"/>
      <c r="N15" s="101">
        <v>654418033521</v>
      </c>
      <c r="O15" s="101"/>
      <c r="P15" s="101">
        <v>-483153100152</v>
      </c>
      <c r="Q15" s="101"/>
      <c r="R15" s="101">
        <v>171264933369</v>
      </c>
      <c r="S15" s="312"/>
      <c r="T15" s="312"/>
      <c r="U15" s="181"/>
      <c r="V15" s="181"/>
      <c r="W15" s="180"/>
      <c r="X15" s="180"/>
      <c r="Y15" s="185"/>
      <c r="Z15" s="180"/>
    </row>
    <row r="16" spans="2:28" s="184" customFormat="1" ht="30" customHeight="1">
      <c r="B16" s="183" t="s">
        <v>146</v>
      </c>
      <c r="C16" s="183"/>
      <c r="D16" s="101">
        <v>1000</v>
      </c>
      <c r="E16" s="101"/>
      <c r="F16" s="101">
        <v>2745611</v>
      </c>
      <c r="G16" s="101"/>
      <c r="H16" s="101">
        <v>-2808124</v>
      </c>
      <c r="I16" s="101"/>
      <c r="J16" s="101">
        <v>-62512</v>
      </c>
      <c r="K16" s="101"/>
      <c r="L16" s="101">
        <v>1000</v>
      </c>
      <c r="M16" s="101"/>
      <c r="N16" s="101">
        <v>2745611</v>
      </c>
      <c r="O16" s="101"/>
      <c r="P16" s="101">
        <v>-3874804</v>
      </c>
      <c r="Q16" s="101"/>
      <c r="R16" s="101">
        <v>-1129192</v>
      </c>
      <c r="S16" s="312"/>
      <c r="T16" s="312"/>
      <c r="U16" s="181"/>
      <c r="V16" s="181"/>
      <c r="W16" s="180"/>
      <c r="X16" s="180"/>
      <c r="Y16" s="185"/>
      <c r="Z16" s="180"/>
    </row>
    <row r="17" spans="2:26" s="184" customFormat="1" ht="30" customHeight="1">
      <c r="B17" s="183" t="s">
        <v>241</v>
      </c>
      <c r="C17" s="183"/>
      <c r="D17" s="101">
        <v>25882353</v>
      </c>
      <c r="E17" s="101"/>
      <c r="F17" s="101">
        <v>158177177371</v>
      </c>
      <c r="G17" s="101"/>
      <c r="H17" s="101">
        <v>-162533826000</v>
      </c>
      <c r="I17" s="101"/>
      <c r="J17" s="101">
        <v>-4356648628</v>
      </c>
      <c r="K17" s="101"/>
      <c r="L17" s="101">
        <v>25882353</v>
      </c>
      <c r="M17" s="101"/>
      <c r="N17" s="101">
        <v>158177177371</v>
      </c>
      <c r="O17" s="101"/>
      <c r="P17" s="101">
        <v>-198421146000</v>
      </c>
      <c r="Q17" s="101"/>
      <c r="R17" s="101">
        <v>-40243968628</v>
      </c>
      <c r="S17" s="312"/>
      <c r="T17" s="312"/>
      <c r="U17" s="181"/>
      <c r="V17" s="181"/>
      <c r="W17" s="180"/>
      <c r="X17" s="180"/>
      <c r="Y17" s="185"/>
      <c r="Z17" s="180"/>
    </row>
    <row r="18" spans="2:26" s="184" customFormat="1" ht="30" customHeight="1">
      <c r="B18" s="183" t="s">
        <v>259</v>
      </c>
      <c r="C18" s="183"/>
      <c r="D18" s="101">
        <v>133750</v>
      </c>
      <c r="E18" s="101"/>
      <c r="F18" s="101">
        <v>5023304858</v>
      </c>
      <c r="G18" s="101"/>
      <c r="H18" s="101">
        <v>-5122841942</v>
      </c>
      <c r="I18" s="101"/>
      <c r="J18" s="101">
        <v>-99537083</v>
      </c>
      <c r="K18" s="101"/>
      <c r="L18" s="101">
        <v>133750</v>
      </c>
      <c r="M18" s="101"/>
      <c r="N18" s="101">
        <v>5023304858</v>
      </c>
      <c r="O18" s="101"/>
      <c r="P18" s="101">
        <v>-3787614251</v>
      </c>
      <c r="Q18" s="101"/>
      <c r="R18" s="101">
        <v>1235690607</v>
      </c>
      <c r="S18" s="312"/>
      <c r="T18" s="312"/>
      <c r="U18" s="181"/>
      <c r="V18" s="181"/>
      <c r="W18" s="180"/>
      <c r="X18" s="180"/>
      <c r="Y18" s="185"/>
      <c r="Z18" s="180"/>
    </row>
    <row r="19" spans="2:26" s="184" customFormat="1" ht="30" customHeight="1">
      <c r="B19" s="183" t="s">
        <v>270</v>
      </c>
      <c r="C19" s="183"/>
      <c r="D19" s="101">
        <v>335212</v>
      </c>
      <c r="E19" s="101"/>
      <c r="F19" s="101">
        <v>11894520209</v>
      </c>
      <c r="G19" s="101"/>
      <c r="H19" s="101">
        <v>-12990173162</v>
      </c>
      <c r="I19" s="101"/>
      <c r="J19" s="101">
        <v>-1095652952</v>
      </c>
      <c r="K19" s="101"/>
      <c r="L19" s="101">
        <v>335212</v>
      </c>
      <c r="M19" s="101"/>
      <c r="N19" s="101">
        <v>11894520209</v>
      </c>
      <c r="O19" s="101"/>
      <c r="P19" s="101">
        <v>-12087758820</v>
      </c>
      <c r="Q19" s="101"/>
      <c r="R19" s="101">
        <v>-193238610</v>
      </c>
      <c r="S19" s="312"/>
      <c r="T19" s="312"/>
      <c r="U19" s="181"/>
      <c r="V19" s="181"/>
      <c r="W19" s="180"/>
      <c r="X19" s="180"/>
      <c r="Y19" s="185"/>
      <c r="Z19" s="180"/>
    </row>
    <row r="20" spans="2:26" s="184" customFormat="1" ht="30" customHeight="1">
      <c r="B20" s="183" t="s">
        <v>268</v>
      </c>
      <c r="C20" s="183"/>
      <c r="D20" s="101">
        <v>837500</v>
      </c>
      <c r="E20" s="101"/>
      <c r="F20" s="101">
        <v>3451251497</v>
      </c>
      <c r="G20" s="101"/>
      <c r="H20" s="101">
        <v>-3712193700</v>
      </c>
      <c r="I20" s="101"/>
      <c r="J20" s="101">
        <v>-260942202</v>
      </c>
      <c r="K20" s="101"/>
      <c r="L20" s="101">
        <v>837500</v>
      </c>
      <c r="M20" s="101"/>
      <c r="N20" s="101">
        <v>3451251497</v>
      </c>
      <c r="O20" s="101"/>
      <c r="P20" s="101">
        <v>-3566757144</v>
      </c>
      <c r="Q20" s="101"/>
      <c r="R20" s="101">
        <v>-115505646</v>
      </c>
      <c r="S20" s="312"/>
      <c r="T20" s="312"/>
      <c r="U20" s="181"/>
      <c r="V20" s="181"/>
      <c r="W20" s="180"/>
      <c r="X20" s="180"/>
      <c r="Y20" s="185"/>
      <c r="Z20" s="180"/>
    </row>
    <row r="21" spans="2:26" s="184" customFormat="1" ht="30" customHeight="1">
      <c r="B21" s="183" t="s">
        <v>135</v>
      </c>
      <c r="C21" s="183"/>
      <c r="D21" s="101">
        <v>1000</v>
      </c>
      <c r="E21" s="101"/>
      <c r="F21" s="101">
        <v>5300706</v>
      </c>
      <c r="G21" s="101"/>
      <c r="H21" s="101">
        <v>-4871053</v>
      </c>
      <c r="I21" s="101"/>
      <c r="J21" s="101">
        <v>429653</v>
      </c>
      <c r="K21" s="101"/>
      <c r="L21" s="101">
        <v>1000</v>
      </c>
      <c r="M21" s="101"/>
      <c r="N21" s="101">
        <v>5300706</v>
      </c>
      <c r="O21" s="101"/>
      <c r="P21" s="101">
        <v>-4876726</v>
      </c>
      <c r="Q21" s="101"/>
      <c r="R21" s="101">
        <v>423980</v>
      </c>
      <c r="S21" s="312"/>
      <c r="T21" s="312"/>
      <c r="U21" s="181"/>
      <c r="V21" s="181"/>
      <c r="W21" s="180"/>
      <c r="X21" s="180"/>
      <c r="Y21" s="185"/>
      <c r="Z21" s="180"/>
    </row>
    <row r="22" spans="2:26" s="184" customFormat="1" ht="30" customHeight="1">
      <c r="B22" s="183" t="s">
        <v>125</v>
      </c>
      <c r="C22" s="183"/>
      <c r="D22" s="101">
        <v>8000000</v>
      </c>
      <c r="E22" s="101"/>
      <c r="F22" s="101">
        <v>214409701600</v>
      </c>
      <c r="G22" s="101"/>
      <c r="H22" s="101">
        <v>-227675170700</v>
      </c>
      <c r="I22" s="101"/>
      <c r="J22" s="101">
        <v>-13265469100</v>
      </c>
      <c r="K22" s="101"/>
      <c r="L22" s="101">
        <v>8000000</v>
      </c>
      <c r="M22" s="101"/>
      <c r="N22" s="101">
        <v>214409701600</v>
      </c>
      <c r="O22" s="101"/>
      <c r="P22" s="101">
        <v>-152584930060</v>
      </c>
      <c r="Q22" s="101"/>
      <c r="R22" s="101">
        <v>61824771540</v>
      </c>
      <c r="S22" s="312"/>
      <c r="T22" s="312"/>
      <c r="U22" s="181"/>
      <c r="V22" s="181"/>
      <c r="W22" s="180"/>
      <c r="X22" s="180"/>
      <c r="Y22" s="185"/>
      <c r="Z22" s="180"/>
    </row>
    <row r="23" spans="2:26" s="184" customFormat="1" ht="30" customHeight="1">
      <c r="B23" s="183" t="s">
        <v>113</v>
      </c>
      <c r="C23" s="183"/>
      <c r="D23" s="101">
        <v>100000000</v>
      </c>
      <c r="E23" s="101"/>
      <c r="F23" s="101">
        <v>610246050000</v>
      </c>
      <c r="G23" s="101"/>
      <c r="H23" s="101">
        <v>-628106910000</v>
      </c>
      <c r="I23" s="101"/>
      <c r="J23" s="101">
        <v>-17860860000</v>
      </c>
      <c r="K23" s="101"/>
      <c r="L23" s="101">
        <v>100000000</v>
      </c>
      <c r="M23" s="101"/>
      <c r="N23" s="101">
        <v>610246050000</v>
      </c>
      <c r="O23" s="101"/>
      <c r="P23" s="101">
        <v>-373359070697</v>
      </c>
      <c r="Q23" s="101"/>
      <c r="R23" s="101">
        <v>236886979303</v>
      </c>
      <c r="S23" s="312"/>
      <c r="T23" s="312"/>
      <c r="U23" s="181"/>
      <c r="V23" s="181"/>
      <c r="W23" s="180"/>
      <c r="X23" s="180"/>
      <c r="Y23" s="185"/>
      <c r="Z23" s="180"/>
    </row>
    <row r="24" spans="2:26" s="184" customFormat="1" ht="30" customHeight="1">
      <c r="B24" s="183" t="s">
        <v>112</v>
      </c>
      <c r="C24" s="183"/>
      <c r="D24" s="101">
        <v>782067064</v>
      </c>
      <c r="E24" s="101"/>
      <c r="F24" s="101">
        <v>677466931524</v>
      </c>
      <c r="G24" s="101"/>
      <c r="H24" s="101">
        <v>-682185915810</v>
      </c>
      <c r="I24" s="101"/>
      <c r="J24" s="101">
        <v>-4718984285</v>
      </c>
      <c r="K24" s="101"/>
      <c r="L24" s="101">
        <v>782067064</v>
      </c>
      <c r="M24" s="101"/>
      <c r="N24" s="101">
        <v>677466931524</v>
      </c>
      <c r="O24" s="101"/>
      <c r="P24" s="101">
        <v>-728025300089</v>
      </c>
      <c r="Q24" s="101"/>
      <c r="R24" s="101">
        <v>-50558368564</v>
      </c>
      <c r="S24" s="312"/>
      <c r="T24" s="312"/>
      <c r="U24" s="181"/>
      <c r="V24" s="181"/>
      <c r="W24" s="180"/>
      <c r="X24" s="180"/>
      <c r="Y24" s="185"/>
      <c r="Z24" s="180"/>
    </row>
    <row r="25" spans="2:26" s="184" customFormat="1" ht="23.25" customHeight="1">
      <c r="B25" s="183" t="s">
        <v>139</v>
      </c>
      <c r="C25" s="183"/>
      <c r="D25" s="101">
        <v>18000000</v>
      </c>
      <c r="E25" s="101"/>
      <c r="F25" s="101">
        <v>102699945000</v>
      </c>
      <c r="G25" s="101"/>
      <c r="H25" s="101">
        <v>-91584167154</v>
      </c>
      <c r="I25" s="101"/>
      <c r="J25" s="101">
        <v>11115777845</v>
      </c>
      <c r="K25" s="101"/>
      <c r="L25" s="101">
        <v>18000000</v>
      </c>
      <c r="M25" s="101"/>
      <c r="N25" s="101">
        <v>102699945000</v>
      </c>
      <c r="O25" s="101"/>
      <c r="P25" s="101">
        <v>-134056346587</v>
      </c>
      <c r="Q25" s="101"/>
      <c r="R25" s="101">
        <v>-31356401587</v>
      </c>
      <c r="S25" s="312"/>
      <c r="T25" s="312"/>
      <c r="U25" s="181"/>
      <c r="V25" s="181"/>
      <c r="W25" s="180"/>
      <c r="X25" s="180"/>
      <c r="Y25" s="185"/>
      <c r="Z25" s="180"/>
    </row>
    <row r="26" spans="2:26" s="184" customFormat="1" ht="23.25" customHeight="1">
      <c r="B26" s="183" t="s">
        <v>110</v>
      </c>
      <c r="C26" s="183"/>
      <c r="D26" s="101">
        <v>100000000</v>
      </c>
      <c r="E26" s="101"/>
      <c r="F26" s="101">
        <v>47132825000</v>
      </c>
      <c r="G26" s="101"/>
      <c r="H26" s="101">
        <v>-49811954000</v>
      </c>
      <c r="I26" s="101"/>
      <c r="J26" s="101">
        <v>-2679129000</v>
      </c>
      <c r="K26" s="101"/>
      <c r="L26" s="101">
        <v>100000000</v>
      </c>
      <c r="M26" s="101"/>
      <c r="N26" s="101">
        <v>47132825000</v>
      </c>
      <c r="O26" s="101"/>
      <c r="P26" s="101">
        <v>-50630202748</v>
      </c>
      <c r="Q26" s="101"/>
      <c r="R26" s="101">
        <v>-3497377748</v>
      </c>
      <c r="S26" s="312"/>
      <c r="T26" s="312"/>
      <c r="U26" s="181"/>
      <c r="V26" s="181"/>
      <c r="W26" s="180"/>
      <c r="X26" s="180"/>
      <c r="Y26" s="185"/>
      <c r="Z26" s="180"/>
    </row>
    <row r="27" spans="2:26" s="184" customFormat="1" ht="23.25" customHeight="1">
      <c r="B27" s="183" t="s">
        <v>144</v>
      </c>
      <c r="C27" s="183"/>
      <c r="D27" s="101">
        <v>7414815</v>
      </c>
      <c r="E27" s="101"/>
      <c r="F27" s="101">
        <v>73037887411</v>
      </c>
      <c r="G27" s="101"/>
      <c r="H27" s="101">
        <v>-75752121752</v>
      </c>
      <c r="I27" s="101"/>
      <c r="J27" s="101">
        <v>-2714234340</v>
      </c>
      <c r="K27" s="101"/>
      <c r="L27" s="101">
        <v>7414815</v>
      </c>
      <c r="M27" s="101"/>
      <c r="N27" s="101">
        <v>73037887411</v>
      </c>
      <c r="O27" s="101"/>
      <c r="P27" s="101">
        <v>-68082966467</v>
      </c>
      <c r="Q27" s="101"/>
      <c r="R27" s="101">
        <v>4954920944</v>
      </c>
      <c r="S27" s="312"/>
      <c r="T27" s="312"/>
      <c r="U27" s="181"/>
      <c r="V27" s="181"/>
      <c r="W27" s="180"/>
      <c r="X27" s="180"/>
      <c r="Y27" s="185"/>
      <c r="Z27" s="180"/>
    </row>
    <row r="28" spans="2:26" s="184" customFormat="1" ht="23.25" customHeight="1">
      <c r="B28" s="183" t="s">
        <v>271</v>
      </c>
      <c r="C28" s="183"/>
      <c r="D28" s="101">
        <v>14000000</v>
      </c>
      <c r="E28" s="101"/>
      <c r="F28" s="101">
        <v>77377214600</v>
      </c>
      <c r="G28" s="101"/>
      <c r="H28" s="101">
        <v>-82013602441</v>
      </c>
      <c r="I28" s="101"/>
      <c r="J28" s="101">
        <v>-4636387841</v>
      </c>
      <c r="K28" s="101"/>
      <c r="L28" s="101">
        <v>14000000</v>
      </c>
      <c r="M28" s="101"/>
      <c r="N28" s="101">
        <v>77377214600</v>
      </c>
      <c r="O28" s="101"/>
      <c r="P28" s="101">
        <v>-87506491301</v>
      </c>
      <c r="Q28" s="101"/>
      <c r="R28" s="101">
        <v>-10129276701</v>
      </c>
      <c r="S28" s="312"/>
      <c r="T28" s="312"/>
      <c r="U28" s="181"/>
      <c r="V28" s="181"/>
      <c r="W28" s="180"/>
      <c r="X28" s="180"/>
      <c r="Y28" s="185"/>
      <c r="Z28" s="180"/>
    </row>
    <row r="29" spans="2:26" s="184" customFormat="1" ht="23.25" customHeight="1">
      <c r="B29" s="183" t="s">
        <v>145</v>
      </c>
      <c r="C29" s="183"/>
      <c r="D29" s="101">
        <v>200000000</v>
      </c>
      <c r="E29" s="101"/>
      <c r="F29" s="101">
        <v>80175416000</v>
      </c>
      <c r="G29" s="101"/>
      <c r="H29" s="101">
        <v>-80770778000</v>
      </c>
      <c r="I29" s="101"/>
      <c r="J29" s="101">
        <v>-595362000</v>
      </c>
      <c r="K29" s="101"/>
      <c r="L29" s="101">
        <v>200000000</v>
      </c>
      <c r="M29" s="101"/>
      <c r="N29" s="101">
        <v>80175416000</v>
      </c>
      <c r="O29" s="101"/>
      <c r="P29" s="101">
        <v>-110857944275</v>
      </c>
      <c r="Q29" s="101"/>
      <c r="R29" s="101">
        <v>-30682528275</v>
      </c>
      <c r="S29" s="312"/>
      <c r="T29" s="312"/>
      <c r="U29" s="181"/>
      <c r="V29" s="181"/>
      <c r="W29" s="180"/>
      <c r="X29" s="180"/>
      <c r="Y29" s="185"/>
      <c r="Z29" s="180"/>
    </row>
    <row r="30" spans="2:26" s="184" customFormat="1" ht="23.25" customHeight="1">
      <c r="B30" s="183" t="s">
        <v>127</v>
      </c>
      <c r="C30" s="183"/>
      <c r="D30" s="101">
        <v>1068</v>
      </c>
      <c r="E30" s="101"/>
      <c r="F30" s="101">
        <v>2114189</v>
      </c>
      <c r="G30" s="101"/>
      <c r="H30" s="101">
        <v>-2195790</v>
      </c>
      <c r="I30" s="101"/>
      <c r="J30" s="101">
        <v>-81600</v>
      </c>
      <c r="K30" s="101"/>
      <c r="L30" s="101">
        <v>1068</v>
      </c>
      <c r="M30" s="101"/>
      <c r="N30" s="101">
        <v>2114189</v>
      </c>
      <c r="O30" s="101"/>
      <c r="P30" s="101">
        <v>-2282542</v>
      </c>
      <c r="Q30" s="101"/>
      <c r="R30" s="101">
        <v>-168352</v>
      </c>
      <c r="S30" s="312"/>
      <c r="T30" s="312"/>
      <c r="U30" s="181"/>
      <c r="V30" s="181"/>
      <c r="W30" s="180"/>
      <c r="X30" s="180"/>
      <c r="Y30" s="185"/>
      <c r="Z30" s="180"/>
    </row>
    <row r="31" spans="2:26" s="184" customFormat="1" ht="23.25" customHeight="1">
      <c r="B31" s="183" t="s">
        <v>130</v>
      </c>
      <c r="C31" s="183"/>
      <c r="D31" s="101">
        <v>280000000</v>
      </c>
      <c r="E31" s="101"/>
      <c r="F31" s="101">
        <v>455372548400</v>
      </c>
      <c r="G31" s="101"/>
      <c r="H31" s="101">
        <v>-458617299175</v>
      </c>
      <c r="I31" s="101"/>
      <c r="J31" s="101">
        <v>-3244750775</v>
      </c>
      <c r="K31" s="101"/>
      <c r="L31" s="101">
        <v>280000000</v>
      </c>
      <c r="M31" s="101"/>
      <c r="N31" s="101">
        <v>455372548400</v>
      </c>
      <c r="O31" s="101"/>
      <c r="P31" s="101">
        <v>-443286309323</v>
      </c>
      <c r="Q31" s="101"/>
      <c r="R31" s="101">
        <v>12086239076</v>
      </c>
      <c r="S31" s="312"/>
      <c r="T31" s="312"/>
      <c r="U31" s="181"/>
      <c r="V31" s="181"/>
      <c r="W31" s="180"/>
      <c r="X31" s="180"/>
      <c r="Y31" s="185"/>
      <c r="Z31" s="180"/>
    </row>
    <row r="32" spans="2:26" s="184" customFormat="1" ht="23.25" customHeight="1">
      <c r="B32" s="183" t="s">
        <v>143</v>
      </c>
      <c r="C32" s="183"/>
      <c r="D32" s="101">
        <v>6000000</v>
      </c>
      <c r="E32" s="101"/>
      <c r="F32" s="101">
        <v>361563342600</v>
      </c>
      <c r="G32" s="101"/>
      <c r="H32" s="101">
        <v>-359241430800</v>
      </c>
      <c r="I32" s="101"/>
      <c r="J32" s="101">
        <v>2321911799</v>
      </c>
      <c r="K32" s="101"/>
      <c r="L32" s="101">
        <v>6000000</v>
      </c>
      <c r="M32" s="101"/>
      <c r="N32" s="101">
        <v>361563342600</v>
      </c>
      <c r="O32" s="101"/>
      <c r="P32" s="101">
        <v>-221563793094</v>
      </c>
      <c r="Q32" s="101"/>
      <c r="R32" s="101">
        <v>139999549506</v>
      </c>
      <c r="S32" s="312"/>
      <c r="T32" s="312"/>
      <c r="U32" s="181"/>
      <c r="V32" s="181"/>
      <c r="W32" s="180"/>
      <c r="X32" s="180"/>
      <c r="Y32" s="185"/>
      <c r="Z32" s="180"/>
    </row>
    <row r="33" spans="2:26" s="184" customFormat="1" ht="23.25" customHeight="1">
      <c r="B33" s="183" t="s">
        <v>157</v>
      </c>
      <c r="C33" s="183"/>
      <c r="D33" s="101">
        <v>232900</v>
      </c>
      <c r="E33" s="101"/>
      <c r="F33" s="101">
        <v>459195070</v>
      </c>
      <c r="G33" s="101"/>
      <c r="H33" s="101">
        <v>-459657269</v>
      </c>
      <c r="I33" s="101"/>
      <c r="J33" s="101">
        <v>-462198</v>
      </c>
      <c r="K33" s="101"/>
      <c r="L33" s="101">
        <v>232900</v>
      </c>
      <c r="M33" s="101"/>
      <c r="N33" s="101">
        <v>459195070</v>
      </c>
      <c r="O33" s="101"/>
      <c r="P33" s="101">
        <v>-522807947</v>
      </c>
      <c r="Q33" s="101"/>
      <c r="R33" s="101">
        <v>-63612876</v>
      </c>
      <c r="S33" s="312"/>
      <c r="T33" s="312"/>
      <c r="U33" s="181"/>
      <c r="V33" s="181"/>
      <c r="W33" s="180"/>
      <c r="X33" s="180"/>
      <c r="Y33" s="185"/>
      <c r="Z33" s="180"/>
    </row>
    <row r="34" spans="2:26" s="184" customFormat="1" ht="23.25" customHeight="1">
      <c r="B34" s="183" t="s">
        <v>141</v>
      </c>
      <c r="C34" s="183"/>
      <c r="D34" s="101">
        <v>1000</v>
      </c>
      <c r="E34" s="101"/>
      <c r="F34" s="101">
        <v>34054706</v>
      </c>
      <c r="G34" s="101"/>
      <c r="H34" s="101">
        <v>-37130743</v>
      </c>
      <c r="I34" s="101"/>
      <c r="J34" s="101">
        <v>-3076036</v>
      </c>
      <c r="K34" s="101"/>
      <c r="L34" s="101">
        <v>1000</v>
      </c>
      <c r="M34" s="101"/>
      <c r="N34" s="101">
        <v>34054706</v>
      </c>
      <c r="O34" s="101"/>
      <c r="P34" s="101">
        <v>-79176082</v>
      </c>
      <c r="Q34" s="101"/>
      <c r="R34" s="101">
        <v>-45121375</v>
      </c>
      <c r="S34" s="312"/>
      <c r="T34" s="312"/>
      <c r="U34" s="181"/>
      <c r="V34" s="181"/>
      <c r="W34" s="180"/>
      <c r="X34" s="180"/>
      <c r="Y34" s="185"/>
      <c r="Z34" s="180"/>
    </row>
    <row r="35" spans="2:26" s="184" customFormat="1" ht="23.25" customHeight="1">
      <c r="B35" s="183" t="s">
        <v>137</v>
      </c>
      <c r="C35" s="183"/>
      <c r="D35" s="101">
        <v>1000</v>
      </c>
      <c r="E35" s="101"/>
      <c r="F35" s="101">
        <v>25699793</v>
      </c>
      <c r="G35" s="101"/>
      <c r="H35" s="101">
        <v>-27069125</v>
      </c>
      <c r="I35" s="101"/>
      <c r="J35" s="101">
        <v>-1369332</v>
      </c>
      <c r="K35" s="101"/>
      <c r="L35" s="101">
        <v>1000</v>
      </c>
      <c r="M35" s="101"/>
      <c r="N35" s="101">
        <v>25699793</v>
      </c>
      <c r="O35" s="101"/>
      <c r="P35" s="101">
        <v>-20873618</v>
      </c>
      <c r="Q35" s="101"/>
      <c r="R35" s="101">
        <v>4826175</v>
      </c>
      <c r="S35" s="312"/>
      <c r="T35" s="312"/>
      <c r="U35" s="181"/>
      <c r="V35" s="181"/>
      <c r="W35" s="180"/>
      <c r="X35" s="180"/>
      <c r="Y35" s="185"/>
      <c r="Z35" s="180"/>
    </row>
    <row r="36" spans="2:26" s="184" customFormat="1" ht="23.25" customHeight="1">
      <c r="B36" s="183" t="s">
        <v>238</v>
      </c>
      <c r="C36" s="183"/>
      <c r="D36" s="101">
        <v>34000000</v>
      </c>
      <c r="E36" s="101"/>
      <c r="F36" s="101">
        <v>147195316340</v>
      </c>
      <c r="G36" s="101"/>
      <c r="H36" s="101">
        <v>-150107149348</v>
      </c>
      <c r="I36" s="101"/>
      <c r="J36" s="101">
        <v>-2911833008</v>
      </c>
      <c r="K36" s="101"/>
      <c r="L36" s="101">
        <v>34000000</v>
      </c>
      <c r="M36" s="101"/>
      <c r="N36" s="101">
        <v>147195316340</v>
      </c>
      <c r="O36" s="101"/>
      <c r="P36" s="101">
        <v>-137933892936</v>
      </c>
      <c r="Q36" s="101"/>
      <c r="R36" s="101">
        <v>9261423403</v>
      </c>
      <c r="S36" s="312"/>
      <c r="T36" s="312"/>
      <c r="U36" s="181"/>
      <c r="V36" s="181"/>
      <c r="W36" s="180"/>
      <c r="X36" s="180"/>
      <c r="Y36" s="185"/>
      <c r="Z36" s="180"/>
    </row>
    <row r="37" spans="2:26" s="184" customFormat="1" ht="26.15" customHeight="1" thickBot="1">
      <c r="B37" s="183" t="s">
        <v>134</v>
      </c>
      <c r="C37" s="183"/>
      <c r="D37" s="101">
        <v>10000000</v>
      </c>
      <c r="E37" s="101"/>
      <c r="F37" s="101">
        <v>147451322000</v>
      </c>
      <c r="G37" s="101"/>
      <c r="H37" s="101">
        <v>-153610636136</v>
      </c>
      <c r="I37" s="101"/>
      <c r="J37" s="101">
        <v>-6159314136</v>
      </c>
      <c r="K37" s="101"/>
      <c r="L37" s="101">
        <v>10000000</v>
      </c>
      <c r="M37" s="101"/>
      <c r="N37" s="101">
        <v>147451322000</v>
      </c>
      <c r="O37" s="101"/>
      <c r="P37" s="101">
        <v>-117511593532</v>
      </c>
      <c r="Q37" s="101"/>
      <c r="R37" s="101">
        <v>29939728467</v>
      </c>
      <c r="S37" s="312"/>
      <c r="T37" s="312"/>
      <c r="U37" s="181"/>
      <c r="V37" s="181"/>
      <c r="W37" s="180"/>
      <c r="X37" s="180"/>
      <c r="Y37" s="185"/>
      <c r="Z37" s="187"/>
    </row>
    <row r="38" spans="2:26" s="184" customFormat="1" ht="34" thickBot="1">
      <c r="B38" s="188" t="s">
        <v>216</v>
      </c>
      <c r="C38" s="189"/>
      <c r="D38" s="98">
        <f>SUM(D7:D37)</f>
        <v>1907600457</v>
      </c>
      <c r="E38" s="194"/>
      <c r="F38" s="98">
        <f>SUM(F7:F37)</f>
        <v>4715286110930</v>
      </c>
      <c r="G38" s="194"/>
      <c r="H38" s="98">
        <f>SUM(H7:H37)</f>
        <v>-4796849519958</v>
      </c>
      <c r="I38" s="194"/>
      <c r="J38" s="98">
        <f>SUM(J7:J37)</f>
        <v>-81563409019</v>
      </c>
      <c r="K38" s="194"/>
      <c r="L38" s="98">
        <f>SUM(L7:L37)</f>
        <v>1907600457</v>
      </c>
      <c r="M38" s="118"/>
      <c r="N38" s="98">
        <f>SUM(N7:N37)</f>
        <v>4715286110930</v>
      </c>
      <c r="O38" s="194"/>
      <c r="P38" s="98">
        <f>SUM(P7:P37)</f>
        <v>-4334371698543</v>
      </c>
      <c r="Q38" s="194"/>
      <c r="R38" s="98">
        <f>SUM(R7:R37)</f>
        <v>380914412393</v>
      </c>
      <c r="S38" s="115"/>
      <c r="T38" s="12"/>
      <c r="U38" s="181"/>
      <c r="V38" s="181"/>
      <c r="W38" s="180"/>
      <c r="X38" s="180"/>
      <c r="Y38" s="185"/>
      <c r="Z38" s="180"/>
    </row>
    <row r="39" spans="2:26" s="184" customFormat="1" ht="34" thickTop="1">
      <c r="B39" s="176"/>
      <c r="C39" s="166"/>
      <c r="D39" s="191"/>
      <c r="E39" s="189"/>
      <c r="F39" s="191"/>
      <c r="G39" s="190"/>
      <c r="H39" s="191"/>
      <c r="I39" s="190"/>
      <c r="J39" s="191"/>
      <c r="K39" s="190"/>
      <c r="L39" s="116"/>
      <c r="M39" s="190"/>
      <c r="N39" s="191"/>
      <c r="O39" s="190"/>
      <c r="P39" s="191"/>
      <c r="Q39" s="190"/>
      <c r="R39" s="191"/>
      <c r="S39" s="115"/>
      <c r="T39" s="12"/>
      <c r="U39" s="181"/>
      <c r="V39" s="181"/>
      <c r="W39" s="180"/>
      <c r="X39" s="180"/>
      <c r="Y39" s="185"/>
      <c r="Z39" s="180"/>
    </row>
    <row r="40" spans="2:26">
      <c r="B40" s="391" t="s">
        <v>97</v>
      </c>
      <c r="C40" s="391"/>
      <c r="D40" s="391"/>
      <c r="E40" s="391"/>
      <c r="F40" s="391"/>
      <c r="G40" s="391"/>
      <c r="H40" s="391"/>
      <c r="I40" s="391"/>
      <c r="S40" s="180"/>
      <c r="T40" s="181"/>
      <c r="Y40" s="12"/>
      <c r="Z40" s="12" t="s">
        <v>187</v>
      </c>
    </row>
    <row r="41" spans="2:26" ht="34" thickBot="1">
      <c r="D41" s="386" t="str">
        <f>D5</f>
        <v>طی اسفند ماه</v>
      </c>
      <c r="E41" s="386"/>
      <c r="F41" s="386"/>
      <c r="G41" s="386"/>
      <c r="H41" s="386"/>
      <c r="I41" s="386"/>
      <c r="J41" s="386"/>
      <c r="L41" s="386" t="str">
        <f>L5</f>
        <v>از ابتدای سال مالی تا پایان اسفند ماه</v>
      </c>
      <c r="M41" s="386"/>
      <c r="N41" s="386"/>
      <c r="O41" s="386"/>
      <c r="P41" s="386"/>
      <c r="Q41" s="386"/>
      <c r="R41" s="386"/>
      <c r="S41" s="180"/>
      <c r="T41" s="181"/>
      <c r="Y41" s="12"/>
      <c r="Z41" s="12" t="s">
        <v>188</v>
      </c>
    </row>
    <row r="42" spans="2:26" ht="53.25" customHeight="1" thickBot="1">
      <c r="B42" s="12" t="s">
        <v>64</v>
      </c>
      <c r="D42" s="110" t="s">
        <v>8</v>
      </c>
      <c r="F42" s="182" t="s">
        <v>32</v>
      </c>
      <c r="H42" s="129" t="s">
        <v>74</v>
      </c>
      <c r="J42" s="182" t="s">
        <v>75</v>
      </c>
      <c r="L42" s="110" t="s">
        <v>8</v>
      </c>
      <c r="N42" s="182" t="s">
        <v>32</v>
      </c>
      <c r="P42" s="129" t="s">
        <v>74</v>
      </c>
      <c r="R42" s="249" t="s">
        <v>75</v>
      </c>
      <c r="S42" s="181"/>
      <c r="T42" s="181"/>
      <c r="Y42" s="12"/>
      <c r="Z42" s="12" t="s">
        <v>189</v>
      </c>
    </row>
    <row r="43" spans="2:26" s="184" customFormat="1">
      <c r="B43" s="192" t="s">
        <v>217</v>
      </c>
      <c r="C43" s="183"/>
      <c r="D43" s="101">
        <f>D38</f>
        <v>1907600457</v>
      </c>
      <c r="E43" s="101"/>
      <c r="F43" s="101">
        <f>F38</f>
        <v>4715286110930</v>
      </c>
      <c r="G43" s="101"/>
      <c r="H43" s="101">
        <f>H38</f>
        <v>-4796849519958</v>
      </c>
      <c r="I43" s="101"/>
      <c r="J43" s="101">
        <f>J38</f>
        <v>-81563409019</v>
      </c>
      <c r="K43" s="101"/>
      <c r="L43" s="101">
        <f>L38</f>
        <v>1907600457</v>
      </c>
      <c r="M43" s="101"/>
      <c r="N43" s="101">
        <f>N38</f>
        <v>4715286110930</v>
      </c>
      <c r="O43" s="101"/>
      <c r="P43" s="101">
        <f>P38</f>
        <v>-4334371698543</v>
      </c>
      <c r="Q43" s="101"/>
      <c r="R43" s="101">
        <f>R38</f>
        <v>380914412393</v>
      </c>
      <c r="S43" s="181"/>
      <c r="T43" s="181"/>
      <c r="U43" s="180"/>
      <c r="V43" s="180"/>
      <c r="W43" s="185"/>
      <c r="X43" s="180"/>
    </row>
    <row r="44" spans="2:26" s="184" customFormat="1">
      <c r="B44" s="183" t="s">
        <v>272</v>
      </c>
      <c r="C44" s="183"/>
      <c r="D44" s="101">
        <v>375000</v>
      </c>
      <c r="E44" s="101"/>
      <c r="F44" s="101">
        <v>3657755287</v>
      </c>
      <c r="G44" s="101"/>
      <c r="H44" s="101">
        <v>-4119160837</v>
      </c>
      <c r="I44" s="101"/>
      <c r="J44" s="101">
        <v>-461405549</v>
      </c>
      <c r="K44" s="101"/>
      <c r="L44" s="101">
        <v>375000</v>
      </c>
      <c r="M44" s="101"/>
      <c r="N44" s="101">
        <v>3657755287</v>
      </c>
      <c r="O44" s="101"/>
      <c r="P44" s="101">
        <v>-3137744212</v>
      </c>
      <c r="Q44" s="101"/>
      <c r="R44" s="101">
        <v>520011075</v>
      </c>
      <c r="S44" s="181"/>
      <c r="T44" s="181"/>
      <c r="U44" s="180"/>
      <c r="V44" s="180"/>
      <c r="W44" s="185"/>
      <c r="X44" s="180"/>
    </row>
    <row r="45" spans="2:26" s="184" customFormat="1">
      <c r="B45" s="183" t="s">
        <v>116</v>
      </c>
      <c r="C45" s="183"/>
      <c r="D45" s="101">
        <v>1000</v>
      </c>
      <c r="E45" s="101"/>
      <c r="F45" s="101">
        <v>2718819</v>
      </c>
      <c r="G45" s="101"/>
      <c r="H45" s="101">
        <v>-2798201</v>
      </c>
      <c r="I45" s="101"/>
      <c r="J45" s="101">
        <v>-79381</v>
      </c>
      <c r="K45" s="101"/>
      <c r="L45" s="101">
        <v>1000</v>
      </c>
      <c r="M45" s="101"/>
      <c r="N45" s="101">
        <v>2718819</v>
      </c>
      <c r="O45" s="101"/>
      <c r="P45" s="101">
        <v>-3590334</v>
      </c>
      <c r="Q45" s="101"/>
      <c r="R45" s="101">
        <v>-871514</v>
      </c>
      <c r="S45" s="181"/>
      <c r="T45" s="181"/>
      <c r="U45" s="180"/>
      <c r="V45" s="180"/>
      <c r="W45" s="185"/>
      <c r="X45" s="180"/>
    </row>
    <row r="46" spans="2:26" s="184" customFormat="1">
      <c r="B46" s="183" t="s">
        <v>104</v>
      </c>
      <c r="C46" s="183"/>
      <c r="D46" s="101">
        <v>211248</v>
      </c>
      <c r="E46" s="101"/>
      <c r="F46" s="101">
        <v>429501243</v>
      </c>
      <c r="G46" s="101"/>
      <c r="H46" s="101">
        <v>-14122587541</v>
      </c>
      <c r="I46" s="101"/>
      <c r="J46" s="101">
        <v>-13693086297</v>
      </c>
      <c r="K46" s="101"/>
      <c r="L46" s="101">
        <v>211248</v>
      </c>
      <c r="M46" s="101"/>
      <c r="N46" s="101">
        <v>429501243</v>
      </c>
      <c r="O46" s="101"/>
      <c r="P46" s="101">
        <v>-399481664</v>
      </c>
      <c r="Q46" s="101"/>
      <c r="R46" s="101">
        <v>30019579</v>
      </c>
      <c r="S46" s="181"/>
      <c r="T46" s="181"/>
      <c r="U46" s="180"/>
      <c r="V46" s="180"/>
      <c r="W46" s="185"/>
      <c r="X46" s="180"/>
    </row>
    <row r="47" spans="2:26" s="184" customFormat="1">
      <c r="B47" s="183" t="s">
        <v>282</v>
      </c>
      <c r="C47" s="183"/>
      <c r="D47" s="101">
        <v>750000</v>
      </c>
      <c r="E47" s="101"/>
      <c r="F47" s="101">
        <v>6556424025</v>
      </c>
      <c r="G47" s="101"/>
      <c r="H47" s="101">
        <v>-8037658024</v>
      </c>
      <c r="I47" s="101"/>
      <c r="J47" s="101">
        <v>-1481233999</v>
      </c>
      <c r="K47" s="101"/>
      <c r="L47" s="101">
        <v>750000</v>
      </c>
      <c r="M47" s="101"/>
      <c r="N47" s="101">
        <v>6556424025</v>
      </c>
      <c r="O47" s="101"/>
      <c r="P47" s="101">
        <v>-6057537334</v>
      </c>
      <c r="Q47" s="101"/>
      <c r="R47" s="101">
        <v>498886690</v>
      </c>
      <c r="S47" s="181"/>
      <c r="T47" s="181"/>
      <c r="U47" s="180"/>
      <c r="V47" s="180"/>
      <c r="W47" s="185"/>
      <c r="X47" s="180"/>
    </row>
    <row r="48" spans="2:26" s="184" customFormat="1">
      <c r="B48" s="183" t="s">
        <v>182</v>
      </c>
      <c r="C48" s="183"/>
      <c r="D48" s="101">
        <v>60000000</v>
      </c>
      <c r="E48" s="101"/>
      <c r="F48" s="101">
        <v>86625171000</v>
      </c>
      <c r="G48" s="101"/>
      <c r="H48" s="101">
        <v>-90554560200</v>
      </c>
      <c r="I48" s="101"/>
      <c r="J48" s="101">
        <v>-3929389200</v>
      </c>
      <c r="K48" s="101"/>
      <c r="L48" s="101">
        <v>60000000</v>
      </c>
      <c r="M48" s="101"/>
      <c r="N48" s="101">
        <v>86625171000</v>
      </c>
      <c r="O48" s="101"/>
      <c r="P48" s="101">
        <v>-98042294767</v>
      </c>
      <c r="Q48" s="101"/>
      <c r="R48" s="101">
        <v>-11417123767</v>
      </c>
      <c r="S48" s="181"/>
      <c r="T48" s="181"/>
      <c r="U48" s="180"/>
      <c r="V48" s="180"/>
      <c r="W48" s="185"/>
      <c r="X48" s="180"/>
    </row>
    <row r="49" spans="2:26" s="184" customFormat="1">
      <c r="B49" s="183" t="s">
        <v>164</v>
      </c>
      <c r="C49" s="183"/>
      <c r="D49" s="101">
        <v>2000000</v>
      </c>
      <c r="E49" s="101"/>
      <c r="F49" s="101">
        <v>64477704600</v>
      </c>
      <c r="G49" s="101"/>
      <c r="H49" s="101">
        <v>-87434722089</v>
      </c>
      <c r="I49" s="101"/>
      <c r="J49" s="101">
        <v>-22957017489</v>
      </c>
      <c r="K49" s="101"/>
      <c r="L49" s="101">
        <v>2000000</v>
      </c>
      <c r="M49" s="101"/>
      <c r="N49" s="101">
        <v>64477704600</v>
      </c>
      <c r="O49" s="101"/>
      <c r="P49" s="101">
        <v>-50411426304</v>
      </c>
      <c r="Q49" s="101"/>
      <c r="R49" s="101">
        <v>14066278296</v>
      </c>
      <c r="S49" s="181"/>
      <c r="T49" s="181"/>
      <c r="U49" s="180"/>
      <c r="V49" s="180"/>
      <c r="W49" s="185"/>
      <c r="X49" s="180"/>
    </row>
    <row r="50" spans="2:26" s="184" customFormat="1">
      <c r="B50" s="183" t="s">
        <v>111</v>
      </c>
      <c r="C50" s="183"/>
      <c r="D50" s="101">
        <v>1000</v>
      </c>
      <c r="E50" s="101"/>
      <c r="F50" s="101">
        <v>5586480</v>
      </c>
      <c r="G50" s="101"/>
      <c r="H50" s="101">
        <v>-5070499</v>
      </c>
      <c r="I50" s="101"/>
      <c r="J50" s="101">
        <v>515981</v>
      </c>
      <c r="K50" s="101"/>
      <c r="L50" s="101">
        <v>1000</v>
      </c>
      <c r="M50" s="101"/>
      <c r="N50" s="101">
        <v>5586480</v>
      </c>
      <c r="O50" s="101"/>
      <c r="P50" s="101">
        <v>-1846946</v>
      </c>
      <c r="Q50" s="101"/>
      <c r="R50" s="101">
        <v>3739534</v>
      </c>
      <c r="S50" s="181"/>
      <c r="T50" s="181"/>
      <c r="U50" s="180"/>
      <c r="V50" s="180"/>
      <c r="W50" s="185"/>
      <c r="X50" s="180"/>
    </row>
    <row r="51" spans="2:26" s="184" customFormat="1">
      <c r="B51" s="183" t="s">
        <v>136</v>
      </c>
      <c r="C51" s="183"/>
      <c r="D51" s="101">
        <v>150000000</v>
      </c>
      <c r="E51" s="101"/>
      <c r="F51" s="101">
        <v>75015612000</v>
      </c>
      <c r="G51" s="101"/>
      <c r="H51" s="101">
        <v>-75945303495</v>
      </c>
      <c r="I51" s="101"/>
      <c r="J51" s="101">
        <v>-929691495</v>
      </c>
      <c r="K51" s="101"/>
      <c r="L51" s="101">
        <v>150000000</v>
      </c>
      <c r="M51" s="101"/>
      <c r="N51" s="101">
        <v>75015612000</v>
      </c>
      <c r="O51" s="101"/>
      <c r="P51" s="101">
        <v>-87266167707</v>
      </c>
      <c r="Q51" s="101"/>
      <c r="R51" s="101">
        <v>-12250555707</v>
      </c>
      <c r="S51" s="181"/>
      <c r="T51" s="181"/>
      <c r="U51" s="180"/>
      <c r="V51" s="180"/>
      <c r="W51" s="185"/>
      <c r="X51" s="180"/>
    </row>
    <row r="52" spans="2:26" s="184" customFormat="1">
      <c r="B52" s="183" t="s">
        <v>124</v>
      </c>
      <c r="C52" s="183"/>
      <c r="D52" s="101">
        <v>1000</v>
      </c>
      <c r="E52" s="101"/>
      <c r="F52" s="101">
        <v>12413297</v>
      </c>
      <c r="G52" s="101"/>
      <c r="H52" s="101">
        <v>-12651442</v>
      </c>
      <c r="I52" s="101"/>
      <c r="J52" s="101">
        <v>-238144</v>
      </c>
      <c r="K52" s="101"/>
      <c r="L52" s="101">
        <v>1000</v>
      </c>
      <c r="M52" s="101"/>
      <c r="N52" s="101">
        <v>12413297</v>
      </c>
      <c r="O52" s="101"/>
      <c r="P52" s="101">
        <v>-16437235</v>
      </c>
      <c r="Q52" s="101"/>
      <c r="R52" s="101">
        <v>-4023937</v>
      </c>
      <c r="S52" s="181"/>
      <c r="T52" s="181"/>
      <c r="U52" s="180"/>
      <c r="V52" s="180"/>
      <c r="W52" s="185"/>
      <c r="X52" s="180"/>
    </row>
    <row r="53" spans="2:26" s="184" customFormat="1">
      <c r="B53" s="183" t="s">
        <v>290</v>
      </c>
      <c r="C53" s="183"/>
      <c r="D53" s="101">
        <v>2488889</v>
      </c>
      <c r="E53" s="101"/>
      <c r="F53" s="101">
        <v>22046564550</v>
      </c>
      <c r="G53" s="101"/>
      <c r="H53" s="101">
        <v>-19970845336</v>
      </c>
      <c r="I53" s="101"/>
      <c r="J53" s="101">
        <v>2075719214</v>
      </c>
      <c r="K53" s="101"/>
      <c r="L53" s="101">
        <v>2488889</v>
      </c>
      <c r="M53" s="101"/>
      <c r="N53" s="101">
        <v>22046564550</v>
      </c>
      <c r="O53" s="101"/>
      <c r="P53" s="101">
        <v>-19970845336</v>
      </c>
      <c r="Q53" s="101"/>
      <c r="R53" s="101">
        <v>2075719214</v>
      </c>
      <c r="S53" s="181"/>
      <c r="T53" s="181"/>
      <c r="U53" s="117"/>
      <c r="V53" s="117"/>
      <c r="W53" s="185"/>
      <c r="X53" s="180"/>
    </row>
    <row r="54" spans="2:26" s="184" customFormat="1">
      <c r="B54" s="183" t="s">
        <v>115</v>
      </c>
      <c r="C54" s="183"/>
      <c r="D54" s="101">
        <v>84661723</v>
      </c>
      <c r="E54" s="101"/>
      <c r="F54" s="101">
        <v>259750534128</v>
      </c>
      <c r="G54" s="101"/>
      <c r="H54" s="101">
        <v>-272001052400</v>
      </c>
      <c r="I54" s="101"/>
      <c r="J54" s="101">
        <v>-12250518271</v>
      </c>
      <c r="K54" s="101"/>
      <c r="L54" s="101">
        <v>84661723</v>
      </c>
      <c r="M54" s="101"/>
      <c r="N54" s="101">
        <v>259750534128</v>
      </c>
      <c r="O54" s="101"/>
      <c r="P54" s="101">
        <v>-252575794862</v>
      </c>
      <c r="Q54" s="101"/>
      <c r="R54" s="101">
        <v>7174739266</v>
      </c>
      <c r="S54" s="181"/>
      <c r="T54" s="180"/>
      <c r="U54" s="117"/>
      <c r="V54" s="117"/>
      <c r="W54" s="185"/>
      <c r="X54" s="180"/>
    </row>
    <row r="55" spans="2:26" s="184" customFormat="1">
      <c r="B55" s="183" t="s">
        <v>252</v>
      </c>
      <c r="C55" s="183"/>
      <c r="D55" s="101">
        <v>562500</v>
      </c>
      <c r="E55" s="101"/>
      <c r="F55" s="101">
        <v>4632660562</v>
      </c>
      <c r="G55" s="101"/>
      <c r="H55" s="101">
        <v>-4906154981</v>
      </c>
      <c r="I55" s="101"/>
      <c r="J55" s="101">
        <v>-273494418</v>
      </c>
      <c r="K55" s="101"/>
      <c r="L55" s="101">
        <v>562500</v>
      </c>
      <c r="M55" s="101"/>
      <c r="N55" s="101">
        <v>4632660562</v>
      </c>
      <c r="O55" s="101"/>
      <c r="P55" s="101">
        <v>-4998586413</v>
      </c>
      <c r="Q55" s="101"/>
      <c r="R55" s="101">
        <v>-365925850</v>
      </c>
      <c r="S55" s="181"/>
      <c r="T55" s="180"/>
      <c r="U55" s="117"/>
      <c r="V55" s="117"/>
      <c r="W55" s="185"/>
      <c r="X55" s="180"/>
    </row>
    <row r="56" spans="2:26" s="184" customFormat="1">
      <c r="B56" s="183" t="s">
        <v>129</v>
      </c>
      <c r="C56" s="183"/>
      <c r="D56" s="101">
        <v>132000000</v>
      </c>
      <c r="E56" s="101"/>
      <c r="F56" s="101">
        <v>1794421068000</v>
      </c>
      <c r="G56" s="101"/>
      <c r="H56" s="101">
        <v>-1787299236415</v>
      </c>
      <c r="I56" s="101"/>
      <c r="J56" s="101">
        <v>7121831584</v>
      </c>
      <c r="K56" s="101"/>
      <c r="L56" s="101">
        <v>132000000</v>
      </c>
      <c r="M56" s="101"/>
      <c r="N56" s="101">
        <v>1794421068000</v>
      </c>
      <c r="O56" s="101"/>
      <c r="P56" s="101">
        <v>-1164728249586</v>
      </c>
      <c r="Q56" s="101"/>
      <c r="R56" s="146">
        <v>629692818414</v>
      </c>
      <c r="S56" s="181"/>
      <c r="T56" s="180"/>
      <c r="U56" s="117"/>
      <c r="V56" s="117"/>
      <c r="W56" s="185"/>
      <c r="X56" s="180"/>
    </row>
    <row r="57" spans="2:26" s="184" customFormat="1">
      <c r="B57" s="183" t="s">
        <v>121</v>
      </c>
      <c r="C57" s="183"/>
      <c r="D57" s="101">
        <v>40000000</v>
      </c>
      <c r="E57" s="101"/>
      <c r="F57" s="101">
        <v>539001064000</v>
      </c>
      <c r="G57" s="101"/>
      <c r="H57" s="101">
        <v>-595362000000</v>
      </c>
      <c r="I57" s="101"/>
      <c r="J57" s="101">
        <v>-56360936000</v>
      </c>
      <c r="K57" s="101"/>
      <c r="L57" s="101">
        <v>40000000</v>
      </c>
      <c r="M57" s="101"/>
      <c r="N57" s="101">
        <v>539001064000</v>
      </c>
      <c r="O57" s="101"/>
      <c r="P57" s="101">
        <v>-396411966745</v>
      </c>
      <c r="Q57" s="101"/>
      <c r="R57" s="101">
        <v>142589097255</v>
      </c>
      <c r="S57" s="181"/>
      <c r="T57" s="180"/>
      <c r="U57" s="117"/>
      <c r="V57" s="117"/>
      <c r="W57" s="185"/>
      <c r="X57" s="180"/>
    </row>
    <row r="58" spans="2:26" s="184" customFormat="1">
      <c r="B58" s="183" t="s">
        <v>251</v>
      </c>
      <c r="C58" s="183"/>
      <c r="D58" s="101">
        <v>360000</v>
      </c>
      <c r="E58" s="101"/>
      <c r="F58" s="101">
        <v>3865090104</v>
      </c>
      <c r="G58" s="101"/>
      <c r="H58" s="101">
        <v>-4254456852</v>
      </c>
      <c r="I58" s="101"/>
      <c r="J58" s="101">
        <v>-389366748</v>
      </c>
      <c r="K58" s="101"/>
      <c r="L58" s="101">
        <v>360000</v>
      </c>
      <c r="M58" s="101"/>
      <c r="N58" s="101">
        <v>3865090104</v>
      </c>
      <c r="O58" s="101"/>
      <c r="P58" s="101">
        <v>-3620597726</v>
      </c>
      <c r="Q58" s="101"/>
      <c r="R58" s="101">
        <v>244492377</v>
      </c>
      <c r="S58" s="181"/>
      <c r="T58" s="180"/>
      <c r="U58" s="117"/>
      <c r="V58" s="117"/>
      <c r="W58" s="185"/>
      <c r="X58" s="180"/>
    </row>
    <row r="59" spans="2:26" s="184" customFormat="1">
      <c r="B59" s="183" t="s">
        <v>122</v>
      </c>
      <c r="C59" s="183"/>
      <c r="D59" s="101">
        <v>80000000</v>
      </c>
      <c r="E59" s="101"/>
      <c r="F59" s="101">
        <v>833506800000</v>
      </c>
      <c r="G59" s="101"/>
      <c r="H59" s="101">
        <v>-880581685225</v>
      </c>
      <c r="I59" s="101"/>
      <c r="J59" s="101">
        <v>-47074885225</v>
      </c>
      <c r="K59" s="101"/>
      <c r="L59" s="101">
        <v>80000000</v>
      </c>
      <c r="M59" s="101"/>
      <c r="N59" s="101">
        <v>833506800000</v>
      </c>
      <c r="O59" s="101"/>
      <c r="P59" s="101">
        <v>-624717227664</v>
      </c>
      <c r="Q59" s="101"/>
      <c r="R59" s="101">
        <v>208789572336</v>
      </c>
      <c r="S59" s="181"/>
      <c r="T59" s="180"/>
      <c r="U59" s="117"/>
      <c r="V59" s="117"/>
      <c r="W59" s="185"/>
      <c r="X59" s="180"/>
    </row>
    <row r="60" spans="2:26" s="184" customFormat="1">
      <c r="B60" s="183" t="s">
        <v>261</v>
      </c>
      <c r="C60" s="183"/>
      <c r="D60" s="101">
        <v>257500</v>
      </c>
      <c r="E60" s="101"/>
      <c r="F60" s="101">
        <v>3955287447</v>
      </c>
      <c r="G60" s="101"/>
      <c r="H60" s="101">
        <v>-4203131686</v>
      </c>
      <c r="I60" s="101"/>
      <c r="J60" s="101">
        <v>-247844239</v>
      </c>
      <c r="K60" s="101"/>
      <c r="L60" s="101">
        <v>257500</v>
      </c>
      <c r="M60" s="101"/>
      <c r="N60" s="101">
        <v>3955287447</v>
      </c>
      <c r="O60" s="101"/>
      <c r="P60" s="101">
        <v>-4270463617</v>
      </c>
      <c r="Q60" s="101"/>
      <c r="R60" s="101">
        <v>-315176170</v>
      </c>
      <c r="S60" s="181"/>
      <c r="T60" s="180"/>
      <c r="U60" s="117"/>
      <c r="V60" s="117"/>
      <c r="W60" s="185"/>
      <c r="X60" s="180"/>
    </row>
    <row r="61" spans="2:26" s="184" customFormat="1">
      <c r="B61" s="183" t="s">
        <v>123</v>
      </c>
      <c r="C61" s="183"/>
      <c r="D61" s="101">
        <v>12900000</v>
      </c>
      <c r="E61" s="101"/>
      <c r="F61" s="101">
        <v>33408738630</v>
      </c>
      <c r="G61" s="101"/>
      <c r="H61" s="101">
        <v>-33439499000</v>
      </c>
      <c r="I61" s="101"/>
      <c r="J61" s="101">
        <v>-30760370</v>
      </c>
      <c r="K61" s="101"/>
      <c r="L61" s="101">
        <v>12900000</v>
      </c>
      <c r="M61" s="101"/>
      <c r="N61" s="101">
        <v>33408738630</v>
      </c>
      <c r="O61" s="101"/>
      <c r="P61" s="101">
        <v>-34924816467</v>
      </c>
      <c r="Q61" s="101"/>
      <c r="R61" s="101">
        <v>-1516077837</v>
      </c>
      <c r="S61" s="181"/>
      <c r="T61" s="180"/>
      <c r="U61" s="117"/>
      <c r="V61" s="117"/>
      <c r="W61" s="185"/>
      <c r="X61" s="180"/>
    </row>
    <row r="62" spans="2:26" s="184" customFormat="1">
      <c r="B62" s="183" t="s">
        <v>120</v>
      </c>
      <c r="C62" s="183"/>
      <c r="D62" s="101">
        <v>5000000</v>
      </c>
      <c r="E62" s="101"/>
      <c r="F62" s="101">
        <v>94116809500</v>
      </c>
      <c r="G62" s="101"/>
      <c r="H62" s="101">
        <v>-97589754500</v>
      </c>
      <c r="I62" s="101"/>
      <c r="J62" s="101">
        <v>-3472945000</v>
      </c>
      <c r="K62" s="101"/>
      <c r="L62" s="101">
        <v>5000000</v>
      </c>
      <c r="M62" s="101"/>
      <c r="N62" s="101">
        <v>94116809500</v>
      </c>
      <c r="O62" s="101"/>
      <c r="P62" s="101">
        <v>-97420376403</v>
      </c>
      <c r="Q62" s="101"/>
      <c r="R62" s="101">
        <v>-3303566903</v>
      </c>
      <c r="S62" s="115"/>
      <c r="T62" s="193"/>
      <c r="U62" s="181"/>
      <c r="V62" s="180"/>
      <c r="W62" s="117"/>
      <c r="X62" s="117"/>
      <c r="Y62" s="185"/>
      <c r="Z62" s="180"/>
    </row>
    <row r="63" spans="2:26" s="184" customFormat="1">
      <c r="B63" s="183" t="s">
        <v>150</v>
      </c>
      <c r="C63" s="183"/>
      <c r="D63" s="101">
        <v>1782</v>
      </c>
      <c r="E63" s="101"/>
      <c r="F63" s="101">
        <v>9583780</v>
      </c>
      <c r="G63" s="101"/>
      <c r="H63" s="101">
        <v>-9672191</v>
      </c>
      <c r="I63" s="101"/>
      <c r="J63" s="101">
        <v>-88410</v>
      </c>
      <c r="K63" s="101"/>
      <c r="L63" s="101">
        <v>1782</v>
      </c>
      <c r="M63" s="101"/>
      <c r="N63" s="101">
        <v>9583780</v>
      </c>
      <c r="O63" s="101"/>
      <c r="P63" s="101">
        <v>-8899518</v>
      </c>
      <c r="Q63" s="101"/>
      <c r="R63" s="101">
        <v>684260</v>
      </c>
      <c r="S63" s="115"/>
      <c r="T63" s="193"/>
      <c r="U63" s="181"/>
      <c r="V63" s="180"/>
      <c r="W63" s="117"/>
      <c r="X63" s="117"/>
      <c r="Y63" s="185"/>
      <c r="Z63" s="180"/>
    </row>
    <row r="64" spans="2:26" s="184" customFormat="1" ht="31.5" customHeight="1">
      <c r="B64" s="183" t="s">
        <v>257</v>
      </c>
      <c r="C64" s="183"/>
      <c r="D64" s="101">
        <v>80000000</v>
      </c>
      <c r="E64" s="101"/>
      <c r="F64" s="101">
        <v>85573364800</v>
      </c>
      <c r="G64" s="101"/>
      <c r="H64" s="101">
        <v>-92717708800</v>
      </c>
      <c r="I64" s="101"/>
      <c r="J64" s="101">
        <v>-7144344000</v>
      </c>
      <c r="K64" s="101"/>
      <c r="L64" s="101">
        <v>80000000</v>
      </c>
      <c r="M64" s="101"/>
      <c r="N64" s="101">
        <v>85573364800</v>
      </c>
      <c r="O64" s="101"/>
      <c r="P64" s="101">
        <v>-109063410216</v>
      </c>
      <c r="Q64" s="101"/>
      <c r="R64" s="101">
        <v>-23490045416</v>
      </c>
      <c r="S64" s="115"/>
      <c r="T64" s="193"/>
      <c r="U64" s="181"/>
      <c r="V64" s="180"/>
      <c r="W64" s="117"/>
      <c r="X64" s="117"/>
      <c r="Y64" s="185"/>
      <c r="Z64" s="180"/>
    </row>
    <row r="65" spans="1:26" s="184" customFormat="1" ht="31.5" customHeight="1">
      <c r="B65" s="183" t="s">
        <v>114</v>
      </c>
      <c r="C65" s="183"/>
      <c r="D65" s="101">
        <v>90000000</v>
      </c>
      <c r="E65" s="101"/>
      <c r="F65" s="101">
        <v>619771842000</v>
      </c>
      <c r="G65" s="101"/>
      <c r="H65" s="101">
        <v>-815633578417</v>
      </c>
      <c r="I65" s="101"/>
      <c r="J65" s="101">
        <v>-195861736432</v>
      </c>
      <c r="K65" s="101"/>
      <c r="L65" s="101">
        <v>90000000</v>
      </c>
      <c r="M65" s="101"/>
      <c r="N65" s="101">
        <v>619771842000</v>
      </c>
      <c r="O65" s="101"/>
      <c r="P65" s="101">
        <v>-388796109235</v>
      </c>
      <c r="Q65" s="101"/>
      <c r="R65" s="101">
        <v>230975732764</v>
      </c>
      <c r="S65" s="115"/>
      <c r="T65" s="193"/>
      <c r="U65" s="181"/>
      <c r="V65" s="180"/>
      <c r="W65" s="117"/>
      <c r="X65" s="117"/>
      <c r="Y65" s="185"/>
      <c r="Z65" s="180"/>
    </row>
    <row r="66" spans="1:26" s="184" customFormat="1" ht="34" thickBot="1">
      <c r="B66" s="183" t="s">
        <v>263</v>
      </c>
      <c r="C66" s="183"/>
      <c r="D66" s="101">
        <v>1475169</v>
      </c>
      <c r="E66" s="101"/>
      <c r="F66" s="101">
        <v>10269781860</v>
      </c>
      <c r="G66" s="101"/>
      <c r="H66" s="101">
        <v>-10269781860</v>
      </c>
      <c r="I66" s="101"/>
      <c r="J66" s="101">
        <v>0</v>
      </c>
      <c r="K66" s="101"/>
      <c r="L66" s="101">
        <v>1475169</v>
      </c>
      <c r="M66" s="101"/>
      <c r="N66" s="101">
        <v>10269781860</v>
      </c>
      <c r="O66" s="101"/>
      <c r="P66" s="101">
        <v>-6782788386</v>
      </c>
      <c r="Q66" s="101"/>
      <c r="R66" s="101">
        <v>3486993470</v>
      </c>
      <c r="S66" s="115"/>
      <c r="T66" s="193"/>
      <c r="U66" s="181"/>
      <c r="V66" s="180"/>
      <c r="W66" s="117"/>
      <c r="X66" s="117"/>
      <c r="Y66" s="185"/>
      <c r="Z66" s="180"/>
    </row>
    <row r="67" spans="1:26" s="184" customFormat="1" ht="34" thickBot="1">
      <c r="A67" s="12"/>
      <c r="B67" s="184" t="s">
        <v>7</v>
      </c>
      <c r="D67" s="98">
        <f>SUM(D43:D66)</f>
        <v>2650647268</v>
      </c>
      <c r="E67" s="194"/>
      <c r="F67" s="98">
        <f>SUM(F43:F66)</f>
        <v>9256398187042</v>
      </c>
      <c r="G67" s="194"/>
      <c r="H67" s="98">
        <f>SUM(H43:H66)</f>
        <v>-9695322589949</v>
      </c>
      <c r="I67" s="194"/>
      <c r="J67" s="98">
        <f>SUM(J43:J66)</f>
        <v>-438924402907</v>
      </c>
      <c r="K67" s="194"/>
      <c r="L67" s="98">
        <f>SUM(L43:L66)</f>
        <v>2650647268</v>
      </c>
      <c r="M67" s="118"/>
      <c r="N67" s="98">
        <f>SUM(N43:N66)</f>
        <v>9256398187042</v>
      </c>
      <c r="O67" s="194"/>
      <c r="P67" s="98">
        <f>SUM(P43:P66)</f>
        <v>-7687998357220</v>
      </c>
      <c r="Q67" s="194"/>
      <c r="R67" s="98">
        <f>SUM(R43:R66)</f>
        <v>1568399829822</v>
      </c>
      <c r="S67" s="115"/>
      <c r="T67" s="193"/>
      <c r="U67" s="181"/>
      <c r="V67" s="180"/>
      <c r="W67" s="117"/>
      <c r="X67" s="117"/>
      <c r="Y67" s="185"/>
      <c r="Z67" s="180"/>
    </row>
    <row r="68" spans="1:26" s="184" customFormat="1" ht="34" thickTop="1">
      <c r="A68" s="12"/>
      <c r="D68" s="102"/>
      <c r="L68" s="102"/>
      <c r="R68" s="250"/>
      <c r="S68" s="115"/>
      <c r="T68" s="193"/>
      <c r="U68" s="181"/>
      <c r="V68" s="180"/>
      <c r="W68" s="117"/>
      <c r="X68" s="117"/>
      <c r="Y68" s="185"/>
      <c r="Z68" s="180"/>
    </row>
    <row r="69" spans="1:26" s="184" customFormat="1">
      <c r="A69" s="12"/>
      <c r="B69" s="388" t="s">
        <v>76</v>
      </c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90"/>
      <c r="S69" s="115"/>
      <c r="T69" s="193"/>
      <c r="U69" s="181"/>
      <c r="V69" s="180"/>
      <c r="W69" s="117"/>
      <c r="X69" s="117"/>
      <c r="Y69" s="185"/>
      <c r="Z69" s="180"/>
    </row>
    <row r="70" spans="1:26" ht="36.5">
      <c r="B70" s="184"/>
      <c r="C70" s="184"/>
      <c r="D70" s="102"/>
      <c r="E70" s="184"/>
      <c r="F70" s="184"/>
      <c r="G70" s="184"/>
      <c r="H70" s="205">
        <f>F67+H67-J67</f>
        <v>0</v>
      </c>
      <c r="I70" s="184"/>
      <c r="J70" s="310"/>
      <c r="K70" s="184"/>
      <c r="L70" s="102"/>
      <c r="M70" s="184"/>
      <c r="N70" s="184"/>
      <c r="O70" s="184"/>
      <c r="P70" s="205"/>
      <c r="Q70" s="184"/>
      <c r="R70" s="310"/>
      <c r="T70" s="193"/>
      <c r="Y70" s="195"/>
    </row>
    <row r="71" spans="1:26" ht="36.5">
      <c r="F71" s="169"/>
      <c r="H71" s="169"/>
      <c r="J71" s="311"/>
      <c r="N71" s="169"/>
      <c r="P71" s="169"/>
      <c r="R71" s="311"/>
      <c r="T71" s="193"/>
    </row>
    <row r="72" spans="1:26">
      <c r="E72" s="115"/>
      <c r="F72" s="115"/>
      <c r="G72" s="115"/>
      <c r="H72" s="115"/>
      <c r="I72" s="115"/>
      <c r="J72" s="115"/>
      <c r="K72" s="115"/>
      <c r="M72" s="115"/>
      <c r="N72" s="115"/>
      <c r="O72" s="115"/>
      <c r="P72" s="115"/>
      <c r="Q72" s="115"/>
      <c r="R72" s="115"/>
      <c r="T72" s="193"/>
      <c r="Y72" s="195"/>
    </row>
    <row r="73" spans="1:26">
      <c r="F73" s="196"/>
      <c r="H73" s="169"/>
      <c r="J73" s="247"/>
      <c r="N73" s="169"/>
      <c r="P73" s="245"/>
      <c r="T73" s="193"/>
    </row>
    <row r="74" spans="1:26">
      <c r="J74" s="169"/>
      <c r="N74" s="169"/>
      <c r="P74" s="245"/>
      <c r="T74" s="193"/>
    </row>
    <row r="75" spans="1:26">
      <c r="N75" s="169"/>
      <c r="P75" s="245"/>
      <c r="T75" s="193"/>
    </row>
    <row r="76" spans="1:26">
      <c r="P76" s="169"/>
      <c r="R76" s="146"/>
      <c r="T76" s="193"/>
    </row>
    <row r="77" spans="1:26">
      <c r="N77" s="169"/>
      <c r="T77" s="193"/>
    </row>
    <row r="78" spans="1:26">
      <c r="N78" s="169"/>
      <c r="T78" s="193"/>
    </row>
    <row r="79" spans="1:26">
      <c r="T79" s="193"/>
    </row>
    <row r="80" spans="1:26">
      <c r="T80" s="193"/>
    </row>
    <row r="81" spans="19:20">
      <c r="T81" s="193"/>
    </row>
    <row r="82" spans="19:20">
      <c r="T82" s="193"/>
    </row>
    <row r="83" spans="19:20">
      <c r="T83" s="193"/>
    </row>
    <row r="84" spans="19:20">
      <c r="S84" s="102"/>
      <c r="T84" s="193"/>
    </row>
    <row r="85" spans="19:20">
      <c r="S85" s="102"/>
      <c r="T85" s="193"/>
    </row>
    <row r="86" spans="19:20">
      <c r="S86" s="102"/>
      <c r="T86" s="193"/>
    </row>
    <row r="87" spans="19:20">
      <c r="S87" s="102"/>
      <c r="T87" s="193"/>
    </row>
    <row r="88" spans="19:20">
      <c r="S88" s="102"/>
      <c r="T88" s="193"/>
    </row>
    <row r="89" spans="19:20">
      <c r="S89" s="102"/>
      <c r="T89" s="193"/>
    </row>
    <row r="90" spans="19:20">
      <c r="S90" s="102"/>
      <c r="T90" s="193"/>
    </row>
    <row r="91" spans="19:20">
      <c r="S91" s="102"/>
      <c r="T91" s="193"/>
    </row>
    <row r="95" spans="19:20">
      <c r="S95" s="102"/>
      <c r="T95" s="193"/>
    </row>
    <row r="96" spans="19:20">
      <c r="S96" s="102"/>
      <c r="T96" s="193"/>
    </row>
    <row r="97" spans="19:20">
      <c r="S97" s="102"/>
      <c r="T97" s="193"/>
    </row>
    <row r="98" spans="19:20">
      <c r="S98" s="102"/>
      <c r="T98" s="193"/>
    </row>
    <row r="99" spans="19:20">
      <c r="S99" s="102"/>
      <c r="T99" s="193"/>
    </row>
    <row r="100" spans="19:20">
      <c r="S100" s="102"/>
      <c r="T100" s="193"/>
    </row>
    <row r="101" spans="19:20">
      <c r="S101" s="102"/>
      <c r="T101" s="193"/>
    </row>
    <row r="102" spans="19:20">
      <c r="S102" s="102"/>
      <c r="T102" s="193"/>
    </row>
    <row r="103" spans="19:20">
      <c r="S103" s="102"/>
      <c r="T103" s="193"/>
    </row>
    <row r="104" spans="19:20">
      <c r="S104" s="102"/>
      <c r="T104" s="193"/>
    </row>
    <row r="105" spans="19:20">
      <c r="S105" s="102"/>
      <c r="T105" s="193"/>
    </row>
    <row r="106" spans="19:20">
      <c r="S106" s="102"/>
      <c r="T106" s="193"/>
    </row>
    <row r="107" spans="19:20">
      <c r="S107" s="102"/>
      <c r="T107" s="193"/>
    </row>
    <row r="108" spans="19:20">
      <c r="S108" s="102"/>
      <c r="T108" s="193"/>
    </row>
    <row r="109" spans="19:20">
      <c r="S109" s="102"/>
      <c r="T109" s="193"/>
    </row>
    <row r="110" spans="19:20">
      <c r="S110" s="102"/>
      <c r="T110" s="193"/>
    </row>
    <row r="111" spans="19:20">
      <c r="S111" s="102"/>
      <c r="T111" s="193"/>
    </row>
    <row r="112" spans="19:20">
      <c r="S112" s="102"/>
      <c r="T112" s="193"/>
    </row>
    <row r="113" spans="19:20">
      <c r="S113" s="102"/>
      <c r="T113" s="193"/>
    </row>
    <row r="114" spans="19:20">
      <c r="S114" s="102"/>
      <c r="T114" s="193"/>
    </row>
    <row r="115" spans="19:20">
      <c r="S115" s="102"/>
      <c r="T115" s="193"/>
    </row>
    <row r="116" spans="19:20">
      <c r="T116" s="193"/>
    </row>
    <row r="117" spans="19:20">
      <c r="T117" s="193"/>
    </row>
    <row r="118" spans="19:20">
      <c r="T118" s="193"/>
    </row>
    <row r="119" spans="19:20">
      <c r="T119" s="193"/>
    </row>
    <row r="120" spans="19:20">
      <c r="T120" s="193"/>
    </row>
    <row r="121" spans="19:20">
      <c r="T121" s="193"/>
    </row>
    <row r="122" spans="19:20">
      <c r="T122" s="193"/>
    </row>
    <row r="123" spans="19:20">
      <c r="T123" s="193"/>
    </row>
    <row r="124" spans="19:20">
      <c r="T124" s="193"/>
    </row>
    <row r="125" spans="19:20">
      <c r="T125" s="193"/>
    </row>
    <row r="126" spans="19:20">
      <c r="T126" s="193"/>
    </row>
    <row r="127" spans="19:20">
      <c r="T127" s="193"/>
    </row>
    <row r="128" spans="19:20">
      <c r="T128" s="193"/>
    </row>
    <row r="129" spans="20:20">
      <c r="T129" s="193"/>
    </row>
    <row r="130" spans="20:20">
      <c r="T130" s="193"/>
    </row>
    <row r="131" spans="20:20">
      <c r="T131" s="193"/>
    </row>
    <row r="132" spans="20:20">
      <c r="T132" s="193"/>
    </row>
    <row r="133" spans="20:20">
      <c r="T133" s="193"/>
    </row>
    <row r="134" spans="20:20">
      <c r="T134" s="193"/>
    </row>
  </sheetData>
  <sortState xmlns:xlrd2="http://schemas.microsoft.com/office/spreadsheetml/2017/richdata2" ref="T7:U79">
    <sortCondition descending="1" ref="U1:U79"/>
  </sortState>
  <mergeCells count="10">
    <mergeCell ref="B69:R69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AC159"/>
  <sheetViews>
    <sheetView rightToLeft="1" tabSelected="1" view="pageBreakPreview" zoomScale="70" zoomScaleNormal="85" zoomScaleSheetLayoutView="70" workbookViewId="0">
      <selection activeCell="AC12" sqref="AC12"/>
    </sheetView>
  </sheetViews>
  <sheetFormatPr defaultColWidth="8.81640625" defaultRowHeight="21.5"/>
  <cols>
    <col min="1" max="1" width="3.7265625" style="1" customWidth="1"/>
    <col min="2" max="2" width="36.7265625" style="1" bestFit="1" customWidth="1"/>
    <col min="3" max="3" width="0.54296875" style="1" customWidth="1"/>
    <col min="4" max="4" width="17.81640625" style="93" bestFit="1" customWidth="1"/>
    <col min="5" max="5" width="0.81640625" style="1" customWidth="1"/>
    <col min="6" max="6" width="21.26953125" style="93" bestFit="1" customWidth="1"/>
    <col min="7" max="7" width="0.7265625" style="1" customWidth="1"/>
    <col min="8" max="8" width="22" style="93" bestFit="1" customWidth="1"/>
    <col min="9" max="9" width="0.81640625" style="1" customWidth="1"/>
    <col min="10" max="10" width="23.81640625" style="93" bestFit="1" customWidth="1"/>
    <col min="11" max="11" width="0.7265625" style="1" customWidth="1"/>
    <col min="12" max="12" width="23" style="93" customWidth="1"/>
    <col min="13" max="13" width="0.26953125" style="1" customWidth="1"/>
    <col min="14" max="14" width="25.26953125" style="93" bestFit="1" customWidth="1"/>
    <col min="15" max="15" width="0.26953125" style="1" customWidth="1"/>
    <col min="16" max="16" width="22.81640625" style="93" bestFit="1" customWidth="1"/>
    <col min="17" max="17" width="0.7265625" style="1" customWidth="1"/>
    <col min="18" max="18" width="24" style="93" bestFit="1" customWidth="1"/>
    <col min="19" max="19" width="28.1796875" style="1" bestFit="1" customWidth="1"/>
    <col min="20" max="20" width="20.1796875" style="1" bestFit="1" customWidth="1"/>
    <col min="21" max="21" width="8.1796875" style="1" customWidth="1"/>
    <col min="22" max="22" width="23.26953125" style="1" customWidth="1"/>
    <col min="23" max="23" width="28.81640625" style="1" customWidth="1"/>
    <col min="24" max="16384" width="8.81640625" style="1"/>
  </cols>
  <sheetData>
    <row r="1" spans="2:29" ht="23">
      <c r="B1" s="334" t="str">
        <f>'سود اوراق بهادار و سپرده بانکی'!B1:U1</f>
        <v>صندوق سرمایه گذاری شاخص سی شرکت بزرگ فیروزه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</row>
    <row r="2" spans="2:29" ht="23">
      <c r="B2" s="334" t="s">
        <v>87</v>
      </c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V2" s="93"/>
    </row>
    <row r="3" spans="2:29" ht="23">
      <c r="B3" s="334" t="str">
        <f>' سهام'!B3:Z3</f>
        <v>برای ماه منتهی به 1404/12/29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V3" s="93"/>
    </row>
    <row r="4" spans="2:29" ht="23">
      <c r="B4" s="391" t="s">
        <v>98</v>
      </c>
      <c r="C4" s="391"/>
      <c r="D4" s="391"/>
      <c r="E4" s="391"/>
      <c r="F4" s="391"/>
      <c r="G4" s="391"/>
      <c r="H4" s="391"/>
      <c r="I4" s="391"/>
      <c r="J4" s="391"/>
      <c r="K4" s="393"/>
      <c r="L4" s="393"/>
      <c r="M4" s="393"/>
      <c r="N4" s="393"/>
      <c r="O4" s="393"/>
      <c r="P4" s="393"/>
      <c r="Q4" s="393"/>
      <c r="R4" s="393"/>
      <c r="V4" s="93"/>
      <c r="AC4" s="1" t="s">
        <v>207</v>
      </c>
    </row>
    <row r="5" spans="2:29" ht="23.5" thickBot="1">
      <c r="B5" s="12"/>
      <c r="C5" s="12"/>
      <c r="D5" s="386" t="str">
        <f>' سهام'!AC7</f>
        <v>طی اسفند ماه</v>
      </c>
      <c r="E5" s="386"/>
      <c r="F5" s="386"/>
      <c r="G5" s="386"/>
      <c r="H5" s="386"/>
      <c r="I5" s="386"/>
      <c r="J5" s="386"/>
      <c r="K5" s="12"/>
      <c r="L5" s="386" t="str">
        <f>' سهام'!AC8</f>
        <v>از ابتدای سال مالی تا پایان اسفند ماه</v>
      </c>
      <c r="M5" s="386"/>
      <c r="N5" s="386"/>
      <c r="O5" s="386"/>
      <c r="P5" s="386"/>
      <c r="Q5" s="386"/>
      <c r="R5" s="386"/>
      <c r="V5" s="93"/>
      <c r="AC5" s="1" t="s">
        <v>220</v>
      </c>
    </row>
    <row r="6" spans="2:29" ht="22" thickBot="1">
      <c r="B6" s="12" t="s">
        <v>64</v>
      </c>
      <c r="C6" s="12"/>
      <c r="D6" s="110" t="s">
        <v>8</v>
      </c>
      <c r="E6" s="12"/>
      <c r="F6" s="111" t="s">
        <v>77</v>
      </c>
      <c r="G6" s="12"/>
      <c r="H6" s="110" t="s">
        <v>74</v>
      </c>
      <c r="I6" s="12"/>
      <c r="J6" s="111" t="s">
        <v>78</v>
      </c>
      <c r="K6" s="12"/>
      <c r="L6" s="110" t="s">
        <v>8</v>
      </c>
      <c r="M6" s="12"/>
      <c r="N6" s="111" t="s">
        <v>32</v>
      </c>
      <c r="O6" s="12"/>
      <c r="P6" s="110" t="s">
        <v>74</v>
      </c>
      <c r="Q6" s="12"/>
      <c r="R6" s="111" t="s">
        <v>78</v>
      </c>
      <c r="T6" s="160"/>
      <c r="Z6" s="1" t="s">
        <v>221</v>
      </c>
    </row>
    <row r="7" spans="2:29">
      <c r="B7" s="12" t="s">
        <v>129</v>
      </c>
      <c r="C7" s="12"/>
      <c r="D7" s="91">
        <v>3000000</v>
      </c>
      <c r="E7" s="12"/>
      <c r="F7" s="112">
        <v>38461404674</v>
      </c>
      <c r="G7" s="12"/>
      <c r="H7" s="60">
        <v>-26471096585</v>
      </c>
      <c r="I7" s="12"/>
      <c r="J7" s="113">
        <v>11990308089</v>
      </c>
      <c r="K7" s="12"/>
      <c r="L7" s="91">
        <v>17591474</v>
      </c>
      <c r="M7" s="12"/>
      <c r="N7" s="112">
        <v>150801587174</v>
      </c>
      <c r="O7" s="12"/>
      <c r="P7" s="60">
        <v>-130929708697</v>
      </c>
      <c r="Q7" s="12"/>
      <c r="R7" s="113">
        <v>19871878477</v>
      </c>
      <c r="S7" s="174"/>
      <c r="T7" s="160"/>
      <c r="Z7" s="1" t="s">
        <v>222</v>
      </c>
    </row>
    <row r="8" spans="2:29">
      <c r="B8" s="12" t="s">
        <v>122</v>
      </c>
      <c r="C8" s="12"/>
      <c r="D8" s="91">
        <v>8000000</v>
      </c>
      <c r="E8" s="12"/>
      <c r="F8" s="112">
        <v>80986843843</v>
      </c>
      <c r="G8" s="12"/>
      <c r="H8" s="60">
        <v>-62471722775</v>
      </c>
      <c r="I8" s="12"/>
      <c r="J8" s="113">
        <v>18515121068</v>
      </c>
      <c r="K8" s="12"/>
      <c r="L8" s="91">
        <v>23913454</v>
      </c>
      <c r="M8" s="12"/>
      <c r="N8" s="112">
        <v>206336365887</v>
      </c>
      <c r="O8" s="12"/>
      <c r="P8" s="60">
        <v>-184140035312</v>
      </c>
      <c r="Q8" s="12"/>
      <c r="R8" s="113">
        <v>22196330575</v>
      </c>
      <c r="S8" s="174"/>
      <c r="T8" s="160"/>
      <c r="Z8" s="1" t="s">
        <v>223</v>
      </c>
    </row>
    <row r="9" spans="2:29">
      <c r="B9" s="12" t="s">
        <v>114</v>
      </c>
      <c r="C9" s="12"/>
      <c r="D9" s="91">
        <v>45000000</v>
      </c>
      <c r="E9" s="12"/>
      <c r="F9" s="112">
        <v>310010475599</v>
      </c>
      <c r="G9" s="12"/>
      <c r="H9" s="60">
        <v>-194398054583</v>
      </c>
      <c r="I9" s="12"/>
      <c r="J9" s="113">
        <v>115612421016</v>
      </c>
      <c r="K9" s="12"/>
      <c r="L9" s="91">
        <v>65302565</v>
      </c>
      <c r="M9" s="12"/>
      <c r="N9" s="112">
        <v>469513545378</v>
      </c>
      <c r="O9" s="12"/>
      <c r="P9" s="60">
        <v>-301491021805</v>
      </c>
      <c r="Q9" s="12"/>
      <c r="R9" s="113">
        <v>168022523573</v>
      </c>
      <c r="S9" s="174"/>
      <c r="T9" s="160"/>
    </row>
    <row r="10" spans="2:29">
      <c r="B10" s="12" t="s">
        <v>112</v>
      </c>
      <c r="C10" s="12"/>
      <c r="D10" s="91">
        <v>50000000</v>
      </c>
      <c r="E10" s="12"/>
      <c r="F10" s="112">
        <v>59614787916</v>
      </c>
      <c r="G10" s="12"/>
      <c r="H10" s="60">
        <v>-66184118190</v>
      </c>
      <c r="I10" s="12"/>
      <c r="J10" s="113">
        <v>-6569330274</v>
      </c>
      <c r="K10" s="12"/>
      <c r="L10" s="91">
        <v>161995581</v>
      </c>
      <c r="M10" s="12"/>
      <c r="N10" s="112">
        <v>266134677584</v>
      </c>
      <c r="O10" s="12"/>
      <c r="P10" s="60">
        <v>-251486517784</v>
      </c>
      <c r="Q10" s="12"/>
      <c r="R10" s="113">
        <v>14648159800</v>
      </c>
      <c r="S10" s="174"/>
      <c r="T10" s="160"/>
    </row>
    <row r="11" spans="2:29">
      <c r="B11" s="12" t="s">
        <v>139</v>
      </c>
      <c r="C11" s="12"/>
      <c r="D11" s="91">
        <v>4000000</v>
      </c>
      <c r="E11" s="12"/>
      <c r="F11" s="112">
        <v>21623573118</v>
      </c>
      <c r="G11" s="12"/>
      <c r="H11" s="60">
        <v>-29790299246</v>
      </c>
      <c r="I11" s="12"/>
      <c r="J11" s="113">
        <v>-8166726128</v>
      </c>
      <c r="K11" s="12"/>
      <c r="L11" s="91">
        <v>30369697</v>
      </c>
      <c r="M11" s="12"/>
      <c r="N11" s="112">
        <v>198201686378</v>
      </c>
      <c r="O11" s="12"/>
      <c r="P11" s="60">
        <v>-232704181834</v>
      </c>
      <c r="Q11" s="12"/>
      <c r="R11" s="113">
        <v>-34502495456</v>
      </c>
      <c r="S11" s="174"/>
      <c r="T11" s="160"/>
    </row>
    <row r="12" spans="2:29">
      <c r="B12" s="12" t="s">
        <v>144</v>
      </c>
      <c r="C12" s="12"/>
      <c r="D12" s="91">
        <v>3000000</v>
      </c>
      <c r="E12" s="12"/>
      <c r="F12" s="112">
        <v>38880071391</v>
      </c>
      <c r="G12" s="12"/>
      <c r="H12" s="60">
        <v>-37737347912</v>
      </c>
      <c r="I12" s="12"/>
      <c r="J12" s="113">
        <v>1142723479</v>
      </c>
      <c r="K12" s="12"/>
      <c r="L12" s="91">
        <v>26265446</v>
      </c>
      <c r="M12" s="12"/>
      <c r="N12" s="112">
        <v>289948275134</v>
      </c>
      <c r="O12" s="12"/>
      <c r="P12" s="60">
        <v>-338786352248</v>
      </c>
      <c r="Q12" s="12"/>
      <c r="R12" s="113">
        <v>-48838077114</v>
      </c>
      <c r="S12" s="174"/>
      <c r="T12" s="160"/>
    </row>
    <row r="13" spans="2:29">
      <c r="B13" s="12" t="s">
        <v>164</v>
      </c>
      <c r="C13" s="12"/>
      <c r="D13" s="91">
        <v>2000000</v>
      </c>
      <c r="E13" s="12"/>
      <c r="F13" s="112">
        <v>65601330928</v>
      </c>
      <c r="G13" s="12"/>
      <c r="H13" s="60">
        <v>-50411426311</v>
      </c>
      <c r="I13" s="12"/>
      <c r="J13" s="113">
        <v>15189904617</v>
      </c>
      <c r="K13" s="12"/>
      <c r="L13" s="91">
        <v>2309853</v>
      </c>
      <c r="M13" s="12"/>
      <c r="N13" s="112">
        <v>73623673142</v>
      </c>
      <c r="O13" s="12"/>
      <c r="P13" s="60">
        <v>-58221492148</v>
      </c>
      <c r="Q13" s="12"/>
      <c r="R13" s="113">
        <v>15402180994</v>
      </c>
      <c r="S13" s="174"/>
      <c r="T13" s="160"/>
    </row>
    <row r="14" spans="2:29">
      <c r="B14" s="12" t="s">
        <v>136</v>
      </c>
      <c r="C14" s="12"/>
      <c r="D14" s="91">
        <v>10000000</v>
      </c>
      <c r="E14" s="12"/>
      <c r="F14" s="112">
        <v>5063484125</v>
      </c>
      <c r="G14" s="12"/>
      <c r="H14" s="60">
        <v>-5817744505</v>
      </c>
      <c r="I14" s="12"/>
      <c r="J14" s="113">
        <v>-754260380</v>
      </c>
      <c r="K14" s="12"/>
      <c r="L14" s="91">
        <v>187231921</v>
      </c>
      <c r="M14" s="12"/>
      <c r="N14" s="112">
        <v>78787363715</v>
      </c>
      <c r="O14" s="12"/>
      <c r="P14" s="60">
        <v>-80080297724</v>
      </c>
      <c r="Q14" s="12"/>
      <c r="R14" s="113">
        <v>-1292934009</v>
      </c>
      <c r="S14" s="174"/>
      <c r="T14" s="160"/>
    </row>
    <row r="15" spans="2:29">
      <c r="B15" s="12" t="s">
        <v>125</v>
      </c>
      <c r="C15" s="12"/>
      <c r="D15" s="91">
        <v>700000</v>
      </c>
      <c r="E15" s="12"/>
      <c r="F15" s="112">
        <v>18926123762</v>
      </c>
      <c r="G15" s="12"/>
      <c r="H15" s="60">
        <v>-13351181380</v>
      </c>
      <c r="I15" s="12"/>
      <c r="J15" s="113">
        <v>5574942382</v>
      </c>
      <c r="K15" s="12"/>
      <c r="L15" s="91">
        <v>4115456</v>
      </c>
      <c r="M15" s="12"/>
      <c r="N15" s="112">
        <v>215158859668</v>
      </c>
      <c r="O15" s="12"/>
      <c r="P15" s="60">
        <v>-197218241615</v>
      </c>
      <c r="Q15" s="12"/>
      <c r="R15" s="113">
        <v>17940618053</v>
      </c>
      <c r="S15" s="174"/>
      <c r="T15" s="160"/>
    </row>
    <row r="16" spans="2:29">
      <c r="B16" s="12" t="s">
        <v>104</v>
      </c>
      <c r="C16" s="12"/>
      <c r="D16" s="91">
        <v>56188752</v>
      </c>
      <c r="E16" s="12"/>
      <c r="F16" s="112">
        <v>114537092079</v>
      </c>
      <c r="G16" s="12"/>
      <c r="H16" s="60">
        <v>-106256036687</v>
      </c>
      <c r="I16" s="12"/>
      <c r="J16" s="113">
        <v>8281055392</v>
      </c>
      <c r="K16" s="12"/>
      <c r="L16" s="91">
        <v>284784130</v>
      </c>
      <c r="M16" s="12"/>
      <c r="N16" s="112">
        <v>595959663752</v>
      </c>
      <c r="O16" s="12"/>
      <c r="P16" s="60">
        <v>-527454514301</v>
      </c>
      <c r="Q16" s="12"/>
      <c r="R16" s="113">
        <v>68505149451</v>
      </c>
      <c r="S16" s="174"/>
      <c r="T16" s="160"/>
    </row>
    <row r="17" spans="2:20">
      <c r="B17" s="12" t="s">
        <v>282</v>
      </c>
      <c r="C17" s="12"/>
      <c r="D17" s="91">
        <v>750000</v>
      </c>
      <c r="E17" s="12"/>
      <c r="F17" s="112">
        <v>6888840246</v>
      </c>
      <c r="G17" s="12"/>
      <c r="H17" s="60">
        <v>-6057537326</v>
      </c>
      <c r="I17" s="12"/>
      <c r="J17" s="113">
        <v>831302920</v>
      </c>
      <c r="K17" s="12"/>
      <c r="L17" s="91">
        <v>750000</v>
      </c>
      <c r="M17" s="12"/>
      <c r="N17" s="112">
        <v>6888840246</v>
      </c>
      <c r="O17" s="12"/>
      <c r="P17" s="60">
        <v>-6057537326</v>
      </c>
      <c r="Q17" s="12"/>
      <c r="R17" s="113">
        <v>831302920</v>
      </c>
      <c r="S17" s="174"/>
      <c r="T17" s="160"/>
    </row>
    <row r="18" spans="2:20">
      <c r="B18" s="12" t="s">
        <v>131</v>
      </c>
      <c r="C18" s="175"/>
      <c r="D18" s="114">
        <v>4000000</v>
      </c>
      <c r="E18" s="114"/>
      <c r="F18" s="114">
        <v>66088837645</v>
      </c>
      <c r="G18" s="12"/>
      <c r="H18" s="60">
        <v>-89314706642</v>
      </c>
      <c r="I18" s="12"/>
      <c r="J18" s="113">
        <v>-23225868997</v>
      </c>
      <c r="K18" s="12"/>
      <c r="L18" s="114">
        <v>8802865</v>
      </c>
      <c r="M18" s="12"/>
      <c r="N18" s="114">
        <v>145691598728</v>
      </c>
      <c r="O18" s="12"/>
      <c r="P18" s="60">
        <v>-203482972514</v>
      </c>
      <c r="Q18" s="12"/>
      <c r="R18" s="113">
        <v>-57791373786</v>
      </c>
      <c r="S18" s="174"/>
      <c r="T18" s="160"/>
    </row>
    <row r="19" spans="2:20">
      <c r="B19" s="12" t="s">
        <v>238</v>
      </c>
      <c r="C19" s="175"/>
      <c r="D19" s="114">
        <v>1000000</v>
      </c>
      <c r="E19" s="114"/>
      <c r="F19" s="114">
        <v>4145415462</v>
      </c>
      <c r="G19" s="12"/>
      <c r="H19" s="60">
        <v>-4056879202</v>
      </c>
      <c r="I19" s="12"/>
      <c r="J19" s="113">
        <v>88536260</v>
      </c>
      <c r="K19" s="12"/>
      <c r="L19" s="114">
        <v>9254855</v>
      </c>
      <c r="M19" s="12"/>
      <c r="N19" s="114">
        <v>45576707212</v>
      </c>
      <c r="O19" s="12"/>
      <c r="P19" s="60">
        <v>-37447120631</v>
      </c>
      <c r="Q19" s="12"/>
      <c r="R19" s="113">
        <v>8129586581</v>
      </c>
      <c r="S19" s="174"/>
      <c r="T19" s="160"/>
    </row>
    <row r="20" spans="2:20">
      <c r="B20" s="12" t="s">
        <v>134</v>
      </c>
      <c r="C20" s="175"/>
      <c r="D20" s="114">
        <v>1000000</v>
      </c>
      <c r="E20" s="114"/>
      <c r="F20" s="114">
        <v>14342852715</v>
      </c>
      <c r="G20" s="12"/>
      <c r="H20" s="60">
        <v>-11751159364</v>
      </c>
      <c r="I20" s="12"/>
      <c r="J20" s="113">
        <v>2591693351</v>
      </c>
      <c r="K20" s="12"/>
      <c r="L20" s="114">
        <v>23700000</v>
      </c>
      <c r="M20" s="12"/>
      <c r="N20" s="114">
        <v>303271141095</v>
      </c>
      <c r="O20" s="12"/>
      <c r="P20" s="60">
        <v>-226323247037</v>
      </c>
      <c r="Q20" s="12"/>
      <c r="R20" s="113">
        <v>76947894058</v>
      </c>
      <c r="S20" s="174"/>
      <c r="T20" s="160"/>
    </row>
    <row r="21" spans="2:20">
      <c r="B21" s="12" t="s">
        <v>271</v>
      </c>
      <c r="C21" s="175"/>
      <c r="D21" s="114">
        <v>600000</v>
      </c>
      <c r="E21" s="114"/>
      <c r="F21" s="114">
        <v>3299342676</v>
      </c>
      <c r="G21" s="12"/>
      <c r="H21" s="60">
        <v>-3750278199</v>
      </c>
      <c r="I21" s="12"/>
      <c r="J21" s="113">
        <v>-450935523</v>
      </c>
      <c r="K21" s="12"/>
      <c r="L21" s="114">
        <v>1865463</v>
      </c>
      <c r="M21" s="12"/>
      <c r="N21" s="114">
        <v>10870936328</v>
      </c>
      <c r="O21" s="12"/>
      <c r="P21" s="60">
        <v>-11642562716</v>
      </c>
      <c r="Q21" s="12"/>
      <c r="R21" s="113">
        <v>-771626388</v>
      </c>
      <c r="S21" s="174"/>
      <c r="T21" s="160"/>
    </row>
    <row r="22" spans="2:20">
      <c r="B22" s="12" t="s">
        <v>130</v>
      </c>
      <c r="C22" s="175"/>
      <c r="D22" s="114">
        <v>20000000</v>
      </c>
      <c r="E22" s="114"/>
      <c r="F22" s="114">
        <v>31946035695</v>
      </c>
      <c r="G22" s="12"/>
      <c r="H22" s="60">
        <v>-31663307825</v>
      </c>
      <c r="I22" s="12"/>
      <c r="J22" s="113">
        <v>282727870</v>
      </c>
      <c r="K22" s="12"/>
      <c r="L22" s="114">
        <v>92714631</v>
      </c>
      <c r="M22" s="12"/>
      <c r="N22" s="114">
        <v>123133068562</v>
      </c>
      <c r="O22" s="12"/>
      <c r="P22" s="60">
        <v>-146240182117</v>
      </c>
      <c r="Q22" s="12"/>
      <c r="R22" s="113">
        <v>-23107113555</v>
      </c>
      <c r="S22" s="174"/>
      <c r="T22" s="160"/>
    </row>
    <row r="23" spans="2:20">
      <c r="B23" s="12" t="s">
        <v>181</v>
      </c>
      <c r="C23" s="175"/>
      <c r="D23" s="114">
        <v>0</v>
      </c>
      <c r="E23" s="114"/>
      <c r="F23" s="114">
        <v>0</v>
      </c>
      <c r="G23" s="12"/>
      <c r="H23" s="60">
        <v>0</v>
      </c>
      <c r="I23" s="12"/>
      <c r="J23" s="113">
        <v>0</v>
      </c>
      <c r="K23" s="12"/>
      <c r="L23" s="114">
        <v>14018459</v>
      </c>
      <c r="M23" s="12"/>
      <c r="N23" s="114">
        <v>80203310931</v>
      </c>
      <c r="O23" s="12"/>
      <c r="P23" s="60">
        <v>-79602887716</v>
      </c>
      <c r="Q23" s="12"/>
      <c r="R23" s="113">
        <v>600423215</v>
      </c>
      <c r="S23" s="174"/>
      <c r="T23" s="160"/>
    </row>
    <row r="24" spans="2:20">
      <c r="B24" s="12" t="s">
        <v>166</v>
      </c>
      <c r="C24" s="175"/>
      <c r="D24" s="114">
        <v>0</v>
      </c>
      <c r="E24" s="114"/>
      <c r="F24" s="114">
        <v>0</v>
      </c>
      <c r="G24" s="12"/>
      <c r="H24" s="60">
        <v>0</v>
      </c>
      <c r="I24" s="12"/>
      <c r="J24" s="113">
        <v>0</v>
      </c>
      <c r="K24" s="12"/>
      <c r="L24" s="114">
        <v>200000</v>
      </c>
      <c r="M24" s="12"/>
      <c r="N24" s="114">
        <v>1683013472</v>
      </c>
      <c r="O24" s="12"/>
      <c r="P24" s="60">
        <v>-1425467700</v>
      </c>
      <c r="Q24" s="12"/>
      <c r="R24" s="113">
        <v>257545772</v>
      </c>
      <c r="S24" s="174"/>
      <c r="T24" s="160"/>
    </row>
    <row r="25" spans="2:20">
      <c r="B25" s="12" t="s">
        <v>239</v>
      </c>
      <c r="C25" s="175"/>
      <c r="D25" s="114">
        <v>0</v>
      </c>
      <c r="E25" s="114"/>
      <c r="F25" s="114">
        <v>0</v>
      </c>
      <c r="G25" s="12"/>
      <c r="H25" s="60">
        <v>0</v>
      </c>
      <c r="I25" s="12"/>
      <c r="J25" s="113">
        <v>0</v>
      </c>
      <c r="K25" s="12"/>
      <c r="L25" s="114">
        <v>94429</v>
      </c>
      <c r="M25" s="12"/>
      <c r="N25" s="114">
        <v>314925979</v>
      </c>
      <c r="O25" s="12"/>
      <c r="P25" s="60">
        <v>-324037299</v>
      </c>
      <c r="Q25" s="12"/>
      <c r="R25" s="113">
        <v>-9111320</v>
      </c>
      <c r="S25" s="174"/>
      <c r="T25" s="160"/>
    </row>
    <row r="26" spans="2:20">
      <c r="B26" s="12" t="s">
        <v>124</v>
      </c>
      <c r="C26" s="175"/>
      <c r="D26" s="114">
        <v>0</v>
      </c>
      <c r="E26" s="114"/>
      <c r="F26" s="114">
        <v>0</v>
      </c>
      <c r="G26" s="12"/>
      <c r="H26" s="60">
        <v>0</v>
      </c>
      <c r="I26" s="12"/>
      <c r="J26" s="113">
        <v>0</v>
      </c>
      <c r="K26" s="12"/>
      <c r="L26" s="114">
        <v>1000000</v>
      </c>
      <c r="M26" s="12"/>
      <c r="N26" s="114">
        <v>11695985564</v>
      </c>
      <c r="O26" s="12"/>
      <c r="P26" s="60">
        <v>-16437228975</v>
      </c>
      <c r="Q26" s="12"/>
      <c r="R26" s="113">
        <v>-4741243411</v>
      </c>
      <c r="S26" s="174"/>
      <c r="T26" s="160"/>
    </row>
    <row r="27" spans="2:20">
      <c r="B27" s="12" t="s">
        <v>115</v>
      </c>
      <c r="C27" s="175"/>
      <c r="D27" s="114">
        <v>0</v>
      </c>
      <c r="E27" s="114"/>
      <c r="F27" s="114">
        <v>0</v>
      </c>
      <c r="G27" s="12"/>
      <c r="H27" s="60">
        <v>0</v>
      </c>
      <c r="I27" s="12"/>
      <c r="J27" s="113">
        <v>0</v>
      </c>
      <c r="K27" s="12"/>
      <c r="L27" s="114">
        <v>57000000</v>
      </c>
      <c r="M27" s="12"/>
      <c r="N27" s="114">
        <v>139039979103</v>
      </c>
      <c r="O27" s="12"/>
      <c r="P27" s="60">
        <v>-140417075455</v>
      </c>
      <c r="Q27" s="12"/>
      <c r="R27" s="113">
        <v>-1377096352</v>
      </c>
      <c r="S27" s="174"/>
      <c r="T27" s="160"/>
    </row>
    <row r="28" spans="2:20">
      <c r="B28" s="12" t="s">
        <v>252</v>
      </c>
      <c r="C28" s="175"/>
      <c r="D28" s="114">
        <v>0</v>
      </c>
      <c r="E28" s="114"/>
      <c r="F28" s="114">
        <v>0</v>
      </c>
      <c r="G28" s="12"/>
      <c r="H28" s="60">
        <v>0</v>
      </c>
      <c r="I28" s="12"/>
      <c r="J28" s="113">
        <v>0</v>
      </c>
      <c r="K28" s="12"/>
      <c r="L28" s="114">
        <v>562500</v>
      </c>
      <c r="M28" s="12"/>
      <c r="N28" s="114">
        <v>6101526807</v>
      </c>
      <c r="O28" s="12"/>
      <c r="P28" s="60">
        <v>-4998586407</v>
      </c>
      <c r="Q28" s="12"/>
      <c r="R28" s="113">
        <v>1102940400</v>
      </c>
      <c r="S28" s="174"/>
      <c r="T28" s="160"/>
    </row>
    <row r="29" spans="2:20">
      <c r="B29" s="12" t="s">
        <v>152</v>
      </c>
      <c r="C29" s="175"/>
      <c r="D29" s="114">
        <v>0</v>
      </c>
      <c r="E29" s="114"/>
      <c r="F29" s="114">
        <v>0</v>
      </c>
      <c r="G29" s="12"/>
      <c r="H29" s="60">
        <v>0</v>
      </c>
      <c r="I29" s="12"/>
      <c r="J29" s="113">
        <v>0</v>
      </c>
      <c r="K29" s="12"/>
      <c r="L29" s="114">
        <v>5263691</v>
      </c>
      <c r="M29" s="12"/>
      <c r="N29" s="114">
        <v>4778193722</v>
      </c>
      <c r="O29" s="12"/>
      <c r="P29" s="60">
        <v>-6823013138</v>
      </c>
      <c r="Q29" s="12"/>
      <c r="R29" s="113">
        <v>-2044819416</v>
      </c>
      <c r="S29" s="174"/>
      <c r="T29" s="160"/>
    </row>
    <row r="30" spans="2:20">
      <c r="B30" s="12" t="s">
        <v>177</v>
      </c>
      <c r="C30" s="175"/>
      <c r="D30" s="114">
        <v>0</v>
      </c>
      <c r="E30" s="114"/>
      <c r="F30" s="114">
        <v>0</v>
      </c>
      <c r="G30" s="12"/>
      <c r="H30" s="60">
        <v>0</v>
      </c>
      <c r="I30" s="12"/>
      <c r="J30" s="113">
        <v>0</v>
      </c>
      <c r="K30" s="12"/>
      <c r="L30" s="114">
        <v>7500000</v>
      </c>
      <c r="M30" s="12"/>
      <c r="N30" s="114">
        <v>43100304000</v>
      </c>
      <c r="O30" s="12"/>
      <c r="P30" s="60">
        <v>-49541030392</v>
      </c>
      <c r="Q30" s="12"/>
      <c r="R30" s="113">
        <v>-6440726392</v>
      </c>
      <c r="S30" s="174"/>
      <c r="T30" s="160"/>
    </row>
    <row r="31" spans="2:20">
      <c r="B31" s="12" t="s">
        <v>121</v>
      </c>
      <c r="C31" s="175"/>
      <c r="D31" s="114">
        <v>0</v>
      </c>
      <c r="E31" s="114"/>
      <c r="F31" s="114">
        <v>0</v>
      </c>
      <c r="G31" s="12"/>
      <c r="H31" s="60">
        <v>0</v>
      </c>
      <c r="I31" s="12"/>
      <c r="J31" s="113">
        <v>0</v>
      </c>
      <c r="K31" s="12"/>
      <c r="L31" s="114">
        <v>12504887</v>
      </c>
      <c r="M31" s="12"/>
      <c r="N31" s="114">
        <v>125711853050</v>
      </c>
      <c r="O31" s="12"/>
      <c r="P31" s="60">
        <v>-119295852527</v>
      </c>
      <c r="Q31" s="12"/>
      <c r="R31" s="113">
        <v>6416000523</v>
      </c>
      <c r="S31" s="174"/>
      <c r="T31" s="160"/>
    </row>
    <row r="32" spans="2:20">
      <c r="B32" s="12" t="s">
        <v>251</v>
      </c>
      <c r="C32" s="175"/>
      <c r="D32" s="114">
        <v>0</v>
      </c>
      <c r="E32" s="114"/>
      <c r="F32" s="114">
        <v>0</v>
      </c>
      <c r="G32" s="12"/>
      <c r="H32" s="60">
        <v>0</v>
      </c>
      <c r="I32" s="12"/>
      <c r="J32" s="113">
        <v>0</v>
      </c>
      <c r="K32" s="12"/>
      <c r="L32" s="114">
        <v>360000</v>
      </c>
      <c r="M32" s="12"/>
      <c r="N32" s="114">
        <v>4796608722</v>
      </c>
      <c r="O32" s="12"/>
      <c r="P32" s="60">
        <v>-3620597722</v>
      </c>
      <c r="Q32" s="12"/>
      <c r="R32" s="113">
        <v>1176011000</v>
      </c>
      <c r="S32" s="174"/>
      <c r="T32" s="160"/>
    </row>
    <row r="33" spans="2:20">
      <c r="B33" s="12" t="s">
        <v>260</v>
      </c>
      <c r="C33" s="175"/>
      <c r="D33" s="114">
        <v>0</v>
      </c>
      <c r="E33" s="114"/>
      <c r="F33" s="114">
        <v>0</v>
      </c>
      <c r="G33" s="12"/>
      <c r="H33" s="60">
        <v>0</v>
      </c>
      <c r="I33" s="12"/>
      <c r="J33" s="113">
        <v>0</v>
      </c>
      <c r="K33" s="12"/>
      <c r="L33" s="114">
        <v>4276</v>
      </c>
      <c r="M33" s="12"/>
      <c r="N33" s="114">
        <v>10503083</v>
      </c>
      <c r="O33" s="12"/>
      <c r="P33" s="60">
        <v>-9996793</v>
      </c>
      <c r="Q33" s="12"/>
      <c r="R33" s="113">
        <v>506290</v>
      </c>
      <c r="S33" s="174"/>
      <c r="T33" s="160"/>
    </row>
    <row r="34" spans="2:20">
      <c r="B34" s="12" t="s">
        <v>186</v>
      </c>
      <c r="C34" s="175"/>
      <c r="D34" s="114">
        <v>0</v>
      </c>
      <c r="E34" s="114"/>
      <c r="F34" s="114">
        <v>0</v>
      </c>
      <c r="G34" s="12"/>
      <c r="H34" s="60">
        <v>0</v>
      </c>
      <c r="I34" s="12"/>
      <c r="J34" s="113">
        <v>0</v>
      </c>
      <c r="K34" s="12"/>
      <c r="L34" s="114">
        <v>6100000</v>
      </c>
      <c r="M34" s="12"/>
      <c r="N34" s="114">
        <v>76203951750</v>
      </c>
      <c r="O34" s="12"/>
      <c r="P34" s="60">
        <v>-51624969511</v>
      </c>
      <c r="Q34" s="12"/>
      <c r="R34" s="113">
        <v>24578982239</v>
      </c>
      <c r="S34" s="174"/>
      <c r="T34" s="160"/>
    </row>
    <row r="35" spans="2:20">
      <c r="B35" s="12" t="s">
        <v>261</v>
      </c>
      <c r="C35" s="175"/>
      <c r="D35" s="114">
        <v>0</v>
      </c>
      <c r="E35" s="114"/>
      <c r="F35" s="114">
        <v>0</v>
      </c>
      <c r="G35" s="12"/>
      <c r="H35" s="60">
        <v>0</v>
      </c>
      <c r="I35" s="12"/>
      <c r="J35" s="113">
        <v>0</v>
      </c>
      <c r="K35" s="12"/>
      <c r="L35" s="114">
        <v>257500</v>
      </c>
      <c r="M35" s="12"/>
      <c r="N35" s="114">
        <v>5565561323</v>
      </c>
      <c r="O35" s="12"/>
      <c r="P35" s="60">
        <v>-4270463603</v>
      </c>
      <c r="Q35" s="12"/>
      <c r="R35" s="113">
        <v>1295097720</v>
      </c>
      <c r="S35" s="174"/>
      <c r="T35" s="160"/>
    </row>
    <row r="36" spans="2:20">
      <c r="B36" s="12" t="s">
        <v>123</v>
      </c>
      <c r="C36" s="175"/>
      <c r="D36" s="114">
        <v>0</v>
      </c>
      <c r="E36" s="114"/>
      <c r="F36" s="114">
        <v>0</v>
      </c>
      <c r="G36" s="12"/>
      <c r="H36" s="60">
        <v>0</v>
      </c>
      <c r="I36" s="12"/>
      <c r="J36" s="113">
        <v>0</v>
      </c>
      <c r="K36" s="12"/>
      <c r="L36" s="114">
        <v>278230000</v>
      </c>
      <c r="M36" s="12"/>
      <c r="N36" s="114">
        <v>1022069725685</v>
      </c>
      <c r="O36" s="12"/>
      <c r="P36" s="60">
        <v>-950868127399</v>
      </c>
      <c r="Q36" s="12"/>
      <c r="R36" s="113">
        <v>71201598286</v>
      </c>
      <c r="S36" s="174"/>
      <c r="T36" s="160"/>
    </row>
    <row r="37" spans="2:20">
      <c r="B37" s="12" t="s">
        <v>159</v>
      </c>
      <c r="C37" s="175"/>
      <c r="D37" s="114">
        <v>0</v>
      </c>
      <c r="E37" s="114"/>
      <c r="F37" s="114">
        <v>0</v>
      </c>
      <c r="G37" s="12"/>
      <c r="H37" s="60">
        <v>0</v>
      </c>
      <c r="I37" s="12"/>
      <c r="J37" s="113">
        <v>0</v>
      </c>
      <c r="K37" s="12"/>
      <c r="L37" s="114">
        <v>250000</v>
      </c>
      <c r="M37" s="12"/>
      <c r="N37" s="114">
        <v>3710544265</v>
      </c>
      <c r="O37" s="12"/>
      <c r="P37" s="60">
        <v>-3436927875</v>
      </c>
      <c r="Q37" s="12"/>
      <c r="R37" s="113">
        <v>273616390</v>
      </c>
      <c r="S37" s="174"/>
      <c r="T37" s="160"/>
    </row>
    <row r="38" spans="2:20">
      <c r="B38" s="12" t="s">
        <v>120</v>
      </c>
      <c r="C38" s="175"/>
      <c r="D38" s="114">
        <v>0</v>
      </c>
      <c r="E38" s="114"/>
      <c r="F38" s="114">
        <v>0</v>
      </c>
      <c r="G38" s="12"/>
      <c r="H38" s="60">
        <v>0</v>
      </c>
      <c r="I38" s="12"/>
      <c r="J38" s="113">
        <v>0</v>
      </c>
      <c r="K38" s="12"/>
      <c r="L38" s="114">
        <v>1758251</v>
      </c>
      <c r="M38" s="12"/>
      <c r="N38" s="114">
        <v>33645798751</v>
      </c>
      <c r="O38" s="12"/>
      <c r="P38" s="60">
        <v>-34806555606</v>
      </c>
      <c r="Q38" s="12"/>
      <c r="R38" s="113">
        <v>-1160756855</v>
      </c>
      <c r="S38" s="174"/>
      <c r="T38" s="160"/>
    </row>
    <row r="39" spans="2:20">
      <c r="B39" s="12" t="s">
        <v>185</v>
      </c>
      <c r="C39" s="175"/>
      <c r="D39" s="114">
        <v>0</v>
      </c>
      <c r="E39" s="114"/>
      <c r="F39" s="114">
        <v>0</v>
      </c>
      <c r="G39" s="12"/>
      <c r="H39" s="60">
        <v>0</v>
      </c>
      <c r="I39" s="12"/>
      <c r="J39" s="113">
        <v>0</v>
      </c>
      <c r="K39" s="12"/>
      <c r="L39" s="114">
        <v>6500000</v>
      </c>
      <c r="M39" s="12"/>
      <c r="N39" s="114">
        <v>8292106618</v>
      </c>
      <c r="O39" s="12"/>
      <c r="P39" s="60">
        <v>-8781300450</v>
      </c>
      <c r="Q39" s="12"/>
      <c r="R39" s="113">
        <v>-489193832</v>
      </c>
      <c r="S39" s="174"/>
      <c r="T39" s="160"/>
    </row>
    <row r="40" spans="2:20">
      <c r="B40" s="12" t="s">
        <v>150</v>
      </c>
      <c r="C40" s="175"/>
      <c r="D40" s="114">
        <v>0</v>
      </c>
      <c r="E40" s="114"/>
      <c r="F40" s="114">
        <v>0</v>
      </c>
      <c r="G40" s="12"/>
      <c r="H40" s="60">
        <v>0</v>
      </c>
      <c r="I40" s="12"/>
      <c r="J40" s="113">
        <v>0</v>
      </c>
      <c r="K40" s="12"/>
      <c r="L40" s="114">
        <v>4110001</v>
      </c>
      <c r="M40" s="12"/>
      <c r="N40" s="114">
        <v>69935875827</v>
      </c>
      <c r="O40" s="12"/>
      <c r="P40" s="60">
        <v>-67901309919</v>
      </c>
      <c r="Q40" s="12"/>
      <c r="R40" s="113">
        <v>2034565908</v>
      </c>
      <c r="S40" s="174"/>
      <c r="T40" s="160"/>
    </row>
    <row r="41" spans="2:20">
      <c r="B41" s="12" t="s">
        <v>153</v>
      </c>
      <c r="C41" s="175"/>
      <c r="D41" s="114">
        <v>0</v>
      </c>
      <c r="E41" s="114"/>
      <c r="F41" s="114">
        <v>0</v>
      </c>
      <c r="G41" s="12"/>
      <c r="H41" s="60">
        <v>0</v>
      </c>
      <c r="I41" s="12"/>
      <c r="J41" s="113">
        <v>0</v>
      </c>
      <c r="K41" s="12"/>
      <c r="L41" s="114">
        <v>8075370</v>
      </c>
      <c r="M41" s="12"/>
      <c r="N41" s="114">
        <v>10863602652</v>
      </c>
      <c r="O41" s="12"/>
      <c r="P41" s="60">
        <v>-13421679968</v>
      </c>
      <c r="Q41" s="12"/>
      <c r="R41" s="113">
        <v>-2558077316</v>
      </c>
      <c r="S41" s="174"/>
      <c r="T41" s="160"/>
    </row>
    <row r="42" spans="2:20">
      <c r="B42" s="12" t="s">
        <v>263</v>
      </c>
      <c r="C42" s="175"/>
      <c r="D42" s="114">
        <v>0</v>
      </c>
      <c r="E42" s="114"/>
      <c r="F42" s="114">
        <v>0</v>
      </c>
      <c r="G42" s="12"/>
      <c r="H42" s="60">
        <v>0</v>
      </c>
      <c r="I42" s="12"/>
      <c r="J42" s="113">
        <v>0</v>
      </c>
      <c r="K42" s="12"/>
      <c r="L42" s="114">
        <v>375000</v>
      </c>
      <c r="M42" s="12"/>
      <c r="N42" s="114">
        <v>9494032594</v>
      </c>
      <c r="O42" s="12"/>
      <c r="P42" s="60">
        <v>-6782788389</v>
      </c>
      <c r="Q42" s="12"/>
      <c r="R42" s="113">
        <v>2711244205</v>
      </c>
      <c r="S42" s="174"/>
      <c r="T42" s="160"/>
    </row>
    <row r="43" spans="2:20">
      <c r="B43" s="12" t="s">
        <v>258</v>
      </c>
      <c r="C43" s="175"/>
      <c r="D43" s="114">
        <v>0</v>
      </c>
      <c r="E43" s="114"/>
      <c r="F43" s="114">
        <v>0</v>
      </c>
      <c r="G43" s="12"/>
      <c r="H43" s="60">
        <v>0</v>
      </c>
      <c r="I43" s="12"/>
      <c r="J43" s="113">
        <v>0</v>
      </c>
      <c r="K43" s="12"/>
      <c r="L43" s="114">
        <v>1000000</v>
      </c>
      <c r="M43" s="12"/>
      <c r="N43" s="114">
        <v>16510929235</v>
      </c>
      <c r="O43" s="12"/>
      <c r="P43" s="60">
        <v>-13578102653</v>
      </c>
      <c r="Q43" s="12"/>
      <c r="R43" s="113">
        <v>2932826582</v>
      </c>
      <c r="S43" s="174"/>
      <c r="T43" s="160"/>
    </row>
    <row r="44" spans="2:20">
      <c r="B44" s="12" t="s">
        <v>157</v>
      </c>
      <c r="C44" s="175"/>
      <c r="D44" s="114">
        <v>0</v>
      </c>
      <c r="E44" s="114"/>
      <c r="F44" s="114">
        <v>0</v>
      </c>
      <c r="G44" s="12"/>
      <c r="H44" s="60">
        <v>0</v>
      </c>
      <c r="I44" s="12"/>
      <c r="J44" s="113">
        <v>0</v>
      </c>
      <c r="K44" s="12"/>
      <c r="L44" s="114">
        <v>1062500</v>
      </c>
      <c r="M44" s="12"/>
      <c r="N44" s="114">
        <v>2536492684</v>
      </c>
      <c r="O44" s="12"/>
      <c r="P44" s="60">
        <v>-2385072759</v>
      </c>
      <c r="Q44" s="12"/>
      <c r="R44" s="113">
        <v>151419925</v>
      </c>
      <c r="S44" s="174"/>
      <c r="T44" s="160"/>
    </row>
    <row r="45" spans="2:20">
      <c r="B45" s="12" t="s">
        <v>141</v>
      </c>
      <c r="C45" s="175"/>
      <c r="D45" s="114">
        <v>0</v>
      </c>
      <c r="E45" s="114"/>
      <c r="F45" s="114">
        <v>0</v>
      </c>
      <c r="G45" s="12"/>
      <c r="H45" s="60">
        <v>0</v>
      </c>
      <c r="I45" s="12"/>
      <c r="J45" s="113">
        <v>0</v>
      </c>
      <c r="K45" s="12"/>
      <c r="L45" s="114">
        <v>9000</v>
      </c>
      <c r="M45" s="12"/>
      <c r="N45" s="114">
        <v>743971783</v>
      </c>
      <c r="O45" s="12"/>
      <c r="P45" s="60">
        <v>-712584743</v>
      </c>
      <c r="Q45" s="12"/>
      <c r="R45" s="113">
        <v>31387040</v>
      </c>
      <c r="S45" s="174"/>
      <c r="T45" s="160"/>
    </row>
    <row r="46" spans="2:20">
      <c r="B46" s="12" t="s">
        <v>179</v>
      </c>
      <c r="C46" s="175"/>
      <c r="D46" s="114">
        <v>0</v>
      </c>
      <c r="E46" s="114"/>
      <c r="F46" s="114">
        <v>0</v>
      </c>
      <c r="G46" s="12"/>
      <c r="H46" s="60">
        <v>0</v>
      </c>
      <c r="I46" s="12"/>
      <c r="J46" s="113">
        <v>0</v>
      </c>
      <c r="K46" s="12"/>
      <c r="L46" s="114">
        <v>17003374</v>
      </c>
      <c r="M46" s="12"/>
      <c r="N46" s="114">
        <v>93930456333</v>
      </c>
      <c r="O46" s="12"/>
      <c r="P46" s="60">
        <v>-115969359763</v>
      </c>
      <c r="Q46" s="12"/>
      <c r="R46" s="113">
        <v>-22038903430</v>
      </c>
      <c r="S46" s="174"/>
      <c r="T46" s="160"/>
    </row>
    <row r="47" spans="2:20">
      <c r="B47" s="12" t="s">
        <v>250</v>
      </c>
      <c r="C47" s="175"/>
      <c r="D47" s="114">
        <v>0</v>
      </c>
      <c r="E47" s="114"/>
      <c r="F47" s="114">
        <v>0</v>
      </c>
      <c r="G47" s="12"/>
      <c r="H47" s="60">
        <v>0</v>
      </c>
      <c r="I47" s="12"/>
      <c r="J47" s="113">
        <v>0</v>
      </c>
      <c r="K47" s="12"/>
      <c r="L47" s="114">
        <v>1395395</v>
      </c>
      <c r="M47" s="12"/>
      <c r="N47" s="114">
        <v>5160229803</v>
      </c>
      <c r="O47" s="12"/>
      <c r="P47" s="60">
        <v>-4615966660</v>
      </c>
      <c r="Q47" s="12"/>
      <c r="R47" s="113">
        <v>544263143</v>
      </c>
      <c r="S47" s="174"/>
      <c r="T47" s="160"/>
    </row>
    <row r="48" spans="2:20">
      <c r="B48" s="12" t="s">
        <v>161</v>
      </c>
      <c r="C48" s="175"/>
      <c r="D48" s="114">
        <v>0</v>
      </c>
      <c r="E48" s="114"/>
      <c r="F48" s="114">
        <v>0</v>
      </c>
      <c r="G48" s="12"/>
      <c r="H48" s="60">
        <v>0</v>
      </c>
      <c r="I48" s="12"/>
      <c r="J48" s="113">
        <v>0</v>
      </c>
      <c r="K48" s="12"/>
      <c r="L48" s="114">
        <v>285750</v>
      </c>
      <c r="M48" s="12"/>
      <c r="N48" s="114">
        <v>16096789618</v>
      </c>
      <c r="O48" s="12"/>
      <c r="P48" s="60">
        <v>-13620187310</v>
      </c>
      <c r="Q48" s="12"/>
      <c r="R48" s="113">
        <v>2476602308</v>
      </c>
      <c r="S48" s="174"/>
      <c r="T48" s="160"/>
    </row>
    <row r="49" spans="2:26">
      <c r="B49" s="12" t="s">
        <v>201</v>
      </c>
      <c r="C49" s="175"/>
      <c r="D49" s="114">
        <v>0</v>
      </c>
      <c r="E49" s="114"/>
      <c r="F49" s="114">
        <v>0</v>
      </c>
      <c r="G49" s="12"/>
      <c r="H49" s="60">
        <v>0</v>
      </c>
      <c r="I49" s="12"/>
      <c r="J49" s="113">
        <v>0</v>
      </c>
      <c r="K49" s="12"/>
      <c r="L49" s="114">
        <v>59200000</v>
      </c>
      <c r="M49" s="12"/>
      <c r="N49" s="114">
        <v>240871809214</v>
      </c>
      <c r="O49" s="12"/>
      <c r="P49" s="60">
        <v>-224112341821</v>
      </c>
      <c r="Q49" s="12"/>
      <c r="R49" s="113">
        <v>16759467393</v>
      </c>
      <c r="S49" s="174"/>
      <c r="T49" s="160"/>
    </row>
    <row r="50" spans="2:26">
      <c r="B50" s="12" t="s">
        <v>160</v>
      </c>
      <c r="C50" s="175"/>
      <c r="D50" s="114">
        <v>0</v>
      </c>
      <c r="E50" s="114"/>
      <c r="F50" s="114">
        <v>0</v>
      </c>
      <c r="G50" s="12"/>
      <c r="H50" s="60">
        <v>0</v>
      </c>
      <c r="I50" s="12"/>
      <c r="J50" s="113">
        <v>0</v>
      </c>
      <c r="K50" s="12"/>
      <c r="L50" s="114">
        <v>4100000</v>
      </c>
      <c r="M50" s="12"/>
      <c r="N50" s="114">
        <v>47787732830</v>
      </c>
      <c r="O50" s="12"/>
      <c r="P50" s="60">
        <v>-50619014100</v>
      </c>
      <c r="Q50" s="12"/>
      <c r="R50" s="113">
        <v>-2831281270</v>
      </c>
      <c r="S50" s="174"/>
      <c r="T50" s="160"/>
    </row>
    <row r="51" spans="2:26">
      <c r="B51" s="12" t="s">
        <v>137</v>
      </c>
      <c r="C51" s="175"/>
      <c r="D51" s="114">
        <v>0</v>
      </c>
      <c r="E51" s="114"/>
      <c r="F51" s="114">
        <v>0</v>
      </c>
      <c r="G51" s="12"/>
      <c r="H51" s="60">
        <v>0</v>
      </c>
      <c r="I51" s="12"/>
      <c r="J51" s="113">
        <v>0</v>
      </c>
      <c r="K51" s="12"/>
      <c r="L51" s="114">
        <v>11835188</v>
      </c>
      <c r="M51" s="12"/>
      <c r="N51" s="114">
        <v>244713544158</v>
      </c>
      <c r="O51" s="12"/>
      <c r="P51" s="60">
        <v>-225657397714</v>
      </c>
      <c r="Q51" s="12"/>
      <c r="R51" s="113">
        <v>19056146444</v>
      </c>
      <c r="S51" s="174"/>
      <c r="T51" s="160"/>
    </row>
    <row r="52" spans="2:26">
      <c r="B52" s="12" t="s">
        <v>183</v>
      </c>
      <c r="C52" s="175"/>
      <c r="D52" s="114">
        <v>0</v>
      </c>
      <c r="E52" s="114"/>
      <c r="F52" s="114">
        <v>0</v>
      </c>
      <c r="G52" s="12"/>
      <c r="H52" s="60">
        <v>0</v>
      </c>
      <c r="I52" s="12"/>
      <c r="J52" s="113">
        <v>0</v>
      </c>
      <c r="K52" s="12"/>
      <c r="L52" s="114">
        <v>3000000</v>
      </c>
      <c r="M52" s="12"/>
      <c r="N52" s="114">
        <v>40743955200</v>
      </c>
      <c r="O52" s="12"/>
      <c r="P52" s="60">
        <v>-37933216382</v>
      </c>
      <c r="Q52" s="12"/>
      <c r="R52" s="113">
        <v>2810738818</v>
      </c>
      <c r="S52" s="174"/>
      <c r="T52" s="160"/>
    </row>
    <row r="53" spans="2:26">
      <c r="B53" s="12" t="s">
        <v>194</v>
      </c>
      <c r="C53" s="175"/>
      <c r="D53" s="114">
        <v>0</v>
      </c>
      <c r="E53" s="114"/>
      <c r="F53" s="114">
        <v>0</v>
      </c>
      <c r="G53" s="12"/>
      <c r="H53" s="60">
        <v>0</v>
      </c>
      <c r="I53" s="12"/>
      <c r="J53" s="113">
        <v>0</v>
      </c>
      <c r="K53" s="12"/>
      <c r="L53" s="114">
        <v>659600</v>
      </c>
      <c r="M53" s="12"/>
      <c r="N53" s="114">
        <v>498429105</v>
      </c>
      <c r="O53" s="12"/>
      <c r="P53" s="60">
        <v>-457102800</v>
      </c>
      <c r="Q53" s="12"/>
      <c r="R53" s="113">
        <v>41326305</v>
      </c>
      <c r="S53" s="174"/>
      <c r="T53" s="160"/>
    </row>
    <row r="54" spans="2:26">
      <c r="B54" s="12" t="s">
        <v>163</v>
      </c>
      <c r="C54" s="175"/>
      <c r="D54" s="114">
        <v>0</v>
      </c>
      <c r="E54" s="114"/>
      <c r="F54" s="114">
        <v>0</v>
      </c>
      <c r="G54" s="12"/>
      <c r="H54" s="60">
        <v>0</v>
      </c>
      <c r="I54" s="12"/>
      <c r="J54" s="113">
        <v>0</v>
      </c>
      <c r="K54" s="12"/>
      <c r="L54" s="114">
        <v>250000</v>
      </c>
      <c r="M54" s="12"/>
      <c r="N54" s="114">
        <v>2187328005</v>
      </c>
      <c r="O54" s="12"/>
      <c r="P54" s="60">
        <v>-1729647000</v>
      </c>
      <c r="Q54" s="12"/>
      <c r="R54" s="113">
        <v>457681005</v>
      </c>
      <c r="S54" s="174"/>
      <c r="T54" s="160"/>
    </row>
    <row r="55" spans="2:26">
      <c r="B55" s="12" t="s">
        <v>178</v>
      </c>
      <c r="C55" s="175"/>
      <c r="D55" s="114">
        <v>0</v>
      </c>
      <c r="E55" s="114"/>
      <c r="F55" s="114">
        <v>0</v>
      </c>
      <c r="G55" s="12"/>
      <c r="H55" s="60">
        <v>0</v>
      </c>
      <c r="I55" s="12"/>
      <c r="J55" s="113">
        <v>0</v>
      </c>
      <c r="K55" s="12"/>
      <c r="L55" s="114">
        <v>296800000</v>
      </c>
      <c r="M55" s="12"/>
      <c r="N55" s="114">
        <v>178498863128</v>
      </c>
      <c r="O55" s="12"/>
      <c r="P55" s="60">
        <v>-200398180909</v>
      </c>
      <c r="Q55" s="12"/>
      <c r="R55" s="113">
        <v>-21899317781</v>
      </c>
      <c r="S55" s="174"/>
      <c r="T55" s="160"/>
    </row>
    <row r="56" spans="2:26">
      <c r="B56" s="12" t="s">
        <v>198</v>
      </c>
      <c r="C56" s="175"/>
      <c r="D56" s="114">
        <v>0</v>
      </c>
      <c r="E56" s="114"/>
      <c r="F56" s="114">
        <v>0</v>
      </c>
      <c r="G56" s="12"/>
      <c r="H56" s="60">
        <v>0</v>
      </c>
      <c r="I56" s="12"/>
      <c r="J56" s="113">
        <v>0</v>
      </c>
      <c r="K56" s="12"/>
      <c r="L56" s="114">
        <v>7000000</v>
      </c>
      <c r="M56" s="12"/>
      <c r="N56" s="114">
        <v>104906708182</v>
      </c>
      <c r="O56" s="12"/>
      <c r="P56" s="60">
        <v>-121613302376</v>
      </c>
      <c r="Q56" s="12"/>
      <c r="R56" s="113">
        <v>-16706594194</v>
      </c>
      <c r="S56" s="174"/>
      <c r="T56" s="160"/>
    </row>
    <row r="57" spans="2:26">
      <c r="B57" s="12" t="s">
        <v>110</v>
      </c>
      <c r="C57" s="175"/>
      <c r="D57" s="114">
        <v>0</v>
      </c>
      <c r="E57" s="114"/>
      <c r="F57" s="114">
        <v>0</v>
      </c>
      <c r="G57" s="12"/>
      <c r="H57" s="60">
        <v>0</v>
      </c>
      <c r="I57" s="12"/>
      <c r="J57" s="113">
        <v>0</v>
      </c>
      <c r="K57" s="12"/>
      <c r="L57" s="114">
        <v>155200001</v>
      </c>
      <c r="M57" s="12"/>
      <c r="N57" s="114">
        <v>91738415143</v>
      </c>
      <c r="O57" s="12"/>
      <c r="P57" s="60">
        <v>-81003036697</v>
      </c>
      <c r="Q57" s="12"/>
      <c r="R57" s="113">
        <v>10735378446</v>
      </c>
      <c r="S57" s="174"/>
      <c r="T57" s="160"/>
    </row>
    <row r="58" spans="2:26">
      <c r="B58" s="12" t="s">
        <v>172</v>
      </c>
      <c r="C58" s="175"/>
      <c r="D58" s="114">
        <v>0</v>
      </c>
      <c r="E58" s="114"/>
      <c r="F58" s="114">
        <v>0</v>
      </c>
      <c r="G58" s="12"/>
      <c r="H58" s="60">
        <v>0</v>
      </c>
      <c r="I58" s="12"/>
      <c r="J58" s="113">
        <v>0</v>
      </c>
      <c r="K58" s="12"/>
      <c r="L58" s="114">
        <v>10177909</v>
      </c>
      <c r="M58" s="12"/>
      <c r="N58" s="114">
        <v>151231461978</v>
      </c>
      <c r="O58" s="12"/>
      <c r="P58" s="60">
        <v>-126328323943</v>
      </c>
      <c r="Q58" s="12"/>
      <c r="R58" s="113">
        <v>24903138035</v>
      </c>
      <c r="S58" s="174"/>
      <c r="T58" s="160"/>
    </row>
    <row r="59" spans="2:26" ht="22" thickBot="1">
      <c r="B59" s="176" t="s">
        <v>218</v>
      </c>
      <c r="C59" s="166"/>
      <c r="D59" s="177">
        <f>SUM(D7:D58)</f>
        <v>209238752</v>
      </c>
      <c r="E59" s="177"/>
      <c r="F59" s="177">
        <f>SUM(F7:F58)</f>
        <v>880416511874</v>
      </c>
      <c r="G59" s="177"/>
      <c r="H59" s="177">
        <f>SUM(H7:H58)</f>
        <v>-739482896732</v>
      </c>
      <c r="I59" s="177"/>
      <c r="J59" s="177">
        <f>SUM(J7:J58)</f>
        <v>140933615142</v>
      </c>
      <c r="K59" s="177"/>
      <c r="L59" s="177">
        <f>SUM(L7:L58)</f>
        <v>1914110472</v>
      </c>
      <c r="M59" s="177"/>
      <c r="N59" s="177">
        <f>SUM(N7:N58)</f>
        <v>6075272510280</v>
      </c>
      <c r="O59" s="177"/>
      <c r="P59" s="177">
        <f>SUM(P7:P58)</f>
        <v>-5718828720283</v>
      </c>
      <c r="Q59" s="177"/>
      <c r="R59" s="177">
        <f>SUM(R7:R58)</f>
        <v>356443789997</v>
      </c>
      <c r="S59" s="174"/>
      <c r="T59" s="160"/>
    </row>
    <row r="60" spans="2:26" ht="22" thickTop="1">
      <c r="B60" s="12"/>
      <c r="C60" s="175"/>
      <c r="D60" s="114"/>
      <c r="E60" s="114"/>
      <c r="F60" s="114"/>
      <c r="G60" s="12"/>
      <c r="H60" s="60"/>
      <c r="I60" s="12"/>
      <c r="J60" s="113"/>
      <c r="K60" s="12"/>
      <c r="L60" s="114"/>
      <c r="M60" s="12"/>
      <c r="N60" s="114"/>
      <c r="O60" s="12"/>
      <c r="P60" s="60"/>
      <c r="Q60" s="12"/>
      <c r="R60" s="113"/>
      <c r="S60" s="174"/>
      <c r="T60" s="160"/>
    </row>
    <row r="61" spans="2:26" ht="23">
      <c r="B61" s="391" t="s">
        <v>98</v>
      </c>
      <c r="C61" s="391"/>
      <c r="D61" s="391"/>
      <c r="E61" s="391"/>
      <c r="F61" s="391"/>
      <c r="G61" s="391"/>
      <c r="H61" s="391"/>
      <c r="I61" s="391"/>
      <c r="J61" s="391"/>
      <c r="K61" s="393"/>
      <c r="L61" s="393"/>
      <c r="M61" s="393"/>
      <c r="N61" s="393"/>
      <c r="O61" s="393"/>
      <c r="P61" s="393"/>
      <c r="Q61" s="393"/>
      <c r="R61" s="393"/>
      <c r="Z61" s="1" t="s">
        <v>187</v>
      </c>
    </row>
    <row r="62" spans="2:26" ht="23.5" thickBot="1">
      <c r="B62" s="12"/>
      <c r="C62" s="12"/>
      <c r="D62" s="386" t="str">
        <f>D5</f>
        <v>طی اسفند ماه</v>
      </c>
      <c r="E62" s="386"/>
      <c r="F62" s="386"/>
      <c r="G62" s="386"/>
      <c r="H62" s="386"/>
      <c r="I62" s="386"/>
      <c r="J62" s="386"/>
      <c r="K62" s="12"/>
      <c r="L62" s="386" t="str">
        <f>L5</f>
        <v>از ابتدای سال مالی تا پایان اسفند ماه</v>
      </c>
      <c r="M62" s="386"/>
      <c r="N62" s="386"/>
      <c r="O62" s="386"/>
      <c r="P62" s="386"/>
      <c r="Q62" s="386"/>
      <c r="R62" s="386"/>
      <c r="Z62" s="1" t="s">
        <v>188</v>
      </c>
    </row>
    <row r="63" spans="2:26" ht="22" thickBot="1">
      <c r="B63" s="12" t="s">
        <v>64</v>
      </c>
      <c r="C63" s="12"/>
      <c r="D63" s="110" t="s">
        <v>8</v>
      </c>
      <c r="E63" s="12"/>
      <c r="F63" s="111" t="s">
        <v>77</v>
      </c>
      <c r="G63" s="12"/>
      <c r="H63" s="110" t="s">
        <v>74</v>
      </c>
      <c r="I63" s="12"/>
      <c r="J63" s="111" t="s">
        <v>78</v>
      </c>
      <c r="K63" s="12"/>
      <c r="L63" s="110" t="s">
        <v>8</v>
      </c>
      <c r="M63" s="12"/>
      <c r="N63" s="111" t="s">
        <v>32</v>
      </c>
      <c r="O63" s="12"/>
      <c r="P63" s="110" t="s">
        <v>74</v>
      </c>
      <c r="Q63" s="12"/>
      <c r="R63" s="111" t="s">
        <v>78</v>
      </c>
      <c r="T63" s="160"/>
      <c r="X63" s="1" t="s">
        <v>189</v>
      </c>
    </row>
    <row r="64" spans="2:26">
      <c r="B64" s="12" t="s">
        <v>219</v>
      </c>
      <c r="C64" s="175"/>
      <c r="D64" s="114">
        <f>D59</f>
        <v>209238752</v>
      </c>
      <c r="E64" s="114"/>
      <c r="F64" s="60">
        <f>F59</f>
        <v>880416511874</v>
      </c>
      <c r="G64" s="60"/>
      <c r="H64" s="60">
        <f>H59</f>
        <v>-739482896732</v>
      </c>
      <c r="I64" s="60"/>
      <c r="J64" s="60">
        <f>J59</f>
        <v>140933615142</v>
      </c>
      <c r="K64" s="60"/>
      <c r="L64" s="60">
        <f>L59</f>
        <v>1914110472</v>
      </c>
      <c r="M64" s="60"/>
      <c r="N64" s="60">
        <f>N59</f>
        <v>6075272510280</v>
      </c>
      <c r="O64" s="60"/>
      <c r="P64" s="60">
        <f>P59</f>
        <v>-5718828720283</v>
      </c>
      <c r="Q64" s="60"/>
      <c r="R64" s="60">
        <f>R59</f>
        <v>356443789997</v>
      </c>
      <c r="S64" s="174"/>
      <c r="T64" s="160"/>
    </row>
    <row r="65" spans="2:20">
      <c r="B65" s="12" t="s">
        <v>173</v>
      </c>
      <c r="C65" s="175"/>
      <c r="D65" s="114">
        <v>0</v>
      </c>
      <c r="E65" s="114"/>
      <c r="F65" s="114">
        <v>0</v>
      </c>
      <c r="G65" s="12"/>
      <c r="H65" s="60">
        <v>0</v>
      </c>
      <c r="I65" s="12"/>
      <c r="J65" s="113">
        <v>0</v>
      </c>
      <c r="K65" s="12"/>
      <c r="L65" s="114">
        <v>15571100</v>
      </c>
      <c r="M65" s="12"/>
      <c r="N65" s="114">
        <v>91315510092</v>
      </c>
      <c r="O65" s="12"/>
      <c r="P65" s="60">
        <v>-95651473345</v>
      </c>
      <c r="Q65" s="12"/>
      <c r="R65" s="113">
        <v>-4335963253</v>
      </c>
      <c r="S65" s="174"/>
      <c r="T65" s="160"/>
    </row>
    <row r="66" spans="2:20">
      <c r="B66" s="12" t="s">
        <v>284</v>
      </c>
      <c r="C66" s="175"/>
      <c r="D66" s="114">
        <v>0</v>
      </c>
      <c r="E66" s="114"/>
      <c r="F66" s="114">
        <v>0</v>
      </c>
      <c r="G66" s="12"/>
      <c r="H66" s="60">
        <v>0</v>
      </c>
      <c r="I66" s="12"/>
      <c r="J66" s="113">
        <v>0</v>
      </c>
      <c r="K66" s="12"/>
      <c r="L66" s="114">
        <v>14973541</v>
      </c>
      <c r="M66" s="12"/>
      <c r="N66" s="114">
        <v>31073136051</v>
      </c>
      <c r="O66" s="12"/>
      <c r="P66" s="60">
        <v>-41851047095</v>
      </c>
      <c r="Q66" s="12"/>
      <c r="R66" s="113">
        <v>-10777911044</v>
      </c>
      <c r="S66" s="174"/>
      <c r="T66" s="160"/>
    </row>
    <row r="67" spans="2:20">
      <c r="B67" s="12" t="s">
        <v>162</v>
      </c>
      <c r="C67" s="175"/>
      <c r="D67" s="114">
        <v>0</v>
      </c>
      <c r="E67" s="114"/>
      <c r="F67" s="114">
        <v>0</v>
      </c>
      <c r="G67" s="12"/>
      <c r="H67" s="60">
        <v>0</v>
      </c>
      <c r="I67" s="12"/>
      <c r="J67" s="113">
        <v>0</v>
      </c>
      <c r="K67" s="12"/>
      <c r="L67" s="114">
        <v>800000</v>
      </c>
      <c r="M67" s="12"/>
      <c r="N67" s="114">
        <v>14710482899</v>
      </c>
      <c r="O67" s="12"/>
      <c r="P67" s="60">
        <v>-10680073200</v>
      </c>
      <c r="Q67" s="12"/>
      <c r="R67" s="113">
        <v>4030409699</v>
      </c>
      <c r="S67" s="174"/>
      <c r="T67" s="160"/>
    </row>
    <row r="68" spans="2:20">
      <c r="B68" s="12" t="s">
        <v>111</v>
      </c>
      <c r="C68" s="175"/>
      <c r="D68" s="114">
        <v>0</v>
      </c>
      <c r="E68" s="114"/>
      <c r="F68" s="114">
        <v>0</v>
      </c>
      <c r="G68" s="12"/>
      <c r="H68" s="60">
        <v>0</v>
      </c>
      <c r="I68" s="12"/>
      <c r="J68" s="113">
        <v>0</v>
      </c>
      <c r="K68" s="12"/>
      <c r="L68" s="114">
        <v>144364</v>
      </c>
      <c r="M68" s="12"/>
      <c r="N68" s="114">
        <v>363956344</v>
      </c>
      <c r="O68" s="12"/>
      <c r="P68" s="60">
        <v>-266632352</v>
      </c>
      <c r="Q68" s="12"/>
      <c r="R68" s="113">
        <v>97323992</v>
      </c>
      <c r="S68" s="174"/>
      <c r="T68" s="160"/>
    </row>
    <row r="69" spans="2:20">
      <c r="B69" s="12" t="s">
        <v>169</v>
      </c>
      <c r="C69" s="175"/>
      <c r="D69" s="114">
        <v>0</v>
      </c>
      <c r="E69" s="114"/>
      <c r="F69" s="114">
        <v>0</v>
      </c>
      <c r="G69" s="12"/>
      <c r="H69" s="60">
        <v>0</v>
      </c>
      <c r="I69" s="12"/>
      <c r="J69" s="113">
        <v>0</v>
      </c>
      <c r="K69" s="12"/>
      <c r="L69" s="114">
        <v>29167090</v>
      </c>
      <c r="M69" s="12"/>
      <c r="N69" s="114">
        <v>169466517260</v>
      </c>
      <c r="O69" s="12"/>
      <c r="P69" s="60">
        <v>-140253073100</v>
      </c>
      <c r="Q69" s="12"/>
      <c r="R69" s="113">
        <v>29213444160</v>
      </c>
      <c r="S69" s="174"/>
      <c r="T69" s="160"/>
    </row>
    <row r="70" spans="2:20">
      <c r="B70" s="12" t="s">
        <v>195</v>
      </c>
      <c r="C70" s="175"/>
      <c r="D70" s="114">
        <v>0</v>
      </c>
      <c r="E70" s="114"/>
      <c r="F70" s="114">
        <v>0</v>
      </c>
      <c r="G70" s="12"/>
      <c r="H70" s="60">
        <v>0</v>
      </c>
      <c r="I70" s="12"/>
      <c r="J70" s="113">
        <v>0</v>
      </c>
      <c r="K70" s="12"/>
      <c r="L70" s="114">
        <v>10000000</v>
      </c>
      <c r="M70" s="12"/>
      <c r="N70" s="114">
        <v>38860864777</v>
      </c>
      <c r="O70" s="12"/>
      <c r="P70" s="60">
        <v>-56454832765</v>
      </c>
      <c r="Q70" s="12"/>
      <c r="R70" s="113">
        <v>-17593967988</v>
      </c>
      <c r="S70" s="174"/>
      <c r="T70" s="160"/>
    </row>
    <row r="71" spans="2:20">
      <c r="B71" s="12" t="s">
        <v>269</v>
      </c>
      <c r="C71" s="175"/>
      <c r="D71" s="114">
        <v>0</v>
      </c>
      <c r="E71" s="114"/>
      <c r="F71" s="114">
        <v>0</v>
      </c>
      <c r="G71" s="12"/>
      <c r="H71" s="60">
        <v>0</v>
      </c>
      <c r="I71" s="12"/>
      <c r="J71" s="113">
        <v>0</v>
      </c>
      <c r="K71" s="12"/>
      <c r="L71" s="114">
        <v>100000</v>
      </c>
      <c r="M71" s="12"/>
      <c r="N71" s="114">
        <v>4115321807</v>
      </c>
      <c r="O71" s="12"/>
      <c r="P71" s="60">
        <v>-3787915314</v>
      </c>
      <c r="Q71" s="12"/>
      <c r="R71" s="113">
        <v>327406493</v>
      </c>
      <c r="S71" s="174"/>
      <c r="T71" s="160"/>
    </row>
    <row r="72" spans="2:20">
      <c r="B72" s="12" t="s">
        <v>196</v>
      </c>
      <c r="C72" s="175"/>
      <c r="D72" s="114">
        <v>0</v>
      </c>
      <c r="E72" s="114"/>
      <c r="F72" s="114">
        <v>0</v>
      </c>
      <c r="G72" s="12"/>
      <c r="H72" s="60">
        <v>0</v>
      </c>
      <c r="I72" s="12"/>
      <c r="J72" s="113">
        <v>0</v>
      </c>
      <c r="K72" s="12"/>
      <c r="L72" s="114">
        <v>9100000</v>
      </c>
      <c r="M72" s="12"/>
      <c r="N72" s="114">
        <v>123917346802</v>
      </c>
      <c r="O72" s="12"/>
      <c r="P72" s="60">
        <v>-132769794012</v>
      </c>
      <c r="Q72" s="12"/>
      <c r="R72" s="113">
        <v>-8852447210</v>
      </c>
      <c r="S72" s="174"/>
      <c r="T72" s="160"/>
    </row>
    <row r="73" spans="2:20">
      <c r="B73" s="12" t="s">
        <v>135</v>
      </c>
      <c r="C73" s="175"/>
      <c r="D73" s="114">
        <v>0</v>
      </c>
      <c r="E73" s="114"/>
      <c r="F73" s="114">
        <v>0</v>
      </c>
      <c r="G73" s="12"/>
      <c r="H73" s="60">
        <v>0</v>
      </c>
      <c r="I73" s="12"/>
      <c r="J73" s="113">
        <v>0</v>
      </c>
      <c r="K73" s="12"/>
      <c r="L73" s="114">
        <v>364998</v>
      </c>
      <c r="M73" s="12"/>
      <c r="N73" s="114">
        <v>1669452833</v>
      </c>
      <c r="O73" s="12"/>
      <c r="P73" s="60">
        <v>-1779995754</v>
      </c>
      <c r="Q73" s="12"/>
      <c r="R73" s="113">
        <v>-110542921</v>
      </c>
      <c r="S73" s="174"/>
      <c r="T73" s="160"/>
    </row>
    <row r="74" spans="2:20">
      <c r="B74" s="12" t="s">
        <v>240</v>
      </c>
      <c r="C74" s="175"/>
      <c r="D74" s="114">
        <v>0</v>
      </c>
      <c r="E74" s="114"/>
      <c r="F74" s="114">
        <v>0</v>
      </c>
      <c r="G74" s="12"/>
      <c r="H74" s="60">
        <v>0</v>
      </c>
      <c r="I74" s="12"/>
      <c r="J74" s="113">
        <v>0</v>
      </c>
      <c r="K74" s="12"/>
      <c r="L74" s="114">
        <v>14000000</v>
      </c>
      <c r="M74" s="12"/>
      <c r="N74" s="114">
        <v>49376310474</v>
      </c>
      <c r="O74" s="12"/>
      <c r="P74" s="60">
        <v>-46226459745</v>
      </c>
      <c r="Q74" s="12"/>
      <c r="R74" s="113">
        <v>3149850729</v>
      </c>
      <c r="S74" s="174"/>
      <c r="T74" s="160"/>
    </row>
    <row r="75" spans="2:20">
      <c r="B75" s="12" t="s">
        <v>283</v>
      </c>
      <c r="C75" s="175"/>
      <c r="D75" s="114">
        <v>0</v>
      </c>
      <c r="E75" s="114"/>
      <c r="F75" s="114">
        <v>0</v>
      </c>
      <c r="G75" s="12"/>
      <c r="H75" s="60">
        <v>0</v>
      </c>
      <c r="I75" s="12"/>
      <c r="J75" s="113">
        <v>0</v>
      </c>
      <c r="K75" s="12"/>
      <c r="L75" s="114">
        <v>866</v>
      </c>
      <c r="M75" s="12"/>
      <c r="N75" s="114">
        <v>2950834</v>
      </c>
      <c r="O75" s="12"/>
      <c r="P75" s="60">
        <v>-2892418</v>
      </c>
      <c r="Q75" s="12"/>
      <c r="R75" s="113">
        <v>58416</v>
      </c>
      <c r="S75" s="174"/>
      <c r="T75" s="160"/>
    </row>
    <row r="76" spans="2:20">
      <c r="B76" s="12" t="s">
        <v>158</v>
      </c>
      <c r="C76" s="175"/>
      <c r="D76" s="114">
        <v>0</v>
      </c>
      <c r="E76" s="114"/>
      <c r="F76" s="114">
        <v>0</v>
      </c>
      <c r="G76" s="12"/>
      <c r="H76" s="60">
        <v>0</v>
      </c>
      <c r="I76" s="12"/>
      <c r="J76" s="113">
        <v>0</v>
      </c>
      <c r="K76" s="12"/>
      <c r="L76" s="114">
        <v>1000000</v>
      </c>
      <c r="M76" s="12"/>
      <c r="N76" s="114">
        <v>7418294945</v>
      </c>
      <c r="O76" s="12"/>
      <c r="P76" s="60">
        <v>-6391741500</v>
      </c>
      <c r="Q76" s="12"/>
      <c r="R76" s="113">
        <v>1026553445</v>
      </c>
      <c r="S76" s="174"/>
      <c r="T76" s="160"/>
    </row>
    <row r="77" spans="2:20">
      <c r="B77" s="12" t="s">
        <v>171</v>
      </c>
      <c r="C77" s="175"/>
      <c r="D77" s="114">
        <v>0</v>
      </c>
      <c r="E77" s="114"/>
      <c r="F77" s="114">
        <v>0</v>
      </c>
      <c r="G77" s="12"/>
      <c r="H77" s="60">
        <v>0</v>
      </c>
      <c r="I77" s="12"/>
      <c r="J77" s="113">
        <v>0</v>
      </c>
      <c r="K77" s="12"/>
      <c r="L77" s="114">
        <v>5233155</v>
      </c>
      <c r="M77" s="12"/>
      <c r="N77" s="114">
        <v>38009415924</v>
      </c>
      <c r="O77" s="12"/>
      <c r="P77" s="60">
        <v>-39171193489</v>
      </c>
      <c r="Q77" s="12"/>
      <c r="R77" s="113">
        <v>-1161777565</v>
      </c>
      <c r="S77" s="174"/>
      <c r="T77" s="160"/>
    </row>
    <row r="78" spans="2:20">
      <c r="B78" s="12" t="s">
        <v>113</v>
      </c>
      <c r="C78" s="175"/>
      <c r="D78" s="114">
        <v>0</v>
      </c>
      <c r="E78" s="114"/>
      <c r="F78" s="114">
        <v>0</v>
      </c>
      <c r="G78" s="12"/>
      <c r="H78" s="60">
        <v>0</v>
      </c>
      <c r="I78" s="12"/>
      <c r="J78" s="113">
        <v>0</v>
      </c>
      <c r="K78" s="12"/>
      <c r="L78" s="114">
        <v>58652817</v>
      </c>
      <c r="M78" s="12"/>
      <c r="N78" s="114">
        <v>340476824506</v>
      </c>
      <c r="O78" s="12"/>
      <c r="P78" s="60">
        <v>-218376116647</v>
      </c>
      <c r="Q78" s="12"/>
      <c r="R78" s="113">
        <v>122100707859</v>
      </c>
      <c r="S78" s="174"/>
      <c r="T78" s="160"/>
    </row>
    <row r="79" spans="2:20">
      <c r="B79" s="12" t="s">
        <v>273</v>
      </c>
      <c r="C79" s="175"/>
      <c r="D79" s="114">
        <v>0</v>
      </c>
      <c r="E79" s="114"/>
      <c r="F79" s="114">
        <v>0</v>
      </c>
      <c r="G79" s="12"/>
      <c r="H79" s="60">
        <v>0</v>
      </c>
      <c r="I79" s="12"/>
      <c r="J79" s="113">
        <v>0</v>
      </c>
      <c r="K79" s="12"/>
      <c r="L79" s="114">
        <v>455</v>
      </c>
      <c r="M79" s="12"/>
      <c r="N79" s="114">
        <v>19054489</v>
      </c>
      <c r="O79" s="12"/>
      <c r="P79" s="60">
        <v>-17098226</v>
      </c>
      <c r="Q79" s="12"/>
      <c r="R79" s="113">
        <v>1956263</v>
      </c>
      <c r="S79" s="174"/>
      <c r="T79" s="160"/>
    </row>
    <row r="80" spans="2:20">
      <c r="B80" s="12" t="s">
        <v>180</v>
      </c>
      <c r="C80" s="175"/>
      <c r="D80" s="114">
        <v>0</v>
      </c>
      <c r="E80" s="114"/>
      <c r="F80" s="114">
        <v>0</v>
      </c>
      <c r="G80" s="12"/>
      <c r="H80" s="60">
        <v>0</v>
      </c>
      <c r="I80" s="12"/>
      <c r="J80" s="113">
        <v>0</v>
      </c>
      <c r="K80" s="12"/>
      <c r="L80" s="114">
        <v>23344072</v>
      </c>
      <c r="M80" s="12"/>
      <c r="N80" s="114">
        <v>51120926313</v>
      </c>
      <c r="O80" s="12"/>
      <c r="P80" s="60">
        <v>-48478495732</v>
      </c>
      <c r="Q80" s="12"/>
      <c r="R80" s="113">
        <v>2642430581</v>
      </c>
      <c r="S80" s="174"/>
      <c r="T80" s="160"/>
    </row>
    <row r="81" spans="2:20">
      <c r="B81" s="12" t="s">
        <v>149</v>
      </c>
      <c r="C81" s="175"/>
      <c r="D81" s="114">
        <v>0</v>
      </c>
      <c r="E81" s="114"/>
      <c r="F81" s="114">
        <v>0</v>
      </c>
      <c r="G81" s="12"/>
      <c r="H81" s="60">
        <v>0</v>
      </c>
      <c r="I81" s="12"/>
      <c r="J81" s="113">
        <v>0</v>
      </c>
      <c r="K81" s="12"/>
      <c r="L81" s="114">
        <v>2293414</v>
      </c>
      <c r="M81" s="12"/>
      <c r="N81" s="114">
        <v>12408221385</v>
      </c>
      <c r="O81" s="12"/>
      <c r="P81" s="60">
        <v>-11809199207</v>
      </c>
      <c r="Q81" s="12"/>
      <c r="R81" s="113">
        <v>599022178</v>
      </c>
      <c r="S81" s="174"/>
      <c r="T81" s="160"/>
    </row>
    <row r="82" spans="2:20">
      <c r="B82" s="12" t="s">
        <v>119</v>
      </c>
      <c r="C82" s="175"/>
      <c r="D82" s="114">
        <v>0</v>
      </c>
      <c r="E82" s="114"/>
      <c r="F82" s="114">
        <v>0</v>
      </c>
      <c r="G82" s="12"/>
      <c r="H82" s="60">
        <v>0</v>
      </c>
      <c r="I82" s="12"/>
      <c r="J82" s="113">
        <v>0</v>
      </c>
      <c r="K82" s="12"/>
      <c r="L82" s="114">
        <v>6166666</v>
      </c>
      <c r="M82" s="12"/>
      <c r="N82" s="114">
        <v>283572803123</v>
      </c>
      <c r="O82" s="12"/>
      <c r="P82" s="60">
        <v>-269284302532</v>
      </c>
      <c r="Q82" s="12"/>
      <c r="R82" s="113">
        <v>14288500591</v>
      </c>
      <c r="S82" s="174"/>
      <c r="T82" s="160"/>
    </row>
    <row r="83" spans="2:20">
      <c r="B83" s="12" t="s">
        <v>105</v>
      </c>
      <c r="C83" s="175"/>
      <c r="D83" s="114">
        <v>0</v>
      </c>
      <c r="E83" s="114"/>
      <c r="F83" s="114">
        <v>0</v>
      </c>
      <c r="G83" s="12"/>
      <c r="H83" s="60">
        <v>0</v>
      </c>
      <c r="I83" s="12"/>
      <c r="J83" s="113">
        <v>0</v>
      </c>
      <c r="K83" s="12"/>
      <c r="L83" s="114">
        <v>128947</v>
      </c>
      <c r="M83" s="12"/>
      <c r="N83" s="114">
        <v>259917481</v>
      </c>
      <c r="O83" s="12"/>
      <c r="P83" s="60">
        <v>-231364476</v>
      </c>
      <c r="Q83" s="12"/>
      <c r="R83" s="113">
        <v>28553005</v>
      </c>
      <c r="S83" s="174"/>
      <c r="T83" s="160"/>
    </row>
    <row r="84" spans="2:20">
      <c r="B84" s="12" t="s">
        <v>184</v>
      </c>
      <c r="C84" s="175"/>
      <c r="D84" s="114">
        <v>0</v>
      </c>
      <c r="E84" s="114"/>
      <c r="F84" s="114">
        <v>0</v>
      </c>
      <c r="G84" s="12"/>
      <c r="H84" s="60">
        <v>0</v>
      </c>
      <c r="I84" s="12"/>
      <c r="J84" s="113">
        <v>0</v>
      </c>
      <c r="K84" s="12"/>
      <c r="L84" s="114">
        <v>4797393</v>
      </c>
      <c r="M84" s="12"/>
      <c r="N84" s="114">
        <v>100451005427</v>
      </c>
      <c r="O84" s="12"/>
      <c r="P84" s="60">
        <v>-91837693253</v>
      </c>
      <c r="Q84" s="12"/>
      <c r="R84" s="113">
        <v>8613312174</v>
      </c>
      <c r="S84" s="174"/>
      <c r="T84" s="160"/>
    </row>
    <row r="85" spans="2:20">
      <c r="B85" s="12" t="s">
        <v>192</v>
      </c>
      <c r="C85" s="175"/>
      <c r="D85" s="114">
        <v>0</v>
      </c>
      <c r="E85" s="114"/>
      <c r="F85" s="114">
        <v>0</v>
      </c>
      <c r="G85" s="12"/>
      <c r="H85" s="60">
        <v>0</v>
      </c>
      <c r="I85" s="12"/>
      <c r="J85" s="113">
        <v>0</v>
      </c>
      <c r="K85" s="12"/>
      <c r="L85" s="114">
        <v>11896792</v>
      </c>
      <c r="M85" s="12"/>
      <c r="N85" s="114">
        <v>42929345044</v>
      </c>
      <c r="O85" s="12"/>
      <c r="P85" s="60">
        <v>-43074217314</v>
      </c>
      <c r="Q85" s="12"/>
      <c r="R85" s="113">
        <v>-144872270</v>
      </c>
      <c r="S85" s="174"/>
      <c r="T85" s="160"/>
    </row>
    <row r="86" spans="2:20">
      <c r="B86" s="12" t="s">
        <v>232</v>
      </c>
      <c r="C86" s="175"/>
      <c r="D86" s="114">
        <v>0</v>
      </c>
      <c r="E86" s="114"/>
      <c r="F86" s="114">
        <v>0</v>
      </c>
      <c r="G86" s="12"/>
      <c r="H86" s="60">
        <v>0</v>
      </c>
      <c r="I86" s="12"/>
      <c r="J86" s="113">
        <v>0</v>
      </c>
      <c r="K86" s="12"/>
      <c r="L86" s="114">
        <v>2035713</v>
      </c>
      <c r="M86" s="12"/>
      <c r="N86" s="114">
        <v>137755574821</v>
      </c>
      <c r="O86" s="12"/>
      <c r="P86" s="60">
        <v>-103932356668</v>
      </c>
      <c r="Q86" s="12"/>
      <c r="R86" s="113">
        <v>33823218153</v>
      </c>
      <c r="S86" s="174"/>
      <c r="T86" s="160"/>
    </row>
    <row r="87" spans="2:20">
      <c r="B87" s="12" t="s">
        <v>165</v>
      </c>
      <c r="C87" s="175"/>
      <c r="D87" s="114">
        <v>0</v>
      </c>
      <c r="E87" s="114"/>
      <c r="F87" s="114">
        <v>0</v>
      </c>
      <c r="G87" s="12"/>
      <c r="H87" s="60">
        <v>0</v>
      </c>
      <c r="I87" s="12"/>
      <c r="J87" s="113">
        <v>0</v>
      </c>
      <c r="K87" s="12"/>
      <c r="L87" s="114">
        <v>1750000</v>
      </c>
      <c r="M87" s="12"/>
      <c r="N87" s="114">
        <v>6827446173</v>
      </c>
      <c r="O87" s="12"/>
      <c r="P87" s="60">
        <v>-4695146662</v>
      </c>
      <c r="Q87" s="12"/>
      <c r="R87" s="113">
        <v>2132299511</v>
      </c>
      <c r="S87" s="174"/>
      <c r="T87" s="160"/>
    </row>
    <row r="88" spans="2:20">
      <c r="B88" s="12" t="s">
        <v>116</v>
      </c>
      <c r="C88" s="175"/>
      <c r="D88" s="114">
        <v>0</v>
      </c>
      <c r="E88" s="114"/>
      <c r="F88" s="114">
        <v>0</v>
      </c>
      <c r="G88" s="12"/>
      <c r="H88" s="60">
        <v>0</v>
      </c>
      <c r="I88" s="12"/>
      <c r="J88" s="113">
        <v>0</v>
      </c>
      <c r="K88" s="12"/>
      <c r="L88" s="114">
        <v>83599000</v>
      </c>
      <c r="M88" s="12"/>
      <c r="N88" s="114">
        <v>224668426760</v>
      </c>
      <c r="O88" s="12"/>
      <c r="P88" s="60">
        <v>-299480234153</v>
      </c>
      <c r="Q88" s="12"/>
      <c r="R88" s="113">
        <v>-74811807393</v>
      </c>
      <c r="S88" s="174"/>
      <c r="T88" s="160"/>
    </row>
    <row r="89" spans="2:20">
      <c r="B89" s="12" t="s">
        <v>262</v>
      </c>
      <c r="C89" s="175"/>
      <c r="D89" s="114">
        <v>0</v>
      </c>
      <c r="E89" s="114"/>
      <c r="F89" s="114">
        <v>0</v>
      </c>
      <c r="G89" s="12"/>
      <c r="H89" s="60">
        <v>0</v>
      </c>
      <c r="I89" s="12"/>
      <c r="J89" s="113">
        <v>0</v>
      </c>
      <c r="K89" s="12"/>
      <c r="L89" s="114">
        <v>2083</v>
      </c>
      <c r="M89" s="12"/>
      <c r="N89" s="114">
        <v>6276643</v>
      </c>
      <c r="O89" s="12"/>
      <c r="P89" s="60">
        <v>-8311170</v>
      </c>
      <c r="Q89" s="12"/>
      <c r="R89" s="113">
        <v>-2034527</v>
      </c>
      <c r="S89" s="174"/>
      <c r="T89" s="160"/>
    </row>
    <row r="90" spans="2:20">
      <c r="B90" s="12" t="s">
        <v>156</v>
      </c>
      <c r="C90" s="175"/>
      <c r="D90" s="114">
        <v>0</v>
      </c>
      <c r="E90" s="114"/>
      <c r="F90" s="114">
        <v>0</v>
      </c>
      <c r="G90" s="12"/>
      <c r="H90" s="60">
        <v>0</v>
      </c>
      <c r="I90" s="12"/>
      <c r="J90" s="113">
        <v>0</v>
      </c>
      <c r="K90" s="12"/>
      <c r="L90" s="114">
        <v>225000</v>
      </c>
      <c r="M90" s="12"/>
      <c r="N90" s="114">
        <v>4731339625</v>
      </c>
      <c r="O90" s="12"/>
      <c r="P90" s="60">
        <v>-3086525250</v>
      </c>
      <c r="Q90" s="12"/>
      <c r="R90" s="113">
        <v>1644814375</v>
      </c>
      <c r="S90" s="174"/>
      <c r="T90" s="160"/>
    </row>
    <row r="91" spans="2:20">
      <c r="B91" s="12" t="s">
        <v>237</v>
      </c>
      <c r="C91" s="175"/>
      <c r="D91" s="114">
        <v>0</v>
      </c>
      <c r="E91" s="114"/>
      <c r="F91" s="114">
        <v>0</v>
      </c>
      <c r="G91" s="12"/>
      <c r="H91" s="60">
        <v>0</v>
      </c>
      <c r="I91" s="12"/>
      <c r="J91" s="113">
        <v>0</v>
      </c>
      <c r="K91" s="12"/>
      <c r="L91" s="114">
        <v>20000000</v>
      </c>
      <c r="M91" s="12"/>
      <c r="N91" s="114">
        <v>72088004681</v>
      </c>
      <c r="O91" s="12"/>
      <c r="P91" s="60">
        <v>-51445711257</v>
      </c>
      <c r="Q91" s="12"/>
      <c r="R91" s="113">
        <v>20642293424</v>
      </c>
      <c r="S91" s="174"/>
      <c r="T91" s="160"/>
    </row>
    <row r="92" spans="2:20">
      <c r="B92" s="12" t="s">
        <v>170</v>
      </c>
      <c r="C92" s="175"/>
      <c r="D92" s="114">
        <v>0</v>
      </c>
      <c r="E92" s="114"/>
      <c r="F92" s="114">
        <v>0</v>
      </c>
      <c r="G92" s="12"/>
      <c r="H92" s="60">
        <v>0</v>
      </c>
      <c r="I92" s="12"/>
      <c r="J92" s="113">
        <v>0</v>
      </c>
      <c r="K92" s="12"/>
      <c r="L92" s="114">
        <v>1999999</v>
      </c>
      <c r="M92" s="12"/>
      <c r="N92" s="114">
        <v>8638310933</v>
      </c>
      <c r="O92" s="12"/>
      <c r="P92" s="60">
        <v>-7151192124</v>
      </c>
      <c r="Q92" s="12"/>
      <c r="R92" s="113">
        <v>1487118809</v>
      </c>
      <c r="S92" s="174"/>
      <c r="T92" s="160"/>
    </row>
    <row r="93" spans="2:20">
      <c r="B93" s="12" t="s">
        <v>175</v>
      </c>
      <c r="C93" s="175"/>
      <c r="D93" s="114">
        <v>0</v>
      </c>
      <c r="E93" s="114"/>
      <c r="F93" s="114">
        <v>0</v>
      </c>
      <c r="G93" s="12"/>
      <c r="H93" s="60">
        <v>0</v>
      </c>
      <c r="I93" s="12"/>
      <c r="J93" s="113">
        <v>0</v>
      </c>
      <c r="K93" s="12"/>
      <c r="L93" s="114">
        <v>15297352</v>
      </c>
      <c r="M93" s="12"/>
      <c r="N93" s="114">
        <v>124115112292</v>
      </c>
      <c r="O93" s="12"/>
      <c r="P93" s="60">
        <v>-120944002623</v>
      </c>
      <c r="Q93" s="12"/>
      <c r="R93" s="113">
        <v>3171109669</v>
      </c>
      <c r="S93" s="174"/>
      <c r="T93" s="160"/>
    </row>
    <row r="94" spans="2:20">
      <c r="B94" s="12" t="s">
        <v>142</v>
      </c>
      <c r="C94" s="175"/>
      <c r="D94" s="114">
        <v>0</v>
      </c>
      <c r="E94" s="114"/>
      <c r="F94" s="114">
        <v>0</v>
      </c>
      <c r="G94" s="12"/>
      <c r="H94" s="60">
        <v>0</v>
      </c>
      <c r="I94" s="12"/>
      <c r="J94" s="113">
        <v>0</v>
      </c>
      <c r="K94" s="12"/>
      <c r="L94" s="114">
        <v>25777644</v>
      </c>
      <c r="M94" s="12"/>
      <c r="N94" s="114">
        <v>63229742834</v>
      </c>
      <c r="O94" s="12"/>
      <c r="P94" s="60">
        <v>-61292477531</v>
      </c>
      <c r="Q94" s="12"/>
      <c r="R94" s="113">
        <v>1937265303</v>
      </c>
      <c r="S94" s="174"/>
      <c r="T94" s="160"/>
    </row>
    <row r="95" spans="2:20">
      <c r="B95" s="12" t="s">
        <v>202</v>
      </c>
      <c r="C95" s="175"/>
      <c r="D95" s="114">
        <v>0</v>
      </c>
      <c r="E95" s="114"/>
      <c r="F95" s="114">
        <v>0</v>
      </c>
      <c r="G95" s="12"/>
      <c r="H95" s="60">
        <v>0</v>
      </c>
      <c r="I95" s="12"/>
      <c r="J95" s="113">
        <v>0</v>
      </c>
      <c r="K95" s="12"/>
      <c r="L95" s="114">
        <v>10000000</v>
      </c>
      <c r="M95" s="12"/>
      <c r="N95" s="114">
        <v>14127514473</v>
      </c>
      <c r="O95" s="12"/>
      <c r="P95" s="60">
        <v>-12914583067</v>
      </c>
      <c r="Q95" s="12"/>
      <c r="R95" s="113">
        <v>1212931406</v>
      </c>
      <c r="S95" s="174"/>
      <c r="T95" s="160"/>
    </row>
    <row r="96" spans="2:20">
      <c r="B96" s="12" t="s">
        <v>182</v>
      </c>
      <c r="C96" s="175"/>
      <c r="D96" s="114">
        <v>0</v>
      </c>
      <c r="E96" s="114"/>
      <c r="F96" s="114">
        <v>0</v>
      </c>
      <c r="G96" s="12"/>
      <c r="H96" s="60">
        <v>0</v>
      </c>
      <c r="I96" s="12"/>
      <c r="J96" s="113">
        <v>0</v>
      </c>
      <c r="K96" s="12"/>
      <c r="L96" s="114">
        <v>33018562</v>
      </c>
      <c r="M96" s="12"/>
      <c r="N96" s="114">
        <v>60477350165</v>
      </c>
      <c r="O96" s="12"/>
      <c r="P96" s="60">
        <v>-53566408497</v>
      </c>
      <c r="Q96" s="12"/>
      <c r="R96" s="113">
        <v>6910941668</v>
      </c>
      <c r="S96" s="174"/>
      <c r="T96" s="160"/>
    </row>
    <row r="97" spans="2:20">
      <c r="B97" s="12" t="s">
        <v>193</v>
      </c>
      <c r="C97" s="175"/>
      <c r="D97" s="114">
        <v>0</v>
      </c>
      <c r="E97" s="114"/>
      <c r="F97" s="114">
        <v>0</v>
      </c>
      <c r="G97" s="12"/>
      <c r="H97" s="60">
        <v>0</v>
      </c>
      <c r="I97" s="12"/>
      <c r="J97" s="113">
        <v>0</v>
      </c>
      <c r="K97" s="12"/>
      <c r="L97" s="114">
        <v>9190000</v>
      </c>
      <c r="M97" s="12"/>
      <c r="N97" s="114">
        <v>116496701537</v>
      </c>
      <c r="O97" s="12"/>
      <c r="P97" s="60">
        <v>-131419390934</v>
      </c>
      <c r="Q97" s="12"/>
      <c r="R97" s="113">
        <v>-14922689397</v>
      </c>
      <c r="S97" s="174"/>
      <c r="T97" s="160"/>
    </row>
    <row r="98" spans="2:20">
      <c r="B98" s="12" t="s">
        <v>118</v>
      </c>
      <c r="C98" s="175"/>
      <c r="D98" s="114">
        <v>0</v>
      </c>
      <c r="E98" s="114"/>
      <c r="F98" s="114">
        <v>0</v>
      </c>
      <c r="G98" s="12"/>
      <c r="H98" s="60">
        <v>0</v>
      </c>
      <c r="I98" s="12"/>
      <c r="J98" s="113">
        <v>0</v>
      </c>
      <c r="K98" s="12"/>
      <c r="L98" s="114">
        <v>6201912</v>
      </c>
      <c r="M98" s="12"/>
      <c r="N98" s="114">
        <v>273413353555</v>
      </c>
      <c r="O98" s="12"/>
      <c r="P98" s="60">
        <v>-398012725843</v>
      </c>
      <c r="Q98" s="12"/>
      <c r="R98" s="113">
        <v>-124599372288</v>
      </c>
      <c r="S98" s="174"/>
      <c r="T98" s="160"/>
    </row>
    <row r="99" spans="2:20">
      <c r="B99" s="12" t="s">
        <v>197</v>
      </c>
      <c r="C99" s="175"/>
      <c r="D99" s="114">
        <v>0</v>
      </c>
      <c r="E99" s="114"/>
      <c r="F99" s="114">
        <v>0</v>
      </c>
      <c r="G99" s="12"/>
      <c r="H99" s="60">
        <v>0</v>
      </c>
      <c r="I99" s="12"/>
      <c r="J99" s="113">
        <v>0</v>
      </c>
      <c r="K99" s="12"/>
      <c r="L99" s="114">
        <v>200000</v>
      </c>
      <c r="M99" s="12"/>
      <c r="N99" s="114">
        <v>6493889149</v>
      </c>
      <c r="O99" s="12"/>
      <c r="P99" s="60">
        <v>-5203733600</v>
      </c>
      <c r="Q99" s="12"/>
      <c r="R99" s="113">
        <v>1290155549</v>
      </c>
      <c r="S99" s="174"/>
      <c r="T99" s="160"/>
    </row>
    <row r="100" spans="2:20">
      <c r="B100" s="12" t="s">
        <v>126</v>
      </c>
      <c r="C100" s="175"/>
      <c r="D100" s="114">
        <v>0</v>
      </c>
      <c r="E100" s="114"/>
      <c r="F100" s="114">
        <v>0</v>
      </c>
      <c r="G100" s="12"/>
      <c r="H100" s="60">
        <v>0</v>
      </c>
      <c r="I100" s="12"/>
      <c r="J100" s="113">
        <v>0</v>
      </c>
      <c r="K100" s="12"/>
      <c r="L100" s="114">
        <v>48036566</v>
      </c>
      <c r="M100" s="12"/>
      <c r="N100" s="114">
        <v>30376622165</v>
      </c>
      <c r="O100" s="12"/>
      <c r="P100" s="60">
        <v>-25355157562</v>
      </c>
      <c r="Q100" s="12"/>
      <c r="R100" s="113">
        <v>5021464603</v>
      </c>
      <c r="S100" s="174"/>
      <c r="T100" s="160"/>
    </row>
    <row r="101" spans="2:20">
      <c r="B101" s="12" t="s">
        <v>174</v>
      </c>
      <c r="C101" s="175"/>
      <c r="D101" s="114">
        <v>0</v>
      </c>
      <c r="E101" s="114"/>
      <c r="F101" s="114">
        <v>0</v>
      </c>
      <c r="G101" s="12"/>
      <c r="H101" s="60">
        <v>0</v>
      </c>
      <c r="I101" s="12"/>
      <c r="J101" s="113">
        <v>0</v>
      </c>
      <c r="K101" s="12"/>
      <c r="L101" s="114">
        <v>500000</v>
      </c>
      <c r="M101" s="12"/>
      <c r="N101" s="114">
        <v>79824838253</v>
      </c>
      <c r="O101" s="12"/>
      <c r="P101" s="60">
        <v>-84310491490</v>
      </c>
      <c r="Q101" s="12"/>
      <c r="R101" s="113">
        <v>-4485653237</v>
      </c>
      <c r="S101" s="174"/>
      <c r="T101" s="160"/>
    </row>
    <row r="102" spans="2:20">
      <c r="B102" s="12" t="s">
        <v>267</v>
      </c>
      <c r="C102" s="175"/>
      <c r="D102" s="114">
        <v>0</v>
      </c>
      <c r="E102" s="114"/>
      <c r="F102" s="114">
        <v>0</v>
      </c>
      <c r="G102" s="12"/>
      <c r="H102" s="60">
        <v>0</v>
      </c>
      <c r="I102" s="12"/>
      <c r="J102" s="113">
        <v>0</v>
      </c>
      <c r="K102" s="12"/>
      <c r="L102" s="114">
        <v>4400001</v>
      </c>
      <c r="M102" s="12"/>
      <c r="N102" s="114">
        <v>17615766132</v>
      </c>
      <c r="O102" s="12"/>
      <c r="P102" s="60">
        <v>-16226444125</v>
      </c>
      <c r="Q102" s="12"/>
      <c r="R102" s="113">
        <v>1389322007</v>
      </c>
      <c r="S102" s="174"/>
      <c r="T102" s="160"/>
    </row>
    <row r="103" spans="2:20">
      <c r="B103" s="12" t="s">
        <v>254</v>
      </c>
      <c r="C103" s="175"/>
      <c r="D103" s="114">
        <v>0</v>
      </c>
      <c r="E103" s="114"/>
      <c r="F103" s="114">
        <v>0</v>
      </c>
      <c r="G103" s="12"/>
      <c r="H103" s="60">
        <v>0</v>
      </c>
      <c r="I103" s="12"/>
      <c r="J103" s="113">
        <v>0</v>
      </c>
      <c r="K103" s="12"/>
      <c r="L103" s="114">
        <v>26228</v>
      </c>
      <c r="M103" s="12"/>
      <c r="N103" s="114">
        <v>356337108208</v>
      </c>
      <c r="O103" s="12"/>
      <c r="P103" s="60">
        <v>-264441554182</v>
      </c>
      <c r="Q103" s="12"/>
      <c r="R103" s="113">
        <v>91895554026</v>
      </c>
      <c r="S103" s="174"/>
      <c r="T103" s="160"/>
    </row>
    <row r="104" spans="2:20">
      <c r="B104" s="12" t="s">
        <v>242</v>
      </c>
      <c r="C104" s="175"/>
      <c r="D104" s="114">
        <v>0</v>
      </c>
      <c r="E104" s="114"/>
      <c r="F104" s="114">
        <v>0</v>
      </c>
      <c r="G104" s="12"/>
      <c r="H104" s="60">
        <v>0</v>
      </c>
      <c r="I104" s="12"/>
      <c r="J104" s="113">
        <v>0</v>
      </c>
      <c r="K104" s="12"/>
      <c r="L104" s="114">
        <v>70000000</v>
      </c>
      <c r="M104" s="12"/>
      <c r="N104" s="114">
        <v>222952069368</v>
      </c>
      <c r="O104" s="12"/>
      <c r="P104" s="60">
        <v>-199449742480</v>
      </c>
      <c r="Q104" s="12"/>
      <c r="R104" s="113">
        <v>23502326888</v>
      </c>
      <c r="S104" s="174"/>
      <c r="T104" s="160"/>
    </row>
    <row r="105" spans="2:20" ht="25.9" customHeight="1">
      <c r="B105" s="12" t="s">
        <v>272</v>
      </c>
      <c r="C105" s="175"/>
      <c r="D105" s="114">
        <v>0</v>
      </c>
      <c r="E105" s="114"/>
      <c r="F105" s="114">
        <v>0</v>
      </c>
      <c r="G105" s="12"/>
      <c r="H105" s="60">
        <v>0</v>
      </c>
      <c r="I105" s="12"/>
      <c r="J105" s="113">
        <v>0</v>
      </c>
      <c r="K105" s="12"/>
      <c r="L105" s="114">
        <v>375000</v>
      </c>
      <c r="M105" s="12"/>
      <c r="N105" s="114">
        <v>3808782514</v>
      </c>
      <c r="O105" s="12"/>
      <c r="P105" s="60">
        <v>-3137744213</v>
      </c>
      <c r="Q105" s="12"/>
      <c r="R105" s="113">
        <v>671038301</v>
      </c>
    </row>
    <row r="106" spans="2:20" ht="25.9" customHeight="1">
      <c r="B106" s="12" t="s">
        <v>168</v>
      </c>
      <c r="C106" s="175"/>
      <c r="D106" s="114">
        <v>0</v>
      </c>
      <c r="E106" s="114"/>
      <c r="F106" s="114">
        <v>0</v>
      </c>
      <c r="G106" s="12"/>
      <c r="H106" s="60">
        <v>0</v>
      </c>
      <c r="I106" s="12"/>
      <c r="J106" s="113">
        <v>0</v>
      </c>
      <c r="K106" s="12"/>
      <c r="L106" s="114">
        <v>350000</v>
      </c>
      <c r="M106" s="12"/>
      <c r="N106" s="114">
        <v>16465764237</v>
      </c>
      <c r="O106" s="12"/>
      <c r="P106" s="60">
        <v>-14125450500</v>
      </c>
      <c r="Q106" s="12"/>
      <c r="R106" s="113">
        <v>2340313737</v>
      </c>
    </row>
    <row r="107" spans="2:20" ht="25.9" customHeight="1">
      <c r="B107" s="12" t="s">
        <v>128</v>
      </c>
      <c r="C107" s="175"/>
      <c r="D107" s="114">
        <v>0</v>
      </c>
      <c r="E107" s="114"/>
      <c r="F107" s="114">
        <v>0</v>
      </c>
      <c r="G107" s="12"/>
      <c r="H107" s="60">
        <v>0</v>
      </c>
      <c r="I107" s="12"/>
      <c r="J107" s="113">
        <v>0</v>
      </c>
      <c r="K107" s="12"/>
      <c r="L107" s="114">
        <v>55382580</v>
      </c>
      <c r="M107" s="12"/>
      <c r="N107" s="114">
        <v>150229605342</v>
      </c>
      <c r="O107" s="12"/>
      <c r="P107" s="60">
        <v>-147101759351</v>
      </c>
      <c r="Q107" s="12"/>
      <c r="R107" s="113">
        <v>3127845991</v>
      </c>
    </row>
    <row r="108" spans="2:20" ht="25.9" customHeight="1">
      <c r="B108" s="12" t="s">
        <v>167</v>
      </c>
      <c r="C108" s="175"/>
      <c r="D108" s="114">
        <v>0</v>
      </c>
      <c r="E108" s="114"/>
      <c r="F108" s="114">
        <v>0</v>
      </c>
      <c r="G108" s="12"/>
      <c r="H108" s="60">
        <v>0</v>
      </c>
      <c r="I108" s="12"/>
      <c r="J108" s="113">
        <v>0</v>
      </c>
      <c r="K108" s="12"/>
      <c r="L108" s="114">
        <v>900000</v>
      </c>
      <c r="M108" s="12"/>
      <c r="N108" s="114">
        <v>3553314347</v>
      </c>
      <c r="O108" s="12"/>
      <c r="P108" s="60">
        <v>-2980062495</v>
      </c>
      <c r="Q108" s="12"/>
      <c r="R108" s="113">
        <v>573251852</v>
      </c>
    </row>
    <row r="109" spans="2:20" ht="25.9" customHeight="1">
      <c r="B109" s="12" t="s">
        <v>117</v>
      </c>
      <c r="C109" s="175"/>
      <c r="D109" s="114">
        <v>0</v>
      </c>
      <c r="E109" s="114"/>
      <c r="F109" s="114">
        <v>0</v>
      </c>
      <c r="G109" s="12"/>
      <c r="H109" s="60">
        <v>0</v>
      </c>
      <c r="I109" s="12"/>
      <c r="J109" s="113">
        <v>0</v>
      </c>
      <c r="K109" s="12"/>
      <c r="L109" s="114">
        <v>1500629</v>
      </c>
      <c r="M109" s="12"/>
      <c r="N109" s="114">
        <v>801616971400</v>
      </c>
      <c r="O109" s="12"/>
      <c r="P109" s="60">
        <v>-435258872333</v>
      </c>
      <c r="Q109" s="12"/>
      <c r="R109" s="113">
        <v>366358099067</v>
      </c>
    </row>
    <row r="110" spans="2:20" ht="25.9" customHeight="1">
      <c r="B110" s="12" t="s">
        <v>146</v>
      </c>
      <c r="C110" s="175"/>
      <c r="D110" s="114">
        <v>0</v>
      </c>
      <c r="E110" s="114"/>
      <c r="F110" s="114">
        <v>0</v>
      </c>
      <c r="G110" s="12"/>
      <c r="H110" s="60">
        <v>0</v>
      </c>
      <c r="I110" s="12"/>
      <c r="J110" s="113">
        <v>0</v>
      </c>
      <c r="K110" s="12"/>
      <c r="L110" s="114">
        <v>3905556</v>
      </c>
      <c r="M110" s="12"/>
      <c r="N110" s="114">
        <v>14860811601</v>
      </c>
      <c r="O110" s="12"/>
      <c r="P110" s="60">
        <v>-15133275340</v>
      </c>
      <c r="Q110" s="12"/>
      <c r="R110" s="113">
        <v>-272463739</v>
      </c>
    </row>
    <row r="111" spans="2:20" ht="25.9" customHeight="1">
      <c r="B111" s="12" t="s">
        <v>241</v>
      </c>
      <c r="C111" s="175"/>
      <c r="D111" s="114">
        <v>0</v>
      </c>
      <c r="E111" s="114"/>
      <c r="F111" s="114">
        <v>0</v>
      </c>
      <c r="G111" s="12"/>
      <c r="H111" s="60">
        <v>0</v>
      </c>
      <c r="I111" s="12"/>
      <c r="J111" s="113">
        <v>0</v>
      </c>
      <c r="K111" s="12"/>
      <c r="L111" s="114">
        <v>31200000</v>
      </c>
      <c r="M111" s="12"/>
      <c r="N111" s="114">
        <v>237336521336</v>
      </c>
      <c r="O111" s="12"/>
      <c r="P111" s="60">
        <v>-196448018256</v>
      </c>
      <c r="Q111" s="12"/>
      <c r="R111" s="113">
        <v>40888503080</v>
      </c>
    </row>
    <row r="112" spans="2:20" ht="25.9" customHeight="1">
      <c r="B112" s="12" t="s">
        <v>176</v>
      </c>
      <c r="C112" s="175"/>
      <c r="D112" s="114">
        <v>0</v>
      </c>
      <c r="E112" s="114"/>
      <c r="F112" s="114">
        <v>0</v>
      </c>
      <c r="G112" s="12"/>
      <c r="H112" s="60">
        <v>0</v>
      </c>
      <c r="I112" s="12"/>
      <c r="J112" s="113">
        <v>0</v>
      </c>
      <c r="K112" s="12"/>
      <c r="L112" s="114">
        <v>1000000</v>
      </c>
      <c r="M112" s="12"/>
      <c r="N112" s="114">
        <v>83306795067</v>
      </c>
      <c r="O112" s="12"/>
      <c r="P112" s="60">
        <v>-80939563075</v>
      </c>
      <c r="Q112" s="12"/>
      <c r="R112" s="113">
        <v>2367231992</v>
      </c>
    </row>
    <row r="113" spans="2:18" ht="25.9" customHeight="1">
      <c r="B113" s="12" t="s">
        <v>259</v>
      </c>
      <c r="C113" s="175"/>
      <c r="D113" s="114">
        <v>0</v>
      </c>
      <c r="E113" s="114"/>
      <c r="F113" s="114">
        <v>0</v>
      </c>
      <c r="G113" s="12"/>
      <c r="H113" s="60">
        <v>0</v>
      </c>
      <c r="I113" s="12"/>
      <c r="J113" s="113">
        <v>0</v>
      </c>
      <c r="K113" s="12"/>
      <c r="L113" s="114">
        <v>133750</v>
      </c>
      <c r="M113" s="12"/>
      <c r="N113" s="114">
        <v>4548138053</v>
      </c>
      <c r="O113" s="12"/>
      <c r="P113" s="60">
        <v>-3787614254</v>
      </c>
      <c r="Q113" s="12"/>
      <c r="R113" s="113">
        <v>760523799</v>
      </c>
    </row>
    <row r="114" spans="2:18" ht="25.9" customHeight="1">
      <c r="B114" s="12" t="s">
        <v>268</v>
      </c>
      <c r="C114" s="175"/>
      <c r="D114" s="114">
        <v>0</v>
      </c>
      <c r="E114" s="114"/>
      <c r="F114" s="114">
        <v>0</v>
      </c>
      <c r="G114" s="12"/>
      <c r="H114" s="60">
        <v>0</v>
      </c>
      <c r="I114" s="12"/>
      <c r="J114" s="113">
        <v>0</v>
      </c>
      <c r="K114" s="12"/>
      <c r="L114" s="114">
        <v>837500</v>
      </c>
      <c r="M114" s="12"/>
      <c r="N114" s="114">
        <v>4041107071</v>
      </c>
      <c r="O114" s="12"/>
      <c r="P114" s="60">
        <v>-3566757137</v>
      </c>
      <c r="Q114" s="12"/>
      <c r="R114" s="113">
        <v>474349934</v>
      </c>
    </row>
    <row r="115" spans="2:18" ht="25.9" customHeight="1">
      <c r="B115" s="12" t="s">
        <v>233</v>
      </c>
      <c r="C115" s="175"/>
      <c r="D115" s="114">
        <v>0</v>
      </c>
      <c r="E115" s="114"/>
      <c r="F115" s="114">
        <v>0</v>
      </c>
      <c r="G115" s="12"/>
      <c r="H115" s="60">
        <v>0</v>
      </c>
      <c r="I115" s="12"/>
      <c r="J115" s="113">
        <v>0</v>
      </c>
      <c r="K115" s="12"/>
      <c r="L115" s="114">
        <v>26228</v>
      </c>
      <c r="M115" s="12"/>
      <c r="N115" s="114">
        <v>149809255587</v>
      </c>
      <c r="O115" s="12"/>
      <c r="P115" s="60">
        <v>-149809255586</v>
      </c>
      <c r="Q115" s="12"/>
      <c r="R115" s="113">
        <v>0</v>
      </c>
    </row>
    <row r="116" spans="2:18" ht="25.9" customHeight="1">
      <c r="B116" s="12" t="s">
        <v>145</v>
      </c>
      <c r="C116" s="175"/>
      <c r="D116" s="114">
        <v>0</v>
      </c>
      <c r="E116" s="114"/>
      <c r="F116" s="114">
        <v>0</v>
      </c>
      <c r="G116" s="12"/>
      <c r="H116" s="60">
        <v>0</v>
      </c>
      <c r="I116" s="12"/>
      <c r="J116" s="113">
        <v>0</v>
      </c>
      <c r="K116" s="12"/>
      <c r="L116" s="114">
        <v>286005623</v>
      </c>
      <c r="M116" s="12"/>
      <c r="N116" s="114">
        <v>161338723381</v>
      </c>
      <c r="O116" s="12"/>
      <c r="P116" s="60">
        <v>-176677667497</v>
      </c>
      <c r="Q116" s="12"/>
      <c r="R116" s="113">
        <v>-15338944116</v>
      </c>
    </row>
    <row r="117" spans="2:18" ht="25.9" customHeight="1">
      <c r="B117" s="12" t="s">
        <v>127</v>
      </c>
      <c r="C117" s="175"/>
      <c r="D117" s="114">
        <v>0</v>
      </c>
      <c r="E117" s="114"/>
      <c r="F117" s="114">
        <v>0</v>
      </c>
      <c r="G117" s="12"/>
      <c r="H117" s="60">
        <v>0</v>
      </c>
      <c r="I117" s="12"/>
      <c r="J117" s="113">
        <v>0</v>
      </c>
      <c r="K117" s="12"/>
      <c r="L117" s="114">
        <v>28366026</v>
      </c>
      <c r="M117" s="12"/>
      <c r="N117" s="114">
        <v>63949363618</v>
      </c>
      <c r="O117" s="12"/>
      <c r="P117" s="60">
        <v>-64746598860</v>
      </c>
      <c r="Q117" s="12"/>
      <c r="R117" s="113">
        <v>-797235242</v>
      </c>
    </row>
    <row r="118" spans="2:18" ht="19.5" customHeight="1">
      <c r="B118" s="12" t="s">
        <v>143</v>
      </c>
      <c r="C118" s="175"/>
      <c r="D118" s="114">
        <v>0</v>
      </c>
      <c r="E118" s="114"/>
      <c r="F118" s="114">
        <v>0</v>
      </c>
      <c r="G118" s="12"/>
      <c r="H118" s="60">
        <v>0</v>
      </c>
      <c r="I118" s="12"/>
      <c r="J118" s="113">
        <v>0</v>
      </c>
      <c r="K118" s="12"/>
      <c r="L118" s="114">
        <v>705319</v>
      </c>
      <c r="M118" s="12"/>
      <c r="N118" s="114">
        <v>22304178782</v>
      </c>
      <c r="O118" s="12"/>
      <c r="P118" s="60">
        <v>-26078961990</v>
      </c>
      <c r="Q118" s="12"/>
      <c r="R118" s="113">
        <v>-3774783208</v>
      </c>
    </row>
    <row r="119" spans="2:18" ht="22" thickBot="1">
      <c r="B119" s="178" t="s">
        <v>7</v>
      </c>
      <c r="C119" s="178"/>
      <c r="D119" s="126">
        <f>SUM(D64:D118)</f>
        <v>209238752</v>
      </c>
      <c r="E119" s="179"/>
      <c r="F119" s="126">
        <f>SUM(F64:F118)</f>
        <v>880416511874</v>
      </c>
      <c r="G119" s="179"/>
      <c r="H119" s="126">
        <f>SUM(H64:H118)</f>
        <v>-739482896732</v>
      </c>
      <c r="I119" s="179"/>
      <c r="J119" s="126">
        <f>SUM(J64:J118)</f>
        <v>140933615142</v>
      </c>
      <c r="K119" s="179"/>
      <c r="L119" s="126">
        <f>SUM(L64:L118)</f>
        <v>2864794413</v>
      </c>
      <c r="M119" s="179"/>
      <c r="N119" s="126">
        <f>SUM(N64:N118)</f>
        <v>11014154949193</v>
      </c>
      <c r="O119" s="179"/>
      <c r="P119" s="126">
        <f>SUM(P64:P118)</f>
        <v>-10139952121864</v>
      </c>
      <c r="Q119" s="179"/>
      <c r="R119" s="126">
        <f>SUM(R64:R118)</f>
        <v>874202827328</v>
      </c>
    </row>
    <row r="120" spans="2:18" ht="22" hidden="1" thickTop="1"/>
    <row r="121" spans="2:18" ht="22" hidden="1" thickTop="1"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2"/>
      <c r="M121" s="392"/>
      <c r="N121" s="392"/>
      <c r="O121" s="392"/>
      <c r="P121" s="392"/>
      <c r="Q121" s="392"/>
      <c r="R121" s="392"/>
    </row>
    <row r="122" spans="2:18" ht="22" thickTop="1"/>
    <row r="123" spans="2:18">
      <c r="P123" s="294"/>
    </row>
    <row r="124" spans="2:18">
      <c r="O124" s="93"/>
    </row>
    <row r="129" spans="5:23">
      <c r="E129" s="93"/>
      <c r="G129" s="93"/>
      <c r="I129" s="93"/>
      <c r="K129" s="93"/>
      <c r="M129" s="93"/>
      <c r="O129" s="93"/>
      <c r="Q129" s="93"/>
    </row>
    <row r="134" spans="5:23">
      <c r="V134" s="93"/>
      <c r="W134" s="60"/>
    </row>
    <row r="135" spans="5:23">
      <c r="V135" s="93"/>
      <c r="W135" s="60"/>
    </row>
    <row r="136" spans="5:23">
      <c r="V136" s="93"/>
      <c r="W136" s="60"/>
    </row>
    <row r="137" spans="5:23">
      <c r="V137" s="93"/>
      <c r="W137" s="60"/>
    </row>
    <row r="138" spans="5:23">
      <c r="V138" s="93"/>
      <c r="W138" s="60"/>
    </row>
    <row r="139" spans="5:23">
      <c r="V139" s="93"/>
      <c r="W139" s="60"/>
    </row>
    <row r="140" spans="5:23">
      <c r="V140" s="93"/>
      <c r="W140" s="60"/>
    </row>
    <row r="141" spans="5:23">
      <c r="V141" s="93"/>
      <c r="W141" s="60"/>
    </row>
    <row r="142" spans="5:23">
      <c r="V142" s="93"/>
      <c r="W142" s="60"/>
    </row>
    <row r="143" spans="5:23">
      <c r="V143" s="93"/>
      <c r="W143" s="60"/>
    </row>
    <row r="144" spans="5:23">
      <c r="V144" s="93"/>
      <c r="W144" s="60"/>
    </row>
    <row r="145" spans="22:23">
      <c r="V145" s="93"/>
      <c r="W145" s="60"/>
    </row>
    <row r="146" spans="22:23">
      <c r="V146" s="93"/>
      <c r="W146" s="60"/>
    </row>
    <row r="147" spans="22:23">
      <c r="V147" s="93"/>
      <c r="W147" s="60"/>
    </row>
    <row r="148" spans="22:23">
      <c r="V148" s="93"/>
      <c r="W148" s="60"/>
    </row>
    <row r="149" spans="22:23">
      <c r="V149" s="93"/>
      <c r="W149" s="60"/>
    </row>
    <row r="150" spans="22:23">
      <c r="V150" s="93"/>
      <c r="W150" s="60"/>
    </row>
    <row r="151" spans="22:23">
      <c r="V151" s="93"/>
      <c r="W151" s="60"/>
    </row>
    <row r="152" spans="22:23">
      <c r="V152" s="93"/>
      <c r="W152" s="60"/>
    </row>
    <row r="153" spans="22:23">
      <c r="V153" s="93"/>
      <c r="W153" s="60"/>
    </row>
    <row r="154" spans="22:23">
      <c r="V154" s="93"/>
      <c r="W154" s="60"/>
    </row>
    <row r="155" spans="22:23">
      <c r="V155" s="93"/>
      <c r="W155" s="60"/>
    </row>
    <row r="156" spans="22:23">
      <c r="V156" s="93"/>
      <c r="W156" s="60"/>
    </row>
    <row r="157" spans="22:23">
      <c r="V157" s="93"/>
      <c r="W157" s="60"/>
    </row>
    <row r="158" spans="22:23">
      <c r="V158" s="93"/>
      <c r="W158" s="60"/>
    </row>
    <row r="159" spans="22:23">
      <c r="V159" s="93"/>
      <c r="W159" s="60"/>
    </row>
  </sheetData>
  <mergeCells count="12">
    <mergeCell ref="B1:R1"/>
    <mergeCell ref="B2:R2"/>
    <mergeCell ref="B3:R3"/>
    <mergeCell ref="B121:R121"/>
    <mergeCell ref="D5:J5"/>
    <mergeCell ref="L5:R5"/>
    <mergeCell ref="B4:J4"/>
    <mergeCell ref="K4:R4"/>
    <mergeCell ref="B61:J61"/>
    <mergeCell ref="K61:R61"/>
    <mergeCell ref="D62:J62"/>
    <mergeCell ref="L62:R62"/>
  </mergeCells>
  <printOptions horizontalCentered="1"/>
  <pageMargins left="0.7" right="0.7" top="0.75" bottom="0.75" header="0.3" footer="0.3"/>
  <pageSetup paperSize="9" scale="36" orientation="landscape" r:id="rId1"/>
  <headerFooter>
    <oddFooter>&amp;C&amp;P</oddFooter>
  </headerFooter>
  <rowBreaks count="1" manualBreakCount="1">
    <brk id="60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796875" defaultRowHeight="21.5"/>
  <cols>
    <col min="1" max="1" width="7.453125" style="1" customWidth="1"/>
    <col min="2" max="2" width="30.26953125" style="1" bestFit="1" customWidth="1"/>
    <col min="3" max="3" width="15.1796875" style="1" bestFit="1" customWidth="1"/>
    <col min="4" max="4" width="0.7265625" style="1" customWidth="1"/>
    <col min="5" max="5" width="18.453125" style="1" bestFit="1" customWidth="1"/>
    <col min="6" max="6" width="0.7265625" style="1" customWidth="1"/>
    <col min="7" max="7" width="15.1796875" style="1" bestFit="1" customWidth="1"/>
    <col min="8" max="8" width="0.7265625" style="1" customWidth="1"/>
    <col min="9" max="9" width="10.54296875" style="1" bestFit="1" customWidth="1"/>
    <col min="10" max="10" width="0.7265625" style="1" customWidth="1"/>
    <col min="11" max="11" width="23.54296875" style="1" bestFit="1" customWidth="1"/>
    <col min="12" max="12" width="0.7265625" style="1" customWidth="1"/>
    <col min="13" max="13" width="15.1796875" style="1" bestFit="1" customWidth="1"/>
    <col min="14" max="14" width="0.7265625" style="1" customWidth="1"/>
    <col min="15" max="15" width="18.453125" style="1" bestFit="1" customWidth="1"/>
    <col min="16" max="16" width="0.26953125" style="1" customWidth="1"/>
    <col min="17" max="17" width="15.1796875" style="1" customWidth="1"/>
    <col min="18" max="18" width="10.453125" style="1" bestFit="1" customWidth="1"/>
    <col min="19" max="19" width="23.54296875" style="1" bestFit="1" customWidth="1"/>
    <col min="20" max="20" width="11.26953125" style="1" bestFit="1" customWidth="1"/>
    <col min="21" max="21" width="16.26953125" style="4" bestFit="1" customWidth="1"/>
    <col min="22" max="16384" width="9.1796875" style="1"/>
  </cols>
  <sheetData>
    <row r="1" spans="1:20" ht="23">
      <c r="A1" s="398" t="s">
        <v>107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</row>
    <row r="2" spans="1:20" ht="23">
      <c r="A2" s="398" t="s">
        <v>87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</row>
    <row r="3" spans="1:20" ht="23">
      <c r="A3" s="398" t="str">
        <f>' سهام'!AC6</f>
        <v>برای ماه منتهی به 1404/12/29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</row>
    <row r="4" spans="1:20" ht="23">
      <c r="B4" s="399" t="s">
        <v>155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44"/>
    </row>
    <row r="6" spans="1:20" ht="23.5" thickBot="1">
      <c r="B6" s="36"/>
      <c r="C6" s="397" t="str">
        <f>' سهام'!AC7</f>
        <v>طی اسفند ماه</v>
      </c>
      <c r="D6" s="397"/>
      <c r="E6" s="397"/>
      <c r="F6" s="397"/>
      <c r="G6" s="397"/>
      <c r="H6" s="397"/>
      <c r="I6" s="397"/>
      <c r="J6" s="397"/>
      <c r="K6" s="397"/>
      <c r="L6" s="52"/>
      <c r="M6" s="397" t="str">
        <f>' سهام'!AC8</f>
        <v>از ابتدای سال مالی تا پایان اسفند ماه</v>
      </c>
      <c r="N6" s="397"/>
      <c r="O6" s="397"/>
      <c r="P6" s="397"/>
      <c r="Q6" s="397"/>
      <c r="R6" s="397"/>
      <c r="S6" s="397"/>
    </row>
    <row r="7" spans="1:20" ht="20.25" customHeight="1">
      <c r="B7" s="394"/>
      <c r="C7" s="396" t="s">
        <v>25</v>
      </c>
      <c r="D7" s="396"/>
      <c r="E7" s="396" t="s">
        <v>22</v>
      </c>
      <c r="F7" s="394"/>
      <c r="G7" s="396" t="s">
        <v>23</v>
      </c>
      <c r="H7" s="395"/>
      <c r="I7" s="396" t="s">
        <v>7</v>
      </c>
      <c r="J7" s="396"/>
      <c r="K7" s="396"/>
      <c r="L7" s="53"/>
      <c r="M7" s="396" t="s">
        <v>25</v>
      </c>
      <c r="N7" s="396"/>
      <c r="O7" s="396" t="s">
        <v>22</v>
      </c>
      <c r="P7" s="394"/>
      <c r="Q7" s="396" t="s">
        <v>23</v>
      </c>
      <c r="R7" s="396" t="s">
        <v>7</v>
      </c>
      <c r="S7" s="396"/>
    </row>
    <row r="8" spans="1:20" ht="30" customHeight="1">
      <c r="B8" s="395"/>
      <c r="C8" s="397"/>
      <c r="D8" s="397"/>
      <c r="E8" s="397"/>
      <c r="F8" s="395"/>
      <c r="G8" s="397"/>
      <c r="H8" s="395"/>
      <c r="I8" s="397"/>
      <c r="J8" s="397"/>
      <c r="K8" s="397"/>
      <c r="L8" s="53"/>
      <c r="M8" s="397"/>
      <c r="N8" s="397"/>
      <c r="O8" s="397"/>
      <c r="P8" s="395"/>
      <c r="Q8" s="397"/>
      <c r="R8" s="397"/>
      <c r="S8" s="397"/>
    </row>
    <row r="9" spans="1:20" ht="23.5" thickBot="1">
      <c r="B9" s="395"/>
      <c r="C9" s="56" t="s">
        <v>95</v>
      </c>
      <c r="D9" s="397"/>
      <c r="E9" s="56" t="s">
        <v>92</v>
      </c>
      <c r="F9" s="395"/>
      <c r="G9" s="56" t="s">
        <v>133</v>
      </c>
      <c r="H9" s="395"/>
      <c r="I9" s="51" t="s">
        <v>100</v>
      </c>
      <c r="J9" s="51"/>
      <c r="K9" s="51" t="s">
        <v>101</v>
      </c>
      <c r="L9" s="53"/>
      <c r="M9" s="56" t="s">
        <v>95</v>
      </c>
      <c r="N9" s="397"/>
      <c r="O9" s="56" t="s">
        <v>92</v>
      </c>
      <c r="P9" s="395"/>
      <c r="Q9" s="56" t="s">
        <v>133</v>
      </c>
      <c r="R9" s="51" t="s">
        <v>100</v>
      </c>
      <c r="S9" s="51" t="s">
        <v>101</v>
      </c>
    </row>
    <row r="10" spans="1:20" ht="22" thickBot="1">
      <c r="B10" s="68" t="s">
        <v>102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2" thickBot="1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2" thickTop="1"/>
    <row r="14" spans="1:20" ht="23">
      <c r="K14" s="69">
        <v>2807555599778</v>
      </c>
      <c r="M14" s="34"/>
      <c r="S14" s="69">
        <v>2807555599778</v>
      </c>
      <c r="T14" s="34"/>
    </row>
  </sheetData>
  <mergeCells count="20"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  <mergeCell ref="F7:F9"/>
    <mergeCell ref="C6:K6"/>
    <mergeCell ref="B7:B9"/>
    <mergeCell ref="D7:D9"/>
    <mergeCell ref="I7:K8"/>
    <mergeCell ref="H7:H9"/>
    <mergeCell ref="M6:S6"/>
    <mergeCell ref="R7:S8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2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B1:AC75"/>
  <sheetViews>
    <sheetView rightToLeft="1" tabSelected="1" view="pageBreakPreview" topLeftCell="E1" zoomScaleNormal="100" zoomScaleSheetLayoutView="100" workbookViewId="0">
      <selection activeCell="AC12" sqref="AC12"/>
    </sheetView>
  </sheetViews>
  <sheetFormatPr defaultColWidth="8.81640625" defaultRowHeight="21.5"/>
  <cols>
    <col min="1" max="1" width="1.26953125" style="1" customWidth="1"/>
    <col min="2" max="2" width="40.26953125" style="1" bestFit="1" customWidth="1"/>
    <col min="3" max="3" width="13" style="1" bestFit="1" customWidth="1"/>
    <col min="4" max="4" width="15.1796875" style="1" customWidth="1"/>
    <col min="5" max="5" width="7.1796875" style="1" customWidth="1"/>
    <col min="6" max="6" width="0.26953125" style="1" customWidth="1"/>
    <col min="7" max="7" width="10.81640625" style="1" hidden="1" customWidth="1"/>
    <col min="8" max="8" width="0.81640625" style="1" hidden="1" customWidth="1"/>
    <col min="9" max="9" width="2" style="1" hidden="1" customWidth="1"/>
    <col min="10" max="10" width="0.54296875" style="1" customWidth="1"/>
    <col min="11" max="11" width="18" style="1" bestFit="1" customWidth="1"/>
    <col min="12" max="12" width="0.81640625" style="1" hidden="1" customWidth="1"/>
    <col min="13" max="13" width="9.1796875" style="1" customWidth="1"/>
    <col min="14" max="14" width="0.1796875" style="1" customWidth="1"/>
    <col min="15" max="15" width="18" style="1" bestFit="1" customWidth="1"/>
    <col min="16" max="16" width="0.81640625" style="1" customWidth="1"/>
    <col min="17" max="17" width="18.1796875" style="1" bestFit="1" customWidth="1"/>
    <col min="18" max="18" width="0.7265625" style="1" customWidth="1"/>
    <col min="19" max="19" width="9" style="1" bestFit="1" customWidth="1"/>
    <col min="20" max="20" width="0.7265625" style="1" customWidth="1"/>
    <col min="21" max="21" width="18.1796875" style="1" bestFit="1" customWidth="1"/>
    <col min="22" max="24" width="8.81640625" style="1"/>
    <col min="25" max="25" width="11" style="1" bestFit="1" customWidth="1"/>
    <col min="26" max="26" width="8.81640625" style="1"/>
    <col min="27" max="31" width="0" style="1" hidden="1" customWidth="1"/>
    <col min="32" max="16384" width="8.81640625" style="1"/>
  </cols>
  <sheetData>
    <row r="1" spans="2:29" ht="23">
      <c r="B1" s="334" t="str">
        <f>'درآمد سود سهام'!B1:T1</f>
        <v>صندوق سرمایه گذاری شاخص سی شرکت بزرگ فیروزه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</row>
    <row r="2" spans="2:29" ht="23">
      <c r="B2" s="334" t="s">
        <v>87</v>
      </c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</row>
    <row r="3" spans="2:29" ht="23">
      <c r="B3" s="334" t="str">
        <f>' سهام'!AC6</f>
        <v>برای ماه منتهی به 1404/12/29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</row>
    <row r="4" spans="2:29" ht="23">
      <c r="B4" s="336" t="s">
        <v>94</v>
      </c>
      <c r="C4" s="336"/>
      <c r="D4" s="336"/>
      <c r="E4" s="336"/>
      <c r="F4" s="336"/>
      <c r="G4" s="336"/>
      <c r="H4" s="161"/>
      <c r="L4" s="161"/>
      <c r="AC4" s="1" t="s">
        <v>230</v>
      </c>
    </row>
    <row r="5" spans="2:29" ht="23.5" thickBot="1">
      <c r="B5" s="161"/>
      <c r="C5" s="351"/>
      <c r="D5" s="351"/>
      <c r="E5" s="351"/>
      <c r="G5" s="386" t="s">
        <v>99</v>
      </c>
      <c r="H5" s="386"/>
      <c r="I5" s="386"/>
      <c r="J5" s="386"/>
      <c r="K5" s="386" t="str">
        <f>' سهام'!AC7</f>
        <v>طی اسفند ماه</v>
      </c>
      <c r="L5" s="386"/>
      <c r="M5" s="386"/>
      <c r="N5" s="386"/>
      <c r="O5" s="386"/>
      <c r="P5" s="53"/>
      <c r="Q5" s="386" t="str">
        <f>' سهام'!AC8</f>
        <v>از ابتدای سال مالی تا پایان اسفند ماه</v>
      </c>
      <c r="R5" s="386"/>
      <c r="S5" s="386"/>
      <c r="T5" s="386"/>
      <c r="U5" s="386"/>
      <c r="AC5" s="1" t="s">
        <v>243</v>
      </c>
    </row>
    <row r="6" spans="2:29" ht="43.5" customHeight="1" thickBot="1">
      <c r="B6" s="1" t="s">
        <v>64</v>
      </c>
      <c r="C6" s="162" t="s">
        <v>72</v>
      </c>
      <c r="D6" s="162" t="s">
        <v>34</v>
      </c>
      <c r="E6" s="162" t="s">
        <v>61</v>
      </c>
      <c r="F6" s="163"/>
      <c r="G6" s="162" t="s">
        <v>88</v>
      </c>
      <c r="H6" s="163"/>
      <c r="I6" s="162" t="s">
        <v>68</v>
      </c>
      <c r="J6" s="163"/>
      <c r="K6" s="162" t="s">
        <v>88</v>
      </c>
      <c r="L6" s="163"/>
      <c r="M6" s="162" t="s">
        <v>68</v>
      </c>
      <c r="N6" s="163"/>
      <c r="O6" s="162" t="s">
        <v>73</v>
      </c>
      <c r="P6" s="163"/>
      <c r="Q6" s="162" t="s">
        <v>88</v>
      </c>
      <c r="R6" s="163"/>
      <c r="S6" s="162" t="s">
        <v>68</v>
      </c>
      <c r="T6" s="163"/>
      <c r="U6" s="162" t="s">
        <v>73</v>
      </c>
      <c r="AC6" s="1" t="s">
        <v>244</v>
      </c>
    </row>
    <row r="7" spans="2:29" s="12" customFormat="1" ht="23.5" customHeight="1">
      <c r="B7" s="164" t="s">
        <v>199</v>
      </c>
      <c r="C7" s="165"/>
      <c r="D7" s="166"/>
      <c r="E7" s="158"/>
      <c r="F7" s="166" t="s">
        <v>132</v>
      </c>
      <c r="G7" s="166"/>
      <c r="H7" s="167">
        <v>0</v>
      </c>
      <c r="I7" s="166"/>
      <c r="J7" s="167">
        <v>176683</v>
      </c>
      <c r="K7" s="158">
        <v>202787</v>
      </c>
      <c r="L7" s="166"/>
      <c r="M7" s="158">
        <v>0</v>
      </c>
      <c r="N7" s="166"/>
      <c r="O7" s="158">
        <f>K7+M7</f>
        <v>202787</v>
      </c>
      <c r="P7" s="158"/>
      <c r="Q7" s="167">
        <v>871858</v>
      </c>
      <c r="R7" s="166"/>
      <c r="S7" s="158">
        <v>0</v>
      </c>
      <c r="T7" s="166"/>
      <c r="U7" s="158">
        <f>Q7+S7</f>
        <v>871858</v>
      </c>
      <c r="AC7" s="12" t="s">
        <v>249</v>
      </c>
    </row>
    <row r="8" spans="2:29" s="12" customFormat="1" ht="23.5" customHeight="1">
      <c r="B8" s="164" t="s">
        <v>200</v>
      </c>
      <c r="C8" s="165"/>
      <c r="D8" s="166"/>
      <c r="E8" s="158"/>
      <c r="F8" s="166"/>
      <c r="G8" s="166"/>
      <c r="H8" s="167"/>
      <c r="I8" s="166"/>
      <c r="J8" s="167"/>
      <c r="K8" s="158">
        <v>3158597532</v>
      </c>
      <c r="L8" s="166"/>
      <c r="M8" s="158">
        <v>0</v>
      </c>
      <c r="N8" s="166"/>
      <c r="O8" s="158">
        <f t="shared" ref="O8:O10" si="0">K8+M8</f>
        <v>3158597532</v>
      </c>
      <c r="P8" s="158"/>
      <c r="Q8" s="167">
        <v>40103031576</v>
      </c>
      <c r="R8" s="166"/>
      <c r="S8" s="158">
        <v>0</v>
      </c>
      <c r="T8" s="166"/>
      <c r="U8" s="158">
        <f>Q8+S8</f>
        <v>40103031576</v>
      </c>
    </row>
    <row r="9" spans="2:29" s="12" customFormat="1" ht="23.5" customHeight="1">
      <c r="B9" s="164" t="s">
        <v>253</v>
      </c>
      <c r="C9" s="165"/>
      <c r="D9" s="166"/>
      <c r="E9" s="158"/>
      <c r="F9" s="166"/>
      <c r="G9" s="166"/>
      <c r="H9" s="167"/>
      <c r="I9" s="166"/>
      <c r="J9" s="167"/>
      <c r="K9" s="158">
        <v>4178</v>
      </c>
      <c r="L9" s="166"/>
      <c r="M9" s="158">
        <v>0</v>
      </c>
      <c r="N9" s="166"/>
      <c r="O9" s="158">
        <f t="shared" si="0"/>
        <v>4178</v>
      </c>
      <c r="P9" s="158"/>
      <c r="Q9" s="167">
        <v>20717</v>
      </c>
      <c r="R9" s="166"/>
      <c r="S9" s="158">
        <v>0</v>
      </c>
      <c r="T9" s="166"/>
      <c r="U9" s="158">
        <f>Q9+S9</f>
        <v>20717</v>
      </c>
    </row>
    <row r="10" spans="2:29" s="12" customFormat="1" ht="23.5" customHeight="1">
      <c r="B10" s="164" t="s">
        <v>278</v>
      </c>
      <c r="C10" s="165"/>
      <c r="D10" s="166"/>
      <c r="E10" s="158"/>
      <c r="F10" s="166" t="s">
        <v>132</v>
      </c>
      <c r="G10" s="166"/>
      <c r="H10" s="167">
        <v>0</v>
      </c>
      <c r="I10" s="166"/>
      <c r="J10" s="167">
        <v>2202729735</v>
      </c>
      <c r="K10" s="158">
        <v>138867</v>
      </c>
      <c r="L10" s="166"/>
      <c r="M10" s="158">
        <v>0</v>
      </c>
      <c r="N10" s="166"/>
      <c r="O10" s="158">
        <f t="shared" si="0"/>
        <v>138867</v>
      </c>
      <c r="P10" s="158"/>
      <c r="Q10" s="167">
        <v>213174</v>
      </c>
      <c r="R10" s="166"/>
      <c r="S10" s="158">
        <v>0</v>
      </c>
      <c r="T10" s="166"/>
      <c r="U10" s="158">
        <f>Q10+S10</f>
        <v>213174</v>
      </c>
      <c r="AC10" s="12" t="s">
        <v>245</v>
      </c>
    </row>
    <row r="11" spans="2:29" ht="22" thickBot="1">
      <c r="K11" s="168">
        <f>SUM(K7:K10)</f>
        <v>3158943364</v>
      </c>
      <c r="L11" s="12"/>
      <c r="M11" s="12"/>
      <c r="N11" s="12"/>
      <c r="O11" s="168">
        <f>SUM(O7:O10)</f>
        <v>3158943364</v>
      </c>
      <c r="P11" s="169"/>
      <c r="Q11" s="168">
        <f>SUM(Q7:Q10)</f>
        <v>40104137325</v>
      </c>
      <c r="R11" s="12"/>
      <c r="S11" s="12"/>
      <c r="T11" s="12"/>
      <c r="U11" s="168">
        <f>SUM(U7:U10)</f>
        <v>40104137325</v>
      </c>
    </row>
    <row r="12" spans="2:29" ht="22" thickTop="1">
      <c r="K12" s="170"/>
      <c r="M12" s="171"/>
    </row>
    <row r="13" spans="2:29">
      <c r="O13" s="160"/>
      <c r="Q13" s="160"/>
      <c r="U13" s="160"/>
    </row>
    <row r="14" spans="2:29">
      <c r="K14" s="160"/>
      <c r="O14" s="160"/>
      <c r="Q14" s="160"/>
      <c r="U14" s="160"/>
    </row>
    <row r="15" spans="2:29">
      <c r="K15" s="160"/>
      <c r="O15" s="172"/>
      <c r="U15" s="160"/>
    </row>
    <row r="58" spans="18:18" ht="27.5">
      <c r="R58" s="146">
        <v>1783</v>
      </c>
    </row>
    <row r="75" spans="18:18" ht="27.5">
      <c r="R75" s="146">
        <v>2083</v>
      </c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6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B1:AC75"/>
  <sheetViews>
    <sheetView rightToLeft="1" tabSelected="1" view="pageBreakPreview" zoomScaleNormal="100" zoomScaleSheetLayoutView="100" workbookViewId="0">
      <selection activeCell="AC12" sqref="AC12"/>
    </sheetView>
  </sheetViews>
  <sheetFormatPr defaultColWidth="9.1796875" defaultRowHeight="21.5"/>
  <cols>
    <col min="1" max="1" width="9.1796875" style="1"/>
    <col min="2" max="2" width="39.54296875" style="1" customWidth="1"/>
    <col min="3" max="3" width="0.54296875" style="1" customWidth="1"/>
    <col min="4" max="4" width="29" style="1" hidden="1" customWidth="1"/>
    <col min="5" max="5" width="0.7265625" style="1" customWidth="1"/>
    <col min="6" max="6" width="22.453125" style="1" customWidth="1"/>
    <col min="7" max="7" width="0.7265625" style="1" customWidth="1"/>
    <col min="8" max="8" width="16.81640625" style="1" customWidth="1"/>
    <col min="9" max="9" width="0.7265625" style="1" customWidth="1"/>
    <col min="10" max="10" width="24.54296875" style="1" customWidth="1"/>
    <col min="11" max="11" width="0.7265625" style="1" customWidth="1"/>
    <col min="12" max="12" width="20.7265625" style="1" customWidth="1"/>
    <col min="13" max="13" width="0.7265625" style="1" customWidth="1"/>
    <col min="14" max="16384" width="9.1796875" style="1"/>
  </cols>
  <sheetData>
    <row r="1" spans="2:29" ht="23">
      <c r="B1" s="334" t="str">
        <f>'سود اوراق بهادار و سپرده بانکی'!B1:U1</f>
        <v>صندوق سرمایه گذاری شاخص سی شرکت بزرگ فیروزه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</row>
    <row r="2" spans="2:29" ht="23">
      <c r="B2" s="334" t="s">
        <v>87</v>
      </c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</row>
    <row r="3" spans="2:29" ht="23">
      <c r="B3" s="334" t="str">
        <f>' سهام'!B3:Z3</f>
        <v>برای ماه منتهی به 1404/12/29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</row>
    <row r="4" spans="2:29" ht="23">
      <c r="B4" s="336" t="s">
        <v>148</v>
      </c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AC4" s="1" t="s">
        <v>187</v>
      </c>
    </row>
    <row r="5" spans="2:29" ht="22" thickBot="1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  <c r="AC5" s="1" t="s">
        <v>188</v>
      </c>
    </row>
    <row r="6" spans="2:29" ht="23.5" thickBot="1">
      <c r="B6" s="400" t="s">
        <v>29</v>
      </c>
      <c r="C6" s="400"/>
      <c r="D6" s="400"/>
      <c r="E6" s="52"/>
      <c r="F6" s="401" t="str">
        <f>' سهام'!AC7</f>
        <v>طی اسفند ماه</v>
      </c>
      <c r="G6" s="401"/>
      <c r="H6" s="401"/>
      <c r="I6" s="401"/>
      <c r="J6" s="400" t="str">
        <f>' سهام'!AC8</f>
        <v>از ابتدای سال مالی تا پایان اسفند ماه</v>
      </c>
      <c r="K6" s="400"/>
      <c r="L6" s="400"/>
      <c r="M6" s="400"/>
      <c r="N6" s="157"/>
      <c r="AC6" s="1" t="s">
        <v>189</v>
      </c>
    </row>
    <row r="7" spans="2:29" ht="55.5" customHeight="1">
      <c r="B7" s="131" t="s">
        <v>26</v>
      </c>
      <c r="C7" s="52"/>
      <c r="D7" s="53"/>
      <c r="E7" s="53"/>
      <c r="F7" s="53" t="s">
        <v>27</v>
      </c>
      <c r="G7" s="52"/>
      <c r="H7" s="397" t="s">
        <v>28</v>
      </c>
      <c r="I7" s="52"/>
      <c r="J7" s="53" t="s">
        <v>27</v>
      </c>
      <c r="K7" s="52"/>
      <c r="L7" s="396" t="s">
        <v>28</v>
      </c>
      <c r="M7" s="52"/>
      <c r="N7" s="52"/>
      <c r="AC7" s="1" t="s">
        <v>190</v>
      </c>
    </row>
    <row r="8" spans="2:29" ht="24" customHeight="1" thickBot="1">
      <c r="B8" s="53"/>
      <c r="C8" s="52"/>
      <c r="D8" s="53"/>
      <c r="E8" s="53"/>
      <c r="F8" s="109" t="s">
        <v>95</v>
      </c>
      <c r="G8" s="52"/>
      <c r="H8" s="386"/>
      <c r="I8" s="52"/>
      <c r="J8" s="109" t="s">
        <v>95</v>
      </c>
      <c r="K8" s="52"/>
      <c r="L8" s="386"/>
      <c r="M8" s="52"/>
      <c r="N8" s="52"/>
      <c r="AC8" s="1" t="s">
        <v>191</v>
      </c>
    </row>
    <row r="9" spans="2:29" ht="29.25" customHeight="1">
      <c r="B9" s="38" t="s">
        <v>199</v>
      </c>
      <c r="C9" s="38"/>
      <c r="D9" s="42"/>
      <c r="E9" s="42"/>
      <c r="F9" s="33">
        <v>202787</v>
      </c>
      <c r="G9" s="42"/>
      <c r="H9" s="301">
        <f>F9/H16</f>
        <v>3.9369406884126627E-3</v>
      </c>
      <c r="I9" s="42"/>
      <c r="J9" s="33">
        <v>871858</v>
      </c>
      <c r="K9" s="42"/>
      <c r="L9" s="301">
        <f>J9/درآمدها!F9</f>
        <v>2.7325793927128474E-7</v>
      </c>
      <c r="M9" s="42"/>
      <c r="N9" s="52"/>
    </row>
    <row r="10" spans="2:29" ht="29.25" customHeight="1">
      <c r="B10" s="38" t="s">
        <v>200</v>
      </c>
      <c r="C10" s="38"/>
      <c r="D10" s="42"/>
      <c r="E10" s="42"/>
      <c r="F10" s="33">
        <v>3158597532</v>
      </c>
      <c r="G10" s="42"/>
      <c r="H10" s="301">
        <f>H16/F10</f>
        <v>1.6307483458343562E-2</v>
      </c>
      <c r="I10" s="42"/>
      <c r="J10" s="33">
        <v>40103031576</v>
      </c>
      <c r="K10" s="42"/>
      <c r="L10" s="301">
        <f>J10/درآمدها!F9</f>
        <v>1.256910158189639E-2</v>
      </c>
      <c r="M10" s="42"/>
      <c r="N10" s="52"/>
    </row>
    <row r="11" spans="2:29" ht="29.25" customHeight="1">
      <c r="B11" s="38" t="s">
        <v>253</v>
      </c>
      <c r="C11" s="38"/>
      <c r="D11" s="42"/>
      <c r="E11" s="42"/>
      <c r="F11" s="33">
        <v>4178</v>
      </c>
      <c r="G11" s="42"/>
      <c r="H11" s="301">
        <f>H17/F11</f>
        <v>0</v>
      </c>
      <c r="I11" s="42"/>
      <c r="J11" s="33">
        <v>20717</v>
      </c>
      <c r="K11" s="42"/>
      <c r="L11" s="301">
        <f>J11/درآمدها!F9</f>
        <v>6.4931270090808439E-9</v>
      </c>
      <c r="M11" s="42"/>
      <c r="N11" s="52"/>
    </row>
    <row r="12" spans="2:29" ht="29.25" customHeight="1" thickBot="1">
      <c r="B12" s="38" t="s">
        <v>278</v>
      </c>
      <c r="C12" s="38"/>
      <c r="D12" s="42"/>
      <c r="E12" s="42"/>
      <c r="F12" s="33">
        <v>138867</v>
      </c>
      <c r="G12" s="42"/>
      <c r="H12" s="301">
        <f>H17/F12</f>
        <v>0</v>
      </c>
      <c r="I12" s="42"/>
      <c r="J12" s="33">
        <v>213174</v>
      </c>
      <c r="K12" s="42"/>
      <c r="L12" s="301">
        <f>J12/درآمدها!F9</f>
        <v>6.6813045181918228E-8</v>
      </c>
      <c r="M12" s="42"/>
      <c r="N12" s="52"/>
    </row>
    <row r="13" spans="2:29" ht="22" thickBot="1">
      <c r="B13" s="38" t="s">
        <v>7</v>
      </c>
      <c r="C13" s="52"/>
      <c r="E13" s="42"/>
      <c r="F13" s="35">
        <f>SUM(F9:F12)</f>
        <v>3158943364</v>
      </c>
      <c r="G13" s="89"/>
      <c r="H13" s="300">
        <f>SUM(H9:H12)</f>
        <v>2.0244424146756226E-2</v>
      </c>
      <c r="I13" s="52"/>
      <c r="J13" s="35">
        <f>SUM(J9:J12)</f>
        <v>40104137325</v>
      </c>
      <c r="K13" s="52"/>
      <c r="L13" s="300">
        <f>SUM(L9:L12)</f>
        <v>1.256944814600785E-2</v>
      </c>
      <c r="M13" s="52"/>
      <c r="N13" s="52"/>
    </row>
    <row r="14" spans="2:29" ht="22" thickTop="1"/>
    <row r="15" spans="2:29">
      <c r="F15" s="13"/>
      <c r="J15" s="160"/>
      <c r="L15" s="160"/>
    </row>
    <row r="16" spans="2:29" hidden="1">
      <c r="F16" s="108">
        <f>F13-F15</f>
        <v>3158943364</v>
      </c>
      <c r="G16" s="260"/>
      <c r="H16" s="281">
        <v>51508777.004654802</v>
      </c>
      <c r="I16" s="260"/>
      <c r="J16" s="160">
        <f>J13-J15</f>
        <v>40104137325</v>
      </c>
    </row>
    <row r="17" spans="6:12">
      <c r="F17" s="261"/>
      <c r="G17" s="260"/>
      <c r="H17" s="260"/>
      <c r="I17" s="260"/>
      <c r="J17" s="262"/>
      <c r="L17" s="93"/>
    </row>
    <row r="18" spans="6:12">
      <c r="F18" s="261"/>
      <c r="H18" s="260"/>
      <c r="J18" s="108"/>
    </row>
    <row r="58" spans="18:18" ht="27.5">
      <c r="R58" s="146">
        <v>1783</v>
      </c>
    </row>
    <row r="75" spans="18:18" ht="27.5">
      <c r="R75" s="146">
        <v>2083</v>
      </c>
    </row>
  </sheetData>
  <mergeCells count="9">
    <mergeCell ref="B1:M1"/>
    <mergeCell ref="B2:M2"/>
    <mergeCell ref="B3:M3"/>
    <mergeCell ref="H7:H8"/>
    <mergeCell ref="L7:L8"/>
    <mergeCell ref="B6:D6"/>
    <mergeCell ref="F6:I6"/>
    <mergeCell ref="B4:M4"/>
    <mergeCell ref="J6:M6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AC74"/>
  <sheetViews>
    <sheetView rightToLeft="1" tabSelected="1" view="pageBreakPreview" zoomScaleNormal="100" zoomScaleSheetLayoutView="100" workbookViewId="0">
      <selection activeCell="AC12" sqref="AC12"/>
    </sheetView>
  </sheetViews>
  <sheetFormatPr defaultColWidth="8.81640625" defaultRowHeight="24.5"/>
  <cols>
    <col min="1" max="1" width="8.81640625" style="232"/>
    <col min="2" max="2" width="29.1796875" style="232" customWidth="1"/>
    <col min="3" max="3" width="0.7265625" style="232" customWidth="1"/>
    <col min="4" max="4" width="20.7265625" style="232" bestFit="1" customWidth="1"/>
    <col min="5" max="5" width="0.453125" style="232" customWidth="1"/>
    <col min="6" max="6" width="21.453125" style="232" customWidth="1"/>
    <col min="7" max="16384" width="8.81640625" style="1"/>
  </cols>
  <sheetData>
    <row r="1" spans="2:29" ht="26.5">
      <c r="B1" s="402" t="str">
        <f>'درآمد سپرده بانکی'!B1:M1</f>
        <v>صندوق سرمایه گذاری شاخص سی شرکت بزرگ فیروزه</v>
      </c>
      <c r="C1" s="402"/>
      <c r="D1" s="402"/>
      <c r="E1" s="402"/>
      <c r="F1" s="402"/>
    </row>
    <row r="2" spans="2:29" ht="26.5">
      <c r="B2" s="402" t="s">
        <v>87</v>
      </c>
      <c r="C2" s="402"/>
      <c r="D2" s="402"/>
      <c r="E2" s="402"/>
      <c r="F2" s="402"/>
    </row>
    <row r="3" spans="2:29" ht="26.5">
      <c r="B3" s="402" t="str">
        <f>' سهام'!AC6</f>
        <v>برای ماه منتهی به 1404/12/29</v>
      </c>
      <c r="C3" s="402"/>
      <c r="D3" s="402"/>
      <c r="E3" s="402"/>
      <c r="F3" s="402"/>
    </row>
    <row r="4" spans="2:29" ht="26.5">
      <c r="B4" s="403" t="s">
        <v>40</v>
      </c>
      <c r="C4" s="403"/>
      <c r="D4" s="403"/>
      <c r="E4" s="403"/>
      <c r="F4" s="403"/>
      <c r="AC4" s="1" t="s">
        <v>187</v>
      </c>
    </row>
    <row r="5" spans="2:29" ht="53.5" thickBot="1">
      <c r="B5" s="233"/>
      <c r="C5" s="234"/>
      <c r="D5" s="204" t="str">
        <f>' سهام'!AC7</f>
        <v>طی اسفند ماه</v>
      </c>
      <c r="E5" s="235"/>
      <c r="F5" s="204" t="str">
        <f>' سهام'!AC8</f>
        <v>از ابتدای سال مالی تا پایان اسفند ماه</v>
      </c>
      <c r="AC5" s="1" t="s">
        <v>188</v>
      </c>
    </row>
    <row r="6" spans="2:29">
      <c r="B6" s="236" t="s">
        <v>41</v>
      </c>
      <c r="C6" s="235"/>
      <c r="D6" s="191">
        <v>-670150</v>
      </c>
      <c r="E6" s="191"/>
      <c r="F6" s="191">
        <v>468598199</v>
      </c>
      <c r="AC6" s="1" t="s">
        <v>189</v>
      </c>
    </row>
    <row r="7" spans="2:29">
      <c r="B7" s="237" t="s">
        <v>151</v>
      </c>
      <c r="C7" s="235"/>
      <c r="D7" s="191">
        <v>0</v>
      </c>
      <c r="E7" s="191"/>
      <c r="F7" s="191">
        <v>3757374794</v>
      </c>
    </row>
    <row r="8" spans="2:29" ht="25" thickBot="1">
      <c r="B8" s="238"/>
      <c r="C8" s="235"/>
      <c r="D8" s="239">
        <f>SUM(D6:D7)</f>
        <v>-670150</v>
      </c>
      <c r="E8" s="251"/>
      <c r="F8" s="239">
        <f>SUM(F6:F7)</f>
        <v>4225972993</v>
      </c>
    </row>
    <row r="9" spans="2:29" ht="25" thickTop="1"/>
    <row r="10" spans="2:29">
      <c r="D10" s="263"/>
      <c r="F10" s="191"/>
    </row>
    <row r="11" spans="2:29">
      <c r="D11" s="263"/>
      <c r="E11" s="240"/>
      <c r="F11" s="240"/>
    </row>
    <row r="12" spans="2:29">
      <c r="D12" s="267"/>
    </row>
    <row r="15" spans="2:29">
      <c r="L15" s="108"/>
    </row>
    <row r="57" spans="18:18" ht="27.5">
      <c r="R57" s="146">
        <v>1783</v>
      </c>
    </row>
    <row r="74" spans="18:18" ht="27.5">
      <c r="R74" s="146">
        <v>2083</v>
      </c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hp</cp:lastModifiedBy>
  <cp:lastPrinted>2026-03-29T05:21:27Z</cp:lastPrinted>
  <dcterms:created xsi:type="dcterms:W3CDTF">2017-11-22T14:26:20Z</dcterms:created>
  <dcterms:modified xsi:type="dcterms:W3CDTF">2026-03-29T05:22:38Z</dcterms:modified>
</cp:coreProperties>
</file>