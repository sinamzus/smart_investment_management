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5\تیر\"/>
    </mc:Choice>
  </mc:AlternateContent>
  <xr:revisionPtr revIDLastSave="0" documentId="13_ncr:1_{AC26DBE3-9B79-4720-9A2E-393BBA02585D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تعدیل قیمت " sheetId="18" r:id="rId8"/>
    <sheet name="درآمد سرمایه گذاری در سهام " sheetId="5" r:id="rId9"/>
    <sheet name="درآمد سود سهام" sheetId="12" r:id="rId10"/>
    <sheet name="درآمد ناشی از تغییر قیمت اوراق " sheetId="14" r:id="rId11"/>
    <sheet name="درآمد ناشی ازفروش" sheetId="15" r:id="rId12"/>
    <sheet name="درآمد سرمایه گذاری در اوراق بها" sheetId="6" state="hidden" r:id="rId13"/>
    <sheet name="سود اوراق بهادار و سپرده بانکی" sheetId="13" r:id="rId14"/>
    <sheet name="درآمد سپرده بانکی" sheetId="7" r:id="rId15"/>
    <sheet name="Sheet1" sheetId="16" state="hidden" r:id="rId16"/>
    <sheet name="سایر درآمدها" sheetId="8" r:id="rId17"/>
  </sheets>
  <definedNames>
    <definedName name="_xlnm._FilterDatabase" localSheetId="8" hidden="1">'درآمد سرمایه گذاری در سهام '!#REF!</definedName>
    <definedName name="_xlnm._FilterDatabase" localSheetId="9" hidden="1">'درآمد سود سهام'!$V$6:$W$6</definedName>
    <definedName name="_xlnm._FilterDatabase" localSheetId="10" hidden="1">'درآمد ناشی از تغییر قیمت اوراق '!$B$6:$Z$63</definedName>
    <definedName name="_xlnm.Print_Area" localSheetId="0">' سهام'!$A$1:$Z$73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7">'تعدیل قیمت '!$A$1:$N$13</definedName>
    <definedName name="_xlnm.Print_Area" localSheetId="14">'درآمد سپرده بانکی'!$A$1:$M$14</definedName>
    <definedName name="_xlnm.Print_Area" localSheetId="12">'درآمد سرمایه گذاری در اوراق بها'!$A$1:$S$12</definedName>
    <definedName name="_xlnm.Print_Area" localSheetId="8">'درآمد سرمایه گذاری در سهام '!$A$1:$V$108</definedName>
    <definedName name="_xlnm.Print_Area" localSheetId="9">'درآمد سود سهام'!$A$1:$U$34</definedName>
    <definedName name="_xlnm.Print_Area" localSheetId="10">'درآمد ناشی از تغییر قیمت اوراق '!$A$1:$R$62</definedName>
    <definedName name="_xlnm.Print_Area" localSheetId="11">'درآمد ناشی ازفروش'!$A$1:$R$60</definedName>
    <definedName name="_xlnm.Print_Area" localSheetId="6">درآمدها!$A$1:$J$11</definedName>
    <definedName name="_xlnm.Print_Area" localSheetId="16">'سایر درآمدها'!$A$1:$F$9</definedName>
    <definedName name="_xlnm.Print_Area" localSheetId="5">سپرده!$A$1:$R$18</definedName>
    <definedName name="_xlnm.Print_Area" localSheetId="13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15" l="1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7" i="15"/>
  <c r="J8" i="11"/>
  <c r="J7" i="11"/>
  <c r="T85" i="5"/>
  <c r="J85" i="5"/>
  <c r="L85" i="5"/>
  <c r="R15" i="2"/>
  <c r="R33" i="12"/>
  <c r="D54" i="15"/>
  <c r="F54" i="15"/>
  <c r="H54" i="15"/>
  <c r="J54" i="15"/>
  <c r="L54" i="15"/>
  <c r="N54" i="15"/>
  <c r="P54" i="15"/>
  <c r="D53" i="5"/>
  <c r="D87" i="5" s="1"/>
  <c r="D45" i="5"/>
  <c r="R54" i="15" l="1"/>
  <c r="J33" i="12"/>
  <c r="L33" i="12"/>
  <c r="N33" i="12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44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6" i="5"/>
  <c r="T54" i="5"/>
  <c r="J55" i="5"/>
  <c r="J56" i="5"/>
  <c r="J57" i="5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6" i="5"/>
  <c r="J54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11" i="5"/>
  <c r="Z59" i="1"/>
  <c r="Z60" i="1"/>
  <c r="Z61" i="1"/>
  <c r="Z62" i="1"/>
  <c r="Z63" i="1"/>
  <c r="Z64" i="1"/>
  <c r="Z65" i="1"/>
  <c r="Z66" i="1"/>
  <c r="Z67" i="1"/>
  <c r="F12" i="18"/>
  <c r="L18" i="7"/>
  <c r="L12" i="18"/>
  <c r="D12" i="18"/>
  <c r="L10" i="7"/>
  <c r="L36" i="12" l="1"/>
  <c r="H11" i="7"/>
  <c r="L9" i="7"/>
  <c r="H12" i="7"/>
  <c r="L11" i="7"/>
  <c r="L12" i="7"/>
  <c r="H9" i="7"/>
  <c r="H10" i="7"/>
  <c r="B7" i="18"/>
  <c r="B3" i="18"/>
  <c r="F33" i="12"/>
  <c r="P33" i="12"/>
  <c r="L13" i="7" l="1"/>
  <c r="H13" i="7"/>
  <c r="P49" i="1" l="1"/>
  <c r="P56" i="1" s="1"/>
  <c r="P73" i="1" s="1"/>
  <c r="N49" i="1"/>
  <c r="N56" i="1" s="1"/>
  <c r="N73" i="1" s="1"/>
  <c r="L82" i="5"/>
  <c r="L83" i="5"/>
  <c r="R7" i="14"/>
  <c r="R38" i="14" s="1"/>
  <c r="I73" i="1" l="1"/>
  <c r="Z14" i="1"/>
  <c r="T33" i="12"/>
  <c r="F38" i="14" l="1"/>
  <c r="F43" i="14" s="1"/>
  <c r="D38" i="14"/>
  <c r="D43" i="14" s="1"/>
  <c r="J17" i="2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R14" i="2"/>
  <c r="N45" i="5"/>
  <c r="R16" i="2"/>
  <c r="R13" i="2"/>
  <c r="E49" i="1"/>
  <c r="Z9" i="1"/>
  <c r="X49" i="1"/>
  <c r="X56" i="1" s="1"/>
  <c r="X73" i="1" s="1"/>
  <c r="V49" i="1"/>
  <c r="V56" i="1" s="1"/>
  <c r="V73" i="1" s="1"/>
  <c r="T49" i="1"/>
  <c r="T56" i="1" s="1"/>
  <c r="T73" i="1" s="1"/>
  <c r="R49" i="1"/>
  <c r="R56" i="1" s="1"/>
  <c r="R73" i="1" s="1"/>
  <c r="L49" i="1"/>
  <c r="L56" i="1" s="1"/>
  <c r="L73" i="1" s="1"/>
  <c r="J49" i="1"/>
  <c r="J56" i="1" s="1"/>
  <c r="J73" i="1" s="1"/>
  <c r="H49" i="1"/>
  <c r="H56" i="1" s="1"/>
  <c r="H73" i="1" s="1"/>
  <c r="F49" i="1"/>
  <c r="F56" i="1" s="1"/>
  <c r="F73" i="1" s="1"/>
  <c r="D49" i="1"/>
  <c r="D56" i="1" s="1"/>
  <c r="D73" i="1" s="1"/>
  <c r="Y49" i="1"/>
  <c r="W49" i="1"/>
  <c r="U49" i="1"/>
  <c r="S49" i="1"/>
  <c r="Q49" i="1"/>
  <c r="O49" i="1"/>
  <c r="M49" i="1"/>
  <c r="K49" i="1"/>
  <c r="G49" i="1"/>
  <c r="F13" i="7" l="1"/>
  <c r="J38" i="14" l="1"/>
  <c r="N53" i="5"/>
  <c r="N87" i="5" s="1"/>
  <c r="N95" i="5" l="1"/>
  <c r="N96" i="5" s="1"/>
  <c r="J43" i="14"/>
  <c r="J60" i="14" s="1"/>
  <c r="C105" i="5"/>
  <c r="R11" i="2"/>
  <c r="R12" i="2"/>
  <c r="D8" i="8"/>
  <c r="R59" i="15" l="1"/>
  <c r="R60" i="15" s="1"/>
  <c r="L11" i="5"/>
  <c r="L45" i="5" s="1"/>
  <c r="A2" i="11"/>
  <c r="B3" i="14"/>
  <c r="H38" i="14"/>
  <c r="R45" i="5"/>
  <c r="R53" i="5" s="1"/>
  <c r="R87" i="5" s="1"/>
  <c r="P45" i="5"/>
  <c r="H45" i="5"/>
  <c r="F45" i="5"/>
  <c r="R9" i="2"/>
  <c r="R10" i="2"/>
  <c r="R95" i="5" l="1"/>
  <c r="R96" i="5" s="1"/>
  <c r="D95" i="5"/>
  <c r="D96" i="5" s="1"/>
  <c r="H43" i="14"/>
  <c r="H60" i="14" s="1"/>
  <c r="E73" i="1"/>
  <c r="G73" i="1"/>
  <c r="K73" i="1"/>
  <c r="M73" i="1"/>
  <c r="O73" i="1"/>
  <c r="Q73" i="1"/>
  <c r="S73" i="1"/>
  <c r="U73" i="1"/>
  <c r="W73" i="1"/>
  <c r="Y73" i="1"/>
  <c r="P59" i="15" l="1"/>
  <c r="P60" i="15" s="1"/>
  <c r="H59" i="15"/>
  <c r="H60" i="15" s="1"/>
  <c r="F59" i="15"/>
  <c r="F60" i="15" s="1"/>
  <c r="D59" i="15"/>
  <c r="D60" i="15" s="1"/>
  <c r="P38" i="14"/>
  <c r="P43" i="14" s="1"/>
  <c r="N38" i="14"/>
  <c r="N43" i="14" s="1"/>
  <c r="L38" i="14"/>
  <c r="L43" i="14" s="1"/>
  <c r="F60" i="14"/>
  <c r="D60" i="14"/>
  <c r="P53" i="5"/>
  <c r="P87" i="5" s="1"/>
  <c r="H53" i="5"/>
  <c r="H87" i="5" s="1"/>
  <c r="F53" i="5"/>
  <c r="F87" i="5" s="1"/>
  <c r="H95" i="5" l="1"/>
  <c r="H96" i="5" s="1"/>
  <c r="P95" i="5"/>
  <c r="P96" i="5" s="1"/>
  <c r="F95" i="5"/>
  <c r="F96" i="5" s="1"/>
  <c r="J53" i="5"/>
  <c r="T53" i="5"/>
  <c r="T87" i="5" s="1"/>
  <c r="T95" i="5" s="1"/>
  <c r="T96" i="5" s="1"/>
  <c r="F6" i="11" s="1"/>
  <c r="J6" i="11" s="1"/>
  <c r="J45" i="5"/>
  <c r="L59" i="15"/>
  <c r="L60" i="15" s="1"/>
  <c r="N59" i="15"/>
  <c r="N60" i="15" s="1"/>
  <c r="L60" i="14"/>
  <c r="N60" i="14"/>
  <c r="P60" i="14"/>
  <c r="T97" i="5" l="1"/>
  <c r="J87" i="5"/>
  <c r="J95" i="5" l="1"/>
  <c r="J96" i="5" s="1"/>
  <c r="L54" i="5"/>
  <c r="L55" i="5"/>
  <c r="L56" i="5"/>
  <c r="Z35" i="1"/>
  <c r="Z34" i="1"/>
  <c r="Z33" i="1"/>
  <c r="Z32" i="1"/>
  <c r="Z31" i="1"/>
  <c r="Z30" i="1"/>
  <c r="Z29" i="1"/>
  <c r="Z28" i="1"/>
  <c r="F8" i="8"/>
  <c r="Q11" i="13"/>
  <c r="L80" i="5"/>
  <c r="L81" i="5"/>
  <c r="L84" i="5"/>
  <c r="L86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68" i="1"/>
  <c r="Z69" i="1"/>
  <c r="Z70" i="1"/>
  <c r="Z71" i="1"/>
  <c r="Z72" i="1"/>
  <c r="J13" i="7"/>
  <c r="K11" i="13"/>
  <c r="F8" i="11" l="1"/>
  <c r="H8" i="11"/>
  <c r="F7" i="11"/>
  <c r="Z49" i="1"/>
  <c r="Z56" i="1" s="1"/>
  <c r="Z73" i="1" s="1"/>
  <c r="H7" i="11" l="1"/>
  <c r="L17" i="2"/>
  <c r="N17" i="2"/>
  <c r="P17" i="2"/>
  <c r="L57" i="5"/>
  <c r="L68" i="5"/>
  <c r="L69" i="5"/>
  <c r="L70" i="5"/>
  <c r="L71" i="5"/>
  <c r="L72" i="5"/>
  <c r="L73" i="5"/>
  <c r="L74" i="5"/>
  <c r="L75" i="5"/>
  <c r="L76" i="5"/>
  <c r="L77" i="5"/>
  <c r="L78" i="5"/>
  <c r="L79" i="5"/>
  <c r="T45" i="5" l="1"/>
  <c r="C106" i="5"/>
  <c r="R43" i="14"/>
  <c r="R60" i="14" s="1"/>
  <c r="O11" i="13"/>
  <c r="U11" i="13"/>
  <c r="R17" i="2"/>
  <c r="J59" i="15" l="1"/>
  <c r="J60" i="15" s="1"/>
  <c r="L53" i="5"/>
  <c r="L87" i="5" s="1"/>
  <c r="L95" i="5" s="1"/>
  <c r="L96" i="5" s="1"/>
  <c r="B3" i="1"/>
  <c r="R6" i="1" l="1"/>
  <c r="R53" i="1" s="1"/>
  <c r="S10" i="6" l="1"/>
  <c r="D6" i="1" l="1"/>
  <c r="D53" i="1" s="1"/>
  <c r="D5" i="8"/>
  <c r="H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57" i="15" s="1"/>
  <c r="D5" i="15"/>
  <c r="D57" i="15" s="1"/>
  <c r="B3" i="15"/>
  <c r="D5" i="14"/>
  <c r="D41" i="14" s="1"/>
  <c r="J5" i="12"/>
  <c r="B3" i="12"/>
  <c r="N7" i="5"/>
  <c r="N49" i="5" s="1"/>
  <c r="N91" i="5" s="1"/>
  <c r="D7" i="5"/>
  <c r="D49" i="5" s="1"/>
  <c r="D91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9" i="11" l="1"/>
  <c r="V85" i="5" s="1"/>
  <c r="B1" i="5"/>
  <c r="V86" i="5" l="1"/>
  <c r="V76" i="5"/>
  <c r="V72" i="5"/>
  <c r="V63" i="5"/>
  <c r="V61" i="5"/>
  <c r="V64" i="5"/>
  <c r="V65" i="5"/>
  <c r="V66" i="5"/>
  <c r="V58" i="5"/>
  <c r="V59" i="5"/>
  <c r="V60" i="5"/>
  <c r="V62" i="5"/>
  <c r="V18" i="5"/>
  <c r="V42" i="5"/>
  <c r="V82" i="5"/>
  <c r="V83" i="5"/>
  <c r="V44" i="5"/>
  <c r="V12" i="5"/>
  <c r="V20" i="5"/>
  <c r="V31" i="5"/>
  <c r="V39" i="5"/>
  <c r="V43" i="5"/>
  <c r="V22" i="5"/>
  <c r="V71" i="5"/>
  <c r="V67" i="5"/>
  <c r="V27" i="5"/>
  <c r="V79" i="5"/>
  <c r="V68" i="5"/>
  <c r="V57" i="5"/>
  <c r="V55" i="5"/>
  <c r="V15" i="5"/>
  <c r="V84" i="5"/>
  <c r="V37" i="5"/>
  <c r="V33" i="5"/>
  <c r="V41" i="5"/>
  <c r="V70" i="5"/>
  <c r="V29" i="5"/>
  <c r="V23" i="5"/>
  <c r="V78" i="5"/>
  <c r="V28" i="5"/>
  <c r="V80" i="5"/>
  <c r="V16" i="5"/>
  <c r="V24" i="5"/>
  <c r="V13" i="5"/>
  <c r="V21" i="5"/>
  <c r="V75" i="5"/>
  <c r="V74" i="5"/>
  <c r="V26" i="5"/>
  <c r="V77" i="5"/>
  <c r="V35" i="5"/>
  <c r="V25" i="5"/>
  <c r="V73" i="5"/>
  <c r="V81" i="5"/>
  <c r="V56" i="5"/>
  <c r="V19" i="5"/>
  <c r="V38" i="5"/>
  <c r="V36" i="5"/>
  <c r="V69" i="5"/>
  <c r="V30" i="5"/>
  <c r="V14" i="5"/>
  <c r="V32" i="5"/>
  <c r="V40" i="5"/>
  <c r="V17" i="5"/>
  <c r="V34" i="5"/>
  <c r="V54" i="5"/>
  <c r="V11" i="5"/>
  <c r="B1" i="3"/>
  <c r="A1" i="4" s="1"/>
  <c r="A1" i="10" s="1"/>
  <c r="B1" i="9"/>
  <c r="V45" i="5" l="1"/>
  <c r="H9" i="11"/>
  <c r="J9" i="11"/>
  <c r="B1" i="12"/>
  <c r="B1" i="13" s="1"/>
  <c r="B1" i="7" s="1"/>
  <c r="V53" i="5" l="1"/>
  <c r="V87" i="5" s="1"/>
  <c r="V95" i="5" s="1"/>
  <c r="V96" i="5" s="1"/>
  <c r="B1" i="8"/>
  <c r="B1" i="15"/>
  <c r="B1" i="14" l="1"/>
</calcChain>
</file>

<file path=xl/sharedStrings.xml><?xml version="1.0" encoding="utf-8"?>
<sst xmlns="http://schemas.openxmlformats.org/spreadsheetml/2006/main" count="739" uniqueCount="248">
  <si>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</si>
  <si>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</si>
  <si>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</si>
  <si>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</si>
  <si>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</si>
  <si>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</si>
  <si>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</si>
  <si>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</si>
  <si>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</si>
  <si>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</si>
  <si>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</si>
  <si>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</si>
  <si>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</si>
  <si>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</si>
  <si>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</si>
  <si>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</si>
  <si>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</si>
  <si>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</si>
  <si>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</si>
  <si>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</si>
  <si>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</si>
  <si>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</si>
  <si>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</si>
  <si>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</si>
  <si>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</si>
  <si>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</si>
  <si>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</si>
  <si>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</si>
  <si>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</si>
  <si>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</si>
  <si>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</si>
  <si>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</si>
  <si>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</si>
  <si>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</si>
  <si>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</si>
  <si>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</si>
  <si>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</si>
  <si>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</si>
  <si>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</si>
  <si>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</si>
  <si>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</si>
  <si>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</si>
  <si>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</si>
  <si>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</si>
  <si>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</si>
  <si>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</si>
  <si>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</si>
  <si>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</si>
  <si>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</si>
  <si>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</si>
  <si>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</si>
  <si>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</si>
  <si>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</si>
  <si>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</si>
  <si>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</si>
  <si>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</si>
  <si>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</si>
  <si>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</si>
  <si>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</si>
  <si>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</si>
  <si>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</si>
  <si>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</si>
  <si>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</si>
  <si>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</si>
  <si>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</si>
  <si>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</si>
  <si>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</si>
  <si>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</si>
  <si>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</si>
  <si>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</si>
  <si>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</si>
  <si>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</si>
  <si>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</si>
  <si>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</si>
  <si>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</si>
  <si>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</si>
  <si>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</si>
  <si>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</si>
  <si>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</si>
  <si>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</si>
  <si>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</si>
  <si>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</si>
  <si>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</si>
  <si>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</si>
  <si>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</si>
  <si>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</si>
  <si>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</si>
  <si>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</si>
  <si>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</si>
  <si>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</si>
  <si>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</si>
  <si>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</si>
  <si>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</si>
  <si>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</si>
  <si>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</si>
  <si>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</si>
  <si>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</si>
  <si>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</si>
  <si>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</si>
  <si>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</si>
  <si>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</si>
  <si>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</si>
  <si>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</si>
  <si>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</si>
  <si>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</si>
  <si>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</si>
  <si>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</si>
  <si>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</si>
  <si>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</si>
  <si>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</si>
  <si>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</si>
  <si>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</si>
  <si>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</si>
  <si>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</si>
  <si>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</si>
  <si>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</si>
  <si>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</si>
  <si>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</si>
  <si>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</si>
  <si>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</si>
  <si>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</si>
  <si>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</si>
  <si>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</si>
  <si>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</si>
  <si>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</si>
  <si>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</si>
  <si>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</si>
  <si>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</si>
  <si>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</si>
  <si>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</si>
  <si>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</si>
  <si>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</si>
  <si>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</si>
  <si>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</si>
  <si>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</si>
  <si>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</si>
  <si>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</si>
  <si>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</si>
  <si>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</si>
  <si>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</si>
  <si>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</si>
  <si>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</si>
  <si>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</si>
  <si>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</si>
  <si>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</si>
  <si>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</si>
  <si>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</si>
  <si>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</si>
  <si>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</si>
  <si>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</si>
  <si>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</si>
  <si>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</si>
  <si>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</si>
  <si>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</si>
  <si>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</si>
  <si>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</si>
  <si>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</si>
  <si>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</si>
  <si>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</si>
  <si>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</si>
  <si>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</si>
  <si>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</si>
  <si>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</si>
  <si>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</si>
  <si>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</si>
  <si>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</si>
  <si>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</si>
  <si>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</si>
  <si>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</si>
  <si>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</si>
  <si>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</si>
  <si>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</si>
  <si>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</si>
  <si>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</si>
  <si>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</si>
  <si>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</si>
  <si>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</si>
  <si>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</si>
  <si>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</si>
  <si>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</si>
  <si>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</si>
  <si>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</si>
  <si>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</si>
  <si>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</si>
  <si>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</si>
  <si>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</si>
  <si>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</si>
  <si>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</si>
  <si>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</si>
  <si>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</si>
  <si>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</si>
  <si>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</si>
  <si>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</si>
  <si>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</si>
  <si>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</si>
  <si>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</si>
  <si>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</si>
  <si>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</si>
  <si>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</si>
  <si>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</si>
  <si>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</si>
  <si>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</si>
  <si>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ح . سرمایه گذاری صدرتامین</t>
  </si>
  <si>
    <t>1405/01/30</t>
  </si>
  <si>
    <t xml:space="preserve">جمع </t>
  </si>
  <si>
    <t>1405/02/31</t>
  </si>
  <si>
    <t>ح . معدنی‌وصنعتی‌چادرملو</t>
  </si>
  <si>
    <t>ح . توسعه‌معادن‌وفلزات‌</t>
  </si>
  <si>
    <t>1405/02/30</t>
  </si>
  <si>
    <t>1405/02/10</t>
  </si>
  <si>
    <t xml:space="preserve">اوراق بهاداری که ارزش آنها در تاریخ گذشته تعدیل شده </t>
  </si>
  <si>
    <t>(بر اساس دستورالعمل نحوه تعیین قیمت خرید و فروش اوراق بهادار در صندوق های سرمایه گذاری )</t>
  </si>
  <si>
    <t xml:space="preserve">تعداد </t>
  </si>
  <si>
    <t xml:space="preserve">قیمت پایانی </t>
  </si>
  <si>
    <t xml:space="preserve">درصد تعدیل </t>
  </si>
  <si>
    <t xml:space="preserve">خالص ارزش فروش تعدیل شده </t>
  </si>
  <si>
    <t xml:space="preserve">دلایل تعدیل </t>
  </si>
  <si>
    <t xml:space="preserve">نام اوراق بهادار </t>
  </si>
  <si>
    <t>درصد سود به میانگین سپرده</t>
  </si>
  <si>
    <t>1405/03/31</t>
  </si>
  <si>
    <t>نشاسته و گلوکز آردینه</t>
  </si>
  <si>
    <t>کشت و صنعت هلال</t>
  </si>
  <si>
    <t>پتروشیمی اروند</t>
  </si>
  <si>
    <t>تراکتورسازی‌ایران‌</t>
  </si>
  <si>
    <t>گسترش سوخت سبززاگرس(سهامی عام)</t>
  </si>
  <si>
    <t>گروه توسعه مالی فیروزه</t>
  </si>
  <si>
    <t>ح.سرمایه گذاری خوارزمی</t>
  </si>
  <si>
    <t>ح . سرمایه‌گذاری‌ سپه‌</t>
  </si>
  <si>
    <t>رهیاب پیام گستران</t>
  </si>
  <si>
    <t>1405/03/27</t>
  </si>
  <si>
    <t>1405/03/30</t>
  </si>
  <si>
    <t>1405/04/31</t>
  </si>
  <si>
    <t>برای ماه منتهی به 1405/04/31</t>
  </si>
  <si>
    <t>طی تیر ماه</t>
  </si>
  <si>
    <t>از ابتدای سال مالی تا پایان تیر  ماه</t>
  </si>
  <si>
    <t>سرمایه‌گذاری‌ سپه‌</t>
  </si>
  <si>
    <t>1405/04/23</t>
  </si>
  <si>
    <t>1405/04/29</t>
  </si>
  <si>
    <t>1405/04/30</t>
  </si>
  <si>
    <t>1405/04/17</t>
  </si>
  <si>
    <t>1405/04/22</t>
  </si>
  <si>
    <t>1405/04/20</t>
  </si>
  <si>
    <t>1405/04/27</t>
  </si>
  <si>
    <t>1405/04/21</t>
  </si>
  <si>
    <t>1405/04/24</t>
  </si>
  <si>
    <t>1405/04/10</t>
  </si>
  <si>
    <t>1405/04/09</t>
  </si>
  <si>
    <t xml:space="preserve">بسته بودن سهم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</si>
</sst>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  <numFmt numFmtId="176" formatCode="#,##0\ ;[Black]\(#,##0\)\ %"/>
  </numFmts>
  <fonts count="6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2"/>
      <color rgb="FF000000"/>
      <name val="B Nazanin"/>
      <charset val="178"/>
    </font>
    <font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  <font>
      <sz val="14"/>
      <color theme="1" tint="0.249977111117893"/>
      <name val="B Nazanin"/>
      <charset val="178"/>
    </font>
    <font>
      <sz val="10"/>
      <color rgb="FF000000"/>
      <name val="Arial"/>
      <family val="2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  <font>
      <b/>
      <sz val="14"/>
      <color theme="2" tint="-0.89999084444715716"/>
      <name val="B Nazanin"/>
      <charset val="178"/>
    </font>
    <font>
      <sz val="18"/>
      <color theme="2" tint="-0.89999084444715716"/>
      <name val="B Nazanin"/>
      <charset val="178"/>
    </font>
    <font>
      <b/>
      <sz val="18"/>
      <color theme="2" tint="-0.89999084444715716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56" fillId="0" borderId="0"/>
  </cellStyleXfs>
  <cellXfs count="431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172" fontId="49" fillId="0" borderId="0" xfId="0" applyNumberFormat="1" applyFont="1" applyAlignment="1">
      <alignment horizontal="center" vertical="center" readingOrder="2"/>
    </xf>
    <xf numFmtId="165" fontId="49" fillId="0" borderId="0" xfId="1" applyNumberFormat="1" applyFont="1" applyFill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1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37" fontId="9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/>
    </xf>
    <xf numFmtId="172" fontId="53" fillId="0" borderId="0" xfId="0" applyNumberFormat="1" applyFont="1" applyAlignment="1">
      <alignment horizontal="center" vertical="center" readingOrder="2"/>
    </xf>
    <xf numFmtId="43" fontId="53" fillId="0" borderId="0" xfId="0" applyNumberFormat="1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4" fillId="0" borderId="0" xfId="0" applyNumberFormat="1" applyFont="1" applyAlignment="1">
      <alignment horizontal="center" vertical="center"/>
    </xf>
    <xf numFmtId="0" fontId="55" fillId="0" borderId="0" xfId="0" applyFont="1"/>
    <xf numFmtId="0" fontId="52" fillId="0" borderId="8" xfId="0" applyFont="1" applyBorder="1" applyAlignment="1">
      <alignment horizontal="right" vertical="top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65" fontId="7" fillId="0" borderId="0" xfId="1" applyNumberFormat="1" applyFont="1" applyAlignment="1">
      <alignment horizontal="center"/>
    </xf>
    <xf numFmtId="0" fontId="7" fillId="0" borderId="0" xfId="3" applyFont="1" applyFill="1" applyBorder="1" applyAlignment="1">
      <alignment horizontal="center" vertical="center" wrapText="1" readingOrder="2"/>
    </xf>
    <xf numFmtId="9" fontId="6" fillId="0" borderId="0" xfId="2" applyFont="1" applyAlignment="1">
      <alignment horizontal="center" vertical="center"/>
    </xf>
    <xf numFmtId="9" fontId="6" fillId="0" borderId="0" xfId="2" applyFont="1" applyAlignment="1">
      <alignment horizontal="center"/>
    </xf>
    <xf numFmtId="0" fontId="4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35" fillId="0" borderId="15" xfId="1" applyNumberFormat="1" applyFont="1" applyFill="1" applyBorder="1" applyAlignment="1">
      <alignment horizontal="center" vertical="center" wrapText="1" readingOrder="2"/>
    </xf>
    <xf numFmtId="172" fontId="35" fillId="0" borderId="6" xfId="0" applyNumberFormat="1" applyFont="1" applyBorder="1" applyAlignment="1">
      <alignment horizontal="center" vertical="center" readingOrder="2"/>
    </xf>
    <xf numFmtId="165" fontId="35" fillId="0" borderId="0" xfId="1" applyNumberFormat="1" applyFont="1" applyFill="1" applyBorder="1" applyAlignment="1">
      <alignment horizontal="center" vertical="center" wrapText="1" readingOrder="2"/>
    </xf>
    <xf numFmtId="0" fontId="58" fillId="0" borderId="0" xfId="0" applyFont="1"/>
    <xf numFmtId="165" fontId="57" fillId="0" borderId="0" xfId="1" applyNumberFormat="1" applyFont="1" applyFill="1" applyAlignment="1">
      <alignment horizontal="center" vertical="center"/>
    </xf>
    <xf numFmtId="164" fontId="58" fillId="0" borderId="0" xfId="1" applyFont="1" applyFill="1"/>
    <xf numFmtId="43" fontId="58" fillId="0" borderId="0" xfId="0" applyNumberFormat="1" applyFont="1"/>
    <xf numFmtId="0" fontId="7" fillId="0" borderId="0" xfId="0" applyFont="1" applyAlignment="1">
      <alignment horizontal="right" indent="6"/>
    </xf>
    <xf numFmtId="165" fontId="41" fillId="0" borderId="0" xfId="1" applyNumberFormat="1" applyFont="1"/>
    <xf numFmtId="165" fontId="41" fillId="0" borderId="0" xfId="1" applyNumberFormat="1" applyFont="1" applyAlignment="1">
      <alignment vertical="center"/>
    </xf>
    <xf numFmtId="165" fontId="41" fillId="0" borderId="0" xfId="1" applyNumberFormat="1" applyFont="1" applyAlignment="1">
      <alignment horizontal="center"/>
    </xf>
    <xf numFmtId="176" fontId="7" fillId="0" borderId="0" xfId="1" applyNumberFormat="1" applyFont="1" applyAlignment="1">
      <alignment horizontal="center"/>
    </xf>
    <xf numFmtId="0" fontId="59" fillId="0" borderId="0" xfId="0" applyFont="1" applyAlignment="1">
      <alignment vertical="center" readingOrder="2"/>
    </xf>
    <xf numFmtId="3" fontId="59" fillId="7" borderId="0" xfId="0" applyNumberFormat="1" applyFont="1" applyFill="1"/>
    <xf numFmtId="165" fontId="48" fillId="5" borderId="0" xfId="1" applyNumberFormat="1" applyFont="1" applyFill="1" applyAlignment="1">
      <alignment horizontal="center" vertical="center"/>
    </xf>
    <xf numFmtId="3" fontId="59" fillId="8" borderId="0" xfId="0" applyNumberFormat="1" applyFont="1" applyFill="1"/>
    <xf numFmtId="10" fontId="60" fillId="0" borderId="0" xfId="2" applyNumberFormat="1" applyFont="1" applyFill="1" applyBorder="1" applyAlignment="1">
      <alignment horizontal="center" vertical="center" wrapText="1" readingOrder="2"/>
    </xf>
    <xf numFmtId="0" fontId="60" fillId="0" borderId="0" xfId="0" applyFont="1" applyAlignment="1">
      <alignment horizontal="center"/>
    </xf>
    <xf numFmtId="10" fontId="60" fillId="0" borderId="0" xfId="0" applyNumberFormat="1" applyFont="1" applyAlignment="1">
      <alignment horizontal="center"/>
    </xf>
    <xf numFmtId="3" fontId="61" fillId="0" borderId="0" xfId="0" applyNumberFormat="1" applyFont="1" applyAlignment="1">
      <alignment horizontal="center" wrapText="1"/>
    </xf>
    <xf numFmtId="3" fontId="60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 indent="6"/>
    </xf>
    <xf numFmtId="0" fontId="15" fillId="0" borderId="0" xfId="0" applyFont="1" applyAlignment="1">
      <alignment horizontal="center"/>
    </xf>
    <xf numFmtId="0" fontId="34" fillId="0" borderId="0" xfId="0" applyFont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</cellXfs>
  <cellStyles count="7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Normal 4" xfId="6" xr:uid="{4354BF1A-018D-4F5C-AA5F-B7A38CB8151F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26"/>
  <sheetViews>
    <sheetView rightToLeft="1" tabSelected="1" view="pageBreakPreview" zoomScale="60" zoomScaleNormal="40" zoomScalePageLayoutView="10" workbookViewId="0">
      <selection activeCell="AB14" sqref="AB14:AB17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9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50" t="s">
        <v>102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132"/>
    </row>
    <row r="2" spans="2:34" ht="30" x14ac:dyDescent="0.75">
      <c r="B2" s="350" t="s">
        <v>80</v>
      </c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132"/>
      <c r="AC2" s="250"/>
    </row>
    <row r="3" spans="2:34" ht="30" x14ac:dyDescent="0.75">
      <c r="B3" s="350" t="str">
        <f>AC6</f>
        <v>برای ماه منتهی به 1405/04/31</v>
      </c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132"/>
      <c r="AC3" s="250"/>
    </row>
    <row r="4" spans="2:34" ht="36.75" customHeight="1" x14ac:dyDescent="0.65">
      <c r="B4" s="358" t="s">
        <v>36</v>
      </c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134"/>
      <c r="AC4" s="250" t="s">
        <v>219</v>
      </c>
    </row>
    <row r="5" spans="2:34" ht="30" x14ac:dyDescent="0.65">
      <c r="B5" s="358" t="s">
        <v>37</v>
      </c>
      <c r="C5" s="358"/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134"/>
      <c r="AC5" s="250" t="s">
        <v>231</v>
      </c>
    </row>
    <row r="6" spans="2:34" ht="30" x14ac:dyDescent="0.65">
      <c r="B6" s="135"/>
      <c r="C6" s="136"/>
      <c r="D6" s="345" t="str">
        <f>AC4</f>
        <v>1405/03/31</v>
      </c>
      <c r="E6" s="345"/>
      <c r="F6" s="345"/>
      <c r="G6" s="345"/>
      <c r="H6" s="345"/>
      <c r="I6" s="136"/>
      <c r="J6" s="359" t="s">
        <v>16</v>
      </c>
      <c r="K6" s="359"/>
      <c r="L6" s="359"/>
      <c r="M6" s="359"/>
      <c r="N6" s="359"/>
      <c r="O6" s="359"/>
      <c r="P6" s="359"/>
      <c r="Q6" s="137"/>
      <c r="R6" s="345" t="str">
        <f>AC5</f>
        <v>1405/04/31</v>
      </c>
      <c r="S6" s="345"/>
      <c r="T6" s="345"/>
      <c r="U6" s="345"/>
      <c r="V6" s="345"/>
      <c r="W6" s="345"/>
      <c r="X6" s="345"/>
      <c r="Y6" s="345"/>
      <c r="Z6" s="345"/>
      <c r="AA6" s="136"/>
      <c r="AC6" s="250" t="s">
        <v>232</v>
      </c>
    </row>
    <row r="7" spans="2:34" x14ac:dyDescent="0.65">
      <c r="B7" s="351" t="s">
        <v>5</v>
      </c>
      <c r="C7" s="138"/>
      <c r="D7" s="356" t="s">
        <v>8</v>
      </c>
      <c r="E7" s="346"/>
      <c r="F7" s="354" t="s">
        <v>3</v>
      </c>
      <c r="G7" s="346"/>
      <c r="H7" s="346" t="s">
        <v>31</v>
      </c>
      <c r="I7" s="139"/>
      <c r="J7" s="353" t="s">
        <v>9</v>
      </c>
      <c r="K7" s="353"/>
      <c r="L7" s="353"/>
      <c r="M7" s="140"/>
      <c r="N7" s="353" t="s">
        <v>10</v>
      </c>
      <c r="O7" s="353"/>
      <c r="P7" s="353"/>
      <c r="Q7" s="140"/>
      <c r="R7" s="354" t="s">
        <v>8</v>
      </c>
      <c r="S7" s="346"/>
      <c r="T7" s="346" t="s">
        <v>41</v>
      </c>
      <c r="U7" s="138"/>
      <c r="V7" s="354" t="s">
        <v>3</v>
      </c>
      <c r="W7" s="346"/>
      <c r="X7" s="346" t="s">
        <v>31</v>
      </c>
      <c r="Y7" s="139"/>
      <c r="Z7" s="348" t="s">
        <v>34</v>
      </c>
      <c r="AA7" s="141"/>
      <c r="AC7" s="250" t="s">
        <v>233</v>
      </c>
    </row>
    <row r="8" spans="2:34" x14ac:dyDescent="0.65">
      <c r="B8" s="352"/>
      <c r="C8" s="141"/>
      <c r="D8" s="357"/>
      <c r="E8" s="347"/>
      <c r="F8" s="355"/>
      <c r="G8" s="347"/>
      <c r="H8" s="347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79</v>
      </c>
      <c r="Q8" s="144"/>
      <c r="R8" s="355"/>
      <c r="S8" s="347"/>
      <c r="T8" s="347"/>
      <c r="U8" s="143"/>
      <c r="V8" s="355"/>
      <c r="W8" s="347"/>
      <c r="X8" s="347"/>
      <c r="Y8" s="142"/>
      <c r="Z8" s="349"/>
      <c r="AA8" s="141"/>
      <c r="AC8" s="250" t="s">
        <v>234</v>
      </c>
    </row>
    <row r="9" spans="2:34" ht="41.25" customHeight="1" x14ac:dyDescent="0.65">
      <c r="B9" s="145" t="s">
        <v>193</v>
      </c>
      <c r="C9" s="141"/>
      <c r="D9" s="146">
        <v>14000000</v>
      </c>
      <c r="E9" s="104"/>
      <c r="F9" s="146">
        <v>87506491301</v>
      </c>
      <c r="G9" s="104"/>
      <c r="H9" s="146">
        <v>141557238200</v>
      </c>
      <c r="I9" s="104"/>
      <c r="J9" s="146">
        <v>0</v>
      </c>
      <c r="K9" s="146"/>
      <c r="L9" s="146">
        <v>0</v>
      </c>
      <c r="M9" s="104"/>
      <c r="N9" s="146">
        <v>-14000000</v>
      </c>
      <c r="O9" s="146"/>
      <c r="P9" s="146">
        <v>149825239849</v>
      </c>
      <c r="Q9" s="146"/>
      <c r="R9" s="146">
        <v>0</v>
      </c>
      <c r="S9" s="146"/>
      <c r="T9" s="146">
        <v>0</v>
      </c>
      <c r="U9" s="146"/>
      <c r="V9" s="146">
        <v>0</v>
      </c>
      <c r="W9" s="146"/>
      <c r="X9" s="146">
        <v>0</v>
      </c>
      <c r="Y9" s="147"/>
      <c r="Z9" s="148">
        <f t="shared" ref="Z9:Z48" si="0">X9/$Z$80</f>
        <v>0</v>
      </c>
      <c r="AA9" s="141"/>
      <c r="AC9" s="251"/>
      <c r="AE9" s="150"/>
      <c r="AF9" s="149"/>
      <c r="AH9" s="149"/>
    </row>
    <row r="10" spans="2:34" ht="41.25" customHeight="1" x14ac:dyDescent="0.65">
      <c r="B10" s="145" t="s">
        <v>185</v>
      </c>
      <c r="C10" s="141"/>
      <c r="D10" s="146">
        <v>72662416</v>
      </c>
      <c r="E10" s="146"/>
      <c r="F10" s="146">
        <v>99060136044</v>
      </c>
      <c r="G10" s="146"/>
      <c r="H10" s="146">
        <v>101662037089.291</v>
      </c>
      <c r="I10" s="146"/>
      <c r="J10" s="146">
        <v>0</v>
      </c>
      <c r="K10" s="146"/>
      <c r="L10" s="146">
        <v>0</v>
      </c>
      <c r="M10" s="146"/>
      <c r="N10" s="146">
        <v>-72662416</v>
      </c>
      <c r="O10" s="146"/>
      <c r="P10" s="146">
        <v>107268224021</v>
      </c>
      <c r="Q10" s="146"/>
      <c r="R10" s="146">
        <v>0</v>
      </c>
      <c r="S10" s="146"/>
      <c r="T10" s="151">
        <v>0</v>
      </c>
      <c r="U10" s="146"/>
      <c r="V10" s="146">
        <v>0</v>
      </c>
      <c r="W10" s="146"/>
      <c r="X10" s="146">
        <v>0</v>
      </c>
      <c r="Y10" s="147"/>
      <c r="Z10" s="148">
        <f t="shared" si="0"/>
        <v>0</v>
      </c>
      <c r="AA10" s="141"/>
      <c r="AC10" s="250"/>
      <c r="AE10" s="149"/>
      <c r="AF10" s="149"/>
      <c r="AH10" s="149"/>
    </row>
    <row r="11" spans="2:34" ht="41.25" customHeight="1" x14ac:dyDescent="0.65">
      <c r="B11" s="145" t="s">
        <v>108</v>
      </c>
      <c r="C11" s="141"/>
      <c r="D11" s="146">
        <v>753200000</v>
      </c>
      <c r="E11" s="146"/>
      <c r="F11" s="146">
        <v>362402577489</v>
      </c>
      <c r="G11" s="146"/>
      <c r="H11" s="146">
        <v>430489592064</v>
      </c>
      <c r="I11" s="146"/>
      <c r="J11" s="146">
        <v>0</v>
      </c>
      <c r="K11" s="146"/>
      <c r="L11" s="146">
        <v>0</v>
      </c>
      <c r="M11" s="146"/>
      <c r="N11" s="146">
        <v>-553200000</v>
      </c>
      <c r="O11" s="146"/>
      <c r="P11" s="146">
        <v>310640779856</v>
      </c>
      <c r="Q11" s="146"/>
      <c r="R11" s="146">
        <v>200000000</v>
      </c>
      <c r="S11" s="146"/>
      <c r="T11" s="146">
        <v>504</v>
      </c>
      <c r="U11" s="146"/>
      <c r="V11" s="146">
        <v>96230105555</v>
      </c>
      <c r="W11" s="146"/>
      <c r="X11" s="146">
        <v>100020816000</v>
      </c>
      <c r="Y11" s="147"/>
      <c r="Z11" s="148">
        <f t="shared" si="0"/>
        <v>7.3281248216302891E-3</v>
      </c>
      <c r="AA11" s="141"/>
      <c r="AE11" s="149"/>
      <c r="AF11" s="149"/>
      <c r="AH11" s="149"/>
    </row>
    <row r="12" spans="2:34" ht="41.25" customHeight="1" x14ac:dyDescent="0.65">
      <c r="B12" s="145" t="s">
        <v>109</v>
      </c>
      <c r="C12" s="141"/>
      <c r="D12" s="146">
        <v>1000</v>
      </c>
      <c r="E12" s="146"/>
      <c r="F12" s="146">
        <v>1915216</v>
      </c>
      <c r="G12" s="146"/>
      <c r="H12" s="146">
        <v>10061617.800000001</v>
      </c>
      <c r="I12" s="146"/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1000</v>
      </c>
      <c r="S12" s="146"/>
      <c r="T12" s="146">
        <v>8600</v>
      </c>
      <c r="U12" s="146"/>
      <c r="V12" s="146">
        <v>1915216</v>
      </c>
      <c r="W12" s="146"/>
      <c r="X12" s="146">
        <v>8533522</v>
      </c>
      <c r="Y12" s="147"/>
      <c r="Z12" s="148">
        <f t="shared" si="0"/>
        <v>6.2521699867083823E-7</v>
      </c>
      <c r="AA12" s="141"/>
      <c r="AE12" s="149"/>
      <c r="AF12" s="149"/>
      <c r="AH12" s="149"/>
    </row>
    <row r="13" spans="2:34" ht="41.25" customHeight="1" x14ac:dyDescent="0.65">
      <c r="B13" s="145" t="s">
        <v>142</v>
      </c>
      <c r="C13" s="141"/>
      <c r="D13" s="146">
        <v>333200000</v>
      </c>
      <c r="E13" s="146"/>
      <c r="F13" s="146">
        <v>186591341771</v>
      </c>
      <c r="G13" s="146"/>
      <c r="H13" s="146">
        <v>212260841688</v>
      </c>
      <c r="I13" s="146"/>
      <c r="J13" s="146">
        <v>0</v>
      </c>
      <c r="K13" s="146"/>
      <c r="L13" s="146">
        <v>0</v>
      </c>
      <c r="M13" s="146"/>
      <c r="N13" s="146">
        <v>-253200000</v>
      </c>
      <c r="O13" s="146"/>
      <c r="P13" s="146">
        <v>164039287526</v>
      </c>
      <c r="Q13" s="146"/>
      <c r="R13" s="146">
        <v>80000000</v>
      </c>
      <c r="S13" s="146"/>
      <c r="T13" s="146">
        <v>528</v>
      </c>
      <c r="U13" s="146"/>
      <c r="V13" s="146">
        <v>44799841988</v>
      </c>
      <c r="W13" s="146"/>
      <c r="X13" s="146">
        <v>41913484800</v>
      </c>
      <c r="Y13" s="147"/>
      <c r="Z13" s="148">
        <f t="shared" si="0"/>
        <v>3.0708332585879308E-3</v>
      </c>
      <c r="AA13" s="141"/>
      <c r="AE13" s="149"/>
      <c r="AF13" s="149"/>
      <c r="AH13" s="149"/>
    </row>
    <row r="14" spans="2:34" ht="41.25" customHeight="1" x14ac:dyDescent="0.65">
      <c r="B14" s="145" t="s">
        <v>110</v>
      </c>
      <c r="C14" s="141"/>
      <c r="D14" s="146">
        <v>1372355188</v>
      </c>
      <c r="E14" s="146"/>
      <c r="F14" s="146">
        <v>1526550668574</v>
      </c>
      <c r="G14" s="146"/>
      <c r="H14" s="146">
        <v>1805676366058.1001</v>
      </c>
      <c r="I14" s="146"/>
      <c r="J14" s="146">
        <v>0</v>
      </c>
      <c r="K14" s="146"/>
      <c r="L14" s="146">
        <v>0</v>
      </c>
      <c r="M14" s="146"/>
      <c r="N14" s="146">
        <v>-702355188</v>
      </c>
      <c r="O14" s="146"/>
      <c r="P14" s="146">
        <v>862327857433</v>
      </c>
      <c r="Q14" s="146"/>
      <c r="R14" s="146">
        <v>670000000</v>
      </c>
      <c r="S14" s="146"/>
      <c r="T14" s="146">
        <v>1118</v>
      </c>
      <c r="U14" s="146"/>
      <c r="V14" s="146">
        <v>745280053458</v>
      </c>
      <c r="W14" s="146"/>
      <c r="X14" s="146">
        <v>743269766200</v>
      </c>
      <c r="Y14" s="147"/>
      <c r="Z14" s="148">
        <f t="shared" si="0"/>
        <v>5.4456400584230007E-2</v>
      </c>
      <c r="AA14" s="141"/>
      <c r="AE14" s="149"/>
      <c r="AF14" s="149"/>
      <c r="AH14" s="149"/>
    </row>
    <row r="15" spans="2:34" ht="41.25" customHeight="1" x14ac:dyDescent="0.65">
      <c r="B15" s="145" t="s">
        <v>160</v>
      </c>
      <c r="C15" s="141"/>
      <c r="D15" s="146">
        <v>60000000</v>
      </c>
      <c r="E15" s="146"/>
      <c r="F15" s="146">
        <v>100530477997</v>
      </c>
      <c r="G15" s="146"/>
      <c r="H15" s="146">
        <v>214151711400</v>
      </c>
      <c r="I15" s="146"/>
      <c r="J15" s="146">
        <v>11283274</v>
      </c>
      <c r="K15" s="146"/>
      <c r="L15" s="146">
        <v>0</v>
      </c>
      <c r="M15" s="146"/>
      <c r="N15" s="146">
        <v>-10000000</v>
      </c>
      <c r="O15" s="146"/>
      <c r="P15" s="146">
        <v>35742240264</v>
      </c>
      <c r="Q15" s="146"/>
      <c r="R15" s="146">
        <v>61283274</v>
      </c>
      <c r="S15" s="146"/>
      <c r="T15" s="146">
        <v>2785</v>
      </c>
      <c r="U15" s="146"/>
      <c r="V15" s="146">
        <v>83775398362</v>
      </c>
      <c r="W15" s="146"/>
      <c r="X15" s="146">
        <v>169354608703.164</v>
      </c>
      <c r="Y15" s="147"/>
      <c r="Z15" s="148">
        <f t="shared" si="0"/>
        <v>1.2407934281351406E-2</v>
      </c>
      <c r="AA15" s="141"/>
      <c r="AE15" s="149"/>
      <c r="AF15" s="149"/>
      <c r="AH15" s="149"/>
    </row>
    <row r="16" spans="2:34" ht="41.25" customHeight="1" x14ac:dyDescent="0.65">
      <c r="B16" s="145" t="s">
        <v>143</v>
      </c>
      <c r="C16" s="141"/>
      <c r="D16" s="146">
        <v>1000</v>
      </c>
      <c r="E16" s="146"/>
      <c r="F16" s="146">
        <v>5411279</v>
      </c>
      <c r="G16" s="146"/>
      <c r="H16" s="146">
        <v>3313189.53</v>
      </c>
      <c r="I16" s="146"/>
      <c r="J16" s="146">
        <v>0</v>
      </c>
      <c r="K16" s="146"/>
      <c r="L16" s="146">
        <v>0</v>
      </c>
      <c r="M16" s="146"/>
      <c r="N16" s="146">
        <v>0</v>
      </c>
      <c r="O16" s="146"/>
      <c r="P16" s="146">
        <v>0</v>
      </c>
      <c r="Q16" s="146"/>
      <c r="R16" s="146">
        <v>1000</v>
      </c>
      <c r="S16" s="146"/>
      <c r="T16" s="146">
        <v>3160</v>
      </c>
      <c r="U16" s="146"/>
      <c r="V16" s="146">
        <v>5411279</v>
      </c>
      <c r="W16" s="146"/>
      <c r="X16" s="146">
        <v>3135573.2</v>
      </c>
      <c r="Y16" s="147"/>
      <c r="Z16" s="148">
        <f t="shared" si="0"/>
        <v>2.2973089718602893E-7</v>
      </c>
      <c r="AA16" s="141"/>
      <c r="AE16" s="149"/>
      <c r="AF16" s="149"/>
      <c r="AH16" s="149"/>
    </row>
    <row r="17" spans="2:34" ht="41.25" customHeight="1" x14ac:dyDescent="0.65">
      <c r="B17" s="145" t="s">
        <v>111</v>
      </c>
      <c r="C17" s="141"/>
      <c r="D17" s="146">
        <v>120600000</v>
      </c>
      <c r="E17" s="146"/>
      <c r="F17" s="146">
        <v>396729813026</v>
      </c>
      <c r="G17" s="146"/>
      <c r="H17" s="146">
        <v>1096156699920</v>
      </c>
      <c r="I17" s="146"/>
      <c r="J17" s="146">
        <v>0</v>
      </c>
      <c r="K17" s="146"/>
      <c r="L17" s="146">
        <v>0</v>
      </c>
      <c r="M17" s="146"/>
      <c r="N17" s="146">
        <v>-60600000</v>
      </c>
      <c r="O17" s="146"/>
      <c r="P17" s="146">
        <v>602710217327</v>
      </c>
      <c r="Q17" s="146"/>
      <c r="R17" s="146">
        <v>60000000</v>
      </c>
      <c r="S17" s="146"/>
      <c r="T17" s="146">
        <v>9420</v>
      </c>
      <c r="U17" s="146"/>
      <c r="V17" s="146">
        <v>197378016384</v>
      </c>
      <c r="W17" s="146"/>
      <c r="X17" s="146">
        <v>560831004000</v>
      </c>
      <c r="Y17" s="147"/>
      <c r="Z17" s="148">
        <f t="shared" si="0"/>
        <v>4.1089842749855554E-2</v>
      </c>
      <c r="AA17" s="141"/>
      <c r="AE17" s="149"/>
      <c r="AF17" s="149"/>
      <c r="AH17" s="149"/>
    </row>
    <row r="18" spans="2:34" ht="41.25" customHeight="1" x14ac:dyDescent="0.65">
      <c r="B18" s="145" t="s">
        <v>112</v>
      </c>
      <c r="C18" s="141"/>
      <c r="D18" s="146">
        <v>81708586</v>
      </c>
      <c r="E18" s="146"/>
      <c r="F18" s="146">
        <v>354491575881</v>
      </c>
      <c r="G18" s="146"/>
      <c r="H18" s="146">
        <v>939682182324.25</v>
      </c>
      <c r="I18" s="146"/>
      <c r="J18" s="146">
        <v>0</v>
      </c>
      <c r="K18" s="146"/>
      <c r="L18" s="146">
        <v>0</v>
      </c>
      <c r="M18" s="146"/>
      <c r="N18" s="146">
        <v>-21708586</v>
      </c>
      <c r="O18" s="146"/>
      <c r="P18" s="146">
        <v>262257952234</v>
      </c>
      <c r="Q18" s="146"/>
      <c r="R18" s="146">
        <v>60000000</v>
      </c>
      <c r="S18" s="146"/>
      <c r="T18" s="146">
        <v>11080</v>
      </c>
      <c r="U18" s="146"/>
      <c r="V18" s="146">
        <v>260309174270</v>
      </c>
      <c r="W18" s="146"/>
      <c r="X18" s="146">
        <v>659661096000</v>
      </c>
      <c r="Y18" s="147"/>
      <c r="Z18" s="148">
        <f t="shared" si="0"/>
        <v>4.8330727990275955E-2</v>
      </c>
      <c r="AA18" s="141"/>
      <c r="AE18" s="149"/>
      <c r="AF18" s="149"/>
      <c r="AH18" s="149"/>
    </row>
    <row r="19" spans="2:34" ht="41.25" customHeight="1" x14ac:dyDescent="0.65">
      <c r="B19" s="145" t="s">
        <v>135</v>
      </c>
      <c r="C19" s="141"/>
      <c r="D19" s="146">
        <v>1000</v>
      </c>
      <c r="E19" s="146"/>
      <c r="F19" s="146">
        <v>20873618</v>
      </c>
      <c r="G19" s="146"/>
      <c r="H19" s="146">
        <v>43243126.600000001</v>
      </c>
      <c r="I19" s="146"/>
      <c r="J19" s="146">
        <v>0</v>
      </c>
      <c r="K19" s="146"/>
      <c r="L19" s="146">
        <v>0</v>
      </c>
      <c r="M19" s="146"/>
      <c r="N19" s="146">
        <v>0</v>
      </c>
      <c r="O19" s="146"/>
      <c r="P19" s="146">
        <v>0</v>
      </c>
      <c r="Q19" s="146"/>
      <c r="R19" s="146">
        <v>1000</v>
      </c>
      <c r="S19" s="146"/>
      <c r="T19" s="146">
        <v>38960</v>
      </c>
      <c r="U19" s="146"/>
      <c r="V19" s="146">
        <v>20873618</v>
      </c>
      <c r="W19" s="146"/>
      <c r="X19" s="146">
        <v>38658839.200000003</v>
      </c>
      <c r="Y19" s="147"/>
      <c r="Z19" s="148">
        <f t="shared" si="0"/>
        <v>2.8323784032809137E-6</v>
      </c>
      <c r="AA19" s="141"/>
      <c r="AE19" s="149"/>
      <c r="AF19" s="149"/>
      <c r="AH19" s="149"/>
    </row>
    <row r="20" spans="2:34" ht="41.25" customHeight="1" x14ac:dyDescent="0.65">
      <c r="B20" s="145" t="s">
        <v>113</v>
      </c>
      <c r="C20" s="141"/>
      <c r="D20" s="146">
        <v>50000000</v>
      </c>
      <c r="E20" s="146"/>
      <c r="F20" s="146">
        <v>148963424259</v>
      </c>
      <c r="G20" s="146"/>
      <c r="H20" s="146">
        <v>256997930000</v>
      </c>
      <c r="I20" s="146"/>
      <c r="J20" s="146">
        <v>0</v>
      </c>
      <c r="K20" s="146"/>
      <c r="L20" s="146">
        <v>0</v>
      </c>
      <c r="M20" s="146"/>
      <c r="N20" s="146">
        <v>0</v>
      </c>
      <c r="O20" s="146"/>
      <c r="P20" s="146">
        <v>0</v>
      </c>
      <c r="Q20" s="146"/>
      <c r="R20" s="146">
        <v>50000000</v>
      </c>
      <c r="S20" s="146"/>
      <c r="T20" s="146">
        <v>4760</v>
      </c>
      <c r="U20" s="146"/>
      <c r="V20" s="146">
        <v>148963424259</v>
      </c>
      <c r="W20" s="146"/>
      <c r="X20" s="146">
        <v>236160260000</v>
      </c>
      <c r="Y20" s="147"/>
      <c r="Z20" s="148">
        <f t="shared" si="0"/>
        <v>1.7302516939960405E-2</v>
      </c>
      <c r="AA20" s="141"/>
      <c r="AE20" s="149"/>
      <c r="AF20" s="149"/>
      <c r="AH20" s="149"/>
    </row>
    <row r="21" spans="2:34" ht="41.25" customHeight="1" x14ac:dyDescent="0.65">
      <c r="B21" s="145" t="s">
        <v>222</v>
      </c>
      <c r="C21" s="141"/>
      <c r="D21" s="146">
        <v>2700000</v>
      </c>
      <c r="E21" s="146"/>
      <c r="F21" s="146">
        <v>203490878141</v>
      </c>
      <c r="G21" s="146"/>
      <c r="H21" s="146">
        <v>178644321720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2700000</v>
      </c>
      <c r="S21" s="146"/>
      <c r="T21" s="146">
        <v>44470</v>
      </c>
      <c r="U21" s="146"/>
      <c r="V21" s="146">
        <v>203490878141</v>
      </c>
      <c r="W21" s="146"/>
      <c r="X21" s="146">
        <v>119140866630</v>
      </c>
      <c r="Y21" s="147"/>
      <c r="Z21" s="148">
        <f t="shared" si="0"/>
        <v>8.7289743969080087E-3</v>
      </c>
      <c r="AA21" s="141"/>
      <c r="AE21" s="149"/>
      <c r="AF21" s="149"/>
      <c r="AH21" s="149"/>
    </row>
    <row r="22" spans="2:34" ht="41.25" customHeight="1" x14ac:dyDescent="0.65">
      <c r="B22" s="145" t="s">
        <v>139</v>
      </c>
      <c r="C22" s="141"/>
      <c r="D22" s="146">
        <v>1400</v>
      </c>
      <c r="E22" s="146"/>
      <c r="F22" s="146">
        <v>68624286</v>
      </c>
      <c r="G22" s="146"/>
      <c r="H22" s="146">
        <v>42231011.200000003</v>
      </c>
      <c r="I22" s="146"/>
      <c r="J22" s="146">
        <v>0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1400</v>
      </c>
      <c r="S22" s="146"/>
      <c r="T22" s="146">
        <v>25880</v>
      </c>
      <c r="U22" s="146"/>
      <c r="V22" s="146">
        <v>68624286</v>
      </c>
      <c r="W22" s="146"/>
      <c r="X22" s="146">
        <v>35951926.640000001</v>
      </c>
      <c r="Y22" s="147"/>
      <c r="Z22" s="148">
        <f t="shared" si="0"/>
        <v>2.6340537553304432E-6</v>
      </c>
      <c r="AA22" s="141"/>
      <c r="AE22" s="149"/>
      <c r="AF22" s="149"/>
      <c r="AH22" s="149"/>
    </row>
    <row r="23" spans="2:34" ht="41.25" customHeight="1" x14ac:dyDescent="0.65">
      <c r="B23" s="145" t="s">
        <v>114</v>
      </c>
      <c r="C23" s="141"/>
      <c r="D23" s="146">
        <v>1147</v>
      </c>
      <c r="E23" s="146"/>
      <c r="F23" s="146">
        <v>2873060</v>
      </c>
      <c r="G23" s="146"/>
      <c r="H23" s="146">
        <v>3109381.2410800001</v>
      </c>
      <c r="I23" s="146"/>
      <c r="J23" s="146">
        <v>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1147</v>
      </c>
      <c r="S23" s="146"/>
      <c r="T23" s="146">
        <v>1883</v>
      </c>
      <c r="U23" s="146"/>
      <c r="V23" s="146">
        <v>2873060</v>
      </c>
      <c r="W23" s="146"/>
      <c r="X23" s="146">
        <v>2143105.7382700001</v>
      </c>
      <c r="Y23" s="147"/>
      <c r="Z23" s="148">
        <f t="shared" si="0"/>
        <v>1.5701677894724128E-7</v>
      </c>
      <c r="AA23" s="141"/>
      <c r="AE23" s="149"/>
      <c r="AF23" s="149"/>
      <c r="AH23" s="149"/>
    </row>
    <row r="24" spans="2:34" ht="41.25" customHeight="1" x14ac:dyDescent="0.65">
      <c r="B24" s="145" t="s">
        <v>115</v>
      </c>
      <c r="C24" s="141"/>
      <c r="D24" s="146">
        <v>50600000</v>
      </c>
      <c r="E24" s="146"/>
      <c r="F24" s="146">
        <v>467612551637</v>
      </c>
      <c r="G24" s="146"/>
      <c r="H24" s="146">
        <v>648698497040</v>
      </c>
      <c r="I24" s="146"/>
      <c r="J24" s="146">
        <v>0</v>
      </c>
      <c r="K24" s="146"/>
      <c r="L24" s="146">
        <v>0</v>
      </c>
      <c r="M24" s="146"/>
      <c r="N24" s="146">
        <v>-5600000</v>
      </c>
      <c r="O24" s="146"/>
      <c r="P24" s="146">
        <v>60716796494</v>
      </c>
      <c r="Q24" s="146"/>
      <c r="R24" s="146">
        <v>45000000</v>
      </c>
      <c r="S24" s="146"/>
      <c r="T24" s="146">
        <v>10470</v>
      </c>
      <c r="U24" s="146"/>
      <c r="V24" s="146">
        <v>415860964889</v>
      </c>
      <c r="W24" s="146"/>
      <c r="X24" s="146">
        <v>467508010500</v>
      </c>
      <c r="Y24" s="147"/>
      <c r="Z24" s="148">
        <f t="shared" si="0"/>
        <v>3.4252440572530865E-2</v>
      </c>
      <c r="AA24" s="141"/>
      <c r="AE24" s="149"/>
      <c r="AF24" s="149"/>
      <c r="AH24" s="149"/>
    </row>
    <row r="25" spans="2:34" ht="41.25" customHeight="1" x14ac:dyDescent="0.65">
      <c r="B25" s="145" t="s">
        <v>116</v>
      </c>
      <c r="C25" s="141"/>
      <c r="D25" s="146">
        <v>100000</v>
      </c>
      <c r="E25" s="146"/>
      <c r="F25" s="146">
        <v>5636941092</v>
      </c>
      <c r="G25" s="146"/>
      <c r="H25" s="146">
        <v>3894659750</v>
      </c>
      <c r="I25" s="146"/>
      <c r="J25" s="146">
        <v>0</v>
      </c>
      <c r="K25" s="146"/>
      <c r="L25" s="146">
        <v>0</v>
      </c>
      <c r="M25" s="146"/>
      <c r="N25" s="146">
        <v>-99000</v>
      </c>
      <c r="O25" s="146"/>
      <c r="P25" s="146">
        <v>3688867268</v>
      </c>
      <c r="Q25" s="146"/>
      <c r="R25" s="146">
        <v>1000</v>
      </c>
      <c r="S25" s="146"/>
      <c r="T25" s="146">
        <v>35900</v>
      </c>
      <c r="U25" s="146"/>
      <c r="V25" s="146">
        <v>56369410</v>
      </c>
      <c r="W25" s="146"/>
      <c r="X25" s="146">
        <v>35622493</v>
      </c>
      <c r="Y25" s="147"/>
      <c r="Z25" s="148">
        <f t="shared" si="0"/>
        <v>2.6099174711957084E-6</v>
      </c>
      <c r="AA25" s="141"/>
      <c r="AE25" s="149"/>
      <c r="AF25" s="149"/>
      <c r="AH25" s="149"/>
    </row>
    <row r="26" spans="2:34" ht="41.25" customHeight="1" x14ac:dyDescent="0.65">
      <c r="B26" s="145" t="s">
        <v>192</v>
      </c>
      <c r="C26" s="141"/>
      <c r="D26" s="146">
        <v>335000</v>
      </c>
      <c r="E26" s="146"/>
      <c r="F26" s="146">
        <v>12080114091</v>
      </c>
      <c r="G26" s="146"/>
      <c r="H26" s="146">
        <v>17411659371</v>
      </c>
      <c r="I26" s="146"/>
      <c r="J26" s="146">
        <v>0</v>
      </c>
      <c r="K26" s="146"/>
      <c r="L26" s="146">
        <v>0</v>
      </c>
      <c r="M26" s="146"/>
      <c r="N26" s="146">
        <v>-335000</v>
      </c>
      <c r="O26" s="146"/>
      <c r="P26" s="146">
        <v>16234274413</v>
      </c>
      <c r="Q26" s="146"/>
      <c r="R26" s="146">
        <v>0</v>
      </c>
      <c r="S26" s="146"/>
      <c r="T26" s="146">
        <v>0</v>
      </c>
      <c r="U26" s="146"/>
      <c r="V26" s="146">
        <v>0</v>
      </c>
      <c r="W26" s="146"/>
      <c r="X26" s="146">
        <v>0</v>
      </c>
      <c r="Y26" s="147"/>
      <c r="Z26" s="148">
        <f t="shared" si="0"/>
        <v>0</v>
      </c>
      <c r="AA26" s="141"/>
      <c r="AE26" s="149"/>
      <c r="AF26" s="149"/>
      <c r="AH26" s="149"/>
    </row>
    <row r="27" spans="2:34" ht="41.25" customHeight="1" x14ac:dyDescent="0.65">
      <c r="B27" s="145" t="s">
        <v>117</v>
      </c>
      <c r="C27" s="141"/>
      <c r="D27" s="146">
        <v>5000000</v>
      </c>
      <c r="E27" s="146"/>
      <c r="F27" s="146">
        <v>263663813246</v>
      </c>
      <c r="G27" s="146"/>
      <c r="H27" s="146">
        <v>203688224250</v>
      </c>
      <c r="I27" s="146"/>
      <c r="J27" s="146">
        <v>0</v>
      </c>
      <c r="K27" s="146"/>
      <c r="L27" s="146">
        <v>0</v>
      </c>
      <c r="M27" s="146"/>
      <c r="N27" s="146">
        <v>0</v>
      </c>
      <c r="O27" s="146"/>
      <c r="P27" s="146">
        <v>0</v>
      </c>
      <c r="Q27" s="146"/>
      <c r="R27" s="146">
        <v>5000000</v>
      </c>
      <c r="S27" s="146"/>
      <c r="T27" s="146">
        <v>48110</v>
      </c>
      <c r="U27" s="146"/>
      <c r="V27" s="146">
        <v>263663813246</v>
      </c>
      <c r="W27" s="146"/>
      <c r="X27" s="146">
        <v>238690548500</v>
      </c>
      <c r="Y27" s="147"/>
      <c r="Z27" s="148">
        <f t="shared" si="0"/>
        <v>1.748790105003141E-2</v>
      </c>
      <c r="AA27" s="141"/>
      <c r="AE27" s="149"/>
      <c r="AF27" s="149"/>
      <c r="AH27" s="149"/>
    </row>
    <row r="28" spans="2:34" ht="41.25" customHeight="1" x14ac:dyDescent="0.65">
      <c r="B28" s="145" t="s">
        <v>140</v>
      </c>
      <c r="C28" s="141"/>
      <c r="D28" s="146">
        <v>9367191</v>
      </c>
      <c r="E28" s="146"/>
      <c r="F28" s="146">
        <v>521322186944</v>
      </c>
      <c r="G28" s="146"/>
      <c r="H28" s="146">
        <v>601549035967.63696</v>
      </c>
      <c r="I28" s="146"/>
      <c r="J28" s="146">
        <v>0</v>
      </c>
      <c r="K28" s="146"/>
      <c r="L28" s="146">
        <v>0</v>
      </c>
      <c r="M28" s="146"/>
      <c r="N28" s="146">
        <v>-367191</v>
      </c>
      <c r="O28" s="146"/>
      <c r="P28" s="146">
        <v>26438029954</v>
      </c>
      <c r="Q28" s="146"/>
      <c r="R28" s="146">
        <v>9000000</v>
      </c>
      <c r="S28" s="146"/>
      <c r="T28" s="146">
        <v>61410</v>
      </c>
      <c r="U28" s="146"/>
      <c r="V28" s="146">
        <v>500886517901</v>
      </c>
      <c r="W28" s="146"/>
      <c r="X28" s="146">
        <v>548417706300</v>
      </c>
      <c r="Y28" s="147"/>
      <c r="Z28" s="148">
        <f t="shared" si="0"/>
        <v>4.0180370115742506E-2</v>
      </c>
      <c r="AA28" s="141"/>
      <c r="AE28" s="149"/>
      <c r="AF28" s="149"/>
      <c r="AH28" s="149"/>
    </row>
    <row r="29" spans="2:34" ht="41.25" customHeight="1" x14ac:dyDescent="0.65">
      <c r="B29" s="145" t="s">
        <v>176</v>
      </c>
      <c r="C29" s="141"/>
      <c r="D29" s="146">
        <v>25800000</v>
      </c>
      <c r="E29" s="146"/>
      <c r="F29" s="146">
        <v>197789805541</v>
      </c>
      <c r="G29" s="146"/>
      <c r="H29" s="146">
        <v>204036511020</v>
      </c>
      <c r="I29" s="146"/>
      <c r="J29" s="146">
        <v>0</v>
      </c>
      <c r="K29" s="146"/>
      <c r="L29" s="146">
        <v>0</v>
      </c>
      <c r="M29" s="146"/>
      <c r="N29" s="146">
        <v>-800000</v>
      </c>
      <c r="O29" s="146"/>
      <c r="P29" s="146">
        <v>7108734412</v>
      </c>
      <c r="Q29" s="146"/>
      <c r="R29" s="146">
        <v>25000000</v>
      </c>
      <c r="S29" s="146"/>
      <c r="T29" s="146">
        <v>7420</v>
      </c>
      <c r="U29" s="146"/>
      <c r="V29" s="146">
        <v>191656788314</v>
      </c>
      <c r="W29" s="146"/>
      <c r="X29" s="146">
        <v>184066085000</v>
      </c>
      <c r="Y29" s="147"/>
      <c r="Z29" s="148">
        <f t="shared" si="0"/>
        <v>1.3485785262027964E-2</v>
      </c>
      <c r="AA29" s="141"/>
      <c r="AE29" s="149"/>
      <c r="AF29" s="149"/>
      <c r="AH29" s="149"/>
    </row>
    <row r="30" spans="2:34" ht="41.25" customHeight="1" x14ac:dyDescent="0.65">
      <c r="B30" s="145" t="s">
        <v>223</v>
      </c>
      <c r="C30" s="141"/>
      <c r="D30" s="146">
        <v>98000000</v>
      </c>
      <c r="E30" s="146"/>
      <c r="F30" s="146">
        <v>237347767188</v>
      </c>
      <c r="G30" s="146"/>
      <c r="H30" s="146">
        <v>248260000380</v>
      </c>
      <c r="I30" s="146"/>
      <c r="J30" s="146">
        <v>0</v>
      </c>
      <c r="K30" s="146"/>
      <c r="L30" s="146">
        <v>0</v>
      </c>
      <c r="M30" s="146"/>
      <c r="N30" s="146">
        <v>-18000000</v>
      </c>
      <c r="O30" s="146"/>
      <c r="P30" s="146">
        <v>43919753152</v>
      </c>
      <c r="Q30" s="146"/>
      <c r="R30" s="146">
        <v>80000000</v>
      </c>
      <c r="S30" s="146"/>
      <c r="T30" s="146">
        <v>2320</v>
      </c>
      <c r="U30" s="146"/>
      <c r="V30" s="146">
        <v>193753279329</v>
      </c>
      <c r="W30" s="146"/>
      <c r="X30" s="146">
        <v>184165312000</v>
      </c>
      <c r="Y30" s="147"/>
      <c r="Z30" s="148">
        <f t="shared" si="0"/>
        <v>1.3493055227128787E-2</v>
      </c>
      <c r="AA30" s="141"/>
      <c r="AE30" s="149"/>
      <c r="AF30" s="149"/>
      <c r="AH30" s="149"/>
    </row>
    <row r="31" spans="2:34" ht="41.25" customHeight="1" x14ac:dyDescent="0.65">
      <c r="B31" s="145" t="s">
        <v>133</v>
      </c>
      <c r="C31" s="141"/>
      <c r="D31" s="146">
        <v>1000</v>
      </c>
      <c r="E31" s="146"/>
      <c r="F31" s="146">
        <v>4947385</v>
      </c>
      <c r="G31" s="146"/>
      <c r="H31" s="146">
        <v>6876431.0999999996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1000</v>
      </c>
      <c r="S31" s="146"/>
      <c r="T31" s="146">
        <v>5650</v>
      </c>
      <c r="U31" s="146"/>
      <c r="V31" s="146">
        <v>4947385</v>
      </c>
      <c r="W31" s="146"/>
      <c r="X31" s="146">
        <v>5606325.5</v>
      </c>
      <c r="Y31" s="147"/>
      <c r="Z31" s="148">
        <f t="shared" si="0"/>
        <v>4.1075302819653903E-7</v>
      </c>
      <c r="AA31" s="141"/>
      <c r="AE31" s="149"/>
      <c r="AF31" s="149"/>
      <c r="AH31" s="149"/>
    </row>
    <row r="32" spans="2:34" ht="41.25" customHeight="1" x14ac:dyDescent="0.65">
      <c r="B32" s="145" t="s">
        <v>103</v>
      </c>
      <c r="C32" s="141"/>
      <c r="D32" s="146">
        <v>388445097</v>
      </c>
      <c r="E32" s="146"/>
      <c r="F32" s="146">
        <v>887833165580</v>
      </c>
      <c r="G32" s="146"/>
      <c r="H32" s="146">
        <v>858380261323.22302</v>
      </c>
      <c r="I32" s="146"/>
      <c r="J32" s="146">
        <v>0</v>
      </c>
      <c r="K32" s="146"/>
      <c r="L32" s="146">
        <v>0</v>
      </c>
      <c r="M32" s="146"/>
      <c r="N32" s="146">
        <v>-8400000</v>
      </c>
      <c r="O32" s="146"/>
      <c r="P32" s="146">
        <v>17888603965</v>
      </c>
      <c r="Q32" s="146"/>
      <c r="R32" s="146">
        <v>380045097</v>
      </c>
      <c r="S32" s="146"/>
      <c r="T32" s="146">
        <v>1986</v>
      </c>
      <c r="U32" s="146"/>
      <c r="V32" s="146">
        <v>868634059589</v>
      </c>
      <c r="W32" s="146"/>
      <c r="X32" s="146">
        <v>748935193922.77698</v>
      </c>
      <c r="Y32" s="147"/>
      <c r="Z32" s="148">
        <f t="shared" si="0"/>
        <v>5.487148379571305E-2</v>
      </c>
      <c r="AA32" s="141"/>
      <c r="AE32" s="149"/>
      <c r="AF32" s="149"/>
      <c r="AH32" s="149"/>
    </row>
    <row r="33" spans="2:34" ht="41.25" customHeight="1" x14ac:dyDescent="0.65">
      <c r="B33" s="145" t="s">
        <v>202</v>
      </c>
      <c r="C33" s="141"/>
      <c r="D33" s="146">
        <v>2400000</v>
      </c>
      <c r="E33" s="146"/>
      <c r="F33" s="146">
        <v>19257600000</v>
      </c>
      <c r="G33" s="146"/>
      <c r="H33" s="146">
        <v>27910570560</v>
      </c>
      <c r="I33" s="146"/>
      <c r="J33" s="146">
        <v>0</v>
      </c>
      <c r="K33" s="146"/>
      <c r="L33" s="146">
        <v>0</v>
      </c>
      <c r="M33" s="146"/>
      <c r="N33" s="146">
        <v>0</v>
      </c>
      <c r="O33" s="146"/>
      <c r="P33" s="146">
        <v>0</v>
      </c>
      <c r="Q33" s="146"/>
      <c r="R33" s="146">
        <v>2400000</v>
      </c>
      <c r="S33" s="146"/>
      <c r="T33" s="146">
        <v>15400</v>
      </c>
      <c r="U33" s="146"/>
      <c r="V33" s="146">
        <v>19257600000</v>
      </c>
      <c r="W33" s="146"/>
      <c r="X33" s="146">
        <v>36674299200</v>
      </c>
      <c r="Y33" s="147"/>
      <c r="Z33" s="148">
        <f t="shared" si="0"/>
        <v>2.6869791012644395E-3</v>
      </c>
      <c r="AA33" s="141"/>
      <c r="AE33" s="149"/>
      <c r="AF33" s="149"/>
      <c r="AH33" s="149"/>
    </row>
    <row r="34" spans="2:34" ht="41.25" customHeight="1" x14ac:dyDescent="0.65">
      <c r="B34" s="145" t="s">
        <v>227</v>
      </c>
      <c r="C34" s="141"/>
      <c r="D34" s="146">
        <v>23600000</v>
      </c>
      <c r="E34" s="146"/>
      <c r="F34" s="146">
        <v>91002961575</v>
      </c>
      <c r="G34" s="146"/>
      <c r="H34" s="146">
        <v>95684199192</v>
      </c>
      <c r="I34" s="146"/>
      <c r="J34" s="146">
        <v>0</v>
      </c>
      <c r="K34" s="146"/>
      <c r="L34" s="146">
        <v>0</v>
      </c>
      <c r="M34" s="146"/>
      <c r="N34" s="146">
        <v>0</v>
      </c>
      <c r="O34" s="146"/>
      <c r="P34" s="146">
        <v>0</v>
      </c>
      <c r="Q34" s="146"/>
      <c r="R34" s="146">
        <v>0</v>
      </c>
      <c r="S34" s="146"/>
      <c r="T34" s="146">
        <v>0</v>
      </c>
      <c r="U34" s="146"/>
      <c r="V34" s="146">
        <v>0</v>
      </c>
      <c r="W34" s="146"/>
      <c r="X34" s="146">
        <v>0</v>
      </c>
      <c r="Y34" s="147"/>
      <c r="Z34" s="148">
        <f t="shared" si="0"/>
        <v>0</v>
      </c>
      <c r="AA34" s="141"/>
      <c r="AE34" s="149"/>
      <c r="AF34" s="149"/>
      <c r="AH34" s="149"/>
    </row>
    <row r="35" spans="2:34" ht="41.25" customHeight="1" x14ac:dyDescent="0.65">
      <c r="B35" s="145" t="s">
        <v>148</v>
      </c>
      <c r="C35" s="141"/>
      <c r="D35" s="146">
        <v>111</v>
      </c>
      <c r="E35" s="146"/>
      <c r="F35" s="146">
        <v>148185</v>
      </c>
      <c r="G35" s="146"/>
      <c r="H35" s="146">
        <v>111023.10576000001</v>
      </c>
      <c r="I35" s="146"/>
      <c r="J35" s="146">
        <v>0</v>
      </c>
      <c r="K35" s="146"/>
      <c r="L35" s="146">
        <v>0</v>
      </c>
      <c r="M35" s="146"/>
      <c r="N35" s="146">
        <v>-111</v>
      </c>
      <c r="O35" s="146"/>
      <c r="P35" s="146">
        <v>107895</v>
      </c>
      <c r="Q35" s="146"/>
      <c r="R35" s="146">
        <v>0</v>
      </c>
      <c r="S35" s="146"/>
      <c r="T35" s="146">
        <v>0</v>
      </c>
      <c r="U35" s="146"/>
      <c r="V35" s="146">
        <v>0</v>
      </c>
      <c r="W35" s="146"/>
      <c r="X35" s="146">
        <v>0</v>
      </c>
      <c r="Y35" s="147"/>
      <c r="Z35" s="148">
        <f t="shared" si="0"/>
        <v>0</v>
      </c>
      <c r="AA35" s="141"/>
      <c r="AE35" s="149"/>
      <c r="AF35" s="149"/>
      <c r="AH35" s="149"/>
    </row>
    <row r="36" spans="2:34" ht="41.25" customHeight="1" x14ac:dyDescent="0.65">
      <c r="B36" s="145" t="s">
        <v>206</v>
      </c>
      <c r="C36" s="141"/>
      <c r="D36" s="146">
        <v>119</v>
      </c>
      <c r="E36" s="146"/>
      <c r="F36" s="146">
        <v>166957</v>
      </c>
      <c r="G36" s="146"/>
      <c r="H36" s="146">
        <v>102257.39258</v>
      </c>
      <c r="I36" s="146"/>
      <c r="J36" s="146">
        <v>0</v>
      </c>
      <c r="K36" s="146"/>
      <c r="L36" s="146">
        <v>0</v>
      </c>
      <c r="M36" s="146"/>
      <c r="N36" s="146">
        <v>-119</v>
      </c>
      <c r="O36" s="146"/>
      <c r="P36" s="146">
        <v>114609</v>
      </c>
      <c r="Q36" s="146"/>
      <c r="R36" s="146">
        <v>0</v>
      </c>
      <c r="S36" s="146"/>
      <c r="T36" s="146">
        <v>0</v>
      </c>
      <c r="U36" s="146"/>
      <c r="V36" s="146">
        <v>0</v>
      </c>
      <c r="W36" s="146"/>
      <c r="X36" s="146">
        <v>0</v>
      </c>
      <c r="Y36" s="147"/>
      <c r="Z36" s="148">
        <f t="shared" si="0"/>
        <v>0</v>
      </c>
      <c r="AA36" s="141"/>
      <c r="AE36" s="149"/>
      <c r="AF36" s="149"/>
      <c r="AH36" s="149"/>
    </row>
    <row r="37" spans="2:34" ht="41.25" customHeight="1" x14ac:dyDescent="0.65">
      <c r="B37" s="145" t="s">
        <v>228</v>
      </c>
      <c r="C37" s="141"/>
      <c r="D37" s="146">
        <v>585000</v>
      </c>
      <c r="E37" s="146"/>
      <c r="F37" s="146">
        <v>3927629043</v>
      </c>
      <c r="G37" s="146"/>
      <c r="H37" s="146">
        <v>3831734947.9499998</v>
      </c>
      <c r="I37" s="146"/>
      <c r="J37" s="146">
        <v>0</v>
      </c>
      <c r="K37" s="146"/>
      <c r="L37" s="146">
        <v>0</v>
      </c>
      <c r="M37" s="146">
        <v>9102861790</v>
      </c>
      <c r="N37" s="146">
        <v>0</v>
      </c>
      <c r="O37" s="146"/>
      <c r="P37" s="146">
        <v>0</v>
      </c>
      <c r="Q37" s="146"/>
      <c r="R37" s="146">
        <v>585000</v>
      </c>
      <c r="S37" s="146"/>
      <c r="T37" s="146">
        <v>6187</v>
      </c>
      <c r="U37" s="146"/>
      <c r="V37" s="146">
        <v>3927629043</v>
      </c>
      <c r="W37" s="146"/>
      <c r="X37" s="146">
        <v>3591417076.6500001</v>
      </c>
      <c r="Y37" s="147"/>
      <c r="Z37" s="148">
        <f t="shared" si="0"/>
        <v>2.6312875336095799E-4</v>
      </c>
      <c r="AA37" s="141"/>
      <c r="AE37" s="149"/>
      <c r="AF37" s="149"/>
      <c r="AH37" s="149"/>
    </row>
    <row r="38" spans="2:34" ht="41.25" customHeight="1" x14ac:dyDescent="0.65">
      <c r="B38" s="145" t="s">
        <v>118</v>
      </c>
      <c r="C38" s="141"/>
      <c r="D38" s="146">
        <v>5000000</v>
      </c>
      <c r="E38" s="146"/>
      <c r="F38" s="146">
        <v>99981901348</v>
      </c>
      <c r="G38" s="146"/>
      <c r="H38" s="146">
        <v>127903603000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5000000</v>
      </c>
      <c r="S38" s="146"/>
      <c r="T38" s="146">
        <v>26920</v>
      </c>
      <c r="U38" s="146"/>
      <c r="V38" s="146">
        <v>99981901348</v>
      </c>
      <c r="W38" s="146"/>
      <c r="X38" s="146">
        <v>133559542000</v>
      </c>
      <c r="Y38" s="147"/>
      <c r="Z38" s="148">
        <f t="shared" si="0"/>
        <v>9.7853730257087008E-3</v>
      </c>
      <c r="AA38" s="141"/>
      <c r="AE38" s="149"/>
      <c r="AF38" s="149"/>
      <c r="AH38" s="149"/>
    </row>
    <row r="39" spans="2:34" ht="41.25" customHeight="1" x14ac:dyDescent="0.65">
      <c r="B39" s="145" t="s">
        <v>134</v>
      </c>
      <c r="C39" s="141"/>
      <c r="D39" s="146">
        <v>668000000</v>
      </c>
      <c r="E39" s="146"/>
      <c r="F39" s="146">
        <v>386793419604</v>
      </c>
      <c r="G39" s="146"/>
      <c r="H39" s="146">
        <v>377816725200</v>
      </c>
      <c r="I39" s="146"/>
      <c r="J39" s="146">
        <v>0</v>
      </c>
      <c r="K39" s="146"/>
      <c r="L39" s="146">
        <v>0</v>
      </c>
      <c r="M39" s="146"/>
      <c r="N39" s="146">
        <v>-668000000</v>
      </c>
      <c r="O39" s="146"/>
      <c r="P39" s="146">
        <v>374761805019</v>
      </c>
      <c r="Q39" s="146"/>
      <c r="R39" s="146">
        <v>0</v>
      </c>
      <c r="S39" s="146"/>
      <c r="T39" s="146">
        <v>0</v>
      </c>
      <c r="U39" s="146"/>
      <c r="V39" s="146">
        <v>0</v>
      </c>
      <c r="W39" s="146"/>
      <c r="X39" s="146">
        <v>0</v>
      </c>
      <c r="Y39" s="147"/>
      <c r="Z39" s="148">
        <f t="shared" si="0"/>
        <v>0</v>
      </c>
      <c r="AA39" s="141"/>
      <c r="AE39" s="149"/>
      <c r="AF39" s="149"/>
      <c r="AH39" s="149"/>
    </row>
    <row r="40" spans="2:34" ht="41.25" customHeight="1" x14ac:dyDescent="0.65">
      <c r="B40" s="145" t="s">
        <v>128</v>
      </c>
      <c r="C40" s="141"/>
      <c r="D40" s="146">
        <v>660800000</v>
      </c>
      <c r="E40" s="146"/>
      <c r="F40" s="146">
        <v>1234969619642</v>
      </c>
      <c r="G40" s="146"/>
      <c r="H40" s="146">
        <v>1343512940784</v>
      </c>
      <c r="I40" s="146"/>
      <c r="J40" s="146">
        <v>0</v>
      </c>
      <c r="K40" s="146"/>
      <c r="L40" s="146">
        <v>0</v>
      </c>
      <c r="M40" s="146"/>
      <c r="N40" s="146">
        <v>-60800000</v>
      </c>
      <c r="O40" s="146"/>
      <c r="P40" s="146">
        <v>131156464299</v>
      </c>
      <c r="Q40" s="146"/>
      <c r="R40" s="146">
        <v>600000000</v>
      </c>
      <c r="S40" s="146"/>
      <c r="T40" s="146">
        <v>2178</v>
      </c>
      <c r="U40" s="146"/>
      <c r="V40" s="146">
        <v>1121340453668</v>
      </c>
      <c r="W40" s="146"/>
      <c r="X40" s="146">
        <v>1296698436000</v>
      </c>
      <c r="Y40" s="147"/>
      <c r="Z40" s="148">
        <f t="shared" si="0"/>
        <v>9.500390393756411E-2</v>
      </c>
      <c r="AA40" s="141"/>
      <c r="AE40" s="149"/>
      <c r="AF40" s="149"/>
      <c r="AH40" s="149"/>
    </row>
    <row r="41" spans="2:34" ht="41.25" customHeight="1" x14ac:dyDescent="0.65">
      <c r="B41" s="145" t="s">
        <v>190</v>
      </c>
      <c r="C41" s="141"/>
      <c r="D41" s="146">
        <v>294982360</v>
      </c>
      <c r="E41" s="146"/>
      <c r="F41" s="146">
        <v>1227799962434</v>
      </c>
      <c r="G41" s="146"/>
      <c r="H41" s="146">
        <v>1413165962612.5601</v>
      </c>
      <c r="I41" s="146"/>
      <c r="J41" s="146">
        <v>0</v>
      </c>
      <c r="K41" s="146"/>
      <c r="L41" s="146">
        <v>0</v>
      </c>
      <c r="M41" s="146"/>
      <c r="N41" s="146">
        <v>-15000000</v>
      </c>
      <c r="O41" s="146"/>
      <c r="P41" s="146">
        <v>74165148336</v>
      </c>
      <c r="Q41" s="146"/>
      <c r="R41" s="146">
        <v>279982360</v>
      </c>
      <c r="S41" s="146"/>
      <c r="T41" s="146">
        <v>5470</v>
      </c>
      <c r="U41" s="146"/>
      <c r="V41" s="146">
        <v>1165365722529</v>
      </c>
      <c r="W41" s="146"/>
      <c r="X41" s="146">
        <v>1519664987073.8799</v>
      </c>
      <c r="Y41" s="147"/>
      <c r="Z41" s="148">
        <f t="shared" si="0"/>
        <v>0.11133977063672998</v>
      </c>
      <c r="AA41" s="141"/>
      <c r="AE41" s="149"/>
      <c r="AF41" s="149"/>
      <c r="AH41" s="149"/>
    </row>
    <row r="42" spans="2:34" ht="41.25" customHeight="1" x14ac:dyDescent="0.65">
      <c r="B42" s="145" t="s">
        <v>153</v>
      </c>
      <c r="C42" s="141"/>
      <c r="D42" s="146">
        <v>89880000</v>
      </c>
      <c r="E42" s="146"/>
      <c r="F42" s="146">
        <v>128191324192</v>
      </c>
      <c r="G42" s="146"/>
      <c r="H42" s="146">
        <v>169897858578</v>
      </c>
      <c r="I42" s="146"/>
      <c r="J42" s="146">
        <v>0</v>
      </c>
      <c r="K42" s="146"/>
      <c r="L42" s="146">
        <v>0</v>
      </c>
      <c r="M42" s="146"/>
      <c r="N42" s="146">
        <v>-59880000</v>
      </c>
      <c r="O42" s="146"/>
      <c r="P42" s="146">
        <v>118034724781</v>
      </c>
      <c r="Q42" s="146"/>
      <c r="R42" s="146">
        <v>30000000</v>
      </c>
      <c r="S42" s="146"/>
      <c r="T42" s="146">
        <v>2073</v>
      </c>
      <c r="U42" s="146"/>
      <c r="V42" s="146">
        <v>42787491384</v>
      </c>
      <c r="W42" s="146"/>
      <c r="X42" s="146">
        <v>61709271300</v>
      </c>
      <c r="Y42" s="147"/>
      <c r="Z42" s="148">
        <f t="shared" si="0"/>
        <v>4.5211912962022588E-3</v>
      </c>
      <c r="AA42" s="141"/>
      <c r="AE42" s="149"/>
      <c r="AF42" s="149"/>
      <c r="AH42" s="149"/>
    </row>
    <row r="43" spans="2:34" ht="41.25" customHeight="1" x14ac:dyDescent="0.65">
      <c r="B43" s="145" t="s">
        <v>141</v>
      </c>
      <c r="C43" s="141"/>
      <c r="D43" s="146">
        <v>20714814</v>
      </c>
      <c r="E43" s="146"/>
      <c r="F43" s="146">
        <v>234457900705</v>
      </c>
      <c r="G43" s="146"/>
      <c r="H43" s="146">
        <v>292698764065.987</v>
      </c>
      <c r="I43" s="146"/>
      <c r="J43" s="146">
        <v>5000000</v>
      </c>
      <c r="K43" s="146"/>
      <c r="L43" s="146">
        <v>80768776078</v>
      </c>
      <c r="M43" s="146"/>
      <c r="N43" s="146">
        <v>-300000</v>
      </c>
      <c r="O43" s="146"/>
      <c r="P43" s="146">
        <v>4188950950</v>
      </c>
      <c r="Q43" s="146"/>
      <c r="R43" s="146">
        <v>25414814</v>
      </c>
      <c r="S43" s="146"/>
      <c r="T43" s="146">
        <v>16400</v>
      </c>
      <c r="U43" s="146"/>
      <c r="V43" s="146">
        <v>311831166198</v>
      </c>
      <c r="W43" s="146"/>
      <c r="X43" s="146">
        <v>413581062799.59198</v>
      </c>
      <c r="Y43" s="147"/>
      <c r="Z43" s="148">
        <f t="shared" si="0"/>
        <v>3.0301428975123793E-2</v>
      </c>
      <c r="AA43" s="141"/>
      <c r="AE43" s="149"/>
      <c r="AF43" s="149"/>
      <c r="AH43" s="149"/>
    </row>
    <row r="44" spans="2:34" ht="41.25" customHeight="1" x14ac:dyDescent="0.65">
      <c r="B44" s="145" t="s">
        <v>175</v>
      </c>
      <c r="C44" s="141"/>
      <c r="D44" s="146">
        <v>19617870</v>
      </c>
      <c r="E44" s="146"/>
      <c r="F44" s="146">
        <v>79587328846</v>
      </c>
      <c r="G44" s="146"/>
      <c r="H44" s="146">
        <v>110178827075.334</v>
      </c>
      <c r="I44" s="146"/>
      <c r="J44" s="146">
        <v>0</v>
      </c>
      <c r="K44" s="146"/>
      <c r="L44" s="146">
        <v>0</v>
      </c>
      <c r="M44" s="146"/>
      <c r="N44" s="146">
        <v>-19617870</v>
      </c>
      <c r="O44" s="146"/>
      <c r="P44" s="146">
        <v>99998611256</v>
      </c>
      <c r="Q44" s="146"/>
      <c r="R44" s="146">
        <v>0</v>
      </c>
      <c r="S44" s="146"/>
      <c r="T44" s="146">
        <v>0</v>
      </c>
      <c r="U44" s="146"/>
      <c r="V44" s="146">
        <v>0</v>
      </c>
      <c r="W44" s="146"/>
      <c r="X44" s="146">
        <v>0</v>
      </c>
      <c r="Y44" s="147"/>
      <c r="Z44" s="148">
        <f t="shared" si="0"/>
        <v>0</v>
      </c>
      <c r="AA44" s="141"/>
      <c r="AE44" s="149"/>
      <c r="AF44" s="149"/>
      <c r="AH44" s="149"/>
    </row>
    <row r="45" spans="2:34" ht="41.25" customHeight="1" x14ac:dyDescent="0.65">
      <c r="B45" s="145" t="s">
        <v>129</v>
      </c>
      <c r="C45" s="141"/>
      <c r="D45" s="146">
        <v>1000000</v>
      </c>
      <c r="E45" s="146"/>
      <c r="F45" s="146">
        <v>21678525535</v>
      </c>
      <c r="G45" s="146"/>
      <c r="H45" s="146">
        <v>16868590000</v>
      </c>
      <c r="I45" s="146"/>
      <c r="J45" s="146">
        <v>0</v>
      </c>
      <c r="K45" s="146"/>
      <c r="L45" s="146">
        <v>0</v>
      </c>
      <c r="M45" s="146"/>
      <c r="N45" s="146">
        <v>-999000</v>
      </c>
      <c r="O45" s="146"/>
      <c r="P45" s="146">
        <v>16630010355</v>
      </c>
      <c r="Q45" s="146"/>
      <c r="R45" s="146">
        <v>1000</v>
      </c>
      <c r="S45" s="146"/>
      <c r="T45" s="146">
        <v>14930</v>
      </c>
      <c r="U45" s="146"/>
      <c r="V45" s="146">
        <v>21678521</v>
      </c>
      <c r="W45" s="146"/>
      <c r="X45" s="146">
        <v>14814591.1</v>
      </c>
      <c r="Y45" s="147"/>
      <c r="Z45" s="148">
        <f t="shared" si="0"/>
        <v>1.0854057895529784E-6</v>
      </c>
      <c r="AA45" s="141"/>
      <c r="AE45" s="149"/>
      <c r="AF45" s="149"/>
      <c r="AH45" s="149"/>
    </row>
    <row r="46" spans="2:34" ht="41.25" customHeight="1" x14ac:dyDescent="0.65">
      <c r="B46" s="145" t="s">
        <v>119</v>
      </c>
      <c r="C46" s="141"/>
      <c r="D46" s="146">
        <v>44000000</v>
      </c>
      <c r="E46" s="146"/>
      <c r="F46" s="146">
        <v>470498994928</v>
      </c>
      <c r="G46" s="146"/>
      <c r="H46" s="146">
        <v>656207996400</v>
      </c>
      <c r="I46" s="146"/>
      <c r="J46" s="146">
        <v>0</v>
      </c>
      <c r="K46" s="146"/>
      <c r="L46" s="146">
        <v>0</v>
      </c>
      <c r="M46" s="146"/>
      <c r="N46" s="146">
        <v>-14000000</v>
      </c>
      <c r="O46" s="146"/>
      <c r="P46" s="146">
        <v>196390026792</v>
      </c>
      <c r="Q46" s="146"/>
      <c r="R46" s="146">
        <v>30000000</v>
      </c>
      <c r="S46" s="146"/>
      <c r="T46" s="146">
        <v>13710</v>
      </c>
      <c r="U46" s="146"/>
      <c r="V46" s="146">
        <v>320794769231</v>
      </c>
      <c r="W46" s="146"/>
      <c r="X46" s="146">
        <v>408120651000</v>
      </c>
      <c r="Y46" s="147"/>
      <c r="Z46" s="148">
        <f t="shared" si="0"/>
        <v>2.9901366459687877E-2</v>
      </c>
      <c r="AA46" s="141"/>
      <c r="AE46" s="149"/>
      <c r="AF46" s="149"/>
      <c r="AH46" s="149"/>
    </row>
    <row r="47" spans="2:34" ht="41.25" customHeight="1" x14ac:dyDescent="0.65">
      <c r="B47" s="145" t="s">
        <v>120</v>
      </c>
      <c r="C47" s="141"/>
      <c r="D47" s="146">
        <v>50000000</v>
      </c>
      <c r="E47" s="146"/>
      <c r="F47" s="146">
        <v>365366342037</v>
      </c>
      <c r="G47" s="146"/>
      <c r="H47" s="146">
        <v>623145560000</v>
      </c>
      <c r="I47" s="146"/>
      <c r="J47" s="146">
        <v>0</v>
      </c>
      <c r="K47" s="146"/>
      <c r="L47" s="146">
        <v>0</v>
      </c>
      <c r="M47" s="146"/>
      <c r="N47" s="146">
        <v>-11000000</v>
      </c>
      <c r="O47" s="146"/>
      <c r="P47" s="146">
        <v>123400084740</v>
      </c>
      <c r="Q47" s="146"/>
      <c r="R47" s="146">
        <v>39000000</v>
      </c>
      <c r="S47" s="146"/>
      <c r="T47" s="146">
        <v>10400</v>
      </c>
      <c r="U47" s="146"/>
      <c r="V47" s="146">
        <v>284985746797</v>
      </c>
      <c r="W47" s="146"/>
      <c r="X47" s="146">
        <v>402464712000</v>
      </c>
      <c r="Y47" s="147"/>
      <c r="Z47" s="148">
        <f t="shared" si="0"/>
        <v>2.9486978448940927E-2</v>
      </c>
      <c r="AA47" s="141"/>
      <c r="AE47" s="149"/>
      <c r="AF47" s="149"/>
      <c r="AH47" s="149"/>
    </row>
    <row r="48" spans="2:34" ht="41.25" customHeight="1" x14ac:dyDescent="0.65">
      <c r="B48" s="145" t="s">
        <v>152</v>
      </c>
      <c r="C48" s="141"/>
      <c r="D48" s="146">
        <v>2000000</v>
      </c>
      <c r="E48" s="146"/>
      <c r="F48" s="146">
        <v>50411649795</v>
      </c>
      <c r="G48" s="146"/>
      <c r="H48" s="146">
        <v>120560805000</v>
      </c>
      <c r="I48" s="146"/>
      <c r="J48" s="146">
        <v>0</v>
      </c>
      <c r="K48" s="146"/>
      <c r="L48" s="146">
        <v>0</v>
      </c>
      <c r="M48" s="146"/>
      <c r="N48" s="146">
        <v>-1998956</v>
      </c>
      <c r="O48" s="146"/>
      <c r="P48" s="146">
        <v>97293807383</v>
      </c>
      <c r="Q48" s="146"/>
      <c r="R48" s="146">
        <v>1044</v>
      </c>
      <c r="S48" s="146"/>
      <c r="T48" s="146">
        <v>61770</v>
      </c>
      <c r="U48" s="146"/>
      <c r="V48" s="146">
        <v>26314878</v>
      </c>
      <c r="W48" s="146"/>
      <c r="X48" s="146">
        <v>63989388.687600002</v>
      </c>
      <c r="Y48" s="147"/>
      <c r="Z48" s="148">
        <f t="shared" si="0"/>
        <v>4.6882463702610671E-6</v>
      </c>
      <c r="AA48" s="141"/>
      <c r="AE48" s="149"/>
      <c r="AF48" s="149"/>
      <c r="AH48" s="149"/>
    </row>
    <row r="49" spans="2:34" ht="41.25" customHeight="1" thickBot="1" x14ac:dyDescent="0.7">
      <c r="B49" s="135" t="s">
        <v>167</v>
      </c>
      <c r="C49" s="141">
        <v>0</v>
      </c>
      <c r="D49" s="127">
        <f>SUM(D9:D48)</f>
        <v>5320660299</v>
      </c>
      <c r="E49" s="127" t="e">
        <f>AC48=SUM(#REF!)</f>
        <v>#REF!</v>
      </c>
      <c r="F49" s="127">
        <f>SUM(F9:F48)</f>
        <v>10473633849472</v>
      </c>
      <c r="G49" s="127" t="e">
        <f t="shared" ref="G49" si="1">SUM(#REF!)</f>
        <v>#REF!</v>
      </c>
      <c r="H49" s="127">
        <f>SUM(H9:H48)</f>
        <v>13542690955019.299</v>
      </c>
      <c r="I49" s="127"/>
      <c r="J49" s="127">
        <f>SUM(J9:J48)</f>
        <v>16283274</v>
      </c>
      <c r="K49" s="324" t="e">
        <f t="shared" ref="K49" si="2">SUM(#REF!)</f>
        <v>#REF!</v>
      </c>
      <c r="L49" s="127">
        <f>SUM(L9:L48)</f>
        <v>80768776078</v>
      </c>
      <c r="M49" s="127" t="e">
        <f t="shared" ref="M49" si="3">SUM(#REF!)</f>
        <v>#REF!</v>
      </c>
      <c r="N49" s="323">
        <f>SUM(N9:N48)</f>
        <v>-2572923437</v>
      </c>
      <c r="O49" s="322" t="e">
        <f t="shared" ref="O49" si="4">SUM(#REF!)</f>
        <v>#REF!</v>
      </c>
      <c r="P49" s="127">
        <f>SUM(P9:P48)</f>
        <v>3906826714583</v>
      </c>
      <c r="Q49" s="127" t="e">
        <f t="shared" ref="Q49" si="5">SUM(#REF!)</f>
        <v>#REF!</v>
      </c>
      <c r="R49" s="127">
        <f>SUM(R9:R48)</f>
        <v>2740420136</v>
      </c>
      <c r="S49" s="127" t="e">
        <f t="shared" ref="S49" si="6">SUM(#REF!)</f>
        <v>#REF!</v>
      </c>
      <c r="T49" s="127">
        <f>SUM(T9:T48)</f>
        <v>501852</v>
      </c>
      <c r="U49" s="127" t="e">
        <f t="shared" ref="U49" si="7">SUM(#REF!)</f>
        <v>#REF!</v>
      </c>
      <c r="V49" s="127">
        <f>SUM(V9:V48)</f>
        <v>7585163803536</v>
      </c>
      <c r="W49" s="127" t="e">
        <f t="shared" ref="W49" si="8">SUM(#REF!)</f>
        <v>#REF!</v>
      </c>
      <c r="X49" s="127">
        <f>SUM(X9:X48)</f>
        <v>9278407592771.1289</v>
      </c>
      <c r="Y49" s="127" t="e">
        <f t="shared" ref="Y49" si="9">SUM(#REF!)</f>
        <v>#REF!</v>
      </c>
      <c r="Z49" s="276">
        <f>SUM(Z9:Z48)</f>
        <v>0.67979178440004961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58" t="s">
        <v>36</v>
      </c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141"/>
      <c r="AE51" s="149"/>
      <c r="AF51" s="149"/>
      <c r="AH51" s="149"/>
    </row>
    <row r="52" spans="2:34" ht="41.25" customHeight="1" x14ac:dyDescent="0.65">
      <c r="B52" s="358" t="s">
        <v>37</v>
      </c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45" t="str">
        <f>D6</f>
        <v>1405/03/31</v>
      </c>
      <c r="E53" s="345"/>
      <c r="F53" s="345"/>
      <c r="G53" s="345"/>
      <c r="H53" s="345"/>
      <c r="I53" s="136"/>
      <c r="J53" s="359" t="s">
        <v>16</v>
      </c>
      <c r="K53" s="359"/>
      <c r="L53" s="359"/>
      <c r="M53" s="359"/>
      <c r="N53" s="359"/>
      <c r="O53" s="359"/>
      <c r="P53" s="359"/>
      <c r="Q53" s="137"/>
      <c r="R53" s="345" t="str">
        <f>R6</f>
        <v>1405/04/31</v>
      </c>
      <c r="S53" s="345"/>
      <c r="T53" s="345"/>
      <c r="U53" s="345"/>
      <c r="V53" s="345"/>
      <c r="W53" s="345"/>
      <c r="X53" s="345"/>
      <c r="Y53" s="345"/>
      <c r="Z53" s="345"/>
      <c r="AA53" s="141"/>
      <c r="AE53" s="149"/>
      <c r="AF53" s="149"/>
      <c r="AH53" s="149"/>
    </row>
    <row r="54" spans="2:34" ht="41.25" customHeight="1" x14ac:dyDescent="0.65">
      <c r="B54" s="351" t="s">
        <v>5</v>
      </c>
      <c r="C54" s="138"/>
      <c r="D54" s="356" t="s">
        <v>8</v>
      </c>
      <c r="E54" s="346"/>
      <c r="F54" s="354" t="s">
        <v>3</v>
      </c>
      <c r="G54" s="346"/>
      <c r="H54" s="346" t="s">
        <v>31</v>
      </c>
      <c r="I54" s="139"/>
      <c r="J54" s="353" t="s">
        <v>9</v>
      </c>
      <c r="K54" s="353"/>
      <c r="L54" s="353"/>
      <c r="M54" s="140"/>
      <c r="N54" s="353" t="s">
        <v>10</v>
      </c>
      <c r="O54" s="353"/>
      <c r="P54" s="353"/>
      <c r="Q54" s="140"/>
      <c r="R54" s="354" t="s">
        <v>8</v>
      </c>
      <c r="S54" s="346"/>
      <c r="T54" s="346" t="s">
        <v>41</v>
      </c>
      <c r="U54" s="138"/>
      <c r="V54" s="354" t="s">
        <v>3</v>
      </c>
      <c r="W54" s="346"/>
      <c r="X54" s="346" t="s">
        <v>31</v>
      </c>
      <c r="Y54" s="139"/>
      <c r="Z54" s="348" t="s">
        <v>34</v>
      </c>
      <c r="AA54" s="141"/>
      <c r="AE54" s="149"/>
      <c r="AF54" s="149"/>
      <c r="AH54" s="149"/>
    </row>
    <row r="55" spans="2:34" ht="41.25" customHeight="1" x14ac:dyDescent="0.65">
      <c r="B55" s="352"/>
      <c r="C55" s="141"/>
      <c r="D55" s="357"/>
      <c r="E55" s="347"/>
      <c r="F55" s="355"/>
      <c r="G55" s="347"/>
      <c r="H55" s="347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79</v>
      </c>
      <c r="Q55" s="144"/>
      <c r="R55" s="355"/>
      <c r="S55" s="347"/>
      <c r="T55" s="347"/>
      <c r="U55" s="143"/>
      <c r="V55" s="355"/>
      <c r="W55" s="347"/>
      <c r="X55" s="347"/>
      <c r="Y55" s="142"/>
      <c r="Z55" s="349"/>
      <c r="AA55" s="141"/>
      <c r="AE55" s="149"/>
      <c r="AF55" s="149"/>
      <c r="AH55" s="149"/>
    </row>
    <row r="56" spans="2:34" ht="41.25" customHeight="1" x14ac:dyDescent="0.65">
      <c r="B56" s="191" t="s">
        <v>166</v>
      </c>
      <c r="C56" s="141"/>
      <c r="D56" s="146">
        <f>D49</f>
        <v>5320660299</v>
      </c>
      <c r="E56" s="146"/>
      <c r="F56" s="146">
        <f>F49</f>
        <v>10473633849472</v>
      </c>
      <c r="G56" s="146"/>
      <c r="H56" s="146">
        <f>H49</f>
        <v>13542690955019.299</v>
      </c>
      <c r="I56" s="146"/>
      <c r="J56" s="146">
        <f>J49</f>
        <v>16283274</v>
      </c>
      <c r="K56" s="146"/>
      <c r="L56" s="146">
        <f>L49</f>
        <v>80768776078</v>
      </c>
      <c r="M56" s="146"/>
      <c r="N56" s="146">
        <f>N49</f>
        <v>-2572923437</v>
      </c>
      <c r="O56" s="146"/>
      <c r="P56" s="146">
        <f>P49</f>
        <v>3906826714583</v>
      </c>
      <c r="Q56" s="146"/>
      <c r="R56" s="146">
        <f>R49</f>
        <v>2740420136</v>
      </c>
      <c r="S56" s="146"/>
      <c r="T56" s="146">
        <f>T49</f>
        <v>501852</v>
      </c>
      <c r="U56" s="146"/>
      <c r="V56" s="146">
        <f>V49</f>
        <v>7585163803536</v>
      </c>
      <c r="W56" s="146"/>
      <c r="X56" s="146">
        <f>X49</f>
        <v>9278407592771.1289</v>
      </c>
      <c r="Y56" s="147"/>
      <c r="Z56" s="277">
        <f>Z49</f>
        <v>0.67979178440004961</v>
      </c>
      <c r="AA56" s="141"/>
      <c r="AE56" s="149"/>
      <c r="AF56" s="149"/>
      <c r="AH56" s="149"/>
    </row>
    <row r="57" spans="2:34" ht="41.25" customHeight="1" x14ac:dyDescent="0.65">
      <c r="B57" s="145" t="s">
        <v>121</v>
      </c>
      <c r="C57" s="141"/>
      <c r="D57" s="146">
        <v>12900000</v>
      </c>
      <c r="E57" s="146"/>
      <c r="F57" s="146">
        <v>34912740601</v>
      </c>
      <c r="G57" s="146"/>
      <c r="H57" s="146">
        <v>20045243178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12900000</v>
      </c>
      <c r="S57" s="146"/>
      <c r="T57" s="146">
        <v>1566</v>
      </c>
      <c r="U57" s="146"/>
      <c r="V57" s="146">
        <v>34912740601</v>
      </c>
      <c r="W57" s="146"/>
      <c r="X57" s="146">
        <v>20045243178</v>
      </c>
      <c r="Y57" s="147"/>
      <c r="Z57" s="148">
        <f t="shared" ref="Z57:Z72" si="10">X57/$Z$80</f>
        <v>1.468634729877799E-3</v>
      </c>
      <c r="AA57" s="141"/>
      <c r="AE57" s="149"/>
      <c r="AF57" s="149"/>
      <c r="AH57" s="149"/>
    </row>
    <row r="58" spans="2:34" ht="41.25" customHeight="1" x14ac:dyDescent="0.65">
      <c r="B58" s="145" t="s">
        <v>225</v>
      </c>
      <c r="C58" s="141"/>
      <c r="D58" s="146">
        <v>1101</v>
      </c>
      <c r="E58" s="146"/>
      <c r="F58" s="146">
        <v>3063875</v>
      </c>
      <c r="G58" s="146"/>
      <c r="H58" s="146">
        <v>3726480.8999700001</v>
      </c>
      <c r="I58" s="146">
        <v>56813933700</v>
      </c>
      <c r="J58" s="146">
        <v>21300000</v>
      </c>
      <c r="K58" s="146"/>
      <c r="L58" s="146">
        <v>89647322814</v>
      </c>
      <c r="M58" s="146"/>
      <c r="N58" s="146">
        <v>-1301101</v>
      </c>
      <c r="O58" s="146"/>
      <c r="P58" s="146">
        <v>5449089631</v>
      </c>
      <c r="Q58" s="146"/>
      <c r="R58" s="146">
        <v>20000000</v>
      </c>
      <c r="S58" s="146"/>
      <c r="T58" s="146">
        <v>4620</v>
      </c>
      <c r="U58" s="146"/>
      <c r="V58" s="146">
        <v>84174415854</v>
      </c>
      <c r="W58" s="146"/>
      <c r="X58" s="146">
        <v>91685748000</v>
      </c>
      <c r="Y58" s="147"/>
      <c r="Z58" s="148">
        <f t="shared" si="10"/>
        <v>6.7174477531610991E-3</v>
      </c>
      <c r="AA58" s="141"/>
      <c r="AE58" s="149"/>
      <c r="AF58" s="149"/>
      <c r="AH58" s="149"/>
    </row>
    <row r="59" spans="2:34" ht="41.25" customHeight="1" x14ac:dyDescent="0.65">
      <c r="B59" s="145" t="s">
        <v>154</v>
      </c>
      <c r="C59" s="141"/>
      <c r="D59" s="146">
        <v>60000000</v>
      </c>
      <c r="E59" s="146"/>
      <c r="F59" s="146">
        <v>98042294767</v>
      </c>
      <c r="G59" s="146"/>
      <c r="H59" s="146">
        <v>121930137600</v>
      </c>
      <c r="I59" s="146"/>
      <c r="J59" s="146">
        <v>0</v>
      </c>
      <c r="K59" s="146"/>
      <c r="L59" s="146">
        <v>0</v>
      </c>
      <c r="M59" s="146"/>
      <c r="N59" s="146">
        <v>0</v>
      </c>
      <c r="O59" s="146"/>
      <c r="P59" s="146">
        <v>0</v>
      </c>
      <c r="Q59" s="146"/>
      <c r="R59" s="146">
        <v>60000000</v>
      </c>
      <c r="S59" s="146"/>
      <c r="T59" s="146">
        <v>1951</v>
      </c>
      <c r="U59" s="146"/>
      <c r="V59" s="146">
        <v>98042294767</v>
      </c>
      <c r="W59" s="146"/>
      <c r="X59" s="146">
        <v>116155126200</v>
      </c>
      <c r="Y59" s="147"/>
      <c r="Z59" s="148">
        <f t="shared" si="10"/>
        <v>8.5102211470242228E-3</v>
      </c>
      <c r="AA59" s="141"/>
      <c r="AE59" s="149"/>
      <c r="AF59" s="149"/>
      <c r="AH59" s="149"/>
    </row>
    <row r="60" spans="2:34" ht="41.25" customHeight="1" x14ac:dyDescent="0.65">
      <c r="B60" s="145" t="s">
        <v>122</v>
      </c>
      <c r="C60" s="141"/>
      <c r="D60" s="146">
        <v>1000</v>
      </c>
      <c r="E60" s="146"/>
      <c r="F60" s="146">
        <v>16436086</v>
      </c>
      <c r="G60" s="146"/>
      <c r="H60" s="146">
        <v>17642560.600000001</v>
      </c>
      <c r="I60" s="146"/>
      <c r="J60" s="146">
        <v>0</v>
      </c>
      <c r="K60" s="146"/>
      <c r="L60" s="146">
        <v>0</v>
      </c>
      <c r="M60" s="146"/>
      <c r="N60" s="146">
        <v>0</v>
      </c>
      <c r="O60" s="146"/>
      <c r="P60" s="146">
        <v>0</v>
      </c>
      <c r="Q60" s="146"/>
      <c r="R60" s="146">
        <v>1000</v>
      </c>
      <c r="S60" s="146"/>
      <c r="T60" s="146">
        <v>20760</v>
      </c>
      <c r="U60" s="146"/>
      <c r="V60" s="146">
        <v>16436086</v>
      </c>
      <c r="W60" s="146"/>
      <c r="X60" s="146">
        <v>20599525.199999999</v>
      </c>
      <c r="Y60" s="147"/>
      <c r="Z60" s="148">
        <f t="shared" si="10"/>
        <v>1.509244754931E-6</v>
      </c>
      <c r="AA60" s="141"/>
      <c r="AE60" s="149"/>
      <c r="AF60" s="149"/>
      <c r="AH60" s="149"/>
    </row>
    <row r="61" spans="2:34" ht="41.25" customHeight="1" x14ac:dyDescent="0.65">
      <c r="B61" s="145" t="s">
        <v>146</v>
      </c>
      <c r="C61" s="141"/>
      <c r="D61" s="146">
        <v>1782</v>
      </c>
      <c r="E61" s="146"/>
      <c r="F61" s="146">
        <v>8899545</v>
      </c>
      <c r="G61" s="146"/>
      <c r="H61" s="146">
        <v>10874584.611</v>
      </c>
      <c r="I61" s="146"/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1782</v>
      </c>
      <c r="S61" s="146"/>
      <c r="T61" s="146">
        <v>4900</v>
      </c>
      <c r="U61" s="146"/>
      <c r="V61" s="146">
        <v>8899545</v>
      </c>
      <c r="W61" s="146"/>
      <c r="X61" s="146">
        <v>8664303.1860000007</v>
      </c>
      <c r="Y61" s="147"/>
      <c r="Z61" s="148">
        <f t="shared" si="10"/>
        <v>6.3479881267372384E-7</v>
      </c>
      <c r="AA61" s="141"/>
      <c r="AE61" s="149"/>
      <c r="AF61" s="149"/>
      <c r="AH61" s="149"/>
    </row>
    <row r="62" spans="2:34" ht="41.25" customHeight="1" x14ac:dyDescent="0.65">
      <c r="B62" s="145" t="s">
        <v>224</v>
      </c>
      <c r="C62" s="141"/>
      <c r="D62" s="146">
        <v>166370008</v>
      </c>
      <c r="E62" s="146"/>
      <c r="F62" s="146">
        <v>170471847259</v>
      </c>
      <c r="G62" s="146"/>
      <c r="H62" s="146">
        <v>168880899097</v>
      </c>
      <c r="I62" s="146"/>
      <c r="J62" s="146">
        <v>3629992</v>
      </c>
      <c r="K62" s="146"/>
      <c r="L62" s="146">
        <v>3654217935</v>
      </c>
      <c r="M62" s="146"/>
      <c r="N62" s="146">
        <v>0</v>
      </c>
      <c r="O62" s="146"/>
      <c r="P62" s="146">
        <v>0</v>
      </c>
      <c r="Q62" s="146"/>
      <c r="R62" s="146">
        <v>170000000</v>
      </c>
      <c r="S62" s="146"/>
      <c r="T62" s="146">
        <v>920</v>
      </c>
      <c r="U62" s="146"/>
      <c r="V62" s="146">
        <v>174126065194</v>
      </c>
      <c r="W62" s="146"/>
      <c r="X62" s="146">
        <v>155191028000</v>
      </c>
      <c r="Y62" s="147"/>
      <c r="Z62" s="148">
        <f t="shared" si="10"/>
        <v>1.1370225417688267E-2</v>
      </c>
      <c r="AA62" s="141"/>
      <c r="AE62" s="149"/>
      <c r="AF62" s="149"/>
      <c r="AH62" s="149"/>
    </row>
    <row r="63" spans="2:34" ht="41.25" customHeight="1" x14ac:dyDescent="0.65">
      <c r="B63" s="145" t="s">
        <v>123</v>
      </c>
      <c r="C63" s="141"/>
      <c r="D63" s="146">
        <v>8000000</v>
      </c>
      <c r="E63" s="146"/>
      <c r="F63" s="146">
        <v>147918055705</v>
      </c>
      <c r="G63" s="146"/>
      <c r="H63" s="146">
        <v>229809732000</v>
      </c>
      <c r="I63" s="146"/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8000000</v>
      </c>
      <c r="S63" s="146"/>
      <c r="T63" s="146">
        <v>23410</v>
      </c>
      <c r="U63" s="146"/>
      <c r="V63" s="146">
        <v>147918055705</v>
      </c>
      <c r="W63" s="146"/>
      <c r="X63" s="146">
        <v>185832325600</v>
      </c>
      <c r="Y63" s="147"/>
      <c r="Z63" s="148">
        <f t="shared" si="10"/>
        <v>1.3615190640822625E-2</v>
      </c>
      <c r="AA63" s="141"/>
      <c r="AE63" s="149"/>
      <c r="AF63" s="149"/>
      <c r="AH63" s="149"/>
    </row>
    <row r="64" spans="2:34" ht="41.25" customHeight="1" x14ac:dyDescent="0.65">
      <c r="B64" s="145" t="s">
        <v>132</v>
      </c>
      <c r="C64" s="141"/>
      <c r="D64" s="146">
        <v>10000000</v>
      </c>
      <c r="E64" s="146"/>
      <c r="F64" s="146">
        <v>118942519994</v>
      </c>
      <c r="G64" s="146"/>
      <c r="H64" s="146">
        <v>88470793200</v>
      </c>
      <c r="I64" s="146"/>
      <c r="J64" s="146">
        <v>0</v>
      </c>
      <c r="K64" s="146"/>
      <c r="L64" s="146">
        <v>0</v>
      </c>
      <c r="M64" s="146"/>
      <c r="N64" s="146">
        <v>0</v>
      </c>
      <c r="O64" s="146"/>
      <c r="P64" s="146">
        <v>0</v>
      </c>
      <c r="Q64" s="146"/>
      <c r="R64" s="146">
        <v>10000000</v>
      </c>
      <c r="S64" s="146"/>
      <c r="T64" s="146">
        <v>7956</v>
      </c>
      <c r="U64" s="146"/>
      <c r="V64" s="146">
        <v>118942519994</v>
      </c>
      <c r="W64" s="146"/>
      <c r="X64" s="146">
        <v>78945001200</v>
      </c>
      <c r="Y64" s="147"/>
      <c r="Z64" s="148">
        <f t="shared" si="10"/>
        <v>5.7839842342153353E-3</v>
      </c>
      <c r="AA64" s="141"/>
      <c r="AE64" s="149"/>
      <c r="AF64" s="149"/>
      <c r="AH64" s="149"/>
    </row>
    <row r="65" spans="2:34" ht="41.25" customHeight="1" x14ac:dyDescent="0.65">
      <c r="B65" s="145" t="s">
        <v>124</v>
      </c>
      <c r="C65" s="141"/>
      <c r="D65" s="146">
        <v>1000</v>
      </c>
      <c r="E65" s="146"/>
      <c r="F65" s="146">
        <v>483356</v>
      </c>
      <c r="G65" s="146"/>
      <c r="H65" s="146">
        <v>661841</v>
      </c>
      <c r="I65" s="146"/>
      <c r="J65" s="146">
        <v>0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1000</v>
      </c>
      <c r="S65" s="146"/>
      <c r="T65" s="146">
        <v>624</v>
      </c>
      <c r="U65" s="146"/>
      <c r="V65" s="146">
        <v>483356</v>
      </c>
      <c r="W65" s="146"/>
      <c r="X65" s="146">
        <v>619176.48</v>
      </c>
      <c r="Y65" s="147"/>
      <c r="Z65" s="148">
        <f t="shared" si="10"/>
        <v>4.5364582229139884E-8</v>
      </c>
      <c r="AA65" s="141"/>
      <c r="AE65" s="149"/>
      <c r="AF65" s="149"/>
      <c r="AH65" s="149"/>
    </row>
    <row r="66" spans="2:34" ht="41.25" customHeight="1" x14ac:dyDescent="0.65">
      <c r="B66" s="145" t="s">
        <v>125</v>
      </c>
      <c r="C66" s="141"/>
      <c r="D66" s="146">
        <v>1068</v>
      </c>
      <c r="E66" s="146"/>
      <c r="F66" s="146">
        <v>2495918</v>
      </c>
      <c r="G66" s="146"/>
      <c r="H66" s="146">
        <v>2169296.7049199999</v>
      </c>
      <c r="I66" s="146"/>
      <c r="J66" s="146">
        <v>0</v>
      </c>
      <c r="K66" s="146"/>
      <c r="L66" s="146">
        <v>0</v>
      </c>
      <c r="M66" s="146"/>
      <c r="N66" s="146">
        <v>0</v>
      </c>
      <c r="O66" s="146"/>
      <c r="P66" s="146">
        <v>0</v>
      </c>
      <c r="Q66" s="146"/>
      <c r="R66" s="146">
        <v>1068</v>
      </c>
      <c r="S66" s="146"/>
      <c r="T66" s="146">
        <v>2145</v>
      </c>
      <c r="U66" s="146"/>
      <c r="V66" s="146">
        <v>2495918</v>
      </c>
      <c r="W66" s="146"/>
      <c r="X66" s="146">
        <v>2273150</v>
      </c>
      <c r="Y66" s="147"/>
      <c r="Z66" s="148">
        <f t="shared" si="10"/>
        <v>1.665446014586493E-7</v>
      </c>
      <c r="AA66" s="141"/>
      <c r="AE66" s="149"/>
      <c r="AF66" s="149"/>
      <c r="AH66" s="149"/>
    </row>
    <row r="67" spans="2:34" ht="41.25" customHeight="1" x14ac:dyDescent="0.65">
      <c r="B67" s="145" t="s">
        <v>126</v>
      </c>
      <c r="C67" s="141"/>
      <c r="D67" s="146">
        <v>1092</v>
      </c>
      <c r="E67" s="146"/>
      <c r="F67" s="146">
        <v>2626403</v>
      </c>
      <c r="G67" s="146"/>
      <c r="H67" s="146">
        <v>2600540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1092</v>
      </c>
      <c r="S67" s="146"/>
      <c r="T67" s="146">
        <v>2101</v>
      </c>
      <c r="U67" s="146"/>
      <c r="V67" s="146">
        <v>2626403</v>
      </c>
      <c r="W67" s="146"/>
      <c r="X67" s="146">
        <v>2276550</v>
      </c>
      <c r="Y67" s="147"/>
      <c r="Z67" s="148">
        <f t="shared" si="10"/>
        <v>1.6679370584901481E-7</v>
      </c>
      <c r="AA67" s="141"/>
      <c r="AE67" s="149"/>
      <c r="AF67" s="149"/>
      <c r="AH67" s="149"/>
    </row>
    <row r="68" spans="2:34" ht="41.25" customHeight="1" x14ac:dyDescent="0.65">
      <c r="B68" s="145" t="s">
        <v>127</v>
      </c>
      <c r="C68" s="141"/>
      <c r="D68" s="146">
        <v>159500000</v>
      </c>
      <c r="E68" s="146"/>
      <c r="F68" s="146">
        <v>1694849655771</v>
      </c>
      <c r="G68" s="146"/>
      <c r="H68" s="146">
        <v>3492954124550</v>
      </c>
      <c r="I68" s="146">
        <v>24781666.5</v>
      </c>
      <c r="J68" s="146">
        <v>55714285</v>
      </c>
      <c r="K68" s="146"/>
      <c r="L68" s="146">
        <v>0</v>
      </c>
      <c r="M68" s="146"/>
      <c r="N68" s="146">
        <v>-9500000</v>
      </c>
      <c r="O68" s="146"/>
      <c r="P68" s="146">
        <v>197574903177</v>
      </c>
      <c r="Q68" s="146"/>
      <c r="R68" s="146">
        <v>205714285</v>
      </c>
      <c r="S68" s="146"/>
      <c r="T68" s="146">
        <v>14926</v>
      </c>
      <c r="U68" s="146"/>
      <c r="V68" s="146">
        <v>1593902497581</v>
      </c>
      <c r="W68" s="146"/>
      <c r="X68" s="146">
        <v>3046756519249.5601</v>
      </c>
      <c r="Y68" s="147"/>
      <c r="Z68" s="148">
        <f t="shared" si="10"/>
        <v>0.22322365450584411</v>
      </c>
      <c r="AA68" s="141"/>
      <c r="AE68" s="149"/>
      <c r="AF68" s="149"/>
      <c r="AH68" s="149"/>
    </row>
    <row r="69" spans="2:34" ht="41.25" customHeight="1" x14ac:dyDescent="0.65">
      <c r="B69" s="145" t="s">
        <v>220</v>
      </c>
      <c r="C69" s="141"/>
      <c r="D69" s="146">
        <v>500000</v>
      </c>
      <c r="E69" s="146"/>
      <c r="F69" s="146">
        <v>13803569294</v>
      </c>
      <c r="G69" s="146"/>
      <c r="H69" s="146">
        <v>13271611250</v>
      </c>
      <c r="I69" s="146">
        <v>149862978000</v>
      </c>
      <c r="J69" s="146">
        <v>0</v>
      </c>
      <c r="K69" s="146"/>
      <c r="L69" s="146">
        <v>0</v>
      </c>
      <c r="M69" s="146"/>
      <c r="N69" s="146">
        <v>-500000</v>
      </c>
      <c r="O69" s="146"/>
      <c r="P69" s="146">
        <v>13543500950</v>
      </c>
      <c r="Q69" s="146"/>
      <c r="R69" s="146">
        <v>0</v>
      </c>
      <c r="S69" s="146"/>
      <c r="T69" s="146">
        <v>0</v>
      </c>
      <c r="U69" s="146"/>
      <c r="V69" s="146">
        <v>0</v>
      </c>
      <c r="W69" s="146"/>
      <c r="X69" s="146">
        <v>0</v>
      </c>
      <c r="Y69" s="147"/>
      <c r="Z69" s="148">
        <f t="shared" si="10"/>
        <v>0</v>
      </c>
      <c r="AA69" s="141"/>
      <c r="AE69" s="149"/>
      <c r="AF69" s="149"/>
      <c r="AH69" s="149"/>
    </row>
    <row r="70" spans="2:34" ht="41.25" customHeight="1" x14ac:dyDescent="0.65">
      <c r="B70" s="145" t="s">
        <v>221</v>
      </c>
      <c r="C70" s="141"/>
      <c r="D70" s="146">
        <v>250000</v>
      </c>
      <c r="E70" s="146"/>
      <c r="F70" s="146">
        <v>9569806700</v>
      </c>
      <c r="G70" s="146"/>
      <c r="H70" s="146">
        <v>9587808870</v>
      </c>
      <c r="I70" s="146">
        <v>142188912000</v>
      </c>
      <c r="J70" s="146">
        <v>0</v>
      </c>
      <c r="K70" s="146"/>
      <c r="L70" s="146">
        <v>0</v>
      </c>
      <c r="M70" s="146"/>
      <c r="N70" s="146">
        <v>-125000</v>
      </c>
      <c r="O70" s="146"/>
      <c r="P70" s="146">
        <v>5389880247</v>
      </c>
      <c r="Q70" s="146"/>
      <c r="R70" s="146">
        <v>125000</v>
      </c>
      <c r="S70" s="146"/>
      <c r="T70" s="146">
        <v>43480</v>
      </c>
      <c r="U70" s="146"/>
      <c r="V70" s="146">
        <v>4784903350</v>
      </c>
      <c r="W70" s="146"/>
      <c r="X70" s="146">
        <v>5392987450</v>
      </c>
      <c r="Y70" s="147"/>
      <c r="Z70" s="148">
        <f t="shared" si="10"/>
        <v>3.9512260322976809E-4</v>
      </c>
      <c r="AA70" s="141"/>
      <c r="AE70" s="149"/>
      <c r="AF70" s="149"/>
      <c r="AH70" s="149"/>
    </row>
    <row r="71" spans="2:34" ht="41.25" customHeight="1" x14ac:dyDescent="0.65">
      <c r="B71" s="145" t="s">
        <v>137</v>
      </c>
      <c r="C71" s="141"/>
      <c r="D71" s="146">
        <v>18000000</v>
      </c>
      <c r="E71" s="146"/>
      <c r="F71" s="146">
        <v>134498889052</v>
      </c>
      <c r="G71" s="146"/>
      <c r="H71" s="146">
        <v>82392147180</v>
      </c>
      <c r="I71" s="146">
        <v>16610575.5</v>
      </c>
      <c r="J71" s="146">
        <v>0</v>
      </c>
      <c r="K71" s="146"/>
      <c r="L71" s="146">
        <v>0</v>
      </c>
      <c r="M71" s="146"/>
      <c r="N71" s="146">
        <v>0</v>
      </c>
      <c r="O71" s="146"/>
      <c r="P71" s="146">
        <v>0</v>
      </c>
      <c r="Q71" s="146"/>
      <c r="R71" s="146">
        <v>18000000</v>
      </c>
      <c r="S71" s="146"/>
      <c r="T71" s="146">
        <v>7120</v>
      </c>
      <c r="U71" s="146"/>
      <c r="V71" s="146">
        <v>134498889052</v>
      </c>
      <c r="W71" s="146"/>
      <c r="X71" s="146">
        <v>127169323200</v>
      </c>
      <c r="Y71" s="147"/>
      <c r="Z71" s="148">
        <f t="shared" si="10"/>
        <v>9.3171872732156543E-3</v>
      </c>
      <c r="AA71" s="141"/>
      <c r="AE71" s="149"/>
      <c r="AF71" s="149"/>
      <c r="AH71" s="149"/>
    </row>
    <row r="72" spans="2:34" ht="41.25" customHeight="1" x14ac:dyDescent="0.65">
      <c r="B72" s="145" t="s">
        <v>235</v>
      </c>
      <c r="C72" s="141"/>
      <c r="D72" s="146">
        <v>0</v>
      </c>
      <c r="E72" s="146"/>
      <c r="F72" s="146">
        <v>0</v>
      </c>
      <c r="G72" s="146"/>
      <c r="H72" s="146">
        <v>0</v>
      </c>
      <c r="I72" s="146">
        <v>16988314.5</v>
      </c>
      <c r="J72" s="146">
        <v>0</v>
      </c>
      <c r="K72" s="146"/>
      <c r="L72" s="146">
        <v>0</v>
      </c>
      <c r="M72" s="146"/>
      <c r="N72" s="146">
        <v>-600000</v>
      </c>
      <c r="O72" s="146"/>
      <c r="P72" s="146">
        <v>2615140627</v>
      </c>
      <c r="Q72" s="146"/>
      <c r="R72" s="146">
        <v>23000000</v>
      </c>
      <c r="S72" s="146"/>
      <c r="T72" s="146">
        <v>4300</v>
      </c>
      <c r="U72" s="146"/>
      <c r="V72" s="146">
        <v>111689326960</v>
      </c>
      <c r="W72" s="146"/>
      <c r="X72" s="146">
        <v>98135503000</v>
      </c>
      <c r="Y72" s="147"/>
      <c r="Z72" s="148">
        <f t="shared" si="10"/>
        <v>7.1899954847146393E-3</v>
      </c>
      <c r="AA72" s="141"/>
      <c r="AE72" s="149"/>
      <c r="AF72" s="149"/>
      <c r="AH72" s="149"/>
    </row>
    <row r="73" spans="2:34" ht="41.25" customHeight="1" thickBot="1" x14ac:dyDescent="0.7">
      <c r="B73" s="135" t="s">
        <v>7</v>
      </c>
      <c r="C73" s="141"/>
      <c r="D73" s="127">
        <f>SUM(D56:D72)</f>
        <v>5756187350</v>
      </c>
      <c r="E73" s="127" t="e">
        <f>SUM(E9:E72)</f>
        <v>#REF!</v>
      </c>
      <c r="F73" s="127">
        <f>SUM(F56:F72)</f>
        <v>12896677233798</v>
      </c>
      <c r="G73" s="127" t="e">
        <f>SUM(G9:G72)</f>
        <v>#REF!</v>
      </c>
      <c r="H73" s="127">
        <f>SUM(H56:H72)</f>
        <v>17770071127248.117</v>
      </c>
      <c r="I73" s="127">
        <f>SUM(I9:I72)</f>
        <v>446351044756.5</v>
      </c>
      <c r="J73" s="127">
        <f>SUM(J56:J72)</f>
        <v>96927551</v>
      </c>
      <c r="K73" s="127" t="e">
        <f>SUM(K9:K72)</f>
        <v>#REF!</v>
      </c>
      <c r="L73" s="127">
        <f>SUM(L56:L72)</f>
        <v>174070316827</v>
      </c>
      <c r="M73" s="127" t="e">
        <f>SUM(M9:M72)</f>
        <v>#REF!</v>
      </c>
      <c r="N73" s="289">
        <f>SUM(N56:N72)</f>
        <v>-2584949538</v>
      </c>
      <c r="O73" s="127" t="e">
        <f>SUM(O9:O72)</f>
        <v>#REF!</v>
      </c>
      <c r="P73" s="127">
        <f>SUM(P56:P72)</f>
        <v>4131399229215</v>
      </c>
      <c r="Q73" s="127" t="e">
        <f>SUM(Q9:Q72)</f>
        <v>#REF!</v>
      </c>
      <c r="R73" s="127">
        <f>SUM(R56:R72)</f>
        <v>3268165363</v>
      </c>
      <c r="S73" s="127" t="e">
        <f>SUM(S9:S72)</f>
        <v>#REF!</v>
      </c>
      <c r="T73" s="127">
        <f>SUM(T56:T72)</f>
        <v>642631</v>
      </c>
      <c r="U73" s="127" t="e">
        <f>SUM(U9:U72)</f>
        <v>#REF!</v>
      </c>
      <c r="V73" s="127">
        <f>SUM(V56:V72)</f>
        <v>10088186453902</v>
      </c>
      <c r="W73" s="127" t="e">
        <f>SUM(W9:W72)</f>
        <v>#REF!</v>
      </c>
      <c r="X73" s="127">
        <f>SUM(X56:X72)</f>
        <v>13203750830553.555</v>
      </c>
      <c r="Y73" s="127" t="e">
        <f>SUM(Y9:Y72)</f>
        <v>#REF!</v>
      </c>
      <c r="Z73" s="303">
        <f>SUM(Z56:Z72)</f>
        <v>0.96738597093630019</v>
      </c>
      <c r="AC73" s="152"/>
    </row>
    <row r="74" spans="2:34" ht="30.75" thickTop="1" x14ac:dyDescent="0.75">
      <c r="H74" s="282"/>
      <c r="J74" s="149"/>
      <c r="L74" s="149"/>
      <c r="N74" s="124"/>
      <c r="O74" s="124"/>
      <c r="P74" s="149"/>
      <c r="X74" s="149"/>
      <c r="Z74" s="268"/>
      <c r="AC74" s="152"/>
    </row>
    <row r="75" spans="2:34" ht="30" hidden="1" customHeight="1" x14ac:dyDescent="0.75">
      <c r="H75" s="282"/>
      <c r="W75" s="124"/>
      <c r="X75" s="124"/>
      <c r="Z75" s="268"/>
      <c r="AC75" s="152"/>
    </row>
    <row r="76" spans="2:34" ht="42.75" customHeight="1" x14ac:dyDescent="0.75">
      <c r="D76" s="149"/>
      <c r="F76" s="149"/>
      <c r="H76" s="269"/>
      <c r="J76" s="149"/>
      <c r="L76" s="149"/>
      <c r="M76" s="149"/>
      <c r="N76" s="149"/>
      <c r="O76" s="149"/>
      <c r="P76" s="149"/>
      <c r="R76" s="149"/>
      <c r="T76" s="149"/>
      <c r="V76" s="149"/>
      <c r="X76" s="283"/>
      <c r="Z76" s="338"/>
      <c r="AA76" s="339"/>
      <c r="AB76" s="339"/>
      <c r="AC76" s="340"/>
    </row>
    <row r="77" spans="2:34" ht="30" x14ac:dyDescent="0.75">
      <c r="D77" s="154"/>
      <c r="E77" s="154"/>
      <c r="F77" s="154"/>
      <c r="G77" s="154"/>
      <c r="H77" s="269"/>
      <c r="I77" s="154"/>
      <c r="J77" s="154"/>
      <c r="K77" s="154"/>
      <c r="L77" s="154"/>
      <c r="M77" s="154"/>
      <c r="N77" s="154"/>
      <c r="O77" s="154"/>
      <c r="P77" s="154"/>
      <c r="R77" s="154"/>
      <c r="S77" s="154"/>
      <c r="T77" s="154"/>
      <c r="W77" s="124"/>
      <c r="X77" s="270"/>
      <c r="Y77" s="305"/>
      <c r="Z77" s="338"/>
      <c r="AA77" s="339"/>
      <c r="AB77" s="339"/>
      <c r="AC77" s="340"/>
    </row>
    <row r="78" spans="2:34" ht="30" x14ac:dyDescent="0.75">
      <c r="H78" s="269"/>
      <c r="J78" s="154"/>
      <c r="L78" s="149"/>
      <c r="N78" s="154"/>
      <c r="P78" s="149"/>
      <c r="X78" s="269"/>
      <c r="Y78" s="305"/>
      <c r="Z78" s="339"/>
      <c r="AA78" s="339"/>
      <c r="AB78" s="339"/>
      <c r="AC78" s="340"/>
    </row>
    <row r="79" spans="2:34" x14ac:dyDescent="0.65">
      <c r="P79" s="149"/>
      <c r="X79" s="154"/>
      <c r="Y79" s="305"/>
      <c r="Z79" s="339"/>
      <c r="AA79" s="339"/>
      <c r="AB79" s="339"/>
      <c r="AC79" s="340"/>
    </row>
    <row r="80" spans="2:34" ht="30" x14ac:dyDescent="0.75">
      <c r="H80" s="154"/>
      <c r="P80" s="149"/>
      <c r="R80" s="285"/>
      <c r="Y80" s="305"/>
      <c r="Z80" s="341">
        <v>13648896332220</v>
      </c>
      <c r="AA80" s="339"/>
      <c r="AB80" s="339"/>
      <c r="AC80" s="340"/>
    </row>
    <row r="81" spans="16:29" x14ac:dyDescent="0.65">
      <c r="P81" s="149"/>
      <c r="Y81" s="305"/>
      <c r="Z81" s="342"/>
      <c r="AA81" s="339"/>
      <c r="AB81" s="339"/>
      <c r="AC81" s="340"/>
    </row>
    <row r="82" spans="16:29" x14ac:dyDescent="0.65">
      <c r="P82" s="149"/>
      <c r="Y82" s="305"/>
      <c r="Z82" s="306"/>
      <c r="AC82" s="152"/>
    </row>
    <row r="83" spans="16:29" x14ac:dyDescent="0.65">
      <c r="P83" s="149"/>
      <c r="Y83" s="305"/>
      <c r="Z83" s="307"/>
      <c r="AC83" s="152"/>
    </row>
    <row r="84" spans="16:29" x14ac:dyDescent="0.65">
      <c r="P84" s="149"/>
      <c r="AC84" s="152"/>
    </row>
    <row r="85" spans="16:29" x14ac:dyDescent="0.65">
      <c r="P85" s="149"/>
      <c r="AC85" s="152"/>
    </row>
    <row r="86" spans="16:29" x14ac:dyDescent="0.65">
      <c r="P86" s="149"/>
      <c r="AC86" s="152"/>
    </row>
    <row r="87" spans="16:29" x14ac:dyDescent="0.65">
      <c r="P87" s="149"/>
      <c r="AC87" s="152"/>
    </row>
    <row r="88" spans="16:29" x14ac:dyDescent="0.65">
      <c r="P88" s="149"/>
      <c r="AC88" s="152"/>
    </row>
    <row r="89" spans="16:29" x14ac:dyDescent="0.65">
      <c r="P89" s="149"/>
      <c r="AC89" s="152"/>
    </row>
    <row r="90" spans="16:29" x14ac:dyDescent="0.65">
      <c r="P90" s="149"/>
      <c r="AC90" s="152"/>
    </row>
    <row r="91" spans="16:29" x14ac:dyDescent="0.65">
      <c r="P91" s="149"/>
      <c r="AC91" s="152"/>
    </row>
    <row r="92" spans="16:29" x14ac:dyDescent="0.65">
      <c r="P92" s="149"/>
      <c r="AC92" s="152"/>
    </row>
    <row r="93" spans="16:29" x14ac:dyDescent="0.65">
      <c r="P93" s="149"/>
      <c r="AC93" s="152"/>
    </row>
    <row r="94" spans="16:29" x14ac:dyDescent="0.65">
      <c r="P94" s="149"/>
      <c r="AC94" s="152"/>
    </row>
    <row r="95" spans="16:29" x14ac:dyDescent="0.65">
      <c r="P95" s="149"/>
      <c r="AC95" s="152"/>
    </row>
    <row r="96" spans="16:29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2"/>
    </row>
    <row r="105" spans="16:29" x14ac:dyDescent="0.65">
      <c r="P105" s="149"/>
      <c r="AC105" s="155"/>
    </row>
    <row r="106" spans="16:29" x14ac:dyDescent="0.65">
      <c r="P106" s="149"/>
      <c r="AC106" s="152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  <c r="AC111" s="152"/>
    </row>
    <row r="112" spans="16:29" x14ac:dyDescent="0.65">
      <c r="P112" s="149"/>
      <c r="AC112" s="152"/>
    </row>
    <row r="113" spans="16:29" x14ac:dyDescent="0.65">
      <c r="P113" s="149"/>
      <c r="AC113" s="152"/>
    </row>
    <row r="114" spans="16:29" x14ac:dyDescent="0.65">
      <c r="P114" s="149"/>
      <c r="AC114" s="152"/>
    </row>
    <row r="115" spans="16:29" x14ac:dyDescent="0.65">
      <c r="P115" s="149"/>
      <c r="AC115" s="152"/>
    </row>
    <row r="116" spans="16:29" x14ac:dyDescent="0.65">
      <c r="P116" s="149"/>
      <c r="AC116" s="152"/>
    </row>
    <row r="117" spans="16:29" x14ac:dyDescent="0.65">
      <c r="P117" s="149"/>
      <c r="AC117" s="152"/>
    </row>
    <row r="118" spans="16:29" x14ac:dyDescent="0.65">
      <c r="P118" s="149"/>
    </row>
    <row r="119" spans="16:29" x14ac:dyDescent="0.65">
      <c r="P119" s="149"/>
    </row>
    <row r="120" spans="16:29" x14ac:dyDescent="0.65">
      <c r="P120" s="149"/>
    </row>
    <row r="121" spans="16:29" x14ac:dyDescent="0.65">
      <c r="P121" s="149"/>
    </row>
    <row r="122" spans="16:29" x14ac:dyDescent="0.65">
      <c r="P122" s="149"/>
    </row>
    <row r="123" spans="16:29" x14ac:dyDescent="0.65">
      <c r="P123" s="149"/>
    </row>
    <row r="124" spans="16:29" x14ac:dyDescent="0.65">
      <c r="P124" s="149"/>
    </row>
    <row r="125" spans="16:29" x14ac:dyDescent="0.65">
      <c r="P125" s="149"/>
    </row>
    <row r="126" spans="16:29" x14ac:dyDescent="0.65">
      <c r="P126" s="149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61" t="str">
        <f>' سهام'!B1:Z1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</row>
    <row r="2" spans="2:18" ht="24" x14ac:dyDescent="0.6">
      <c r="B2" s="361" t="s">
        <v>80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2:18" ht="24" x14ac:dyDescent="0.6">
      <c r="B3" s="361" t="str">
        <f>' سهام'!AC6</f>
        <v>برای ماه منتهی به 1405/04/31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</row>
    <row r="4" spans="2:18" ht="24" x14ac:dyDescent="0.55000000000000004">
      <c r="B4" s="34" t="s">
        <v>81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60" t="str">
        <f>' سهام'!AC4</f>
        <v>1405/03/31</v>
      </c>
      <c r="E6" s="360"/>
      <c r="F6" s="360"/>
      <c r="G6" s="360"/>
      <c r="H6" s="360"/>
      <c r="I6" s="360"/>
      <c r="J6" s="360"/>
      <c r="L6" s="360" t="str">
        <f>' سهام'!AC5</f>
        <v>1405/04/31</v>
      </c>
      <c r="M6" s="360"/>
      <c r="N6" s="360"/>
      <c r="O6" s="360"/>
      <c r="P6" s="360"/>
      <c r="Q6" s="360"/>
      <c r="R6" s="360"/>
    </row>
    <row r="7" spans="2:18" ht="24.75" thickBot="1" x14ac:dyDescent="0.65">
      <c r="B7" s="10" t="s">
        <v>44</v>
      </c>
      <c r="C7" s="8"/>
      <c r="D7" s="10" t="s">
        <v>45</v>
      </c>
      <c r="E7" s="8"/>
      <c r="F7" s="10" t="s">
        <v>46</v>
      </c>
      <c r="G7" s="8"/>
      <c r="H7" s="10" t="s">
        <v>47</v>
      </c>
      <c r="I7" s="8"/>
      <c r="J7" s="10" t="s">
        <v>48</v>
      </c>
      <c r="L7" s="10" t="s">
        <v>45</v>
      </c>
      <c r="M7" s="8"/>
      <c r="N7" s="10" t="s">
        <v>46</v>
      </c>
      <c r="O7" s="8"/>
      <c r="P7" s="10" t="s">
        <v>47</v>
      </c>
      <c r="Q7" s="8"/>
      <c r="R7" s="10" t="s">
        <v>48</v>
      </c>
    </row>
    <row r="8" spans="2:18" ht="23.25" thickBot="1" x14ac:dyDescent="0.6">
      <c r="B8" s="3"/>
      <c r="C8" s="3"/>
      <c r="D8" s="67" t="s">
        <v>101</v>
      </c>
      <c r="E8" s="59"/>
      <c r="F8" s="58" t="s">
        <v>101</v>
      </c>
      <c r="G8" s="5"/>
      <c r="H8" s="5" t="s">
        <v>101</v>
      </c>
      <c r="I8" s="5"/>
      <c r="J8" s="60">
        <v>0</v>
      </c>
      <c r="L8" s="65">
        <v>0</v>
      </c>
      <c r="M8" s="5"/>
      <c r="N8" s="67" t="s">
        <v>101</v>
      </c>
      <c r="O8" s="5"/>
      <c r="P8" s="5" t="s">
        <v>101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61" t="str">
        <f>اوراق!B1</f>
        <v>صندوق سرمایه گذاری شاخص سی شرکت بزرگ فیروزه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</row>
    <row r="2" spans="1:16" ht="24" x14ac:dyDescent="0.6">
      <c r="A2" s="361" t="s">
        <v>80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</row>
    <row r="3" spans="1:16" ht="24" x14ac:dyDescent="0.6">
      <c r="A3" s="361" t="str">
        <f>' سهام'!AC6</f>
        <v>برای ماه منتهی به 1405/04/31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</row>
    <row r="4" spans="1:16" ht="25.5" customHeight="1" x14ac:dyDescent="0.55000000000000004">
      <c r="A4" s="363" t="s">
        <v>50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</row>
    <row r="5" spans="1:16" ht="24" x14ac:dyDescent="0.55000000000000004">
      <c r="A5" s="363" t="s">
        <v>49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</row>
    <row r="6" spans="1:16" ht="19.5" customHeight="1" thickBot="1" x14ac:dyDescent="0.6">
      <c r="C6" s="370" t="str">
        <f>' سهام'!AC5</f>
        <v>1405/04/31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</row>
    <row r="7" spans="1:16" ht="31.5" customHeight="1" x14ac:dyDescent="0.55000000000000004">
      <c r="A7" s="366" t="s">
        <v>20</v>
      </c>
      <c r="C7" s="368" t="s">
        <v>8</v>
      </c>
      <c r="E7" s="364" t="s">
        <v>54</v>
      </c>
      <c r="F7" s="364"/>
      <c r="G7" s="364" t="s">
        <v>53</v>
      </c>
      <c r="H7" s="364"/>
      <c r="I7" s="364" t="s">
        <v>51</v>
      </c>
      <c r="J7" s="364"/>
      <c r="K7" s="364" t="s">
        <v>52</v>
      </c>
      <c r="M7" s="364" t="s">
        <v>19</v>
      </c>
      <c r="N7" s="364"/>
      <c r="O7" s="364"/>
      <c r="P7" s="364"/>
    </row>
    <row r="8" spans="1:16" ht="18" customHeight="1" thickBot="1" x14ac:dyDescent="0.6">
      <c r="A8" s="367"/>
      <c r="C8" s="369"/>
      <c r="E8" s="365"/>
      <c r="F8" s="364"/>
      <c r="G8" s="365"/>
      <c r="H8" s="364"/>
      <c r="I8" s="365"/>
      <c r="J8" s="364"/>
      <c r="K8" s="365"/>
      <c r="M8" s="365"/>
      <c r="N8" s="365"/>
      <c r="O8" s="365"/>
      <c r="P8" s="365"/>
    </row>
    <row r="9" spans="1:16" ht="18" customHeight="1" thickBot="1" x14ac:dyDescent="0.6">
      <c r="A9" s="21"/>
      <c r="B9" s="7"/>
      <c r="C9" s="22" t="s">
        <v>101</v>
      </c>
      <c r="D9" s="23"/>
      <c r="E9" s="24" t="s">
        <v>101</v>
      </c>
      <c r="F9" s="25"/>
      <c r="G9" s="24" t="s">
        <v>101</v>
      </c>
      <c r="H9" s="25"/>
      <c r="I9" s="26" t="s">
        <v>101</v>
      </c>
      <c r="J9" s="25"/>
      <c r="K9" s="24" t="s">
        <v>101</v>
      </c>
      <c r="M9" s="365" t="s">
        <v>101</v>
      </c>
      <c r="N9" s="365"/>
      <c r="O9" s="365"/>
      <c r="P9" s="365"/>
    </row>
    <row r="10" spans="1:16" ht="18" customHeight="1" thickBot="1" x14ac:dyDescent="0.6">
      <c r="A10" s="6"/>
      <c r="C10" s="27" t="s">
        <v>101</v>
      </c>
      <c r="E10" s="27" t="s">
        <v>101</v>
      </c>
      <c r="F10" s="5"/>
      <c r="G10" s="27" t="s">
        <v>101</v>
      </c>
      <c r="H10" s="5"/>
      <c r="I10" s="28" t="s">
        <v>101</v>
      </c>
      <c r="J10" s="5"/>
      <c r="K10" s="27" t="s">
        <v>101</v>
      </c>
      <c r="L10" s="5"/>
      <c r="M10" s="362" t="s">
        <v>101</v>
      </c>
      <c r="N10" s="362"/>
      <c r="O10" s="362"/>
      <c r="P10" s="362"/>
    </row>
    <row r="11" spans="1:16" ht="23.25" thickTop="1" x14ac:dyDescent="0.55000000000000004"/>
    <row r="12" spans="1:16" x14ac:dyDescent="0.55000000000000004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61" t="str">
        <f>'تعدیل قیمت'!A1:P1</f>
        <v>صندوق سرمایه گذاری شاخص سی شرکت بزرگ فیروزه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</row>
    <row r="2" spans="1:29" ht="24" x14ac:dyDescent="0.6">
      <c r="A2" s="361" t="s">
        <v>80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</row>
    <row r="3" spans="1:29" ht="24" x14ac:dyDescent="0.6">
      <c r="A3" s="361" t="str">
        <f>' سهام'!AC6</f>
        <v>برای ماه منتهی به 1405/04/31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</row>
    <row r="4" spans="1:29" ht="24" x14ac:dyDescent="0.55000000000000004">
      <c r="A4" s="363" t="s">
        <v>55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71"/>
      <c r="D6" s="371"/>
      <c r="E6" s="371"/>
      <c r="F6" s="46"/>
      <c r="G6" s="46"/>
      <c r="H6" s="46"/>
      <c r="I6" s="46"/>
      <c r="J6" s="30"/>
      <c r="K6" s="371" t="str">
        <f>' سهام'!AC4</f>
        <v>1405/03/31</v>
      </c>
      <c r="L6" s="371"/>
      <c r="M6" s="371"/>
      <c r="N6" s="371"/>
      <c r="O6" s="371"/>
      <c r="P6" s="52"/>
      <c r="Q6" s="378" t="s">
        <v>16</v>
      </c>
      <c r="R6" s="378"/>
      <c r="S6" s="378"/>
      <c r="T6" s="378"/>
      <c r="U6" s="378"/>
      <c r="W6" s="371" t="str">
        <f>' سهام'!AC5</f>
        <v>1405/04/31</v>
      </c>
      <c r="X6" s="371"/>
      <c r="Y6" s="371"/>
      <c r="Z6" s="371"/>
      <c r="AA6" s="371"/>
      <c r="AB6" s="371"/>
      <c r="AC6" s="371"/>
    </row>
    <row r="7" spans="1:29" ht="54.75" customHeight="1" x14ac:dyDescent="0.6">
      <c r="A7" s="364" t="s">
        <v>58</v>
      </c>
      <c r="B7" s="5"/>
      <c r="C7" s="377" t="s">
        <v>33</v>
      </c>
      <c r="D7" s="3"/>
      <c r="E7" s="375" t="s">
        <v>60</v>
      </c>
      <c r="F7" s="14"/>
      <c r="G7" s="375" t="s">
        <v>57</v>
      </c>
      <c r="H7" s="14"/>
      <c r="I7" s="375" t="s">
        <v>14</v>
      </c>
      <c r="J7" s="3"/>
      <c r="K7" s="380" t="s">
        <v>8</v>
      </c>
      <c r="L7" s="374"/>
      <c r="M7" s="374" t="s">
        <v>3</v>
      </c>
      <c r="N7" s="374"/>
      <c r="O7" s="49" t="s">
        <v>1</v>
      </c>
      <c r="P7" s="2"/>
      <c r="Q7" s="361" t="s">
        <v>9</v>
      </c>
      <c r="R7" s="361"/>
      <c r="S7" s="15"/>
      <c r="T7" s="361" t="s">
        <v>10</v>
      </c>
      <c r="U7" s="361"/>
      <c r="V7" s="8"/>
      <c r="W7" s="372" t="s">
        <v>8</v>
      </c>
      <c r="X7" s="374"/>
      <c r="Y7" s="379" t="s">
        <v>3</v>
      </c>
      <c r="Z7" s="374"/>
      <c r="AA7" s="49" t="s">
        <v>1</v>
      </c>
      <c r="AB7" s="50"/>
      <c r="AC7" s="49" t="s">
        <v>0</v>
      </c>
    </row>
    <row r="8" spans="1:29" ht="33" customHeight="1" thickBot="1" x14ac:dyDescent="0.65">
      <c r="A8" s="365"/>
      <c r="B8" s="5"/>
      <c r="C8" s="376"/>
      <c r="D8" s="3"/>
      <c r="E8" s="376"/>
      <c r="F8" s="14"/>
      <c r="G8" s="376"/>
      <c r="H8" s="14"/>
      <c r="I8" s="376"/>
      <c r="J8" s="3"/>
      <c r="K8" s="373"/>
      <c r="L8" s="374"/>
      <c r="M8" s="371"/>
      <c r="N8" s="374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79</v>
      </c>
      <c r="V8" s="8"/>
      <c r="W8" s="373"/>
      <c r="X8" s="374"/>
      <c r="Y8" s="371"/>
      <c r="Z8" s="374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56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92" t="str">
        <f>' سهام'!B1:Z1</f>
        <v>صندوق سرمایه گذاری شاخص سی شرکت بزرگ فیروزه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  <c r="AK1" s="392"/>
      <c r="AL1" s="392"/>
      <c r="AM1" s="392"/>
    </row>
    <row r="2" spans="2:40" ht="33.75" x14ac:dyDescent="0.65">
      <c r="B2" s="392" t="s">
        <v>80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  <c r="AM2" s="392"/>
    </row>
    <row r="3" spans="2:40" ht="33.75" x14ac:dyDescent="0.65">
      <c r="B3" s="392" t="str">
        <f>' سهام'!AC6</f>
        <v>برای ماه منتهی به 1405/04/31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2"/>
    </row>
    <row r="4" spans="2:40" x14ac:dyDescent="0.65">
      <c r="B4" s="100" t="s">
        <v>38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82" t="s">
        <v>29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72"/>
      <c r="Q6" s="382" t="str">
        <f>' سهام'!AC4</f>
        <v>1405/03/31</v>
      </c>
      <c r="R6" s="382"/>
      <c r="S6" s="382"/>
      <c r="T6" s="382"/>
      <c r="U6" s="382"/>
      <c r="V6" s="78"/>
      <c r="W6" s="393" t="s">
        <v>16</v>
      </c>
      <c r="X6" s="393"/>
      <c r="Y6" s="393"/>
      <c r="Z6" s="393"/>
      <c r="AA6" s="393"/>
      <c r="AB6" s="393"/>
      <c r="AC6" s="393"/>
      <c r="AD6" s="71"/>
      <c r="AE6" s="382" t="str">
        <f>' سهام'!AC5</f>
        <v>1405/04/31</v>
      </c>
      <c r="AF6" s="382"/>
      <c r="AG6" s="382"/>
      <c r="AH6" s="382"/>
      <c r="AI6" s="382"/>
      <c r="AJ6" s="382"/>
      <c r="AK6" s="382"/>
      <c r="AL6" s="382"/>
      <c r="AM6" s="382"/>
    </row>
    <row r="7" spans="2:40" s="15" customFormat="1" ht="36" x14ac:dyDescent="0.9">
      <c r="B7" s="385" t="s">
        <v>30</v>
      </c>
      <c r="C7" s="72"/>
      <c r="D7" s="389" t="s">
        <v>15</v>
      </c>
      <c r="E7" s="72"/>
      <c r="F7" s="391" t="s">
        <v>14</v>
      </c>
      <c r="G7" s="72"/>
      <c r="H7" s="381" t="s">
        <v>42</v>
      </c>
      <c r="I7" s="72"/>
      <c r="J7" s="389" t="s">
        <v>33</v>
      </c>
      <c r="K7" s="72"/>
      <c r="L7" s="72"/>
      <c r="M7" s="391" t="s">
        <v>13</v>
      </c>
      <c r="N7" s="79"/>
      <c r="O7" s="391" t="s">
        <v>12</v>
      </c>
      <c r="P7" s="72"/>
      <c r="Q7" s="383" t="s">
        <v>8</v>
      </c>
      <c r="R7" s="381"/>
      <c r="S7" s="381" t="s">
        <v>3</v>
      </c>
      <c r="T7" s="381"/>
      <c r="U7" s="381" t="s">
        <v>31</v>
      </c>
      <c r="V7" s="72"/>
      <c r="W7" s="388" t="s">
        <v>9</v>
      </c>
      <c r="X7" s="388"/>
      <c r="Y7" s="388"/>
      <c r="Z7" s="71"/>
      <c r="AA7" s="388" t="s">
        <v>10</v>
      </c>
      <c r="AB7" s="388"/>
      <c r="AC7" s="388"/>
      <c r="AD7" s="71"/>
      <c r="AE7" s="383" t="s">
        <v>8</v>
      </c>
      <c r="AF7" s="385"/>
      <c r="AG7" s="386" t="s">
        <v>43</v>
      </c>
      <c r="AH7" s="72"/>
      <c r="AI7" s="381" t="s">
        <v>3</v>
      </c>
      <c r="AJ7" s="385"/>
      <c r="AK7" s="381" t="s">
        <v>31</v>
      </c>
      <c r="AL7" s="80"/>
      <c r="AM7" s="381" t="s">
        <v>32</v>
      </c>
    </row>
    <row r="8" spans="2:40" s="55" customFormat="1" ht="72.75" customHeight="1" thickBot="1" x14ac:dyDescent="0.3">
      <c r="B8" s="382"/>
      <c r="C8" s="72"/>
      <c r="D8" s="390"/>
      <c r="E8" s="72"/>
      <c r="F8" s="390"/>
      <c r="G8" s="72"/>
      <c r="H8" s="382"/>
      <c r="I8" s="72"/>
      <c r="J8" s="390"/>
      <c r="K8" s="72"/>
      <c r="L8" s="72"/>
      <c r="M8" s="390"/>
      <c r="N8" s="78"/>
      <c r="O8" s="390"/>
      <c r="P8" s="72"/>
      <c r="Q8" s="384"/>
      <c r="R8" s="385"/>
      <c r="S8" s="382"/>
      <c r="T8" s="385"/>
      <c r="U8" s="382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79</v>
      </c>
      <c r="AD8" s="70"/>
      <c r="AE8" s="384"/>
      <c r="AF8" s="385"/>
      <c r="AG8" s="387"/>
      <c r="AH8" s="72"/>
      <c r="AI8" s="382"/>
      <c r="AJ8" s="385"/>
      <c r="AK8" s="382"/>
      <c r="AL8" s="80"/>
      <c r="AM8" s="382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101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83"/>
  <sheetViews>
    <sheetView rightToLeft="1" view="pageBreakPreview" zoomScale="90" zoomScaleNormal="100" zoomScaleSheetLayoutView="90" workbookViewId="0">
      <selection activeCell="D22" sqref="D22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61" t="s">
        <v>102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</row>
    <row r="2" spans="2:27" ht="24" x14ac:dyDescent="0.6">
      <c r="B2" s="361" t="s">
        <v>80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2:27" ht="24" x14ac:dyDescent="0.6">
      <c r="B3" s="361" t="str">
        <f>' سهام'!AC6</f>
        <v>برای ماه منتهی به 1405/04/31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</row>
    <row r="4" spans="2:27" ht="24" x14ac:dyDescent="0.55000000000000004">
      <c r="B4" s="398" t="s">
        <v>82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AA4" s="1" t="s">
        <v>155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2"/>
      <c r="T5" s="252"/>
      <c r="AA5" s="1" t="s">
        <v>156</v>
      </c>
    </row>
    <row r="6" spans="2:27" ht="18.75" customHeight="1" thickBot="1" x14ac:dyDescent="0.6">
      <c r="B6" s="49"/>
      <c r="C6" s="396"/>
      <c r="D6" s="396"/>
      <c r="E6" s="396"/>
      <c r="F6" s="396"/>
      <c r="G6" s="396"/>
      <c r="H6" s="396"/>
      <c r="I6" s="396"/>
      <c r="J6" s="396"/>
      <c r="K6" s="52"/>
      <c r="L6" s="378" t="s">
        <v>16</v>
      </c>
      <c r="M6" s="378"/>
      <c r="N6" s="378"/>
      <c r="P6" s="371" t="str">
        <f>' سهام'!AC5</f>
        <v>1405/04/31</v>
      </c>
      <c r="Q6" s="371"/>
      <c r="R6" s="371"/>
      <c r="S6" s="252"/>
      <c r="T6" s="252"/>
      <c r="AA6" s="1" t="s">
        <v>157</v>
      </c>
    </row>
    <row r="7" spans="2:27" ht="24" customHeight="1" x14ac:dyDescent="0.55000000000000004">
      <c r="B7" s="400" t="s">
        <v>17</v>
      </c>
      <c r="C7" s="3"/>
      <c r="D7" s="375" t="s">
        <v>18</v>
      </c>
      <c r="E7" s="3"/>
      <c r="F7" s="375" t="s">
        <v>59</v>
      </c>
      <c r="G7" s="3"/>
      <c r="H7" s="375" t="s">
        <v>60</v>
      </c>
      <c r="I7" s="364"/>
      <c r="J7" s="366" t="s">
        <v>11</v>
      </c>
      <c r="K7" s="3"/>
      <c r="L7" s="394" t="s">
        <v>61</v>
      </c>
      <c r="M7" s="160"/>
      <c r="N7" s="394" t="s">
        <v>62</v>
      </c>
      <c r="P7" s="399" t="s">
        <v>11</v>
      </c>
      <c r="Q7" s="364"/>
      <c r="R7" s="397" t="s">
        <v>32</v>
      </c>
      <c r="S7" s="252"/>
      <c r="T7" s="252"/>
      <c r="AA7" s="1" t="s">
        <v>158</v>
      </c>
    </row>
    <row r="8" spans="2:27" ht="47.25" customHeight="1" thickBot="1" x14ac:dyDescent="0.6">
      <c r="B8" s="401"/>
      <c r="C8" s="221"/>
      <c r="D8" s="376"/>
      <c r="E8" s="221"/>
      <c r="F8" s="376"/>
      <c r="G8" s="221"/>
      <c r="H8" s="376"/>
      <c r="I8" s="364"/>
      <c r="J8" s="367"/>
      <c r="K8" s="3"/>
      <c r="L8" s="395"/>
      <c r="N8" s="395"/>
      <c r="P8" s="367"/>
      <c r="Q8" s="364"/>
      <c r="R8" s="365"/>
      <c r="S8" s="252"/>
      <c r="T8" s="252"/>
      <c r="V8" s="159"/>
      <c r="AA8" s="1" t="s">
        <v>159</v>
      </c>
    </row>
    <row r="9" spans="2:27" ht="25.15" customHeight="1" x14ac:dyDescent="0.55000000000000004">
      <c r="B9" s="68" t="s">
        <v>196</v>
      </c>
      <c r="C9" s="222"/>
      <c r="D9" s="222" t="s">
        <v>106</v>
      </c>
      <c r="E9" s="222"/>
      <c r="F9" s="222" t="s">
        <v>104</v>
      </c>
      <c r="G9" s="222"/>
      <c r="H9" s="157">
        <v>0</v>
      </c>
      <c r="I9" s="222"/>
      <c r="J9" s="164">
        <v>50000000</v>
      </c>
      <c r="K9" s="222"/>
      <c r="L9" s="157">
        <v>0</v>
      </c>
      <c r="M9" s="222"/>
      <c r="N9" s="157">
        <v>0</v>
      </c>
      <c r="O9" s="157"/>
      <c r="P9" s="157">
        <v>50000000</v>
      </c>
      <c r="Q9" s="223"/>
      <c r="R9" s="224">
        <f>P9/$R$20</f>
        <v>3.6632998583166377E-6</v>
      </c>
      <c r="S9" s="252"/>
      <c r="T9" s="267"/>
    </row>
    <row r="10" spans="2:27" ht="25.15" customHeight="1" x14ac:dyDescent="0.55000000000000004">
      <c r="B10" s="68" t="s">
        <v>161</v>
      </c>
      <c r="C10" s="222"/>
      <c r="D10" s="222" t="s">
        <v>107</v>
      </c>
      <c r="E10" s="222"/>
      <c r="F10" s="222" t="s">
        <v>104</v>
      </c>
      <c r="G10" s="222"/>
      <c r="H10" s="157">
        <v>0</v>
      </c>
      <c r="I10" s="222"/>
      <c r="J10" s="164">
        <v>48598023</v>
      </c>
      <c r="K10" s="222"/>
      <c r="L10" s="157">
        <v>206375</v>
      </c>
      <c r="M10" s="222"/>
      <c r="N10" s="157">
        <v>0</v>
      </c>
      <c r="O10" s="157"/>
      <c r="P10" s="157">
        <v>48804398</v>
      </c>
      <c r="Q10" s="223"/>
      <c r="R10" s="224">
        <f>P10/$R$20</f>
        <v>3.5757028855725757E-6</v>
      </c>
      <c r="S10" s="252"/>
      <c r="T10" s="267"/>
    </row>
    <row r="11" spans="2:27" ht="25.15" customHeight="1" x14ac:dyDescent="0.55000000000000004">
      <c r="B11" s="68" t="s">
        <v>162</v>
      </c>
      <c r="C11" s="222"/>
      <c r="D11" s="222" t="s">
        <v>107</v>
      </c>
      <c r="E11" s="222"/>
      <c r="F11" s="222" t="s">
        <v>144</v>
      </c>
      <c r="G11" s="222"/>
      <c r="H11" s="157">
        <v>0</v>
      </c>
      <c r="I11" s="222"/>
      <c r="J11" s="164">
        <v>285121957760</v>
      </c>
      <c r="K11" s="222"/>
      <c r="L11" s="157">
        <v>840788683254</v>
      </c>
      <c r="M11" s="222"/>
      <c r="N11" s="157">
        <v>1125910541014</v>
      </c>
      <c r="O11" s="157"/>
      <c r="P11" s="157">
        <v>100000</v>
      </c>
      <c r="Q11" s="223"/>
      <c r="R11" s="224">
        <f t="shared" ref="R11:R12" si="0">P11/$R$20</f>
        <v>7.3265997166332751E-9</v>
      </c>
      <c r="S11" s="252"/>
      <c r="T11" s="267"/>
    </row>
    <row r="12" spans="2:27" ht="25.15" customHeight="1" x14ac:dyDescent="0.55000000000000004">
      <c r="B12" s="68" t="s">
        <v>183</v>
      </c>
      <c r="C12" s="222"/>
      <c r="D12" s="222" t="s">
        <v>107</v>
      </c>
      <c r="E12" s="222"/>
      <c r="F12" s="222" t="s">
        <v>184</v>
      </c>
      <c r="G12" s="222"/>
      <c r="H12" s="157">
        <v>0</v>
      </c>
      <c r="I12" s="222"/>
      <c r="J12" s="164">
        <v>394772</v>
      </c>
      <c r="K12" s="222"/>
      <c r="L12" s="157">
        <v>0</v>
      </c>
      <c r="M12" s="222"/>
      <c r="N12" s="157">
        <v>0</v>
      </c>
      <c r="O12" s="157"/>
      <c r="P12" s="157">
        <v>394772</v>
      </c>
      <c r="Q12" s="223"/>
      <c r="R12" s="224">
        <f t="shared" si="0"/>
        <v>2.8923364233347512E-8</v>
      </c>
      <c r="S12" s="252"/>
      <c r="T12" s="267"/>
    </row>
    <row r="13" spans="2:27" ht="25.15" customHeight="1" x14ac:dyDescent="0.55000000000000004">
      <c r="B13" s="68" t="s">
        <v>197</v>
      </c>
      <c r="C13" s="222"/>
      <c r="D13" s="222" t="s">
        <v>107</v>
      </c>
      <c r="E13" s="222"/>
      <c r="F13" s="222" t="s">
        <v>184</v>
      </c>
      <c r="G13" s="222"/>
      <c r="H13" s="157">
        <v>0</v>
      </c>
      <c r="I13" s="222"/>
      <c r="J13" s="164">
        <v>402500</v>
      </c>
      <c r="K13" s="222"/>
      <c r="L13" s="157">
        <v>0</v>
      </c>
      <c r="M13" s="222"/>
      <c r="N13" s="157">
        <v>0</v>
      </c>
      <c r="O13" s="157"/>
      <c r="P13" s="157">
        <v>402500</v>
      </c>
      <c r="Q13" s="223"/>
      <c r="R13" s="225">
        <f>P13/$R$20</f>
        <v>2.9489563859448933E-8</v>
      </c>
      <c r="S13" s="252"/>
      <c r="T13" s="267"/>
    </row>
    <row r="14" spans="2:27" ht="26.25" customHeight="1" x14ac:dyDescent="0.55000000000000004">
      <c r="B14" s="68" t="s">
        <v>198</v>
      </c>
      <c r="C14" s="222"/>
      <c r="D14" s="222" t="s">
        <v>106</v>
      </c>
      <c r="E14" s="222"/>
      <c r="F14" s="222" t="s">
        <v>189</v>
      </c>
      <c r="G14" s="222"/>
      <c r="H14" s="157">
        <v>0</v>
      </c>
      <c r="I14" s="222"/>
      <c r="J14" s="164">
        <v>54421918</v>
      </c>
      <c r="K14" s="222"/>
      <c r="L14" s="157">
        <v>5071673261454</v>
      </c>
      <c r="M14" s="222"/>
      <c r="N14" s="157">
        <v>5071714295661</v>
      </c>
      <c r="O14" s="157"/>
      <c r="P14" s="157">
        <v>13387711</v>
      </c>
      <c r="Q14" s="223"/>
      <c r="R14" s="225">
        <f>P14/$R$20</f>
        <v>9.8086399618968186E-7</v>
      </c>
      <c r="S14" s="252"/>
      <c r="T14" s="267"/>
    </row>
    <row r="15" spans="2:27" ht="26.25" customHeight="1" x14ac:dyDescent="0.55000000000000004">
      <c r="B15" s="68" t="s">
        <v>199</v>
      </c>
      <c r="C15" s="222"/>
      <c r="D15" s="222" t="s">
        <v>107</v>
      </c>
      <c r="E15" s="222"/>
      <c r="F15" s="222" t="s">
        <v>195</v>
      </c>
      <c r="G15" s="222"/>
      <c r="H15" s="157"/>
      <c r="I15" s="222"/>
      <c r="J15" s="164">
        <v>58296027</v>
      </c>
      <c r="K15" s="222"/>
      <c r="L15" s="157">
        <v>247558</v>
      </c>
      <c r="M15" s="222"/>
      <c r="N15" s="157">
        <v>0</v>
      </c>
      <c r="O15" s="157"/>
      <c r="P15" s="157">
        <v>58543585</v>
      </c>
      <c r="Q15" s="223"/>
      <c r="R15" s="225">
        <f>P15/$R$20</f>
        <v>4.2892541327169607E-6</v>
      </c>
      <c r="S15" s="252"/>
      <c r="T15" s="267"/>
    </row>
    <row r="16" spans="2:27" ht="25.15" customHeight="1" thickBot="1" x14ac:dyDescent="0.6">
      <c r="B16" s="68" t="s">
        <v>162</v>
      </c>
      <c r="C16" s="222"/>
      <c r="D16" s="222" t="s">
        <v>107</v>
      </c>
      <c r="E16" s="222"/>
      <c r="F16" s="222" t="s">
        <v>236</v>
      </c>
      <c r="G16" s="222"/>
      <c r="H16" s="157">
        <v>0</v>
      </c>
      <c r="I16" s="222"/>
      <c r="J16" s="164">
        <v>0</v>
      </c>
      <c r="K16" s="222"/>
      <c r="L16" s="157">
        <v>211494222228</v>
      </c>
      <c r="M16" s="222"/>
      <c r="N16" s="157">
        <v>83015750000</v>
      </c>
      <c r="O16" s="157"/>
      <c r="P16" s="157">
        <v>128478472228</v>
      </c>
      <c r="Q16" s="223"/>
      <c r="R16" s="225">
        <f>P16/$R$20</f>
        <v>9.4131033821914095E-3</v>
      </c>
      <c r="S16" s="252"/>
      <c r="T16" s="267"/>
    </row>
    <row r="17" spans="2:20" ht="23.25" thickBot="1" x14ac:dyDescent="0.6">
      <c r="B17" s="3" t="s">
        <v>7</v>
      </c>
      <c r="C17" s="3"/>
      <c r="D17" s="3"/>
      <c r="E17" s="3"/>
      <c r="F17" s="3"/>
      <c r="G17" s="3"/>
      <c r="H17" s="3"/>
      <c r="I17" s="5"/>
      <c r="J17" s="226">
        <f>SUM(J9:J16)</f>
        <v>285334071000</v>
      </c>
      <c r="K17" s="31"/>
      <c r="L17" s="226">
        <f>SUM(L9:L16)</f>
        <v>6123956620869</v>
      </c>
      <c r="N17" s="226">
        <f>SUM(N9:N16)</f>
        <v>6280640586675</v>
      </c>
      <c r="P17" s="226">
        <f>SUM(P9:P16)</f>
        <v>128650105194</v>
      </c>
      <c r="Q17" s="5"/>
      <c r="R17" s="123">
        <f>SUM(R9:R16)</f>
        <v>9.425678242592014E-3</v>
      </c>
      <c r="S17" s="252"/>
      <c r="T17" s="267"/>
    </row>
    <row r="18" spans="2:20" ht="24.75" thickTop="1" x14ac:dyDescent="0.6">
      <c r="J18" s="214"/>
      <c r="P18" s="159"/>
      <c r="S18" s="252"/>
      <c r="T18" s="252"/>
    </row>
    <row r="19" spans="2:20" ht="24" x14ac:dyDescent="0.6">
      <c r="J19" s="293"/>
      <c r="P19" s="293"/>
      <c r="R19" s="278"/>
      <c r="S19" s="252"/>
      <c r="T19" s="252"/>
    </row>
    <row r="20" spans="2:20" ht="24" x14ac:dyDescent="0.6">
      <c r="J20" s="159"/>
      <c r="P20" s="159"/>
      <c r="R20" s="337">
        <v>13648896332220</v>
      </c>
      <c r="S20" s="275"/>
      <c r="T20" s="252"/>
    </row>
    <row r="21" spans="2:20" x14ac:dyDescent="0.55000000000000004">
      <c r="D21" s="1" t="s">
        <v>88</v>
      </c>
      <c r="L21" s="108"/>
      <c r="P21" s="93"/>
      <c r="Q21" s="93"/>
      <c r="R21" s="286"/>
      <c r="S21" s="275"/>
      <c r="T21" s="252"/>
    </row>
    <row r="22" spans="2:20" x14ac:dyDescent="0.55000000000000004">
      <c r="R22" s="227"/>
    </row>
    <row r="59" spans="18:18" ht="27.75" x14ac:dyDescent="0.55000000000000004">
      <c r="R59" s="146">
        <v>1783</v>
      </c>
    </row>
    <row r="76" spans="18:26" ht="27.75" x14ac:dyDescent="0.55000000000000004">
      <c r="R76" s="146">
        <v>2083</v>
      </c>
    </row>
    <row r="77" spans="18:26" x14ac:dyDescent="0.55000000000000004">
      <c r="Y77" s="275"/>
      <c r="Z77" s="275"/>
    </row>
    <row r="78" spans="18:26" x14ac:dyDescent="0.55000000000000004">
      <c r="Y78" s="275"/>
      <c r="Z78" s="275"/>
    </row>
    <row r="79" spans="18:26" x14ac:dyDescent="0.55000000000000004">
      <c r="Y79" s="275"/>
      <c r="Z79" s="275"/>
    </row>
    <row r="80" spans="18:26" x14ac:dyDescent="0.55000000000000004">
      <c r="Y80" s="275"/>
      <c r="Z80" s="275"/>
    </row>
    <row r="81" spans="25:26" x14ac:dyDescent="0.55000000000000004">
      <c r="Y81" s="275"/>
      <c r="Z81" s="275"/>
    </row>
    <row r="82" spans="25:26" x14ac:dyDescent="0.55000000000000004">
      <c r="Y82" s="275"/>
      <c r="Z82" s="275"/>
    </row>
    <row r="83" spans="25:26" x14ac:dyDescent="0.55000000000000004">
      <c r="Y83" s="275"/>
      <c r="Z83" s="275"/>
    </row>
  </sheetData>
  <mergeCells count="18">
    <mergeCell ref="F7:F8"/>
    <mergeCell ref="H7:H8"/>
    <mergeCell ref="L6:N6"/>
    <mergeCell ref="L7:L8"/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82"/>
  <sheetViews>
    <sheetView rightToLeft="1" view="pageBreakPreview" zoomScaleNormal="85" zoomScaleSheetLayoutView="100" workbookViewId="0">
      <selection activeCell="A24" sqref="A24:XFD24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0.7109375" style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402" t="s">
        <v>102</v>
      </c>
      <c r="B1" s="402"/>
      <c r="C1" s="402"/>
      <c r="D1" s="402"/>
      <c r="E1" s="402"/>
      <c r="F1" s="402"/>
      <c r="G1" s="402"/>
      <c r="H1" s="402"/>
      <c r="I1" s="402"/>
      <c r="J1" s="402"/>
    </row>
    <row r="2" spans="1:29" ht="24" x14ac:dyDescent="0.6">
      <c r="A2" s="361" t="str">
        <f>سپرده!B2</f>
        <v xml:space="preserve">صورت وضعیت پرتفوی </v>
      </c>
      <c r="B2" s="361"/>
      <c r="C2" s="361"/>
      <c r="D2" s="361"/>
      <c r="E2" s="361"/>
      <c r="F2" s="361"/>
      <c r="G2" s="361"/>
      <c r="H2" s="361"/>
      <c r="I2" s="361"/>
      <c r="J2" s="361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61" t="str">
        <f>سپرده!B3</f>
        <v>برای ماه منتهی به 1405/04/31</v>
      </c>
      <c r="B3" s="361"/>
      <c r="C3" s="361"/>
      <c r="D3" s="361"/>
      <c r="E3" s="361"/>
      <c r="F3" s="361"/>
      <c r="G3" s="361"/>
      <c r="H3" s="361"/>
      <c r="I3" s="361"/>
      <c r="J3" s="361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1"/>
      <c r="P4" s="159"/>
      <c r="AC4" s="1" t="s">
        <v>155</v>
      </c>
    </row>
    <row r="5" spans="1:29" ht="23.25" thickBot="1" x14ac:dyDescent="0.6">
      <c r="B5" s="12" t="s">
        <v>63</v>
      </c>
      <c r="C5" s="12"/>
      <c r="D5" s="130" t="s">
        <v>64</v>
      </c>
      <c r="E5" s="160"/>
      <c r="F5" s="130" t="s">
        <v>11</v>
      </c>
      <c r="G5" s="160"/>
      <c r="H5" s="130" t="s">
        <v>149</v>
      </c>
      <c r="I5" s="160"/>
      <c r="J5" s="130" t="s">
        <v>89</v>
      </c>
      <c r="K5" s="160"/>
      <c r="M5" s="275"/>
      <c r="N5" s="278"/>
      <c r="P5" s="159"/>
      <c r="AC5" s="1" t="s">
        <v>157</v>
      </c>
    </row>
    <row r="6" spans="1:29" ht="24" x14ac:dyDescent="0.55000000000000004">
      <c r="B6" s="212" t="s">
        <v>78</v>
      </c>
      <c r="C6" s="212"/>
      <c r="D6" s="94" t="s">
        <v>83</v>
      </c>
      <c r="E6" s="34"/>
      <c r="F6" s="266">
        <f>'درآمد سرمایه گذاری در سهام '!T96</f>
        <v>3033094641653</v>
      </c>
      <c r="G6" s="34"/>
      <c r="H6" s="95">
        <f>F6/$M$9</f>
        <v>0.85582390563629729</v>
      </c>
      <c r="I6" s="34"/>
      <c r="J6" s="95">
        <f>F6/سپرده!R20</f>
        <v>0.22222270342056774</v>
      </c>
      <c r="K6" s="34"/>
      <c r="L6" s="34"/>
      <c r="M6" s="334"/>
      <c r="N6" s="279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158</v>
      </c>
    </row>
    <row r="7" spans="1:29" ht="24" x14ac:dyDescent="0.6">
      <c r="B7" s="212" t="s">
        <v>163</v>
      </c>
      <c r="C7" s="212"/>
      <c r="D7" s="94" t="s">
        <v>84</v>
      </c>
      <c r="E7" s="34"/>
      <c r="F7" s="213">
        <f>'درآمد سپرده بانکی'!J13</f>
        <v>33450709959</v>
      </c>
      <c r="G7" s="34"/>
      <c r="H7" s="95">
        <f>F7/$M$9</f>
        <v>9.4385176282585428E-3</v>
      </c>
      <c r="I7" s="34"/>
      <c r="J7" s="95">
        <f>F7/سپرده!R20</f>
        <v>2.4507996210679128E-3</v>
      </c>
      <c r="K7" s="214"/>
      <c r="L7" s="34"/>
      <c r="M7" s="334"/>
      <c r="N7" s="279"/>
      <c r="O7" s="34"/>
      <c r="P7" s="34"/>
      <c r="Q7" s="34"/>
      <c r="R7" s="34"/>
      <c r="S7" s="34"/>
      <c r="T7" s="34"/>
    </row>
    <row r="8" spans="1:29" ht="24.75" thickBot="1" x14ac:dyDescent="0.65">
      <c r="B8" s="212" t="s">
        <v>201</v>
      </c>
      <c r="C8" s="212"/>
      <c r="D8" s="94" t="s">
        <v>85</v>
      </c>
      <c r="E8" s="34"/>
      <c r="F8" s="213">
        <f>'سایر درآمدها'!F8</f>
        <v>15752436690</v>
      </c>
      <c r="G8" s="34"/>
      <c r="H8" s="95">
        <f>F8/$M$9</f>
        <v>4.4447382901237646E-3</v>
      </c>
      <c r="I8" s="34"/>
      <c r="J8" s="95">
        <f>F8/سپرده!R20</f>
        <v>1.1541179818923761E-3</v>
      </c>
      <c r="K8" s="213"/>
      <c r="L8" s="34"/>
      <c r="M8" s="335">
        <v>18341274631176</v>
      </c>
      <c r="N8" s="278"/>
      <c r="O8" s="159"/>
    </row>
    <row r="9" spans="1:29" ht="25.5" thickBot="1" x14ac:dyDescent="0.6">
      <c r="B9" s="212" t="s">
        <v>7</v>
      </c>
      <c r="D9" s="215"/>
      <c r="F9" s="216">
        <f>SUM(F6:F8)</f>
        <v>3082297788302</v>
      </c>
      <c r="H9" s="217">
        <f>SUM(H6:H8)</f>
        <v>0.86970716155467964</v>
      </c>
      <c r="J9" s="218">
        <f>SUM(J6:J8)</f>
        <v>0.22582762102352805</v>
      </c>
      <c r="M9" s="336">
        <v>3544063938478</v>
      </c>
      <c r="N9" s="278"/>
      <c r="O9" s="159"/>
      <c r="P9" s="219"/>
    </row>
    <row r="10" spans="1:29" ht="23.25" thickTop="1" x14ac:dyDescent="0.55000000000000004">
      <c r="D10" s="215"/>
      <c r="M10" s="286"/>
      <c r="N10" s="278"/>
      <c r="O10" s="159"/>
    </row>
    <row r="11" spans="1:29" x14ac:dyDescent="0.55000000000000004">
      <c r="M11" s="313"/>
      <c r="O11" s="159"/>
    </row>
    <row r="12" spans="1:29" x14ac:dyDescent="0.55000000000000004">
      <c r="F12" s="220"/>
      <c r="O12" s="159"/>
    </row>
    <row r="13" spans="1:29" ht="24" x14ac:dyDescent="0.55000000000000004">
      <c r="F13" s="121"/>
      <c r="H13" s="286"/>
      <c r="O13" s="159"/>
    </row>
    <row r="14" spans="1:29" ht="24" x14ac:dyDescent="0.55000000000000004">
      <c r="F14" s="213"/>
      <c r="M14" s="93"/>
    </row>
    <row r="15" spans="1:29" ht="24" x14ac:dyDescent="0.55000000000000004">
      <c r="F15" s="121"/>
      <c r="M15" s="159"/>
    </row>
    <row r="16" spans="1:29" ht="24" x14ac:dyDescent="0.55000000000000004">
      <c r="F16" s="121"/>
      <c r="M16" s="159"/>
    </row>
    <row r="17" spans="6:13" x14ac:dyDescent="0.55000000000000004">
      <c r="F17" s="159"/>
      <c r="M17" s="170"/>
    </row>
    <row r="18" spans="6:13" x14ac:dyDescent="0.55000000000000004">
      <c r="F18" s="159"/>
      <c r="M18" s="170"/>
    </row>
    <row r="19" spans="6:13" x14ac:dyDescent="0.55000000000000004">
      <c r="F19" s="159"/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5"/>
      <c r="Z76" s="275"/>
    </row>
    <row r="77" spans="18:26" x14ac:dyDescent="0.55000000000000004">
      <c r="Y77" s="275"/>
      <c r="Z77" s="275"/>
    </row>
    <row r="78" spans="18:26" x14ac:dyDescent="0.55000000000000004">
      <c r="Y78" s="275"/>
      <c r="Z78" s="275"/>
    </row>
    <row r="79" spans="18:26" x14ac:dyDescent="0.55000000000000004">
      <c r="Y79" s="275"/>
      <c r="Z79" s="275"/>
    </row>
    <row r="80" spans="18:26" x14ac:dyDescent="0.55000000000000004">
      <c r="Y80" s="275"/>
      <c r="Z80" s="275"/>
    </row>
    <row r="81" spans="25:26" x14ac:dyDescent="0.55000000000000004">
      <c r="Y81" s="275"/>
      <c r="Z81" s="275"/>
    </row>
    <row r="82" spans="25:26" x14ac:dyDescent="0.55000000000000004">
      <c r="Y82" s="275"/>
      <c r="Z82" s="275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1A2-8674-472A-8FBC-E2A663D9A3E0}">
  <sheetPr>
    <pageSetUpPr fitToPage="1"/>
  </sheetPr>
  <dimension ref="B1:U78"/>
  <sheetViews>
    <sheetView rightToLeft="1" view="pageBreakPreview" zoomScaleNormal="100" zoomScaleSheetLayoutView="100" workbookViewId="0">
      <selection activeCell="D22" sqref="D22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8" style="1" bestFit="1" customWidth="1"/>
    <col min="5" max="5" width="0.7109375" style="1" customWidth="1"/>
    <col min="6" max="6" width="14.28515625" style="1" bestFit="1" customWidth="1"/>
    <col min="7" max="7" width="0.7109375" style="1" customWidth="1"/>
    <col min="8" max="8" width="22" style="1" hidden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30.42578125" style="93" bestFit="1" customWidth="1"/>
    <col min="13" max="13" width="0.28515625" style="1" customWidth="1"/>
    <col min="14" max="14" width="24.7109375" style="1" bestFit="1" customWidth="1"/>
    <col min="15" max="15" width="9.140625" style="1"/>
    <col min="16" max="16" width="23.7109375" style="4" bestFit="1" customWidth="1"/>
    <col min="17" max="16384" width="9.140625" style="1"/>
  </cols>
  <sheetData>
    <row r="1" spans="2:18" ht="24" x14ac:dyDescent="0.6">
      <c r="B1" s="361" t="s">
        <v>102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</row>
    <row r="2" spans="2:18" ht="24" x14ac:dyDescent="0.6">
      <c r="B2" s="361" t="s">
        <v>80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</row>
    <row r="3" spans="2:18" ht="24" x14ac:dyDescent="0.6">
      <c r="B3" s="361" t="str">
        <f>' سهام'!AC6</f>
        <v>برای ماه منتهی به 1405/04/31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</row>
    <row r="4" spans="2:18" ht="24" x14ac:dyDescent="0.55000000000000004">
      <c r="B4" s="398" t="s">
        <v>210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</row>
    <row r="5" spans="2:18" ht="24" x14ac:dyDescent="0.55000000000000004">
      <c r="B5" s="363" t="s">
        <v>211</v>
      </c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</row>
    <row r="6" spans="2:18" ht="23.25" thickBot="1" x14ac:dyDescent="0.6">
      <c r="C6" s="29"/>
      <c r="D6" s="29"/>
      <c r="E6" s="29"/>
      <c r="F6" s="29"/>
      <c r="G6" s="29"/>
      <c r="H6" s="29"/>
      <c r="I6" s="29"/>
      <c r="J6" s="29"/>
      <c r="K6" s="29"/>
      <c r="L6" s="122"/>
      <c r="M6" s="29"/>
      <c r="N6" s="29"/>
      <c r="O6" s="252"/>
      <c r="P6" s="330"/>
    </row>
    <row r="7" spans="2:18" s="321" customFormat="1" ht="29.25" customHeight="1" thickBot="1" x14ac:dyDescent="0.3">
      <c r="B7" s="368" t="str">
        <f>' سهام'!AC5</f>
        <v>1405/04/31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20"/>
      <c r="P7" s="331"/>
    </row>
    <row r="8" spans="2:18" ht="24" customHeight="1" x14ac:dyDescent="0.55000000000000004">
      <c r="B8" s="377" t="s">
        <v>217</v>
      </c>
      <c r="C8" s="3"/>
      <c r="D8" s="377" t="s">
        <v>212</v>
      </c>
      <c r="E8" s="3"/>
      <c r="F8" s="377" t="s">
        <v>213</v>
      </c>
      <c r="G8" s="3"/>
      <c r="H8" s="377" t="s">
        <v>53</v>
      </c>
      <c r="I8" s="397"/>
      <c r="J8" s="377" t="s">
        <v>214</v>
      </c>
      <c r="K8" s="3"/>
      <c r="L8" s="377" t="s">
        <v>215</v>
      </c>
      <c r="M8" s="160"/>
      <c r="N8" s="377" t="s">
        <v>216</v>
      </c>
      <c r="O8" s="252"/>
      <c r="P8" s="330"/>
    </row>
    <row r="9" spans="2:18" ht="47.25" customHeight="1" thickBot="1" x14ac:dyDescent="0.6">
      <c r="B9" s="376"/>
      <c r="C9" s="221"/>
      <c r="D9" s="376"/>
      <c r="E9" s="221"/>
      <c r="F9" s="376"/>
      <c r="G9" s="221"/>
      <c r="H9" s="376"/>
      <c r="I9" s="364"/>
      <c r="J9" s="376"/>
      <c r="K9" s="3"/>
      <c r="L9" s="376"/>
      <c r="N9" s="376"/>
      <c r="O9" s="252"/>
      <c r="P9" s="330"/>
      <c r="R9" s="159"/>
    </row>
    <row r="10" spans="2:18" ht="25.15" customHeight="1" x14ac:dyDescent="0.55000000000000004">
      <c r="B10" s="68" t="s">
        <v>121</v>
      </c>
      <c r="C10" s="222"/>
      <c r="D10" s="316">
        <v>12900000</v>
      </c>
      <c r="E10" s="222"/>
      <c r="F10" s="316">
        <v>2610</v>
      </c>
      <c r="G10" s="329"/>
      <c r="H10" s="343">
        <v>-40</v>
      </c>
      <c r="I10" s="222"/>
      <c r="J10" s="333">
        <v>-0.4</v>
      </c>
      <c r="K10" s="222"/>
      <c r="L10" s="316">
        <v>20201400000</v>
      </c>
      <c r="M10" s="222"/>
      <c r="N10" s="344" t="s">
        <v>247</v>
      </c>
      <c r="O10" s="252"/>
      <c r="P10" s="332"/>
      <c r="Q10" s="170"/>
    </row>
    <row r="11" spans="2:18" ht="25.15" customHeight="1" thickBot="1" x14ac:dyDescent="0.6">
      <c r="B11" s="68" t="s">
        <v>132</v>
      </c>
      <c r="C11" s="222"/>
      <c r="D11" s="316">
        <v>10000000</v>
      </c>
      <c r="E11" s="222"/>
      <c r="F11" s="316">
        <v>13260</v>
      </c>
      <c r="G11" s="329"/>
      <c r="H11" s="343">
        <v>-40</v>
      </c>
      <c r="I11" s="222"/>
      <c r="J11" s="333">
        <v>-0.4</v>
      </c>
      <c r="K11" s="222"/>
      <c r="L11" s="316">
        <v>79560000000</v>
      </c>
      <c r="M11" s="222"/>
      <c r="N11" s="344" t="s">
        <v>247</v>
      </c>
      <c r="O11" s="252"/>
      <c r="P11" s="332"/>
      <c r="Q11" s="170"/>
    </row>
    <row r="12" spans="2:18" ht="23.25" thickBot="1" x14ac:dyDescent="0.6">
      <c r="B12" s="3" t="s">
        <v>7</v>
      </c>
      <c r="C12" s="3"/>
      <c r="D12" s="226">
        <f>SUM(D10:D11)</f>
        <v>22900000</v>
      </c>
      <c r="E12" s="3"/>
      <c r="F12" s="226">
        <f>SUM(F10:F11)</f>
        <v>15870</v>
      </c>
      <c r="G12" s="3"/>
      <c r="H12" s="226"/>
      <c r="I12" s="5"/>
      <c r="J12" s="226"/>
      <c r="K12" s="31"/>
      <c r="L12" s="226">
        <f>SUM(L10:L11)</f>
        <v>99761400000</v>
      </c>
      <c r="N12" s="226"/>
      <c r="O12" s="252"/>
      <c r="P12" s="332"/>
    </row>
    <row r="13" spans="2:18" ht="24.75" thickTop="1" x14ac:dyDescent="0.6">
      <c r="J13" s="214"/>
      <c r="O13" s="252"/>
      <c r="P13" s="332"/>
    </row>
    <row r="14" spans="2:18" ht="24" x14ac:dyDescent="0.6">
      <c r="J14" s="293"/>
      <c r="O14" s="252"/>
      <c r="P14" s="330"/>
    </row>
    <row r="15" spans="2:18" x14ac:dyDescent="0.55000000000000004">
      <c r="J15" s="159"/>
      <c r="O15" s="275"/>
      <c r="P15" s="330"/>
    </row>
    <row r="16" spans="2:18" x14ac:dyDescent="0.55000000000000004">
      <c r="D16" s="1" t="s">
        <v>88</v>
      </c>
      <c r="L16" s="108"/>
      <c r="O16" s="275"/>
      <c r="P16" s="330"/>
    </row>
    <row r="17" spans="16:16" x14ac:dyDescent="0.55000000000000004">
      <c r="P17" s="330"/>
    </row>
    <row r="72" spans="21:21" x14ac:dyDescent="0.55000000000000004">
      <c r="U72" s="275"/>
    </row>
    <row r="73" spans="21:21" x14ac:dyDescent="0.55000000000000004">
      <c r="U73" s="275"/>
    </row>
    <row r="74" spans="21:21" x14ac:dyDescent="0.55000000000000004">
      <c r="U74" s="275"/>
    </row>
    <row r="75" spans="21:21" x14ac:dyDescent="0.55000000000000004">
      <c r="U75" s="275"/>
    </row>
    <row r="76" spans="21:21" x14ac:dyDescent="0.55000000000000004">
      <c r="U76" s="275"/>
    </row>
    <row r="77" spans="21:21" x14ac:dyDescent="0.55000000000000004">
      <c r="U77" s="275"/>
    </row>
    <row r="78" spans="21:21" x14ac:dyDescent="0.55000000000000004">
      <c r="U78" s="275"/>
    </row>
  </sheetData>
  <mergeCells count="14">
    <mergeCell ref="B7:N7"/>
    <mergeCell ref="L8:L9"/>
    <mergeCell ref="B8:B9"/>
    <mergeCell ref="D8:D9"/>
    <mergeCell ref="F8:F9"/>
    <mergeCell ref="H8:H9"/>
    <mergeCell ref="I8:I9"/>
    <mergeCell ref="J8:J9"/>
    <mergeCell ref="N8:N9"/>
    <mergeCell ref="B1:N1"/>
    <mergeCell ref="B2:N2"/>
    <mergeCell ref="B3:N3"/>
    <mergeCell ref="B4:N4"/>
    <mergeCell ref="B5:N5"/>
  </mergeCells>
  <printOptions horizontalCentered="1"/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19"/>
  <sheetViews>
    <sheetView rightToLeft="1" view="pageBreakPreview" zoomScale="70" zoomScaleNormal="100" zoomScaleSheetLayoutView="70" workbookViewId="0">
      <selection activeCell="D22" sqref="D22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1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200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407" t="str">
        <f>درآمدها!A1</f>
        <v>صندوق سرمایه گذاری شاخص سی شرکت بزرگ فیروزه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253"/>
      <c r="X1" s="253"/>
    </row>
    <row r="2" spans="2:29" ht="36" customHeight="1" x14ac:dyDescent="0.25">
      <c r="B2" s="407" t="s">
        <v>86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253"/>
      <c r="X2" s="253"/>
    </row>
    <row r="3" spans="2:29" ht="36" customHeight="1" x14ac:dyDescent="0.25">
      <c r="B3" s="407" t="str">
        <f>' سهام'!AC6</f>
        <v>برای ماه منتهی به 1405/04/31</v>
      </c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253"/>
      <c r="X3" s="253"/>
    </row>
    <row r="4" spans="2:29" ht="36" customHeight="1" x14ac:dyDescent="0.25">
      <c r="W4" s="253"/>
      <c r="X4" s="253"/>
      <c r="AC4" s="183" t="s">
        <v>155</v>
      </c>
    </row>
    <row r="5" spans="2:29" ht="36" customHeight="1" x14ac:dyDescent="0.25">
      <c r="B5" s="410" t="s">
        <v>136</v>
      </c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253"/>
      <c r="X5" s="253"/>
      <c r="AC5" s="183" t="s">
        <v>156</v>
      </c>
    </row>
    <row r="6" spans="2:29" ht="9" customHeight="1" x14ac:dyDescent="0.25">
      <c r="W6" s="253"/>
      <c r="X6" s="253"/>
      <c r="AC6" s="183" t="s">
        <v>157</v>
      </c>
    </row>
    <row r="7" spans="2:29" ht="36" customHeight="1" thickBot="1" x14ac:dyDescent="0.3">
      <c r="B7" s="262"/>
      <c r="C7" s="201"/>
      <c r="D7" s="403" t="str">
        <f>' سهام'!AC7</f>
        <v>طی تیر ماه</v>
      </c>
      <c r="E7" s="403"/>
      <c r="F7" s="403"/>
      <c r="G7" s="403"/>
      <c r="H7" s="403"/>
      <c r="I7" s="403"/>
      <c r="J7" s="403"/>
      <c r="K7" s="201"/>
      <c r="L7" s="201"/>
      <c r="M7" s="201"/>
      <c r="N7" s="403" t="str">
        <f>' سهام'!AC8</f>
        <v>از ابتدای سال مالی تا پایان تیر  ماه</v>
      </c>
      <c r="O7" s="403"/>
      <c r="P7" s="403"/>
      <c r="Q7" s="403"/>
      <c r="R7" s="403"/>
      <c r="S7" s="403"/>
      <c r="T7" s="403"/>
      <c r="U7" s="403"/>
      <c r="V7" s="403"/>
      <c r="W7" s="253"/>
      <c r="X7" s="254"/>
      <c r="Y7" s="203"/>
      <c r="AC7" s="183" t="s">
        <v>158</v>
      </c>
    </row>
    <row r="8" spans="2:29" ht="36" customHeight="1" x14ac:dyDescent="0.25">
      <c r="B8" s="404" t="s">
        <v>35</v>
      </c>
      <c r="C8" s="404"/>
      <c r="D8" s="408" t="s">
        <v>21</v>
      </c>
      <c r="E8" s="404"/>
      <c r="F8" s="408" t="s">
        <v>22</v>
      </c>
      <c r="G8" s="404"/>
      <c r="H8" s="408" t="s">
        <v>23</v>
      </c>
      <c r="I8" s="404"/>
      <c r="J8" s="406" t="s">
        <v>7</v>
      </c>
      <c r="K8" s="406"/>
      <c r="L8" s="406"/>
      <c r="M8" s="404"/>
      <c r="N8" s="409" t="s">
        <v>21</v>
      </c>
      <c r="O8" s="411"/>
      <c r="P8" s="409" t="s">
        <v>22</v>
      </c>
      <c r="Q8" s="411"/>
      <c r="R8" s="409" t="s">
        <v>23</v>
      </c>
      <c r="S8" s="411"/>
      <c r="T8" s="406" t="s">
        <v>7</v>
      </c>
      <c r="U8" s="406"/>
      <c r="V8" s="406"/>
      <c r="W8" s="253"/>
      <c r="X8" s="253"/>
      <c r="AC8" s="183" t="s">
        <v>159</v>
      </c>
    </row>
    <row r="9" spans="2:29" ht="36" customHeight="1" thickBot="1" x14ac:dyDescent="0.3">
      <c r="B9" s="404"/>
      <c r="C9" s="404"/>
      <c r="D9" s="408"/>
      <c r="E9" s="404"/>
      <c r="F9" s="408"/>
      <c r="G9" s="404"/>
      <c r="H9" s="408"/>
      <c r="I9" s="404"/>
      <c r="J9" s="403"/>
      <c r="K9" s="403"/>
      <c r="L9" s="403"/>
      <c r="M9" s="404"/>
      <c r="N9" s="408"/>
      <c r="O9" s="404"/>
      <c r="P9" s="408"/>
      <c r="Q9" s="404"/>
      <c r="R9" s="408"/>
      <c r="S9" s="404"/>
      <c r="T9" s="403"/>
      <c r="U9" s="403"/>
      <c r="V9" s="403"/>
      <c r="W9" s="253"/>
      <c r="X9" s="290"/>
    </row>
    <row r="10" spans="2:29" ht="49.5" customHeight="1" thickBot="1" x14ac:dyDescent="0.3">
      <c r="B10" s="405"/>
      <c r="C10" s="404"/>
      <c r="D10" s="88" t="s">
        <v>90</v>
      </c>
      <c r="E10" s="404"/>
      <c r="F10" s="88" t="s">
        <v>91</v>
      </c>
      <c r="G10" s="404"/>
      <c r="H10" s="88" t="s">
        <v>92</v>
      </c>
      <c r="I10" s="404"/>
      <c r="J10" s="103" t="s">
        <v>11</v>
      </c>
      <c r="K10" s="103"/>
      <c r="L10" s="103" t="s">
        <v>24</v>
      </c>
      <c r="M10" s="404"/>
      <c r="N10" s="88" t="s">
        <v>90</v>
      </c>
      <c r="O10" s="404"/>
      <c r="P10" s="88" t="s">
        <v>91</v>
      </c>
      <c r="Q10" s="404"/>
      <c r="R10" s="88" t="s">
        <v>92</v>
      </c>
      <c r="S10" s="404"/>
      <c r="T10" s="103" t="s">
        <v>11</v>
      </c>
      <c r="U10" s="103"/>
      <c r="V10" s="103" t="s">
        <v>24</v>
      </c>
      <c r="W10" s="255"/>
      <c r="X10" s="291"/>
    </row>
    <row r="11" spans="2:29" ht="36" customHeight="1" x14ac:dyDescent="0.25">
      <c r="B11" s="158" t="s">
        <v>235</v>
      </c>
      <c r="C11" s="165"/>
      <c r="D11" s="189">
        <v>0</v>
      </c>
      <c r="E11" s="189"/>
      <c r="F11" s="189">
        <v>-13553823960</v>
      </c>
      <c r="G11" s="189"/>
      <c r="H11" s="189">
        <v>-298493988</v>
      </c>
      <c r="I11" s="189"/>
      <c r="J11" s="189">
        <f>H11+F11+D11</f>
        <v>-13852317948</v>
      </c>
      <c r="K11" s="189"/>
      <c r="L11" s="204">
        <f>J11/$X$12</f>
        <v>1.3395433532873041E-2</v>
      </c>
      <c r="M11" s="189"/>
      <c r="N11" s="189">
        <v>0</v>
      </c>
      <c r="O11" s="189"/>
      <c r="P11" s="189">
        <v>-13553823960</v>
      </c>
      <c r="Q11" s="189"/>
      <c r="R11" s="189">
        <v>-298493988</v>
      </c>
      <c r="S11" s="189">
        <v>-714562636</v>
      </c>
      <c r="T11" s="189">
        <f>N11+P11+R11</f>
        <v>-13852317948</v>
      </c>
      <c r="U11" s="189">
        <v>11071728389</v>
      </c>
      <c r="V11" s="204">
        <f>T11/درآمدها!$F$9</f>
        <v>-4.4941530310836945E-3</v>
      </c>
      <c r="W11" s="255"/>
      <c r="X11" s="291"/>
      <c r="Z11" s="194"/>
      <c r="AA11" s="203"/>
    </row>
    <row r="12" spans="2:29" ht="36" customHeight="1" x14ac:dyDescent="0.25">
      <c r="B12" s="175" t="s">
        <v>116</v>
      </c>
      <c r="C12" s="165"/>
      <c r="D12" s="189">
        <v>3859365</v>
      </c>
      <c r="E12" s="189"/>
      <c r="F12" s="189">
        <v>443643919</v>
      </c>
      <c r="G12" s="189"/>
      <c r="H12" s="189">
        <v>-613813908</v>
      </c>
      <c r="I12" s="189"/>
      <c r="J12" s="189">
        <f t="shared" ref="J12:J44" si="0">H12+F12+D12</f>
        <v>-166310624</v>
      </c>
      <c r="K12" s="189"/>
      <c r="L12" s="204">
        <f t="shared" ref="L12:L44" si="1">J12/$X$12</f>
        <v>1.6082527978101242E-4</v>
      </c>
      <c r="M12" s="189"/>
      <c r="N12" s="189">
        <v>3859365</v>
      </c>
      <c r="O12" s="189"/>
      <c r="P12" s="189">
        <v>-7838931</v>
      </c>
      <c r="Q12" s="189"/>
      <c r="R12" s="189">
        <v>-613813908</v>
      </c>
      <c r="S12" s="189">
        <v>-4741243411</v>
      </c>
      <c r="T12" s="189">
        <f t="shared" ref="T12:T44" si="2">N12+P12+R12</f>
        <v>-617793474</v>
      </c>
      <c r="U12" s="189">
        <v>11071728390</v>
      </c>
      <c r="V12" s="204">
        <f>T12/درآمدها!$F$9</f>
        <v>-2.004327668613534E-4</v>
      </c>
      <c r="W12" s="255"/>
      <c r="X12" s="326">
        <v>-1034107475059</v>
      </c>
      <c r="Z12" s="194"/>
      <c r="AA12" s="203"/>
    </row>
    <row r="13" spans="2:29" ht="36" customHeight="1" x14ac:dyDescent="0.25">
      <c r="B13" s="175" t="s">
        <v>129</v>
      </c>
      <c r="C13" s="165"/>
      <c r="D13" s="189">
        <v>1578378</v>
      </c>
      <c r="E13" s="189"/>
      <c r="F13" s="189">
        <v>-11966779</v>
      </c>
      <c r="G13" s="189"/>
      <c r="H13" s="189">
        <v>-211798274</v>
      </c>
      <c r="I13" s="189"/>
      <c r="J13" s="189">
        <f t="shared" si="0"/>
        <v>-222186675</v>
      </c>
      <c r="K13" s="189"/>
      <c r="L13" s="204">
        <f t="shared" si="1"/>
        <v>2.1485839756387349E-4</v>
      </c>
      <c r="M13" s="189"/>
      <c r="N13" s="189">
        <v>1578378</v>
      </c>
      <c r="O13" s="189"/>
      <c r="P13" s="189">
        <v>-2044071</v>
      </c>
      <c r="Q13" s="189"/>
      <c r="R13" s="189">
        <v>-14030982045</v>
      </c>
      <c r="S13" s="189">
        <v>-3385001208</v>
      </c>
      <c r="T13" s="189">
        <f t="shared" si="2"/>
        <v>-14031447738</v>
      </c>
      <c r="U13" s="189">
        <v>11071728391</v>
      </c>
      <c r="V13" s="204">
        <f>T13/درآمدها!$F$9</f>
        <v>-4.5522686974803148E-3</v>
      </c>
      <c r="W13" s="255"/>
      <c r="X13" s="291"/>
      <c r="Z13" s="194"/>
      <c r="AA13" s="203"/>
    </row>
    <row r="14" spans="2:29" ht="36" customHeight="1" x14ac:dyDescent="0.25">
      <c r="B14" s="175" t="s">
        <v>190</v>
      </c>
      <c r="C14" s="165"/>
      <c r="D14" s="189">
        <v>0</v>
      </c>
      <c r="E14" s="189"/>
      <c r="F14" s="189">
        <v>164797569564</v>
      </c>
      <c r="G14" s="189"/>
      <c r="H14" s="189">
        <v>15866603233</v>
      </c>
      <c r="I14" s="189"/>
      <c r="J14" s="189">
        <f t="shared" si="0"/>
        <v>180664172797</v>
      </c>
      <c r="K14" s="189"/>
      <c r="L14" s="204">
        <f t="shared" si="1"/>
        <v>-0.17470541230416342</v>
      </c>
      <c r="M14" s="189"/>
      <c r="N14" s="189">
        <v>0</v>
      </c>
      <c r="O14" s="189"/>
      <c r="P14" s="189">
        <v>431494037317</v>
      </c>
      <c r="Q14" s="189"/>
      <c r="R14" s="189">
        <v>15873961915</v>
      </c>
      <c r="S14" s="189">
        <v>-2880009787</v>
      </c>
      <c r="T14" s="189">
        <f t="shared" si="2"/>
        <v>447367999232</v>
      </c>
      <c r="U14" s="189">
        <v>11071728392</v>
      </c>
      <c r="V14" s="204">
        <f>T14/درآمدها!$F$9</f>
        <v>0.14514107005814306</v>
      </c>
      <c r="W14" s="255"/>
      <c r="X14" s="287"/>
      <c r="Z14" s="194"/>
      <c r="AA14" s="203"/>
    </row>
    <row r="15" spans="2:29" ht="36" customHeight="1" x14ac:dyDescent="0.25">
      <c r="B15" s="175" t="s">
        <v>221</v>
      </c>
      <c r="C15" s="165"/>
      <c r="D15" s="189">
        <v>239516645</v>
      </c>
      <c r="E15" s="189"/>
      <c r="F15" s="189">
        <v>590081924</v>
      </c>
      <c r="G15" s="189"/>
      <c r="H15" s="189">
        <v>604976897</v>
      </c>
      <c r="I15" s="189"/>
      <c r="J15" s="189">
        <f t="shared" si="0"/>
        <v>1434575466</v>
      </c>
      <c r="K15" s="189"/>
      <c r="L15" s="204">
        <f t="shared" si="1"/>
        <v>-1.3872595456465022E-3</v>
      </c>
      <c r="M15" s="189"/>
      <c r="N15" s="189">
        <v>239516645</v>
      </c>
      <c r="O15" s="189"/>
      <c r="P15" s="189">
        <v>608084099</v>
      </c>
      <c r="Q15" s="189"/>
      <c r="R15" s="189">
        <v>604976897</v>
      </c>
      <c r="S15" s="189">
        <v>-664891573</v>
      </c>
      <c r="T15" s="189">
        <f t="shared" si="2"/>
        <v>1452577641</v>
      </c>
      <c r="U15" s="189">
        <v>11071728393</v>
      </c>
      <c r="V15" s="204">
        <f>T15/درآمدها!$F$9</f>
        <v>4.7126453729190367E-4</v>
      </c>
      <c r="W15" s="255"/>
      <c r="X15" s="256"/>
      <c r="Z15" s="194"/>
      <c r="AA15" s="203"/>
    </row>
    <row r="16" spans="2:29" ht="36" customHeight="1" x14ac:dyDescent="0.25">
      <c r="B16" s="175" t="s">
        <v>223</v>
      </c>
      <c r="C16" s="165"/>
      <c r="D16" s="189">
        <v>18191242756</v>
      </c>
      <c r="E16" s="189"/>
      <c r="F16" s="189">
        <v>-20500200521</v>
      </c>
      <c r="G16" s="189"/>
      <c r="H16" s="189">
        <v>325265293</v>
      </c>
      <c r="I16" s="189"/>
      <c r="J16" s="189">
        <f t="shared" si="0"/>
        <v>-1983692472</v>
      </c>
      <c r="K16" s="189"/>
      <c r="L16" s="204">
        <f t="shared" si="1"/>
        <v>1.9182652865813801E-3</v>
      </c>
      <c r="M16" s="189"/>
      <c r="N16" s="189">
        <v>18191242756</v>
      </c>
      <c r="O16" s="189"/>
      <c r="P16" s="189">
        <v>-9587967329</v>
      </c>
      <c r="Q16" s="189"/>
      <c r="R16" s="189">
        <v>325265293</v>
      </c>
      <c r="S16" s="189">
        <v>-2538727106</v>
      </c>
      <c r="T16" s="189">
        <f t="shared" si="2"/>
        <v>8928540720</v>
      </c>
      <c r="U16" s="189">
        <v>11071728394</v>
      </c>
      <c r="V16" s="204">
        <f>T16/درآمدها!$F$9</f>
        <v>2.8967158052949269E-3</v>
      </c>
      <c r="W16" s="255"/>
      <c r="X16" s="256"/>
      <c r="Z16" s="194"/>
      <c r="AA16" s="203"/>
    </row>
    <row r="17" spans="2:27" ht="36" customHeight="1" x14ac:dyDescent="0.25">
      <c r="B17" s="175" t="s">
        <v>227</v>
      </c>
      <c r="C17" s="165"/>
      <c r="D17" s="189">
        <v>0</v>
      </c>
      <c r="E17" s="189"/>
      <c r="F17" s="189">
        <v>0</v>
      </c>
      <c r="G17" s="189"/>
      <c r="H17" s="189">
        <v>0</v>
      </c>
      <c r="I17" s="189"/>
      <c r="J17" s="189">
        <f t="shared" si="0"/>
        <v>0</v>
      </c>
      <c r="K17" s="189"/>
      <c r="L17" s="204">
        <f t="shared" si="1"/>
        <v>0</v>
      </c>
      <c r="M17" s="189"/>
      <c r="N17" s="189">
        <v>0</v>
      </c>
      <c r="O17" s="189"/>
      <c r="P17" s="189">
        <v>0</v>
      </c>
      <c r="Q17" s="189"/>
      <c r="R17" s="189">
        <v>0</v>
      </c>
      <c r="S17" s="189">
        <v>-5759026841</v>
      </c>
      <c r="T17" s="189">
        <f t="shared" si="2"/>
        <v>0</v>
      </c>
      <c r="U17" s="189">
        <v>11071728395</v>
      </c>
      <c r="V17" s="204">
        <f>T17/درآمدها!$F$9</f>
        <v>0</v>
      </c>
      <c r="W17" s="255"/>
      <c r="X17" s="256"/>
      <c r="Z17" s="194"/>
      <c r="AA17" s="203"/>
    </row>
    <row r="18" spans="2:27" ht="36" customHeight="1" x14ac:dyDescent="0.25">
      <c r="B18" s="175" t="s">
        <v>111</v>
      </c>
      <c r="C18" s="165"/>
      <c r="D18" s="189">
        <v>38086956522</v>
      </c>
      <c r="E18" s="189"/>
      <c r="F18" s="189">
        <v>-221663860853</v>
      </c>
      <c r="G18" s="189"/>
      <c r="H18" s="189">
        <v>289048382260</v>
      </c>
      <c r="I18" s="189"/>
      <c r="J18" s="189">
        <f t="shared" si="0"/>
        <v>105471477929</v>
      </c>
      <c r="K18" s="189"/>
      <c r="L18" s="204">
        <f t="shared" si="1"/>
        <v>-0.10199276233157721</v>
      </c>
      <c r="M18" s="189"/>
      <c r="N18" s="189">
        <v>38086956522</v>
      </c>
      <c r="O18" s="189"/>
      <c r="P18" s="189">
        <v>250274731584</v>
      </c>
      <c r="Q18" s="189"/>
      <c r="R18" s="189">
        <v>289057834716</v>
      </c>
      <c r="S18" s="189">
        <v>-2808202366</v>
      </c>
      <c r="T18" s="189">
        <f t="shared" si="2"/>
        <v>577419522822</v>
      </c>
      <c r="U18" s="189">
        <v>11071728392</v>
      </c>
      <c r="V18" s="204">
        <f>T18/درآمدها!$F$9</f>
        <v>0.18733411321042193</v>
      </c>
      <c r="W18" s="255"/>
      <c r="X18" s="102"/>
      <c r="Z18" s="194"/>
      <c r="AA18" s="203"/>
    </row>
    <row r="19" spans="2:27" ht="36" customHeight="1" x14ac:dyDescent="0.25">
      <c r="B19" s="175" t="s">
        <v>127</v>
      </c>
      <c r="C19" s="165"/>
      <c r="D19" s="189">
        <v>0</v>
      </c>
      <c r="E19" s="189"/>
      <c r="F19" s="189">
        <v>-304302830194</v>
      </c>
      <c r="G19" s="189"/>
      <c r="H19" s="189">
        <v>55680128071</v>
      </c>
      <c r="I19" s="189"/>
      <c r="J19" s="189">
        <f t="shared" si="0"/>
        <v>-248622702123</v>
      </c>
      <c r="K19" s="189"/>
      <c r="L19" s="204">
        <f t="shared" si="1"/>
        <v>0.24042249777646668</v>
      </c>
      <c r="M19" s="189"/>
      <c r="N19" s="189">
        <v>0</v>
      </c>
      <c r="O19" s="189"/>
      <c r="P19" s="189">
        <v>806312701795</v>
      </c>
      <c r="Q19" s="189"/>
      <c r="R19" s="189">
        <v>55680128071</v>
      </c>
      <c r="S19" s="189"/>
      <c r="T19" s="189">
        <f t="shared" si="2"/>
        <v>861992829866</v>
      </c>
      <c r="U19" s="189">
        <v>11071728393</v>
      </c>
      <c r="V19" s="204">
        <f>T19/درآمدها!$F$9</f>
        <v>0.27965916633280957</v>
      </c>
      <c r="W19" s="255"/>
      <c r="X19" s="102"/>
      <c r="Z19" s="194"/>
      <c r="AA19" s="203"/>
    </row>
    <row r="20" spans="2:27" ht="36" customHeight="1" x14ac:dyDescent="0.25">
      <c r="B20" s="175" t="s">
        <v>225</v>
      </c>
      <c r="C20" s="165"/>
      <c r="D20" s="189">
        <v>0</v>
      </c>
      <c r="E20" s="189"/>
      <c r="F20" s="189">
        <v>7510669540</v>
      </c>
      <c r="G20" s="189"/>
      <c r="H20" s="189">
        <v>-26881204</v>
      </c>
      <c r="I20" s="189"/>
      <c r="J20" s="189">
        <f t="shared" si="0"/>
        <v>7483788336</v>
      </c>
      <c r="K20" s="189"/>
      <c r="L20" s="204">
        <f t="shared" si="1"/>
        <v>-7.2369541043816746E-3</v>
      </c>
      <c r="M20" s="189"/>
      <c r="N20" s="189">
        <v>0</v>
      </c>
      <c r="O20" s="189"/>
      <c r="P20" s="189">
        <v>7511332145</v>
      </c>
      <c r="Q20" s="189"/>
      <c r="R20" s="189">
        <v>-26881204</v>
      </c>
      <c r="S20" s="189">
        <v>8828197833</v>
      </c>
      <c r="T20" s="189">
        <f t="shared" si="2"/>
        <v>7484450941</v>
      </c>
      <c r="U20" s="189">
        <v>11071728394</v>
      </c>
      <c r="V20" s="204">
        <f>T20/درآمدها!$F$9</f>
        <v>2.4282050129631025E-3</v>
      </c>
      <c r="W20" s="255"/>
      <c r="X20" s="102"/>
      <c r="Z20" s="194"/>
      <c r="AA20" s="203"/>
    </row>
    <row r="21" spans="2:27" ht="36" customHeight="1" x14ac:dyDescent="0.25">
      <c r="B21" s="175" t="s">
        <v>148</v>
      </c>
      <c r="C21" s="165"/>
      <c r="D21" s="189">
        <v>0</v>
      </c>
      <c r="E21" s="189"/>
      <c r="F21" s="189">
        <v>0</v>
      </c>
      <c r="G21" s="189"/>
      <c r="H21" s="189">
        <v>-40290</v>
      </c>
      <c r="I21" s="189"/>
      <c r="J21" s="189">
        <f t="shared" si="0"/>
        <v>-40290</v>
      </c>
      <c r="K21" s="189"/>
      <c r="L21" s="204">
        <f t="shared" si="1"/>
        <v>3.896113409073007E-8</v>
      </c>
      <c r="M21" s="189"/>
      <c r="N21" s="189">
        <v>0</v>
      </c>
      <c r="O21" s="189"/>
      <c r="P21" s="189">
        <v>0</v>
      </c>
      <c r="Q21" s="189"/>
      <c r="R21" s="189">
        <v>-40290</v>
      </c>
      <c r="S21" s="189">
        <v>-40082741567</v>
      </c>
      <c r="T21" s="189">
        <f t="shared" si="2"/>
        <v>-40290</v>
      </c>
      <c r="U21" s="189">
        <v>11071728395</v>
      </c>
      <c r="V21" s="204">
        <f>T21/درآمدها!$F$9</f>
        <v>-1.3071417094386349E-8</v>
      </c>
      <c r="W21" s="255"/>
      <c r="X21" s="102"/>
      <c r="Z21" s="194"/>
      <c r="AA21" s="203"/>
    </row>
    <row r="22" spans="2:27" ht="36" customHeight="1" x14ac:dyDescent="0.25">
      <c r="B22" s="175" t="s">
        <v>119</v>
      </c>
      <c r="C22" s="165"/>
      <c r="D22" s="189">
        <v>0</v>
      </c>
      <c r="E22" s="189"/>
      <c r="F22" s="189">
        <v>-56292325972</v>
      </c>
      <c r="G22" s="189"/>
      <c r="H22" s="189">
        <v>4595007364</v>
      </c>
      <c r="I22" s="189"/>
      <c r="J22" s="189">
        <f t="shared" si="0"/>
        <v>-51697318608</v>
      </c>
      <c r="K22" s="189"/>
      <c r="L22" s="204">
        <f t="shared" si="1"/>
        <v>4.99922105340651E-2</v>
      </c>
      <c r="M22" s="189"/>
      <c r="N22" s="189">
        <v>0</v>
      </c>
      <c r="O22" s="189"/>
      <c r="P22" s="189">
        <v>-2868676358</v>
      </c>
      <c r="Q22" s="189"/>
      <c r="R22" s="189">
        <v>4595007364</v>
      </c>
      <c r="S22" s="189">
        <v>466959920</v>
      </c>
      <c r="T22" s="189">
        <f t="shared" si="2"/>
        <v>1726331006</v>
      </c>
      <c r="U22" s="189">
        <v>11071728396</v>
      </c>
      <c r="V22" s="204">
        <f>T22/درآمدها!$F$9</f>
        <v>5.6007924106223832E-4</v>
      </c>
      <c r="W22" s="255"/>
      <c r="X22" s="102"/>
      <c r="Z22" s="194"/>
      <c r="AA22" s="203"/>
    </row>
    <row r="23" spans="2:27" ht="36" customHeight="1" x14ac:dyDescent="0.25">
      <c r="B23" s="175" t="s">
        <v>175</v>
      </c>
      <c r="C23" s="165"/>
      <c r="D23" s="189">
        <v>0</v>
      </c>
      <c r="E23" s="189"/>
      <c r="F23" s="189">
        <v>0</v>
      </c>
      <c r="G23" s="189"/>
      <c r="H23" s="189">
        <v>15067476485</v>
      </c>
      <c r="I23" s="189"/>
      <c r="J23" s="189">
        <f t="shared" si="0"/>
        <v>15067476485</v>
      </c>
      <c r="K23" s="189"/>
      <c r="L23" s="204">
        <f t="shared" si="1"/>
        <v>-1.4570513073740561E-2</v>
      </c>
      <c r="M23" s="189"/>
      <c r="N23" s="189">
        <v>2942680500</v>
      </c>
      <c r="O23" s="189"/>
      <c r="P23" s="189">
        <v>0</v>
      </c>
      <c r="Q23" s="189"/>
      <c r="R23" s="189">
        <v>35527447451</v>
      </c>
      <c r="S23" s="189">
        <v>-102059379029</v>
      </c>
      <c r="T23" s="189">
        <f t="shared" si="2"/>
        <v>38470127951</v>
      </c>
      <c r="U23" s="189">
        <v>11071728398</v>
      </c>
      <c r="V23" s="204">
        <f>T23/درآمدها!$F$9</f>
        <v>1.2480990025364395E-2</v>
      </c>
      <c r="W23" s="255"/>
      <c r="X23" s="102"/>
      <c r="Z23" s="194"/>
      <c r="AA23" s="203"/>
    </row>
    <row r="24" spans="2:27" ht="36" customHeight="1" x14ac:dyDescent="0.25">
      <c r="B24" s="175" t="s">
        <v>153</v>
      </c>
      <c r="C24" s="165"/>
      <c r="D24" s="189">
        <v>0</v>
      </c>
      <c r="E24" s="189"/>
      <c r="F24" s="189">
        <v>-14547194177</v>
      </c>
      <c r="G24" s="189"/>
      <c r="H24" s="189">
        <v>24393331680</v>
      </c>
      <c r="I24" s="189"/>
      <c r="J24" s="189">
        <f t="shared" si="0"/>
        <v>9846137503</v>
      </c>
      <c r="K24" s="189"/>
      <c r="L24" s="204">
        <f t="shared" si="1"/>
        <v>-9.5213870322697729E-3</v>
      </c>
      <c r="M24" s="189"/>
      <c r="N24" s="189">
        <v>0</v>
      </c>
      <c r="O24" s="189"/>
      <c r="P24" s="189">
        <v>14794745711</v>
      </c>
      <c r="Q24" s="189"/>
      <c r="R24" s="189">
        <v>24287398136</v>
      </c>
      <c r="S24" s="189">
        <v>-11597631470</v>
      </c>
      <c r="T24" s="189">
        <f t="shared" si="2"/>
        <v>39082143847</v>
      </c>
      <c r="U24" s="189">
        <v>11071728399</v>
      </c>
      <c r="V24" s="204">
        <f>T24/درآمدها!$F$9</f>
        <v>1.267954835360988E-2</v>
      </c>
      <c r="W24" s="255"/>
      <c r="X24" s="102"/>
      <c r="Z24" s="194"/>
      <c r="AA24" s="203"/>
    </row>
    <row r="25" spans="2:27" ht="36" customHeight="1" x14ac:dyDescent="0.25">
      <c r="B25" s="175" t="s">
        <v>160</v>
      </c>
      <c r="C25" s="165"/>
      <c r="D25" s="189">
        <v>5404230317</v>
      </c>
      <c r="E25" s="189"/>
      <c r="F25" s="189">
        <v>-24144287628</v>
      </c>
      <c r="G25" s="189"/>
      <c r="H25" s="189">
        <v>15089425196</v>
      </c>
      <c r="I25" s="189"/>
      <c r="J25" s="189">
        <f t="shared" si="0"/>
        <v>-3650632115</v>
      </c>
      <c r="K25" s="189"/>
      <c r="L25" s="204">
        <f t="shared" si="1"/>
        <v>3.530225052083408E-3</v>
      </c>
      <c r="M25" s="189"/>
      <c r="N25" s="189">
        <v>5404230317</v>
      </c>
      <c r="O25" s="189"/>
      <c r="P25" s="189">
        <v>66090533186</v>
      </c>
      <c r="Q25" s="189"/>
      <c r="R25" s="189">
        <v>15089425196</v>
      </c>
      <c r="S25" s="189">
        <v>52167321915</v>
      </c>
      <c r="T25" s="189">
        <f t="shared" si="2"/>
        <v>86584188699</v>
      </c>
      <c r="U25" s="189">
        <v>11071728400</v>
      </c>
      <c r="V25" s="204">
        <f>T25/درآمدها!$F$9</f>
        <v>2.8090792858368876E-2</v>
      </c>
      <c r="W25" s="255"/>
      <c r="X25" s="102"/>
      <c r="Z25" s="194"/>
      <c r="AA25" s="203"/>
    </row>
    <row r="26" spans="2:27" ht="36" customHeight="1" x14ac:dyDescent="0.25">
      <c r="B26" s="175" t="s">
        <v>110</v>
      </c>
      <c r="C26" s="165"/>
      <c r="D26" s="189">
        <v>0</v>
      </c>
      <c r="E26" s="189"/>
      <c r="F26" s="189">
        <v>-301292909838</v>
      </c>
      <c r="G26" s="189"/>
      <c r="H26" s="189">
        <v>101214167413</v>
      </c>
      <c r="I26" s="189"/>
      <c r="J26" s="189">
        <f t="shared" si="0"/>
        <v>-200078742425</v>
      </c>
      <c r="K26" s="189"/>
      <c r="L26" s="204">
        <f t="shared" si="1"/>
        <v>0.19347964041511712</v>
      </c>
      <c r="M26" s="189"/>
      <c r="N26" s="189">
        <v>0</v>
      </c>
      <c r="O26" s="189"/>
      <c r="P26" s="189">
        <v>17218074944</v>
      </c>
      <c r="Q26" s="189"/>
      <c r="R26" s="189">
        <v>134058810652</v>
      </c>
      <c r="S26" s="189">
        <v>-6964477628</v>
      </c>
      <c r="T26" s="189">
        <f t="shared" si="2"/>
        <v>151276885596</v>
      </c>
      <c r="U26" s="189">
        <v>11071728401</v>
      </c>
      <c r="V26" s="204">
        <f>T26/درآمدها!$F$9</f>
        <v>4.9079257095186957E-2</v>
      </c>
      <c r="W26" s="255"/>
      <c r="X26" s="102"/>
      <c r="Z26" s="194"/>
      <c r="AA26" s="203"/>
    </row>
    <row r="27" spans="2:27" ht="36" customHeight="1" x14ac:dyDescent="0.25">
      <c r="B27" s="175" t="s">
        <v>108</v>
      </c>
      <c r="C27" s="165"/>
      <c r="D27" s="189">
        <v>0</v>
      </c>
      <c r="E27" s="189"/>
      <c r="F27" s="189">
        <v>-66298911938</v>
      </c>
      <c r="G27" s="189"/>
      <c r="H27" s="189">
        <v>46470915730</v>
      </c>
      <c r="I27" s="189"/>
      <c r="J27" s="189">
        <f t="shared" si="0"/>
        <v>-19827996208</v>
      </c>
      <c r="K27" s="189"/>
      <c r="L27" s="204">
        <f t="shared" si="1"/>
        <v>1.9174018838678961E-2</v>
      </c>
      <c r="M27" s="189"/>
      <c r="N27" s="189">
        <v>0</v>
      </c>
      <c r="O27" s="189"/>
      <c r="P27" s="189">
        <v>4514719093</v>
      </c>
      <c r="Q27" s="189"/>
      <c r="R27" s="189">
        <v>46591278625</v>
      </c>
      <c r="S27" s="189">
        <v>-13571699443</v>
      </c>
      <c r="T27" s="189">
        <f t="shared" si="2"/>
        <v>51105997718</v>
      </c>
      <c r="U27" s="189">
        <v>11071728402</v>
      </c>
      <c r="V27" s="204">
        <f>T27/درآمدها!$F$9</f>
        <v>1.6580486775793869E-2</v>
      </c>
      <c r="W27" s="255"/>
      <c r="X27" s="102"/>
      <c r="Z27" s="194"/>
      <c r="AA27" s="203"/>
    </row>
    <row r="28" spans="2:27" ht="36" customHeight="1" x14ac:dyDescent="0.25">
      <c r="B28" s="175" t="s">
        <v>141</v>
      </c>
      <c r="C28" s="165"/>
      <c r="D28" s="189">
        <v>0</v>
      </c>
      <c r="E28" s="189"/>
      <c r="F28" s="189">
        <v>43597598438</v>
      </c>
      <c r="G28" s="189"/>
      <c r="H28" s="189">
        <v>704875168</v>
      </c>
      <c r="I28" s="189"/>
      <c r="J28" s="189">
        <f t="shared" si="0"/>
        <v>44302473606</v>
      </c>
      <c r="K28" s="189"/>
      <c r="L28" s="204">
        <f t="shared" si="1"/>
        <v>-4.2841266187996913E-2</v>
      </c>
      <c r="M28" s="189"/>
      <c r="N28" s="189">
        <v>0</v>
      </c>
      <c r="O28" s="189"/>
      <c r="P28" s="189">
        <v>95723089796</v>
      </c>
      <c r="Q28" s="189"/>
      <c r="R28" s="189">
        <v>704865319</v>
      </c>
      <c r="S28" s="189">
        <v>257545772</v>
      </c>
      <c r="T28" s="189">
        <f t="shared" si="2"/>
        <v>96427955115</v>
      </c>
      <c r="U28" s="189">
        <v>11071728398</v>
      </c>
      <c r="V28" s="204">
        <f>T28/درآمدها!$F$9</f>
        <v>3.1284438343681574E-2</v>
      </c>
      <c r="W28" s="255"/>
      <c r="X28" s="102"/>
      <c r="Z28" s="194"/>
      <c r="AA28" s="203"/>
    </row>
    <row r="29" spans="2:27" ht="36" customHeight="1" x14ac:dyDescent="0.25">
      <c r="B29" s="175" t="s">
        <v>120</v>
      </c>
      <c r="C29" s="165"/>
      <c r="D29" s="189">
        <v>0</v>
      </c>
      <c r="E29" s="189"/>
      <c r="F29" s="189">
        <v>-106073663022</v>
      </c>
      <c r="G29" s="189"/>
      <c r="H29" s="189">
        <v>8792899762</v>
      </c>
      <c r="I29" s="189"/>
      <c r="J29" s="189">
        <f t="shared" si="0"/>
        <v>-97280763260</v>
      </c>
      <c r="K29" s="189"/>
      <c r="L29" s="204">
        <f t="shared" si="1"/>
        <v>9.4072198109243665E-2</v>
      </c>
      <c r="M29" s="189"/>
      <c r="N29" s="189">
        <v>0</v>
      </c>
      <c r="O29" s="189"/>
      <c r="P29" s="189">
        <v>-3869853020</v>
      </c>
      <c r="Q29" s="189"/>
      <c r="R29" s="189">
        <v>39781757177</v>
      </c>
      <c r="S29" s="189">
        <v>1026553445</v>
      </c>
      <c r="T29" s="189">
        <f t="shared" si="2"/>
        <v>35911904157</v>
      </c>
      <c r="U29" s="189">
        <v>11071728399</v>
      </c>
      <c r="V29" s="204">
        <f>T29/درآمدها!$F$9</f>
        <v>1.1651017073461752E-2</v>
      </c>
      <c r="W29" s="255"/>
      <c r="X29" s="102"/>
      <c r="Z29" s="194"/>
      <c r="AA29" s="203"/>
    </row>
    <row r="30" spans="2:27" ht="36" customHeight="1" x14ac:dyDescent="0.25">
      <c r="B30" s="175" t="s">
        <v>206</v>
      </c>
      <c r="C30" s="165"/>
      <c r="D30" s="189">
        <v>0</v>
      </c>
      <c r="E30" s="189"/>
      <c r="F30" s="189">
        <v>0</v>
      </c>
      <c r="G30" s="189"/>
      <c r="H30" s="189">
        <v>-52348</v>
      </c>
      <c r="I30" s="189"/>
      <c r="J30" s="189">
        <f t="shared" si="0"/>
        <v>-52348</v>
      </c>
      <c r="K30" s="189"/>
      <c r="L30" s="204">
        <f t="shared" si="1"/>
        <v>5.0621430811157547E-8</v>
      </c>
      <c r="M30" s="189"/>
      <c r="N30" s="189">
        <v>0</v>
      </c>
      <c r="O30" s="189"/>
      <c r="P30" s="189">
        <v>0</v>
      </c>
      <c r="Q30" s="189"/>
      <c r="R30" s="189">
        <v>-52348</v>
      </c>
      <c r="S30" s="189">
        <v>-1161777565</v>
      </c>
      <c r="T30" s="189">
        <f t="shared" si="2"/>
        <v>-52348</v>
      </c>
      <c r="U30" s="189">
        <v>-5155830316</v>
      </c>
      <c r="V30" s="204">
        <f>T30/درآمدها!$F$9</f>
        <v>-1.6983433657407214E-8</v>
      </c>
      <c r="W30" s="255"/>
      <c r="X30" s="102"/>
      <c r="Z30" s="194"/>
      <c r="AA30" s="203"/>
    </row>
    <row r="31" spans="2:27" ht="36" customHeight="1" x14ac:dyDescent="0.25">
      <c r="B31" s="175" t="s">
        <v>185</v>
      </c>
      <c r="C31" s="165"/>
      <c r="D31" s="189">
        <v>0</v>
      </c>
      <c r="E31" s="189"/>
      <c r="F31" s="189">
        <v>0</v>
      </c>
      <c r="G31" s="189"/>
      <c r="H31" s="189">
        <v>29543631120</v>
      </c>
      <c r="I31" s="189"/>
      <c r="J31" s="189">
        <f t="shared" si="0"/>
        <v>29543631120</v>
      </c>
      <c r="K31" s="189"/>
      <c r="L31" s="204">
        <f t="shared" si="1"/>
        <v>-2.8569207584844523E-2</v>
      </c>
      <c r="M31" s="189"/>
      <c r="N31" s="189">
        <v>0</v>
      </c>
      <c r="O31" s="189"/>
      <c r="P31" s="189">
        <v>0</v>
      </c>
      <c r="Q31" s="189"/>
      <c r="R31" s="189">
        <v>31998464469</v>
      </c>
      <c r="S31" s="189">
        <v>599022178</v>
      </c>
      <c r="T31" s="189">
        <f t="shared" si="2"/>
        <v>31998464469</v>
      </c>
      <c r="U31" s="189">
        <v>-5155830315</v>
      </c>
      <c r="V31" s="204">
        <f>T31/درآمدها!$F$9</f>
        <v>1.038136697578061E-2</v>
      </c>
      <c r="W31" s="255"/>
      <c r="X31" s="102"/>
      <c r="Z31" s="194"/>
      <c r="AA31" s="203"/>
    </row>
    <row r="32" spans="2:27" ht="36" customHeight="1" x14ac:dyDescent="0.25">
      <c r="B32" s="175" t="s">
        <v>220</v>
      </c>
      <c r="C32" s="165"/>
      <c r="D32" s="189">
        <v>0</v>
      </c>
      <c r="E32" s="189"/>
      <c r="F32" s="189">
        <v>0</v>
      </c>
      <c r="G32" s="189"/>
      <c r="H32" s="189">
        <v>-260068344</v>
      </c>
      <c r="I32" s="189"/>
      <c r="J32" s="189">
        <f t="shared" si="0"/>
        <v>-260068344</v>
      </c>
      <c r="K32" s="189"/>
      <c r="L32" s="204">
        <f t="shared" si="1"/>
        <v>2.5149063349064568E-4</v>
      </c>
      <c r="M32" s="189"/>
      <c r="N32" s="189">
        <v>0</v>
      </c>
      <c r="O32" s="189"/>
      <c r="P32" s="189">
        <v>0</v>
      </c>
      <c r="Q32" s="189"/>
      <c r="R32" s="189">
        <v>-260068344</v>
      </c>
      <c r="S32" s="189">
        <v>11615770866</v>
      </c>
      <c r="T32" s="189">
        <f t="shared" si="2"/>
        <v>-260068344</v>
      </c>
      <c r="U32" s="189">
        <v>-5155830314</v>
      </c>
      <c r="V32" s="204">
        <f>T32/درآمدها!$F$9</f>
        <v>-8.4374827437834439E-5</v>
      </c>
      <c r="W32" s="255"/>
      <c r="X32" s="102"/>
      <c r="Z32" s="194"/>
      <c r="AA32" s="203"/>
    </row>
    <row r="33" spans="2:27" ht="36" customHeight="1" x14ac:dyDescent="0.25">
      <c r="B33" s="175" t="s">
        <v>115</v>
      </c>
      <c r="C33" s="165"/>
      <c r="D33" s="189">
        <v>0</v>
      </c>
      <c r="E33" s="189"/>
      <c r="F33" s="189">
        <v>-108775416080</v>
      </c>
      <c r="G33" s="189"/>
      <c r="H33" s="189">
        <v>-11698273966</v>
      </c>
      <c r="I33" s="189"/>
      <c r="J33" s="189">
        <f t="shared" si="0"/>
        <v>-120473690046</v>
      </c>
      <c r="K33" s="189"/>
      <c r="L33" s="204">
        <f t="shared" si="1"/>
        <v>0.11650016362092971</v>
      </c>
      <c r="M33" s="189"/>
      <c r="N33" s="189">
        <v>0</v>
      </c>
      <c r="O33" s="189"/>
      <c r="P33" s="189">
        <v>-114398808624</v>
      </c>
      <c r="Q33" s="189"/>
      <c r="R33" s="189">
        <v>-11693683903</v>
      </c>
      <c r="S33" s="189">
        <v>28553005</v>
      </c>
      <c r="T33" s="189">
        <f t="shared" si="2"/>
        <v>-126092492527</v>
      </c>
      <c r="U33" s="189">
        <v>-5155830313</v>
      </c>
      <c r="V33" s="204">
        <f>T33/درآمدها!$F$9</f>
        <v>-4.0908601694991581E-2</v>
      </c>
      <c r="W33" s="255"/>
      <c r="X33" s="102"/>
      <c r="Z33" s="194"/>
      <c r="AA33" s="203"/>
    </row>
    <row r="34" spans="2:27" ht="36" customHeight="1" x14ac:dyDescent="0.25">
      <c r="B34" s="175" t="s">
        <v>176</v>
      </c>
      <c r="C34" s="165"/>
      <c r="D34" s="189">
        <v>20054945055</v>
      </c>
      <c r="E34" s="189"/>
      <c r="F34" s="189">
        <v>-15081313275</v>
      </c>
      <c r="G34" s="189"/>
      <c r="H34" s="189">
        <v>2219621667</v>
      </c>
      <c r="I34" s="189"/>
      <c r="J34" s="189">
        <f t="shared" si="0"/>
        <v>7193253447</v>
      </c>
      <c r="K34" s="189"/>
      <c r="L34" s="204">
        <f t="shared" si="1"/>
        <v>-6.9560017894557775E-3</v>
      </c>
      <c r="M34" s="189"/>
      <c r="N34" s="189">
        <v>20054945055</v>
      </c>
      <c r="O34" s="189"/>
      <c r="P34" s="189">
        <v>31281311752</v>
      </c>
      <c r="Q34" s="189"/>
      <c r="R34" s="189">
        <v>2230615539</v>
      </c>
      <c r="S34" s="189"/>
      <c r="T34" s="189">
        <f t="shared" si="2"/>
        <v>53566872346</v>
      </c>
      <c r="U34" s="189"/>
      <c r="V34" s="204">
        <f>T34/درآمدها!$F$9</f>
        <v>1.7378876417878279E-2</v>
      </c>
      <c r="W34" s="255"/>
      <c r="X34" s="102"/>
      <c r="Z34" s="194"/>
      <c r="AA34" s="203"/>
    </row>
    <row r="35" spans="2:27" ht="36" customHeight="1" x14ac:dyDescent="0.25">
      <c r="B35" s="175" t="s">
        <v>192</v>
      </c>
      <c r="C35" s="165"/>
      <c r="D35" s="189">
        <v>0</v>
      </c>
      <c r="E35" s="189"/>
      <c r="F35" s="189">
        <v>0</v>
      </c>
      <c r="G35" s="189"/>
      <c r="H35" s="189">
        <v>4347276722</v>
      </c>
      <c r="I35" s="189"/>
      <c r="J35" s="189">
        <f t="shared" si="0"/>
        <v>4347276722</v>
      </c>
      <c r="K35" s="189"/>
      <c r="L35" s="204">
        <f t="shared" si="1"/>
        <v>-4.203892561314258E-3</v>
      </c>
      <c r="M35" s="189"/>
      <c r="N35" s="189">
        <v>1624750000</v>
      </c>
      <c r="O35" s="189"/>
      <c r="P35" s="189">
        <v>0</v>
      </c>
      <c r="Q35" s="189"/>
      <c r="R35" s="189">
        <v>4347975638</v>
      </c>
      <c r="S35" s="189"/>
      <c r="T35" s="189">
        <f t="shared" si="2"/>
        <v>5972725638</v>
      </c>
      <c r="U35" s="189"/>
      <c r="V35" s="204">
        <f>T35/درآمدها!$F$9</f>
        <v>1.9377510053271982E-3</v>
      </c>
      <c r="W35" s="255"/>
      <c r="X35" s="102"/>
      <c r="Z35" s="194"/>
      <c r="AA35" s="203"/>
    </row>
    <row r="36" spans="2:27" ht="36" customHeight="1" x14ac:dyDescent="0.25">
      <c r="B36" s="175" t="s">
        <v>103</v>
      </c>
      <c r="C36" s="165"/>
      <c r="D36" s="189">
        <v>44060886714</v>
      </c>
      <c r="E36" s="189"/>
      <c r="F36" s="189">
        <v>-90245857358</v>
      </c>
      <c r="G36" s="189"/>
      <c r="H36" s="189">
        <v>-1310606077</v>
      </c>
      <c r="I36" s="189"/>
      <c r="J36" s="189">
        <f t="shared" si="0"/>
        <v>-47495576721</v>
      </c>
      <c r="K36" s="189"/>
      <c r="L36" s="204">
        <f t="shared" si="1"/>
        <v>4.5929052701500092E-2</v>
      </c>
      <c r="M36" s="189"/>
      <c r="N36" s="189">
        <v>44060886714</v>
      </c>
      <c r="O36" s="189"/>
      <c r="P36" s="189">
        <v>-119703573039</v>
      </c>
      <c r="Q36" s="189"/>
      <c r="R36" s="189">
        <v>-1264363845</v>
      </c>
      <c r="S36" s="189"/>
      <c r="T36" s="189">
        <f t="shared" si="2"/>
        <v>-76907050170</v>
      </c>
      <c r="U36" s="189"/>
      <c r="V36" s="204">
        <f>T36/درآمدها!$F$9</f>
        <v>-2.4951207005980806E-2</v>
      </c>
      <c r="W36" s="255"/>
      <c r="X36" s="102"/>
      <c r="Z36" s="194"/>
      <c r="AA36" s="203"/>
    </row>
    <row r="37" spans="2:27" ht="36" customHeight="1" x14ac:dyDescent="0.25">
      <c r="B37" s="175" t="s">
        <v>193</v>
      </c>
      <c r="C37" s="165"/>
      <c r="D37" s="189">
        <v>0</v>
      </c>
      <c r="E37" s="189"/>
      <c r="F37" s="189">
        <v>0</v>
      </c>
      <c r="G37" s="189"/>
      <c r="H37" s="189">
        <v>72448025249</v>
      </c>
      <c r="I37" s="189"/>
      <c r="J37" s="189">
        <f t="shared" si="0"/>
        <v>72448025249</v>
      </c>
      <c r="K37" s="189"/>
      <c r="L37" s="204">
        <f t="shared" si="1"/>
        <v>-7.0058506486346164E-2</v>
      </c>
      <c r="M37" s="189"/>
      <c r="N37" s="189">
        <v>0</v>
      </c>
      <c r="O37" s="189"/>
      <c r="P37" s="189">
        <v>0</v>
      </c>
      <c r="Q37" s="189"/>
      <c r="R37" s="189">
        <v>72448025249</v>
      </c>
      <c r="S37" s="189"/>
      <c r="T37" s="189">
        <f t="shared" si="2"/>
        <v>72448025249</v>
      </c>
      <c r="U37" s="189"/>
      <c r="V37" s="204">
        <f>T37/درآمدها!$F$9</f>
        <v>2.3504550898344811E-2</v>
      </c>
      <c r="W37" s="255"/>
      <c r="X37" s="102"/>
      <c r="Z37" s="194"/>
      <c r="AA37" s="203"/>
    </row>
    <row r="38" spans="2:27" ht="36" customHeight="1" x14ac:dyDescent="0.25">
      <c r="B38" s="175" t="s">
        <v>142</v>
      </c>
      <c r="C38" s="165"/>
      <c r="D38" s="189">
        <v>0</v>
      </c>
      <c r="E38" s="189"/>
      <c r="F38" s="189">
        <v>-51771129250</v>
      </c>
      <c r="G38" s="189"/>
      <c r="H38" s="189">
        <v>45463059888</v>
      </c>
      <c r="I38" s="189"/>
      <c r="J38" s="189">
        <f t="shared" si="0"/>
        <v>-6308069362</v>
      </c>
      <c r="K38" s="189"/>
      <c r="L38" s="204">
        <f t="shared" si="1"/>
        <v>6.100013310164013E-3</v>
      </c>
      <c r="M38" s="189"/>
      <c r="N38" s="189">
        <v>0</v>
      </c>
      <c r="O38" s="189"/>
      <c r="P38" s="189">
        <v>4448641908</v>
      </c>
      <c r="Q38" s="189"/>
      <c r="R38" s="189">
        <v>45483546616</v>
      </c>
      <c r="S38" s="189"/>
      <c r="T38" s="189">
        <f t="shared" si="2"/>
        <v>49932188524</v>
      </c>
      <c r="U38" s="189"/>
      <c r="V38" s="204">
        <f>T38/درآمدها!$F$9</f>
        <v>1.6199664001805298E-2</v>
      </c>
      <c r="W38" s="255"/>
      <c r="X38" s="102"/>
      <c r="Z38" s="194"/>
      <c r="AA38" s="203"/>
    </row>
    <row r="39" spans="2:27" ht="36" customHeight="1" x14ac:dyDescent="0.25">
      <c r="B39" s="175" t="s">
        <v>128</v>
      </c>
      <c r="C39" s="165"/>
      <c r="D39" s="189">
        <v>0</v>
      </c>
      <c r="E39" s="189"/>
      <c r="F39" s="189">
        <v>67832426531</v>
      </c>
      <c r="G39" s="189"/>
      <c r="H39" s="189">
        <v>16509532983</v>
      </c>
      <c r="I39" s="189"/>
      <c r="J39" s="189">
        <f t="shared" si="0"/>
        <v>84341959514</v>
      </c>
      <c r="K39" s="189"/>
      <c r="L39" s="204">
        <f t="shared" si="1"/>
        <v>-8.1560148773886343E-2</v>
      </c>
      <c r="M39" s="189"/>
      <c r="N39" s="189">
        <v>0</v>
      </c>
      <c r="O39" s="189"/>
      <c r="P39" s="189">
        <v>165314245410</v>
      </c>
      <c r="Q39" s="189"/>
      <c r="R39" s="189">
        <v>16509532983</v>
      </c>
      <c r="S39" s="189"/>
      <c r="T39" s="189">
        <f t="shared" si="2"/>
        <v>181823778393</v>
      </c>
      <c r="U39" s="189"/>
      <c r="V39" s="204">
        <f>T39/درآمدها!$F$9</f>
        <v>5.8989685903503987E-2</v>
      </c>
      <c r="W39" s="255"/>
      <c r="X39" s="102"/>
      <c r="Z39" s="194"/>
      <c r="AA39" s="203"/>
    </row>
    <row r="40" spans="2:27" ht="36" customHeight="1" x14ac:dyDescent="0.25">
      <c r="B40" s="175" t="s">
        <v>140</v>
      </c>
      <c r="C40" s="165"/>
      <c r="D40" s="189">
        <v>0</v>
      </c>
      <c r="E40" s="189"/>
      <c r="F40" s="189">
        <v>-27256136976</v>
      </c>
      <c r="G40" s="189"/>
      <c r="H40" s="189">
        <v>562837263</v>
      </c>
      <c r="I40" s="189"/>
      <c r="J40" s="189">
        <f t="shared" si="0"/>
        <v>-26693299713</v>
      </c>
      <c r="K40" s="189"/>
      <c r="L40" s="204">
        <f t="shared" si="1"/>
        <v>2.5812887303108451E-2</v>
      </c>
      <c r="M40" s="189"/>
      <c r="N40" s="189">
        <v>61067191060</v>
      </c>
      <c r="O40" s="189"/>
      <c r="P40" s="189">
        <v>-85793737891</v>
      </c>
      <c r="Q40" s="189"/>
      <c r="R40" s="189">
        <v>432957341</v>
      </c>
      <c r="S40" s="189"/>
      <c r="T40" s="189">
        <f t="shared" si="2"/>
        <v>-24293589490</v>
      </c>
      <c r="U40" s="189"/>
      <c r="V40" s="204">
        <f>T40/درآمدها!$F$9</f>
        <v>-7.8816490678478672E-3</v>
      </c>
      <c r="W40" s="255"/>
      <c r="X40" s="102"/>
      <c r="Z40" s="194"/>
      <c r="AA40" s="203"/>
    </row>
    <row r="41" spans="2:27" ht="36" customHeight="1" x14ac:dyDescent="0.25">
      <c r="B41" s="175" t="s">
        <v>152</v>
      </c>
      <c r="C41" s="165"/>
      <c r="D41" s="189">
        <v>7285030759</v>
      </c>
      <c r="E41" s="189"/>
      <c r="F41" s="189">
        <v>-56052768343</v>
      </c>
      <c r="G41" s="189"/>
      <c r="H41" s="189">
        <v>32849760115</v>
      </c>
      <c r="I41" s="189"/>
      <c r="J41" s="189">
        <f t="shared" si="0"/>
        <v>-15917977469</v>
      </c>
      <c r="K41" s="189"/>
      <c r="L41" s="204">
        <f t="shared" si="1"/>
        <v>1.5392962388258354E-2</v>
      </c>
      <c r="M41" s="189"/>
      <c r="N41" s="189">
        <v>7285030759</v>
      </c>
      <c r="O41" s="189"/>
      <c r="P41" s="189">
        <v>30332056</v>
      </c>
      <c r="Q41" s="189"/>
      <c r="R41" s="189">
        <v>32849760115</v>
      </c>
      <c r="S41" s="189"/>
      <c r="T41" s="189">
        <f t="shared" si="2"/>
        <v>40165122930</v>
      </c>
      <c r="U41" s="189"/>
      <c r="V41" s="204">
        <f>T41/درآمدها!$F$9</f>
        <v>1.3030902816215715E-2</v>
      </c>
      <c r="W41" s="255"/>
      <c r="X41" s="102"/>
      <c r="Z41" s="194"/>
      <c r="AA41" s="203"/>
    </row>
    <row r="42" spans="2:27" ht="36" customHeight="1" x14ac:dyDescent="0.25">
      <c r="B42" s="175" t="s">
        <v>134</v>
      </c>
      <c r="C42" s="165"/>
      <c r="D42" s="189">
        <v>0</v>
      </c>
      <c r="E42" s="189"/>
      <c r="F42" s="189">
        <v>0</v>
      </c>
      <c r="G42" s="189"/>
      <c r="H42" s="189">
        <v>234334906</v>
      </c>
      <c r="I42" s="189"/>
      <c r="J42" s="189">
        <f t="shared" si="0"/>
        <v>234334906</v>
      </c>
      <c r="K42" s="189"/>
      <c r="L42" s="204">
        <f t="shared" si="1"/>
        <v>-2.2660594923813916E-4</v>
      </c>
      <c r="M42" s="189"/>
      <c r="N42" s="189">
        <v>0</v>
      </c>
      <c r="O42" s="189"/>
      <c r="P42" s="189">
        <v>0</v>
      </c>
      <c r="Q42" s="189"/>
      <c r="R42" s="189">
        <v>234334906</v>
      </c>
      <c r="S42" s="189"/>
      <c r="T42" s="189">
        <f t="shared" si="2"/>
        <v>234334906</v>
      </c>
      <c r="U42" s="189"/>
      <c r="V42" s="204">
        <f>T42/درآمدها!$F$9</f>
        <v>7.6026043586493376E-5</v>
      </c>
      <c r="W42" s="255"/>
      <c r="X42" s="102"/>
      <c r="Z42" s="194"/>
      <c r="AA42" s="203"/>
    </row>
    <row r="43" spans="2:27" ht="36" customHeight="1" x14ac:dyDescent="0.25">
      <c r="B43" s="175" t="s">
        <v>112</v>
      </c>
      <c r="C43" s="165"/>
      <c r="D43" s="189">
        <v>0</v>
      </c>
      <c r="E43" s="189"/>
      <c r="F43" s="189">
        <v>-130528082614</v>
      </c>
      <c r="G43" s="189"/>
      <c r="H43" s="189">
        <v>112764948524</v>
      </c>
      <c r="I43" s="189"/>
      <c r="J43" s="189">
        <f t="shared" si="0"/>
        <v>-17763134090</v>
      </c>
      <c r="K43" s="189"/>
      <c r="L43" s="204">
        <f t="shared" si="1"/>
        <v>1.7177261085929721E-2</v>
      </c>
      <c r="M43" s="189"/>
      <c r="N43" s="189">
        <v>0</v>
      </c>
      <c r="O43" s="189"/>
      <c r="P43" s="189">
        <v>246479867990</v>
      </c>
      <c r="Q43" s="189"/>
      <c r="R43" s="189">
        <v>150713560373</v>
      </c>
      <c r="S43" s="189"/>
      <c r="T43" s="189">
        <f t="shared" si="2"/>
        <v>397193428363</v>
      </c>
      <c r="U43" s="189"/>
      <c r="V43" s="204">
        <f>T43/درآمدها!$F$9</f>
        <v>0.12886276915567232</v>
      </c>
      <c r="W43" s="255"/>
      <c r="X43" s="102"/>
      <c r="Z43" s="194"/>
      <c r="AA43" s="203"/>
    </row>
    <row r="44" spans="2:27" ht="36" customHeight="1" x14ac:dyDescent="0.25">
      <c r="B44" s="175" t="s">
        <v>202</v>
      </c>
      <c r="C44" s="165"/>
      <c r="D44" s="189">
        <v>0</v>
      </c>
      <c r="E44" s="189"/>
      <c r="F44" s="189">
        <v>8763728640</v>
      </c>
      <c r="G44" s="189"/>
      <c r="H44" s="189">
        <v>0</v>
      </c>
      <c r="I44" s="189"/>
      <c r="J44" s="189">
        <f t="shared" si="0"/>
        <v>8763728640</v>
      </c>
      <c r="K44" s="189"/>
      <c r="L44" s="204">
        <f t="shared" si="1"/>
        <v>-8.4746787460365219E-3</v>
      </c>
      <c r="M44" s="189"/>
      <c r="N44" s="189">
        <v>0</v>
      </c>
      <c r="O44" s="189"/>
      <c r="P44" s="189">
        <v>15415112903</v>
      </c>
      <c r="Q44" s="189"/>
      <c r="R44" s="189">
        <v>45716495</v>
      </c>
      <c r="S44" s="189">
        <v>8613312174</v>
      </c>
      <c r="T44" s="189">
        <f t="shared" si="2"/>
        <v>15460829398</v>
      </c>
      <c r="U44" s="189">
        <v>-5155830312</v>
      </c>
      <c r="V44" s="204">
        <f>T44/درآمدها!$F$9</f>
        <v>5.0160076864335622E-3</v>
      </c>
      <c r="W44" s="255"/>
      <c r="X44" s="102"/>
      <c r="Z44" s="194"/>
      <c r="AA44" s="203"/>
    </row>
    <row r="45" spans="2:27" ht="36" customHeight="1" x14ac:dyDescent="0.25">
      <c r="B45" s="175" t="s">
        <v>165</v>
      </c>
      <c r="C45" s="165"/>
      <c r="D45" s="205">
        <f>SUM(D11:D44)</f>
        <v>133328246511</v>
      </c>
      <c r="E45" s="188"/>
      <c r="F45" s="205">
        <f>SUM(F11:F44)</f>
        <v>-1314856960222</v>
      </c>
      <c r="G45" s="206"/>
      <c r="H45" s="205">
        <f>SUM(H11:H44)</f>
        <v>880376454590</v>
      </c>
      <c r="I45" s="206"/>
      <c r="J45" s="205">
        <f>SUM(J11:J44)</f>
        <v>-301152259121</v>
      </c>
      <c r="K45" s="206"/>
      <c r="L45" s="228">
        <f>SUM(L11:L44)</f>
        <v>0.29121949737750247</v>
      </c>
      <c r="M45" s="206"/>
      <c r="N45" s="205">
        <f>SUM(N11:N44)</f>
        <v>198962868071</v>
      </c>
      <c r="O45" s="206"/>
      <c r="P45" s="205">
        <f>SUM(P11:P44)</f>
        <v>1807725238466</v>
      </c>
      <c r="Q45" s="206"/>
      <c r="R45" s="205">
        <f>SUM(R11:R44)</f>
        <v>991284266661</v>
      </c>
      <c r="S45" s="206"/>
      <c r="T45" s="205">
        <f>SUM(T11:T44)</f>
        <v>2997972373198</v>
      </c>
      <c r="U45" s="189"/>
      <c r="V45" s="120">
        <f>SUM(V11:V44)</f>
        <v>0.97264202848146797</v>
      </c>
      <c r="W45" s="255"/>
      <c r="X45" s="102"/>
      <c r="Z45" s="194"/>
      <c r="AA45" s="203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4"/>
      <c r="M46" s="189"/>
      <c r="N46" s="189"/>
      <c r="O46" s="189"/>
      <c r="P46" s="189"/>
      <c r="Q46" s="189"/>
      <c r="R46" s="189"/>
      <c r="S46" s="189"/>
      <c r="T46" s="189"/>
      <c r="U46" s="189"/>
      <c r="V46" s="204"/>
      <c r="W46" s="255"/>
      <c r="X46" s="102"/>
      <c r="Z46" s="194"/>
      <c r="AA46" s="203"/>
    </row>
    <row r="47" spans="2:27" ht="36" customHeight="1" x14ac:dyDescent="0.25">
      <c r="B47" s="410" t="s">
        <v>136</v>
      </c>
      <c r="C47" s="410"/>
      <c r="D47" s="410"/>
      <c r="E47" s="410"/>
      <c r="F47" s="410"/>
      <c r="G47" s="410"/>
      <c r="H47" s="410"/>
      <c r="I47" s="410"/>
      <c r="J47" s="410"/>
      <c r="K47" s="410"/>
      <c r="L47" s="410"/>
      <c r="M47" s="410"/>
      <c r="N47" s="410"/>
      <c r="O47" s="410"/>
      <c r="P47" s="410"/>
      <c r="Q47" s="410"/>
      <c r="R47" s="410"/>
      <c r="S47" s="410"/>
      <c r="T47" s="410"/>
      <c r="U47" s="410"/>
      <c r="V47" s="410"/>
      <c r="W47" s="255"/>
      <c r="X47" s="102"/>
      <c r="Z47" s="194"/>
      <c r="AA47" s="203"/>
    </row>
    <row r="48" spans="2:27" ht="11.25" customHeight="1" x14ac:dyDescent="0.25">
      <c r="W48" s="255"/>
      <c r="X48" s="102"/>
      <c r="Z48" s="194"/>
      <c r="AA48" s="203"/>
    </row>
    <row r="49" spans="2:27" ht="36" customHeight="1" thickBot="1" x14ac:dyDescent="0.3">
      <c r="B49" s="262"/>
      <c r="C49" s="201"/>
      <c r="D49" s="403" t="str">
        <f>D7</f>
        <v>طی تیر ماه</v>
      </c>
      <c r="E49" s="403"/>
      <c r="F49" s="403"/>
      <c r="G49" s="403"/>
      <c r="H49" s="403"/>
      <c r="I49" s="403"/>
      <c r="J49" s="403"/>
      <c r="K49" s="201"/>
      <c r="L49" s="201"/>
      <c r="M49" s="201"/>
      <c r="N49" s="403" t="str">
        <f>N7</f>
        <v>از ابتدای سال مالی تا پایان تیر  ماه</v>
      </c>
      <c r="O49" s="403"/>
      <c r="P49" s="403"/>
      <c r="Q49" s="403"/>
      <c r="R49" s="403"/>
      <c r="S49" s="403"/>
      <c r="T49" s="403"/>
      <c r="U49" s="403"/>
      <c r="V49" s="403"/>
      <c r="W49" s="255"/>
      <c r="X49" s="102"/>
      <c r="Z49" s="194"/>
      <c r="AA49" s="203"/>
    </row>
    <row r="50" spans="2:27" ht="36" customHeight="1" x14ac:dyDescent="0.25">
      <c r="B50" s="404" t="s">
        <v>35</v>
      </c>
      <c r="C50" s="404"/>
      <c r="D50" s="408" t="s">
        <v>21</v>
      </c>
      <c r="E50" s="404"/>
      <c r="F50" s="408" t="s">
        <v>22</v>
      </c>
      <c r="G50" s="404"/>
      <c r="H50" s="408" t="s">
        <v>23</v>
      </c>
      <c r="I50" s="404"/>
      <c r="J50" s="406" t="s">
        <v>7</v>
      </c>
      <c r="K50" s="406"/>
      <c r="L50" s="406"/>
      <c r="M50" s="404"/>
      <c r="N50" s="409" t="s">
        <v>21</v>
      </c>
      <c r="O50" s="411"/>
      <c r="P50" s="409" t="s">
        <v>22</v>
      </c>
      <c r="Q50" s="411"/>
      <c r="R50" s="409" t="s">
        <v>23</v>
      </c>
      <c r="S50" s="411"/>
      <c r="T50" s="406" t="s">
        <v>7</v>
      </c>
      <c r="U50" s="406"/>
      <c r="V50" s="406"/>
      <c r="W50" s="255"/>
      <c r="X50" s="102"/>
      <c r="Z50" s="194"/>
      <c r="AA50" s="203"/>
    </row>
    <row r="51" spans="2:27" ht="36" customHeight="1" thickBot="1" x14ac:dyDescent="0.3">
      <c r="B51" s="404"/>
      <c r="C51" s="404"/>
      <c r="D51" s="408"/>
      <c r="E51" s="404"/>
      <c r="F51" s="408"/>
      <c r="G51" s="404"/>
      <c r="H51" s="408"/>
      <c r="I51" s="404"/>
      <c r="J51" s="403"/>
      <c r="K51" s="403"/>
      <c r="L51" s="403"/>
      <c r="M51" s="404"/>
      <c r="N51" s="408"/>
      <c r="O51" s="404"/>
      <c r="P51" s="408"/>
      <c r="Q51" s="404"/>
      <c r="R51" s="408"/>
      <c r="S51" s="404"/>
      <c r="T51" s="403"/>
      <c r="U51" s="403"/>
      <c r="V51" s="403"/>
      <c r="W51" s="255"/>
      <c r="X51" s="102"/>
      <c r="Z51" s="194"/>
      <c r="AA51" s="203"/>
    </row>
    <row r="52" spans="2:27" ht="49.5" customHeight="1" thickBot="1" x14ac:dyDescent="0.3">
      <c r="B52" s="405"/>
      <c r="C52" s="404"/>
      <c r="D52" s="88" t="s">
        <v>90</v>
      </c>
      <c r="E52" s="404"/>
      <c r="F52" s="88" t="s">
        <v>91</v>
      </c>
      <c r="G52" s="404"/>
      <c r="H52" s="88" t="s">
        <v>92</v>
      </c>
      <c r="I52" s="404"/>
      <c r="J52" s="103" t="s">
        <v>11</v>
      </c>
      <c r="K52" s="103"/>
      <c r="L52" s="103" t="s">
        <v>24</v>
      </c>
      <c r="M52" s="404"/>
      <c r="N52" s="88" t="s">
        <v>90</v>
      </c>
      <c r="O52" s="404"/>
      <c r="P52" s="88" t="s">
        <v>91</v>
      </c>
      <c r="Q52" s="404"/>
      <c r="R52" s="88" t="s">
        <v>92</v>
      </c>
      <c r="S52" s="404"/>
      <c r="T52" s="103" t="s">
        <v>11</v>
      </c>
      <c r="U52" s="103"/>
      <c r="V52" s="103" t="s">
        <v>24</v>
      </c>
      <c r="W52" s="255"/>
      <c r="X52" s="102"/>
      <c r="Z52" s="194"/>
      <c r="AA52" s="203"/>
    </row>
    <row r="53" spans="2:27" ht="36" customHeight="1" x14ac:dyDescent="0.25">
      <c r="B53" s="191" t="s">
        <v>166</v>
      </c>
      <c r="C53" s="191"/>
      <c r="D53" s="189">
        <f>D45</f>
        <v>133328246511</v>
      </c>
      <c r="E53" s="191"/>
      <c r="F53" s="189">
        <f>F45</f>
        <v>-1314856960222</v>
      </c>
      <c r="G53" s="189"/>
      <c r="H53" s="189">
        <f>H45</f>
        <v>880376454590</v>
      </c>
      <c r="I53" s="189"/>
      <c r="J53" s="189">
        <f>D53+F53+H53</f>
        <v>-301152259121</v>
      </c>
      <c r="K53" s="189"/>
      <c r="L53" s="204">
        <f>L45</f>
        <v>0.29121949737750247</v>
      </c>
      <c r="M53" s="189"/>
      <c r="N53" s="189">
        <f>N45</f>
        <v>198962868071</v>
      </c>
      <c r="O53" s="189"/>
      <c r="P53" s="189">
        <f>P45</f>
        <v>1807725238466</v>
      </c>
      <c r="Q53" s="189"/>
      <c r="R53" s="189">
        <f>R45</f>
        <v>991284266661</v>
      </c>
      <c r="S53" s="189"/>
      <c r="T53" s="189">
        <f>N53+P53+R53</f>
        <v>2997972373198</v>
      </c>
      <c r="U53" s="105"/>
      <c r="V53" s="106">
        <f>V45</f>
        <v>0.97264202848146797</v>
      </c>
      <c r="W53" s="255"/>
      <c r="X53" s="102"/>
      <c r="Z53" s="194"/>
      <c r="AA53" s="203"/>
    </row>
    <row r="54" spans="2:27" ht="36" customHeight="1" x14ac:dyDescent="0.25">
      <c r="B54" s="175" t="s">
        <v>151</v>
      </c>
      <c r="C54" s="175"/>
      <c r="D54" s="190">
        <v>0</v>
      </c>
      <c r="E54" s="188"/>
      <c r="F54" s="189">
        <v>0</v>
      </c>
      <c r="G54" s="189"/>
      <c r="H54" s="189">
        <v>0</v>
      </c>
      <c r="I54" s="189"/>
      <c r="J54" s="189">
        <f>D54+F54+H54</f>
        <v>0</v>
      </c>
      <c r="K54" s="189"/>
      <c r="L54" s="204">
        <f t="shared" ref="L54:L86" si="3">J54/$X$12</f>
        <v>0</v>
      </c>
      <c r="M54" s="189"/>
      <c r="N54" s="189">
        <v>0</v>
      </c>
      <c r="O54" s="189"/>
      <c r="P54" s="189">
        <v>0</v>
      </c>
      <c r="Q54" s="189"/>
      <c r="R54" s="189">
        <v>2853482</v>
      </c>
      <c r="S54" s="189">
        <v>2132299511</v>
      </c>
      <c r="T54" s="189">
        <f>N54+P54+R54</f>
        <v>2853482</v>
      </c>
      <c r="U54" s="189">
        <v>-5155830311</v>
      </c>
      <c r="V54" s="204">
        <f>T54/درآمدها!$F$9</f>
        <v>9.2576454190428762E-7</v>
      </c>
      <c r="W54" s="255"/>
      <c r="X54" s="102"/>
      <c r="Z54" s="194"/>
      <c r="AA54" s="203"/>
    </row>
    <row r="55" spans="2:27" ht="36" customHeight="1" x14ac:dyDescent="0.25">
      <c r="B55" s="175" t="s">
        <v>113</v>
      </c>
      <c r="C55" s="175"/>
      <c r="D55" s="190">
        <v>0</v>
      </c>
      <c r="E55" s="188"/>
      <c r="F55" s="189">
        <v>-20837670000</v>
      </c>
      <c r="G55" s="189"/>
      <c r="H55" s="189">
        <v>0</v>
      </c>
      <c r="I55" s="189"/>
      <c r="J55" s="189">
        <f t="shared" ref="J55:J86" si="4">D55+F55+H55</f>
        <v>-20837670000</v>
      </c>
      <c r="K55" s="189"/>
      <c r="L55" s="204">
        <f t="shared" si="3"/>
        <v>2.0150391040168362E-2</v>
      </c>
      <c r="M55" s="189"/>
      <c r="N55" s="189">
        <v>0</v>
      </c>
      <c r="O55" s="189"/>
      <c r="P55" s="189">
        <v>82755318060</v>
      </c>
      <c r="Q55" s="189"/>
      <c r="R55" s="189">
        <v>68254241855</v>
      </c>
      <c r="S55" s="189">
        <v>1644814375</v>
      </c>
      <c r="T55" s="189">
        <f t="shared" ref="T55:T86" si="5">N55+P55+R55</f>
        <v>151009559915</v>
      </c>
      <c r="U55" s="189">
        <v>-5155830310</v>
      </c>
      <c r="V55" s="204">
        <f>T55/درآمدها!$F$9</f>
        <v>4.8992527746058341E-2</v>
      </c>
      <c r="W55" s="255"/>
      <c r="X55" s="102"/>
      <c r="Z55" s="194"/>
      <c r="AA55" s="203"/>
    </row>
    <row r="56" spans="2:27" ht="36" customHeight="1" x14ac:dyDescent="0.25">
      <c r="B56" s="175" t="s">
        <v>182</v>
      </c>
      <c r="C56" s="175"/>
      <c r="D56" s="190">
        <v>0</v>
      </c>
      <c r="E56" s="188"/>
      <c r="F56" s="189">
        <v>0</v>
      </c>
      <c r="G56" s="189"/>
      <c r="H56" s="189">
        <v>0</v>
      </c>
      <c r="I56" s="189"/>
      <c r="J56" s="189">
        <f t="shared" si="4"/>
        <v>0</v>
      </c>
      <c r="K56" s="189"/>
      <c r="L56" s="204">
        <f t="shared" si="3"/>
        <v>0</v>
      </c>
      <c r="M56" s="189"/>
      <c r="N56" s="189">
        <v>0</v>
      </c>
      <c r="O56" s="189"/>
      <c r="P56" s="189">
        <v>0</v>
      </c>
      <c r="Q56" s="189"/>
      <c r="R56" s="189">
        <v>287383164</v>
      </c>
      <c r="S56" s="189">
        <v>-8875524087</v>
      </c>
      <c r="T56" s="189">
        <f t="shared" si="5"/>
        <v>287383164</v>
      </c>
      <c r="U56" s="189">
        <v>-803317139</v>
      </c>
      <c r="V56" s="204">
        <f>T56/درآمدها!$F$9</f>
        <v>9.3236664247913523E-5</v>
      </c>
      <c r="W56" s="255"/>
      <c r="X56" s="102"/>
      <c r="Z56" s="194"/>
      <c r="AA56" s="203"/>
    </row>
    <row r="57" spans="2:27" ht="36" customHeight="1" x14ac:dyDescent="0.45">
      <c r="B57" s="175" t="s">
        <v>181</v>
      </c>
      <c r="C57" s="175"/>
      <c r="D57" s="190">
        <v>0</v>
      </c>
      <c r="E57" s="188"/>
      <c r="F57" s="189">
        <v>0</v>
      </c>
      <c r="G57" s="189"/>
      <c r="H57" s="189">
        <v>0</v>
      </c>
      <c r="I57" s="189"/>
      <c r="J57" s="189">
        <f t="shared" si="4"/>
        <v>0</v>
      </c>
      <c r="K57" s="189"/>
      <c r="L57" s="204">
        <f t="shared" si="3"/>
        <v>0</v>
      </c>
      <c r="M57" s="189"/>
      <c r="N57" s="189">
        <v>353463349</v>
      </c>
      <c r="O57" s="189"/>
      <c r="P57" s="189">
        <v>0</v>
      </c>
      <c r="Q57" s="189"/>
      <c r="R57" s="189">
        <v>2100289780</v>
      </c>
      <c r="S57" s="189">
        <v>1487118809</v>
      </c>
      <c r="T57" s="189">
        <f t="shared" si="5"/>
        <v>2453753129</v>
      </c>
      <c r="U57" s="189">
        <v>-38274340413</v>
      </c>
      <c r="V57" s="204">
        <f>T57/درآمدها!$F$9</f>
        <v>7.9607919076233788E-4</v>
      </c>
      <c r="W57" s="255"/>
      <c r="X57" s="263"/>
      <c r="Z57" s="194"/>
      <c r="AA57" s="203"/>
    </row>
    <row r="58" spans="2:27" ht="36" customHeight="1" x14ac:dyDescent="0.45">
      <c r="B58" s="175" t="s">
        <v>194</v>
      </c>
      <c r="C58" s="175"/>
      <c r="D58" s="190">
        <v>0</v>
      </c>
      <c r="E58" s="188"/>
      <c r="F58" s="189">
        <v>0</v>
      </c>
      <c r="G58" s="189"/>
      <c r="H58" s="189">
        <v>0</v>
      </c>
      <c r="I58" s="189"/>
      <c r="J58" s="189">
        <f t="shared" si="4"/>
        <v>0</v>
      </c>
      <c r="K58" s="189"/>
      <c r="L58" s="204">
        <f t="shared" si="3"/>
        <v>0</v>
      </c>
      <c r="M58" s="189"/>
      <c r="N58" s="189">
        <v>0</v>
      </c>
      <c r="O58" s="189"/>
      <c r="P58" s="189">
        <v>0</v>
      </c>
      <c r="Q58" s="189"/>
      <c r="R58" s="189">
        <v>69437924</v>
      </c>
      <c r="S58" s="189"/>
      <c r="T58" s="189">
        <f t="shared" si="5"/>
        <v>69437924</v>
      </c>
      <c r="U58" s="189"/>
      <c r="V58" s="204">
        <f>T58/درآمدها!$F$9</f>
        <v>2.2527973858830979E-5</v>
      </c>
      <c r="W58" s="255"/>
      <c r="X58" s="263"/>
      <c r="Z58" s="194"/>
      <c r="AA58" s="203"/>
    </row>
    <row r="59" spans="2:27" ht="36" customHeight="1" x14ac:dyDescent="0.45">
      <c r="B59" s="175" t="s">
        <v>207</v>
      </c>
      <c r="C59" s="175"/>
      <c r="D59" s="190">
        <v>0</v>
      </c>
      <c r="E59" s="188"/>
      <c r="F59" s="189">
        <v>0</v>
      </c>
      <c r="G59" s="189"/>
      <c r="H59" s="189">
        <v>0</v>
      </c>
      <c r="I59" s="189"/>
      <c r="J59" s="189">
        <f t="shared" si="4"/>
        <v>0</v>
      </c>
      <c r="K59" s="189"/>
      <c r="L59" s="204">
        <f t="shared" si="3"/>
        <v>0</v>
      </c>
      <c r="M59" s="189"/>
      <c r="N59" s="189">
        <v>0</v>
      </c>
      <c r="O59" s="189"/>
      <c r="P59" s="189">
        <v>0</v>
      </c>
      <c r="Q59" s="189"/>
      <c r="R59" s="189">
        <v>7835747</v>
      </c>
      <c r="S59" s="189"/>
      <c r="T59" s="189">
        <f t="shared" si="5"/>
        <v>7835747</v>
      </c>
      <c r="U59" s="189"/>
      <c r="V59" s="204">
        <f>T59/درآمدها!$F$9</f>
        <v>2.5421771477559335E-6</v>
      </c>
      <c r="W59" s="255"/>
      <c r="X59" s="263"/>
      <c r="Z59" s="194"/>
      <c r="AA59" s="203"/>
    </row>
    <row r="60" spans="2:27" ht="36" customHeight="1" x14ac:dyDescent="0.45">
      <c r="B60" s="175" t="s">
        <v>187</v>
      </c>
      <c r="C60" s="175"/>
      <c r="D60" s="190">
        <v>0</v>
      </c>
      <c r="E60" s="188"/>
      <c r="F60" s="189">
        <v>0</v>
      </c>
      <c r="G60" s="189"/>
      <c r="H60" s="189">
        <v>0</v>
      </c>
      <c r="I60" s="189"/>
      <c r="J60" s="189">
        <f t="shared" si="4"/>
        <v>0</v>
      </c>
      <c r="K60" s="189"/>
      <c r="L60" s="204">
        <f t="shared" si="3"/>
        <v>0</v>
      </c>
      <c r="M60" s="189"/>
      <c r="N60" s="189">
        <v>0</v>
      </c>
      <c r="O60" s="189"/>
      <c r="P60" s="189">
        <v>0</v>
      </c>
      <c r="Q60" s="189"/>
      <c r="R60" s="189">
        <v>315387909</v>
      </c>
      <c r="S60" s="189"/>
      <c r="T60" s="189">
        <f t="shared" si="5"/>
        <v>315387909</v>
      </c>
      <c r="U60" s="189"/>
      <c r="V60" s="204">
        <f>T60/درآمدها!$F$9</f>
        <v>1.0232233569286092E-4</v>
      </c>
      <c r="W60" s="255"/>
      <c r="X60" s="263"/>
      <c r="Z60" s="194"/>
      <c r="AA60" s="203"/>
    </row>
    <row r="61" spans="2:27" ht="36" customHeight="1" x14ac:dyDescent="0.45">
      <c r="B61" s="175" t="s">
        <v>118</v>
      </c>
      <c r="C61" s="175"/>
      <c r="D61" s="190">
        <v>0</v>
      </c>
      <c r="E61" s="188"/>
      <c r="F61" s="189">
        <v>5655938999</v>
      </c>
      <c r="G61" s="189"/>
      <c r="H61" s="189">
        <v>0</v>
      </c>
      <c r="I61" s="189"/>
      <c r="J61" s="189">
        <f t="shared" si="4"/>
        <v>5655938999</v>
      </c>
      <c r="K61" s="189"/>
      <c r="L61" s="204">
        <f t="shared" si="3"/>
        <v>-5.4693918527929661E-3</v>
      </c>
      <c r="M61" s="189"/>
      <c r="N61" s="189">
        <v>0</v>
      </c>
      <c r="O61" s="189"/>
      <c r="P61" s="189">
        <v>36634652897</v>
      </c>
      <c r="Q61" s="189"/>
      <c r="R61" s="189">
        <v>2480203631</v>
      </c>
      <c r="S61" s="189"/>
      <c r="T61" s="189">
        <f t="shared" si="5"/>
        <v>39114856528</v>
      </c>
      <c r="U61" s="189"/>
      <c r="V61" s="204">
        <f>T61/درآمدها!$F$9</f>
        <v>1.2690161436201755E-2</v>
      </c>
      <c r="W61" s="255"/>
      <c r="X61" s="263"/>
      <c r="Z61" s="194"/>
      <c r="AA61" s="203"/>
    </row>
    <row r="62" spans="2:27" ht="36" customHeight="1" x14ac:dyDescent="0.45">
      <c r="B62" s="175" t="s">
        <v>186</v>
      </c>
      <c r="C62" s="175"/>
      <c r="D62" s="190">
        <v>0</v>
      </c>
      <c r="E62" s="188"/>
      <c r="F62" s="189">
        <v>0</v>
      </c>
      <c r="G62" s="189"/>
      <c r="H62" s="189">
        <v>0</v>
      </c>
      <c r="I62" s="189"/>
      <c r="J62" s="189">
        <f t="shared" si="4"/>
        <v>0</v>
      </c>
      <c r="K62" s="189"/>
      <c r="L62" s="204">
        <f t="shared" si="3"/>
        <v>0</v>
      </c>
      <c r="M62" s="189"/>
      <c r="N62" s="189">
        <v>0</v>
      </c>
      <c r="O62" s="189"/>
      <c r="P62" s="189">
        <v>0</v>
      </c>
      <c r="Q62" s="189"/>
      <c r="R62" s="189">
        <v>997817364</v>
      </c>
      <c r="S62" s="189"/>
      <c r="T62" s="189">
        <f t="shared" si="5"/>
        <v>997817364</v>
      </c>
      <c r="U62" s="189"/>
      <c r="V62" s="204">
        <f>T62/درآمدها!$F$9</f>
        <v>3.2372516626619821E-4</v>
      </c>
      <c r="W62" s="255"/>
      <c r="X62" s="263"/>
      <c r="Z62" s="194"/>
      <c r="AA62" s="203"/>
    </row>
    <row r="63" spans="2:27" ht="36" customHeight="1" x14ac:dyDescent="0.45">
      <c r="B63" s="175" t="s">
        <v>191</v>
      </c>
      <c r="C63" s="175"/>
      <c r="D63" s="190">
        <v>0</v>
      </c>
      <c r="E63" s="188"/>
      <c r="F63" s="189">
        <v>0</v>
      </c>
      <c r="G63" s="189"/>
      <c r="H63" s="189">
        <v>0</v>
      </c>
      <c r="I63" s="189"/>
      <c r="J63" s="189">
        <f t="shared" si="4"/>
        <v>0</v>
      </c>
      <c r="K63" s="189"/>
      <c r="L63" s="204">
        <f t="shared" si="3"/>
        <v>0</v>
      </c>
      <c r="M63" s="189"/>
      <c r="N63" s="189">
        <v>0</v>
      </c>
      <c r="O63" s="189"/>
      <c r="P63" s="189">
        <v>0</v>
      </c>
      <c r="Q63" s="189"/>
      <c r="R63" s="189">
        <v>222654424</v>
      </c>
      <c r="S63" s="189"/>
      <c r="T63" s="189">
        <f t="shared" si="5"/>
        <v>222654424</v>
      </c>
      <c r="U63" s="189"/>
      <c r="V63" s="204">
        <f>T63/درآمدها!$F$9</f>
        <v>7.2236506428750217E-5</v>
      </c>
      <c r="W63" s="255"/>
      <c r="X63" s="263"/>
      <c r="Z63" s="194"/>
      <c r="AA63" s="203"/>
    </row>
    <row r="64" spans="2:27" ht="36" customHeight="1" x14ac:dyDescent="0.45">
      <c r="B64" s="175" t="s">
        <v>200</v>
      </c>
      <c r="C64" s="175"/>
      <c r="D64" s="190">
        <v>0</v>
      </c>
      <c r="E64" s="188"/>
      <c r="F64" s="189">
        <v>0</v>
      </c>
      <c r="G64" s="189"/>
      <c r="H64" s="189">
        <v>0</v>
      </c>
      <c r="I64" s="189"/>
      <c r="J64" s="189">
        <f t="shared" si="4"/>
        <v>0</v>
      </c>
      <c r="K64" s="189"/>
      <c r="L64" s="204">
        <f t="shared" si="3"/>
        <v>0</v>
      </c>
      <c r="M64" s="189"/>
      <c r="N64" s="189">
        <v>0</v>
      </c>
      <c r="O64" s="189"/>
      <c r="P64" s="189">
        <v>0</v>
      </c>
      <c r="Q64" s="189"/>
      <c r="R64" s="189">
        <v>822859418</v>
      </c>
      <c r="S64" s="189"/>
      <c r="T64" s="189">
        <f t="shared" si="5"/>
        <v>822859418</v>
      </c>
      <c r="U64" s="189"/>
      <c r="V64" s="204">
        <f>T64/درآمدها!$F$9</f>
        <v>2.6696298492732696E-4</v>
      </c>
      <c r="W64" s="255"/>
      <c r="X64" s="263"/>
      <c r="Z64" s="194"/>
      <c r="AA64" s="203"/>
    </row>
    <row r="65" spans="2:31" ht="36" customHeight="1" x14ac:dyDescent="0.45">
      <c r="B65" s="175" t="s">
        <v>226</v>
      </c>
      <c r="C65" s="175"/>
      <c r="D65" s="190">
        <v>0</v>
      </c>
      <c r="E65" s="188"/>
      <c r="F65" s="189">
        <v>0</v>
      </c>
      <c r="G65" s="189"/>
      <c r="H65" s="189">
        <v>0</v>
      </c>
      <c r="I65" s="189"/>
      <c r="J65" s="189">
        <f t="shared" si="4"/>
        <v>0</v>
      </c>
      <c r="K65" s="189"/>
      <c r="L65" s="204">
        <f t="shared" si="3"/>
        <v>0</v>
      </c>
      <c r="M65" s="189"/>
      <c r="N65" s="189">
        <v>0</v>
      </c>
      <c r="O65" s="189"/>
      <c r="P65" s="189">
        <v>0</v>
      </c>
      <c r="Q65" s="189"/>
      <c r="R65" s="189">
        <v>0</v>
      </c>
      <c r="S65" s="189"/>
      <c r="T65" s="189">
        <f t="shared" si="5"/>
        <v>0</v>
      </c>
      <c r="U65" s="189"/>
      <c r="V65" s="204">
        <f>T65/درآمدها!$F$9</f>
        <v>0</v>
      </c>
      <c r="W65" s="255"/>
      <c r="X65" s="263"/>
      <c r="Z65" s="194"/>
      <c r="AA65" s="203"/>
    </row>
    <row r="66" spans="2:31" ht="36" customHeight="1" x14ac:dyDescent="0.45">
      <c r="B66" s="175" t="s">
        <v>188</v>
      </c>
      <c r="C66" s="175"/>
      <c r="D66" s="190">
        <v>0</v>
      </c>
      <c r="E66" s="188"/>
      <c r="F66" s="189">
        <v>0</v>
      </c>
      <c r="G66" s="189"/>
      <c r="H66" s="189">
        <v>0</v>
      </c>
      <c r="I66" s="189"/>
      <c r="J66" s="189">
        <f t="shared" si="4"/>
        <v>0</v>
      </c>
      <c r="K66" s="189"/>
      <c r="L66" s="204">
        <f t="shared" si="3"/>
        <v>0</v>
      </c>
      <c r="M66" s="189"/>
      <c r="N66" s="189">
        <v>399770799</v>
      </c>
      <c r="O66" s="189"/>
      <c r="P66" s="189">
        <v>0</v>
      </c>
      <c r="Q66" s="189"/>
      <c r="R66" s="189">
        <v>6557870676</v>
      </c>
      <c r="S66" s="189"/>
      <c r="T66" s="189">
        <f t="shared" si="5"/>
        <v>6957641475</v>
      </c>
      <c r="U66" s="189"/>
      <c r="V66" s="204">
        <f>T66/درآمدها!$F$9</f>
        <v>2.2572904867939054E-3</v>
      </c>
      <c r="W66" s="255"/>
      <c r="X66" s="263"/>
      <c r="Z66" s="194"/>
      <c r="AA66" s="203"/>
    </row>
    <row r="67" spans="2:31" ht="36" customHeight="1" x14ac:dyDescent="0.25">
      <c r="B67" s="175" t="s">
        <v>124</v>
      </c>
      <c r="C67" s="175"/>
      <c r="D67" s="190">
        <v>43735</v>
      </c>
      <c r="E67" s="188"/>
      <c r="F67" s="189">
        <v>-42667</v>
      </c>
      <c r="G67" s="189"/>
      <c r="H67" s="189">
        <v>0</v>
      </c>
      <c r="I67" s="189"/>
      <c r="J67" s="189">
        <f t="shared" si="4"/>
        <v>1068</v>
      </c>
      <c r="K67" s="189"/>
      <c r="L67" s="204">
        <f t="shared" si="3"/>
        <v>-1.0327746639091516E-9</v>
      </c>
      <c r="M67" s="189"/>
      <c r="N67" s="189">
        <v>43735</v>
      </c>
      <c r="O67" s="189"/>
      <c r="P67" s="189">
        <v>199446</v>
      </c>
      <c r="Q67" s="189"/>
      <c r="R67" s="189">
        <v>0</v>
      </c>
      <c r="S67" s="189">
        <v>3859275341</v>
      </c>
      <c r="T67" s="189">
        <f t="shared" si="5"/>
        <v>243181</v>
      </c>
      <c r="U67" s="189">
        <v>8687840</v>
      </c>
      <c r="V67" s="204">
        <f>T67/درآمدها!$F$9</f>
        <v>7.8896010931495821E-8</v>
      </c>
      <c r="W67" s="255"/>
      <c r="X67" s="102"/>
      <c r="Z67" s="194"/>
      <c r="AA67" s="203"/>
    </row>
    <row r="68" spans="2:31" ht="36" customHeight="1" x14ac:dyDescent="0.25">
      <c r="B68" s="175" t="s">
        <v>146</v>
      </c>
      <c r="C68" s="175"/>
      <c r="D68" s="190">
        <v>2554614</v>
      </c>
      <c r="E68" s="188"/>
      <c r="F68" s="189">
        <v>-2210280</v>
      </c>
      <c r="G68" s="189"/>
      <c r="H68" s="189">
        <v>0</v>
      </c>
      <c r="I68" s="189"/>
      <c r="J68" s="189">
        <f t="shared" si="4"/>
        <v>344334</v>
      </c>
      <c r="K68" s="189"/>
      <c r="L68" s="204">
        <f t="shared" si="3"/>
        <v>-3.3297699543304661E-7</v>
      </c>
      <c r="M68" s="189"/>
      <c r="N68" s="189">
        <v>2554614</v>
      </c>
      <c r="O68" s="189"/>
      <c r="P68" s="189">
        <v>-919476</v>
      </c>
      <c r="Q68" s="189"/>
      <c r="R68" s="189">
        <v>0</v>
      </c>
      <c r="S68" s="189">
        <v>1937265303</v>
      </c>
      <c r="T68" s="189">
        <f t="shared" si="5"/>
        <v>1635138</v>
      </c>
      <c r="U68" s="189">
        <v>-3013924119</v>
      </c>
      <c r="V68" s="204">
        <f>T68/درآمدها!$F$9</f>
        <v>5.3049319446216693E-7</v>
      </c>
      <c r="W68" s="255"/>
      <c r="X68" s="102"/>
      <c r="Z68" s="194"/>
      <c r="AA68" s="203"/>
    </row>
    <row r="69" spans="2:31" ht="36" customHeight="1" x14ac:dyDescent="0.25">
      <c r="B69" s="175" t="s">
        <v>135</v>
      </c>
      <c r="C69" s="175"/>
      <c r="D69" s="189">
        <v>4487628</v>
      </c>
      <c r="E69" s="188"/>
      <c r="F69" s="189">
        <v>-4584286</v>
      </c>
      <c r="G69" s="189"/>
      <c r="H69" s="189">
        <v>0</v>
      </c>
      <c r="I69" s="189"/>
      <c r="J69" s="189">
        <f t="shared" si="4"/>
        <v>-96658</v>
      </c>
      <c r="K69" s="189"/>
      <c r="L69" s="204">
        <f t="shared" si="3"/>
        <v>9.3469975153680488E-8</v>
      </c>
      <c r="M69" s="189"/>
      <c r="N69" s="189">
        <v>4487628</v>
      </c>
      <c r="O69" s="189"/>
      <c r="P69" s="189">
        <v>12959046</v>
      </c>
      <c r="Q69" s="189"/>
      <c r="R69" s="189">
        <v>0</v>
      </c>
      <c r="S69" s="189">
        <v>1212931406</v>
      </c>
      <c r="T69" s="189">
        <f t="shared" si="5"/>
        <v>17446674</v>
      </c>
      <c r="U69" s="189">
        <v>-5189228345</v>
      </c>
      <c r="V69" s="204">
        <f>T69/درآمدها!$F$9</f>
        <v>5.6602817762170732E-6</v>
      </c>
      <c r="W69" s="255"/>
      <c r="X69" s="102"/>
      <c r="Z69" s="194"/>
      <c r="AA69" s="203"/>
    </row>
    <row r="70" spans="2:31" ht="36" customHeight="1" x14ac:dyDescent="0.25">
      <c r="B70" s="175" t="s">
        <v>126</v>
      </c>
      <c r="C70" s="175"/>
      <c r="D70" s="190">
        <v>0</v>
      </c>
      <c r="E70" s="188"/>
      <c r="F70" s="189">
        <v>-323983</v>
      </c>
      <c r="G70" s="189"/>
      <c r="H70" s="189">
        <v>0</v>
      </c>
      <c r="I70" s="189"/>
      <c r="J70" s="189">
        <f t="shared" si="4"/>
        <v>-323983</v>
      </c>
      <c r="K70" s="189"/>
      <c r="L70" s="204">
        <f t="shared" si="3"/>
        <v>3.1329722278771408E-7</v>
      </c>
      <c r="M70" s="189"/>
      <c r="N70" s="189">
        <v>209641</v>
      </c>
      <c r="O70" s="189"/>
      <c r="P70" s="189">
        <v>-22275</v>
      </c>
      <c r="Q70" s="189"/>
      <c r="R70" s="189">
        <v>0</v>
      </c>
      <c r="S70" s="189">
        <v>6910941668</v>
      </c>
      <c r="T70" s="189">
        <f t="shared" si="5"/>
        <v>187366</v>
      </c>
      <c r="U70" s="189">
        <v>3261876929</v>
      </c>
      <c r="V70" s="204">
        <f>T70/درآمدها!$F$9</f>
        <v>6.0787767071402154E-8</v>
      </c>
      <c r="W70" s="255"/>
      <c r="X70" s="102"/>
      <c r="Z70" s="194"/>
      <c r="AA70" s="203"/>
    </row>
    <row r="71" spans="2:31" ht="36" customHeight="1" x14ac:dyDescent="0.25">
      <c r="B71" s="175" t="s">
        <v>125</v>
      </c>
      <c r="C71" s="175"/>
      <c r="D71" s="190">
        <v>0</v>
      </c>
      <c r="E71" s="188"/>
      <c r="F71" s="189">
        <v>103855</v>
      </c>
      <c r="G71" s="189"/>
      <c r="H71" s="189">
        <v>0</v>
      </c>
      <c r="I71" s="189"/>
      <c r="J71" s="189">
        <f t="shared" si="4"/>
        <v>103855</v>
      </c>
      <c r="K71" s="189"/>
      <c r="L71" s="204">
        <f t="shared" si="3"/>
        <v>-1.0042959992536042E-7</v>
      </c>
      <c r="M71" s="189"/>
      <c r="N71" s="189">
        <v>195424</v>
      </c>
      <c r="O71" s="189"/>
      <c r="P71" s="189">
        <v>307147</v>
      </c>
      <c r="Q71" s="189"/>
      <c r="R71" s="189">
        <v>0</v>
      </c>
      <c r="S71" s="189">
        <v>151419925</v>
      </c>
      <c r="T71" s="189">
        <f t="shared" si="5"/>
        <v>502571</v>
      </c>
      <c r="U71" s="189">
        <v>2910175062</v>
      </c>
      <c r="V71" s="204">
        <f>T71/درآمدها!$F$9</f>
        <v>1.6305076099634754E-7</v>
      </c>
      <c r="W71" s="255"/>
      <c r="X71" s="102"/>
      <c r="Z71" s="194"/>
      <c r="AA71" s="203"/>
    </row>
    <row r="72" spans="2:31" ht="36" customHeight="1" x14ac:dyDescent="0.25">
      <c r="B72" s="175" t="s">
        <v>132</v>
      </c>
      <c r="C72" s="175"/>
      <c r="D72" s="190">
        <v>14794173528</v>
      </c>
      <c r="E72" s="188"/>
      <c r="F72" s="189">
        <v>-9525792000</v>
      </c>
      <c r="G72" s="189"/>
      <c r="H72" s="189">
        <v>0</v>
      </c>
      <c r="I72" s="189"/>
      <c r="J72" s="189">
        <f t="shared" si="4"/>
        <v>5268381528</v>
      </c>
      <c r="K72" s="189"/>
      <c r="L72" s="204">
        <f t="shared" si="3"/>
        <v>-5.0946170055481107E-3</v>
      </c>
      <c r="M72" s="189"/>
      <c r="N72" s="189">
        <v>14794173528</v>
      </c>
      <c r="O72" s="189"/>
      <c r="P72" s="189">
        <v>-68506320800</v>
      </c>
      <c r="Q72" s="189"/>
      <c r="R72" s="189">
        <v>0</v>
      </c>
      <c r="S72" s="189">
        <v>31387040</v>
      </c>
      <c r="T72" s="189">
        <f t="shared" si="5"/>
        <v>-53712147272</v>
      </c>
      <c r="U72" s="189">
        <v>1401330331</v>
      </c>
      <c r="V72" s="204">
        <f>T72/درآمدها!$F$9-1</f>
        <v>-1.017426008439499</v>
      </c>
      <c r="W72" s="255"/>
      <c r="X72" s="102"/>
      <c r="Z72" s="194"/>
      <c r="AA72" s="203"/>
    </row>
    <row r="73" spans="2:31" ht="36" customHeight="1" x14ac:dyDescent="0.25">
      <c r="B73" s="175" t="s">
        <v>114</v>
      </c>
      <c r="C73" s="175"/>
      <c r="D73" s="190">
        <v>502958</v>
      </c>
      <c r="E73" s="188"/>
      <c r="F73" s="189">
        <v>-966275</v>
      </c>
      <c r="G73" s="189"/>
      <c r="H73" s="189">
        <v>0</v>
      </c>
      <c r="I73" s="189"/>
      <c r="J73" s="189">
        <f t="shared" si="4"/>
        <v>-463317</v>
      </c>
      <c r="K73" s="189"/>
      <c r="L73" s="204">
        <f t="shared" si="3"/>
        <v>4.4803563572883551E-7</v>
      </c>
      <c r="M73" s="189"/>
      <c r="N73" s="189">
        <v>502958</v>
      </c>
      <c r="O73" s="189"/>
      <c r="P73" s="189">
        <v>-575713</v>
      </c>
      <c r="Q73" s="189"/>
      <c r="R73" s="189">
        <v>0</v>
      </c>
      <c r="S73" s="189">
        <v>1762590900</v>
      </c>
      <c r="T73" s="189">
        <f t="shared" si="5"/>
        <v>-72755</v>
      </c>
      <c r="U73" s="189">
        <v>-160980321</v>
      </c>
      <c r="V73" s="204">
        <f>T73/درآمدها!$F$9</f>
        <v>-2.3604143725541794E-8</v>
      </c>
      <c r="W73" s="255"/>
      <c r="X73" s="102"/>
      <c r="Z73" s="194"/>
      <c r="AA73" s="203"/>
    </row>
    <row r="74" spans="2:31" ht="36" customHeight="1" x14ac:dyDescent="0.25">
      <c r="B74" s="175" t="s">
        <v>139</v>
      </c>
      <c r="C74" s="175"/>
      <c r="D74" s="190">
        <v>5401057</v>
      </c>
      <c r="E74" s="188"/>
      <c r="F74" s="189">
        <v>-6279084</v>
      </c>
      <c r="G74" s="189"/>
      <c r="H74" s="189">
        <v>0</v>
      </c>
      <c r="I74" s="189"/>
      <c r="J74" s="189">
        <f t="shared" si="4"/>
        <v>-878027</v>
      </c>
      <c r="K74" s="189"/>
      <c r="L74" s="204">
        <f t="shared" si="3"/>
        <v>8.4906745302262228E-7</v>
      </c>
      <c r="M74" s="189"/>
      <c r="N74" s="189">
        <v>5401057</v>
      </c>
      <c r="O74" s="189"/>
      <c r="P74" s="189">
        <v>1897220</v>
      </c>
      <c r="Q74" s="189"/>
      <c r="R74" s="189">
        <v>0</v>
      </c>
      <c r="S74" s="189">
        <v>2476602308</v>
      </c>
      <c r="T74" s="189">
        <f t="shared" si="5"/>
        <v>7298277</v>
      </c>
      <c r="U74" s="189">
        <v>-12553533323</v>
      </c>
      <c r="V74" s="204">
        <f>T74/درآمدها!$F$9</f>
        <v>2.3678039895102192E-6</v>
      </c>
      <c r="W74" s="255"/>
      <c r="X74" s="102"/>
      <c r="Z74" s="194"/>
      <c r="AA74" s="203"/>
    </row>
    <row r="75" spans="2:31" ht="36" customHeight="1" x14ac:dyDescent="0.25">
      <c r="B75" s="175" t="s">
        <v>222</v>
      </c>
      <c r="C75" s="175"/>
      <c r="D75" s="190">
        <v>15045801527</v>
      </c>
      <c r="E75" s="188"/>
      <c r="F75" s="189">
        <v>-59503455090</v>
      </c>
      <c r="G75" s="189"/>
      <c r="H75" s="189">
        <v>0</v>
      </c>
      <c r="I75" s="189"/>
      <c r="J75" s="189">
        <f t="shared" si="4"/>
        <v>-44457653563</v>
      </c>
      <c r="K75" s="189"/>
      <c r="L75" s="204">
        <f t="shared" si="3"/>
        <v>4.2991327918274175E-2</v>
      </c>
      <c r="M75" s="189"/>
      <c r="N75" s="189">
        <v>15045801527</v>
      </c>
      <c r="O75" s="189"/>
      <c r="P75" s="189">
        <v>-84350011511</v>
      </c>
      <c r="Q75" s="189"/>
      <c r="R75" s="189">
        <v>0</v>
      </c>
      <c r="S75" s="189">
        <v>9867221407</v>
      </c>
      <c r="T75" s="189">
        <f t="shared" si="5"/>
        <v>-69304209984</v>
      </c>
      <c r="U75" s="189">
        <v>-6135872031</v>
      </c>
      <c r="V75" s="204">
        <f>T75/درآمدها!$F$9</f>
        <v>-2.2484592581231044E-2</v>
      </c>
      <c r="W75" s="255"/>
      <c r="X75" s="102"/>
      <c r="Z75" s="194"/>
      <c r="AA75" s="203"/>
      <c r="AD75" s="185"/>
    </row>
    <row r="76" spans="2:31" ht="36" customHeight="1" x14ac:dyDescent="0.25">
      <c r="B76" s="175" t="s">
        <v>133</v>
      </c>
      <c r="C76" s="175"/>
      <c r="D76" s="190">
        <v>81692</v>
      </c>
      <c r="E76" s="188"/>
      <c r="F76" s="189">
        <v>-1270105</v>
      </c>
      <c r="G76" s="189"/>
      <c r="H76" s="189">
        <v>0</v>
      </c>
      <c r="I76" s="189"/>
      <c r="J76" s="189">
        <f t="shared" si="4"/>
        <v>-1188413</v>
      </c>
      <c r="K76" s="189"/>
      <c r="L76" s="204">
        <f t="shared" si="3"/>
        <v>1.149216139195006E-6</v>
      </c>
      <c r="M76" s="189"/>
      <c r="N76" s="254">
        <v>81692</v>
      </c>
      <c r="O76" s="189"/>
      <c r="P76" s="189">
        <v>305619</v>
      </c>
      <c r="Q76" s="189"/>
      <c r="R76" s="146">
        <v>0</v>
      </c>
      <c r="S76" s="189">
        <v>-2831281270</v>
      </c>
      <c r="T76" s="189">
        <f t="shared" si="5"/>
        <v>387311</v>
      </c>
      <c r="U76" s="189">
        <v>-650042212</v>
      </c>
      <c r="V76" s="204">
        <f>T76/درآمدها!$F$9</f>
        <v>1.2565658044784986E-7</v>
      </c>
      <c r="W76" s="255"/>
      <c r="X76" s="102"/>
      <c r="Z76" s="194"/>
      <c r="AA76" s="203"/>
      <c r="AD76" s="185"/>
    </row>
    <row r="77" spans="2:31" ht="36" customHeight="1" x14ac:dyDescent="0.25">
      <c r="B77" s="175" t="s">
        <v>224</v>
      </c>
      <c r="C77" s="175"/>
      <c r="D77" s="190">
        <v>1457428068</v>
      </c>
      <c r="E77" s="188"/>
      <c r="F77" s="189">
        <v>-17344089033</v>
      </c>
      <c r="G77" s="189"/>
      <c r="H77" s="189">
        <v>0</v>
      </c>
      <c r="I77" s="189"/>
      <c r="J77" s="189">
        <f t="shared" si="4"/>
        <v>-15886660965</v>
      </c>
      <c r="K77" s="189"/>
      <c r="L77" s="204">
        <f t="shared" si="3"/>
        <v>1.5362678781616583E-2</v>
      </c>
      <c r="M77" s="189"/>
      <c r="N77" s="189">
        <v>1457428068</v>
      </c>
      <c r="O77" s="189"/>
      <c r="P77" s="189">
        <v>-18935037194</v>
      </c>
      <c r="Q77" s="189"/>
      <c r="R77" s="189">
        <v>0</v>
      </c>
      <c r="S77" s="189">
        <v>2810738818</v>
      </c>
      <c r="T77" s="189">
        <f t="shared" si="5"/>
        <v>-17477609126</v>
      </c>
      <c r="U77" s="189">
        <v>298767031</v>
      </c>
      <c r="V77" s="204">
        <f>T77/درآمدها!$F$9</f>
        <v>-5.6703181607991879E-3</v>
      </c>
      <c r="W77" s="255"/>
      <c r="X77" s="102"/>
      <c r="Z77" s="194"/>
      <c r="AA77" s="203"/>
      <c r="AD77" s="185"/>
    </row>
    <row r="78" spans="2:31" ht="36" customHeight="1" x14ac:dyDescent="0.25">
      <c r="B78" s="175" t="s">
        <v>228</v>
      </c>
      <c r="C78" s="175"/>
      <c r="D78" s="190">
        <v>207632061</v>
      </c>
      <c r="E78" s="188"/>
      <c r="F78" s="189">
        <v>-240317870</v>
      </c>
      <c r="G78" s="189"/>
      <c r="H78" s="189">
        <v>0</v>
      </c>
      <c r="I78" s="189"/>
      <c r="J78" s="189">
        <f t="shared" si="4"/>
        <v>-32685809</v>
      </c>
      <c r="K78" s="189"/>
      <c r="L78" s="204">
        <f t="shared" si="3"/>
        <v>3.1607748506155166E-5</v>
      </c>
      <c r="M78" s="189"/>
      <c r="N78" s="189">
        <v>207632061</v>
      </c>
      <c r="O78" s="189"/>
      <c r="P78" s="189">
        <v>-336211966</v>
      </c>
      <c r="Q78" s="189"/>
      <c r="R78" s="189">
        <v>0</v>
      </c>
      <c r="S78" s="189">
        <v>457681005</v>
      </c>
      <c r="T78" s="189">
        <f t="shared" si="5"/>
        <v>-128579905</v>
      </c>
      <c r="U78" s="189">
        <v>628201261</v>
      </c>
      <c r="V78" s="204">
        <f>T78/درآمدها!$F$9</f>
        <v>-4.1715601097333654E-5</v>
      </c>
      <c r="W78" s="255"/>
      <c r="X78" s="102"/>
      <c r="Z78" s="194"/>
      <c r="AA78" s="203"/>
    </row>
    <row r="79" spans="2:31" ht="36" customHeight="1" x14ac:dyDescent="0.25">
      <c r="B79" s="175" t="s">
        <v>122</v>
      </c>
      <c r="C79" s="175"/>
      <c r="D79" s="190">
        <v>0</v>
      </c>
      <c r="E79" s="188"/>
      <c r="F79" s="189">
        <v>2956965</v>
      </c>
      <c r="G79" s="189"/>
      <c r="H79" s="189">
        <v>0</v>
      </c>
      <c r="I79" s="189"/>
      <c r="J79" s="189">
        <f t="shared" si="4"/>
        <v>2956965</v>
      </c>
      <c r="K79" s="189"/>
      <c r="L79" s="204">
        <f t="shared" si="3"/>
        <v>-2.859436829649929E-6</v>
      </c>
      <c r="M79" s="189"/>
      <c r="N79" s="189">
        <v>0</v>
      </c>
      <c r="O79" s="189"/>
      <c r="P79" s="189">
        <v>8186228</v>
      </c>
      <c r="Q79" s="189"/>
      <c r="R79" s="189">
        <v>0</v>
      </c>
      <c r="S79" s="189">
        <v>-314831742</v>
      </c>
      <c r="T79" s="189">
        <f t="shared" si="5"/>
        <v>8186228</v>
      </c>
      <c r="U79" s="189">
        <v>-273814835</v>
      </c>
      <c r="V79" s="204">
        <f>T79/درآمدها!$F$9</f>
        <v>2.655884850279081E-6</v>
      </c>
      <c r="W79" s="255"/>
      <c r="X79" s="102"/>
      <c r="Z79" s="194"/>
      <c r="AA79" s="203"/>
      <c r="AD79" s="185"/>
      <c r="AE79" s="185"/>
    </row>
    <row r="80" spans="2:31" ht="36" customHeight="1" x14ac:dyDescent="0.25">
      <c r="B80" s="175" t="s">
        <v>123</v>
      </c>
      <c r="C80" s="175"/>
      <c r="D80" s="190">
        <v>0</v>
      </c>
      <c r="E80" s="188"/>
      <c r="F80" s="189">
        <v>-43977406400</v>
      </c>
      <c r="G80" s="189"/>
      <c r="H80" s="189">
        <v>0</v>
      </c>
      <c r="I80" s="189"/>
      <c r="J80" s="189">
        <f t="shared" si="4"/>
        <v>-43977406400</v>
      </c>
      <c r="K80" s="189"/>
      <c r="L80" s="204">
        <f t="shared" si="3"/>
        <v>4.2526920519060082E-2</v>
      </c>
      <c r="M80" s="189"/>
      <c r="N80" s="189">
        <v>0</v>
      </c>
      <c r="O80" s="189"/>
      <c r="P80" s="189">
        <v>-28577376000</v>
      </c>
      <c r="Q80" s="189"/>
      <c r="R80" s="189">
        <v>0</v>
      </c>
      <c r="S80" s="189">
        <v>-21899317781</v>
      </c>
      <c r="T80" s="189">
        <f t="shared" si="5"/>
        <v>-28577376000</v>
      </c>
      <c r="U80" s="189"/>
      <c r="V80" s="204">
        <f>T80/درآمدها!$F$9</f>
        <v>-9.2714520019634202E-3</v>
      </c>
      <c r="W80" s="255"/>
      <c r="X80" s="185"/>
      <c r="Y80" s="185"/>
      <c r="AA80" s="185"/>
    </row>
    <row r="81" spans="2:30" ht="36" customHeight="1" x14ac:dyDescent="0.25">
      <c r="B81" s="175" t="s">
        <v>137</v>
      </c>
      <c r="C81" s="175"/>
      <c r="D81" s="190">
        <v>0</v>
      </c>
      <c r="E81" s="188"/>
      <c r="F81" s="189">
        <v>44777176020</v>
      </c>
      <c r="G81" s="189"/>
      <c r="H81" s="189">
        <v>0</v>
      </c>
      <c r="I81" s="189"/>
      <c r="J81" s="189">
        <f t="shared" si="4"/>
        <v>44777176020</v>
      </c>
      <c r="K81" s="189"/>
      <c r="L81" s="204">
        <f t="shared" si="3"/>
        <v>-4.3300311718030352E-2</v>
      </c>
      <c r="M81" s="189"/>
      <c r="N81" s="189">
        <v>0</v>
      </c>
      <c r="O81" s="189"/>
      <c r="P81" s="189">
        <v>24469378200</v>
      </c>
      <c r="Q81" s="189"/>
      <c r="R81" s="189">
        <v>0</v>
      </c>
      <c r="S81" s="189">
        <v>24903138035</v>
      </c>
      <c r="T81" s="189">
        <f t="shared" si="5"/>
        <v>24469378200</v>
      </c>
      <c r="U81" s="189"/>
      <c r="V81" s="204">
        <f>T81/درآمدها!$F$9</f>
        <v>7.9386807766811777E-3</v>
      </c>
      <c r="W81" s="255"/>
      <c r="X81" s="185"/>
      <c r="Y81" s="185"/>
      <c r="AA81" s="185"/>
    </row>
    <row r="82" spans="2:30" ht="36" customHeight="1" x14ac:dyDescent="0.25">
      <c r="B82" s="175" t="s">
        <v>143</v>
      </c>
      <c r="C82" s="175"/>
      <c r="D82" s="190">
        <v>0</v>
      </c>
      <c r="E82" s="188"/>
      <c r="F82" s="189">
        <v>-177615</v>
      </c>
      <c r="G82" s="189"/>
      <c r="H82" s="189">
        <v>0</v>
      </c>
      <c r="I82" s="189"/>
      <c r="J82" s="189">
        <f t="shared" si="4"/>
        <v>-177615</v>
      </c>
      <c r="K82" s="189"/>
      <c r="L82" s="204">
        <f t="shared" si="3"/>
        <v>1.7175680892343067E-7</v>
      </c>
      <c r="M82" s="189"/>
      <c r="N82" s="189">
        <v>0</v>
      </c>
      <c r="O82" s="189"/>
      <c r="P82" s="189">
        <v>389962</v>
      </c>
      <c r="Q82" s="189"/>
      <c r="R82" s="189">
        <v>0</v>
      </c>
      <c r="S82" s="189"/>
      <c r="T82" s="189">
        <f t="shared" si="5"/>
        <v>389962</v>
      </c>
      <c r="U82" s="189"/>
      <c r="V82" s="204">
        <f>T82/درآمدها!$F$9</f>
        <v>1.2651665308913103E-7</v>
      </c>
      <c r="W82" s="255"/>
      <c r="X82" s="185"/>
      <c r="Y82" s="185"/>
      <c r="AA82" s="185"/>
    </row>
    <row r="83" spans="2:30" ht="36" customHeight="1" x14ac:dyDescent="0.25">
      <c r="B83" s="175" t="s">
        <v>109</v>
      </c>
      <c r="C83" s="175"/>
      <c r="D83" s="190">
        <v>0</v>
      </c>
      <c r="E83" s="188"/>
      <c r="F83" s="189">
        <v>-1528095</v>
      </c>
      <c r="G83" s="189"/>
      <c r="H83" s="189">
        <v>0</v>
      </c>
      <c r="I83" s="189"/>
      <c r="J83" s="189">
        <f t="shared" si="4"/>
        <v>-1528095</v>
      </c>
      <c r="K83" s="189"/>
      <c r="L83" s="204">
        <f t="shared" si="3"/>
        <v>1.4776945693316993E-6</v>
      </c>
      <c r="M83" s="189"/>
      <c r="N83" s="189">
        <v>0</v>
      </c>
      <c r="O83" s="189"/>
      <c r="P83" s="189">
        <v>2947043</v>
      </c>
      <c r="Q83" s="189"/>
      <c r="R83" s="189">
        <v>0</v>
      </c>
      <c r="S83" s="189"/>
      <c r="T83" s="189">
        <f t="shared" si="5"/>
        <v>2947043</v>
      </c>
      <c r="U83" s="189"/>
      <c r="V83" s="204">
        <f>T83/درآمدها!$F$9</f>
        <v>9.5611884457909229E-7</v>
      </c>
      <c r="W83" s="255"/>
      <c r="X83" s="185"/>
      <c r="Y83" s="185"/>
      <c r="AA83" s="185"/>
    </row>
    <row r="84" spans="2:30" ht="36" customHeight="1" x14ac:dyDescent="0.25">
      <c r="B84" s="175" t="s">
        <v>121</v>
      </c>
      <c r="C84" s="175"/>
      <c r="D84" s="190">
        <v>0</v>
      </c>
      <c r="E84" s="188"/>
      <c r="F84" s="189">
        <v>0</v>
      </c>
      <c r="G84" s="189"/>
      <c r="H84" s="189">
        <v>0</v>
      </c>
      <c r="I84" s="189"/>
      <c r="J84" s="189">
        <f t="shared" si="4"/>
        <v>0</v>
      </c>
      <c r="K84" s="189"/>
      <c r="L84" s="204">
        <f t="shared" si="3"/>
        <v>0</v>
      </c>
      <c r="M84" s="189"/>
      <c r="N84" s="189">
        <v>0</v>
      </c>
      <c r="O84" s="189"/>
      <c r="P84" s="189">
        <v>-13363495452</v>
      </c>
      <c r="Q84" s="189"/>
      <c r="R84" s="189">
        <v>0</v>
      </c>
      <c r="S84" s="189">
        <v>-4335963253</v>
      </c>
      <c r="T84" s="189">
        <f t="shared" si="5"/>
        <v>-13363495452</v>
      </c>
      <c r="U84" s="189"/>
      <c r="V84" s="204">
        <f>T84/درآمدها!$F$9</f>
        <v>-4.3355627424181446E-3</v>
      </c>
      <c r="W84" s="255"/>
      <c r="X84" s="185"/>
      <c r="Y84" s="185"/>
      <c r="AA84" s="185"/>
    </row>
    <row r="85" spans="2:30" ht="36" customHeight="1" x14ac:dyDescent="0.25">
      <c r="B85" s="175" t="s">
        <v>117</v>
      </c>
      <c r="C85" s="175"/>
      <c r="D85" s="190">
        <v>0</v>
      </c>
      <c r="E85" s="188"/>
      <c r="F85" s="189">
        <v>35002324250</v>
      </c>
      <c r="G85" s="189"/>
      <c r="H85" s="189">
        <v>0</v>
      </c>
      <c r="I85" s="189"/>
      <c r="J85" s="189">
        <f t="shared" si="4"/>
        <v>35002324250</v>
      </c>
      <c r="K85" s="189"/>
      <c r="L85" s="204">
        <f t="shared" si="3"/>
        <v>-3.3847859235330423E-2</v>
      </c>
      <c r="M85" s="189"/>
      <c r="N85" s="189">
        <v>0</v>
      </c>
      <c r="O85" s="189"/>
      <c r="P85" s="189">
        <v>-38614838681</v>
      </c>
      <c r="Q85" s="189"/>
      <c r="R85" s="189">
        <v>0</v>
      </c>
      <c r="S85" s="189"/>
      <c r="T85" s="189">
        <f t="shared" si="5"/>
        <v>-38614838681</v>
      </c>
      <c r="U85" s="189"/>
      <c r="V85" s="204">
        <f>T85/درآمدها!$F$9</f>
        <v>-1.252793900302295E-2</v>
      </c>
      <c r="W85" s="255"/>
      <c r="X85" s="185"/>
      <c r="Y85" s="185"/>
      <c r="AA85" s="185"/>
    </row>
    <row r="86" spans="2:30" ht="36" customHeight="1" x14ac:dyDescent="0.25">
      <c r="B86" s="175" t="s">
        <v>154</v>
      </c>
      <c r="C86" s="175"/>
      <c r="D86" s="190">
        <v>0</v>
      </c>
      <c r="E86" s="188"/>
      <c r="F86" s="189">
        <v>-5775011400</v>
      </c>
      <c r="G86" s="189"/>
      <c r="H86" s="189">
        <v>0</v>
      </c>
      <c r="I86" s="189"/>
      <c r="J86" s="189">
        <f t="shared" si="4"/>
        <v>-5775011400</v>
      </c>
      <c r="K86" s="189"/>
      <c r="L86" s="204">
        <f t="shared" si="3"/>
        <v>5.5845369454180886E-3</v>
      </c>
      <c r="M86" s="189"/>
      <c r="N86" s="189">
        <v>0</v>
      </c>
      <c r="O86" s="189"/>
      <c r="P86" s="189">
        <v>29529955200</v>
      </c>
      <c r="Q86" s="189"/>
      <c r="R86" s="189">
        <v>0</v>
      </c>
      <c r="S86" s="189">
        <v>4030409699</v>
      </c>
      <c r="T86" s="189">
        <f t="shared" si="5"/>
        <v>29529955200</v>
      </c>
      <c r="U86" s="189"/>
      <c r="V86" s="204">
        <f>T86/درآمدها!$F$9</f>
        <v>9.5805004020288673E-3</v>
      </c>
      <c r="W86" s="255"/>
      <c r="X86" s="185"/>
      <c r="Y86" s="185"/>
      <c r="AA86" s="185"/>
    </row>
    <row r="87" spans="2:30" ht="36" customHeight="1" x14ac:dyDescent="0.25">
      <c r="B87" s="196" t="s">
        <v>7</v>
      </c>
      <c r="C87" s="165"/>
      <c r="D87" s="205">
        <f>SUM(D53:D86)</f>
        <v>164846353379</v>
      </c>
      <c r="E87" s="188"/>
      <c r="F87" s="205">
        <f>SUM(F53:F86)</f>
        <v>-1386639584316</v>
      </c>
      <c r="G87" s="205"/>
      <c r="H87" s="205">
        <f>SUM(H53:H86)</f>
        <v>880376454590</v>
      </c>
      <c r="I87" s="205"/>
      <c r="J87" s="205">
        <f>SUM(J53:J86)</f>
        <v>-341416776347</v>
      </c>
      <c r="K87" s="205"/>
      <c r="L87" s="120">
        <f>SUM(L53:L86)</f>
        <v>0.33015598918044858</v>
      </c>
      <c r="M87" s="205"/>
      <c r="N87" s="205">
        <f>SUM(N53:N86)</f>
        <v>231234614152</v>
      </c>
      <c r="O87" s="205"/>
      <c r="P87" s="205">
        <f>SUM(P53:P86)</f>
        <v>1728456925466</v>
      </c>
      <c r="Q87" s="205"/>
      <c r="R87" s="205">
        <f>SUM(R53:R86)</f>
        <v>1073403102035</v>
      </c>
      <c r="S87" s="205"/>
      <c r="T87" s="205">
        <f>SUM(T53:T86)</f>
        <v>3033094641653</v>
      </c>
      <c r="U87" s="189"/>
      <c r="V87" s="120">
        <f>SUM(V53:V86)</f>
        <v>-1.5963138550641576E-2</v>
      </c>
      <c r="W87" s="255"/>
      <c r="X87" s="185"/>
      <c r="Y87" s="185"/>
      <c r="AA87" s="185"/>
    </row>
    <row r="88" spans="2:30" ht="36" customHeight="1" x14ac:dyDescent="0.25">
      <c r="B88" s="175"/>
      <c r="C88" s="165"/>
      <c r="D88" s="190"/>
      <c r="E88" s="188"/>
      <c r="F88" s="189"/>
      <c r="G88" s="189"/>
      <c r="H88" s="189"/>
      <c r="I88" s="189"/>
      <c r="J88" s="189"/>
      <c r="K88" s="189"/>
      <c r="L88" s="204"/>
      <c r="M88" s="189"/>
      <c r="N88" s="189"/>
      <c r="O88" s="189"/>
      <c r="P88" s="189"/>
      <c r="Q88" s="189"/>
      <c r="R88" s="189"/>
      <c r="S88" s="189"/>
      <c r="T88" s="189"/>
      <c r="U88" s="189"/>
      <c r="V88" s="204"/>
      <c r="W88" s="255"/>
      <c r="X88" s="185"/>
      <c r="Y88" s="310"/>
      <c r="Z88" s="311"/>
      <c r="AA88" s="185"/>
    </row>
    <row r="89" spans="2:30" ht="30" hidden="1" customHeight="1" x14ac:dyDescent="0.25">
      <c r="B89" s="410" t="s">
        <v>136</v>
      </c>
      <c r="C89" s="410"/>
      <c r="D89" s="410"/>
      <c r="E89" s="410"/>
      <c r="F89" s="410"/>
      <c r="G89" s="410"/>
      <c r="H89" s="410"/>
      <c r="I89" s="410"/>
      <c r="J89" s="410"/>
      <c r="K89" s="410"/>
      <c r="L89" s="410"/>
      <c r="M89" s="410"/>
      <c r="N89" s="410"/>
      <c r="O89" s="410"/>
      <c r="P89" s="410"/>
      <c r="Q89" s="410"/>
      <c r="R89" s="410"/>
      <c r="S89" s="410"/>
      <c r="T89" s="410"/>
      <c r="U89" s="410"/>
      <c r="V89" s="410"/>
      <c r="W89" s="255"/>
      <c r="X89" s="102"/>
      <c r="Y89" s="311"/>
      <c r="Z89" s="312"/>
      <c r="AA89" s="203"/>
      <c r="AD89" s="185"/>
    </row>
    <row r="90" spans="2:30" ht="30" hidden="1" customHeight="1" x14ac:dyDescent="0.25">
      <c r="W90" s="255"/>
      <c r="X90" s="102"/>
      <c r="Y90" s="311"/>
      <c r="Z90" s="312"/>
      <c r="AA90" s="203"/>
    </row>
    <row r="91" spans="2:30" ht="30" hidden="1" customHeight="1" thickBot="1" x14ac:dyDescent="0.3">
      <c r="B91" s="262"/>
      <c r="C91" s="201"/>
      <c r="D91" s="403" t="str">
        <f>D49</f>
        <v>طی تیر ماه</v>
      </c>
      <c r="E91" s="403"/>
      <c r="F91" s="403"/>
      <c r="G91" s="403"/>
      <c r="H91" s="403"/>
      <c r="I91" s="403"/>
      <c r="J91" s="403"/>
      <c r="K91" s="201"/>
      <c r="L91" s="201"/>
      <c r="M91" s="201"/>
      <c r="N91" s="403" t="str">
        <f>N49</f>
        <v>از ابتدای سال مالی تا پایان تیر  ماه</v>
      </c>
      <c r="O91" s="403"/>
      <c r="P91" s="403"/>
      <c r="Q91" s="403"/>
      <c r="R91" s="403"/>
      <c r="S91" s="403"/>
      <c r="T91" s="403"/>
      <c r="U91" s="403"/>
      <c r="V91" s="403"/>
      <c r="W91" s="255"/>
      <c r="X91" s="102"/>
      <c r="Y91" s="311"/>
      <c r="Z91" s="312"/>
      <c r="AA91" s="203"/>
    </row>
    <row r="92" spans="2:30" ht="30" hidden="1" customHeight="1" x14ac:dyDescent="0.25">
      <c r="B92" s="411" t="s">
        <v>35</v>
      </c>
      <c r="C92" s="404"/>
      <c r="D92" s="409" t="s">
        <v>21</v>
      </c>
      <c r="E92" s="411"/>
      <c r="F92" s="409" t="s">
        <v>22</v>
      </c>
      <c r="G92" s="411"/>
      <c r="H92" s="409" t="s">
        <v>23</v>
      </c>
      <c r="I92" s="411"/>
      <c r="J92" s="406" t="s">
        <v>7</v>
      </c>
      <c r="K92" s="406"/>
      <c r="L92" s="406"/>
      <c r="M92" s="404"/>
      <c r="N92" s="409" t="s">
        <v>21</v>
      </c>
      <c r="O92" s="411"/>
      <c r="P92" s="409" t="s">
        <v>22</v>
      </c>
      <c r="Q92" s="411"/>
      <c r="R92" s="409" t="s">
        <v>23</v>
      </c>
      <c r="S92" s="411"/>
      <c r="T92" s="406" t="s">
        <v>7</v>
      </c>
      <c r="U92" s="406"/>
      <c r="V92" s="406"/>
      <c r="W92" s="255"/>
      <c r="X92" s="102"/>
      <c r="Y92" s="311"/>
      <c r="Z92" s="312"/>
      <c r="AA92" s="203"/>
    </row>
    <row r="93" spans="2:30" ht="30" hidden="1" customHeight="1" thickBot="1" x14ac:dyDescent="0.3">
      <c r="B93" s="404"/>
      <c r="C93" s="404"/>
      <c r="D93" s="408"/>
      <c r="E93" s="404"/>
      <c r="F93" s="408"/>
      <c r="G93" s="404"/>
      <c r="H93" s="408"/>
      <c r="I93" s="404"/>
      <c r="J93" s="403"/>
      <c r="K93" s="403"/>
      <c r="L93" s="403"/>
      <c r="M93" s="404"/>
      <c r="N93" s="408"/>
      <c r="O93" s="404"/>
      <c r="P93" s="408"/>
      <c r="Q93" s="404"/>
      <c r="R93" s="408"/>
      <c r="S93" s="404"/>
      <c r="T93" s="403"/>
      <c r="U93" s="403"/>
      <c r="V93" s="403"/>
      <c r="W93" s="255"/>
      <c r="X93" s="102"/>
      <c r="Y93" s="311"/>
      <c r="Z93" s="312"/>
      <c r="AA93" s="203"/>
    </row>
    <row r="94" spans="2:30" ht="30" hidden="1" customHeight="1" thickBot="1" x14ac:dyDescent="0.3">
      <c r="B94" s="405"/>
      <c r="C94" s="404"/>
      <c r="D94" s="88" t="s">
        <v>90</v>
      </c>
      <c r="E94" s="404"/>
      <c r="F94" s="88" t="s">
        <v>91</v>
      </c>
      <c r="G94" s="404"/>
      <c r="H94" s="88" t="s">
        <v>92</v>
      </c>
      <c r="I94" s="404"/>
      <c r="J94" s="103" t="s">
        <v>11</v>
      </c>
      <c r="K94" s="103"/>
      <c r="L94" s="103" t="s">
        <v>24</v>
      </c>
      <c r="M94" s="404"/>
      <c r="N94" s="88" t="s">
        <v>90</v>
      </c>
      <c r="O94" s="404"/>
      <c r="P94" s="88" t="s">
        <v>91</v>
      </c>
      <c r="Q94" s="404"/>
      <c r="R94" s="88" t="s">
        <v>92</v>
      </c>
      <c r="S94" s="404"/>
      <c r="T94" s="103" t="s">
        <v>11</v>
      </c>
      <c r="U94" s="103"/>
      <c r="V94" s="103" t="s">
        <v>24</v>
      </c>
      <c r="W94" s="255"/>
      <c r="X94" s="102"/>
      <c r="Y94" s="311"/>
      <c r="Z94" s="312"/>
      <c r="AA94" s="203"/>
    </row>
    <row r="95" spans="2:30" ht="30" hidden="1" customHeight="1" thickBot="1" x14ac:dyDescent="0.3">
      <c r="B95" s="191" t="s">
        <v>166</v>
      </c>
      <c r="C95" s="191"/>
      <c r="D95" s="189">
        <f>D87</f>
        <v>164846353379</v>
      </c>
      <c r="E95" s="191"/>
      <c r="F95" s="189">
        <f>F87</f>
        <v>-1386639584316</v>
      </c>
      <c r="G95" s="189"/>
      <c r="H95" s="189">
        <f>H87</f>
        <v>880376454590</v>
      </c>
      <c r="I95" s="189"/>
      <c r="J95" s="189">
        <f>J87</f>
        <v>-341416776347</v>
      </c>
      <c r="K95" s="189"/>
      <c r="L95" s="204">
        <f>L87</f>
        <v>0.33015598918044858</v>
      </c>
      <c r="M95" s="189"/>
      <c r="N95" s="189">
        <f>N87</f>
        <v>231234614152</v>
      </c>
      <c r="O95" s="189"/>
      <c r="P95" s="189">
        <f>P87</f>
        <v>1728456925466</v>
      </c>
      <c r="Q95" s="189"/>
      <c r="R95" s="189">
        <f>R87</f>
        <v>1073403102035</v>
      </c>
      <c r="S95" s="189"/>
      <c r="T95" s="189">
        <f>T87</f>
        <v>3033094641653</v>
      </c>
      <c r="U95" s="105"/>
      <c r="V95" s="106">
        <f>V87</f>
        <v>-1.5963138550641576E-2</v>
      </c>
      <c r="W95" s="255"/>
      <c r="X95" s="102"/>
      <c r="Z95" s="194"/>
      <c r="AA95" s="203"/>
    </row>
    <row r="96" spans="2:30" ht="30" hidden="1" customHeight="1" thickBot="1" x14ac:dyDescent="0.3">
      <c r="B96" s="196" t="s">
        <v>7</v>
      </c>
      <c r="D96" s="61">
        <f>SUM(D95:D95)</f>
        <v>164846353379</v>
      </c>
      <c r="F96" s="61">
        <f>SUM(F95:F95)</f>
        <v>-1386639584316</v>
      </c>
      <c r="G96" s="191"/>
      <c r="H96" s="61">
        <f>SUM(H95:H95)</f>
        <v>880376454590</v>
      </c>
      <c r="I96" s="191"/>
      <c r="J96" s="61">
        <f>SUM(J95:J95)</f>
        <v>-341416776347</v>
      </c>
      <c r="K96" s="61"/>
      <c r="L96" s="107">
        <f>SUM(L95:L95)</f>
        <v>0.33015598918044858</v>
      </c>
      <c r="M96" s="191"/>
      <c r="N96" s="61">
        <f>SUM(N95:N95)</f>
        <v>231234614152</v>
      </c>
      <c r="O96" s="191"/>
      <c r="P96" s="61">
        <f>SUM(P95:P95)</f>
        <v>1728456925466</v>
      </c>
      <c r="Q96" s="191"/>
      <c r="R96" s="61">
        <f>SUM(R95:R95)</f>
        <v>1073403102035</v>
      </c>
      <c r="S96" s="191"/>
      <c r="T96" s="61">
        <f>SUM(T95:T95)</f>
        <v>3033094641653</v>
      </c>
      <c r="U96" s="61"/>
      <c r="V96" s="107">
        <f>SUM(V95:V95)</f>
        <v>-1.5963138550641576E-2</v>
      </c>
      <c r="W96" s="255"/>
      <c r="X96" s="102"/>
      <c r="Z96" s="194"/>
      <c r="AA96" s="203"/>
    </row>
    <row r="97" spans="2:27" ht="30" hidden="1" customHeight="1" thickTop="1" x14ac:dyDescent="0.55000000000000004">
      <c r="B97" s="196"/>
      <c r="D97" s="265"/>
      <c r="F97" s="102"/>
      <c r="G97" s="191"/>
      <c r="H97" s="93"/>
      <c r="I97" s="191"/>
      <c r="J97" s="265"/>
      <c r="K97" s="265"/>
      <c r="L97" s="125"/>
      <c r="M97" s="191"/>
      <c r="N97" s="265"/>
      <c r="O97" s="191"/>
      <c r="P97" s="247"/>
      <c r="Q97" s="265"/>
      <c r="R97" s="265"/>
      <c r="S97" s="191"/>
      <c r="T97" s="265">
        <f>N96+P96+R96-T96</f>
        <v>0</v>
      </c>
      <c r="U97" s="265"/>
      <c r="V97" s="125"/>
      <c r="W97" s="255"/>
      <c r="X97" s="102"/>
      <c r="Z97" s="194"/>
      <c r="AA97" s="203"/>
    </row>
    <row r="98" spans="2:27" ht="30" hidden="1" customHeight="1" x14ac:dyDescent="0.55000000000000004">
      <c r="B98" s="196"/>
      <c r="D98" s="265"/>
      <c r="F98" s="265"/>
      <c r="G98" s="191"/>
      <c r="H98" s="93"/>
      <c r="I98" s="191"/>
      <c r="J98" s="203"/>
      <c r="K98" s="265"/>
      <c r="L98" s="125"/>
      <c r="M98" s="191"/>
      <c r="N98" s="265"/>
      <c r="O98" s="191"/>
      <c r="P98" s="265"/>
      <c r="Q98" s="191"/>
      <c r="R98" s="265"/>
      <c r="S98" s="191"/>
      <c r="T98" s="265"/>
      <c r="U98" s="265"/>
      <c r="V98" s="125"/>
      <c r="W98" s="255"/>
      <c r="X98" s="102"/>
      <c r="Z98" s="194"/>
      <c r="AA98" s="203"/>
    </row>
    <row r="99" spans="2:27" ht="30" hidden="1" customHeight="1" x14ac:dyDescent="0.55000000000000004">
      <c r="B99" s="196"/>
      <c r="D99" s="265"/>
      <c r="E99" s="265"/>
      <c r="F99" s="265"/>
      <c r="G99" s="265"/>
      <c r="H99" s="93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125"/>
      <c r="W99" s="255"/>
      <c r="X99" s="102"/>
      <c r="Z99" s="194"/>
      <c r="AA99" s="203"/>
    </row>
    <row r="100" spans="2:27" ht="30" hidden="1" customHeight="1" x14ac:dyDescent="0.55000000000000004">
      <c r="B100" s="196"/>
      <c r="D100" s="265"/>
      <c r="F100" s="265"/>
      <c r="G100" s="191"/>
      <c r="H100" s="93"/>
      <c r="I100" s="191"/>
      <c r="J100" s="265"/>
      <c r="K100" s="265"/>
      <c r="L100" s="125"/>
      <c r="M100" s="191"/>
      <c r="N100" s="265"/>
      <c r="O100" s="191"/>
      <c r="P100" s="265"/>
      <c r="Q100" s="191"/>
      <c r="R100" s="265"/>
      <c r="S100" s="191"/>
      <c r="T100" s="265"/>
      <c r="U100" s="265"/>
      <c r="V100" s="125"/>
      <c r="W100" s="255"/>
      <c r="X100" s="102"/>
      <c r="Z100" s="194"/>
      <c r="AA100" s="203"/>
    </row>
    <row r="101" spans="2:27" ht="30" hidden="1" customHeight="1" x14ac:dyDescent="0.25">
      <c r="B101" s="191"/>
      <c r="C101" s="265"/>
      <c r="D101" s="191"/>
      <c r="E101" s="265"/>
      <c r="F101" s="265"/>
      <c r="G101" s="125"/>
      <c r="H101" s="284"/>
      <c r="I101" s="265"/>
      <c r="J101" s="281"/>
      <c r="K101" s="265"/>
      <c r="L101" s="191"/>
      <c r="M101" s="265"/>
      <c r="N101" s="191"/>
      <c r="O101" s="265"/>
      <c r="P101" s="265"/>
      <c r="Q101" s="125"/>
      <c r="R101" s="203"/>
      <c r="S101" s="185"/>
      <c r="T101" s="185"/>
      <c r="U101" s="183"/>
      <c r="V101" s="185"/>
      <c r="W101" s="255"/>
      <c r="X101" s="102"/>
      <c r="Z101" s="194"/>
      <c r="AA101" s="203"/>
    </row>
    <row r="102" spans="2:27" ht="12.75" hidden="1" customHeight="1" x14ac:dyDescent="0.25">
      <c r="B102" s="183"/>
      <c r="C102" s="207">
        <v>-141115264157</v>
      </c>
      <c r="I102" s="185"/>
      <c r="K102" s="185"/>
      <c r="M102" s="185"/>
      <c r="O102" s="102"/>
      <c r="P102" s="102"/>
      <c r="Q102" s="208"/>
      <c r="S102" s="185"/>
      <c r="T102" s="185"/>
      <c r="U102" s="183"/>
      <c r="V102" s="185"/>
      <c r="W102" s="255"/>
      <c r="X102" s="102"/>
      <c r="Z102" s="194"/>
      <c r="AA102" s="203"/>
    </row>
    <row r="103" spans="2:27" ht="30" hidden="1" customHeight="1" x14ac:dyDescent="0.25">
      <c r="B103" s="183"/>
      <c r="C103" s="207">
        <v>495943397</v>
      </c>
      <c r="I103" s="185"/>
      <c r="K103" s="185"/>
      <c r="M103" s="185"/>
      <c r="O103" s="102"/>
      <c r="P103" s="102"/>
      <c r="Q103" s="208"/>
      <c r="S103" s="185"/>
      <c r="T103" s="185"/>
      <c r="U103" s="183"/>
      <c r="V103" s="185"/>
      <c r="W103" s="255"/>
      <c r="X103" s="102"/>
      <c r="Z103" s="194"/>
      <c r="AA103" s="203"/>
    </row>
    <row r="104" spans="2:27" ht="30" hidden="1" customHeight="1" x14ac:dyDescent="0.25">
      <c r="B104" s="183"/>
      <c r="C104" s="207">
        <v>3262800118</v>
      </c>
      <c r="E104" s="203"/>
      <c r="F104" s="203"/>
      <c r="G104" s="203"/>
      <c r="I104" s="146"/>
      <c r="J104" s="60"/>
      <c r="K104" s="271"/>
      <c r="L104" s="60"/>
      <c r="M104" s="60"/>
      <c r="N104" s="60"/>
      <c r="O104" s="60"/>
      <c r="P104" s="102"/>
      <c r="Q104" s="200"/>
      <c r="S104" s="185"/>
      <c r="T104" s="185"/>
      <c r="U104" s="183"/>
      <c r="V104" s="185"/>
      <c r="W104" s="255"/>
      <c r="X104" s="102"/>
      <c r="Z104" s="194"/>
      <c r="AA104" s="203"/>
    </row>
    <row r="105" spans="2:27" ht="30" hidden="1" customHeight="1" x14ac:dyDescent="0.25">
      <c r="B105" s="185"/>
      <c r="C105" s="207">
        <f>C102-C103-C104</f>
        <v>-144874007672</v>
      </c>
      <c r="G105" s="272"/>
      <c r="I105" s="185"/>
      <c r="J105" s="185"/>
      <c r="K105" s="185"/>
      <c r="L105" s="185"/>
      <c r="M105" s="185"/>
      <c r="N105" s="185"/>
      <c r="O105" s="185"/>
      <c r="P105" s="102"/>
      <c r="Q105" s="273"/>
      <c r="T105" s="185"/>
      <c r="U105" s="183"/>
      <c r="V105" s="185"/>
      <c r="W105" s="255"/>
      <c r="X105" s="102"/>
      <c r="Z105" s="194"/>
      <c r="AA105" s="203"/>
    </row>
    <row r="106" spans="2:27" ht="49.5" hidden="1" customHeight="1" x14ac:dyDescent="0.25">
      <c r="B106" s="183"/>
      <c r="C106" s="207">
        <f>H96-C105</f>
        <v>1025250462262</v>
      </c>
      <c r="G106" s="185"/>
      <c r="I106" s="271"/>
      <c r="J106" s="203"/>
      <c r="K106" s="203"/>
      <c r="M106" s="185"/>
      <c r="O106" s="102"/>
      <c r="P106" s="102"/>
      <c r="Q106" s="200"/>
      <c r="T106" s="185"/>
      <c r="U106" s="183"/>
      <c r="V106" s="185"/>
      <c r="W106" s="255"/>
      <c r="X106" s="102"/>
      <c r="Z106" s="194"/>
      <c r="AA106" s="203"/>
    </row>
    <row r="107" spans="2:27" ht="30" hidden="1" customHeight="1" x14ac:dyDescent="0.25">
      <c r="B107" s="183"/>
      <c r="C107" s="210"/>
      <c r="D107" s="203"/>
      <c r="E107" s="203"/>
      <c r="H107" s="203"/>
      <c r="I107" s="185"/>
      <c r="K107" s="203"/>
      <c r="M107" s="274"/>
      <c r="O107" s="102"/>
      <c r="P107" s="102"/>
      <c r="Q107" s="200"/>
      <c r="R107" s="203"/>
      <c r="T107" s="185"/>
      <c r="U107" s="183"/>
      <c r="V107" s="185"/>
      <c r="W107" s="255"/>
      <c r="X107" s="102"/>
      <c r="Z107" s="194"/>
      <c r="AA107" s="203"/>
    </row>
    <row r="108" spans="2:27" ht="30" hidden="1" customHeight="1" x14ac:dyDescent="0.25">
      <c r="F108" s="185"/>
      <c r="H108" s="209"/>
      <c r="N108" s="185"/>
      <c r="P108" s="203"/>
      <c r="R108" s="209"/>
      <c r="W108" s="203"/>
      <c r="X108" s="185"/>
      <c r="Y108" s="185"/>
      <c r="AA108" s="185"/>
    </row>
    <row r="109" spans="2:27" ht="30" customHeight="1" x14ac:dyDescent="0.55000000000000004">
      <c r="F109" s="243"/>
      <c r="H109" s="93"/>
      <c r="J109" s="249"/>
      <c r="P109" s="243"/>
      <c r="R109" s="93"/>
      <c r="X109" s="185"/>
      <c r="Y109" s="185"/>
      <c r="AA109" s="185"/>
    </row>
    <row r="110" spans="2:27" ht="30" customHeight="1" x14ac:dyDescent="0.25">
      <c r="D110" s="304"/>
      <c r="E110" s="304"/>
      <c r="F110" s="304"/>
      <c r="G110" s="304"/>
      <c r="H110" s="304"/>
      <c r="N110" s="185"/>
      <c r="O110" s="185"/>
      <c r="P110" s="185"/>
      <c r="Q110" s="185"/>
      <c r="R110" s="185"/>
      <c r="X110" s="185"/>
      <c r="Y110" s="185"/>
      <c r="AA110" s="185"/>
    </row>
    <row r="111" spans="2:27" ht="30" customHeight="1" x14ac:dyDescent="0.25">
      <c r="D111" s="304"/>
      <c r="N111" s="185"/>
      <c r="R111" s="185"/>
    </row>
    <row r="112" spans="2:27" ht="36" customHeight="1" x14ac:dyDescent="0.25">
      <c r="Y112" s="185"/>
      <c r="AA112" s="185"/>
    </row>
    <row r="113" spans="25:29" ht="36" customHeight="1" x14ac:dyDescent="0.25">
      <c r="Y113" s="185"/>
      <c r="AA113" s="185"/>
    </row>
    <row r="114" spans="25:29" ht="36" customHeight="1" x14ac:dyDescent="0.25">
      <c r="Y114" s="185"/>
      <c r="AA114" s="185"/>
    </row>
    <row r="115" spans="25:29" ht="36" customHeight="1" x14ac:dyDescent="0.25">
      <c r="AC115" s="185"/>
    </row>
    <row r="116" spans="25:29" ht="36" customHeight="1" x14ac:dyDescent="0.25">
      <c r="AA116" s="185"/>
      <c r="AC116" s="185"/>
    </row>
    <row r="117" spans="25:29" ht="36" customHeight="1" x14ac:dyDescent="0.25">
      <c r="AA117" s="185"/>
    </row>
    <row r="118" spans="25:29" ht="36" customHeight="1" x14ac:dyDescent="0.25">
      <c r="AA118" s="185"/>
    </row>
    <row r="119" spans="25:29" ht="36" customHeight="1" x14ac:dyDescent="0.25">
      <c r="AA119" s="185"/>
    </row>
  </sheetData>
  <mergeCells count="63">
    <mergeCell ref="H92:H93"/>
    <mergeCell ref="I92:I94"/>
    <mergeCell ref="J92:L93"/>
    <mergeCell ref="C92:C94"/>
    <mergeCell ref="D92:D93"/>
    <mergeCell ref="E92:E94"/>
    <mergeCell ref="F92:F93"/>
    <mergeCell ref="G92:G94"/>
    <mergeCell ref="M92:M94"/>
    <mergeCell ref="S92:S94"/>
    <mergeCell ref="T92:V93"/>
    <mergeCell ref="N92:N93"/>
    <mergeCell ref="Q50:Q52"/>
    <mergeCell ref="R50:R51"/>
    <mergeCell ref="S50:S52"/>
    <mergeCell ref="T50:V51"/>
    <mergeCell ref="O92:O94"/>
    <mergeCell ref="P92:P93"/>
    <mergeCell ref="Q92:Q94"/>
    <mergeCell ref="R92:R93"/>
    <mergeCell ref="B89:V89"/>
    <mergeCell ref="D91:J91"/>
    <mergeCell ref="N91:V91"/>
    <mergeCell ref="B92:B94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4" location="'درآمد سود سهام'!A1" display="یادداشت 2-1-1" xr:uid="{CF8085A2-6FA9-4EB4-BFCD-DC18334142B2}"/>
    <hyperlink ref="F94" location="'درآمد ناشی از تغییر قیمت اوراق '!A1" display="یادداشت 2-1-2" xr:uid="{CBB77952-CA42-4DDA-8A5D-FEA17F792437}"/>
    <hyperlink ref="H94" location="'درآمد ناشی ازفروش'!A1" display="یادداشت 2-1-3" xr:uid="{712A21DE-6CA2-4FF9-9699-E92B69F9E018}"/>
    <hyperlink ref="N94" location="'درآمد سود سهام'!A1" display="یادداشت 2-1-1" xr:uid="{665F5D3B-78CF-4008-9451-267047ED79DB}"/>
    <hyperlink ref="P94" location="'درآمد ناشی از تغییر قیمت اوراق '!A1" display="یادداشت 2-1-2" xr:uid="{83929033-AD49-4AE8-BB73-952F5EC8DD29}"/>
    <hyperlink ref="R9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100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107"/>
  <sheetViews>
    <sheetView rightToLeft="1" view="pageBreakPreview" zoomScale="85" zoomScaleNormal="85" zoomScaleSheetLayoutView="85" workbookViewId="0">
      <selection activeCell="D22" sqref="D22"/>
    </sheetView>
  </sheetViews>
  <sheetFormatPr defaultColWidth="9.140625" defaultRowHeight="22.5" x14ac:dyDescent="0.25"/>
  <cols>
    <col min="1" max="1" width="4.140625" style="12" customWidth="1"/>
    <col min="2" max="2" width="30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0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402" t="str">
        <f>درآمدها!A1</f>
        <v>صندوق سرمایه گذاری شاخص سی شرکت بزرگ فیروزه</v>
      </c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14"/>
      <c r="O1" s="402"/>
      <c r="P1" s="414"/>
      <c r="Q1" s="402"/>
      <c r="R1" s="414"/>
      <c r="S1" s="402"/>
      <c r="T1" s="414"/>
    </row>
    <row r="2" spans="2:33" ht="24" x14ac:dyDescent="0.25">
      <c r="B2" s="402" t="s">
        <v>86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14"/>
      <c r="O2" s="402"/>
      <c r="P2" s="414"/>
      <c r="Q2" s="402"/>
      <c r="R2" s="414"/>
      <c r="S2" s="402"/>
      <c r="T2" s="414"/>
    </row>
    <row r="3" spans="2:33" ht="24" x14ac:dyDescent="0.25">
      <c r="B3" s="402" t="str">
        <f>' سهام'!AC6</f>
        <v>برای ماه منتهی به 1405/04/31</v>
      </c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14"/>
      <c r="O3" s="402"/>
      <c r="P3" s="414"/>
      <c r="Q3" s="402"/>
      <c r="R3" s="414"/>
      <c r="S3" s="402"/>
      <c r="T3" s="414"/>
    </row>
    <row r="4" spans="2:33" ht="24" x14ac:dyDescent="0.25">
      <c r="B4" s="128" t="s">
        <v>95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169</v>
      </c>
    </row>
    <row r="5" spans="2:33" ht="21" customHeight="1" thickBot="1" x14ac:dyDescent="0.3">
      <c r="D5" s="412" t="s">
        <v>70</v>
      </c>
      <c r="E5" s="412"/>
      <c r="F5" s="412"/>
      <c r="G5" s="412"/>
      <c r="H5" s="412"/>
      <c r="J5" s="412" t="str">
        <f>' سهام'!AC7</f>
        <v>طی تیر ماه</v>
      </c>
      <c r="K5" s="412"/>
      <c r="L5" s="412"/>
      <c r="M5" s="412"/>
      <c r="N5" s="412"/>
      <c r="O5" s="53"/>
      <c r="P5" s="412" t="str">
        <f>' سهام'!AC8</f>
        <v>از ابتدای سال مالی تا پایان تیر  ماه</v>
      </c>
      <c r="Q5" s="413"/>
      <c r="R5" s="412"/>
      <c r="S5" s="413"/>
      <c r="T5" s="412"/>
      <c r="U5" s="53"/>
      <c r="V5" s="53"/>
      <c r="W5" s="53"/>
      <c r="AE5" s="12" t="s">
        <v>173</v>
      </c>
    </row>
    <row r="6" spans="2:33" ht="79.5" customHeight="1" thickBot="1" x14ac:dyDescent="0.3">
      <c r="B6" s="197" t="s">
        <v>44</v>
      </c>
      <c r="C6" s="162"/>
      <c r="D6" s="181" t="s">
        <v>138</v>
      </c>
      <c r="E6" s="162"/>
      <c r="F6" s="111" t="s">
        <v>69</v>
      </c>
      <c r="G6" s="162"/>
      <c r="H6" s="111" t="s">
        <v>65</v>
      </c>
      <c r="I6" s="162"/>
      <c r="J6" s="111" t="s">
        <v>66</v>
      </c>
      <c r="K6" s="162"/>
      <c r="L6" s="111" t="s">
        <v>67</v>
      </c>
      <c r="M6" s="162"/>
      <c r="N6" s="111" t="s">
        <v>68</v>
      </c>
      <c r="P6" s="111" t="s">
        <v>66</v>
      </c>
      <c r="Q6" s="162"/>
      <c r="R6" s="111" t="s">
        <v>67</v>
      </c>
      <c r="S6" s="162"/>
      <c r="T6" s="111" t="s">
        <v>68</v>
      </c>
      <c r="AC6" s="12" t="s">
        <v>174</v>
      </c>
    </row>
    <row r="7" spans="2:33" ht="20.25" customHeight="1" x14ac:dyDescent="0.25">
      <c r="B7" s="158" t="s">
        <v>175</v>
      </c>
      <c r="C7" s="162"/>
      <c r="D7" s="162" t="s">
        <v>219</v>
      </c>
      <c r="E7" s="162"/>
      <c r="F7" s="112">
        <v>19617870</v>
      </c>
      <c r="G7" s="162"/>
      <c r="H7" s="112">
        <v>150</v>
      </c>
      <c r="I7" s="162"/>
      <c r="J7" s="189">
        <v>0</v>
      </c>
      <c r="K7" s="162"/>
      <c r="L7" s="189">
        <v>0</v>
      </c>
      <c r="M7" s="162"/>
      <c r="N7" s="189">
        <v>0</v>
      </c>
      <c r="P7" s="112">
        <v>2942680500</v>
      </c>
      <c r="Q7" s="162"/>
      <c r="R7" s="189">
        <v>0</v>
      </c>
      <c r="S7" s="162"/>
      <c r="T7" s="198">
        <v>2942680500</v>
      </c>
    </row>
    <row r="8" spans="2:33" ht="20.25" customHeight="1" x14ac:dyDescent="0.25">
      <c r="B8" s="158" t="s">
        <v>176</v>
      </c>
      <c r="C8" s="162"/>
      <c r="D8" s="162" t="s">
        <v>237</v>
      </c>
      <c r="E8" s="162"/>
      <c r="F8" s="112">
        <v>25000000</v>
      </c>
      <c r="G8" s="162"/>
      <c r="H8" s="112">
        <v>850</v>
      </c>
      <c r="I8" s="162"/>
      <c r="J8" s="189">
        <v>21250000000</v>
      </c>
      <c r="K8" s="162"/>
      <c r="L8" s="189">
        <v>-1195054945</v>
      </c>
      <c r="M8" s="162"/>
      <c r="N8" s="189">
        <v>20054945055</v>
      </c>
      <c r="P8" s="112">
        <v>21250000000</v>
      </c>
      <c r="Q8" s="162"/>
      <c r="R8" s="189">
        <v>-1195054945</v>
      </c>
      <c r="S8" s="162"/>
      <c r="T8" s="198">
        <v>20054945055</v>
      </c>
    </row>
    <row r="9" spans="2:33" ht="20.25" customHeight="1" x14ac:dyDescent="0.25">
      <c r="B9" s="158" t="s">
        <v>124</v>
      </c>
      <c r="C9" s="162"/>
      <c r="D9" s="162" t="s">
        <v>236</v>
      </c>
      <c r="E9" s="162"/>
      <c r="F9" s="112">
        <v>1000</v>
      </c>
      <c r="G9" s="162"/>
      <c r="H9" s="112">
        <v>47</v>
      </c>
      <c r="I9" s="162"/>
      <c r="J9" s="189">
        <v>47000</v>
      </c>
      <c r="K9" s="162"/>
      <c r="L9" s="189">
        <v>-3265</v>
      </c>
      <c r="M9" s="162"/>
      <c r="N9" s="189">
        <v>43735</v>
      </c>
      <c r="P9" s="112">
        <v>47000</v>
      </c>
      <c r="Q9" s="162"/>
      <c r="R9" s="189">
        <v>-3265</v>
      </c>
      <c r="S9" s="162"/>
      <c r="T9" s="198">
        <v>43735</v>
      </c>
    </row>
    <row r="10" spans="2:33" ht="20.25" customHeight="1" x14ac:dyDescent="0.25">
      <c r="B10" s="158" t="s">
        <v>160</v>
      </c>
      <c r="C10" s="162"/>
      <c r="D10" s="162" t="s">
        <v>238</v>
      </c>
      <c r="E10" s="162"/>
      <c r="F10" s="112">
        <v>50000000</v>
      </c>
      <c r="G10" s="162"/>
      <c r="H10" s="112">
        <v>126</v>
      </c>
      <c r="I10" s="162"/>
      <c r="J10" s="189">
        <v>6300000000</v>
      </c>
      <c r="K10" s="162"/>
      <c r="L10" s="189">
        <v>-895769683</v>
      </c>
      <c r="M10" s="162"/>
      <c r="N10" s="189">
        <v>5404230317</v>
      </c>
      <c r="P10" s="112">
        <v>6300000000</v>
      </c>
      <c r="Q10" s="162"/>
      <c r="R10" s="189">
        <v>-895769683</v>
      </c>
      <c r="S10" s="162"/>
      <c r="T10" s="198">
        <v>5404230317</v>
      </c>
    </row>
    <row r="11" spans="2:33" ht="19.5" customHeight="1" x14ac:dyDescent="0.25">
      <c r="B11" s="158" t="s">
        <v>129</v>
      </c>
      <c r="C11" s="162"/>
      <c r="D11" s="162" t="s">
        <v>238</v>
      </c>
      <c r="E11" s="162"/>
      <c r="F11" s="112">
        <v>1000</v>
      </c>
      <c r="G11" s="162"/>
      <c r="H11" s="112">
        <v>1840</v>
      </c>
      <c r="I11" s="162"/>
      <c r="J11" s="189">
        <v>1840000</v>
      </c>
      <c r="K11" s="162"/>
      <c r="L11" s="189">
        <v>-261622</v>
      </c>
      <c r="M11" s="162"/>
      <c r="N11" s="189">
        <v>1578378</v>
      </c>
      <c r="P11" s="112">
        <v>1840000</v>
      </c>
      <c r="Q11" s="162"/>
      <c r="R11" s="189">
        <v>-261622</v>
      </c>
      <c r="S11" s="162"/>
      <c r="T11" s="198">
        <v>1578378</v>
      </c>
    </row>
    <row r="12" spans="2:33" ht="17.25" customHeight="1" x14ac:dyDescent="0.25">
      <c r="B12" s="158" t="s">
        <v>223</v>
      </c>
      <c r="C12" s="162"/>
      <c r="D12" s="162" t="s">
        <v>239</v>
      </c>
      <c r="E12" s="162"/>
      <c r="F12" s="112">
        <v>90000000</v>
      </c>
      <c r="G12" s="162"/>
      <c r="H12" s="112">
        <v>215</v>
      </c>
      <c r="I12" s="162"/>
      <c r="J12" s="189">
        <v>19350000000</v>
      </c>
      <c r="K12" s="162"/>
      <c r="L12" s="189">
        <v>-1158757244</v>
      </c>
      <c r="M12" s="162"/>
      <c r="N12" s="189">
        <v>18191242756</v>
      </c>
      <c r="P12" s="112">
        <v>19350000000</v>
      </c>
      <c r="Q12" s="162"/>
      <c r="R12" s="189">
        <v>-1158757244</v>
      </c>
      <c r="S12" s="162"/>
      <c r="T12" s="198">
        <v>18191242756</v>
      </c>
    </row>
    <row r="13" spans="2:33" ht="17.25" customHeight="1" x14ac:dyDescent="0.25">
      <c r="B13" s="158" t="s">
        <v>146</v>
      </c>
      <c r="C13" s="162"/>
      <c r="D13" s="162" t="s">
        <v>240</v>
      </c>
      <c r="E13" s="162"/>
      <c r="F13" s="112">
        <v>999</v>
      </c>
      <c r="G13" s="162"/>
      <c r="H13" s="112">
        <v>2650</v>
      </c>
      <c r="I13" s="162"/>
      <c r="J13" s="189">
        <v>2647350</v>
      </c>
      <c r="K13" s="162"/>
      <c r="L13" s="189">
        <v>-92736</v>
      </c>
      <c r="M13" s="162"/>
      <c r="N13" s="189">
        <v>2554614</v>
      </c>
      <c r="P13" s="112">
        <v>2647350</v>
      </c>
      <c r="Q13" s="162"/>
      <c r="R13" s="189">
        <v>-92736</v>
      </c>
      <c r="S13" s="162"/>
      <c r="T13" s="198">
        <v>2554614</v>
      </c>
    </row>
    <row r="14" spans="2:33" ht="17.25" customHeight="1" x14ac:dyDescent="0.25">
      <c r="B14" s="158" t="s">
        <v>103</v>
      </c>
      <c r="C14" s="162"/>
      <c r="D14" s="162" t="s">
        <v>241</v>
      </c>
      <c r="E14" s="162"/>
      <c r="F14" s="112">
        <v>379999999</v>
      </c>
      <c r="G14" s="162"/>
      <c r="H14" s="112">
        <v>120</v>
      </c>
      <c r="I14" s="162"/>
      <c r="J14" s="189">
        <v>45599999880</v>
      </c>
      <c r="K14" s="162"/>
      <c r="L14" s="189">
        <v>-1539113166</v>
      </c>
      <c r="M14" s="162"/>
      <c r="N14" s="189">
        <v>44060886714</v>
      </c>
      <c r="P14" s="112">
        <v>45599999880</v>
      </c>
      <c r="Q14" s="162"/>
      <c r="R14" s="189">
        <v>-1539113166</v>
      </c>
      <c r="S14" s="162"/>
      <c r="T14" s="198">
        <v>44060886714</v>
      </c>
    </row>
    <row r="15" spans="2:33" ht="17.25" customHeight="1" x14ac:dyDescent="0.25">
      <c r="B15" s="158" t="s">
        <v>140</v>
      </c>
      <c r="C15" s="162"/>
      <c r="D15" s="162" t="s">
        <v>229</v>
      </c>
      <c r="E15" s="162"/>
      <c r="F15" s="112">
        <v>9442434</v>
      </c>
      <c r="G15" s="162"/>
      <c r="H15" s="112">
        <v>6928</v>
      </c>
      <c r="I15" s="162"/>
      <c r="J15" s="189">
        <v>0</v>
      </c>
      <c r="K15" s="162"/>
      <c r="L15" s="189">
        <v>0</v>
      </c>
      <c r="M15" s="162"/>
      <c r="N15" s="189">
        <v>0</v>
      </c>
      <c r="P15" s="112">
        <v>65417182752</v>
      </c>
      <c r="Q15" s="162"/>
      <c r="R15" s="189">
        <v>-4349991692</v>
      </c>
      <c r="S15" s="162"/>
      <c r="T15" s="198">
        <v>61067191060</v>
      </c>
    </row>
    <row r="16" spans="2:33" ht="17.25" customHeight="1" x14ac:dyDescent="0.25">
      <c r="B16" s="158" t="s">
        <v>135</v>
      </c>
      <c r="C16" s="162"/>
      <c r="D16" s="162" t="s">
        <v>240</v>
      </c>
      <c r="E16" s="162"/>
      <c r="F16" s="112">
        <v>1000</v>
      </c>
      <c r="G16" s="162"/>
      <c r="H16" s="112">
        <v>4795</v>
      </c>
      <c r="I16" s="162"/>
      <c r="J16" s="189">
        <v>4795000</v>
      </c>
      <c r="K16" s="162"/>
      <c r="L16" s="189">
        <v>-307372</v>
      </c>
      <c r="M16" s="162"/>
      <c r="N16" s="189">
        <v>4487628</v>
      </c>
      <c r="P16" s="112">
        <v>4795000</v>
      </c>
      <c r="Q16" s="162"/>
      <c r="R16" s="189">
        <v>-307372</v>
      </c>
      <c r="S16" s="162"/>
      <c r="T16" s="198">
        <v>4487628</v>
      </c>
    </row>
    <row r="17" spans="2:26" ht="17.25" customHeight="1" x14ac:dyDescent="0.25">
      <c r="B17" s="158" t="s">
        <v>111</v>
      </c>
      <c r="C17" s="162"/>
      <c r="D17" s="162" t="s">
        <v>238</v>
      </c>
      <c r="E17" s="162"/>
      <c r="F17" s="112">
        <v>60000000</v>
      </c>
      <c r="G17" s="162"/>
      <c r="H17" s="112">
        <v>740</v>
      </c>
      <c r="I17" s="162"/>
      <c r="J17" s="189">
        <v>44400000000</v>
      </c>
      <c r="K17" s="162"/>
      <c r="L17" s="189">
        <v>-6313043478</v>
      </c>
      <c r="M17" s="162"/>
      <c r="N17" s="189">
        <v>38086956522</v>
      </c>
      <c r="P17" s="112">
        <v>44400000000</v>
      </c>
      <c r="Q17" s="162"/>
      <c r="R17" s="189">
        <v>-6313043478</v>
      </c>
      <c r="S17" s="162"/>
      <c r="T17" s="198">
        <v>38086956522</v>
      </c>
    </row>
    <row r="18" spans="2:26" ht="17.25" customHeight="1" x14ac:dyDescent="0.25">
      <c r="B18" s="158" t="s">
        <v>126</v>
      </c>
      <c r="C18" s="162"/>
      <c r="D18" s="162" t="s">
        <v>205</v>
      </c>
      <c r="E18" s="162"/>
      <c r="F18" s="112">
        <v>1092</v>
      </c>
      <c r="G18" s="162"/>
      <c r="H18" s="112">
        <v>200</v>
      </c>
      <c r="I18" s="162"/>
      <c r="J18" s="189">
        <v>0</v>
      </c>
      <c r="K18" s="162"/>
      <c r="L18" s="189">
        <v>0</v>
      </c>
      <c r="M18" s="162"/>
      <c r="N18" s="189">
        <v>0</v>
      </c>
      <c r="P18" s="112">
        <v>218400</v>
      </c>
      <c r="Q18" s="162"/>
      <c r="R18" s="189">
        <v>-8759</v>
      </c>
      <c r="S18" s="162"/>
      <c r="T18" s="198">
        <v>209641</v>
      </c>
    </row>
    <row r="19" spans="2:26" ht="17.25" customHeight="1" x14ac:dyDescent="0.25">
      <c r="B19" s="158" t="s">
        <v>125</v>
      </c>
      <c r="C19" s="162"/>
      <c r="D19" s="162" t="s">
        <v>208</v>
      </c>
      <c r="E19" s="162"/>
      <c r="F19" s="112">
        <v>1068</v>
      </c>
      <c r="G19" s="162"/>
      <c r="H19" s="112">
        <v>190</v>
      </c>
      <c r="I19" s="162"/>
      <c r="J19" s="189">
        <v>0</v>
      </c>
      <c r="K19" s="162"/>
      <c r="L19" s="189">
        <v>0</v>
      </c>
      <c r="M19" s="162"/>
      <c r="N19" s="189">
        <v>0</v>
      </c>
      <c r="P19" s="112">
        <v>202920</v>
      </c>
      <c r="Q19" s="162"/>
      <c r="R19" s="189">
        <v>-7496</v>
      </c>
      <c r="S19" s="162"/>
      <c r="T19" s="198">
        <v>195424</v>
      </c>
    </row>
    <row r="20" spans="2:26" ht="17.25" customHeight="1" x14ac:dyDescent="0.25">
      <c r="B20" s="158" t="s">
        <v>132</v>
      </c>
      <c r="C20" s="162"/>
      <c r="D20" s="162" t="s">
        <v>242</v>
      </c>
      <c r="E20" s="162"/>
      <c r="F20" s="112">
        <v>10000000</v>
      </c>
      <c r="G20" s="162"/>
      <c r="H20" s="112">
        <v>1600</v>
      </c>
      <c r="I20" s="162"/>
      <c r="J20" s="189">
        <v>16000000000</v>
      </c>
      <c r="K20" s="162"/>
      <c r="L20" s="189">
        <v>-1205826472</v>
      </c>
      <c r="M20" s="162"/>
      <c r="N20" s="189">
        <v>14794173528</v>
      </c>
      <c r="P20" s="112">
        <v>16000000000</v>
      </c>
      <c r="Q20" s="162"/>
      <c r="R20" s="189">
        <v>-1205826472</v>
      </c>
      <c r="S20" s="162"/>
      <c r="T20" s="198">
        <v>14794173528</v>
      </c>
    </row>
    <row r="21" spans="2:26" ht="17.25" customHeight="1" x14ac:dyDescent="0.25">
      <c r="B21" s="158" t="s">
        <v>116</v>
      </c>
      <c r="C21" s="162"/>
      <c r="D21" s="162" t="s">
        <v>243</v>
      </c>
      <c r="E21" s="162"/>
      <c r="F21" s="112">
        <v>1000</v>
      </c>
      <c r="G21" s="162"/>
      <c r="H21" s="112">
        <v>4166</v>
      </c>
      <c r="I21" s="162"/>
      <c r="J21" s="189">
        <v>4166000</v>
      </c>
      <c r="K21" s="162"/>
      <c r="L21" s="189">
        <v>-306635</v>
      </c>
      <c r="M21" s="162"/>
      <c r="N21" s="189">
        <v>3859365</v>
      </c>
      <c r="P21" s="112">
        <v>4166000</v>
      </c>
      <c r="Q21" s="162"/>
      <c r="R21" s="189">
        <v>-306635</v>
      </c>
      <c r="S21" s="162"/>
      <c r="T21" s="198">
        <v>3859365</v>
      </c>
    </row>
    <row r="22" spans="2:26" ht="17.25" customHeight="1" x14ac:dyDescent="0.25">
      <c r="B22" s="158" t="s">
        <v>114</v>
      </c>
      <c r="C22" s="162"/>
      <c r="D22" s="162" t="s">
        <v>244</v>
      </c>
      <c r="E22" s="162"/>
      <c r="F22" s="112">
        <v>1147</v>
      </c>
      <c r="G22" s="162"/>
      <c r="H22" s="112">
        <v>440</v>
      </c>
      <c r="I22" s="162"/>
      <c r="J22" s="189">
        <v>504680</v>
      </c>
      <c r="K22" s="162"/>
      <c r="L22" s="189">
        <v>-1722</v>
      </c>
      <c r="M22" s="162"/>
      <c r="N22" s="189">
        <v>502958</v>
      </c>
      <c r="P22" s="112">
        <v>504680</v>
      </c>
      <c r="Q22" s="162"/>
      <c r="R22" s="189">
        <v>-1722</v>
      </c>
      <c r="S22" s="162"/>
      <c r="T22" s="198">
        <v>502958</v>
      </c>
    </row>
    <row r="23" spans="2:26" ht="17.25" customHeight="1" x14ac:dyDescent="0.25">
      <c r="B23" s="158" t="s">
        <v>152</v>
      </c>
      <c r="C23" s="162"/>
      <c r="D23" s="162" t="s">
        <v>245</v>
      </c>
      <c r="E23" s="162"/>
      <c r="F23" s="112">
        <v>2000000</v>
      </c>
      <c r="G23" s="162"/>
      <c r="H23" s="112">
        <v>3650</v>
      </c>
      <c r="I23" s="162"/>
      <c r="J23" s="189">
        <v>7300000000</v>
      </c>
      <c r="K23" s="162"/>
      <c r="L23" s="189">
        <v>-14969241</v>
      </c>
      <c r="M23" s="162"/>
      <c r="N23" s="189">
        <v>7285030759</v>
      </c>
      <c r="P23" s="112">
        <v>7300000000</v>
      </c>
      <c r="Q23" s="162"/>
      <c r="R23" s="189">
        <v>-14969241</v>
      </c>
      <c r="S23" s="162"/>
      <c r="T23" s="198">
        <v>7285030759</v>
      </c>
    </row>
    <row r="24" spans="2:26" ht="17.25" customHeight="1" x14ac:dyDescent="0.25">
      <c r="B24" s="158" t="s">
        <v>192</v>
      </c>
      <c r="C24" s="162"/>
      <c r="D24" s="162" t="s">
        <v>230</v>
      </c>
      <c r="E24" s="162"/>
      <c r="F24" s="112">
        <v>335000</v>
      </c>
      <c r="G24" s="162"/>
      <c r="H24" s="112">
        <v>4850</v>
      </c>
      <c r="I24" s="162"/>
      <c r="J24" s="189">
        <v>0</v>
      </c>
      <c r="K24" s="162"/>
      <c r="L24" s="189">
        <v>0</v>
      </c>
      <c r="M24" s="162"/>
      <c r="N24" s="189">
        <v>0</v>
      </c>
      <c r="P24" s="112">
        <v>1624750000</v>
      </c>
      <c r="Q24" s="162"/>
      <c r="R24" s="189">
        <v>0</v>
      </c>
      <c r="S24" s="162"/>
      <c r="T24" s="198">
        <v>1624750000</v>
      </c>
    </row>
    <row r="25" spans="2:26" ht="17.25" customHeight="1" x14ac:dyDescent="0.25">
      <c r="B25" s="158" t="s">
        <v>139</v>
      </c>
      <c r="C25" s="162"/>
      <c r="D25" s="162" t="s">
        <v>231</v>
      </c>
      <c r="E25" s="162"/>
      <c r="F25" s="112">
        <v>1400</v>
      </c>
      <c r="G25" s="162"/>
      <c r="H25" s="112">
        <v>4500</v>
      </c>
      <c r="I25" s="162"/>
      <c r="J25" s="189">
        <v>6300000</v>
      </c>
      <c r="K25" s="162"/>
      <c r="L25" s="189">
        <v>-898943</v>
      </c>
      <c r="M25" s="162"/>
      <c r="N25" s="189">
        <v>5401057</v>
      </c>
      <c r="P25" s="112">
        <v>6300000</v>
      </c>
      <c r="Q25" s="162"/>
      <c r="R25" s="189">
        <v>-898943</v>
      </c>
      <c r="S25" s="162"/>
      <c r="T25" s="198">
        <v>5401057</v>
      </c>
    </row>
    <row r="26" spans="2:26" ht="17.25" customHeight="1" x14ac:dyDescent="0.25">
      <c r="B26" s="158" t="s">
        <v>222</v>
      </c>
      <c r="C26" s="162"/>
      <c r="D26" s="162" t="s">
        <v>236</v>
      </c>
      <c r="E26" s="162"/>
      <c r="F26" s="112">
        <v>2700000</v>
      </c>
      <c r="G26" s="162"/>
      <c r="H26" s="112">
        <v>6000</v>
      </c>
      <c r="I26" s="162"/>
      <c r="J26" s="189">
        <v>16200000000</v>
      </c>
      <c r="K26" s="162"/>
      <c r="L26" s="189">
        <v>-1154198473</v>
      </c>
      <c r="M26" s="162"/>
      <c r="N26" s="189">
        <v>15045801527</v>
      </c>
      <c r="P26" s="112">
        <v>16200000000</v>
      </c>
      <c r="Q26" s="162"/>
      <c r="R26" s="189">
        <v>-1154198473</v>
      </c>
      <c r="S26" s="162"/>
      <c r="T26" s="198">
        <v>15045801527</v>
      </c>
    </row>
    <row r="27" spans="2:26" ht="17.25" customHeight="1" x14ac:dyDescent="0.25">
      <c r="B27" s="158" t="s">
        <v>133</v>
      </c>
      <c r="C27" s="162"/>
      <c r="D27" s="162" t="s">
        <v>246</v>
      </c>
      <c r="E27" s="162"/>
      <c r="F27" s="112">
        <v>1000</v>
      </c>
      <c r="G27" s="162"/>
      <c r="H27" s="112">
        <v>86</v>
      </c>
      <c r="I27" s="162"/>
      <c r="J27" s="189">
        <v>86000</v>
      </c>
      <c r="K27" s="162"/>
      <c r="L27" s="189">
        <v>-4308</v>
      </c>
      <c r="M27" s="162"/>
      <c r="N27" s="189">
        <v>81692</v>
      </c>
      <c r="P27" s="112">
        <v>86000</v>
      </c>
      <c r="Q27" s="162"/>
      <c r="R27" s="189">
        <v>-4308</v>
      </c>
      <c r="S27" s="162"/>
      <c r="T27" s="198">
        <v>81692</v>
      </c>
    </row>
    <row r="28" spans="2:26" ht="17.25" customHeight="1" x14ac:dyDescent="0.25">
      <c r="B28" s="158" t="s">
        <v>221</v>
      </c>
      <c r="C28" s="162"/>
      <c r="D28" s="162" t="s">
        <v>243</v>
      </c>
      <c r="E28" s="162"/>
      <c r="F28" s="112">
        <v>125000</v>
      </c>
      <c r="G28" s="162"/>
      <c r="H28" s="112">
        <v>2050</v>
      </c>
      <c r="I28" s="162"/>
      <c r="J28" s="189">
        <v>256250000</v>
      </c>
      <c r="K28" s="162"/>
      <c r="L28" s="189">
        <v>-16733355</v>
      </c>
      <c r="M28" s="162"/>
      <c r="N28" s="189">
        <v>239516645</v>
      </c>
      <c r="P28" s="112">
        <v>256250000</v>
      </c>
      <c r="Q28" s="162"/>
      <c r="R28" s="189">
        <v>-16733355</v>
      </c>
      <c r="S28" s="162"/>
      <c r="T28" s="198">
        <v>239516645</v>
      </c>
    </row>
    <row r="29" spans="2:26" ht="17.25" customHeight="1" x14ac:dyDescent="0.25">
      <c r="B29" s="158" t="s">
        <v>224</v>
      </c>
      <c r="C29" s="162"/>
      <c r="D29" s="162" t="s">
        <v>231</v>
      </c>
      <c r="E29" s="162"/>
      <c r="F29" s="112">
        <v>170000000</v>
      </c>
      <c r="G29" s="162"/>
      <c r="H29" s="112">
        <v>10</v>
      </c>
      <c r="I29" s="162"/>
      <c r="J29" s="189">
        <v>1700000000</v>
      </c>
      <c r="K29" s="162"/>
      <c r="L29" s="189">
        <v>-242571932</v>
      </c>
      <c r="M29" s="162"/>
      <c r="N29" s="189">
        <v>1457428068</v>
      </c>
      <c r="P29" s="112">
        <v>1700000000</v>
      </c>
      <c r="Q29" s="162"/>
      <c r="R29" s="189">
        <v>-242571932</v>
      </c>
      <c r="S29" s="162"/>
      <c r="T29" s="198">
        <v>1457428068</v>
      </c>
    </row>
    <row r="30" spans="2:26" ht="17.25" customHeight="1" x14ac:dyDescent="0.25">
      <c r="B30" s="158" t="s">
        <v>181</v>
      </c>
      <c r="C30" s="162"/>
      <c r="D30" s="162" t="s">
        <v>203</v>
      </c>
      <c r="E30" s="162"/>
      <c r="F30" s="112">
        <v>360000</v>
      </c>
      <c r="G30" s="162"/>
      <c r="H30" s="112">
        <v>1000</v>
      </c>
      <c r="I30" s="162"/>
      <c r="J30" s="189">
        <v>0</v>
      </c>
      <c r="K30" s="162"/>
      <c r="L30" s="189">
        <v>0</v>
      </c>
      <c r="M30" s="162"/>
      <c r="N30" s="189">
        <v>0</v>
      </c>
      <c r="P30" s="112">
        <v>360000000</v>
      </c>
      <c r="Q30" s="162"/>
      <c r="R30" s="189">
        <v>-6536651</v>
      </c>
      <c r="S30" s="162"/>
      <c r="T30" s="198">
        <v>353463349</v>
      </c>
    </row>
    <row r="31" spans="2:26" ht="17.25" customHeight="1" x14ac:dyDescent="0.25">
      <c r="B31" s="158" t="s">
        <v>188</v>
      </c>
      <c r="C31" s="162"/>
      <c r="D31" s="162" t="s">
        <v>209</v>
      </c>
      <c r="E31" s="162"/>
      <c r="F31" s="112">
        <v>1475169</v>
      </c>
      <c r="G31" s="162"/>
      <c r="H31" s="112">
        <v>271</v>
      </c>
      <c r="I31" s="162"/>
      <c r="J31" s="189">
        <v>0</v>
      </c>
      <c r="K31" s="162"/>
      <c r="L31" s="189">
        <v>0</v>
      </c>
      <c r="M31" s="162"/>
      <c r="N31" s="189">
        <v>0</v>
      </c>
      <c r="P31" s="112">
        <v>399770799</v>
      </c>
      <c r="Q31" s="162"/>
      <c r="R31" s="189">
        <v>0</v>
      </c>
      <c r="S31" s="162"/>
      <c r="T31" s="198">
        <v>399770799</v>
      </c>
    </row>
    <row r="32" spans="2:26" ht="19.5" customHeight="1" thickBot="1" x14ac:dyDescent="0.3">
      <c r="B32" s="158" t="s">
        <v>228</v>
      </c>
      <c r="C32" s="162"/>
      <c r="D32" s="314" t="s">
        <v>231</v>
      </c>
      <c r="E32" s="162"/>
      <c r="F32" s="112">
        <v>585000</v>
      </c>
      <c r="G32" s="162"/>
      <c r="H32" s="112">
        <v>414</v>
      </c>
      <c r="I32" s="162"/>
      <c r="J32" s="189">
        <v>242190000</v>
      </c>
      <c r="K32" s="162"/>
      <c r="L32" s="189">
        <v>-34557939</v>
      </c>
      <c r="M32" s="162"/>
      <c r="N32" s="189">
        <v>207632061</v>
      </c>
      <c r="P32" s="112">
        <v>242190000</v>
      </c>
      <c r="Q32" s="162"/>
      <c r="R32" s="189">
        <v>-34557939</v>
      </c>
      <c r="S32" s="162"/>
      <c r="T32" s="198">
        <v>207632061</v>
      </c>
      <c r="V32" s="199"/>
      <c r="W32" s="199"/>
      <c r="X32" s="199"/>
      <c r="Y32" s="199"/>
      <c r="Z32" s="199"/>
    </row>
    <row r="33" spans="2:28" ht="23.25" thickBot="1" x14ac:dyDescent="0.3">
      <c r="B33" s="196" t="s">
        <v>7</v>
      </c>
      <c r="F33" s="92">
        <f>SUM(F7:F32)</f>
        <v>821651178</v>
      </c>
      <c r="H33" s="12"/>
      <c r="J33" s="92">
        <f>SUM(J7:J32)</f>
        <v>178618825910</v>
      </c>
      <c r="K33" s="90"/>
      <c r="L33" s="92">
        <f>SUM(L7:L32)</f>
        <v>-13772472531</v>
      </c>
      <c r="M33" s="90"/>
      <c r="N33" s="92">
        <f>SUM(N7:N32)</f>
        <v>164846353379</v>
      </c>
      <c r="O33" s="90"/>
      <c r="P33" s="92">
        <f>SUM(P7:P32)</f>
        <v>249363631281</v>
      </c>
      <c r="Q33" s="91"/>
      <c r="R33" s="92">
        <f>SUM(R7:R32)</f>
        <v>-18129017129</v>
      </c>
      <c r="S33" s="91"/>
      <c r="T33" s="92">
        <f>SUM(T7:T32)</f>
        <v>231234614152</v>
      </c>
      <c r="AB33" s="12" t="s">
        <v>179</v>
      </c>
    </row>
    <row r="34" spans="2:28" ht="23.25" thickTop="1" x14ac:dyDescent="0.25">
      <c r="H34" s="12"/>
      <c r="V34" s="199"/>
    </row>
    <row r="35" spans="2:28" ht="24.75" x14ac:dyDescent="0.45">
      <c r="J35" s="265"/>
      <c r="L35" s="294"/>
      <c r="M35" s="295"/>
      <c r="N35" s="297"/>
      <c r="O35" s="295"/>
      <c r="P35" s="297"/>
      <c r="Q35" s="295"/>
      <c r="R35" s="294"/>
      <c r="S35" s="295"/>
      <c r="T35" s="297"/>
    </row>
    <row r="36" spans="2:28" ht="24.75" x14ac:dyDescent="0.25">
      <c r="J36" s="265"/>
      <c r="L36" s="298">
        <f>J33+L33-N33</f>
        <v>0</v>
      </c>
      <c r="M36" s="295"/>
      <c r="N36" s="297"/>
      <c r="O36" s="295"/>
      <c r="P36" s="299"/>
      <c r="Q36" s="295"/>
      <c r="R36" s="298"/>
      <c r="S36" s="295"/>
      <c r="T36" s="297"/>
    </row>
    <row r="37" spans="2:28" ht="24.75" x14ac:dyDescent="0.25">
      <c r="J37" s="265"/>
      <c r="L37" s="299"/>
      <c r="M37" s="295"/>
      <c r="N37" s="299"/>
      <c r="O37" s="295"/>
      <c r="P37" s="299"/>
      <c r="Q37" s="295"/>
      <c r="R37" s="299"/>
      <c r="S37" s="295"/>
      <c r="T37" s="299"/>
    </row>
    <row r="38" spans="2:28" ht="24.75" x14ac:dyDescent="0.25">
      <c r="J38" s="280"/>
      <c r="L38" s="299"/>
      <c r="M38" s="295"/>
      <c r="N38" s="296"/>
      <c r="O38" s="295"/>
      <c r="P38" s="299"/>
      <c r="Q38" s="295"/>
      <c r="R38" s="299"/>
      <c r="S38" s="295"/>
      <c r="T38" s="292"/>
    </row>
    <row r="39" spans="2:28" x14ac:dyDescent="0.25">
      <c r="L39" s="299"/>
      <c r="M39" s="295"/>
      <c r="N39" s="299"/>
      <c r="O39" s="295"/>
      <c r="P39" s="299"/>
      <c r="Q39" s="295"/>
      <c r="R39" s="299"/>
      <c r="S39" s="295"/>
      <c r="T39" s="299"/>
    </row>
    <row r="49" spans="18:34" x14ac:dyDescent="0.25">
      <c r="X49" s="238"/>
      <c r="Y49" s="238"/>
      <c r="Z49" s="238"/>
      <c r="AA49" s="238"/>
      <c r="AB49" s="238"/>
      <c r="AC49" s="239"/>
      <c r="AD49" s="240"/>
      <c r="AE49" s="241"/>
      <c r="AF49" s="241"/>
      <c r="AG49" s="241"/>
      <c r="AH49" s="241"/>
    </row>
    <row r="53" spans="18:34" ht="27.75" x14ac:dyDescent="0.25">
      <c r="R53" s="146"/>
    </row>
    <row r="101" spans="25:26" x14ac:dyDescent="0.25">
      <c r="Y101" s="309"/>
      <c r="Z101" s="309"/>
    </row>
    <row r="102" spans="25:26" x14ac:dyDescent="0.25">
      <c r="Y102" s="309"/>
      <c r="Z102" s="309"/>
    </row>
    <row r="103" spans="25:26" x14ac:dyDescent="0.25">
      <c r="Y103" s="309"/>
      <c r="Z103" s="309"/>
    </row>
    <row r="104" spans="25:26" x14ac:dyDescent="0.25">
      <c r="Y104" s="309"/>
      <c r="Z104" s="309"/>
    </row>
    <row r="105" spans="25:26" x14ac:dyDescent="0.25">
      <c r="Y105" s="309"/>
      <c r="Z105" s="309"/>
    </row>
    <row r="106" spans="25:26" x14ac:dyDescent="0.25">
      <c r="Y106" s="309"/>
      <c r="Z106" s="309"/>
    </row>
    <row r="107" spans="25:26" x14ac:dyDescent="0.25">
      <c r="Y107" s="309"/>
      <c r="Z107" s="309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27"/>
  <sheetViews>
    <sheetView rightToLeft="1" view="pageBreakPreview" zoomScale="50" zoomScaleNormal="100" zoomScaleSheetLayoutView="50" workbookViewId="0">
      <selection activeCell="D22" sqref="D22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8.42578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5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402" t="str">
        <f>'درآمد ناشی ازفروش'!B1:R1</f>
        <v>صندوق سرمایه گذاری شاخص سی شرکت بزرگ فیروزه</v>
      </c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V1" s="180"/>
    </row>
    <row r="2" spans="2:28" x14ac:dyDescent="0.25">
      <c r="B2" s="402" t="s">
        <v>86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V2" s="180"/>
    </row>
    <row r="3" spans="2:28" x14ac:dyDescent="0.25">
      <c r="B3" s="402" t="str">
        <f>' سهام'!AC6</f>
        <v>برای ماه منتهی به 1405/04/31</v>
      </c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V3" s="180"/>
    </row>
    <row r="4" spans="2:28" x14ac:dyDescent="0.25">
      <c r="B4" s="418" t="s">
        <v>96</v>
      </c>
      <c r="C4" s="418"/>
      <c r="D4" s="418"/>
      <c r="E4" s="418"/>
      <c r="F4" s="418"/>
      <c r="G4" s="418"/>
      <c r="H4" s="418"/>
      <c r="I4" s="418"/>
      <c r="V4" s="180"/>
      <c r="AB4" s="12" t="s">
        <v>155</v>
      </c>
    </row>
    <row r="5" spans="2:28" ht="34.5" thickBot="1" x14ac:dyDescent="0.3">
      <c r="D5" s="413" t="str">
        <f>' سهام'!AC7</f>
        <v>طی تیر ماه</v>
      </c>
      <c r="E5" s="413"/>
      <c r="F5" s="413"/>
      <c r="G5" s="413"/>
      <c r="H5" s="413"/>
      <c r="I5" s="413"/>
      <c r="J5" s="413"/>
      <c r="L5" s="413" t="str">
        <f>' سهام'!AC8</f>
        <v>از ابتدای سال مالی تا پایان تیر  ماه</v>
      </c>
      <c r="M5" s="413"/>
      <c r="N5" s="413"/>
      <c r="O5" s="413"/>
      <c r="P5" s="413"/>
      <c r="Q5" s="413"/>
      <c r="R5" s="413"/>
      <c r="V5" s="180"/>
      <c r="AB5" s="12" t="s">
        <v>156</v>
      </c>
    </row>
    <row r="6" spans="2:28" ht="53.25" customHeight="1" thickBot="1" x14ac:dyDescent="0.3">
      <c r="B6" s="12" t="s">
        <v>63</v>
      </c>
      <c r="D6" s="110" t="s">
        <v>8</v>
      </c>
      <c r="F6" s="181" t="s">
        <v>31</v>
      </c>
      <c r="H6" s="129" t="s">
        <v>73</v>
      </c>
      <c r="J6" s="181" t="s">
        <v>74</v>
      </c>
      <c r="L6" s="110" t="s">
        <v>8</v>
      </c>
      <c r="N6" s="181" t="s">
        <v>31</v>
      </c>
      <c r="P6" s="129" t="s">
        <v>73</v>
      </c>
      <c r="R6" s="246" t="s">
        <v>74</v>
      </c>
      <c r="U6" s="180"/>
      <c r="V6" s="180"/>
      <c r="AB6" s="12" t="s">
        <v>157</v>
      </c>
    </row>
    <row r="7" spans="2:28" s="183" customFormat="1" ht="30" customHeight="1" x14ac:dyDescent="0.25">
      <c r="B7" s="182" t="s">
        <v>122</v>
      </c>
      <c r="C7" s="182"/>
      <c r="D7" s="101">
        <v>1000</v>
      </c>
      <c r="E7" s="101"/>
      <c r="F7" s="101">
        <v>20599525</v>
      </c>
      <c r="G7" s="101"/>
      <c r="H7" s="101">
        <v>-17642560</v>
      </c>
      <c r="I7" s="101"/>
      <c r="J7" s="101">
        <f>F7+H7</f>
        <v>2956965</v>
      </c>
      <c r="K7" s="101"/>
      <c r="L7" s="101">
        <v>1000</v>
      </c>
      <c r="M7" s="101"/>
      <c r="N7" s="101">
        <v>20599525</v>
      </c>
      <c r="O7" s="101"/>
      <c r="P7" s="101">
        <v>-12413297</v>
      </c>
      <c r="Q7" s="101"/>
      <c r="R7" s="101">
        <f>N7+P7</f>
        <v>8186228</v>
      </c>
      <c r="S7" s="302"/>
      <c r="T7" s="302"/>
      <c r="U7" s="180"/>
      <c r="V7" s="180"/>
      <c r="W7" s="179"/>
      <c r="X7" s="179"/>
      <c r="Y7" s="184"/>
      <c r="Z7" s="179"/>
      <c r="AB7" s="183" t="s">
        <v>158</v>
      </c>
    </row>
    <row r="8" spans="2:28" s="183" customFormat="1" ht="30" customHeight="1" x14ac:dyDescent="0.25">
      <c r="B8" s="182" t="s">
        <v>202</v>
      </c>
      <c r="C8" s="182"/>
      <c r="D8" s="101">
        <v>2400000</v>
      </c>
      <c r="E8" s="101"/>
      <c r="F8" s="101">
        <v>36674299200</v>
      </c>
      <c r="G8" s="101"/>
      <c r="H8" s="101">
        <v>-27910570560</v>
      </c>
      <c r="I8" s="101"/>
      <c r="J8" s="101">
        <f t="shared" ref="J8:J37" si="0">F8+H8</f>
        <v>8763728640</v>
      </c>
      <c r="K8" s="101"/>
      <c r="L8" s="101">
        <v>2400000</v>
      </c>
      <c r="M8" s="101"/>
      <c r="N8" s="101">
        <v>36674299200</v>
      </c>
      <c r="O8" s="101"/>
      <c r="P8" s="101">
        <v>-21259186297</v>
      </c>
      <c r="Q8" s="101"/>
      <c r="R8" s="101">
        <f t="shared" ref="R8:R37" si="1">N8+P8</f>
        <v>15415112903</v>
      </c>
      <c r="S8" s="302"/>
      <c r="T8" s="302"/>
      <c r="U8" s="180"/>
      <c r="V8" s="180"/>
      <c r="W8" s="179"/>
      <c r="X8" s="179"/>
      <c r="Y8" s="184"/>
      <c r="Z8" s="179"/>
      <c r="AB8" s="183" t="s">
        <v>159</v>
      </c>
    </row>
    <row r="9" spans="2:28" s="183" customFormat="1" ht="30" customHeight="1" x14ac:dyDescent="0.25">
      <c r="B9" s="182" t="s">
        <v>113</v>
      </c>
      <c r="C9" s="182"/>
      <c r="D9" s="101">
        <v>50000000</v>
      </c>
      <c r="E9" s="101"/>
      <c r="F9" s="101">
        <v>236160260000</v>
      </c>
      <c r="G9" s="101"/>
      <c r="H9" s="101">
        <v>-256997930000</v>
      </c>
      <c r="I9" s="101"/>
      <c r="J9" s="101">
        <f t="shared" si="0"/>
        <v>-20837670000</v>
      </c>
      <c r="K9" s="101"/>
      <c r="L9" s="101">
        <v>50000000</v>
      </c>
      <c r="M9" s="101"/>
      <c r="N9" s="101">
        <v>236160260000</v>
      </c>
      <c r="O9" s="101"/>
      <c r="P9" s="101">
        <v>-153404941940</v>
      </c>
      <c r="Q9" s="101"/>
      <c r="R9" s="101">
        <f t="shared" si="1"/>
        <v>82755318060</v>
      </c>
      <c r="S9" s="302"/>
      <c r="T9" s="302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127</v>
      </c>
      <c r="C10" s="182"/>
      <c r="D10" s="101">
        <v>205714285</v>
      </c>
      <c r="E10" s="101"/>
      <c r="F10" s="101">
        <v>3046756519249</v>
      </c>
      <c r="G10" s="101"/>
      <c r="H10" s="101">
        <v>-3351059349444</v>
      </c>
      <c r="I10" s="101"/>
      <c r="J10" s="101">
        <f t="shared" si="0"/>
        <v>-304302830195</v>
      </c>
      <c r="K10" s="101"/>
      <c r="L10" s="101">
        <v>205714285</v>
      </c>
      <c r="M10" s="101"/>
      <c r="N10" s="101">
        <v>3046756519249</v>
      </c>
      <c r="O10" s="101"/>
      <c r="P10" s="101">
        <v>-2240443817454</v>
      </c>
      <c r="Q10" s="101"/>
      <c r="R10" s="101">
        <f t="shared" si="1"/>
        <v>806312701795</v>
      </c>
      <c r="S10" s="302"/>
      <c r="T10" s="302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225</v>
      </c>
      <c r="C11" s="182"/>
      <c r="D11" s="101">
        <v>20000000</v>
      </c>
      <c r="E11" s="101"/>
      <c r="F11" s="101">
        <v>91685748000</v>
      </c>
      <c r="G11" s="101"/>
      <c r="H11" s="101">
        <v>-84175078459</v>
      </c>
      <c r="I11" s="101"/>
      <c r="J11" s="101">
        <f t="shared" si="0"/>
        <v>7510669541</v>
      </c>
      <c r="K11" s="101"/>
      <c r="L11" s="101">
        <v>20000000</v>
      </c>
      <c r="M11" s="101"/>
      <c r="N11" s="101">
        <v>91685748000</v>
      </c>
      <c r="O11" s="101"/>
      <c r="P11" s="101">
        <v>-84174415854</v>
      </c>
      <c r="Q11" s="101"/>
      <c r="R11" s="101">
        <f t="shared" si="1"/>
        <v>7511332146</v>
      </c>
      <c r="S11" s="302"/>
      <c r="T11" s="302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119</v>
      </c>
      <c r="C12" s="182"/>
      <c r="D12" s="101">
        <v>30000000</v>
      </c>
      <c r="E12" s="101"/>
      <c r="F12" s="101">
        <v>408120651000</v>
      </c>
      <c r="G12" s="101"/>
      <c r="H12" s="101">
        <v>-464412976972</v>
      </c>
      <c r="I12" s="101"/>
      <c r="J12" s="101">
        <f t="shared" si="0"/>
        <v>-56292325972</v>
      </c>
      <c r="K12" s="101"/>
      <c r="L12" s="101">
        <v>30000000</v>
      </c>
      <c r="M12" s="101"/>
      <c r="N12" s="101">
        <v>408120651000</v>
      </c>
      <c r="O12" s="101"/>
      <c r="P12" s="101">
        <v>-410989327358</v>
      </c>
      <c r="Q12" s="101"/>
      <c r="R12" s="101">
        <f t="shared" si="1"/>
        <v>-2868676358</v>
      </c>
      <c r="S12" s="302"/>
      <c r="T12" s="302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120</v>
      </c>
      <c r="C13" s="182"/>
      <c r="D13" s="101">
        <v>39000000</v>
      </c>
      <c r="E13" s="101"/>
      <c r="F13" s="101">
        <v>402464712000</v>
      </c>
      <c r="G13" s="101"/>
      <c r="H13" s="101">
        <v>-508538375022</v>
      </c>
      <c r="I13" s="101"/>
      <c r="J13" s="101">
        <f t="shared" si="0"/>
        <v>-106073663022</v>
      </c>
      <c r="K13" s="101"/>
      <c r="L13" s="101">
        <v>39000000</v>
      </c>
      <c r="M13" s="101"/>
      <c r="N13" s="101">
        <v>402464712000</v>
      </c>
      <c r="O13" s="101"/>
      <c r="P13" s="101">
        <v>-406334565020</v>
      </c>
      <c r="Q13" s="101"/>
      <c r="R13" s="101">
        <f t="shared" si="1"/>
        <v>-3869853020</v>
      </c>
      <c r="S13" s="302"/>
      <c r="T13" s="302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118</v>
      </c>
      <c r="C14" s="182"/>
      <c r="D14" s="101">
        <v>5000000</v>
      </c>
      <c r="E14" s="101"/>
      <c r="F14" s="101">
        <v>133559542000</v>
      </c>
      <c r="G14" s="101"/>
      <c r="H14" s="101">
        <v>-127903603000</v>
      </c>
      <c r="I14" s="101"/>
      <c r="J14" s="101">
        <f t="shared" si="0"/>
        <v>5655939000</v>
      </c>
      <c r="K14" s="101"/>
      <c r="L14" s="101">
        <v>5000000</v>
      </c>
      <c r="M14" s="101"/>
      <c r="N14" s="101">
        <v>133559542000</v>
      </c>
      <c r="O14" s="101"/>
      <c r="P14" s="101">
        <v>-96924889103</v>
      </c>
      <c r="Q14" s="101"/>
      <c r="R14" s="101">
        <f t="shared" si="1"/>
        <v>36634652897</v>
      </c>
      <c r="S14" s="302"/>
      <c r="T14" s="302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146</v>
      </c>
      <c r="C15" s="182"/>
      <c r="D15" s="101">
        <v>1782</v>
      </c>
      <c r="E15" s="101"/>
      <c r="F15" s="101">
        <v>8664303</v>
      </c>
      <c r="G15" s="101"/>
      <c r="H15" s="101">
        <v>-10874584</v>
      </c>
      <c r="I15" s="101"/>
      <c r="J15" s="101">
        <f t="shared" si="0"/>
        <v>-2210281</v>
      </c>
      <c r="K15" s="101"/>
      <c r="L15" s="101">
        <v>1782</v>
      </c>
      <c r="M15" s="101"/>
      <c r="N15" s="101">
        <v>8664303</v>
      </c>
      <c r="O15" s="101"/>
      <c r="P15" s="101">
        <v>-9583780</v>
      </c>
      <c r="Q15" s="101"/>
      <c r="R15" s="101">
        <f t="shared" si="1"/>
        <v>-919477</v>
      </c>
      <c r="S15" s="302"/>
      <c r="T15" s="302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142</v>
      </c>
      <c r="C16" s="182"/>
      <c r="D16" s="101">
        <v>80000000</v>
      </c>
      <c r="E16" s="101"/>
      <c r="F16" s="101">
        <v>41913484800</v>
      </c>
      <c r="G16" s="101"/>
      <c r="H16" s="101">
        <v>-93684614050</v>
      </c>
      <c r="I16" s="101"/>
      <c r="J16" s="101">
        <f t="shared" si="0"/>
        <v>-51771129250</v>
      </c>
      <c r="K16" s="101"/>
      <c r="L16" s="101">
        <v>80000000</v>
      </c>
      <c r="M16" s="101"/>
      <c r="N16" s="101">
        <v>41913484800</v>
      </c>
      <c r="O16" s="101"/>
      <c r="P16" s="101">
        <v>-37464842891</v>
      </c>
      <c r="Q16" s="101"/>
      <c r="R16" s="101">
        <f t="shared" si="1"/>
        <v>4448641909</v>
      </c>
      <c r="S16" s="302"/>
      <c r="T16" s="302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125</v>
      </c>
      <c r="C17" s="182"/>
      <c r="D17" s="101">
        <v>1068</v>
      </c>
      <c r="E17" s="101"/>
      <c r="F17" s="101">
        <v>2273151</v>
      </c>
      <c r="G17" s="101"/>
      <c r="H17" s="101">
        <v>-2169296</v>
      </c>
      <c r="I17" s="101"/>
      <c r="J17" s="101">
        <f t="shared" si="0"/>
        <v>103855</v>
      </c>
      <c r="K17" s="101"/>
      <c r="L17" s="101">
        <v>1068</v>
      </c>
      <c r="M17" s="101"/>
      <c r="N17" s="101">
        <v>2273151</v>
      </c>
      <c r="O17" s="101"/>
      <c r="P17" s="101">
        <v>-1966004</v>
      </c>
      <c r="Q17" s="101"/>
      <c r="R17" s="101">
        <f t="shared" si="1"/>
        <v>307147</v>
      </c>
      <c r="S17" s="302"/>
      <c r="T17" s="302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128</v>
      </c>
      <c r="C18" s="182"/>
      <c r="D18" s="101">
        <v>600000000</v>
      </c>
      <c r="E18" s="101"/>
      <c r="F18" s="101">
        <v>1296698436000</v>
      </c>
      <c r="G18" s="101"/>
      <c r="H18" s="101">
        <v>-1228866009468</v>
      </c>
      <c r="I18" s="101"/>
      <c r="J18" s="101">
        <f t="shared" si="0"/>
        <v>67832426532</v>
      </c>
      <c r="K18" s="101"/>
      <c r="L18" s="101">
        <v>600000000</v>
      </c>
      <c r="M18" s="101"/>
      <c r="N18" s="101">
        <v>1296698436000</v>
      </c>
      <c r="O18" s="101"/>
      <c r="P18" s="101">
        <v>-1131384190589</v>
      </c>
      <c r="Q18" s="101"/>
      <c r="R18" s="101">
        <f t="shared" si="1"/>
        <v>165314245411</v>
      </c>
      <c r="S18" s="302"/>
      <c r="T18" s="302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140</v>
      </c>
      <c r="C19" s="182"/>
      <c r="D19" s="101">
        <v>9000000</v>
      </c>
      <c r="E19" s="101"/>
      <c r="F19" s="101">
        <v>548417706300</v>
      </c>
      <c r="G19" s="101"/>
      <c r="H19" s="101">
        <v>-575673843276</v>
      </c>
      <c r="I19" s="101"/>
      <c r="J19" s="101">
        <f t="shared" si="0"/>
        <v>-27256136976</v>
      </c>
      <c r="K19" s="101"/>
      <c r="L19" s="101">
        <v>9000000</v>
      </c>
      <c r="M19" s="101"/>
      <c r="N19" s="101">
        <v>548417706300</v>
      </c>
      <c r="O19" s="101"/>
      <c r="P19" s="101">
        <v>-634211444191</v>
      </c>
      <c r="Q19" s="101"/>
      <c r="R19" s="101">
        <f t="shared" si="1"/>
        <v>-85793737891</v>
      </c>
      <c r="S19" s="302"/>
      <c r="T19" s="302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235</v>
      </c>
      <c r="C20" s="182"/>
      <c r="D20" s="101">
        <v>23000000</v>
      </c>
      <c r="E20" s="101"/>
      <c r="F20" s="101">
        <v>98135503000</v>
      </c>
      <c r="G20" s="101"/>
      <c r="H20" s="101">
        <v>-111689326960</v>
      </c>
      <c r="I20" s="101"/>
      <c r="J20" s="101">
        <f t="shared" si="0"/>
        <v>-13553823960</v>
      </c>
      <c r="K20" s="101"/>
      <c r="L20" s="101">
        <v>23000000</v>
      </c>
      <c r="M20" s="101"/>
      <c r="N20" s="101">
        <v>98135503000</v>
      </c>
      <c r="O20" s="101"/>
      <c r="P20" s="101">
        <v>-111689326960</v>
      </c>
      <c r="Q20" s="101"/>
      <c r="R20" s="101">
        <f t="shared" si="1"/>
        <v>-13553823960</v>
      </c>
      <c r="S20" s="302"/>
      <c r="T20" s="302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116</v>
      </c>
      <c r="C21" s="182"/>
      <c r="D21" s="101">
        <v>1000</v>
      </c>
      <c r="E21" s="101"/>
      <c r="F21" s="101">
        <v>35622493</v>
      </c>
      <c r="G21" s="101"/>
      <c r="H21" s="101">
        <v>408021426</v>
      </c>
      <c r="I21" s="101"/>
      <c r="J21" s="101">
        <f t="shared" si="0"/>
        <v>443643919</v>
      </c>
      <c r="K21" s="101"/>
      <c r="L21" s="101">
        <v>1000</v>
      </c>
      <c r="M21" s="101"/>
      <c r="N21" s="101">
        <v>35622493</v>
      </c>
      <c r="O21" s="101"/>
      <c r="P21" s="101">
        <v>-43461424</v>
      </c>
      <c r="Q21" s="101"/>
      <c r="R21" s="101">
        <f t="shared" si="1"/>
        <v>-7838931</v>
      </c>
      <c r="S21" s="302"/>
      <c r="T21" s="302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124</v>
      </c>
      <c r="C22" s="182"/>
      <c r="D22" s="101">
        <v>1000</v>
      </c>
      <c r="E22" s="101"/>
      <c r="F22" s="101">
        <v>619176</v>
      </c>
      <c r="G22" s="101"/>
      <c r="H22" s="101">
        <v>-661844</v>
      </c>
      <c r="I22" s="101"/>
      <c r="J22" s="101">
        <f t="shared" si="0"/>
        <v>-42668</v>
      </c>
      <c r="K22" s="101"/>
      <c r="L22" s="101">
        <v>1000</v>
      </c>
      <c r="M22" s="101"/>
      <c r="N22" s="101">
        <v>619176</v>
      </c>
      <c r="O22" s="101"/>
      <c r="P22" s="101">
        <v>-419730</v>
      </c>
      <c r="Q22" s="101"/>
      <c r="R22" s="101">
        <f t="shared" si="1"/>
        <v>199446</v>
      </c>
      <c r="S22" s="302"/>
      <c r="T22" s="302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129</v>
      </c>
      <c r="C23" s="182"/>
      <c r="D23" s="101">
        <v>1000</v>
      </c>
      <c r="E23" s="101"/>
      <c r="F23" s="101">
        <v>14814591</v>
      </c>
      <c r="G23" s="101"/>
      <c r="H23" s="101">
        <v>-26781371</v>
      </c>
      <c r="I23" s="101"/>
      <c r="J23" s="101">
        <f t="shared" si="0"/>
        <v>-11966780</v>
      </c>
      <c r="K23" s="101"/>
      <c r="L23" s="101">
        <v>1000</v>
      </c>
      <c r="M23" s="101"/>
      <c r="N23" s="101">
        <v>14814591</v>
      </c>
      <c r="O23" s="101"/>
      <c r="P23" s="101">
        <v>-16858663</v>
      </c>
      <c r="Q23" s="101"/>
      <c r="R23" s="101">
        <f t="shared" si="1"/>
        <v>-2044072</v>
      </c>
      <c r="S23" s="302"/>
      <c r="T23" s="302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190</v>
      </c>
      <c r="C24" s="182"/>
      <c r="D24" s="101">
        <v>279982360</v>
      </c>
      <c r="E24" s="101"/>
      <c r="F24" s="101">
        <v>1519664987073</v>
      </c>
      <c r="G24" s="101"/>
      <c r="H24" s="101">
        <v>-1354867417509</v>
      </c>
      <c r="I24" s="101"/>
      <c r="J24" s="101">
        <f t="shared" si="0"/>
        <v>164797569564</v>
      </c>
      <c r="K24" s="101"/>
      <c r="L24" s="101">
        <v>279982360</v>
      </c>
      <c r="M24" s="101"/>
      <c r="N24" s="101">
        <v>1519664987073</v>
      </c>
      <c r="O24" s="101"/>
      <c r="P24" s="101">
        <v>-1088170949756</v>
      </c>
      <c r="Q24" s="101"/>
      <c r="R24" s="101">
        <f t="shared" si="1"/>
        <v>431494037317</v>
      </c>
      <c r="S24" s="302"/>
      <c r="T24" s="302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139</v>
      </c>
      <c r="C25" s="182"/>
      <c r="D25" s="101">
        <v>1400</v>
      </c>
      <c r="E25" s="101"/>
      <c r="F25" s="101">
        <v>35951926</v>
      </c>
      <c r="G25" s="101"/>
      <c r="H25" s="101">
        <v>-42231011</v>
      </c>
      <c r="I25" s="101"/>
      <c r="J25" s="101">
        <f t="shared" si="0"/>
        <v>-6279085</v>
      </c>
      <c r="K25" s="101"/>
      <c r="L25" s="101">
        <v>1400</v>
      </c>
      <c r="M25" s="101"/>
      <c r="N25" s="101">
        <v>35951926</v>
      </c>
      <c r="O25" s="101"/>
      <c r="P25" s="101">
        <v>-34054706</v>
      </c>
      <c r="Q25" s="101"/>
      <c r="R25" s="101">
        <f t="shared" si="1"/>
        <v>1897220</v>
      </c>
      <c r="S25" s="302"/>
      <c r="T25" s="302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228</v>
      </c>
      <c r="C26" s="182"/>
      <c r="D26" s="101">
        <v>585000</v>
      </c>
      <c r="E26" s="101"/>
      <c r="F26" s="101">
        <v>3591417076</v>
      </c>
      <c r="G26" s="101"/>
      <c r="H26" s="101">
        <v>-3831734947</v>
      </c>
      <c r="I26" s="101"/>
      <c r="J26" s="101">
        <f t="shared" si="0"/>
        <v>-240317871</v>
      </c>
      <c r="K26" s="101"/>
      <c r="L26" s="101">
        <v>585000</v>
      </c>
      <c r="M26" s="101"/>
      <c r="N26" s="101">
        <v>3591417076</v>
      </c>
      <c r="O26" s="101"/>
      <c r="P26" s="101">
        <v>-3927629043</v>
      </c>
      <c r="Q26" s="101"/>
      <c r="R26" s="101">
        <f t="shared" si="1"/>
        <v>-336211967</v>
      </c>
      <c r="S26" s="302"/>
      <c r="T26" s="302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135</v>
      </c>
      <c r="C27" s="182"/>
      <c r="D27" s="101">
        <v>1000</v>
      </c>
      <c r="E27" s="101"/>
      <c r="F27" s="101">
        <v>38658839</v>
      </c>
      <c r="G27" s="101"/>
      <c r="H27" s="101">
        <v>-43243126</v>
      </c>
      <c r="I27" s="101"/>
      <c r="J27" s="101">
        <f t="shared" si="0"/>
        <v>-4584287</v>
      </c>
      <c r="K27" s="101"/>
      <c r="L27" s="101">
        <v>1000</v>
      </c>
      <c r="M27" s="101"/>
      <c r="N27" s="101">
        <v>38658839</v>
      </c>
      <c r="O27" s="101"/>
      <c r="P27" s="101">
        <v>-25699793</v>
      </c>
      <c r="Q27" s="101"/>
      <c r="R27" s="101">
        <f t="shared" si="1"/>
        <v>12959046</v>
      </c>
      <c r="S27" s="302"/>
      <c r="T27" s="302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133</v>
      </c>
      <c r="C28" s="182"/>
      <c r="D28" s="101">
        <v>1000</v>
      </c>
      <c r="E28" s="101"/>
      <c r="F28" s="101">
        <v>5606325</v>
      </c>
      <c r="G28" s="101"/>
      <c r="H28" s="101">
        <v>-6876431</v>
      </c>
      <c r="I28" s="101"/>
      <c r="J28" s="101">
        <f t="shared" si="0"/>
        <v>-1270106</v>
      </c>
      <c r="K28" s="101"/>
      <c r="L28" s="101">
        <v>1000</v>
      </c>
      <c r="M28" s="101"/>
      <c r="N28" s="101">
        <v>5606325</v>
      </c>
      <c r="O28" s="101"/>
      <c r="P28" s="101">
        <v>-5300706</v>
      </c>
      <c r="Q28" s="101"/>
      <c r="R28" s="101">
        <f t="shared" si="1"/>
        <v>305619</v>
      </c>
      <c r="S28" s="302"/>
      <c r="T28" s="302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221</v>
      </c>
      <c r="C29" s="182"/>
      <c r="D29" s="101">
        <v>125000</v>
      </c>
      <c r="E29" s="101"/>
      <c r="F29" s="101">
        <v>5392987450</v>
      </c>
      <c r="G29" s="101"/>
      <c r="H29" s="101">
        <v>-4802905525</v>
      </c>
      <c r="I29" s="101"/>
      <c r="J29" s="101">
        <f t="shared" si="0"/>
        <v>590081925</v>
      </c>
      <c r="K29" s="101"/>
      <c r="L29" s="101">
        <v>125000</v>
      </c>
      <c r="M29" s="101"/>
      <c r="N29" s="101">
        <v>5392987450</v>
      </c>
      <c r="O29" s="101"/>
      <c r="P29" s="101">
        <v>-4784903350</v>
      </c>
      <c r="Q29" s="101"/>
      <c r="R29" s="101">
        <f t="shared" si="1"/>
        <v>608084100</v>
      </c>
      <c r="S29" s="302"/>
      <c r="T29" s="302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223</v>
      </c>
      <c r="C30" s="182"/>
      <c r="D30" s="101">
        <v>80000000</v>
      </c>
      <c r="E30" s="101"/>
      <c r="F30" s="101">
        <v>184165312000</v>
      </c>
      <c r="G30" s="101"/>
      <c r="H30" s="101">
        <v>-204665512521</v>
      </c>
      <c r="I30" s="101"/>
      <c r="J30" s="101">
        <f t="shared" si="0"/>
        <v>-20500200521</v>
      </c>
      <c r="K30" s="101"/>
      <c r="L30" s="101">
        <v>80000000</v>
      </c>
      <c r="M30" s="101"/>
      <c r="N30" s="101">
        <v>184165312000</v>
      </c>
      <c r="O30" s="101"/>
      <c r="P30" s="101">
        <v>-193753279329</v>
      </c>
      <c r="Q30" s="101"/>
      <c r="R30" s="101">
        <f t="shared" si="1"/>
        <v>-9587967329</v>
      </c>
      <c r="S30" s="302"/>
      <c r="T30" s="302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123</v>
      </c>
      <c r="C31" s="182"/>
      <c r="D31" s="101">
        <v>8000000</v>
      </c>
      <c r="E31" s="101"/>
      <c r="F31" s="101">
        <v>185832325600</v>
      </c>
      <c r="G31" s="101"/>
      <c r="H31" s="101">
        <v>-229809732000</v>
      </c>
      <c r="I31" s="101"/>
      <c r="J31" s="101">
        <f t="shared" si="0"/>
        <v>-43977406400</v>
      </c>
      <c r="K31" s="101"/>
      <c r="L31" s="101">
        <v>8000000</v>
      </c>
      <c r="M31" s="101"/>
      <c r="N31" s="101">
        <v>185832325600</v>
      </c>
      <c r="O31" s="101"/>
      <c r="P31" s="101">
        <v>-214409701600</v>
      </c>
      <c r="Q31" s="101"/>
      <c r="R31" s="101">
        <f t="shared" si="1"/>
        <v>-28577376000</v>
      </c>
      <c r="S31" s="302"/>
      <c r="T31" s="302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111</v>
      </c>
      <c r="C32" s="182"/>
      <c r="D32" s="101">
        <v>60000000</v>
      </c>
      <c r="E32" s="101"/>
      <c r="F32" s="101">
        <v>560831004000</v>
      </c>
      <c r="G32" s="101"/>
      <c r="H32" s="101">
        <v>-782494864853</v>
      </c>
      <c r="I32" s="101"/>
      <c r="J32" s="101">
        <f t="shared" si="0"/>
        <v>-221663860853</v>
      </c>
      <c r="K32" s="101"/>
      <c r="L32" s="101">
        <v>60000000</v>
      </c>
      <c r="M32" s="101"/>
      <c r="N32" s="101">
        <v>560831004000</v>
      </c>
      <c r="O32" s="101"/>
      <c r="P32" s="101">
        <v>-310556272416</v>
      </c>
      <c r="Q32" s="101"/>
      <c r="R32" s="101">
        <f t="shared" si="1"/>
        <v>250274731584</v>
      </c>
      <c r="S32" s="302"/>
      <c r="T32" s="302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224</v>
      </c>
      <c r="C33" s="182"/>
      <c r="D33" s="101">
        <v>170000000</v>
      </c>
      <c r="E33" s="101"/>
      <c r="F33" s="101">
        <v>155191028000</v>
      </c>
      <c r="G33" s="101"/>
      <c r="H33" s="101">
        <v>-172535117033</v>
      </c>
      <c r="I33" s="101"/>
      <c r="J33" s="101">
        <f t="shared" si="0"/>
        <v>-17344089033</v>
      </c>
      <c r="K33" s="101"/>
      <c r="L33" s="101">
        <v>170000000</v>
      </c>
      <c r="M33" s="101"/>
      <c r="N33" s="101">
        <v>155191028000</v>
      </c>
      <c r="O33" s="101"/>
      <c r="P33" s="101">
        <v>-174126065194</v>
      </c>
      <c r="Q33" s="101"/>
      <c r="R33" s="101">
        <f t="shared" si="1"/>
        <v>-18935037194</v>
      </c>
      <c r="S33" s="302"/>
      <c r="T33" s="302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110</v>
      </c>
      <c r="C34" s="182"/>
      <c r="D34" s="101">
        <v>670000000</v>
      </c>
      <c r="E34" s="101"/>
      <c r="F34" s="101">
        <v>743269766200</v>
      </c>
      <c r="G34" s="101"/>
      <c r="H34" s="101">
        <v>-1044562676038</v>
      </c>
      <c r="I34" s="101"/>
      <c r="J34" s="101">
        <f t="shared" si="0"/>
        <v>-301292909838</v>
      </c>
      <c r="K34" s="101"/>
      <c r="L34" s="101">
        <v>670000000</v>
      </c>
      <c r="M34" s="101"/>
      <c r="N34" s="101">
        <v>743269766200</v>
      </c>
      <c r="O34" s="101"/>
      <c r="P34" s="101">
        <v>-726051691255</v>
      </c>
      <c r="Q34" s="101"/>
      <c r="R34" s="101">
        <f t="shared" si="1"/>
        <v>17218074945</v>
      </c>
      <c r="S34" s="302"/>
      <c r="T34" s="302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137</v>
      </c>
      <c r="C35" s="182"/>
      <c r="D35" s="101">
        <v>18000000</v>
      </c>
      <c r="E35" s="101"/>
      <c r="F35" s="101">
        <v>127169323200</v>
      </c>
      <c r="G35" s="101"/>
      <c r="H35" s="101">
        <v>-82392147180</v>
      </c>
      <c r="I35" s="101"/>
      <c r="J35" s="101">
        <f t="shared" si="0"/>
        <v>44777176020</v>
      </c>
      <c r="K35" s="101"/>
      <c r="L35" s="101">
        <v>18000000</v>
      </c>
      <c r="M35" s="101"/>
      <c r="N35" s="101">
        <v>127169323200</v>
      </c>
      <c r="O35" s="101"/>
      <c r="P35" s="101">
        <v>-102699945000</v>
      </c>
      <c r="Q35" s="101"/>
      <c r="R35" s="101">
        <f t="shared" si="1"/>
        <v>24469378200</v>
      </c>
      <c r="S35" s="302"/>
      <c r="T35" s="302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108</v>
      </c>
      <c r="C36" s="182"/>
      <c r="D36" s="101">
        <v>200000000</v>
      </c>
      <c r="E36" s="101"/>
      <c r="F36" s="101">
        <v>100020816000</v>
      </c>
      <c r="G36" s="101"/>
      <c r="H36" s="101">
        <v>-166319727938</v>
      </c>
      <c r="I36" s="101"/>
      <c r="J36" s="101">
        <f t="shared" si="0"/>
        <v>-66298911938</v>
      </c>
      <c r="K36" s="101"/>
      <c r="L36" s="101">
        <v>200000000</v>
      </c>
      <c r="M36" s="101"/>
      <c r="N36" s="101">
        <v>100020816000</v>
      </c>
      <c r="O36" s="101"/>
      <c r="P36" s="101">
        <v>-95506096906</v>
      </c>
      <c r="Q36" s="101"/>
      <c r="R36" s="101">
        <f t="shared" si="1"/>
        <v>4514719094</v>
      </c>
      <c r="S36" s="302"/>
      <c r="T36" s="302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141</v>
      </c>
      <c r="C37" s="182"/>
      <c r="D37" s="101">
        <v>25414814</v>
      </c>
      <c r="E37" s="101"/>
      <c r="F37" s="101">
        <v>413581062799</v>
      </c>
      <c r="G37" s="101"/>
      <c r="H37" s="101">
        <v>-369983464361</v>
      </c>
      <c r="I37" s="101"/>
      <c r="J37" s="101">
        <f t="shared" si="0"/>
        <v>43597598438</v>
      </c>
      <c r="K37" s="101"/>
      <c r="L37" s="101">
        <v>25414814</v>
      </c>
      <c r="M37" s="101"/>
      <c r="N37" s="101">
        <v>413581062799</v>
      </c>
      <c r="O37" s="101"/>
      <c r="P37" s="101">
        <v>-317857973003</v>
      </c>
      <c r="Q37" s="101"/>
      <c r="R37" s="101">
        <f t="shared" si="1"/>
        <v>95723089796</v>
      </c>
      <c r="S37" s="302"/>
      <c r="T37" s="302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165</v>
      </c>
      <c r="C38" s="188"/>
      <c r="D38" s="98">
        <f>SUM(D7:D37)</f>
        <v>2576231709</v>
      </c>
      <c r="E38" s="193"/>
      <c r="F38" s="98">
        <f>SUM(F7:F37)</f>
        <v>10339459701276</v>
      </c>
      <c r="G38" s="193"/>
      <c r="H38" s="98">
        <f>SUM(H7:H37)</f>
        <v>-11246919435913</v>
      </c>
      <c r="I38" s="193"/>
      <c r="J38" s="98">
        <f>SUM(J7:J37)</f>
        <v>-907459734637</v>
      </c>
      <c r="K38" s="193"/>
      <c r="L38" s="98">
        <f>SUM(L7:L37)</f>
        <v>2576231709</v>
      </c>
      <c r="M38" s="118"/>
      <c r="N38" s="98">
        <f>SUM(N7:N37)</f>
        <v>10339459701276</v>
      </c>
      <c r="O38" s="193"/>
      <c r="P38" s="98">
        <f>SUM(P7:P37)</f>
        <v>-8560275212612</v>
      </c>
      <c r="Q38" s="193"/>
      <c r="R38" s="98">
        <f>SUM(R7:R37)</f>
        <v>1779184488664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418" t="s">
        <v>96</v>
      </c>
      <c r="C40" s="418"/>
      <c r="D40" s="418"/>
      <c r="E40" s="418"/>
      <c r="F40" s="418"/>
      <c r="G40" s="418"/>
      <c r="H40" s="418"/>
      <c r="I40" s="418"/>
      <c r="S40" s="179"/>
      <c r="T40" s="180"/>
      <c r="Y40" s="12"/>
      <c r="Z40" s="12" t="s">
        <v>155</v>
      </c>
    </row>
    <row r="41" spans="2:26" ht="34.5" thickBot="1" x14ac:dyDescent="0.3">
      <c r="D41" s="413" t="str">
        <f>D5</f>
        <v>طی تیر ماه</v>
      </c>
      <c r="E41" s="413"/>
      <c r="F41" s="413"/>
      <c r="G41" s="413"/>
      <c r="H41" s="413"/>
      <c r="I41" s="413"/>
      <c r="J41" s="413"/>
      <c r="L41" s="413" t="str">
        <f>L5</f>
        <v>از ابتدای سال مالی تا پایان تیر  ماه</v>
      </c>
      <c r="M41" s="413"/>
      <c r="N41" s="413"/>
      <c r="O41" s="413"/>
      <c r="P41" s="413"/>
      <c r="Q41" s="413"/>
      <c r="R41" s="413"/>
      <c r="S41" s="179"/>
      <c r="T41" s="180"/>
      <c r="Y41" s="12"/>
      <c r="Z41" s="12" t="s">
        <v>156</v>
      </c>
    </row>
    <row r="42" spans="2:26" ht="53.25" customHeight="1" thickBot="1" x14ac:dyDescent="0.3">
      <c r="B42" s="12" t="s">
        <v>63</v>
      </c>
      <c r="D42" s="110" t="s">
        <v>8</v>
      </c>
      <c r="F42" s="181" t="s">
        <v>31</v>
      </c>
      <c r="H42" s="129" t="s">
        <v>73</v>
      </c>
      <c r="J42" s="181" t="s">
        <v>74</v>
      </c>
      <c r="L42" s="110" t="s">
        <v>8</v>
      </c>
      <c r="N42" s="181" t="s">
        <v>31</v>
      </c>
      <c r="P42" s="129" t="s">
        <v>73</v>
      </c>
      <c r="R42" s="246" t="s">
        <v>74</v>
      </c>
      <c r="S42" s="180"/>
      <c r="T42" s="180"/>
      <c r="Y42" s="12"/>
      <c r="Z42" s="12" t="s">
        <v>157</v>
      </c>
    </row>
    <row r="43" spans="2:26" s="183" customFormat="1" x14ac:dyDescent="0.25">
      <c r="B43" s="191" t="s">
        <v>166</v>
      </c>
      <c r="C43" s="182"/>
      <c r="D43" s="101">
        <f>D38</f>
        <v>2576231709</v>
      </c>
      <c r="E43" s="101"/>
      <c r="F43" s="101">
        <f>F38</f>
        <v>10339459701276</v>
      </c>
      <c r="G43" s="101"/>
      <c r="H43" s="101">
        <f>H38</f>
        <v>-11246919435913</v>
      </c>
      <c r="I43" s="101"/>
      <c r="J43" s="101">
        <f>J38</f>
        <v>-907459734637</v>
      </c>
      <c r="K43" s="101"/>
      <c r="L43" s="101">
        <f>L38</f>
        <v>2576231709</v>
      </c>
      <c r="M43" s="101"/>
      <c r="N43" s="101">
        <f>N38</f>
        <v>10339459701276</v>
      </c>
      <c r="O43" s="101"/>
      <c r="P43" s="101">
        <f>P38</f>
        <v>-8560275212612</v>
      </c>
      <c r="Q43" s="101"/>
      <c r="R43" s="101">
        <f>R38</f>
        <v>1779184488664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126</v>
      </c>
      <c r="C44" s="182"/>
      <c r="D44" s="101">
        <v>1092</v>
      </c>
      <c r="E44" s="101"/>
      <c r="F44" s="101">
        <v>2276557</v>
      </c>
      <c r="G44" s="101"/>
      <c r="H44" s="101">
        <v>-2600541</v>
      </c>
      <c r="I44" s="101"/>
      <c r="J44" s="101">
        <f>H44+F44</f>
        <v>-323984</v>
      </c>
      <c r="K44" s="101"/>
      <c r="L44" s="101">
        <v>1092</v>
      </c>
      <c r="M44" s="101"/>
      <c r="N44" s="101">
        <v>2276557</v>
      </c>
      <c r="O44" s="101"/>
      <c r="P44" s="101">
        <v>-2298833</v>
      </c>
      <c r="Q44" s="101"/>
      <c r="R44" s="101">
        <f>N44+P44</f>
        <v>-22276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115</v>
      </c>
      <c r="C45" s="182"/>
      <c r="D45" s="101">
        <v>45000000</v>
      </c>
      <c r="E45" s="101"/>
      <c r="F45" s="101">
        <v>467508010500</v>
      </c>
      <c r="G45" s="101"/>
      <c r="H45" s="101">
        <v>-576283426580</v>
      </c>
      <c r="I45" s="101"/>
      <c r="J45" s="101">
        <f t="shared" ref="J45:J59" si="2">H45+F45</f>
        <v>-108775416080</v>
      </c>
      <c r="K45" s="101"/>
      <c r="L45" s="101">
        <v>45000000</v>
      </c>
      <c r="M45" s="101"/>
      <c r="N45" s="101">
        <v>467508010500</v>
      </c>
      <c r="O45" s="101"/>
      <c r="P45" s="101">
        <v>-581906819124</v>
      </c>
      <c r="Q45" s="101"/>
      <c r="R45" s="101">
        <f t="shared" ref="R45:R59" si="3">N45+P45</f>
        <v>-114398808624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143</v>
      </c>
      <c r="C46" s="182"/>
      <c r="D46" s="101">
        <v>1000</v>
      </c>
      <c r="E46" s="101"/>
      <c r="F46" s="101">
        <v>3135573</v>
      </c>
      <c r="G46" s="101"/>
      <c r="H46" s="101">
        <v>-3313189</v>
      </c>
      <c r="I46" s="101"/>
      <c r="J46" s="101">
        <f t="shared" si="2"/>
        <v>-177616</v>
      </c>
      <c r="K46" s="101"/>
      <c r="L46" s="101">
        <v>1000</v>
      </c>
      <c r="M46" s="101"/>
      <c r="N46" s="101">
        <v>3135573</v>
      </c>
      <c r="O46" s="101"/>
      <c r="P46" s="101">
        <v>-2745611</v>
      </c>
      <c r="Q46" s="101"/>
      <c r="R46" s="101">
        <f t="shared" si="3"/>
        <v>389962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176</v>
      </c>
      <c r="C47" s="182"/>
      <c r="D47" s="101">
        <v>25000000</v>
      </c>
      <c r="E47" s="101"/>
      <c r="F47" s="101">
        <v>184066085000</v>
      </c>
      <c r="G47" s="101"/>
      <c r="H47" s="101">
        <v>-199147398275</v>
      </c>
      <c r="I47" s="101"/>
      <c r="J47" s="101">
        <f t="shared" si="2"/>
        <v>-15081313275</v>
      </c>
      <c r="K47" s="101"/>
      <c r="L47" s="101">
        <v>25000000</v>
      </c>
      <c r="M47" s="101"/>
      <c r="N47" s="101">
        <v>184066085000</v>
      </c>
      <c r="O47" s="101"/>
      <c r="P47" s="101">
        <v>-152784773247</v>
      </c>
      <c r="Q47" s="101"/>
      <c r="R47" s="101">
        <f t="shared" si="3"/>
        <v>31281311753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152</v>
      </c>
      <c r="C48" s="182"/>
      <c r="D48" s="101">
        <v>1044</v>
      </c>
      <c r="E48" s="101"/>
      <c r="F48" s="101">
        <v>63989388</v>
      </c>
      <c r="G48" s="101"/>
      <c r="H48" s="101">
        <v>-56116757732</v>
      </c>
      <c r="I48" s="101"/>
      <c r="J48" s="101">
        <f t="shared" si="2"/>
        <v>-56052768344</v>
      </c>
      <c r="K48" s="101"/>
      <c r="L48" s="101">
        <v>1044</v>
      </c>
      <c r="M48" s="101"/>
      <c r="N48" s="101">
        <v>63989388</v>
      </c>
      <c r="O48" s="101"/>
      <c r="P48" s="101">
        <v>-33657332</v>
      </c>
      <c r="Q48" s="101"/>
      <c r="R48" s="101">
        <f t="shared" si="3"/>
        <v>30332056</v>
      </c>
      <c r="S48" s="180"/>
      <c r="T48" s="180"/>
      <c r="U48" s="179"/>
      <c r="V48" s="179"/>
      <c r="W48" s="184"/>
      <c r="X48" s="179"/>
    </row>
    <row r="49" spans="1:26" s="183" customFormat="1" x14ac:dyDescent="0.25">
      <c r="B49" s="182" t="s">
        <v>109</v>
      </c>
      <c r="C49" s="182"/>
      <c r="D49" s="101">
        <v>1000</v>
      </c>
      <c r="E49" s="101"/>
      <c r="F49" s="101">
        <v>8533522</v>
      </c>
      <c r="G49" s="101"/>
      <c r="H49" s="101">
        <v>-10061617</v>
      </c>
      <c r="I49" s="101"/>
      <c r="J49" s="101">
        <f t="shared" si="2"/>
        <v>-1528095</v>
      </c>
      <c r="K49" s="101"/>
      <c r="L49" s="101">
        <v>1000</v>
      </c>
      <c r="M49" s="101"/>
      <c r="N49" s="101">
        <v>8533522</v>
      </c>
      <c r="O49" s="101"/>
      <c r="P49" s="101">
        <v>-5586480</v>
      </c>
      <c r="Q49" s="101"/>
      <c r="R49" s="101">
        <f t="shared" si="3"/>
        <v>2947042</v>
      </c>
      <c r="S49" s="180"/>
      <c r="T49" s="180"/>
      <c r="U49" s="179"/>
      <c r="V49" s="179"/>
      <c r="W49" s="184"/>
      <c r="X49" s="179"/>
    </row>
    <row r="50" spans="1:26" s="183" customFormat="1" x14ac:dyDescent="0.25">
      <c r="B50" s="182" t="s">
        <v>121</v>
      </c>
      <c r="C50" s="182"/>
      <c r="D50" s="101">
        <v>12900000</v>
      </c>
      <c r="E50" s="101"/>
      <c r="F50" s="101">
        <v>20045243178</v>
      </c>
      <c r="G50" s="101"/>
      <c r="H50" s="101">
        <v>-20045243178</v>
      </c>
      <c r="I50" s="101"/>
      <c r="J50" s="101">
        <f t="shared" si="2"/>
        <v>0</v>
      </c>
      <c r="K50" s="101"/>
      <c r="L50" s="101">
        <v>12900000</v>
      </c>
      <c r="M50" s="101"/>
      <c r="N50" s="101">
        <v>20045243178</v>
      </c>
      <c r="O50" s="101"/>
      <c r="P50" s="101">
        <v>-33408738630</v>
      </c>
      <c r="Q50" s="101"/>
      <c r="R50" s="101">
        <f t="shared" si="3"/>
        <v>-13363495452</v>
      </c>
      <c r="S50" s="180"/>
      <c r="T50" s="180"/>
      <c r="U50" s="179"/>
      <c r="V50" s="179"/>
      <c r="W50" s="184"/>
      <c r="X50" s="179"/>
    </row>
    <row r="51" spans="1:26" s="183" customFormat="1" x14ac:dyDescent="0.25">
      <c r="B51" s="182" t="s">
        <v>222</v>
      </c>
      <c r="C51" s="182"/>
      <c r="D51" s="101">
        <v>2700000</v>
      </c>
      <c r="E51" s="101"/>
      <c r="F51" s="101">
        <v>119140866630</v>
      </c>
      <c r="G51" s="101"/>
      <c r="H51" s="101">
        <v>-178644321720</v>
      </c>
      <c r="I51" s="101"/>
      <c r="J51" s="101">
        <f t="shared" si="2"/>
        <v>-59503455090</v>
      </c>
      <c r="K51" s="101"/>
      <c r="L51" s="101">
        <v>2700000</v>
      </c>
      <c r="M51" s="101"/>
      <c r="N51" s="101">
        <v>119140866630</v>
      </c>
      <c r="O51" s="101"/>
      <c r="P51" s="101">
        <v>-203490878141</v>
      </c>
      <c r="Q51" s="101"/>
      <c r="R51" s="101">
        <f t="shared" si="3"/>
        <v>-84350011511</v>
      </c>
      <c r="S51" s="180"/>
      <c r="T51" s="180"/>
      <c r="U51" s="179"/>
      <c r="V51" s="179"/>
      <c r="W51" s="184"/>
      <c r="X51" s="179"/>
    </row>
    <row r="52" spans="1:26" s="183" customFormat="1" x14ac:dyDescent="0.25">
      <c r="B52" s="182" t="s">
        <v>153</v>
      </c>
      <c r="C52" s="182"/>
      <c r="D52" s="101">
        <v>30000000</v>
      </c>
      <c r="E52" s="101"/>
      <c r="F52" s="101">
        <v>61709271300</v>
      </c>
      <c r="G52" s="101"/>
      <c r="H52" s="101">
        <v>-76256465477</v>
      </c>
      <c r="I52" s="101"/>
      <c r="J52" s="101">
        <f t="shared" si="2"/>
        <v>-14547194177</v>
      </c>
      <c r="K52" s="101"/>
      <c r="L52" s="101">
        <v>30000000</v>
      </c>
      <c r="M52" s="101"/>
      <c r="N52" s="101">
        <v>61709271300</v>
      </c>
      <c r="O52" s="101"/>
      <c r="P52" s="101">
        <v>-46914525589</v>
      </c>
      <c r="Q52" s="101"/>
      <c r="R52" s="101">
        <f t="shared" si="3"/>
        <v>14794745711</v>
      </c>
      <c r="S52" s="180"/>
      <c r="T52" s="180"/>
      <c r="U52" s="179"/>
      <c r="V52" s="179"/>
      <c r="W52" s="184"/>
      <c r="X52" s="179"/>
    </row>
    <row r="53" spans="1:26" s="183" customFormat="1" x14ac:dyDescent="0.25">
      <c r="B53" s="182" t="s">
        <v>117</v>
      </c>
      <c r="C53" s="182"/>
      <c r="D53" s="101">
        <v>5000000</v>
      </c>
      <c r="E53" s="101"/>
      <c r="F53" s="101">
        <v>238690548500</v>
      </c>
      <c r="G53" s="101"/>
      <c r="H53" s="101">
        <v>-203688224250</v>
      </c>
      <c r="I53" s="101"/>
      <c r="J53" s="101">
        <f t="shared" si="2"/>
        <v>35002324250</v>
      </c>
      <c r="K53" s="101"/>
      <c r="L53" s="101">
        <v>5000000</v>
      </c>
      <c r="M53" s="101"/>
      <c r="N53" s="101">
        <v>238690548500</v>
      </c>
      <c r="O53" s="101"/>
      <c r="P53" s="101">
        <v>-277305387181</v>
      </c>
      <c r="Q53" s="101"/>
      <c r="R53" s="101">
        <f t="shared" si="3"/>
        <v>-38614838681</v>
      </c>
      <c r="S53" s="180"/>
      <c r="T53" s="180"/>
      <c r="U53" s="117"/>
      <c r="V53" s="117"/>
      <c r="W53" s="184"/>
      <c r="X53" s="179"/>
    </row>
    <row r="54" spans="1:26" s="183" customFormat="1" x14ac:dyDescent="0.25">
      <c r="B54" s="182" t="s">
        <v>160</v>
      </c>
      <c r="C54" s="182"/>
      <c r="D54" s="101">
        <v>61283274</v>
      </c>
      <c r="E54" s="101"/>
      <c r="F54" s="101">
        <v>169354608703</v>
      </c>
      <c r="G54" s="101"/>
      <c r="H54" s="101">
        <v>-193498896332</v>
      </c>
      <c r="I54" s="101"/>
      <c r="J54" s="101">
        <f t="shared" si="2"/>
        <v>-24144287629</v>
      </c>
      <c r="K54" s="101"/>
      <c r="L54" s="101">
        <v>61283274</v>
      </c>
      <c r="M54" s="101"/>
      <c r="N54" s="101">
        <v>169354608703</v>
      </c>
      <c r="O54" s="101"/>
      <c r="P54" s="101">
        <v>-103264075517</v>
      </c>
      <c r="Q54" s="101"/>
      <c r="R54" s="101">
        <f t="shared" si="3"/>
        <v>66090533186</v>
      </c>
      <c r="S54" s="180"/>
      <c r="T54" s="179"/>
      <c r="U54" s="117"/>
      <c r="V54" s="117"/>
      <c r="W54" s="184"/>
      <c r="X54" s="179"/>
    </row>
    <row r="55" spans="1:26" s="183" customFormat="1" x14ac:dyDescent="0.25">
      <c r="B55" s="182" t="s">
        <v>114</v>
      </c>
      <c r="C55" s="182"/>
      <c r="D55" s="101">
        <v>1147</v>
      </c>
      <c r="E55" s="101"/>
      <c r="F55" s="101">
        <v>2143105</v>
      </c>
      <c r="G55" s="101"/>
      <c r="H55" s="101">
        <v>-3109381</v>
      </c>
      <c r="I55" s="101"/>
      <c r="J55" s="101">
        <f t="shared" si="2"/>
        <v>-966276</v>
      </c>
      <c r="K55" s="101"/>
      <c r="L55" s="101">
        <v>1147</v>
      </c>
      <c r="M55" s="101"/>
      <c r="N55" s="101">
        <v>2143105</v>
      </c>
      <c r="O55" s="101"/>
      <c r="P55" s="101">
        <v>-2718819</v>
      </c>
      <c r="Q55" s="101"/>
      <c r="R55" s="101">
        <f t="shared" si="3"/>
        <v>-575714</v>
      </c>
      <c r="S55" s="180"/>
      <c r="T55" s="179"/>
      <c r="U55" s="117"/>
      <c r="V55" s="117"/>
      <c r="W55" s="184"/>
      <c r="X55" s="179"/>
    </row>
    <row r="56" spans="1:26" s="183" customFormat="1" x14ac:dyDescent="0.25">
      <c r="B56" s="182" t="s">
        <v>103</v>
      </c>
      <c r="C56" s="182"/>
      <c r="D56" s="101">
        <v>380045097</v>
      </c>
      <c r="E56" s="101"/>
      <c r="F56" s="101">
        <v>748935193922</v>
      </c>
      <c r="G56" s="101"/>
      <c r="H56" s="101">
        <v>-839181051281</v>
      </c>
      <c r="I56" s="101"/>
      <c r="J56" s="101">
        <f t="shared" si="2"/>
        <v>-90245857359</v>
      </c>
      <c r="K56" s="101"/>
      <c r="L56" s="101">
        <v>380045097</v>
      </c>
      <c r="M56" s="101"/>
      <c r="N56" s="101">
        <v>748935193922</v>
      </c>
      <c r="O56" s="101"/>
      <c r="P56" s="101">
        <v>-868638766962</v>
      </c>
      <c r="Q56" s="101"/>
      <c r="R56" s="101">
        <f t="shared" si="3"/>
        <v>-119703573040</v>
      </c>
      <c r="S56" s="180"/>
      <c r="T56" s="179"/>
      <c r="U56" s="117"/>
      <c r="V56" s="117"/>
      <c r="W56" s="184"/>
      <c r="X56" s="179"/>
    </row>
    <row r="57" spans="1:26" s="183" customFormat="1" x14ac:dyDescent="0.25">
      <c r="B57" s="182" t="s">
        <v>154</v>
      </c>
      <c r="C57" s="182"/>
      <c r="D57" s="101">
        <v>60000000</v>
      </c>
      <c r="E57" s="101"/>
      <c r="F57" s="101">
        <v>116155126200</v>
      </c>
      <c r="G57" s="101"/>
      <c r="H57" s="101">
        <v>-121930137600</v>
      </c>
      <c r="I57" s="101"/>
      <c r="J57" s="101">
        <f t="shared" si="2"/>
        <v>-5775011400</v>
      </c>
      <c r="K57" s="101"/>
      <c r="L57" s="101">
        <v>60000000</v>
      </c>
      <c r="M57" s="101"/>
      <c r="N57" s="101">
        <v>116155126200</v>
      </c>
      <c r="O57" s="101"/>
      <c r="P57" s="101">
        <v>-86625171000</v>
      </c>
      <c r="Q57" s="101"/>
      <c r="R57" s="101">
        <f t="shared" si="3"/>
        <v>29529955200</v>
      </c>
      <c r="S57" s="180"/>
      <c r="T57" s="179"/>
      <c r="U57" s="117"/>
      <c r="V57" s="117"/>
      <c r="W57" s="184"/>
      <c r="X57" s="179"/>
    </row>
    <row r="58" spans="1:26" s="183" customFormat="1" x14ac:dyDescent="0.25">
      <c r="B58" s="182" t="s">
        <v>112</v>
      </c>
      <c r="C58" s="182"/>
      <c r="D58" s="101">
        <v>60000000</v>
      </c>
      <c r="E58" s="101"/>
      <c r="F58" s="101">
        <v>659661096000</v>
      </c>
      <c r="G58" s="101"/>
      <c r="H58" s="101">
        <v>-790189178614</v>
      </c>
      <c r="I58" s="101"/>
      <c r="J58" s="101">
        <f t="shared" si="2"/>
        <v>-130528082614</v>
      </c>
      <c r="K58" s="101"/>
      <c r="L58" s="101">
        <v>60000000</v>
      </c>
      <c r="M58" s="101"/>
      <c r="N58" s="101">
        <v>659661096000</v>
      </c>
      <c r="O58" s="101"/>
      <c r="P58" s="101">
        <v>-413181228010</v>
      </c>
      <c r="Q58" s="101"/>
      <c r="R58" s="101">
        <f t="shared" si="3"/>
        <v>246479867990</v>
      </c>
      <c r="S58" s="180"/>
      <c r="T58" s="179"/>
      <c r="U58" s="117"/>
      <c r="V58" s="117"/>
      <c r="W58" s="184"/>
      <c r="X58" s="179"/>
    </row>
    <row r="59" spans="1:26" s="183" customFormat="1" ht="34.5" thickBot="1" x14ac:dyDescent="0.3">
      <c r="B59" s="182" t="s">
        <v>132</v>
      </c>
      <c r="C59" s="182"/>
      <c r="D59" s="101">
        <v>10000000</v>
      </c>
      <c r="E59" s="101"/>
      <c r="F59" s="101">
        <v>78945001200</v>
      </c>
      <c r="G59" s="101"/>
      <c r="H59" s="101">
        <v>-88470793200</v>
      </c>
      <c r="I59" s="101"/>
      <c r="J59" s="101">
        <f t="shared" si="2"/>
        <v>-9525792000</v>
      </c>
      <c r="K59" s="101"/>
      <c r="L59" s="101">
        <v>10000000</v>
      </c>
      <c r="M59" s="101"/>
      <c r="N59" s="101">
        <v>78945001200</v>
      </c>
      <c r="O59" s="101"/>
      <c r="P59" s="101">
        <v>-147451322000</v>
      </c>
      <c r="Q59" s="101"/>
      <c r="R59" s="101">
        <f t="shared" si="3"/>
        <v>-68506320800</v>
      </c>
      <c r="S59" s="180"/>
      <c r="T59" s="179"/>
      <c r="U59" s="117"/>
      <c r="V59" s="117"/>
      <c r="W59" s="184"/>
      <c r="X59" s="179"/>
    </row>
    <row r="60" spans="1:26" s="183" customFormat="1" ht="34.5" thickBot="1" x14ac:dyDescent="0.3">
      <c r="A60" s="12"/>
      <c r="B60" s="183" t="s">
        <v>7</v>
      </c>
      <c r="D60" s="98">
        <f>SUM(D43:D59)</f>
        <v>3268165363</v>
      </c>
      <c r="E60" s="193"/>
      <c r="F60" s="98">
        <f>SUM(F43:F59)</f>
        <v>13203750830554</v>
      </c>
      <c r="G60" s="193"/>
      <c r="H60" s="98">
        <f>SUM(H43:H59)</f>
        <v>-14590390414880</v>
      </c>
      <c r="I60" s="193"/>
      <c r="J60" s="98">
        <f>SUM(J43:J59)</f>
        <v>-1386639584326</v>
      </c>
      <c r="K60" s="193"/>
      <c r="L60" s="98">
        <f>SUM(L43:L59)</f>
        <v>3268165363</v>
      </c>
      <c r="M60" s="118"/>
      <c r="N60" s="98">
        <f>SUM(N43:N59)</f>
        <v>13203750830554</v>
      </c>
      <c r="O60" s="193"/>
      <c r="P60" s="98">
        <f>SUM(P43:P59)</f>
        <v>-11475293905088</v>
      </c>
      <c r="Q60" s="193"/>
      <c r="R60" s="98">
        <f>SUM(R43:R59)</f>
        <v>1728456925466</v>
      </c>
      <c r="S60" s="115"/>
      <c r="T60" s="192"/>
      <c r="U60" s="180"/>
      <c r="V60" s="179"/>
      <c r="W60" s="117"/>
      <c r="X60" s="117"/>
      <c r="Y60" s="184"/>
      <c r="Z60" s="179"/>
    </row>
    <row r="61" spans="1:26" s="183" customFormat="1" ht="34.5" thickTop="1" x14ac:dyDescent="0.25">
      <c r="A61" s="12"/>
      <c r="D61" s="102"/>
      <c r="L61" s="102"/>
      <c r="R61" s="247"/>
      <c r="S61" s="115"/>
      <c r="T61" s="192"/>
      <c r="U61" s="180"/>
      <c r="V61" s="179"/>
      <c r="W61" s="117"/>
      <c r="X61" s="117"/>
      <c r="Y61" s="184"/>
      <c r="Z61" s="179"/>
    </row>
    <row r="62" spans="1:26" s="183" customFormat="1" x14ac:dyDescent="0.25">
      <c r="A62" s="12"/>
      <c r="B62" s="415" t="s">
        <v>75</v>
      </c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7"/>
      <c r="S62" s="115"/>
      <c r="T62" s="192"/>
      <c r="U62" s="180"/>
      <c r="V62" s="179"/>
      <c r="W62" s="117"/>
      <c r="X62" s="117"/>
      <c r="Y62" s="184"/>
      <c r="Z62" s="179"/>
    </row>
    <row r="63" spans="1:26" ht="36" x14ac:dyDescent="0.25">
      <c r="B63" s="183"/>
      <c r="C63" s="183"/>
      <c r="D63" s="102"/>
      <c r="E63" s="183"/>
      <c r="F63" s="183"/>
      <c r="G63" s="183"/>
      <c r="H63" s="203"/>
      <c r="I63" s="183"/>
      <c r="J63" s="300"/>
      <c r="K63" s="183"/>
      <c r="L63" s="102"/>
      <c r="M63" s="183"/>
      <c r="N63" s="183"/>
      <c r="O63" s="183"/>
      <c r="P63" s="203"/>
      <c r="Q63" s="183"/>
      <c r="R63" s="300"/>
      <c r="T63" s="192"/>
      <c r="Y63" s="194"/>
    </row>
    <row r="64" spans="1:26" ht="36" x14ac:dyDescent="0.25">
      <c r="F64" s="168"/>
      <c r="H64" s="168"/>
      <c r="J64" s="301"/>
      <c r="N64" s="168"/>
      <c r="P64" s="168"/>
      <c r="R64" s="301"/>
      <c r="T64" s="192"/>
    </row>
    <row r="65" spans="5:26" x14ac:dyDescent="0.25">
      <c r="E65" s="115"/>
      <c r="F65" s="115"/>
      <c r="G65" s="115"/>
      <c r="H65" s="115"/>
      <c r="I65" s="115"/>
      <c r="J65" s="115"/>
      <c r="K65" s="115"/>
      <c r="M65" s="115"/>
      <c r="N65" s="115"/>
      <c r="O65" s="115"/>
      <c r="P65" s="115"/>
      <c r="Q65" s="115"/>
      <c r="R65" s="115"/>
      <c r="T65" s="192"/>
      <c r="Y65" s="194"/>
    </row>
    <row r="66" spans="5:26" x14ac:dyDescent="0.25">
      <c r="F66" s="195"/>
      <c r="H66" s="168"/>
      <c r="J66" s="244"/>
      <c r="N66" s="168"/>
      <c r="P66" s="242"/>
      <c r="T66" s="192"/>
    </row>
    <row r="67" spans="5:26" x14ac:dyDescent="0.25">
      <c r="J67" s="168"/>
      <c r="N67" s="168"/>
      <c r="P67" s="242"/>
      <c r="T67" s="192"/>
    </row>
    <row r="68" spans="5:26" x14ac:dyDescent="0.25">
      <c r="N68" s="168"/>
      <c r="P68" s="242"/>
      <c r="T68" s="192"/>
      <c r="Y68" s="308"/>
      <c r="Z68" s="308"/>
    </row>
    <row r="69" spans="5:26" x14ac:dyDescent="0.25">
      <c r="P69" s="168"/>
      <c r="R69" s="146"/>
      <c r="T69" s="192"/>
      <c r="Y69" s="308"/>
      <c r="Z69" s="308"/>
    </row>
    <row r="70" spans="5:26" x14ac:dyDescent="0.25">
      <c r="N70" s="168"/>
      <c r="T70" s="192"/>
      <c r="Y70" s="308"/>
      <c r="Z70" s="308"/>
    </row>
    <row r="71" spans="5:26" x14ac:dyDescent="0.25">
      <c r="N71" s="168"/>
      <c r="T71" s="192"/>
      <c r="Y71" s="308"/>
      <c r="Z71" s="308"/>
    </row>
    <row r="72" spans="5:26" x14ac:dyDescent="0.25">
      <c r="T72" s="192"/>
      <c r="Y72" s="308"/>
      <c r="Z72" s="308"/>
    </row>
    <row r="73" spans="5:26" x14ac:dyDescent="0.25">
      <c r="T73" s="192"/>
      <c r="Y73" s="308"/>
      <c r="Z73" s="308"/>
    </row>
    <row r="74" spans="5:26" x14ac:dyDescent="0.25">
      <c r="T74" s="192"/>
      <c r="Y74" s="308"/>
      <c r="Z74" s="308"/>
    </row>
    <row r="75" spans="5:26" x14ac:dyDescent="0.25">
      <c r="T75" s="192"/>
    </row>
    <row r="76" spans="5:26" x14ac:dyDescent="0.25">
      <c r="T76" s="192"/>
    </row>
    <row r="77" spans="5:26" x14ac:dyDescent="0.25">
      <c r="S77" s="102"/>
      <c r="T77" s="192"/>
    </row>
    <row r="78" spans="5:26" x14ac:dyDescent="0.25">
      <c r="S78" s="102"/>
      <c r="T78" s="192"/>
    </row>
    <row r="79" spans="5:26" x14ac:dyDescent="0.25">
      <c r="S79" s="102"/>
      <c r="T79" s="192"/>
    </row>
    <row r="80" spans="5:26" x14ac:dyDescent="0.25">
      <c r="S80" s="102"/>
      <c r="T80" s="192"/>
    </row>
    <row r="81" spans="19:20" x14ac:dyDescent="0.25">
      <c r="S81" s="102"/>
      <c r="T81" s="192"/>
    </row>
    <row r="82" spans="19:20" x14ac:dyDescent="0.25">
      <c r="S82" s="102"/>
      <c r="T82" s="192"/>
    </row>
    <row r="83" spans="19:20" x14ac:dyDescent="0.25">
      <c r="S83" s="102"/>
      <c r="T83" s="192"/>
    </row>
    <row r="84" spans="19:20" x14ac:dyDescent="0.25">
      <c r="S84" s="102"/>
      <c r="T84" s="192"/>
    </row>
    <row r="88" spans="19:20" x14ac:dyDescent="0.25">
      <c r="S88" s="102"/>
      <c r="T88" s="192"/>
    </row>
    <row r="89" spans="19:20" x14ac:dyDescent="0.25">
      <c r="S89" s="102"/>
      <c r="T89" s="192"/>
    </row>
    <row r="90" spans="19:20" x14ac:dyDescent="0.25">
      <c r="S90" s="102"/>
      <c r="T90" s="192"/>
    </row>
    <row r="91" spans="19:20" x14ac:dyDescent="0.25">
      <c r="S91" s="102"/>
      <c r="T91" s="192"/>
    </row>
    <row r="92" spans="19:20" x14ac:dyDescent="0.25">
      <c r="S92" s="102"/>
      <c r="T92" s="192"/>
    </row>
    <row r="93" spans="19:20" x14ac:dyDescent="0.25">
      <c r="S93" s="102"/>
      <c r="T93" s="192"/>
    </row>
    <row r="94" spans="19:20" x14ac:dyDescent="0.25">
      <c r="S94" s="102"/>
      <c r="T94" s="192"/>
    </row>
    <row r="95" spans="19:20" x14ac:dyDescent="0.25">
      <c r="S95" s="102"/>
      <c r="T95" s="192"/>
    </row>
    <row r="96" spans="19:20" x14ac:dyDescent="0.25">
      <c r="S96" s="102"/>
      <c r="T96" s="192"/>
    </row>
    <row r="97" spans="19:20" x14ac:dyDescent="0.25">
      <c r="S97" s="102"/>
      <c r="T97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S106" s="102"/>
      <c r="T106" s="192"/>
    </row>
    <row r="107" spans="19:20" x14ac:dyDescent="0.25">
      <c r="S107" s="102"/>
      <c r="T107" s="192"/>
    </row>
    <row r="108" spans="19:20" x14ac:dyDescent="0.25">
      <c r="S108" s="102"/>
      <c r="T108" s="192"/>
    </row>
    <row r="109" spans="19:20" x14ac:dyDescent="0.25">
      <c r="T109" s="192"/>
    </row>
    <row r="110" spans="19:20" x14ac:dyDescent="0.25">
      <c r="T110" s="192"/>
    </row>
    <row r="111" spans="19:20" x14ac:dyDescent="0.25">
      <c r="T111" s="192"/>
    </row>
    <row r="112" spans="19:20" x14ac:dyDescent="0.25">
      <c r="T112" s="192"/>
    </row>
    <row r="113" spans="20:20" x14ac:dyDescent="0.25">
      <c r="T113" s="192"/>
    </row>
    <row r="114" spans="20:20" x14ac:dyDescent="0.25">
      <c r="T114" s="192"/>
    </row>
    <row r="115" spans="20:20" x14ac:dyDescent="0.25">
      <c r="T115" s="192"/>
    </row>
    <row r="116" spans="20:20" x14ac:dyDescent="0.25">
      <c r="T116" s="192"/>
    </row>
    <row r="117" spans="20:20" x14ac:dyDescent="0.25">
      <c r="T117" s="192"/>
    </row>
    <row r="118" spans="20:20" x14ac:dyDescent="0.25">
      <c r="T118" s="192"/>
    </row>
    <row r="119" spans="20:20" x14ac:dyDescent="0.25">
      <c r="T119" s="192"/>
    </row>
    <row r="120" spans="20:20" x14ac:dyDescent="0.25">
      <c r="T120" s="192"/>
    </row>
    <row r="121" spans="20:20" x14ac:dyDescent="0.25">
      <c r="T121" s="192"/>
    </row>
    <row r="122" spans="20:20" x14ac:dyDescent="0.25">
      <c r="T122" s="192"/>
    </row>
    <row r="123" spans="20:20" x14ac:dyDescent="0.25">
      <c r="T123" s="192"/>
    </row>
    <row r="124" spans="20:20" x14ac:dyDescent="0.25">
      <c r="T124" s="192"/>
    </row>
    <row r="125" spans="20:20" x14ac:dyDescent="0.25">
      <c r="T125" s="192"/>
    </row>
    <row r="126" spans="20:20" x14ac:dyDescent="0.25">
      <c r="T126" s="192"/>
    </row>
    <row r="127" spans="20:20" x14ac:dyDescent="0.25">
      <c r="T127" s="192"/>
    </row>
  </sheetData>
  <sortState xmlns:xlrd2="http://schemas.microsoft.com/office/spreadsheetml/2017/richdata2" ref="T7:U72">
    <sortCondition descending="1" ref="U1:U72"/>
  </sortState>
  <mergeCells count="10">
    <mergeCell ref="B62:R62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123"/>
  <sheetViews>
    <sheetView rightToLeft="1" view="pageBreakPreview" zoomScale="85" zoomScaleNormal="85" zoomScaleSheetLayoutView="85" workbookViewId="0">
      <selection activeCell="D22" sqref="D22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61" t="str">
        <f>'سود اوراق بهادار و سپرده بانکی'!B1:U1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</row>
    <row r="2" spans="2:29" ht="24" x14ac:dyDescent="0.6">
      <c r="B2" s="361" t="s">
        <v>86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V2" s="93"/>
    </row>
    <row r="3" spans="2:29" ht="24" x14ac:dyDescent="0.6">
      <c r="B3" s="361" t="str">
        <f>' سهام'!B3:Z3</f>
        <v>برای ماه منتهی به 1405/04/31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V3" s="93"/>
    </row>
    <row r="4" spans="2:29" ht="24" x14ac:dyDescent="0.55000000000000004">
      <c r="B4" s="418" t="s">
        <v>97</v>
      </c>
      <c r="C4" s="418"/>
      <c r="D4" s="418"/>
      <c r="E4" s="418"/>
      <c r="F4" s="418"/>
      <c r="G4" s="418"/>
      <c r="H4" s="418"/>
      <c r="I4" s="418"/>
      <c r="J4" s="418"/>
      <c r="K4" s="420"/>
      <c r="L4" s="420"/>
      <c r="M4" s="420"/>
      <c r="N4" s="420"/>
      <c r="O4" s="420"/>
      <c r="P4" s="420"/>
      <c r="Q4" s="420"/>
      <c r="R4" s="420"/>
      <c r="V4" s="93"/>
      <c r="AC4" s="1" t="s">
        <v>164</v>
      </c>
    </row>
    <row r="5" spans="2:29" ht="24.75" thickBot="1" x14ac:dyDescent="0.6">
      <c r="B5" s="12"/>
      <c r="C5" s="12"/>
      <c r="D5" s="413" t="str">
        <f>' سهام'!AC7</f>
        <v>طی تیر ماه</v>
      </c>
      <c r="E5" s="413"/>
      <c r="F5" s="413"/>
      <c r="G5" s="413"/>
      <c r="H5" s="413"/>
      <c r="I5" s="413"/>
      <c r="J5" s="413"/>
      <c r="K5" s="12"/>
      <c r="L5" s="413" t="str">
        <f>' سهام'!AC8</f>
        <v>از ابتدای سال مالی تا پایان تیر  ماه</v>
      </c>
      <c r="M5" s="413"/>
      <c r="N5" s="413"/>
      <c r="O5" s="413"/>
      <c r="P5" s="413"/>
      <c r="Q5" s="413"/>
      <c r="R5" s="413"/>
      <c r="V5" s="93"/>
      <c r="AC5" s="1" t="s">
        <v>169</v>
      </c>
    </row>
    <row r="6" spans="2:29" ht="45.75" thickBot="1" x14ac:dyDescent="0.6">
      <c r="B6" s="12" t="s">
        <v>63</v>
      </c>
      <c r="C6" s="12"/>
      <c r="D6" s="110" t="s">
        <v>8</v>
      </c>
      <c r="E6" s="12"/>
      <c r="F6" s="111" t="s">
        <v>76</v>
      </c>
      <c r="G6" s="12"/>
      <c r="H6" s="110" t="s">
        <v>73</v>
      </c>
      <c r="I6" s="12"/>
      <c r="J6" s="111" t="s">
        <v>77</v>
      </c>
      <c r="K6" s="12"/>
      <c r="L6" s="110" t="s">
        <v>8</v>
      </c>
      <c r="M6" s="12"/>
      <c r="N6" s="111" t="s">
        <v>31</v>
      </c>
      <c r="O6" s="12"/>
      <c r="P6" s="110" t="s">
        <v>73</v>
      </c>
      <c r="Q6" s="12"/>
      <c r="R6" s="111" t="s">
        <v>77</v>
      </c>
      <c r="T6" s="159"/>
      <c r="Z6" s="1" t="s">
        <v>170</v>
      </c>
    </row>
    <row r="7" spans="2:29" x14ac:dyDescent="0.55000000000000004">
      <c r="B7" s="12" t="s">
        <v>235</v>
      </c>
      <c r="C7" s="12"/>
      <c r="D7" s="91">
        <v>600000</v>
      </c>
      <c r="E7" s="12"/>
      <c r="F7" s="112">
        <v>2615140627</v>
      </c>
      <c r="G7" s="12"/>
      <c r="H7" s="91">
        <v>-2913634615</v>
      </c>
      <c r="I7" s="12"/>
      <c r="J7" s="112">
        <v>-298493988</v>
      </c>
      <c r="K7" s="12"/>
      <c r="L7" s="91">
        <v>600000</v>
      </c>
      <c r="M7" s="12"/>
      <c r="N7" s="112">
        <v>2615140627</v>
      </c>
      <c r="O7" s="12"/>
      <c r="P7" s="91">
        <v>-2913634615</v>
      </c>
      <c r="Q7" s="12"/>
      <c r="R7" s="112">
        <f>P7+N7</f>
        <v>-298493988</v>
      </c>
      <c r="T7" s="159"/>
    </row>
    <row r="8" spans="2:29" x14ac:dyDescent="0.55000000000000004">
      <c r="B8" s="12" t="s">
        <v>116</v>
      </c>
      <c r="C8" s="12"/>
      <c r="D8" s="91">
        <v>99000</v>
      </c>
      <c r="E8" s="12"/>
      <c r="F8" s="112">
        <v>3688867268</v>
      </c>
      <c r="G8" s="12"/>
      <c r="H8" s="91">
        <v>-4302681176</v>
      </c>
      <c r="I8" s="12"/>
      <c r="J8" s="112">
        <v>-613813908</v>
      </c>
      <c r="K8" s="12"/>
      <c r="L8" s="91">
        <v>99000</v>
      </c>
      <c r="M8" s="12"/>
      <c r="N8" s="112">
        <v>3688867268</v>
      </c>
      <c r="O8" s="12"/>
      <c r="P8" s="91">
        <v>-4302681176</v>
      </c>
      <c r="Q8" s="12"/>
      <c r="R8" s="112">
        <f t="shared" ref="R8:R53" si="0">P8+N8</f>
        <v>-613813908</v>
      </c>
      <c r="T8" s="159"/>
    </row>
    <row r="9" spans="2:29" x14ac:dyDescent="0.55000000000000004">
      <c r="B9" s="12" t="s">
        <v>129</v>
      </c>
      <c r="C9" s="12"/>
      <c r="D9" s="91">
        <v>999000</v>
      </c>
      <c r="E9" s="12"/>
      <c r="F9" s="112">
        <v>16630010355</v>
      </c>
      <c r="G9" s="12"/>
      <c r="H9" s="91">
        <v>-16841808629</v>
      </c>
      <c r="I9" s="12"/>
      <c r="J9" s="112">
        <v>-211798274</v>
      </c>
      <c r="K9" s="12"/>
      <c r="L9" s="91">
        <v>13999000</v>
      </c>
      <c r="M9" s="12"/>
      <c r="N9" s="112">
        <v>221973501492</v>
      </c>
      <c r="O9" s="12"/>
      <c r="P9" s="91">
        <v>-236004483537</v>
      </c>
      <c r="Q9" s="12"/>
      <c r="R9" s="112">
        <f t="shared" si="0"/>
        <v>-14030982045</v>
      </c>
      <c r="T9" s="159"/>
    </row>
    <row r="10" spans="2:29" x14ac:dyDescent="0.55000000000000004">
      <c r="B10" s="12" t="s">
        <v>190</v>
      </c>
      <c r="C10" s="12"/>
      <c r="D10" s="91">
        <v>15000000</v>
      </c>
      <c r="E10" s="12"/>
      <c r="F10" s="112">
        <v>74165148336</v>
      </c>
      <c r="G10" s="12"/>
      <c r="H10" s="91">
        <v>-58298545103</v>
      </c>
      <c r="I10" s="12"/>
      <c r="J10" s="112">
        <v>15866603233</v>
      </c>
      <c r="K10" s="12"/>
      <c r="L10" s="91">
        <v>15014493</v>
      </c>
      <c r="M10" s="12"/>
      <c r="N10" s="112">
        <v>74228835073</v>
      </c>
      <c r="O10" s="12"/>
      <c r="P10" s="91">
        <v>-58354873158</v>
      </c>
      <c r="Q10" s="12"/>
      <c r="R10" s="112">
        <f t="shared" si="0"/>
        <v>15873961915</v>
      </c>
      <c r="T10" s="159"/>
    </row>
    <row r="11" spans="2:29" x14ac:dyDescent="0.55000000000000004">
      <c r="B11" s="12" t="s">
        <v>221</v>
      </c>
      <c r="C11" s="12"/>
      <c r="D11" s="91">
        <v>125000</v>
      </c>
      <c r="E11" s="12"/>
      <c r="F11" s="112">
        <v>5389880247</v>
      </c>
      <c r="G11" s="12"/>
      <c r="H11" s="91">
        <v>-4784903350</v>
      </c>
      <c r="I11" s="12"/>
      <c r="J11" s="112">
        <v>604976897</v>
      </c>
      <c r="K11" s="12"/>
      <c r="L11" s="91">
        <v>125000</v>
      </c>
      <c r="M11" s="12"/>
      <c r="N11" s="112">
        <v>5389880247</v>
      </c>
      <c r="O11" s="12"/>
      <c r="P11" s="91">
        <v>-4784903350</v>
      </c>
      <c r="Q11" s="12"/>
      <c r="R11" s="112">
        <f t="shared" si="0"/>
        <v>604976897</v>
      </c>
      <c r="T11" s="159"/>
    </row>
    <row r="12" spans="2:29" x14ac:dyDescent="0.55000000000000004">
      <c r="B12" s="12" t="s">
        <v>223</v>
      </c>
      <c r="C12" s="12"/>
      <c r="D12" s="91">
        <v>18000000</v>
      </c>
      <c r="E12" s="12"/>
      <c r="F12" s="112">
        <v>43919753152</v>
      </c>
      <c r="G12" s="12"/>
      <c r="H12" s="91">
        <v>-43594487859</v>
      </c>
      <c r="I12" s="12"/>
      <c r="J12" s="112">
        <v>325265293</v>
      </c>
      <c r="K12" s="12"/>
      <c r="L12" s="91">
        <v>18000000</v>
      </c>
      <c r="M12" s="12"/>
      <c r="N12" s="112">
        <v>43919753152</v>
      </c>
      <c r="O12" s="12"/>
      <c r="P12" s="91">
        <v>-43594487859</v>
      </c>
      <c r="Q12" s="12"/>
      <c r="R12" s="112">
        <f t="shared" si="0"/>
        <v>325265293</v>
      </c>
      <c r="T12" s="159"/>
    </row>
    <row r="13" spans="2:29" x14ac:dyDescent="0.55000000000000004">
      <c r="B13" s="12" t="s">
        <v>227</v>
      </c>
      <c r="C13" s="12"/>
      <c r="D13" s="91">
        <v>23600000</v>
      </c>
      <c r="E13" s="12"/>
      <c r="F13" s="112">
        <v>91002961575</v>
      </c>
      <c r="G13" s="12"/>
      <c r="H13" s="91">
        <v>-91002961575</v>
      </c>
      <c r="I13" s="12"/>
      <c r="J13" s="112">
        <v>0</v>
      </c>
      <c r="K13" s="12"/>
      <c r="L13" s="91">
        <v>23600000</v>
      </c>
      <c r="M13" s="12"/>
      <c r="N13" s="112">
        <v>91002961575</v>
      </c>
      <c r="O13" s="12"/>
      <c r="P13" s="91">
        <v>-91002961575</v>
      </c>
      <c r="Q13" s="12"/>
      <c r="R13" s="112">
        <f t="shared" si="0"/>
        <v>0</v>
      </c>
      <c r="T13" s="159"/>
    </row>
    <row r="14" spans="2:29" x14ac:dyDescent="0.55000000000000004">
      <c r="B14" s="12" t="s">
        <v>111</v>
      </c>
      <c r="C14" s="12"/>
      <c r="D14" s="91">
        <v>60600000</v>
      </c>
      <c r="E14" s="12"/>
      <c r="F14" s="112">
        <v>602710217327</v>
      </c>
      <c r="G14" s="12"/>
      <c r="H14" s="91">
        <v>-313661835067</v>
      </c>
      <c r="I14" s="12"/>
      <c r="J14" s="112">
        <v>289048382260</v>
      </c>
      <c r="K14" s="12"/>
      <c r="L14" s="91">
        <v>60660440</v>
      </c>
      <c r="M14" s="12"/>
      <c r="N14" s="112">
        <v>603029455899</v>
      </c>
      <c r="O14" s="12"/>
      <c r="P14" s="91">
        <v>-313971621183</v>
      </c>
      <c r="Q14" s="12"/>
      <c r="R14" s="112">
        <f t="shared" si="0"/>
        <v>289057834716</v>
      </c>
      <c r="T14" s="159"/>
    </row>
    <row r="15" spans="2:29" x14ac:dyDescent="0.55000000000000004">
      <c r="B15" s="12" t="s">
        <v>127</v>
      </c>
      <c r="C15" s="12"/>
      <c r="D15" s="91">
        <v>9500000</v>
      </c>
      <c r="E15" s="12"/>
      <c r="F15" s="112">
        <v>197574903177</v>
      </c>
      <c r="G15" s="12"/>
      <c r="H15" s="91">
        <v>-141894775106</v>
      </c>
      <c r="I15" s="12"/>
      <c r="J15" s="112">
        <v>55680128071</v>
      </c>
      <c r="K15" s="12"/>
      <c r="L15" s="91">
        <v>9500000</v>
      </c>
      <c r="M15" s="12"/>
      <c r="N15" s="112">
        <v>197574903177</v>
      </c>
      <c r="O15" s="12"/>
      <c r="P15" s="91">
        <v>-141894775106</v>
      </c>
      <c r="Q15" s="12"/>
      <c r="R15" s="112">
        <f t="shared" si="0"/>
        <v>55680128071</v>
      </c>
      <c r="T15" s="159"/>
    </row>
    <row r="16" spans="2:29" x14ac:dyDescent="0.55000000000000004">
      <c r="B16" s="12" t="s">
        <v>225</v>
      </c>
      <c r="C16" s="12"/>
      <c r="D16" s="91">
        <v>1301101</v>
      </c>
      <c r="E16" s="12"/>
      <c r="F16" s="112">
        <v>5449089631</v>
      </c>
      <c r="G16" s="12"/>
      <c r="H16" s="91">
        <v>-5475970835</v>
      </c>
      <c r="I16" s="12"/>
      <c r="J16" s="112">
        <v>-26881204</v>
      </c>
      <c r="K16" s="12"/>
      <c r="L16" s="91">
        <v>1301101</v>
      </c>
      <c r="M16" s="12"/>
      <c r="N16" s="112">
        <v>5449089631</v>
      </c>
      <c r="O16" s="12"/>
      <c r="P16" s="91">
        <v>-5475970835</v>
      </c>
      <c r="Q16" s="12"/>
      <c r="R16" s="112">
        <f t="shared" si="0"/>
        <v>-26881204</v>
      </c>
      <c r="T16" s="159"/>
    </row>
    <row r="17" spans="2:26" x14ac:dyDescent="0.55000000000000004">
      <c r="B17" s="12" t="s">
        <v>148</v>
      </c>
      <c r="C17" s="12"/>
      <c r="D17" s="91">
        <v>111</v>
      </c>
      <c r="E17" s="12"/>
      <c r="F17" s="112">
        <v>107895</v>
      </c>
      <c r="G17" s="12"/>
      <c r="H17" s="91">
        <v>-148185</v>
      </c>
      <c r="I17" s="12"/>
      <c r="J17" s="112">
        <v>-40290</v>
      </c>
      <c r="K17" s="12"/>
      <c r="L17" s="91">
        <v>111</v>
      </c>
      <c r="M17" s="12"/>
      <c r="N17" s="112">
        <v>107895</v>
      </c>
      <c r="O17" s="12"/>
      <c r="P17" s="91">
        <v>-148185</v>
      </c>
      <c r="Q17" s="12"/>
      <c r="R17" s="112">
        <f t="shared" si="0"/>
        <v>-40290</v>
      </c>
      <c r="T17" s="159"/>
    </row>
    <row r="18" spans="2:26" x14ac:dyDescent="0.55000000000000004">
      <c r="B18" s="12" t="s">
        <v>119</v>
      </c>
      <c r="C18" s="12"/>
      <c r="D18" s="91">
        <v>14000000</v>
      </c>
      <c r="E18" s="12"/>
      <c r="F18" s="112">
        <v>196390026792</v>
      </c>
      <c r="G18" s="12"/>
      <c r="H18" s="91">
        <v>-191795019428</v>
      </c>
      <c r="I18" s="12"/>
      <c r="J18" s="112">
        <v>4595007364</v>
      </c>
      <c r="K18" s="12"/>
      <c r="L18" s="91">
        <v>14000000</v>
      </c>
      <c r="M18" s="12"/>
      <c r="N18" s="112">
        <v>196390026792</v>
      </c>
      <c r="O18" s="12"/>
      <c r="P18" s="91">
        <v>-191795019428</v>
      </c>
      <c r="Q18" s="12"/>
      <c r="R18" s="112">
        <f t="shared" si="0"/>
        <v>4595007364</v>
      </c>
      <c r="T18" s="159"/>
    </row>
    <row r="19" spans="2:26" x14ac:dyDescent="0.55000000000000004">
      <c r="B19" s="12" t="s">
        <v>175</v>
      </c>
      <c r="C19" s="12"/>
      <c r="D19" s="91">
        <v>19617870</v>
      </c>
      <c r="E19" s="12"/>
      <c r="F19" s="112">
        <v>99998611256</v>
      </c>
      <c r="G19" s="12"/>
      <c r="H19" s="91">
        <v>-84931134771</v>
      </c>
      <c r="I19" s="12"/>
      <c r="J19" s="112">
        <v>15067476485</v>
      </c>
      <c r="K19" s="12"/>
      <c r="L19" s="91">
        <v>34000000</v>
      </c>
      <c r="M19" s="12"/>
      <c r="N19" s="112">
        <v>182722763791</v>
      </c>
      <c r="O19" s="12"/>
      <c r="P19" s="91">
        <v>-147195316340</v>
      </c>
      <c r="Q19" s="12"/>
      <c r="R19" s="112">
        <f t="shared" si="0"/>
        <v>35527447451</v>
      </c>
      <c r="T19" s="159"/>
    </row>
    <row r="20" spans="2:26" x14ac:dyDescent="0.55000000000000004">
      <c r="B20" s="12" t="s">
        <v>153</v>
      </c>
      <c r="C20" s="12"/>
      <c r="D20" s="91">
        <v>59880000</v>
      </c>
      <c r="E20" s="12"/>
      <c r="F20" s="112">
        <v>118034724781</v>
      </c>
      <c r="G20" s="12"/>
      <c r="H20" s="91">
        <v>-93641393101</v>
      </c>
      <c r="I20" s="12"/>
      <c r="J20" s="112">
        <v>24393331680</v>
      </c>
      <c r="K20" s="12"/>
      <c r="L20" s="91">
        <v>66000000</v>
      </c>
      <c r="M20" s="12"/>
      <c r="N20" s="112">
        <v>127499354467</v>
      </c>
      <c r="O20" s="12"/>
      <c r="P20" s="91">
        <v>-103211956331</v>
      </c>
      <c r="Q20" s="12"/>
      <c r="R20" s="112">
        <f t="shared" si="0"/>
        <v>24287398136</v>
      </c>
      <c r="T20" s="159"/>
    </row>
    <row r="21" spans="2:26" x14ac:dyDescent="0.55000000000000004">
      <c r="B21" s="12" t="s">
        <v>160</v>
      </c>
      <c r="C21" s="12"/>
      <c r="D21" s="91">
        <v>10000000</v>
      </c>
      <c r="E21" s="12"/>
      <c r="F21" s="112">
        <v>35742240264</v>
      </c>
      <c r="G21" s="12"/>
      <c r="H21" s="91">
        <v>-20652815068</v>
      </c>
      <c r="I21" s="12"/>
      <c r="J21" s="112">
        <v>15089425196</v>
      </c>
      <c r="K21" s="12"/>
      <c r="L21" s="91">
        <v>10000000</v>
      </c>
      <c r="M21" s="12"/>
      <c r="N21" s="112">
        <v>35742240264</v>
      </c>
      <c r="O21" s="12"/>
      <c r="P21" s="91">
        <v>-20652815068</v>
      </c>
      <c r="Q21" s="12"/>
      <c r="R21" s="112">
        <f t="shared" si="0"/>
        <v>15089425196</v>
      </c>
      <c r="T21" s="159"/>
    </row>
    <row r="22" spans="2:26" x14ac:dyDescent="0.55000000000000004">
      <c r="B22" s="12" t="s">
        <v>110</v>
      </c>
      <c r="C22" s="12"/>
      <c r="D22" s="91">
        <v>702355188</v>
      </c>
      <c r="E22" s="12"/>
      <c r="F22" s="112">
        <v>862327857433</v>
      </c>
      <c r="G22" s="12"/>
      <c r="H22" s="91">
        <v>-761113690020</v>
      </c>
      <c r="I22" s="12"/>
      <c r="J22" s="112">
        <v>101214167413</v>
      </c>
      <c r="K22" s="12"/>
      <c r="L22" s="91">
        <v>822467064</v>
      </c>
      <c r="M22" s="12"/>
      <c r="N22" s="112">
        <v>1025318264796</v>
      </c>
      <c r="O22" s="12"/>
      <c r="P22" s="91">
        <v>-891259454144</v>
      </c>
      <c r="Q22" s="12"/>
      <c r="R22" s="112">
        <f t="shared" si="0"/>
        <v>134058810652</v>
      </c>
      <c r="T22" s="159"/>
    </row>
    <row r="23" spans="2:26" x14ac:dyDescent="0.55000000000000004">
      <c r="B23" s="12" t="s">
        <v>108</v>
      </c>
      <c r="C23" s="12"/>
      <c r="D23" s="91">
        <v>553200000</v>
      </c>
      <c r="E23" s="12"/>
      <c r="F23" s="112">
        <v>310640779856</v>
      </c>
      <c r="G23" s="12"/>
      <c r="H23" s="91">
        <v>-264169864126</v>
      </c>
      <c r="I23" s="12"/>
      <c r="J23" s="112">
        <v>46470915730</v>
      </c>
      <c r="K23" s="12"/>
      <c r="L23" s="91">
        <v>554400000</v>
      </c>
      <c r="M23" s="12"/>
      <c r="N23" s="112">
        <v>311334179333</v>
      </c>
      <c r="O23" s="12"/>
      <c r="P23" s="91">
        <v>-264742900708</v>
      </c>
      <c r="Q23" s="12"/>
      <c r="R23" s="112">
        <f t="shared" si="0"/>
        <v>46591278625</v>
      </c>
      <c r="T23" s="159"/>
    </row>
    <row r="24" spans="2:26" x14ac:dyDescent="0.55000000000000004">
      <c r="B24" s="12" t="s">
        <v>141</v>
      </c>
      <c r="C24" s="12"/>
      <c r="D24" s="91">
        <v>300000</v>
      </c>
      <c r="E24" s="12"/>
      <c r="F24" s="112">
        <v>4188950950</v>
      </c>
      <c r="G24" s="12"/>
      <c r="H24" s="91">
        <v>-3484075782</v>
      </c>
      <c r="I24" s="12"/>
      <c r="J24" s="112">
        <v>704875168</v>
      </c>
      <c r="K24" s="12"/>
      <c r="L24" s="91">
        <v>300001</v>
      </c>
      <c r="M24" s="12"/>
      <c r="N24" s="112">
        <v>4188950951</v>
      </c>
      <c r="O24" s="12"/>
      <c r="P24" s="91">
        <v>-3484085632</v>
      </c>
      <c r="Q24" s="12"/>
      <c r="R24" s="112">
        <f t="shared" si="0"/>
        <v>704865319</v>
      </c>
      <c r="T24" s="159"/>
    </row>
    <row r="25" spans="2:26" x14ac:dyDescent="0.55000000000000004">
      <c r="B25" s="12" t="s">
        <v>120</v>
      </c>
      <c r="C25" s="12"/>
      <c r="D25" s="91">
        <v>11000000</v>
      </c>
      <c r="E25" s="12"/>
      <c r="F25" s="112">
        <v>123400084740</v>
      </c>
      <c r="G25" s="12"/>
      <c r="H25" s="91">
        <v>-114607184978</v>
      </c>
      <c r="I25" s="12"/>
      <c r="J25" s="112">
        <v>8792899762</v>
      </c>
      <c r="K25" s="12"/>
      <c r="L25" s="91">
        <v>41000000</v>
      </c>
      <c r="M25" s="12"/>
      <c r="N25" s="112">
        <v>466953992157</v>
      </c>
      <c r="O25" s="12"/>
      <c r="P25" s="91">
        <v>-427172234980</v>
      </c>
      <c r="Q25" s="12"/>
      <c r="R25" s="112">
        <f t="shared" si="0"/>
        <v>39781757177</v>
      </c>
      <c r="T25" s="159"/>
    </row>
    <row r="26" spans="2:26" x14ac:dyDescent="0.55000000000000004">
      <c r="B26" s="12" t="s">
        <v>206</v>
      </c>
      <c r="C26" s="12"/>
      <c r="D26" s="91">
        <v>119</v>
      </c>
      <c r="E26" s="12"/>
      <c r="F26" s="112">
        <v>114609</v>
      </c>
      <c r="G26" s="12"/>
      <c r="H26" s="91">
        <v>-166957</v>
      </c>
      <c r="I26" s="12"/>
      <c r="J26" s="112">
        <v>-52348</v>
      </c>
      <c r="K26" s="12"/>
      <c r="L26" s="91">
        <v>119</v>
      </c>
      <c r="M26" s="12"/>
      <c r="N26" s="112">
        <v>114609</v>
      </c>
      <c r="O26" s="12"/>
      <c r="P26" s="91">
        <v>-166957</v>
      </c>
      <c r="Q26" s="12"/>
      <c r="R26" s="112">
        <f t="shared" si="0"/>
        <v>-52348</v>
      </c>
      <c r="T26" s="159"/>
    </row>
    <row r="27" spans="2:26" x14ac:dyDescent="0.55000000000000004">
      <c r="B27" s="12" t="s">
        <v>185</v>
      </c>
      <c r="C27" s="12"/>
      <c r="D27" s="91">
        <v>72662416</v>
      </c>
      <c r="E27" s="12"/>
      <c r="F27" s="112">
        <v>107268224021</v>
      </c>
      <c r="G27" s="12"/>
      <c r="H27" s="91">
        <v>-77724592901</v>
      </c>
      <c r="I27" s="12"/>
      <c r="J27" s="112">
        <v>29543631120</v>
      </c>
      <c r="K27" s="12"/>
      <c r="L27" s="91">
        <v>80000000</v>
      </c>
      <c r="M27" s="12"/>
      <c r="N27" s="112">
        <v>117571829269</v>
      </c>
      <c r="O27" s="12"/>
      <c r="P27" s="91">
        <v>-85573364800</v>
      </c>
      <c r="Q27" s="12"/>
      <c r="R27" s="112">
        <f t="shared" si="0"/>
        <v>31998464469</v>
      </c>
      <c r="T27" s="159"/>
    </row>
    <row r="28" spans="2:26" x14ac:dyDescent="0.55000000000000004">
      <c r="B28" s="12" t="s">
        <v>220</v>
      </c>
      <c r="C28" s="12"/>
      <c r="D28" s="91">
        <v>500000</v>
      </c>
      <c r="E28" s="12"/>
      <c r="F28" s="112">
        <v>13543500950</v>
      </c>
      <c r="G28" s="12"/>
      <c r="H28" s="91">
        <v>-13803569294</v>
      </c>
      <c r="I28" s="12"/>
      <c r="J28" s="112">
        <v>-260068344</v>
      </c>
      <c r="K28" s="12"/>
      <c r="L28" s="91">
        <v>500000</v>
      </c>
      <c r="M28" s="12"/>
      <c r="N28" s="112">
        <v>13543500950</v>
      </c>
      <c r="O28" s="12"/>
      <c r="P28" s="91">
        <v>-13803569294</v>
      </c>
      <c r="Q28" s="12"/>
      <c r="R28" s="112">
        <f t="shared" si="0"/>
        <v>-260068344</v>
      </c>
      <c r="T28" s="159"/>
    </row>
    <row r="29" spans="2:26" x14ac:dyDescent="0.55000000000000004">
      <c r="B29" s="12" t="s">
        <v>115</v>
      </c>
      <c r="C29" s="12"/>
      <c r="D29" s="91">
        <v>5600000</v>
      </c>
      <c r="E29" s="12"/>
      <c r="F29" s="112">
        <v>60716796494</v>
      </c>
      <c r="G29" s="12"/>
      <c r="H29" s="60">
        <v>-72415070460</v>
      </c>
      <c r="I29" s="12"/>
      <c r="J29" s="113">
        <v>-11698273966</v>
      </c>
      <c r="K29" s="12"/>
      <c r="L29" s="91">
        <v>5607435</v>
      </c>
      <c r="M29" s="12"/>
      <c r="N29" s="112">
        <v>60817530494</v>
      </c>
      <c r="O29" s="12"/>
      <c r="P29" s="60">
        <v>-72511214397</v>
      </c>
      <c r="Q29" s="12"/>
      <c r="R29" s="112">
        <f t="shared" si="0"/>
        <v>-11693683903</v>
      </c>
      <c r="S29" s="173"/>
      <c r="T29" s="159"/>
      <c r="Z29" s="1" t="s">
        <v>171</v>
      </c>
    </row>
    <row r="30" spans="2:26" x14ac:dyDescent="0.55000000000000004">
      <c r="B30" s="12" t="s">
        <v>176</v>
      </c>
      <c r="C30" s="12"/>
      <c r="D30" s="91">
        <v>800000</v>
      </c>
      <c r="E30" s="12"/>
      <c r="F30" s="112">
        <v>7108734412</v>
      </c>
      <c r="G30" s="12"/>
      <c r="H30" s="60">
        <v>-4889112745</v>
      </c>
      <c r="I30" s="12"/>
      <c r="J30" s="113">
        <v>2219621667</v>
      </c>
      <c r="K30" s="12"/>
      <c r="L30" s="91">
        <v>882353</v>
      </c>
      <c r="M30" s="12"/>
      <c r="N30" s="112">
        <v>7623019663</v>
      </c>
      <c r="O30" s="12"/>
      <c r="P30" s="60">
        <v>-5392404124</v>
      </c>
      <c r="Q30" s="12"/>
      <c r="R30" s="112">
        <f t="shared" si="0"/>
        <v>2230615539</v>
      </c>
      <c r="S30" s="173"/>
      <c r="T30" s="159"/>
    </row>
    <row r="31" spans="2:26" x14ac:dyDescent="0.55000000000000004">
      <c r="B31" s="12" t="s">
        <v>192</v>
      </c>
      <c r="C31" s="12"/>
      <c r="D31" s="91">
        <v>335000</v>
      </c>
      <c r="E31" s="12"/>
      <c r="F31" s="112">
        <v>16234274413</v>
      </c>
      <c r="G31" s="12"/>
      <c r="H31" s="60">
        <v>-11886997691</v>
      </c>
      <c r="I31" s="12"/>
      <c r="J31" s="113">
        <v>4347276722</v>
      </c>
      <c r="K31" s="12"/>
      <c r="L31" s="91">
        <v>335212</v>
      </c>
      <c r="M31" s="12"/>
      <c r="N31" s="112">
        <v>16242495847</v>
      </c>
      <c r="O31" s="12"/>
      <c r="P31" s="60">
        <v>-11894520209</v>
      </c>
      <c r="Q31" s="12"/>
      <c r="R31" s="112">
        <f t="shared" si="0"/>
        <v>4347975638</v>
      </c>
      <c r="S31" s="173"/>
      <c r="T31" s="159"/>
    </row>
    <row r="32" spans="2:26" x14ac:dyDescent="0.55000000000000004">
      <c r="B32" s="12" t="s">
        <v>103</v>
      </c>
      <c r="C32" s="12"/>
      <c r="D32" s="91">
        <v>8400000</v>
      </c>
      <c r="E32" s="12"/>
      <c r="F32" s="112">
        <v>17888603965</v>
      </c>
      <c r="G32" s="12"/>
      <c r="H32" s="60">
        <v>-19199210042</v>
      </c>
      <c r="I32" s="12"/>
      <c r="J32" s="113">
        <v>-1310606077</v>
      </c>
      <c r="K32" s="12"/>
      <c r="L32" s="91">
        <v>8615749</v>
      </c>
      <c r="M32" s="12"/>
      <c r="N32" s="112">
        <v>18290254437</v>
      </c>
      <c r="O32" s="12"/>
      <c r="P32" s="60">
        <v>-19554618282</v>
      </c>
      <c r="Q32" s="12"/>
      <c r="R32" s="112">
        <f t="shared" si="0"/>
        <v>-1264363845</v>
      </c>
      <c r="S32" s="173"/>
      <c r="T32" s="159"/>
    </row>
    <row r="33" spans="2:20" x14ac:dyDescent="0.55000000000000004">
      <c r="B33" s="12" t="s">
        <v>193</v>
      </c>
      <c r="C33" s="12"/>
      <c r="D33" s="91">
        <v>14000000</v>
      </c>
      <c r="E33" s="12"/>
      <c r="F33" s="112">
        <v>149825239849</v>
      </c>
      <c r="G33" s="12"/>
      <c r="H33" s="60">
        <v>-77377214600</v>
      </c>
      <c r="I33" s="12"/>
      <c r="J33" s="113">
        <v>72448025249</v>
      </c>
      <c r="K33" s="12"/>
      <c r="L33" s="91">
        <v>14000000</v>
      </c>
      <c r="M33" s="12"/>
      <c r="N33" s="112">
        <v>149825239849</v>
      </c>
      <c r="O33" s="12"/>
      <c r="P33" s="60">
        <v>-77377214600</v>
      </c>
      <c r="Q33" s="12"/>
      <c r="R33" s="112">
        <f t="shared" si="0"/>
        <v>72448025249</v>
      </c>
      <c r="S33" s="173"/>
      <c r="T33" s="159"/>
    </row>
    <row r="34" spans="2:20" x14ac:dyDescent="0.55000000000000004">
      <c r="B34" s="12" t="s">
        <v>142</v>
      </c>
      <c r="C34" s="12"/>
      <c r="D34" s="91">
        <v>253200000</v>
      </c>
      <c r="E34" s="12"/>
      <c r="F34" s="112">
        <v>164039287526</v>
      </c>
      <c r="G34" s="12"/>
      <c r="H34" s="60">
        <v>-118576227638</v>
      </c>
      <c r="I34" s="12"/>
      <c r="J34" s="113">
        <v>45463059888</v>
      </c>
      <c r="K34" s="12"/>
      <c r="L34" s="91">
        <v>254126441</v>
      </c>
      <c r="M34" s="12"/>
      <c r="N34" s="112">
        <v>164405370607</v>
      </c>
      <c r="O34" s="12"/>
      <c r="P34" s="60">
        <v>-118921823991</v>
      </c>
      <c r="Q34" s="12"/>
      <c r="R34" s="112">
        <f t="shared" si="0"/>
        <v>45483546616</v>
      </c>
      <c r="S34" s="173"/>
      <c r="T34" s="159"/>
    </row>
    <row r="35" spans="2:20" x14ac:dyDescent="0.55000000000000004">
      <c r="B35" s="12" t="s">
        <v>128</v>
      </c>
      <c r="C35" s="12"/>
      <c r="D35" s="91">
        <v>60800000</v>
      </c>
      <c r="E35" s="12"/>
      <c r="F35" s="112">
        <v>131156464299</v>
      </c>
      <c r="G35" s="12"/>
      <c r="H35" s="60">
        <v>-114646931316</v>
      </c>
      <c r="I35" s="12"/>
      <c r="J35" s="113">
        <v>16509532983</v>
      </c>
      <c r="K35" s="12"/>
      <c r="L35" s="91">
        <v>60800000</v>
      </c>
      <c r="M35" s="12"/>
      <c r="N35" s="112">
        <v>131156464299</v>
      </c>
      <c r="O35" s="12"/>
      <c r="P35" s="60">
        <v>-114646931316</v>
      </c>
      <c r="Q35" s="12"/>
      <c r="R35" s="112">
        <f t="shared" si="0"/>
        <v>16509532983</v>
      </c>
      <c r="S35" s="173"/>
      <c r="T35" s="159"/>
    </row>
    <row r="36" spans="2:20" x14ac:dyDescent="0.55000000000000004">
      <c r="B36" s="12" t="s">
        <v>140</v>
      </c>
      <c r="C36" s="12"/>
      <c r="D36" s="91">
        <v>367191</v>
      </c>
      <c r="E36" s="12"/>
      <c r="F36" s="112">
        <v>26438029954</v>
      </c>
      <c r="G36" s="12"/>
      <c r="H36" s="60">
        <v>-25875192691</v>
      </c>
      <c r="I36" s="12"/>
      <c r="J36" s="113">
        <v>562837263</v>
      </c>
      <c r="K36" s="12"/>
      <c r="L36" s="91">
        <v>442434</v>
      </c>
      <c r="M36" s="12"/>
      <c r="N36" s="112">
        <v>31610369096</v>
      </c>
      <c r="O36" s="12"/>
      <c r="P36" s="60">
        <v>-31177411755</v>
      </c>
      <c r="Q36" s="12"/>
      <c r="R36" s="112">
        <f t="shared" si="0"/>
        <v>432957341</v>
      </c>
      <c r="S36" s="173"/>
      <c r="T36" s="159"/>
    </row>
    <row r="37" spans="2:20" x14ac:dyDescent="0.55000000000000004">
      <c r="B37" s="12" t="s">
        <v>152</v>
      </c>
      <c r="C37" s="12"/>
      <c r="D37" s="91">
        <v>1998956</v>
      </c>
      <c r="E37" s="12"/>
      <c r="F37" s="112">
        <v>97293807383</v>
      </c>
      <c r="G37" s="12"/>
      <c r="H37" s="60">
        <v>-64444047268</v>
      </c>
      <c r="I37" s="12"/>
      <c r="J37" s="113">
        <v>32849760115</v>
      </c>
      <c r="K37" s="12"/>
      <c r="L37" s="91">
        <v>1998956</v>
      </c>
      <c r="M37" s="12"/>
      <c r="N37" s="112">
        <v>97293807383</v>
      </c>
      <c r="O37" s="12"/>
      <c r="P37" s="60">
        <v>-64444047268</v>
      </c>
      <c r="Q37" s="12"/>
      <c r="R37" s="112">
        <f t="shared" si="0"/>
        <v>32849760115</v>
      </c>
      <c r="S37" s="173"/>
      <c r="T37" s="159"/>
    </row>
    <row r="38" spans="2:20" x14ac:dyDescent="0.55000000000000004">
      <c r="B38" s="12" t="s">
        <v>134</v>
      </c>
      <c r="C38" s="12"/>
      <c r="D38" s="91">
        <v>668000000</v>
      </c>
      <c r="E38" s="12"/>
      <c r="F38" s="112">
        <v>374761805019</v>
      </c>
      <c r="G38" s="12"/>
      <c r="H38" s="60">
        <v>-374527470113</v>
      </c>
      <c r="I38" s="12"/>
      <c r="J38" s="113">
        <v>234334906</v>
      </c>
      <c r="K38" s="12"/>
      <c r="L38" s="91">
        <v>668000000</v>
      </c>
      <c r="M38" s="12"/>
      <c r="N38" s="112">
        <v>374761805019</v>
      </c>
      <c r="O38" s="12"/>
      <c r="P38" s="60">
        <v>-374527470113</v>
      </c>
      <c r="Q38" s="12"/>
      <c r="R38" s="112">
        <f t="shared" si="0"/>
        <v>234334906</v>
      </c>
      <c r="S38" s="173"/>
      <c r="T38" s="159"/>
    </row>
    <row r="39" spans="2:20" x14ac:dyDescent="0.55000000000000004">
      <c r="B39" s="12" t="s">
        <v>112</v>
      </c>
      <c r="C39" s="12"/>
      <c r="D39" s="91">
        <v>21708586</v>
      </c>
      <c r="E39" s="12"/>
      <c r="F39" s="112">
        <v>262257952234</v>
      </c>
      <c r="G39" s="12"/>
      <c r="H39" s="60">
        <v>-149493003710</v>
      </c>
      <c r="I39" s="12"/>
      <c r="J39" s="113">
        <v>112764948524</v>
      </c>
      <c r="K39" s="12"/>
      <c r="L39" s="91">
        <v>30000000</v>
      </c>
      <c r="M39" s="12"/>
      <c r="N39" s="112">
        <v>357304174363</v>
      </c>
      <c r="O39" s="12"/>
      <c r="P39" s="60">
        <v>-206590613990</v>
      </c>
      <c r="Q39" s="12"/>
      <c r="R39" s="112">
        <f t="shared" si="0"/>
        <v>150713560373</v>
      </c>
      <c r="S39" s="173"/>
      <c r="T39" s="159"/>
    </row>
    <row r="40" spans="2:20" x14ac:dyDescent="0.55000000000000004">
      <c r="B40" s="12" t="s">
        <v>202</v>
      </c>
      <c r="C40" s="12"/>
      <c r="D40" s="91">
        <v>0</v>
      </c>
      <c r="E40" s="12"/>
      <c r="F40" s="112">
        <v>0</v>
      </c>
      <c r="G40" s="12"/>
      <c r="H40" s="60">
        <v>0</v>
      </c>
      <c r="I40" s="12"/>
      <c r="J40" s="113">
        <v>0</v>
      </c>
      <c r="K40" s="12"/>
      <c r="L40" s="91">
        <v>88889</v>
      </c>
      <c r="M40" s="12"/>
      <c r="N40" s="112">
        <v>833094748</v>
      </c>
      <c r="O40" s="12"/>
      <c r="P40" s="60">
        <v>-787378253</v>
      </c>
      <c r="Q40" s="12"/>
      <c r="R40" s="112">
        <f t="shared" si="0"/>
        <v>45716495</v>
      </c>
      <c r="S40" s="173"/>
      <c r="T40" s="159"/>
    </row>
    <row r="41" spans="2:20" x14ac:dyDescent="0.55000000000000004">
      <c r="B41" s="12" t="s">
        <v>151</v>
      </c>
      <c r="C41" s="12"/>
      <c r="D41" s="91">
        <v>0</v>
      </c>
      <c r="E41" s="12"/>
      <c r="F41" s="112">
        <v>0</v>
      </c>
      <c r="G41" s="12"/>
      <c r="H41" s="60">
        <v>0</v>
      </c>
      <c r="I41" s="12"/>
      <c r="J41" s="113">
        <v>0</v>
      </c>
      <c r="K41" s="12"/>
      <c r="L41" s="91">
        <v>232900</v>
      </c>
      <c r="M41" s="12"/>
      <c r="N41" s="112">
        <v>462048552</v>
      </c>
      <c r="O41" s="12"/>
      <c r="P41" s="60">
        <v>-459195070</v>
      </c>
      <c r="Q41" s="12"/>
      <c r="R41" s="112">
        <f t="shared" si="0"/>
        <v>2853482</v>
      </c>
      <c r="S41" s="173"/>
      <c r="T41" s="159"/>
    </row>
    <row r="42" spans="2:20" x14ac:dyDescent="0.55000000000000004">
      <c r="B42" s="12" t="s">
        <v>113</v>
      </c>
      <c r="C42" s="12"/>
      <c r="D42" s="91">
        <v>0</v>
      </c>
      <c r="E42" s="12"/>
      <c r="F42" s="112">
        <v>0</v>
      </c>
      <c r="G42" s="12"/>
      <c r="H42" s="60">
        <v>0</v>
      </c>
      <c r="I42" s="12"/>
      <c r="J42" s="113">
        <v>0</v>
      </c>
      <c r="K42" s="12"/>
      <c r="L42" s="91">
        <v>34661723</v>
      </c>
      <c r="M42" s="12"/>
      <c r="N42" s="112">
        <v>174599834043</v>
      </c>
      <c r="O42" s="12"/>
      <c r="P42" s="60">
        <v>-106345592188</v>
      </c>
      <c r="Q42" s="12"/>
      <c r="R42" s="112">
        <f t="shared" si="0"/>
        <v>68254241855</v>
      </c>
      <c r="S42" s="173"/>
      <c r="T42" s="159"/>
    </row>
    <row r="43" spans="2:20" x14ac:dyDescent="0.55000000000000004">
      <c r="B43" s="12" t="s">
        <v>182</v>
      </c>
      <c r="C43" s="12"/>
      <c r="D43" s="91">
        <v>0</v>
      </c>
      <c r="E43" s="12"/>
      <c r="F43" s="112">
        <v>0</v>
      </c>
      <c r="G43" s="12"/>
      <c r="H43" s="60">
        <v>0</v>
      </c>
      <c r="I43" s="12"/>
      <c r="J43" s="113">
        <v>0</v>
      </c>
      <c r="K43" s="12"/>
      <c r="L43" s="91">
        <v>562500</v>
      </c>
      <c r="M43" s="12"/>
      <c r="N43" s="112">
        <v>4920043726</v>
      </c>
      <c r="O43" s="12"/>
      <c r="P43" s="60">
        <v>-4632660562</v>
      </c>
      <c r="Q43" s="12"/>
      <c r="R43" s="112">
        <f t="shared" si="0"/>
        <v>287383164</v>
      </c>
      <c r="S43" s="173"/>
      <c r="T43" s="159"/>
    </row>
    <row r="44" spans="2:20" x14ac:dyDescent="0.55000000000000004">
      <c r="B44" s="12" t="s">
        <v>181</v>
      </c>
      <c r="C44" s="12"/>
      <c r="D44" s="91">
        <v>0</v>
      </c>
      <c r="E44" s="12"/>
      <c r="F44" s="112">
        <v>0</v>
      </c>
      <c r="G44" s="12"/>
      <c r="H44" s="60">
        <v>0</v>
      </c>
      <c r="I44" s="12"/>
      <c r="J44" s="113">
        <v>0</v>
      </c>
      <c r="K44" s="12"/>
      <c r="L44" s="91">
        <v>360000</v>
      </c>
      <c r="M44" s="12"/>
      <c r="N44" s="112">
        <v>5965379884</v>
      </c>
      <c r="O44" s="12"/>
      <c r="P44" s="60">
        <v>-3865090104</v>
      </c>
      <c r="Q44" s="12"/>
      <c r="R44" s="112">
        <f t="shared" si="0"/>
        <v>2100289780</v>
      </c>
      <c r="S44" s="173"/>
      <c r="T44" s="159"/>
    </row>
    <row r="45" spans="2:20" x14ac:dyDescent="0.55000000000000004">
      <c r="B45" s="12" t="s">
        <v>194</v>
      </c>
      <c r="C45" s="12"/>
      <c r="D45" s="91">
        <v>0</v>
      </c>
      <c r="E45" s="12"/>
      <c r="F45" s="112">
        <v>0</v>
      </c>
      <c r="G45" s="12"/>
      <c r="H45" s="60">
        <v>0</v>
      </c>
      <c r="I45" s="12"/>
      <c r="J45" s="113">
        <v>0</v>
      </c>
      <c r="K45" s="12"/>
      <c r="L45" s="91">
        <v>375000</v>
      </c>
      <c r="M45" s="12"/>
      <c r="N45" s="112">
        <v>3727193211</v>
      </c>
      <c r="O45" s="12"/>
      <c r="P45" s="60">
        <v>-3657755287</v>
      </c>
      <c r="Q45" s="12"/>
      <c r="R45" s="112">
        <f t="shared" si="0"/>
        <v>69437924</v>
      </c>
      <c r="S45" s="173"/>
      <c r="T45" s="159"/>
    </row>
    <row r="46" spans="2:20" x14ac:dyDescent="0.55000000000000004">
      <c r="B46" s="12" t="s">
        <v>207</v>
      </c>
      <c r="C46" s="12"/>
      <c r="D46" s="91">
        <v>0</v>
      </c>
      <c r="E46" s="12"/>
      <c r="F46" s="112">
        <v>0</v>
      </c>
      <c r="G46" s="12"/>
      <c r="H46" s="60">
        <v>0</v>
      </c>
      <c r="I46" s="12"/>
      <c r="J46" s="113">
        <v>0</v>
      </c>
      <c r="K46" s="12"/>
      <c r="L46" s="91">
        <v>14241</v>
      </c>
      <c r="M46" s="12"/>
      <c r="N46" s="112">
        <v>15354995</v>
      </c>
      <c r="O46" s="12"/>
      <c r="P46" s="60">
        <v>-7519248</v>
      </c>
      <c r="Q46" s="12"/>
      <c r="R46" s="112">
        <f t="shared" si="0"/>
        <v>7835747</v>
      </c>
      <c r="S46" s="173"/>
      <c r="T46" s="159"/>
    </row>
    <row r="47" spans="2:20" x14ac:dyDescent="0.55000000000000004">
      <c r="B47" s="12" t="s">
        <v>187</v>
      </c>
      <c r="C47" s="12"/>
      <c r="D47" s="91">
        <v>0</v>
      </c>
      <c r="E47" s="12"/>
      <c r="F47" s="112">
        <v>0</v>
      </c>
      <c r="G47" s="12"/>
      <c r="H47" s="60">
        <v>0</v>
      </c>
      <c r="I47" s="12"/>
      <c r="J47" s="113">
        <v>0</v>
      </c>
      <c r="K47" s="12"/>
      <c r="L47" s="91">
        <v>257500</v>
      </c>
      <c r="M47" s="12"/>
      <c r="N47" s="112">
        <v>4270675356</v>
      </c>
      <c r="O47" s="12"/>
      <c r="P47" s="60">
        <v>-3955287447</v>
      </c>
      <c r="Q47" s="12"/>
      <c r="R47" s="112">
        <f t="shared" si="0"/>
        <v>315387909</v>
      </c>
      <c r="S47" s="173"/>
      <c r="T47" s="159"/>
    </row>
    <row r="48" spans="2:20" x14ac:dyDescent="0.55000000000000004">
      <c r="B48" s="12" t="s">
        <v>118</v>
      </c>
      <c r="C48" s="12"/>
      <c r="D48" s="91">
        <v>0</v>
      </c>
      <c r="E48" s="12"/>
      <c r="F48" s="112">
        <v>0</v>
      </c>
      <c r="G48" s="12"/>
      <c r="H48" s="60">
        <v>0</v>
      </c>
      <c r="I48" s="12"/>
      <c r="J48" s="113">
        <v>0</v>
      </c>
      <c r="K48" s="12"/>
      <c r="L48" s="91">
        <v>400000</v>
      </c>
      <c r="M48" s="12"/>
      <c r="N48" s="112">
        <v>10234194759</v>
      </c>
      <c r="O48" s="12"/>
      <c r="P48" s="60">
        <v>-7753991128</v>
      </c>
      <c r="Q48" s="12"/>
      <c r="R48" s="112">
        <f t="shared" si="0"/>
        <v>2480203631</v>
      </c>
      <c r="S48" s="173"/>
      <c r="T48" s="159"/>
    </row>
    <row r="49" spans="2:26" x14ac:dyDescent="0.55000000000000004">
      <c r="B49" s="12" t="s">
        <v>186</v>
      </c>
      <c r="C49" s="12"/>
      <c r="D49" s="91">
        <v>0</v>
      </c>
      <c r="E49" s="12"/>
      <c r="F49" s="112">
        <v>0</v>
      </c>
      <c r="G49" s="12"/>
      <c r="H49" s="60">
        <v>0</v>
      </c>
      <c r="I49" s="12"/>
      <c r="J49" s="113">
        <v>0</v>
      </c>
      <c r="K49" s="12"/>
      <c r="L49" s="91">
        <v>401250</v>
      </c>
      <c r="M49" s="12"/>
      <c r="N49" s="112">
        <v>6021122222</v>
      </c>
      <c r="O49" s="12"/>
      <c r="P49" s="60">
        <v>-5023304858</v>
      </c>
      <c r="Q49" s="12"/>
      <c r="R49" s="112">
        <f t="shared" si="0"/>
        <v>997817364</v>
      </c>
      <c r="S49" s="173"/>
      <c r="T49" s="159"/>
    </row>
    <row r="50" spans="2:26" x14ac:dyDescent="0.55000000000000004">
      <c r="B50" s="12" t="s">
        <v>191</v>
      </c>
      <c r="C50" s="12"/>
      <c r="D50" s="91">
        <v>0</v>
      </c>
      <c r="E50" s="12"/>
      <c r="F50" s="112">
        <v>0</v>
      </c>
      <c r="G50" s="12"/>
      <c r="H50" s="60">
        <v>0</v>
      </c>
      <c r="I50" s="12"/>
      <c r="J50" s="113">
        <v>0</v>
      </c>
      <c r="K50" s="12"/>
      <c r="L50" s="91">
        <v>837500</v>
      </c>
      <c r="M50" s="12"/>
      <c r="N50" s="112">
        <v>3673905921</v>
      </c>
      <c r="O50" s="12"/>
      <c r="P50" s="60">
        <v>-3451251497</v>
      </c>
      <c r="Q50" s="12"/>
      <c r="R50" s="112">
        <f t="shared" si="0"/>
        <v>222654424</v>
      </c>
      <c r="S50" s="173"/>
      <c r="T50" s="159"/>
    </row>
    <row r="51" spans="2:26" x14ac:dyDescent="0.55000000000000004">
      <c r="B51" s="12" t="s">
        <v>200</v>
      </c>
      <c r="C51" s="12"/>
      <c r="D51" s="91">
        <v>0</v>
      </c>
      <c r="E51" s="12"/>
      <c r="F51" s="112">
        <v>0</v>
      </c>
      <c r="G51" s="12"/>
      <c r="H51" s="60">
        <v>0</v>
      </c>
      <c r="I51" s="12"/>
      <c r="J51" s="113">
        <v>0</v>
      </c>
      <c r="K51" s="12"/>
      <c r="L51" s="91">
        <v>750000</v>
      </c>
      <c r="M51" s="12"/>
      <c r="N51" s="112">
        <v>7379283443</v>
      </c>
      <c r="O51" s="12"/>
      <c r="P51" s="60">
        <v>-6556424025</v>
      </c>
      <c r="Q51" s="12"/>
      <c r="R51" s="112">
        <f t="shared" si="0"/>
        <v>822859418</v>
      </c>
      <c r="S51" s="173"/>
      <c r="T51" s="159"/>
    </row>
    <row r="52" spans="2:26" x14ac:dyDescent="0.55000000000000004">
      <c r="B52" s="12" t="s">
        <v>226</v>
      </c>
      <c r="C52" s="12"/>
      <c r="D52" s="91">
        <v>0</v>
      </c>
      <c r="E52" s="12"/>
      <c r="F52" s="112">
        <v>0</v>
      </c>
      <c r="G52" s="12"/>
      <c r="H52" s="60">
        <v>0</v>
      </c>
      <c r="I52" s="12"/>
      <c r="J52" s="113">
        <v>0</v>
      </c>
      <c r="K52" s="12"/>
      <c r="L52" s="91">
        <v>190000000</v>
      </c>
      <c r="M52" s="12"/>
      <c r="N52" s="112">
        <v>647162323018</v>
      </c>
      <c r="O52" s="12"/>
      <c r="P52" s="60">
        <v>-647162323018</v>
      </c>
      <c r="Q52" s="12"/>
      <c r="R52" s="112">
        <f t="shared" si="0"/>
        <v>0</v>
      </c>
      <c r="S52" s="173"/>
      <c r="T52" s="159"/>
    </row>
    <row r="53" spans="2:26" x14ac:dyDescent="0.55000000000000004">
      <c r="B53" s="12" t="s">
        <v>188</v>
      </c>
      <c r="C53" s="12"/>
      <c r="D53" s="91">
        <v>0</v>
      </c>
      <c r="E53" s="12"/>
      <c r="F53" s="112">
        <v>0</v>
      </c>
      <c r="G53" s="12"/>
      <c r="H53" s="60">
        <v>0</v>
      </c>
      <c r="I53" s="12"/>
      <c r="J53" s="113">
        <v>0</v>
      </c>
      <c r="K53" s="12"/>
      <c r="L53" s="91">
        <v>1475169</v>
      </c>
      <c r="M53" s="12"/>
      <c r="N53" s="112">
        <v>16827652536</v>
      </c>
      <c r="O53" s="12"/>
      <c r="P53" s="60">
        <v>-10269781860</v>
      </c>
      <c r="Q53" s="12"/>
      <c r="R53" s="112">
        <f t="shared" si="0"/>
        <v>6557870676</v>
      </c>
      <c r="S53" s="173"/>
      <c r="T53" s="159"/>
      <c r="Z53" s="1" t="s">
        <v>172</v>
      </c>
    </row>
    <row r="54" spans="2:26" ht="23.25" thickBot="1" x14ac:dyDescent="0.6">
      <c r="B54" s="175" t="s">
        <v>204</v>
      </c>
      <c r="C54" s="165"/>
      <c r="D54" s="176">
        <f>SUM(D7:D53)</f>
        <v>2608549538</v>
      </c>
      <c r="E54" s="176"/>
      <c r="F54" s="176">
        <f>SUM(F7:F53)</f>
        <v>4222402190790</v>
      </c>
      <c r="G54" s="176"/>
      <c r="H54" s="176">
        <f>SUM(H7:H53)</f>
        <v>-3342025736200</v>
      </c>
      <c r="I54" s="176"/>
      <c r="J54" s="176">
        <f>SUM(J7:J53)</f>
        <v>880376454590</v>
      </c>
      <c r="K54" s="176"/>
      <c r="L54" s="176">
        <f>SUM(L7:L53)</f>
        <v>3040791581</v>
      </c>
      <c r="M54" s="176"/>
      <c r="N54" s="176">
        <f>SUM(N7:N53)</f>
        <v>6025560350886</v>
      </c>
      <c r="O54" s="176"/>
      <c r="P54" s="176">
        <f>SUM(P7:P53)</f>
        <v>-4952157248851</v>
      </c>
      <c r="Q54" s="176"/>
      <c r="R54" s="176">
        <f>SUM(R7:R53)</f>
        <v>1073403102035</v>
      </c>
      <c r="S54" s="173"/>
      <c r="T54" s="159"/>
    </row>
    <row r="55" spans="2:26" ht="23.25" thickTop="1" x14ac:dyDescent="0.55000000000000004">
      <c r="B55" s="12"/>
      <c r="C55" s="174"/>
      <c r="D55" s="114"/>
      <c r="E55" s="114"/>
      <c r="F55" s="114"/>
      <c r="G55" s="12"/>
      <c r="H55" s="60"/>
      <c r="I55" s="12"/>
      <c r="J55" s="113"/>
      <c r="K55" s="12"/>
      <c r="L55" s="114"/>
      <c r="M55" s="12"/>
      <c r="N55" s="114"/>
      <c r="O55" s="12"/>
      <c r="P55" s="60"/>
      <c r="Q55" s="12"/>
      <c r="R55" s="113"/>
      <c r="S55" s="173"/>
      <c r="T55" s="159"/>
    </row>
    <row r="56" spans="2:26" ht="24" hidden="1" x14ac:dyDescent="0.55000000000000004">
      <c r="B56" s="418" t="s">
        <v>97</v>
      </c>
      <c r="C56" s="418"/>
      <c r="D56" s="418"/>
      <c r="E56" s="418"/>
      <c r="F56" s="418"/>
      <c r="G56" s="418"/>
      <c r="H56" s="418"/>
      <c r="I56" s="418"/>
      <c r="J56" s="418"/>
      <c r="K56" s="420"/>
      <c r="L56" s="420"/>
      <c r="M56" s="420"/>
      <c r="N56" s="420"/>
      <c r="O56" s="420"/>
      <c r="P56" s="420"/>
      <c r="Q56" s="420"/>
      <c r="R56" s="420"/>
      <c r="Z56" s="1" t="s">
        <v>155</v>
      </c>
    </row>
    <row r="57" spans="2:26" ht="24.75" hidden="1" thickBot="1" x14ac:dyDescent="0.6">
      <c r="B57" s="12"/>
      <c r="C57" s="12"/>
      <c r="D57" s="413" t="str">
        <f>D5</f>
        <v>طی تیر ماه</v>
      </c>
      <c r="E57" s="413"/>
      <c r="F57" s="413"/>
      <c r="G57" s="413"/>
      <c r="H57" s="413"/>
      <c r="I57" s="413"/>
      <c r="J57" s="413"/>
      <c r="K57" s="12"/>
      <c r="L57" s="413" t="str">
        <f>L5</f>
        <v>از ابتدای سال مالی تا پایان تیر  ماه</v>
      </c>
      <c r="M57" s="413"/>
      <c r="N57" s="413"/>
      <c r="O57" s="413"/>
      <c r="P57" s="413"/>
      <c r="Q57" s="413"/>
      <c r="R57" s="413"/>
      <c r="Z57" s="1" t="s">
        <v>156</v>
      </c>
    </row>
    <row r="58" spans="2:26" ht="45.75" hidden="1" thickBot="1" x14ac:dyDescent="0.6">
      <c r="B58" s="12" t="s">
        <v>63</v>
      </c>
      <c r="C58" s="12"/>
      <c r="D58" s="110" t="s">
        <v>8</v>
      </c>
      <c r="E58" s="12"/>
      <c r="F58" s="111" t="s">
        <v>76</v>
      </c>
      <c r="G58" s="12"/>
      <c r="H58" s="110" t="s">
        <v>73</v>
      </c>
      <c r="I58" s="12"/>
      <c r="J58" s="111" t="s">
        <v>77</v>
      </c>
      <c r="K58" s="12"/>
      <c r="L58" s="110" t="s">
        <v>8</v>
      </c>
      <c r="M58" s="12"/>
      <c r="N58" s="111" t="s">
        <v>31</v>
      </c>
      <c r="O58" s="12"/>
      <c r="P58" s="110" t="s">
        <v>73</v>
      </c>
      <c r="Q58" s="12"/>
      <c r="R58" s="111" t="s">
        <v>77</v>
      </c>
      <c r="T58" s="159"/>
      <c r="X58" s="1" t="s">
        <v>157</v>
      </c>
    </row>
    <row r="59" spans="2:26" hidden="1" x14ac:dyDescent="0.55000000000000004">
      <c r="B59" s="12" t="s">
        <v>168</v>
      </c>
      <c r="C59" s="174"/>
      <c r="D59" s="114">
        <f>D54</f>
        <v>2608549538</v>
      </c>
      <c r="E59" s="114"/>
      <c r="F59" s="60">
        <f>F54</f>
        <v>4222402190790</v>
      </c>
      <c r="G59" s="60"/>
      <c r="H59" s="60">
        <f>H54</f>
        <v>-3342025736200</v>
      </c>
      <c r="I59" s="60"/>
      <c r="J59" s="60">
        <f>J54</f>
        <v>880376454590</v>
      </c>
      <c r="K59" s="60"/>
      <c r="L59" s="60">
        <f>L54</f>
        <v>3040791581</v>
      </c>
      <c r="M59" s="60"/>
      <c r="N59" s="60">
        <f>N54</f>
        <v>6025560350886</v>
      </c>
      <c r="O59" s="60"/>
      <c r="P59" s="60">
        <f>P54</f>
        <v>-4952157248851</v>
      </c>
      <c r="Q59" s="60"/>
      <c r="R59" s="60">
        <f>R54</f>
        <v>1073403102035</v>
      </c>
      <c r="S59" s="173"/>
      <c r="T59" s="159"/>
    </row>
    <row r="60" spans="2:26" ht="23.25" hidden="1" thickBot="1" x14ac:dyDescent="0.6">
      <c r="B60" s="177" t="s">
        <v>7</v>
      </c>
      <c r="C60" s="177"/>
      <c r="D60" s="126">
        <f>SUM(D59:D59)</f>
        <v>2608549538</v>
      </c>
      <c r="E60" s="178"/>
      <c r="F60" s="126">
        <f>SUM(F59:F59)</f>
        <v>4222402190790</v>
      </c>
      <c r="G60" s="178"/>
      <c r="H60" s="126">
        <f>SUM(H59:H59)</f>
        <v>-3342025736200</v>
      </c>
      <c r="I60" s="178"/>
      <c r="J60" s="126">
        <f>SUM(J59:J59)</f>
        <v>880376454590</v>
      </c>
      <c r="K60" s="178"/>
      <c r="L60" s="126">
        <f>SUM(L59:L59)</f>
        <v>3040791581</v>
      </c>
      <c r="M60" s="178"/>
      <c r="N60" s="126">
        <f>SUM(N59:N59)</f>
        <v>6025560350886</v>
      </c>
      <c r="O60" s="178"/>
      <c r="P60" s="126">
        <f>SUM(P59:P59)</f>
        <v>-4952157248851</v>
      </c>
      <c r="Q60" s="178"/>
      <c r="R60" s="126">
        <f>SUM(R59:R59)</f>
        <v>1073403102035</v>
      </c>
    </row>
    <row r="61" spans="2:26" ht="23.25" hidden="1" thickTop="1" x14ac:dyDescent="0.55000000000000004"/>
    <row r="62" spans="2:26" ht="23.25" hidden="1" thickTop="1" x14ac:dyDescent="0.55000000000000004">
      <c r="B62" s="419"/>
      <c r="C62" s="419"/>
      <c r="D62" s="419"/>
      <c r="E62" s="419"/>
      <c r="F62" s="419"/>
      <c r="G62" s="419"/>
      <c r="H62" s="419"/>
      <c r="I62" s="419"/>
      <c r="J62" s="419"/>
      <c r="K62" s="419"/>
      <c r="L62" s="419"/>
      <c r="M62" s="419"/>
      <c r="N62" s="419"/>
      <c r="O62" s="419"/>
      <c r="P62" s="419"/>
      <c r="Q62" s="419"/>
      <c r="R62" s="419"/>
    </row>
    <row r="64" spans="2:26" x14ac:dyDescent="0.55000000000000004">
      <c r="P64" s="288"/>
    </row>
    <row r="65" spans="5:23" x14ac:dyDescent="0.55000000000000004">
      <c r="O65" s="93"/>
    </row>
    <row r="70" spans="5:23" x14ac:dyDescent="0.55000000000000004">
      <c r="E70" s="93"/>
      <c r="G70" s="93"/>
      <c r="I70" s="93"/>
      <c r="K70" s="93"/>
      <c r="M70" s="93"/>
      <c r="O70" s="93"/>
      <c r="Q70" s="93"/>
    </row>
    <row r="75" spans="5:23" x14ac:dyDescent="0.55000000000000004">
      <c r="V75" s="93"/>
      <c r="W75" s="60"/>
    </row>
    <row r="76" spans="5:23" x14ac:dyDescent="0.55000000000000004">
      <c r="V76" s="93"/>
      <c r="W76" s="60"/>
    </row>
    <row r="77" spans="5:23" x14ac:dyDescent="0.55000000000000004">
      <c r="V77" s="93"/>
      <c r="W77" s="60"/>
    </row>
    <row r="78" spans="5:23" x14ac:dyDescent="0.55000000000000004">
      <c r="V78" s="93"/>
      <c r="W78" s="60"/>
    </row>
    <row r="79" spans="5:23" x14ac:dyDescent="0.55000000000000004">
      <c r="V79" s="93"/>
      <c r="W79" s="60"/>
    </row>
    <row r="80" spans="5:23" x14ac:dyDescent="0.55000000000000004">
      <c r="V80" s="93"/>
      <c r="W80" s="60"/>
    </row>
    <row r="81" spans="22:23" x14ac:dyDescent="0.55000000000000004">
      <c r="V81" s="93"/>
      <c r="W81" s="60"/>
    </row>
    <row r="82" spans="22:23" x14ac:dyDescent="0.55000000000000004">
      <c r="V82" s="93"/>
      <c r="W82" s="60"/>
    </row>
    <row r="83" spans="22:23" x14ac:dyDescent="0.55000000000000004">
      <c r="V83" s="93"/>
      <c r="W83" s="60"/>
    </row>
    <row r="84" spans="22:23" x14ac:dyDescent="0.55000000000000004">
      <c r="V84" s="93"/>
      <c r="W84" s="60"/>
    </row>
    <row r="85" spans="22:23" x14ac:dyDescent="0.55000000000000004">
      <c r="V85" s="93"/>
      <c r="W85" s="60"/>
    </row>
    <row r="86" spans="22:23" x14ac:dyDescent="0.55000000000000004">
      <c r="V86" s="93"/>
      <c r="W86" s="60"/>
    </row>
    <row r="87" spans="22:23" x14ac:dyDescent="0.55000000000000004">
      <c r="V87" s="93"/>
      <c r="W87" s="60"/>
    </row>
    <row r="88" spans="22:23" x14ac:dyDescent="0.55000000000000004">
      <c r="V88" s="93"/>
      <c r="W88" s="60"/>
    </row>
    <row r="89" spans="22:23" x14ac:dyDescent="0.55000000000000004">
      <c r="V89" s="93"/>
      <c r="W89" s="60"/>
    </row>
    <row r="90" spans="22:23" x14ac:dyDescent="0.55000000000000004">
      <c r="V90" s="93"/>
      <c r="W90" s="60"/>
    </row>
    <row r="91" spans="22:23" x14ac:dyDescent="0.55000000000000004">
      <c r="V91" s="93"/>
      <c r="W91" s="60"/>
    </row>
    <row r="92" spans="22:23" x14ac:dyDescent="0.55000000000000004">
      <c r="V92" s="93"/>
      <c r="W92" s="60"/>
    </row>
    <row r="93" spans="22:23" x14ac:dyDescent="0.55000000000000004">
      <c r="V93" s="93"/>
      <c r="W93" s="60"/>
    </row>
    <row r="94" spans="22:23" x14ac:dyDescent="0.55000000000000004">
      <c r="V94" s="93"/>
      <c r="W94" s="60"/>
    </row>
    <row r="95" spans="22:23" x14ac:dyDescent="0.55000000000000004">
      <c r="V95" s="93"/>
      <c r="W95" s="60"/>
    </row>
    <row r="96" spans="22:23" x14ac:dyDescent="0.55000000000000004">
      <c r="V96" s="93"/>
      <c r="W96" s="60"/>
    </row>
    <row r="97" spans="22:23" x14ac:dyDescent="0.55000000000000004">
      <c r="V97" s="93"/>
      <c r="W97" s="60"/>
    </row>
    <row r="98" spans="22:23" x14ac:dyDescent="0.55000000000000004">
      <c r="V98" s="93"/>
      <c r="W98" s="60"/>
    </row>
    <row r="99" spans="22:23" x14ac:dyDescent="0.55000000000000004">
      <c r="V99" s="93"/>
      <c r="W99" s="60"/>
    </row>
    <row r="100" spans="22:23" x14ac:dyDescent="0.55000000000000004">
      <c r="V100" s="93"/>
      <c r="W100" s="60"/>
    </row>
    <row r="117" spans="25:26" x14ac:dyDescent="0.55000000000000004">
      <c r="Y117" s="275"/>
      <c r="Z117" s="275"/>
    </row>
    <row r="118" spans="25:26" x14ac:dyDescent="0.55000000000000004">
      <c r="Y118" s="275"/>
      <c r="Z118" s="275"/>
    </row>
    <row r="119" spans="25:26" x14ac:dyDescent="0.55000000000000004">
      <c r="Y119" s="275"/>
      <c r="Z119" s="275"/>
    </row>
    <row r="120" spans="25:26" x14ac:dyDescent="0.55000000000000004">
      <c r="Y120" s="275"/>
      <c r="Z120" s="275"/>
    </row>
    <row r="121" spans="25:26" x14ac:dyDescent="0.55000000000000004">
      <c r="Y121" s="275"/>
      <c r="Z121" s="275"/>
    </row>
    <row r="122" spans="25:26" x14ac:dyDescent="0.55000000000000004">
      <c r="Y122" s="275"/>
      <c r="Z122" s="275"/>
    </row>
    <row r="123" spans="25:26" x14ac:dyDescent="0.55000000000000004">
      <c r="Y123" s="275"/>
      <c r="Z123" s="275"/>
    </row>
  </sheetData>
  <mergeCells count="12">
    <mergeCell ref="B1:R1"/>
    <mergeCell ref="B2:R2"/>
    <mergeCell ref="B3:R3"/>
    <mergeCell ref="B62:R62"/>
    <mergeCell ref="D5:J5"/>
    <mergeCell ref="L5:R5"/>
    <mergeCell ref="B4:J4"/>
    <mergeCell ref="K4:R4"/>
    <mergeCell ref="B56:J56"/>
    <mergeCell ref="K56:R56"/>
    <mergeCell ref="D57:J57"/>
    <mergeCell ref="L57:R57"/>
  </mergeCells>
  <printOptions horizontalCentered="1"/>
  <pageMargins left="0.7" right="0.7" top="0.75" bottom="0.75" header="0.3" footer="0.3"/>
  <pageSetup paperSize="9" scale="36" orientation="landscape" r:id="rId1"/>
  <headerFooter>
    <oddFooter>&amp;C&amp;P</oddFooter>
  </headerFooter>
  <rowBreaks count="1" manualBreakCount="1">
    <brk id="55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25" t="s">
        <v>105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</row>
    <row r="2" spans="1:20" ht="24" x14ac:dyDescent="0.6">
      <c r="A2" s="425" t="s">
        <v>86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</row>
    <row r="3" spans="1:20" ht="24" x14ac:dyDescent="0.6">
      <c r="A3" s="425" t="str">
        <f>' سهام'!AC6</f>
        <v>برای ماه منتهی به 1405/04/31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</row>
    <row r="4" spans="1:20" ht="24" x14ac:dyDescent="0.55000000000000004">
      <c r="B4" s="426" t="s">
        <v>150</v>
      </c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4"/>
    </row>
    <row r="6" spans="1:20" ht="24.75" thickBot="1" x14ac:dyDescent="0.6">
      <c r="B6" s="36"/>
      <c r="C6" s="424" t="str">
        <f>' سهام'!AC7</f>
        <v>طی تیر ماه</v>
      </c>
      <c r="D6" s="424"/>
      <c r="E6" s="424"/>
      <c r="F6" s="424"/>
      <c r="G6" s="424"/>
      <c r="H6" s="424"/>
      <c r="I6" s="424"/>
      <c r="J6" s="424"/>
      <c r="K6" s="424"/>
      <c r="L6" s="52"/>
      <c r="M6" s="424" t="str">
        <f>' سهام'!AC8</f>
        <v>از ابتدای سال مالی تا پایان تیر  ماه</v>
      </c>
      <c r="N6" s="424"/>
      <c r="O6" s="424"/>
      <c r="P6" s="424"/>
      <c r="Q6" s="424"/>
      <c r="R6" s="424"/>
      <c r="S6" s="424"/>
    </row>
    <row r="7" spans="1:20" ht="20.25" customHeight="1" x14ac:dyDescent="0.55000000000000004">
      <c r="B7" s="421"/>
      <c r="C7" s="423" t="s">
        <v>25</v>
      </c>
      <c r="D7" s="423"/>
      <c r="E7" s="423" t="s">
        <v>22</v>
      </c>
      <c r="F7" s="421"/>
      <c r="G7" s="423" t="s">
        <v>23</v>
      </c>
      <c r="H7" s="422"/>
      <c r="I7" s="423" t="s">
        <v>7</v>
      </c>
      <c r="J7" s="423"/>
      <c r="K7" s="423"/>
      <c r="L7" s="53"/>
      <c r="M7" s="423" t="s">
        <v>25</v>
      </c>
      <c r="N7" s="423"/>
      <c r="O7" s="423" t="s">
        <v>22</v>
      </c>
      <c r="P7" s="421"/>
      <c r="Q7" s="423" t="s">
        <v>23</v>
      </c>
      <c r="R7" s="423" t="s">
        <v>7</v>
      </c>
      <c r="S7" s="423"/>
    </row>
    <row r="8" spans="1:20" ht="30" customHeight="1" x14ac:dyDescent="0.55000000000000004">
      <c r="B8" s="422"/>
      <c r="C8" s="424"/>
      <c r="D8" s="424"/>
      <c r="E8" s="424"/>
      <c r="F8" s="422"/>
      <c r="G8" s="424"/>
      <c r="H8" s="422"/>
      <c r="I8" s="424"/>
      <c r="J8" s="424"/>
      <c r="K8" s="424"/>
      <c r="L8" s="53"/>
      <c r="M8" s="424"/>
      <c r="N8" s="424"/>
      <c r="O8" s="424"/>
      <c r="P8" s="422"/>
      <c r="Q8" s="424"/>
      <c r="R8" s="424"/>
      <c r="S8" s="424"/>
    </row>
    <row r="9" spans="1:20" ht="24.75" thickBot="1" x14ac:dyDescent="0.6">
      <c r="B9" s="422"/>
      <c r="C9" s="56" t="s">
        <v>94</v>
      </c>
      <c r="D9" s="424"/>
      <c r="E9" s="56" t="s">
        <v>91</v>
      </c>
      <c r="F9" s="422"/>
      <c r="G9" s="56" t="s">
        <v>131</v>
      </c>
      <c r="H9" s="422"/>
      <c r="I9" s="51" t="s">
        <v>99</v>
      </c>
      <c r="J9" s="51"/>
      <c r="K9" s="51" t="s">
        <v>100</v>
      </c>
      <c r="L9" s="53"/>
      <c r="M9" s="56" t="s">
        <v>94</v>
      </c>
      <c r="N9" s="424"/>
      <c r="O9" s="56" t="s">
        <v>91</v>
      </c>
      <c r="P9" s="422"/>
      <c r="Q9" s="56" t="s">
        <v>131</v>
      </c>
      <c r="R9" s="51" t="s">
        <v>99</v>
      </c>
      <c r="S9" s="51" t="s">
        <v>100</v>
      </c>
    </row>
    <row r="10" spans="1:20" ht="23.25" thickBot="1" x14ac:dyDescent="0.6">
      <c r="B10" s="68" t="s">
        <v>101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  <mergeCell ref="I7:K8"/>
    <mergeCell ref="H7:H9"/>
    <mergeCell ref="M6:S6"/>
    <mergeCell ref="R7:S8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C82"/>
  <sheetViews>
    <sheetView rightToLeft="1" view="pageBreakPreview" zoomScale="85" zoomScaleNormal="100" zoomScaleSheetLayoutView="85" workbookViewId="0">
      <selection activeCell="D22" sqref="D22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61" t="str">
        <f>'درآمد سود سهام'!B1:T1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</row>
    <row r="2" spans="2:29" ht="24" x14ac:dyDescent="0.6">
      <c r="B2" s="361" t="s">
        <v>86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</row>
    <row r="3" spans="2:29" ht="24" x14ac:dyDescent="0.6">
      <c r="B3" s="361" t="str">
        <f>' سهام'!AC6</f>
        <v>برای ماه منتهی به 1405/04/31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</row>
    <row r="4" spans="2:29" ht="24" x14ac:dyDescent="0.55000000000000004">
      <c r="B4" s="363" t="s">
        <v>93</v>
      </c>
      <c r="C4" s="363"/>
      <c r="D4" s="363"/>
      <c r="E4" s="363"/>
      <c r="F4" s="363"/>
      <c r="G4" s="363"/>
      <c r="H4" s="160"/>
      <c r="L4" s="160"/>
      <c r="AC4" s="1" t="s">
        <v>173</v>
      </c>
    </row>
    <row r="5" spans="2:29" ht="24.75" thickBot="1" x14ac:dyDescent="0.6">
      <c r="B5" s="160"/>
      <c r="C5" s="378"/>
      <c r="D5" s="378"/>
      <c r="E5" s="378"/>
      <c r="G5" s="413" t="s">
        <v>98</v>
      </c>
      <c r="H5" s="413"/>
      <c r="I5" s="413"/>
      <c r="J5" s="413"/>
      <c r="K5" s="413" t="str">
        <f>' سهام'!AC7</f>
        <v>طی تیر ماه</v>
      </c>
      <c r="L5" s="413"/>
      <c r="M5" s="413"/>
      <c r="N5" s="413"/>
      <c r="O5" s="413"/>
      <c r="P5" s="53"/>
      <c r="Q5" s="413" t="str">
        <f>' سهام'!AC8</f>
        <v>از ابتدای سال مالی تا پایان تیر  ماه</v>
      </c>
      <c r="R5" s="413"/>
      <c r="S5" s="413"/>
      <c r="T5" s="413"/>
      <c r="U5" s="413"/>
      <c r="AC5" s="1" t="s">
        <v>177</v>
      </c>
    </row>
    <row r="6" spans="2:29" ht="43.5" customHeight="1" thickBot="1" x14ac:dyDescent="0.6">
      <c r="B6" s="1" t="s">
        <v>63</v>
      </c>
      <c r="C6" s="161" t="s">
        <v>71</v>
      </c>
      <c r="D6" s="161" t="s">
        <v>33</v>
      </c>
      <c r="E6" s="161" t="s">
        <v>60</v>
      </c>
      <c r="F6" s="162"/>
      <c r="G6" s="161" t="s">
        <v>87</v>
      </c>
      <c r="H6" s="162"/>
      <c r="I6" s="161" t="s">
        <v>67</v>
      </c>
      <c r="J6" s="162"/>
      <c r="K6" s="161" t="s">
        <v>87</v>
      </c>
      <c r="L6" s="162"/>
      <c r="M6" s="161" t="s">
        <v>67</v>
      </c>
      <c r="N6" s="162"/>
      <c r="O6" s="161" t="s">
        <v>72</v>
      </c>
      <c r="P6" s="162"/>
      <c r="Q6" s="161" t="s">
        <v>87</v>
      </c>
      <c r="R6" s="162"/>
      <c r="S6" s="161" t="s">
        <v>67</v>
      </c>
      <c r="T6" s="162"/>
      <c r="U6" s="161" t="s">
        <v>72</v>
      </c>
      <c r="AC6" s="1" t="s">
        <v>178</v>
      </c>
    </row>
    <row r="7" spans="2:29" s="12" customFormat="1" ht="23.45" customHeight="1" x14ac:dyDescent="0.55000000000000004">
      <c r="B7" s="163" t="s">
        <v>161</v>
      </c>
      <c r="C7" s="164"/>
      <c r="D7" s="165"/>
      <c r="E7" s="157"/>
      <c r="F7" s="165" t="s">
        <v>130</v>
      </c>
      <c r="G7" s="165"/>
      <c r="H7" s="166">
        <v>0</v>
      </c>
      <c r="I7" s="165"/>
      <c r="J7" s="166">
        <v>176683</v>
      </c>
      <c r="K7" s="157">
        <v>206375</v>
      </c>
      <c r="L7" s="165"/>
      <c r="M7" s="157">
        <v>0</v>
      </c>
      <c r="N7" s="165"/>
      <c r="O7" s="157">
        <v>206375</v>
      </c>
      <c r="P7" s="157"/>
      <c r="Q7" s="166">
        <v>834143</v>
      </c>
      <c r="R7" s="165"/>
      <c r="S7" s="157">
        <v>0</v>
      </c>
      <c r="T7" s="165"/>
      <c r="U7" s="157">
        <v>834143</v>
      </c>
      <c r="AC7" s="12" t="s">
        <v>180</v>
      </c>
    </row>
    <row r="8" spans="2:29" s="12" customFormat="1" ht="23.45" customHeight="1" x14ac:dyDescent="0.55000000000000004">
      <c r="B8" s="163" t="s">
        <v>162</v>
      </c>
      <c r="C8" s="164"/>
      <c r="D8" s="165"/>
      <c r="E8" s="157"/>
      <c r="F8" s="165"/>
      <c r="G8" s="165"/>
      <c r="H8" s="166"/>
      <c r="I8" s="165"/>
      <c r="J8" s="166"/>
      <c r="K8" s="157">
        <v>12467836653</v>
      </c>
      <c r="L8" s="165"/>
      <c r="M8" s="157">
        <v>0</v>
      </c>
      <c r="N8" s="165"/>
      <c r="O8" s="157">
        <v>12467836653</v>
      </c>
      <c r="P8" s="157"/>
      <c r="Q8" s="166">
        <v>33446410899</v>
      </c>
      <c r="R8" s="165"/>
      <c r="S8" s="157">
        <v>0</v>
      </c>
      <c r="T8" s="165"/>
      <c r="U8" s="157">
        <v>33446410899</v>
      </c>
    </row>
    <row r="9" spans="2:29" s="12" customFormat="1" ht="23.45" customHeight="1" x14ac:dyDescent="0.55000000000000004">
      <c r="B9" s="163" t="s">
        <v>183</v>
      </c>
      <c r="C9" s="164"/>
      <c r="D9" s="165"/>
      <c r="E9" s="157"/>
      <c r="F9" s="165"/>
      <c r="G9" s="165"/>
      <c r="H9" s="166"/>
      <c r="I9" s="165"/>
      <c r="J9" s="166"/>
      <c r="K9" s="157">
        <v>0</v>
      </c>
      <c r="L9" s="165"/>
      <c r="M9" s="157">
        <v>0</v>
      </c>
      <c r="N9" s="165"/>
      <c r="O9" s="157">
        <v>0</v>
      </c>
      <c r="P9" s="157"/>
      <c r="Q9" s="166">
        <v>4055</v>
      </c>
      <c r="R9" s="165"/>
      <c r="S9" s="157">
        <v>0</v>
      </c>
      <c r="T9" s="165"/>
      <c r="U9" s="157">
        <v>4055</v>
      </c>
    </row>
    <row r="10" spans="2:29" s="12" customFormat="1" ht="23.45" customHeight="1" x14ac:dyDescent="0.55000000000000004">
      <c r="B10" s="163" t="s">
        <v>199</v>
      </c>
      <c r="C10" s="164"/>
      <c r="D10" s="165"/>
      <c r="E10" s="157"/>
      <c r="F10" s="165" t="s">
        <v>130</v>
      </c>
      <c r="G10" s="165"/>
      <c r="H10" s="166">
        <v>0</v>
      </c>
      <c r="I10" s="165"/>
      <c r="J10" s="166">
        <v>2202729735</v>
      </c>
      <c r="K10" s="157">
        <v>247558</v>
      </c>
      <c r="L10" s="165"/>
      <c r="M10" s="157">
        <v>0</v>
      </c>
      <c r="N10" s="165"/>
      <c r="O10" s="157">
        <v>247558</v>
      </c>
      <c r="P10" s="157"/>
      <c r="Q10" s="166">
        <v>3460862</v>
      </c>
      <c r="R10" s="165"/>
      <c r="S10" s="157">
        <v>0</v>
      </c>
      <c r="T10" s="165"/>
      <c r="U10" s="157">
        <v>3460862</v>
      </c>
      <c r="AC10" s="12" t="s">
        <v>179</v>
      </c>
    </row>
    <row r="11" spans="2:29" ht="23.25" thickBot="1" x14ac:dyDescent="0.6">
      <c r="K11" s="167">
        <f>SUM(K7:K10)</f>
        <v>12468290586</v>
      </c>
      <c r="L11" s="12"/>
      <c r="M11" s="12"/>
      <c r="N11" s="12"/>
      <c r="O11" s="167">
        <f>SUM(O7:O10)</f>
        <v>12468290586</v>
      </c>
      <c r="P11" s="168"/>
      <c r="Q11" s="167">
        <f>SUM(Q7:Q10)</f>
        <v>33450709959</v>
      </c>
      <c r="R11" s="12"/>
      <c r="S11" s="12"/>
      <c r="T11" s="12"/>
      <c r="U11" s="167">
        <f>SUM(U7:U10)</f>
        <v>33450709959</v>
      </c>
    </row>
    <row r="12" spans="2:29" ht="23.25" thickTop="1" x14ac:dyDescent="0.55000000000000004">
      <c r="K12" s="169"/>
      <c r="M12" s="170"/>
    </row>
    <row r="13" spans="2:29" x14ac:dyDescent="0.55000000000000004">
      <c r="O13" s="159"/>
      <c r="Q13" s="159"/>
      <c r="U13" s="159"/>
    </row>
    <row r="14" spans="2:29" x14ac:dyDescent="0.55000000000000004">
      <c r="K14" s="159"/>
      <c r="O14" s="159"/>
      <c r="Q14" s="159"/>
      <c r="U14" s="159"/>
    </row>
    <row r="15" spans="2:29" x14ac:dyDescent="0.55000000000000004">
      <c r="K15" s="159"/>
      <c r="O15" s="171"/>
      <c r="U15" s="159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5"/>
      <c r="Z76" s="275"/>
    </row>
    <row r="77" spans="18:26" x14ac:dyDescent="0.55000000000000004">
      <c r="Y77" s="275"/>
      <c r="Z77" s="275"/>
    </row>
    <row r="78" spans="18:26" x14ac:dyDescent="0.55000000000000004">
      <c r="Y78" s="275"/>
      <c r="Z78" s="275"/>
    </row>
    <row r="79" spans="18:26" x14ac:dyDescent="0.55000000000000004">
      <c r="Y79" s="275"/>
      <c r="Z79" s="275"/>
    </row>
    <row r="80" spans="18:26" x14ac:dyDescent="0.55000000000000004">
      <c r="Y80" s="275"/>
      <c r="Z80" s="275"/>
    </row>
    <row r="81" spans="25:26" x14ac:dyDescent="0.55000000000000004">
      <c r="Y81" s="275"/>
      <c r="Z81" s="275"/>
    </row>
    <row r="82" spans="25:26" x14ac:dyDescent="0.55000000000000004">
      <c r="Y82" s="275"/>
      <c r="Z82" s="275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Z82"/>
  <sheetViews>
    <sheetView rightToLeft="1" view="pageBreakPreview" zoomScale="85" zoomScaleNormal="100" zoomScaleSheetLayoutView="85" workbookViewId="0">
      <selection activeCell="D22" sqref="D22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5703125" style="1" customWidth="1"/>
    <col min="8" max="8" width="22.42578125" style="1" customWidth="1"/>
    <col min="9" max="9" width="0.7109375" style="1" customWidth="1"/>
    <col min="10" max="10" width="26.140625" style="1" bestFit="1" customWidth="1"/>
    <col min="11" max="11" width="0.7109375" style="1" customWidth="1"/>
    <col min="12" max="12" width="23.7109375" style="1" bestFit="1" customWidth="1"/>
    <col min="13" max="13" width="0.7109375" style="1" customWidth="1"/>
    <col min="14" max="16384" width="9.140625" style="1"/>
  </cols>
  <sheetData>
    <row r="1" spans="2:14" ht="24" x14ac:dyDescent="0.6">
      <c r="B1" s="361" t="str">
        <f>'سود اوراق بهادار و سپرده بانکی'!B1:U1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</row>
    <row r="2" spans="2:14" ht="24" x14ac:dyDescent="0.6">
      <c r="B2" s="361" t="s">
        <v>86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</row>
    <row r="3" spans="2:14" ht="24" x14ac:dyDescent="0.6">
      <c r="B3" s="361" t="str">
        <f>' سهام'!B3:Z3</f>
        <v>برای ماه منتهی به 1405/04/31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</row>
    <row r="4" spans="2:14" ht="24" x14ac:dyDescent="0.55000000000000004">
      <c r="B4" s="363" t="s">
        <v>145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427" t="s">
        <v>28</v>
      </c>
      <c r="C6" s="427"/>
      <c r="D6" s="427"/>
      <c r="E6" s="52"/>
      <c r="F6" s="428" t="str">
        <f>' سهام'!AC7</f>
        <v>طی تیر ماه</v>
      </c>
      <c r="G6" s="428"/>
      <c r="H6" s="428"/>
      <c r="I6" s="428"/>
      <c r="J6" s="427" t="str">
        <f>' سهام'!AC8</f>
        <v>از ابتدای سال مالی تا پایان تیر  ماه</v>
      </c>
      <c r="K6" s="427"/>
      <c r="L6" s="427"/>
      <c r="M6" s="427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3"/>
      <c r="H7" s="423" t="s">
        <v>218</v>
      </c>
      <c r="I7" s="52"/>
      <c r="J7" s="53" t="s">
        <v>27</v>
      </c>
      <c r="K7" s="52"/>
      <c r="L7" s="423" t="s">
        <v>218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94</v>
      </c>
      <c r="G8" s="317"/>
      <c r="H8" s="413"/>
      <c r="I8" s="52"/>
      <c r="J8" s="109" t="s">
        <v>94</v>
      </c>
      <c r="K8" s="52"/>
      <c r="L8" s="413"/>
      <c r="M8" s="52"/>
      <c r="N8" s="52"/>
    </row>
    <row r="9" spans="2:14" ht="29.25" customHeight="1" x14ac:dyDescent="0.55000000000000004">
      <c r="B9" s="38" t="s">
        <v>161</v>
      </c>
      <c r="C9" s="38"/>
      <c r="D9" s="42"/>
      <c r="E9" s="42"/>
      <c r="F9" s="33">
        <v>206375</v>
      </c>
      <c r="G9" s="33"/>
      <c r="H9" s="318">
        <f>F9/L18</f>
        <v>9.3955323233185898E-7</v>
      </c>
      <c r="I9" s="42"/>
      <c r="J9" s="33">
        <v>834143</v>
      </c>
      <c r="K9" s="42"/>
      <c r="L9" s="319">
        <f>J9/L18</f>
        <v>3.7975614869872505E-6</v>
      </c>
      <c r="M9" s="42"/>
      <c r="N9" s="52"/>
    </row>
    <row r="10" spans="2:14" ht="29.25" customHeight="1" x14ac:dyDescent="0.55000000000000004">
      <c r="B10" s="38" t="s">
        <v>162</v>
      </c>
      <c r="C10" s="38"/>
      <c r="D10" s="42"/>
      <c r="E10" s="42"/>
      <c r="F10" s="33">
        <v>12467836653</v>
      </c>
      <c r="G10" s="33"/>
      <c r="H10" s="318">
        <f>F10/L18</f>
        <v>5.676170188982084E-2</v>
      </c>
      <c r="I10" s="42"/>
      <c r="J10" s="33">
        <v>33446410899</v>
      </c>
      <c r="K10" s="42"/>
      <c r="L10" s="319">
        <f>J10/L18</f>
        <v>0.15226981693545713</v>
      </c>
      <c r="M10" s="42"/>
      <c r="N10" s="52"/>
    </row>
    <row r="11" spans="2:14" ht="29.25" customHeight="1" x14ac:dyDescent="0.55000000000000004">
      <c r="B11" s="38" t="s">
        <v>183</v>
      </c>
      <c r="C11" s="38"/>
      <c r="D11" s="42"/>
      <c r="E11" s="42"/>
      <c r="F11" s="33">
        <v>0</v>
      </c>
      <c r="G11" s="33"/>
      <c r="H11" s="318">
        <f>F11/L18</f>
        <v>0</v>
      </c>
      <c r="I11" s="42"/>
      <c r="J11" s="33">
        <v>4055</v>
      </c>
      <c r="K11" s="42"/>
      <c r="L11" s="319">
        <f>J11/L18</f>
        <v>1.8460997490518174E-8</v>
      </c>
      <c r="M11" s="42"/>
      <c r="N11" s="52"/>
    </row>
    <row r="12" spans="2:14" ht="29.25" customHeight="1" thickBot="1" x14ac:dyDescent="0.6">
      <c r="B12" s="38" t="s">
        <v>199</v>
      </c>
      <c r="C12" s="38"/>
      <c r="D12" s="42"/>
      <c r="E12" s="42"/>
      <c r="F12" s="33">
        <v>247558</v>
      </c>
      <c r="G12" s="33"/>
      <c r="H12" s="318">
        <f>F12/L18</f>
        <v>1.1270450349587418E-6</v>
      </c>
      <c r="I12" s="42"/>
      <c r="J12" s="33">
        <v>3460862</v>
      </c>
      <c r="K12" s="42"/>
      <c r="L12" s="319">
        <f>J12/L18</f>
        <v>1.575609486979771E-5</v>
      </c>
      <c r="M12" s="42"/>
      <c r="N12" s="52"/>
    </row>
    <row r="13" spans="2:14" ht="23.25" thickBot="1" x14ac:dyDescent="0.6">
      <c r="B13" s="38" t="s">
        <v>7</v>
      </c>
      <c r="C13" s="52"/>
      <c r="E13" s="42"/>
      <c r="F13" s="35">
        <f>SUM(F9:F12)</f>
        <v>12468290586</v>
      </c>
      <c r="G13" s="33"/>
      <c r="H13" s="315">
        <f>SUM(H9:H12)</f>
        <v>5.6763768488088132E-2</v>
      </c>
      <c r="I13" s="89"/>
      <c r="J13" s="35">
        <f>SUM(J9:J12)</f>
        <v>33450709959</v>
      </c>
      <c r="K13" s="52"/>
      <c r="L13" s="315">
        <f>SUM(L9:L12)</f>
        <v>0.15228938905281139</v>
      </c>
      <c r="M13" s="52"/>
      <c r="N13" s="52"/>
    </row>
    <row r="14" spans="2:14" ht="23.25" thickTop="1" x14ac:dyDescent="0.55000000000000004"/>
    <row r="15" spans="2:14" x14ac:dyDescent="0.55000000000000004">
      <c r="F15" s="13"/>
      <c r="G15" s="13"/>
      <c r="H15" s="13"/>
      <c r="J15" s="159"/>
      <c r="L15" s="159"/>
    </row>
    <row r="16" spans="2:14" ht="19.5" customHeight="1" x14ac:dyDescent="0.55000000000000004">
      <c r="F16" s="108"/>
      <c r="G16" s="108"/>
      <c r="H16" s="108"/>
      <c r="I16" s="257"/>
      <c r="J16" s="159"/>
    </row>
    <row r="17" spans="6:12" x14ac:dyDescent="0.55000000000000004">
      <c r="F17" s="258"/>
      <c r="G17" s="258"/>
      <c r="H17" s="258"/>
      <c r="I17" s="257"/>
      <c r="J17" s="259"/>
      <c r="L17" s="93"/>
    </row>
    <row r="18" spans="6:12" ht="23.25" customHeight="1" x14ac:dyDescent="0.55000000000000004">
      <c r="F18" s="258"/>
      <c r="G18" s="258"/>
      <c r="H18" s="258"/>
      <c r="J18" s="327">
        <v>6809220361173</v>
      </c>
      <c r="K18" s="325"/>
      <c r="L18" s="328">
        <f>J18/31</f>
        <v>219652269715.25806</v>
      </c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5"/>
      <c r="Z76" s="275"/>
    </row>
    <row r="77" spans="18:26" x14ac:dyDescent="0.55000000000000004">
      <c r="Y77" s="275"/>
      <c r="Z77" s="275"/>
    </row>
    <row r="78" spans="18:26" x14ac:dyDescent="0.55000000000000004">
      <c r="Y78" s="275"/>
      <c r="Z78" s="275"/>
    </row>
    <row r="79" spans="18:26" x14ac:dyDescent="0.55000000000000004">
      <c r="Y79" s="275"/>
      <c r="Z79" s="275"/>
    </row>
    <row r="80" spans="18:26" x14ac:dyDescent="0.55000000000000004">
      <c r="Y80" s="275"/>
      <c r="Z80" s="275"/>
    </row>
    <row r="81" spans="25:26" x14ac:dyDescent="0.55000000000000004">
      <c r="Y81" s="275"/>
      <c r="Z81" s="275"/>
    </row>
    <row r="82" spans="25:26" x14ac:dyDescent="0.55000000000000004">
      <c r="Y82" s="275"/>
      <c r="Z82" s="275"/>
    </row>
  </sheetData>
  <mergeCells count="9">
    <mergeCell ref="B1:M1"/>
    <mergeCell ref="B2:M2"/>
    <mergeCell ref="B3:M3"/>
    <mergeCell ref="L7:L8"/>
    <mergeCell ref="B6:D6"/>
    <mergeCell ref="F6:I6"/>
    <mergeCell ref="B4:M4"/>
    <mergeCell ref="J6:M6"/>
    <mergeCell ref="H7:H8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82"/>
  <sheetViews>
    <sheetView rightToLeft="1" view="pageBreakPreview" zoomScale="85" zoomScaleNormal="100" zoomScaleSheetLayoutView="85" workbookViewId="0">
      <selection activeCell="D22" sqref="D22"/>
    </sheetView>
  </sheetViews>
  <sheetFormatPr defaultColWidth="8.85546875" defaultRowHeight="24.75" x14ac:dyDescent="0.6"/>
  <cols>
    <col min="1" max="1" width="8.85546875" style="229"/>
    <col min="2" max="2" width="29.140625" style="229" customWidth="1"/>
    <col min="3" max="3" width="0.7109375" style="229" customWidth="1"/>
    <col min="4" max="4" width="20.7109375" style="229" bestFit="1" customWidth="1"/>
    <col min="5" max="5" width="0.42578125" style="229" customWidth="1"/>
    <col min="6" max="6" width="21.42578125" style="229" customWidth="1"/>
    <col min="7" max="16384" width="8.85546875" style="1"/>
  </cols>
  <sheetData>
    <row r="1" spans="2:12" ht="26.25" x14ac:dyDescent="0.65">
      <c r="B1" s="429" t="str">
        <f>'درآمد سپرده بانکی'!B1:M1</f>
        <v>صندوق سرمایه گذاری شاخص سی شرکت بزرگ فیروزه</v>
      </c>
      <c r="C1" s="429"/>
      <c r="D1" s="429"/>
      <c r="E1" s="429"/>
      <c r="F1" s="429"/>
    </row>
    <row r="2" spans="2:12" ht="26.25" x14ac:dyDescent="0.65">
      <c r="B2" s="429" t="s">
        <v>86</v>
      </c>
      <c r="C2" s="429"/>
      <c r="D2" s="429"/>
      <c r="E2" s="429"/>
      <c r="F2" s="429"/>
    </row>
    <row r="3" spans="2:12" ht="26.25" x14ac:dyDescent="0.65">
      <c r="B3" s="429" t="str">
        <f>' سهام'!AC6</f>
        <v>برای ماه منتهی به 1405/04/31</v>
      </c>
      <c r="C3" s="429"/>
      <c r="D3" s="429"/>
      <c r="E3" s="429"/>
      <c r="F3" s="429"/>
    </row>
    <row r="4" spans="2:12" ht="26.25" x14ac:dyDescent="0.6">
      <c r="B4" s="430" t="s">
        <v>39</v>
      </c>
      <c r="C4" s="430"/>
      <c r="D4" s="430"/>
      <c r="E4" s="430"/>
      <c r="F4" s="430"/>
    </row>
    <row r="5" spans="2:12" ht="79.5" thickBot="1" x14ac:dyDescent="0.65">
      <c r="B5" s="230"/>
      <c r="C5" s="231"/>
      <c r="D5" s="202" t="str">
        <f>' سهام'!AC7</f>
        <v>طی تیر ماه</v>
      </c>
      <c r="E5" s="232"/>
      <c r="F5" s="202" t="str">
        <f>' سهام'!AC8</f>
        <v>از ابتدای سال مالی تا پایان تیر  ماه</v>
      </c>
    </row>
    <row r="6" spans="2:12" x14ac:dyDescent="0.6">
      <c r="B6" s="233" t="s">
        <v>40</v>
      </c>
      <c r="C6" s="232"/>
      <c r="D6" s="190">
        <v>-11178</v>
      </c>
      <c r="E6" s="190"/>
      <c r="F6" s="190">
        <v>2383197</v>
      </c>
    </row>
    <row r="7" spans="2:12" x14ac:dyDescent="0.6">
      <c r="B7" s="234" t="s">
        <v>147</v>
      </c>
      <c r="C7" s="232"/>
      <c r="D7" s="190">
        <v>6203755572</v>
      </c>
      <c r="E7" s="190"/>
      <c r="F7" s="190">
        <v>15750053493</v>
      </c>
    </row>
    <row r="8" spans="2:12" ht="25.5" thickBot="1" x14ac:dyDescent="0.65">
      <c r="B8" s="235"/>
      <c r="C8" s="232"/>
      <c r="D8" s="236">
        <f>SUM(D6:D7)</f>
        <v>6203744394</v>
      </c>
      <c r="E8" s="248"/>
      <c r="F8" s="236">
        <f>SUM(F6:F7)</f>
        <v>15752436690</v>
      </c>
    </row>
    <row r="9" spans="2:12" ht="25.5" thickTop="1" x14ac:dyDescent="0.6"/>
    <row r="10" spans="2:12" x14ac:dyDescent="0.6">
      <c r="D10" s="260"/>
      <c r="F10" s="190"/>
    </row>
    <row r="11" spans="2:12" x14ac:dyDescent="0.6">
      <c r="D11" s="237"/>
      <c r="E11" s="237"/>
      <c r="F11" s="237"/>
    </row>
    <row r="12" spans="2:12" x14ac:dyDescent="0.6">
      <c r="D12" s="264"/>
    </row>
    <row r="15" spans="2:12" x14ac:dyDescent="0.6">
      <c r="L15" s="108"/>
    </row>
    <row r="57" spans="18:18" ht="27.75" x14ac:dyDescent="0.6">
      <c r="R57" s="146">
        <v>1783</v>
      </c>
    </row>
    <row r="74" spans="18:26" ht="27.75" x14ac:dyDescent="0.6">
      <c r="R74" s="146">
        <v>2083</v>
      </c>
    </row>
    <row r="76" spans="18:26" x14ac:dyDescent="0.6">
      <c r="Y76" s="275"/>
      <c r="Z76" s="275"/>
    </row>
    <row r="77" spans="18:26" x14ac:dyDescent="0.6">
      <c r="Y77" s="275"/>
      <c r="Z77" s="275"/>
    </row>
    <row r="78" spans="18:26" x14ac:dyDescent="0.6">
      <c r="Y78" s="275"/>
      <c r="Z78" s="275"/>
    </row>
    <row r="79" spans="18:26" x14ac:dyDescent="0.6">
      <c r="Y79" s="275"/>
      <c r="Z79" s="275"/>
    </row>
    <row r="80" spans="18:26" x14ac:dyDescent="0.6">
      <c r="Y80" s="275"/>
      <c r="Z80" s="275"/>
    </row>
    <row r="81" spans="25:26" x14ac:dyDescent="0.6">
      <c r="Y81" s="275"/>
      <c r="Z81" s="275"/>
    </row>
    <row r="82" spans="25:26" x14ac:dyDescent="0.6">
      <c r="Y82" s="275"/>
      <c r="Z82" s="275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تعدیل قیمت 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'تعدیل قیمت 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2026-08-01T11:37:20Z</cp:lastPrinted>
  <dcterms:created xsi:type="dcterms:W3CDTF">2017-11-22T14:26:20Z</dcterms:created>
  <dcterms:modified xsi:type="dcterms:W3CDTF">2026-08-01T11:37:37Z</dcterms:modified>
</cp:coreProperties>
</file>