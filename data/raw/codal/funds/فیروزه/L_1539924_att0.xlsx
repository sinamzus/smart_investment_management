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92.168.207.185\Sabadgardan\1-Investment Funds\Firouzeh 30\4- گزارش پرتفو ماهانه\1405\اردیبهشت\"/>
    </mc:Choice>
  </mc:AlternateContent>
  <xr:revisionPtr revIDLastSave="0" documentId="13_ncr:1_{0B638A5B-3965-4857-9C65-8AB2796DC2C0}" xr6:coauthVersionLast="47" xr6:coauthVersionMax="47" xr10:uidLastSave="{00000000-0000-0000-0000-000000000000}"/>
  <bookViews>
    <workbookView xWindow="28680" yWindow="540" windowWidth="29040" windowHeight="15720" tabRatio="778" activeTab="7" xr2:uid="{00000000-000D-0000-FFFF-FFFF00000000}"/>
  </bookViews>
  <sheets>
    <sheet name=" سهام" sheetId="1" r:id="rId1"/>
    <sheet name="اوراق تبعی" sheetId="9" state="hidden" r:id="rId2"/>
    <sheet name="تعدیل قیمت" sheetId="4" state="hidden" r:id="rId3"/>
    <sheet name="گواهی سپرده" sheetId="10" state="hidden" r:id="rId4"/>
    <sheet name="اوراق" sheetId="3" state="hidden" r:id="rId5"/>
    <sheet name="سپرده" sheetId="2" r:id="rId6"/>
    <sheet name="درآمدها" sheetId="11" r:id="rId7"/>
    <sheet name="تعدیل قیمت " sheetId="18" r:id="rId8"/>
    <sheet name="درآمد سرمایه گذاری در سهام " sheetId="5" r:id="rId9"/>
    <sheet name="درآمد سود سهام" sheetId="12" r:id="rId10"/>
    <sheet name="درآمد ناشی از تغییر قیمت اوراق " sheetId="14" r:id="rId11"/>
    <sheet name="درآمد ناشی ازفروش" sheetId="15" r:id="rId12"/>
    <sheet name="درآمد سرمایه گذاری در اوراق بها" sheetId="6" state="hidden" r:id="rId13"/>
    <sheet name="سود اوراق بهادار و سپرده بانکی" sheetId="13" r:id="rId14"/>
    <sheet name="درآمد سپرده بانکی" sheetId="7" r:id="rId15"/>
    <sheet name="Sheet1" sheetId="16" state="hidden" r:id="rId16"/>
    <sheet name="سایر درآمدها" sheetId="8" r:id="rId17"/>
  </sheets>
  <definedNames>
    <definedName name="_xlnm._FilterDatabase" localSheetId="8" hidden="1">'درآمد سرمایه گذاری در سهام '!#REF!</definedName>
    <definedName name="_xlnm._FilterDatabase" localSheetId="9" hidden="1">'درآمد سود سهام'!$V$6:$W$6</definedName>
    <definedName name="_xlnm._FilterDatabase" localSheetId="10" hidden="1">'درآمد ناشی از تغییر قیمت اوراق '!$B$6:$Z$73</definedName>
    <definedName name="_xlnm.Print_Area" localSheetId="0">' سهام'!$A$1:$Z$74</definedName>
    <definedName name="_xlnm.Print_Area" localSheetId="4">اوراق!$A$1:$AM$11</definedName>
    <definedName name="_xlnm.Print_Area" localSheetId="1">'اوراق تبعی'!$A$1:$R$10</definedName>
    <definedName name="_xlnm.Print_Area" localSheetId="2">'تعدیل قیمت'!$A$1:$P$11</definedName>
    <definedName name="_xlnm.Print_Area" localSheetId="7">'تعدیل قیمت '!$A$1:$N$25</definedName>
    <definedName name="_xlnm.Print_Area" localSheetId="14">'درآمد سپرده بانکی'!$A$1:$M$14</definedName>
    <definedName name="_xlnm.Print_Area" localSheetId="12">'درآمد سرمایه گذاری در اوراق بها'!$A$1:$S$12</definedName>
    <definedName name="_xlnm.Print_Area" localSheetId="8">'درآمد سرمایه گذاری در سهام '!$A$1:$V$98</definedName>
    <definedName name="_xlnm.Print_Area" localSheetId="9">'درآمد سود سهام'!$A$1:$U$12</definedName>
    <definedName name="_xlnm.Print_Area" localSheetId="10">'درآمد ناشی از تغییر قیمت اوراق '!$A$1:$R$72</definedName>
    <definedName name="_xlnm.Print_Area" localSheetId="11">'درآمد ناشی ازفروش'!$A$1:$R$22</definedName>
    <definedName name="_xlnm.Print_Area" localSheetId="6">درآمدها!$A$1:$J$11</definedName>
    <definedName name="_xlnm.Print_Area" localSheetId="16">'سایر درآمدها'!$A$1:$F$9</definedName>
    <definedName name="_xlnm.Print_Area" localSheetId="5">سپرده!$A$1:$R$17</definedName>
    <definedName name="_xlnm.Print_Area" localSheetId="13">'سود اوراق بهادار و سپرده بانکی'!$A$1:$U$12</definedName>
    <definedName name="_xlnm.Print_Area" localSheetId="3">'گواهی سپرده'!$A$1:$AC$12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8" l="1"/>
  <c r="F24" i="18"/>
  <c r="L18" i="7"/>
  <c r="L24" i="18"/>
  <c r="D24" i="18"/>
  <c r="L10" i="7"/>
  <c r="H11" i="7" l="1"/>
  <c r="L9" i="7"/>
  <c r="H12" i="7"/>
  <c r="L11" i="7"/>
  <c r="L12" i="7"/>
  <c r="H9" i="7"/>
  <c r="H10" i="7"/>
  <c r="B7" i="18"/>
  <c r="B3" i="18"/>
  <c r="R14" i="15"/>
  <c r="R8" i="15"/>
  <c r="R9" i="15"/>
  <c r="R10" i="15"/>
  <c r="R11" i="15"/>
  <c r="R12" i="15"/>
  <c r="R13" i="15"/>
  <c r="R15" i="15"/>
  <c r="R7" i="15"/>
  <c r="L16" i="15"/>
  <c r="N16" i="15"/>
  <c r="P16" i="15"/>
  <c r="N8" i="12"/>
  <c r="N9" i="12"/>
  <c r="N10" i="12"/>
  <c r="N7" i="12"/>
  <c r="N11" i="12"/>
  <c r="F11" i="12"/>
  <c r="J11" i="12"/>
  <c r="L11" i="12"/>
  <c r="P11" i="12"/>
  <c r="R11" i="12"/>
  <c r="L13" i="7" l="1"/>
  <c r="H13" i="7"/>
  <c r="R16" i="15"/>
  <c r="P49" i="1" l="1"/>
  <c r="P56" i="1" s="1"/>
  <c r="P74" i="1" s="1"/>
  <c r="N49" i="1"/>
  <c r="N56" i="1" s="1"/>
  <c r="N74" i="1" s="1"/>
  <c r="R8" i="14"/>
  <c r="R38" i="14" s="1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J67" i="14"/>
  <c r="J68" i="14"/>
  <c r="J69" i="14"/>
  <c r="R67" i="14"/>
  <c r="R68" i="14"/>
  <c r="R69" i="14"/>
  <c r="T7" i="12"/>
  <c r="T8" i="12"/>
  <c r="T9" i="12"/>
  <c r="J73" i="5"/>
  <c r="L73" i="5" s="1"/>
  <c r="J74" i="5"/>
  <c r="L74" i="5" s="1"/>
  <c r="T73" i="5"/>
  <c r="T74" i="5"/>
  <c r="Z71" i="1"/>
  <c r="Z72" i="1"/>
  <c r="R65" i="14"/>
  <c r="R66" i="14"/>
  <c r="R45" i="14"/>
  <c r="R46" i="14"/>
  <c r="R47" i="14"/>
  <c r="R48" i="14"/>
  <c r="R49" i="14"/>
  <c r="R50" i="14"/>
  <c r="R51" i="14"/>
  <c r="R52" i="14"/>
  <c r="R53" i="14"/>
  <c r="R54" i="14"/>
  <c r="R55" i="14"/>
  <c r="R56" i="14"/>
  <c r="R57" i="14"/>
  <c r="R58" i="14"/>
  <c r="R59" i="14"/>
  <c r="R60" i="14"/>
  <c r="R61" i="14"/>
  <c r="R62" i="14"/>
  <c r="R63" i="14"/>
  <c r="R64" i="14"/>
  <c r="R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44" i="14"/>
  <c r="R7" i="14"/>
  <c r="J23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7" i="14"/>
  <c r="Z70" i="1"/>
  <c r="I74" i="1" l="1"/>
  <c r="Z67" i="1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5" i="5"/>
  <c r="T76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5" i="5"/>
  <c r="J76" i="5"/>
  <c r="Z14" i="1"/>
  <c r="D45" i="5"/>
  <c r="T10" i="12"/>
  <c r="T11" i="12" s="1"/>
  <c r="U9" i="13"/>
  <c r="F38" i="14" l="1"/>
  <c r="F43" i="14" s="1"/>
  <c r="D38" i="14"/>
  <c r="D43" i="14" s="1"/>
  <c r="J16" i="2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X41" i="5" s="1"/>
  <c r="J42" i="5"/>
  <c r="L42" i="5" s="1"/>
  <c r="J43" i="5"/>
  <c r="L43" i="5" s="1"/>
  <c r="J44" i="5"/>
  <c r="L44" i="5" s="1"/>
  <c r="R14" i="2"/>
  <c r="N45" i="5"/>
  <c r="R15" i="2"/>
  <c r="R13" i="2"/>
  <c r="E49" i="1"/>
  <c r="Z73" i="1"/>
  <c r="Z9" i="1"/>
  <c r="X49" i="1"/>
  <c r="X56" i="1" s="1"/>
  <c r="X74" i="1" s="1"/>
  <c r="V49" i="1"/>
  <c r="V56" i="1" s="1"/>
  <c r="V74" i="1" s="1"/>
  <c r="T49" i="1"/>
  <c r="T56" i="1" s="1"/>
  <c r="T74" i="1" s="1"/>
  <c r="R49" i="1"/>
  <c r="R56" i="1" s="1"/>
  <c r="R74" i="1" s="1"/>
  <c r="L49" i="1"/>
  <c r="L56" i="1" s="1"/>
  <c r="L74" i="1" s="1"/>
  <c r="J49" i="1"/>
  <c r="J56" i="1" s="1"/>
  <c r="J74" i="1" s="1"/>
  <c r="H49" i="1"/>
  <c r="H56" i="1" s="1"/>
  <c r="H74" i="1" s="1"/>
  <c r="F49" i="1"/>
  <c r="F56" i="1" s="1"/>
  <c r="F74" i="1" s="1"/>
  <c r="D49" i="1"/>
  <c r="D56" i="1" s="1"/>
  <c r="D74" i="1" s="1"/>
  <c r="Y49" i="1"/>
  <c r="W49" i="1"/>
  <c r="U49" i="1"/>
  <c r="S49" i="1"/>
  <c r="Q49" i="1"/>
  <c r="O49" i="1"/>
  <c r="M49" i="1"/>
  <c r="K49" i="1"/>
  <c r="G49" i="1"/>
  <c r="F13" i="7" l="1"/>
  <c r="J38" i="14" l="1"/>
  <c r="N53" i="5"/>
  <c r="N77" i="5" s="1"/>
  <c r="N85" i="5" l="1"/>
  <c r="N86" i="5" s="1"/>
  <c r="J43" i="14"/>
  <c r="J70" i="14" s="1"/>
  <c r="C95" i="5"/>
  <c r="U7" i="13"/>
  <c r="U8" i="13"/>
  <c r="R11" i="2"/>
  <c r="R12" i="2"/>
  <c r="D8" i="8"/>
  <c r="R21" i="15" l="1"/>
  <c r="R22" i="15" s="1"/>
  <c r="J11" i="5"/>
  <c r="L11" i="5" s="1"/>
  <c r="L45" i="5" s="1"/>
  <c r="D53" i="5"/>
  <c r="D77" i="5" s="1"/>
  <c r="Z68" i="1"/>
  <c r="Z69" i="1"/>
  <c r="A2" i="11"/>
  <c r="B3" i="14"/>
  <c r="H38" i="14"/>
  <c r="R45" i="5"/>
  <c r="R53" i="5" s="1"/>
  <c r="R77" i="5" s="1"/>
  <c r="P45" i="5"/>
  <c r="H45" i="5"/>
  <c r="F45" i="5"/>
  <c r="R9" i="2"/>
  <c r="R10" i="2"/>
  <c r="Z64" i="1"/>
  <c r="Z65" i="1"/>
  <c r="Z66" i="1"/>
  <c r="R85" i="5" l="1"/>
  <c r="R86" i="5" s="1"/>
  <c r="D85" i="5"/>
  <c r="D86" i="5" s="1"/>
  <c r="H43" i="14"/>
  <c r="H70" i="14" s="1"/>
  <c r="E74" i="1"/>
  <c r="G74" i="1"/>
  <c r="K74" i="1"/>
  <c r="M74" i="1"/>
  <c r="O74" i="1"/>
  <c r="Q74" i="1"/>
  <c r="S74" i="1"/>
  <c r="U74" i="1"/>
  <c r="W74" i="1"/>
  <c r="Y74" i="1"/>
  <c r="P21" i="15" l="1"/>
  <c r="P22" i="15" s="1"/>
  <c r="H16" i="15"/>
  <c r="H21" i="15" s="1"/>
  <c r="H22" i="15" s="1"/>
  <c r="F16" i="15"/>
  <c r="F21" i="15" s="1"/>
  <c r="F22" i="15" s="1"/>
  <c r="D16" i="15"/>
  <c r="D21" i="15" s="1"/>
  <c r="D22" i="15" s="1"/>
  <c r="P38" i="14"/>
  <c r="P43" i="14" s="1"/>
  <c r="N38" i="14"/>
  <c r="N43" i="14" s="1"/>
  <c r="L38" i="14"/>
  <c r="L43" i="14" s="1"/>
  <c r="F70" i="14"/>
  <c r="D70" i="14"/>
  <c r="P53" i="5"/>
  <c r="P77" i="5" s="1"/>
  <c r="H53" i="5"/>
  <c r="H77" i="5" s="1"/>
  <c r="F53" i="5"/>
  <c r="F77" i="5" s="1"/>
  <c r="H85" i="5" l="1"/>
  <c r="H86" i="5" s="1"/>
  <c r="P85" i="5"/>
  <c r="P86" i="5" s="1"/>
  <c r="F85" i="5"/>
  <c r="F86" i="5" s="1"/>
  <c r="J53" i="5"/>
  <c r="T53" i="5"/>
  <c r="T77" i="5" s="1"/>
  <c r="T85" i="5" s="1"/>
  <c r="T86" i="5" s="1"/>
  <c r="F6" i="11" s="1"/>
  <c r="J45" i="5"/>
  <c r="L21" i="15"/>
  <c r="L22" i="15" s="1"/>
  <c r="N21" i="15"/>
  <c r="N22" i="15" s="1"/>
  <c r="L70" i="14"/>
  <c r="N70" i="14"/>
  <c r="P70" i="14"/>
  <c r="T99" i="5" l="1"/>
  <c r="T87" i="5"/>
  <c r="J6" i="11"/>
  <c r="J77" i="5"/>
  <c r="J85" i="5" l="1"/>
  <c r="J86" i="5" s="1"/>
  <c r="L54" i="5"/>
  <c r="L55" i="5"/>
  <c r="L56" i="5"/>
  <c r="Z35" i="1"/>
  <c r="Z34" i="1"/>
  <c r="Z33" i="1"/>
  <c r="Z32" i="1"/>
  <c r="Z31" i="1"/>
  <c r="Z30" i="1"/>
  <c r="Z29" i="1"/>
  <c r="Z28" i="1"/>
  <c r="F8" i="8"/>
  <c r="F8" i="11" s="1"/>
  <c r="Q11" i="13"/>
  <c r="L71" i="5"/>
  <c r="L72" i="5"/>
  <c r="L75" i="5"/>
  <c r="L76" i="5"/>
  <c r="Z10" i="1"/>
  <c r="Z11" i="1"/>
  <c r="Z12" i="1"/>
  <c r="Z13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57" i="1"/>
  <c r="Z58" i="1"/>
  <c r="Z59" i="1"/>
  <c r="Z60" i="1"/>
  <c r="Z61" i="1"/>
  <c r="Z62" i="1"/>
  <c r="Z63" i="1"/>
  <c r="J13" i="7"/>
  <c r="K11" i="13"/>
  <c r="J8" i="11" l="1"/>
  <c r="H8" i="11"/>
  <c r="F7" i="11"/>
  <c r="J7" i="11" s="1"/>
  <c r="Z49" i="1"/>
  <c r="Z56" i="1" s="1"/>
  <c r="Z74" i="1" s="1"/>
  <c r="H7" i="11" l="1"/>
  <c r="L16" i="2"/>
  <c r="N16" i="2"/>
  <c r="P16" i="2"/>
  <c r="U10" i="13"/>
  <c r="T11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T45" i="5" l="1"/>
  <c r="C96" i="5"/>
  <c r="R43" i="14"/>
  <c r="R70" i="14" s="1"/>
  <c r="J16" i="15"/>
  <c r="O11" i="13"/>
  <c r="U11" i="13"/>
  <c r="R16" i="2"/>
  <c r="J21" i="15" l="1"/>
  <c r="J22" i="15" s="1"/>
  <c r="L53" i="5"/>
  <c r="L77" i="5" s="1"/>
  <c r="L85" i="5" s="1"/>
  <c r="L86" i="5" s="1"/>
  <c r="B3" i="1"/>
  <c r="R6" i="1" l="1"/>
  <c r="R53" i="1" s="1"/>
  <c r="S10" i="6" l="1"/>
  <c r="D6" i="1" l="1"/>
  <c r="D53" i="1" s="1"/>
  <c r="D5" i="8"/>
  <c r="H6" i="11" l="1"/>
  <c r="K11" i="6"/>
  <c r="S11" i="6"/>
  <c r="F6" i="7"/>
  <c r="F5" i="8"/>
  <c r="B3" i="8"/>
  <c r="J6" i="7"/>
  <c r="B3" i="7"/>
  <c r="Q5" i="13"/>
  <c r="K5" i="13"/>
  <c r="B3" i="13"/>
  <c r="A3" i="6"/>
  <c r="M6" i="6"/>
  <c r="C6" i="6"/>
  <c r="L5" i="15"/>
  <c r="L19" i="15" s="1"/>
  <c r="D5" i="15"/>
  <c r="D19" i="15" s="1"/>
  <c r="B3" i="15"/>
  <c r="D5" i="14"/>
  <c r="D41" i="14" s="1"/>
  <c r="J5" i="12"/>
  <c r="B3" i="12"/>
  <c r="N7" i="5"/>
  <c r="N49" i="5" s="1"/>
  <c r="N81" i="5" s="1"/>
  <c r="D7" i="5"/>
  <c r="D49" i="5" s="1"/>
  <c r="D81" i="5" s="1"/>
  <c r="B3" i="5"/>
  <c r="L5" i="14"/>
  <c r="L41" i="14" s="1"/>
  <c r="P5" i="12"/>
  <c r="P6" i="2"/>
  <c r="B3" i="2"/>
  <c r="A3" i="11" s="1"/>
  <c r="AE6" i="3"/>
  <c r="Q6" i="3"/>
  <c r="B3" i="3"/>
  <c r="A3" i="10"/>
  <c r="A3" i="4"/>
  <c r="B3" i="9"/>
  <c r="W6" i="10"/>
  <c r="K6" i="10"/>
  <c r="C6" i="4"/>
  <c r="L6" i="9"/>
  <c r="D6" i="9"/>
  <c r="R11" i="6"/>
  <c r="E11" i="6"/>
  <c r="G11" i="6" l="1"/>
  <c r="I11" i="6"/>
  <c r="O11" i="6"/>
  <c r="Q11" i="6"/>
  <c r="M11" i="6" l="1"/>
  <c r="C11" i="6"/>
  <c r="N9" i="9" l="1"/>
  <c r="L9" i="9"/>
  <c r="F9" i="9"/>
  <c r="D9" i="9"/>
  <c r="F9" i="11" l="1"/>
  <c r="V63" i="5" s="1"/>
  <c r="B1" i="5"/>
  <c r="V18" i="5" l="1"/>
  <c r="V42" i="5"/>
  <c r="V76" i="5"/>
  <c r="V73" i="5"/>
  <c r="V74" i="5"/>
  <c r="V44" i="5"/>
  <c r="V12" i="5"/>
  <c r="V20" i="5"/>
  <c r="V31" i="5"/>
  <c r="V39" i="5"/>
  <c r="V43" i="5"/>
  <c r="V22" i="5"/>
  <c r="V62" i="5"/>
  <c r="V58" i="5"/>
  <c r="V67" i="5"/>
  <c r="V27" i="5"/>
  <c r="V70" i="5"/>
  <c r="V59" i="5"/>
  <c r="V57" i="5"/>
  <c r="V55" i="5"/>
  <c r="V15" i="5"/>
  <c r="V75" i="5"/>
  <c r="V37" i="5"/>
  <c r="V33" i="5"/>
  <c r="V41" i="5"/>
  <c r="V61" i="5"/>
  <c r="V29" i="5"/>
  <c r="V23" i="5"/>
  <c r="V69" i="5"/>
  <c r="V28" i="5"/>
  <c r="V71" i="5"/>
  <c r="V16" i="5"/>
  <c r="V24" i="5"/>
  <c r="V13" i="5"/>
  <c r="V21" i="5"/>
  <c r="V66" i="5"/>
  <c r="V65" i="5"/>
  <c r="V26" i="5"/>
  <c r="V68" i="5"/>
  <c r="V35" i="5"/>
  <c r="V25" i="5"/>
  <c r="V64" i="5"/>
  <c r="V72" i="5"/>
  <c r="V56" i="5"/>
  <c r="V19" i="5"/>
  <c r="V38" i="5"/>
  <c r="V36" i="5"/>
  <c r="V60" i="5"/>
  <c r="V30" i="5"/>
  <c r="V14" i="5"/>
  <c r="V32" i="5"/>
  <c r="V40" i="5"/>
  <c r="V17" i="5"/>
  <c r="V34" i="5"/>
  <c r="V54" i="5"/>
  <c r="V11" i="5"/>
  <c r="B1" i="3"/>
  <c r="A1" i="4" s="1"/>
  <c r="A1" i="10" s="1"/>
  <c r="B1" i="9"/>
  <c r="V45" i="5" l="1"/>
  <c r="H9" i="11"/>
  <c r="J9" i="11"/>
  <c r="B1" i="12"/>
  <c r="B1" i="13" s="1"/>
  <c r="B1" i="7" s="1"/>
  <c r="V53" i="5" l="1"/>
  <c r="V77" i="5" s="1"/>
  <c r="V85" i="5" s="1"/>
  <c r="V86" i="5" s="1"/>
  <c r="B1" i="8"/>
  <c r="B1" i="15"/>
  <c r="B1" i="14" l="1"/>
</calcChain>
</file>

<file path=xl/sharedStrings.xml><?xml version="1.0" encoding="utf-8"?>
<sst xmlns="http://schemas.openxmlformats.org/spreadsheetml/2006/main" count="679" uniqueCount="225">
  <si>
    <t>درصد به کل</t>
  </si>
  <si>
    <t>خالص ارزش</t>
  </si>
  <si>
    <t>فروش</t>
  </si>
  <si>
    <t>بهای تمام شده</t>
  </si>
  <si>
    <t xml:space="preserve"> دارایی‌ها</t>
  </si>
  <si>
    <t>شرکت</t>
  </si>
  <si>
    <t>.....</t>
  </si>
  <si>
    <t>جمع</t>
  </si>
  <si>
    <t>تعداد</t>
  </si>
  <si>
    <t>خرید طی دوره</t>
  </si>
  <si>
    <t>فروش طی دوره</t>
  </si>
  <si>
    <t>مبلغ</t>
  </si>
  <si>
    <t>نرخ سود مؤثر</t>
  </si>
  <si>
    <t>نرخ سود اسمی</t>
  </si>
  <si>
    <t>پذیرفته شده در بورس یا فرابورس</t>
  </si>
  <si>
    <t>دارای مجوز از سازمان</t>
  </si>
  <si>
    <t>تغییرات طی دوره</t>
  </si>
  <si>
    <t>سپرده های بانکی</t>
  </si>
  <si>
    <t>نوع سپرده</t>
  </si>
  <si>
    <t>دلیل تعدیل</t>
  </si>
  <si>
    <t>نام اوراق بهادار</t>
  </si>
  <si>
    <t>درآمد سود سهام</t>
  </si>
  <si>
    <t>درآمد تغییر ارزش</t>
  </si>
  <si>
    <t>درآمد فروش</t>
  </si>
  <si>
    <t>درصد از کل درآمد ها</t>
  </si>
  <si>
    <t>درآمد سود اوراق</t>
  </si>
  <si>
    <t>نام سپرده</t>
  </si>
  <si>
    <t>سود سپرده بانکی و گواهی سپرده</t>
  </si>
  <si>
    <t>نام سپرده بانکی</t>
  </si>
  <si>
    <t>اطلاعات اوراق بهادار با درآمد ثابت</t>
  </si>
  <si>
    <t>نام اوراق</t>
  </si>
  <si>
    <t>خالص ارزش فروش</t>
  </si>
  <si>
    <t>درصد به کل دارایی‌ها</t>
  </si>
  <si>
    <t>تاریخ سررسید</t>
  </si>
  <si>
    <t>درصد به کل  دارایی‌ها</t>
  </si>
  <si>
    <t>سهام</t>
  </si>
  <si>
    <t>1- سرمایه گذاری ها</t>
  </si>
  <si>
    <t>1-1-سرمایه‌گذاری در سهام و حق تقدم سهام</t>
  </si>
  <si>
    <t>2-1-سرمایه‌گذاری در اوراق بهادار با درآمد ثابت یا علی‌الحساب</t>
  </si>
  <si>
    <t>4-2-سایر درآمدها:</t>
  </si>
  <si>
    <t>سایر درآمدها</t>
  </si>
  <si>
    <t>قیمت بازار هر سهم</t>
  </si>
  <si>
    <t>تاریخ انتشار اوراق</t>
  </si>
  <si>
    <t>قیمت بازار هر ورقه</t>
  </si>
  <si>
    <t>نام سهام</t>
  </si>
  <si>
    <t>تعداد اوراق تبعی</t>
  </si>
  <si>
    <t xml:space="preserve">قیمت اعمال </t>
  </si>
  <si>
    <t>تاریخ اعمال</t>
  </si>
  <si>
    <t xml:space="preserve">نرخ سود مؤثر </t>
  </si>
  <si>
    <t>(بر اساس دستورالعمل نحوه تعیین قیمت خرید و فروش اوراق بهادار در صندوق های سرمایه گذاری)</t>
  </si>
  <si>
    <t>اوراق بهاداری که ارزش آنها در تاریخ گزارش تعدیل شده</t>
  </si>
  <si>
    <t>درصد تعدیل</t>
  </si>
  <si>
    <t>خالص ارزش فروش تعدیل شده</t>
  </si>
  <si>
    <t xml:space="preserve">قیمت تعدیل شده </t>
  </si>
  <si>
    <t xml:space="preserve">قیمت پایانی  </t>
  </si>
  <si>
    <t>4-1- سرمایه‌گذاری در گواهی سپرده‌ بانکی</t>
  </si>
  <si>
    <t>گواهی سپرده بانکی نزد بانک .....</t>
  </si>
  <si>
    <t>نرخ شکست</t>
  </si>
  <si>
    <t>گواهی سپرده  بانکی</t>
  </si>
  <si>
    <t>تاریخ افتتاح حساب</t>
  </si>
  <si>
    <t>نرخ سود علی الحساب</t>
  </si>
  <si>
    <t>افزایش</t>
  </si>
  <si>
    <t>کاهش</t>
  </si>
  <si>
    <t>شرح</t>
  </si>
  <si>
    <t>یادداشت</t>
  </si>
  <si>
    <t>سود متعلق به هر سهم</t>
  </si>
  <si>
    <t>جمع درآمد سود سهام</t>
  </si>
  <si>
    <t>هزینه تنزیل</t>
  </si>
  <si>
    <t>خالص درآمد سود سهام</t>
  </si>
  <si>
    <t>تعداد سهام متعلقه در زمان مجمع</t>
  </si>
  <si>
    <t>اطلاعات مجمع</t>
  </si>
  <si>
    <t>تاریخ دریافت سود</t>
  </si>
  <si>
    <t>خالص درآمد</t>
  </si>
  <si>
    <t>ارزش دفتری</t>
  </si>
  <si>
    <t>سود و زیان ناشی از تغییر قیمت</t>
  </si>
  <si>
    <t>ارزش دفتری برابر است با میانگین موزون خالص ارزش فروش هر سهم/ورقه در ابتدای دوره با خرید طی دوره ضربدر تعداد در پایان دوره</t>
  </si>
  <si>
    <t>خالص بهای فروش</t>
  </si>
  <si>
    <t>سود و زیان ناشی از فروش</t>
  </si>
  <si>
    <t>درآمد حاصل از سرمایه گذاری در سهام و حق تقدم سهام</t>
  </si>
  <si>
    <t>مبلغ فروش</t>
  </si>
  <si>
    <t xml:space="preserve">صورت وضعیت پرتفوی </t>
  </si>
  <si>
    <t>اطلاعات آماری مرتبط با اوراق اختیار فروش تبعی خریداری شده توسط صندوق سرمایه گذاری:</t>
  </si>
  <si>
    <t>3-1- سرمایه‌گذاری در  سپرده‌ بانکی</t>
  </si>
  <si>
    <t>1-2</t>
  </si>
  <si>
    <t>3-2</t>
  </si>
  <si>
    <t>4-2</t>
  </si>
  <si>
    <t xml:space="preserve">صورت وضعیت درآمدها </t>
  </si>
  <si>
    <t xml:space="preserve">درآمد سود </t>
  </si>
  <si>
    <t xml:space="preserve"> </t>
  </si>
  <si>
    <t>درصد از کل دارایی ها</t>
  </si>
  <si>
    <t>یادداشت 2-1-1</t>
  </si>
  <si>
    <t>یادداشت 2-1-2</t>
  </si>
  <si>
    <t>یادداشت 2-1-3</t>
  </si>
  <si>
    <t>1-2-2-سود اوراق بهادار با درآمد ثابت و سپرده بانکی</t>
  </si>
  <si>
    <t>یادداشت 2-2-1</t>
  </si>
  <si>
    <t>1-1-2-درآمد سود سهام</t>
  </si>
  <si>
    <t>2-1-2-درآمد ناشی از تغییر قیمت اوراق بهادار</t>
  </si>
  <si>
    <t>3-1-2-سود(زیان) حاصل از فروش اوراق بهادار</t>
  </si>
  <si>
    <t>ابتدای دوره</t>
  </si>
  <si>
    <t xml:space="preserve">مبلغ </t>
  </si>
  <si>
    <t>درصد از کل دارائیها</t>
  </si>
  <si>
    <t>-</t>
  </si>
  <si>
    <t>صندوق سرمایه گذاری شاخص سی شرکت بزرگ فیروزه</t>
  </si>
  <si>
    <t>توسعه‌معادن‌وفلزات‌</t>
  </si>
  <si>
    <t>1393/04/25</t>
  </si>
  <si>
    <t>صندوق سرمایه‌گذاری صندوق شاخص سی شرکت بزرگ فیروزه</t>
  </si>
  <si>
    <t>حساب جاری</t>
  </si>
  <si>
    <t>سپرده کوتاه مدت</t>
  </si>
  <si>
    <t>ایران‌ خودرو</t>
  </si>
  <si>
    <t>بانک  پاسارگاد</t>
  </si>
  <si>
    <t>بانک ملت</t>
  </si>
  <si>
    <t>پالایش نفت اصفهان</t>
  </si>
  <si>
    <t>پالایش نفت بندرعباس</t>
  </si>
  <si>
    <t>پالایش نفت تهران</t>
  </si>
  <si>
    <t>پتروشیمی پارس</t>
  </si>
  <si>
    <t>پتروشیمی پردیس</t>
  </si>
  <si>
    <t>پتروشیمی جم</t>
  </si>
  <si>
    <t>پتروشیمی نوری</t>
  </si>
  <si>
    <t>س. نفت و گاز و پتروشیمی تأمین</t>
  </si>
  <si>
    <t>سرمایه‌گذاری‌غدیر(هلدینگ‌</t>
  </si>
  <si>
    <t>صنایع پتروشیمی خلیج فارس</t>
  </si>
  <si>
    <t>فولاد مبارکه اصفهان</t>
  </si>
  <si>
    <t>گروه مپنا (سهامی عام)</t>
  </si>
  <si>
    <t>گسترش نفت و گاز پارسیان</t>
  </si>
  <si>
    <t>مخابرات ایران</t>
  </si>
  <si>
    <t>معدنی و صنعتی گل گهر</t>
  </si>
  <si>
    <t>معدنی‌وصنعتی‌چادرملو</t>
  </si>
  <si>
    <t>ملی‌ صنایع‌ مس‌ ایران‌</t>
  </si>
  <si>
    <t>سرمایه گذاری تامین اجتماعی</t>
  </si>
  <si>
    <t>سرمایه‌گذاری‌صندوق‌بازنشستگی‌</t>
  </si>
  <si>
    <t/>
  </si>
  <si>
    <t>یادداشت 3-1-2</t>
  </si>
  <si>
    <t>مبین انرژی خلیج فارس</t>
  </si>
  <si>
    <t>توسعه معادن وص.معدنی خاورمیانه</t>
  </si>
  <si>
    <t>سایپا</t>
  </si>
  <si>
    <t>پالایش نفت تبریز</t>
  </si>
  <si>
    <t>1-2-درآمد حاصل از سرمایه گذاری در سهام و حق تقدم سهام:</t>
  </si>
  <si>
    <t>کشتیرانی جمهوری اسلامی ایران</t>
  </si>
  <si>
    <t>تاریخ مجمع</t>
  </si>
  <si>
    <t>پتروشیمی بوعلی سینا</t>
  </si>
  <si>
    <t>پتروشیمی‌شیراز</t>
  </si>
  <si>
    <t>سرمایه گذاری صدرتامین</t>
  </si>
  <si>
    <t>بانک تجارت</t>
  </si>
  <si>
    <t>بین المللی توسعه ص. معادن غدیر</t>
  </si>
  <si>
    <t>1402/06/19</t>
  </si>
  <si>
    <t>3-2-درآمد حاصل از سرمایه گذاری در سپرده بانکی و گواهی سپرده:</t>
  </si>
  <si>
    <t>گروه مدیریت سرمایه گذاری امید</t>
  </si>
  <si>
    <t>تعدیل کارمزد کارگزار</t>
  </si>
  <si>
    <t>ح . معدنی و صنعتی گل گهر</t>
  </si>
  <si>
    <t>درصد از کل درآمدها</t>
  </si>
  <si>
    <t>2-2-درآمد حاصل از سرمایه گذاری در اوراق بهادار با درآمد ثابت:</t>
  </si>
  <si>
    <t>بیمه اتکایی ایران معین</t>
  </si>
  <si>
    <t>فروشگاههای زنجیره ای افق کوروش</t>
  </si>
  <si>
    <t>سرمایه گذاری سبحان</t>
  </si>
  <si>
    <t>گروه س توسعه صنعتی ایران</t>
  </si>
  <si>
    <t>1404/02/31</t>
  </si>
  <si>
    <t>1404/03/31</t>
  </si>
  <si>
    <t>برای ماه منتهی به 1404/03/31</t>
  </si>
  <si>
    <t>طی خرداد ماه</t>
  </si>
  <si>
    <t>از ابتدای سال مالی تا پایان خرداد ماه</t>
  </si>
  <si>
    <t>بانک‌اقتصادنوین‌</t>
  </si>
  <si>
    <t>سپرده کوتاه مدت بانک خاورمیانه مهستان</t>
  </si>
  <si>
    <t>سپرده کوتاه مدت بانک گردشگری سعادت آباد</t>
  </si>
  <si>
    <t>سود اوراق بهادار با درآمد ثابت و سپرده بانکی</t>
  </si>
  <si>
    <t>1404/04/31</t>
  </si>
  <si>
    <t>نقل به صفحه بعد</t>
  </si>
  <si>
    <t>نقل از صفحه قبل</t>
  </si>
  <si>
    <t xml:space="preserve">نقل به صفحه بعد </t>
  </si>
  <si>
    <t xml:space="preserve">نقل از صفحه قبل </t>
  </si>
  <si>
    <t>1404/05/31</t>
  </si>
  <si>
    <t>برای ماه منتهی به 1404/05/31</t>
  </si>
  <si>
    <t>طی مرداد ماه</t>
  </si>
  <si>
    <t>از ابتدای سال مالی تا پایان مرداد ماه</t>
  </si>
  <si>
    <t>1404/06/31</t>
  </si>
  <si>
    <t>برای ماه منتهی به 1404/06/31</t>
  </si>
  <si>
    <t>سرمایه‌ گذاری‌ آتیه‌ دماوند</t>
  </si>
  <si>
    <t>تایدواترخاورمیانه</t>
  </si>
  <si>
    <t>1404/07/30</t>
  </si>
  <si>
    <t>برای ماه منتهی به 1404/07/30</t>
  </si>
  <si>
    <t>از ابتدای سال مالی تا پایان مهر ماه</t>
  </si>
  <si>
    <t>طی مهر  ماه</t>
  </si>
  <si>
    <t>کشت وصنعت و دامپروری پگاه فارس</t>
  </si>
  <si>
    <t>س. و توسعه صنایع لاستیک</t>
  </si>
  <si>
    <t>سپرده کوتاه مدت بانک صادرات بلوار میرداماد</t>
  </si>
  <si>
    <t>1404/08/01</t>
  </si>
  <si>
    <t>ایران خودرو دیزل</t>
  </si>
  <si>
    <t>کیمیا کالای رازی</t>
  </si>
  <si>
    <t>نیان باتری خاوران</t>
  </si>
  <si>
    <t>تولیدی کوچین</t>
  </si>
  <si>
    <t>1404/09/19</t>
  </si>
  <si>
    <t>سرمایه گذاری خوارزمی</t>
  </si>
  <si>
    <t>آلیاژ گستر هامون</t>
  </si>
  <si>
    <t>پتروشیمی خراسان</t>
  </si>
  <si>
    <t>آلومینیوم‌ایران‌</t>
  </si>
  <si>
    <t>گروه صنعتی درپاد تبریز</t>
  </si>
  <si>
    <t>1404/10/15</t>
  </si>
  <si>
    <t>حساب جاری بانک خاورمیانه مهستان</t>
  </si>
  <si>
    <t>سپرده کوتاه مدت بانک تجارت مطهری دریای نور</t>
  </si>
  <si>
    <t>حساب جاری بانک گردشگری سعادت آباد</t>
  </si>
  <si>
    <t>سپرده کوتاه مدت بانک خاورمیانه نیاوران</t>
  </si>
  <si>
    <t>کارخانجات تولیدی نیروترانسفو</t>
  </si>
  <si>
    <t xml:space="preserve">سایر درآمد ها </t>
  </si>
  <si>
    <t>ح . سرمایه گذاری صدرتامین</t>
  </si>
  <si>
    <t>1405/01/31</t>
  </si>
  <si>
    <t>1405/01/30</t>
  </si>
  <si>
    <t xml:space="preserve">جمع </t>
  </si>
  <si>
    <t>طی اردیبهشت ماه</t>
  </si>
  <si>
    <t>از ابتدای سال مالی تا پایان اردیبهشت ماه</t>
  </si>
  <si>
    <t>1405/02/31</t>
  </si>
  <si>
    <t>برای ماه منتهی به 1405/02/31</t>
  </si>
  <si>
    <t>ح . معدنی‌وصنعتی‌چادرملو</t>
  </si>
  <si>
    <t>ح . توسعه‌معادن‌وفلزات‌</t>
  </si>
  <si>
    <t>1405/02/30</t>
  </si>
  <si>
    <t>1405/02/10</t>
  </si>
  <si>
    <t xml:space="preserve">اوراق بهاداری که ارزش آنها در تاریخ گذشته تعدیل شده </t>
  </si>
  <si>
    <t>(بر اساس دستورالعمل نحوه تعیین قیمت خرید و فروش اوراق بهادار در صندوق های سرمایه گذاری )</t>
  </si>
  <si>
    <t xml:space="preserve">تعداد </t>
  </si>
  <si>
    <t xml:space="preserve">قیمت پایانی </t>
  </si>
  <si>
    <t xml:space="preserve">درصد تعدیل </t>
  </si>
  <si>
    <t xml:space="preserve">خالص ارزش فروش تعدیل شده </t>
  </si>
  <si>
    <t xml:space="preserve">به دلیل شرایط جنگ رمضان </t>
  </si>
  <si>
    <t xml:space="preserve">دلایل تعدیل </t>
  </si>
  <si>
    <t xml:space="preserve">نام اوراق بهادار </t>
  </si>
  <si>
    <t>درصد سود به میانگین سپرده</t>
  </si>
  <si>
    <t>سرمایه‌گذاری‌غدیر(هلدینگ‌)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</si>
</sst>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.00_-;_-* #,##0.00\-;_-* &quot;-&quot;??_-;_-@_-"/>
    <numFmt numFmtId="165" formatCode="_-* #,##0_-;_-* #,##0\-;_-* &quot;-&quot;??_-;_-@_-"/>
    <numFmt numFmtId="166" formatCode="#,##0_);\(#,##0\)\ "/>
    <numFmt numFmtId="167" formatCode="#,##0\ ;[Red]\(#,##0\);\-\ ;\ "/>
    <numFmt numFmtId="168" formatCode="#,##0_);[Red]\(#,##0\);\-\ ;"/>
    <numFmt numFmtId="169" formatCode="#,##0_ ;\-#,##0\ "/>
    <numFmt numFmtId="170" formatCode="0.0000%"/>
    <numFmt numFmtId="171" formatCode="#,##0\ ;[Black]\(#,##0\);\-\ ;\ "/>
    <numFmt numFmtId="172" formatCode="#,##0_);[Black]\(#,##0\);\-\ ;"/>
    <numFmt numFmtId="173" formatCode="&quot;$&quot;#,##0_);[Black]\(&quot;$&quot;#,##0\)"/>
    <numFmt numFmtId="174" formatCode="0.0%"/>
    <numFmt numFmtId="175" formatCode="_-* #,##0.00000_-;_-* #,##0.00000\-;_-* &quot;-&quot;??_-;_-@_-"/>
    <numFmt numFmtId="177" formatCode="#,##0\ ;[Black]\(#,##0\)\ %"/>
  </numFmts>
  <fonts count="6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sz val="11"/>
      <name val="Calibri"/>
      <family val="2"/>
    </font>
    <font>
      <b/>
      <sz val="14"/>
      <color theme="1"/>
      <name val="B Nazanin"/>
      <charset val="178"/>
    </font>
    <font>
      <sz val="14"/>
      <color theme="1"/>
      <name val="B Nazanin"/>
      <charset val="178"/>
    </font>
    <font>
      <sz val="14"/>
      <name val="B Nazanin"/>
      <charset val="178"/>
    </font>
    <font>
      <b/>
      <sz val="16"/>
      <color theme="1"/>
      <name val="B Nazanin"/>
      <charset val="178"/>
    </font>
    <font>
      <sz val="16"/>
      <color theme="1"/>
      <name val="B Nazanin"/>
      <charset val="178"/>
    </font>
    <font>
      <sz val="14"/>
      <color rgb="FF000000"/>
      <name val="B Nazanin"/>
      <charset val="178"/>
    </font>
    <font>
      <sz val="14"/>
      <color theme="10"/>
      <name val="B Nazanin"/>
      <charset val="178"/>
    </font>
    <font>
      <b/>
      <sz val="14"/>
      <color rgb="FF0062AC"/>
      <name val="B Nazanin"/>
      <charset val="178"/>
    </font>
    <font>
      <b/>
      <sz val="14"/>
      <color rgb="FF000000"/>
      <name val="B Nazanin"/>
      <charset val="178"/>
    </font>
    <font>
      <u/>
      <sz val="14"/>
      <color theme="1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b/>
      <sz val="16"/>
      <color rgb="FF000000"/>
      <name val="B Nazanin"/>
      <charset val="178"/>
    </font>
    <font>
      <sz val="16"/>
      <color rgb="FF000000"/>
      <name val="B Nazanin"/>
      <charset val="178"/>
    </font>
    <font>
      <b/>
      <sz val="16"/>
      <color rgb="FF0062AC"/>
      <name val="B Nazanin"/>
      <charset val="178"/>
    </font>
    <font>
      <b/>
      <sz val="14"/>
      <color rgb="FF0070C0"/>
      <name val="B Nazanin"/>
      <charset val="178"/>
    </font>
    <font>
      <b/>
      <sz val="14"/>
      <color theme="4" tint="-0.249977111117893"/>
      <name val="B Nazanin"/>
      <charset val="178"/>
    </font>
    <font>
      <b/>
      <sz val="20"/>
      <color theme="1"/>
      <name val="B Nazanin"/>
      <charset val="178"/>
    </font>
    <font>
      <b/>
      <sz val="22"/>
      <color theme="1"/>
      <name val="B Nazanin"/>
      <charset val="178"/>
    </font>
    <font>
      <sz val="22"/>
      <color theme="1"/>
      <name val="B Nazanin"/>
      <charset val="178"/>
    </font>
    <font>
      <sz val="22"/>
      <name val="B Nazanin"/>
      <charset val="178"/>
    </font>
    <font>
      <sz val="16"/>
      <name val="B Nazanin"/>
      <charset val="178"/>
    </font>
    <font>
      <sz val="8"/>
      <name val="Calibri"/>
      <family val="2"/>
      <charset val="178"/>
      <scheme val="minor"/>
    </font>
    <font>
      <sz val="20"/>
      <color theme="1"/>
      <name val="B Nazanin"/>
      <charset val="178"/>
    </font>
    <font>
      <sz val="22"/>
      <color rgb="FFFF0000"/>
      <name val="B Nazanin"/>
      <charset val="178"/>
    </font>
    <font>
      <sz val="20"/>
      <color rgb="FF000000"/>
      <name val="B Nazanin"/>
      <charset val="178"/>
    </font>
    <font>
      <sz val="16"/>
      <color rgb="FFFF0000"/>
      <name val="B Nazanin"/>
      <charset val="178"/>
    </font>
    <font>
      <sz val="14"/>
      <color rgb="FF000000"/>
      <name val="Times New Roman"/>
      <family val="1"/>
    </font>
    <font>
      <b/>
      <sz val="16"/>
      <color theme="4" tint="-0.249977111117893"/>
      <name val="B Nazanin"/>
      <charset val="178"/>
    </font>
    <font>
      <b/>
      <sz val="18"/>
      <color theme="1"/>
      <name val="B Nazanin"/>
      <charset val="178"/>
    </font>
    <font>
      <sz val="18"/>
      <color theme="1"/>
      <name val="B Nazanin"/>
      <charset val="178"/>
    </font>
    <font>
      <b/>
      <sz val="18"/>
      <color rgb="FF0062AC"/>
      <name val="B Nazanin"/>
      <charset val="178"/>
    </font>
    <font>
      <sz val="18"/>
      <name val="B Nazanin"/>
      <charset val="178"/>
    </font>
    <font>
      <sz val="16"/>
      <color rgb="FF92D050"/>
      <name val="B Nazanin"/>
      <charset val="178"/>
    </font>
    <font>
      <sz val="14"/>
      <color rgb="FF92D050"/>
      <name val="B Nazanin"/>
      <charset val="178"/>
    </font>
    <font>
      <sz val="18"/>
      <color theme="1" tint="0.14999847407452621"/>
      <name val="B Nazanin"/>
      <charset val="178"/>
    </font>
    <font>
      <sz val="14"/>
      <color theme="1" tint="0.14999847407452621"/>
      <name val="B Nazanin"/>
      <charset val="178"/>
    </font>
    <font>
      <sz val="16"/>
      <color theme="1" tint="0.14999847407452621"/>
      <name val="B Nazanin"/>
      <charset val="178"/>
    </font>
    <font>
      <sz val="10"/>
      <color rgb="FF333333"/>
      <name val="IRANSans"/>
      <family val="2"/>
    </font>
    <font>
      <sz val="14"/>
      <color theme="2" tint="-0.249977111117893"/>
      <name val="B Nazanin"/>
      <charset val="178"/>
    </font>
    <font>
      <sz val="14"/>
      <color theme="2" tint="-0.749992370372631"/>
      <name val="B Nazanin"/>
      <charset val="178"/>
    </font>
    <font>
      <b/>
      <sz val="14"/>
      <color theme="2" tint="-0.749992370372631"/>
      <name val="B Nazanin"/>
      <charset val="178"/>
    </font>
    <font>
      <sz val="14"/>
      <color theme="2" tint="-0.89999084444715716"/>
      <name val="B Nazanin"/>
      <charset val="178"/>
    </font>
    <font>
      <sz val="16"/>
      <color theme="2" tint="-0.89999084444715716"/>
      <name val="B Nazanin"/>
      <charset val="178"/>
    </font>
    <font>
      <sz val="16"/>
      <color theme="2" tint="-0.249977111117893"/>
      <name val="B Nazanin"/>
      <charset val="178"/>
    </font>
    <font>
      <b/>
      <sz val="14"/>
      <color theme="1" tint="0.14999847407452621"/>
      <name val="B Nazanin"/>
      <charset val="178"/>
    </font>
    <font>
      <b/>
      <sz val="10"/>
      <color theme="1" tint="0.14999847407452621"/>
      <name val="IRANSans"/>
      <family val="2"/>
    </font>
    <font>
      <sz val="12"/>
      <color rgb="FF000000"/>
      <name val="B Nazanin"/>
      <charset val="178"/>
    </font>
    <font>
      <sz val="18"/>
      <color theme="2" tint="-0.249977111117893"/>
      <name val="B Nazanin"/>
      <charset val="178"/>
    </font>
    <font>
      <sz val="22"/>
      <color theme="2" tint="-0.249977111117893"/>
      <name val="B Nazanin"/>
      <charset val="178"/>
    </font>
    <font>
      <sz val="14"/>
      <color theme="1" tint="0.249977111117893"/>
      <name val="B Nazanin"/>
      <charset val="178"/>
    </font>
    <font>
      <sz val="10"/>
      <color rgb="FF000000"/>
      <name val="Arial"/>
      <family val="2"/>
    </font>
    <font>
      <b/>
      <sz val="18"/>
      <color theme="0" tint="-0.34998626667073579"/>
      <name val="B Nazanin"/>
      <charset val="178"/>
    </font>
    <font>
      <b/>
      <sz val="14"/>
      <color theme="0" tint="-0.34998626667073579"/>
      <name val="B Nazanin"/>
      <charset val="178"/>
    </font>
    <font>
      <sz val="16"/>
      <color theme="0" tint="-0.34998626667073579"/>
      <name val="B Nazanin"/>
      <charset val="178"/>
    </font>
    <font>
      <sz val="14"/>
      <color theme="0" tint="-0.34998626667073579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1" fillId="0" borderId="0"/>
    <xf numFmtId="0" fontId="56" fillId="0" borderId="0"/>
  </cellStyleXfs>
  <cellXfs count="431">
    <xf numFmtId="0" fontId="0" fillId="0" borderId="0" xfId="0"/>
    <xf numFmtId="0" fontId="6" fillId="0" borderId="0" xfId="0" applyFont="1"/>
    <xf numFmtId="0" fontId="5" fillId="0" borderId="0" xfId="0" applyFont="1" applyAlignment="1">
      <alignment vertical="center" wrapText="1" readingOrder="2"/>
    </xf>
    <xf numFmtId="0" fontId="6" fillId="0" borderId="0" xfId="0" applyFont="1" applyAlignment="1">
      <alignment vertical="center" wrapText="1" readingOrder="2"/>
    </xf>
    <xf numFmtId="165" fontId="6" fillId="0" borderId="0" xfId="1" applyNumberFormat="1" applyFont="1"/>
    <xf numFmtId="0" fontId="6" fillId="0" borderId="0" xfId="0" applyFont="1" applyAlignment="1">
      <alignment horizontal="center" vertical="center" wrapText="1" readingOrder="2"/>
    </xf>
    <xf numFmtId="0" fontId="6" fillId="0" borderId="0" xfId="0" applyFont="1" applyAlignment="1">
      <alignment horizontal="right"/>
    </xf>
    <xf numFmtId="165" fontId="6" fillId="0" borderId="0" xfId="1" applyNumberFormat="1" applyFont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5" fillId="0" borderId="4" xfId="0" applyFont="1" applyBorder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1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8" fillId="0" borderId="0" xfId="1" applyNumberFormat="1" applyFont="1" applyAlignment="1">
      <alignment horizontal="center"/>
    </xf>
    <xf numFmtId="0" fontId="9" fillId="0" borderId="0" xfId="0" applyFont="1" applyAlignment="1">
      <alignment horizontal="center"/>
    </xf>
    <xf numFmtId="165" fontId="9" fillId="0" borderId="0" xfId="1" applyNumberFormat="1" applyFont="1"/>
    <xf numFmtId="0" fontId="8" fillId="0" borderId="0" xfId="0" applyFont="1" applyAlignment="1">
      <alignment horizontal="center" wrapText="1"/>
    </xf>
    <xf numFmtId="165" fontId="6" fillId="0" borderId="0" xfId="1" applyNumberFormat="1" applyFont="1" applyBorder="1" applyAlignment="1">
      <alignment horizontal="center" readingOrder="2"/>
    </xf>
    <xf numFmtId="169" fontId="6" fillId="0" borderId="0" xfId="1" applyNumberFormat="1" applyFont="1" applyBorder="1" applyAlignment="1">
      <alignment horizontal="center"/>
    </xf>
    <xf numFmtId="169" fontId="6" fillId="0" borderId="0" xfId="1" applyNumberFormat="1" applyFont="1" applyAlignment="1">
      <alignment horizontal="center"/>
    </xf>
    <xf numFmtId="169" fontId="6" fillId="0" borderId="0" xfId="1" applyNumberFormat="1" applyFont="1" applyBorder="1" applyAlignment="1">
      <alignment horizontal="center" wrapText="1" readingOrder="2"/>
    </xf>
    <xf numFmtId="169" fontId="6" fillId="0" borderId="0" xfId="1" applyNumberFormat="1" applyFont="1" applyAlignment="1">
      <alignment horizontal="center" wrapText="1" readingOrder="2"/>
    </xf>
    <xf numFmtId="10" fontId="6" fillId="0" borderId="0" xfId="2" applyNumberFormat="1" applyFont="1" applyBorder="1" applyAlignment="1">
      <alignment horizontal="center" vertical="center" wrapText="1" readingOrder="2"/>
    </xf>
    <xf numFmtId="165" fontId="6" fillId="0" borderId="2" xfId="1" applyNumberFormat="1" applyFont="1" applyBorder="1" applyAlignment="1">
      <alignment horizontal="center" vertical="center" wrapText="1" readingOrder="2"/>
    </xf>
    <xf numFmtId="9" fontId="6" fillId="0" borderId="2" xfId="0" applyNumberFormat="1" applyFont="1" applyBorder="1" applyAlignment="1">
      <alignment horizontal="center" vertical="center" wrapText="1" readingOrder="2"/>
    </xf>
    <xf numFmtId="0" fontId="6" fillId="0" borderId="1" xfId="0" applyFont="1" applyBorder="1"/>
    <xf numFmtId="0" fontId="5" fillId="0" borderId="1" xfId="0" applyFont="1" applyBorder="1" applyAlignment="1">
      <alignment vertical="center" wrapText="1" readingOrder="2"/>
    </xf>
    <xf numFmtId="0" fontId="6" fillId="0" borderId="0" xfId="0" applyFont="1" applyAlignment="1">
      <alignment horizontal="right" vertical="center" wrapText="1" readingOrder="2"/>
    </xf>
    <xf numFmtId="0" fontId="6" fillId="0" borderId="2" xfId="0" applyFont="1" applyBorder="1" applyAlignment="1">
      <alignment horizontal="center" vertical="center" readingOrder="2"/>
    </xf>
    <xf numFmtId="168" fontId="10" fillId="0" borderId="0" xfId="1" applyNumberFormat="1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vertical="center" readingOrder="2"/>
    </xf>
    <xf numFmtId="168" fontId="10" fillId="0" borderId="2" xfId="1" applyNumberFormat="1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10" fontId="10" fillId="0" borderId="0" xfId="1" applyNumberFormat="1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right" vertical="center" wrapText="1" readingOrder="2"/>
    </xf>
    <xf numFmtId="168" fontId="10" fillId="0" borderId="2" xfId="1" applyNumberFormat="1" applyFont="1" applyBorder="1" applyAlignment="1">
      <alignment horizontal="center" vertical="center" wrapText="1" readingOrder="2"/>
    </xf>
    <xf numFmtId="168" fontId="6" fillId="0" borderId="0" xfId="0" applyNumberFormat="1" applyFont="1" applyAlignment="1">
      <alignment vertical="center" wrapText="1"/>
    </xf>
    <xf numFmtId="10" fontId="10" fillId="0" borderId="2" xfId="1" applyNumberFormat="1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center" vertical="center" wrapText="1" readingOrder="2"/>
    </xf>
    <xf numFmtId="168" fontId="10" fillId="0" borderId="0" xfId="1" applyNumberFormat="1" applyFont="1" applyBorder="1" applyAlignment="1">
      <alignment horizontal="center" vertical="center" wrapText="1" readingOrder="2"/>
    </xf>
    <xf numFmtId="10" fontId="6" fillId="0" borderId="0" xfId="2" applyNumberFormat="1" applyFont="1"/>
    <xf numFmtId="168" fontId="10" fillId="0" borderId="0" xfId="0" applyNumberFormat="1" applyFont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wrapText="1" readingOrder="2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 readingOrder="2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1" xfId="3" applyFont="1" applyBorder="1" applyAlignment="1">
      <alignment horizontal="center" vertical="center" wrapText="1" readingOrder="2"/>
    </xf>
    <xf numFmtId="172" fontId="6" fillId="0" borderId="2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 wrapText="1" readingOrder="2"/>
    </xf>
    <xf numFmtId="172" fontId="6" fillId="0" borderId="0" xfId="0" applyNumberFormat="1" applyFont="1" applyAlignment="1">
      <alignment horizontal="center" vertical="center" readingOrder="2"/>
    </xf>
    <xf numFmtId="172" fontId="18" fillId="0" borderId="2" xfId="1" applyNumberFormat="1" applyFont="1" applyFill="1" applyBorder="1" applyAlignment="1">
      <alignment horizontal="center" vertical="center" wrapText="1" readingOrder="2"/>
    </xf>
    <xf numFmtId="172" fontId="10" fillId="0" borderId="0" xfId="1" applyNumberFormat="1" applyFont="1" applyAlignment="1">
      <alignment horizontal="center" vertical="center" wrapText="1" readingOrder="2"/>
    </xf>
    <xf numFmtId="172" fontId="10" fillId="0" borderId="2" xfId="1" applyNumberFormat="1" applyFont="1" applyBorder="1" applyAlignment="1">
      <alignment horizontal="center" vertical="center" wrapText="1" readingOrder="2"/>
    </xf>
    <xf numFmtId="172" fontId="6" fillId="0" borderId="5" xfId="0" applyNumberFormat="1" applyFont="1" applyBorder="1" applyAlignment="1">
      <alignment horizontal="center" vertical="center" readingOrder="2"/>
    </xf>
    <xf numFmtId="172" fontId="6" fillId="0" borderId="4" xfId="0" applyNumberFormat="1" applyFont="1" applyBorder="1" applyAlignment="1">
      <alignment horizontal="center" vertical="center" readingOrder="2"/>
    </xf>
    <xf numFmtId="173" fontId="6" fillId="0" borderId="6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 readingOrder="2"/>
    </xf>
    <xf numFmtId="0" fontId="16" fillId="0" borderId="0" xfId="0" applyFont="1" applyAlignment="1">
      <alignment horizontal="right" indent="2"/>
    </xf>
    <xf numFmtId="3" fontId="20" fillId="0" borderId="0" xfId="0" applyNumberFormat="1" applyFont="1"/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 readingOrder="2"/>
    </xf>
    <xf numFmtId="0" fontId="24" fillId="0" borderId="0" xfId="0" applyFont="1" applyAlignment="1">
      <alignment horizontal="center" vertical="center" wrapText="1" readingOrder="2"/>
    </xf>
    <xf numFmtId="0" fontId="24" fillId="0" borderId="3" xfId="0" applyFont="1" applyBorder="1" applyAlignment="1">
      <alignment horizontal="center" vertical="center" wrapText="1" readingOrder="2"/>
    </xf>
    <xf numFmtId="0" fontId="25" fillId="0" borderId="0" xfId="0" applyFont="1" applyAlignment="1">
      <alignment horizontal="center" vertical="center"/>
    </xf>
    <xf numFmtId="165" fontId="24" fillId="0" borderId="2" xfId="1" applyNumberFormat="1" applyFont="1" applyFill="1" applyBorder="1" applyAlignment="1">
      <alignment horizontal="center" vertical="center" readingOrder="2"/>
    </xf>
    <xf numFmtId="165" fontId="24" fillId="0" borderId="2" xfId="1" applyNumberFormat="1" applyFont="1" applyFill="1" applyBorder="1" applyAlignment="1">
      <alignment horizontal="center" vertical="center" wrapText="1" readingOrder="2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 vertical="center" readingOrder="2"/>
    </xf>
    <xf numFmtId="0" fontId="23" fillId="0" borderId="1" xfId="0" applyFont="1" applyBorder="1" applyAlignment="1">
      <alignment horizontal="center" vertical="center"/>
    </xf>
    <xf numFmtId="165" fontId="23" fillId="0" borderId="1" xfId="1" applyNumberFormat="1" applyFont="1" applyBorder="1" applyAlignment="1">
      <alignment horizontal="center" vertical="center"/>
    </xf>
    <xf numFmtId="165" fontId="24" fillId="0" borderId="0" xfId="1" applyNumberFormat="1" applyFont="1" applyFill="1" applyAlignment="1">
      <alignment horizontal="center" vertical="center" wrapText="1" readingOrder="2"/>
    </xf>
    <xf numFmtId="165" fontId="24" fillId="0" borderId="0" xfId="1" applyNumberFormat="1" applyFont="1" applyFill="1" applyAlignment="1">
      <alignment horizontal="center" vertical="center"/>
    </xf>
    <xf numFmtId="168" fontId="24" fillId="0" borderId="2" xfId="0" applyNumberFormat="1" applyFont="1" applyBorder="1" applyAlignment="1">
      <alignment horizontal="center" vertical="center" readingOrder="2"/>
    </xf>
    <xf numFmtId="168" fontId="24" fillId="0" borderId="3" xfId="0" applyNumberFormat="1" applyFont="1" applyBorder="1" applyAlignment="1">
      <alignment horizontal="center" vertical="center" readingOrder="2"/>
    </xf>
    <xf numFmtId="10" fontId="24" fillId="0" borderId="2" xfId="2" applyNumberFormat="1" applyFont="1" applyFill="1" applyBorder="1" applyAlignment="1">
      <alignment horizontal="center" vertical="center" readingOrder="2"/>
    </xf>
    <xf numFmtId="0" fontId="9" fillId="0" borderId="1" xfId="3" applyFont="1" applyFill="1" applyBorder="1" applyAlignment="1">
      <alignment horizontal="center" vertical="center" wrapText="1" readingOrder="2"/>
    </xf>
    <xf numFmtId="165" fontId="6" fillId="0" borderId="0" xfId="1" applyNumberFormat="1" applyFont="1" applyFill="1" applyAlignment="1">
      <alignment vertical="center" wrapText="1"/>
    </xf>
    <xf numFmtId="165" fontId="10" fillId="0" borderId="0" xfId="1" applyNumberFormat="1" applyFont="1" applyFill="1" applyBorder="1" applyAlignment="1">
      <alignment horizontal="center" vertical="center" wrapText="1" readingOrder="2"/>
    </xf>
    <xf numFmtId="165" fontId="6" fillId="0" borderId="0" xfId="1" applyNumberFormat="1" applyFont="1" applyFill="1" applyBorder="1" applyAlignment="1">
      <alignment horizontal="center" vertical="center"/>
    </xf>
    <xf numFmtId="172" fontId="10" fillId="0" borderId="2" xfId="1" applyNumberFormat="1" applyFont="1" applyFill="1" applyBorder="1" applyAlignment="1">
      <alignment horizontal="center" vertical="center" wrapText="1" readingOrder="2"/>
    </xf>
    <xf numFmtId="165" fontId="6" fillId="0" borderId="0" xfId="1" applyNumberFormat="1" applyFont="1" applyFill="1"/>
    <xf numFmtId="49" fontId="11" fillId="0" borderId="0" xfId="3" applyNumberFormat="1" applyFont="1" applyFill="1" applyAlignment="1">
      <alignment horizontal="center" vertical="center" readingOrder="2"/>
    </xf>
    <xf numFmtId="10" fontId="5" fillId="0" borderId="0" xfId="2" applyNumberFormat="1" applyFont="1" applyFill="1" applyAlignment="1">
      <alignment horizontal="center" vertical="center" readingOrder="2"/>
    </xf>
    <xf numFmtId="165" fontId="14" fillId="0" borderId="0" xfId="1" applyNumberFormat="1" applyFont="1" applyFill="1"/>
    <xf numFmtId="0" fontId="19" fillId="0" borderId="0" xfId="0" applyFont="1" applyAlignment="1">
      <alignment horizontal="right" vertical="center" indent="1" readingOrder="2"/>
    </xf>
    <xf numFmtId="172" fontId="30" fillId="0" borderId="2" xfId="1" applyNumberFormat="1" applyFont="1" applyFill="1" applyBorder="1" applyAlignment="1">
      <alignment horizontal="center" vertical="center" wrapText="1" readingOrder="2"/>
    </xf>
    <xf numFmtId="0" fontId="8" fillId="0" borderId="0" xfId="0" applyFont="1" applyAlignment="1">
      <alignment horizontal="center" readingOrder="2"/>
    </xf>
    <xf numFmtId="0" fontId="19" fillId="0" borderId="0" xfId="0" applyFont="1" applyAlignment="1">
      <alignment horizontal="right" vertical="center" indent="11" readingOrder="2"/>
    </xf>
    <xf numFmtId="172" fontId="30" fillId="0" borderId="0" xfId="1" applyNumberFormat="1" applyFont="1" applyFill="1" applyAlignment="1">
      <alignment horizontal="center" vertical="center" wrapText="1" readingOrder="2"/>
    </xf>
    <xf numFmtId="165" fontId="9" fillId="0" borderId="0" xfId="1" applyNumberFormat="1" applyFont="1" applyFill="1" applyAlignment="1">
      <alignment horizontal="center" vertical="center"/>
    </xf>
    <xf numFmtId="165" fontId="17" fillId="0" borderId="4" xfId="1" applyNumberFormat="1" applyFont="1" applyFill="1" applyBorder="1" applyAlignment="1">
      <alignment horizontal="center" vertical="center" wrapText="1" readingOrder="2"/>
    </xf>
    <xf numFmtId="165" fontId="35" fillId="0" borderId="0" xfId="1" applyNumberFormat="1" applyFont="1" applyFill="1" applyBorder="1" applyAlignment="1">
      <alignment horizontal="center" vertical="center" readingOrder="2"/>
    </xf>
    <xf numFmtId="165" fontId="17" fillId="0" borderId="0" xfId="1" applyNumberFormat="1" applyFont="1" applyFill="1" applyBorder="1" applyAlignment="1">
      <alignment horizontal="center" vertical="center" wrapText="1" readingOrder="2"/>
    </xf>
    <xf numFmtId="10" fontId="9" fillId="0" borderId="0" xfId="2" applyNumberFormat="1" applyFont="1" applyFill="1" applyBorder="1" applyAlignment="1">
      <alignment horizontal="center" vertical="center" wrapText="1" readingOrder="2"/>
    </xf>
    <xf numFmtId="9" fontId="18" fillId="0" borderId="2" xfId="2" applyFont="1" applyFill="1" applyBorder="1" applyAlignment="1">
      <alignment horizontal="center" vertical="center" wrapText="1" readingOrder="2"/>
    </xf>
    <xf numFmtId="164" fontId="6" fillId="0" borderId="0" xfId="1" applyFont="1" applyFill="1"/>
    <xf numFmtId="0" fontId="7" fillId="0" borderId="1" xfId="3" applyFont="1" applyFill="1" applyBorder="1" applyAlignment="1">
      <alignment horizontal="center" vertical="center" wrapText="1" readingOrder="2"/>
    </xf>
    <xf numFmtId="165" fontId="6" fillId="0" borderId="1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 wrapText="1"/>
    </xf>
    <xf numFmtId="165" fontId="6" fillId="0" borderId="0" xfId="1" applyNumberFormat="1" applyFont="1" applyFill="1" applyBorder="1" applyAlignment="1">
      <alignment horizontal="center" vertical="center" wrapText="1"/>
    </xf>
    <xf numFmtId="172" fontId="10" fillId="0" borderId="0" xfId="1" applyNumberFormat="1" applyFont="1" applyFill="1" applyAlignment="1">
      <alignment horizontal="center" vertical="center" wrapText="1" readingOrder="2"/>
    </xf>
    <xf numFmtId="168" fontId="10" fillId="0" borderId="0" xfId="1" applyNumberFormat="1" applyFont="1" applyFill="1" applyAlignment="1">
      <alignment horizontal="center" vertical="center" wrapText="1" readingOrder="2"/>
    </xf>
    <xf numFmtId="165" fontId="6" fillId="0" borderId="0" xfId="1" applyNumberFormat="1" applyFont="1" applyFill="1" applyAlignment="1">
      <alignment horizontal="center" vertical="center"/>
    </xf>
    <xf numFmtId="10" fontId="9" fillId="0" borderId="0" xfId="2" applyNumberFormat="1" applyFont="1" applyFill="1" applyBorder="1" applyAlignment="1">
      <alignment horizontal="center" vertical="center" readingOrder="2"/>
    </xf>
    <xf numFmtId="172" fontId="25" fillId="0" borderId="0" xfId="1" applyNumberFormat="1" applyFont="1" applyFill="1" applyAlignment="1">
      <alignment horizontal="center" vertical="center" wrapText="1" readingOrder="2"/>
    </xf>
    <xf numFmtId="165" fontId="30" fillId="0" borderId="0" xfId="1" applyNumberFormat="1" applyFont="1" applyFill="1" applyBorder="1" applyAlignment="1">
      <alignment horizontal="center" vertical="center" wrapText="1" readingOrder="2"/>
    </xf>
    <xf numFmtId="165" fontId="12" fillId="0" borderId="0" xfId="1" applyNumberFormat="1" applyFont="1" applyFill="1" applyAlignment="1">
      <alignment horizontal="center" vertical="center" readingOrder="2"/>
    </xf>
    <xf numFmtId="10" fontId="9" fillId="0" borderId="15" xfId="2" applyNumberFormat="1" applyFont="1" applyFill="1" applyBorder="1" applyAlignment="1">
      <alignment horizontal="center" vertical="center" readingOrder="2"/>
    </xf>
    <xf numFmtId="3" fontId="5" fillId="0" borderId="0" xfId="1" applyNumberFormat="1" applyFont="1" applyFill="1" applyAlignment="1">
      <alignment vertical="center" readingOrder="2"/>
    </xf>
    <xf numFmtId="165" fontId="6" fillId="0" borderId="1" xfId="1" applyNumberFormat="1" applyFont="1" applyFill="1" applyBorder="1"/>
    <xf numFmtId="10" fontId="6" fillId="0" borderId="2" xfId="2" applyNumberFormat="1" applyFont="1" applyFill="1" applyBorder="1" applyAlignment="1">
      <alignment horizontal="center" vertical="center" wrapText="1" readingOrder="2"/>
    </xf>
    <xf numFmtId="165" fontId="35" fillId="0" borderId="0" xfId="1" applyNumberFormat="1" applyFont="1" applyFill="1" applyAlignment="1">
      <alignment horizontal="center"/>
    </xf>
    <xf numFmtId="9" fontId="9" fillId="0" borderId="0" xfId="2" applyFont="1" applyFill="1" applyBorder="1" applyAlignment="1">
      <alignment horizontal="center" vertical="center" wrapText="1" readingOrder="2"/>
    </xf>
    <xf numFmtId="172" fontId="10" fillId="0" borderId="6" xfId="1" applyNumberFormat="1" applyFont="1" applyFill="1" applyBorder="1" applyAlignment="1">
      <alignment horizontal="center" vertical="center" wrapText="1" readingOrder="2"/>
    </xf>
    <xf numFmtId="165" fontId="35" fillId="0" borderId="6" xfId="1" applyNumberFormat="1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readingOrder="2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 wrapText="1" readingOrder="2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 vertical="center" readingOrder="2"/>
    </xf>
    <xf numFmtId="0" fontId="34" fillId="0" borderId="0" xfId="0" applyFont="1" applyAlignment="1">
      <alignment horizontal="right" vertical="center" wrapText="1" readingOrder="2"/>
    </xf>
    <xf numFmtId="0" fontId="34" fillId="0" borderId="0" xfId="0" applyFont="1" applyAlignment="1">
      <alignment horizontal="center" vertical="center" wrapText="1" readingOrder="2"/>
    </xf>
    <xf numFmtId="0" fontId="35" fillId="0" borderId="0" xfId="0" applyFont="1" applyAlignment="1">
      <alignment horizontal="center" vertical="center"/>
    </xf>
    <xf numFmtId="0" fontId="35" fillId="0" borderId="12" xfId="0" applyFont="1" applyBorder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 readingOrder="2"/>
    </xf>
    <xf numFmtId="0" fontId="35" fillId="0" borderId="12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 readingOrder="2"/>
    </xf>
    <xf numFmtId="0" fontId="35" fillId="0" borderId="8" xfId="0" applyFont="1" applyBorder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/>
    </xf>
    <xf numFmtId="0" fontId="37" fillId="0" borderId="0" xfId="0" applyFont="1" applyAlignment="1">
      <alignment horizontal="right" vertical="center"/>
    </xf>
    <xf numFmtId="172" fontId="35" fillId="0" borderId="0" xfId="0" applyNumberFormat="1" applyFont="1" applyAlignment="1">
      <alignment horizontal="center" vertical="center" readingOrder="2"/>
    </xf>
    <xf numFmtId="0" fontId="35" fillId="0" borderId="0" xfId="0" applyFont="1" applyAlignment="1">
      <alignment horizontal="center" vertical="center" readingOrder="2"/>
    </xf>
    <xf numFmtId="10" fontId="35" fillId="0" borderId="0" xfId="0" applyNumberFormat="1" applyFont="1" applyAlignment="1">
      <alignment horizontal="center" vertical="center" wrapText="1" readingOrder="2"/>
    </xf>
    <xf numFmtId="3" fontId="35" fillId="0" borderId="0" xfId="0" applyNumberFormat="1" applyFont="1" applyAlignment="1">
      <alignment horizontal="center"/>
    </xf>
    <xf numFmtId="4" fontId="35" fillId="0" borderId="0" xfId="0" applyNumberFormat="1" applyFont="1" applyAlignment="1">
      <alignment horizontal="center"/>
    </xf>
    <xf numFmtId="172" fontId="35" fillId="0" borderId="0" xfId="0" applyNumberFormat="1" applyFont="1" applyAlignment="1">
      <alignment horizontal="center" vertical="center" wrapText="1" readingOrder="2"/>
    </xf>
    <xf numFmtId="10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right"/>
    </xf>
    <xf numFmtId="165" fontId="35" fillId="0" borderId="0" xfId="0" applyNumberFormat="1" applyFont="1" applyAlignment="1">
      <alignment horizontal="center"/>
    </xf>
    <xf numFmtId="9" fontId="35" fillId="0" borderId="0" xfId="0" applyNumberFormat="1" applyFont="1" applyAlignment="1">
      <alignment horizontal="center"/>
    </xf>
    <xf numFmtId="0" fontId="13" fillId="0" borderId="0" xfId="0" applyFont="1" applyAlignment="1">
      <alignment vertical="center" wrapText="1" readingOrder="2"/>
    </xf>
    <xf numFmtId="168" fontId="6" fillId="0" borderId="0" xfId="0" applyNumberFormat="1" applyFont="1" applyAlignment="1">
      <alignment horizontal="center" vertical="center" readingOrder="2"/>
    </xf>
    <xf numFmtId="0" fontId="6" fillId="0" borderId="0" xfId="0" applyFont="1" applyAlignment="1">
      <alignment horizontal="right" vertical="center" wrapText="1"/>
    </xf>
    <xf numFmtId="3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8" fontId="6" fillId="0" borderId="6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/>
    </xf>
    <xf numFmtId="0" fontId="6" fillId="0" borderId="7" xfId="0" applyFont="1" applyBorder="1"/>
    <xf numFmtId="165" fontId="6" fillId="0" borderId="0" xfId="0" applyNumberFormat="1" applyFont="1"/>
    <xf numFmtId="168" fontId="6" fillId="0" borderId="0" xfId="0" applyNumberFormat="1" applyFont="1"/>
    <xf numFmtId="0" fontId="12" fillId="0" borderId="0" xfId="0" applyFont="1" applyAlignment="1">
      <alignment horizontal="center" vertical="center" readingOrder="2"/>
    </xf>
    <xf numFmtId="172" fontId="6" fillId="0" borderId="0" xfId="0" applyNumberFormat="1" applyFont="1"/>
    <xf numFmtId="0" fontId="7" fillId="0" borderId="0" xfId="0" applyFont="1" applyAlignment="1">
      <alignment horizontal="right" indent="1"/>
    </xf>
    <xf numFmtId="0" fontId="7" fillId="0" borderId="0" xfId="0" applyFont="1" applyAlignment="1">
      <alignment horizontal="right" vertical="center" indent="1"/>
    </xf>
    <xf numFmtId="172" fontId="6" fillId="0" borderId="6" xfId="0" applyNumberFormat="1" applyFont="1" applyBorder="1" applyAlignment="1">
      <alignment horizontal="center" vertical="center" readingOrder="2"/>
    </xf>
    <xf numFmtId="0" fontId="15" fillId="0" borderId="0" xfId="0" applyFont="1"/>
    <xf numFmtId="3" fontId="6" fillId="0" borderId="6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172" fontId="25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 indent="1"/>
    </xf>
    <xf numFmtId="0" fontId="26" fillId="0" borderId="0" xfId="0" applyFont="1" applyAlignment="1">
      <alignment horizontal="center" vertical="center"/>
    </xf>
    <xf numFmtId="172" fontId="9" fillId="0" borderId="0" xfId="0" applyNumberFormat="1" applyFont="1" applyAlignment="1">
      <alignment horizontal="center" vertical="center" readingOrder="2"/>
    </xf>
    <xf numFmtId="168" fontId="9" fillId="0" borderId="0" xfId="0" applyNumberFormat="1" applyFont="1" applyAlignment="1">
      <alignment horizontal="center" vertical="center" readingOrder="2"/>
    </xf>
    <xf numFmtId="0" fontId="9" fillId="0" borderId="0" xfId="0" applyFont="1" applyAlignment="1">
      <alignment horizontal="center" vertical="center" wrapText="1"/>
    </xf>
    <xf numFmtId="172" fontId="6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72" fontId="24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 vertical="center" wrapText="1"/>
    </xf>
    <xf numFmtId="167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 readingOrder="2"/>
    </xf>
    <xf numFmtId="0" fontId="17" fillId="0" borderId="1" xfId="0" applyFont="1" applyBorder="1" applyAlignment="1">
      <alignment horizontal="center" vertical="center" wrapText="1" readingOrder="2"/>
    </xf>
    <xf numFmtId="172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37" fontId="9" fillId="0" borderId="15" xfId="0" applyNumberFormat="1" applyFont="1" applyBorder="1" applyAlignment="1">
      <alignment horizontal="center" vertical="center" readingOrder="2"/>
    </xf>
    <xf numFmtId="37" fontId="9" fillId="0" borderId="0" xfId="0" applyNumberFormat="1" applyFont="1" applyAlignment="1">
      <alignment horizontal="center" vertical="center" readingOrder="2"/>
    </xf>
    <xf numFmtId="3" fontId="38" fillId="0" borderId="0" xfId="0" applyNumberFormat="1" applyFont="1" applyAlignment="1">
      <alignment horizontal="center" vertical="center"/>
    </xf>
    <xf numFmtId="170" fontId="9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3" fontId="33" fillId="0" borderId="0" xfId="0" applyNumberFormat="1" applyFont="1" applyAlignment="1">
      <alignment horizontal="center" vertical="center" wrapText="1"/>
    </xf>
    <xf numFmtId="3" fontId="10" fillId="0" borderId="0" xfId="0" applyNumberFormat="1" applyFont="1"/>
    <xf numFmtId="0" fontId="5" fillId="0" borderId="0" xfId="0" applyFont="1" applyAlignment="1">
      <alignment horizontal="right" vertical="center" readingOrder="2"/>
    </xf>
    <xf numFmtId="167" fontId="13" fillId="0" borderId="0" xfId="0" applyNumberFormat="1" applyFont="1" applyAlignment="1">
      <alignment horizontal="center" vertical="center" wrapText="1" readingOrder="2"/>
    </xf>
    <xf numFmtId="3" fontId="21" fillId="0" borderId="0" xfId="0" applyNumberFormat="1" applyFont="1"/>
    <xf numFmtId="0" fontId="14" fillId="0" borderId="0" xfId="0" applyFont="1"/>
    <xf numFmtId="171" fontId="13" fillId="0" borderId="2" xfId="0" applyNumberFormat="1" applyFont="1" applyBorder="1" applyAlignment="1">
      <alignment horizontal="center" vertical="center" wrapText="1" readingOrder="2"/>
    </xf>
    <xf numFmtId="10" fontId="5" fillId="0" borderId="2" xfId="0" applyNumberFormat="1" applyFont="1" applyBorder="1" applyAlignment="1">
      <alignment horizontal="center" vertical="center" readingOrder="1"/>
    </xf>
    <xf numFmtId="10" fontId="5" fillId="0" borderId="2" xfId="0" applyNumberFormat="1" applyFont="1" applyBorder="1" applyAlignment="1">
      <alignment horizontal="center" vertical="center" readingOrder="2"/>
    </xf>
    <xf numFmtId="171" fontId="6" fillId="0" borderId="0" xfId="0" applyNumberFormat="1" applyFont="1"/>
    <xf numFmtId="167" fontId="6" fillId="0" borderId="0" xfId="0" applyNumberFormat="1" applyFont="1"/>
    <xf numFmtId="0" fontId="6" fillId="0" borderId="1" xfId="0" applyFont="1" applyBorder="1" applyAlignment="1">
      <alignment vertical="center" wrapText="1" readingOrder="2"/>
    </xf>
    <xf numFmtId="0" fontId="7" fillId="0" borderId="0" xfId="0" applyFont="1" applyAlignment="1">
      <alignment horizontal="center"/>
    </xf>
    <xf numFmtId="0" fontId="7" fillId="0" borderId="0" xfId="0" applyFont="1"/>
    <xf numFmtId="9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168" fontId="6" fillId="0" borderId="2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vertical="center" wrapText="1"/>
    </xf>
    <xf numFmtId="174" fontId="9" fillId="0" borderId="15" xfId="2" applyNumberFormat="1" applyFont="1" applyFill="1" applyBorder="1" applyAlignment="1">
      <alignment horizontal="center" vertical="center" readingOrder="2"/>
    </xf>
    <xf numFmtId="0" fontId="9" fillId="0" borderId="0" xfId="0" applyFont="1"/>
    <xf numFmtId="0" fontId="17" fillId="0" borderId="1" xfId="0" applyFont="1" applyBorder="1" applyAlignment="1">
      <alignment horizontal="right" vertical="center" wrapText="1" readingOrder="2"/>
    </xf>
    <xf numFmtId="0" fontId="17" fillId="0" borderId="0" xfId="0" applyFont="1" applyAlignment="1">
      <alignment vertical="center" wrapText="1" readingOrder="2"/>
    </xf>
    <xf numFmtId="0" fontId="9" fillId="0" borderId="0" xfId="0" applyFont="1" applyAlignment="1">
      <alignment vertical="center" wrapText="1"/>
    </xf>
    <xf numFmtId="0" fontId="9" fillId="0" borderId="3" xfId="0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18" fillId="0" borderId="0" xfId="0" applyFont="1" applyAlignment="1">
      <alignment horizontal="right" vertical="center" wrapText="1" readingOrder="2"/>
    </xf>
    <xf numFmtId="168" fontId="18" fillId="0" borderId="6" xfId="1" applyNumberFormat="1" applyFont="1" applyFill="1" applyBorder="1" applyAlignment="1">
      <alignment horizontal="center" vertical="center" wrapText="1" readingOrder="2"/>
    </xf>
    <xf numFmtId="3" fontId="9" fillId="0" borderId="0" xfId="0" applyNumberFormat="1" applyFont="1"/>
    <xf numFmtId="0" fontId="32" fillId="3" borderId="14" xfId="0" applyFont="1" applyFill="1" applyBorder="1" applyAlignment="1">
      <alignment horizontal="left" vertical="center" wrapText="1" shrinkToFit="1" readingOrder="2"/>
    </xf>
    <xf numFmtId="49" fontId="32" fillId="3" borderId="14" xfId="0" applyNumberFormat="1" applyFont="1" applyFill="1" applyBorder="1" applyAlignment="1">
      <alignment horizontal="right" vertical="center" wrapText="1" shrinkToFit="1" readingOrder="2"/>
    </xf>
    <xf numFmtId="0" fontId="32" fillId="3" borderId="14" xfId="0" applyFont="1" applyFill="1" applyBorder="1" applyAlignment="1">
      <alignment horizontal="right" vertical="center" wrapText="1" shrinkToFit="1" readingOrder="2"/>
    </xf>
    <xf numFmtId="3" fontId="32" fillId="3" borderId="14" xfId="0" applyNumberFormat="1" applyFont="1" applyFill="1" applyBorder="1" applyAlignment="1">
      <alignment horizontal="left" vertical="center" wrapText="1" shrinkToFit="1" readingOrder="2"/>
    </xf>
    <xf numFmtId="3" fontId="28" fillId="0" borderId="0" xfId="0" applyNumberFormat="1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 wrapText="1"/>
    </xf>
    <xf numFmtId="172" fontId="10" fillId="0" borderId="0" xfId="1" applyNumberFormat="1" applyFont="1" applyFill="1" applyBorder="1" applyAlignment="1">
      <alignment horizontal="center" vertical="center" wrapText="1" readingOrder="2"/>
    </xf>
    <xf numFmtId="0" fontId="40" fillId="0" borderId="0" xfId="0" applyFont="1" applyAlignment="1">
      <alignment horizontal="center"/>
    </xf>
    <xf numFmtId="3" fontId="40" fillId="0" borderId="0" xfId="0" applyNumberFormat="1" applyFont="1" applyAlignment="1">
      <alignment horizontal="center"/>
    </xf>
    <xf numFmtId="0" fontId="41" fillId="0" borderId="0" xfId="0" applyFont="1"/>
    <xf numFmtId="0" fontId="42" fillId="0" borderId="0" xfId="0" applyFont="1" applyAlignment="1">
      <alignment horizontal="center" vertical="center"/>
    </xf>
    <xf numFmtId="172" fontId="42" fillId="0" borderId="0" xfId="0" applyNumberFormat="1" applyFont="1" applyAlignment="1">
      <alignment horizontal="center" vertical="center" readingOrder="2"/>
    </xf>
    <xf numFmtId="165" fontId="42" fillId="0" borderId="0" xfId="0" applyNumberFormat="1" applyFont="1" applyAlignment="1">
      <alignment horizontal="center" vertical="center"/>
    </xf>
    <xf numFmtId="165" fontId="42" fillId="0" borderId="0" xfId="1" applyNumberFormat="1" applyFont="1" applyFill="1" applyAlignment="1">
      <alignment horizontal="center" vertical="center"/>
    </xf>
    <xf numFmtId="0" fontId="39" fillId="0" borderId="0" xfId="0" applyFont="1"/>
    <xf numFmtId="165" fontId="39" fillId="0" borderId="0" xfId="0" applyNumberFormat="1" applyFont="1"/>
    <xf numFmtId="168" fontId="39" fillId="0" borderId="0" xfId="0" applyNumberFormat="1" applyFont="1"/>
    <xf numFmtId="3" fontId="38" fillId="0" borderId="0" xfId="0" applyNumberFormat="1" applyFont="1"/>
    <xf numFmtId="0" fontId="9" fillId="0" borderId="0" xfId="0" applyFont="1" applyAlignment="1">
      <alignment horizontal="right" vertical="center" indent="1"/>
    </xf>
    <xf numFmtId="0" fontId="9" fillId="0" borderId="1" xfId="0" applyFont="1" applyBorder="1" applyAlignment="1">
      <alignment horizontal="right" vertical="center" indent="1"/>
    </xf>
    <xf numFmtId="3" fontId="43" fillId="0" borderId="0" xfId="0" applyNumberFormat="1" applyFont="1"/>
    <xf numFmtId="168" fontId="9" fillId="0" borderId="0" xfId="0" applyNumberFormat="1" applyFont="1"/>
    <xf numFmtId="172" fontId="9" fillId="0" borderId="0" xfId="1" applyNumberFormat="1" applyFont="1" applyFill="1" applyBorder="1" applyAlignment="1">
      <alignment horizontal="center" vertical="center" wrapText="1" readingOrder="2"/>
    </xf>
    <xf numFmtId="171" fontId="13" fillId="0" borderId="0" xfId="0" applyNumberFormat="1" applyFont="1" applyAlignment="1">
      <alignment horizontal="center" vertical="center" wrapText="1" readingOrder="2"/>
    </xf>
    <xf numFmtId="10" fontId="41" fillId="0" borderId="0" xfId="0" applyNumberFormat="1" applyFont="1" applyAlignment="1">
      <alignment horizontal="center"/>
    </xf>
    <xf numFmtId="10" fontId="35" fillId="0" borderId="0" xfId="2" applyNumberFormat="1" applyFont="1" applyFill="1" applyBorder="1" applyAlignment="1">
      <alignment horizontal="center" vertical="center" wrapText="1" readingOrder="2"/>
    </xf>
    <xf numFmtId="165" fontId="34" fillId="0" borderId="0" xfId="0" applyNumberFormat="1" applyFont="1" applyAlignment="1">
      <alignment horizontal="center"/>
    </xf>
    <xf numFmtId="165" fontId="34" fillId="2" borderId="0" xfId="1" applyNumberFormat="1" applyFont="1" applyFill="1" applyAlignment="1">
      <alignment horizontal="center"/>
    </xf>
    <xf numFmtId="3" fontId="34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0" fontId="44" fillId="0" borderId="0" xfId="0" applyFont="1"/>
    <xf numFmtId="9" fontId="35" fillId="0" borderId="6" xfId="2" applyFont="1" applyFill="1" applyBorder="1" applyAlignment="1">
      <alignment horizontal="center" vertical="center" wrapText="1" readingOrder="2"/>
    </xf>
    <xf numFmtId="9" fontId="35" fillId="0" borderId="0" xfId="2" applyFont="1" applyAlignment="1">
      <alignment horizontal="center" vertical="center" readingOrder="2"/>
    </xf>
    <xf numFmtId="0" fontId="45" fillId="0" borderId="0" xfId="0" applyFont="1"/>
    <xf numFmtId="0" fontId="46" fillId="0" borderId="0" xfId="0" applyFont="1" applyAlignment="1">
      <alignment vertical="center" readingOrder="2"/>
    </xf>
    <xf numFmtId="172" fontId="38" fillId="0" borderId="0" xfId="1" applyNumberFormat="1" applyFont="1" applyFill="1" applyBorder="1" applyAlignment="1">
      <alignment horizontal="center" vertical="center" wrapText="1" readingOrder="2"/>
    </xf>
    <xf numFmtId="3" fontId="9" fillId="0" borderId="0" xfId="0" applyNumberFormat="1" applyFont="1" applyAlignment="1">
      <alignment horizontal="center" vertical="center" wrapText="1"/>
    </xf>
    <xf numFmtId="3" fontId="34" fillId="0" borderId="0" xfId="0" applyNumberFormat="1" applyFont="1" applyAlignment="1">
      <alignment horizontal="center"/>
    </xf>
    <xf numFmtId="3" fontId="35" fillId="2" borderId="0" xfId="0" applyNumberFormat="1" applyFont="1" applyFill="1" applyAlignment="1">
      <alignment horizontal="center"/>
    </xf>
    <xf numFmtId="172" fontId="9" fillId="0" borderId="0" xfId="0" applyNumberFormat="1" applyFont="1" applyAlignment="1">
      <alignment horizontal="center" vertical="center" wrapText="1"/>
    </xf>
    <xf numFmtId="175" fontId="35" fillId="0" borderId="0" xfId="1" applyNumberFormat="1" applyFont="1" applyFill="1" applyAlignment="1">
      <alignment horizontal="center"/>
    </xf>
    <xf numFmtId="0" fontId="47" fillId="0" borderId="0" xfId="0" applyFont="1"/>
    <xf numFmtId="165" fontId="48" fillId="0" borderId="0" xfId="1" applyNumberFormat="1" applyFont="1" applyFill="1" applyAlignment="1">
      <alignment horizontal="center" vertical="center"/>
    </xf>
    <xf numFmtId="165" fontId="6" fillId="4" borderId="0" xfId="1" applyNumberFormat="1" applyFont="1" applyFill="1"/>
    <xf numFmtId="172" fontId="35" fillId="0" borderId="15" xfId="0" applyNumberFormat="1" applyFont="1" applyBorder="1" applyAlignment="1">
      <alignment horizontal="center" vertical="center" readingOrder="2"/>
    </xf>
    <xf numFmtId="172" fontId="49" fillId="0" borderId="0" xfId="0" applyNumberFormat="1" applyFont="1" applyAlignment="1">
      <alignment horizontal="center" vertical="center" readingOrder="2"/>
    </xf>
    <xf numFmtId="165" fontId="49" fillId="0" borderId="0" xfId="1" applyNumberFormat="1" applyFont="1" applyFill="1" applyAlignment="1">
      <alignment horizontal="center" vertical="center"/>
    </xf>
    <xf numFmtId="165" fontId="41" fillId="6" borderId="0" xfId="1" applyNumberFormat="1" applyFont="1" applyFill="1" applyAlignment="1">
      <alignment horizontal="center" vertical="center"/>
    </xf>
    <xf numFmtId="3" fontId="5" fillId="0" borderId="0" xfId="0" applyNumberFormat="1" applyFont="1"/>
    <xf numFmtId="3" fontId="51" fillId="0" borderId="0" xfId="0" applyNumberFormat="1" applyFont="1"/>
    <xf numFmtId="0" fontId="41" fillId="0" borderId="0" xfId="0" applyFont="1" applyAlignment="1">
      <alignment horizontal="center" vertical="center"/>
    </xf>
    <xf numFmtId="172" fontId="42" fillId="0" borderId="0" xfId="1" applyNumberFormat="1" applyFont="1" applyFill="1" applyBorder="1" applyAlignment="1">
      <alignment horizontal="center" vertical="center" wrapText="1" readingOrder="2"/>
    </xf>
    <xf numFmtId="165" fontId="41" fillId="2" borderId="0" xfId="1" applyNumberFormat="1" applyFont="1" applyFill="1" applyAlignment="1">
      <alignment horizontal="center" vertical="center"/>
    </xf>
    <xf numFmtId="165" fontId="50" fillId="0" borderId="0" xfId="1" applyNumberFormat="1" applyFont="1" applyFill="1" applyAlignment="1">
      <alignment horizontal="center" vertical="center"/>
    </xf>
    <xf numFmtId="165" fontId="41" fillId="0" borderId="0" xfId="1" applyNumberFormat="1" applyFont="1" applyFill="1" applyAlignment="1">
      <alignment horizontal="center" vertical="center"/>
    </xf>
    <xf numFmtId="165" fontId="23" fillId="0" borderId="0" xfId="1" applyNumberFormat="1" applyFont="1" applyFill="1" applyAlignment="1">
      <alignment horizontal="center" vertical="center"/>
    </xf>
    <xf numFmtId="172" fontId="23" fillId="0" borderId="0" xfId="0" applyNumberFormat="1" applyFont="1" applyAlignment="1">
      <alignment horizontal="center" vertical="center"/>
    </xf>
    <xf numFmtId="165" fontId="22" fillId="0" borderId="0" xfId="1" applyNumberFormat="1" applyFont="1" applyFill="1" applyAlignment="1">
      <alignment horizontal="center" vertical="center"/>
    </xf>
    <xf numFmtId="10" fontId="35" fillId="0" borderId="6" xfId="2" applyNumberFormat="1" applyFont="1" applyFill="1" applyBorder="1" applyAlignment="1">
      <alignment horizontal="center" vertical="center" wrapText="1" readingOrder="2"/>
    </xf>
    <xf numFmtId="37" fontId="9" fillId="0" borderId="0" xfId="0" applyNumberFormat="1" applyFont="1" applyAlignment="1">
      <alignment horizontal="center" vertical="center"/>
    </xf>
    <xf numFmtId="0" fontId="53" fillId="0" borderId="0" xfId="0" applyFont="1" applyAlignment="1">
      <alignment horizontal="center"/>
    </xf>
    <xf numFmtId="10" fontId="53" fillId="0" borderId="0" xfId="2" applyNumberFormat="1" applyFont="1" applyFill="1" applyBorder="1" applyAlignment="1">
      <alignment horizontal="center" vertical="center" wrapText="1" readingOrder="2"/>
    </xf>
    <xf numFmtId="3" fontId="53" fillId="0" borderId="0" xfId="0" applyNumberFormat="1" applyFont="1" applyAlignment="1">
      <alignment horizontal="center"/>
    </xf>
    <xf numFmtId="172" fontId="53" fillId="0" borderId="0" xfId="0" applyNumberFormat="1" applyFont="1" applyAlignment="1">
      <alignment horizontal="center" vertical="center" readingOrder="2"/>
    </xf>
    <xf numFmtId="43" fontId="53" fillId="0" borderId="0" xfId="0" applyNumberFormat="1" applyFont="1" applyAlignment="1">
      <alignment horizontal="center"/>
    </xf>
    <xf numFmtId="0" fontId="54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3" fontId="49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172" fontId="54" fillId="0" borderId="0" xfId="0" applyNumberFormat="1" applyFont="1" applyAlignment="1">
      <alignment horizontal="center" vertical="center"/>
    </xf>
    <xf numFmtId="0" fontId="55" fillId="0" borderId="0" xfId="0" applyFont="1"/>
    <xf numFmtId="0" fontId="52" fillId="0" borderId="8" xfId="0" applyFont="1" applyBorder="1" applyAlignment="1">
      <alignment horizontal="right" vertical="top"/>
    </xf>
    <xf numFmtId="10" fontId="10" fillId="0" borderId="2" xfId="2" applyNumberFormat="1" applyFont="1" applyFill="1" applyBorder="1" applyAlignment="1">
      <alignment horizontal="center" vertical="center" wrapText="1" readingOrder="2"/>
    </xf>
    <xf numFmtId="165" fontId="7" fillId="0" borderId="0" xfId="1" applyNumberFormat="1" applyFont="1" applyAlignment="1">
      <alignment horizontal="center"/>
    </xf>
    <xf numFmtId="165" fontId="6" fillId="0" borderId="0" xfId="1" applyNumberFormat="1" applyFont="1" applyAlignment="1">
      <alignment horizontal="center" vertical="center" readingOrder="2"/>
    </xf>
    <xf numFmtId="0" fontId="7" fillId="0" borderId="0" xfId="3" applyFont="1" applyFill="1" applyBorder="1" applyAlignment="1">
      <alignment horizontal="center" vertical="center" wrapText="1" readingOrder="2"/>
    </xf>
    <xf numFmtId="9" fontId="6" fillId="0" borderId="0" xfId="2" applyFont="1" applyAlignment="1">
      <alignment horizontal="center" vertical="center"/>
    </xf>
    <xf numFmtId="9" fontId="6" fillId="0" borderId="0" xfId="2" applyFont="1" applyAlignment="1">
      <alignment horizontal="center"/>
    </xf>
    <xf numFmtId="0" fontId="4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5" fontId="35" fillId="0" borderId="15" xfId="1" applyNumberFormat="1" applyFont="1" applyFill="1" applyBorder="1" applyAlignment="1">
      <alignment horizontal="center" vertical="center" wrapText="1" readingOrder="2"/>
    </xf>
    <xf numFmtId="172" fontId="35" fillId="0" borderId="6" xfId="0" applyNumberFormat="1" applyFont="1" applyBorder="1" applyAlignment="1">
      <alignment horizontal="center" vertical="center" readingOrder="2"/>
    </xf>
    <xf numFmtId="165" fontId="35" fillId="0" borderId="0" xfId="1" applyNumberFormat="1" applyFont="1" applyFill="1" applyBorder="1" applyAlignment="1">
      <alignment horizontal="center" vertical="center" wrapText="1" readingOrder="2"/>
    </xf>
    <xf numFmtId="3" fontId="57" fillId="0" borderId="0" xfId="0" applyNumberFormat="1" applyFont="1" applyAlignment="1">
      <alignment horizontal="center" wrapText="1"/>
    </xf>
    <xf numFmtId="3" fontId="58" fillId="8" borderId="0" xfId="0" applyNumberFormat="1" applyFont="1" applyFill="1"/>
    <xf numFmtId="0" fontId="58" fillId="0" borderId="0" xfId="0" applyFont="1" applyAlignment="1">
      <alignment vertical="center" readingOrder="2"/>
    </xf>
    <xf numFmtId="3" fontId="58" fillId="7" borderId="0" xfId="0" applyNumberFormat="1" applyFont="1" applyFill="1"/>
    <xf numFmtId="165" fontId="59" fillId="5" borderId="0" xfId="1" applyNumberFormat="1" applyFont="1" applyFill="1" applyAlignment="1">
      <alignment horizontal="center" vertical="center"/>
    </xf>
    <xf numFmtId="0" fontId="60" fillId="0" borderId="0" xfId="0" applyFont="1"/>
    <xf numFmtId="165" fontId="59" fillId="0" borderId="0" xfId="1" applyNumberFormat="1" applyFont="1" applyFill="1" applyAlignment="1">
      <alignment horizontal="center" vertical="center"/>
    </xf>
    <xf numFmtId="164" fontId="60" fillId="0" borderId="0" xfId="1" applyFont="1" applyFill="1"/>
    <xf numFmtId="43" fontId="60" fillId="0" borderId="0" xfId="0" applyNumberFormat="1" applyFont="1"/>
    <xf numFmtId="165" fontId="7" fillId="0" borderId="0" xfId="1" applyNumberFormat="1" applyFont="1" applyAlignment="1">
      <alignment horizontal="right"/>
    </xf>
    <xf numFmtId="0" fontId="7" fillId="0" borderId="0" xfId="0" applyFont="1" applyAlignment="1">
      <alignment horizontal="right" indent="6"/>
    </xf>
    <xf numFmtId="3" fontId="6" fillId="0" borderId="0" xfId="0" applyNumberFormat="1" applyFont="1" applyAlignment="1">
      <alignment horizontal="right" indent="6"/>
    </xf>
    <xf numFmtId="165" fontId="41" fillId="0" borderId="0" xfId="1" applyNumberFormat="1" applyFont="1"/>
    <xf numFmtId="165" fontId="41" fillId="0" borderId="0" xfId="1" applyNumberFormat="1" applyFont="1" applyAlignment="1">
      <alignment vertical="center"/>
    </xf>
    <xf numFmtId="165" fontId="41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right" vertical="center" indent="4" readingOrder="2"/>
    </xf>
    <xf numFmtId="0" fontId="12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wrapText="1" readingOrder="2"/>
    </xf>
    <xf numFmtId="0" fontId="34" fillId="0" borderId="0" xfId="0" applyFont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 wrapText="1" readingOrder="2"/>
    </xf>
    <xf numFmtId="0" fontId="35" fillId="0" borderId="13" xfId="0" applyFont="1" applyBorder="1" applyAlignment="1">
      <alignment horizontal="center" vertical="center" wrapText="1" readingOrder="2"/>
    </xf>
    <xf numFmtId="0" fontId="35" fillId="0" borderId="10" xfId="0" applyFont="1" applyBorder="1" applyAlignment="1">
      <alignment horizontal="center" vertical="center" wrapText="1" readingOrder="2"/>
    </xf>
    <xf numFmtId="0" fontId="34" fillId="0" borderId="0" xfId="0" applyFont="1" applyAlignment="1">
      <alignment horizontal="center" vertical="center"/>
    </xf>
    <xf numFmtId="0" fontId="35" fillId="0" borderId="11" xfId="0" applyFont="1" applyBorder="1" applyAlignment="1">
      <alignment horizontal="center" vertical="center" wrapText="1" readingOrder="2"/>
    </xf>
    <xf numFmtId="0" fontId="35" fillId="0" borderId="9" xfId="0" applyFont="1" applyBorder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/>
    </xf>
    <xf numFmtId="165" fontId="35" fillId="0" borderId="12" xfId="1" applyNumberFormat="1" applyFont="1" applyFill="1" applyBorder="1" applyAlignment="1">
      <alignment horizontal="center" vertical="center" readingOrder="2"/>
    </xf>
    <xf numFmtId="165" fontId="35" fillId="0" borderId="8" xfId="1" applyNumberFormat="1" applyFont="1" applyFill="1" applyBorder="1" applyAlignment="1">
      <alignment horizontal="center" vertical="center" readingOrder="2"/>
    </xf>
    <xf numFmtId="0" fontId="35" fillId="0" borderId="12" xfId="0" applyFont="1" applyBorder="1" applyAlignment="1">
      <alignment horizontal="center" vertical="center" readingOrder="2"/>
    </xf>
    <xf numFmtId="0" fontId="35" fillId="0" borderId="8" xfId="0" applyFont="1" applyBorder="1" applyAlignment="1">
      <alignment horizontal="center" vertical="center" readingOrder="2"/>
    </xf>
    <xf numFmtId="0" fontId="36" fillId="0" borderId="0" xfId="0" applyFont="1" applyAlignment="1">
      <alignment horizontal="right" vertical="center" readingOrder="2"/>
    </xf>
    <xf numFmtId="0" fontId="3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6" fillId="0" borderId="1" xfId="0" applyFont="1" applyBorder="1" applyAlignment="1">
      <alignment horizontal="center" vertical="center" readingOrder="2"/>
    </xf>
    <xf numFmtId="0" fontId="6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23" fillId="0" borderId="3" xfId="0" applyFont="1" applyBorder="1" applyAlignment="1">
      <alignment horizontal="center" vertical="center" wrapText="1" readingOrder="2"/>
    </xf>
    <xf numFmtId="0" fontId="23" fillId="0" borderId="1" xfId="0" applyFont="1" applyBorder="1" applyAlignment="1">
      <alignment horizontal="center" vertical="center" wrapText="1" readingOrder="2"/>
    </xf>
    <xf numFmtId="0" fontId="23" fillId="0" borderId="3" xfId="0" applyFont="1" applyBorder="1" applyAlignment="1">
      <alignment horizontal="center" vertical="center" readingOrder="2"/>
    </xf>
    <xf numFmtId="0" fontId="23" fillId="0" borderId="1" xfId="0" applyFont="1" applyBorder="1" applyAlignment="1">
      <alignment horizontal="center" vertical="center" readingOrder="2"/>
    </xf>
    <xf numFmtId="0" fontId="23" fillId="0" borderId="0" xfId="0" applyFont="1" applyAlignment="1">
      <alignment horizontal="center" vertical="center" wrapText="1" readingOrder="2"/>
    </xf>
    <xf numFmtId="165" fontId="23" fillId="0" borderId="3" xfId="1" applyNumberFormat="1" applyFont="1" applyBorder="1" applyAlignment="1">
      <alignment horizontal="center" vertical="center" wrapText="1" readingOrder="2"/>
    </xf>
    <xf numFmtId="165" fontId="23" fillId="0" borderId="1" xfId="1" applyNumberFormat="1" applyFont="1" applyBorder="1" applyAlignment="1">
      <alignment horizontal="center" vertical="center" wrapText="1" readingOrder="2"/>
    </xf>
    <xf numFmtId="0" fontId="23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readingOrder="2"/>
    </xf>
    <xf numFmtId="0" fontId="6" fillId="0" borderId="0" xfId="0" applyFont="1" applyAlignment="1">
      <alignment horizontal="right" vertical="center" wrapText="1" indent="4" readingOrder="2"/>
    </xf>
    <xf numFmtId="0" fontId="6" fillId="0" borderId="1" xfId="0" applyFont="1" applyBorder="1" applyAlignment="1">
      <alignment horizontal="right" vertical="center" wrapText="1" indent="4" readingOrder="2"/>
    </xf>
    <xf numFmtId="165" fontId="6" fillId="0" borderId="3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 readingOrder="2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 readingOrder="2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 readingOrder="2"/>
    </xf>
    <xf numFmtId="0" fontId="8" fillId="0" borderId="3" xfId="0" applyFont="1" applyBorder="1" applyAlignment="1">
      <alignment horizontal="center" vertical="center" wrapText="1" readingOrder="2"/>
    </xf>
    <xf numFmtId="0" fontId="19" fillId="0" borderId="0" xfId="0" applyFont="1" applyAlignment="1">
      <alignment horizontal="right" vertical="center" indent="1" readingOrder="2"/>
    </xf>
    <xf numFmtId="0" fontId="9" fillId="0" borderId="3" xfId="0" applyFont="1" applyBorder="1" applyAlignment="1">
      <alignment horizontal="center" vertical="center" wrapText="1"/>
    </xf>
    <xf numFmtId="165" fontId="13" fillId="0" borderId="1" xfId="1" applyNumberFormat="1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5" fillId="0" borderId="0" xfId="1" applyNumberFormat="1" applyFont="1" applyFill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 indent="1" readingOrder="2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 vertical="center" readingOrder="2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3" fillId="0" borderId="3" xfId="0" applyFont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 wrapText="1" readingOrder="2"/>
    </xf>
    <xf numFmtId="49" fontId="5" fillId="0" borderId="0" xfId="0" applyNumberFormat="1" applyFont="1" applyAlignment="1">
      <alignment horizontal="center"/>
    </xf>
    <xf numFmtId="0" fontId="12" fillId="0" borderId="0" xfId="0" applyFont="1" applyAlignment="1">
      <alignment horizontal="right" vertical="center" indent="2" readingOrder="2"/>
    </xf>
    <xf numFmtId="0" fontId="13" fillId="0" borderId="4" xfId="0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9" fillId="0" borderId="0" xfId="0" applyFont="1" applyAlignment="1">
      <alignment horizontal="right" vertical="center" readingOrder="2"/>
    </xf>
    <xf numFmtId="177" fontId="7" fillId="0" borderId="0" xfId="1" applyNumberFormat="1" applyFont="1" applyAlignment="1">
      <alignment horizontal="center"/>
    </xf>
  </cellXfs>
  <cellStyles count="7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3" xfId="5" xr:uid="{23A15493-215C-443C-8E6F-2BB3F9E50FDC}"/>
    <cellStyle name="Normal 4" xfId="6" xr:uid="{4354BF1A-018D-4F5C-AA5F-B7A38CB8151F}"/>
    <cellStyle name="Percent" xfId="2" builtinId="5"/>
  </cellStyles>
  <dxfs count="0"/>
  <tableStyles count="0" defaultTableStyle="TableStyleMedium2" defaultPivotStyle="PivotStyleLight16"/>
  <colors>
    <mruColors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AH127"/>
  <sheetViews>
    <sheetView rightToLeft="1" view="pageBreakPreview" zoomScale="40" zoomScaleNormal="40" zoomScaleSheetLayoutView="40" zoomScalePageLayoutView="10" workbookViewId="0">
      <selection activeCell="X80" sqref="X80"/>
    </sheetView>
  </sheetViews>
  <sheetFormatPr defaultColWidth="9.140625" defaultRowHeight="27.75" x14ac:dyDescent="0.65"/>
  <cols>
    <col min="1" max="1" width="3.7109375" style="133" customWidth="1"/>
    <col min="2" max="2" width="43.42578125" style="153" bestFit="1" customWidth="1"/>
    <col min="3" max="3" width="2.140625" style="133" customWidth="1"/>
    <col min="4" max="4" width="24.140625" style="133" bestFit="1" customWidth="1"/>
    <col min="5" max="5" width="0.7109375" style="133" customWidth="1"/>
    <col min="6" max="6" width="30.85546875" style="124" customWidth="1"/>
    <col min="7" max="7" width="1.140625" style="133" customWidth="1"/>
    <col min="8" max="8" width="34.85546875" style="133" bestFit="1" customWidth="1"/>
    <col min="9" max="9" width="0.7109375" style="133" customWidth="1"/>
    <col min="10" max="10" width="26" style="133" customWidth="1"/>
    <col min="11" max="11" width="1.140625" style="133" customWidth="1"/>
    <col min="12" max="12" width="26.28515625" style="133" bestFit="1" customWidth="1"/>
    <col min="13" max="13" width="0.42578125" style="133" customWidth="1"/>
    <col min="14" max="14" width="23.42578125" style="133" bestFit="1" customWidth="1"/>
    <col min="15" max="15" width="0.85546875" style="133" customWidth="1"/>
    <col min="16" max="16" width="28.42578125" style="133" bestFit="1" customWidth="1"/>
    <col min="17" max="17" width="0.85546875" style="133" customWidth="1"/>
    <col min="18" max="18" width="24.140625" style="124" bestFit="1" customWidth="1"/>
    <col min="19" max="19" width="0.7109375" style="133" customWidth="1"/>
    <col min="20" max="20" width="23" style="133" customWidth="1"/>
    <col min="21" max="21" width="0.85546875" style="133" customWidth="1"/>
    <col min="22" max="22" width="30.5703125" style="124" bestFit="1" customWidth="1"/>
    <col min="23" max="23" width="0.85546875" style="133" customWidth="1"/>
    <col min="24" max="24" width="30.85546875" style="133" bestFit="1" customWidth="1"/>
    <col min="25" max="25" width="1.140625" style="133" customWidth="1"/>
    <col min="26" max="26" width="28.7109375" style="133" bestFit="1" customWidth="1"/>
    <col min="27" max="27" width="7.28515625" style="133" customWidth="1"/>
    <col min="28" max="28" width="9.140625" style="133"/>
    <col min="29" max="29" width="41.42578125" style="133" bestFit="1" customWidth="1"/>
    <col min="30" max="30" width="12.140625" style="133" bestFit="1" customWidth="1"/>
    <col min="31" max="32" width="30" style="133" bestFit="1" customWidth="1"/>
    <col min="33" max="33" width="12.28515625" style="133" bestFit="1" customWidth="1"/>
    <col min="34" max="16384" width="9.140625" style="133"/>
  </cols>
  <sheetData>
    <row r="1" spans="2:34" ht="30" x14ac:dyDescent="0.75">
      <c r="B1" s="357" t="s">
        <v>102</v>
      </c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  <c r="V1" s="357"/>
      <c r="W1" s="357"/>
      <c r="X1" s="357"/>
      <c r="Y1" s="357"/>
      <c r="Z1" s="357"/>
      <c r="AA1" s="132"/>
    </row>
    <row r="2" spans="2:34" ht="30" x14ac:dyDescent="0.75">
      <c r="B2" s="357" t="s">
        <v>80</v>
      </c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  <c r="O2" s="357"/>
      <c r="P2" s="357"/>
      <c r="Q2" s="357"/>
      <c r="R2" s="357"/>
      <c r="S2" s="357"/>
      <c r="T2" s="357"/>
      <c r="U2" s="357"/>
      <c r="V2" s="357"/>
      <c r="W2" s="357"/>
      <c r="X2" s="357"/>
      <c r="Y2" s="357"/>
      <c r="Z2" s="357"/>
      <c r="AA2" s="132"/>
      <c r="AC2" s="251"/>
    </row>
    <row r="3" spans="2:34" ht="30" x14ac:dyDescent="0.75">
      <c r="B3" s="357" t="str">
        <f>AC6</f>
        <v>برای ماه منتهی به 1405/02/31</v>
      </c>
      <c r="C3" s="357"/>
      <c r="D3" s="357"/>
      <c r="E3" s="357"/>
      <c r="F3" s="357"/>
      <c r="G3" s="357"/>
      <c r="H3" s="357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7"/>
      <c r="T3" s="357"/>
      <c r="U3" s="357"/>
      <c r="V3" s="357"/>
      <c r="W3" s="357"/>
      <c r="X3" s="357"/>
      <c r="Y3" s="357"/>
      <c r="Z3" s="357"/>
      <c r="AA3" s="132"/>
      <c r="AC3" s="251"/>
    </row>
    <row r="4" spans="2:34" ht="36.75" customHeight="1" x14ac:dyDescent="0.65">
      <c r="B4" s="365" t="s">
        <v>36</v>
      </c>
      <c r="C4" s="365"/>
      <c r="D4" s="365"/>
      <c r="E4" s="365"/>
      <c r="F4" s="365"/>
      <c r="G4" s="365"/>
      <c r="H4" s="365"/>
      <c r="I4" s="365"/>
      <c r="J4" s="365"/>
      <c r="K4" s="365"/>
      <c r="L4" s="365"/>
      <c r="M4" s="365"/>
      <c r="N4" s="365"/>
      <c r="O4" s="365"/>
      <c r="P4" s="365"/>
      <c r="Q4" s="365"/>
      <c r="R4" s="365"/>
      <c r="S4" s="365"/>
      <c r="T4" s="365"/>
      <c r="U4" s="365"/>
      <c r="V4" s="365"/>
      <c r="W4" s="365"/>
      <c r="X4" s="365"/>
      <c r="Y4" s="365"/>
      <c r="Z4" s="365"/>
      <c r="AA4" s="134"/>
      <c r="AC4" s="251" t="s">
        <v>203</v>
      </c>
    </row>
    <row r="5" spans="2:34" ht="30" x14ac:dyDescent="0.65">
      <c r="B5" s="365" t="s">
        <v>37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5"/>
      <c r="O5" s="365"/>
      <c r="P5" s="365"/>
      <c r="Q5" s="365"/>
      <c r="R5" s="365"/>
      <c r="S5" s="365"/>
      <c r="T5" s="365"/>
      <c r="U5" s="365"/>
      <c r="V5" s="365"/>
      <c r="W5" s="365"/>
      <c r="X5" s="365"/>
      <c r="Y5" s="365"/>
      <c r="Z5" s="365"/>
      <c r="AA5" s="134"/>
      <c r="AC5" s="251" t="s">
        <v>208</v>
      </c>
    </row>
    <row r="6" spans="2:34" ht="30" x14ac:dyDescent="0.65">
      <c r="B6" s="135"/>
      <c r="C6" s="136"/>
      <c r="D6" s="352" t="str">
        <f>AC4</f>
        <v>1405/01/31</v>
      </c>
      <c r="E6" s="352"/>
      <c r="F6" s="352"/>
      <c r="G6" s="352"/>
      <c r="H6" s="352"/>
      <c r="I6" s="136"/>
      <c r="J6" s="366" t="s">
        <v>16</v>
      </c>
      <c r="K6" s="366"/>
      <c r="L6" s="366"/>
      <c r="M6" s="366"/>
      <c r="N6" s="366"/>
      <c r="O6" s="366"/>
      <c r="P6" s="366"/>
      <c r="Q6" s="137"/>
      <c r="R6" s="352" t="str">
        <f>AC5</f>
        <v>1405/02/31</v>
      </c>
      <c r="S6" s="352"/>
      <c r="T6" s="352"/>
      <c r="U6" s="352"/>
      <c r="V6" s="352"/>
      <c r="W6" s="352"/>
      <c r="X6" s="352"/>
      <c r="Y6" s="352"/>
      <c r="Z6" s="352"/>
      <c r="AA6" s="136"/>
      <c r="AC6" s="251" t="s">
        <v>209</v>
      </c>
    </row>
    <row r="7" spans="2:34" x14ac:dyDescent="0.65">
      <c r="B7" s="358" t="s">
        <v>5</v>
      </c>
      <c r="C7" s="138"/>
      <c r="D7" s="363" t="s">
        <v>8</v>
      </c>
      <c r="E7" s="353"/>
      <c r="F7" s="361" t="s">
        <v>3</v>
      </c>
      <c r="G7" s="353"/>
      <c r="H7" s="353" t="s">
        <v>31</v>
      </c>
      <c r="I7" s="139"/>
      <c r="J7" s="360" t="s">
        <v>9</v>
      </c>
      <c r="K7" s="360"/>
      <c r="L7" s="360"/>
      <c r="M7" s="140"/>
      <c r="N7" s="360" t="s">
        <v>10</v>
      </c>
      <c r="O7" s="360"/>
      <c r="P7" s="360"/>
      <c r="Q7" s="140"/>
      <c r="R7" s="361" t="s">
        <v>8</v>
      </c>
      <c r="S7" s="353"/>
      <c r="T7" s="353" t="s">
        <v>41</v>
      </c>
      <c r="U7" s="138"/>
      <c r="V7" s="361" t="s">
        <v>3</v>
      </c>
      <c r="W7" s="353"/>
      <c r="X7" s="353" t="s">
        <v>31</v>
      </c>
      <c r="Y7" s="139"/>
      <c r="Z7" s="355" t="s">
        <v>34</v>
      </c>
      <c r="AA7" s="141"/>
      <c r="AC7" s="251" t="s">
        <v>206</v>
      </c>
    </row>
    <row r="8" spans="2:34" x14ac:dyDescent="0.65">
      <c r="B8" s="359"/>
      <c r="C8" s="141"/>
      <c r="D8" s="364"/>
      <c r="E8" s="354"/>
      <c r="F8" s="362"/>
      <c r="G8" s="354"/>
      <c r="H8" s="354"/>
      <c r="I8" s="142"/>
      <c r="J8" s="144" t="s">
        <v>8</v>
      </c>
      <c r="K8" s="144"/>
      <c r="L8" s="144" t="s">
        <v>3</v>
      </c>
      <c r="M8" s="144"/>
      <c r="N8" s="144" t="s">
        <v>8</v>
      </c>
      <c r="O8" s="144"/>
      <c r="P8" s="144" t="s">
        <v>79</v>
      </c>
      <c r="Q8" s="144"/>
      <c r="R8" s="362"/>
      <c r="S8" s="354"/>
      <c r="T8" s="354"/>
      <c r="U8" s="143"/>
      <c r="V8" s="362"/>
      <c r="W8" s="354"/>
      <c r="X8" s="354"/>
      <c r="Y8" s="142"/>
      <c r="Z8" s="356"/>
      <c r="AA8" s="141"/>
      <c r="AC8" s="251" t="s">
        <v>207</v>
      </c>
    </row>
    <row r="9" spans="2:34" ht="41.25" customHeight="1" x14ac:dyDescent="0.65">
      <c r="B9" s="145" t="s">
        <v>193</v>
      </c>
      <c r="C9" s="141"/>
      <c r="D9" s="146">
        <v>14000000</v>
      </c>
      <c r="E9" s="104"/>
      <c r="F9" s="146">
        <v>87506491301</v>
      </c>
      <c r="G9" s="104"/>
      <c r="H9" s="146">
        <v>77377214600</v>
      </c>
      <c r="I9" s="104"/>
      <c r="J9" s="146">
        <v>0</v>
      </c>
      <c r="K9" s="146"/>
      <c r="L9" s="146">
        <v>0</v>
      </c>
      <c r="M9" s="104"/>
      <c r="N9" s="146">
        <v>0</v>
      </c>
      <c r="O9" s="146"/>
      <c r="P9" s="146">
        <v>0</v>
      </c>
      <c r="Q9" s="146"/>
      <c r="R9" s="146">
        <v>14000000</v>
      </c>
      <c r="S9" s="146"/>
      <c r="T9" s="146">
        <v>5900</v>
      </c>
      <c r="U9" s="146"/>
      <c r="V9" s="146">
        <v>87506491301</v>
      </c>
      <c r="W9" s="146"/>
      <c r="X9" s="146">
        <v>81961502000</v>
      </c>
      <c r="Y9" s="147"/>
      <c r="Z9" s="148">
        <f t="shared" ref="Z9:Z48" si="0">X9/$Z$81</f>
        <v>9.7126345106799752E-3</v>
      </c>
      <c r="AA9" s="141"/>
      <c r="AC9" s="252"/>
      <c r="AE9" s="150"/>
      <c r="AF9" s="149"/>
      <c r="AH9" s="149"/>
    </row>
    <row r="10" spans="2:34" ht="41.25" customHeight="1" x14ac:dyDescent="0.65">
      <c r="B10" s="145" t="s">
        <v>191</v>
      </c>
      <c r="C10" s="141"/>
      <c r="D10" s="146">
        <v>837500</v>
      </c>
      <c r="E10" s="146"/>
      <c r="F10" s="146">
        <v>3566757144</v>
      </c>
      <c r="G10" s="146"/>
      <c r="H10" s="146">
        <v>3451251497.125</v>
      </c>
      <c r="I10" s="146"/>
      <c r="J10" s="146">
        <v>0</v>
      </c>
      <c r="K10" s="146"/>
      <c r="L10" s="146">
        <v>0</v>
      </c>
      <c r="M10" s="146"/>
      <c r="N10" s="146">
        <v>0</v>
      </c>
      <c r="O10" s="146"/>
      <c r="P10" s="146">
        <v>0</v>
      </c>
      <c r="Q10" s="146"/>
      <c r="R10" s="146">
        <v>837500</v>
      </c>
      <c r="S10" s="146"/>
      <c r="T10" s="151">
        <v>4120</v>
      </c>
      <c r="U10" s="146"/>
      <c r="V10" s="146">
        <v>3566757144</v>
      </c>
      <c r="W10" s="146"/>
      <c r="X10" s="146">
        <v>3423827635</v>
      </c>
      <c r="Y10" s="147"/>
      <c r="Z10" s="148">
        <f t="shared" si="0"/>
        <v>4.0573178425062055E-4</v>
      </c>
      <c r="AA10" s="141"/>
      <c r="AC10" s="251"/>
      <c r="AE10" s="149"/>
      <c r="AF10" s="149"/>
      <c r="AH10" s="149"/>
    </row>
    <row r="11" spans="2:34" ht="41.25" customHeight="1" x14ac:dyDescent="0.65">
      <c r="B11" s="145" t="s">
        <v>185</v>
      </c>
      <c r="C11" s="141"/>
      <c r="D11" s="146">
        <v>80000000</v>
      </c>
      <c r="E11" s="146"/>
      <c r="F11" s="146">
        <v>109063410216</v>
      </c>
      <c r="G11" s="146"/>
      <c r="H11" s="146">
        <v>85573364800</v>
      </c>
      <c r="I11" s="146"/>
      <c r="J11" s="146">
        <v>0</v>
      </c>
      <c r="K11" s="146"/>
      <c r="L11" s="146">
        <v>0</v>
      </c>
      <c r="M11" s="146"/>
      <c r="N11" s="146">
        <v>0</v>
      </c>
      <c r="O11" s="146"/>
      <c r="P11" s="146">
        <v>0</v>
      </c>
      <c r="Q11" s="146"/>
      <c r="R11" s="146">
        <v>80000000</v>
      </c>
      <c r="S11" s="146"/>
      <c r="T11" s="146">
        <v>1030</v>
      </c>
      <c r="U11" s="146"/>
      <c r="V11" s="146">
        <v>109063410216</v>
      </c>
      <c r="W11" s="146"/>
      <c r="X11" s="146">
        <v>81763048000</v>
      </c>
      <c r="Y11" s="147"/>
      <c r="Z11" s="148">
        <f t="shared" si="0"/>
        <v>9.6891172358357144E-3</v>
      </c>
      <c r="AA11" s="141"/>
      <c r="AE11" s="149"/>
      <c r="AF11" s="149"/>
      <c r="AH11" s="149"/>
    </row>
    <row r="12" spans="2:34" ht="41.25" customHeight="1" x14ac:dyDescent="0.65">
      <c r="B12" s="145" t="s">
        <v>108</v>
      </c>
      <c r="C12" s="141"/>
      <c r="D12" s="146">
        <v>100000000</v>
      </c>
      <c r="E12" s="146"/>
      <c r="F12" s="146">
        <v>49863785508</v>
      </c>
      <c r="G12" s="146"/>
      <c r="H12" s="146">
        <v>47132825000</v>
      </c>
      <c r="I12" s="146"/>
      <c r="J12" s="146">
        <v>0</v>
      </c>
      <c r="K12" s="146"/>
      <c r="L12" s="146">
        <v>0</v>
      </c>
      <c r="M12" s="146"/>
      <c r="N12" s="146">
        <v>0</v>
      </c>
      <c r="O12" s="146"/>
      <c r="P12" s="146">
        <v>0</v>
      </c>
      <c r="Q12" s="146"/>
      <c r="R12" s="146">
        <v>100000000</v>
      </c>
      <c r="S12" s="146"/>
      <c r="T12" s="146">
        <v>461</v>
      </c>
      <c r="U12" s="146"/>
      <c r="V12" s="146">
        <v>49863785508</v>
      </c>
      <c r="W12" s="146"/>
      <c r="X12" s="146">
        <v>45743647000</v>
      </c>
      <c r="Y12" s="147"/>
      <c r="Z12" s="148">
        <f t="shared" si="0"/>
        <v>5.4207318516022625E-3</v>
      </c>
      <c r="AA12" s="141"/>
      <c r="AC12" s="133">
        <v>0</v>
      </c>
      <c r="AE12" s="149"/>
      <c r="AF12" s="149"/>
      <c r="AH12" s="149"/>
    </row>
    <row r="13" spans="2:34" ht="41.25" customHeight="1" x14ac:dyDescent="0.65">
      <c r="B13" s="145" t="s">
        <v>109</v>
      </c>
      <c r="C13" s="141"/>
      <c r="D13" s="146">
        <v>1000</v>
      </c>
      <c r="E13" s="146"/>
      <c r="F13" s="146">
        <v>1915216</v>
      </c>
      <c r="G13" s="146"/>
      <c r="H13" s="146">
        <v>5586480.0999999996</v>
      </c>
      <c r="I13" s="146"/>
      <c r="J13" s="146">
        <v>0</v>
      </c>
      <c r="K13" s="146"/>
      <c r="L13" s="146">
        <v>0</v>
      </c>
      <c r="M13" s="146"/>
      <c r="N13" s="146">
        <v>0</v>
      </c>
      <c r="O13" s="146"/>
      <c r="P13" s="146">
        <v>0</v>
      </c>
      <c r="Q13" s="146"/>
      <c r="R13" s="146">
        <v>1000</v>
      </c>
      <c r="S13" s="146"/>
      <c r="T13" s="146">
        <v>5890</v>
      </c>
      <c r="U13" s="146"/>
      <c r="V13" s="146">
        <v>1915216</v>
      </c>
      <c r="W13" s="146"/>
      <c r="X13" s="146">
        <v>5844470.2999999998</v>
      </c>
      <c r="Y13" s="147"/>
      <c r="Z13" s="148">
        <f t="shared" si="0"/>
        <v>6.9258374416349944E-7</v>
      </c>
      <c r="AA13" s="141"/>
      <c r="AE13" s="149"/>
      <c r="AF13" s="149"/>
      <c r="AH13" s="149"/>
    </row>
    <row r="14" spans="2:34" ht="41.25" customHeight="1" x14ac:dyDescent="0.65">
      <c r="B14" s="145" t="s">
        <v>142</v>
      </c>
      <c r="C14" s="141"/>
      <c r="D14" s="146">
        <v>214926440</v>
      </c>
      <c r="E14" s="146"/>
      <c r="F14" s="146">
        <v>110857943840</v>
      </c>
      <c r="G14" s="146"/>
      <c r="H14" s="146">
        <v>80187662040.668793</v>
      </c>
      <c r="I14" s="146"/>
      <c r="J14" s="146">
        <v>0</v>
      </c>
      <c r="K14" s="146"/>
      <c r="L14" s="146">
        <v>0</v>
      </c>
      <c r="M14" s="146"/>
      <c r="N14" s="146">
        <v>0</v>
      </c>
      <c r="O14" s="146"/>
      <c r="P14" s="146">
        <v>0</v>
      </c>
      <c r="Q14" s="146"/>
      <c r="R14" s="146">
        <v>214926440</v>
      </c>
      <c r="S14" s="146"/>
      <c r="T14" s="146">
        <v>387</v>
      </c>
      <c r="U14" s="146"/>
      <c r="V14" s="146">
        <v>110857943840</v>
      </c>
      <c r="W14" s="146"/>
      <c r="X14" s="146">
        <v>82533577685.475601</v>
      </c>
      <c r="Y14" s="147"/>
      <c r="Z14" s="148">
        <f t="shared" si="0"/>
        <v>9.7804268511067199E-3</v>
      </c>
      <c r="AA14" s="141"/>
      <c r="AE14" s="149"/>
      <c r="AF14" s="149"/>
      <c r="AH14" s="149"/>
    </row>
    <row r="15" spans="2:34" ht="41.25" customHeight="1" x14ac:dyDescent="0.65">
      <c r="B15" s="145" t="s">
        <v>110</v>
      </c>
      <c r="C15" s="141"/>
      <c r="D15" s="146">
        <v>782067055</v>
      </c>
      <c r="E15" s="146"/>
      <c r="F15" s="146">
        <v>720301055481</v>
      </c>
      <c r="G15" s="146"/>
      <c r="H15" s="146">
        <v>677466923728.41394</v>
      </c>
      <c r="I15" s="146"/>
      <c r="J15" s="146">
        <v>0</v>
      </c>
      <c r="K15" s="146"/>
      <c r="L15" s="146">
        <v>0</v>
      </c>
      <c r="M15" s="146"/>
      <c r="N15" s="146">
        <v>0</v>
      </c>
      <c r="O15" s="146"/>
      <c r="P15" s="146">
        <v>0</v>
      </c>
      <c r="Q15" s="146"/>
      <c r="R15" s="146">
        <v>782067055</v>
      </c>
      <c r="S15" s="146"/>
      <c r="T15" s="146">
        <v>941</v>
      </c>
      <c r="U15" s="146"/>
      <c r="V15" s="146">
        <v>720301055481</v>
      </c>
      <c r="W15" s="146"/>
      <c r="X15" s="146">
        <v>730236397741.62402</v>
      </c>
      <c r="Y15" s="147"/>
      <c r="Z15" s="148">
        <f t="shared" si="0"/>
        <v>8.6534764061057909E-2</v>
      </c>
      <c r="AA15" s="141"/>
      <c r="AE15" s="149"/>
      <c r="AF15" s="149"/>
      <c r="AH15" s="149"/>
    </row>
    <row r="16" spans="2:34" ht="41.25" customHeight="1" x14ac:dyDescent="0.65">
      <c r="B16" s="145" t="s">
        <v>160</v>
      </c>
      <c r="C16" s="141"/>
      <c r="D16" s="146">
        <v>58000000</v>
      </c>
      <c r="E16" s="146"/>
      <c r="F16" s="146">
        <v>93098147252</v>
      </c>
      <c r="G16" s="146"/>
      <c r="H16" s="146">
        <v>116484559840</v>
      </c>
      <c r="I16" s="146"/>
      <c r="J16" s="146">
        <v>0</v>
      </c>
      <c r="K16" s="146"/>
      <c r="L16" s="146">
        <v>0</v>
      </c>
      <c r="M16" s="146"/>
      <c r="N16" s="146">
        <v>0</v>
      </c>
      <c r="O16" s="146"/>
      <c r="P16" s="146">
        <v>0</v>
      </c>
      <c r="Q16" s="146"/>
      <c r="R16" s="146">
        <v>58000000</v>
      </c>
      <c r="S16" s="146"/>
      <c r="T16" s="146">
        <v>2146</v>
      </c>
      <c r="U16" s="146"/>
      <c r="V16" s="146">
        <v>93098147252</v>
      </c>
      <c r="W16" s="146"/>
      <c r="X16" s="146">
        <v>123505862360</v>
      </c>
      <c r="Y16" s="147"/>
      <c r="Z16" s="148">
        <f t="shared" si="0"/>
        <v>1.4635740826577665E-2</v>
      </c>
      <c r="AA16" s="141"/>
      <c r="AE16" s="149"/>
      <c r="AF16" s="149"/>
      <c r="AH16" s="149"/>
    </row>
    <row r="17" spans="2:34" ht="41.25" customHeight="1" x14ac:dyDescent="0.65">
      <c r="B17" s="145" t="s">
        <v>151</v>
      </c>
      <c r="C17" s="141"/>
      <c r="D17" s="146">
        <v>232900</v>
      </c>
      <c r="E17" s="146"/>
      <c r="F17" s="146">
        <v>394603131</v>
      </c>
      <c r="G17" s="146"/>
      <c r="H17" s="146">
        <v>459195070.12099999</v>
      </c>
      <c r="I17" s="146"/>
      <c r="J17" s="146">
        <v>0</v>
      </c>
      <c r="K17" s="146"/>
      <c r="L17" s="146">
        <v>0</v>
      </c>
      <c r="M17" s="146"/>
      <c r="N17" s="146">
        <v>0</v>
      </c>
      <c r="O17" s="146"/>
      <c r="P17" s="146">
        <v>0</v>
      </c>
      <c r="Q17" s="146"/>
      <c r="R17" s="146">
        <v>232900</v>
      </c>
      <c r="S17" s="146"/>
      <c r="T17" s="146">
        <v>1867</v>
      </c>
      <c r="U17" s="146"/>
      <c r="V17" s="146">
        <v>394603131</v>
      </c>
      <c r="W17" s="146"/>
      <c r="X17" s="146">
        <v>431463108.16100001</v>
      </c>
      <c r="Y17" s="147"/>
      <c r="Z17" s="148">
        <f t="shared" si="0"/>
        <v>5.1129412860317953E-5</v>
      </c>
      <c r="AA17" s="141"/>
      <c r="AE17" s="149"/>
      <c r="AF17" s="149"/>
      <c r="AH17" s="149"/>
    </row>
    <row r="18" spans="2:34" ht="41.25" customHeight="1" x14ac:dyDescent="0.65">
      <c r="B18" s="145" t="s">
        <v>143</v>
      </c>
      <c r="C18" s="141"/>
      <c r="D18" s="146">
        <v>1000</v>
      </c>
      <c r="E18" s="146"/>
      <c r="F18" s="146">
        <v>5411279</v>
      </c>
      <c r="G18" s="146"/>
      <c r="H18" s="146">
        <v>2745611.09</v>
      </c>
      <c r="I18" s="146"/>
      <c r="J18" s="146">
        <v>0</v>
      </c>
      <c r="K18" s="146"/>
      <c r="L18" s="146">
        <v>0</v>
      </c>
      <c r="M18" s="146"/>
      <c r="N18" s="146">
        <v>0</v>
      </c>
      <c r="O18" s="146"/>
      <c r="P18" s="146">
        <v>0</v>
      </c>
      <c r="Q18" s="146"/>
      <c r="R18" s="146">
        <v>1000</v>
      </c>
      <c r="S18" s="146"/>
      <c r="T18" s="146">
        <v>2754</v>
      </c>
      <c r="U18" s="146"/>
      <c r="V18" s="146">
        <v>5411279</v>
      </c>
      <c r="W18" s="146"/>
      <c r="X18" s="146">
        <v>2732711.58</v>
      </c>
      <c r="Y18" s="147"/>
      <c r="Z18" s="148">
        <f t="shared" si="0"/>
        <v>3.2383287460548007E-7</v>
      </c>
      <c r="AA18" s="141"/>
      <c r="AE18" s="149"/>
      <c r="AF18" s="149"/>
      <c r="AH18" s="149"/>
    </row>
    <row r="19" spans="2:34" ht="41.25" customHeight="1" x14ac:dyDescent="0.65">
      <c r="B19" s="145" t="s">
        <v>111</v>
      </c>
      <c r="C19" s="141"/>
      <c r="D19" s="146">
        <v>100000000</v>
      </c>
      <c r="E19" s="146"/>
      <c r="F19" s="146">
        <v>382642214429</v>
      </c>
      <c r="G19" s="146"/>
      <c r="H19" s="146">
        <v>610246050000</v>
      </c>
      <c r="I19" s="146"/>
      <c r="J19" s="146">
        <v>19060440</v>
      </c>
      <c r="K19" s="146"/>
      <c r="L19" s="146">
        <v>0</v>
      </c>
      <c r="M19" s="146"/>
      <c r="N19" s="146">
        <v>0</v>
      </c>
      <c r="O19" s="146"/>
      <c r="P19" s="146">
        <v>0</v>
      </c>
      <c r="Q19" s="146"/>
      <c r="R19" s="146">
        <v>119060440</v>
      </c>
      <c r="S19" s="146"/>
      <c r="T19" s="146">
        <v>5180</v>
      </c>
      <c r="U19" s="146"/>
      <c r="V19" s="146">
        <v>382642214429</v>
      </c>
      <c r="W19" s="146"/>
      <c r="X19" s="146">
        <v>611965732497.78406</v>
      </c>
      <c r="Y19" s="147"/>
      <c r="Z19" s="148">
        <f t="shared" si="0"/>
        <v>7.2519406645470311E-2</v>
      </c>
      <c r="AA19" s="141"/>
      <c r="AE19" s="149"/>
      <c r="AF19" s="149"/>
      <c r="AH19" s="149"/>
    </row>
    <row r="20" spans="2:34" ht="41.25" customHeight="1" x14ac:dyDescent="0.65">
      <c r="B20" s="145" t="s">
        <v>112</v>
      </c>
      <c r="C20" s="141"/>
      <c r="D20" s="146">
        <v>90000000</v>
      </c>
      <c r="E20" s="146"/>
      <c r="F20" s="146">
        <v>390463761385</v>
      </c>
      <c r="G20" s="146"/>
      <c r="H20" s="146">
        <v>619771842000</v>
      </c>
      <c r="I20" s="146"/>
      <c r="J20" s="146">
        <v>0</v>
      </c>
      <c r="K20" s="146"/>
      <c r="L20" s="146">
        <v>0</v>
      </c>
      <c r="M20" s="146"/>
      <c r="N20" s="146">
        <v>0</v>
      </c>
      <c r="O20" s="146"/>
      <c r="P20" s="146">
        <v>0</v>
      </c>
      <c r="Q20" s="146"/>
      <c r="R20" s="146">
        <v>90000000</v>
      </c>
      <c r="S20" s="146"/>
      <c r="T20" s="146">
        <v>6940</v>
      </c>
      <c r="U20" s="146"/>
      <c r="V20" s="146">
        <v>390463761385</v>
      </c>
      <c r="W20" s="146"/>
      <c r="X20" s="146">
        <v>619771842000</v>
      </c>
      <c r="Y20" s="147"/>
      <c r="Z20" s="148">
        <f t="shared" si="0"/>
        <v>7.3444449338628481E-2</v>
      </c>
      <c r="AA20" s="141"/>
      <c r="AE20" s="149"/>
      <c r="AF20" s="149"/>
      <c r="AH20" s="149"/>
    </row>
    <row r="21" spans="2:34" ht="41.25" customHeight="1" x14ac:dyDescent="0.65">
      <c r="B21" s="145" t="s">
        <v>135</v>
      </c>
      <c r="C21" s="141"/>
      <c r="D21" s="146">
        <v>1000</v>
      </c>
      <c r="E21" s="146"/>
      <c r="F21" s="146">
        <v>20873618</v>
      </c>
      <c r="G21" s="146"/>
      <c r="H21" s="146">
        <v>25699793</v>
      </c>
      <c r="I21" s="146"/>
      <c r="J21" s="146">
        <v>0</v>
      </c>
      <c r="K21" s="146"/>
      <c r="L21" s="146">
        <v>0</v>
      </c>
      <c r="M21" s="146"/>
      <c r="N21" s="146">
        <v>0</v>
      </c>
      <c r="O21" s="146"/>
      <c r="P21" s="146">
        <v>0</v>
      </c>
      <c r="Q21" s="146"/>
      <c r="R21" s="146">
        <v>1000</v>
      </c>
      <c r="S21" s="146"/>
      <c r="T21" s="146">
        <v>25890</v>
      </c>
      <c r="U21" s="146"/>
      <c r="V21" s="146">
        <v>20873618</v>
      </c>
      <c r="W21" s="146"/>
      <c r="X21" s="146">
        <v>25689870.300000001</v>
      </c>
      <c r="Y21" s="147"/>
      <c r="Z21" s="148">
        <f t="shared" si="0"/>
        <v>3.0443112285896437E-6</v>
      </c>
      <c r="AA21" s="141"/>
      <c r="AE21" s="149"/>
      <c r="AF21" s="149"/>
      <c r="AH21" s="149"/>
    </row>
    <row r="22" spans="2:34" ht="41.25" customHeight="1" x14ac:dyDescent="0.65">
      <c r="B22" s="145" t="s">
        <v>113</v>
      </c>
      <c r="C22" s="141"/>
      <c r="D22" s="146">
        <v>84661723</v>
      </c>
      <c r="E22" s="146"/>
      <c r="F22" s="146">
        <v>252230003224</v>
      </c>
      <c r="G22" s="146"/>
      <c r="H22" s="146">
        <v>259750534128.70099</v>
      </c>
      <c r="I22" s="146"/>
      <c r="J22" s="146">
        <v>0</v>
      </c>
      <c r="K22" s="146"/>
      <c r="L22" s="146">
        <v>0</v>
      </c>
      <c r="M22" s="146"/>
      <c r="N22" s="146">
        <v>0</v>
      </c>
      <c r="O22" s="146"/>
      <c r="P22" s="146">
        <v>0</v>
      </c>
      <c r="Q22" s="146"/>
      <c r="R22" s="146">
        <v>84661723</v>
      </c>
      <c r="S22" s="146"/>
      <c r="T22" s="146">
        <v>3092</v>
      </c>
      <c r="U22" s="146"/>
      <c r="V22" s="146">
        <v>252230003224</v>
      </c>
      <c r="W22" s="146"/>
      <c r="X22" s="146">
        <v>259750534128.70099</v>
      </c>
      <c r="Y22" s="147"/>
      <c r="Z22" s="148">
        <f t="shared" si="0"/>
        <v>3.0781061112642592E-2</v>
      </c>
      <c r="AA22" s="141"/>
      <c r="AE22" s="149"/>
      <c r="AF22" s="149"/>
      <c r="AH22" s="149"/>
    </row>
    <row r="23" spans="2:34" ht="41.25" customHeight="1" x14ac:dyDescent="0.65">
      <c r="B23" s="145" t="s">
        <v>139</v>
      </c>
      <c r="C23" s="141"/>
      <c r="D23" s="146">
        <v>1000</v>
      </c>
      <c r="E23" s="146"/>
      <c r="F23" s="146">
        <v>68624286</v>
      </c>
      <c r="G23" s="146"/>
      <c r="H23" s="146">
        <v>34054706.399999999</v>
      </c>
      <c r="I23" s="146"/>
      <c r="J23" s="146">
        <v>400</v>
      </c>
      <c r="K23" s="146"/>
      <c r="L23" s="146">
        <v>0</v>
      </c>
      <c r="M23" s="146"/>
      <c r="N23" s="146">
        <v>0</v>
      </c>
      <c r="O23" s="146"/>
      <c r="P23" s="146">
        <v>0</v>
      </c>
      <c r="Q23" s="146"/>
      <c r="R23" s="146">
        <v>1400</v>
      </c>
      <c r="S23" s="146"/>
      <c r="T23" s="146">
        <v>17159.8</v>
      </c>
      <c r="U23" s="146"/>
      <c r="V23" s="146">
        <v>68624286</v>
      </c>
      <c r="W23" s="146"/>
      <c r="X23" s="146">
        <v>23838016.644400001</v>
      </c>
      <c r="Y23" s="147"/>
      <c r="Z23" s="148">
        <f t="shared" si="0"/>
        <v>2.8248621301079026E-6</v>
      </c>
      <c r="AA23" s="141"/>
      <c r="AE23" s="149"/>
      <c r="AF23" s="149"/>
      <c r="AH23" s="149"/>
    </row>
    <row r="24" spans="2:34" ht="41.25" customHeight="1" x14ac:dyDescent="0.65">
      <c r="B24" s="145" t="s">
        <v>114</v>
      </c>
      <c r="C24" s="141"/>
      <c r="D24" s="146">
        <v>1000</v>
      </c>
      <c r="E24" s="146"/>
      <c r="F24" s="146">
        <v>2873060</v>
      </c>
      <c r="G24" s="146"/>
      <c r="H24" s="146">
        <v>2718819.8</v>
      </c>
      <c r="I24" s="146"/>
      <c r="J24" s="146">
        <v>0</v>
      </c>
      <c r="K24" s="146"/>
      <c r="L24" s="146">
        <v>0</v>
      </c>
      <c r="M24" s="146"/>
      <c r="N24" s="146">
        <v>0</v>
      </c>
      <c r="O24" s="146"/>
      <c r="P24" s="146">
        <v>0</v>
      </c>
      <c r="Q24" s="146"/>
      <c r="R24" s="146">
        <v>1000</v>
      </c>
      <c r="S24" s="146"/>
      <c r="T24" s="146">
        <v>1918</v>
      </c>
      <c r="U24" s="146"/>
      <c r="V24" s="146">
        <v>2873060</v>
      </c>
      <c r="W24" s="146"/>
      <c r="X24" s="146">
        <v>1903173.86</v>
      </c>
      <c r="Y24" s="147"/>
      <c r="Z24" s="148">
        <f t="shared" si="0"/>
        <v>2.2553066575646724E-7</v>
      </c>
      <c r="AA24" s="141"/>
      <c r="AE24" s="149"/>
      <c r="AF24" s="149"/>
      <c r="AH24" s="149"/>
    </row>
    <row r="25" spans="2:34" ht="41.25" customHeight="1" x14ac:dyDescent="0.65">
      <c r="B25" s="145" t="s">
        <v>115</v>
      </c>
      <c r="C25" s="141"/>
      <c r="D25" s="146">
        <v>50607433</v>
      </c>
      <c r="E25" s="146"/>
      <c r="F25" s="146">
        <v>467681242627</v>
      </c>
      <c r="G25" s="146"/>
      <c r="H25" s="146">
        <v>654418007659.203</v>
      </c>
      <c r="I25" s="146"/>
      <c r="J25" s="146">
        <v>0</v>
      </c>
      <c r="K25" s="146"/>
      <c r="L25" s="146">
        <v>0</v>
      </c>
      <c r="M25" s="146"/>
      <c r="N25" s="146">
        <v>0</v>
      </c>
      <c r="O25" s="146"/>
      <c r="P25" s="146">
        <v>0</v>
      </c>
      <c r="Q25" s="146"/>
      <c r="R25" s="146">
        <v>50607433</v>
      </c>
      <c r="S25" s="146"/>
      <c r="T25" s="146">
        <v>9122.4</v>
      </c>
      <c r="U25" s="146"/>
      <c r="V25" s="146">
        <v>467681242627</v>
      </c>
      <c r="W25" s="146"/>
      <c r="X25" s="146">
        <v>458092605361.44202</v>
      </c>
      <c r="Y25" s="147"/>
      <c r="Z25" s="148">
        <f t="shared" si="0"/>
        <v>5.4285072129605975E-2</v>
      </c>
      <c r="AA25" s="141"/>
      <c r="AE25" s="149"/>
      <c r="AF25" s="149"/>
      <c r="AH25" s="149"/>
    </row>
    <row r="26" spans="2:34" ht="41.25" customHeight="1" x14ac:dyDescent="0.65">
      <c r="B26" s="145" t="s">
        <v>116</v>
      </c>
      <c r="C26" s="141"/>
      <c r="D26" s="146">
        <v>100000</v>
      </c>
      <c r="E26" s="146"/>
      <c r="F26" s="146">
        <v>5636941092</v>
      </c>
      <c r="G26" s="146"/>
      <c r="H26" s="146">
        <v>4346142600</v>
      </c>
      <c r="I26" s="146"/>
      <c r="J26" s="146">
        <v>0</v>
      </c>
      <c r="K26" s="146"/>
      <c r="L26" s="146">
        <v>0</v>
      </c>
      <c r="M26" s="146"/>
      <c r="N26" s="146">
        <v>0</v>
      </c>
      <c r="O26" s="146"/>
      <c r="P26" s="146">
        <v>0</v>
      </c>
      <c r="Q26" s="146"/>
      <c r="R26" s="146">
        <v>100000</v>
      </c>
      <c r="S26" s="146"/>
      <c r="T26" s="146">
        <v>30660</v>
      </c>
      <c r="U26" s="146"/>
      <c r="V26" s="146">
        <v>5636941092</v>
      </c>
      <c r="W26" s="146"/>
      <c r="X26" s="146">
        <v>3042299820</v>
      </c>
      <c r="Y26" s="147"/>
      <c r="Z26" s="148">
        <f t="shared" si="0"/>
        <v>3.6051982336252791E-4</v>
      </c>
      <c r="AA26" s="141"/>
      <c r="AE26" s="149"/>
      <c r="AF26" s="149"/>
      <c r="AH26" s="149"/>
    </row>
    <row r="27" spans="2:34" ht="41.25" customHeight="1" x14ac:dyDescent="0.65">
      <c r="B27" s="145" t="s">
        <v>192</v>
      </c>
      <c r="C27" s="141"/>
      <c r="D27" s="146">
        <v>335212</v>
      </c>
      <c r="E27" s="146"/>
      <c r="F27" s="146">
        <v>12087758820</v>
      </c>
      <c r="G27" s="146"/>
      <c r="H27" s="146">
        <v>11894520209.9424</v>
      </c>
      <c r="I27" s="146"/>
      <c r="J27" s="146">
        <v>0</v>
      </c>
      <c r="K27" s="146"/>
      <c r="L27" s="146">
        <v>0</v>
      </c>
      <c r="M27" s="146"/>
      <c r="N27" s="146">
        <v>0</v>
      </c>
      <c r="O27" s="146"/>
      <c r="P27" s="146">
        <v>0</v>
      </c>
      <c r="Q27" s="146"/>
      <c r="R27" s="146">
        <v>335212</v>
      </c>
      <c r="S27" s="146"/>
      <c r="T27" s="146">
        <v>37930</v>
      </c>
      <c r="U27" s="146"/>
      <c r="V27" s="146">
        <v>12087758820</v>
      </c>
      <c r="W27" s="146"/>
      <c r="X27" s="146">
        <v>12616307370.3332</v>
      </c>
      <c r="Y27" s="147"/>
      <c r="Z27" s="148">
        <f t="shared" si="0"/>
        <v>1.4950626742106846E-3</v>
      </c>
      <c r="AA27" s="141"/>
      <c r="AE27" s="149"/>
      <c r="AF27" s="149"/>
      <c r="AH27" s="149"/>
    </row>
    <row r="28" spans="2:34" ht="41.25" customHeight="1" x14ac:dyDescent="0.65">
      <c r="B28" s="145" t="s">
        <v>117</v>
      </c>
      <c r="C28" s="141"/>
      <c r="D28" s="146">
        <v>2000000</v>
      </c>
      <c r="E28" s="146"/>
      <c r="F28" s="146">
        <v>76853450065</v>
      </c>
      <c r="G28" s="146"/>
      <c r="H28" s="146">
        <v>90495024000</v>
      </c>
      <c r="I28" s="146"/>
      <c r="J28" s="146">
        <v>0</v>
      </c>
      <c r="K28" s="146"/>
      <c r="L28" s="146">
        <v>0</v>
      </c>
      <c r="M28" s="146"/>
      <c r="N28" s="146">
        <v>0</v>
      </c>
      <c r="O28" s="146"/>
      <c r="P28" s="146">
        <v>0</v>
      </c>
      <c r="Q28" s="146"/>
      <c r="R28" s="146">
        <v>2000000</v>
      </c>
      <c r="S28" s="146"/>
      <c r="T28" s="146">
        <v>31920</v>
      </c>
      <c r="U28" s="146"/>
      <c r="V28" s="146">
        <v>76853450065</v>
      </c>
      <c r="W28" s="146"/>
      <c r="X28" s="146">
        <v>63346516800</v>
      </c>
      <c r="Y28" s="147"/>
      <c r="Z28" s="148">
        <f t="shared" si="0"/>
        <v>7.5067141302882518E-3</v>
      </c>
      <c r="AA28" s="141"/>
      <c r="AE28" s="149"/>
      <c r="AF28" s="149"/>
      <c r="AH28" s="149"/>
    </row>
    <row r="29" spans="2:34" ht="41.25" customHeight="1" x14ac:dyDescent="0.65">
      <c r="B29" s="145" t="s">
        <v>140</v>
      </c>
      <c r="C29" s="141"/>
      <c r="D29" s="146">
        <v>6000000</v>
      </c>
      <c r="E29" s="146"/>
      <c r="F29" s="146">
        <v>221684251852</v>
      </c>
      <c r="G29" s="146"/>
      <c r="H29" s="146">
        <v>361563342600</v>
      </c>
      <c r="I29" s="146"/>
      <c r="J29" s="146">
        <v>0</v>
      </c>
      <c r="K29" s="146"/>
      <c r="L29" s="146">
        <v>0</v>
      </c>
      <c r="M29" s="146"/>
      <c r="N29" s="146">
        <v>0</v>
      </c>
      <c r="O29" s="146"/>
      <c r="P29" s="146">
        <v>0</v>
      </c>
      <c r="Q29" s="146"/>
      <c r="R29" s="146">
        <v>6000000</v>
      </c>
      <c r="S29" s="146"/>
      <c r="T29" s="146">
        <v>42511</v>
      </c>
      <c r="U29" s="146"/>
      <c r="V29" s="146">
        <v>221684251852</v>
      </c>
      <c r="W29" s="146"/>
      <c r="X29" s="146">
        <v>253094339820</v>
      </c>
      <c r="Y29" s="147"/>
      <c r="Z29" s="148">
        <f t="shared" si="0"/>
        <v>2.9992286127131944E-2</v>
      </c>
      <c r="AA29" s="141"/>
      <c r="AE29" s="149"/>
      <c r="AF29" s="149"/>
      <c r="AH29" s="149"/>
    </row>
    <row r="30" spans="2:34" ht="41.25" customHeight="1" x14ac:dyDescent="0.65">
      <c r="B30" s="145" t="s">
        <v>176</v>
      </c>
      <c r="C30" s="141"/>
      <c r="D30" s="146">
        <v>25882352</v>
      </c>
      <c r="E30" s="146"/>
      <c r="F30" s="146">
        <v>198421138334</v>
      </c>
      <c r="G30" s="146"/>
      <c r="H30" s="146">
        <v>158177171259.867</v>
      </c>
      <c r="I30" s="146"/>
      <c r="J30" s="146">
        <v>0</v>
      </c>
      <c r="K30" s="146"/>
      <c r="L30" s="146">
        <v>0</v>
      </c>
      <c r="M30" s="146"/>
      <c r="N30" s="146">
        <v>0</v>
      </c>
      <c r="O30" s="146"/>
      <c r="P30" s="146">
        <v>0</v>
      </c>
      <c r="Q30" s="146"/>
      <c r="R30" s="146">
        <v>25882352</v>
      </c>
      <c r="S30" s="146"/>
      <c r="T30" s="146">
        <v>6159</v>
      </c>
      <c r="U30" s="146"/>
      <c r="V30" s="146">
        <v>198421138334</v>
      </c>
      <c r="W30" s="146"/>
      <c r="X30" s="146">
        <v>158177171259.867</v>
      </c>
      <c r="Y30" s="147"/>
      <c r="Z30" s="148">
        <f t="shared" si="0"/>
        <v>1.8744374064549488E-2</v>
      </c>
      <c r="AA30" s="141"/>
      <c r="AE30" s="149"/>
      <c r="AF30" s="149"/>
      <c r="AH30" s="149"/>
    </row>
    <row r="31" spans="2:34" ht="41.25" customHeight="1" x14ac:dyDescent="0.65">
      <c r="B31" s="145" t="s">
        <v>133</v>
      </c>
      <c r="C31" s="141"/>
      <c r="D31" s="146">
        <v>1000</v>
      </c>
      <c r="E31" s="146"/>
      <c r="F31" s="146">
        <v>4947385</v>
      </c>
      <c r="G31" s="146"/>
      <c r="H31" s="146">
        <v>5300706.34</v>
      </c>
      <c r="I31" s="146"/>
      <c r="J31" s="146">
        <v>0</v>
      </c>
      <c r="K31" s="146"/>
      <c r="L31" s="146">
        <v>0</v>
      </c>
      <c r="M31" s="146"/>
      <c r="N31" s="146">
        <v>0</v>
      </c>
      <c r="O31" s="146"/>
      <c r="P31" s="146">
        <v>0</v>
      </c>
      <c r="Q31" s="146"/>
      <c r="R31" s="146">
        <v>1000</v>
      </c>
      <c r="S31" s="146"/>
      <c r="T31" s="146">
        <v>5650</v>
      </c>
      <c r="U31" s="146"/>
      <c r="V31" s="146">
        <v>4947385</v>
      </c>
      <c r="W31" s="146"/>
      <c r="X31" s="146">
        <v>5606325.5</v>
      </c>
      <c r="Y31" s="147"/>
      <c r="Z31" s="148">
        <f t="shared" si="0"/>
        <v>6.6436301435038569E-7</v>
      </c>
      <c r="AA31" s="141"/>
      <c r="AE31" s="149"/>
      <c r="AF31" s="149"/>
      <c r="AH31" s="149"/>
    </row>
    <row r="32" spans="2:34" ht="41.25" customHeight="1" x14ac:dyDescent="0.65">
      <c r="B32" s="145" t="s">
        <v>103</v>
      </c>
      <c r="C32" s="141"/>
      <c r="D32" s="146">
        <v>211248</v>
      </c>
      <c r="E32" s="146"/>
      <c r="F32" s="146">
        <v>399481664</v>
      </c>
      <c r="G32" s="146"/>
      <c r="H32" s="146">
        <v>429501243.51503998</v>
      </c>
      <c r="I32" s="146"/>
      <c r="J32" s="146">
        <v>45098</v>
      </c>
      <c r="K32" s="146"/>
      <c r="L32" s="146">
        <v>0</v>
      </c>
      <c r="M32" s="146"/>
      <c r="N32" s="146">
        <v>0</v>
      </c>
      <c r="O32" s="146"/>
      <c r="P32" s="146">
        <v>0</v>
      </c>
      <c r="Q32" s="146"/>
      <c r="R32" s="146">
        <v>256345</v>
      </c>
      <c r="S32" s="146"/>
      <c r="T32" s="146">
        <v>1809</v>
      </c>
      <c r="U32" s="146"/>
      <c r="V32" s="146">
        <v>391960887</v>
      </c>
      <c r="W32" s="146"/>
      <c r="X32" s="146">
        <v>460143486.74835002</v>
      </c>
      <c r="Y32" s="147"/>
      <c r="Z32" s="148">
        <f t="shared" si="0"/>
        <v>5.4528106491467646E-5</v>
      </c>
      <c r="AA32" s="141"/>
      <c r="AE32" s="149"/>
      <c r="AF32" s="149"/>
      <c r="AH32" s="149"/>
    </row>
    <row r="33" spans="2:34" ht="41.25" customHeight="1" x14ac:dyDescent="0.65">
      <c r="B33" s="145" t="s">
        <v>188</v>
      </c>
      <c r="C33" s="141"/>
      <c r="D33" s="146">
        <v>1475169</v>
      </c>
      <c r="E33" s="146"/>
      <c r="F33" s="146">
        <v>6782788386</v>
      </c>
      <c r="G33" s="146"/>
      <c r="H33" s="146">
        <v>10269781860.508101</v>
      </c>
      <c r="I33" s="146"/>
      <c r="J33" s="146">
        <v>0</v>
      </c>
      <c r="K33" s="146"/>
      <c r="L33" s="146">
        <v>0</v>
      </c>
      <c r="M33" s="146"/>
      <c r="N33" s="146">
        <v>0</v>
      </c>
      <c r="O33" s="146"/>
      <c r="P33" s="146">
        <v>0</v>
      </c>
      <c r="Q33" s="146"/>
      <c r="R33" s="146">
        <v>1475169</v>
      </c>
      <c r="S33" s="146"/>
      <c r="T33" s="146">
        <v>6745</v>
      </c>
      <c r="U33" s="146"/>
      <c r="V33" s="146">
        <v>6782788386</v>
      </c>
      <c r="W33" s="146"/>
      <c r="X33" s="146">
        <v>9873101289.7843494</v>
      </c>
      <c r="Y33" s="147"/>
      <c r="Z33" s="148">
        <f t="shared" si="0"/>
        <v>1.1699861761269145E-3</v>
      </c>
      <c r="AA33" s="141"/>
      <c r="AE33" s="149"/>
      <c r="AF33" s="149"/>
      <c r="AH33" s="149"/>
    </row>
    <row r="34" spans="2:34" ht="41.25" customHeight="1" x14ac:dyDescent="0.65">
      <c r="B34" s="145" t="s">
        <v>202</v>
      </c>
      <c r="C34" s="141"/>
      <c r="D34" s="146">
        <v>2488888</v>
      </c>
      <c r="E34" s="146"/>
      <c r="F34" s="146">
        <v>19970837312</v>
      </c>
      <c r="G34" s="146"/>
      <c r="H34" s="146">
        <v>22046555692.449501</v>
      </c>
      <c r="I34" s="146"/>
      <c r="J34" s="146">
        <v>0</v>
      </c>
      <c r="K34" s="146"/>
      <c r="L34" s="146">
        <v>0</v>
      </c>
      <c r="M34" s="146"/>
      <c r="N34" s="146">
        <v>0</v>
      </c>
      <c r="O34" s="146"/>
      <c r="P34" s="146">
        <v>0</v>
      </c>
      <c r="Q34" s="146"/>
      <c r="R34" s="146">
        <v>2488888</v>
      </c>
      <c r="S34" s="146"/>
      <c r="T34" s="146">
        <v>9000</v>
      </c>
      <c r="U34" s="146"/>
      <c r="V34" s="146">
        <v>19970837312</v>
      </c>
      <c r="W34" s="146"/>
      <c r="X34" s="146">
        <v>22226840061.84</v>
      </c>
      <c r="Y34" s="147"/>
      <c r="Z34" s="148">
        <f t="shared" si="0"/>
        <v>2.6339338418662878E-3</v>
      </c>
      <c r="AA34" s="141"/>
      <c r="AE34" s="149"/>
      <c r="AF34" s="149"/>
      <c r="AH34" s="149"/>
    </row>
    <row r="35" spans="2:34" ht="41.25" customHeight="1" x14ac:dyDescent="0.65">
      <c r="B35" s="145" t="s">
        <v>148</v>
      </c>
      <c r="C35" s="141"/>
      <c r="D35" s="146">
        <v>111</v>
      </c>
      <c r="E35" s="146"/>
      <c r="F35" s="146">
        <v>148185</v>
      </c>
      <c r="G35" s="146"/>
      <c r="H35" s="146">
        <v>99237.914969999998</v>
      </c>
      <c r="I35" s="146"/>
      <c r="J35" s="146">
        <v>0</v>
      </c>
      <c r="K35" s="146"/>
      <c r="L35" s="146">
        <v>0</v>
      </c>
      <c r="M35" s="146"/>
      <c r="N35" s="146">
        <v>0</v>
      </c>
      <c r="O35" s="146"/>
      <c r="P35" s="146">
        <v>0</v>
      </c>
      <c r="Q35" s="146"/>
      <c r="R35" s="146">
        <v>111</v>
      </c>
      <c r="S35" s="146"/>
      <c r="T35" s="146">
        <v>729</v>
      </c>
      <c r="U35" s="146"/>
      <c r="V35" s="146">
        <v>148185</v>
      </c>
      <c r="W35" s="146"/>
      <c r="X35" s="146">
        <v>80293.49613</v>
      </c>
      <c r="Y35" s="147"/>
      <c r="Z35" s="148">
        <f t="shared" si="0"/>
        <v>9.5149718156139576E-9</v>
      </c>
      <c r="AA35" s="141"/>
      <c r="AE35" s="149"/>
      <c r="AF35" s="149"/>
      <c r="AH35" s="149"/>
    </row>
    <row r="36" spans="2:34" ht="41.25" customHeight="1" x14ac:dyDescent="0.65">
      <c r="B36" s="145" t="s">
        <v>118</v>
      </c>
      <c r="C36" s="141"/>
      <c r="D36" s="146">
        <v>5000000</v>
      </c>
      <c r="E36" s="146"/>
      <c r="F36" s="146">
        <v>97418382725</v>
      </c>
      <c r="G36" s="146"/>
      <c r="H36" s="146">
        <v>94116809500</v>
      </c>
      <c r="I36" s="146"/>
      <c r="J36" s="146">
        <v>0</v>
      </c>
      <c r="K36" s="146"/>
      <c r="L36" s="146">
        <v>0</v>
      </c>
      <c r="M36" s="146"/>
      <c r="N36" s="146">
        <v>0</v>
      </c>
      <c r="O36" s="146"/>
      <c r="P36" s="146">
        <v>0</v>
      </c>
      <c r="Q36" s="146"/>
      <c r="R36" s="146">
        <v>5000000</v>
      </c>
      <c r="S36" s="146"/>
      <c r="T36" s="146">
        <v>13279</v>
      </c>
      <c r="U36" s="146"/>
      <c r="V36" s="146">
        <v>97418382725</v>
      </c>
      <c r="W36" s="146"/>
      <c r="X36" s="146">
        <v>65881766650</v>
      </c>
      <c r="Y36" s="147"/>
      <c r="Z36" s="148">
        <f t="shared" si="0"/>
        <v>7.8071473164236923E-3</v>
      </c>
      <c r="AA36" s="141"/>
      <c r="AE36" s="149"/>
      <c r="AF36" s="149"/>
      <c r="AH36" s="149"/>
    </row>
    <row r="37" spans="2:34" ht="41.25" customHeight="1" x14ac:dyDescent="0.65">
      <c r="B37" s="145" t="s">
        <v>182</v>
      </c>
      <c r="C37" s="141"/>
      <c r="D37" s="146">
        <v>562500</v>
      </c>
      <c r="E37" s="146"/>
      <c r="F37" s="146">
        <v>4998586413</v>
      </c>
      <c r="G37" s="146"/>
      <c r="H37" s="146">
        <v>4632660562.5</v>
      </c>
      <c r="I37" s="146"/>
      <c r="J37" s="146">
        <v>0</v>
      </c>
      <c r="K37" s="146"/>
      <c r="L37" s="146">
        <v>0</v>
      </c>
      <c r="M37" s="146">
        <v>9102861790</v>
      </c>
      <c r="N37" s="146">
        <v>0</v>
      </c>
      <c r="O37" s="146"/>
      <c r="P37" s="146">
        <v>0</v>
      </c>
      <c r="Q37" s="146"/>
      <c r="R37" s="146">
        <v>562500</v>
      </c>
      <c r="S37" s="146"/>
      <c r="T37" s="146">
        <v>8130</v>
      </c>
      <c r="U37" s="146"/>
      <c r="V37" s="146">
        <v>4998586413</v>
      </c>
      <c r="W37" s="146"/>
      <c r="X37" s="146">
        <v>4537774743.75</v>
      </c>
      <c r="Y37" s="147"/>
      <c r="Z37" s="148">
        <f t="shared" si="0"/>
        <v>5.3773718761081549E-4</v>
      </c>
      <c r="AA37" s="141"/>
      <c r="AE37" s="149"/>
      <c r="AF37" s="149"/>
      <c r="AH37" s="149"/>
    </row>
    <row r="38" spans="2:34" ht="41.25" customHeight="1" x14ac:dyDescent="0.65">
      <c r="B38" s="145" t="s">
        <v>134</v>
      </c>
      <c r="C38" s="141"/>
      <c r="D38" s="146">
        <v>150000000</v>
      </c>
      <c r="E38" s="146"/>
      <c r="F38" s="146">
        <v>87281561491</v>
      </c>
      <c r="G38" s="146"/>
      <c r="H38" s="146">
        <v>75015612000</v>
      </c>
      <c r="I38" s="146"/>
      <c r="J38" s="146">
        <v>0</v>
      </c>
      <c r="K38" s="146"/>
      <c r="L38" s="146">
        <v>0</v>
      </c>
      <c r="M38" s="146"/>
      <c r="N38" s="146">
        <v>0</v>
      </c>
      <c r="O38" s="146"/>
      <c r="P38" s="146">
        <v>0</v>
      </c>
      <c r="Q38" s="146"/>
      <c r="R38" s="146">
        <v>150000000</v>
      </c>
      <c r="S38" s="146"/>
      <c r="T38" s="146">
        <v>492</v>
      </c>
      <c r="U38" s="146"/>
      <c r="V38" s="146">
        <v>87281561491</v>
      </c>
      <c r="W38" s="146"/>
      <c r="X38" s="146">
        <v>73229526000</v>
      </c>
      <c r="Y38" s="147"/>
      <c r="Z38" s="148">
        <f t="shared" si="0"/>
        <v>8.6778744175324725E-3</v>
      </c>
      <c r="AA38" s="141"/>
      <c r="AE38" s="149"/>
      <c r="AF38" s="149"/>
      <c r="AH38" s="149"/>
    </row>
    <row r="39" spans="2:34" ht="41.25" customHeight="1" x14ac:dyDescent="0.65">
      <c r="B39" s="145" t="s">
        <v>128</v>
      </c>
      <c r="C39" s="141"/>
      <c r="D39" s="146">
        <v>280000000</v>
      </c>
      <c r="E39" s="146"/>
      <c r="F39" s="146">
        <v>444311046137</v>
      </c>
      <c r="G39" s="146"/>
      <c r="H39" s="146">
        <v>455372548400</v>
      </c>
      <c r="I39" s="146"/>
      <c r="J39" s="146">
        <v>0</v>
      </c>
      <c r="K39" s="146"/>
      <c r="L39" s="146">
        <v>0</v>
      </c>
      <c r="M39" s="146"/>
      <c r="N39" s="146">
        <v>0</v>
      </c>
      <c r="O39" s="146"/>
      <c r="P39" s="146">
        <v>0</v>
      </c>
      <c r="Q39" s="146"/>
      <c r="R39" s="146">
        <v>280000000</v>
      </c>
      <c r="S39" s="146"/>
      <c r="T39" s="146">
        <v>1600</v>
      </c>
      <c r="U39" s="146"/>
      <c r="V39" s="146">
        <v>444311046137</v>
      </c>
      <c r="W39" s="146"/>
      <c r="X39" s="146">
        <v>444536960000</v>
      </c>
      <c r="Y39" s="147"/>
      <c r="Z39" s="148">
        <f t="shared" si="0"/>
        <v>5.2678695651145628E-2</v>
      </c>
      <c r="AA39" s="141"/>
      <c r="AE39" s="149"/>
      <c r="AF39" s="149"/>
      <c r="AH39" s="149"/>
    </row>
    <row r="40" spans="2:34" ht="41.25" customHeight="1" x14ac:dyDescent="0.65">
      <c r="B40" s="145" t="s">
        <v>190</v>
      </c>
      <c r="C40" s="141"/>
      <c r="D40" s="146">
        <v>99982360</v>
      </c>
      <c r="E40" s="146"/>
      <c r="F40" s="146">
        <v>371522240327</v>
      </c>
      <c r="G40" s="146"/>
      <c r="H40" s="146">
        <v>290187776844.81</v>
      </c>
      <c r="I40" s="146"/>
      <c r="J40" s="146">
        <v>0</v>
      </c>
      <c r="K40" s="146"/>
      <c r="L40" s="146">
        <v>0</v>
      </c>
      <c r="M40" s="146"/>
      <c r="N40" s="146">
        <v>0</v>
      </c>
      <c r="O40" s="146"/>
      <c r="P40" s="146">
        <v>0</v>
      </c>
      <c r="Q40" s="146"/>
      <c r="R40" s="146">
        <v>99982360</v>
      </c>
      <c r="S40" s="146"/>
      <c r="T40" s="146">
        <v>2924</v>
      </c>
      <c r="U40" s="146"/>
      <c r="V40" s="146">
        <v>371522240327</v>
      </c>
      <c r="W40" s="146"/>
      <c r="X40" s="146">
        <v>290088567348.453</v>
      </c>
      <c r="Y40" s="147"/>
      <c r="Z40" s="148">
        <f t="shared" si="0"/>
        <v>3.4376190792383195E-2</v>
      </c>
      <c r="AA40" s="141"/>
      <c r="AE40" s="149"/>
      <c r="AF40" s="149"/>
      <c r="AH40" s="149"/>
    </row>
    <row r="41" spans="2:34" ht="41.25" customHeight="1" x14ac:dyDescent="0.65">
      <c r="B41" s="145" t="s">
        <v>153</v>
      </c>
      <c r="C41" s="141"/>
      <c r="D41" s="146">
        <v>96000000</v>
      </c>
      <c r="E41" s="146"/>
      <c r="F41" s="146">
        <v>136919972432</v>
      </c>
      <c r="G41" s="146"/>
      <c r="H41" s="146">
        <v>150126481920</v>
      </c>
      <c r="I41" s="146"/>
      <c r="J41" s="146">
        <v>0</v>
      </c>
      <c r="K41" s="146"/>
      <c r="L41" s="146">
        <v>0</v>
      </c>
      <c r="M41" s="146"/>
      <c r="N41" s="146">
        <v>-3600000</v>
      </c>
      <c r="O41" s="146"/>
      <c r="P41" s="146">
        <v>5376324941</v>
      </c>
      <c r="Q41" s="146"/>
      <c r="R41" s="146">
        <v>92400000</v>
      </c>
      <c r="S41" s="146"/>
      <c r="T41" s="146">
        <v>1266.5</v>
      </c>
      <c r="U41" s="146"/>
      <c r="V41" s="146">
        <v>131785473469</v>
      </c>
      <c r="W41" s="146"/>
      <c r="X41" s="146">
        <v>116119999842</v>
      </c>
      <c r="Y41" s="147"/>
      <c r="Z41" s="148">
        <f t="shared" si="0"/>
        <v>1.3760498408698788E-2</v>
      </c>
      <c r="AA41" s="141"/>
      <c r="AE41" s="149"/>
      <c r="AF41" s="149"/>
      <c r="AH41" s="149"/>
    </row>
    <row r="42" spans="2:34" ht="41.25" customHeight="1" x14ac:dyDescent="0.65">
      <c r="B42" s="145" t="s">
        <v>141</v>
      </c>
      <c r="C42" s="141"/>
      <c r="D42" s="146">
        <v>7414814</v>
      </c>
      <c r="E42" s="146"/>
      <c r="F42" s="146">
        <v>66922505559</v>
      </c>
      <c r="G42" s="146"/>
      <c r="H42" s="146">
        <v>73037877561.192093</v>
      </c>
      <c r="I42" s="146"/>
      <c r="J42" s="146">
        <v>0</v>
      </c>
      <c r="K42" s="146"/>
      <c r="L42" s="146">
        <v>0</v>
      </c>
      <c r="M42" s="146"/>
      <c r="N42" s="146">
        <v>0</v>
      </c>
      <c r="O42" s="146"/>
      <c r="P42" s="146">
        <v>0</v>
      </c>
      <c r="Q42" s="146"/>
      <c r="R42" s="146">
        <v>7414814</v>
      </c>
      <c r="S42" s="146"/>
      <c r="T42" s="146">
        <v>10000</v>
      </c>
      <c r="U42" s="146"/>
      <c r="V42" s="146">
        <v>66922505559</v>
      </c>
      <c r="W42" s="146"/>
      <c r="X42" s="146">
        <v>73574974877.800003</v>
      </c>
      <c r="Y42" s="147"/>
      <c r="Z42" s="148">
        <f t="shared" si="0"/>
        <v>8.7188109378538783E-3</v>
      </c>
      <c r="AA42" s="141"/>
      <c r="AE42" s="149"/>
      <c r="AF42" s="149"/>
      <c r="AH42" s="149"/>
    </row>
    <row r="43" spans="2:34" ht="41.25" customHeight="1" x14ac:dyDescent="0.65">
      <c r="B43" s="145" t="s">
        <v>175</v>
      </c>
      <c r="C43" s="141"/>
      <c r="D43" s="146">
        <v>34000000</v>
      </c>
      <c r="E43" s="146"/>
      <c r="F43" s="146">
        <v>137933892936</v>
      </c>
      <c r="G43" s="146"/>
      <c r="H43" s="146">
        <v>147195316340</v>
      </c>
      <c r="I43" s="146"/>
      <c r="J43" s="146">
        <v>0</v>
      </c>
      <c r="K43" s="146"/>
      <c r="L43" s="146">
        <v>0</v>
      </c>
      <c r="M43" s="146"/>
      <c r="N43" s="146">
        <v>0</v>
      </c>
      <c r="O43" s="146"/>
      <c r="P43" s="146">
        <v>0</v>
      </c>
      <c r="Q43" s="146"/>
      <c r="R43" s="146">
        <v>34000000</v>
      </c>
      <c r="S43" s="146"/>
      <c r="T43" s="146">
        <v>4262</v>
      </c>
      <c r="U43" s="146"/>
      <c r="V43" s="146">
        <v>137933892936</v>
      </c>
      <c r="W43" s="146"/>
      <c r="X43" s="146">
        <v>143787861160</v>
      </c>
      <c r="Y43" s="147"/>
      <c r="Z43" s="148">
        <f t="shared" si="0"/>
        <v>1.7039206315661186E-2</v>
      </c>
      <c r="AA43" s="141"/>
      <c r="AE43" s="149"/>
      <c r="AF43" s="149"/>
      <c r="AH43" s="149"/>
    </row>
    <row r="44" spans="2:34" ht="41.25" customHeight="1" x14ac:dyDescent="0.65">
      <c r="B44" s="145" t="s">
        <v>129</v>
      </c>
      <c r="C44" s="141"/>
      <c r="D44" s="146">
        <v>14000000</v>
      </c>
      <c r="E44" s="146"/>
      <c r="F44" s="146">
        <v>303499357672</v>
      </c>
      <c r="G44" s="146"/>
      <c r="H44" s="146">
        <v>236021342200</v>
      </c>
      <c r="I44" s="146"/>
      <c r="J44" s="146">
        <v>0</v>
      </c>
      <c r="K44" s="146"/>
      <c r="L44" s="146">
        <v>0</v>
      </c>
      <c r="M44" s="146"/>
      <c r="N44" s="146">
        <v>-7200000</v>
      </c>
      <c r="O44" s="146"/>
      <c r="P44" s="146">
        <v>115209000000</v>
      </c>
      <c r="Q44" s="146"/>
      <c r="R44" s="146">
        <v>6800000</v>
      </c>
      <c r="S44" s="146"/>
      <c r="T44" s="146">
        <v>15940</v>
      </c>
      <c r="U44" s="146"/>
      <c r="V44" s="146">
        <v>147413973728</v>
      </c>
      <c r="W44" s="146"/>
      <c r="X44" s="146">
        <v>107554129840</v>
      </c>
      <c r="Y44" s="147"/>
      <c r="Z44" s="148">
        <f t="shared" si="0"/>
        <v>1.274542227459593E-2</v>
      </c>
      <c r="AA44" s="141"/>
      <c r="AE44" s="149"/>
      <c r="AF44" s="149"/>
      <c r="AH44" s="149"/>
    </row>
    <row r="45" spans="2:34" ht="41.25" customHeight="1" x14ac:dyDescent="0.65">
      <c r="B45" s="145" t="s">
        <v>119</v>
      </c>
      <c r="C45" s="141"/>
      <c r="D45" s="146">
        <v>40000000</v>
      </c>
      <c r="E45" s="146"/>
      <c r="F45" s="146">
        <v>406715712142</v>
      </c>
      <c r="G45" s="146"/>
      <c r="H45" s="146">
        <v>539001064000</v>
      </c>
      <c r="I45" s="146"/>
      <c r="J45" s="146">
        <v>0</v>
      </c>
      <c r="K45" s="146"/>
      <c r="L45" s="146">
        <v>0</v>
      </c>
      <c r="M45" s="146"/>
      <c r="N45" s="146">
        <v>0</v>
      </c>
      <c r="O45" s="146"/>
      <c r="P45" s="146">
        <v>0</v>
      </c>
      <c r="Q45" s="146"/>
      <c r="R45" s="146">
        <v>40000000</v>
      </c>
      <c r="S45" s="146"/>
      <c r="T45" s="146">
        <v>9506</v>
      </c>
      <c r="U45" s="146"/>
      <c r="V45" s="146">
        <v>406715712142</v>
      </c>
      <c r="W45" s="146"/>
      <c r="X45" s="146">
        <v>377300744800</v>
      </c>
      <c r="Y45" s="147"/>
      <c r="Z45" s="148">
        <f t="shared" si="0"/>
        <v>4.4711042933909852E-2</v>
      </c>
      <c r="AA45" s="141"/>
      <c r="AE45" s="149"/>
      <c r="AF45" s="149"/>
      <c r="AH45" s="149"/>
    </row>
    <row r="46" spans="2:34" ht="41.25" customHeight="1" x14ac:dyDescent="0.65">
      <c r="B46" s="145" t="s">
        <v>120</v>
      </c>
      <c r="C46" s="141"/>
      <c r="D46" s="146">
        <v>80000000</v>
      </c>
      <c r="E46" s="146"/>
      <c r="F46" s="146">
        <v>584586147232</v>
      </c>
      <c r="G46" s="146"/>
      <c r="H46" s="146">
        <v>833506800000</v>
      </c>
      <c r="I46" s="146"/>
      <c r="J46" s="146">
        <v>0</v>
      </c>
      <c r="K46" s="146"/>
      <c r="L46" s="146">
        <v>0</v>
      </c>
      <c r="M46" s="146"/>
      <c r="N46" s="146">
        <v>0</v>
      </c>
      <c r="O46" s="146"/>
      <c r="P46" s="146">
        <v>0</v>
      </c>
      <c r="Q46" s="146"/>
      <c r="R46" s="146">
        <v>80000000</v>
      </c>
      <c r="S46" s="146"/>
      <c r="T46" s="146">
        <v>5250</v>
      </c>
      <c r="U46" s="146"/>
      <c r="V46" s="146">
        <v>584586147232</v>
      </c>
      <c r="W46" s="146"/>
      <c r="X46" s="146">
        <v>416753400000</v>
      </c>
      <c r="Y46" s="147"/>
      <c r="Z46" s="148">
        <f t="shared" si="0"/>
        <v>4.9386277172949029E-2</v>
      </c>
      <c r="AA46" s="141"/>
      <c r="AE46" s="149"/>
      <c r="AF46" s="149"/>
      <c r="AH46" s="149"/>
    </row>
    <row r="47" spans="2:34" ht="41.25" customHeight="1" x14ac:dyDescent="0.65">
      <c r="B47" s="145" t="s">
        <v>152</v>
      </c>
      <c r="C47" s="141"/>
      <c r="D47" s="146">
        <v>2000000</v>
      </c>
      <c r="E47" s="146"/>
      <c r="F47" s="146">
        <v>50411649795</v>
      </c>
      <c r="G47" s="146"/>
      <c r="H47" s="146">
        <v>64477704600</v>
      </c>
      <c r="I47" s="146"/>
      <c r="J47" s="146">
        <v>0</v>
      </c>
      <c r="K47" s="146"/>
      <c r="L47" s="146">
        <v>0</v>
      </c>
      <c r="M47" s="146"/>
      <c r="N47" s="146">
        <v>0</v>
      </c>
      <c r="O47" s="146"/>
      <c r="P47" s="146">
        <v>0</v>
      </c>
      <c r="Q47" s="146"/>
      <c r="R47" s="146">
        <v>2000000</v>
      </c>
      <c r="S47" s="146"/>
      <c r="T47" s="146">
        <v>34730</v>
      </c>
      <c r="U47" s="146"/>
      <c r="V47" s="146">
        <v>50411649795</v>
      </c>
      <c r="W47" s="146"/>
      <c r="X47" s="146">
        <v>68923074200</v>
      </c>
      <c r="Y47" s="147"/>
      <c r="Z47" s="148">
        <f t="shared" si="0"/>
        <v>8.1675495534119982E-3</v>
      </c>
      <c r="AA47" s="141"/>
      <c r="AE47" s="149"/>
      <c r="AF47" s="149"/>
      <c r="AH47" s="149"/>
    </row>
    <row r="48" spans="2:34" ht="41.25" customHeight="1" x14ac:dyDescent="0.65">
      <c r="B48" s="145" t="s">
        <v>121</v>
      </c>
      <c r="C48" s="141"/>
      <c r="D48" s="146">
        <v>12900000</v>
      </c>
      <c r="E48" s="146"/>
      <c r="F48" s="146">
        <v>34912740601</v>
      </c>
      <c r="G48" s="146"/>
      <c r="H48" s="146">
        <v>33408738630</v>
      </c>
      <c r="I48" s="146"/>
      <c r="J48" s="146">
        <v>0</v>
      </c>
      <c r="K48" s="146"/>
      <c r="L48" s="146">
        <v>0</v>
      </c>
      <c r="M48" s="146"/>
      <c r="N48" s="146">
        <v>0</v>
      </c>
      <c r="O48" s="146"/>
      <c r="P48" s="146">
        <v>0</v>
      </c>
      <c r="Q48" s="146"/>
      <c r="R48" s="146">
        <v>12900000</v>
      </c>
      <c r="S48" s="146"/>
      <c r="T48" s="146">
        <v>1305</v>
      </c>
      <c r="U48" s="146"/>
      <c r="V48" s="146">
        <v>34912740601</v>
      </c>
      <c r="W48" s="146"/>
      <c r="X48" s="146">
        <v>16704369315</v>
      </c>
      <c r="Y48" s="147"/>
      <c r="Z48" s="148">
        <f t="shared" si="0"/>
        <v>1.9795078168285962E-3</v>
      </c>
      <c r="AA48" s="141"/>
      <c r="AE48" s="149"/>
      <c r="AF48" s="149"/>
      <c r="AH48" s="149"/>
    </row>
    <row r="49" spans="2:34" ht="41.25" customHeight="1" thickBot="1" x14ac:dyDescent="0.7">
      <c r="B49" s="135" t="s">
        <v>167</v>
      </c>
      <c r="C49" s="141">
        <v>0</v>
      </c>
      <c r="D49" s="127">
        <f>SUM(D9:D48)</f>
        <v>2435691705</v>
      </c>
      <c r="E49" s="127" t="e">
        <f>AC48=SUM(#REF!)</f>
        <v>#REF!</v>
      </c>
      <c r="F49" s="127">
        <f>SUM(F9:F48)</f>
        <v>5937044651554</v>
      </c>
      <c r="G49" s="127" t="e">
        <f t="shared" ref="G49" si="1">SUM(#REF!)</f>
        <v>#REF!</v>
      </c>
      <c r="H49" s="127">
        <f>SUM(H9:H48)</f>
        <v>6887718407743.6621</v>
      </c>
      <c r="I49" s="127"/>
      <c r="J49" s="127">
        <f>SUM(J9:J48)</f>
        <v>19105938</v>
      </c>
      <c r="K49" s="328" t="e">
        <f t="shared" ref="K49" si="2">SUM(#REF!)</f>
        <v>#REF!</v>
      </c>
      <c r="L49" s="127">
        <f>SUM(L9:L48)</f>
        <v>0</v>
      </c>
      <c r="M49" s="127" t="e">
        <f t="shared" ref="M49" si="3">SUM(#REF!)</f>
        <v>#REF!</v>
      </c>
      <c r="N49" s="327">
        <f>SUM(N9:N48)</f>
        <v>-10800000</v>
      </c>
      <c r="O49" s="326" t="e">
        <f t="shared" ref="O49" si="4">SUM(#REF!)</f>
        <v>#REF!</v>
      </c>
      <c r="P49" s="127">
        <f>SUM(P9:P48)</f>
        <v>120585324941</v>
      </c>
      <c r="Q49" s="127" t="e">
        <f t="shared" ref="Q49" si="5">SUM(#REF!)</f>
        <v>#REF!</v>
      </c>
      <c r="R49" s="127">
        <f>SUM(R9:R48)</f>
        <v>2443997642</v>
      </c>
      <c r="S49" s="127" t="e">
        <f t="shared" ref="S49" si="6">SUM(#REF!)</f>
        <v>#REF!</v>
      </c>
      <c r="T49" s="127">
        <f>SUM(T9:T48)</f>
        <v>376595.7</v>
      </c>
      <c r="U49" s="127" t="e">
        <f t="shared" ref="U49" si="7">SUM(#REF!)</f>
        <v>#REF!</v>
      </c>
      <c r="V49" s="127">
        <f>SUM(V9:V48)</f>
        <v>5775817247870</v>
      </c>
      <c r="W49" s="127" t="e">
        <f t="shared" ref="W49" si="8">SUM(#REF!)</f>
        <v>#REF!</v>
      </c>
      <c r="X49" s="127">
        <f>SUM(X9:X48)</f>
        <v>5821075603065.4434</v>
      </c>
      <c r="Y49" s="127" t="e">
        <f t="shared" ref="Y49" si="9">SUM(#REF!)</f>
        <v>#REF!</v>
      </c>
      <c r="Z49" s="277">
        <f>SUM(Z9:Z48)</f>
        <v>0.68981141648198063</v>
      </c>
      <c r="AA49" s="141"/>
      <c r="AE49" s="149"/>
      <c r="AF49" s="149"/>
      <c r="AH49" s="149"/>
    </row>
    <row r="50" spans="2:34" ht="45" customHeight="1" thickTop="1" x14ac:dyDescent="0.65">
      <c r="B50" s="145"/>
      <c r="C50" s="141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7"/>
      <c r="Z50" s="148"/>
      <c r="AA50" s="141"/>
      <c r="AE50" s="149"/>
      <c r="AF50" s="149"/>
      <c r="AH50" s="149"/>
    </row>
    <row r="51" spans="2:34" ht="41.25" customHeight="1" x14ac:dyDescent="0.65">
      <c r="B51" s="365" t="s">
        <v>36</v>
      </c>
      <c r="C51" s="365"/>
      <c r="D51" s="365"/>
      <c r="E51" s="365"/>
      <c r="F51" s="365"/>
      <c r="G51" s="365"/>
      <c r="H51" s="365"/>
      <c r="I51" s="365"/>
      <c r="J51" s="365"/>
      <c r="K51" s="365"/>
      <c r="L51" s="365"/>
      <c r="M51" s="365"/>
      <c r="N51" s="365"/>
      <c r="O51" s="365"/>
      <c r="P51" s="365"/>
      <c r="Q51" s="365"/>
      <c r="R51" s="365"/>
      <c r="S51" s="365"/>
      <c r="T51" s="365"/>
      <c r="U51" s="365"/>
      <c r="V51" s="365"/>
      <c r="W51" s="365"/>
      <c r="X51" s="365"/>
      <c r="Y51" s="365"/>
      <c r="Z51" s="365"/>
      <c r="AA51" s="141"/>
      <c r="AE51" s="149"/>
      <c r="AF51" s="149"/>
      <c r="AH51" s="149"/>
    </row>
    <row r="52" spans="2:34" ht="41.25" customHeight="1" x14ac:dyDescent="0.65">
      <c r="B52" s="365" t="s">
        <v>37</v>
      </c>
      <c r="C52" s="365"/>
      <c r="D52" s="365"/>
      <c r="E52" s="365"/>
      <c r="F52" s="365"/>
      <c r="G52" s="365"/>
      <c r="H52" s="365"/>
      <c r="I52" s="365"/>
      <c r="J52" s="365"/>
      <c r="K52" s="365"/>
      <c r="L52" s="365"/>
      <c r="M52" s="365"/>
      <c r="N52" s="365"/>
      <c r="O52" s="365"/>
      <c r="P52" s="365"/>
      <c r="Q52" s="365"/>
      <c r="R52" s="365"/>
      <c r="S52" s="365"/>
      <c r="T52" s="365"/>
      <c r="U52" s="365"/>
      <c r="V52" s="365"/>
      <c r="W52" s="365"/>
      <c r="X52" s="365"/>
      <c r="Y52" s="365"/>
      <c r="Z52" s="365"/>
      <c r="AA52" s="141"/>
      <c r="AE52" s="149"/>
      <c r="AF52" s="149"/>
      <c r="AH52" s="149"/>
    </row>
    <row r="53" spans="2:34" ht="41.25" customHeight="1" x14ac:dyDescent="0.65">
      <c r="B53" s="135"/>
      <c r="C53" s="136"/>
      <c r="D53" s="352" t="str">
        <f>D6</f>
        <v>1405/01/31</v>
      </c>
      <c r="E53" s="352"/>
      <c r="F53" s="352"/>
      <c r="G53" s="352"/>
      <c r="H53" s="352"/>
      <c r="I53" s="136"/>
      <c r="J53" s="366" t="s">
        <v>16</v>
      </c>
      <c r="K53" s="366"/>
      <c r="L53" s="366"/>
      <c r="M53" s="366"/>
      <c r="N53" s="366"/>
      <c r="O53" s="366"/>
      <c r="P53" s="366"/>
      <c r="Q53" s="137"/>
      <c r="R53" s="352" t="str">
        <f>R6</f>
        <v>1405/02/31</v>
      </c>
      <c r="S53" s="352"/>
      <c r="T53" s="352"/>
      <c r="U53" s="352"/>
      <c r="V53" s="352"/>
      <c r="W53" s="352"/>
      <c r="X53" s="352"/>
      <c r="Y53" s="352"/>
      <c r="Z53" s="352"/>
      <c r="AA53" s="141"/>
      <c r="AE53" s="149"/>
      <c r="AF53" s="149"/>
      <c r="AH53" s="149"/>
    </row>
    <row r="54" spans="2:34" ht="41.25" customHeight="1" x14ac:dyDescent="0.65">
      <c r="B54" s="358" t="s">
        <v>5</v>
      </c>
      <c r="C54" s="138"/>
      <c r="D54" s="363" t="s">
        <v>8</v>
      </c>
      <c r="E54" s="353"/>
      <c r="F54" s="361" t="s">
        <v>3</v>
      </c>
      <c r="G54" s="353"/>
      <c r="H54" s="353" t="s">
        <v>31</v>
      </c>
      <c r="I54" s="139"/>
      <c r="J54" s="360" t="s">
        <v>9</v>
      </c>
      <c r="K54" s="360"/>
      <c r="L54" s="360"/>
      <c r="M54" s="140"/>
      <c r="N54" s="360" t="s">
        <v>10</v>
      </c>
      <c r="O54" s="360"/>
      <c r="P54" s="360"/>
      <c r="Q54" s="140"/>
      <c r="R54" s="361" t="s">
        <v>8</v>
      </c>
      <c r="S54" s="353"/>
      <c r="T54" s="353" t="s">
        <v>41</v>
      </c>
      <c r="U54" s="138"/>
      <c r="V54" s="361" t="s">
        <v>3</v>
      </c>
      <c r="W54" s="353"/>
      <c r="X54" s="353" t="s">
        <v>31</v>
      </c>
      <c r="Y54" s="139"/>
      <c r="Z54" s="355" t="s">
        <v>34</v>
      </c>
      <c r="AA54" s="141"/>
      <c r="AE54" s="149"/>
      <c r="AF54" s="149"/>
      <c r="AH54" s="149"/>
    </row>
    <row r="55" spans="2:34" ht="41.25" customHeight="1" x14ac:dyDescent="0.65">
      <c r="B55" s="359"/>
      <c r="C55" s="141"/>
      <c r="D55" s="364"/>
      <c r="E55" s="354"/>
      <c r="F55" s="362"/>
      <c r="G55" s="354"/>
      <c r="H55" s="354"/>
      <c r="I55" s="142"/>
      <c r="J55" s="144" t="s">
        <v>8</v>
      </c>
      <c r="K55" s="144"/>
      <c r="L55" s="144" t="s">
        <v>3</v>
      </c>
      <c r="M55" s="144"/>
      <c r="N55" s="144" t="s">
        <v>8</v>
      </c>
      <c r="O55" s="144"/>
      <c r="P55" s="144" t="s">
        <v>79</v>
      </c>
      <c r="Q55" s="144"/>
      <c r="R55" s="362"/>
      <c r="S55" s="354"/>
      <c r="T55" s="354"/>
      <c r="U55" s="143"/>
      <c r="V55" s="362"/>
      <c r="W55" s="354"/>
      <c r="X55" s="354"/>
      <c r="Y55" s="142"/>
      <c r="Z55" s="356"/>
      <c r="AA55" s="141"/>
      <c r="AE55" s="149"/>
      <c r="AF55" s="149"/>
      <c r="AH55" s="149"/>
    </row>
    <row r="56" spans="2:34" ht="41.25" customHeight="1" x14ac:dyDescent="0.65">
      <c r="B56" s="191" t="s">
        <v>166</v>
      </c>
      <c r="C56" s="141"/>
      <c r="D56" s="146">
        <f>D49</f>
        <v>2435691705</v>
      </c>
      <c r="E56" s="146"/>
      <c r="F56" s="146">
        <f>F49</f>
        <v>5937044651554</v>
      </c>
      <c r="G56" s="146"/>
      <c r="H56" s="146">
        <f>H49</f>
        <v>6887718407743.6621</v>
      </c>
      <c r="I56" s="146"/>
      <c r="J56" s="146">
        <f>J49</f>
        <v>19105938</v>
      </c>
      <c r="K56" s="146"/>
      <c r="L56" s="146">
        <f>L49</f>
        <v>0</v>
      </c>
      <c r="M56" s="146"/>
      <c r="N56" s="146">
        <f>N49</f>
        <v>-10800000</v>
      </c>
      <c r="O56" s="146"/>
      <c r="P56" s="146">
        <f>P49</f>
        <v>120585324941</v>
      </c>
      <c r="Q56" s="146"/>
      <c r="R56" s="146">
        <f>R49</f>
        <v>2443997642</v>
      </c>
      <c r="S56" s="146"/>
      <c r="T56" s="146">
        <f>T49</f>
        <v>376595.7</v>
      </c>
      <c r="U56" s="146"/>
      <c r="V56" s="146">
        <f>V49</f>
        <v>5775817247870</v>
      </c>
      <c r="W56" s="146"/>
      <c r="X56" s="146">
        <f>X49</f>
        <v>5821075603065.4434</v>
      </c>
      <c r="Y56" s="147"/>
      <c r="Z56" s="278">
        <f>Z49</f>
        <v>0.68981141648198063</v>
      </c>
      <c r="AA56" s="141"/>
      <c r="AE56" s="149"/>
      <c r="AF56" s="149"/>
      <c r="AH56" s="149"/>
    </row>
    <row r="57" spans="2:34" ht="41.25" customHeight="1" x14ac:dyDescent="0.65">
      <c r="B57" s="145" t="s">
        <v>154</v>
      </c>
      <c r="C57" s="141"/>
      <c r="D57" s="146">
        <v>60000000</v>
      </c>
      <c r="E57" s="146"/>
      <c r="F57" s="146">
        <v>98042294767</v>
      </c>
      <c r="G57" s="146"/>
      <c r="H57" s="146">
        <v>86625171000</v>
      </c>
      <c r="I57" s="146">
        <v>97426840500</v>
      </c>
      <c r="J57" s="146">
        <v>0</v>
      </c>
      <c r="K57" s="146"/>
      <c r="L57" s="146">
        <v>0</v>
      </c>
      <c r="M57" s="146"/>
      <c r="N57" s="146">
        <v>0</v>
      </c>
      <c r="O57" s="146"/>
      <c r="P57" s="146">
        <v>0</v>
      </c>
      <c r="Q57" s="146"/>
      <c r="R57" s="146">
        <v>60000000</v>
      </c>
      <c r="S57" s="146"/>
      <c r="T57" s="146">
        <v>1481</v>
      </c>
      <c r="U57" s="146"/>
      <c r="V57" s="146">
        <v>98042294767</v>
      </c>
      <c r="W57" s="146"/>
      <c r="X57" s="146">
        <v>88173112200</v>
      </c>
      <c r="Y57" s="147"/>
      <c r="Z57" s="148">
        <f t="shared" ref="Z57:Z73" si="10">X57/$Z$81</f>
        <v>1.0448725213305358E-2</v>
      </c>
      <c r="AA57" s="141"/>
      <c r="AE57" s="149"/>
      <c r="AF57" s="149"/>
      <c r="AH57" s="149"/>
    </row>
    <row r="58" spans="2:34" ht="41.25" customHeight="1" x14ac:dyDescent="0.65">
      <c r="B58" s="145" t="s">
        <v>194</v>
      </c>
      <c r="C58" s="141"/>
      <c r="D58" s="146">
        <v>375000</v>
      </c>
      <c r="E58" s="146"/>
      <c r="F58" s="146">
        <v>3137744212</v>
      </c>
      <c r="G58" s="146"/>
      <c r="H58" s="146">
        <v>3657755287.5</v>
      </c>
      <c r="I58" s="146">
        <v>56813933700</v>
      </c>
      <c r="J58" s="146">
        <v>0</v>
      </c>
      <c r="K58" s="146"/>
      <c r="L58" s="146">
        <v>0</v>
      </c>
      <c r="M58" s="146"/>
      <c r="N58" s="146">
        <v>0</v>
      </c>
      <c r="O58" s="146"/>
      <c r="P58" s="146">
        <v>0</v>
      </c>
      <c r="Q58" s="146"/>
      <c r="R58" s="146">
        <v>375000</v>
      </c>
      <c r="S58" s="146"/>
      <c r="T58" s="146">
        <v>9210</v>
      </c>
      <c r="U58" s="146"/>
      <c r="V58" s="146">
        <v>3137744212</v>
      </c>
      <c r="W58" s="146"/>
      <c r="X58" s="146">
        <v>3427052512.5</v>
      </c>
      <c r="Y58" s="147"/>
      <c r="Z58" s="148">
        <f t="shared" si="10"/>
        <v>4.0611393996683976E-4</v>
      </c>
      <c r="AA58" s="141"/>
      <c r="AE58" s="149"/>
      <c r="AF58" s="149"/>
      <c r="AH58" s="149"/>
    </row>
    <row r="59" spans="2:34" ht="41.25" customHeight="1" x14ac:dyDescent="0.65">
      <c r="B59" s="145" t="s">
        <v>122</v>
      </c>
      <c r="C59" s="141"/>
      <c r="D59" s="146">
        <v>1000</v>
      </c>
      <c r="E59" s="146"/>
      <c r="F59" s="146">
        <v>16436086</v>
      </c>
      <c r="G59" s="146"/>
      <c r="H59" s="146">
        <v>12413297.699999999</v>
      </c>
      <c r="I59" s="146">
        <v>24781666.5</v>
      </c>
      <c r="J59" s="146">
        <v>0</v>
      </c>
      <c r="K59" s="146"/>
      <c r="L59" s="146">
        <v>0</v>
      </c>
      <c r="M59" s="146"/>
      <c r="N59" s="146">
        <v>0</v>
      </c>
      <c r="O59" s="146"/>
      <c r="P59" s="146">
        <v>0</v>
      </c>
      <c r="Q59" s="146"/>
      <c r="R59" s="146">
        <v>1000</v>
      </c>
      <c r="S59" s="146"/>
      <c r="T59" s="146">
        <v>12470</v>
      </c>
      <c r="U59" s="146"/>
      <c r="V59" s="146">
        <v>16436086</v>
      </c>
      <c r="W59" s="146"/>
      <c r="X59" s="146">
        <v>12373606.9</v>
      </c>
      <c r="Y59" s="147"/>
      <c r="Z59" s="148">
        <f t="shared" si="10"/>
        <v>1.466302086539701E-6</v>
      </c>
      <c r="AA59" s="141"/>
      <c r="AE59" s="149"/>
      <c r="AF59" s="149"/>
      <c r="AH59" s="149"/>
    </row>
    <row r="60" spans="2:34" ht="41.25" customHeight="1" x14ac:dyDescent="0.65">
      <c r="B60" s="145" t="s">
        <v>146</v>
      </c>
      <c r="C60" s="141"/>
      <c r="D60" s="146">
        <v>1782</v>
      </c>
      <c r="E60" s="146"/>
      <c r="F60" s="146">
        <v>8899545</v>
      </c>
      <c r="G60" s="146"/>
      <c r="H60" s="146">
        <v>9583780.2588</v>
      </c>
      <c r="I60" s="146">
        <v>149862978000</v>
      </c>
      <c r="J60" s="146">
        <v>0</v>
      </c>
      <c r="K60" s="146"/>
      <c r="L60" s="146">
        <v>0</v>
      </c>
      <c r="M60" s="146"/>
      <c r="N60" s="146">
        <v>0</v>
      </c>
      <c r="O60" s="146"/>
      <c r="P60" s="146">
        <v>0</v>
      </c>
      <c r="Q60" s="146"/>
      <c r="R60" s="146">
        <v>1782</v>
      </c>
      <c r="S60" s="146"/>
      <c r="T60" s="146">
        <v>5370</v>
      </c>
      <c r="U60" s="146"/>
      <c r="V60" s="146">
        <v>8899545</v>
      </c>
      <c r="W60" s="146"/>
      <c r="X60" s="146">
        <v>9495369.0018000007</v>
      </c>
      <c r="Y60" s="147"/>
      <c r="Z60" s="148">
        <f t="shared" si="10"/>
        <v>1.1252239942909241E-6</v>
      </c>
      <c r="AA60" s="141"/>
      <c r="AE60" s="149"/>
      <c r="AF60" s="149"/>
      <c r="AH60" s="149"/>
    </row>
    <row r="61" spans="2:34" ht="41.25" customHeight="1" x14ac:dyDescent="0.65">
      <c r="B61" s="145" t="s">
        <v>123</v>
      </c>
      <c r="C61" s="141"/>
      <c r="D61" s="146">
        <v>8000000</v>
      </c>
      <c r="E61" s="146"/>
      <c r="F61" s="146">
        <v>147918055705</v>
      </c>
      <c r="G61" s="146"/>
      <c r="H61" s="146">
        <v>214409701600</v>
      </c>
      <c r="I61" s="146">
        <v>142188912000</v>
      </c>
      <c r="J61" s="146">
        <v>0</v>
      </c>
      <c r="K61" s="146"/>
      <c r="L61" s="146">
        <v>0</v>
      </c>
      <c r="M61" s="146"/>
      <c r="N61" s="146">
        <v>0</v>
      </c>
      <c r="O61" s="146"/>
      <c r="P61" s="146">
        <v>0</v>
      </c>
      <c r="Q61" s="146"/>
      <c r="R61" s="146">
        <v>8000000</v>
      </c>
      <c r="S61" s="146"/>
      <c r="T61" s="146">
        <v>18907</v>
      </c>
      <c r="U61" s="146"/>
      <c r="V61" s="146">
        <v>147918055705</v>
      </c>
      <c r="W61" s="146"/>
      <c r="X61" s="146">
        <v>150086791120</v>
      </c>
      <c r="Y61" s="147"/>
      <c r="Z61" s="148">
        <f t="shared" si="10"/>
        <v>1.7785644619218045E-2</v>
      </c>
      <c r="AA61" s="141"/>
      <c r="AE61" s="149"/>
      <c r="AF61" s="149"/>
      <c r="AH61" s="149"/>
    </row>
    <row r="62" spans="2:34" ht="41.25" customHeight="1" x14ac:dyDescent="0.65">
      <c r="B62" s="145" t="s">
        <v>132</v>
      </c>
      <c r="C62" s="141"/>
      <c r="D62" s="146">
        <v>10000000</v>
      </c>
      <c r="E62" s="146"/>
      <c r="F62" s="146">
        <v>118942519994</v>
      </c>
      <c r="G62" s="146"/>
      <c r="H62" s="146">
        <v>147451322000</v>
      </c>
      <c r="I62" s="146">
        <v>16610575.5</v>
      </c>
      <c r="J62" s="146">
        <v>0</v>
      </c>
      <c r="K62" s="146"/>
      <c r="L62" s="146">
        <v>0</v>
      </c>
      <c r="M62" s="146"/>
      <c r="N62" s="146">
        <v>0</v>
      </c>
      <c r="O62" s="146"/>
      <c r="P62" s="146">
        <v>0</v>
      </c>
      <c r="Q62" s="146"/>
      <c r="R62" s="146">
        <v>10000000</v>
      </c>
      <c r="S62" s="146"/>
      <c r="T62" s="146">
        <v>7430</v>
      </c>
      <c r="U62" s="146"/>
      <c r="V62" s="146">
        <v>118942519994</v>
      </c>
      <c r="W62" s="146"/>
      <c r="X62" s="146">
        <v>73725661000</v>
      </c>
      <c r="Y62" s="147"/>
      <c r="Z62" s="148">
        <f t="shared" si="10"/>
        <v>8.7366676046431255E-3</v>
      </c>
      <c r="AA62" s="141"/>
      <c r="AE62" s="149"/>
      <c r="AF62" s="149"/>
      <c r="AH62" s="149"/>
    </row>
    <row r="63" spans="2:34" ht="41.25" customHeight="1" x14ac:dyDescent="0.65">
      <c r="B63" s="145" t="s">
        <v>124</v>
      </c>
      <c r="C63" s="141"/>
      <c r="D63" s="146">
        <v>1000</v>
      </c>
      <c r="E63" s="146"/>
      <c r="F63" s="146">
        <v>483356</v>
      </c>
      <c r="G63" s="146"/>
      <c r="H63" s="146">
        <v>419730.21</v>
      </c>
      <c r="I63" s="146">
        <v>16988314.5</v>
      </c>
      <c r="J63" s="146">
        <v>0</v>
      </c>
      <c r="K63" s="146"/>
      <c r="L63" s="146">
        <v>0</v>
      </c>
      <c r="M63" s="146"/>
      <c r="N63" s="146">
        <v>0</v>
      </c>
      <c r="O63" s="146"/>
      <c r="P63" s="146">
        <v>0</v>
      </c>
      <c r="Q63" s="146"/>
      <c r="R63" s="146">
        <v>1000</v>
      </c>
      <c r="S63" s="146"/>
      <c r="T63" s="146">
        <v>448</v>
      </c>
      <c r="U63" s="146"/>
      <c r="V63" s="146">
        <v>483356</v>
      </c>
      <c r="W63" s="146"/>
      <c r="X63" s="146">
        <v>444536.96</v>
      </c>
      <c r="Y63" s="147"/>
      <c r="Z63" s="148">
        <f t="shared" si="10"/>
        <v>5.267869565114563E-8</v>
      </c>
      <c r="AA63" s="141"/>
      <c r="AE63" s="149"/>
      <c r="AF63" s="149"/>
      <c r="AH63" s="149"/>
    </row>
    <row r="64" spans="2:34" ht="41.25" customHeight="1" x14ac:dyDescent="0.65">
      <c r="B64" s="145" t="s">
        <v>125</v>
      </c>
      <c r="C64" s="141"/>
      <c r="D64" s="146">
        <v>1068</v>
      </c>
      <c r="E64" s="146"/>
      <c r="F64" s="146">
        <v>2495918</v>
      </c>
      <c r="G64" s="146"/>
      <c r="H64" s="146">
        <v>2014574.0283600001</v>
      </c>
      <c r="I64" s="146">
        <v>308105797500</v>
      </c>
      <c r="J64" s="146">
        <v>0</v>
      </c>
      <c r="K64" s="146"/>
      <c r="L64" s="146">
        <v>0</v>
      </c>
      <c r="M64" s="146"/>
      <c r="N64" s="146">
        <v>0</v>
      </c>
      <c r="O64" s="146"/>
      <c r="P64" s="146">
        <v>0</v>
      </c>
      <c r="Q64" s="146"/>
      <c r="R64" s="146">
        <v>1068</v>
      </c>
      <c r="S64" s="146"/>
      <c r="T64" s="146">
        <v>1729</v>
      </c>
      <c r="U64" s="146"/>
      <c r="V64" s="146">
        <v>2495918</v>
      </c>
      <c r="W64" s="146"/>
      <c r="X64" s="146">
        <v>1832297.99844</v>
      </c>
      <c r="Y64" s="147"/>
      <c r="Z64" s="148">
        <f t="shared" si="10"/>
        <v>2.1713170621858769E-7</v>
      </c>
      <c r="AA64" s="141"/>
      <c r="AE64" s="149"/>
      <c r="AF64" s="149"/>
      <c r="AH64" s="149"/>
    </row>
    <row r="65" spans="2:34" ht="41.25" customHeight="1" x14ac:dyDescent="0.65">
      <c r="B65" s="145" t="s">
        <v>126</v>
      </c>
      <c r="C65" s="141"/>
      <c r="D65" s="146">
        <v>1000</v>
      </c>
      <c r="E65" s="146"/>
      <c r="F65" s="146">
        <v>2793360</v>
      </c>
      <c r="G65" s="146"/>
      <c r="H65" s="146">
        <v>2465790.9500000002</v>
      </c>
      <c r="I65" s="146">
        <v>227635959360</v>
      </c>
      <c r="J65" s="146">
        <v>92</v>
      </c>
      <c r="K65" s="146"/>
      <c r="L65" s="146">
        <v>0</v>
      </c>
      <c r="M65" s="146"/>
      <c r="N65" s="146">
        <v>0</v>
      </c>
      <c r="O65" s="146"/>
      <c r="P65" s="146">
        <v>0</v>
      </c>
      <c r="Q65" s="146"/>
      <c r="R65" s="146">
        <v>1092</v>
      </c>
      <c r="S65" s="146"/>
      <c r="T65" s="146">
        <v>1969</v>
      </c>
      <c r="U65" s="146"/>
      <c r="V65" s="146">
        <v>2626403</v>
      </c>
      <c r="W65" s="146"/>
      <c r="X65" s="146">
        <v>2133527.3559599998</v>
      </c>
      <c r="Y65" s="147"/>
      <c r="Z65" s="148">
        <f t="shared" si="10"/>
        <v>2.5282810735919521E-7</v>
      </c>
      <c r="AA65" s="141"/>
      <c r="AE65" s="149"/>
      <c r="AF65" s="149"/>
      <c r="AH65" s="149"/>
    </row>
    <row r="66" spans="2:34" ht="41.25" customHeight="1" x14ac:dyDescent="0.65">
      <c r="B66" s="145" t="s">
        <v>127</v>
      </c>
      <c r="C66" s="141"/>
      <c r="D66" s="146">
        <v>132000000</v>
      </c>
      <c r="E66" s="146"/>
      <c r="F66" s="146">
        <v>1106932131211</v>
      </c>
      <c r="G66" s="146"/>
      <c r="H66" s="146">
        <v>1794421068000</v>
      </c>
      <c r="I66" s="146">
        <v>289349068050</v>
      </c>
      <c r="J66" s="146">
        <v>0</v>
      </c>
      <c r="K66" s="146"/>
      <c r="L66" s="146">
        <v>0</v>
      </c>
      <c r="M66" s="146"/>
      <c r="N66" s="146">
        <v>0</v>
      </c>
      <c r="O66" s="146"/>
      <c r="P66" s="146">
        <v>0</v>
      </c>
      <c r="Q66" s="146"/>
      <c r="R66" s="146">
        <v>132000000</v>
      </c>
      <c r="S66" s="146"/>
      <c r="T66" s="146">
        <v>14230</v>
      </c>
      <c r="U66" s="146"/>
      <c r="V66" s="146">
        <v>1106932131211</v>
      </c>
      <c r="W66" s="146"/>
      <c r="X66" s="146">
        <v>1863840277200</v>
      </c>
      <c r="Y66" s="147"/>
      <c r="Z66" s="148">
        <f t="shared" si="10"/>
        <v>0.2208695418823346</v>
      </c>
      <c r="AA66" s="141"/>
      <c r="AE66" s="149"/>
      <c r="AF66" s="149"/>
      <c r="AH66" s="149"/>
    </row>
    <row r="67" spans="2:34" ht="41.25" customHeight="1" x14ac:dyDescent="0.65">
      <c r="B67" s="145" t="s">
        <v>187</v>
      </c>
      <c r="C67" s="141"/>
      <c r="D67" s="146">
        <v>257500</v>
      </c>
      <c r="E67" s="146"/>
      <c r="F67" s="146">
        <v>4270463617</v>
      </c>
      <c r="G67" s="146"/>
      <c r="H67" s="146">
        <v>3955287447</v>
      </c>
      <c r="I67" s="146"/>
      <c r="J67" s="146">
        <v>0</v>
      </c>
      <c r="K67" s="146"/>
      <c r="L67" s="146">
        <v>0</v>
      </c>
      <c r="M67" s="146"/>
      <c r="N67" s="146">
        <v>0</v>
      </c>
      <c r="O67" s="146"/>
      <c r="P67" s="146">
        <v>0</v>
      </c>
      <c r="Q67" s="146"/>
      <c r="R67" s="146">
        <v>257500</v>
      </c>
      <c r="S67" s="146"/>
      <c r="T67" s="146">
        <v>15640</v>
      </c>
      <c r="U67" s="146"/>
      <c r="V67" s="146">
        <v>4270463617</v>
      </c>
      <c r="W67" s="146"/>
      <c r="X67" s="146">
        <v>3996168971</v>
      </c>
      <c r="Y67" s="147"/>
      <c r="Z67" s="148">
        <f>X67/$Z$81</f>
        <v>4.7355560490147051E-4</v>
      </c>
      <c r="AA67" s="141"/>
      <c r="AE67" s="149"/>
      <c r="AF67" s="149"/>
      <c r="AH67" s="149"/>
    </row>
    <row r="68" spans="2:34" ht="41.25" customHeight="1" x14ac:dyDescent="0.65">
      <c r="B68" s="145" t="s">
        <v>200</v>
      </c>
      <c r="C68" s="141"/>
      <c r="D68" s="146">
        <v>750000</v>
      </c>
      <c r="E68" s="146"/>
      <c r="F68" s="146">
        <v>6057537334</v>
      </c>
      <c r="G68" s="146"/>
      <c r="H68" s="146">
        <v>6556424025</v>
      </c>
      <c r="I68" s="146"/>
      <c r="J68" s="146">
        <v>0</v>
      </c>
      <c r="K68" s="146"/>
      <c r="L68" s="146">
        <v>0</v>
      </c>
      <c r="M68" s="146"/>
      <c r="N68" s="146">
        <v>0</v>
      </c>
      <c r="O68" s="146"/>
      <c r="P68" s="146">
        <v>0</v>
      </c>
      <c r="Q68" s="146"/>
      <c r="R68" s="146">
        <v>750000</v>
      </c>
      <c r="S68" s="146"/>
      <c r="T68" s="146">
        <v>9080</v>
      </c>
      <c r="U68" s="146"/>
      <c r="V68" s="146">
        <v>6057537334</v>
      </c>
      <c r="W68" s="146"/>
      <c r="X68" s="146">
        <v>6757358700</v>
      </c>
      <c r="Y68" s="147"/>
      <c r="Z68" s="148">
        <f t="shared" si="10"/>
        <v>8.0076320844710204E-4</v>
      </c>
      <c r="AA68" s="141"/>
      <c r="AE68" s="149"/>
      <c r="AF68" s="149"/>
      <c r="AH68" s="149"/>
    </row>
    <row r="69" spans="2:34" ht="41.25" customHeight="1" x14ac:dyDescent="0.65">
      <c r="B69" s="145" t="s">
        <v>181</v>
      </c>
      <c r="C69" s="141"/>
      <c r="D69" s="146">
        <v>360000</v>
      </c>
      <c r="E69" s="146"/>
      <c r="F69" s="146">
        <v>3620597726</v>
      </c>
      <c r="G69" s="146"/>
      <c r="H69" s="146">
        <v>3507872904</v>
      </c>
      <c r="I69" s="146"/>
      <c r="J69" s="146">
        <v>0</v>
      </c>
      <c r="K69" s="146"/>
      <c r="L69" s="146">
        <v>0</v>
      </c>
      <c r="M69" s="146"/>
      <c r="N69" s="146">
        <v>0</v>
      </c>
      <c r="O69" s="146"/>
      <c r="P69" s="146">
        <v>0</v>
      </c>
      <c r="Q69" s="146"/>
      <c r="R69" s="146">
        <v>360000</v>
      </c>
      <c r="S69" s="146"/>
      <c r="T69" s="146">
        <v>9820</v>
      </c>
      <c r="U69" s="146"/>
      <c r="V69" s="146">
        <v>3620597726</v>
      </c>
      <c r="W69" s="146"/>
      <c r="X69" s="146">
        <v>3507872904</v>
      </c>
      <c r="Y69" s="147"/>
      <c r="Z69" s="148">
        <f t="shared" si="10"/>
        <v>4.1569135014716527E-4</v>
      </c>
      <c r="AA69" s="141"/>
      <c r="AE69" s="149"/>
      <c r="AF69" s="149"/>
      <c r="AH69" s="149"/>
    </row>
    <row r="70" spans="2:34" ht="41.25" customHeight="1" x14ac:dyDescent="0.65">
      <c r="B70" s="145" t="s">
        <v>137</v>
      </c>
      <c r="C70" s="141"/>
      <c r="D70" s="146">
        <v>18000000</v>
      </c>
      <c r="E70" s="146"/>
      <c r="F70" s="146">
        <v>134498889052</v>
      </c>
      <c r="G70" s="146"/>
      <c r="H70" s="146">
        <v>102699945000</v>
      </c>
      <c r="I70" s="146"/>
      <c r="J70" s="146">
        <v>0</v>
      </c>
      <c r="K70" s="146"/>
      <c r="L70" s="146">
        <v>0</v>
      </c>
      <c r="M70" s="146"/>
      <c r="N70" s="146">
        <v>0</v>
      </c>
      <c r="O70" s="146"/>
      <c r="P70" s="146">
        <v>0</v>
      </c>
      <c r="Q70" s="146"/>
      <c r="R70" s="146">
        <v>18000000</v>
      </c>
      <c r="S70" s="146"/>
      <c r="T70" s="146">
        <v>4025</v>
      </c>
      <c r="U70" s="146"/>
      <c r="V70" s="146">
        <v>134498889052</v>
      </c>
      <c r="W70" s="146"/>
      <c r="X70" s="146">
        <v>71889961500</v>
      </c>
      <c r="Y70" s="147"/>
      <c r="Z70" s="148">
        <f t="shared" si="10"/>
        <v>8.5191328123337077E-3</v>
      </c>
      <c r="AA70" s="141"/>
      <c r="AE70" s="149"/>
      <c r="AF70" s="149"/>
      <c r="AH70" s="149"/>
    </row>
    <row r="71" spans="2:34" ht="41.25" customHeight="1" x14ac:dyDescent="0.65">
      <c r="B71" s="145" t="s">
        <v>186</v>
      </c>
      <c r="C71" s="141"/>
      <c r="D71" s="146">
        <v>401250</v>
      </c>
      <c r="E71" s="146"/>
      <c r="F71" s="146">
        <v>3787614251</v>
      </c>
      <c r="G71" s="146"/>
      <c r="H71" s="146">
        <v>5023437562</v>
      </c>
      <c r="I71" s="146"/>
      <c r="J71" s="146">
        <v>0</v>
      </c>
      <c r="K71" s="146"/>
      <c r="L71" s="146">
        <v>0</v>
      </c>
      <c r="M71" s="146"/>
      <c r="N71" s="146">
        <v>0</v>
      </c>
      <c r="O71" s="146"/>
      <c r="P71" s="146">
        <v>0</v>
      </c>
      <c r="Q71" s="146"/>
      <c r="R71" s="146">
        <v>401250</v>
      </c>
      <c r="S71" s="146"/>
      <c r="T71" s="146">
        <v>12617</v>
      </c>
      <c r="U71" s="146"/>
      <c r="V71" s="146">
        <v>3787614251</v>
      </c>
      <c r="W71" s="146"/>
      <c r="X71" s="146">
        <v>5023437574.2375002</v>
      </c>
      <c r="Y71" s="147"/>
      <c r="Z71" s="148">
        <f t="shared" si="10"/>
        <v>5.9528939752453102E-4</v>
      </c>
      <c r="AA71" s="141"/>
      <c r="AE71" s="149"/>
      <c r="AF71" s="149"/>
      <c r="AH71" s="149"/>
    </row>
    <row r="72" spans="2:34" ht="41.25" customHeight="1" x14ac:dyDescent="0.65">
      <c r="B72" s="145" t="s">
        <v>210</v>
      </c>
      <c r="C72" s="141"/>
      <c r="D72" s="146">
        <v>0</v>
      </c>
      <c r="E72" s="146"/>
      <c r="F72" s="146">
        <v>0</v>
      </c>
      <c r="G72" s="146"/>
      <c r="H72" s="146">
        <v>0</v>
      </c>
      <c r="I72" s="146"/>
      <c r="J72" s="146">
        <v>119</v>
      </c>
      <c r="K72" s="146"/>
      <c r="L72" s="146">
        <v>166957</v>
      </c>
      <c r="M72" s="146"/>
      <c r="N72" s="146">
        <v>0</v>
      </c>
      <c r="O72" s="146"/>
      <c r="P72" s="146">
        <v>0</v>
      </c>
      <c r="Q72" s="146"/>
      <c r="R72" s="146">
        <v>119</v>
      </c>
      <c r="S72" s="146"/>
      <c r="T72" s="146">
        <v>969</v>
      </c>
      <c r="U72" s="146"/>
      <c r="V72" s="146">
        <v>166957</v>
      </c>
      <c r="W72" s="146"/>
      <c r="X72" s="146">
        <v>114402</v>
      </c>
      <c r="Y72" s="147"/>
      <c r="Z72" s="148">
        <f t="shared" si="10"/>
        <v>1.3556911308077425E-8</v>
      </c>
      <c r="AA72" s="141"/>
      <c r="AE72" s="149"/>
      <c r="AF72" s="149"/>
      <c r="AH72" s="149"/>
    </row>
    <row r="73" spans="2:34" ht="41.25" customHeight="1" x14ac:dyDescent="0.65">
      <c r="B73" s="145" t="s">
        <v>211</v>
      </c>
      <c r="C73" s="141"/>
      <c r="D73" s="146">
        <v>0</v>
      </c>
      <c r="E73" s="146"/>
      <c r="F73" s="146">
        <v>0</v>
      </c>
      <c r="G73" s="146"/>
      <c r="H73" s="146">
        <v>0</v>
      </c>
      <c r="I73" s="146"/>
      <c r="J73" s="146">
        <v>14241</v>
      </c>
      <c r="K73" s="146"/>
      <c r="L73" s="146">
        <v>7519248</v>
      </c>
      <c r="M73" s="146"/>
      <c r="N73" s="146">
        <v>0</v>
      </c>
      <c r="O73" s="146"/>
      <c r="P73" s="146">
        <v>0</v>
      </c>
      <c r="Q73" s="146"/>
      <c r="R73" s="146">
        <v>14241</v>
      </c>
      <c r="S73" s="146"/>
      <c r="T73" s="146">
        <v>809</v>
      </c>
      <c r="U73" s="146"/>
      <c r="V73" s="146">
        <v>7519248</v>
      </c>
      <c r="W73" s="146"/>
      <c r="X73" s="146">
        <v>11431911.909630001</v>
      </c>
      <c r="Y73" s="147"/>
      <c r="Z73" s="148">
        <f t="shared" si="10"/>
        <v>1.3547089722260795E-6</v>
      </c>
      <c r="AA73" s="141"/>
      <c r="AE73" s="149"/>
      <c r="AF73" s="149"/>
      <c r="AH73" s="149"/>
    </row>
    <row r="74" spans="2:34" ht="41.25" customHeight="1" thickBot="1" x14ac:dyDescent="0.7">
      <c r="B74" s="135" t="s">
        <v>7</v>
      </c>
      <c r="C74" s="141"/>
      <c r="D74" s="127">
        <f>SUM(D56:D73)</f>
        <v>2665841305</v>
      </c>
      <c r="E74" s="127" t="e">
        <f>SUM(E9:E73)</f>
        <v>#REF!</v>
      </c>
      <c r="F74" s="127">
        <f>SUM(F56:F73)</f>
        <v>7564283607688</v>
      </c>
      <c r="G74" s="127" t="e">
        <f>SUM(G9:G73)</f>
        <v>#REF!</v>
      </c>
      <c r="H74" s="127">
        <f>SUM(H56:H73)</f>
        <v>9256053289742.3086</v>
      </c>
      <c r="I74" s="127">
        <f>SUM(I9:I73)</f>
        <v>1271441869666.5</v>
      </c>
      <c r="J74" s="127">
        <f>SUM(J56:J73)</f>
        <v>19120390</v>
      </c>
      <c r="K74" s="127" t="e">
        <f>SUM(K9:K73)</f>
        <v>#REF!</v>
      </c>
      <c r="L74" s="127">
        <f>SUM(L56:L73)</f>
        <v>7686205</v>
      </c>
      <c r="M74" s="127" t="e">
        <f>SUM(M9:M73)</f>
        <v>#REF!</v>
      </c>
      <c r="N74" s="290">
        <f>SUM(N56:N73)</f>
        <v>-10800000</v>
      </c>
      <c r="O74" s="127" t="e">
        <f>SUM(O9:O73)</f>
        <v>#REF!</v>
      </c>
      <c r="P74" s="127">
        <f>SUM(P56:P73)</f>
        <v>120585324941</v>
      </c>
      <c r="Q74" s="127" t="e">
        <f>SUM(Q9:Q73)</f>
        <v>#REF!</v>
      </c>
      <c r="R74" s="127">
        <f>SUM(R56:R73)</f>
        <v>2674161694</v>
      </c>
      <c r="S74" s="127" t="e">
        <f>SUM(S9:S73)</f>
        <v>#REF!</v>
      </c>
      <c r="T74" s="127">
        <f>SUM(T56:T73)</f>
        <v>502799.7</v>
      </c>
      <c r="U74" s="127" t="e">
        <f>SUM(U9:U73)</f>
        <v>#REF!</v>
      </c>
      <c r="V74" s="127">
        <f>SUM(V56:V73)</f>
        <v>7403063723252</v>
      </c>
      <c r="W74" s="127" t="e">
        <f>SUM(W9:W73)</f>
        <v>#REF!</v>
      </c>
      <c r="X74" s="127">
        <f>SUM(X56:X73)</f>
        <v>8091541122399.3066</v>
      </c>
      <c r="Y74" s="127" t="e">
        <f>SUM(Y9:Y73)</f>
        <v>#REF!</v>
      </c>
      <c r="Z74" s="304">
        <f>SUM(Z56:Z73)</f>
        <v>0.95886702454527595</v>
      </c>
      <c r="AC74" s="152"/>
    </row>
    <row r="75" spans="2:34" ht="30.75" thickTop="1" x14ac:dyDescent="0.75">
      <c r="H75" s="283"/>
      <c r="J75" s="149"/>
      <c r="L75" s="149"/>
      <c r="N75" s="124"/>
      <c r="O75" s="124"/>
      <c r="P75" s="149"/>
      <c r="X75" s="149"/>
      <c r="Z75" s="269"/>
      <c r="AC75" s="152"/>
    </row>
    <row r="76" spans="2:34" ht="30" hidden="1" customHeight="1" x14ac:dyDescent="0.75">
      <c r="H76" s="283"/>
      <c r="W76" s="124"/>
      <c r="X76" s="124"/>
      <c r="Z76" s="269"/>
      <c r="AC76" s="152"/>
    </row>
    <row r="77" spans="2:34" ht="42.75" customHeight="1" x14ac:dyDescent="0.75">
      <c r="D77" s="149"/>
      <c r="F77" s="149"/>
      <c r="H77" s="270"/>
      <c r="J77" s="149"/>
      <c r="L77" s="149"/>
      <c r="M77" s="149"/>
      <c r="N77" s="149"/>
      <c r="O77" s="149"/>
      <c r="P77" s="149"/>
      <c r="R77" s="149"/>
      <c r="T77" s="149"/>
      <c r="V77" s="149"/>
      <c r="X77" s="284"/>
      <c r="Z77" s="269"/>
      <c r="AC77" s="152"/>
    </row>
    <row r="78" spans="2:34" ht="30" x14ac:dyDescent="0.75">
      <c r="D78" s="154"/>
      <c r="E78" s="154"/>
      <c r="F78" s="154"/>
      <c r="G78" s="154"/>
      <c r="H78" s="270"/>
      <c r="I78" s="154"/>
      <c r="J78" s="154"/>
      <c r="K78" s="154"/>
      <c r="L78" s="154"/>
      <c r="M78" s="154"/>
      <c r="N78" s="154"/>
      <c r="O78" s="154"/>
      <c r="P78" s="154"/>
      <c r="R78" s="154"/>
      <c r="S78" s="154"/>
      <c r="T78" s="154"/>
      <c r="W78" s="124"/>
      <c r="X78" s="271"/>
      <c r="Y78" s="306"/>
      <c r="Z78" s="307"/>
      <c r="AC78" s="152"/>
    </row>
    <row r="79" spans="2:34" ht="30" x14ac:dyDescent="0.75">
      <c r="H79" s="270"/>
      <c r="J79" s="154"/>
      <c r="L79" s="149"/>
      <c r="N79" s="154"/>
      <c r="P79" s="149"/>
      <c r="X79" s="270"/>
      <c r="Y79" s="306"/>
      <c r="Z79" s="306"/>
      <c r="AC79" s="152"/>
    </row>
    <row r="80" spans="2:34" x14ac:dyDescent="0.65">
      <c r="P80" s="149"/>
      <c r="X80" s="154"/>
      <c r="Y80" s="306"/>
      <c r="Z80" s="306"/>
      <c r="AC80" s="152"/>
    </row>
    <row r="81" spans="8:29" ht="30" x14ac:dyDescent="0.75">
      <c r="H81" s="154"/>
      <c r="P81" s="149"/>
      <c r="R81" s="286"/>
      <c r="Y81" s="306"/>
      <c r="Z81" s="329">
        <v>8438647815881</v>
      </c>
      <c r="AC81" s="152"/>
    </row>
    <row r="82" spans="8:29" x14ac:dyDescent="0.65">
      <c r="P82" s="149"/>
      <c r="Y82" s="306"/>
      <c r="Z82" s="308"/>
      <c r="AC82" s="152"/>
    </row>
    <row r="83" spans="8:29" x14ac:dyDescent="0.65">
      <c r="P83" s="149"/>
      <c r="Y83" s="306"/>
      <c r="Z83" s="309"/>
      <c r="AC83" s="152"/>
    </row>
    <row r="84" spans="8:29" x14ac:dyDescent="0.65">
      <c r="P84" s="149"/>
      <c r="Y84" s="306"/>
      <c r="Z84" s="310"/>
      <c r="AC84" s="152"/>
    </row>
    <row r="85" spans="8:29" x14ac:dyDescent="0.65">
      <c r="P85" s="149"/>
      <c r="AC85" s="152"/>
    </row>
    <row r="86" spans="8:29" x14ac:dyDescent="0.65">
      <c r="P86" s="149"/>
      <c r="AC86" s="152"/>
    </row>
    <row r="87" spans="8:29" x14ac:dyDescent="0.65">
      <c r="P87" s="149"/>
      <c r="AC87" s="152"/>
    </row>
    <row r="88" spans="8:29" x14ac:dyDescent="0.65">
      <c r="P88" s="149"/>
      <c r="AC88" s="152"/>
    </row>
    <row r="89" spans="8:29" x14ac:dyDescent="0.65">
      <c r="P89" s="149"/>
      <c r="AC89" s="152"/>
    </row>
    <row r="90" spans="8:29" x14ac:dyDescent="0.65">
      <c r="P90" s="149"/>
      <c r="AC90" s="152"/>
    </row>
    <row r="91" spans="8:29" x14ac:dyDescent="0.65">
      <c r="P91" s="149"/>
      <c r="AC91" s="152"/>
    </row>
    <row r="92" spans="8:29" x14ac:dyDescent="0.65">
      <c r="P92" s="149"/>
      <c r="AC92" s="152"/>
    </row>
    <row r="93" spans="8:29" x14ac:dyDescent="0.65">
      <c r="P93" s="149"/>
      <c r="AC93" s="152"/>
    </row>
    <row r="94" spans="8:29" x14ac:dyDescent="0.65">
      <c r="P94" s="149"/>
      <c r="AC94" s="152"/>
    </row>
    <row r="95" spans="8:29" x14ac:dyDescent="0.65">
      <c r="P95" s="149"/>
      <c r="AC95" s="152"/>
    </row>
    <row r="96" spans="8:29" x14ac:dyDescent="0.65">
      <c r="P96" s="149"/>
      <c r="AC96" s="152"/>
    </row>
    <row r="97" spans="16:29" x14ac:dyDescent="0.65">
      <c r="P97" s="149"/>
      <c r="AC97" s="152"/>
    </row>
    <row r="98" spans="16:29" x14ac:dyDescent="0.65">
      <c r="P98" s="149"/>
      <c r="AC98" s="152"/>
    </row>
    <row r="99" spans="16:29" x14ac:dyDescent="0.65">
      <c r="P99" s="149"/>
      <c r="AC99" s="152"/>
    </row>
    <row r="100" spans="16:29" x14ac:dyDescent="0.65">
      <c r="P100" s="149"/>
      <c r="AC100" s="152"/>
    </row>
    <row r="101" spans="16:29" x14ac:dyDescent="0.65">
      <c r="P101" s="149"/>
      <c r="AC101" s="152"/>
    </row>
    <row r="102" spans="16:29" x14ac:dyDescent="0.65">
      <c r="P102" s="149"/>
      <c r="AC102" s="152"/>
    </row>
    <row r="103" spans="16:29" x14ac:dyDescent="0.65">
      <c r="P103" s="149"/>
      <c r="AC103" s="152"/>
    </row>
    <row r="104" spans="16:29" x14ac:dyDescent="0.65">
      <c r="P104" s="149"/>
      <c r="AC104" s="152"/>
    </row>
    <row r="105" spans="16:29" x14ac:dyDescent="0.65">
      <c r="P105" s="149"/>
      <c r="AC105" s="152"/>
    </row>
    <row r="106" spans="16:29" x14ac:dyDescent="0.65">
      <c r="P106" s="149"/>
      <c r="AC106" s="155"/>
    </row>
    <row r="107" spans="16:29" x14ac:dyDescent="0.65">
      <c r="P107" s="149"/>
      <c r="AC107" s="152"/>
    </row>
    <row r="108" spans="16:29" x14ac:dyDescent="0.65">
      <c r="P108" s="149"/>
      <c r="AC108" s="152"/>
    </row>
    <row r="109" spans="16:29" x14ac:dyDescent="0.65">
      <c r="P109" s="149"/>
      <c r="AC109" s="152"/>
    </row>
    <row r="110" spans="16:29" x14ac:dyDescent="0.65">
      <c r="P110" s="149"/>
      <c r="AC110" s="152"/>
    </row>
    <row r="111" spans="16:29" x14ac:dyDescent="0.65">
      <c r="P111" s="149"/>
      <c r="AC111" s="152"/>
    </row>
    <row r="112" spans="16:29" x14ac:dyDescent="0.65">
      <c r="P112" s="149"/>
      <c r="AC112" s="152"/>
    </row>
    <row r="113" spans="16:29" x14ac:dyDescent="0.65">
      <c r="P113" s="149"/>
      <c r="AC113" s="152"/>
    </row>
    <row r="114" spans="16:29" x14ac:dyDescent="0.65">
      <c r="P114" s="149"/>
      <c r="AC114" s="152"/>
    </row>
    <row r="115" spans="16:29" x14ac:dyDescent="0.65">
      <c r="P115" s="149"/>
      <c r="AC115" s="152"/>
    </row>
    <row r="116" spans="16:29" x14ac:dyDescent="0.65">
      <c r="P116" s="149"/>
      <c r="AC116" s="152"/>
    </row>
    <row r="117" spans="16:29" x14ac:dyDescent="0.65">
      <c r="P117" s="149"/>
      <c r="AC117" s="152"/>
    </row>
    <row r="118" spans="16:29" x14ac:dyDescent="0.65">
      <c r="P118" s="149"/>
      <c r="AC118" s="152"/>
    </row>
    <row r="119" spans="16:29" x14ac:dyDescent="0.65">
      <c r="P119" s="149"/>
    </row>
    <row r="120" spans="16:29" x14ac:dyDescent="0.65">
      <c r="P120" s="149"/>
    </row>
    <row r="121" spans="16:29" x14ac:dyDescent="0.65">
      <c r="P121" s="149"/>
    </row>
    <row r="122" spans="16:29" x14ac:dyDescent="0.65">
      <c r="P122" s="149"/>
    </row>
    <row r="123" spans="16:29" x14ac:dyDescent="0.65">
      <c r="P123" s="149"/>
    </row>
    <row r="124" spans="16:29" x14ac:dyDescent="0.65">
      <c r="P124" s="149"/>
    </row>
    <row r="125" spans="16:29" x14ac:dyDescent="0.65">
      <c r="P125" s="149"/>
    </row>
    <row r="126" spans="16:29" x14ac:dyDescent="0.65">
      <c r="P126" s="149"/>
    </row>
    <row r="127" spans="16:29" x14ac:dyDescent="0.65">
      <c r="P127" s="149"/>
    </row>
  </sheetData>
  <mergeCells count="43">
    <mergeCell ref="T54:T55"/>
    <mergeCell ref="V54:V55"/>
    <mergeCell ref="W54:W55"/>
    <mergeCell ref="X54:X55"/>
    <mergeCell ref="Z54:Z55"/>
    <mergeCell ref="H54:H55"/>
    <mergeCell ref="J54:L54"/>
    <mergeCell ref="N54:P54"/>
    <mergeCell ref="R54:R55"/>
    <mergeCell ref="S54:S55"/>
    <mergeCell ref="B54:B55"/>
    <mergeCell ref="D54:D55"/>
    <mergeCell ref="E54:E55"/>
    <mergeCell ref="F54:F55"/>
    <mergeCell ref="G54:G55"/>
    <mergeCell ref="B51:Z51"/>
    <mergeCell ref="B52:Z52"/>
    <mergeCell ref="D53:H53"/>
    <mergeCell ref="J53:P53"/>
    <mergeCell ref="R53:Z53"/>
    <mergeCell ref="B1:Z1"/>
    <mergeCell ref="B2:Z2"/>
    <mergeCell ref="B3:Z3"/>
    <mergeCell ref="B7:B8"/>
    <mergeCell ref="J7:L7"/>
    <mergeCell ref="N7:P7"/>
    <mergeCell ref="S7:S8"/>
    <mergeCell ref="W7:W8"/>
    <mergeCell ref="V7:V8"/>
    <mergeCell ref="R7:R8"/>
    <mergeCell ref="F7:F8"/>
    <mergeCell ref="D7:D8"/>
    <mergeCell ref="E7:E8"/>
    <mergeCell ref="B5:Z5"/>
    <mergeCell ref="B4:Z4"/>
    <mergeCell ref="J6:P6"/>
    <mergeCell ref="D6:H6"/>
    <mergeCell ref="R6:Z6"/>
    <mergeCell ref="G7:G8"/>
    <mergeCell ref="H7:H8"/>
    <mergeCell ref="X7:X8"/>
    <mergeCell ref="T7:T8"/>
    <mergeCell ref="Z7:Z8"/>
  </mergeCells>
  <phoneticPr fontId="27" type="noConversion"/>
  <printOptions horizontalCentered="1"/>
  <pageMargins left="0.7" right="0.7" top="0.75" bottom="0.75" header="0.3" footer="0.3"/>
  <pageSetup paperSize="9" scale="24" orientation="landscape" r:id="rId1"/>
  <headerFooter>
    <oddFooter>&amp;C&amp;P</oddFooter>
  </headerFooter>
  <rowBreaks count="1" manualBreakCount="1">
    <brk id="50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4"/>
  <sheetViews>
    <sheetView rightToLeft="1" view="pageBreakPreview" topLeftCell="A2" zoomScaleNormal="96" zoomScaleSheetLayoutView="100" workbookViewId="0">
      <selection activeCell="P63" sqref="P63"/>
    </sheetView>
  </sheetViews>
  <sheetFormatPr defaultColWidth="9.140625" defaultRowHeight="22.5" x14ac:dyDescent="0.55000000000000004"/>
  <cols>
    <col min="1" max="1" width="2.5703125" style="1" customWidth="1"/>
    <col min="2" max="2" width="31.28515625" style="1" customWidth="1"/>
    <col min="3" max="3" width="0.28515625" style="1" customWidth="1"/>
    <col min="4" max="4" width="17.140625" style="1" bestFit="1" customWidth="1"/>
    <col min="5" max="5" width="0.28515625" style="1" customWidth="1"/>
    <col min="6" max="6" width="13.42578125" style="1" bestFit="1" customWidth="1"/>
    <col min="7" max="7" width="0.7109375" style="1" customWidth="1"/>
    <col min="8" max="8" width="12.42578125" style="1" bestFit="1" customWidth="1"/>
    <col min="9" max="9" width="0.7109375" style="1" customWidth="1"/>
    <col min="10" max="10" width="14.85546875" style="1" bestFit="1" customWidth="1"/>
    <col min="11" max="11" width="0.28515625" style="1" customWidth="1"/>
    <col min="12" max="12" width="17.140625" style="1" bestFit="1" customWidth="1"/>
    <col min="13" max="13" width="0.7109375" style="1" customWidth="1"/>
    <col min="14" max="14" width="13.42578125" style="1" bestFit="1" customWidth="1"/>
    <col min="15" max="15" width="0.28515625" style="1" customWidth="1"/>
    <col min="16" max="16" width="12.42578125" style="1" bestFit="1" customWidth="1"/>
    <col min="17" max="17" width="0.28515625" style="1" customWidth="1"/>
    <col min="18" max="18" width="14.85546875" style="1" bestFit="1" customWidth="1"/>
    <col min="19" max="16384" width="9.140625" style="1"/>
  </cols>
  <sheetData>
    <row r="1" spans="2:18" ht="24" x14ac:dyDescent="0.6">
      <c r="B1" s="344" t="str">
        <f>' سهام'!B1:Z1</f>
        <v>صندوق سرمایه گذاری شاخص سی شرکت بزرگ فیروزه</v>
      </c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</row>
    <row r="2" spans="2:18" ht="24" x14ac:dyDescent="0.6">
      <c r="B2" s="344" t="s">
        <v>80</v>
      </c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4"/>
      <c r="Q2" s="344"/>
      <c r="R2" s="344"/>
    </row>
    <row r="3" spans="2:18" ht="24" x14ac:dyDescent="0.6">
      <c r="B3" s="344" t="str">
        <f>' سهام'!AC6</f>
        <v>برای ماه منتهی به 1405/02/31</v>
      </c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  <c r="N3" s="344"/>
      <c r="O3" s="344"/>
      <c r="P3" s="344"/>
      <c r="Q3" s="344"/>
      <c r="R3" s="344"/>
    </row>
    <row r="4" spans="2:18" ht="24" x14ac:dyDescent="0.55000000000000004">
      <c r="B4" s="34" t="s">
        <v>81</v>
      </c>
      <c r="C4" s="34"/>
      <c r="D4" s="34"/>
      <c r="E4" s="34"/>
      <c r="F4" s="34"/>
      <c r="G4" s="34"/>
      <c r="H4" s="34"/>
      <c r="I4" s="34"/>
      <c r="J4" s="34"/>
    </row>
    <row r="5" spans="2:18" ht="24.75" thickBot="1" x14ac:dyDescent="0.65">
      <c r="B5" s="8"/>
      <c r="C5" s="8"/>
      <c r="D5" s="9"/>
      <c r="E5" s="9"/>
      <c r="F5" s="9"/>
      <c r="G5" s="9"/>
      <c r="H5" s="9"/>
      <c r="I5" s="9"/>
      <c r="J5" s="9"/>
    </row>
    <row r="6" spans="2:18" ht="24.75" thickBot="1" x14ac:dyDescent="0.65">
      <c r="B6" s="8"/>
      <c r="C6" s="8"/>
      <c r="D6" s="367" t="str">
        <f>' سهام'!AC4</f>
        <v>1405/01/31</v>
      </c>
      <c r="E6" s="367"/>
      <c r="F6" s="367"/>
      <c r="G6" s="367"/>
      <c r="H6" s="367"/>
      <c r="I6" s="367"/>
      <c r="J6" s="367"/>
      <c r="L6" s="367" t="str">
        <f>' سهام'!AC5</f>
        <v>1405/02/31</v>
      </c>
      <c r="M6" s="367"/>
      <c r="N6" s="367"/>
      <c r="O6" s="367"/>
      <c r="P6" s="367"/>
      <c r="Q6" s="367"/>
      <c r="R6" s="367"/>
    </row>
    <row r="7" spans="2:18" ht="24.75" thickBot="1" x14ac:dyDescent="0.65">
      <c r="B7" s="10" t="s">
        <v>44</v>
      </c>
      <c r="C7" s="8"/>
      <c r="D7" s="10" t="s">
        <v>45</v>
      </c>
      <c r="E7" s="8"/>
      <c r="F7" s="10" t="s">
        <v>46</v>
      </c>
      <c r="G7" s="8"/>
      <c r="H7" s="10" t="s">
        <v>47</v>
      </c>
      <c r="I7" s="8"/>
      <c r="J7" s="10" t="s">
        <v>48</v>
      </c>
      <c r="L7" s="10" t="s">
        <v>45</v>
      </c>
      <c r="M7" s="8"/>
      <c r="N7" s="10" t="s">
        <v>46</v>
      </c>
      <c r="O7" s="8"/>
      <c r="P7" s="10" t="s">
        <v>47</v>
      </c>
      <c r="Q7" s="8"/>
      <c r="R7" s="10" t="s">
        <v>48</v>
      </c>
    </row>
    <row r="8" spans="2:18" ht="23.25" thickBot="1" x14ac:dyDescent="0.6">
      <c r="B8" s="3"/>
      <c r="C8" s="3"/>
      <c r="D8" s="67" t="s">
        <v>101</v>
      </c>
      <c r="E8" s="59"/>
      <c r="F8" s="58" t="s">
        <v>101</v>
      </c>
      <c r="G8" s="5"/>
      <c r="H8" s="5" t="s">
        <v>101</v>
      </c>
      <c r="I8" s="5"/>
      <c r="J8" s="60">
        <v>0</v>
      </c>
      <c r="L8" s="65">
        <v>0</v>
      </c>
      <c r="M8" s="5"/>
      <c r="N8" s="67" t="s">
        <v>101</v>
      </c>
      <c r="O8" s="5"/>
      <c r="P8" s="5" t="s">
        <v>101</v>
      </c>
      <c r="Q8" s="5"/>
      <c r="R8" s="60">
        <v>0</v>
      </c>
    </row>
    <row r="9" spans="2:18" ht="23.25" thickBot="1" x14ac:dyDescent="0.6">
      <c r="D9" s="64">
        <f>SUM(D8)</f>
        <v>0</v>
      </c>
      <c r="E9" s="66"/>
      <c r="F9" s="57">
        <f>SUM(F8)</f>
        <v>0</v>
      </c>
      <c r="G9" s="12"/>
      <c r="H9" s="11" t="s">
        <v>6</v>
      </c>
      <c r="I9" s="12"/>
      <c r="J9" s="11" t="s">
        <v>6</v>
      </c>
      <c r="K9" s="12"/>
      <c r="L9" s="64">
        <f>SUM(L8)</f>
        <v>0</v>
      </c>
      <c r="M9" s="12"/>
      <c r="N9" s="64">
        <f>SUM(N8)</f>
        <v>0</v>
      </c>
      <c r="O9" s="12"/>
      <c r="P9" s="11" t="s">
        <v>6</v>
      </c>
      <c r="Q9" s="12"/>
      <c r="R9" s="11" t="s">
        <v>6</v>
      </c>
    </row>
    <row r="10" spans="2:18" ht="23.25" thickTop="1" x14ac:dyDescent="0.55000000000000004"/>
    <row r="14" spans="2:18" x14ac:dyDescent="0.55000000000000004">
      <c r="N14" s="13"/>
    </row>
  </sheetData>
  <mergeCells count="5">
    <mergeCell ref="D6:J6"/>
    <mergeCell ref="L6:R6"/>
    <mergeCell ref="B1:R1"/>
    <mergeCell ref="B2:R2"/>
    <mergeCell ref="B3:R3"/>
  </mergeCells>
  <pageMargins left="0.5" right="1" top="0.3" bottom="0.1" header="0.31496062992126" footer="0.31496062992126"/>
  <pageSetup paperSize="9" scale="84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2"/>
  <sheetViews>
    <sheetView rightToLeft="1" view="pageBreakPreview" zoomScale="130" zoomScaleNormal="100" zoomScaleSheetLayoutView="130" workbookViewId="0">
      <selection activeCell="P63" sqref="P63"/>
    </sheetView>
  </sheetViews>
  <sheetFormatPr defaultColWidth="9.140625" defaultRowHeight="22.5" x14ac:dyDescent="0.55000000000000004"/>
  <cols>
    <col min="1" max="1" width="31.28515625" style="1" customWidth="1"/>
    <col min="2" max="2" width="0.7109375" style="1" customWidth="1"/>
    <col min="3" max="3" width="9" style="1" customWidth="1"/>
    <col min="4" max="4" width="0.7109375" style="1" customWidth="1"/>
    <col min="5" max="5" width="12.140625" style="1" customWidth="1"/>
    <col min="6" max="6" width="1" style="1" customWidth="1"/>
    <col min="7" max="7" width="16.7109375" style="1" customWidth="1"/>
    <col min="8" max="8" width="0.7109375" style="1" customWidth="1"/>
    <col min="9" max="9" width="14.42578125" style="1" customWidth="1"/>
    <col min="10" max="10" width="0.85546875" style="1" customWidth="1"/>
    <col min="11" max="11" width="22.140625" style="1" customWidth="1"/>
    <col min="12" max="12" width="0.7109375" style="1" customWidth="1"/>
    <col min="13" max="13" width="10.85546875" style="1" customWidth="1"/>
    <col min="14" max="16384" width="9.140625" style="1"/>
  </cols>
  <sheetData>
    <row r="1" spans="1:16" ht="24" x14ac:dyDescent="0.6">
      <c r="A1" s="344" t="str">
        <f>اوراق!B1</f>
        <v>صندوق سرمایه گذاری شاخص سی شرکت بزرگ فیروزه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</row>
    <row r="2" spans="1:16" ht="24" x14ac:dyDescent="0.6">
      <c r="A2" s="344" t="s">
        <v>80</v>
      </c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4"/>
    </row>
    <row r="3" spans="1:16" ht="24" x14ac:dyDescent="0.6">
      <c r="A3" s="344" t="str">
        <f>' سهام'!AC6</f>
        <v>برای ماه منتهی به 1405/02/31</v>
      </c>
      <c r="B3" s="344"/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  <c r="N3" s="344"/>
      <c r="O3" s="344"/>
      <c r="P3" s="344"/>
    </row>
    <row r="4" spans="1:16" ht="25.5" customHeight="1" x14ac:dyDescent="0.55000000000000004">
      <c r="A4" s="346" t="s">
        <v>50</v>
      </c>
      <c r="B4" s="346"/>
      <c r="C4" s="346"/>
      <c r="D4" s="346"/>
      <c r="E4" s="346"/>
      <c r="F4" s="346"/>
      <c r="G4" s="346"/>
      <c r="H4" s="346"/>
      <c r="I4" s="346"/>
      <c r="J4" s="346"/>
      <c r="K4" s="346"/>
      <c r="L4" s="346"/>
      <c r="M4" s="346"/>
    </row>
    <row r="5" spans="1:16" ht="24" x14ac:dyDescent="0.55000000000000004">
      <c r="A5" s="346" t="s">
        <v>49</v>
      </c>
      <c r="B5" s="346"/>
      <c r="C5" s="346"/>
      <c r="D5" s="346"/>
      <c r="E5" s="346"/>
      <c r="F5" s="346"/>
      <c r="G5" s="346"/>
      <c r="H5" s="346"/>
      <c r="I5" s="346"/>
      <c r="J5" s="346"/>
      <c r="K5" s="346"/>
      <c r="L5" s="346"/>
      <c r="M5" s="346"/>
    </row>
    <row r="6" spans="1:16" ht="19.5" customHeight="1" thickBot="1" x14ac:dyDescent="0.6">
      <c r="C6" s="373" t="str">
        <f>' سهام'!AC5</f>
        <v>1405/02/31</v>
      </c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</row>
    <row r="7" spans="1:16" ht="31.5" customHeight="1" x14ac:dyDescent="0.55000000000000004">
      <c r="A7" s="370" t="s">
        <v>20</v>
      </c>
      <c r="C7" s="347" t="s">
        <v>8</v>
      </c>
      <c r="E7" s="351" t="s">
        <v>54</v>
      </c>
      <c r="F7" s="351"/>
      <c r="G7" s="351" t="s">
        <v>53</v>
      </c>
      <c r="H7" s="351"/>
      <c r="I7" s="351" t="s">
        <v>51</v>
      </c>
      <c r="J7" s="351"/>
      <c r="K7" s="351" t="s">
        <v>52</v>
      </c>
      <c r="M7" s="351" t="s">
        <v>19</v>
      </c>
      <c r="N7" s="351"/>
      <c r="O7" s="351"/>
      <c r="P7" s="351"/>
    </row>
    <row r="8" spans="1:16" ht="18" customHeight="1" thickBot="1" x14ac:dyDescent="0.6">
      <c r="A8" s="371"/>
      <c r="C8" s="372"/>
      <c r="E8" s="369"/>
      <c r="F8" s="351"/>
      <c r="G8" s="369"/>
      <c r="H8" s="351"/>
      <c r="I8" s="369"/>
      <c r="J8" s="351"/>
      <c r="K8" s="369"/>
      <c r="M8" s="369"/>
      <c r="N8" s="369"/>
      <c r="O8" s="369"/>
      <c r="P8" s="369"/>
    </row>
    <row r="9" spans="1:16" ht="18" customHeight="1" thickBot="1" x14ac:dyDescent="0.6">
      <c r="A9" s="21"/>
      <c r="B9" s="7"/>
      <c r="C9" s="22" t="s">
        <v>101</v>
      </c>
      <c r="D9" s="23"/>
      <c r="E9" s="24" t="s">
        <v>101</v>
      </c>
      <c r="F9" s="25"/>
      <c r="G9" s="24" t="s">
        <v>101</v>
      </c>
      <c r="H9" s="25"/>
      <c r="I9" s="26" t="s">
        <v>101</v>
      </c>
      <c r="J9" s="25"/>
      <c r="K9" s="24" t="s">
        <v>101</v>
      </c>
      <c r="M9" s="369" t="s">
        <v>101</v>
      </c>
      <c r="N9" s="369"/>
      <c r="O9" s="369"/>
      <c r="P9" s="369"/>
    </row>
    <row r="10" spans="1:16" ht="18" customHeight="1" thickBot="1" x14ac:dyDescent="0.6">
      <c r="A10" s="6"/>
      <c r="C10" s="27" t="s">
        <v>101</v>
      </c>
      <c r="E10" s="27" t="s">
        <v>101</v>
      </c>
      <c r="F10" s="5"/>
      <c r="G10" s="27" t="s">
        <v>101</v>
      </c>
      <c r="H10" s="5"/>
      <c r="I10" s="28" t="s">
        <v>101</v>
      </c>
      <c r="J10" s="5"/>
      <c r="K10" s="27" t="s">
        <v>101</v>
      </c>
      <c r="L10" s="5"/>
      <c r="M10" s="368" t="s">
        <v>101</v>
      </c>
      <c r="N10" s="368"/>
      <c r="O10" s="368"/>
      <c r="P10" s="368"/>
    </row>
    <row r="11" spans="1:16" ht="23.25" thickTop="1" x14ac:dyDescent="0.55000000000000004"/>
    <row r="12" spans="1:16" x14ac:dyDescent="0.55000000000000004">
      <c r="M12" s="13"/>
    </row>
  </sheetData>
  <mergeCells count="18">
    <mergeCell ref="A1:P1"/>
    <mergeCell ref="A2:P2"/>
    <mergeCell ref="A3:P3"/>
    <mergeCell ref="M7:P8"/>
    <mergeCell ref="M9:P9"/>
    <mergeCell ref="M10:P10"/>
    <mergeCell ref="A4:M4"/>
    <mergeCell ref="F7:F8"/>
    <mergeCell ref="H7:H8"/>
    <mergeCell ref="G7:G8"/>
    <mergeCell ref="J7:J8"/>
    <mergeCell ref="A7:A8"/>
    <mergeCell ref="A5:M5"/>
    <mergeCell ref="E7:E8"/>
    <mergeCell ref="K7:K8"/>
    <mergeCell ref="I7:I8"/>
    <mergeCell ref="C7:C8"/>
    <mergeCell ref="C6:P6"/>
  </mergeCells>
  <pageMargins left="0.5" right="1" top="0.3" bottom="0.1" header="0.31496062992126" footer="0.31496062992126"/>
  <pageSetup paperSize="9" scale="87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14"/>
  <sheetViews>
    <sheetView rightToLeft="1" view="pageBreakPreview" zoomScale="70" zoomScaleNormal="100" zoomScaleSheetLayoutView="70" workbookViewId="0">
      <selection activeCell="A4" sqref="A4:AC11"/>
    </sheetView>
  </sheetViews>
  <sheetFormatPr defaultColWidth="9.140625" defaultRowHeight="22.5" x14ac:dyDescent="0.55000000000000004"/>
  <cols>
    <col min="1" max="1" width="31.28515625" style="1" customWidth="1"/>
    <col min="2" max="2" width="0.7109375" style="1" customWidth="1"/>
    <col min="3" max="3" width="14.7109375" style="1" customWidth="1"/>
    <col min="4" max="4" width="0.7109375" style="1" customWidth="1"/>
    <col min="5" max="5" width="25.7109375" style="1" customWidth="1"/>
    <col min="6" max="6" width="1" style="1" customWidth="1"/>
    <col min="7" max="7" width="16.140625" style="1" customWidth="1"/>
    <col min="8" max="8" width="0.7109375" style="1" customWidth="1"/>
    <col min="9" max="9" width="18.140625" style="1" customWidth="1"/>
    <col min="10" max="10" width="0.7109375" style="1" customWidth="1"/>
    <col min="11" max="11" width="6.28515625" style="1" customWidth="1"/>
    <col min="12" max="12" width="0.7109375" style="1" customWidth="1"/>
    <col min="13" max="13" width="16.28515625" style="1" customWidth="1"/>
    <col min="14" max="14" width="0.7109375" style="1" customWidth="1"/>
    <col min="15" max="15" width="14.42578125" style="1" customWidth="1"/>
    <col min="16" max="16" width="0.7109375" style="1" customWidth="1"/>
    <col min="17" max="17" width="12.140625" style="1" customWidth="1"/>
    <col min="18" max="18" width="15.140625" style="1" bestFit="1" customWidth="1"/>
    <col min="19" max="19" width="0.28515625" style="1" customWidth="1"/>
    <col min="20" max="20" width="5.28515625" style="1" customWidth="1"/>
    <col min="21" max="21" width="13.140625" style="1" customWidth="1"/>
    <col min="22" max="22" width="0.28515625" style="1" customWidth="1"/>
    <col min="23" max="23" width="6.140625" style="1" customWidth="1"/>
    <col min="24" max="24" width="0.28515625" style="1" customWidth="1"/>
    <col min="25" max="25" width="9.28515625" style="1" customWidth="1"/>
    <col min="26" max="26" width="0.7109375" style="1" customWidth="1"/>
    <col min="27" max="27" width="12.140625" style="1" customWidth="1"/>
    <col min="28" max="28" width="0.28515625" style="1" customWidth="1"/>
    <col min="29" max="29" width="13.7109375" style="1" customWidth="1"/>
    <col min="30" max="16384" width="9.140625" style="1"/>
  </cols>
  <sheetData>
    <row r="1" spans="1:29" ht="24" x14ac:dyDescent="0.6">
      <c r="A1" s="344" t="str">
        <f>'تعدیل قیمت'!A1:P1</f>
        <v>صندوق سرمایه گذاری شاخص سی شرکت بزرگ فیروزه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</row>
    <row r="2" spans="1:29" ht="24" x14ac:dyDescent="0.6">
      <c r="A2" s="344" t="s">
        <v>80</v>
      </c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  <c r="AA2" s="344"/>
      <c r="AB2" s="344"/>
      <c r="AC2" s="344"/>
    </row>
    <row r="3" spans="1:29" ht="24" x14ac:dyDescent="0.6">
      <c r="A3" s="344" t="str">
        <f>' سهام'!AC6</f>
        <v>برای ماه منتهی به 1405/02/31</v>
      </c>
      <c r="B3" s="344"/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  <c r="N3" s="344"/>
      <c r="O3" s="344"/>
      <c r="P3" s="344"/>
      <c r="Q3" s="344"/>
      <c r="R3" s="344"/>
      <c r="S3" s="344"/>
      <c r="T3" s="344"/>
      <c r="U3" s="344"/>
      <c r="V3" s="344"/>
      <c r="W3" s="344"/>
      <c r="X3" s="344"/>
      <c r="Y3" s="344"/>
      <c r="Z3" s="344"/>
      <c r="AA3" s="344"/>
      <c r="AB3" s="344"/>
      <c r="AC3" s="344"/>
    </row>
    <row r="4" spans="1:29" ht="24" x14ac:dyDescent="0.55000000000000004">
      <c r="A4" s="346" t="s">
        <v>55</v>
      </c>
      <c r="B4" s="346"/>
      <c r="C4" s="346"/>
      <c r="D4" s="346"/>
      <c r="E4" s="346"/>
      <c r="F4" s="346"/>
      <c r="G4" s="346"/>
      <c r="H4" s="346"/>
      <c r="I4" s="346"/>
      <c r="J4" s="346"/>
      <c r="K4" s="346"/>
      <c r="L4" s="346"/>
      <c r="M4" s="346"/>
      <c r="N4" s="346"/>
      <c r="O4" s="346"/>
      <c r="P4" s="346"/>
      <c r="Q4" s="346"/>
      <c r="R4" s="346"/>
      <c r="S4" s="346"/>
      <c r="T4" s="346"/>
      <c r="U4" s="346"/>
      <c r="V4" s="346"/>
      <c r="W4" s="346"/>
      <c r="X4" s="346"/>
      <c r="Y4" s="346"/>
      <c r="Z4" s="346"/>
      <c r="AA4" s="346"/>
      <c r="AB4" s="346"/>
      <c r="AC4" s="346"/>
    </row>
    <row r="5" spans="1:29" ht="23.25" thickBot="1" x14ac:dyDescent="0.6"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1:29" ht="18.75" customHeight="1" thickBot="1" x14ac:dyDescent="0.6">
      <c r="A6" s="49"/>
      <c r="B6" s="49"/>
      <c r="C6" s="374"/>
      <c r="D6" s="374"/>
      <c r="E6" s="374"/>
      <c r="F6" s="46"/>
      <c r="G6" s="46"/>
      <c r="H6" s="46"/>
      <c r="I6" s="46"/>
      <c r="J6" s="30"/>
      <c r="K6" s="374" t="str">
        <f>' سهام'!AC4</f>
        <v>1405/01/31</v>
      </c>
      <c r="L6" s="374"/>
      <c r="M6" s="374"/>
      <c r="N6" s="374"/>
      <c r="O6" s="374"/>
      <c r="P6" s="52"/>
      <c r="Q6" s="379" t="s">
        <v>16</v>
      </c>
      <c r="R6" s="379"/>
      <c r="S6" s="379"/>
      <c r="T6" s="379"/>
      <c r="U6" s="379"/>
      <c r="W6" s="374" t="str">
        <f>' سهام'!AC5</f>
        <v>1405/02/31</v>
      </c>
      <c r="X6" s="374"/>
      <c r="Y6" s="374"/>
      <c r="Z6" s="374"/>
      <c r="AA6" s="374"/>
      <c r="AB6" s="374"/>
      <c r="AC6" s="374"/>
    </row>
    <row r="7" spans="1:29" ht="54.75" customHeight="1" x14ac:dyDescent="0.6">
      <c r="A7" s="351" t="s">
        <v>58</v>
      </c>
      <c r="B7" s="5"/>
      <c r="C7" s="348" t="s">
        <v>33</v>
      </c>
      <c r="D7" s="3"/>
      <c r="E7" s="378" t="s">
        <v>60</v>
      </c>
      <c r="F7" s="14"/>
      <c r="G7" s="378" t="s">
        <v>57</v>
      </c>
      <c r="H7" s="14"/>
      <c r="I7" s="378" t="s">
        <v>14</v>
      </c>
      <c r="J7" s="3"/>
      <c r="K7" s="381" t="s">
        <v>8</v>
      </c>
      <c r="L7" s="377"/>
      <c r="M7" s="377" t="s">
        <v>3</v>
      </c>
      <c r="N7" s="377"/>
      <c r="O7" s="49" t="s">
        <v>1</v>
      </c>
      <c r="P7" s="2"/>
      <c r="Q7" s="344" t="s">
        <v>9</v>
      </c>
      <c r="R7" s="344"/>
      <c r="S7" s="15"/>
      <c r="T7" s="344" t="s">
        <v>10</v>
      </c>
      <c r="U7" s="344"/>
      <c r="V7" s="8"/>
      <c r="W7" s="375" t="s">
        <v>8</v>
      </c>
      <c r="X7" s="377"/>
      <c r="Y7" s="380" t="s">
        <v>3</v>
      </c>
      <c r="Z7" s="377"/>
      <c r="AA7" s="49" t="s">
        <v>1</v>
      </c>
      <c r="AB7" s="50"/>
      <c r="AC7" s="49" t="s">
        <v>0</v>
      </c>
    </row>
    <row r="8" spans="1:29" ht="33" customHeight="1" thickBot="1" x14ac:dyDescent="0.65">
      <c r="A8" s="369"/>
      <c r="B8" s="5"/>
      <c r="C8" s="349"/>
      <c r="D8" s="3"/>
      <c r="E8" s="349"/>
      <c r="F8" s="14"/>
      <c r="G8" s="349"/>
      <c r="H8" s="14"/>
      <c r="I8" s="349"/>
      <c r="J8" s="3"/>
      <c r="K8" s="376"/>
      <c r="L8" s="377"/>
      <c r="M8" s="374"/>
      <c r="N8" s="377"/>
      <c r="O8" s="46" t="s">
        <v>2</v>
      </c>
      <c r="P8" s="2"/>
      <c r="Q8" s="16" t="s">
        <v>8</v>
      </c>
      <c r="R8" s="16" t="s">
        <v>3</v>
      </c>
      <c r="S8" s="8"/>
      <c r="T8" s="16" t="s">
        <v>8</v>
      </c>
      <c r="U8" s="16" t="s">
        <v>79</v>
      </c>
      <c r="V8" s="8"/>
      <c r="W8" s="376"/>
      <c r="X8" s="377"/>
      <c r="Y8" s="374"/>
      <c r="Z8" s="377"/>
      <c r="AA8" s="46" t="s">
        <v>2</v>
      </c>
      <c r="AB8" s="50"/>
      <c r="AC8" s="46" t="s">
        <v>4</v>
      </c>
    </row>
    <row r="9" spans="1:29" ht="27.6" customHeight="1" thickBot="1" x14ac:dyDescent="0.6">
      <c r="A9" s="3" t="s">
        <v>56</v>
      </c>
      <c r="B9" s="3"/>
      <c r="C9" s="48" t="s">
        <v>6</v>
      </c>
      <c r="D9" s="3"/>
      <c r="E9" s="48" t="s">
        <v>6</v>
      </c>
      <c r="F9" s="48"/>
      <c r="G9" s="48" t="s">
        <v>6</v>
      </c>
      <c r="H9" s="48"/>
      <c r="I9" s="48" t="s">
        <v>6</v>
      </c>
      <c r="J9" s="3"/>
      <c r="K9" s="48" t="s">
        <v>6</v>
      </c>
      <c r="L9" s="5"/>
      <c r="M9" s="48" t="s">
        <v>6</v>
      </c>
      <c r="N9" s="5"/>
      <c r="O9" s="5" t="s">
        <v>6</v>
      </c>
      <c r="P9" s="31"/>
      <c r="Q9" s="48" t="s">
        <v>6</v>
      </c>
      <c r="R9" s="48" t="s">
        <v>6</v>
      </c>
      <c r="T9" s="48" t="s">
        <v>6</v>
      </c>
      <c r="U9" s="48" t="s">
        <v>6</v>
      </c>
      <c r="W9" s="48" t="s">
        <v>6</v>
      </c>
      <c r="X9" s="5"/>
      <c r="Y9" s="48" t="s">
        <v>6</v>
      </c>
      <c r="Z9" s="5"/>
      <c r="AA9" s="5" t="s">
        <v>6</v>
      </c>
      <c r="AB9" s="5"/>
      <c r="AC9" s="5" t="s">
        <v>6</v>
      </c>
    </row>
    <row r="10" spans="1:29" ht="23.25" thickBot="1" x14ac:dyDescent="0.6">
      <c r="A10" s="3" t="s">
        <v>7</v>
      </c>
      <c r="B10" s="3"/>
      <c r="C10" s="32" t="s">
        <v>6</v>
      </c>
      <c r="D10" s="3"/>
      <c r="E10" s="32" t="s">
        <v>6</v>
      </c>
      <c r="F10" s="3"/>
      <c r="G10" s="32" t="s">
        <v>6</v>
      </c>
      <c r="H10" s="3"/>
      <c r="I10" s="32" t="s">
        <v>6</v>
      </c>
      <c r="J10" s="3"/>
      <c r="K10" s="32" t="s">
        <v>6</v>
      </c>
      <c r="L10" s="5"/>
      <c r="M10" s="32" t="s">
        <v>6</v>
      </c>
      <c r="N10" s="5"/>
      <c r="O10" s="47" t="s">
        <v>6</v>
      </c>
      <c r="P10" s="31"/>
      <c r="Q10" s="32" t="s">
        <v>6</v>
      </c>
      <c r="R10" s="32" t="s">
        <v>6</v>
      </c>
      <c r="T10" s="32" t="s">
        <v>6</v>
      </c>
      <c r="U10" s="32" t="s">
        <v>6</v>
      </c>
      <c r="W10" s="32" t="s">
        <v>6</v>
      </c>
      <c r="X10" s="5"/>
      <c r="Y10" s="32" t="s">
        <v>6</v>
      </c>
      <c r="Z10" s="5"/>
      <c r="AA10" s="47" t="s">
        <v>6</v>
      </c>
      <c r="AB10" s="5"/>
      <c r="AC10" s="47" t="s">
        <v>6</v>
      </c>
    </row>
    <row r="11" spans="1:29" ht="23.25" thickTop="1" x14ac:dyDescent="0.55000000000000004"/>
    <row r="14" spans="1:29" x14ac:dyDescent="0.55000000000000004">
      <c r="M14" s="13"/>
    </row>
  </sheetData>
  <mergeCells count="23">
    <mergeCell ref="A7:A8"/>
    <mergeCell ref="C7:C8"/>
    <mergeCell ref="E7:E8"/>
    <mergeCell ref="A1:AC1"/>
    <mergeCell ref="A2:AC2"/>
    <mergeCell ref="A3:AC3"/>
    <mergeCell ref="A4:AC4"/>
    <mergeCell ref="C6:E6"/>
    <mergeCell ref="K6:O6"/>
    <mergeCell ref="Q6:U6"/>
    <mergeCell ref="W6:AC6"/>
    <mergeCell ref="X7:X8"/>
    <mergeCell ref="Y7:Y8"/>
    <mergeCell ref="Z7:Z8"/>
    <mergeCell ref="K7:K8"/>
    <mergeCell ref="L7:L8"/>
    <mergeCell ref="W7:W8"/>
    <mergeCell ref="M7:M8"/>
    <mergeCell ref="N7:N8"/>
    <mergeCell ref="G7:G8"/>
    <mergeCell ref="T7:U7"/>
    <mergeCell ref="Q7:R7"/>
    <mergeCell ref="I7:I8"/>
  </mergeCells>
  <pageMargins left="0.5" right="1" top="0.3" bottom="0.1" header="0.31496062992126" footer="0.31496062992126"/>
  <pageSetup paperSize="9" scale="55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N20"/>
  <sheetViews>
    <sheetView rightToLeft="1" view="pageBreakPreview" zoomScale="55" zoomScaleNormal="100" zoomScaleSheetLayoutView="55" workbookViewId="0">
      <selection activeCell="D27" sqref="D27"/>
    </sheetView>
  </sheetViews>
  <sheetFormatPr defaultColWidth="9.140625" defaultRowHeight="26.25" x14ac:dyDescent="0.65"/>
  <cols>
    <col min="1" max="1" width="4" style="54" customWidth="1"/>
    <col min="2" max="2" width="51.28515625" style="54" bestFit="1" customWidth="1"/>
    <col min="3" max="3" width="0.7109375" style="54" customWidth="1"/>
    <col min="4" max="4" width="20.42578125" style="54" customWidth="1"/>
    <col min="5" max="5" width="0.7109375" style="54" customWidth="1"/>
    <col min="6" max="6" width="18.85546875" style="54" customWidth="1"/>
    <col min="7" max="7" width="0.7109375" style="54" customWidth="1"/>
    <col min="8" max="8" width="29.85546875" style="54" bestFit="1" customWidth="1"/>
    <col min="9" max="9" width="0.7109375" style="54" customWidth="1"/>
    <col min="10" max="10" width="24.42578125" style="54" bestFit="1" customWidth="1"/>
    <col min="11" max="11" width="0.28515625" style="54" customWidth="1"/>
    <col min="12" max="12" width="1.28515625" style="54" customWidth="1"/>
    <col min="13" max="13" width="15.42578125" style="54" bestFit="1" customWidth="1"/>
    <col min="14" max="14" width="0.7109375" style="54" customWidth="1"/>
    <col min="15" max="15" width="8.140625" style="54" customWidth="1"/>
    <col min="16" max="16" width="0.5703125" style="54" customWidth="1"/>
    <col min="17" max="17" width="18.42578125" style="54" bestFit="1" customWidth="1"/>
    <col min="18" max="18" width="0.85546875" style="54" customWidth="1"/>
    <col min="19" max="19" width="33" style="54" bestFit="1" customWidth="1"/>
    <col min="20" max="20" width="0.7109375" style="54" customWidth="1"/>
    <col min="21" max="21" width="31.85546875" style="54" bestFit="1" customWidth="1"/>
    <col min="22" max="22" width="0.7109375" style="54" customWidth="1"/>
    <col min="23" max="23" width="11" style="54" bestFit="1" customWidth="1"/>
    <col min="24" max="24" width="1.5703125" style="54" customWidth="1"/>
    <col min="25" max="25" width="24.42578125" style="54" bestFit="1" customWidth="1"/>
    <col min="26" max="26" width="0.5703125" style="54" customWidth="1"/>
    <col min="27" max="27" width="18.42578125" style="17" bestFit="1" customWidth="1"/>
    <col min="28" max="28" width="1.5703125" style="17" customWidth="1"/>
    <col min="29" max="29" width="33" style="54" bestFit="1" customWidth="1"/>
    <col min="30" max="30" width="0.7109375" style="54" customWidth="1"/>
    <col min="31" max="31" width="14.85546875" style="54" bestFit="1" customWidth="1"/>
    <col min="32" max="32" width="0.7109375" style="54" customWidth="1"/>
    <col min="33" max="33" width="33" style="17" bestFit="1" customWidth="1"/>
    <col min="34" max="34" width="0.42578125" style="54" customWidth="1"/>
    <col min="35" max="35" width="30.5703125" style="54" bestFit="1" customWidth="1"/>
    <col min="36" max="36" width="0.7109375" style="54" customWidth="1"/>
    <col min="37" max="37" width="31.5703125" style="54" bestFit="1" customWidth="1"/>
    <col min="38" max="38" width="0.42578125" style="54" customWidth="1"/>
    <col min="39" max="39" width="27.28515625" style="54" customWidth="1"/>
    <col min="40" max="52" width="9.140625" style="54"/>
    <col min="53" max="53" width="19.28515625" style="54" bestFit="1" customWidth="1"/>
    <col min="54" max="16384" width="9.140625" style="54"/>
  </cols>
  <sheetData>
    <row r="1" spans="2:40" ht="33.75" x14ac:dyDescent="0.65">
      <c r="B1" s="393" t="str">
        <f>' سهام'!B1:Z1</f>
        <v>صندوق سرمایه گذاری شاخص سی شرکت بزرگ فیروزه</v>
      </c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  <c r="X1" s="393"/>
      <c r="Y1" s="393"/>
      <c r="Z1" s="393"/>
      <c r="AA1" s="393"/>
      <c r="AB1" s="393"/>
      <c r="AC1" s="393"/>
      <c r="AD1" s="393"/>
      <c r="AE1" s="393"/>
      <c r="AF1" s="393"/>
      <c r="AG1" s="393"/>
      <c r="AH1" s="393"/>
      <c r="AI1" s="393"/>
      <c r="AJ1" s="393"/>
      <c r="AK1" s="393"/>
      <c r="AL1" s="393"/>
      <c r="AM1" s="393"/>
    </row>
    <row r="2" spans="2:40" ht="33.75" x14ac:dyDescent="0.65">
      <c r="B2" s="393" t="s">
        <v>80</v>
      </c>
      <c r="C2" s="393"/>
      <c r="D2" s="393"/>
      <c r="E2" s="393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393"/>
      <c r="R2" s="393"/>
      <c r="S2" s="393"/>
      <c r="T2" s="393"/>
      <c r="U2" s="393"/>
      <c r="V2" s="393"/>
      <c r="W2" s="393"/>
      <c r="X2" s="393"/>
      <c r="Y2" s="393"/>
      <c r="Z2" s="393"/>
      <c r="AA2" s="393"/>
      <c r="AB2" s="393"/>
      <c r="AC2" s="393"/>
      <c r="AD2" s="393"/>
      <c r="AE2" s="393"/>
      <c r="AF2" s="393"/>
      <c r="AG2" s="393"/>
      <c r="AH2" s="393"/>
      <c r="AI2" s="393"/>
      <c r="AJ2" s="393"/>
      <c r="AK2" s="393"/>
      <c r="AL2" s="393"/>
      <c r="AM2" s="393"/>
    </row>
    <row r="3" spans="2:40" ht="33.75" x14ac:dyDescent="0.65">
      <c r="B3" s="393" t="str">
        <f>' سهام'!AC6</f>
        <v>برای ماه منتهی به 1405/02/31</v>
      </c>
      <c r="C3" s="393"/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393"/>
      <c r="R3" s="393"/>
      <c r="S3" s="393"/>
      <c r="T3" s="393"/>
      <c r="U3" s="393"/>
      <c r="V3" s="393"/>
      <c r="W3" s="393"/>
      <c r="X3" s="393"/>
      <c r="Y3" s="393"/>
      <c r="Z3" s="393"/>
      <c r="AA3" s="393"/>
      <c r="AB3" s="393"/>
      <c r="AC3" s="393"/>
      <c r="AD3" s="393"/>
      <c r="AE3" s="393"/>
      <c r="AF3" s="393"/>
      <c r="AG3" s="393"/>
      <c r="AH3" s="393"/>
      <c r="AI3" s="393"/>
      <c r="AJ3" s="393"/>
      <c r="AK3" s="393"/>
      <c r="AL3" s="393"/>
      <c r="AM3" s="393"/>
    </row>
    <row r="4" spans="2:40" x14ac:dyDescent="0.65">
      <c r="B4" s="100" t="s">
        <v>38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</row>
    <row r="6" spans="2:40" ht="36.75" thickBot="1" x14ac:dyDescent="0.95">
      <c r="B6" s="383" t="s">
        <v>29</v>
      </c>
      <c r="C6" s="383"/>
      <c r="D6" s="383"/>
      <c r="E6" s="383"/>
      <c r="F6" s="383"/>
      <c r="G6" s="383"/>
      <c r="H6" s="383"/>
      <c r="I6" s="383"/>
      <c r="J6" s="383"/>
      <c r="K6" s="383"/>
      <c r="L6" s="383"/>
      <c r="M6" s="383"/>
      <c r="N6" s="383"/>
      <c r="O6" s="383"/>
      <c r="P6" s="72"/>
      <c r="Q6" s="383" t="str">
        <f>' سهام'!AC4</f>
        <v>1405/01/31</v>
      </c>
      <c r="R6" s="383"/>
      <c r="S6" s="383"/>
      <c r="T6" s="383"/>
      <c r="U6" s="383"/>
      <c r="V6" s="78"/>
      <c r="W6" s="394" t="s">
        <v>16</v>
      </c>
      <c r="X6" s="394"/>
      <c r="Y6" s="394"/>
      <c r="Z6" s="394"/>
      <c r="AA6" s="394"/>
      <c r="AB6" s="394"/>
      <c r="AC6" s="394"/>
      <c r="AD6" s="71"/>
      <c r="AE6" s="383" t="str">
        <f>' سهام'!AC5</f>
        <v>1405/02/31</v>
      </c>
      <c r="AF6" s="383"/>
      <c r="AG6" s="383"/>
      <c r="AH6" s="383"/>
      <c r="AI6" s="383"/>
      <c r="AJ6" s="383"/>
      <c r="AK6" s="383"/>
      <c r="AL6" s="383"/>
      <c r="AM6" s="383"/>
    </row>
    <row r="7" spans="2:40" s="15" customFormat="1" ht="36" x14ac:dyDescent="0.9">
      <c r="B7" s="386" t="s">
        <v>30</v>
      </c>
      <c r="C7" s="72"/>
      <c r="D7" s="390" t="s">
        <v>15</v>
      </c>
      <c r="E7" s="72"/>
      <c r="F7" s="392" t="s">
        <v>14</v>
      </c>
      <c r="G7" s="72"/>
      <c r="H7" s="382" t="s">
        <v>42</v>
      </c>
      <c r="I7" s="72"/>
      <c r="J7" s="390" t="s">
        <v>33</v>
      </c>
      <c r="K7" s="72"/>
      <c r="L7" s="72"/>
      <c r="M7" s="392" t="s">
        <v>13</v>
      </c>
      <c r="N7" s="79"/>
      <c r="O7" s="392" t="s">
        <v>12</v>
      </c>
      <c r="P7" s="72"/>
      <c r="Q7" s="384" t="s">
        <v>8</v>
      </c>
      <c r="R7" s="382"/>
      <c r="S7" s="382" t="s">
        <v>3</v>
      </c>
      <c r="T7" s="382"/>
      <c r="U7" s="382" t="s">
        <v>31</v>
      </c>
      <c r="V7" s="72"/>
      <c r="W7" s="389" t="s">
        <v>9</v>
      </c>
      <c r="X7" s="389"/>
      <c r="Y7" s="389"/>
      <c r="Z7" s="71"/>
      <c r="AA7" s="389" t="s">
        <v>10</v>
      </c>
      <c r="AB7" s="389"/>
      <c r="AC7" s="389"/>
      <c r="AD7" s="71"/>
      <c r="AE7" s="384" t="s">
        <v>8</v>
      </c>
      <c r="AF7" s="386"/>
      <c r="AG7" s="387" t="s">
        <v>43</v>
      </c>
      <c r="AH7" s="72"/>
      <c r="AI7" s="382" t="s">
        <v>3</v>
      </c>
      <c r="AJ7" s="386"/>
      <c r="AK7" s="382" t="s">
        <v>31</v>
      </c>
      <c r="AL7" s="80"/>
      <c r="AM7" s="382" t="s">
        <v>32</v>
      </c>
    </row>
    <row r="8" spans="2:40" s="55" customFormat="1" ht="72.75" customHeight="1" thickBot="1" x14ac:dyDescent="0.3">
      <c r="B8" s="383"/>
      <c r="C8" s="72"/>
      <c r="D8" s="391"/>
      <c r="E8" s="72"/>
      <c r="F8" s="391"/>
      <c r="G8" s="72"/>
      <c r="H8" s="383"/>
      <c r="I8" s="72"/>
      <c r="J8" s="391"/>
      <c r="K8" s="72"/>
      <c r="L8" s="72"/>
      <c r="M8" s="391"/>
      <c r="N8" s="78"/>
      <c r="O8" s="391"/>
      <c r="P8" s="72"/>
      <c r="Q8" s="385"/>
      <c r="R8" s="386"/>
      <c r="S8" s="383"/>
      <c r="T8" s="386"/>
      <c r="U8" s="383"/>
      <c r="V8" s="72"/>
      <c r="W8" s="81" t="s">
        <v>8</v>
      </c>
      <c r="X8" s="81"/>
      <c r="Y8" s="81" t="s">
        <v>3</v>
      </c>
      <c r="Z8" s="70"/>
      <c r="AA8" s="82" t="s">
        <v>8</v>
      </c>
      <c r="AB8" s="82"/>
      <c r="AC8" s="81" t="s">
        <v>79</v>
      </c>
      <c r="AD8" s="70"/>
      <c r="AE8" s="385"/>
      <c r="AF8" s="386"/>
      <c r="AG8" s="388"/>
      <c r="AH8" s="72"/>
      <c r="AI8" s="383"/>
      <c r="AJ8" s="386"/>
      <c r="AK8" s="383"/>
      <c r="AL8" s="80"/>
      <c r="AM8" s="383"/>
      <c r="AN8" s="49"/>
    </row>
    <row r="9" spans="2:40" s="18" customFormat="1" ht="34.5" thickBot="1" x14ac:dyDescent="0.65">
      <c r="B9" s="73" t="s">
        <v>7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5" t="s">
        <v>101</v>
      </c>
      <c r="N9" s="73"/>
      <c r="O9" s="73"/>
      <c r="P9" s="73"/>
      <c r="Q9" s="76">
        <v>0</v>
      </c>
      <c r="R9" s="83"/>
      <c r="S9" s="76">
        <v>0</v>
      </c>
      <c r="T9" s="83"/>
      <c r="U9" s="77">
        <v>0</v>
      </c>
      <c r="V9" s="83"/>
      <c r="W9" s="76">
        <v>0</v>
      </c>
      <c r="X9" s="76"/>
      <c r="Y9" s="76">
        <v>0</v>
      </c>
      <c r="Z9" s="84"/>
      <c r="AA9" s="76">
        <v>0</v>
      </c>
      <c r="AB9" s="76"/>
      <c r="AC9" s="76">
        <v>0</v>
      </c>
      <c r="AD9" s="84"/>
      <c r="AE9" s="85">
        <v>0</v>
      </c>
      <c r="AF9" s="86"/>
      <c r="AG9" s="85">
        <v>0</v>
      </c>
      <c r="AH9" s="86"/>
      <c r="AI9" s="85">
        <v>0</v>
      </c>
      <c r="AJ9" s="86"/>
      <c r="AK9" s="85">
        <v>0</v>
      </c>
      <c r="AL9" s="74"/>
      <c r="AM9" s="87">
        <v>0</v>
      </c>
    </row>
    <row r="10" spans="2:40" ht="27" thickTop="1" x14ac:dyDescent="0.65"/>
    <row r="12" spans="2:40" x14ac:dyDescent="0.65">
      <c r="AI12" s="19"/>
    </row>
    <row r="14" spans="2:40" x14ac:dyDescent="0.65">
      <c r="M14" s="20"/>
    </row>
    <row r="20" spans="8:12" x14ac:dyDescent="0.65">
      <c r="H20" s="99"/>
      <c r="I20" s="99"/>
      <c r="J20" s="99"/>
      <c r="K20" s="99"/>
      <c r="L20" s="99"/>
    </row>
  </sheetData>
  <mergeCells count="28">
    <mergeCell ref="B1:AM1"/>
    <mergeCell ref="B2:AM2"/>
    <mergeCell ref="B3:AM3"/>
    <mergeCell ref="W6:AC6"/>
    <mergeCell ref="AE6:AM6"/>
    <mergeCell ref="W7:Y7"/>
    <mergeCell ref="AA7:AC7"/>
    <mergeCell ref="Q6:U6"/>
    <mergeCell ref="B6:O6"/>
    <mergeCell ref="U7:U8"/>
    <mergeCell ref="D7:D8"/>
    <mergeCell ref="F7:F8"/>
    <mergeCell ref="M7:M8"/>
    <mergeCell ref="O7:O8"/>
    <mergeCell ref="J7:J8"/>
    <mergeCell ref="H7:H8"/>
    <mergeCell ref="B7:B8"/>
    <mergeCell ref="Q7:Q8"/>
    <mergeCell ref="R7:R8"/>
    <mergeCell ref="S7:S8"/>
    <mergeCell ref="T7:T8"/>
    <mergeCell ref="AK7:AK8"/>
    <mergeCell ref="AM7:AM8"/>
    <mergeCell ref="AE7:AE8"/>
    <mergeCell ref="AF7:AF8"/>
    <mergeCell ref="AI7:AI8"/>
    <mergeCell ref="AJ7:AJ8"/>
    <mergeCell ref="AG7:AG8"/>
  </mergeCells>
  <pageMargins left="0.5" right="1" top="0.3" bottom="0.1" header="0.31496062992126" footer="0.31496062992126"/>
  <pageSetup paperSize="9" scale="26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B1:AA82"/>
  <sheetViews>
    <sheetView rightToLeft="1" view="pageBreakPreview" zoomScale="90" zoomScaleNormal="100" zoomScaleSheetLayoutView="90" workbookViewId="0">
      <selection activeCell="D23" sqref="D23"/>
    </sheetView>
  </sheetViews>
  <sheetFormatPr defaultColWidth="9.140625" defaultRowHeight="22.5" x14ac:dyDescent="0.55000000000000004"/>
  <cols>
    <col min="1" max="1" width="6" style="1" customWidth="1"/>
    <col min="2" max="2" width="38.85546875" style="1" bestFit="1" customWidth="1"/>
    <col min="3" max="3" width="0.7109375" style="1" customWidth="1"/>
    <col min="4" max="4" width="16" style="1" bestFit="1" customWidth="1"/>
    <col min="5" max="5" width="0.7109375" style="1" customWidth="1"/>
    <col min="6" max="6" width="19.7109375" style="1" bestFit="1" customWidth="1"/>
    <col min="7" max="7" width="0.7109375" style="1" customWidth="1"/>
    <col min="8" max="8" width="22" style="1" bestFit="1" customWidth="1"/>
    <col min="9" max="9" width="0.7109375" style="1" customWidth="1"/>
    <col min="10" max="10" width="19.42578125" style="1" bestFit="1" customWidth="1"/>
    <col min="11" max="11" width="0.7109375" style="1" customWidth="1"/>
    <col min="12" max="12" width="21.28515625" style="93" bestFit="1" customWidth="1"/>
    <col min="13" max="13" width="0.28515625" style="1" customWidth="1"/>
    <col min="14" max="14" width="21.140625" style="93" bestFit="1" customWidth="1"/>
    <col min="15" max="15" width="0.28515625" style="1" customWidth="1"/>
    <col min="16" max="16" width="19.42578125" style="1" bestFit="1" customWidth="1"/>
    <col min="17" max="17" width="0.7109375" style="1" customWidth="1"/>
    <col min="18" max="18" width="22.7109375" style="1" bestFit="1" customWidth="1"/>
    <col min="19" max="19" width="9.140625" style="1"/>
    <col min="20" max="20" width="23.7109375" style="1" bestFit="1" customWidth="1"/>
    <col min="21" max="16384" width="9.140625" style="1"/>
  </cols>
  <sheetData>
    <row r="1" spans="2:27" ht="24" x14ac:dyDescent="0.6">
      <c r="B1" s="344" t="s">
        <v>102</v>
      </c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</row>
    <row r="2" spans="2:27" ht="24" x14ac:dyDescent="0.6">
      <c r="B2" s="344" t="s">
        <v>80</v>
      </c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4"/>
      <c r="Q2" s="344"/>
      <c r="R2" s="344"/>
    </row>
    <row r="3" spans="2:27" ht="24" x14ac:dyDescent="0.6">
      <c r="B3" s="344" t="str">
        <f>' سهام'!AC6</f>
        <v>برای ماه منتهی به 1405/02/31</v>
      </c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  <c r="N3" s="344"/>
      <c r="O3" s="344"/>
      <c r="P3" s="344"/>
      <c r="Q3" s="344"/>
      <c r="R3" s="344"/>
    </row>
    <row r="4" spans="2:27" ht="24" x14ac:dyDescent="0.55000000000000004">
      <c r="B4" s="345" t="s">
        <v>82</v>
      </c>
      <c r="C4" s="345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AA4" s="1" t="s">
        <v>155</v>
      </c>
    </row>
    <row r="5" spans="2:27" ht="23.25" thickBot="1" x14ac:dyDescent="0.6">
      <c r="C5" s="29"/>
      <c r="D5" s="29"/>
      <c r="E5" s="29"/>
      <c r="F5" s="29"/>
      <c r="G5" s="29"/>
      <c r="H5" s="29"/>
      <c r="I5" s="29"/>
      <c r="J5" s="29"/>
      <c r="K5" s="29"/>
      <c r="L5" s="122"/>
      <c r="M5" s="29"/>
      <c r="N5" s="122"/>
      <c r="O5" s="29"/>
      <c r="P5" s="29"/>
      <c r="Q5" s="29"/>
      <c r="R5" s="29"/>
      <c r="S5" s="253"/>
      <c r="T5" s="253"/>
      <c r="AA5" s="1" t="s">
        <v>156</v>
      </c>
    </row>
    <row r="6" spans="2:27" ht="18.75" customHeight="1" thickBot="1" x14ac:dyDescent="0.6">
      <c r="B6" s="49"/>
      <c r="C6" s="400"/>
      <c r="D6" s="400"/>
      <c r="E6" s="400"/>
      <c r="F6" s="400"/>
      <c r="G6" s="400"/>
      <c r="H6" s="400"/>
      <c r="I6" s="400"/>
      <c r="J6" s="400"/>
      <c r="K6" s="52"/>
      <c r="L6" s="379" t="s">
        <v>16</v>
      </c>
      <c r="M6" s="379"/>
      <c r="N6" s="379"/>
      <c r="P6" s="374" t="str">
        <f>' سهام'!AC5</f>
        <v>1405/02/31</v>
      </c>
      <c r="Q6" s="374"/>
      <c r="R6" s="374"/>
      <c r="S6" s="253"/>
      <c r="T6" s="253"/>
      <c r="AA6" s="1" t="s">
        <v>157</v>
      </c>
    </row>
    <row r="7" spans="2:27" ht="24" customHeight="1" x14ac:dyDescent="0.55000000000000004">
      <c r="B7" s="396" t="s">
        <v>17</v>
      </c>
      <c r="C7" s="3"/>
      <c r="D7" s="378" t="s">
        <v>18</v>
      </c>
      <c r="E7" s="3"/>
      <c r="F7" s="378" t="s">
        <v>59</v>
      </c>
      <c r="G7" s="3"/>
      <c r="H7" s="378" t="s">
        <v>60</v>
      </c>
      <c r="I7" s="351"/>
      <c r="J7" s="370" t="s">
        <v>11</v>
      </c>
      <c r="K7" s="3"/>
      <c r="L7" s="398" t="s">
        <v>61</v>
      </c>
      <c r="M7" s="160"/>
      <c r="N7" s="398" t="s">
        <v>62</v>
      </c>
      <c r="P7" s="395" t="s">
        <v>11</v>
      </c>
      <c r="Q7" s="351"/>
      <c r="R7" s="350" t="s">
        <v>32</v>
      </c>
      <c r="S7" s="253"/>
      <c r="T7" s="253"/>
      <c r="AA7" s="1" t="s">
        <v>158</v>
      </c>
    </row>
    <row r="8" spans="2:27" ht="47.25" customHeight="1" thickBot="1" x14ac:dyDescent="0.6">
      <c r="B8" s="397"/>
      <c r="C8" s="222"/>
      <c r="D8" s="349"/>
      <c r="E8" s="222"/>
      <c r="F8" s="349"/>
      <c r="G8" s="222"/>
      <c r="H8" s="349"/>
      <c r="I8" s="351"/>
      <c r="J8" s="371"/>
      <c r="K8" s="3"/>
      <c r="L8" s="399"/>
      <c r="N8" s="399"/>
      <c r="P8" s="371"/>
      <c r="Q8" s="351"/>
      <c r="R8" s="369"/>
      <c r="S8" s="253"/>
      <c r="T8" s="253"/>
      <c r="V8" s="159"/>
      <c r="AA8" s="1" t="s">
        <v>159</v>
      </c>
    </row>
    <row r="9" spans="2:27" ht="25.15" customHeight="1" x14ac:dyDescent="0.55000000000000004">
      <c r="B9" s="68" t="s">
        <v>196</v>
      </c>
      <c r="C9" s="223"/>
      <c r="D9" s="223" t="s">
        <v>106</v>
      </c>
      <c r="E9" s="223"/>
      <c r="F9" s="223" t="s">
        <v>104</v>
      </c>
      <c r="G9" s="223"/>
      <c r="H9" s="157">
        <v>0</v>
      </c>
      <c r="I9" s="223"/>
      <c r="J9" s="164">
        <v>50000000</v>
      </c>
      <c r="K9" s="223"/>
      <c r="L9" s="157">
        <v>0</v>
      </c>
      <c r="M9" s="223"/>
      <c r="N9" s="157">
        <v>0</v>
      </c>
      <c r="O9" s="157"/>
      <c r="P9" s="157">
        <v>50000000</v>
      </c>
      <c r="Q9" s="224"/>
      <c r="R9" s="225">
        <f>P9/$R$19</f>
        <v>5.9251198877980389E-6</v>
      </c>
      <c r="S9" s="253"/>
      <c r="T9" s="268"/>
    </row>
    <row r="10" spans="2:27" ht="25.15" customHeight="1" x14ac:dyDescent="0.55000000000000004">
      <c r="B10" s="68" t="s">
        <v>161</v>
      </c>
      <c r="C10" s="223"/>
      <c r="D10" s="223" t="s">
        <v>107</v>
      </c>
      <c r="E10" s="223"/>
      <c r="F10" s="223" t="s">
        <v>104</v>
      </c>
      <c r="G10" s="223"/>
      <c r="H10" s="157">
        <v>0</v>
      </c>
      <c r="I10" s="223"/>
      <c r="J10" s="164">
        <v>51466888</v>
      </c>
      <c r="K10" s="223"/>
      <c r="L10" s="157">
        <v>204633</v>
      </c>
      <c r="M10" s="223"/>
      <c r="N10" s="157">
        <v>3279000</v>
      </c>
      <c r="O10" s="157"/>
      <c r="P10" s="157">
        <v>48392521</v>
      </c>
      <c r="Q10" s="224"/>
      <c r="R10" s="225">
        <f>P10/$R$19</f>
        <v>5.734629771955685E-6</v>
      </c>
      <c r="S10" s="253"/>
      <c r="T10" s="268"/>
    </row>
    <row r="11" spans="2:27" ht="25.15" customHeight="1" x14ac:dyDescent="0.55000000000000004">
      <c r="B11" s="68" t="s">
        <v>162</v>
      </c>
      <c r="C11" s="223"/>
      <c r="D11" s="223" t="s">
        <v>107</v>
      </c>
      <c r="E11" s="223"/>
      <c r="F11" s="223" t="s">
        <v>144</v>
      </c>
      <c r="G11" s="223"/>
      <c r="H11" s="157">
        <v>0</v>
      </c>
      <c r="I11" s="223"/>
      <c r="J11" s="164">
        <v>218982039477</v>
      </c>
      <c r="K11" s="223"/>
      <c r="L11" s="157">
        <v>5836282363</v>
      </c>
      <c r="M11" s="223"/>
      <c r="N11" s="157">
        <v>630000</v>
      </c>
      <c r="O11" s="157"/>
      <c r="P11" s="157">
        <v>224817691840</v>
      </c>
      <c r="Q11" s="224"/>
      <c r="R11" s="225">
        <f t="shared" ref="R11:R12" si="0">P11/$R$19</f>
        <v>2.6641435541000701E-2</v>
      </c>
      <c r="S11" s="253"/>
      <c r="T11" s="268"/>
    </row>
    <row r="12" spans="2:27" ht="25.15" customHeight="1" x14ac:dyDescent="0.55000000000000004">
      <c r="B12" s="68" t="s">
        <v>183</v>
      </c>
      <c r="C12" s="223"/>
      <c r="D12" s="223" t="s">
        <v>107</v>
      </c>
      <c r="E12" s="223"/>
      <c r="F12" s="223" t="s">
        <v>184</v>
      </c>
      <c r="G12" s="223"/>
      <c r="H12" s="157">
        <v>0</v>
      </c>
      <c r="I12" s="223"/>
      <c r="J12" s="164">
        <v>1024772</v>
      </c>
      <c r="K12" s="223"/>
      <c r="L12" s="157">
        <v>0</v>
      </c>
      <c r="M12" s="223"/>
      <c r="N12" s="157">
        <v>630000</v>
      </c>
      <c r="O12" s="157"/>
      <c r="P12" s="157">
        <v>394772</v>
      </c>
      <c r="Q12" s="224"/>
      <c r="R12" s="225">
        <f t="shared" si="0"/>
        <v>4.6781428566916152E-8</v>
      </c>
      <c r="S12" s="253"/>
      <c r="T12" s="268"/>
    </row>
    <row r="13" spans="2:27" ht="25.15" customHeight="1" x14ac:dyDescent="0.55000000000000004">
      <c r="B13" s="68" t="s">
        <v>197</v>
      </c>
      <c r="C13" s="223"/>
      <c r="D13" s="223" t="s">
        <v>107</v>
      </c>
      <c r="E13" s="223"/>
      <c r="F13" s="223" t="s">
        <v>184</v>
      </c>
      <c r="G13" s="223"/>
      <c r="H13" s="157">
        <v>0</v>
      </c>
      <c r="I13" s="223"/>
      <c r="J13" s="164">
        <v>402500</v>
      </c>
      <c r="K13" s="223"/>
      <c r="L13" s="157">
        <v>0</v>
      </c>
      <c r="M13" s="223"/>
      <c r="N13" s="157">
        <v>0</v>
      </c>
      <c r="O13" s="157"/>
      <c r="P13" s="157">
        <v>402500</v>
      </c>
      <c r="Q13" s="224"/>
      <c r="R13" s="226">
        <f>P13/$R$19</f>
        <v>4.7697215096774215E-8</v>
      </c>
      <c r="S13" s="253"/>
      <c r="T13" s="268"/>
    </row>
    <row r="14" spans="2:27" ht="25.15" customHeight="1" x14ac:dyDescent="0.55000000000000004">
      <c r="B14" s="68" t="s">
        <v>198</v>
      </c>
      <c r="C14" s="223"/>
      <c r="D14" s="223" t="s">
        <v>106</v>
      </c>
      <c r="E14" s="223"/>
      <c r="F14" s="223" t="s">
        <v>189</v>
      </c>
      <c r="G14" s="223"/>
      <c r="H14" s="157">
        <v>0</v>
      </c>
      <c r="I14" s="223"/>
      <c r="J14" s="164">
        <v>4990000</v>
      </c>
      <c r="K14" s="223"/>
      <c r="L14" s="157">
        <v>0</v>
      </c>
      <c r="M14" s="223"/>
      <c r="N14" s="157">
        <v>1016500</v>
      </c>
      <c r="O14" s="157"/>
      <c r="P14" s="157">
        <v>3973500</v>
      </c>
      <c r="Q14" s="224"/>
      <c r="R14" s="226">
        <f>P14/$R$19</f>
        <v>4.7086927748331018E-7</v>
      </c>
      <c r="S14" s="253"/>
      <c r="T14" s="268"/>
    </row>
    <row r="15" spans="2:27" ht="25.15" customHeight="1" thickBot="1" x14ac:dyDescent="0.6">
      <c r="B15" s="68" t="s">
        <v>199</v>
      </c>
      <c r="C15" s="223"/>
      <c r="D15" s="223" t="s">
        <v>107</v>
      </c>
      <c r="E15" s="223"/>
      <c r="F15" s="223" t="s">
        <v>195</v>
      </c>
      <c r="G15" s="223"/>
      <c r="H15" s="157">
        <v>0</v>
      </c>
      <c r="I15" s="223"/>
      <c r="J15" s="164">
        <v>375003137</v>
      </c>
      <c r="K15" s="223"/>
      <c r="L15" s="157">
        <v>2592479</v>
      </c>
      <c r="M15" s="223"/>
      <c r="N15" s="157">
        <v>0</v>
      </c>
      <c r="O15" s="157"/>
      <c r="P15" s="157">
        <v>377595616</v>
      </c>
      <c r="Q15" s="224"/>
      <c r="R15" s="226">
        <f>P15/$R$19</f>
        <v>4.4745985878139033E-5</v>
      </c>
      <c r="S15" s="253"/>
      <c r="T15" s="268"/>
    </row>
    <row r="16" spans="2:27" ht="23.25" thickBot="1" x14ac:dyDescent="0.6">
      <c r="B16" s="3" t="s">
        <v>7</v>
      </c>
      <c r="C16" s="3"/>
      <c r="D16" s="3"/>
      <c r="E16" s="3"/>
      <c r="F16" s="3"/>
      <c r="G16" s="3"/>
      <c r="H16" s="3"/>
      <c r="I16" s="5"/>
      <c r="J16" s="227">
        <f>SUM(J9:J15)</f>
        <v>219464926774</v>
      </c>
      <c r="K16" s="31"/>
      <c r="L16" s="227">
        <f>SUM(L9:L15)</f>
        <v>5839079475</v>
      </c>
      <c r="N16" s="227">
        <f>SUM(N9:N15)</f>
        <v>5555500</v>
      </c>
      <c r="P16" s="227">
        <f>SUM(P9:P15)</f>
        <v>225298450749</v>
      </c>
      <c r="Q16" s="5"/>
      <c r="R16" s="123">
        <f>SUM(R9:R15)</f>
        <v>2.6698406624459742E-2</v>
      </c>
      <c r="S16" s="253"/>
      <c r="T16" s="268"/>
    </row>
    <row r="17" spans="4:20" ht="24.75" thickTop="1" x14ac:dyDescent="0.6">
      <c r="J17" s="215"/>
      <c r="P17" s="159"/>
      <c r="S17" s="253"/>
      <c r="T17" s="253"/>
    </row>
    <row r="18" spans="4:20" ht="24" x14ac:dyDescent="0.6">
      <c r="J18" s="294"/>
      <c r="P18" s="294"/>
      <c r="R18" s="279"/>
      <c r="S18" s="253"/>
      <c r="T18" s="253"/>
    </row>
    <row r="19" spans="4:20" ht="24" x14ac:dyDescent="0.6">
      <c r="J19" s="159"/>
      <c r="P19" s="159"/>
      <c r="R19" s="330">
        <v>8438647815881</v>
      </c>
      <c r="S19" s="276"/>
      <c r="T19" s="253"/>
    </row>
    <row r="20" spans="4:20" x14ac:dyDescent="0.55000000000000004">
      <c r="D20" s="1" t="s">
        <v>88</v>
      </c>
      <c r="L20" s="108"/>
      <c r="P20" s="93"/>
      <c r="Q20" s="93"/>
      <c r="R20" s="276"/>
      <c r="S20" s="276"/>
      <c r="T20" s="253"/>
    </row>
    <row r="21" spans="4:20" x14ac:dyDescent="0.55000000000000004">
      <c r="R21" s="228"/>
    </row>
    <row r="23" spans="4:20" x14ac:dyDescent="0.55000000000000004">
      <c r="D23" s="1">
        <v>0</v>
      </c>
    </row>
    <row r="58" spans="18:18" ht="27.75" x14ac:dyDescent="0.55000000000000004">
      <c r="R58" s="146">
        <v>1783</v>
      </c>
    </row>
    <row r="75" spans="18:26" ht="27.75" x14ac:dyDescent="0.55000000000000004">
      <c r="R75" s="146">
        <v>2083</v>
      </c>
    </row>
    <row r="76" spans="18:26" x14ac:dyDescent="0.55000000000000004">
      <c r="Y76" s="276"/>
      <c r="Z76" s="276"/>
    </row>
    <row r="77" spans="18:26" x14ac:dyDescent="0.55000000000000004">
      <c r="Y77" s="276"/>
      <c r="Z77" s="276"/>
    </row>
    <row r="78" spans="18:26" x14ac:dyDescent="0.55000000000000004">
      <c r="Y78" s="276"/>
      <c r="Z78" s="276"/>
    </row>
    <row r="79" spans="18:26" x14ac:dyDescent="0.55000000000000004">
      <c r="Y79" s="276"/>
      <c r="Z79" s="276"/>
    </row>
    <row r="80" spans="18:26" x14ac:dyDescent="0.55000000000000004">
      <c r="Y80" s="276"/>
      <c r="Z80" s="276"/>
    </row>
    <row r="81" spans="25:26" x14ac:dyDescent="0.55000000000000004">
      <c r="Y81" s="276"/>
      <c r="Z81" s="276"/>
    </row>
    <row r="82" spans="25:26" x14ac:dyDescent="0.55000000000000004">
      <c r="Y82" s="276"/>
      <c r="Z82" s="276"/>
    </row>
  </sheetData>
  <mergeCells count="18">
    <mergeCell ref="N7:N8"/>
    <mergeCell ref="C6:J6"/>
    <mergeCell ref="B1:R1"/>
    <mergeCell ref="B2:R2"/>
    <mergeCell ref="B3:R3"/>
    <mergeCell ref="R7:R8"/>
    <mergeCell ref="B4:R4"/>
    <mergeCell ref="P6:R6"/>
    <mergeCell ref="P7:P8"/>
    <mergeCell ref="Q7:Q8"/>
    <mergeCell ref="B7:B8"/>
    <mergeCell ref="I7:I8"/>
    <mergeCell ref="J7:J8"/>
    <mergeCell ref="D7:D8"/>
    <mergeCell ref="F7:F8"/>
    <mergeCell ref="H7:H8"/>
    <mergeCell ref="L6:N6"/>
    <mergeCell ref="L7:L8"/>
  </mergeCells>
  <phoneticPr fontId="27" type="noConversion"/>
  <printOptions horizontalCentered="1"/>
  <pageMargins left="0.7" right="0.7" top="0.75" bottom="0.75" header="0.3" footer="0.3"/>
  <pageSetup paperSize="9" scale="62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AC82"/>
  <sheetViews>
    <sheetView rightToLeft="1" view="pageBreakPreview" zoomScaleNormal="85" zoomScaleSheetLayoutView="100" workbookViewId="0">
      <selection activeCell="L18" sqref="L18"/>
    </sheetView>
  </sheetViews>
  <sheetFormatPr defaultColWidth="8.85546875" defaultRowHeight="22.5" x14ac:dyDescent="0.55000000000000004"/>
  <cols>
    <col min="1" max="1" width="8.85546875" style="1"/>
    <col min="2" max="2" width="45.5703125" style="196" customWidth="1"/>
    <col min="3" max="3" width="26.140625" style="196" customWidth="1"/>
    <col min="4" max="4" width="12.85546875" style="1" bestFit="1" customWidth="1"/>
    <col min="5" max="5" width="1.140625" style="1" customWidth="1"/>
    <col min="6" max="6" width="24.7109375" style="1" customWidth="1"/>
    <col min="7" max="7" width="1" style="1" customWidth="1"/>
    <col min="8" max="8" width="25.5703125" style="1" bestFit="1" customWidth="1"/>
    <col min="9" max="9" width="0.85546875" style="1" customWidth="1"/>
    <col min="10" max="10" width="19.5703125" style="1" bestFit="1" customWidth="1"/>
    <col min="11" max="11" width="0.140625" style="1" customWidth="1"/>
    <col min="12" max="12" width="8.85546875" style="1" customWidth="1"/>
    <col min="13" max="13" width="24.7109375" style="1" bestFit="1" customWidth="1"/>
    <col min="14" max="14" width="8.85546875" style="1" customWidth="1"/>
    <col min="15" max="15" width="24.28515625" style="1" customWidth="1"/>
    <col min="16" max="16" width="22.140625" style="1" customWidth="1"/>
    <col min="17" max="19" width="8.85546875" style="1" customWidth="1"/>
    <col min="20" max="16384" width="8.85546875" style="1"/>
  </cols>
  <sheetData>
    <row r="1" spans="1:29" ht="24" x14ac:dyDescent="0.55000000000000004">
      <c r="A1" s="401" t="s">
        <v>102</v>
      </c>
      <c r="B1" s="401"/>
      <c r="C1" s="401"/>
      <c r="D1" s="401"/>
      <c r="E1" s="401"/>
      <c r="F1" s="401"/>
      <c r="G1" s="401"/>
      <c r="H1" s="401"/>
      <c r="I1" s="401"/>
      <c r="J1" s="401"/>
    </row>
    <row r="2" spans="1:29" ht="24" x14ac:dyDescent="0.6">
      <c r="A2" s="344" t="str">
        <f>سپرده!B2</f>
        <v xml:space="preserve">صورت وضعیت پرتفوی </v>
      </c>
      <c r="B2" s="344"/>
      <c r="C2" s="344"/>
      <c r="D2" s="344"/>
      <c r="E2" s="344"/>
      <c r="F2" s="344"/>
      <c r="G2" s="344"/>
      <c r="H2" s="344"/>
      <c r="I2" s="344"/>
      <c r="J2" s="344"/>
      <c r="K2" s="8"/>
      <c r="L2" s="8"/>
      <c r="M2" s="8"/>
      <c r="N2" s="8"/>
      <c r="O2" s="8"/>
      <c r="P2" s="8"/>
      <c r="Q2" s="8"/>
      <c r="R2" s="8"/>
      <c r="S2" s="8"/>
    </row>
    <row r="3" spans="1:29" ht="24" x14ac:dyDescent="0.6">
      <c r="A3" s="344" t="str">
        <f>سپرده!B3</f>
        <v>برای ماه منتهی به 1405/02/31</v>
      </c>
      <c r="B3" s="344"/>
      <c r="C3" s="344"/>
      <c r="D3" s="344"/>
      <c r="E3" s="344"/>
      <c r="F3" s="344"/>
      <c r="G3" s="344"/>
      <c r="H3" s="344"/>
      <c r="I3" s="344"/>
      <c r="J3" s="344"/>
      <c r="K3" s="8"/>
      <c r="L3" s="8"/>
      <c r="M3" s="8"/>
      <c r="N3" s="8"/>
      <c r="O3" s="8"/>
      <c r="P3" s="8"/>
      <c r="Q3" s="8"/>
      <c r="R3" s="8"/>
      <c r="S3" s="8"/>
    </row>
    <row r="4" spans="1:29" x14ac:dyDescent="0.55000000000000004">
      <c r="D4" s="96"/>
      <c r="E4" s="93"/>
      <c r="J4" s="212"/>
      <c r="P4" s="159"/>
      <c r="AC4" s="1" t="s">
        <v>155</v>
      </c>
    </row>
    <row r="5" spans="1:29" ht="23.25" thickBot="1" x14ac:dyDescent="0.6">
      <c r="B5" s="12" t="s">
        <v>63</v>
      </c>
      <c r="C5" s="12"/>
      <c r="D5" s="130" t="s">
        <v>64</v>
      </c>
      <c r="E5" s="160"/>
      <c r="F5" s="130" t="s">
        <v>11</v>
      </c>
      <c r="G5" s="160"/>
      <c r="H5" s="130" t="s">
        <v>149</v>
      </c>
      <c r="I5" s="160"/>
      <c r="J5" s="130" t="s">
        <v>89</v>
      </c>
      <c r="K5" s="160"/>
      <c r="M5" s="276"/>
      <c r="N5" s="279"/>
      <c r="P5" s="159"/>
      <c r="AC5" s="1" t="s">
        <v>157</v>
      </c>
    </row>
    <row r="6" spans="1:29" ht="24" x14ac:dyDescent="0.55000000000000004">
      <c r="B6" s="213" t="s">
        <v>78</v>
      </c>
      <c r="C6" s="213"/>
      <c r="D6" s="94" t="s">
        <v>83</v>
      </c>
      <c r="E6" s="34"/>
      <c r="F6" s="267">
        <f>'درآمد سرمایه گذاری در سهام '!T86</f>
        <v>-1044401084936</v>
      </c>
      <c r="G6" s="34"/>
      <c r="H6" s="95">
        <f>F6/$M$9</f>
        <v>1.0108236092677625</v>
      </c>
      <c r="I6" s="34"/>
      <c r="J6" s="95">
        <f>F6/M8</f>
        <v>-0.12376403278384286</v>
      </c>
      <c r="K6" s="34"/>
      <c r="L6" s="34"/>
      <c r="M6" s="331"/>
      <c r="N6" s="280"/>
      <c r="O6" s="34"/>
      <c r="P6" s="34"/>
      <c r="Q6" s="34"/>
      <c r="R6" s="34"/>
      <c r="S6" s="34"/>
      <c r="T6" s="34"/>
      <c r="U6" s="34"/>
      <c r="V6" s="34"/>
      <c r="W6" s="34"/>
      <c r="X6" s="34"/>
      <c r="AC6" s="1" t="s">
        <v>158</v>
      </c>
    </row>
    <row r="7" spans="1:29" ht="24" x14ac:dyDescent="0.6">
      <c r="B7" s="213" t="s">
        <v>163</v>
      </c>
      <c r="C7" s="213"/>
      <c r="D7" s="94" t="s">
        <v>84</v>
      </c>
      <c r="E7" s="34"/>
      <c r="F7" s="214">
        <f>'درآمد سپرده بانکی'!J13</f>
        <v>10293597750</v>
      </c>
      <c r="G7" s="34"/>
      <c r="H7" s="95">
        <f>F7/$M$9</f>
        <v>-9.9626587716950994E-3</v>
      </c>
      <c r="I7" s="34"/>
      <c r="J7" s="95">
        <f>F7/M8</f>
        <v>1.219816014910363E-3</v>
      </c>
      <c r="K7" s="215"/>
      <c r="L7" s="34"/>
      <c r="M7" s="331"/>
      <c r="N7" s="280"/>
      <c r="O7" s="34"/>
      <c r="P7" s="34"/>
      <c r="Q7" s="34"/>
      <c r="R7" s="34"/>
      <c r="S7" s="34"/>
      <c r="T7" s="34"/>
    </row>
    <row r="8" spans="1:29" ht="24.75" thickBot="1" x14ac:dyDescent="0.65">
      <c r="B8" s="213" t="s">
        <v>201</v>
      </c>
      <c r="C8" s="213"/>
      <c r="D8" s="94" t="s">
        <v>85</v>
      </c>
      <c r="E8" s="34"/>
      <c r="F8" s="214">
        <f>'سایر درآمدها'!F8</f>
        <v>12127</v>
      </c>
      <c r="G8" s="34"/>
      <c r="H8" s="95">
        <f>F8/$M$9</f>
        <v>-1.1737117173084258E-8</v>
      </c>
      <c r="I8" s="34"/>
      <c r="J8" s="95">
        <f>F8/M8</f>
        <v>1.4370785775865364E-9</v>
      </c>
      <c r="K8" s="214"/>
      <c r="L8" s="34"/>
      <c r="M8" s="332">
        <v>8438647815881</v>
      </c>
      <c r="N8" s="279"/>
      <c r="O8" s="159"/>
    </row>
    <row r="9" spans="1:29" ht="25.5" thickBot="1" x14ac:dyDescent="0.6">
      <c r="B9" s="213" t="s">
        <v>7</v>
      </c>
      <c r="D9" s="216"/>
      <c r="F9" s="217">
        <f>SUM(F6:F8)</f>
        <v>-1034107475059</v>
      </c>
      <c r="H9" s="218">
        <f>SUM(H6:H8)</f>
        <v>1.0008609387589502</v>
      </c>
      <c r="J9" s="219">
        <f>SUM(J6:J8)</f>
        <v>-0.12254421533185392</v>
      </c>
      <c r="M9" s="333">
        <v>-1033217937690</v>
      </c>
      <c r="N9" s="279"/>
      <c r="O9" s="159"/>
      <c r="P9" s="220"/>
    </row>
    <row r="10" spans="1:29" ht="23.25" thickTop="1" x14ac:dyDescent="0.55000000000000004">
      <c r="D10" s="216"/>
      <c r="M10" s="334"/>
      <c r="N10" s="279"/>
      <c r="O10" s="159"/>
    </row>
    <row r="11" spans="1:29" x14ac:dyDescent="0.55000000000000004">
      <c r="M11" s="316"/>
      <c r="O11" s="159"/>
    </row>
    <row r="12" spans="1:29" x14ac:dyDescent="0.55000000000000004">
      <c r="F12" s="221"/>
      <c r="O12" s="159"/>
    </row>
    <row r="13" spans="1:29" ht="24" x14ac:dyDescent="0.55000000000000004">
      <c r="F13" s="121"/>
      <c r="H13" s="287"/>
      <c r="O13" s="159"/>
    </row>
    <row r="14" spans="1:29" ht="24" x14ac:dyDescent="0.55000000000000004">
      <c r="F14" s="214"/>
      <c r="M14" s="93"/>
    </row>
    <row r="15" spans="1:29" ht="24" x14ac:dyDescent="0.55000000000000004">
      <c r="F15" s="121"/>
      <c r="M15" s="159"/>
    </row>
    <row r="16" spans="1:29" ht="24" x14ac:dyDescent="0.55000000000000004">
      <c r="F16" s="121"/>
      <c r="M16" s="159"/>
    </row>
    <row r="17" spans="6:13" x14ac:dyDescent="0.55000000000000004">
      <c r="F17" s="159"/>
      <c r="M17" s="170"/>
    </row>
    <row r="18" spans="6:13" x14ac:dyDescent="0.55000000000000004">
      <c r="F18" s="159"/>
      <c r="M18" s="170"/>
    </row>
    <row r="19" spans="6:13" x14ac:dyDescent="0.55000000000000004">
      <c r="F19" s="159"/>
    </row>
    <row r="57" spans="18:18" ht="27.75" x14ac:dyDescent="0.55000000000000004">
      <c r="R57" s="146">
        <v>1783</v>
      </c>
    </row>
    <row r="74" spans="18:26" ht="27.75" x14ac:dyDescent="0.55000000000000004">
      <c r="R74" s="146">
        <v>2083</v>
      </c>
    </row>
    <row r="76" spans="18:26" x14ac:dyDescent="0.55000000000000004">
      <c r="Y76" s="276"/>
      <c r="Z76" s="276"/>
    </row>
    <row r="77" spans="18:26" x14ac:dyDescent="0.55000000000000004">
      <c r="Y77" s="276"/>
      <c r="Z77" s="276"/>
    </row>
    <row r="78" spans="18:26" x14ac:dyDescent="0.55000000000000004">
      <c r="Y78" s="276"/>
      <c r="Z78" s="276"/>
    </row>
    <row r="79" spans="18:26" x14ac:dyDescent="0.55000000000000004">
      <c r="Y79" s="276"/>
      <c r="Z79" s="276"/>
    </row>
    <row r="80" spans="18:26" x14ac:dyDescent="0.55000000000000004">
      <c r="Y80" s="276"/>
      <c r="Z80" s="276"/>
    </row>
    <row r="81" spans="25:26" x14ac:dyDescent="0.55000000000000004">
      <c r="Y81" s="276"/>
      <c r="Z81" s="276"/>
    </row>
    <row r="82" spans="25:26" x14ac:dyDescent="0.55000000000000004">
      <c r="Y82" s="276"/>
      <c r="Z82" s="276"/>
    </row>
  </sheetData>
  <mergeCells count="3">
    <mergeCell ref="A1:J1"/>
    <mergeCell ref="A2:J2"/>
    <mergeCell ref="A3:J3"/>
  </mergeCells>
  <phoneticPr fontId="27" type="noConversion"/>
  <hyperlinks>
    <hyperlink ref="D6" location="'درآمد سرمایه گذاری در سهام '!A1" display="1-2" xr:uid="{00000000-0004-0000-0600-000004000000}"/>
    <hyperlink ref="D7" location="'درآمد سپرده بانکی'!A1" display="3-2" xr:uid="{00000000-0004-0000-0600-000006000000}"/>
    <hyperlink ref="D8" location="'سایر درآمدها'!A1" display="4-2" xr:uid="{00000000-0004-0000-0600-000007000000}"/>
  </hyperlinks>
  <printOptions horizontalCentered="1"/>
  <pageMargins left="0.7" right="0.7" top="0.75" bottom="0.75" header="0.3" footer="0.3"/>
  <pageSetup paperSize="9" scale="79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51A2-8674-472A-8FBC-E2A663D9A3E0}">
  <sheetPr>
    <tabColor rgb="FF92D050"/>
    <pageSetUpPr fitToPage="1"/>
  </sheetPr>
  <dimension ref="B1:U90"/>
  <sheetViews>
    <sheetView rightToLeft="1" tabSelected="1" view="pageBreakPreview" topLeftCell="A8" zoomScaleNormal="100" zoomScaleSheetLayoutView="100" workbookViewId="0">
      <selection activeCell="N16" sqref="N16"/>
    </sheetView>
  </sheetViews>
  <sheetFormatPr defaultColWidth="9.140625" defaultRowHeight="22.5" x14ac:dyDescent="0.55000000000000004"/>
  <cols>
    <col min="1" max="1" width="6" style="1" customWidth="1"/>
    <col min="2" max="2" width="38.85546875" style="1" bestFit="1" customWidth="1"/>
    <col min="3" max="3" width="0.7109375" style="1" customWidth="1"/>
    <col min="4" max="4" width="18" style="1" bestFit="1" customWidth="1"/>
    <col min="5" max="5" width="0.7109375" style="1" customWidth="1"/>
    <col min="6" max="6" width="14.28515625" style="1" bestFit="1" customWidth="1"/>
    <col min="7" max="7" width="0.7109375" style="1" customWidth="1"/>
    <col min="8" max="8" width="22" style="1" bestFit="1" customWidth="1"/>
    <col min="9" max="9" width="0.7109375" style="1" customWidth="1"/>
    <col min="10" max="10" width="19.42578125" style="1" bestFit="1" customWidth="1"/>
    <col min="11" max="11" width="0.7109375" style="1" customWidth="1"/>
    <col min="12" max="12" width="30.42578125" style="93" bestFit="1" customWidth="1"/>
    <col min="13" max="13" width="0.28515625" style="1" customWidth="1"/>
    <col min="14" max="14" width="24.7109375" style="1" bestFit="1" customWidth="1"/>
    <col min="15" max="15" width="9.140625" style="1"/>
    <col min="16" max="16" width="23.7109375" style="4" bestFit="1" customWidth="1"/>
    <col min="17" max="16384" width="9.140625" style="1"/>
  </cols>
  <sheetData>
    <row r="1" spans="2:18" ht="24" x14ac:dyDescent="0.6">
      <c r="B1" s="344" t="s">
        <v>102</v>
      </c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</row>
    <row r="2" spans="2:18" ht="24" x14ac:dyDescent="0.6">
      <c r="B2" s="344" t="s">
        <v>80</v>
      </c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</row>
    <row r="3" spans="2:18" ht="24" x14ac:dyDescent="0.6">
      <c r="B3" s="344" t="str">
        <f>' سهام'!AC6</f>
        <v>برای ماه منتهی به 1405/02/31</v>
      </c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  <c r="N3" s="344"/>
    </row>
    <row r="4" spans="2:18" ht="24" x14ac:dyDescent="0.55000000000000004">
      <c r="B4" s="345" t="s">
        <v>214</v>
      </c>
      <c r="C4" s="345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</row>
    <row r="5" spans="2:18" ht="24" x14ac:dyDescent="0.55000000000000004">
      <c r="B5" s="346" t="s">
        <v>215</v>
      </c>
      <c r="C5" s="346"/>
      <c r="D5" s="346"/>
      <c r="E5" s="346"/>
      <c r="F5" s="346"/>
      <c r="G5" s="346"/>
      <c r="H5" s="346"/>
      <c r="I5" s="346"/>
      <c r="J5" s="346"/>
      <c r="K5" s="346"/>
      <c r="L5" s="346"/>
      <c r="M5" s="346"/>
      <c r="N5" s="346"/>
    </row>
    <row r="6" spans="2:18" ht="23.25" thickBot="1" x14ac:dyDescent="0.6">
      <c r="C6" s="29"/>
      <c r="D6" s="29"/>
      <c r="E6" s="29"/>
      <c r="F6" s="29"/>
      <c r="G6" s="29"/>
      <c r="H6" s="29"/>
      <c r="I6" s="29"/>
      <c r="J6" s="29"/>
      <c r="K6" s="29"/>
      <c r="L6" s="122"/>
      <c r="M6" s="29"/>
      <c r="N6" s="29"/>
      <c r="O6" s="253"/>
      <c r="P6" s="341"/>
    </row>
    <row r="7" spans="2:18" s="325" customFormat="1" ht="29.25" customHeight="1" thickBot="1" x14ac:dyDescent="0.3">
      <c r="B7" s="347" t="str">
        <f>' سهام'!AC5</f>
        <v>1405/02/31</v>
      </c>
      <c r="C7" s="347"/>
      <c r="D7" s="347"/>
      <c r="E7" s="347"/>
      <c r="F7" s="347"/>
      <c r="G7" s="347"/>
      <c r="H7" s="347"/>
      <c r="I7" s="347"/>
      <c r="J7" s="347"/>
      <c r="K7" s="347"/>
      <c r="L7" s="347"/>
      <c r="M7" s="347"/>
      <c r="N7" s="347"/>
      <c r="O7" s="324"/>
      <c r="P7" s="342"/>
    </row>
    <row r="8" spans="2:18" ht="24" customHeight="1" x14ac:dyDescent="0.55000000000000004">
      <c r="B8" s="348" t="s">
        <v>222</v>
      </c>
      <c r="C8" s="3"/>
      <c r="D8" s="348" t="s">
        <v>216</v>
      </c>
      <c r="E8" s="3"/>
      <c r="F8" s="348" t="s">
        <v>217</v>
      </c>
      <c r="G8" s="3"/>
      <c r="H8" s="348" t="s">
        <v>53</v>
      </c>
      <c r="I8" s="350"/>
      <c r="J8" s="348" t="s">
        <v>218</v>
      </c>
      <c r="K8" s="3"/>
      <c r="L8" s="348" t="s">
        <v>219</v>
      </c>
      <c r="M8" s="160"/>
      <c r="N8" s="348" t="s">
        <v>221</v>
      </c>
      <c r="O8" s="253"/>
      <c r="P8" s="341"/>
    </row>
    <row r="9" spans="2:18" ht="47.25" customHeight="1" thickBot="1" x14ac:dyDescent="0.6">
      <c r="B9" s="349"/>
      <c r="C9" s="222"/>
      <c r="D9" s="349"/>
      <c r="E9" s="222"/>
      <c r="F9" s="349"/>
      <c r="G9" s="222"/>
      <c r="H9" s="349"/>
      <c r="I9" s="351"/>
      <c r="J9" s="349"/>
      <c r="K9" s="3"/>
      <c r="L9" s="349"/>
      <c r="N9" s="349"/>
      <c r="O9" s="253"/>
      <c r="P9" s="341"/>
      <c r="R9" s="159"/>
    </row>
    <row r="10" spans="2:18" ht="25.15" customHeight="1" x14ac:dyDescent="0.55000000000000004">
      <c r="B10" s="68" t="s">
        <v>121</v>
      </c>
      <c r="C10" s="223"/>
      <c r="D10" s="319">
        <v>12900000</v>
      </c>
      <c r="E10" s="223"/>
      <c r="F10" s="319">
        <v>2610</v>
      </c>
      <c r="G10" s="339"/>
      <c r="H10" s="340">
        <v>1305</v>
      </c>
      <c r="I10" s="223"/>
      <c r="J10" s="430">
        <v>-0.5</v>
      </c>
      <c r="K10" s="223"/>
      <c r="L10" s="320">
        <v>16834500000</v>
      </c>
      <c r="M10" s="223"/>
      <c r="N10" s="68" t="s">
        <v>220</v>
      </c>
      <c r="O10" s="253"/>
      <c r="P10" s="343"/>
      <c r="Q10" s="170"/>
    </row>
    <row r="11" spans="2:18" ht="25.15" customHeight="1" x14ac:dyDescent="0.55000000000000004">
      <c r="B11" s="68" t="s">
        <v>120</v>
      </c>
      <c r="C11" s="223"/>
      <c r="D11" s="319">
        <v>80000000</v>
      </c>
      <c r="E11" s="223"/>
      <c r="F11" s="319">
        <v>10500</v>
      </c>
      <c r="G11" s="339"/>
      <c r="H11" s="340">
        <v>5250</v>
      </c>
      <c r="I11" s="223"/>
      <c r="J11" s="430">
        <v>-0.5</v>
      </c>
      <c r="K11" s="223"/>
      <c r="L11" s="320">
        <v>420000000000</v>
      </c>
      <c r="M11" s="223"/>
      <c r="N11" s="68" t="s">
        <v>220</v>
      </c>
      <c r="O11" s="253"/>
      <c r="P11" s="343"/>
      <c r="Q11" s="170"/>
    </row>
    <row r="12" spans="2:18" ht="25.15" customHeight="1" x14ac:dyDescent="0.55000000000000004">
      <c r="B12" s="68" t="s">
        <v>132</v>
      </c>
      <c r="C12" s="223"/>
      <c r="D12" s="319">
        <v>10000000</v>
      </c>
      <c r="E12" s="223"/>
      <c r="F12" s="319">
        <v>14860</v>
      </c>
      <c r="G12" s="339"/>
      <c r="H12" s="340">
        <v>7430</v>
      </c>
      <c r="I12" s="223"/>
      <c r="J12" s="430">
        <v>-0.5</v>
      </c>
      <c r="K12" s="223"/>
      <c r="L12" s="320">
        <v>74300000000</v>
      </c>
      <c r="M12" s="223"/>
      <c r="N12" s="68" t="s">
        <v>220</v>
      </c>
      <c r="O12" s="253"/>
      <c r="P12" s="343"/>
      <c r="Q12" s="170"/>
    </row>
    <row r="13" spans="2:18" ht="25.15" customHeight="1" x14ac:dyDescent="0.55000000000000004">
      <c r="B13" s="68" t="s">
        <v>224</v>
      </c>
      <c r="C13" s="223"/>
      <c r="D13" s="319">
        <v>40000000</v>
      </c>
      <c r="E13" s="223"/>
      <c r="F13" s="319">
        <v>13580</v>
      </c>
      <c r="G13" s="339"/>
      <c r="H13" s="340">
        <v>9506</v>
      </c>
      <c r="I13" s="223"/>
      <c r="J13" s="430">
        <v>-0.3</v>
      </c>
      <c r="K13" s="223"/>
      <c r="L13" s="320">
        <v>380240000000</v>
      </c>
      <c r="M13" s="223"/>
      <c r="N13" s="68" t="s">
        <v>220</v>
      </c>
      <c r="O13" s="253"/>
      <c r="P13" s="343"/>
      <c r="Q13" s="170"/>
    </row>
    <row r="14" spans="2:18" ht="25.15" customHeight="1" x14ac:dyDescent="0.55000000000000004">
      <c r="B14" s="68" t="s">
        <v>137</v>
      </c>
      <c r="C14" s="223"/>
      <c r="D14" s="319">
        <v>18000000</v>
      </c>
      <c r="E14" s="223"/>
      <c r="F14" s="319">
        <v>5750</v>
      </c>
      <c r="G14" s="339"/>
      <c r="H14" s="340">
        <v>4025</v>
      </c>
      <c r="I14" s="223"/>
      <c r="J14" s="430">
        <v>-0.3</v>
      </c>
      <c r="K14" s="223"/>
      <c r="L14" s="320">
        <v>72450000000</v>
      </c>
      <c r="M14" s="223"/>
      <c r="N14" s="68" t="s">
        <v>220</v>
      </c>
      <c r="O14" s="253"/>
      <c r="P14" s="343"/>
      <c r="Q14" s="170"/>
    </row>
    <row r="15" spans="2:18" ht="25.15" customHeight="1" x14ac:dyDescent="0.55000000000000004">
      <c r="B15" s="68" t="s">
        <v>140</v>
      </c>
      <c r="C15" s="223"/>
      <c r="D15" s="319">
        <v>6000000</v>
      </c>
      <c r="E15" s="223"/>
      <c r="F15" s="319">
        <v>60730</v>
      </c>
      <c r="G15" s="339"/>
      <c r="H15" s="340">
        <v>42511</v>
      </c>
      <c r="I15" s="223"/>
      <c r="J15" s="430">
        <v>-0.3</v>
      </c>
      <c r="K15" s="223"/>
      <c r="L15" s="320">
        <v>255066000000</v>
      </c>
      <c r="M15" s="223"/>
      <c r="N15" s="68" t="s">
        <v>220</v>
      </c>
      <c r="O15" s="253"/>
      <c r="P15" s="343"/>
      <c r="Q15" s="170"/>
    </row>
    <row r="16" spans="2:18" ht="25.15" customHeight="1" x14ac:dyDescent="0.55000000000000004">
      <c r="B16" s="68" t="s">
        <v>123</v>
      </c>
      <c r="C16" s="223"/>
      <c r="D16" s="319">
        <v>8000000</v>
      </c>
      <c r="E16" s="223"/>
      <c r="F16" s="319">
        <v>27010</v>
      </c>
      <c r="G16" s="339"/>
      <c r="H16" s="340">
        <v>18907</v>
      </c>
      <c r="I16" s="223"/>
      <c r="J16" s="430">
        <v>-0.3</v>
      </c>
      <c r="K16" s="223"/>
      <c r="L16" s="320">
        <v>151256000000</v>
      </c>
      <c r="M16" s="223"/>
      <c r="N16" s="68" t="s">
        <v>220</v>
      </c>
      <c r="O16" s="253"/>
      <c r="P16" s="343"/>
      <c r="Q16" s="170"/>
    </row>
    <row r="17" spans="2:18" ht="25.15" customHeight="1" x14ac:dyDescent="0.55000000000000004">
      <c r="B17" s="68" t="s">
        <v>115</v>
      </c>
      <c r="C17" s="223"/>
      <c r="D17" s="319">
        <v>50607433</v>
      </c>
      <c r="E17" s="223"/>
      <c r="F17" s="319">
        <v>13032</v>
      </c>
      <c r="G17" s="339"/>
      <c r="H17" s="340">
        <v>9122</v>
      </c>
      <c r="I17" s="223"/>
      <c r="J17" s="430">
        <v>-0.3</v>
      </c>
      <c r="K17" s="223"/>
      <c r="L17" s="320">
        <v>461661246799.20001</v>
      </c>
      <c r="M17" s="223"/>
      <c r="N17" s="68" t="s">
        <v>220</v>
      </c>
      <c r="O17" s="253"/>
      <c r="P17" s="343"/>
      <c r="Q17" s="170"/>
    </row>
    <row r="18" spans="2:18" ht="25.15" customHeight="1" x14ac:dyDescent="0.55000000000000004">
      <c r="B18" s="68" t="s">
        <v>118</v>
      </c>
      <c r="C18" s="223"/>
      <c r="D18" s="319">
        <v>5000000</v>
      </c>
      <c r="E18" s="223"/>
      <c r="F18" s="319">
        <v>18970</v>
      </c>
      <c r="G18" s="339"/>
      <c r="H18" s="340">
        <v>13279</v>
      </c>
      <c r="I18" s="223"/>
      <c r="J18" s="430">
        <v>-0.3</v>
      </c>
      <c r="K18" s="223"/>
      <c r="L18" s="320">
        <v>66395000000</v>
      </c>
      <c r="M18" s="223"/>
      <c r="N18" s="68" t="s">
        <v>220</v>
      </c>
      <c r="O18" s="253"/>
      <c r="P18" s="343"/>
      <c r="Q18" s="170"/>
    </row>
    <row r="19" spans="2:18" ht="25.15" customHeight="1" x14ac:dyDescent="0.55000000000000004">
      <c r="B19" s="68" t="s">
        <v>116</v>
      </c>
      <c r="C19" s="223"/>
      <c r="D19" s="319">
        <v>100000</v>
      </c>
      <c r="E19" s="223"/>
      <c r="F19" s="319">
        <v>43800</v>
      </c>
      <c r="G19" s="339"/>
      <c r="H19" s="340">
        <v>30660</v>
      </c>
      <c r="I19" s="223"/>
      <c r="J19" s="430">
        <v>-0.3</v>
      </c>
      <c r="K19" s="223"/>
      <c r="L19" s="320">
        <v>3066000000</v>
      </c>
      <c r="M19" s="223"/>
      <c r="N19" s="68" t="s">
        <v>220</v>
      </c>
      <c r="O19" s="253"/>
      <c r="P19" s="343"/>
      <c r="Q19" s="170"/>
    </row>
    <row r="20" spans="2:18" ht="25.15" customHeight="1" x14ac:dyDescent="0.55000000000000004">
      <c r="B20" s="68" t="s">
        <v>153</v>
      </c>
      <c r="C20" s="223"/>
      <c r="D20" s="319">
        <v>92400000</v>
      </c>
      <c r="E20" s="223"/>
      <c r="F20" s="319">
        <v>1490</v>
      </c>
      <c r="G20" s="339"/>
      <c r="H20" s="340">
        <v>1267</v>
      </c>
      <c r="I20" s="223"/>
      <c r="J20" s="430">
        <v>-0.15</v>
      </c>
      <c r="K20" s="223"/>
      <c r="L20" s="320">
        <v>117024600000</v>
      </c>
      <c r="M20" s="223"/>
      <c r="N20" s="68" t="s">
        <v>220</v>
      </c>
      <c r="O20" s="253"/>
      <c r="P20" s="343"/>
      <c r="Q20" s="170"/>
      <c r="R20" s="170"/>
    </row>
    <row r="21" spans="2:18" ht="25.15" customHeight="1" x14ac:dyDescent="0.55000000000000004">
      <c r="B21" s="68" t="s">
        <v>114</v>
      </c>
      <c r="C21" s="223"/>
      <c r="D21" s="319">
        <v>1000</v>
      </c>
      <c r="E21" s="223"/>
      <c r="F21" s="319">
        <v>2740</v>
      </c>
      <c r="G21" s="339"/>
      <c r="H21" s="340">
        <v>1918</v>
      </c>
      <c r="I21" s="223"/>
      <c r="J21" s="430">
        <v>-0.3</v>
      </c>
      <c r="K21" s="223"/>
      <c r="L21" s="320">
        <v>1918000</v>
      </c>
      <c r="M21" s="223"/>
      <c r="N21" s="68" t="s">
        <v>220</v>
      </c>
      <c r="O21" s="253"/>
      <c r="P21" s="343"/>
      <c r="Q21" s="170"/>
    </row>
    <row r="22" spans="2:18" ht="25.15" customHeight="1" x14ac:dyDescent="0.55000000000000004">
      <c r="B22" s="68" t="s">
        <v>117</v>
      </c>
      <c r="C22" s="223"/>
      <c r="D22" s="319">
        <v>2000000</v>
      </c>
      <c r="E22" s="223"/>
      <c r="F22" s="319">
        <v>45600</v>
      </c>
      <c r="G22" s="339"/>
      <c r="H22" s="340">
        <v>31920</v>
      </c>
      <c r="I22" s="223"/>
      <c r="J22" s="430">
        <v>-0.3</v>
      </c>
      <c r="K22" s="223"/>
      <c r="L22" s="320">
        <v>63840000000</v>
      </c>
      <c r="M22" s="223"/>
      <c r="N22" s="68" t="s">
        <v>220</v>
      </c>
      <c r="O22" s="253"/>
      <c r="P22" s="343"/>
      <c r="Q22" s="170"/>
    </row>
    <row r="23" spans="2:18" ht="25.15" customHeight="1" thickBot="1" x14ac:dyDescent="0.6">
      <c r="B23" s="68" t="s">
        <v>139</v>
      </c>
      <c r="C23" s="223"/>
      <c r="D23" s="319">
        <v>1400</v>
      </c>
      <c r="E23" s="223"/>
      <c r="F23" s="338">
        <v>24514</v>
      </c>
      <c r="G23" s="339"/>
      <c r="H23" s="340">
        <v>17160</v>
      </c>
      <c r="I23" s="223"/>
      <c r="J23" s="430">
        <v>-0.3</v>
      </c>
      <c r="K23" s="223"/>
      <c r="L23" s="320">
        <v>24023720</v>
      </c>
      <c r="M23" s="223"/>
      <c r="N23" s="68" t="s">
        <v>220</v>
      </c>
      <c r="O23" s="253"/>
      <c r="P23" s="343"/>
      <c r="Q23" s="170"/>
    </row>
    <row r="24" spans="2:18" ht="23.25" thickBot="1" x14ac:dyDescent="0.6">
      <c r="B24" s="3" t="s">
        <v>7</v>
      </c>
      <c r="C24" s="3"/>
      <c r="D24" s="227">
        <f>SUM(D10:D23)</f>
        <v>325009833</v>
      </c>
      <c r="E24" s="3"/>
      <c r="F24" s="227">
        <f>SUM(F10:F23)</f>
        <v>285186</v>
      </c>
      <c r="G24" s="3"/>
      <c r="H24" s="227">
        <f>SUM(H10:H23)</f>
        <v>194260</v>
      </c>
      <c r="I24" s="5"/>
      <c r="J24" s="227"/>
      <c r="K24" s="31"/>
      <c r="L24" s="227">
        <f>SUM(L10:L23)</f>
        <v>2082159288519.2</v>
      </c>
      <c r="N24" s="227"/>
      <c r="O24" s="253"/>
      <c r="P24" s="343"/>
    </row>
    <row r="25" spans="2:18" ht="24.75" thickTop="1" x14ac:dyDescent="0.6">
      <c r="J25" s="215"/>
      <c r="O25" s="253"/>
      <c r="P25" s="343"/>
    </row>
    <row r="26" spans="2:18" ht="24" x14ac:dyDescent="0.6">
      <c r="J26" s="294"/>
      <c r="O26" s="253"/>
      <c r="P26" s="341"/>
    </row>
    <row r="27" spans="2:18" x14ac:dyDescent="0.55000000000000004">
      <c r="J27" s="159"/>
      <c r="O27" s="276"/>
      <c r="P27" s="341"/>
    </row>
    <row r="28" spans="2:18" x14ac:dyDescent="0.55000000000000004">
      <c r="D28" s="1" t="s">
        <v>88</v>
      </c>
      <c r="L28" s="108"/>
      <c r="O28" s="276"/>
      <c r="P28" s="341"/>
    </row>
    <row r="29" spans="2:18" x14ac:dyDescent="0.55000000000000004">
      <c r="P29" s="341"/>
    </row>
    <row r="84" spans="21:21" x14ac:dyDescent="0.55000000000000004">
      <c r="U84" s="276"/>
    </row>
    <row r="85" spans="21:21" x14ac:dyDescent="0.55000000000000004">
      <c r="U85" s="276"/>
    </row>
    <row r="86" spans="21:21" x14ac:dyDescent="0.55000000000000004">
      <c r="U86" s="276"/>
    </row>
    <row r="87" spans="21:21" x14ac:dyDescent="0.55000000000000004">
      <c r="U87" s="276"/>
    </row>
    <row r="88" spans="21:21" x14ac:dyDescent="0.55000000000000004">
      <c r="U88" s="276"/>
    </row>
    <row r="89" spans="21:21" x14ac:dyDescent="0.55000000000000004">
      <c r="U89" s="276"/>
    </row>
    <row r="90" spans="21:21" x14ac:dyDescent="0.55000000000000004">
      <c r="U90" s="276"/>
    </row>
  </sheetData>
  <mergeCells count="14">
    <mergeCell ref="B7:N7"/>
    <mergeCell ref="L8:L9"/>
    <mergeCell ref="B8:B9"/>
    <mergeCell ref="D8:D9"/>
    <mergeCell ref="F8:F9"/>
    <mergeCell ref="H8:H9"/>
    <mergeCell ref="I8:I9"/>
    <mergeCell ref="J8:J9"/>
    <mergeCell ref="N8:N9"/>
    <mergeCell ref="B1:N1"/>
    <mergeCell ref="B2:N2"/>
    <mergeCell ref="B3:N3"/>
    <mergeCell ref="B4:N4"/>
    <mergeCell ref="B5:N5"/>
  </mergeCells>
  <printOptions horizontalCentered="1"/>
  <pageMargins left="0.7" right="0.7" top="0.75" bottom="0.75" header="0.3" footer="0.3"/>
  <pageSetup paperSize="9" scale="74"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B1:AE116"/>
  <sheetViews>
    <sheetView rightToLeft="1" view="pageBreakPreview" zoomScale="70" zoomScaleNormal="100" zoomScaleSheetLayoutView="70" workbookViewId="0">
      <selection activeCell="X12" sqref="X12"/>
    </sheetView>
  </sheetViews>
  <sheetFormatPr defaultColWidth="9.140625" defaultRowHeight="36" customHeight="1" x14ac:dyDescent="0.25"/>
  <cols>
    <col min="1" max="1" width="2.7109375" style="183" customWidth="1"/>
    <col min="2" max="2" width="36.7109375" style="262" customWidth="1"/>
    <col min="3" max="3" width="0.7109375" style="183" customWidth="1"/>
    <col min="4" max="4" width="24.42578125" style="183" customWidth="1"/>
    <col min="5" max="5" width="0.7109375" style="183" customWidth="1"/>
    <col min="6" max="6" width="29.5703125" style="183" customWidth="1"/>
    <col min="7" max="7" width="0.85546875" style="183" customWidth="1"/>
    <col min="8" max="8" width="29.5703125" style="183" bestFit="1" customWidth="1"/>
    <col min="9" max="9" width="0.7109375" style="183" customWidth="1"/>
    <col min="10" max="10" width="29.5703125" style="183" bestFit="1" customWidth="1"/>
    <col min="11" max="11" width="0.85546875" style="183" customWidth="1"/>
    <col min="12" max="12" width="24.42578125" style="183" bestFit="1" customWidth="1"/>
    <col min="13" max="13" width="0.7109375" style="183" customWidth="1"/>
    <col min="14" max="14" width="23.140625" style="183" customWidth="1"/>
    <col min="15" max="15" width="0.7109375" style="183" customWidth="1"/>
    <col min="16" max="16" width="25.5703125" style="183" customWidth="1"/>
    <col min="17" max="17" width="0.7109375" style="183" customWidth="1"/>
    <col min="18" max="18" width="28.140625" style="183" bestFit="1" customWidth="1"/>
    <col min="19" max="19" width="0.5703125" style="183" customWidth="1"/>
    <col min="20" max="20" width="29.5703125" style="102" bestFit="1" customWidth="1"/>
    <col min="21" max="21" width="0.42578125" style="102" customWidth="1"/>
    <col min="22" max="22" width="24" style="200" customWidth="1"/>
    <col min="23" max="23" width="29.28515625" style="183" bestFit="1" customWidth="1"/>
    <col min="24" max="24" width="30.5703125" style="183" bestFit="1" customWidth="1"/>
    <col min="25" max="25" width="37.5703125" style="183" bestFit="1" customWidth="1"/>
    <col min="26" max="26" width="32.85546875" style="183" bestFit="1" customWidth="1"/>
    <col min="27" max="27" width="20.7109375" style="183" bestFit="1" customWidth="1"/>
    <col min="28" max="28" width="9.140625" style="183"/>
    <col min="29" max="29" width="23" style="183" bestFit="1" customWidth="1"/>
    <col min="30" max="30" width="24.85546875" style="183" bestFit="1" customWidth="1"/>
    <col min="31" max="31" width="20.42578125" style="183" bestFit="1" customWidth="1"/>
    <col min="32" max="16384" width="9.140625" style="183"/>
  </cols>
  <sheetData>
    <row r="1" spans="2:29" ht="36" customHeight="1" x14ac:dyDescent="0.25">
      <c r="B1" s="406" t="str">
        <f>درآمدها!A1</f>
        <v>صندوق سرمایه گذاری شاخص سی شرکت بزرگ فیروزه</v>
      </c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254"/>
      <c r="X1" s="254"/>
    </row>
    <row r="2" spans="2:29" ht="36" customHeight="1" x14ac:dyDescent="0.25">
      <c r="B2" s="406" t="s">
        <v>86</v>
      </c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6"/>
      <c r="V2" s="406"/>
      <c r="W2" s="254"/>
      <c r="X2" s="254"/>
    </row>
    <row r="3" spans="2:29" ht="36" customHeight="1" x14ac:dyDescent="0.25">
      <c r="B3" s="406" t="str">
        <f>' سهام'!AC6</f>
        <v>برای ماه منتهی به 1405/02/31</v>
      </c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254"/>
      <c r="X3" s="254"/>
    </row>
    <row r="4" spans="2:29" ht="36" customHeight="1" x14ac:dyDescent="0.25">
      <c r="W4" s="254"/>
      <c r="X4" s="254"/>
      <c r="AC4" s="183" t="s">
        <v>155</v>
      </c>
    </row>
    <row r="5" spans="2:29" ht="36" customHeight="1" x14ac:dyDescent="0.25">
      <c r="B5" s="409" t="s">
        <v>136</v>
      </c>
      <c r="C5" s="409"/>
      <c r="D5" s="409"/>
      <c r="E5" s="409"/>
      <c r="F5" s="409"/>
      <c r="G5" s="409"/>
      <c r="H5" s="409"/>
      <c r="I5" s="409"/>
      <c r="J5" s="409"/>
      <c r="K5" s="409"/>
      <c r="L5" s="409"/>
      <c r="M5" s="409"/>
      <c r="N5" s="409"/>
      <c r="O5" s="409"/>
      <c r="P5" s="409"/>
      <c r="Q5" s="409"/>
      <c r="R5" s="409"/>
      <c r="S5" s="409"/>
      <c r="T5" s="409"/>
      <c r="U5" s="409"/>
      <c r="V5" s="409"/>
      <c r="W5" s="254"/>
      <c r="X5" s="254"/>
      <c r="AC5" s="183" t="s">
        <v>156</v>
      </c>
    </row>
    <row r="6" spans="2:29" ht="9" customHeight="1" x14ac:dyDescent="0.25">
      <c r="W6" s="254"/>
      <c r="X6" s="254"/>
      <c r="AC6" s="183" t="s">
        <v>157</v>
      </c>
    </row>
    <row r="7" spans="2:29" ht="36" customHeight="1" thickBot="1" x14ac:dyDescent="0.3">
      <c r="B7" s="263"/>
      <c r="C7" s="201"/>
      <c r="D7" s="402" t="str">
        <f>' سهام'!AC7</f>
        <v>طی اردیبهشت ماه</v>
      </c>
      <c r="E7" s="402"/>
      <c r="F7" s="402"/>
      <c r="G7" s="402"/>
      <c r="H7" s="402"/>
      <c r="I7" s="402"/>
      <c r="J7" s="402"/>
      <c r="K7" s="201"/>
      <c r="L7" s="201"/>
      <c r="M7" s="201"/>
      <c r="N7" s="402" t="str">
        <f>' سهام'!AC8</f>
        <v>از ابتدای سال مالی تا پایان اردیبهشت ماه</v>
      </c>
      <c r="O7" s="402"/>
      <c r="P7" s="402"/>
      <c r="Q7" s="402"/>
      <c r="R7" s="402"/>
      <c r="S7" s="402"/>
      <c r="T7" s="402"/>
      <c r="U7" s="402"/>
      <c r="V7" s="402"/>
      <c r="W7" s="254"/>
      <c r="X7" s="255"/>
      <c r="Y7" s="203"/>
      <c r="AC7" s="183" t="s">
        <v>158</v>
      </c>
    </row>
    <row r="8" spans="2:29" ht="36" customHeight="1" x14ac:dyDescent="0.25">
      <c r="B8" s="403" t="s">
        <v>35</v>
      </c>
      <c r="C8" s="403"/>
      <c r="D8" s="407" t="s">
        <v>21</v>
      </c>
      <c r="E8" s="403"/>
      <c r="F8" s="407" t="s">
        <v>22</v>
      </c>
      <c r="G8" s="403"/>
      <c r="H8" s="407" t="s">
        <v>23</v>
      </c>
      <c r="I8" s="403"/>
      <c r="J8" s="405" t="s">
        <v>7</v>
      </c>
      <c r="K8" s="405"/>
      <c r="L8" s="405"/>
      <c r="M8" s="403"/>
      <c r="N8" s="408" t="s">
        <v>21</v>
      </c>
      <c r="O8" s="410"/>
      <c r="P8" s="408" t="s">
        <v>22</v>
      </c>
      <c r="Q8" s="410"/>
      <c r="R8" s="408" t="s">
        <v>23</v>
      </c>
      <c r="S8" s="410"/>
      <c r="T8" s="405" t="s">
        <v>7</v>
      </c>
      <c r="U8" s="405"/>
      <c r="V8" s="405"/>
      <c r="W8" s="254"/>
      <c r="X8" s="254"/>
      <c r="AC8" s="183" t="s">
        <v>159</v>
      </c>
    </row>
    <row r="9" spans="2:29" ht="36" customHeight="1" thickBot="1" x14ac:dyDescent="0.3">
      <c r="B9" s="403"/>
      <c r="C9" s="403"/>
      <c r="D9" s="407"/>
      <c r="E9" s="403"/>
      <c r="F9" s="407"/>
      <c r="G9" s="403"/>
      <c r="H9" s="407"/>
      <c r="I9" s="403"/>
      <c r="J9" s="402"/>
      <c r="K9" s="402"/>
      <c r="L9" s="402"/>
      <c r="M9" s="403"/>
      <c r="N9" s="407"/>
      <c r="O9" s="403"/>
      <c r="P9" s="407"/>
      <c r="Q9" s="403"/>
      <c r="R9" s="407"/>
      <c r="S9" s="403"/>
      <c r="T9" s="402"/>
      <c r="U9" s="402"/>
      <c r="V9" s="402"/>
      <c r="W9" s="254"/>
      <c r="X9" s="291"/>
    </row>
    <row r="10" spans="2:29" ht="49.5" customHeight="1" thickBot="1" x14ac:dyDescent="0.3">
      <c r="B10" s="404"/>
      <c r="C10" s="403"/>
      <c r="D10" s="88" t="s">
        <v>90</v>
      </c>
      <c r="E10" s="403"/>
      <c r="F10" s="88" t="s">
        <v>91</v>
      </c>
      <c r="G10" s="403"/>
      <c r="H10" s="88" t="s">
        <v>92</v>
      </c>
      <c r="I10" s="403"/>
      <c r="J10" s="103" t="s">
        <v>11</v>
      </c>
      <c r="K10" s="103"/>
      <c r="L10" s="103" t="s">
        <v>24</v>
      </c>
      <c r="M10" s="403"/>
      <c r="N10" s="88" t="s">
        <v>90</v>
      </c>
      <c r="O10" s="403"/>
      <c r="P10" s="88" t="s">
        <v>91</v>
      </c>
      <c r="Q10" s="403"/>
      <c r="R10" s="88" t="s">
        <v>92</v>
      </c>
      <c r="S10" s="403"/>
      <c r="T10" s="103" t="s">
        <v>11</v>
      </c>
      <c r="U10" s="103"/>
      <c r="V10" s="103" t="s">
        <v>24</v>
      </c>
      <c r="W10" s="256"/>
      <c r="X10" s="292"/>
    </row>
    <row r="11" spans="2:29" ht="36" customHeight="1" x14ac:dyDescent="0.25">
      <c r="B11" s="158" t="s">
        <v>129</v>
      </c>
      <c r="C11" s="165"/>
      <c r="D11" s="189">
        <v>0</v>
      </c>
      <c r="E11" s="189"/>
      <c r="F11" s="189">
        <v>-7084807790</v>
      </c>
      <c r="G11" s="189"/>
      <c r="H11" s="189">
        <v>-6998300529</v>
      </c>
      <c r="I11" s="189"/>
      <c r="J11" s="189">
        <f>H11+F11+D11</f>
        <v>-14083108319</v>
      </c>
      <c r="K11" s="189"/>
      <c r="L11" s="205">
        <f>J11/$X$12</f>
        <v>1.3618611854823409E-2</v>
      </c>
      <c r="M11" s="189"/>
      <c r="N11" s="189">
        <v>0</v>
      </c>
      <c r="O11" s="189"/>
      <c r="P11" s="189">
        <v>-7084807790</v>
      </c>
      <c r="Q11" s="189"/>
      <c r="R11" s="189">
        <v>-6998300529</v>
      </c>
      <c r="S11" s="189">
        <v>-714562636</v>
      </c>
      <c r="T11" s="189">
        <f>N11+P11+R11</f>
        <v>-14083108319</v>
      </c>
      <c r="U11" s="189">
        <v>11071728389</v>
      </c>
      <c r="V11" s="205">
        <f>T11/درآمدها!$F$9</f>
        <v>1.3618611854823409E-2</v>
      </c>
      <c r="W11" s="256"/>
      <c r="X11" s="292"/>
      <c r="Z11" s="194"/>
      <c r="AA11" s="203"/>
    </row>
    <row r="12" spans="2:29" ht="36" customHeight="1" x14ac:dyDescent="0.25">
      <c r="B12" s="175" t="s">
        <v>153</v>
      </c>
      <c r="C12" s="165"/>
      <c r="D12" s="189">
        <v>0</v>
      </c>
      <c r="E12" s="189"/>
      <c r="F12" s="189">
        <v>-28376738997</v>
      </c>
      <c r="G12" s="189"/>
      <c r="H12" s="189">
        <v>-291912490</v>
      </c>
      <c r="I12" s="189"/>
      <c r="J12" s="189">
        <f t="shared" ref="J12:J44" si="0">H12+F12+D12</f>
        <v>-28668651487</v>
      </c>
      <c r="K12" s="189"/>
      <c r="L12" s="205">
        <f t="shared" ref="L12:L44" si="1">J12/$X$12</f>
        <v>2.7723086988965376E-2</v>
      </c>
      <c r="M12" s="189"/>
      <c r="N12" s="189">
        <v>0</v>
      </c>
      <c r="O12" s="189"/>
      <c r="P12" s="189">
        <v>-28376738997</v>
      </c>
      <c r="Q12" s="189"/>
      <c r="R12" s="189">
        <v>-291912490</v>
      </c>
      <c r="S12" s="189">
        <v>-4741243411</v>
      </c>
      <c r="T12" s="189">
        <f t="shared" ref="T12:T44" si="2">N12+P12+R12</f>
        <v>-28668651487</v>
      </c>
      <c r="U12" s="189">
        <v>11071728390</v>
      </c>
      <c r="V12" s="205">
        <f>T12/درآمدها!$F$9</f>
        <v>2.7723086988965376E-2</v>
      </c>
      <c r="W12" s="256"/>
      <c r="X12" s="335">
        <v>-1034107475059</v>
      </c>
      <c r="Z12" s="194"/>
      <c r="AA12" s="203"/>
    </row>
    <row r="13" spans="2:29" ht="36" customHeight="1" x14ac:dyDescent="0.25">
      <c r="B13" s="175" t="s">
        <v>103</v>
      </c>
      <c r="C13" s="165"/>
      <c r="D13" s="189">
        <v>0</v>
      </c>
      <c r="E13" s="189"/>
      <c r="F13" s="189">
        <v>38163136</v>
      </c>
      <c r="G13" s="189"/>
      <c r="H13" s="189">
        <v>-1644</v>
      </c>
      <c r="I13" s="189"/>
      <c r="J13" s="189">
        <f t="shared" si="0"/>
        <v>38161492</v>
      </c>
      <c r="K13" s="189"/>
      <c r="L13" s="205">
        <f t="shared" si="1"/>
        <v>-3.6902829657838741E-5</v>
      </c>
      <c r="M13" s="189"/>
      <c r="N13" s="189">
        <v>0</v>
      </c>
      <c r="O13" s="189"/>
      <c r="P13" s="189">
        <v>38163136</v>
      </c>
      <c r="Q13" s="189"/>
      <c r="R13" s="189">
        <v>-1644</v>
      </c>
      <c r="S13" s="189">
        <v>-3385001208</v>
      </c>
      <c r="T13" s="189">
        <f t="shared" si="2"/>
        <v>38161492</v>
      </c>
      <c r="U13" s="189">
        <v>11071728391</v>
      </c>
      <c r="V13" s="205">
        <f>T13/درآمدها!$F$9</f>
        <v>-3.6902829657838741E-5</v>
      </c>
      <c r="W13" s="256"/>
      <c r="X13" s="292"/>
      <c r="Z13" s="194"/>
      <c r="AA13" s="203"/>
    </row>
    <row r="14" spans="2:29" ht="36" customHeight="1" x14ac:dyDescent="0.25">
      <c r="B14" s="175" t="s">
        <v>202</v>
      </c>
      <c r="C14" s="165"/>
      <c r="D14" s="189">
        <v>0</v>
      </c>
      <c r="E14" s="189"/>
      <c r="F14" s="189">
        <v>180284369</v>
      </c>
      <c r="G14" s="189"/>
      <c r="H14" s="189">
        <v>0</v>
      </c>
      <c r="I14" s="189"/>
      <c r="J14" s="189">
        <f t="shared" si="0"/>
        <v>180284369</v>
      </c>
      <c r="K14" s="189"/>
      <c r="L14" s="205">
        <f t="shared" si="1"/>
        <v>-1.7433813539517644E-4</v>
      </c>
      <c r="M14" s="189"/>
      <c r="N14" s="189">
        <v>0</v>
      </c>
      <c r="O14" s="189"/>
      <c r="P14" s="189">
        <v>180284368</v>
      </c>
      <c r="Q14" s="189"/>
      <c r="R14" s="189">
        <v>-8856</v>
      </c>
      <c r="S14" s="189">
        <v>-2880009787</v>
      </c>
      <c r="T14" s="189">
        <f t="shared" si="2"/>
        <v>180275512</v>
      </c>
      <c r="U14" s="189">
        <v>11071728392</v>
      </c>
      <c r="V14" s="205">
        <f>T14/درآمدها!$F$9</f>
        <v>-1.7432957052139532E-4</v>
      </c>
      <c r="W14" s="256"/>
      <c r="X14" s="288"/>
      <c r="Z14" s="194"/>
      <c r="AA14" s="203"/>
    </row>
    <row r="15" spans="2:29" ht="36" customHeight="1" x14ac:dyDescent="0.25">
      <c r="B15" s="175" t="s">
        <v>110</v>
      </c>
      <c r="C15" s="165"/>
      <c r="D15" s="189">
        <v>0</v>
      </c>
      <c r="E15" s="189"/>
      <c r="F15" s="189">
        <v>52769474013</v>
      </c>
      <c r="G15" s="189"/>
      <c r="H15" s="189">
        <v>0</v>
      </c>
      <c r="I15" s="189"/>
      <c r="J15" s="189">
        <f t="shared" si="0"/>
        <v>52769474013</v>
      </c>
      <c r="K15" s="189"/>
      <c r="L15" s="205">
        <f t="shared" si="1"/>
        <v>-5.1029003547227322E-2</v>
      </c>
      <c r="M15" s="189"/>
      <c r="N15" s="189">
        <v>0</v>
      </c>
      <c r="O15" s="189"/>
      <c r="P15" s="189">
        <v>52769474014</v>
      </c>
      <c r="Q15" s="189"/>
      <c r="R15" s="189">
        <v>-7788</v>
      </c>
      <c r="S15" s="189">
        <v>-664891573</v>
      </c>
      <c r="T15" s="189">
        <f t="shared" si="2"/>
        <v>52769466226</v>
      </c>
      <c r="U15" s="189">
        <v>11071728393</v>
      </c>
      <c r="V15" s="205">
        <f>T15/درآمدها!$F$9</f>
        <v>-5.1028996017062241E-2</v>
      </c>
      <c r="W15" s="256"/>
      <c r="X15" s="257"/>
      <c r="Z15" s="194"/>
      <c r="AA15" s="203"/>
    </row>
    <row r="16" spans="2:29" ht="36" customHeight="1" x14ac:dyDescent="0.25">
      <c r="B16" s="175" t="s">
        <v>141</v>
      </c>
      <c r="C16" s="165"/>
      <c r="D16" s="189">
        <v>0</v>
      </c>
      <c r="E16" s="189"/>
      <c r="F16" s="189">
        <v>537097316</v>
      </c>
      <c r="G16" s="189"/>
      <c r="H16" s="189">
        <v>0</v>
      </c>
      <c r="I16" s="189"/>
      <c r="J16" s="189">
        <f t="shared" si="0"/>
        <v>537097316</v>
      </c>
      <c r="K16" s="189"/>
      <c r="L16" s="205">
        <f t="shared" si="1"/>
        <v>-5.1938249065393944E-4</v>
      </c>
      <c r="M16" s="189"/>
      <c r="N16" s="189">
        <v>0</v>
      </c>
      <c r="O16" s="189"/>
      <c r="P16" s="189">
        <v>537097316</v>
      </c>
      <c r="Q16" s="189"/>
      <c r="R16" s="189">
        <v>-9849</v>
      </c>
      <c r="S16" s="189">
        <v>-2538727106</v>
      </c>
      <c r="T16" s="189">
        <f t="shared" si="2"/>
        <v>537087467</v>
      </c>
      <c r="U16" s="189">
        <v>11071728394</v>
      </c>
      <c r="V16" s="205">
        <f>T16/درآمدها!$F$9</f>
        <v>-5.1937296649882253E-4</v>
      </c>
      <c r="W16" s="256"/>
      <c r="X16" s="257"/>
      <c r="Z16" s="194"/>
      <c r="AA16" s="203"/>
    </row>
    <row r="17" spans="2:27" ht="36" customHeight="1" x14ac:dyDescent="0.25">
      <c r="B17" s="175" t="s">
        <v>115</v>
      </c>
      <c r="C17" s="165"/>
      <c r="D17" s="189">
        <v>0</v>
      </c>
      <c r="E17" s="189"/>
      <c r="F17" s="189">
        <v>-196325402297</v>
      </c>
      <c r="G17" s="189"/>
      <c r="H17" s="189">
        <v>0</v>
      </c>
      <c r="I17" s="189"/>
      <c r="J17" s="189">
        <f t="shared" si="0"/>
        <v>-196325402297</v>
      </c>
      <c r="K17" s="189"/>
      <c r="L17" s="205">
        <f t="shared" si="1"/>
        <v>0.18985009491958157</v>
      </c>
      <c r="M17" s="189"/>
      <c r="N17" s="189">
        <v>0</v>
      </c>
      <c r="O17" s="189"/>
      <c r="P17" s="189">
        <v>-196325402297</v>
      </c>
      <c r="Q17" s="189"/>
      <c r="R17" s="189">
        <v>-25860</v>
      </c>
      <c r="S17" s="189">
        <v>-5759026841</v>
      </c>
      <c r="T17" s="189">
        <f t="shared" si="2"/>
        <v>-196325428157</v>
      </c>
      <c r="U17" s="189">
        <v>11071728395</v>
      </c>
      <c r="V17" s="205">
        <f>T17/درآمدها!$F$9</f>
        <v>0.18985011992665352</v>
      </c>
      <c r="W17" s="256"/>
      <c r="X17" s="257"/>
      <c r="Z17" s="194"/>
      <c r="AA17" s="203"/>
    </row>
    <row r="18" spans="2:27" ht="36" customHeight="1" x14ac:dyDescent="0.25">
      <c r="B18" s="175" t="s">
        <v>176</v>
      </c>
      <c r="C18" s="165"/>
      <c r="D18" s="189">
        <v>0</v>
      </c>
      <c r="E18" s="189"/>
      <c r="F18" s="189">
        <v>0</v>
      </c>
      <c r="G18" s="189"/>
      <c r="H18" s="189">
        <v>0</v>
      </c>
      <c r="I18" s="189"/>
      <c r="J18" s="189">
        <f t="shared" si="0"/>
        <v>0</v>
      </c>
      <c r="K18" s="189"/>
      <c r="L18" s="205">
        <f t="shared" si="1"/>
        <v>0</v>
      </c>
      <c r="M18" s="189"/>
      <c r="N18" s="189">
        <v>0</v>
      </c>
      <c r="O18" s="189"/>
      <c r="P18" s="189">
        <v>0</v>
      </c>
      <c r="Q18" s="189"/>
      <c r="R18" s="189">
        <v>-6111</v>
      </c>
      <c r="S18" s="189">
        <v>-2808202366</v>
      </c>
      <c r="T18" s="189">
        <f t="shared" si="2"/>
        <v>-6111</v>
      </c>
      <c r="U18" s="189">
        <v>11071728392</v>
      </c>
      <c r="V18" s="205">
        <f>T18/درآمدها!$F$9</f>
        <v>5.90944379321051E-9</v>
      </c>
      <c r="W18" s="256"/>
      <c r="X18" s="102"/>
      <c r="Z18" s="194"/>
      <c r="AA18" s="203"/>
    </row>
    <row r="19" spans="2:27" ht="36" customHeight="1" x14ac:dyDescent="0.25">
      <c r="B19" s="175" t="s">
        <v>142</v>
      </c>
      <c r="C19" s="165"/>
      <c r="D19" s="189">
        <v>0</v>
      </c>
      <c r="E19" s="189"/>
      <c r="F19" s="189">
        <v>2345915645</v>
      </c>
      <c r="G19" s="189"/>
      <c r="H19" s="189">
        <v>0</v>
      </c>
      <c r="I19" s="189"/>
      <c r="J19" s="189">
        <f t="shared" si="0"/>
        <v>2345915645</v>
      </c>
      <c r="K19" s="189"/>
      <c r="L19" s="205">
        <f t="shared" si="1"/>
        <v>-2.2685414249289282E-3</v>
      </c>
      <c r="M19" s="189"/>
      <c r="N19" s="189">
        <v>0</v>
      </c>
      <c r="O19" s="189"/>
      <c r="P19" s="189">
        <v>2358162059</v>
      </c>
      <c r="Q19" s="189"/>
      <c r="R19" s="189">
        <v>-373</v>
      </c>
      <c r="S19" s="189"/>
      <c r="T19" s="189">
        <f t="shared" si="2"/>
        <v>2358161686</v>
      </c>
      <c r="U19" s="189">
        <v>11071728393</v>
      </c>
      <c r="V19" s="205">
        <f>T19/درآمدها!$F$9</f>
        <v>-2.2803835605824793E-3</v>
      </c>
      <c r="W19" s="256"/>
      <c r="X19" s="102"/>
      <c r="Z19" s="194"/>
      <c r="AA19" s="203"/>
    </row>
    <row r="20" spans="2:27" ht="36" customHeight="1" x14ac:dyDescent="0.25">
      <c r="B20" s="175" t="s">
        <v>126</v>
      </c>
      <c r="C20" s="165"/>
      <c r="D20" s="189">
        <v>187017</v>
      </c>
      <c r="E20" s="189"/>
      <c r="F20" s="189">
        <v>-165305</v>
      </c>
      <c r="G20" s="189"/>
      <c r="H20" s="189">
        <v>0</v>
      </c>
      <c r="I20" s="189"/>
      <c r="J20" s="189">
        <f t="shared" si="0"/>
        <v>21712</v>
      </c>
      <c r="K20" s="189"/>
      <c r="L20" s="205">
        <f t="shared" si="1"/>
        <v>-2.0995883429583798E-8</v>
      </c>
      <c r="M20" s="189"/>
      <c r="N20" s="189">
        <v>187017</v>
      </c>
      <c r="O20" s="189"/>
      <c r="P20" s="189">
        <v>-165305</v>
      </c>
      <c r="Q20" s="189"/>
      <c r="R20" s="189">
        <v>0</v>
      </c>
      <c r="S20" s="189">
        <v>8828197833</v>
      </c>
      <c r="T20" s="189">
        <f t="shared" si="2"/>
        <v>21712</v>
      </c>
      <c r="U20" s="189">
        <v>11071728394</v>
      </c>
      <c r="V20" s="205">
        <f>T20/درآمدها!$F$9</f>
        <v>-2.0995883429583798E-8</v>
      </c>
      <c r="W20" s="256"/>
      <c r="X20" s="102"/>
      <c r="Z20" s="194"/>
      <c r="AA20" s="203"/>
    </row>
    <row r="21" spans="2:27" ht="36" customHeight="1" x14ac:dyDescent="0.25">
      <c r="B21" s="175" t="s">
        <v>125</v>
      </c>
      <c r="C21" s="165"/>
      <c r="D21" s="189">
        <v>173863</v>
      </c>
      <c r="E21" s="189"/>
      <c r="F21" s="189">
        <v>-182276</v>
      </c>
      <c r="G21" s="189"/>
      <c r="H21" s="189">
        <v>0</v>
      </c>
      <c r="I21" s="189"/>
      <c r="J21" s="189">
        <f t="shared" si="0"/>
        <v>-8413</v>
      </c>
      <c r="K21" s="189"/>
      <c r="L21" s="205">
        <f t="shared" si="1"/>
        <v>8.1355180219734949E-9</v>
      </c>
      <c r="M21" s="189"/>
      <c r="N21" s="189">
        <v>173863</v>
      </c>
      <c r="O21" s="189"/>
      <c r="P21" s="189">
        <v>-133706</v>
      </c>
      <c r="Q21" s="189"/>
      <c r="R21" s="189">
        <v>0</v>
      </c>
      <c r="S21" s="189">
        <v>-40082741567</v>
      </c>
      <c r="T21" s="189">
        <f t="shared" si="2"/>
        <v>40157</v>
      </c>
      <c r="U21" s="189">
        <v>11071728395</v>
      </c>
      <c r="V21" s="205">
        <f>T21/درآمدها!$F$9</f>
        <v>-3.8832520766479208E-8</v>
      </c>
      <c r="W21" s="256"/>
      <c r="X21" s="102"/>
      <c r="Z21" s="194"/>
      <c r="AA21" s="203"/>
    </row>
    <row r="22" spans="2:27" ht="36" customHeight="1" x14ac:dyDescent="0.25">
      <c r="B22" s="175" t="s">
        <v>181</v>
      </c>
      <c r="C22" s="165"/>
      <c r="D22" s="189">
        <v>0</v>
      </c>
      <c r="E22" s="189"/>
      <c r="F22" s="189">
        <v>0</v>
      </c>
      <c r="G22" s="189"/>
      <c r="H22" s="189">
        <v>0</v>
      </c>
      <c r="I22" s="189"/>
      <c r="J22" s="189">
        <f t="shared" si="0"/>
        <v>0</v>
      </c>
      <c r="K22" s="189"/>
      <c r="L22" s="205">
        <f t="shared" si="1"/>
        <v>0</v>
      </c>
      <c r="M22" s="189"/>
      <c r="N22" s="189">
        <v>339315688</v>
      </c>
      <c r="O22" s="189"/>
      <c r="P22" s="189">
        <v>-357217200</v>
      </c>
      <c r="Q22" s="189"/>
      <c r="R22" s="189">
        <v>0</v>
      </c>
      <c r="S22" s="189">
        <v>466959920</v>
      </c>
      <c r="T22" s="189">
        <f t="shared" si="2"/>
        <v>-17901512</v>
      </c>
      <c r="U22" s="189">
        <v>11071728396</v>
      </c>
      <c r="V22" s="205">
        <f>T22/درآمدها!$F$9</f>
        <v>1.7311074943132623E-5</v>
      </c>
      <c r="W22" s="256"/>
      <c r="X22" s="102"/>
      <c r="Z22" s="194"/>
      <c r="AA22" s="203"/>
    </row>
    <row r="23" spans="2:27" ht="36" customHeight="1" x14ac:dyDescent="0.25">
      <c r="B23" s="175" t="s">
        <v>188</v>
      </c>
      <c r="C23" s="165"/>
      <c r="D23" s="189">
        <v>394368491</v>
      </c>
      <c r="E23" s="189"/>
      <c r="F23" s="189">
        <v>-396680570</v>
      </c>
      <c r="G23" s="189"/>
      <c r="H23" s="189">
        <v>0</v>
      </c>
      <c r="I23" s="189"/>
      <c r="J23" s="189">
        <f t="shared" si="0"/>
        <v>-2312079</v>
      </c>
      <c r="K23" s="189"/>
      <c r="L23" s="205">
        <f t="shared" si="1"/>
        <v>2.2358207978992574E-6</v>
      </c>
      <c r="M23" s="189"/>
      <c r="N23" s="189">
        <v>394368491</v>
      </c>
      <c r="O23" s="189"/>
      <c r="P23" s="189">
        <v>-396680570</v>
      </c>
      <c r="Q23" s="189"/>
      <c r="R23" s="189">
        <v>0</v>
      </c>
      <c r="S23" s="189">
        <v>-102059379029</v>
      </c>
      <c r="T23" s="189">
        <f t="shared" si="2"/>
        <v>-2312079</v>
      </c>
      <c r="U23" s="189">
        <v>11071728398</v>
      </c>
      <c r="V23" s="205">
        <f>T23/درآمدها!$F$9</f>
        <v>2.2358207978992574E-6</v>
      </c>
      <c r="W23" s="256"/>
      <c r="X23" s="102"/>
      <c r="Z23" s="194"/>
      <c r="AA23" s="203"/>
    </row>
    <row r="24" spans="2:27" ht="36" customHeight="1" x14ac:dyDescent="0.25">
      <c r="B24" s="175" t="s">
        <v>121</v>
      </c>
      <c r="C24" s="165"/>
      <c r="D24" s="189">
        <v>0</v>
      </c>
      <c r="E24" s="189"/>
      <c r="F24" s="189">
        <v>-16704369315</v>
      </c>
      <c r="G24" s="189"/>
      <c r="H24" s="189">
        <v>0</v>
      </c>
      <c r="I24" s="189"/>
      <c r="J24" s="189">
        <f t="shared" si="0"/>
        <v>-16704369315</v>
      </c>
      <c r="K24" s="189"/>
      <c r="L24" s="205">
        <f t="shared" si="1"/>
        <v>1.6153417045986395E-2</v>
      </c>
      <c r="M24" s="189"/>
      <c r="N24" s="189">
        <v>0</v>
      </c>
      <c r="O24" s="189"/>
      <c r="P24" s="189">
        <v>-16704369315</v>
      </c>
      <c r="Q24" s="189"/>
      <c r="R24" s="189">
        <v>0</v>
      </c>
      <c r="S24" s="189">
        <v>-11597631470</v>
      </c>
      <c r="T24" s="189">
        <f t="shared" si="2"/>
        <v>-16704369315</v>
      </c>
      <c r="U24" s="189">
        <v>11071728399</v>
      </c>
      <c r="V24" s="205">
        <f>T24/درآمدها!$F$9</f>
        <v>1.6153417045986395E-2</v>
      </c>
      <c r="W24" s="256"/>
      <c r="X24" s="102"/>
      <c r="Z24" s="194"/>
      <c r="AA24" s="203"/>
    </row>
    <row r="25" spans="2:27" ht="36" customHeight="1" x14ac:dyDescent="0.25">
      <c r="B25" s="175" t="s">
        <v>118</v>
      </c>
      <c r="C25" s="165"/>
      <c r="D25" s="189">
        <v>0</v>
      </c>
      <c r="E25" s="189"/>
      <c r="F25" s="189">
        <v>-28235042850</v>
      </c>
      <c r="G25" s="189"/>
      <c r="H25" s="189">
        <v>0</v>
      </c>
      <c r="I25" s="189"/>
      <c r="J25" s="189">
        <f t="shared" si="0"/>
        <v>-28235042850</v>
      </c>
      <c r="K25" s="189"/>
      <c r="L25" s="205">
        <f t="shared" si="1"/>
        <v>2.730377985942813E-2</v>
      </c>
      <c r="M25" s="189"/>
      <c r="N25" s="189">
        <v>0</v>
      </c>
      <c r="O25" s="189"/>
      <c r="P25" s="189">
        <v>-28235042850</v>
      </c>
      <c r="Q25" s="189"/>
      <c r="R25" s="189">
        <v>0</v>
      </c>
      <c r="S25" s="189">
        <v>52167321915</v>
      </c>
      <c r="T25" s="189">
        <f t="shared" si="2"/>
        <v>-28235042850</v>
      </c>
      <c r="U25" s="189">
        <v>11071728400</v>
      </c>
      <c r="V25" s="205">
        <f>T25/درآمدها!$F$9</f>
        <v>2.730377985942813E-2</v>
      </c>
      <c r="W25" s="256"/>
      <c r="X25" s="102"/>
      <c r="Z25" s="194"/>
      <c r="AA25" s="203"/>
    </row>
    <row r="26" spans="2:27" ht="36" customHeight="1" x14ac:dyDescent="0.25">
      <c r="B26" s="175" t="s">
        <v>114</v>
      </c>
      <c r="C26" s="165"/>
      <c r="D26" s="189">
        <v>0</v>
      </c>
      <c r="E26" s="189"/>
      <c r="F26" s="189">
        <v>-815645</v>
      </c>
      <c r="G26" s="189"/>
      <c r="H26" s="189">
        <v>0</v>
      </c>
      <c r="I26" s="189"/>
      <c r="J26" s="189">
        <f t="shared" si="0"/>
        <v>-815645</v>
      </c>
      <c r="K26" s="189"/>
      <c r="L26" s="205">
        <f t="shared" si="1"/>
        <v>7.8874296886159162E-7</v>
      </c>
      <c r="M26" s="189"/>
      <c r="N26" s="189">
        <v>0</v>
      </c>
      <c r="O26" s="189"/>
      <c r="P26" s="189">
        <v>-815645</v>
      </c>
      <c r="Q26" s="189"/>
      <c r="R26" s="189">
        <v>0</v>
      </c>
      <c r="S26" s="189">
        <v>-6964477628</v>
      </c>
      <c r="T26" s="189">
        <f t="shared" si="2"/>
        <v>-815645</v>
      </c>
      <c r="U26" s="189">
        <v>11071728401</v>
      </c>
      <c r="V26" s="205">
        <f>T26/درآمدها!$F$9</f>
        <v>7.8874296886159162E-7</v>
      </c>
      <c r="W26" s="256"/>
      <c r="X26" s="102"/>
      <c r="Z26" s="194"/>
      <c r="AA26" s="203"/>
    </row>
    <row r="27" spans="2:27" ht="36" customHeight="1" x14ac:dyDescent="0.25">
      <c r="B27" s="175" t="s">
        <v>122</v>
      </c>
      <c r="C27" s="165"/>
      <c r="D27" s="189">
        <v>0</v>
      </c>
      <c r="E27" s="189"/>
      <c r="F27" s="189">
        <v>-39690</v>
      </c>
      <c r="G27" s="189"/>
      <c r="H27" s="189">
        <v>0</v>
      </c>
      <c r="I27" s="189"/>
      <c r="J27" s="189">
        <f t="shared" si="0"/>
        <v>-39690</v>
      </c>
      <c r="K27" s="189"/>
      <c r="L27" s="205">
        <f t="shared" si="1"/>
        <v>3.8380923605387851E-8</v>
      </c>
      <c r="M27" s="189"/>
      <c r="N27" s="189">
        <v>0</v>
      </c>
      <c r="O27" s="189"/>
      <c r="P27" s="189">
        <v>-39690</v>
      </c>
      <c r="Q27" s="189"/>
      <c r="R27" s="189">
        <v>0</v>
      </c>
      <c r="S27" s="189">
        <v>-13571699443</v>
      </c>
      <c r="T27" s="189">
        <f t="shared" si="2"/>
        <v>-39690</v>
      </c>
      <c r="U27" s="189">
        <v>11071728402</v>
      </c>
      <c r="V27" s="205">
        <f>T27/درآمدها!$F$9</f>
        <v>3.8380923605387851E-8</v>
      </c>
      <c r="W27" s="256"/>
      <c r="X27" s="102"/>
      <c r="Z27" s="194"/>
      <c r="AA27" s="203"/>
    </row>
    <row r="28" spans="2:27" ht="36" customHeight="1" x14ac:dyDescent="0.25">
      <c r="B28" s="175" t="s">
        <v>211</v>
      </c>
      <c r="C28" s="165"/>
      <c r="D28" s="189">
        <v>0</v>
      </c>
      <c r="E28" s="189"/>
      <c r="F28" s="189">
        <v>3912663</v>
      </c>
      <c r="G28" s="189"/>
      <c r="H28" s="189">
        <v>0</v>
      </c>
      <c r="I28" s="189"/>
      <c r="J28" s="189">
        <f t="shared" si="0"/>
        <v>3912663</v>
      </c>
      <c r="K28" s="189"/>
      <c r="L28" s="205">
        <f t="shared" si="1"/>
        <v>-3.783613497017577E-6</v>
      </c>
      <c r="M28" s="189"/>
      <c r="N28" s="189">
        <v>0</v>
      </c>
      <c r="O28" s="189"/>
      <c r="P28" s="189">
        <v>3912663</v>
      </c>
      <c r="Q28" s="189"/>
      <c r="R28" s="189">
        <v>0</v>
      </c>
      <c r="S28" s="189">
        <v>257545772</v>
      </c>
      <c r="T28" s="189">
        <f t="shared" si="2"/>
        <v>3912663</v>
      </c>
      <c r="U28" s="189">
        <v>11071728398</v>
      </c>
      <c r="V28" s="205">
        <f>T28/درآمدها!$F$9</f>
        <v>-3.783613497017577E-6</v>
      </c>
      <c r="W28" s="256"/>
      <c r="X28" s="102"/>
      <c r="Z28" s="194"/>
      <c r="AA28" s="203"/>
    </row>
    <row r="29" spans="2:27" ht="36" customHeight="1" x14ac:dyDescent="0.25">
      <c r="B29" s="175" t="s">
        <v>160</v>
      </c>
      <c r="C29" s="165"/>
      <c r="D29" s="189">
        <v>0</v>
      </c>
      <c r="E29" s="189"/>
      <c r="F29" s="189">
        <v>7021302519</v>
      </c>
      <c r="G29" s="189"/>
      <c r="H29" s="189">
        <v>0</v>
      </c>
      <c r="I29" s="189"/>
      <c r="J29" s="189">
        <f t="shared" si="0"/>
        <v>7021302519</v>
      </c>
      <c r="K29" s="189"/>
      <c r="L29" s="205">
        <f t="shared" si="1"/>
        <v>-6.789722237139236E-3</v>
      </c>
      <c r="M29" s="189"/>
      <c r="N29" s="189">
        <v>0</v>
      </c>
      <c r="O29" s="189"/>
      <c r="P29" s="189">
        <v>7021302519</v>
      </c>
      <c r="Q29" s="189"/>
      <c r="R29" s="189">
        <v>0</v>
      </c>
      <c r="S29" s="189">
        <v>1026553445</v>
      </c>
      <c r="T29" s="189">
        <f t="shared" si="2"/>
        <v>7021302519</v>
      </c>
      <c r="U29" s="189">
        <v>11071728399</v>
      </c>
      <c r="V29" s="205">
        <f>T29/درآمدها!$F$9</f>
        <v>-6.789722237139236E-3</v>
      </c>
      <c r="W29" s="256"/>
      <c r="X29" s="102"/>
      <c r="Z29" s="194"/>
      <c r="AA29" s="203"/>
    </row>
    <row r="30" spans="2:27" ht="36" customHeight="1" x14ac:dyDescent="0.25">
      <c r="B30" s="175" t="s">
        <v>143</v>
      </c>
      <c r="C30" s="165"/>
      <c r="D30" s="189">
        <v>0</v>
      </c>
      <c r="E30" s="189"/>
      <c r="F30" s="189">
        <v>-12899</v>
      </c>
      <c r="G30" s="189"/>
      <c r="H30" s="189">
        <v>0</v>
      </c>
      <c r="I30" s="189"/>
      <c r="J30" s="189">
        <f t="shared" si="0"/>
        <v>-12899</v>
      </c>
      <c r="K30" s="189"/>
      <c r="L30" s="205">
        <f t="shared" si="1"/>
        <v>1.2473558417382158E-8</v>
      </c>
      <c r="M30" s="189"/>
      <c r="N30" s="189">
        <v>0</v>
      </c>
      <c r="O30" s="189"/>
      <c r="P30" s="189">
        <v>-12899</v>
      </c>
      <c r="Q30" s="189"/>
      <c r="R30" s="189">
        <v>0</v>
      </c>
      <c r="S30" s="189">
        <v>-1161777565</v>
      </c>
      <c r="T30" s="189">
        <f t="shared" si="2"/>
        <v>-12899</v>
      </c>
      <c r="U30" s="189">
        <v>-5155830316</v>
      </c>
      <c r="V30" s="205">
        <f>T30/درآمدها!$F$9</f>
        <v>1.2473558417382158E-8</v>
      </c>
      <c r="W30" s="256"/>
      <c r="X30" s="102"/>
      <c r="Z30" s="194"/>
      <c r="AA30" s="203"/>
    </row>
    <row r="31" spans="2:27" ht="36" customHeight="1" x14ac:dyDescent="0.25">
      <c r="B31" s="175" t="s">
        <v>186</v>
      </c>
      <c r="C31" s="165"/>
      <c r="D31" s="189">
        <v>0</v>
      </c>
      <c r="E31" s="189"/>
      <c r="F31" s="189">
        <v>0</v>
      </c>
      <c r="G31" s="189"/>
      <c r="H31" s="189">
        <v>0</v>
      </c>
      <c r="I31" s="189"/>
      <c r="J31" s="189">
        <f t="shared" si="0"/>
        <v>0</v>
      </c>
      <c r="K31" s="189"/>
      <c r="L31" s="205">
        <f t="shared" si="1"/>
        <v>0</v>
      </c>
      <c r="M31" s="189"/>
      <c r="N31" s="189">
        <v>0</v>
      </c>
      <c r="O31" s="189"/>
      <c r="P31" s="189">
        <v>132716</v>
      </c>
      <c r="Q31" s="189"/>
      <c r="R31" s="189">
        <v>0</v>
      </c>
      <c r="S31" s="189">
        <v>599022178</v>
      </c>
      <c r="T31" s="189">
        <f t="shared" si="2"/>
        <v>132716</v>
      </c>
      <c r="U31" s="189">
        <v>-5155830315</v>
      </c>
      <c r="V31" s="205">
        <f>T31/درآمدها!$F$9</f>
        <v>-1.2833869128779677E-7</v>
      </c>
      <c r="W31" s="256"/>
      <c r="X31" s="102"/>
      <c r="Z31" s="194"/>
      <c r="AA31" s="203"/>
    </row>
    <row r="32" spans="2:27" ht="36" customHeight="1" x14ac:dyDescent="0.25">
      <c r="B32" s="175" t="s">
        <v>192</v>
      </c>
      <c r="C32" s="165"/>
      <c r="D32" s="189">
        <v>0</v>
      </c>
      <c r="E32" s="189"/>
      <c r="F32" s="189">
        <v>721787161</v>
      </c>
      <c r="G32" s="189"/>
      <c r="H32" s="189">
        <v>0</v>
      </c>
      <c r="I32" s="189"/>
      <c r="J32" s="189">
        <f t="shared" si="0"/>
        <v>721787161</v>
      </c>
      <c r="K32" s="189"/>
      <c r="L32" s="205">
        <f t="shared" si="1"/>
        <v>-6.9798079832932177E-4</v>
      </c>
      <c r="M32" s="189"/>
      <c r="N32" s="189">
        <v>0</v>
      </c>
      <c r="O32" s="189"/>
      <c r="P32" s="189">
        <v>721787161</v>
      </c>
      <c r="Q32" s="189"/>
      <c r="R32" s="189">
        <v>0</v>
      </c>
      <c r="S32" s="189">
        <v>11615770866</v>
      </c>
      <c r="T32" s="189">
        <f t="shared" si="2"/>
        <v>721787161</v>
      </c>
      <c r="U32" s="189">
        <v>-5155830314</v>
      </c>
      <c r="V32" s="205">
        <f>T32/درآمدها!$F$9</f>
        <v>-6.9798079832932177E-4</v>
      </c>
      <c r="W32" s="256"/>
      <c r="X32" s="102"/>
      <c r="Z32" s="194"/>
      <c r="AA32" s="203"/>
    </row>
    <row r="33" spans="2:27" ht="36" customHeight="1" x14ac:dyDescent="0.25">
      <c r="B33" s="175" t="s">
        <v>191</v>
      </c>
      <c r="C33" s="165"/>
      <c r="D33" s="189">
        <v>0</v>
      </c>
      <c r="E33" s="189"/>
      <c r="F33" s="189">
        <v>-27423862</v>
      </c>
      <c r="G33" s="189"/>
      <c r="H33" s="189">
        <v>0</v>
      </c>
      <c r="I33" s="189"/>
      <c r="J33" s="189">
        <f t="shared" si="0"/>
        <v>-27423862</v>
      </c>
      <c r="K33" s="189"/>
      <c r="L33" s="205">
        <f t="shared" si="1"/>
        <v>2.6519353801630105E-5</v>
      </c>
      <c r="M33" s="189"/>
      <c r="N33" s="189">
        <v>0</v>
      </c>
      <c r="O33" s="189"/>
      <c r="P33" s="189">
        <v>-27423862</v>
      </c>
      <c r="Q33" s="189"/>
      <c r="R33" s="189">
        <v>0</v>
      </c>
      <c r="S33" s="189">
        <v>28553005</v>
      </c>
      <c r="T33" s="189">
        <f t="shared" si="2"/>
        <v>-27423862</v>
      </c>
      <c r="U33" s="189">
        <v>-5155830313</v>
      </c>
      <c r="V33" s="205">
        <f>T33/درآمدها!$F$9</f>
        <v>2.6519353801630105E-5</v>
      </c>
      <c r="W33" s="256"/>
      <c r="X33" s="102"/>
      <c r="Z33" s="194"/>
      <c r="AA33" s="203"/>
    </row>
    <row r="34" spans="2:27" ht="36" customHeight="1" x14ac:dyDescent="0.25">
      <c r="B34" s="175" t="s">
        <v>137</v>
      </c>
      <c r="C34" s="165"/>
      <c r="D34" s="189">
        <v>0</v>
      </c>
      <c r="E34" s="189"/>
      <c r="F34" s="189">
        <v>-30809983500</v>
      </c>
      <c r="G34" s="189"/>
      <c r="H34" s="189">
        <v>0</v>
      </c>
      <c r="I34" s="189"/>
      <c r="J34" s="189">
        <f t="shared" si="0"/>
        <v>-30809983500</v>
      </c>
      <c r="K34" s="189"/>
      <c r="L34" s="205">
        <f t="shared" si="1"/>
        <v>2.9793792466534647E-2</v>
      </c>
      <c r="M34" s="189"/>
      <c r="N34" s="189">
        <v>0</v>
      </c>
      <c r="O34" s="189"/>
      <c r="P34" s="189">
        <v>-30809983500</v>
      </c>
      <c r="Q34" s="189"/>
      <c r="R34" s="189">
        <v>0</v>
      </c>
      <c r="S34" s="189"/>
      <c r="T34" s="189">
        <f t="shared" si="2"/>
        <v>-30809983500</v>
      </c>
      <c r="U34" s="189"/>
      <c r="V34" s="205">
        <f>T34/درآمدها!$F$9</f>
        <v>2.9793792466534647E-2</v>
      </c>
      <c r="W34" s="256"/>
      <c r="X34" s="102"/>
      <c r="Z34" s="194"/>
      <c r="AA34" s="203"/>
    </row>
    <row r="35" spans="2:27" ht="36" customHeight="1" x14ac:dyDescent="0.25">
      <c r="B35" s="175" t="s">
        <v>116</v>
      </c>
      <c r="C35" s="165"/>
      <c r="D35" s="189">
        <v>0</v>
      </c>
      <c r="E35" s="189"/>
      <c r="F35" s="189">
        <v>-1303842780</v>
      </c>
      <c r="G35" s="189"/>
      <c r="H35" s="189">
        <v>0</v>
      </c>
      <c r="I35" s="189"/>
      <c r="J35" s="189">
        <f t="shared" si="0"/>
        <v>-1303842780</v>
      </c>
      <c r="K35" s="189"/>
      <c r="L35" s="205">
        <f t="shared" si="1"/>
        <v>1.2608387536562488E-3</v>
      </c>
      <c r="M35" s="189"/>
      <c r="N35" s="189">
        <v>0</v>
      </c>
      <c r="O35" s="189"/>
      <c r="P35" s="189">
        <v>-1303842780</v>
      </c>
      <c r="Q35" s="189"/>
      <c r="R35" s="189">
        <v>0</v>
      </c>
      <c r="S35" s="189"/>
      <c r="T35" s="189">
        <f t="shared" si="2"/>
        <v>-1303842780</v>
      </c>
      <c r="U35" s="189"/>
      <c r="V35" s="205">
        <f>T35/درآمدها!$F$9</f>
        <v>1.2608387536562488E-3</v>
      </c>
      <c r="W35" s="256"/>
      <c r="X35" s="102"/>
      <c r="Z35" s="194"/>
      <c r="AA35" s="203"/>
    </row>
    <row r="36" spans="2:27" ht="36" customHeight="1" x14ac:dyDescent="0.25">
      <c r="B36" s="175" t="s">
        <v>139</v>
      </c>
      <c r="C36" s="165"/>
      <c r="D36" s="189">
        <v>0</v>
      </c>
      <c r="E36" s="189"/>
      <c r="F36" s="189">
        <v>-10216689</v>
      </c>
      <c r="G36" s="189"/>
      <c r="H36" s="189">
        <v>0</v>
      </c>
      <c r="I36" s="189"/>
      <c r="J36" s="189">
        <f t="shared" si="0"/>
        <v>-10216689</v>
      </c>
      <c r="K36" s="189"/>
      <c r="L36" s="205">
        <f t="shared" si="1"/>
        <v>9.8797168054675329E-6</v>
      </c>
      <c r="M36" s="189"/>
      <c r="N36" s="189">
        <v>0</v>
      </c>
      <c r="O36" s="189"/>
      <c r="P36" s="189">
        <v>-10216689</v>
      </c>
      <c r="Q36" s="189"/>
      <c r="R36" s="189">
        <v>0</v>
      </c>
      <c r="S36" s="189"/>
      <c r="T36" s="189">
        <f t="shared" si="2"/>
        <v>-10216689</v>
      </c>
      <c r="U36" s="189"/>
      <c r="V36" s="205">
        <f>T36/درآمدها!$F$9</f>
        <v>9.8797168054675329E-6</v>
      </c>
      <c r="W36" s="256"/>
      <c r="X36" s="102"/>
      <c r="Z36" s="194"/>
      <c r="AA36" s="203"/>
    </row>
    <row r="37" spans="2:27" ht="36" customHeight="1" x14ac:dyDescent="0.25">
      <c r="B37" s="175" t="s">
        <v>124</v>
      </c>
      <c r="C37" s="165"/>
      <c r="D37" s="189">
        <v>0</v>
      </c>
      <c r="E37" s="189"/>
      <c r="F37" s="189">
        <v>24806</v>
      </c>
      <c r="G37" s="189"/>
      <c r="H37" s="189">
        <v>0</v>
      </c>
      <c r="I37" s="189"/>
      <c r="J37" s="189">
        <f t="shared" si="0"/>
        <v>24806</v>
      </c>
      <c r="K37" s="189"/>
      <c r="L37" s="205">
        <f t="shared" si="1"/>
        <v>-2.3987835498998514E-8</v>
      </c>
      <c r="M37" s="189"/>
      <c r="N37" s="189">
        <v>0</v>
      </c>
      <c r="O37" s="189"/>
      <c r="P37" s="189">
        <v>24806</v>
      </c>
      <c r="Q37" s="189"/>
      <c r="R37" s="189">
        <v>0</v>
      </c>
      <c r="S37" s="189"/>
      <c r="T37" s="189">
        <f t="shared" si="2"/>
        <v>24806</v>
      </c>
      <c r="U37" s="189"/>
      <c r="V37" s="205">
        <f>T37/درآمدها!$F$9</f>
        <v>-2.3987835498998514E-8</v>
      </c>
      <c r="W37" s="256"/>
      <c r="X37" s="102"/>
      <c r="Z37" s="194"/>
      <c r="AA37" s="203"/>
    </row>
    <row r="38" spans="2:27" ht="36" customHeight="1" x14ac:dyDescent="0.25">
      <c r="B38" s="175" t="s">
        <v>190</v>
      </c>
      <c r="C38" s="165"/>
      <c r="D38" s="189">
        <v>0</v>
      </c>
      <c r="E38" s="189"/>
      <c r="F38" s="189">
        <v>-99209495</v>
      </c>
      <c r="G38" s="189"/>
      <c r="H38" s="189">
        <v>0</v>
      </c>
      <c r="I38" s="189"/>
      <c r="J38" s="189">
        <f t="shared" si="0"/>
        <v>-99209495</v>
      </c>
      <c r="K38" s="189"/>
      <c r="L38" s="205">
        <f t="shared" si="1"/>
        <v>9.59373154075109E-5</v>
      </c>
      <c r="M38" s="189"/>
      <c r="N38" s="189">
        <v>0</v>
      </c>
      <c r="O38" s="189"/>
      <c r="P38" s="189">
        <v>-99209495</v>
      </c>
      <c r="Q38" s="189"/>
      <c r="R38" s="189">
        <v>0</v>
      </c>
      <c r="S38" s="189"/>
      <c r="T38" s="189">
        <f t="shared" si="2"/>
        <v>-99209495</v>
      </c>
      <c r="U38" s="189"/>
      <c r="V38" s="205">
        <f>T38/درآمدها!$F$9</f>
        <v>9.59373154075109E-5</v>
      </c>
      <c r="W38" s="256"/>
      <c r="X38" s="102"/>
      <c r="Z38" s="194"/>
      <c r="AA38" s="203"/>
    </row>
    <row r="39" spans="2:27" ht="36" customHeight="1" x14ac:dyDescent="0.25">
      <c r="B39" s="175" t="s">
        <v>111</v>
      </c>
      <c r="C39" s="165"/>
      <c r="D39" s="189">
        <v>0</v>
      </c>
      <c r="E39" s="189"/>
      <c r="F39" s="189">
        <v>1719682497</v>
      </c>
      <c r="G39" s="189"/>
      <c r="H39" s="189">
        <v>0</v>
      </c>
      <c r="I39" s="189"/>
      <c r="J39" s="189">
        <f t="shared" si="0"/>
        <v>1719682497</v>
      </c>
      <c r="K39" s="189"/>
      <c r="L39" s="205">
        <f t="shared" si="1"/>
        <v>-1.6629630270314844E-3</v>
      </c>
      <c r="M39" s="189"/>
      <c r="N39" s="189">
        <v>0</v>
      </c>
      <c r="O39" s="189"/>
      <c r="P39" s="189">
        <v>1719682497</v>
      </c>
      <c r="Q39" s="189"/>
      <c r="R39" s="189">
        <v>0</v>
      </c>
      <c r="S39" s="189"/>
      <c r="T39" s="189">
        <f t="shared" si="2"/>
        <v>1719682497</v>
      </c>
      <c r="U39" s="189"/>
      <c r="V39" s="205">
        <f>T39/درآمدها!$F$9</f>
        <v>-1.6629630270314844E-3</v>
      </c>
      <c r="W39" s="256"/>
      <c r="X39" s="102"/>
      <c r="Z39" s="194"/>
      <c r="AA39" s="203"/>
    </row>
    <row r="40" spans="2:27" ht="36" customHeight="1" x14ac:dyDescent="0.25">
      <c r="B40" s="175" t="s">
        <v>175</v>
      </c>
      <c r="C40" s="165"/>
      <c r="D40" s="189">
        <v>0</v>
      </c>
      <c r="E40" s="189"/>
      <c r="F40" s="189">
        <v>-3407455180</v>
      </c>
      <c r="G40" s="189"/>
      <c r="H40" s="189">
        <v>0</v>
      </c>
      <c r="I40" s="189"/>
      <c r="J40" s="189">
        <f t="shared" si="0"/>
        <v>-3407455180</v>
      </c>
      <c r="K40" s="189"/>
      <c r="L40" s="205">
        <f t="shared" si="1"/>
        <v>3.2950687062827692E-3</v>
      </c>
      <c r="M40" s="189"/>
      <c r="N40" s="189">
        <v>0</v>
      </c>
      <c r="O40" s="189"/>
      <c r="P40" s="189">
        <v>-3407455180</v>
      </c>
      <c r="Q40" s="189"/>
      <c r="R40" s="189">
        <v>0</v>
      </c>
      <c r="S40" s="189"/>
      <c r="T40" s="189">
        <f t="shared" si="2"/>
        <v>-3407455180</v>
      </c>
      <c r="U40" s="189"/>
      <c r="V40" s="205">
        <f>T40/درآمدها!$F$9</f>
        <v>3.2950687062827692E-3</v>
      </c>
      <c r="W40" s="256"/>
      <c r="X40" s="102"/>
      <c r="Z40" s="194"/>
      <c r="AA40" s="203"/>
    </row>
    <row r="41" spans="2:27" ht="36" customHeight="1" x14ac:dyDescent="0.25">
      <c r="B41" s="175" t="s">
        <v>194</v>
      </c>
      <c r="C41" s="165"/>
      <c r="D41" s="189">
        <v>0</v>
      </c>
      <c r="E41" s="189"/>
      <c r="F41" s="189">
        <v>-230702774</v>
      </c>
      <c r="G41" s="189"/>
      <c r="H41" s="189">
        <v>0</v>
      </c>
      <c r="I41" s="189"/>
      <c r="J41" s="189">
        <f t="shared" si="0"/>
        <v>-230702774</v>
      </c>
      <c r="K41" s="189"/>
      <c r="L41" s="205">
        <f t="shared" si="1"/>
        <v>2.230936141205608E-4</v>
      </c>
      <c r="M41" s="189"/>
      <c r="N41" s="189">
        <v>0</v>
      </c>
      <c r="O41" s="189"/>
      <c r="P41" s="189">
        <v>-230702774</v>
      </c>
      <c r="Q41" s="189"/>
      <c r="R41" s="189">
        <v>0</v>
      </c>
      <c r="S41" s="189"/>
      <c r="T41" s="189">
        <f t="shared" si="2"/>
        <v>-230702774</v>
      </c>
      <c r="U41" s="189"/>
      <c r="V41" s="205">
        <f>T41/درآمدها!$F$9</f>
        <v>2.230936141205608E-4</v>
      </c>
      <c r="W41" s="256"/>
      <c r="X41" s="102">
        <f>L41/$X$12</f>
        <v>-2.1573542354273418E-16</v>
      </c>
      <c r="Z41" s="194"/>
      <c r="AA41" s="203"/>
    </row>
    <row r="42" spans="2:27" ht="36" customHeight="1" x14ac:dyDescent="0.25">
      <c r="B42" s="175" t="s">
        <v>108</v>
      </c>
      <c r="C42" s="165"/>
      <c r="D42" s="189">
        <v>0</v>
      </c>
      <c r="E42" s="189"/>
      <c r="F42" s="189">
        <v>-1389178000</v>
      </c>
      <c r="G42" s="189"/>
      <c r="H42" s="189">
        <v>0</v>
      </c>
      <c r="I42" s="189"/>
      <c r="J42" s="189">
        <f t="shared" si="0"/>
        <v>-1389178000</v>
      </c>
      <c r="K42" s="189"/>
      <c r="L42" s="205">
        <f t="shared" si="1"/>
        <v>1.3433594026778907E-3</v>
      </c>
      <c r="M42" s="189"/>
      <c r="N42" s="189">
        <v>0</v>
      </c>
      <c r="O42" s="189"/>
      <c r="P42" s="189">
        <v>-1389178000</v>
      </c>
      <c r="Q42" s="189"/>
      <c r="R42" s="189">
        <v>0</v>
      </c>
      <c r="S42" s="189"/>
      <c r="T42" s="189">
        <f t="shared" si="2"/>
        <v>-1389178000</v>
      </c>
      <c r="U42" s="189"/>
      <c r="V42" s="205">
        <f>T42/درآمدها!$F$9</f>
        <v>1.3433594026778907E-3</v>
      </c>
      <c r="W42" s="256"/>
      <c r="X42" s="102"/>
      <c r="Z42" s="194"/>
      <c r="AA42" s="203"/>
    </row>
    <row r="43" spans="2:27" ht="36" customHeight="1" x14ac:dyDescent="0.25">
      <c r="B43" s="175" t="s">
        <v>200</v>
      </c>
      <c r="C43" s="165"/>
      <c r="D43" s="189">
        <v>0</v>
      </c>
      <c r="E43" s="189"/>
      <c r="F43" s="189">
        <v>200934674</v>
      </c>
      <c r="G43" s="189"/>
      <c r="H43" s="189">
        <v>0</v>
      </c>
      <c r="I43" s="189"/>
      <c r="J43" s="189">
        <f t="shared" si="0"/>
        <v>200934674</v>
      </c>
      <c r="K43" s="189"/>
      <c r="L43" s="205">
        <f t="shared" si="1"/>
        <v>-1.9430734120603457E-4</v>
      </c>
      <c r="M43" s="189"/>
      <c r="N43" s="189">
        <v>0</v>
      </c>
      <c r="O43" s="189"/>
      <c r="P43" s="189">
        <v>200934674</v>
      </c>
      <c r="Q43" s="189"/>
      <c r="R43" s="189">
        <v>0</v>
      </c>
      <c r="S43" s="189"/>
      <c r="T43" s="189">
        <f t="shared" si="2"/>
        <v>200934674</v>
      </c>
      <c r="U43" s="189"/>
      <c r="V43" s="205">
        <f>T43/درآمدها!$F$9</f>
        <v>-1.9430734120603457E-4</v>
      </c>
      <c r="W43" s="256"/>
      <c r="X43" s="102"/>
      <c r="Z43" s="194"/>
      <c r="AA43" s="203"/>
    </row>
    <row r="44" spans="2:27" ht="36" customHeight="1" x14ac:dyDescent="0.25">
      <c r="B44" s="175" t="s">
        <v>154</v>
      </c>
      <c r="C44" s="165"/>
      <c r="D44" s="189">
        <v>0</v>
      </c>
      <c r="E44" s="189"/>
      <c r="F44" s="189">
        <v>1547941199</v>
      </c>
      <c r="G44" s="189"/>
      <c r="H44" s="189">
        <v>0</v>
      </c>
      <c r="I44" s="189"/>
      <c r="J44" s="189">
        <f t="shared" si="0"/>
        <v>1547941199</v>
      </c>
      <c r="K44" s="189"/>
      <c r="L44" s="205">
        <f t="shared" si="1"/>
        <v>-1.4968861905883465E-3</v>
      </c>
      <c r="M44" s="189"/>
      <c r="N44" s="189">
        <v>0</v>
      </c>
      <c r="O44" s="189"/>
      <c r="P44" s="189">
        <v>1547941199</v>
      </c>
      <c r="Q44" s="189"/>
      <c r="R44" s="189">
        <v>0</v>
      </c>
      <c r="S44" s="189">
        <v>8613312174</v>
      </c>
      <c r="T44" s="189">
        <f t="shared" si="2"/>
        <v>1547941199</v>
      </c>
      <c r="U44" s="189">
        <v>-5155830312</v>
      </c>
      <c r="V44" s="205">
        <f>T44/درآمدها!$F$9</f>
        <v>-1.4968861905883465E-3</v>
      </c>
      <c r="W44" s="256"/>
      <c r="X44" s="102"/>
      <c r="Z44" s="194"/>
      <c r="AA44" s="203"/>
    </row>
    <row r="45" spans="2:27" ht="36" customHeight="1" x14ac:dyDescent="0.25">
      <c r="B45" s="175" t="s">
        <v>165</v>
      </c>
      <c r="C45" s="165"/>
      <c r="D45" s="206">
        <f>SUM(D11:D44)</f>
        <v>394729371</v>
      </c>
      <c r="E45" s="188"/>
      <c r="F45" s="206">
        <f>SUM(F11:F44)</f>
        <v>-247315749916</v>
      </c>
      <c r="G45" s="207"/>
      <c r="H45" s="206">
        <f>SUM(H11:H44)</f>
        <v>-7290214663</v>
      </c>
      <c r="I45" s="207"/>
      <c r="J45" s="206">
        <f>SUM(J11:J44)</f>
        <v>-254211235208</v>
      </c>
      <c r="K45" s="207"/>
      <c r="L45" s="229">
        <f>SUM(L11:L44)</f>
        <v>0.24582670693246483</v>
      </c>
      <c r="M45" s="207"/>
      <c r="N45" s="206">
        <f>SUM(N11:N44)</f>
        <v>734045059</v>
      </c>
      <c r="O45" s="207"/>
      <c r="P45" s="206">
        <f>SUM(P11:P44)</f>
        <v>-247660539416</v>
      </c>
      <c r="Q45" s="207"/>
      <c r="R45" s="206">
        <f>SUM(R11:R44)</f>
        <v>-7290273500</v>
      </c>
      <c r="S45" s="207"/>
      <c r="T45" s="206">
        <f>SUM(T11:T44)</f>
        <v>-254216767857</v>
      </c>
      <c r="U45" s="189"/>
      <c r="V45" s="120">
        <f>SUM(V11:V44)</f>
        <v>0.24583205710073408</v>
      </c>
      <c r="W45" s="256"/>
      <c r="X45" s="102"/>
      <c r="Z45" s="194"/>
      <c r="AA45" s="203"/>
    </row>
    <row r="46" spans="2:27" ht="22.5" customHeight="1" x14ac:dyDescent="0.25">
      <c r="B46" s="175"/>
      <c r="C46" s="165"/>
      <c r="D46" s="190"/>
      <c r="E46" s="188"/>
      <c r="F46" s="189"/>
      <c r="G46" s="189"/>
      <c r="H46" s="189"/>
      <c r="I46" s="189"/>
      <c r="J46" s="189"/>
      <c r="K46" s="189"/>
      <c r="L46" s="205"/>
      <c r="M46" s="189"/>
      <c r="N46" s="189"/>
      <c r="O46" s="189"/>
      <c r="P46" s="189"/>
      <c r="Q46" s="189"/>
      <c r="R46" s="189"/>
      <c r="S46" s="189"/>
      <c r="T46" s="189"/>
      <c r="U46" s="189"/>
      <c r="V46" s="205"/>
      <c r="W46" s="256"/>
      <c r="X46" s="102"/>
      <c r="Z46" s="194"/>
      <c r="AA46" s="203"/>
    </row>
    <row r="47" spans="2:27" ht="36" customHeight="1" x14ac:dyDescent="0.25">
      <c r="B47" s="409" t="s">
        <v>136</v>
      </c>
      <c r="C47" s="409"/>
      <c r="D47" s="409"/>
      <c r="E47" s="409"/>
      <c r="F47" s="409"/>
      <c r="G47" s="409"/>
      <c r="H47" s="409"/>
      <c r="I47" s="409"/>
      <c r="J47" s="409"/>
      <c r="K47" s="409"/>
      <c r="L47" s="409"/>
      <c r="M47" s="409"/>
      <c r="N47" s="409"/>
      <c r="O47" s="409"/>
      <c r="P47" s="409"/>
      <c r="Q47" s="409"/>
      <c r="R47" s="409"/>
      <c r="S47" s="409"/>
      <c r="T47" s="409"/>
      <c r="U47" s="409"/>
      <c r="V47" s="409"/>
      <c r="W47" s="256"/>
      <c r="X47" s="102"/>
      <c r="Z47" s="194"/>
      <c r="AA47" s="203"/>
    </row>
    <row r="48" spans="2:27" ht="11.25" customHeight="1" x14ac:dyDescent="0.25">
      <c r="W48" s="256"/>
      <c r="X48" s="102"/>
      <c r="Z48" s="194"/>
      <c r="AA48" s="203"/>
    </row>
    <row r="49" spans="2:27" ht="36" customHeight="1" thickBot="1" x14ac:dyDescent="0.3">
      <c r="B49" s="263"/>
      <c r="C49" s="201"/>
      <c r="D49" s="402" t="str">
        <f>D7</f>
        <v>طی اردیبهشت ماه</v>
      </c>
      <c r="E49" s="402"/>
      <c r="F49" s="402"/>
      <c r="G49" s="402"/>
      <c r="H49" s="402"/>
      <c r="I49" s="402"/>
      <c r="J49" s="402"/>
      <c r="K49" s="201"/>
      <c r="L49" s="201"/>
      <c r="M49" s="201"/>
      <c r="N49" s="402" t="str">
        <f>N7</f>
        <v>از ابتدای سال مالی تا پایان اردیبهشت ماه</v>
      </c>
      <c r="O49" s="402"/>
      <c r="P49" s="402"/>
      <c r="Q49" s="402"/>
      <c r="R49" s="402"/>
      <c r="S49" s="402"/>
      <c r="T49" s="402"/>
      <c r="U49" s="402"/>
      <c r="V49" s="402"/>
      <c r="W49" s="256"/>
      <c r="X49" s="102"/>
      <c r="Z49" s="194"/>
      <c r="AA49" s="203"/>
    </row>
    <row r="50" spans="2:27" ht="36" customHeight="1" x14ac:dyDescent="0.25">
      <c r="B50" s="403" t="s">
        <v>35</v>
      </c>
      <c r="C50" s="403"/>
      <c r="D50" s="407" t="s">
        <v>21</v>
      </c>
      <c r="E50" s="403"/>
      <c r="F50" s="407" t="s">
        <v>22</v>
      </c>
      <c r="G50" s="403"/>
      <c r="H50" s="407" t="s">
        <v>23</v>
      </c>
      <c r="I50" s="403"/>
      <c r="J50" s="405" t="s">
        <v>7</v>
      </c>
      <c r="K50" s="405"/>
      <c r="L50" s="405"/>
      <c r="M50" s="403"/>
      <c r="N50" s="408" t="s">
        <v>21</v>
      </c>
      <c r="O50" s="410"/>
      <c r="P50" s="408" t="s">
        <v>22</v>
      </c>
      <c r="Q50" s="410"/>
      <c r="R50" s="408" t="s">
        <v>23</v>
      </c>
      <c r="S50" s="410"/>
      <c r="T50" s="405" t="s">
        <v>7</v>
      </c>
      <c r="U50" s="405"/>
      <c r="V50" s="405"/>
      <c r="W50" s="256"/>
      <c r="X50" s="102"/>
      <c r="Z50" s="194"/>
      <c r="AA50" s="203"/>
    </row>
    <row r="51" spans="2:27" ht="36" customHeight="1" thickBot="1" x14ac:dyDescent="0.3">
      <c r="B51" s="403"/>
      <c r="C51" s="403"/>
      <c r="D51" s="407"/>
      <c r="E51" s="403"/>
      <c r="F51" s="407"/>
      <c r="G51" s="403"/>
      <c r="H51" s="407"/>
      <c r="I51" s="403"/>
      <c r="J51" s="402"/>
      <c r="K51" s="402"/>
      <c r="L51" s="402"/>
      <c r="M51" s="403"/>
      <c r="N51" s="407"/>
      <c r="O51" s="403"/>
      <c r="P51" s="407"/>
      <c r="Q51" s="403"/>
      <c r="R51" s="407"/>
      <c r="S51" s="403"/>
      <c r="T51" s="402"/>
      <c r="U51" s="402"/>
      <c r="V51" s="402"/>
      <c r="W51" s="256"/>
      <c r="X51" s="102"/>
      <c r="Z51" s="194"/>
      <c r="AA51" s="203"/>
    </row>
    <row r="52" spans="2:27" ht="49.5" customHeight="1" thickBot="1" x14ac:dyDescent="0.3">
      <c r="B52" s="404"/>
      <c r="C52" s="403"/>
      <c r="D52" s="88" t="s">
        <v>90</v>
      </c>
      <c r="E52" s="403"/>
      <c r="F52" s="88" t="s">
        <v>91</v>
      </c>
      <c r="G52" s="403"/>
      <c r="H52" s="88" t="s">
        <v>92</v>
      </c>
      <c r="I52" s="403"/>
      <c r="J52" s="103" t="s">
        <v>11</v>
      </c>
      <c r="K52" s="103"/>
      <c r="L52" s="103" t="s">
        <v>24</v>
      </c>
      <c r="M52" s="403"/>
      <c r="N52" s="88" t="s">
        <v>90</v>
      </c>
      <c r="O52" s="403"/>
      <c r="P52" s="88" t="s">
        <v>91</v>
      </c>
      <c r="Q52" s="403"/>
      <c r="R52" s="88" t="s">
        <v>92</v>
      </c>
      <c r="S52" s="403"/>
      <c r="T52" s="103" t="s">
        <v>11</v>
      </c>
      <c r="U52" s="103"/>
      <c r="V52" s="103" t="s">
        <v>24</v>
      </c>
      <c r="W52" s="256"/>
      <c r="X52" s="102"/>
      <c r="Z52" s="194"/>
      <c r="AA52" s="203"/>
    </row>
    <row r="53" spans="2:27" ht="36" customHeight="1" x14ac:dyDescent="0.25">
      <c r="B53" s="191" t="s">
        <v>166</v>
      </c>
      <c r="C53" s="191"/>
      <c r="D53" s="189">
        <f>D45</f>
        <v>394729371</v>
      </c>
      <c r="E53" s="191"/>
      <c r="F53" s="189">
        <f>F45</f>
        <v>-247315749916</v>
      </c>
      <c r="G53" s="189"/>
      <c r="H53" s="189">
        <f>H45</f>
        <v>-7290214663</v>
      </c>
      <c r="I53" s="189"/>
      <c r="J53" s="189">
        <f>D53+F53+H53</f>
        <v>-254211235208</v>
      </c>
      <c r="K53" s="189"/>
      <c r="L53" s="205">
        <f>L45</f>
        <v>0.24582670693246483</v>
      </c>
      <c r="M53" s="189"/>
      <c r="N53" s="189">
        <f>N45</f>
        <v>734045059</v>
      </c>
      <c r="O53" s="189"/>
      <c r="P53" s="189">
        <f>P45</f>
        <v>-247660539416</v>
      </c>
      <c r="Q53" s="189"/>
      <c r="R53" s="189">
        <f>R45</f>
        <v>-7290273500</v>
      </c>
      <c r="S53" s="189"/>
      <c r="T53" s="189">
        <f>N53+P53+R53</f>
        <v>-254216767857</v>
      </c>
      <c r="U53" s="105"/>
      <c r="V53" s="106">
        <f>V45</f>
        <v>0.24583205710073408</v>
      </c>
      <c r="W53" s="256"/>
      <c r="X53" s="102"/>
      <c r="Z53" s="194"/>
      <c r="AA53" s="203"/>
    </row>
    <row r="54" spans="2:27" ht="36" customHeight="1" x14ac:dyDescent="0.25">
      <c r="B54" s="175" t="s">
        <v>152</v>
      </c>
      <c r="C54" s="175"/>
      <c r="D54" s="190">
        <v>0</v>
      </c>
      <c r="E54" s="188"/>
      <c r="F54" s="189">
        <v>4445369599</v>
      </c>
      <c r="G54" s="189"/>
      <c r="H54" s="189">
        <v>0</v>
      </c>
      <c r="I54" s="189"/>
      <c r="J54" s="189">
        <f t="shared" ref="J54:J76" si="3">D54+F54+H54</f>
        <v>4445369599</v>
      </c>
      <c r="K54" s="189"/>
      <c r="L54" s="205">
        <f t="shared" ref="L54:L76" si="4">J54/$X$12</f>
        <v>-4.2987500876022324E-3</v>
      </c>
      <c r="M54" s="189"/>
      <c r="N54" s="189">
        <v>0</v>
      </c>
      <c r="O54" s="189"/>
      <c r="P54" s="189">
        <v>4445369599</v>
      </c>
      <c r="Q54" s="189"/>
      <c r="R54" s="189">
        <v>0</v>
      </c>
      <c r="S54" s="189">
        <v>2132299511</v>
      </c>
      <c r="T54" s="189">
        <f t="shared" ref="T54:T76" si="5">N54+P54+R54</f>
        <v>4445369599</v>
      </c>
      <c r="U54" s="189">
        <v>-5155830311</v>
      </c>
      <c r="V54" s="205">
        <f>T54/درآمدها!$F$9</f>
        <v>-4.2987500876022324E-3</v>
      </c>
      <c r="W54" s="256"/>
      <c r="X54" s="102"/>
      <c r="Z54" s="194"/>
      <c r="AA54" s="203"/>
    </row>
    <row r="55" spans="2:27" ht="36" customHeight="1" x14ac:dyDescent="0.25">
      <c r="B55" s="175" t="s">
        <v>109</v>
      </c>
      <c r="C55" s="175"/>
      <c r="D55" s="190">
        <v>0</v>
      </c>
      <c r="E55" s="188"/>
      <c r="F55" s="189">
        <v>257990</v>
      </c>
      <c r="G55" s="189"/>
      <c r="H55" s="189">
        <v>0</v>
      </c>
      <c r="I55" s="189"/>
      <c r="J55" s="189">
        <f t="shared" si="3"/>
        <v>257990</v>
      </c>
      <c r="K55" s="189"/>
      <c r="L55" s="205">
        <f t="shared" si="4"/>
        <v>-2.4948083852239889E-7</v>
      </c>
      <c r="M55" s="189"/>
      <c r="N55" s="189">
        <v>0</v>
      </c>
      <c r="O55" s="189"/>
      <c r="P55" s="189">
        <v>257990</v>
      </c>
      <c r="Q55" s="189"/>
      <c r="R55" s="189">
        <v>0</v>
      </c>
      <c r="S55" s="189">
        <v>1644814375</v>
      </c>
      <c r="T55" s="189">
        <f t="shared" si="5"/>
        <v>257990</v>
      </c>
      <c r="U55" s="189">
        <v>-5155830310</v>
      </c>
      <c r="V55" s="205">
        <f>T55/درآمدها!$F$9</f>
        <v>-2.4948083852239889E-7</v>
      </c>
      <c r="W55" s="256"/>
      <c r="X55" s="102"/>
      <c r="Z55" s="194"/>
      <c r="AA55" s="203"/>
    </row>
    <row r="56" spans="2:27" ht="36" customHeight="1" x14ac:dyDescent="0.25">
      <c r="B56" s="175" t="s">
        <v>134</v>
      </c>
      <c r="C56" s="175"/>
      <c r="D56" s="190">
        <v>0</v>
      </c>
      <c r="E56" s="188"/>
      <c r="F56" s="189">
        <v>-1786086000</v>
      </c>
      <c r="G56" s="189"/>
      <c r="H56" s="189">
        <v>0</v>
      </c>
      <c r="I56" s="189"/>
      <c r="J56" s="189">
        <f t="shared" si="3"/>
        <v>-1786086000</v>
      </c>
      <c r="K56" s="189"/>
      <c r="L56" s="205">
        <f t="shared" si="4"/>
        <v>1.7271763748715739E-3</v>
      </c>
      <c r="M56" s="189"/>
      <c r="N56" s="189">
        <v>0</v>
      </c>
      <c r="O56" s="189"/>
      <c r="P56" s="189">
        <v>-1786086000</v>
      </c>
      <c r="Q56" s="189"/>
      <c r="R56" s="189">
        <v>0</v>
      </c>
      <c r="S56" s="189">
        <v>-8875524087</v>
      </c>
      <c r="T56" s="189">
        <f t="shared" si="5"/>
        <v>-1786086000</v>
      </c>
      <c r="U56" s="189">
        <v>-803317139</v>
      </c>
      <c r="V56" s="205">
        <f>T56/درآمدها!$F$9</f>
        <v>1.7271763748715739E-3</v>
      </c>
      <c r="W56" s="256"/>
      <c r="X56" s="102"/>
      <c r="Z56" s="194"/>
      <c r="AA56" s="203"/>
    </row>
    <row r="57" spans="2:27" ht="36" customHeight="1" x14ac:dyDescent="0.45">
      <c r="B57" s="175" t="s">
        <v>119</v>
      </c>
      <c r="C57" s="175"/>
      <c r="D57" s="190">
        <v>0</v>
      </c>
      <c r="E57" s="188"/>
      <c r="F57" s="189">
        <v>-161700319200</v>
      </c>
      <c r="G57" s="189"/>
      <c r="H57" s="189">
        <v>0</v>
      </c>
      <c r="I57" s="189"/>
      <c r="J57" s="189">
        <f t="shared" si="3"/>
        <v>-161700319200</v>
      </c>
      <c r="K57" s="189"/>
      <c r="L57" s="205">
        <f t="shared" si="4"/>
        <v>0.15636703447170647</v>
      </c>
      <c r="M57" s="189"/>
      <c r="N57" s="189">
        <v>0</v>
      </c>
      <c r="O57" s="189"/>
      <c r="P57" s="189">
        <v>-161700319200</v>
      </c>
      <c r="Q57" s="189"/>
      <c r="R57" s="189">
        <v>0</v>
      </c>
      <c r="S57" s="189">
        <v>1487118809</v>
      </c>
      <c r="T57" s="189">
        <f t="shared" si="5"/>
        <v>-161700319200</v>
      </c>
      <c r="U57" s="189">
        <v>-38274340413</v>
      </c>
      <c r="V57" s="205">
        <f>T57/درآمدها!$F$9</f>
        <v>0.15636703447170647</v>
      </c>
      <c r="W57" s="256"/>
      <c r="X57" s="264"/>
      <c r="Z57" s="194"/>
      <c r="AA57" s="203"/>
    </row>
    <row r="58" spans="2:27" ht="36" customHeight="1" x14ac:dyDescent="0.25">
      <c r="B58" s="175" t="s">
        <v>123</v>
      </c>
      <c r="C58" s="175"/>
      <c r="D58" s="190">
        <v>0</v>
      </c>
      <c r="E58" s="188"/>
      <c r="F58" s="189">
        <v>-64322910480</v>
      </c>
      <c r="G58" s="189"/>
      <c r="H58" s="189">
        <v>0</v>
      </c>
      <c r="I58" s="189"/>
      <c r="J58" s="189">
        <f t="shared" si="3"/>
        <v>-64322910480</v>
      </c>
      <c r="K58" s="189"/>
      <c r="L58" s="205">
        <f t="shared" si="4"/>
        <v>6.2201378513708279E-2</v>
      </c>
      <c r="M58" s="189"/>
      <c r="N58" s="189">
        <v>0</v>
      </c>
      <c r="O58" s="189"/>
      <c r="P58" s="189">
        <v>-64322910480</v>
      </c>
      <c r="Q58" s="189"/>
      <c r="R58" s="189">
        <v>0</v>
      </c>
      <c r="S58" s="189">
        <v>3859275341</v>
      </c>
      <c r="T58" s="189">
        <f t="shared" si="5"/>
        <v>-64322910480</v>
      </c>
      <c r="U58" s="189">
        <v>8687840</v>
      </c>
      <c r="V58" s="205">
        <f>T58/درآمدها!$F$9</f>
        <v>6.2201378513708279E-2</v>
      </c>
      <c r="W58" s="256"/>
      <c r="X58" s="102"/>
      <c r="Z58" s="194"/>
      <c r="AA58" s="203"/>
    </row>
    <row r="59" spans="2:27" ht="36" customHeight="1" x14ac:dyDescent="0.25">
      <c r="B59" s="175" t="s">
        <v>132</v>
      </c>
      <c r="C59" s="175"/>
      <c r="D59" s="190">
        <v>0</v>
      </c>
      <c r="E59" s="188"/>
      <c r="F59" s="189">
        <v>-73725661000</v>
      </c>
      <c r="G59" s="189"/>
      <c r="H59" s="189">
        <v>0</v>
      </c>
      <c r="I59" s="189"/>
      <c r="J59" s="189">
        <f t="shared" si="3"/>
        <v>-73725661000</v>
      </c>
      <c r="K59" s="189"/>
      <c r="L59" s="205">
        <f t="shared" si="4"/>
        <v>7.1294002584976632E-2</v>
      </c>
      <c r="M59" s="189"/>
      <c r="N59" s="189">
        <v>0</v>
      </c>
      <c r="O59" s="189"/>
      <c r="P59" s="189">
        <v>-73725661000</v>
      </c>
      <c r="Q59" s="189"/>
      <c r="R59" s="189">
        <v>0</v>
      </c>
      <c r="S59" s="189">
        <v>1937265303</v>
      </c>
      <c r="T59" s="189">
        <f t="shared" si="5"/>
        <v>-73725661000</v>
      </c>
      <c r="U59" s="189">
        <v>-3013924119</v>
      </c>
      <c r="V59" s="205">
        <f>T59/درآمدها!$F$9</f>
        <v>7.1294002584976632E-2</v>
      </c>
      <c r="W59" s="256"/>
      <c r="X59" s="102"/>
      <c r="Z59" s="194"/>
      <c r="AA59" s="203"/>
    </row>
    <row r="60" spans="2:27" ht="36" customHeight="1" x14ac:dyDescent="0.25">
      <c r="B60" s="175" t="s">
        <v>117</v>
      </c>
      <c r="C60" s="175"/>
      <c r="D60" s="189">
        <v>0</v>
      </c>
      <c r="E60" s="188"/>
      <c r="F60" s="189">
        <v>-27148507200</v>
      </c>
      <c r="G60" s="189"/>
      <c r="H60" s="189">
        <v>0</v>
      </c>
      <c r="I60" s="189"/>
      <c r="J60" s="189">
        <f t="shared" si="3"/>
        <v>-27148507200</v>
      </c>
      <c r="K60" s="189"/>
      <c r="L60" s="205">
        <f t="shared" si="4"/>
        <v>2.6253080898047922E-2</v>
      </c>
      <c r="M60" s="189"/>
      <c r="N60" s="189">
        <v>0</v>
      </c>
      <c r="O60" s="189"/>
      <c r="P60" s="189">
        <v>-27148507200</v>
      </c>
      <c r="Q60" s="189"/>
      <c r="R60" s="189">
        <v>0</v>
      </c>
      <c r="S60" s="189">
        <v>1212931406</v>
      </c>
      <c r="T60" s="189">
        <f t="shared" si="5"/>
        <v>-27148507200</v>
      </c>
      <c r="U60" s="189">
        <v>-5189228345</v>
      </c>
      <c r="V60" s="205">
        <f>T60/درآمدها!$F$9</f>
        <v>2.6253080898047922E-2</v>
      </c>
      <c r="W60" s="256"/>
      <c r="X60" s="102"/>
      <c r="Z60" s="194"/>
      <c r="AA60" s="203"/>
    </row>
    <row r="61" spans="2:27" ht="36" customHeight="1" x14ac:dyDescent="0.25">
      <c r="B61" s="175" t="s">
        <v>133</v>
      </c>
      <c r="C61" s="175"/>
      <c r="D61" s="190">
        <v>0</v>
      </c>
      <c r="E61" s="188"/>
      <c r="F61" s="189">
        <v>305610</v>
      </c>
      <c r="G61" s="189"/>
      <c r="H61" s="189">
        <v>0</v>
      </c>
      <c r="I61" s="189"/>
      <c r="J61" s="189">
        <f t="shared" si="3"/>
        <v>305610</v>
      </c>
      <c r="K61" s="189"/>
      <c r="L61" s="205">
        <f t="shared" si="4"/>
        <v>-2.9553021070905972E-7</v>
      </c>
      <c r="M61" s="189"/>
      <c r="N61" s="189">
        <v>0</v>
      </c>
      <c r="O61" s="189"/>
      <c r="P61" s="189">
        <v>305619</v>
      </c>
      <c r="Q61" s="189"/>
      <c r="R61" s="189">
        <v>0</v>
      </c>
      <c r="S61" s="189">
        <v>6910941668</v>
      </c>
      <c r="T61" s="189">
        <f t="shared" si="5"/>
        <v>305619</v>
      </c>
      <c r="U61" s="189">
        <v>3261876929</v>
      </c>
      <c r="V61" s="205">
        <f>T61/درآمدها!$F$9</f>
        <v>-2.9553891386633988E-7</v>
      </c>
      <c r="W61" s="256"/>
      <c r="X61" s="102"/>
      <c r="Z61" s="194"/>
      <c r="AA61" s="203"/>
    </row>
    <row r="62" spans="2:27" ht="36" customHeight="1" x14ac:dyDescent="0.25">
      <c r="B62" s="175" t="s">
        <v>140</v>
      </c>
      <c r="C62" s="175"/>
      <c r="D62" s="190">
        <v>0</v>
      </c>
      <c r="E62" s="188"/>
      <c r="F62" s="189">
        <v>-108469002780</v>
      </c>
      <c r="G62" s="189"/>
      <c r="H62" s="189">
        <v>0</v>
      </c>
      <c r="I62" s="189"/>
      <c r="J62" s="189">
        <f t="shared" si="3"/>
        <v>-108469002780</v>
      </c>
      <c r="K62" s="189"/>
      <c r="L62" s="205">
        <f t="shared" si="4"/>
        <v>0.10489142124595068</v>
      </c>
      <c r="M62" s="189"/>
      <c r="N62" s="189">
        <v>0</v>
      </c>
      <c r="O62" s="189"/>
      <c r="P62" s="189">
        <v>-108469002780</v>
      </c>
      <c r="Q62" s="189"/>
      <c r="R62" s="189">
        <v>0</v>
      </c>
      <c r="S62" s="189">
        <v>151419925</v>
      </c>
      <c r="T62" s="189">
        <f t="shared" si="5"/>
        <v>-108469002780</v>
      </c>
      <c r="U62" s="189">
        <v>2910175062</v>
      </c>
      <c r="V62" s="205">
        <f>T62/درآمدها!$F$9</f>
        <v>0.10489142124595068</v>
      </c>
      <c r="W62" s="256"/>
      <c r="X62" s="102"/>
      <c r="Z62" s="194"/>
      <c r="AA62" s="203"/>
    </row>
    <row r="63" spans="2:27" ht="36" customHeight="1" x14ac:dyDescent="0.25">
      <c r="B63" s="175" t="s">
        <v>120</v>
      </c>
      <c r="C63" s="175"/>
      <c r="D63" s="190">
        <v>0</v>
      </c>
      <c r="E63" s="188"/>
      <c r="F63" s="189">
        <v>-416753400000</v>
      </c>
      <c r="G63" s="189"/>
      <c r="H63" s="189">
        <v>0</v>
      </c>
      <c r="I63" s="189"/>
      <c r="J63" s="189">
        <f t="shared" si="3"/>
        <v>-416753400000</v>
      </c>
      <c r="K63" s="189"/>
      <c r="L63" s="205">
        <f t="shared" si="4"/>
        <v>0.40300782080336722</v>
      </c>
      <c r="M63" s="189"/>
      <c r="N63" s="189">
        <v>0</v>
      </c>
      <c r="O63" s="189"/>
      <c r="P63" s="189">
        <v>-416753400000</v>
      </c>
      <c r="Q63" s="189"/>
      <c r="R63" s="189">
        <v>0</v>
      </c>
      <c r="S63" s="189">
        <v>31387040</v>
      </c>
      <c r="T63" s="189">
        <f t="shared" si="5"/>
        <v>-416753400000</v>
      </c>
      <c r="U63" s="189">
        <v>1401330331</v>
      </c>
      <c r="V63" s="205">
        <f>T63/درآمدها!$F$9-1</f>
        <v>-0.59699217919663283</v>
      </c>
      <c r="W63" s="256"/>
      <c r="X63" s="102"/>
      <c r="Z63" s="194"/>
      <c r="AA63" s="203"/>
    </row>
    <row r="64" spans="2:27" ht="36" customHeight="1" x14ac:dyDescent="0.25">
      <c r="B64" s="175" t="s">
        <v>151</v>
      </c>
      <c r="C64" s="175"/>
      <c r="D64" s="190">
        <v>0</v>
      </c>
      <c r="E64" s="188"/>
      <c r="F64" s="189">
        <v>-27731961</v>
      </c>
      <c r="G64" s="189"/>
      <c r="H64" s="189">
        <v>0</v>
      </c>
      <c r="I64" s="189"/>
      <c r="J64" s="189">
        <f t="shared" si="3"/>
        <v>-27731961</v>
      </c>
      <c r="K64" s="189"/>
      <c r="L64" s="205">
        <f t="shared" si="4"/>
        <v>2.681729091883586E-5</v>
      </c>
      <c r="M64" s="189"/>
      <c r="N64" s="189">
        <v>0</v>
      </c>
      <c r="O64" s="189"/>
      <c r="P64" s="189">
        <v>-27731961</v>
      </c>
      <c r="Q64" s="189"/>
      <c r="R64" s="189">
        <v>0</v>
      </c>
      <c r="S64" s="189">
        <v>1762590900</v>
      </c>
      <c r="T64" s="189">
        <f t="shared" si="5"/>
        <v>-27731961</v>
      </c>
      <c r="U64" s="189">
        <v>-160980321</v>
      </c>
      <c r="V64" s="205">
        <f>T64/درآمدها!$F$9</f>
        <v>2.681729091883586E-5</v>
      </c>
      <c r="W64" s="256"/>
      <c r="X64" s="102"/>
      <c r="Z64" s="194"/>
      <c r="AA64" s="203"/>
    </row>
    <row r="65" spans="2:31" ht="36" customHeight="1" x14ac:dyDescent="0.25">
      <c r="B65" s="175" t="s">
        <v>135</v>
      </c>
      <c r="C65" s="175"/>
      <c r="D65" s="190">
        <v>0</v>
      </c>
      <c r="E65" s="188"/>
      <c r="F65" s="189">
        <v>-9922</v>
      </c>
      <c r="G65" s="189"/>
      <c r="H65" s="189">
        <v>0</v>
      </c>
      <c r="I65" s="189"/>
      <c r="J65" s="189">
        <f t="shared" si="3"/>
        <v>-9922</v>
      </c>
      <c r="K65" s="189"/>
      <c r="L65" s="205">
        <f t="shared" si="4"/>
        <v>9.5947473926091774E-9</v>
      </c>
      <c r="M65" s="189"/>
      <c r="N65" s="189">
        <v>0</v>
      </c>
      <c r="O65" s="189"/>
      <c r="P65" s="189">
        <v>-9922</v>
      </c>
      <c r="Q65" s="189"/>
      <c r="R65" s="189">
        <v>0</v>
      </c>
      <c r="S65" s="189">
        <v>2476602308</v>
      </c>
      <c r="T65" s="189">
        <f t="shared" si="5"/>
        <v>-9922</v>
      </c>
      <c r="U65" s="189">
        <v>-12553533323</v>
      </c>
      <c r="V65" s="205">
        <f>T65/درآمدها!$F$9</f>
        <v>9.5947473926091774E-9</v>
      </c>
      <c r="W65" s="256"/>
      <c r="X65" s="102"/>
      <c r="Z65" s="194"/>
      <c r="AA65" s="203"/>
    </row>
    <row r="66" spans="2:31" ht="36" customHeight="1" x14ac:dyDescent="0.25">
      <c r="B66" s="175" t="s">
        <v>113</v>
      </c>
      <c r="C66" s="175"/>
      <c r="D66" s="190">
        <v>0</v>
      </c>
      <c r="E66" s="188"/>
      <c r="F66" s="189">
        <v>0</v>
      </c>
      <c r="G66" s="189"/>
      <c r="H66" s="189">
        <v>0</v>
      </c>
      <c r="I66" s="189"/>
      <c r="J66" s="189">
        <f t="shared" si="3"/>
        <v>0</v>
      </c>
      <c r="K66" s="189"/>
      <c r="L66" s="205">
        <f t="shared" si="4"/>
        <v>0</v>
      </c>
      <c r="M66" s="189"/>
      <c r="N66" s="189">
        <v>0</v>
      </c>
      <c r="O66" s="189"/>
      <c r="P66" s="189">
        <v>0</v>
      </c>
      <c r="Q66" s="189"/>
      <c r="R66" s="189">
        <v>0</v>
      </c>
      <c r="S66" s="189">
        <v>9867221407</v>
      </c>
      <c r="T66" s="189">
        <f t="shared" si="5"/>
        <v>0</v>
      </c>
      <c r="U66" s="189">
        <v>-6135872031</v>
      </c>
      <c r="V66" s="205">
        <f>T66/درآمدها!$F$9</f>
        <v>0</v>
      </c>
      <c r="W66" s="256"/>
      <c r="X66" s="102"/>
      <c r="Z66" s="194"/>
      <c r="AA66" s="203"/>
      <c r="AD66" s="185"/>
    </row>
    <row r="67" spans="2:31" ht="36" customHeight="1" x14ac:dyDescent="0.25">
      <c r="B67" s="175" t="s">
        <v>182</v>
      </c>
      <c r="C67" s="175"/>
      <c r="D67" s="190">
        <v>0</v>
      </c>
      <c r="E67" s="188"/>
      <c r="F67" s="189">
        <v>-94885818</v>
      </c>
      <c r="G67" s="189"/>
      <c r="H67" s="189">
        <v>0</v>
      </c>
      <c r="I67" s="189"/>
      <c r="J67" s="189">
        <f t="shared" si="3"/>
        <v>-94885818</v>
      </c>
      <c r="K67" s="189"/>
      <c r="L67" s="205">
        <f t="shared" si="4"/>
        <v>9.1756244189789246E-5</v>
      </c>
      <c r="M67" s="189"/>
      <c r="N67" s="255">
        <v>0</v>
      </c>
      <c r="O67" s="189"/>
      <c r="P67" s="189">
        <v>-94885818</v>
      </c>
      <c r="Q67" s="189"/>
      <c r="R67" s="146">
        <v>0</v>
      </c>
      <c r="S67" s="189">
        <v>-2831281270</v>
      </c>
      <c r="T67" s="189">
        <f t="shared" si="5"/>
        <v>-94885818</v>
      </c>
      <c r="U67" s="189">
        <v>-650042212</v>
      </c>
      <c r="V67" s="205">
        <f>T67/درآمدها!$F$9</f>
        <v>9.1756244189789246E-5</v>
      </c>
      <c r="W67" s="256"/>
      <c r="X67" s="102"/>
      <c r="Z67" s="194"/>
      <c r="AA67" s="203"/>
      <c r="AD67" s="185"/>
    </row>
    <row r="68" spans="2:31" ht="36" customHeight="1" x14ac:dyDescent="0.25">
      <c r="B68" s="175" t="s">
        <v>127</v>
      </c>
      <c r="C68" s="175"/>
      <c r="D68" s="190">
        <v>0</v>
      </c>
      <c r="E68" s="188"/>
      <c r="F68" s="189">
        <v>69419209199</v>
      </c>
      <c r="G68" s="189"/>
      <c r="H68" s="189">
        <v>0</v>
      </c>
      <c r="I68" s="189"/>
      <c r="J68" s="189">
        <f t="shared" si="3"/>
        <v>69419209199</v>
      </c>
      <c r="K68" s="189"/>
      <c r="L68" s="205">
        <f t="shared" si="4"/>
        <v>-6.7129588435708154E-2</v>
      </c>
      <c r="M68" s="189"/>
      <c r="N68" s="189">
        <v>0</v>
      </c>
      <c r="O68" s="189"/>
      <c r="P68" s="189">
        <v>69419209190</v>
      </c>
      <c r="Q68" s="189"/>
      <c r="R68" s="189">
        <v>0</v>
      </c>
      <c r="S68" s="189">
        <v>2810738818</v>
      </c>
      <c r="T68" s="189">
        <f t="shared" si="5"/>
        <v>69419209190</v>
      </c>
      <c r="U68" s="189">
        <v>298767031</v>
      </c>
      <c r="V68" s="205">
        <f>T68/درآمدها!$F$9</f>
        <v>-6.7129588427004991E-2</v>
      </c>
      <c r="W68" s="256"/>
      <c r="X68" s="102"/>
      <c r="Z68" s="194"/>
      <c r="AA68" s="203"/>
      <c r="AD68" s="185"/>
    </row>
    <row r="69" spans="2:31" ht="36" customHeight="1" x14ac:dyDescent="0.25">
      <c r="B69" s="175" t="s">
        <v>148</v>
      </c>
      <c r="C69" s="175"/>
      <c r="D69" s="190">
        <v>0</v>
      </c>
      <c r="E69" s="188"/>
      <c r="F69" s="189">
        <v>-18943</v>
      </c>
      <c r="G69" s="189"/>
      <c r="H69" s="189">
        <v>0</v>
      </c>
      <c r="I69" s="189"/>
      <c r="J69" s="189">
        <f t="shared" si="3"/>
        <v>-18943</v>
      </c>
      <c r="K69" s="189"/>
      <c r="L69" s="205">
        <f t="shared" si="4"/>
        <v>1.8318212039729455E-8</v>
      </c>
      <c r="M69" s="189"/>
      <c r="N69" s="189">
        <v>0</v>
      </c>
      <c r="O69" s="189"/>
      <c r="P69" s="189">
        <v>-67891</v>
      </c>
      <c r="Q69" s="189"/>
      <c r="R69" s="189">
        <v>0</v>
      </c>
      <c r="S69" s="189">
        <v>457681005</v>
      </c>
      <c r="T69" s="189">
        <f t="shared" si="5"/>
        <v>-67891</v>
      </c>
      <c r="U69" s="189">
        <v>628201261</v>
      </c>
      <c r="V69" s="205">
        <f>T69/درآمدها!$F$9</f>
        <v>6.5651783433947755E-8</v>
      </c>
      <c r="W69" s="256"/>
      <c r="X69" s="102"/>
      <c r="Z69" s="194"/>
      <c r="AA69" s="203"/>
    </row>
    <row r="70" spans="2:31" ht="36" customHeight="1" x14ac:dyDescent="0.25">
      <c r="B70" s="175" t="s">
        <v>187</v>
      </c>
      <c r="C70" s="175"/>
      <c r="D70" s="190">
        <v>0</v>
      </c>
      <c r="E70" s="188"/>
      <c r="F70" s="189">
        <v>40881523</v>
      </c>
      <c r="G70" s="189"/>
      <c r="H70" s="189">
        <v>0</v>
      </c>
      <c r="I70" s="189"/>
      <c r="J70" s="189">
        <f t="shared" si="3"/>
        <v>40881523</v>
      </c>
      <c r="K70" s="189"/>
      <c r="L70" s="205">
        <f t="shared" si="4"/>
        <v>-3.9533147168931876E-5</v>
      </c>
      <c r="M70" s="189"/>
      <c r="N70" s="189">
        <v>0</v>
      </c>
      <c r="O70" s="189"/>
      <c r="P70" s="189">
        <v>40881523</v>
      </c>
      <c r="Q70" s="189"/>
      <c r="R70" s="189">
        <v>0</v>
      </c>
      <c r="S70" s="189">
        <v>-314831742</v>
      </c>
      <c r="T70" s="189">
        <f t="shared" si="5"/>
        <v>40881523</v>
      </c>
      <c r="U70" s="189">
        <v>-273814835</v>
      </c>
      <c r="V70" s="205">
        <f>T70/درآمدها!$F$9</f>
        <v>-3.9533147168931876E-5</v>
      </c>
      <c r="W70" s="256"/>
      <c r="X70" s="102"/>
      <c r="Z70" s="194"/>
      <c r="AA70" s="203"/>
      <c r="AD70" s="185"/>
      <c r="AE70" s="185"/>
    </row>
    <row r="71" spans="2:31" ht="36" customHeight="1" x14ac:dyDescent="0.25">
      <c r="B71" s="175" t="s">
        <v>146</v>
      </c>
      <c r="C71" s="175"/>
      <c r="D71" s="190">
        <v>0</v>
      </c>
      <c r="E71" s="188"/>
      <c r="F71" s="189">
        <v>-88410</v>
      </c>
      <c r="G71" s="189"/>
      <c r="H71" s="189">
        <v>0</v>
      </c>
      <c r="I71" s="189"/>
      <c r="J71" s="189">
        <f t="shared" si="3"/>
        <v>-88410</v>
      </c>
      <c r="K71" s="189"/>
      <c r="L71" s="205">
        <f t="shared" si="4"/>
        <v>8.5494015015176103E-8</v>
      </c>
      <c r="M71" s="189"/>
      <c r="N71" s="189">
        <v>0</v>
      </c>
      <c r="O71" s="189"/>
      <c r="P71" s="189">
        <v>-88410</v>
      </c>
      <c r="Q71" s="189"/>
      <c r="R71" s="189">
        <v>0</v>
      </c>
      <c r="S71" s="189">
        <v>-21899317781</v>
      </c>
      <c r="T71" s="189">
        <f t="shared" si="5"/>
        <v>-88410</v>
      </c>
      <c r="U71" s="189"/>
      <c r="V71" s="205">
        <f>T71/درآمدها!$F$9</f>
        <v>8.5494015015176103E-8</v>
      </c>
      <c r="W71" s="256"/>
      <c r="X71" s="185"/>
      <c r="Y71" s="185"/>
      <c r="AA71" s="185"/>
    </row>
    <row r="72" spans="2:31" ht="36" customHeight="1" x14ac:dyDescent="0.25">
      <c r="B72" s="175" t="s">
        <v>210</v>
      </c>
      <c r="C72" s="175"/>
      <c r="D72" s="190">
        <v>0</v>
      </c>
      <c r="E72" s="188"/>
      <c r="F72" s="189">
        <v>-52537</v>
      </c>
      <c r="G72" s="189"/>
      <c r="H72" s="189">
        <v>0</v>
      </c>
      <c r="I72" s="189"/>
      <c r="J72" s="189">
        <f t="shared" si="3"/>
        <v>-52537</v>
      </c>
      <c r="K72" s="189"/>
      <c r="L72" s="205">
        <f t="shared" si="4"/>
        <v>5.080419711404035E-8</v>
      </c>
      <c r="M72" s="189"/>
      <c r="N72" s="189">
        <v>0</v>
      </c>
      <c r="O72" s="189"/>
      <c r="P72" s="189">
        <v>-52537</v>
      </c>
      <c r="Q72" s="189"/>
      <c r="R72" s="189">
        <v>0</v>
      </c>
      <c r="S72" s="189">
        <v>24903138035</v>
      </c>
      <c r="T72" s="189">
        <f t="shared" si="5"/>
        <v>-52537</v>
      </c>
      <c r="U72" s="189"/>
      <c r="V72" s="205">
        <f>T72/درآمدها!$F$9</f>
        <v>5.080419711404035E-8</v>
      </c>
      <c r="W72" s="256"/>
      <c r="X72" s="185"/>
      <c r="Y72" s="185"/>
      <c r="AA72" s="185"/>
    </row>
    <row r="73" spans="2:31" ht="36" customHeight="1" x14ac:dyDescent="0.25">
      <c r="B73" s="175" t="s">
        <v>185</v>
      </c>
      <c r="C73" s="175"/>
      <c r="D73" s="190">
        <v>0</v>
      </c>
      <c r="E73" s="188"/>
      <c r="F73" s="189">
        <v>-3810316800</v>
      </c>
      <c r="G73" s="189"/>
      <c r="H73" s="189">
        <v>0</v>
      </c>
      <c r="I73" s="189"/>
      <c r="J73" s="189">
        <f t="shared" si="3"/>
        <v>-3810316800</v>
      </c>
      <c r="K73" s="189"/>
      <c r="L73" s="205">
        <f t="shared" si="4"/>
        <v>3.6846429330593573E-3</v>
      </c>
      <c r="M73" s="189"/>
      <c r="N73" s="189">
        <v>0</v>
      </c>
      <c r="O73" s="189"/>
      <c r="P73" s="189">
        <v>-3810316800</v>
      </c>
      <c r="Q73" s="189"/>
      <c r="R73" s="189">
        <v>0</v>
      </c>
      <c r="S73" s="189"/>
      <c r="T73" s="189">
        <f t="shared" si="5"/>
        <v>-3810316800</v>
      </c>
      <c r="U73" s="189"/>
      <c r="V73" s="205">
        <f>T73/درآمدها!$F$9</f>
        <v>3.6846429330593573E-3</v>
      </c>
      <c r="W73" s="256"/>
      <c r="X73" s="185"/>
      <c r="Y73" s="185"/>
      <c r="AA73" s="185"/>
    </row>
    <row r="74" spans="2:31" ht="36" customHeight="1" x14ac:dyDescent="0.25">
      <c r="B74" s="175" t="s">
        <v>193</v>
      </c>
      <c r="C74" s="175"/>
      <c r="D74" s="190">
        <v>0</v>
      </c>
      <c r="E74" s="188"/>
      <c r="F74" s="189">
        <v>4584287399</v>
      </c>
      <c r="G74" s="189"/>
      <c r="H74" s="189">
        <v>0</v>
      </c>
      <c r="I74" s="189"/>
      <c r="J74" s="189">
        <f t="shared" si="3"/>
        <v>4584287399</v>
      </c>
      <c r="K74" s="189"/>
      <c r="L74" s="205">
        <f t="shared" si="4"/>
        <v>-4.4330860278700215E-3</v>
      </c>
      <c r="M74" s="189"/>
      <c r="N74" s="189">
        <v>0</v>
      </c>
      <c r="O74" s="189"/>
      <c r="P74" s="189">
        <v>4584287399</v>
      </c>
      <c r="Q74" s="189"/>
      <c r="R74" s="189">
        <v>0</v>
      </c>
      <c r="S74" s="189"/>
      <c r="T74" s="189">
        <f t="shared" si="5"/>
        <v>4584287399</v>
      </c>
      <c r="U74" s="189"/>
      <c r="V74" s="205">
        <f>T74/درآمدها!$F$9</f>
        <v>-4.4330860278700215E-3</v>
      </c>
      <c r="W74" s="256"/>
      <c r="X74" s="185"/>
      <c r="Y74" s="185"/>
      <c r="AA74" s="185"/>
    </row>
    <row r="75" spans="2:31" ht="36" customHeight="1" x14ac:dyDescent="0.25">
      <c r="B75" s="175" t="s">
        <v>128</v>
      </c>
      <c r="C75" s="175"/>
      <c r="D75" s="190">
        <v>0</v>
      </c>
      <c r="E75" s="188"/>
      <c r="F75" s="189">
        <v>-10835588400</v>
      </c>
      <c r="G75" s="189"/>
      <c r="H75" s="189">
        <v>0</v>
      </c>
      <c r="I75" s="189"/>
      <c r="J75" s="189">
        <f t="shared" si="3"/>
        <v>-10835588400</v>
      </c>
      <c r="K75" s="189"/>
      <c r="L75" s="205">
        <f t="shared" si="4"/>
        <v>1.0478203340887548E-2</v>
      </c>
      <c r="M75" s="189"/>
      <c r="N75" s="189">
        <v>0</v>
      </c>
      <c r="O75" s="189"/>
      <c r="P75" s="189">
        <v>-10835588400</v>
      </c>
      <c r="Q75" s="189"/>
      <c r="R75" s="189">
        <v>0</v>
      </c>
      <c r="S75" s="189">
        <v>-4335963253</v>
      </c>
      <c r="T75" s="189">
        <f t="shared" si="5"/>
        <v>-10835588400</v>
      </c>
      <c r="U75" s="189"/>
      <c r="V75" s="205">
        <f>T75/درآمدها!$F$9</f>
        <v>1.0478203340887548E-2</v>
      </c>
      <c r="W75" s="256"/>
      <c r="X75" s="185"/>
      <c r="Y75" s="185"/>
      <c r="AA75" s="185"/>
    </row>
    <row r="76" spans="2:31" ht="36" customHeight="1" x14ac:dyDescent="0.25">
      <c r="B76" s="175" t="s">
        <v>112</v>
      </c>
      <c r="C76" s="175"/>
      <c r="D76" s="190">
        <v>0</v>
      </c>
      <c r="E76" s="188"/>
      <c r="F76" s="189">
        <v>0</v>
      </c>
      <c r="G76" s="189"/>
      <c r="H76" s="189">
        <v>0</v>
      </c>
      <c r="I76" s="189"/>
      <c r="J76" s="189">
        <f t="shared" si="3"/>
        <v>0</v>
      </c>
      <c r="K76" s="189"/>
      <c r="L76" s="205">
        <f t="shared" si="4"/>
        <v>0</v>
      </c>
      <c r="M76" s="189"/>
      <c r="N76" s="189">
        <v>0</v>
      </c>
      <c r="O76" s="189"/>
      <c r="P76" s="189">
        <v>0</v>
      </c>
      <c r="Q76" s="189"/>
      <c r="R76" s="189">
        <v>0</v>
      </c>
      <c r="S76" s="189">
        <v>4030409699</v>
      </c>
      <c r="T76" s="189">
        <f t="shared" si="5"/>
        <v>0</v>
      </c>
      <c r="U76" s="189"/>
      <c r="V76" s="205">
        <f>T76/درآمدها!$F$9</f>
        <v>0</v>
      </c>
      <c r="W76" s="256"/>
      <c r="X76" s="185"/>
      <c r="Y76" s="185"/>
      <c r="AA76" s="185"/>
    </row>
    <row r="77" spans="2:31" ht="36" customHeight="1" x14ac:dyDescent="0.25">
      <c r="B77" s="196" t="s">
        <v>7</v>
      </c>
      <c r="C77" s="165"/>
      <c r="D77" s="206">
        <f>SUM(D53:D76)</f>
        <v>394729371</v>
      </c>
      <c r="E77" s="188"/>
      <c r="F77" s="206">
        <f>SUM(F53:F76)</f>
        <v>-1037500018047</v>
      </c>
      <c r="G77" s="206"/>
      <c r="H77" s="206">
        <f>SUM(H53:H76)</f>
        <v>-7290214663</v>
      </c>
      <c r="I77" s="206"/>
      <c r="J77" s="206">
        <f>SUM(J53:J76)</f>
        <v>-1044395503339</v>
      </c>
      <c r="K77" s="206"/>
      <c r="L77" s="120">
        <f>SUM(L53:L76)</f>
        <v>1.0099487031359216</v>
      </c>
      <c r="M77" s="206"/>
      <c r="N77" s="206">
        <f>SUM(N53:N76)</f>
        <v>734045059</v>
      </c>
      <c r="O77" s="206"/>
      <c r="P77" s="206">
        <f>SUM(P53:P76)</f>
        <v>-1037844856495</v>
      </c>
      <c r="Q77" s="206"/>
      <c r="R77" s="206">
        <f>SUM(R53:R76)</f>
        <v>-7290273500</v>
      </c>
      <c r="S77" s="206"/>
      <c r="T77" s="206">
        <f>SUM(T53:T76)</f>
        <v>-1044401084936</v>
      </c>
      <c r="U77" s="189"/>
      <c r="V77" s="120">
        <f>SUM(V53:V76)</f>
        <v>9.9541006377626209E-3</v>
      </c>
      <c r="W77" s="256"/>
      <c r="X77" s="185"/>
      <c r="Y77" s="185"/>
      <c r="AA77" s="185"/>
    </row>
    <row r="78" spans="2:31" ht="36" customHeight="1" x14ac:dyDescent="0.25">
      <c r="B78" s="175"/>
      <c r="C78" s="165"/>
      <c r="D78" s="190"/>
      <c r="E78" s="188"/>
      <c r="F78" s="189"/>
      <c r="G78" s="189"/>
      <c r="H78" s="189"/>
      <c r="I78" s="189"/>
      <c r="J78" s="189"/>
      <c r="K78" s="189"/>
      <c r="L78" s="205"/>
      <c r="M78" s="189"/>
      <c r="N78" s="189"/>
      <c r="O78" s="189"/>
      <c r="P78" s="189"/>
      <c r="Q78" s="189"/>
      <c r="R78" s="189"/>
      <c r="S78" s="189"/>
      <c r="T78" s="189"/>
      <c r="U78" s="189"/>
      <c r="V78" s="205"/>
      <c r="W78" s="256"/>
      <c r="X78" s="185"/>
      <c r="Y78" s="313"/>
      <c r="Z78" s="314"/>
      <c r="AA78" s="185"/>
    </row>
    <row r="79" spans="2:31" ht="30" hidden="1" customHeight="1" x14ac:dyDescent="0.25">
      <c r="B79" s="409" t="s">
        <v>136</v>
      </c>
      <c r="C79" s="409"/>
      <c r="D79" s="409"/>
      <c r="E79" s="409"/>
      <c r="F79" s="409"/>
      <c r="G79" s="409"/>
      <c r="H79" s="409"/>
      <c r="I79" s="409"/>
      <c r="J79" s="409"/>
      <c r="K79" s="409"/>
      <c r="L79" s="409"/>
      <c r="M79" s="409"/>
      <c r="N79" s="409"/>
      <c r="O79" s="409"/>
      <c r="P79" s="409"/>
      <c r="Q79" s="409"/>
      <c r="R79" s="409"/>
      <c r="S79" s="409"/>
      <c r="T79" s="409"/>
      <c r="U79" s="409"/>
      <c r="V79" s="409"/>
      <c r="W79" s="256"/>
      <c r="X79" s="102"/>
      <c r="Y79" s="314"/>
      <c r="Z79" s="315"/>
      <c r="AA79" s="203"/>
      <c r="AD79" s="185"/>
    </row>
    <row r="80" spans="2:31" ht="30" hidden="1" customHeight="1" x14ac:dyDescent="0.25">
      <c r="W80" s="256"/>
      <c r="X80" s="102"/>
      <c r="Y80" s="314"/>
      <c r="Z80" s="315"/>
      <c r="AA80" s="203"/>
    </row>
    <row r="81" spans="2:27" ht="30" hidden="1" customHeight="1" thickBot="1" x14ac:dyDescent="0.3">
      <c r="B81" s="263"/>
      <c r="C81" s="201"/>
      <c r="D81" s="402" t="str">
        <f>D49</f>
        <v>طی اردیبهشت ماه</v>
      </c>
      <c r="E81" s="402"/>
      <c r="F81" s="402"/>
      <c r="G81" s="402"/>
      <c r="H81" s="402"/>
      <c r="I81" s="402"/>
      <c r="J81" s="402"/>
      <c r="K81" s="201"/>
      <c r="L81" s="201"/>
      <c r="M81" s="201"/>
      <c r="N81" s="402" t="str">
        <f>N49</f>
        <v>از ابتدای سال مالی تا پایان اردیبهشت ماه</v>
      </c>
      <c r="O81" s="402"/>
      <c r="P81" s="402"/>
      <c r="Q81" s="402"/>
      <c r="R81" s="402"/>
      <c r="S81" s="402"/>
      <c r="T81" s="402"/>
      <c r="U81" s="402"/>
      <c r="V81" s="402"/>
      <c r="W81" s="256"/>
      <c r="X81" s="102"/>
      <c r="Y81" s="314"/>
      <c r="Z81" s="315"/>
      <c r="AA81" s="203"/>
    </row>
    <row r="82" spans="2:27" ht="30" hidden="1" customHeight="1" x14ac:dyDescent="0.25">
      <c r="B82" s="410" t="s">
        <v>35</v>
      </c>
      <c r="C82" s="403"/>
      <c r="D82" s="408" t="s">
        <v>21</v>
      </c>
      <c r="E82" s="410"/>
      <c r="F82" s="408" t="s">
        <v>22</v>
      </c>
      <c r="G82" s="410"/>
      <c r="H82" s="408" t="s">
        <v>23</v>
      </c>
      <c r="I82" s="410"/>
      <c r="J82" s="405" t="s">
        <v>7</v>
      </c>
      <c r="K82" s="405"/>
      <c r="L82" s="405"/>
      <c r="M82" s="403"/>
      <c r="N82" s="408" t="s">
        <v>21</v>
      </c>
      <c r="O82" s="410"/>
      <c r="P82" s="408" t="s">
        <v>22</v>
      </c>
      <c r="Q82" s="410"/>
      <c r="R82" s="408" t="s">
        <v>23</v>
      </c>
      <c r="S82" s="410"/>
      <c r="T82" s="405" t="s">
        <v>7</v>
      </c>
      <c r="U82" s="405"/>
      <c r="V82" s="405"/>
      <c r="W82" s="256"/>
      <c r="X82" s="102"/>
      <c r="Y82" s="314"/>
      <c r="Z82" s="315"/>
      <c r="AA82" s="203"/>
    </row>
    <row r="83" spans="2:27" ht="30" hidden="1" customHeight="1" thickBot="1" x14ac:dyDescent="0.3">
      <c r="B83" s="403"/>
      <c r="C83" s="403"/>
      <c r="D83" s="407"/>
      <c r="E83" s="403"/>
      <c r="F83" s="407"/>
      <c r="G83" s="403"/>
      <c r="H83" s="407"/>
      <c r="I83" s="403"/>
      <c r="J83" s="402"/>
      <c r="K83" s="402"/>
      <c r="L83" s="402"/>
      <c r="M83" s="403"/>
      <c r="N83" s="407"/>
      <c r="O83" s="403"/>
      <c r="P83" s="407"/>
      <c r="Q83" s="403"/>
      <c r="R83" s="407"/>
      <c r="S83" s="403"/>
      <c r="T83" s="402"/>
      <c r="U83" s="402"/>
      <c r="V83" s="402"/>
      <c r="W83" s="256"/>
      <c r="X83" s="102"/>
      <c r="Y83" s="314"/>
      <c r="Z83" s="315"/>
      <c r="AA83" s="203"/>
    </row>
    <row r="84" spans="2:27" ht="30" hidden="1" customHeight="1" thickBot="1" x14ac:dyDescent="0.3">
      <c r="B84" s="404"/>
      <c r="C84" s="403"/>
      <c r="D84" s="88" t="s">
        <v>90</v>
      </c>
      <c r="E84" s="403"/>
      <c r="F84" s="88" t="s">
        <v>91</v>
      </c>
      <c r="G84" s="403"/>
      <c r="H84" s="88" t="s">
        <v>92</v>
      </c>
      <c r="I84" s="403"/>
      <c r="J84" s="103" t="s">
        <v>11</v>
      </c>
      <c r="K84" s="103"/>
      <c r="L84" s="103" t="s">
        <v>24</v>
      </c>
      <c r="M84" s="403"/>
      <c r="N84" s="88" t="s">
        <v>90</v>
      </c>
      <c r="O84" s="403"/>
      <c r="P84" s="88" t="s">
        <v>91</v>
      </c>
      <c r="Q84" s="403"/>
      <c r="R84" s="88" t="s">
        <v>92</v>
      </c>
      <c r="S84" s="403"/>
      <c r="T84" s="103" t="s">
        <v>11</v>
      </c>
      <c r="U84" s="103"/>
      <c r="V84" s="103" t="s">
        <v>24</v>
      </c>
      <c r="W84" s="256"/>
      <c r="X84" s="102"/>
      <c r="Y84" s="314"/>
      <c r="Z84" s="315"/>
      <c r="AA84" s="203"/>
    </row>
    <row r="85" spans="2:27" ht="30" hidden="1" customHeight="1" thickBot="1" x14ac:dyDescent="0.3">
      <c r="B85" s="191" t="s">
        <v>166</v>
      </c>
      <c r="C85" s="191"/>
      <c r="D85" s="189">
        <f>D77</f>
        <v>394729371</v>
      </c>
      <c r="E85" s="191"/>
      <c r="F85" s="189">
        <f>F77</f>
        <v>-1037500018047</v>
      </c>
      <c r="G85" s="189"/>
      <c r="H85" s="189">
        <f>H77</f>
        <v>-7290214663</v>
      </c>
      <c r="I85" s="189"/>
      <c r="J85" s="189">
        <f>J77</f>
        <v>-1044395503339</v>
      </c>
      <c r="K85" s="189"/>
      <c r="L85" s="205">
        <f>L77</f>
        <v>1.0099487031359216</v>
      </c>
      <c r="M85" s="189"/>
      <c r="N85" s="189">
        <f>N77</f>
        <v>734045059</v>
      </c>
      <c r="O85" s="189"/>
      <c r="P85" s="189">
        <f>P77</f>
        <v>-1037844856495</v>
      </c>
      <c r="Q85" s="189"/>
      <c r="R85" s="189">
        <f>R77</f>
        <v>-7290273500</v>
      </c>
      <c r="S85" s="189"/>
      <c r="T85" s="189">
        <f>T77</f>
        <v>-1044401084936</v>
      </c>
      <c r="U85" s="105"/>
      <c r="V85" s="106">
        <f>V77</f>
        <v>9.9541006377626209E-3</v>
      </c>
      <c r="W85" s="256"/>
      <c r="X85" s="102"/>
      <c r="Z85" s="194"/>
      <c r="AA85" s="203"/>
    </row>
    <row r="86" spans="2:27" ht="30" hidden="1" customHeight="1" thickBot="1" x14ac:dyDescent="0.3">
      <c r="B86" s="196" t="s">
        <v>7</v>
      </c>
      <c r="D86" s="61">
        <f>SUM(D85:D85)</f>
        <v>394729371</v>
      </c>
      <c r="F86" s="61">
        <f>SUM(F85:F85)</f>
        <v>-1037500018047</v>
      </c>
      <c r="G86" s="191"/>
      <c r="H86" s="61">
        <f>SUM(H85:H85)</f>
        <v>-7290214663</v>
      </c>
      <c r="I86" s="191"/>
      <c r="J86" s="61">
        <f>SUM(J85:J85)</f>
        <v>-1044395503339</v>
      </c>
      <c r="K86" s="61"/>
      <c r="L86" s="107">
        <f>SUM(L85:L85)</f>
        <v>1.0099487031359216</v>
      </c>
      <c r="M86" s="191"/>
      <c r="N86" s="61">
        <f>SUM(N85:N85)</f>
        <v>734045059</v>
      </c>
      <c r="O86" s="191"/>
      <c r="P86" s="61">
        <f>SUM(P85:P85)</f>
        <v>-1037844856495</v>
      </c>
      <c r="Q86" s="191"/>
      <c r="R86" s="61">
        <f>SUM(R85:R85)</f>
        <v>-7290273500</v>
      </c>
      <c r="S86" s="191"/>
      <c r="T86" s="61">
        <f>SUM(T85:T85)</f>
        <v>-1044401084936</v>
      </c>
      <c r="U86" s="61"/>
      <c r="V86" s="107">
        <f>SUM(V85:V85)</f>
        <v>9.9541006377626209E-3</v>
      </c>
      <c r="W86" s="256"/>
      <c r="X86" s="102"/>
      <c r="Z86" s="194"/>
      <c r="AA86" s="203"/>
    </row>
    <row r="87" spans="2:27" ht="30" hidden="1" customHeight="1" thickTop="1" x14ac:dyDescent="0.55000000000000004">
      <c r="B87" s="196"/>
      <c r="D87" s="266"/>
      <c r="F87" s="102"/>
      <c r="G87" s="191"/>
      <c r="H87" s="93"/>
      <c r="I87" s="191"/>
      <c r="J87" s="266"/>
      <c r="K87" s="266"/>
      <c r="L87" s="125"/>
      <c r="M87" s="191"/>
      <c r="N87" s="266"/>
      <c r="O87" s="191"/>
      <c r="P87" s="248"/>
      <c r="Q87" s="266"/>
      <c r="R87" s="266"/>
      <c r="S87" s="191"/>
      <c r="T87" s="266">
        <f>N86+P86+R86-T86</f>
        <v>0</v>
      </c>
      <c r="U87" s="266"/>
      <c r="V87" s="125"/>
      <c r="W87" s="256"/>
      <c r="X87" s="102"/>
      <c r="Z87" s="194"/>
      <c r="AA87" s="203"/>
    </row>
    <row r="88" spans="2:27" ht="30" hidden="1" customHeight="1" x14ac:dyDescent="0.55000000000000004">
      <c r="B88" s="196"/>
      <c r="D88" s="266"/>
      <c r="F88" s="266"/>
      <c r="G88" s="191"/>
      <c r="H88" s="93"/>
      <c r="I88" s="191"/>
      <c r="J88" s="203"/>
      <c r="K88" s="266"/>
      <c r="L88" s="125"/>
      <c r="M88" s="191"/>
      <c r="N88" s="266"/>
      <c r="O88" s="191"/>
      <c r="P88" s="266"/>
      <c r="Q88" s="191"/>
      <c r="R88" s="266"/>
      <c r="S88" s="191"/>
      <c r="T88" s="266"/>
      <c r="U88" s="266"/>
      <c r="V88" s="125"/>
      <c r="W88" s="256"/>
      <c r="X88" s="102"/>
      <c r="Z88" s="194"/>
      <c r="AA88" s="203"/>
    </row>
    <row r="89" spans="2:27" ht="30" hidden="1" customHeight="1" x14ac:dyDescent="0.55000000000000004">
      <c r="B89" s="196"/>
      <c r="D89" s="266"/>
      <c r="E89" s="266"/>
      <c r="F89" s="266"/>
      <c r="G89" s="266"/>
      <c r="H89" s="93"/>
      <c r="I89" s="266"/>
      <c r="J89" s="266"/>
      <c r="K89" s="266"/>
      <c r="L89" s="266"/>
      <c r="M89" s="266"/>
      <c r="N89" s="266"/>
      <c r="O89" s="266"/>
      <c r="P89" s="266"/>
      <c r="Q89" s="266"/>
      <c r="R89" s="266"/>
      <c r="S89" s="266"/>
      <c r="T89" s="266"/>
      <c r="U89" s="266"/>
      <c r="V89" s="125"/>
      <c r="W89" s="256"/>
      <c r="X89" s="102"/>
      <c r="Z89" s="194"/>
      <c r="AA89" s="203"/>
    </row>
    <row r="90" spans="2:27" ht="30" hidden="1" customHeight="1" x14ac:dyDescent="0.55000000000000004">
      <c r="B90" s="196"/>
      <c r="D90" s="266"/>
      <c r="F90" s="266"/>
      <c r="G90" s="191"/>
      <c r="H90" s="93"/>
      <c r="I90" s="191"/>
      <c r="J90" s="266"/>
      <c r="K90" s="266"/>
      <c r="L90" s="125"/>
      <c r="M90" s="191"/>
      <c r="N90" s="266"/>
      <c r="O90" s="191"/>
      <c r="P90" s="266"/>
      <c r="Q90" s="191"/>
      <c r="R90" s="266"/>
      <c r="S90" s="191"/>
      <c r="T90" s="266"/>
      <c r="U90" s="266"/>
      <c r="V90" s="125"/>
      <c r="W90" s="256"/>
      <c r="X90" s="102"/>
      <c r="Z90" s="194"/>
      <c r="AA90" s="203"/>
    </row>
    <row r="91" spans="2:27" ht="30" hidden="1" customHeight="1" x14ac:dyDescent="0.25">
      <c r="B91" s="191"/>
      <c r="C91" s="266"/>
      <c r="D91" s="191"/>
      <c r="E91" s="266"/>
      <c r="F91" s="266"/>
      <c r="G91" s="125"/>
      <c r="H91" s="285"/>
      <c r="I91" s="266"/>
      <c r="J91" s="282"/>
      <c r="K91" s="266"/>
      <c r="L91" s="191"/>
      <c r="M91" s="266"/>
      <c r="N91" s="191"/>
      <c r="O91" s="266"/>
      <c r="P91" s="266"/>
      <c r="Q91" s="125"/>
      <c r="R91" s="203"/>
      <c r="S91" s="185"/>
      <c r="T91" s="185"/>
      <c r="U91" s="183"/>
      <c r="V91" s="185"/>
      <c r="W91" s="256"/>
      <c r="X91" s="102"/>
      <c r="Z91" s="194"/>
      <c r="AA91" s="203"/>
    </row>
    <row r="92" spans="2:27" ht="12.75" hidden="1" customHeight="1" x14ac:dyDescent="0.25">
      <c r="B92" s="183"/>
      <c r="C92" s="208">
        <v>-141115264157</v>
      </c>
      <c r="I92" s="185"/>
      <c r="K92" s="185"/>
      <c r="M92" s="185"/>
      <c r="O92" s="102"/>
      <c r="P92" s="102"/>
      <c r="Q92" s="209"/>
      <c r="S92" s="185"/>
      <c r="T92" s="185"/>
      <c r="U92" s="183"/>
      <c r="V92" s="185"/>
      <c r="W92" s="256"/>
      <c r="X92" s="102"/>
      <c r="Z92" s="194"/>
      <c r="AA92" s="203"/>
    </row>
    <row r="93" spans="2:27" ht="30" hidden="1" customHeight="1" x14ac:dyDescent="0.25">
      <c r="B93" s="183"/>
      <c r="C93" s="208">
        <v>495943397</v>
      </c>
      <c r="I93" s="185"/>
      <c r="K93" s="185"/>
      <c r="M93" s="185"/>
      <c r="O93" s="102"/>
      <c r="P93" s="102"/>
      <c r="Q93" s="209"/>
      <c r="S93" s="185"/>
      <c r="T93" s="185"/>
      <c r="U93" s="183"/>
      <c r="V93" s="185"/>
      <c r="W93" s="256"/>
      <c r="X93" s="102"/>
      <c r="Z93" s="194"/>
      <c r="AA93" s="203"/>
    </row>
    <row r="94" spans="2:27" ht="30" hidden="1" customHeight="1" x14ac:dyDescent="0.25">
      <c r="B94" s="183"/>
      <c r="C94" s="208">
        <v>3262800118</v>
      </c>
      <c r="E94" s="203"/>
      <c r="F94" s="203"/>
      <c r="G94" s="203"/>
      <c r="I94" s="146"/>
      <c r="J94" s="60"/>
      <c r="K94" s="272"/>
      <c r="L94" s="60"/>
      <c r="M94" s="60"/>
      <c r="N94" s="60"/>
      <c r="O94" s="60"/>
      <c r="P94" s="102"/>
      <c r="Q94" s="200"/>
      <c r="S94" s="185"/>
      <c r="T94" s="185"/>
      <c r="U94" s="183"/>
      <c r="V94" s="185"/>
      <c r="W94" s="256"/>
      <c r="X94" s="102"/>
      <c r="Z94" s="194"/>
      <c r="AA94" s="203"/>
    </row>
    <row r="95" spans="2:27" ht="30" hidden="1" customHeight="1" x14ac:dyDescent="0.25">
      <c r="B95" s="185"/>
      <c r="C95" s="208">
        <f>C92-C93-C94</f>
        <v>-144874007672</v>
      </c>
      <c r="G95" s="273"/>
      <c r="I95" s="185"/>
      <c r="J95" s="185"/>
      <c r="K95" s="185"/>
      <c r="L95" s="185"/>
      <c r="M95" s="185"/>
      <c r="N95" s="185"/>
      <c r="O95" s="185"/>
      <c r="P95" s="102"/>
      <c r="Q95" s="274"/>
      <c r="T95" s="185"/>
      <c r="U95" s="183"/>
      <c r="V95" s="185"/>
      <c r="W95" s="256"/>
      <c r="X95" s="102"/>
      <c r="Z95" s="194"/>
      <c r="AA95" s="203"/>
    </row>
    <row r="96" spans="2:27" ht="49.5" hidden="1" customHeight="1" x14ac:dyDescent="0.25">
      <c r="B96" s="183"/>
      <c r="C96" s="208">
        <f>H86-C95</f>
        <v>137583793009</v>
      </c>
      <c r="G96" s="185"/>
      <c r="I96" s="272"/>
      <c r="J96" s="203"/>
      <c r="K96" s="203"/>
      <c r="M96" s="185"/>
      <c r="O96" s="102"/>
      <c r="P96" s="102"/>
      <c r="Q96" s="200"/>
      <c r="T96" s="185"/>
      <c r="U96" s="183"/>
      <c r="V96" s="185"/>
      <c r="W96" s="256"/>
      <c r="X96" s="102"/>
      <c r="Z96" s="194"/>
      <c r="AA96" s="203"/>
    </row>
    <row r="97" spans="2:29" ht="30" hidden="1" customHeight="1" x14ac:dyDescent="0.25">
      <c r="B97" s="183"/>
      <c r="C97" s="211"/>
      <c r="D97" s="203"/>
      <c r="E97" s="203"/>
      <c r="H97" s="203"/>
      <c r="I97" s="185"/>
      <c r="K97" s="203"/>
      <c r="M97" s="275"/>
      <c r="O97" s="102"/>
      <c r="P97" s="102"/>
      <c r="Q97" s="200"/>
      <c r="R97" s="203"/>
      <c r="T97" s="185"/>
      <c r="U97" s="183"/>
      <c r="V97" s="185"/>
      <c r="W97" s="256"/>
      <c r="X97" s="102"/>
      <c r="Z97" s="194"/>
      <c r="AA97" s="203"/>
    </row>
    <row r="98" spans="2:29" ht="30" hidden="1" customHeight="1" x14ac:dyDescent="0.25">
      <c r="F98" s="185"/>
      <c r="H98" s="210"/>
      <c r="N98" s="185"/>
      <c r="P98" s="203"/>
      <c r="R98" s="210"/>
      <c r="W98" s="203"/>
      <c r="X98" s="185"/>
      <c r="Y98" s="185"/>
      <c r="AA98" s="185"/>
    </row>
    <row r="99" spans="2:29" ht="30" customHeight="1" x14ac:dyDescent="0.55000000000000004">
      <c r="F99" s="244"/>
      <c r="H99" s="93"/>
      <c r="J99" s="250"/>
      <c r="P99" s="244"/>
      <c r="R99" s="93"/>
      <c r="T99" s="102">
        <f>N77+P77+R77-T77</f>
        <v>0</v>
      </c>
      <c r="X99" s="185"/>
      <c r="Y99" s="185"/>
      <c r="AA99" s="185"/>
    </row>
    <row r="100" spans="2:29" ht="30" customHeight="1" x14ac:dyDescent="0.25">
      <c r="D100" s="305"/>
      <c r="E100" s="305"/>
      <c r="F100" s="305"/>
      <c r="G100" s="305"/>
      <c r="H100" s="305"/>
      <c r="N100" s="185"/>
      <c r="O100" s="185"/>
      <c r="P100" s="185"/>
      <c r="Q100" s="185"/>
      <c r="R100" s="185"/>
      <c r="X100" s="185"/>
      <c r="Y100" s="185"/>
      <c r="AA100" s="185"/>
    </row>
    <row r="101" spans="2:29" ht="30" customHeight="1" x14ac:dyDescent="0.25">
      <c r="N101" s="185"/>
      <c r="R101" s="185"/>
    </row>
    <row r="102" spans="2:29" ht="36" hidden="1" customHeight="1" x14ac:dyDescent="0.25"/>
    <row r="103" spans="2:29" ht="36" hidden="1" customHeight="1" x14ac:dyDescent="0.25"/>
    <row r="104" spans="2:29" ht="36" hidden="1" customHeight="1" x14ac:dyDescent="0.25"/>
    <row r="105" spans="2:29" ht="30" customHeight="1" x14ac:dyDescent="0.25">
      <c r="D105" s="305"/>
      <c r="H105" s="204"/>
      <c r="N105" s="305"/>
      <c r="R105" s="204"/>
    </row>
    <row r="106" spans="2:29" ht="60" customHeight="1" x14ac:dyDescent="0.25">
      <c r="H106" s="204"/>
      <c r="R106" s="204"/>
    </row>
    <row r="107" spans="2:29" ht="36" customHeight="1" x14ac:dyDescent="0.25">
      <c r="R107" s="204"/>
    </row>
    <row r="108" spans="2:29" ht="36" customHeight="1" x14ac:dyDescent="0.25">
      <c r="Y108" s="185"/>
      <c r="AA108" s="185"/>
    </row>
    <row r="109" spans="2:29" ht="36" customHeight="1" x14ac:dyDescent="0.25">
      <c r="Y109" s="185"/>
      <c r="AA109" s="185"/>
    </row>
    <row r="110" spans="2:29" ht="36" customHeight="1" x14ac:dyDescent="0.25">
      <c r="Y110" s="185"/>
      <c r="AA110" s="185"/>
    </row>
    <row r="111" spans="2:29" ht="36" customHeight="1" x14ac:dyDescent="0.25">
      <c r="Y111" s="185"/>
      <c r="AA111" s="185"/>
    </row>
    <row r="112" spans="2:29" ht="36" customHeight="1" x14ac:dyDescent="0.25">
      <c r="AC112" s="185"/>
    </row>
    <row r="113" spans="27:29" ht="36" customHeight="1" x14ac:dyDescent="0.25">
      <c r="AA113" s="185"/>
      <c r="AC113" s="185"/>
    </row>
    <row r="114" spans="27:29" ht="36" customHeight="1" x14ac:dyDescent="0.25">
      <c r="AA114" s="185"/>
    </row>
    <row r="115" spans="27:29" ht="36" customHeight="1" x14ac:dyDescent="0.25">
      <c r="AA115" s="185"/>
    </row>
    <row r="116" spans="27:29" ht="36" customHeight="1" x14ac:dyDescent="0.25">
      <c r="AA116" s="185"/>
    </row>
  </sheetData>
  <mergeCells count="63">
    <mergeCell ref="H82:H83"/>
    <mergeCell ref="I82:I84"/>
    <mergeCell ref="J82:L83"/>
    <mergeCell ref="C82:C84"/>
    <mergeCell ref="D82:D83"/>
    <mergeCell ref="E82:E84"/>
    <mergeCell ref="F82:F83"/>
    <mergeCell ref="G82:G84"/>
    <mergeCell ref="M82:M84"/>
    <mergeCell ref="S82:S84"/>
    <mergeCell ref="T82:V83"/>
    <mergeCell ref="N82:N83"/>
    <mergeCell ref="Q50:Q52"/>
    <mergeCell ref="R50:R51"/>
    <mergeCell ref="S50:S52"/>
    <mergeCell ref="T50:V51"/>
    <mergeCell ref="O82:O84"/>
    <mergeCell ref="P82:P83"/>
    <mergeCell ref="Q82:Q84"/>
    <mergeCell ref="R82:R83"/>
    <mergeCell ref="B79:V79"/>
    <mergeCell ref="D81:J81"/>
    <mergeCell ref="N81:V81"/>
    <mergeCell ref="B82:B84"/>
    <mergeCell ref="B47:V47"/>
    <mergeCell ref="D49:J49"/>
    <mergeCell ref="N49:V49"/>
    <mergeCell ref="B50:B52"/>
    <mergeCell ref="C50:C52"/>
    <mergeCell ref="D50:D51"/>
    <mergeCell ref="E50:E52"/>
    <mergeCell ref="F50:F51"/>
    <mergeCell ref="G50:G52"/>
    <mergeCell ref="H50:H51"/>
    <mergeCell ref="I50:I52"/>
    <mergeCell ref="J50:L51"/>
    <mergeCell ref="M50:M52"/>
    <mergeCell ref="N50:N51"/>
    <mergeCell ref="O50:O52"/>
    <mergeCell ref="P50:P51"/>
    <mergeCell ref="B1:V1"/>
    <mergeCell ref="B2:V2"/>
    <mergeCell ref="B3:V3"/>
    <mergeCell ref="D8:D9"/>
    <mergeCell ref="F8:F9"/>
    <mergeCell ref="H8:H9"/>
    <mergeCell ref="N8:N9"/>
    <mergeCell ref="P8:P9"/>
    <mergeCell ref="R8:R9"/>
    <mergeCell ref="T8:V9"/>
    <mergeCell ref="B5:V5"/>
    <mergeCell ref="O8:O10"/>
    <mergeCell ref="Q8:Q10"/>
    <mergeCell ref="S8:S10"/>
    <mergeCell ref="I8:I10"/>
    <mergeCell ref="N7:V7"/>
    <mergeCell ref="D7:J7"/>
    <mergeCell ref="M8:M10"/>
    <mergeCell ref="B8:B10"/>
    <mergeCell ref="C8:C10"/>
    <mergeCell ref="E8:E10"/>
    <mergeCell ref="G8:G10"/>
    <mergeCell ref="J8:L9"/>
  </mergeCells>
  <hyperlinks>
    <hyperlink ref="D10" location="'درآمد سود سهام'!A1" display="یادداشت 2-1-1" xr:uid="{00000000-0004-0000-0700-000000000000}"/>
    <hyperlink ref="F10" location="'درآمد ناشی از تغییر قیمت اوراق '!A1" display="یادداشت 2-1-2" xr:uid="{00000000-0004-0000-0700-000001000000}"/>
    <hyperlink ref="H10" location="'درآمد ناشی ازفروش'!A1" display="یادداشت 2-1-3" xr:uid="{00000000-0004-0000-0700-000002000000}"/>
    <hyperlink ref="N10" location="'درآمد سود سهام'!A1" display="یادداشت 2-1-1" xr:uid="{00000000-0004-0000-0700-000003000000}"/>
    <hyperlink ref="P10" location="'درآمد ناشی از تغییر قیمت اوراق '!A1" display="یادداشت 2-1-2" xr:uid="{00000000-0004-0000-0700-000004000000}"/>
    <hyperlink ref="R10" location="'درآمد ناشی ازفروش'!A1" display="یادداشت 2-1-3" xr:uid="{00000000-0004-0000-0700-000005000000}"/>
    <hyperlink ref="D52" location="'درآمد سود سهام'!A1" display="یادداشت 2-1-1" xr:uid="{C29E9584-DC28-41C8-8572-B12D440A3192}"/>
    <hyperlink ref="F52" location="'درآمد ناشی از تغییر قیمت اوراق '!A1" display="یادداشت 2-1-2" xr:uid="{384BA02F-CB0B-4C65-AEE4-36269CB76D02}"/>
    <hyperlink ref="H52" location="'درآمد ناشی ازفروش'!A1" display="یادداشت 2-1-3" xr:uid="{041BB4EF-9906-4BFF-8F1E-3D496F8C9415}"/>
    <hyperlink ref="N52" location="'درآمد سود سهام'!A1" display="یادداشت 2-1-1" xr:uid="{6D501F35-BF50-437E-B739-EC9C8B570AA4}"/>
    <hyperlink ref="P52" location="'درآمد ناشی از تغییر قیمت اوراق '!A1" display="یادداشت 2-1-2" xr:uid="{8ECD3202-B22F-4D88-89D4-4F245E391B5B}"/>
    <hyperlink ref="R52" location="'درآمد ناشی ازفروش'!A1" display="یادداشت 2-1-3" xr:uid="{87B03CE5-6A66-43F9-A2C2-FEC8A0128AB9}"/>
    <hyperlink ref="D84" location="'درآمد سود سهام'!A1" display="یادداشت 2-1-1" xr:uid="{CF8085A2-6FA9-4EB4-BFCD-DC18334142B2}"/>
    <hyperlink ref="F84" location="'درآمد ناشی از تغییر قیمت اوراق '!A1" display="یادداشت 2-1-2" xr:uid="{CBB77952-CA42-4DDA-8A5D-FEA17F792437}"/>
    <hyperlink ref="H84" location="'درآمد ناشی ازفروش'!A1" display="یادداشت 2-1-3" xr:uid="{712A21DE-6CA2-4FF9-9699-E92B69F9E018}"/>
    <hyperlink ref="N84" location="'درآمد سود سهام'!A1" display="یادداشت 2-1-1" xr:uid="{665F5D3B-78CF-4008-9451-267047ED79DB}"/>
    <hyperlink ref="P84" location="'درآمد ناشی از تغییر قیمت اوراق '!A1" display="یادداشت 2-1-2" xr:uid="{83929033-AD49-4AE8-BB73-952F5EC8DD29}"/>
    <hyperlink ref="R84" location="'درآمد ناشی ازفروش'!A1" display="یادداشت 2-1-3" xr:uid="{0B288B5E-816F-4862-8B30-E002862EE8A3}"/>
  </hyperlinks>
  <printOptions horizontalCentered="1"/>
  <pageMargins left="0.7" right="0.7" top="0.75" bottom="0.75" header="0.3" footer="0.3"/>
  <pageSetup paperSize="9" scale="29" orientation="landscape" r:id="rId1"/>
  <headerFooter>
    <oddFooter>&amp;C&amp;P</oddFooter>
  </headerFooter>
  <rowBreaks count="2" manualBreakCount="2">
    <brk id="46" max="21" man="1"/>
    <brk id="90" max="2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B1:AH85"/>
  <sheetViews>
    <sheetView rightToLeft="1" view="pageBreakPreview" zoomScale="85" zoomScaleNormal="85" zoomScaleSheetLayoutView="85" workbookViewId="0">
      <selection activeCell="J20" sqref="J20"/>
    </sheetView>
  </sheetViews>
  <sheetFormatPr defaultColWidth="9.140625" defaultRowHeight="22.5" x14ac:dyDescent="0.25"/>
  <cols>
    <col min="1" max="1" width="4.140625" style="12" customWidth="1"/>
    <col min="2" max="2" width="30.7109375" style="196" bestFit="1" customWidth="1"/>
    <col min="3" max="3" width="0.85546875" style="12" customWidth="1"/>
    <col min="4" max="4" width="12.7109375" style="12" customWidth="1"/>
    <col min="5" max="5" width="1" style="12" customWidth="1"/>
    <col min="6" max="6" width="16.7109375" style="115" bestFit="1" customWidth="1"/>
    <col min="7" max="7" width="1" style="12" customWidth="1"/>
    <col min="8" max="8" width="10.85546875" style="115" bestFit="1" customWidth="1"/>
    <col min="9" max="9" width="0.85546875" style="12" customWidth="1"/>
    <col min="10" max="10" width="20.7109375" style="115" bestFit="1" customWidth="1"/>
    <col min="11" max="11" width="1" style="12" customWidth="1"/>
    <col min="12" max="12" width="20" style="115" bestFit="1" customWidth="1"/>
    <col min="13" max="13" width="1.140625" style="12" customWidth="1"/>
    <col min="14" max="14" width="21.7109375" style="115" bestFit="1" customWidth="1"/>
    <col min="15" max="15" width="0.85546875" style="12" customWidth="1"/>
    <col min="16" max="16" width="20.7109375" style="115" bestFit="1" customWidth="1"/>
    <col min="17" max="17" width="1" style="12" customWidth="1"/>
    <col min="18" max="18" width="19.28515625" style="115" customWidth="1"/>
    <col min="19" max="19" width="0.7109375" style="12" customWidth="1"/>
    <col min="20" max="20" width="21.85546875" style="115" bestFit="1" customWidth="1"/>
    <col min="21" max="21" width="1.7109375" style="12" customWidth="1"/>
    <col min="22" max="22" width="21.42578125" style="12" bestFit="1" customWidth="1"/>
    <col min="23" max="23" width="19.28515625" style="12" bestFit="1" customWidth="1"/>
    <col min="24" max="28" width="18.140625" style="12" customWidth="1"/>
    <col min="29" max="29" width="14.85546875" style="12" bestFit="1" customWidth="1"/>
    <col min="30" max="30" width="56.5703125" style="12" customWidth="1"/>
    <col min="31" max="31" width="28.7109375" style="12" customWidth="1"/>
    <col min="32" max="32" width="18" style="12" bestFit="1" customWidth="1"/>
    <col min="33" max="33" width="18.42578125" style="12" bestFit="1" customWidth="1"/>
    <col min="34" max="34" width="18.7109375" style="12" bestFit="1" customWidth="1"/>
    <col min="35" max="36" width="9.140625" style="12"/>
    <col min="37" max="37" width="20.7109375" style="12" bestFit="1" customWidth="1"/>
    <col min="38" max="16384" width="9.140625" style="12"/>
  </cols>
  <sheetData>
    <row r="1" spans="2:33" ht="24" x14ac:dyDescent="0.25">
      <c r="B1" s="401" t="str">
        <f>درآمدها!A1</f>
        <v>صندوق سرمایه گذاری شاخص سی شرکت بزرگ فیروزه</v>
      </c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13"/>
      <c r="O1" s="401"/>
      <c r="P1" s="413"/>
      <c r="Q1" s="401"/>
      <c r="R1" s="413"/>
      <c r="S1" s="401"/>
      <c r="T1" s="413"/>
    </row>
    <row r="2" spans="2:33" ht="24" x14ac:dyDescent="0.25">
      <c r="B2" s="401" t="s">
        <v>86</v>
      </c>
      <c r="C2" s="401"/>
      <c r="D2" s="401"/>
      <c r="E2" s="401"/>
      <c r="F2" s="401"/>
      <c r="G2" s="401"/>
      <c r="H2" s="401"/>
      <c r="I2" s="401"/>
      <c r="J2" s="401"/>
      <c r="K2" s="401"/>
      <c r="L2" s="401"/>
      <c r="M2" s="401"/>
      <c r="N2" s="413"/>
      <c r="O2" s="401"/>
      <c r="P2" s="413"/>
      <c r="Q2" s="401"/>
      <c r="R2" s="413"/>
      <c r="S2" s="401"/>
      <c r="T2" s="413"/>
    </row>
    <row r="3" spans="2:33" ht="24" x14ac:dyDescent="0.25">
      <c r="B3" s="401" t="str">
        <f>' سهام'!AC6</f>
        <v>برای ماه منتهی به 1405/02/31</v>
      </c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13"/>
      <c r="O3" s="401"/>
      <c r="P3" s="413"/>
      <c r="Q3" s="401"/>
      <c r="R3" s="413"/>
      <c r="S3" s="401"/>
      <c r="T3" s="413"/>
    </row>
    <row r="4" spans="2:33" ht="24" x14ac:dyDescent="0.25">
      <c r="B4" s="128" t="s">
        <v>95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19"/>
      <c r="O4" s="172"/>
      <c r="P4" s="119"/>
      <c r="Q4" s="172"/>
      <c r="R4" s="119"/>
      <c r="S4" s="172"/>
      <c r="T4" s="119"/>
      <c r="U4" s="172"/>
      <c r="V4" s="172"/>
      <c r="W4" s="172"/>
      <c r="AG4" s="12" t="s">
        <v>169</v>
      </c>
    </row>
    <row r="5" spans="2:33" ht="21" customHeight="1" thickBot="1" x14ac:dyDescent="0.3">
      <c r="D5" s="411" t="s">
        <v>70</v>
      </c>
      <c r="E5" s="411"/>
      <c r="F5" s="411"/>
      <c r="G5" s="411"/>
      <c r="H5" s="411"/>
      <c r="J5" s="411" t="str">
        <f>' سهام'!AC7</f>
        <v>طی اردیبهشت ماه</v>
      </c>
      <c r="K5" s="411"/>
      <c r="L5" s="411"/>
      <c r="M5" s="411"/>
      <c r="N5" s="411"/>
      <c r="O5" s="53"/>
      <c r="P5" s="411" t="str">
        <f>' سهام'!AC8</f>
        <v>از ابتدای سال مالی تا پایان اردیبهشت ماه</v>
      </c>
      <c r="Q5" s="412"/>
      <c r="R5" s="411"/>
      <c r="S5" s="412"/>
      <c r="T5" s="411"/>
      <c r="U5" s="53"/>
      <c r="V5" s="53"/>
      <c r="W5" s="53"/>
      <c r="AE5" s="12" t="s">
        <v>173</v>
      </c>
    </row>
    <row r="6" spans="2:33" ht="79.5" customHeight="1" thickBot="1" x14ac:dyDescent="0.3">
      <c r="B6" s="197" t="s">
        <v>44</v>
      </c>
      <c r="C6" s="162"/>
      <c r="D6" s="181" t="s">
        <v>138</v>
      </c>
      <c r="E6" s="162"/>
      <c r="F6" s="111" t="s">
        <v>69</v>
      </c>
      <c r="G6" s="162"/>
      <c r="H6" s="111" t="s">
        <v>65</v>
      </c>
      <c r="I6" s="162"/>
      <c r="J6" s="111" t="s">
        <v>66</v>
      </c>
      <c r="K6" s="162"/>
      <c r="L6" s="111" t="s">
        <v>67</v>
      </c>
      <c r="M6" s="162"/>
      <c r="N6" s="111" t="s">
        <v>68</v>
      </c>
      <c r="P6" s="111" t="s">
        <v>66</v>
      </c>
      <c r="Q6" s="162"/>
      <c r="R6" s="111" t="s">
        <v>67</v>
      </c>
      <c r="S6" s="162"/>
      <c r="T6" s="111" t="s">
        <v>68</v>
      </c>
      <c r="AC6" s="12" t="s">
        <v>174</v>
      </c>
    </row>
    <row r="7" spans="2:33" ht="20.25" customHeight="1" x14ac:dyDescent="0.25">
      <c r="B7" s="158" t="s">
        <v>126</v>
      </c>
      <c r="C7" s="162"/>
      <c r="D7" s="162" t="s">
        <v>208</v>
      </c>
      <c r="E7" s="162"/>
      <c r="F7" s="112">
        <v>1092</v>
      </c>
      <c r="G7" s="162"/>
      <c r="H7" s="112">
        <v>200</v>
      </c>
      <c r="I7" s="162"/>
      <c r="J7" s="112">
        <v>218400</v>
      </c>
      <c r="K7" s="162"/>
      <c r="L7" s="189">
        <v>-31383</v>
      </c>
      <c r="M7" s="162"/>
      <c r="N7" s="112">
        <f>L7+J7</f>
        <v>187017</v>
      </c>
      <c r="P7" s="112">
        <v>218400</v>
      </c>
      <c r="Q7" s="162"/>
      <c r="R7" s="189">
        <v>-31383</v>
      </c>
      <c r="S7" s="162"/>
      <c r="T7" s="198">
        <f t="shared" ref="T7:T9" si="0">P7+R7</f>
        <v>187017</v>
      </c>
    </row>
    <row r="8" spans="2:33" ht="19.5" customHeight="1" x14ac:dyDescent="0.25">
      <c r="B8" s="158" t="s">
        <v>125</v>
      </c>
      <c r="C8" s="162"/>
      <c r="D8" s="162" t="s">
        <v>212</v>
      </c>
      <c r="E8" s="162"/>
      <c r="F8" s="112">
        <v>1068</v>
      </c>
      <c r="G8" s="162"/>
      <c r="H8" s="112">
        <v>190</v>
      </c>
      <c r="I8" s="162"/>
      <c r="J8" s="112">
        <v>202920</v>
      </c>
      <c r="K8" s="162"/>
      <c r="L8" s="189">
        <v>-29057</v>
      </c>
      <c r="M8" s="162"/>
      <c r="N8" s="112">
        <f t="shared" ref="N8:N10" si="1">L8+J8</f>
        <v>173863</v>
      </c>
      <c r="P8" s="112">
        <v>202920</v>
      </c>
      <c r="Q8" s="162"/>
      <c r="R8" s="189">
        <v>-29057</v>
      </c>
      <c r="S8" s="162"/>
      <c r="T8" s="198">
        <f t="shared" si="0"/>
        <v>173863</v>
      </c>
    </row>
    <row r="9" spans="2:33" ht="17.25" customHeight="1" x14ac:dyDescent="0.25">
      <c r="B9" s="158" t="s">
        <v>181</v>
      </c>
      <c r="C9" s="162"/>
      <c r="D9" s="162" t="s">
        <v>204</v>
      </c>
      <c r="E9" s="162"/>
      <c r="F9" s="112">
        <v>360000</v>
      </c>
      <c r="G9" s="162"/>
      <c r="H9" s="112">
        <v>1000</v>
      </c>
      <c r="I9" s="162"/>
      <c r="J9" s="112">
        <v>0</v>
      </c>
      <c r="K9" s="162"/>
      <c r="L9" s="189">
        <v>0</v>
      </c>
      <c r="M9" s="162"/>
      <c r="N9" s="112">
        <f t="shared" si="1"/>
        <v>0</v>
      </c>
      <c r="P9" s="112">
        <v>360000000</v>
      </c>
      <c r="Q9" s="162"/>
      <c r="R9" s="189">
        <v>-20684312</v>
      </c>
      <c r="S9" s="162"/>
      <c r="T9" s="198">
        <f t="shared" si="0"/>
        <v>339315688</v>
      </c>
    </row>
    <row r="10" spans="2:33" ht="19.5" customHeight="1" thickBot="1" x14ac:dyDescent="0.3">
      <c r="B10" s="158" t="s">
        <v>188</v>
      </c>
      <c r="C10" s="162"/>
      <c r="D10" s="317" t="s">
        <v>213</v>
      </c>
      <c r="E10" s="162"/>
      <c r="F10" s="112">
        <v>1475169</v>
      </c>
      <c r="G10" s="162"/>
      <c r="H10" s="112">
        <v>271</v>
      </c>
      <c r="I10" s="162"/>
      <c r="J10" s="190">
        <v>399770799</v>
      </c>
      <c r="K10" s="162"/>
      <c r="L10" s="189">
        <v>-5402308</v>
      </c>
      <c r="M10" s="162"/>
      <c r="N10" s="112">
        <f t="shared" si="1"/>
        <v>394368491</v>
      </c>
      <c r="P10" s="112">
        <v>399770799</v>
      </c>
      <c r="Q10" s="162"/>
      <c r="R10" s="189">
        <v>-5402308</v>
      </c>
      <c r="S10" s="162"/>
      <c r="T10" s="198">
        <f>P10+R10</f>
        <v>394368491</v>
      </c>
      <c r="V10" s="199"/>
      <c r="W10" s="199"/>
      <c r="X10" s="199"/>
      <c r="Y10" s="199"/>
      <c r="Z10" s="199"/>
    </row>
    <row r="11" spans="2:33" ht="23.25" thickBot="1" x14ac:dyDescent="0.3">
      <c r="B11" s="196" t="s">
        <v>7</v>
      </c>
      <c r="F11" s="92">
        <f>SUM(F7:F10)</f>
        <v>1837329</v>
      </c>
      <c r="H11" s="12"/>
      <c r="J11" s="92">
        <f>SUM(J7:J10)</f>
        <v>400192119</v>
      </c>
      <c r="K11" s="90"/>
      <c r="L11" s="92">
        <f>SUM(L7:L10)</f>
        <v>-5462748</v>
      </c>
      <c r="M11" s="90"/>
      <c r="N11" s="92">
        <f>SUM(N7:N10)</f>
        <v>394729371</v>
      </c>
      <c r="O11" s="90"/>
      <c r="P11" s="92">
        <f>SUM(P7:P10)</f>
        <v>760192119</v>
      </c>
      <c r="Q11" s="91"/>
      <c r="R11" s="92">
        <f>SUM(R7:R10)</f>
        <v>-26147060</v>
      </c>
      <c r="S11" s="91"/>
      <c r="T11" s="92">
        <f>SUM(T7:T10)</f>
        <v>734045059</v>
      </c>
      <c r="AB11" s="12" t="s">
        <v>179</v>
      </c>
    </row>
    <row r="12" spans="2:33" ht="23.25" thickTop="1" x14ac:dyDescent="0.25">
      <c r="H12" s="12"/>
      <c r="V12" s="199"/>
    </row>
    <row r="13" spans="2:33" ht="24.75" x14ac:dyDescent="0.45">
      <c r="J13" s="266"/>
      <c r="L13" s="295"/>
      <c r="M13" s="296"/>
      <c r="N13" s="298"/>
      <c r="O13" s="296"/>
      <c r="P13" s="298"/>
      <c r="Q13" s="296"/>
      <c r="R13" s="295"/>
      <c r="S13" s="296"/>
      <c r="T13" s="298"/>
    </row>
    <row r="14" spans="2:33" ht="24.75" x14ac:dyDescent="0.25">
      <c r="J14" s="266"/>
      <c r="L14" s="299"/>
      <c r="M14" s="296"/>
      <c r="N14" s="298"/>
      <c r="O14" s="296"/>
      <c r="P14" s="300"/>
      <c r="Q14" s="296"/>
      <c r="R14" s="299"/>
      <c r="S14" s="296"/>
      <c r="T14" s="298"/>
    </row>
    <row r="15" spans="2:33" ht="24.75" x14ac:dyDescent="0.25">
      <c r="J15" s="266"/>
      <c r="L15" s="300"/>
      <c r="M15" s="296"/>
      <c r="N15" s="300"/>
      <c r="O15" s="296"/>
      <c r="P15" s="300"/>
      <c r="Q15" s="296"/>
      <c r="R15" s="300"/>
      <c r="S15" s="296"/>
      <c r="T15" s="300"/>
    </row>
    <row r="16" spans="2:33" ht="24.75" x14ac:dyDescent="0.25">
      <c r="J16" s="281"/>
      <c r="L16" s="300"/>
      <c r="M16" s="296"/>
      <c r="N16" s="297"/>
      <c r="O16" s="296"/>
      <c r="P16" s="300"/>
      <c r="Q16" s="296"/>
      <c r="R16" s="300"/>
      <c r="S16" s="296"/>
      <c r="T16" s="293"/>
    </row>
    <row r="17" spans="12:34" x14ac:dyDescent="0.25">
      <c r="L17" s="300"/>
      <c r="M17" s="296"/>
      <c r="N17" s="300"/>
      <c r="O17" s="296"/>
      <c r="P17" s="300"/>
      <c r="Q17" s="296"/>
      <c r="R17" s="300"/>
      <c r="S17" s="296"/>
      <c r="T17" s="300"/>
    </row>
    <row r="27" spans="12:34" x14ac:dyDescent="0.25">
      <c r="X27" s="239"/>
      <c r="Y27" s="239"/>
      <c r="Z27" s="239"/>
      <c r="AA27" s="239"/>
      <c r="AB27" s="239"/>
      <c r="AC27" s="240"/>
      <c r="AD27" s="241"/>
      <c r="AE27" s="242"/>
      <c r="AF27" s="242"/>
      <c r="AG27" s="242"/>
      <c r="AH27" s="242"/>
    </row>
    <row r="31" spans="12:34" ht="27.75" x14ac:dyDescent="0.25">
      <c r="R31" s="146"/>
    </row>
    <row r="79" spans="25:26" x14ac:dyDescent="0.25">
      <c r="Y79" s="312"/>
      <c r="Z79" s="312"/>
    </row>
    <row r="80" spans="25:26" x14ac:dyDescent="0.25">
      <c r="Y80" s="312"/>
      <c r="Z80" s="312"/>
    </row>
    <row r="81" spans="25:26" x14ac:dyDescent="0.25">
      <c r="Y81" s="312"/>
      <c r="Z81" s="312"/>
    </row>
    <row r="82" spans="25:26" x14ac:dyDescent="0.25">
      <c r="Y82" s="312"/>
      <c r="Z82" s="312"/>
    </row>
    <row r="83" spans="25:26" x14ac:dyDescent="0.25">
      <c r="Y83" s="312"/>
      <c r="Z83" s="312"/>
    </row>
    <row r="84" spans="25:26" x14ac:dyDescent="0.25">
      <c r="Y84" s="312"/>
      <c r="Z84" s="312"/>
    </row>
    <row r="85" spans="25:26" x14ac:dyDescent="0.25">
      <c r="Y85" s="312"/>
      <c r="Z85" s="312"/>
    </row>
  </sheetData>
  <mergeCells count="6">
    <mergeCell ref="D5:H5"/>
    <mergeCell ref="J5:N5"/>
    <mergeCell ref="P5:T5"/>
    <mergeCell ref="B1:T1"/>
    <mergeCell ref="B2:T2"/>
    <mergeCell ref="B3:T3"/>
  </mergeCells>
  <phoneticPr fontId="27" type="noConversion"/>
  <printOptions horizontalCentered="1"/>
  <pageMargins left="0.7" right="0.7" top="0.75" bottom="0.75" header="0.3" footer="0.3"/>
  <pageSetup paperSize="9" scale="40" orientation="landscape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B137"/>
  <sheetViews>
    <sheetView rightToLeft="1" view="pageBreakPreview" zoomScale="50" zoomScaleNormal="100" zoomScaleSheetLayoutView="50" workbookViewId="0">
      <selection activeCell="J73" sqref="J73:R76"/>
    </sheetView>
  </sheetViews>
  <sheetFormatPr defaultColWidth="8.85546875" defaultRowHeight="33.75" x14ac:dyDescent="0.25"/>
  <cols>
    <col min="1" max="1" width="2.5703125" style="12" customWidth="1"/>
    <col min="2" max="2" width="42" style="12" bestFit="1" customWidth="1"/>
    <col min="3" max="3" width="1.28515625" style="12" customWidth="1"/>
    <col min="4" max="4" width="24.85546875" style="115" bestFit="1" customWidth="1"/>
    <col min="5" max="5" width="1.140625" style="12" customWidth="1"/>
    <col min="6" max="6" width="31.7109375" style="12" bestFit="1" customWidth="1"/>
    <col min="7" max="7" width="0.7109375" style="12" customWidth="1"/>
    <col min="8" max="8" width="34.140625" style="12" bestFit="1" customWidth="1"/>
    <col min="9" max="9" width="0.7109375" style="12" customWidth="1"/>
    <col min="10" max="10" width="38.42578125" style="12" bestFit="1" customWidth="1"/>
    <col min="11" max="11" width="0.7109375" style="12" customWidth="1"/>
    <col min="12" max="12" width="24.85546875" style="115" bestFit="1" customWidth="1"/>
    <col min="13" max="13" width="1" style="12" customWidth="1"/>
    <col min="14" max="14" width="31.85546875" style="12" bestFit="1" customWidth="1"/>
    <col min="15" max="15" width="0.7109375" style="12" customWidth="1"/>
    <col min="16" max="16" width="32" style="12" bestFit="1" customWidth="1"/>
    <col min="17" max="17" width="1" style="12" customWidth="1"/>
    <col min="18" max="18" width="38.7109375" style="246" bestFit="1" customWidth="1"/>
    <col min="19" max="19" width="37.5703125" style="115" bestFit="1" customWidth="1"/>
    <col min="20" max="20" width="22.28515625" style="12" bestFit="1" customWidth="1"/>
    <col min="21" max="21" width="57.85546875" style="179" bestFit="1" customWidth="1"/>
    <col min="22" max="22" width="57" style="179" customWidth="1"/>
    <col min="23" max="24" width="30.5703125" style="179" bestFit="1" customWidth="1"/>
    <col min="25" max="25" width="28.7109375" style="179" bestFit="1" customWidth="1"/>
    <col min="26" max="26" width="8.85546875" style="179"/>
    <col min="27" max="16384" width="8.85546875" style="12"/>
  </cols>
  <sheetData>
    <row r="1" spans="2:28" x14ac:dyDescent="0.25">
      <c r="B1" s="401" t="str">
        <f>'درآمد ناشی ازفروش'!B1:R1</f>
        <v>صندوق سرمایه گذاری شاخص سی شرکت بزرگ فیروزه</v>
      </c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V1" s="180"/>
    </row>
    <row r="2" spans="2:28" x14ac:dyDescent="0.25">
      <c r="B2" s="401" t="s">
        <v>86</v>
      </c>
      <c r="C2" s="401"/>
      <c r="D2" s="401"/>
      <c r="E2" s="401"/>
      <c r="F2" s="401"/>
      <c r="G2" s="401"/>
      <c r="H2" s="401"/>
      <c r="I2" s="401"/>
      <c r="J2" s="401"/>
      <c r="K2" s="401"/>
      <c r="L2" s="401"/>
      <c r="M2" s="401"/>
      <c r="N2" s="401"/>
      <c r="O2" s="401"/>
      <c r="P2" s="401"/>
      <c r="Q2" s="401"/>
      <c r="R2" s="401"/>
      <c r="V2" s="180"/>
    </row>
    <row r="3" spans="2:28" x14ac:dyDescent="0.25">
      <c r="B3" s="401" t="str">
        <f>' سهام'!AC6</f>
        <v>برای ماه منتهی به 1405/02/31</v>
      </c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V3" s="180"/>
    </row>
    <row r="4" spans="2:28" x14ac:dyDescent="0.25">
      <c r="B4" s="417" t="s">
        <v>96</v>
      </c>
      <c r="C4" s="417"/>
      <c r="D4" s="417"/>
      <c r="E4" s="417"/>
      <c r="F4" s="417"/>
      <c r="G4" s="417"/>
      <c r="H4" s="417"/>
      <c r="I4" s="417"/>
      <c r="V4" s="180"/>
      <c r="AB4" s="12" t="s">
        <v>155</v>
      </c>
    </row>
    <row r="5" spans="2:28" ht="34.5" thickBot="1" x14ac:dyDescent="0.3">
      <c r="D5" s="412" t="str">
        <f>' سهام'!AC7</f>
        <v>طی اردیبهشت ماه</v>
      </c>
      <c r="E5" s="412"/>
      <c r="F5" s="412"/>
      <c r="G5" s="412"/>
      <c r="H5" s="412"/>
      <c r="I5" s="412"/>
      <c r="J5" s="412"/>
      <c r="L5" s="412" t="str">
        <f>' سهام'!AC8</f>
        <v>از ابتدای سال مالی تا پایان اردیبهشت ماه</v>
      </c>
      <c r="M5" s="412"/>
      <c r="N5" s="412"/>
      <c r="O5" s="412"/>
      <c r="P5" s="412"/>
      <c r="Q5" s="412"/>
      <c r="R5" s="412"/>
      <c r="V5" s="180"/>
      <c r="AB5" s="12" t="s">
        <v>156</v>
      </c>
    </row>
    <row r="6" spans="2:28" ht="53.25" customHeight="1" thickBot="1" x14ac:dyDescent="0.3">
      <c r="B6" s="12" t="s">
        <v>63</v>
      </c>
      <c r="D6" s="110" t="s">
        <v>8</v>
      </c>
      <c r="F6" s="181" t="s">
        <v>31</v>
      </c>
      <c r="H6" s="129" t="s">
        <v>73</v>
      </c>
      <c r="J6" s="181" t="s">
        <v>74</v>
      </c>
      <c r="L6" s="110" t="s">
        <v>8</v>
      </c>
      <c r="N6" s="181" t="s">
        <v>31</v>
      </c>
      <c r="P6" s="129" t="s">
        <v>73</v>
      </c>
      <c r="R6" s="247" t="s">
        <v>74</v>
      </c>
      <c r="U6" s="180"/>
      <c r="V6" s="180"/>
      <c r="AB6" s="12" t="s">
        <v>157</v>
      </c>
    </row>
    <row r="7" spans="2:28" s="183" customFormat="1" ht="30" customHeight="1" x14ac:dyDescent="0.25">
      <c r="B7" s="182" t="s">
        <v>121</v>
      </c>
      <c r="C7" s="182"/>
      <c r="D7" s="101">
        <v>12900000</v>
      </c>
      <c r="E7" s="101"/>
      <c r="F7" s="101">
        <v>16704369315</v>
      </c>
      <c r="G7" s="101"/>
      <c r="H7" s="101">
        <v>-33408738630</v>
      </c>
      <c r="I7" s="101"/>
      <c r="J7" s="101">
        <f>F7+H7</f>
        <v>-16704369315</v>
      </c>
      <c r="K7" s="101"/>
      <c r="L7" s="101">
        <v>12900000</v>
      </c>
      <c r="M7" s="101"/>
      <c r="N7" s="101">
        <v>16704369315</v>
      </c>
      <c r="O7" s="101"/>
      <c r="P7" s="101">
        <v>-33408738630</v>
      </c>
      <c r="Q7" s="101"/>
      <c r="R7" s="101">
        <f>N7+P7</f>
        <v>-16704369315</v>
      </c>
      <c r="S7" s="303"/>
      <c r="T7" s="303"/>
      <c r="U7" s="180"/>
      <c r="V7" s="180"/>
      <c r="W7" s="179"/>
      <c r="X7" s="179"/>
      <c r="Y7" s="184"/>
      <c r="Z7" s="179"/>
      <c r="AB7" s="183" t="s">
        <v>158</v>
      </c>
    </row>
    <row r="8" spans="2:28" s="183" customFormat="1" ht="30" customHeight="1" x14ac:dyDescent="0.25">
      <c r="B8" s="182" t="s">
        <v>118</v>
      </c>
      <c r="C8" s="182"/>
      <c r="D8" s="101">
        <v>5000000</v>
      </c>
      <c r="E8" s="101"/>
      <c r="F8" s="101">
        <v>65881766650</v>
      </c>
      <c r="G8" s="101"/>
      <c r="H8" s="101">
        <v>-94116809500</v>
      </c>
      <c r="I8" s="101"/>
      <c r="J8" s="101">
        <f t="shared" ref="J8:J37" si="0">F8+H8</f>
        <v>-28235042850</v>
      </c>
      <c r="K8" s="101"/>
      <c r="L8" s="101">
        <v>5000000</v>
      </c>
      <c r="M8" s="101"/>
      <c r="N8" s="101">
        <v>65881766650</v>
      </c>
      <c r="O8" s="101"/>
      <c r="P8" s="101">
        <v>-94116809500</v>
      </c>
      <c r="Q8" s="101"/>
      <c r="R8" s="101">
        <f t="shared" ref="R8:R37" si="1">N8+P8</f>
        <v>-28235042850</v>
      </c>
      <c r="S8" s="303"/>
      <c r="T8" s="303"/>
      <c r="U8" s="180"/>
      <c r="V8" s="180"/>
      <c r="W8" s="179"/>
      <c r="X8" s="179"/>
      <c r="Y8" s="184"/>
      <c r="Z8" s="179"/>
      <c r="AB8" s="183" t="s">
        <v>159</v>
      </c>
    </row>
    <row r="9" spans="2:28" s="183" customFormat="1" ht="30" customHeight="1" x14ac:dyDescent="0.25">
      <c r="B9" s="182" t="s">
        <v>114</v>
      </c>
      <c r="C9" s="182"/>
      <c r="D9" s="101">
        <v>1000</v>
      </c>
      <c r="E9" s="101"/>
      <c r="F9" s="101">
        <v>1903173</v>
      </c>
      <c r="G9" s="101"/>
      <c r="H9" s="101">
        <v>-2718819</v>
      </c>
      <c r="I9" s="101"/>
      <c r="J9" s="101">
        <f t="shared" si="0"/>
        <v>-815646</v>
      </c>
      <c r="K9" s="101"/>
      <c r="L9" s="101">
        <v>1000</v>
      </c>
      <c r="M9" s="101"/>
      <c r="N9" s="101">
        <v>1903173</v>
      </c>
      <c r="O9" s="101"/>
      <c r="P9" s="101">
        <v>-2718819</v>
      </c>
      <c r="Q9" s="101"/>
      <c r="R9" s="101">
        <f t="shared" si="1"/>
        <v>-815646</v>
      </c>
      <c r="S9" s="303"/>
      <c r="T9" s="303"/>
      <c r="U9" s="180"/>
      <c r="V9" s="180"/>
      <c r="W9" s="179"/>
      <c r="X9" s="179"/>
      <c r="Y9" s="184"/>
      <c r="Z9" s="179"/>
    </row>
    <row r="10" spans="2:28" s="183" customFormat="1" ht="30" customHeight="1" x14ac:dyDescent="0.25">
      <c r="B10" s="182" t="s">
        <v>122</v>
      </c>
      <c r="C10" s="182"/>
      <c r="D10" s="101">
        <v>1000</v>
      </c>
      <c r="E10" s="101"/>
      <c r="F10" s="101">
        <v>12373606</v>
      </c>
      <c r="G10" s="101"/>
      <c r="H10" s="101">
        <v>-12413297</v>
      </c>
      <c r="I10" s="101"/>
      <c r="J10" s="101">
        <f t="shared" si="0"/>
        <v>-39691</v>
      </c>
      <c r="K10" s="101"/>
      <c r="L10" s="101">
        <v>1000</v>
      </c>
      <c r="M10" s="101"/>
      <c r="N10" s="101">
        <v>12373606</v>
      </c>
      <c r="O10" s="101"/>
      <c r="P10" s="101">
        <v>-12413297</v>
      </c>
      <c r="Q10" s="101"/>
      <c r="R10" s="101">
        <f t="shared" si="1"/>
        <v>-39691</v>
      </c>
      <c r="S10" s="303"/>
      <c r="T10" s="303"/>
      <c r="U10" s="180"/>
      <c r="V10" s="180"/>
      <c r="W10" s="179"/>
      <c r="X10" s="179"/>
      <c r="Y10" s="184"/>
      <c r="Z10" s="179"/>
    </row>
    <row r="11" spans="2:28" s="183" customFormat="1" ht="30" customHeight="1" x14ac:dyDescent="0.25">
      <c r="B11" s="182" t="s">
        <v>202</v>
      </c>
      <c r="C11" s="182"/>
      <c r="D11" s="101">
        <v>2488888</v>
      </c>
      <c r="E11" s="101"/>
      <c r="F11" s="101">
        <v>22226840061</v>
      </c>
      <c r="G11" s="101"/>
      <c r="H11" s="101">
        <v>-22046555692</v>
      </c>
      <c r="I11" s="101"/>
      <c r="J11" s="101">
        <f t="shared" si="0"/>
        <v>180284369</v>
      </c>
      <c r="K11" s="101"/>
      <c r="L11" s="101">
        <v>2488888</v>
      </c>
      <c r="M11" s="101"/>
      <c r="N11" s="101">
        <v>22226840061</v>
      </c>
      <c r="O11" s="101"/>
      <c r="P11" s="101">
        <v>-22046555693</v>
      </c>
      <c r="Q11" s="101"/>
      <c r="R11" s="101">
        <f t="shared" si="1"/>
        <v>180284368</v>
      </c>
      <c r="S11" s="303"/>
      <c r="T11" s="303"/>
      <c r="U11" s="180"/>
      <c r="V11" s="180"/>
      <c r="W11" s="179"/>
      <c r="X11" s="179"/>
      <c r="Y11" s="184"/>
      <c r="Z11" s="179"/>
    </row>
    <row r="12" spans="2:28" s="183" customFormat="1" ht="30" customHeight="1" x14ac:dyDescent="0.25">
      <c r="B12" s="182" t="s">
        <v>211</v>
      </c>
      <c r="C12" s="182"/>
      <c r="D12" s="101">
        <v>14241</v>
      </c>
      <c r="E12" s="101"/>
      <c r="F12" s="101">
        <v>11431911</v>
      </c>
      <c r="G12" s="101"/>
      <c r="H12" s="101">
        <v>-7519248</v>
      </c>
      <c r="I12" s="101"/>
      <c r="J12" s="101">
        <f t="shared" si="0"/>
        <v>3912663</v>
      </c>
      <c r="K12" s="101"/>
      <c r="L12" s="101">
        <v>14241</v>
      </c>
      <c r="M12" s="101"/>
      <c r="N12" s="101">
        <v>11431911</v>
      </c>
      <c r="O12" s="101"/>
      <c r="P12" s="101">
        <v>-7519248</v>
      </c>
      <c r="Q12" s="101"/>
      <c r="R12" s="101">
        <f t="shared" si="1"/>
        <v>3912663</v>
      </c>
      <c r="S12" s="303"/>
      <c r="T12" s="303"/>
      <c r="U12" s="180"/>
      <c r="V12" s="180"/>
      <c r="W12" s="179"/>
      <c r="X12" s="179"/>
      <c r="Y12" s="184"/>
      <c r="Z12" s="179"/>
    </row>
    <row r="13" spans="2:28" s="183" customFormat="1" ht="30" customHeight="1" x14ac:dyDescent="0.25">
      <c r="B13" s="182" t="s">
        <v>160</v>
      </c>
      <c r="C13" s="182"/>
      <c r="D13" s="101">
        <v>58000000</v>
      </c>
      <c r="E13" s="101"/>
      <c r="F13" s="101">
        <v>123505862360</v>
      </c>
      <c r="G13" s="101"/>
      <c r="H13" s="101">
        <v>-116484559840</v>
      </c>
      <c r="I13" s="101"/>
      <c r="J13" s="101">
        <f t="shared" si="0"/>
        <v>7021302520</v>
      </c>
      <c r="K13" s="101"/>
      <c r="L13" s="101">
        <v>58000000</v>
      </c>
      <c r="M13" s="101"/>
      <c r="N13" s="101">
        <v>123505862360</v>
      </c>
      <c r="O13" s="101"/>
      <c r="P13" s="101">
        <v>-116484559840</v>
      </c>
      <c r="Q13" s="101"/>
      <c r="R13" s="101">
        <f t="shared" si="1"/>
        <v>7021302520</v>
      </c>
      <c r="S13" s="303"/>
      <c r="T13" s="303"/>
      <c r="U13" s="180"/>
      <c r="V13" s="180"/>
      <c r="W13" s="179"/>
      <c r="X13" s="179"/>
      <c r="Y13" s="184"/>
      <c r="Z13" s="179"/>
    </row>
    <row r="14" spans="2:28" s="183" customFormat="1" ht="30" customHeight="1" x14ac:dyDescent="0.25">
      <c r="B14" s="182" t="s">
        <v>126</v>
      </c>
      <c r="C14" s="182"/>
      <c r="D14" s="101">
        <v>1092</v>
      </c>
      <c r="E14" s="101"/>
      <c r="F14" s="101">
        <v>2133527</v>
      </c>
      <c r="G14" s="101"/>
      <c r="H14" s="101">
        <v>-2298833</v>
      </c>
      <c r="I14" s="101"/>
      <c r="J14" s="101">
        <f t="shared" si="0"/>
        <v>-165306</v>
      </c>
      <c r="K14" s="101"/>
      <c r="L14" s="101">
        <v>1092</v>
      </c>
      <c r="M14" s="101"/>
      <c r="N14" s="101">
        <v>2133527</v>
      </c>
      <c r="O14" s="101"/>
      <c r="P14" s="101">
        <v>-2298833</v>
      </c>
      <c r="Q14" s="101"/>
      <c r="R14" s="101">
        <f t="shared" si="1"/>
        <v>-165306</v>
      </c>
      <c r="S14" s="303"/>
      <c r="T14" s="303"/>
      <c r="U14" s="180"/>
      <c r="V14" s="180"/>
      <c r="W14" s="179"/>
      <c r="X14" s="179"/>
      <c r="Y14" s="184"/>
      <c r="Z14" s="179"/>
    </row>
    <row r="15" spans="2:28" s="183" customFormat="1" ht="30" customHeight="1" x14ac:dyDescent="0.25">
      <c r="B15" s="182" t="s">
        <v>143</v>
      </c>
      <c r="C15" s="182"/>
      <c r="D15" s="101">
        <v>1000</v>
      </c>
      <c r="E15" s="101"/>
      <c r="F15" s="101">
        <v>2732711</v>
      </c>
      <c r="G15" s="101"/>
      <c r="H15" s="101">
        <v>-2745611</v>
      </c>
      <c r="I15" s="101"/>
      <c r="J15" s="101">
        <f t="shared" si="0"/>
        <v>-12900</v>
      </c>
      <c r="K15" s="101"/>
      <c r="L15" s="101">
        <v>1000</v>
      </c>
      <c r="M15" s="101"/>
      <c r="N15" s="101">
        <v>2732711</v>
      </c>
      <c r="O15" s="101"/>
      <c r="P15" s="101">
        <v>-2745611</v>
      </c>
      <c r="Q15" s="101"/>
      <c r="R15" s="101">
        <f t="shared" si="1"/>
        <v>-12900</v>
      </c>
      <c r="S15" s="303"/>
      <c r="T15" s="303"/>
      <c r="U15" s="180"/>
      <c r="V15" s="180"/>
      <c r="W15" s="179"/>
      <c r="X15" s="179"/>
      <c r="Y15" s="184"/>
      <c r="Z15" s="179"/>
    </row>
    <row r="16" spans="2:28" s="183" customFormat="1" ht="30" customHeight="1" x14ac:dyDescent="0.25">
      <c r="B16" s="182" t="s">
        <v>176</v>
      </c>
      <c r="C16" s="182"/>
      <c r="D16" s="101">
        <v>25882352</v>
      </c>
      <c r="E16" s="101"/>
      <c r="F16" s="101">
        <v>158177171259</v>
      </c>
      <c r="G16" s="101"/>
      <c r="H16" s="101">
        <v>-158177171259</v>
      </c>
      <c r="I16" s="101"/>
      <c r="J16" s="101">
        <f t="shared" si="0"/>
        <v>0</v>
      </c>
      <c r="K16" s="101"/>
      <c r="L16" s="101">
        <v>25882352</v>
      </c>
      <c r="M16" s="101"/>
      <c r="N16" s="101">
        <v>158177171259</v>
      </c>
      <c r="O16" s="101"/>
      <c r="P16" s="101">
        <v>-158177171259</v>
      </c>
      <c r="Q16" s="101"/>
      <c r="R16" s="101">
        <f t="shared" si="1"/>
        <v>0</v>
      </c>
      <c r="S16" s="303"/>
      <c r="T16" s="303"/>
      <c r="U16" s="180"/>
      <c r="V16" s="180"/>
      <c r="W16" s="179"/>
      <c r="X16" s="179"/>
      <c r="Y16" s="184"/>
      <c r="Z16" s="179"/>
    </row>
    <row r="17" spans="2:26" s="183" customFormat="1" ht="30" customHeight="1" x14ac:dyDescent="0.25">
      <c r="B17" s="182" t="s">
        <v>186</v>
      </c>
      <c r="C17" s="182"/>
      <c r="D17" s="101">
        <v>401250</v>
      </c>
      <c r="E17" s="101"/>
      <c r="F17" s="101">
        <v>5023437574</v>
      </c>
      <c r="G17" s="101"/>
      <c r="H17" s="101">
        <v>-5023437574</v>
      </c>
      <c r="I17" s="101"/>
      <c r="J17" s="101">
        <f t="shared" si="0"/>
        <v>0</v>
      </c>
      <c r="K17" s="101"/>
      <c r="L17" s="101">
        <v>401250</v>
      </c>
      <c r="M17" s="101"/>
      <c r="N17" s="101">
        <v>5023437574</v>
      </c>
      <c r="O17" s="101"/>
      <c r="P17" s="101">
        <v>-5023304858</v>
      </c>
      <c r="Q17" s="101"/>
      <c r="R17" s="101">
        <f t="shared" si="1"/>
        <v>132716</v>
      </c>
      <c r="S17" s="303"/>
      <c r="T17" s="303"/>
      <c r="U17" s="180"/>
      <c r="V17" s="180"/>
      <c r="W17" s="179"/>
      <c r="X17" s="179"/>
      <c r="Y17" s="184"/>
      <c r="Z17" s="179"/>
    </row>
    <row r="18" spans="2:26" s="183" customFormat="1" ht="30" customHeight="1" x14ac:dyDescent="0.25">
      <c r="B18" s="182" t="s">
        <v>192</v>
      </c>
      <c r="C18" s="182"/>
      <c r="D18" s="101">
        <v>335212</v>
      </c>
      <c r="E18" s="101"/>
      <c r="F18" s="101">
        <v>12616307370</v>
      </c>
      <c r="G18" s="101"/>
      <c r="H18" s="101">
        <v>-11894520209</v>
      </c>
      <c r="I18" s="101"/>
      <c r="J18" s="101">
        <f t="shared" si="0"/>
        <v>721787161</v>
      </c>
      <c r="K18" s="101"/>
      <c r="L18" s="101">
        <v>335212</v>
      </c>
      <c r="M18" s="101"/>
      <c r="N18" s="101">
        <v>12616307370</v>
      </c>
      <c r="O18" s="101"/>
      <c r="P18" s="101">
        <v>-11894520209</v>
      </c>
      <c r="Q18" s="101"/>
      <c r="R18" s="101">
        <f t="shared" si="1"/>
        <v>721787161</v>
      </c>
      <c r="S18" s="303"/>
      <c r="T18" s="303"/>
      <c r="U18" s="180"/>
      <c r="V18" s="180"/>
      <c r="W18" s="179"/>
      <c r="X18" s="179"/>
      <c r="Y18" s="184"/>
      <c r="Z18" s="179"/>
    </row>
    <row r="19" spans="2:26" s="183" customFormat="1" ht="30" customHeight="1" x14ac:dyDescent="0.25">
      <c r="B19" s="182" t="s">
        <v>191</v>
      </c>
      <c r="C19" s="182"/>
      <c r="D19" s="101">
        <v>837500</v>
      </c>
      <c r="E19" s="101"/>
      <c r="F19" s="101">
        <v>3423827635</v>
      </c>
      <c r="G19" s="101"/>
      <c r="H19" s="101">
        <v>-3451251497</v>
      </c>
      <c r="I19" s="101"/>
      <c r="J19" s="101">
        <f t="shared" si="0"/>
        <v>-27423862</v>
      </c>
      <c r="K19" s="101"/>
      <c r="L19" s="101">
        <v>837500</v>
      </c>
      <c r="M19" s="101"/>
      <c r="N19" s="101">
        <v>3423827635</v>
      </c>
      <c r="O19" s="101"/>
      <c r="P19" s="101">
        <v>-3451251497</v>
      </c>
      <c r="Q19" s="101"/>
      <c r="R19" s="101">
        <f t="shared" si="1"/>
        <v>-27423862</v>
      </c>
      <c r="S19" s="303"/>
      <c r="T19" s="303"/>
      <c r="U19" s="180"/>
      <c r="V19" s="180"/>
      <c r="W19" s="179"/>
      <c r="X19" s="179"/>
      <c r="Y19" s="184"/>
      <c r="Z19" s="179"/>
    </row>
    <row r="20" spans="2:26" s="183" customFormat="1" ht="30" customHeight="1" x14ac:dyDescent="0.25">
      <c r="B20" s="182" t="s">
        <v>137</v>
      </c>
      <c r="C20" s="182"/>
      <c r="D20" s="101">
        <v>18000000</v>
      </c>
      <c r="E20" s="101"/>
      <c r="F20" s="101">
        <v>71889961500</v>
      </c>
      <c r="G20" s="101"/>
      <c r="H20" s="101">
        <v>-102699945000</v>
      </c>
      <c r="I20" s="101"/>
      <c r="J20" s="101">
        <f t="shared" si="0"/>
        <v>-30809983500</v>
      </c>
      <c r="K20" s="101"/>
      <c r="L20" s="101">
        <v>18000000</v>
      </c>
      <c r="M20" s="101"/>
      <c r="N20" s="101">
        <v>71889961500</v>
      </c>
      <c r="O20" s="101"/>
      <c r="P20" s="101">
        <v>-102699945000</v>
      </c>
      <c r="Q20" s="101"/>
      <c r="R20" s="101">
        <f t="shared" si="1"/>
        <v>-30809983500</v>
      </c>
      <c r="S20" s="303"/>
      <c r="T20" s="303"/>
      <c r="U20" s="180"/>
      <c r="V20" s="180"/>
      <c r="W20" s="179"/>
      <c r="X20" s="179"/>
      <c r="Y20" s="184"/>
      <c r="Z20" s="179"/>
    </row>
    <row r="21" spans="2:26" s="183" customFormat="1" ht="30" customHeight="1" x14ac:dyDescent="0.25">
      <c r="B21" s="182" t="s">
        <v>115</v>
      </c>
      <c r="C21" s="182"/>
      <c r="D21" s="101">
        <v>50607433</v>
      </c>
      <c r="E21" s="101"/>
      <c r="F21" s="101">
        <v>458092605361</v>
      </c>
      <c r="G21" s="101"/>
      <c r="H21" s="101">
        <v>-654418007659</v>
      </c>
      <c r="I21" s="101"/>
      <c r="J21" s="101">
        <f t="shared" si="0"/>
        <v>-196325402298</v>
      </c>
      <c r="K21" s="101"/>
      <c r="L21" s="101">
        <v>50607433</v>
      </c>
      <c r="M21" s="101"/>
      <c r="N21" s="101">
        <v>458092605361</v>
      </c>
      <c r="O21" s="101"/>
      <c r="P21" s="101">
        <v>-654418007659</v>
      </c>
      <c r="Q21" s="101"/>
      <c r="R21" s="101">
        <f t="shared" si="1"/>
        <v>-196325402298</v>
      </c>
      <c r="S21" s="303"/>
      <c r="T21" s="303"/>
      <c r="U21" s="180"/>
      <c r="V21" s="180"/>
      <c r="W21" s="179"/>
      <c r="X21" s="179"/>
      <c r="Y21" s="184"/>
      <c r="Z21" s="179"/>
    </row>
    <row r="22" spans="2:26" s="183" customFormat="1" ht="30" customHeight="1" x14ac:dyDescent="0.25">
      <c r="B22" s="182" t="s">
        <v>116</v>
      </c>
      <c r="C22" s="182"/>
      <c r="D22" s="101">
        <v>100000</v>
      </c>
      <c r="E22" s="101"/>
      <c r="F22" s="101">
        <v>3042299820</v>
      </c>
      <c r="G22" s="101"/>
      <c r="H22" s="101">
        <v>-4346142600</v>
      </c>
      <c r="I22" s="101"/>
      <c r="J22" s="101">
        <f t="shared" si="0"/>
        <v>-1303842780</v>
      </c>
      <c r="K22" s="101"/>
      <c r="L22" s="101">
        <v>100000</v>
      </c>
      <c r="M22" s="101"/>
      <c r="N22" s="101">
        <v>3042299820</v>
      </c>
      <c r="O22" s="101"/>
      <c r="P22" s="101">
        <v>-4346142600</v>
      </c>
      <c r="Q22" s="101"/>
      <c r="R22" s="101">
        <f t="shared" si="1"/>
        <v>-1303842780</v>
      </c>
      <c r="S22" s="303"/>
      <c r="T22" s="303"/>
      <c r="U22" s="180"/>
      <c r="V22" s="180"/>
      <c r="W22" s="179"/>
      <c r="X22" s="179"/>
      <c r="Y22" s="184"/>
      <c r="Z22" s="179"/>
    </row>
    <row r="23" spans="2:26" s="183" customFormat="1" ht="30" customHeight="1" x14ac:dyDescent="0.25">
      <c r="B23" s="182" t="s">
        <v>139</v>
      </c>
      <c r="C23" s="182"/>
      <c r="D23" s="101">
        <v>1400</v>
      </c>
      <c r="E23" s="101"/>
      <c r="F23" s="101">
        <v>23838016</v>
      </c>
      <c r="G23" s="101"/>
      <c r="H23" s="101">
        <v>-34054706</v>
      </c>
      <c r="I23" s="101"/>
      <c r="J23" s="101">
        <f t="shared" si="0"/>
        <v>-10216690</v>
      </c>
      <c r="K23" s="101"/>
      <c r="L23" s="101">
        <v>1400</v>
      </c>
      <c r="M23" s="101"/>
      <c r="N23" s="101">
        <v>23838016</v>
      </c>
      <c r="O23" s="101"/>
      <c r="P23" s="101">
        <v>-34054706</v>
      </c>
      <c r="Q23" s="101"/>
      <c r="R23" s="101">
        <f t="shared" si="1"/>
        <v>-10216690</v>
      </c>
      <c r="S23" s="303"/>
      <c r="T23" s="303"/>
      <c r="U23" s="180"/>
      <c r="V23" s="180"/>
      <c r="W23" s="179"/>
      <c r="X23" s="179"/>
      <c r="Y23" s="184"/>
      <c r="Z23" s="179"/>
    </row>
    <row r="24" spans="2:26" s="183" customFormat="1" ht="30" customHeight="1" x14ac:dyDescent="0.25">
      <c r="B24" s="182" t="s">
        <v>124</v>
      </c>
      <c r="C24" s="182"/>
      <c r="D24" s="101">
        <v>1000</v>
      </c>
      <c r="E24" s="101"/>
      <c r="F24" s="101">
        <v>444536</v>
      </c>
      <c r="G24" s="101"/>
      <c r="H24" s="101">
        <v>-419730</v>
      </c>
      <c r="I24" s="101"/>
      <c r="J24" s="101">
        <v>0</v>
      </c>
      <c r="K24" s="101"/>
      <c r="L24" s="101">
        <v>1000</v>
      </c>
      <c r="M24" s="101"/>
      <c r="N24" s="101">
        <v>444536</v>
      </c>
      <c r="O24" s="101"/>
      <c r="P24" s="101">
        <v>-419730</v>
      </c>
      <c r="Q24" s="101"/>
      <c r="R24" s="101">
        <f t="shared" si="1"/>
        <v>24806</v>
      </c>
      <c r="S24" s="303"/>
      <c r="T24" s="303"/>
      <c r="U24" s="180"/>
      <c r="V24" s="180"/>
      <c r="W24" s="179"/>
      <c r="X24" s="179"/>
      <c r="Y24" s="184"/>
      <c r="Z24" s="179"/>
    </row>
    <row r="25" spans="2:26" s="183" customFormat="1" ht="23.25" customHeight="1" x14ac:dyDescent="0.25">
      <c r="B25" s="182" t="s">
        <v>129</v>
      </c>
      <c r="C25" s="182"/>
      <c r="D25" s="101">
        <v>6800000</v>
      </c>
      <c r="E25" s="101"/>
      <c r="F25" s="101">
        <v>107554129840</v>
      </c>
      <c r="G25" s="101"/>
      <c r="H25" s="101">
        <v>-114638937630</v>
      </c>
      <c r="I25" s="101"/>
      <c r="J25" s="101">
        <f t="shared" si="0"/>
        <v>-7084807790</v>
      </c>
      <c r="K25" s="101"/>
      <c r="L25" s="101">
        <v>6800000</v>
      </c>
      <c r="M25" s="101"/>
      <c r="N25" s="101">
        <v>107554129840</v>
      </c>
      <c r="O25" s="101"/>
      <c r="P25" s="101">
        <v>-114638937630</v>
      </c>
      <c r="Q25" s="101"/>
      <c r="R25" s="101">
        <f t="shared" si="1"/>
        <v>-7084807790</v>
      </c>
      <c r="S25" s="303"/>
      <c r="T25" s="303"/>
      <c r="U25" s="180"/>
      <c r="V25" s="180"/>
      <c r="W25" s="179"/>
      <c r="X25" s="179"/>
      <c r="Y25" s="184"/>
      <c r="Z25" s="179"/>
    </row>
    <row r="26" spans="2:26" s="183" customFormat="1" ht="23.25" customHeight="1" x14ac:dyDescent="0.25">
      <c r="B26" s="182" t="s">
        <v>190</v>
      </c>
      <c r="C26" s="182"/>
      <c r="D26" s="101">
        <v>99982360</v>
      </c>
      <c r="E26" s="101"/>
      <c r="F26" s="101">
        <v>290088567348</v>
      </c>
      <c r="G26" s="101"/>
      <c r="H26" s="101">
        <v>-290187776844</v>
      </c>
      <c r="I26" s="101"/>
      <c r="J26" s="101">
        <f t="shared" si="0"/>
        <v>-99209496</v>
      </c>
      <c r="K26" s="101"/>
      <c r="L26" s="101">
        <v>99982360</v>
      </c>
      <c r="M26" s="101"/>
      <c r="N26" s="101">
        <v>290088567348</v>
      </c>
      <c r="O26" s="101"/>
      <c r="P26" s="101">
        <v>-290187776844</v>
      </c>
      <c r="Q26" s="101"/>
      <c r="R26" s="101">
        <f t="shared" si="1"/>
        <v>-99209496</v>
      </c>
      <c r="S26" s="303"/>
      <c r="T26" s="303"/>
      <c r="U26" s="180"/>
      <c r="V26" s="180"/>
      <c r="W26" s="179"/>
      <c r="X26" s="179"/>
      <c r="Y26" s="184"/>
      <c r="Z26" s="179"/>
    </row>
    <row r="27" spans="2:26" s="183" customFormat="1" ht="23.25" customHeight="1" x14ac:dyDescent="0.25">
      <c r="B27" s="182" t="s">
        <v>111</v>
      </c>
      <c r="C27" s="182"/>
      <c r="D27" s="101">
        <v>119060440</v>
      </c>
      <c r="E27" s="101"/>
      <c r="F27" s="101">
        <v>611965732497</v>
      </c>
      <c r="G27" s="101"/>
      <c r="H27" s="101">
        <v>-610246050000</v>
      </c>
      <c r="I27" s="101"/>
      <c r="J27" s="101">
        <f t="shared" si="0"/>
        <v>1719682497</v>
      </c>
      <c r="K27" s="101"/>
      <c r="L27" s="101">
        <v>119060440</v>
      </c>
      <c r="M27" s="101"/>
      <c r="N27" s="101">
        <v>611965732497</v>
      </c>
      <c r="O27" s="101"/>
      <c r="P27" s="101">
        <v>-610246050000</v>
      </c>
      <c r="Q27" s="101"/>
      <c r="R27" s="101">
        <f t="shared" si="1"/>
        <v>1719682497</v>
      </c>
      <c r="S27" s="303"/>
      <c r="T27" s="303"/>
      <c r="U27" s="180"/>
      <c r="V27" s="180"/>
      <c r="W27" s="179"/>
      <c r="X27" s="179"/>
      <c r="Y27" s="184"/>
      <c r="Z27" s="179"/>
    </row>
    <row r="28" spans="2:26" s="183" customFormat="1" ht="23.25" customHeight="1" x14ac:dyDescent="0.25">
      <c r="B28" s="182" t="s">
        <v>175</v>
      </c>
      <c r="C28" s="182"/>
      <c r="D28" s="101">
        <v>34000000</v>
      </c>
      <c r="E28" s="101"/>
      <c r="F28" s="101">
        <v>143787861160</v>
      </c>
      <c r="G28" s="101"/>
      <c r="H28" s="101">
        <v>-147195316340</v>
      </c>
      <c r="I28" s="101"/>
      <c r="J28" s="101">
        <f t="shared" si="0"/>
        <v>-3407455180</v>
      </c>
      <c r="K28" s="101"/>
      <c r="L28" s="101">
        <v>34000000</v>
      </c>
      <c r="M28" s="101"/>
      <c r="N28" s="101">
        <v>143787861160</v>
      </c>
      <c r="O28" s="101"/>
      <c r="P28" s="101">
        <v>-147195316340</v>
      </c>
      <c r="Q28" s="101"/>
      <c r="R28" s="101">
        <f t="shared" si="1"/>
        <v>-3407455180</v>
      </c>
      <c r="S28" s="303"/>
      <c r="T28" s="303"/>
      <c r="U28" s="180"/>
      <c r="V28" s="180"/>
      <c r="W28" s="179"/>
      <c r="X28" s="179"/>
      <c r="Y28" s="184"/>
      <c r="Z28" s="179"/>
    </row>
    <row r="29" spans="2:26" s="183" customFormat="1" ht="23.25" customHeight="1" x14ac:dyDescent="0.25">
      <c r="B29" s="182" t="s">
        <v>194</v>
      </c>
      <c r="C29" s="182"/>
      <c r="D29" s="101">
        <v>375000</v>
      </c>
      <c r="E29" s="101"/>
      <c r="F29" s="101">
        <v>3427052512</v>
      </c>
      <c r="G29" s="101"/>
      <c r="H29" s="101">
        <v>-3657755287</v>
      </c>
      <c r="I29" s="101"/>
      <c r="J29" s="101">
        <f t="shared" si="0"/>
        <v>-230702775</v>
      </c>
      <c r="K29" s="101"/>
      <c r="L29" s="101">
        <v>375000</v>
      </c>
      <c r="M29" s="101"/>
      <c r="N29" s="101">
        <v>3427052512</v>
      </c>
      <c r="O29" s="101"/>
      <c r="P29" s="101">
        <v>-3657755287</v>
      </c>
      <c r="Q29" s="101"/>
      <c r="R29" s="101">
        <f t="shared" si="1"/>
        <v>-230702775</v>
      </c>
      <c r="S29" s="303"/>
      <c r="T29" s="303"/>
      <c r="U29" s="180"/>
      <c r="V29" s="180"/>
      <c r="W29" s="179"/>
      <c r="X29" s="179"/>
      <c r="Y29" s="184"/>
      <c r="Z29" s="179"/>
    </row>
    <row r="30" spans="2:26" s="183" customFormat="1" ht="23.25" customHeight="1" x14ac:dyDescent="0.25">
      <c r="B30" s="182" t="s">
        <v>110</v>
      </c>
      <c r="C30" s="182"/>
      <c r="D30" s="101">
        <v>782067055</v>
      </c>
      <c r="E30" s="101"/>
      <c r="F30" s="101">
        <v>730236397741</v>
      </c>
      <c r="G30" s="101"/>
      <c r="H30" s="101">
        <v>-677466923728</v>
      </c>
      <c r="I30" s="101"/>
      <c r="J30" s="101">
        <f t="shared" si="0"/>
        <v>52769474013</v>
      </c>
      <c r="K30" s="101"/>
      <c r="L30" s="101">
        <v>782067055</v>
      </c>
      <c r="M30" s="101"/>
      <c r="N30" s="101">
        <v>730236397741</v>
      </c>
      <c r="O30" s="101"/>
      <c r="P30" s="101">
        <v>-677466923727</v>
      </c>
      <c r="Q30" s="101"/>
      <c r="R30" s="101">
        <f t="shared" si="1"/>
        <v>52769474014</v>
      </c>
      <c r="S30" s="303"/>
      <c r="T30" s="303"/>
      <c r="U30" s="180"/>
      <c r="V30" s="180"/>
      <c r="W30" s="179"/>
      <c r="X30" s="179"/>
      <c r="Y30" s="184"/>
      <c r="Z30" s="179"/>
    </row>
    <row r="31" spans="2:26" s="183" customFormat="1" ht="23.25" customHeight="1" x14ac:dyDescent="0.25">
      <c r="B31" s="182" t="s">
        <v>108</v>
      </c>
      <c r="C31" s="182"/>
      <c r="D31" s="101">
        <v>100000000</v>
      </c>
      <c r="E31" s="101"/>
      <c r="F31" s="101">
        <v>45743647000</v>
      </c>
      <c r="G31" s="101"/>
      <c r="H31" s="101">
        <v>-47132825000</v>
      </c>
      <c r="I31" s="101"/>
      <c r="J31" s="101">
        <f t="shared" si="0"/>
        <v>-1389178000</v>
      </c>
      <c r="K31" s="101"/>
      <c r="L31" s="101">
        <v>100000000</v>
      </c>
      <c r="M31" s="101"/>
      <c r="N31" s="101">
        <v>45743647000</v>
      </c>
      <c r="O31" s="101"/>
      <c r="P31" s="101">
        <v>-47132825000</v>
      </c>
      <c r="Q31" s="101"/>
      <c r="R31" s="101">
        <f t="shared" si="1"/>
        <v>-1389178000</v>
      </c>
      <c r="S31" s="303"/>
      <c r="T31" s="303"/>
      <c r="U31" s="180"/>
      <c r="V31" s="180"/>
      <c r="W31" s="179"/>
      <c r="X31" s="179"/>
      <c r="Y31" s="184"/>
      <c r="Z31" s="179"/>
    </row>
    <row r="32" spans="2:26" s="183" customFormat="1" ht="23.25" customHeight="1" x14ac:dyDescent="0.25">
      <c r="B32" s="182" t="s">
        <v>141</v>
      </c>
      <c r="C32" s="182"/>
      <c r="D32" s="101">
        <v>7414814</v>
      </c>
      <c r="E32" s="101"/>
      <c r="F32" s="101">
        <v>73574974877</v>
      </c>
      <c r="G32" s="101"/>
      <c r="H32" s="101">
        <v>-73037877561</v>
      </c>
      <c r="I32" s="101"/>
      <c r="J32" s="101">
        <f t="shared" si="0"/>
        <v>537097316</v>
      </c>
      <c r="K32" s="101"/>
      <c r="L32" s="101">
        <v>7414814</v>
      </c>
      <c r="M32" s="101"/>
      <c r="N32" s="101">
        <v>73574974877</v>
      </c>
      <c r="O32" s="101"/>
      <c r="P32" s="101">
        <v>-73037877561</v>
      </c>
      <c r="Q32" s="101"/>
      <c r="R32" s="101">
        <f t="shared" si="1"/>
        <v>537097316</v>
      </c>
      <c r="S32" s="303"/>
      <c r="T32" s="303"/>
      <c r="U32" s="180"/>
      <c r="V32" s="180"/>
      <c r="W32" s="179"/>
      <c r="X32" s="179"/>
      <c r="Y32" s="184"/>
      <c r="Z32" s="179"/>
    </row>
    <row r="33" spans="2:26" s="183" customFormat="1" ht="23.25" customHeight="1" x14ac:dyDescent="0.25">
      <c r="B33" s="182" t="s">
        <v>103</v>
      </c>
      <c r="C33" s="182"/>
      <c r="D33" s="101">
        <v>256345</v>
      </c>
      <c r="E33" s="101"/>
      <c r="F33" s="101">
        <v>460143486</v>
      </c>
      <c r="G33" s="101"/>
      <c r="H33" s="101">
        <v>-421980350</v>
      </c>
      <c r="I33" s="101"/>
      <c r="J33" s="101">
        <f t="shared" si="0"/>
        <v>38163136</v>
      </c>
      <c r="K33" s="101"/>
      <c r="L33" s="101">
        <v>256345</v>
      </c>
      <c r="M33" s="101"/>
      <c r="N33" s="101">
        <v>460143486</v>
      </c>
      <c r="O33" s="101"/>
      <c r="P33" s="101">
        <v>-421980350</v>
      </c>
      <c r="Q33" s="101"/>
      <c r="R33" s="101">
        <f t="shared" si="1"/>
        <v>38163136</v>
      </c>
      <c r="S33" s="303"/>
      <c r="T33" s="303"/>
      <c r="U33" s="180"/>
      <c r="V33" s="180"/>
      <c r="W33" s="179"/>
      <c r="X33" s="179"/>
      <c r="Y33" s="184"/>
      <c r="Z33" s="179"/>
    </row>
    <row r="34" spans="2:26" s="183" customFormat="1" ht="23.25" customHeight="1" x14ac:dyDescent="0.25">
      <c r="B34" s="182" t="s">
        <v>200</v>
      </c>
      <c r="C34" s="182"/>
      <c r="D34" s="101">
        <v>750000</v>
      </c>
      <c r="E34" s="101"/>
      <c r="F34" s="101">
        <v>6757358700</v>
      </c>
      <c r="G34" s="101"/>
      <c r="H34" s="101">
        <v>-6556424025</v>
      </c>
      <c r="I34" s="101"/>
      <c r="J34" s="101">
        <f t="shared" si="0"/>
        <v>200934675</v>
      </c>
      <c r="K34" s="101"/>
      <c r="L34" s="101">
        <v>750000</v>
      </c>
      <c r="M34" s="101"/>
      <c r="N34" s="101">
        <v>6757358700</v>
      </c>
      <c r="O34" s="101"/>
      <c r="P34" s="101">
        <v>-6556424025</v>
      </c>
      <c r="Q34" s="101"/>
      <c r="R34" s="101">
        <f t="shared" si="1"/>
        <v>200934675</v>
      </c>
      <c r="S34" s="303"/>
      <c r="T34" s="303"/>
      <c r="U34" s="180"/>
      <c r="V34" s="180"/>
      <c r="W34" s="179"/>
      <c r="X34" s="179"/>
      <c r="Y34" s="184"/>
      <c r="Z34" s="179"/>
    </row>
    <row r="35" spans="2:26" s="183" customFormat="1" ht="23.25" customHeight="1" x14ac:dyDescent="0.25">
      <c r="B35" s="182" t="s">
        <v>154</v>
      </c>
      <c r="C35" s="182"/>
      <c r="D35" s="101">
        <v>60000000</v>
      </c>
      <c r="E35" s="101"/>
      <c r="F35" s="101">
        <v>88173112200</v>
      </c>
      <c r="G35" s="101"/>
      <c r="H35" s="101">
        <v>-86625171000</v>
      </c>
      <c r="I35" s="101"/>
      <c r="J35" s="101">
        <f t="shared" si="0"/>
        <v>1547941200</v>
      </c>
      <c r="K35" s="101"/>
      <c r="L35" s="101">
        <v>60000000</v>
      </c>
      <c r="M35" s="101"/>
      <c r="N35" s="101">
        <v>88173112200</v>
      </c>
      <c r="O35" s="101"/>
      <c r="P35" s="101">
        <v>-86625171000</v>
      </c>
      <c r="Q35" s="101"/>
      <c r="R35" s="101">
        <f t="shared" si="1"/>
        <v>1547941200</v>
      </c>
      <c r="S35" s="303"/>
      <c r="T35" s="303"/>
      <c r="U35" s="180"/>
      <c r="V35" s="180"/>
      <c r="W35" s="179"/>
      <c r="X35" s="179"/>
      <c r="Y35" s="184"/>
      <c r="Z35" s="179"/>
    </row>
    <row r="36" spans="2:26" s="183" customFormat="1" ht="23.25" customHeight="1" x14ac:dyDescent="0.25">
      <c r="B36" s="182" t="s">
        <v>152</v>
      </c>
      <c r="C36" s="182"/>
      <c r="D36" s="101">
        <v>2000000</v>
      </c>
      <c r="E36" s="101"/>
      <c r="F36" s="101">
        <v>68923074200</v>
      </c>
      <c r="G36" s="101"/>
      <c r="H36" s="101">
        <v>-64477704600</v>
      </c>
      <c r="I36" s="101"/>
      <c r="J36" s="101">
        <f t="shared" si="0"/>
        <v>4445369600</v>
      </c>
      <c r="K36" s="101"/>
      <c r="L36" s="101">
        <v>2000000</v>
      </c>
      <c r="M36" s="101"/>
      <c r="N36" s="101">
        <v>68923074200</v>
      </c>
      <c r="O36" s="101"/>
      <c r="P36" s="101">
        <v>-64477704600</v>
      </c>
      <c r="Q36" s="101"/>
      <c r="R36" s="101">
        <f t="shared" si="1"/>
        <v>4445369600</v>
      </c>
      <c r="S36" s="303"/>
      <c r="T36" s="303"/>
      <c r="U36" s="180"/>
      <c r="V36" s="180"/>
      <c r="W36" s="179"/>
      <c r="X36" s="179"/>
      <c r="Y36" s="184"/>
      <c r="Z36" s="179"/>
    </row>
    <row r="37" spans="2:26" s="183" customFormat="1" ht="26.1" customHeight="1" thickBot="1" x14ac:dyDescent="0.3">
      <c r="B37" s="182" t="s">
        <v>109</v>
      </c>
      <c r="C37" s="182"/>
      <c r="D37" s="101">
        <v>1000</v>
      </c>
      <c r="E37" s="101"/>
      <c r="F37" s="101">
        <v>5844470</v>
      </c>
      <c r="G37" s="101"/>
      <c r="H37" s="101">
        <v>-5586480</v>
      </c>
      <c r="I37" s="101"/>
      <c r="J37" s="101">
        <f t="shared" si="0"/>
        <v>257990</v>
      </c>
      <c r="K37" s="101"/>
      <c r="L37" s="101">
        <v>1000</v>
      </c>
      <c r="M37" s="101"/>
      <c r="N37" s="101">
        <v>5844470</v>
      </c>
      <c r="O37" s="101"/>
      <c r="P37" s="101">
        <v>-5586480</v>
      </c>
      <c r="Q37" s="101"/>
      <c r="R37" s="101">
        <f t="shared" si="1"/>
        <v>257990</v>
      </c>
      <c r="S37" s="303"/>
      <c r="T37" s="303"/>
      <c r="U37" s="180"/>
      <c r="V37" s="180"/>
      <c r="W37" s="179"/>
      <c r="X37" s="179"/>
      <c r="Y37" s="184"/>
      <c r="Z37" s="186"/>
    </row>
    <row r="38" spans="2:26" s="183" customFormat="1" ht="34.5" thickBot="1" x14ac:dyDescent="0.3">
      <c r="B38" s="187" t="s">
        <v>165</v>
      </c>
      <c r="C38" s="188"/>
      <c r="D38" s="98">
        <f>SUM(D7:D37)</f>
        <v>1387280382</v>
      </c>
      <c r="E38" s="193"/>
      <c r="F38" s="98">
        <f>SUM(F7:F37)</f>
        <v>3111337202416</v>
      </c>
      <c r="G38" s="193"/>
      <c r="H38" s="98">
        <f>SUM(H7:H37)</f>
        <v>-3327779638549</v>
      </c>
      <c r="I38" s="193"/>
      <c r="J38" s="98">
        <f>SUM(J7:J37)</f>
        <v>-216442460939</v>
      </c>
      <c r="K38" s="193"/>
      <c r="L38" s="98">
        <f>SUM(L7:L37)</f>
        <v>1387280382</v>
      </c>
      <c r="M38" s="118"/>
      <c r="N38" s="98">
        <f>SUM(N7:N37)</f>
        <v>3111337202416</v>
      </c>
      <c r="O38" s="193"/>
      <c r="P38" s="98">
        <f>SUM(P7:P37)</f>
        <v>-3327779505833</v>
      </c>
      <c r="Q38" s="193"/>
      <c r="R38" s="98">
        <f>SUM(R7:R37)</f>
        <v>-216442303417</v>
      </c>
      <c r="S38" s="115"/>
      <c r="T38" s="12"/>
      <c r="U38" s="180"/>
      <c r="V38" s="180"/>
      <c r="W38" s="179"/>
      <c r="X38" s="179"/>
      <c r="Y38" s="184"/>
      <c r="Z38" s="179"/>
    </row>
    <row r="39" spans="2:26" s="183" customFormat="1" ht="34.5" thickTop="1" x14ac:dyDescent="0.25">
      <c r="B39" s="175"/>
      <c r="C39" s="165"/>
      <c r="D39" s="190"/>
      <c r="E39" s="188"/>
      <c r="F39" s="190"/>
      <c r="G39" s="189"/>
      <c r="H39" s="190"/>
      <c r="I39" s="189"/>
      <c r="J39" s="190"/>
      <c r="K39" s="189"/>
      <c r="L39" s="116"/>
      <c r="M39" s="189"/>
      <c r="N39" s="190"/>
      <c r="O39" s="189"/>
      <c r="P39" s="190"/>
      <c r="Q39" s="189"/>
      <c r="R39" s="190"/>
      <c r="S39" s="115"/>
      <c r="T39" s="12"/>
      <c r="U39" s="180"/>
      <c r="V39" s="180"/>
      <c r="W39" s="179"/>
      <c r="X39" s="179"/>
      <c r="Y39" s="184"/>
      <c r="Z39" s="179"/>
    </row>
    <row r="40" spans="2:26" x14ac:dyDescent="0.25">
      <c r="B40" s="417" t="s">
        <v>96</v>
      </c>
      <c r="C40" s="417"/>
      <c r="D40" s="417"/>
      <c r="E40" s="417"/>
      <c r="F40" s="417"/>
      <c r="G40" s="417"/>
      <c r="H40" s="417"/>
      <c r="I40" s="417"/>
      <c r="S40" s="179"/>
      <c r="T40" s="180"/>
      <c r="Y40" s="12"/>
      <c r="Z40" s="12" t="s">
        <v>155</v>
      </c>
    </row>
    <row r="41" spans="2:26" ht="34.5" thickBot="1" x14ac:dyDescent="0.3">
      <c r="D41" s="412" t="str">
        <f>D5</f>
        <v>طی اردیبهشت ماه</v>
      </c>
      <c r="E41" s="412"/>
      <c r="F41" s="412"/>
      <c r="G41" s="412"/>
      <c r="H41" s="412"/>
      <c r="I41" s="412"/>
      <c r="J41" s="412"/>
      <c r="L41" s="412" t="str">
        <f>L5</f>
        <v>از ابتدای سال مالی تا پایان اردیبهشت ماه</v>
      </c>
      <c r="M41" s="412"/>
      <c r="N41" s="412"/>
      <c r="O41" s="412"/>
      <c r="P41" s="412"/>
      <c r="Q41" s="412"/>
      <c r="R41" s="412"/>
      <c r="S41" s="179"/>
      <c r="T41" s="180"/>
      <c r="Y41" s="12"/>
      <c r="Z41" s="12" t="s">
        <v>156</v>
      </c>
    </row>
    <row r="42" spans="2:26" ht="53.25" customHeight="1" thickBot="1" x14ac:dyDescent="0.3">
      <c r="B42" s="12" t="s">
        <v>63</v>
      </c>
      <c r="D42" s="110" t="s">
        <v>8</v>
      </c>
      <c r="F42" s="181" t="s">
        <v>31</v>
      </c>
      <c r="H42" s="129" t="s">
        <v>73</v>
      </c>
      <c r="J42" s="181" t="s">
        <v>74</v>
      </c>
      <c r="L42" s="110" t="s">
        <v>8</v>
      </c>
      <c r="N42" s="181" t="s">
        <v>31</v>
      </c>
      <c r="P42" s="129" t="s">
        <v>73</v>
      </c>
      <c r="R42" s="247" t="s">
        <v>74</v>
      </c>
      <c r="S42" s="180"/>
      <c r="T42" s="180"/>
      <c r="Y42" s="12"/>
      <c r="Z42" s="12" t="s">
        <v>157</v>
      </c>
    </row>
    <row r="43" spans="2:26" s="183" customFormat="1" x14ac:dyDescent="0.25">
      <c r="B43" s="191" t="s">
        <v>166</v>
      </c>
      <c r="C43" s="182"/>
      <c r="D43" s="101">
        <f>D38</f>
        <v>1387280382</v>
      </c>
      <c r="E43" s="101"/>
      <c r="F43" s="101">
        <f>F38</f>
        <v>3111337202416</v>
      </c>
      <c r="G43" s="101"/>
      <c r="H43" s="101">
        <f>H38</f>
        <v>-3327779638549</v>
      </c>
      <c r="I43" s="101"/>
      <c r="J43" s="101">
        <f>J38</f>
        <v>-216442460939</v>
      </c>
      <c r="K43" s="101"/>
      <c r="L43" s="101">
        <f>L38</f>
        <v>1387280382</v>
      </c>
      <c r="M43" s="101"/>
      <c r="N43" s="101">
        <f>N38</f>
        <v>3111337202416</v>
      </c>
      <c r="O43" s="101"/>
      <c r="P43" s="101">
        <f>P38</f>
        <v>-3327779505833</v>
      </c>
      <c r="Q43" s="101"/>
      <c r="R43" s="101">
        <f>R38</f>
        <v>-216442303417</v>
      </c>
      <c r="S43" s="180"/>
      <c r="T43" s="180"/>
      <c r="U43" s="179"/>
      <c r="V43" s="179"/>
      <c r="W43" s="184"/>
      <c r="X43" s="179"/>
    </row>
    <row r="44" spans="2:26" s="183" customFormat="1" x14ac:dyDescent="0.25">
      <c r="B44" s="182" t="s">
        <v>134</v>
      </c>
      <c r="C44" s="182"/>
      <c r="D44" s="101">
        <v>150000000</v>
      </c>
      <c r="E44" s="101"/>
      <c r="F44" s="101">
        <v>73229526000</v>
      </c>
      <c r="G44" s="101"/>
      <c r="H44" s="101">
        <v>-75015612000</v>
      </c>
      <c r="I44" s="101"/>
      <c r="J44" s="101">
        <f>H44+F44</f>
        <v>-1786086000</v>
      </c>
      <c r="K44" s="101"/>
      <c r="L44" s="101">
        <v>150000000</v>
      </c>
      <c r="M44" s="101"/>
      <c r="N44" s="101">
        <v>73229526000</v>
      </c>
      <c r="O44" s="101"/>
      <c r="P44" s="101">
        <v>-75015612000</v>
      </c>
      <c r="Q44" s="101"/>
      <c r="R44" s="101">
        <f>N44+P44</f>
        <v>-1786086000</v>
      </c>
      <c r="S44" s="180"/>
      <c r="T44" s="180"/>
      <c r="U44" s="179"/>
      <c r="V44" s="179"/>
      <c r="W44" s="184"/>
      <c r="X44" s="179"/>
    </row>
    <row r="45" spans="2:26" s="183" customFormat="1" x14ac:dyDescent="0.25">
      <c r="B45" s="182" t="s">
        <v>119</v>
      </c>
      <c r="C45" s="182"/>
      <c r="D45" s="101">
        <v>40000000</v>
      </c>
      <c r="E45" s="101"/>
      <c r="F45" s="101">
        <v>377300744800</v>
      </c>
      <c r="G45" s="101"/>
      <c r="H45" s="101">
        <v>-539001064000</v>
      </c>
      <c r="I45" s="101"/>
      <c r="J45" s="101">
        <f t="shared" ref="J45:J69" si="2">H45+F45</f>
        <v>-161700319200</v>
      </c>
      <c r="K45" s="101"/>
      <c r="L45" s="101">
        <v>40000000</v>
      </c>
      <c r="M45" s="101"/>
      <c r="N45" s="101">
        <v>377300744800</v>
      </c>
      <c r="O45" s="101"/>
      <c r="P45" s="101">
        <v>-539001064000</v>
      </c>
      <c r="Q45" s="101"/>
      <c r="R45" s="101">
        <f t="shared" ref="R45:R64" si="3">N45+P45</f>
        <v>-161700319200</v>
      </c>
      <c r="S45" s="180"/>
      <c r="T45" s="180"/>
      <c r="U45" s="179"/>
      <c r="V45" s="179"/>
      <c r="W45" s="184"/>
      <c r="X45" s="179"/>
    </row>
    <row r="46" spans="2:26" s="183" customFormat="1" x14ac:dyDescent="0.25">
      <c r="B46" s="182" t="s">
        <v>123</v>
      </c>
      <c r="C46" s="182"/>
      <c r="D46" s="101">
        <v>8000000</v>
      </c>
      <c r="E46" s="101"/>
      <c r="F46" s="101">
        <v>150086791120</v>
      </c>
      <c r="G46" s="101"/>
      <c r="H46" s="101">
        <v>-214409701600</v>
      </c>
      <c r="I46" s="101"/>
      <c r="J46" s="101">
        <f t="shared" si="2"/>
        <v>-64322910480</v>
      </c>
      <c r="K46" s="101"/>
      <c r="L46" s="101">
        <v>8000000</v>
      </c>
      <c r="M46" s="101"/>
      <c r="N46" s="101">
        <v>150086791120</v>
      </c>
      <c r="O46" s="101"/>
      <c r="P46" s="101">
        <v>-214409701600</v>
      </c>
      <c r="Q46" s="101"/>
      <c r="R46" s="101">
        <f t="shared" si="3"/>
        <v>-64322910480</v>
      </c>
      <c r="S46" s="180"/>
      <c r="T46" s="180"/>
      <c r="U46" s="179"/>
      <c r="V46" s="179"/>
      <c r="W46" s="184"/>
      <c r="X46" s="179"/>
    </row>
    <row r="47" spans="2:26" s="183" customFormat="1" x14ac:dyDescent="0.25">
      <c r="B47" s="182" t="s">
        <v>132</v>
      </c>
      <c r="C47" s="182"/>
      <c r="D47" s="101">
        <v>10000000</v>
      </c>
      <c r="E47" s="101"/>
      <c r="F47" s="101">
        <v>73725661000</v>
      </c>
      <c r="G47" s="101"/>
      <c r="H47" s="101">
        <v>-147451322000</v>
      </c>
      <c r="I47" s="101"/>
      <c r="J47" s="101">
        <f t="shared" si="2"/>
        <v>-73725661000</v>
      </c>
      <c r="K47" s="101"/>
      <c r="L47" s="101">
        <v>10000000</v>
      </c>
      <c r="M47" s="101"/>
      <c r="N47" s="101">
        <v>73725661000</v>
      </c>
      <c r="O47" s="101"/>
      <c r="P47" s="101">
        <v>-147451322000</v>
      </c>
      <c r="Q47" s="101"/>
      <c r="R47" s="101">
        <f t="shared" si="3"/>
        <v>-73725661000</v>
      </c>
      <c r="S47" s="180"/>
      <c r="T47" s="180"/>
      <c r="U47" s="179"/>
      <c r="V47" s="179"/>
      <c r="W47" s="184"/>
      <c r="X47" s="179"/>
    </row>
    <row r="48" spans="2:26" s="183" customFormat="1" x14ac:dyDescent="0.25">
      <c r="B48" s="182" t="s">
        <v>117</v>
      </c>
      <c r="C48" s="182"/>
      <c r="D48" s="101">
        <v>2000000</v>
      </c>
      <c r="E48" s="101"/>
      <c r="F48" s="101">
        <v>63346516800</v>
      </c>
      <c r="G48" s="101"/>
      <c r="H48" s="101">
        <v>-90495024000</v>
      </c>
      <c r="I48" s="101"/>
      <c r="J48" s="101">
        <f t="shared" si="2"/>
        <v>-27148507200</v>
      </c>
      <c r="K48" s="101"/>
      <c r="L48" s="101">
        <v>2000000</v>
      </c>
      <c r="M48" s="101"/>
      <c r="N48" s="101">
        <v>63346516800</v>
      </c>
      <c r="O48" s="101"/>
      <c r="P48" s="101">
        <v>-90495024000</v>
      </c>
      <c r="Q48" s="101"/>
      <c r="R48" s="101">
        <f t="shared" si="3"/>
        <v>-27148507200</v>
      </c>
      <c r="S48" s="180"/>
      <c r="T48" s="180"/>
      <c r="U48" s="179"/>
      <c r="V48" s="179"/>
      <c r="W48" s="184"/>
      <c r="X48" s="179"/>
    </row>
    <row r="49" spans="2:26" s="183" customFormat="1" x14ac:dyDescent="0.25">
      <c r="B49" s="182" t="s">
        <v>133</v>
      </c>
      <c r="C49" s="182"/>
      <c r="D49" s="101">
        <v>1000</v>
      </c>
      <c r="E49" s="101"/>
      <c r="F49" s="101">
        <v>5606325</v>
      </c>
      <c r="G49" s="101"/>
      <c r="H49" s="101">
        <v>-5300706</v>
      </c>
      <c r="I49" s="101"/>
      <c r="J49" s="101">
        <f t="shared" si="2"/>
        <v>305619</v>
      </c>
      <c r="K49" s="101"/>
      <c r="L49" s="101">
        <v>1000</v>
      </c>
      <c r="M49" s="101"/>
      <c r="N49" s="101">
        <v>5606325</v>
      </c>
      <c r="O49" s="101"/>
      <c r="P49" s="101">
        <v>-5300706</v>
      </c>
      <c r="Q49" s="101"/>
      <c r="R49" s="101">
        <f t="shared" si="3"/>
        <v>305619</v>
      </c>
      <c r="S49" s="180"/>
      <c r="T49" s="180"/>
      <c r="U49" s="179"/>
      <c r="V49" s="179"/>
      <c r="W49" s="184"/>
      <c r="X49" s="179"/>
    </row>
    <row r="50" spans="2:26" s="183" customFormat="1" x14ac:dyDescent="0.25">
      <c r="B50" s="182" t="s">
        <v>140</v>
      </c>
      <c r="C50" s="182"/>
      <c r="D50" s="101">
        <v>6000000</v>
      </c>
      <c r="E50" s="101"/>
      <c r="F50" s="101">
        <v>253094339820</v>
      </c>
      <c r="G50" s="101"/>
      <c r="H50" s="101">
        <v>-361563342600</v>
      </c>
      <c r="I50" s="101"/>
      <c r="J50" s="101">
        <f t="shared" si="2"/>
        <v>-108469002780</v>
      </c>
      <c r="K50" s="101"/>
      <c r="L50" s="101">
        <v>6000000</v>
      </c>
      <c r="M50" s="101"/>
      <c r="N50" s="101">
        <v>253094339820</v>
      </c>
      <c r="O50" s="101"/>
      <c r="P50" s="101">
        <v>-361563342600</v>
      </c>
      <c r="Q50" s="101"/>
      <c r="R50" s="101">
        <f t="shared" si="3"/>
        <v>-108469002780</v>
      </c>
      <c r="S50" s="180"/>
      <c r="T50" s="180"/>
      <c r="U50" s="179"/>
      <c r="V50" s="179"/>
      <c r="W50" s="184"/>
      <c r="X50" s="179"/>
    </row>
    <row r="51" spans="2:26" s="183" customFormat="1" x14ac:dyDescent="0.25">
      <c r="B51" s="182" t="s">
        <v>120</v>
      </c>
      <c r="C51" s="182"/>
      <c r="D51" s="101">
        <v>80000000</v>
      </c>
      <c r="E51" s="101"/>
      <c r="F51" s="101">
        <v>416753400000</v>
      </c>
      <c r="G51" s="101"/>
      <c r="H51" s="101">
        <v>-833506800000</v>
      </c>
      <c r="I51" s="101"/>
      <c r="J51" s="101">
        <f t="shared" si="2"/>
        <v>-416753400000</v>
      </c>
      <c r="K51" s="101"/>
      <c r="L51" s="101">
        <v>80000000</v>
      </c>
      <c r="M51" s="101"/>
      <c r="N51" s="101">
        <v>416753400000</v>
      </c>
      <c r="O51" s="101"/>
      <c r="P51" s="101">
        <v>-833506800000</v>
      </c>
      <c r="Q51" s="101"/>
      <c r="R51" s="101">
        <f t="shared" si="3"/>
        <v>-416753400000</v>
      </c>
      <c r="S51" s="180"/>
      <c r="T51" s="180"/>
      <c r="U51" s="179"/>
      <c r="V51" s="179"/>
      <c r="W51" s="184"/>
      <c r="X51" s="179"/>
    </row>
    <row r="52" spans="2:26" s="183" customFormat="1" x14ac:dyDescent="0.25">
      <c r="B52" s="182" t="s">
        <v>153</v>
      </c>
      <c r="C52" s="182"/>
      <c r="D52" s="101">
        <v>92400000</v>
      </c>
      <c r="E52" s="101"/>
      <c r="F52" s="101">
        <v>116119999842</v>
      </c>
      <c r="G52" s="101"/>
      <c r="H52" s="101">
        <v>-144496738839</v>
      </c>
      <c r="I52" s="101"/>
      <c r="J52" s="101">
        <f t="shared" si="2"/>
        <v>-28376738997</v>
      </c>
      <c r="K52" s="101"/>
      <c r="L52" s="101">
        <v>92400000</v>
      </c>
      <c r="M52" s="101"/>
      <c r="N52" s="101">
        <v>116119999842</v>
      </c>
      <c r="O52" s="101"/>
      <c r="P52" s="101">
        <v>-144496738839</v>
      </c>
      <c r="Q52" s="101"/>
      <c r="R52" s="101">
        <f t="shared" si="3"/>
        <v>-28376738997</v>
      </c>
      <c r="S52" s="180"/>
      <c r="T52" s="180"/>
      <c r="U52" s="179"/>
      <c r="V52" s="179"/>
      <c r="W52" s="184"/>
      <c r="X52" s="179"/>
    </row>
    <row r="53" spans="2:26" s="183" customFormat="1" x14ac:dyDescent="0.25">
      <c r="B53" s="182" t="s">
        <v>151</v>
      </c>
      <c r="C53" s="182"/>
      <c r="D53" s="101">
        <v>232900</v>
      </c>
      <c r="E53" s="101"/>
      <c r="F53" s="101">
        <v>431463108</v>
      </c>
      <c r="G53" s="101"/>
      <c r="H53" s="101">
        <v>-459195070</v>
      </c>
      <c r="I53" s="101"/>
      <c r="J53" s="101">
        <f t="shared" si="2"/>
        <v>-27731962</v>
      </c>
      <c r="K53" s="101"/>
      <c r="L53" s="101">
        <v>232900</v>
      </c>
      <c r="M53" s="101"/>
      <c r="N53" s="101">
        <v>431463108</v>
      </c>
      <c r="O53" s="101"/>
      <c r="P53" s="101">
        <v>-459195070</v>
      </c>
      <c r="Q53" s="101"/>
      <c r="R53" s="101">
        <f t="shared" si="3"/>
        <v>-27731962</v>
      </c>
      <c r="S53" s="180"/>
      <c r="T53" s="180"/>
      <c r="U53" s="117"/>
      <c r="V53" s="117"/>
      <c r="W53" s="184"/>
      <c r="X53" s="179"/>
    </row>
    <row r="54" spans="2:26" s="183" customFormat="1" x14ac:dyDescent="0.25">
      <c r="B54" s="182" t="s">
        <v>135</v>
      </c>
      <c r="C54" s="182"/>
      <c r="D54" s="101">
        <v>1000</v>
      </c>
      <c r="E54" s="101"/>
      <c r="F54" s="101">
        <v>25689870</v>
      </c>
      <c r="G54" s="101"/>
      <c r="H54" s="101">
        <v>-25699793</v>
      </c>
      <c r="I54" s="101"/>
      <c r="J54" s="101">
        <f t="shared" si="2"/>
        <v>-9923</v>
      </c>
      <c r="K54" s="101"/>
      <c r="L54" s="101">
        <v>1000</v>
      </c>
      <c r="M54" s="101"/>
      <c r="N54" s="101">
        <v>25689870</v>
      </c>
      <c r="O54" s="101"/>
      <c r="P54" s="101">
        <v>-25699793</v>
      </c>
      <c r="Q54" s="101"/>
      <c r="R54" s="101">
        <f t="shared" si="3"/>
        <v>-9923</v>
      </c>
      <c r="S54" s="180"/>
      <c r="T54" s="179"/>
      <c r="U54" s="117"/>
      <c r="V54" s="117"/>
      <c r="W54" s="184"/>
      <c r="X54" s="179"/>
    </row>
    <row r="55" spans="2:26" s="183" customFormat="1" x14ac:dyDescent="0.25">
      <c r="B55" s="182" t="s">
        <v>113</v>
      </c>
      <c r="C55" s="182"/>
      <c r="D55" s="101">
        <v>84661723</v>
      </c>
      <c r="E55" s="101"/>
      <c r="F55" s="101">
        <v>259750534128</v>
      </c>
      <c r="G55" s="101"/>
      <c r="H55" s="101">
        <v>-259750534128</v>
      </c>
      <c r="I55" s="101"/>
      <c r="J55" s="101">
        <f t="shared" si="2"/>
        <v>0</v>
      </c>
      <c r="K55" s="101"/>
      <c r="L55" s="101">
        <v>84661723</v>
      </c>
      <c r="M55" s="101"/>
      <c r="N55" s="101">
        <v>259750534128</v>
      </c>
      <c r="O55" s="101"/>
      <c r="P55" s="101">
        <v>-259750534128</v>
      </c>
      <c r="Q55" s="101"/>
      <c r="R55" s="101">
        <f t="shared" si="3"/>
        <v>0</v>
      </c>
      <c r="S55" s="180"/>
      <c r="T55" s="179"/>
      <c r="U55" s="117"/>
      <c r="V55" s="117"/>
      <c r="W55" s="184"/>
      <c r="X55" s="179"/>
    </row>
    <row r="56" spans="2:26" s="183" customFormat="1" x14ac:dyDescent="0.25">
      <c r="B56" s="182" t="s">
        <v>182</v>
      </c>
      <c r="C56" s="182"/>
      <c r="D56" s="101">
        <v>562500</v>
      </c>
      <c r="E56" s="101"/>
      <c r="F56" s="101">
        <v>4537774743</v>
      </c>
      <c r="G56" s="101"/>
      <c r="H56" s="101">
        <v>-4632660562</v>
      </c>
      <c r="I56" s="101"/>
      <c r="J56" s="101">
        <f t="shared" si="2"/>
        <v>-94885819</v>
      </c>
      <c r="K56" s="101"/>
      <c r="L56" s="101">
        <v>562500</v>
      </c>
      <c r="M56" s="101"/>
      <c r="N56" s="101">
        <v>4537774743</v>
      </c>
      <c r="O56" s="101"/>
      <c r="P56" s="101">
        <v>-4632660562</v>
      </c>
      <c r="Q56" s="101"/>
      <c r="R56" s="101">
        <f t="shared" si="3"/>
        <v>-94885819</v>
      </c>
      <c r="S56" s="180"/>
      <c r="T56" s="179"/>
      <c r="U56" s="117"/>
      <c r="V56" s="117"/>
      <c r="W56" s="184"/>
      <c r="X56" s="179"/>
    </row>
    <row r="57" spans="2:26" s="183" customFormat="1" x14ac:dyDescent="0.25">
      <c r="B57" s="182" t="s">
        <v>127</v>
      </c>
      <c r="C57" s="182"/>
      <c r="D57" s="101">
        <v>132000000</v>
      </c>
      <c r="E57" s="101"/>
      <c r="F57" s="101">
        <v>1863840277200</v>
      </c>
      <c r="G57" s="101"/>
      <c r="H57" s="101">
        <v>-1794421068000</v>
      </c>
      <c r="I57" s="101"/>
      <c r="J57" s="101">
        <f t="shared" si="2"/>
        <v>69419209200</v>
      </c>
      <c r="K57" s="101"/>
      <c r="L57" s="101">
        <v>132000000</v>
      </c>
      <c r="M57" s="101"/>
      <c r="N57" s="101">
        <v>1863840277200</v>
      </c>
      <c r="O57" s="101"/>
      <c r="P57" s="101">
        <v>-1794421068000</v>
      </c>
      <c r="Q57" s="101"/>
      <c r="R57" s="101">
        <f t="shared" si="3"/>
        <v>69419209200</v>
      </c>
      <c r="S57" s="180"/>
      <c r="T57" s="179"/>
      <c r="U57" s="117"/>
      <c r="V57" s="117"/>
      <c r="W57" s="184"/>
      <c r="X57" s="179"/>
    </row>
    <row r="58" spans="2:26" s="183" customFormat="1" x14ac:dyDescent="0.25">
      <c r="B58" s="182" t="s">
        <v>148</v>
      </c>
      <c r="C58" s="182"/>
      <c r="D58" s="101">
        <v>111</v>
      </c>
      <c r="E58" s="101"/>
      <c r="F58" s="101">
        <v>80293</v>
      </c>
      <c r="G58" s="101"/>
      <c r="H58" s="101">
        <v>-99237</v>
      </c>
      <c r="I58" s="101"/>
      <c r="J58" s="101">
        <f t="shared" si="2"/>
        <v>-18944</v>
      </c>
      <c r="K58" s="101"/>
      <c r="L58" s="101">
        <v>111</v>
      </c>
      <c r="M58" s="101"/>
      <c r="N58" s="101">
        <v>80293</v>
      </c>
      <c r="O58" s="101"/>
      <c r="P58" s="101">
        <v>-148185</v>
      </c>
      <c r="Q58" s="101"/>
      <c r="R58" s="101">
        <f t="shared" si="3"/>
        <v>-67892</v>
      </c>
      <c r="S58" s="180"/>
      <c r="T58" s="179"/>
      <c r="U58" s="117"/>
      <c r="V58" s="117"/>
      <c r="W58" s="184"/>
      <c r="X58" s="179"/>
    </row>
    <row r="59" spans="2:26" s="183" customFormat="1" x14ac:dyDescent="0.25">
      <c r="B59" s="182" t="s">
        <v>181</v>
      </c>
      <c r="C59" s="182"/>
      <c r="D59" s="101">
        <v>360000</v>
      </c>
      <c r="E59" s="101"/>
      <c r="F59" s="101">
        <v>3507872904</v>
      </c>
      <c r="G59" s="101"/>
      <c r="H59" s="101">
        <v>-3507872904</v>
      </c>
      <c r="I59" s="101"/>
      <c r="J59" s="101">
        <f t="shared" si="2"/>
        <v>0</v>
      </c>
      <c r="K59" s="101"/>
      <c r="L59" s="101">
        <v>360000</v>
      </c>
      <c r="M59" s="101"/>
      <c r="N59" s="101">
        <v>3507872904</v>
      </c>
      <c r="O59" s="101"/>
      <c r="P59" s="101">
        <v>-3865090104</v>
      </c>
      <c r="Q59" s="101"/>
      <c r="R59" s="101">
        <f t="shared" si="3"/>
        <v>-357217200</v>
      </c>
      <c r="S59" s="180"/>
      <c r="T59" s="179"/>
      <c r="U59" s="117"/>
      <c r="V59" s="117"/>
      <c r="W59" s="184"/>
      <c r="X59" s="179"/>
    </row>
    <row r="60" spans="2:26" s="183" customFormat="1" x14ac:dyDescent="0.25">
      <c r="B60" s="182" t="s">
        <v>187</v>
      </c>
      <c r="C60" s="182"/>
      <c r="D60" s="101">
        <v>257500</v>
      </c>
      <c r="E60" s="101"/>
      <c r="F60" s="101">
        <v>3996168971</v>
      </c>
      <c r="G60" s="101"/>
      <c r="H60" s="101">
        <v>-3955287447</v>
      </c>
      <c r="I60" s="101"/>
      <c r="J60" s="101">
        <f t="shared" si="2"/>
        <v>40881524</v>
      </c>
      <c r="K60" s="101"/>
      <c r="L60" s="101">
        <v>257500</v>
      </c>
      <c r="M60" s="101"/>
      <c r="N60" s="101">
        <v>3996168971</v>
      </c>
      <c r="O60" s="101"/>
      <c r="P60" s="101">
        <v>-3955287447</v>
      </c>
      <c r="Q60" s="101"/>
      <c r="R60" s="101">
        <f t="shared" si="3"/>
        <v>40881524</v>
      </c>
      <c r="S60" s="180"/>
      <c r="T60" s="179"/>
      <c r="U60" s="117"/>
      <c r="V60" s="117"/>
      <c r="W60" s="184"/>
      <c r="X60" s="179"/>
    </row>
    <row r="61" spans="2:26" s="183" customFormat="1" x14ac:dyDescent="0.25">
      <c r="B61" s="182" t="s">
        <v>146</v>
      </c>
      <c r="C61" s="182"/>
      <c r="D61" s="101">
        <v>1782</v>
      </c>
      <c r="E61" s="101"/>
      <c r="F61" s="101">
        <v>9495369</v>
      </c>
      <c r="G61" s="101"/>
      <c r="H61" s="101">
        <v>-9583780</v>
      </c>
      <c r="I61" s="101"/>
      <c r="J61" s="101">
        <f t="shared" si="2"/>
        <v>-88411</v>
      </c>
      <c r="K61" s="101"/>
      <c r="L61" s="101">
        <v>1782</v>
      </c>
      <c r="M61" s="101"/>
      <c r="N61" s="101">
        <v>9495369</v>
      </c>
      <c r="O61" s="101"/>
      <c r="P61" s="101">
        <v>-9583780</v>
      </c>
      <c r="Q61" s="101"/>
      <c r="R61" s="101">
        <f t="shared" si="3"/>
        <v>-88411</v>
      </c>
      <c r="S61" s="180"/>
      <c r="T61" s="179"/>
      <c r="U61" s="117"/>
      <c r="V61" s="117"/>
      <c r="W61" s="184"/>
      <c r="X61" s="179"/>
    </row>
    <row r="62" spans="2:26" s="183" customFormat="1" x14ac:dyDescent="0.25">
      <c r="B62" s="182" t="s">
        <v>210</v>
      </c>
      <c r="C62" s="182"/>
      <c r="D62" s="101">
        <v>119</v>
      </c>
      <c r="E62" s="101"/>
      <c r="F62" s="101">
        <v>114419</v>
      </c>
      <c r="G62" s="101"/>
      <c r="H62" s="101">
        <v>-166957</v>
      </c>
      <c r="I62" s="101"/>
      <c r="J62" s="101">
        <f t="shared" si="2"/>
        <v>-52538</v>
      </c>
      <c r="K62" s="101"/>
      <c r="L62" s="101">
        <v>119</v>
      </c>
      <c r="M62" s="101"/>
      <c r="N62" s="101">
        <v>114419</v>
      </c>
      <c r="O62" s="101"/>
      <c r="P62" s="101">
        <v>-166957</v>
      </c>
      <c r="Q62" s="101"/>
      <c r="R62" s="101">
        <f t="shared" si="3"/>
        <v>-52538</v>
      </c>
      <c r="S62" s="115"/>
      <c r="T62" s="192"/>
      <c r="U62" s="180"/>
      <c r="V62" s="179"/>
      <c r="W62" s="117"/>
      <c r="X62" s="117"/>
      <c r="Y62" s="184"/>
      <c r="Z62" s="179"/>
    </row>
    <row r="63" spans="2:26" s="183" customFormat="1" x14ac:dyDescent="0.25">
      <c r="B63" s="182" t="s">
        <v>185</v>
      </c>
      <c r="C63" s="182"/>
      <c r="D63" s="101">
        <v>80000000</v>
      </c>
      <c r="E63" s="101"/>
      <c r="F63" s="101">
        <v>81763048000</v>
      </c>
      <c r="G63" s="101"/>
      <c r="H63" s="101">
        <v>-85573364800</v>
      </c>
      <c r="I63" s="101"/>
      <c r="J63" s="101">
        <f t="shared" si="2"/>
        <v>-3810316800</v>
      </c>
      <c r="K63" s="101"/>
      <c r="L63" s="101">
        <v>80000000</v>
      </c>
      <c r="M63" s="101"/>
      <c r="N63" s="101">
        <v>81763048000</v>
      </c>
      <c r="O63" s="101"/>
      <c r="P63" s="101">
        <v>-85573364800</v>
      </c>
      <c r="Q63" s="101"/>
      <c r="R63" s="101">
        <f t="shared" si="3"/>
        <v>-3810316800</v>
      </c>
      <c r="S63" s="115"/>
      <c r="T63" s="192"/>
      <c r="U63" s="180"/>
      <c r="V63" s="179"/>
      <c r="W63" s="117"/>
      <c r="X63" s="117"/>
      <c r="Y63" s="184"/>
      <c r="Z63" s="179"/>
    </row>
    <row r="64" spans="2:26" s="183" customFormat="1" ht="31.5" customHeight="1" x14ac:dyDescent="0.25">
      <c r="B64" s="182" t="s">
        <v>193</v>
      </c>
      <c r="C64" s="182"/>
      <c r="D64" s="101">
        <v>14000000</v>
      </c>
      <c r="E64" s="101"/>
      <c r="F64" s="101">
        <v>81961502000</v>
      </c>
      <c r="G64" s="101"/>
      <c r="H64" s="101">
        <v>-77377214600</v>
      </c>
      <c r="I64" s="101"/>
      <c r="J64" s="101">
        <f t="shared" si="2"/>
        <v>4584287400</v>
      </c>
      <c r="K64" s="101"/>
      <c r="L64" s="101">
        <v>14000000</v>
      </c>
      <c r="M64" s="101"/>
      <c r="N64" s="101">
        <v>81961502000</v>
      </c>
      <c r="O64" s="101"/>
      <c r="P64" s="101">
        <v>-77377214600</v>
      </c>
      <c r="Q64" s="101"/>
      <c r="R64" s="101">
        <f t="shared" si="3"/>
        <v>4584287400</v>
      </c>
      <c r="S64" s="115"/>
      <c r="T64" s="192"/>
      <c r="U64" s="180"/>
      <c r="V64" s="179"/>
      <c r="W64" s="117"/>
      <c r="X64" s="117"/>
      <c r="Y64" s="184"/>
      <c r="Z64" s="179"/>
    </row>
    <row r="65" spans="1:26" s="183" customFormat="1" ht="31.5" customHeight="1" x14ac:dyDescent="0.25">
      <c r="B65" s="182" t="s">
        <v>142</v>
      </c>
      <c r="C65" s="182"/>
      <c r="D65" s="101">
        <v>214926440</v>
      </c>
      <c r="E65" s="101"/>
      <c r="F65" s="101">
        <v>82533577685</v>
      </c>
      <c r="G65" s="101"/>
      <c r="H65" s="101">
        <v>-80187662040</v>
      </c>
      <c r="I65" s="101"/>
      <c r="J65" s="101">
        <f t="shared" si="2"/>
        <v>2345915645</v>
      </c>
      <c r="K65" s="101"/>
      <c r="L65" s="101">
        <v>214926440</v>
      </c>
      <c r="M65" s="101"/>
      <c r="N65" s="101">
        <v>82533577685</v>
      </c>
      <c r="O65" s="101"/>
      <c r="P65" s="101">
        <v>-80175415626</v>
      </c>
      <c r="Q65" s="101"/>
      <c r="R65" s="101">
        <f>N65+P65</f>
        <v>2358162059</v>
      </c>
      <c r="S65" s="115"/>
      <c r="T65" s="192"/>
      <c r="U65" s="180"/>
      <c r="V65" s="179"/>
      <c r="W65" s="117"/>
      <c r="X65" s="117"/>
      <c r="Y65" s="184"/>
      <c r="Z65" s="179"/>
    </row>
    <row r="66" spans="1:26" s="183" customFormat="1" ht="31.5" customHeight="1" x14ac:dyDescent="0.25">
      <c r="B66" s="182" t="s">
        <v>125</v>
      </c>
      <c r="C66" s="182"/>
      <c r="D66" s="101">
        <v>1068</v>
      </c>
      <c r="E66" s="101"/>
      <c r="F66" s="101">
        <v>1832297</v>
      </c>
      <c r="G66" s="101"/>
      <c r="H66" s="101">
        <v>-2014574</v>
      </c>
      <c r="I66" s="101"/>
      <c r="J66" s="101">
        <f t="shared" si="2"/>
        <v>-182277</v>
      </c>
      <c r="K66" s="101"/>
      <c r="L66" s="101">
        <v>1068</v>
      </c>
      <c r="M66" s="101"/>
      <c r="N66" s="101">
        <v>1832297</v>
      </c>
      <c r="O66" s="101"/>
      <c r="P66" s="101">
        <v>-1966004</v>
      </c>
      <c r="Q66" s="101"/>
      <c r="R66" s="101">
        <f>N66+P66</f>
        <v>-133707</v>
      </c>
      <c r="S66" s="115"/>
      <c r="T66" s="192"/>
      <c r="U66" s="180"/>
      <c r="V66" s="179"/>
      <c r="W66" s="117"/>
      <c r="X66" s="117"/>
      <c r="Y66" s="184"/>
      <c r="Z66" s="179"/>
    </row>
    <row r="67" spans="1:26" s="183" customFormat="1" ht="31.5" customHeight="1" x14ac:dyDescent="0.25">
      <c r="B67" s="182" t="s">
        <v>128</v>
      </c>
      <c r="C67" s="182"/>
      <c r="D67" s="101">
        <v>280000000</v>
      </c>
      <c r="E67" s="101"/>
      <c r="F67" s="101">
        <v>444536960000</v>
      </c>
      <c r="G67" s="101"/>
      <c r="H67" s="101">
        <v>-455372548400</v>
      </c>
      <c r="I67" s="101"/>
      <c r="J67" s="101">
        <f t="shared" si="2"/>
        <v>-10835588400</v>
      </c>
      <c r="K67" s="101"/>
      <c r="L67" s="101">
        <v>280000000</v>
      </c>
      <c r="M67" s="101"/>
      <c r="N67" s="101">
        <v>444536960000</v>
      </c>
      <c r="O67" s="101"/>
      <c r="P67" s="101">
        <v>-455372548400</v>
      </c>
      <c r="Q67" s="101"/>
      <c r="R67" s="101">
        <f t="shared" ref="R67:R69" si="4">N67+P67</f>
        <v>-10835588400</v>
      </c>
      <c r="S67" s="115"/>
      <c r="T67" s="192"/>
      <c r="U67" s="180"/>
      <c r="V67" s="179"/>
      <c r="W67" s="117"/>
      <c r="X67" s="117"/>
      <c r="Y67" s="184"/>
      <c r="Z67" s="179"/>
    </row>
    <row r="68" spans="1:26" s="183" customFormat="1" ht="31.5" customHeight="1" x14ac:dyDescent="0.25">
      <c r="B68" s="182" t="s">
        <v>112</v>
      </c>
      <c r="C68" s="182"/>
      <c r="D68" s="101">
        <v>90000000</v>
      </c>
      <c r="E68" s="101"/>
      <c r="F68" s="101">
        <v>619771842000</v>
      </c>
      <c r="G68" s="101"/>
      <c r="H68" s="101">
        <v>-619771842000</v>
      </c>
      <c r="I68" s="101"/>
      <c r="J68" s="101">
        <f t="shared" si="2"/>
        <v>0</v>
      </c>
      <c r="K68" s="101"/>
      <c r="L68" s="101">
        <v>90000000</v>
      </c>
      <c r="M68" s="101"/>
      <c r="N68" s="101">
        <v>619771842000</v>
      </c>
      <c r="O68" s="101"/>
      <c r="P68" s="101">
        <v>-619771842000</v>
      </c>
      <c r="Q68" s="101"/>
      <c r="R68" s="101">
        <f t="shared" si="4"/>
        <v>0</v>
      </c>
      <c r="S68" s="115"/>
      <c r="T68" s="192"/>
      <c r="U68" s="180"/>
      <c r="V68" s="179"/>
      <c r="W68" s="117"/>
      <c r="X68" s="117"/>
      <c r="Y68" s="184"/>
      <c r="Z68" s="179"/>
    </row>
    <row r="69" spans="1:26" s="183" customFormat="1" ht="34.5" thickBot="1" x14ac:dyDescent="0.3">
      <c r="B69" s="182" t="s">
        <v>188</v>
      </c>
      <c r="C69" s="182"/>
      <c r="D69" s="101">
        <v>1475169</v>
      </c>
      <c r="E69" s="101"/>
      <c r="F69" s="101">
        <v>9873101289</v>
      </c>
      <c r="G69" s="101"/>
      <c r="H69" s="101">
        <v>-10269781860</v>
      </c>
      <c r="I69" s="101"/>
      <c r="J69" s="101">
        <f t="shared" si="2"/>
        <v>-396680571</v>
      </c>
      <c r="K69" s="101"/>
      <c r="L69" s="101">
        <v>1475169</v>
      </c>
      <c r="M69" s="101"/>
      <c r="N69" s="101">
        <v>9873101289</v>
      </c>
      <c r="O69" s="101"/>
      <c r="P69" s="101">
        <v>-10269781860</v>
      </c>
      <c r="Q69" s="101"/>
      <c r="R69" s="101">
        <f t="shared" si="4"/>
        <v>-396680571</v>
      </c>
      <c r="S69" s="115"/>
      <c r="T69" s="192"/>
      <c r="U69" s="180"/>
      <c r="V69" s="179"/>
      <c r="W69" s="117"/>
      <c r="X69" s="117"/>
      <c r="Y69" s="184"/>
      <c r="Z69" s="179"/>
    </row>
    <row r="70" spans="1:26" s="183" customFormat="1" ht="34.5" thickBot="1" x14ac:dyDescent="0.3">
      <c r="A70" s="12"/>
      <c r="B70" s="183" t="s">
        <v>7</v>
      </c>
      <c r="D70" s="98">
        <f>SUM(D43:D69)</f>
        <v>2674161694</v>
      </c>
      <c r="E70" s="193"/>
      <c r="F70" s="98">
        <f>SUM(F43:F69)</f>
        <v>8091541122399</v>
      </c>
      <c r="G70" s="193"/>
      <c r="H70" s="98">
        <f>SUM(H43:H69)</f>
        <v>-9129041140446</v>
      </c>
      <c r="I70" s="193"/>
      <c r="J70" s="98">
        <f>SUM(J43:J69)</f>
        <v>-1037500042853</v>
      </c>
      <c r="K70" s="193"/>
      <c r="L70" s="98">
        <f>SUM(L43:L69)</f>
        <v>2674161694</v>
      </c>
      <c r="M70" s="118"/>
      <c r="N70" s="98">
        <f>SUM(N43:N69)</f>
        <v>8091541122399</v>
      </c>
      <c r="O70" s="193"/>
      <c r="P70" s="98">
        <f>SUM(P43:P69)</f>
        <v>-9129385978894</v>
      </c>
      <c r="Q70" s="193"/>
      <c r="R70" s="98">
        <f>SUM(R43:R69)</f>
        <v>-1037844856495</v>
      </c>
      <c r="S70" s="115"/>
      <c r="T70" s="192"/>
      <c r="U70" s="180"/>
      <c r="V70" s="179"/>
      <c r="W70" s="117"/>
      <c r="X70" s="117"/>
      <c r="Y70" s="184"/>
      <c r="Z70" s="179"/>
    </row>
    <row r="71" spans="1:26" s="183" customFormat="1" ht="34.5" thickTop="1" x14ac:dyDescent="0.25">
      <c r="A71" s="12"/>
      <c r="D71" s="102"/>
      <c r="L71" s="102"/>
      <c r="R71" s="248"/>
      <c r="S71" s="115"/>
      <c r="T71" s="192"/>
      <c r="U71" s="180"/>
      <c r="V71" s="179"/>
      <c r="W71" s="117"/>
      <c r="X71" s="117"/>
      <c r="Y71" s="184"/>
      <c r="Z71" s="179"/>
    </row>
    <row r="72" spans="1:26" s="183" customFormat="1" x14ac:dyDescent="0.25">
      <c r="A72" s="12"/>
      <c r="B72" s="414" t="s">
        <v>75</v>
      </c>
      <c r="C72" s="415"/>
      <c r="D72" s="415"/>
      <c r="E72" s="415"/>
      <c r="F72" s="415"/>
      <c r="G72" s="415"/>
      <c r="H72" s="415"/>
      <c r="I72" s="415"/>
      <c r="J72" s="415"/>
      <c r="K72" s="415"/>
      <c r="L72" s="415"/>
      <c r="M72" s="415"/>
      <c r="N72" s="415"/>
      <c r="O72" s="415"/>
      <c r="P72" s="415"/>
      <c r="Q72" s="415"/>
      <c r="R72" s="416"/>
      <c r="S72" s="115"/>
      <c r="T72" s="192"/>
      <c r="U72" s="180"/>
      <c r="V72" s="179"/>
      <c r="W72" s="117"/>
      <c r="X72" s="117"/>
      <c r="Y72" s="184"/>
      <c r="Z72" s="179"/>
    </row>
    <row r="73" spans="1:26" ht="36" x14ac:dyDescent="0.25">
      <c r="B73" s="183"/>
      <c r="C73" s="183"/>
      <c r="D73" s="102"/>
      <c r="E73" s="183"/>
      <c r="F73" s="183"/>
      <c r="G73" s="183"/>
      <c r="H73" s="203"/>
      <c r="I73" s="183"/>
      <c r="J73" s="301"/>
      <c r="K73" s="183"/>
      <c r="L73" s="102"/>
      <c r="M73" s="183"/>
      <c r="N73" s="183"/>
      <c r="O73" s="183"/>
      <c r="P73" s="203"/>
      <c r="Q73" s="183"/>
      <c r="R73" s="301"/>
      <c r="T73" s="192"/>
      <c r="Y73" s="194"/>
    </row>
    <row r="74" spans="1:26" ht="36" x14ac:dyDescent="0.25">
      <c r="F74" s="168"/>
      <c r="H74" s="168"/>
      <c r="J74" s="302"/>
      <c r="N74" s="168"/>
      <c r="P74" s="168"/>
      <c r="R74" s="302"/>
      <c r="T74" s="192"/>
    </row>
    <row r="75" spans="1:26" x14ac:dyDescent="0.25">
      <c r="E75" s="115"/>
      <c r="F75" s="115"/>
      <c r="G75" s="115"/>
      <c r="H75" s="115"/>
      <c r="I75" s="115"/>
      <c r="J75" s="115"/>
      <c r="K75" s="115"/>
      <c r="M75" s="115"/>
      <c r="N75" s="115"/>
      <c r="O75" s="115"/>
      <c r="P75" s="115"/>
      <c r="Q75" s="115"/>
      <c r="R75" s="115"/>
      <c r="T75" s="192"/>
      <c r="Y75" s="194"/>
    </row>
    <row r="76" spans="1:26" x14ac:dyDescent="0.25">
      <c r="F76" s="195"/>
      <c r="H76" s="168"/>
      <c r="J76" s="245"/>
      <c r="N76" s="168"/>
      <c r="P76" s="243"/>
      <c r="T76" s="192"/>
    </row>
    <row r="77" spans="1:26" x14ac:dyDescent="0.25">
      <c r="J77" s="168"/>
      <c r="N77" s="168"/>
      <c r="P77" s="243"/>
      <c r="T77" s="192"/>
    </row>
    <row r="78" spans="1:26" x14ac:dyDescent="0.25">
      <c r="N78" s="168"/>
      <c r="P78" s="243"/>
      <c r="T78" s="192"/>
      <c r="Y78" s="311"/>
      <c r="Z78" s="311"/>
    </row>
    <row r="79" spans="1:26" x14ac:dyDescent="0.25">
      <c r="P79" s="168"/>
      <c r="R79" s="146"/>
      <c r="T79" s="192"/>
      <c r="Y79" s="311"/>
      <c r="Z79" s="311"/>
    </row>
    <row r="80" spans="1:26" x14ac:dyDescent="0.25">
      <c r="N80" s="168"/>
      <c r="T80" s="192"/>
      <c r="Y80" s="311"/>
      <c r="Z80" s="311"/>
    </row>
    <row r="81" spans="14:26" x14ac:dyDescent="0.25">
      <c r="N81" s="168"/>
      <c r="T81" s="192"/>
      <c r="Y81" s="311"/>
      <c r="Z81" s="311"/>
    </row>
    <row r="82" spans="14:26" x14ac:dyDescent="0.25">
      <c r="T82" s="192"/>
      <c r="Y82" s="311"/>
      <c r="Z82" s="311"/>
    </row>
    <row r="83" spans="14:26" x14ac:dyDescent="0.25">
      <c r="T83" s="192"/>
      <c r="Y83" s="311"/>
      <c r="Z83" s="311"/>
    </row>
    <row r="84" spans="14:26" x14ac:dyDescent="0.25">
      <c r="T84" s="192"/>
      <c r="Y84" s="311"/>
      <c r="Z84" s="311"/>
    </row>
    <row r="85" spans="14:26" x14ac:dyDescent="0.25">
      <c r="T85" s="192"/>
    </row>
    <row r="86" spans="14:26" x14ac:dyDescent="0.25">
      <c r="T86" s="192"/>
    </row>
    <row r="87" spans="14:26" x14ac:dyDescent="0.25">
      <c r="S87" s="102"/>
      <c r="T87" s="192"/>
    </row>
    <row r="88" spans="14:26" x14ac:dyDescent="0.25">
      <c r="S88" s="102"/>
      <c r="T88" s="192"/>
    </row>
    <row r="89" spans="14:26" x14ac:dyDescent="0.25">
      <c r="S89" s="102"/>
      <c r="T89" s="192"/>
    </row>
    <row r="90" spans="14:26" x14ac:dyDescent="0.25">
      <c r="S90" s="102"/>
      <c r="T90" s="192"/>
    </row>
    <row r="91" spans="14:26" x14ac:dyDescent="0.25">
      <c r="S91" s="102"/>
      <c r="T91" s="192"/>
    </row>
    <row r="92" spans="14:26" x14ac:dyDescent="0.25">
      <c r="S92" s="102"/>
      <c r="T92" s="192"/>
    </row>
    <row r="93" spans="14:26" x14ac:dyDescent="0.25">
      <c r="S93" s="102"/>
      <c r="T93" s="192"/>
    </row>
    <row r="94" spans="14:26" x14ac:dyDescent="0.25">
      <c r="S94" s="102"/>
      <c r="T94" s="192"/>
    </row>
    <row r="98" spans="19:20" x14ac:dyDescent="0.25">
      <c r="S98" s="102"/>
      <c r="T98" s="192"/>
    </row>
    <row r="99" spans="19:20" x14ac:dyDescent="0.25">
      <c r="S99" s="102"/>
      <c r="T99" s="192"/>
    </row>
    <row r="100" spans="19:20" x14ac:dyDescent="0.25">
      <c r="S100" s="102"/>
      <c r="T100" s="192"/>
    </row>
    <row r="101" spans="19:20" x14ac:dyDescent="0.25">
      <c r="S101" s="102"/>
      <c r="T101" s="192"/>
    </row>
    <row r="102" spans="19:20" x14ac:dyDescent="0.25">
      <c r="S102" s="102"/>
      <c r="T102" s="192"/>
    </row>
    <row r="103" spans="19:20" x14ac:dyDescent="0.25">
      <c r="S103" s="102"/>
      <c r="T103" s="192"/>
    </row>
    <row r="104" spans="19:20" x14ac:dyDescent="0.25">
      <c r="S104" s="102"/>
      <c r="T104" s="192"/>
    </row>
    <row r="105" spans="19:20" x14ac:dyDescent="0.25">
      <c r="S105" s="102"/>
      <c r="T105" s="192"/>
    </row>
    <row r="106" spans="19:20" x14ac:dyDescent="0.25">
      <c r="S106" s="102"/>
      <c r="T106" s="192"/>
    </row>
    <row r="107" spans="19:20" x14ac:dyDescent="0.25">
      <c r="S107" s="102"/>
      <c r="T107" s="192"/>
    </row>
    <row r="108" spans="19:20" x14ac:dyDescent="0.25">
      <c r="S108" s="102"/>
      <c r="T108" s="192"/>
    </row>
    <row r="109" spans="19:20" x14ac:dyDescent="0.25">
      <c r="S109" s="102"/>
      <c r="T109" s="192"/>
    </row>
    <row r="110" spans="19:20" x14ac:dyDescent="0.25">
      <c r="S110" s="102"/>
      <c r="T110" s="192"/>
    </row>
    <row r="111" spans="19:20" x14ac:dyDescent="0.25">
      <c r="S111" s="102"/>
      <c r="T111" s="192"/>
    </row>
    <row r="112" spans="19:20" x14ac:dyDescent="0.25">
      <c r="S112" s="102"/>
      <c r="T112" s="192"/>
    </row>
    <row r="113" spans="19:20" x14ac:dyDescent="0.25">
      <c r="S113" s="102"/>
      <c r="T113" s="192"/>
    </row>
    <row r="114" spans="19:20" x14ac:dyDescent="0.25">
      <c r="S114" s="102"/>
      <c r="T114" s="192"/>
    </row>
    <row r="115" spans="19:20" x14ac:dyDescent="0.25">
      <c r="S115" s="102"/>
      <c r="T115" s="192"/>
    </row>
    <row r="116" spans="19:20" x14ac:dyDescent="0.25">
      <c r="S116" s="102"/>
      <c r="T116" s="192"/>
    </row>
    <row r="117" spans="19:20" x14ac:dyDescent="0.25">
      <c r="S117" s="102"/>
      <c r="T117" s="192"/>
    </row>
    <row r="118" spans="19:20" x14ac:dyDescent="0.25">
      <c r="S118" s="102"/>
      <c r="T118" s="192"/>
    </row>
    <row r="119" spans="19:20" x14ac:dyDescent="0.25">
      <c r="T119" s="192"/>
    </row>
    <row r="120" spans="19:20" x14ac:dyDescent="0.25">
      <c r="T120" s="192"/>
    </row>
    <row r="121" spans="19:20" x14ac:dyDescent="0.25">
      <c r="T121" s="192"/>
    </row>
    <row r="122" spans="19:20" x14ac:dyDescent="0.25">
      <c r="T122" s="192"/>
    </row>
    <row r="123" spans="19:20" x14ac:dyDescent="0.25">
      <c r="T123" s="192"/>
    </row>
    <row r="124" spans="19:20" x14ac:dyDescent="0.25">
      <c r="T124" s="192"/>
    </row>
    <row r="125" spans="19:20" x14ac:dyDescent="0.25">
      <c r="T125" s="192"/>
    </row>
    <row r="126" spans="19:20" x14ac:dyDescent="0.25">
      <c r="T126" s="192"/>
    </row>
    <row r="127" spans="19:20" x14ac:dyDescent="0.25">
      <c r="T127" s="192"/>
    </row>
    <row r="128" spans="19:20" x14ac:dyDescent="0.25">
      <c r="T128" s="192"/>
    </row>
    <row r="129" spans="20:20" x14ac:dyDescent="0.25">
      <c r="T129" s="192"/>
    </row>
    <row r="130" spans="20:20" x14ac:dyDescent="0.25">
      <c r="T130" s="192"/>
    </row>
    <row r="131" spans="20:20" x14ac:dyDescent="0.25">
      <c r="T131" s="192"/>
    </row>
    <row r="132" spans="20:20" x14ac:dyDescent="0.25">
      <c r="T132" s="192"/>
    </row>
    <row r="133" spans="20:20" x14ac:dyDescent="0.25">
      <c r="T133" s="192"/>
    </row>
    <row r="134" spans="20:20" x14ac:dyDescent="0.25">
      <c r="T134" s="192"/>
    </row>
    <row r="135" spans="20:20" x14ac:dyDescent="0.25">
      <c r="T135" s="192"/>
    </row>
    <row r="136" spans="20:20" x14ac:dyDescent="0.25">
      <c r="T136" s="192"/>
    </row>
    <row r="137" spans="20:20" x14ac:dyDescent="0.25">
      <c r="T137" s="192"/>
    </row>
  </sheetData>
  <sortState xmlns:xlrd2="http://schemas.microsoft.com/office/spreadsheetml/2017/richdata2" ref="T7:U82">
    <sortCondition descending="1" ref="U1:U82"/>
  </sortState>
  <mergeCells count="10">
    <mergeCell ref="B72:R72"/>
    <mergeCell ref="D5:J5"/>
    <mergeCell ref="L5:R5"/>
    <mergeCell ref="B4:I4"/>
    <mergeCell ref="B1:R1"/>
    <mergeCell ref="B2:R2"/>
    <mergeCell ref="B3:R3"/>
    <mergeCell ref="B40:I40"/>
    <mergeCell ref="D41:J41"/>
    <mergeCell ref="L41:R41"/>
  </mergeCells>
  <printOptions horizontalCentered="1"/>
  <pageMargins left="0.7" right="0.7" top="0.75" bottom="0.75" header="0.3" footer="0.3"/>
  <pageSetup paperSize="9" scale="40" orientation="landscape" r:id="rId1"/>
  <headerFooter>
    <oddFooter>&amp;C&amp;P</oddFooter>
  </headerFooter>
  <rowBreaks count="1" manualBreakCount="1">
    <brk id="39" max="1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B1:AC85"/>
  <sheetViews>
    <sheetView rightToLeft="1" view="pageBreakPreview" zoomScale="85" zoomScaleNormal="85" zoomScaleSheetLayoutView="85" workbookViewId="0">
      <selection activeCell="H30" sqref="H30"/>
    </sheetView>
  </sheetViews>
  <sheetFormatPr defaultColWidth="8.85546875" defaultRowHeight="22.5" x14ac:dyDescent="0.55000000000000004"/>
  <cols>
    <col min="1" max="1" width="3.7109375" style="1" customWidth="1"/>
    <col min="2" max="2" width="36.7109375" style="1" bestFit="1" customWidth="1"/>
    <col min="3" max="3" width="0.5703125" style="1" customWidth="1"/>
    <col min="4" max="4" width="17.85546875" style="93" bestFit="1" customWidth="1"/>
    <col min="5" max="5" width="0.85546875" style="1" customWidth="1"/>
    <col min="6" max="6" width="21.28515625" style="93" bestFit="1" customWidth="1"/>
    <col min="7" max="7" width="0.7109375" style="1" customWidth="1"/>
    <col min="8" max="8" width="22" style="93" bestFit="1" customWidth="1"/>
    <col min="9" max="9" width="0.85546875" style="1" customWidth="1"/>
    <col min="10" max="10" width="23.85546875" style="93" bestFit="1" customWidth="1"/>
    <col min="11" max="11" width="0.7109375" style="1" customWidth="1"/>
    <col min="12" max="12" width="23" style="93" customWidth="1"/>
    <col min="13" max="13" width="0.28515625" style="1" customWidth="1"/>
    <col min="14" max="14" width="25.28515625" style="93" bestFit="1" customWidth="1"/>
    <col min="15" max="15" width="0.28515625" style="1" customWidth="1"/>
    <col min="16" max="16" width="22.85546875" style="93" bestFit="1" customWidth="1"/>
    <col min="17" max="17" width="0.7109375" style="1" customWidth="1"/>
    <col min="18" max="18" width="24" style="93" bestFit="1" customWidth="1"/>
    <col min="19" max="19" width="28.140625" style="1" bestFit="1" customWidth="1"/>
    <col min="20" max="20" width="20.140625" style="1" bestFit="1" customWidth="1"/>
    <col min="21" max="21" width="8.140625" style="1" customWidth="1"/>
    <col min="22" max="22" width="23.28515625" style="1" customWidth="1"/>
    <col min="23" max="23" width="28.85546875" style="1" customWidth="1"/>
    <col min="24" max="16384" width="8.85546875" style="1"/>
  </cols>
  <sheetData>
    <row r="1" spans="2:29" ht="24" x14ac:dyDescent="0.6">
      <c r="B1" s="344" t="str">
        <f>'سود اوراق بهادار و سپرده بانکی'!B1:U1</f>
        <v>صندوق سرمایه گذاری شاخص سی شرکت بزرگ فیروزه</v>
      </c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</row>
    <row r="2" spans="2:29" ht="24" x14ac:dyDescent="0.6">
      <c r="B2" s="344" t="s">
        <v>86</v>
      </c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4"/>
      <c r="Q2" s="344"/>
      <c r="R2" s="344"/>
      <c r="V2" s="93"/>
    </row>
    <row r="3" spans="2:29" ht="24" x14ac:dyDescent="0.6">
      <c r="B3" s="344" t="str">
        <f>' سهام'!B3:Z3</f>
        <v>برای ماه منتهی به 1405/02/31</v>
      </c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  <c r="N3" s="344"/>
      <c r="O3" s="344"/>
      <c r="P3" s="344"/>
      <c r="Q3" s="344"/>
      <c r="R3" s="344"/>
      <c r="V3" s="93"/>
    </row>
    <row r="4" spans="2:29" ht="24" x14ac:dyDescent="0.55000000000000004">
      <c r="B4" s="417" t="s">
        <v>97</v>
      </c>
      <c r="C4" s="417"/>
      <c r="D4" s="417"/>
      <c r="E4" s="417"/>
      <c r="F4" s="417"/>
      <c r="G4" s="417"/>
      <c r="H4" s="417"/>
      <c r="I4" s="417"/>
      <c r="J4" s="417"/>
      <c r="K4" s="419"/>
      <c r="L4" s="419"/>
      <c r="M4" s="419"/>
      <c r="N4" s="419"/>
      <c r="O4" s="419"/>
      <c r="P4" s="419"/>
      <c r="Q4" s="419"/>
      <c r="R4" s="419"/>
      <c r="V4" s="93"/>
      <c r="AC4" s="1" t="s">
        <v>164</v>
      </c>
    </row>
    <row r="5" spans="2:29" ht="24.75" thickBot="1" x14ac:dyDescent="0.6">
      <c r="B5" s="12"/>
      <c r="C5" s="12"/>
      <c r="D5" s="412" t="str">
        <f>' سهام'!AC7</f>
        <v>طی اردیبهشت ماه</v>
      </c>
      <c r="E5" s="412"/>
      <c r="F5" s="412"/>
      <c r="G5" s="412"/>
      <c r="H5" s="412"/>
      <c r="I5" s="412"/>
      <c r="J5" s="412"/>
      <c r="K5" s="12"/>
      <c r="L5" s="412" t="str">
        <f>' سهام'!AC8</f>
        <v>از ابتدای سال مالی تا پایان اردیبهشت ماه</v>
      </c>
      <c r="M5" s="412"/>
      <c r="N5" s="412"/>
      <c r="O5" s="412"/>
      <c r="P5" s="412"/>
      <c r="Q5" s="412"/>
      <c r="R5" s="412"/>
      <c r="V5" s="93"/>
      <c r="AC5" s="1" t="s">
        <v>169</v>
      </c>
    </row>
    <row r="6" spans="2:29" ht="45.75" thickBot="1" x14ac:dyDescent="0.6">
      <c r="B6" s="12" t="s">
        <v>63</v>
      </c>
      <c r="C6" s="12"/>
      <c r="D6" s="110" t="s">
        <v>8</v>
      </c>
      <c r="E6" s="12"/>
      <c r="F6" s="111" t="s">
        <v>76</v>
      </c>
      <c r="G6" s="12"/>
      <c r="H6" s="110" t="s">
        <v>73</v>
      </c>
      <c r="I6" s="12"/>
      <c r="J6" s="111" t="s">
        <v>77</v>
      </c>
      <c r="K6" s="12"/>
      <c r="L6" s="110" t="s">
        <v>8</v>
      </c>
      <c r="M6" s="12"/>
      <c r="N6" s="111" t="s">
        <v>31</v>
      </c>
      <c r="O6" s="12"/>
      <c r="P6" s="110" t="s">
        <v>73</v>
      </c>
      <c r="Q6" s="12"/>
      <c r="R6" s="111" t="s">
        <v>77</v>
      </c>
      <c r="T6" s="159"/>
      <c r="Z6" s="1" t="s">
        <v>170</v>
      </c>
    </row>
    <row r="7" spans="2:29" x14ac:dyDescent="0.55000000000000004">
      <c r="B7" s="12" t="s">
        <v>129</v>
      </c>
      <c r="C7" s="12"/>
      <c r="D7" s="91">
        <v>7200000</v>
      </c>
      <c r="E7" s="12"/>
      <c r="F7" s="112">
        <v>114384104041</v>
      </c>
      <c r="G7" s="12"/>
      <c r="H7" s="60">
        <v>-121382404570</v>
      </c>
      <c r="I7" s="12"/>
      <c r="J7" s="113">
        <v>-6998300529</v>
      </c>
      <c r="K7" s="12"/>
      <c r="L7" s="91">
        <v>7200000</v>
      </c>
      <c r="M7" s="12"/>
      <c r="N7" s="112">
        <v>114384104041</v>
      </c>
      <c r="O7" s="12"/>
      <c r="P7" s="60">
        <v>-121382404570</v>
      </c>
      <c r="Q7" s="12"/>
      <c r="R7" s="113">
        <f>P7+N7</f>
        <v>-6998300529</v>
      </c>
      <c r="S7" s="173"/>
      <c r="T7" s="159"/>
      <c r="Z7" s="1" t="s">
        <v>171</v>
      </c>
    </row>
    <row r="8" spans="2:29" x14ac:dyDescent="0.55000000000000004">
      <c r="B8" s="12" t="s">
        <v>153</v>
      </c>
      <c r="C8" s="12"/>
      <c r="D8" s="91">
        <v>3600000</v>
      </c>
      <c r="E8" s="12"/>
      <c r="F8" s="112">
        <v>5337830591</v>
      </c>
      <c r="G8" s="12"/>
      <c r="H8" s="60">
        <v>-5629743081</v>
      </c>
      <c r="I8" s="12"/>
      <c r="J8" s="113">
        <v>-291912490</v>
      </c>
      <c r="K8" s="12"/>
      <c r="L8" s="91">
        <v>3600000</v>
      </c>
      <c r="M8" s="12"/>
      <c r="N8" s="112">
        <v>5337830591</v>
      </c>
      <c r="O8" s="12"/>
      <c r="P8" s="60">
        <v>-5629743081</v>
      </c>
      <c r="Q8" s="12"/>
      <c r="R8" s="113">
        <f t="shared" ref="R8:R15" si="0">P8+N8</f>
        <v>-291912490</v>
      </c>
      <c r="S8" s="173"/>
      <c r="T8" s="159"/>
    </row>
    <row r="9" spans="2:29" x14ac:dyDescent="0.55000000000000004">
      <c r="B9" s="12" t="s">
        <v>103</v>
      </c>
      <c r="C9" s="12"/>
      <c r="D9" s="91">
        <v>1</v>
      </c>
      <c r="E9" s="12"/>
      <c r="F9" s="112">
        <v>1</v>
      </c>
      <c r="G9" s="12"/>
      <c r="H9" s="60">
        <v>-1644</v>
      </c>
      <c r="I9" s="12"/>
      <c r="J9" s="113">
        <v>-1644</v>
      </c>
      <c r="K9" s="12"/>
      <c r="L9" s="91">
        <v>1</v>
      </c>
      <c r="M9" s="12"/>
      <c r="N9" s="112">
        <v>0</v>
      </c>
      <c r="O9" s="12"/>
      <c r="P9" s="60">
        <v>-1644</v>
      </c>
      <c r="Q9" s="12"/>
      <c r="R9" s="113">
        <f t="shared" si="0"/>
        <v>-1644</v>
      </c>
      <c r="S9" s="173"/>
      <c r="T9" s="159"/>
    </row>
    <row r="10" spans="2:29" x14ac:dyDescent="0.55000000000000004">
      <c r="B10" s="12" t="s">
        <v>202</v>
      </c>
      <c r="C10" s="12"/>
      <c r="D10" s="91">
        <v>0</v>
      </c>
      <c r="E10" s="12"/>
      <c r="F10" s="112">
        <v>0</v>
      </c>
      <c r="G10" s="12"/>
      <c r="H10" s="60">
        <v>0</v>
      </c>
      <c r="I10" s="12"/>
      <c r="J10" s="113">
        <v>0</v>
      </c>
      <c r="K10" s="12"/>
      <c r="L10" s="91">
        <v>1</v>
      </c>
      <c r="M10" s="12"/>
      <c r="N10" s="112">
        <v>0</v>
      </c>
      <c r="O10" s="12"/>
      <c r="P10" s="60">
        <v>-8856</v>
      </c>
      <c r="Q10" s="12"/>
      <c r="R10" s="113">
        <f t="shared" si="0"/>
        <v>-8856</v>
      </c>
      <c r="S10" s="173"/>
      <c r="T10" s="159"/>
    </row>
    <row r="11" spans="2:29" x14ac:dyDescent="0.55000000000000004">
      <c r="B11" s="12" t="s">
        <v>110</v>
      </c>
      <c r="C11" s="12"/>
      <c r="D11" s="91">
        <v>0</v>
      </c>
      <c r="E11" s="12"/>
      <c r="F11" s="112">
        <v>0</v>
      </c>
      <c r="G11" s="12"/>
      <c r="H11" s="60">
        <v>0</v>
      </c>
      <c r="I11" s="12"/>
      <c r="J11" s="113">
        <v>0</v>
      </c>
      <c r="K11" s="12"/>
      <c r="L11" s="91">
        <v>9</v>
      </c>
      <c r="M11" s="12"/>
      <c r="N11" s="112">
        <v>0</v>
      </c>
      <c r="O11" s="12"/>
      <c r="P11" s="60">
        <v>-7788</v>
      </c>
      <c r="Q11" s="12"/>
      <c r="R11" s="113">
        <f t="shared" si="0"/>
        <v>-7788</v>
      </c>
      <c r="S11" s="173"/>
      <c r="T11" s="159"/>
    </row>
    <row r="12" spans="2:29" x14ac:dyDescent="0.55000000000000004">
      <c r="B12" s="12" t="s">
        <v>141</v>
      </c>
      <c r="C12" s="12"/>
      <c r="D12" s="91">
        <v>0</v>
      </c>
      <c r="E12" s="12"/>
      <c r="F12" s="112">
        <v>0</v>
      </c>
      <c r="G12" s="12"/>
      <c r="H12" s="60">
        <v>0</v>
      </c>
      <c r="I12" s="12"/>
      <c r="J12" s="113">
        <v>0</v>
      </c>
      <c r="K12" s="12"/>
      <c r="L12" s="91">
        <v>1</v>
      </c>
      <c r="M12" s="12"/>
      <c r="N12" s="112">
        <v>0</v>
      </c>
      <c r="O12" s="12"/>
      <c r="P12" s="60">
        <v>-9849</v>
      </c>
      <c r="Q12" s="12"/>
      <c r="R12" s="113">
        <f t="shared" si="0"/>
        <v>-9849</v>
      </c>
      <c r="S12" s="173"/>
      <c r="T12" s="159"/>
    </row>
    <row r="13" spans="2:29" x14ac:dyDescent="0.55000000000000004">
      <c r="B13" s="12" t="s">
        <v>115</v>
      </c>
      <c r="C13" s="12"/>
      <c r="D13" s="91">
        <v>0</v>
      </c>
      <c r="E13" s="12"/>
      <c r="F13" s="112">
        <v>0</v>
      </c>
      <c r="G13" s="12"/>
      <c r="H13" s="60">
        <v>0</v>
      </c>
      <c r="I13" s="12"/>
      <c r="J13" s="113">
        <v>0</v>
      </c>
      <c r="K13" s="12"/>
      <c r="L13" s="91">
        <v>2</v>
      </c>
      <c r="M13" s="12"/>
      <c r="N13" s="112">
        <v>0</v>
      </c>
      <c r="O13" s="12"/>
      <c r="P13" s="60">
        <v>-25860</v>
      </c>
      <c r="Q13" s="12"/>
      <c r="R13" s="113">
        <f t="shared" si="0"/>
        <v>-25860</v>
      </c>
      <c r="S13" s="173"/>
      <c r="T13" s="159"/>
    </row>
    <row r="14" spans="2:29" x14ac:dyDescent="0.55000000000000004">
      <c r="B14" s="12" t="s">
        <v>176</v>
      </c>
      <c r="C14" s="12"/>
      <c r="D14" s="91">
        <v>0</v>
      </c>
      <c r="E14" s="12"/>
      <c r="F14" s="112">
        <v>0</v>
      </c>
      <c r="G14" s="12"/>
      <c r="H14" s="60">
        <v>0</v>
      </c>
      <c r="I14" s="12"/>
      <c r="J14" s="113">
        <v>0</v>
      </c>
      <c r="K14" s="12"/>
      <c r="L14" s="91">
        <v>1</v>
      </c>
      <c r="M14" s="12"/>
      <c r="N14" s="112">
        <v>0</v>
      </c>
      <c r="O14" s="12"/>
      <c r="P14" s="60">
        <v>-6111</v>
      </c>
      <c r="Q14" s="12"/>
      <c r="R14" s="113">
        <f>P14+N14</f>
        <v>-6111</v>
      </c>
      <c r="S14" s="173"/>
      <c r="T14" s="159"/>
    </row>
    <row r="15" spans="2:29" x14ac:dyDescent="0.55000000000000004">
      <c r="B15" s="12" t="s">
        <v>142</v>
      </c>
      <c r="C15" s="12"/>
      <c r="D15" s="91">
        <v>0</v>
      </c>
      <c r="E15" s="12"/>
      <c r="F15" s="112">
        <v>0</v>
      </c>
      <c r="G15" s="12"/>
      <c r="H15" s="60">
        <v>0</v>
      </c>
      <c r="I15" s="12"/>
      <c r="J15" s="113">
        <v>0</v>
      </c>
      <c r="K15" s="12"/>
      <c r="L15" s="91">
        <v>1</v>
      </c>
      <c r="M15" s="12"/>
      <c r="N15" s="112">
        <v>0</v>
      </c>
      <c r="O15" s="12"/>
      <c r="P15" s="60">
        <v>-373</v>
      </c>
      <c r="Q15" s="12"/>
      <c r="R15" s="113">
        <f t="shared" si="0"/>
        <v>-373</v>
      </c>
      <c r="S15" s="173"/>
      <c r="T15" s="159"/>
      <c r="Z15" s="1" t="s">
        <v>172</v>
      </c>
    </row>
    <row r="16" spans="2:29" ht="23.25" thickBot="1" x14ac:dyDescent="0.6">
      <c r="B16" s="175" t="s">
        <v>205</v>
      </c>
      <c r="C16" s="165"/>
      <c r="D16" s="176">
        <f>SUM(D7:D14)</f>
        <v>10800001</v>
      </c>
      <c r="E16" s="176"/>
      <c r="F16" s="176">
        <f>SUM(F7:F14)</f>
        <v>119721934633</v>
      </c>
      <c r="G16" s="176"/>
      <c r="H16" s="176">
        <f>SUM(H7:H14)</f>
        <v>-127012149295</v>
      </c>
      <c r="I16" s="176"/>
      <c r="J16" s="176">
        <f>SUM(J7:J14)</f>
        <v>-7290214663</v>
      </c>
      <c r="K16" s="176"/>
      <c r="L16" s="176">
        <f>SUM(L7:L15)</f>
        <v>10800016</v>
      </c>
      <c r="M16" s="176"/>
      <c r="N16" s="176">
        <f>SUM(N7:N15)</f>
        <v>119721934632</v>
      </c>
      <c r="O16" s="176"/>
      <c r="P16" s="176">
        <f>SUM(P7:P15)</f>
        <v>-127012208132</v>
      </c>
      <c r="Q16" s="176"/>
      <c r="R16" s="176">
        <f>SUM(R7:R15)</f>
        <v>-7290273500</v>
      </c>
      <c r="S16" s="173"/>
      <c r="T16" s="159"/>
    </row>
    <row r="17" spans="2:26" ht="23.25" thickTop="1" x14ac:dyDescent="0.55000000000000004">
      <c r="B17" s="12"/>
      <c r="C17" s="174"/>
      <c r="D17" s="114"/>
      <c r="E17" s="114"/>
      <c r="F17" s="114"/>
      <c r="G17" s="12"/>
      <c r="H17" s="60"/>
      <c r="I17" s="12"/>
      <c r="J17" s="113"/>
      <c r="K17" s="12"/>
      <c r="L17" s="114"/>
      <c r="M17" s="12"/>
      <c r="N17" s="114"/>
      <c r="O17" s="12"/>
      <c r="P17" s="60"/>
      <c r="Q17" s="12"/>
      <c r="R17" s="113"/>
      <c r="S17" s="173"/>
      <c r="T17" s="159"/>
    </row>
    <row r="18" spans="2:26" ht="24" hidden="1" x14ac:dyDescent="0.55000000000000004">
      <c r="B18" s="417" t="s">
        <v>97</v>
      </c>
      <c r="C18" s="417"/>
      <c r="D18" s="417"/>
      <c r="E18" s="417"/>
      <c r="F18" s="417"/>
      <c r="G18" s="417"/>
      <c r="H18" s="417"/>
      <c r="I18" s="417"/>
      <c r="J18" s="417"/>
      <c r="K18" s="419"/>
      <c r="L18" s="419"/>
      <c r="M18" s="419"/>
      <c r="N18" s="419"/>
      <c r="O18" s="419"/>
      <c r="P18" s="419"/>
      <c r="Q18" s="419"/>
      <c r="R18" s="419"/>
      <c r="Z18" s="1" t="s">
        <v>155</v>
      </c>
    </row>
    <row r="19" spans="2:26" ht="24.75" hidden="1" thickBot="1" x14ac:dyDescent="0.6">
      <c r="B19" s="12"/>
      <c r="C19" s="12"/>
      <c r="D19" s="412" t="str">
        <f>D5</f>
        <v>طی اردیبهشت ماه</v>
      </c>
      <c r="E19" s="412"/>
      <c r="F19" s="412"/>
      <c r="G19" s="412"/>
      <c r="H19" s="412"/>
      <c r="I19" s="412"/>
      <c r="J19" s="412"/>
      <c r="K19" s="12"/>
      <c r="L19" s="412" t="str">
        <f>L5</f>
        <v>از ابتدای سال مالی تا پایان اردیبهشت ماه</v>
      </c>
      <c r="M19" s="412"/>
      <c r="N19" s="412"/>
      <c r="O19" s="412"/>
      <c r="P19" s="412"/>
      <c r="Q19" s="412"/>
      <c r="R19" s="412"/>
      <c r="Z19" s="1" t="s">
        <v>156</v>
      </c>
    </row>
    <row r="20" spans="2:26" ht="45.75" hidden="1" thickBot="1" x14ac:dyDescent="0.6">
      <c r="B20" s="12" t="s">
        <v>63</v>
      </c>
      <c r="C20" s="12"/>
      <c r="D20" s="110" t="s">
        <v>8</v>
      </c>
      <c r="E20" s="12"/>
      <c r="F20" s="111" t="s">
        <v>76</v>
      </c>
      <c r="G20" s="12"/>
      <c r="H20" s="110" t="s">
        <v>73</v>
      </c>
      <c r="I20" s="12"/>
      <c r="J20" s="111" t="s">
        <v>77</v>
      </c>
      <c r="K20" s="12"/>
      <c r="L20" s="110" t="s">
        <v>8</v>
      </c>
      <c r="M20" s="12"/>
      <c r="N20" s="111" t="s">
        <v>31</v>
      </c>
      <c r="O20" s="12"/>
      <c r="P20" s="110" t="s">
        <v>73</v>
      </c>
      <c r="Q20" s="12"/>
      <c r="R20" s="111" t="s">
        <v>77</v>
      </c>
      <c r="T20" s="159"/>
      <c r="X20" s="1" t="s">
        <v>157</v>
      </c>
    </row>
    <row r="21" spans="2:26" hidden="1" x14ac:dyDescent="0.55000000000000004">
      <c r="B21" s="12" t="s">
        <v>168</v>
      </c>
      <c r="C21" s="174"/>
      <c r="D21" s="114">
        <f>D16</f>
        <v>10800001</v>
      </c>
      <c r="E21" s="114"/>
      <c r="F21" s="60">
        <f>F16</f>
        <v>119721934633</v>
      </c>
      <c r="G21" s="60"/>
      <c r="H21" s="60">
        <f>H16</f>
        <v>-127012149295</v>
      </c>
      <c r="I21" s="60"/>
      <c r="J21" s="60">
        <f>J16</f>
        <v>-7290214663</v>
      </c>
      <c r="K21" s="60"/>
      <c r="L21" s="60">
        <f>L16</f>
        <v>10800016</v>
      </c>
      <c r="M21" s="60"/>
      <c r="N21" s="60">
        <f>N16</f>
        <v>119721934632</v>
      </c>
      <c r="O21" s="60"/>
      <c r="P21" s="60">
        <f>P16</f>
        <v>-127012208132</v>
      </c>
      <c r="Q21" s="60"/>
      <c r="R21" s="60">
        <f>R16</f>
        <v>-7290273500</v>
      </c>
      <c r="S21" s="173"/>
      <c r="T21" s="159"/>
    </row>
    <row r="22" spans="2:26" ht="23.25" hidden="1" thickBot="1" x14ac:dyDescent="0.6">
      <c r="B22" s="177" t="s">
        <v>7</v>
      </c>
      <c r="C22" s="177"/>
      <c r="D22" s="126">
        <f>SUM(D21:D21)</f>
        <v>10800001</v>
      </c>
      <c r="E22" s="178"/>
      <c r="F22" s="126">
        <f>SUM(F21:F21)</f>
        <v>119721934633</v>
      </c>
      <c r="G22" s="178"/>
      <c r="H22" s="126">
        <f>SUM(H21:H21)</f>
        <v>-127012149295</v>
      </c>
      <c r="I22" s="178"/>
      <c r="J22" s="126">
        <f>SUM(J21:J21)</f>
        <v>-7290214663</v>
      </c>
      <c r="K22" s="178"/>
      <c r="L22" s="126">
        <f>SUM(L21:L21)</f>
        <v>10800016</v>
      </c>
      <c r="M22" s="178"/>
      <c r="N22" s="126">
        <f>SUM(N21:N21)</f>
        <v>119721934632</v>
      </c>
      <c r="O22" s="178"/>
      <c r="P22" s="126">
        <f>SUM(P21:P21)</f>
        <v>-127012208132</v>
      </c>
      <c r="Q22" s="178"/>
      <c r="R22" s="126">
        <f>SUM(R21:R21)</f>
        <v>-7290273500</v>
      </c>
    </row>
    <row r="23" spans="2:26" ht="23.25" hidden="1" thickTop="1" x14ac:dyDescent="0.55000000000000004"/>
    <row r="24" spans="2:26" ht="23.25" hidden="1" thickTop="1" x14ac:dyDescent="0.55000000000000004">
      <c r="B24" s="418"/>
      <c r="C24" s="418"/>
      <c r="D24" s="418"/>
      <c r="E24" s="418"/>
      <c r="F24" s="418"/>
      <c r="G24" s="418"/>
      <c r="H24" s="418"/>
      <c r="I24" s="418"/>
      <c r="J24" s="418"/>
      <c r="K24" s="418"/>
      <c r="L24" s="418"/>
      <c r="M24" s="418"/>
      <c r="N24" s="418"/>
      <c r="O24" s="418"/>
      <c r="P24" s="418"/>
      <c r="Q24" s="418"/>
      <c r="R24" s="418"/>
    </row>
    <row r="26" spans="2:26" x14ac:dyDescent="0.55000000000000004">
      <c r="P26" s="289"/>
    </row>
    <row r="27" spans="2:26" x14ac:dyDescent="0.55000000000000004">
      <c r="O27" s="93"/>
    </row>
    <row r="32" spans="2:26" x14ac:dyDescent="0.55000000000000004">
      <c r="E32" s="93"/>
      <c r="G32" s="93"/>
      <c r="I32" s="93"/>
      <c r="K32" s="93"/>
      <c r="M32" s="93"/>
      <c r="O32" s="93"/>
      <c r="Q32" s="93"/>
    </row>
    <row r="37" spans="22:23" x14ac:dyDescent="0.55000000000000004">
      <c r="V37" s="93"/>
      <c r="W37" s="60"/>
    </row>
    <row r="38" spans="22:23" x14ac:dyDescent="0.55000000000000004">
      <c r="V38" s="93"/>
      <c r="W38" s="60"/>
    </row>
    <row r="39" spans="22:23" x14ac:dyDescent="0.55000000000000004">
      <c r="V39" s="93"/>
      <c r="W39" s="60"/>
    </row>
    <row r="40" spans="22:23" x14ac:dyDescent="0.55000000000000004">
      <c r="V40" s="93"/>
      <c r="W40" s="60"/>
    </row>
    <row r="41" spans="22:23" x14ac:dyDescent="0.55000000000000004">
      <c r="V41" s="93"/>
      <c r="W41" s="60"/>
    </row>
    <row r="42" spans="22:23" x14ac:dyDescent="0.55000000000000004">
      <c r="V42" s="93"/>
      <c r="W42" s="60"/>
    </row>
    <row r="43" spans="22:23" x14ac:dyDescent="0.55000000000000004">
      <c r="V43" s="93"/>
      <c r="W43" s="60"/>
    </row>
    <row r="44" spans="22:23" x14ac:dyDescent="0.55000000000000004">
      <c r="V44" s="93"/>
      <c r="W44" s="60"/>
    </row>
    <row r="45" spans="22:23" x14ac:dyDescent="0.55000000000000004">
      <c r="V45" s="93"/>
      <c r="W45" s="60"/>
    </row>
    <row r="46" spans="22:23" x14ac:dyDescent="0.55000000000000004">
      <c r="V46" s="93"/>
      <c r="W46" s="60"/>
    </row>
    <row r="47" spans="22:23" x14ac:dyDescent="0.55000000000000004">
      <c r="V47" s="93"/>
      <c r="W47" s="60"/>
    </row>
    <row r="48" spans="22:23" x14ac:dyDescent="0.55000000000000004">
      <c r="V48" s="93"/>
      <c r="W48" s="60"/>
    </row>
    <row r="49" spans="22:23" x14ac:dyDescent="0.55000000000000004">
      <c r="V49" s="93"/>
      <c r="W49" s="60"/>
    </row>
    <row r="50" spans="22:23" x14ac:dyDescent="0.55000000000000004">
      <c r="V50" s="93"/>
      <c r="W50" s="60"/>
    </row>
    <row r="51" spans="22:23" x14ac:dyDescent="0.55000000000000004">
      <c r="V51" s="93"/>
      <c r="W51" s="60"/>
    </row>
    <row r="52" spans="22:23" x14ac:dyDescent="0.55000000000000004">
      <c r="V52" s="93"/>
      <c r="W52" s="60"/>
    </row>
    <row r="53" spans="22:23" x14ac:dyDescent="0.55000000000000004">
      <c r="V53" s="93"/>
      <c r="W53" s="60"/>
    </row>
    <row r="54" spans="22:23" x14ac:dyDescent="0.55000000000000004">
      <c r="V54" s="93"/>
      <c r="W54" s="60"/>
    </row>
    <row r="55" spans="22:23" x14ac:dyDescent="0.55000000000000004">
      <c r="V55" s="93"/>
      <c r="W55" s="60"/>
    </row>
    <row r="56" spans="22:23" x14ac:dyDescent="0.55000000000000004">
      <c r="V56" s="93"/>
      <c r="W56" s="60"/>
    </row>
    <row r="57" spans="22:23" x14ac:dyDescent="0.55000000000000004">
      <c r="V57" s="93"/>
      <c r="W57" s="60"/>
    </row>
    <row r="58" spans="22:23" x14ac:dyDescent="0.55000000000000004">
      <c r="V58" s="93"/>
      <c r="W58" s="60"/>
    </row>
    <row r="59" spans="22:23" x14ac:dyDescent="0.55000000000000004">
      <c r="V59" s="93"/>
      <c r="W59" s="60"/>
    </row>
    <row r="60" spans="22:23" x14ac:dyDescent="0.55000000000000004">
      <c r="V60" s="93"/>
      <c r="W60" s="60"/>
    </row>
    <row r="61" spans="22:23" x14ac:dyDescent="0.55000000000000004">
      <c r="V61" s="93"/>
      <c r="W61" s="60"/>
    </row>
    <row r="62" spans="22:23" x14ac:dyDescent="0.55000000000000004">
      <c r="V62" s="93"/>
      <c r="W62" s="60"/>
    </row>
    <row r="79" spans="25:26" x14ac:dyDescent="0.55000000000000004">
      <c r="Y79" s="276"/>
      <c r="Z79" s="276"/>
    </row>
    <row r="80" spans="25:26" x14ac:dyDescent="0.55000000000000004">
      <c r="Y80" s="276"/>
      <c r="Z80" s="276"/>
    </row>
    <row r="81" spans="25:26" x14ac:dyDescent="0.55000000000000004">
      <c r="Y81" s="276"/>
      <c r="Z81" s="276"/>
    </row>
    <row r="82" spans="25:26" x14ac:dyDescent="0.55000000000000004">
      <c r="Y82" s="276"/>
      <c r="Z82" s="276"/>
    </row>
    <row r="83" spans="25:26" x14ac:dyDescent="0.55000000000000004">
      <c r="Y83" s="276"/>
      <c r="Z83" s="276"/>
    </row>
    <row r="84" spans="25:26" x14ac:dyDescent="0.55000000000000004">
      <c r="Y84" s="276"/>
      <c r="Z84" s="276"/>
    </row>
    <row r="85" spans="25:26" x14ac:dyDescent="0.55000000000000004">
      <c r="Y85" s="276"/>
      <c r="Z85" s="276"/>
    </row>
  </sheetData>
  <mergeCells count="12">
    <mergeCell ref="B1:R1"/>
    <mergeCell ref="B2:R2"/>
    <mergeCell ref="B3:R3"/>
    <mergeCell ref="B24:R24"/>
    <mergeCell ref="D5:J5"/>
    <mergeCell ref="L5:R5"/>
    <mergeCell ref="B4:J4"/>
    <mergeCell ref="K4:R4"/>
    <mergeCell ref="B18:J18"/>
    <mergeCell ref="K18:R18"/>
    <mergeCell ref="D19:J19"/>
    <mergeCell ref="L19:R19"/>
  </mergeCells>
  <printOptions horizontalCentered="1"/>
  <pageMargins left="0.7" right="0.7" top="0.75" bottom="0.75" header="0.3" footer="0.3"/>
  <pageSetup paperSize="9" scale="36" orientation="landscape" r:id="rId1"/>
  <headerFooter>
    <oddFooter>&amp;C&amp;P</oddFooter>
  </headerFooter>
  <rowBreaks count="1" manualBreakCount="1">
    <brk id="17" max="17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14"/>
  <sheetViews>
    <sheetView rightToLeft="1" view="pageBreakPreview" zoomScaleNormal="100" zoomScaleSheetLayoutView="100" workbookViewId="0">
      <selection activeCell="E15" sqref="E15"/>
    </sheetView>
  </sheetViews>
  <sheetFormatPr defaultColWidth="9.140625" defaultRowHeight="22.5" x14ac:dyDescent="0.55000000000000004"/>
  <cols>
    <col min="1" max="1" width="7.42578125" style="1" customWidth="1"/>
    <col min="2" max="2" width="30.28515625" style="1" bestFit="1" customWidth="1"/>
    <col min="3" max="3" width="15.140625" style="1" bestFit="1" customWidth="1"/>
    <col min="4" max="4" width="0.7109375" style="1" customWidth="1"/>
    <col min="5" max="5" width="18.42578125" style="1" bestFit="1" customWidth="1"/>
    <col min="6" max="6" width="0.7109375" style="1" customWidth="1"/>
    <col min="7" max="7" width="15.140625" style="1" bestFit="1" customWidth="1"/>
    <col min="8" max="8" width="0.7109375" style="1" customWidth="1"/>
    <col min="9" max="9" width="10.5703125" style="1" bestFit="1" customWidth="1"/>
    <col min="10" max="10" width="0.7109375" style="1" customWidth="1"/>
    <col min="11" max="11" width="23.5703125" style="1" bestFit="1" customWidth="1"/>
    <col min="12" max="12" width="0.7109375" style="1" customWidth="1"/>
    <col min="13" max="13" width="15.140625" style="1" bestFit="1" customWidth="1"/>
    <col min="14" max="14" width="0.7109375" style="1" customWidth="1"/>
    <col min="15" max="15" width="18.42578125" style="1" bestFit="1" customWidth="1"/>
    <col min="16" max="16" width="0.28515625" style="1" customWidth="1"/>
    <col min="17" max="17" width="15.140625" style="1" customWidth="1"/>
    <col min="18" max="18" width="10.42578125" style="1" bestFit="1" customWidth="1"/>
    <col min="19" max="19" width="23.5703125" style="1" bestFit="1" customWidth="1"/>
    <col min="20" max="20" width="11.28515625" style="1" bestFit="1" customWidth="1"/>
    <col min="21" max="21" width="16.28515625" style="4" bestFit="1" customWidth="1"/>
    <col min="22" max="16384" width="9.140625" style="1"/>
  </cols>
  <sheetData>
    <row r="1" spans="1:20" ht="24" x14ac:dyDescent="0.6">
      <c r="A1" s="424" t="s">
        <v>105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</row>
    <row r="2" spans="1:20" ht="24" x14ac:dyDescent="0.6">
      <c r="A2" s="424" t="s">
        <v>86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</row>
    <row r="3" spans="1:20" ht="24" x14ac:dyDescent="0.6">
      <c r="A3" s="424" t="str">
        <f>' سهام'!AC6</f>
        <v>برای ماه منتهی به 1405/02/31</v>
      </c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  <c r="P3" s="424"/>
      <c r="Q3" s="424"/>
      <c r="R3" s="424"/>
      <c r="S3" s="424"/>
    </row>
    <row r="4" spans="1:20" ht="24" x14ac:dyDescent="0.55000000000000004">
      <c r="B4" s="425" t="s">
        <v>150</v>
      </c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4"/>
    </row>
    <row r="6" spans="1:20" ht="24.75" thickBot="1" x14ac:dyDescent="0.6">
      <c r="B6" s="36"/>
      <c r="C6" s="423" t="str">
        <f>' سهام'!AC7</f>
        <v>طی اردیبهشت ماه</v>
      </c>
      <c r="D6" s="423"/>
      <c r="E6" s="423"/>
      <c r="F6" s="423"/>
      <c r="G6" s="423"/>
      <c r="H6" s="423"/>
      <c r="I6" s="423"/>
      <c r="J6" s="423"/>
      <c r="K6" s="423"/>
      <c r="L6" s="52"/>
      <c r="M6" s="423" t="str">
        <f>' سهام'!AC8</f>
        <v>از ابتدای سال مالی تا پایان اردیبهشت ماه</v>
      </c>
      <c r="N6" s="423"/>
      <c r="O6" s="423"/>
      <c r="P6" s="423"/>
      <c r="Q6" s="423"/>
      <c r="R6" s="423"/>
      <c r="S6" s="423"/>
    </row>
    <row r="7" spans="1:20" ht="20.25" customHeight="1" x14ac:dyDescent="0.55000000000000004">
      <c r="B7" s="420"/>
      <c r="C7" s="422" t="s">
        <v>25</v>
      </c>
      <c r="D7" s="422"/>
      <c r="E7" s="422" t="s">
        <v>22</v>
      </c>
      <c r="F7" s="420"/>
      <c r="G7" s="422" t="s">
        <v>23</v>
      </c>
      <c r="H7" s="421"/>
      <c r="I7" s="422" t="s">
        <v>7</v>
      </c>
      <c r="J7" s="422"/>
      <c r="K7" s="422"/>
      <c r="L7" s="53"/>
      <c r="M7" s="422" t="s">
        <v>25</v>
      </c>
      <c r="N7" s="422"/>
      <c r="O7" s="422" t="s">
        <v>22</v>
      </c>
      <c r="P7" s="420"/>
      <c r="Q7" s="422" t="s">
        <v>23</v>
      </c>
      <c r="R7" s="422" t="s">
        <v>7</v>
      </c>
      <c r="S7" s="422"/>
    </row>
    <row r="8" spans="1:20" ht="30" customHeight="1" x14ac:dyDescent="0.55000000000000004">
      <c r="B8" s="421"/>
      <c r="C8" s="423"/>
      <c r="D8" s="423"/>
      <c r="E8" s="423"/>
      <c r="F8" s="421"/>
      <c r="G8" s="423"/>
      <c r="H8" s="421"/>
      <c r="I8" s="423"/>
      <c r="J8" s="423"/>
      <c r="K8" s="423"/>
      <c r="L8" s="53"/>
      <c r="M8" s="423"/>
      <c r="N8" s="423"/>
      <c r="O8" s="423"/>
      <c r="P8" s="421"/>
      <c r="Q8" s="423"/>
      <c r="R8" s="423"/>
      <c r="S8" s="423"/>
    </row>
    <row r="9" spans="1:20" ht="24.75" thickBot="1" x14ac:dyDescent="0.6">
      <c r="B9" s="421"/>
      <c r="C9" s="56" t="s">
        <v>94</v>
      </c>
      <c r="D9" s="423"/>
      <c r="E9" s="56" t="s">
        <v>91</v>
      </c>
      <c r="F9" s="421"/>
      <c r="G9" s="56" t="s">
        <v>131</v>
      </c>
      <c r="H9" s="421"/>
      <c r="I9" s="51" t="s">
        <v>99</v>
      </c>
      <c r="J9" s="51"/>
      <c r="K9" s="51" t="s">
        <v>100</v>
      </c>
      <c r="L9" s="53"/>
      <c r="M9" s="56" t="s">
        <v>94</v>
      </c>
      <c r="N9" s="423"/>
      <c r="O9" s="56" t="s">
        <v>91</v>
      </c>
      <c r="P9" s="421"/>
      <c r="Q9" s="56" t="s">
        <v>131</v>
      </c>
      <c r="R9" s="51" t="s">
        <v>99</v>
      </c>
      <c r="S9" s="51" t="s">
        <v>100</v>
      </c>
    </row>
    <row r="10" spans="1:20" ht="23.25" thickBot="1" x14ac:dyDescent="0.6">
      <c r="B10" s="68" t="s">
        <v>101</v>
      </c>
      <c r="C10" s="33">
        <v>0</v>
      </c>
      <c r="D10" s="42">
        <v>0</v>
      </c>
      <c r="E10" s="62">
        <v>0</v>
      </c>
      <c r="F10" s="52">
        <v>0</v>
      </c>
      <c r="G10" s="60">
        <v>0</v>
      </c>
      <c r="H10" s="52">
        <v>0</v>
      </c>
      <c r="I10" s="60">
        <v>0</v>
      </c>
      <c r="J10" s="60">
        <v>0</v>
      </c>
      <c r="K10" s="37">
        <v>0</v>
      </c>
      <c r="L10" s="42">
        <v>0</v>
      </c>
      <c r="M10" s="33">
        <v>0</v>
      </c>
      <c r="N10" s="42">
        <v>0</v>
      </c>
      <c r="O10" s="33">
        <v>0</v>
      </c>
      <c r="P10" s="52">
        <v>875280</v>
      </c>
      <c r="Q10" s="33">
        <v>0</v>
      </c>
      <c r="R10" s="33">
        <v>0</v>
      </c>
      <c r="S10" s="37">
        <f>R10/S14</f>
        <v>0</v>
      </c>
    </row>
    <row r="11" spans="1:20" ht="23.25" thickBot="1" x14ac:dyDescent="0.6">
      <c r="B11" s="38" t="s">
        <v>7</v>
      </c>
      <c r="C11" s="39">
        <f>SUM(C10:C10)</f>
        <v>0</v>
      </c>
      <c r="D11" s="45"/>
      <c r="E11" s="63">
        <f>SUM(E10:E10)</f>
        <v>0</v>
      </c>
      <c r="F11" s="43"/>
      <c r="G11" s="39">
        <f>SUM(G10:G10)</f>
        <v>0</v>
      </c>
      <c r="H11" s="43"/>
      <c r="I11" s="39">
        <f>SUM(I10:I10)</f>
        <v>0</v>
      </c>
      <c r="J11" s="39"/>
      <c r="K11" s="41">
        <f>SUM(K10:K10)</f>
        <v>0</v>
      </c>
      <c r="L11" s="40"/>
      <c r="M11" s="39">
        <f>SUM(M10:M10)</f>
        <v>0</v>
      </c>
      <c r="N11" s="39"/>
      <c r="O11" s="39">
        <f>SUM(O10:O10)</f>
        <v>0</v>
      </c>
      <c r="P11" s="43"/>
      <c r="Q11" s="39">
        <f>SUM(Q10:Q10)</f>
        <v>0</v>
      </c>
      <c r="R11" s="39">
        <f>SUM(R10:R10)</f>
        <v>0</v>
      </c>
      <c r="S11" s="41">
        <f>SUM(S10:S10)</f>
        <v>0</v>
      </c>
    </row>
    <row r="12" spans="1:20" ht="23.25" thickTop="1" x14ac:dyDescent="0.55000000000000004"/>
    <row r="14" spans="1:20" ht="24" x14ac:dyDescent="0.6">
      <c r="K14" s="69">
        <v>2807555599778</v>
      </c>
      <c r="M14" s="34"/>
      <c r="S14" s="69">
        <v>2807555599778</v>
      </c>
      <c r="T14" s="34"/>
    </row>
  </sheetData>
  <mergeCells count="20">
    <mergeCell ref="A1:S1"/>
    <mergeCell ref="A2:S2"/>
    <mergeCell ref="A3:S3"/>
    <mergeCell ref="C7:C8"/>
    <mergeCell ref="E7:E8"/>
    <mergeCell ref="G7:G8"/>
    <mergeCell ref="M7:M8"/>
    <mergeCell ref="O7:O8"/>
    <mergeCell ref="Q7:Q8"/>
    <mergeCell ref="B4:R4"/>
    <mergeCell ref="N7:N9"/>
    <mergeCell ref="P7:P9"/>
    <mergeCell ref="F7:F9"/>
    <mergeCell ref="C6:K6"/>
    <mergeCell ref="B7:B9"/>
    <mergeCell ref="D7:D9"/>
    <mergeCell ref="I7:K8"/>
    <mergeCell ref="H7:H9"/>
    <mergeCell ref="M6:S6"/>
    <mergeCell ref="R7:S8"/>
  </mergeCells>
  <hyperlinks>
    <hyperlink ref="C9" location="'سود اوراق بهادار و سپرده بانکی'!A1" display="یادداشت 2-2-1" xr:uid="{00000000-0004-0000-0B00-000000000000}"/>
    <hyperlink ref="M9" location="'سود اوراق بهادار و سپرده بانکی'!A1" display="یادداشت 2-2-1" xr:uid="{00000000-0004-0000-0B00-000001000000}"/>
    <hyperlink ref="E9" location="'درآمد ناشی از تغییر قیمت اوراق '!A1" display="یادداشت 2-1-1" xr:uid="{00000000-0004-0000-0B00-000002000000}"/>
    <hyperlink ref="O9" location="'درآمد ناشی از تغییر قیمت اوراق '!A1" display="یادداشت 2-1-1" xr:uid="{00000000-0004-0000-0B00-000003000000}"/>
    <hyperlink ref="G9" location="'درآمد ناشی ازفروش'!A1" display="یادداشت 2-1-2" xr:uid="{00000000-0004-0000-0B00-000004000000}"/>
    <hyperlink ref="Q9" location="'درآمد ناشی ازفروش'!A1" display="یادداشت 2-1-2" xr:uid="{00000000-0004-0000-0B00-000005000000}"/>
  </hyperlinks>
  <pageMargins left="0.5" right="1" top="0.3" bottom="0.1" header="0.31496062992126" footer="0.31496062992126"/>
  <pageSetup paperSize="9" scale="63" orientation="landscape" r:id="rId1"/>
  <headerFooter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B1:AC82"/>
  <sheetViews>
    <sheetView rightToLeft="1" view="pageBreakPreview" zoomScale="85" zoomScaleNormal="100" zoomScaleSheetLayoutView="85" workbookViewId="0">
      <selection activeCell="S18" sqref="S18"/>
    </sheetView>
  </sheetViews>
  <sheetFormatPr defaultColWidth="8.85546875" defaultRowHeight="22.5" x14ac:dyDescent="0.55000000000000004"/>
  <cols>
    <col min="1" max="1" width="1.28515625" style="1" customWidth="1"/>
    <col min="2" max="2" width="40.28515625" style="1" bestFit="1" customWidth="1"/>
    <col min="3" max="3" width="13" style="1" bestFit="1" customWidth="1"/>
    <col min="4" max="4" width="15.140625" style="1" customWidth="1"/>
    <col min="5" max="5" width="7.140625" style="1" customWidth="1"/>
    <col min="6" max="6" width="0.28515625" style="1" customWidth="1"/>
    <col min="7" max="7" width="10.85546875" style="1" hidden="1" customWidth="1"/>
    <col min="8" max="8" width="0.85546875" style="1" hidden="1" customWidth="1"/>
    <col min="9" max="9" width="2" style="1" hidden="1" customWidth="1"/>
    <col min="10" max="10" width="0.5703125" style="1" customWidth="1"/>
    <col min="11" max="11" width="18" style="1" bestFit="1" customWidth="1"/>
    <col min="12" max="12" width="0.85546875" style="1" hidden="1" customWidth="1"/>
    <col min="13" max="13" width="9.140625" style="1" customWidth="1"/>
    <col min="14" max="14" width="0.140625" style="1" customWidth="1"/>
    <col min="15" max="15" width="18" style="1" bestFit="1" customWidth="1"/>
    <col min="16" max="16" width="0.85546875" style="1" customWidth="1"/>
    <col min="17" max="17" width="18.140625" style="1" bestFit="1" customWidth="1"/>
    <col min="18" max="18" width="0.7109375" style="1" customWidth="1"/>
    <col min="19" max="19" width="9" style="1" bestFit="1" customWidth="1"/>
    <col min="20" max="20" width="0.7109375" style="1" customWidth="1"/>
    <col min="21" max="21" width="18.140625" style="1" bestFit="1" customWidth="1"/>
    <col min="22" max="24" width="8.85546875" style="1"/>
    <col min="25" max="25" width="11" style="1" bestFit="1" customWidth="1"/>
    <col min="26" max="26" width="8.85546875" style="1"/>
    <col min="27" max="31" width="0" style="1" hidden="1" customWidth="1"/>
    <col min="32" max="16384" width="8.85546875" style="1"/>
  </cols>
  <sheetData>
    <row r="1" spans="2:29" ht="24" x14ac:dyDescent="0.6">
      <c r="B1" s="344" t="str">
        <f>'درآمد سود سهام'!B1:T1</f>
        <v>صندوق سرمایه گذاری شاخص سی شرکت بزرگ فیروزه</v>
      </c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</row>
    <row r="2" spans="2:29" ht="24" x14ac:dyDescent="0.6">
      <c r="B2" s="344" t="s">
        <v>86</v>
      </c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</row>
    <row r="3" spans="2:29" ht="24" x14ac:dyDescent="0.6">
      <c r="B3" s="344" t="str">
        <f>' سهام'!AC6</f>
        <v>برای ماه منتهی به 1405/02/31</v>
      </c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  <c r="N3" s="344"/>
      <c r="O3" s="344"/>
      <c r="P3" s="344"/>
      <c r="Q3" s="344"/>
      <c r="R3" s="344"/>
      <c r="S3" s="344"/>
      <c r="T3" s="344"/>
      <c r="U3" s="344"/>
    </row>
    <row r="4" spans="2:29" ht="24" x14ac:dyDescent="0.55000000000000004">
      <c r="B4" s="346" t="s">
        <v>93</v>
      </c>
      <c r="C4" s="346"/>
      <c r="D4" s="346"/>
      <c r="E4" s="346"/>
      <c r="F4" s="346"/>
      <c r="G4" s="346"/>
      <c r="H4" s="160"/>
      <c r="L4" s="160"/>
      <c r="AC4" s="1" t="s">
        <v>173</v>
      </c>
    </row>
    <row r="5" spans="2:29" ht="24.75" thickBot="1" x14ac:dyDescent="0.6">
      <c r="B5" s="160"/>
      <c r="C5" s="379"/>
      <c r="D5" s="379"/>
      <c r="E5" s="379"/>
      <c r="G5" s="412" t="s">
        <v>98</v>
      </c>
      <c r="H5" s="412"/>
      <c r="I5" s="412"/>
      <c r="J5" s="412"/>
      <c r="K5" s="412" t="str">
        <f>' سهام'!AC7</f>
        <v>طی اردیبهشت ماه</v>
      </c>
      <c r="L5" s="412"/>
      <c r="M5" s="412"/>
      <c r="N5" s="412"/>
      <c r="O5" s="412"/>
      <c r="P5" s="53"/>
      <c r="Q5" s="412" t="str">
        <f>' سهام'!AC8</f>
        <v>از ابتدای سال مالی تا پایان اردیبهشت ماه</v>
      </c>
      <c r="R5" s="412"/>
      <c r="S5" s="412"/>
      <c r="T5" s="412"/>
      <c r="U5" s="412"/>
      <c r="AC5" s="1" t="s">
        <v>177</v>
      </c>
    </row>
    <row r="6" spans="2:29" ht="43.5" customHeight="1" thickBot="1" x14ac:dyDescent="0.6">
      <c r="B6" s="1" t="s">
        <v>63</v>
      </c>
      <c r="C6" s="161" t="s">
        <v>71</v>
      </c>
      <c r="D6" s="161" t="s">
        <v>33</v>
      </c>
      <c r="E6" s="161" t="s">
        <v>60</v>
      </c>
      <c r="F6" s="162"/>
      <c r="G6" s="161" t="s">
        <v>87</v>
      </c>
      <c r="H6" s="162"/>
      <c r="I6" s="161" t="s">
        <v>67</v>
      </c>
      <c r="J6" s="162"/>
      <c r="K6" s="161" t="s">
        <v>87</v>
      </c>
      <c r="L6" s="162"/>
      <c r="M6" s="161" t="s">
        <v>67</v>
      </c>
      <c r="N6" s="162"/>
      <c r="O6" s="161" t="s">
        <v>72</v>
      </c>
      <c r="P6" s="162"/>
      <c r="Q6" s="161" t="s">
        <v>87</v>
      </c>
      <c r="R6" s="162"/>
      <c r="S6" s="161" t="s">
        <v>67</v>
      </c>
      <c r="T6" s="162"/>
      <c r="U6" s="161" t="s">
        <v>72</v>
      </c>
      <c r="AC6" s="1" t="s">
        <v>178</v>
      </c>
    </row>
    <row r="7" spans="2:29" s="12" customFormat="1" ht="23.45" customHeight="1" x14ac:dyDescent="0.55000000000000004">
      <c r="B7" s="163" t="s">
        <v>161</v>
      </c>
      <c r="C7" s="164"/>
      <c r="D7" s="165"/>
      <c r="E7" s="157"/>
      <c r="F7" s="165" t="s">
        <v>130</v>
      </c>
      <c r="G7" s="165"/>
      <c r="H7" s="166">
        <v>0</v>
      </c>
      <c r="I7" s="165"/>
      <c r="J7" s="166">
        <v>176683</v>
      </c>
      <c r="K7" s="157">
        <v>204633</v>
      </c>
      <c r="L7" s="165"/>
      <c r="M7" s="157">
        <v>0</v>
      </c>
      <c r="N7" s="165"/>
      <c r="O7" s="157">
        <v>204633</v>
      </c>
      <c r="P7" s="157"/>
      <c r="Q7" s="166">
        <v>422266</v>
      </c>
      <c r="R7" s="165"/>
      <c r="S7" s="157">
        <v>0</v>
      </c>
      <c r="T7" s="165"/>
      <c r="U7" s="157">
        <f>Q7+S7</f>
        <v>422266</v>
      </c>
      <c r="AC7" s="12" t="s">
        <v>180</v>
      </c>
    </row>
    <row r="8" spans="2:29" s="12" customFormat="1" ht="23.45" customHeight="1" x14ac:dyDescent="0.55000000000000004">
      <c r="B8" s="163" t="s">
        <v>162</v>
      </c>
      <c r="C8" s="164"/>
      <c r="D8" s="165"/>
      <c r="E8" s="157"/>
      <c r="F8" s="165"/>
      <c r="G8" s="165"/>
      <c r="H8" s="166"/>
      <c r="I8" s="165"/>
      <c r="J8" s="166"/>
      <c r="K8" s="157">
        <v>5835942363</v>
      </c>
      <c r="L8" s="165"/>
      <c r="M8" s="157">
        <v>0</v>
      </c>
      <c r="N8" s="165"/>
      <c r="O8" s="157">
        <v>5835942363</v>
      </c>
      <c r="P8" s="157"/>
      <c r="Q8" s="166">
        <v>10289993205</v>
      </c>
      <c r="R8" s="165"/>
      <c r="S8" s="157">
        <v>0</v>
      </c>
      <c r="T8" s="165"/>
      <c r="U8" s="157">
        <f>Q8+S8</f>
        <v>10289993205</v>
      </c>
    </row>
    <row r="9" spans="2:29" s="12" customFormat="1" ht="23.45" customHeight="1" x14ac:dyDescent="0.55000000000000004">
      <c r="B9" s="163" t="s">
        <v>183</v>
      </c>
      <c r="C9" s="164"/>
      <c r="D9" s="165"/>
      <c r="E9" s="157"/>
      <c r="F9" s="165"/>
      <c r="G9" s="165"/>
      <c r="H9" s="166"/>
      <c r="I9" s="165"/>
      <c r="J9" s="166"/>
      <c r="K9" s="157">
        <v>0</v>
      </c>
      <c r="L9" s="165"/>
      <c r="M9" s="157">
        <v>0</v>
      </c>
      <c r="N9" s="165"/>
      <c r="O9" s="157">
        <v>0</v>
      </c>
      <c r="P9" s="157"/>
      <c r="Q9" s="166">
        <v>4055</v>
      </c>
      <c r="R9" s="165"/>
      <c r="S9" s="157">
        <v>0</v>
      </c>
      <c r="T9" s="165"/>
      <c r="U9" s="157">
        <f>Q9+S9</f>
        <v>4055</v>
      </c>
    </row>
    <row r="10" spans="2:29" s="12" customFormat="1" ht="23.45" customHeight="1" x14ac:dyDescent="0.55000000000000004">
      <c r="B10" s="163" t="s">
        <v>199</v>
      </c>
      <c r="C10" s="164"/>
      <c r="D10" s="165"/>
      <c r="E10" s="157"/>
      <c r="F10" s="165" t="s">
        <v>130</v>
      </c>
      <c r="G10" s="165"/>
      <c r="H10" s="166">
        <v>0</v>
      </c>
      <c r="I10" s="165"/>
      <c r="J10" s="166">
        <v>2202729735</v>
      </c>
      <c r="K10" s="157">
        <v>1592479</v>
      </c>
      <c r="L10" s="165"/>
      <c r="M10" s="157">
        <v>0</v>
      </c>
      <c r="N10" s="165"/>
      <c r="O10" s="157">
        <v>1592479</v>
      </c>
      <c r="P10" s="157"/>
      <c r="Q10" s="166">
        <v>3178224</v>
      </c>
      <c r="R10" s="165"/>
      <c r="S10" s="157">
        <v>0</v>
      </c>
      <c r="T10" s="165"/>
      <c r="U10" s="157">
        <f>Q10+S10</f>
        <v>3178224</v>
      </c>
      <c r="AC10" s="12" t="s">
        <v>179</v>
      </c>
    </row>
    <row r="11" spans="2:29" ht="23.25" thickBot="1" x14ac:dyDescent="0.6">
      <c r="K11" s="167">
        <f>SUM(K7:K10)</f>
        <v>5837739475</v>
      </c>
      <c r="L11" s="12"/>
      <c r="M11" s="12"/>
      <c r="N11" s="12"/>
      <c r="O11" s="167">
        <f>SUM(O7:O10)</f>
        <v>5837739475</v>
      </c>
      <c r="P11" s="168"/>
      <c r="Q11" s="167">
        <f>SUM(Q7:Q10)</f>
        <v>10293597750</v>
      </c>
      <c r="R11" s="12"/>
      <c r="S11" s="12"/>
      <c r="T11" s="12"/>
      <c r="U11" s="167">
        <f>SUM(U7:U10)</f>
        <v>10293597750</v>
      </c>
    </row>
    <row r="12" spans="2:29" ht="23.25" thickTop="1" x14ac:dyDescent="0.55000000000000004">
      <c r="K12" s="169"/>
      <c r="M12" s="170"/>
    </row>
    <row r="13" spans="2:29" x14ac:dyDescent="0.55000000000000004">
      <c r="O13" s="159"/>
      <c r="Q13" s="159"/>
      <c r="U13" s="159"/>
    </row>
    <row r="14" spans="2:29" x14ac:dyDescent="0.55000000000000004">
      <c r="K14" s="159"/>
      <c r="O14" s="159"/>
      <c r="Q14" s="159"/>
      <c r="U14" s="159"/>
    </row>
    <row r="15" spans="2:29" x14ac:dyDescent="0.55000000000000004">
      <c r="K15" s="159"/>
      <c r="O15" s="171"/>
      <c r="U15" s="159"/>
    </row>
    <row r="58" spans="18:18" ht="27.75" x14ac:dyDescent="0.55000000000000004">
      <c r="R58" s="146">
        <v>1783</v>
      </c>
    </row>
    <row r="75" spans="18:26" ht="27.75" x14ac:dyDescent="0.55000000000000004">
      <c r="R75" s="146">
        <v>2083</v>
      </c>
    </row>
    <row r="76" spans="18:26" x14ac:dyDescent="0.55000000000000004">
      <c r="Y76" s="276"/>
      <c r="Z76" s="276"/>
    </row>
    <row r="77" spans="18:26" x14ac:dyDescent="0.55000000000000004">
      <c r="Y77" s="276"/>
      <c r="Z77" s="276"/>
    </row>
    <row r="78" spans="18:26" x14ac:dyDescent="0.55000000000000004">
      <c r="Y78" s="276"/>
      <c r="Z78" s="276"/>
    </row>
    <row r="79" spans="18:26" x14ac:dyDescent="0.55000000000000004">
      <c r="Y79" s="276"/>
      <c r="Z79" s="276"/>
    </row>
    <row r="80" spans="18:26" x14ac:dyDescent="0.55000000000000004">
      <c r="Y80" s="276"/>
      <c r="Z80" s="276"/>
    </row>
    <row r="81" spans="25:26" x14ac:dyDescent="0.55000000000000004">
      <c r="Y81" s="276"/>
      <c r="Z81" s="276"/>
    </row>
    <row r="82" spans="25:26" x14ac:dyDescent="0.55000000000000004">
      <c r="Y82" s="276"/>
      <c r="Z82" s="276"/>
    </row>
  </sheetData>
  <mergeCells count="8">
    <mergeCell ref="B1:U1"/>
    <mergeCell ref="B4:G4"/>
    <mergeCell ref="C5:E5"/>
    <mergeCell ref="G5:J5"/>
    <mergeCell ref="Q5:U5"/>
    <mergeCell ref="B2:U2"/>
    <mergeCell ref="B3:U3"/>
    <mergeCell ref="K5:O5"/>
  </mergeCells>
  <printOptions horizontalCentered="1"/>
  <pageMargins left="0.7" right="0.7" top="0.75" bottom="0.75" header="0.3" footer="0.3"/>
  <pageSetup paperSize="9" scale="77" orientation="landscape" r:id="rId1"/>
  <headerFooter>
    <oddFooter>&amp;C&amp;P</oddFooter>
  </headerFooter>
  <colBreaks count="1" manualBreakCount="1">
    <brk id="21" max="16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B1:Z82"/>
  <sheetViews>
    <sheetView rightToLeft="1" view="pageBreakPreview" zoomScale="85" zoomScaleNormal="100" zoomScaleSheetLayoutView="85" workbookViewId="0">
      <selection activeCell="B18" sqref="B18"/>
    </sheetView>
  </sheetViews>
  <sheetFormatPr defaultColWidth="9.140625" defaultRowHeight="22.5" x14ac:dyDescent="0.55000000000000004"/>
  <cols>
    <col min="1" max="1" width="9.140625" style="1"/>
    <col min="2" max="2" width="39.5703125" style="1" customWidth="1"/>
    <col min="3" max="3" width="0.5703125" style="1" customWidth="1"/>
    <col min="4" max="4" width="29" style="1" hidden="1" customWidth="1"/>
    <col min="5" max="5" width="0.7109375" style="1" customWidth="1"/>
    <col min="6" max="6" width="22.42578125" style="1" customWidth="1"/>
    <col min="7" max="7" width="0.5703125" style="1" customWidth="1"/>
    <col min="8" max="8" width="22.42578125" style="1" customWidth="1"/>
    <col min="9" max="9" width="0.7109375" style="1" customWidth="1"/>
    <col min="10" max="10" width="26.140625" style="1" bestFit="1" customWidth="1"/>
    <col min="11" max="11" width="0.7109375" style="1" customWidth="1"/>
    <col min="12" max="12" width="23.7109375" style="1" bestFit="1" customWidth="1"/>
    <col min="13" max="13" width="0.7109375" style="1" customWidth="1"/>
    <col min="14" max="16384" width="9.140625" style="1"/>
  </cols>
  <sheetData>
    <row r="1" spans="2:14" ht="24" x14ac:dyDescent="0.6">
      <c r="B1" s="344" t="str">
        <f>'سود اوراق بهادار و سپرده بانکی'!B1:U1</f>
        <v>صندوق سرمایه گذاری شاخص سی شرکت بزرگ فیروزه</v>
      </c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</row>
    <row r="2" spans="2:14" ht="24" x14ac:dyDescent="0.6">
      <c r="B2" s="344" t="s">
        <v>86</v>
      </c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</row>
    <row r="3" spans="2:14" ht="24" x14ac:dyDescent="0.6">
      <c r="B3" s="344" t="str">
        <f>' سهام'!B3:Z3</f>
        <v>برای ماه منتهی به 1405/02/31</v>
      </c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</row>
    <row r="4" spans="2:14" ht="24" x14ac:dyDescent="0.55000000000000004">
      <c r="B4" s="346" t="s">
        <v>145</v>
      </c>
      <c r="C4" s="346"/>
      <c r="D4" s="346"/>
      <c r="E4" s="346"/>
      <c r="F4" s="346"/>
      <c r="G4" s="346"/>
      <c r="H4" s="346"/>
      <c r="I4" s="346"/>
      <c r="J4" s="346"/>
      <c r="K4" s="346"/>
      <c r="L4" s="346"/>
      <c r="M4" s="346"/>
    </row>
    <row r="5" spans="2:14" ht="23.25" thickBot="1" x14ac:dyDescent="0.6">
      <c r="B5" s="29"/>
      <c r="C5" s="29"/>
      <c r="D5" s="29"/>
      <c r="F5" s="29"/>
      <c r="G5" s="29"/>
      <c r="H5" s="29"/>
      <c r="I5" s="29"/>
      <c r="J5" s="29"/>
      <c r="K5" s="29"/>
      <c r="L5" s="29"/>
      <c r="M5" s="29"/>
    </row>
    <row r="6" spans="2:14" ht="24.75" thickBot="1" x14ac:dyDescent="0.6">
      <c r="B6" s="426" t="s">
        <v>28</v>
      </c>
      <c r="C6" s="426"/>
      <c r="D6" s="426"/>
      <c r="E6" s="52"/>
      <c r="F6" s="427" t="str">
        <f>' سهام'!AC7</f>
        <v>طی اردیبهشت ماه</v>
      </c>
      <c r="G6" s="427"/>
      <c r="H6" s="427"/>
      <c r="I6" s="427"/>
      <c r="J6" s="426" t="str">
        <f>' سهام'!AC8</f>
        <v>از ابتدای سال مالی تا پایان اردیبهشت ماه</v>
      </c>
      <c r="K6" s="426"/>
      <c r="L6" s="426"/>
      <c r="M6" s="426"/>
      <c r="N6" s="156"/>
    </row>
    <row r="7" spans="2:14" ht="55.5" customHeight="1" x14ac:dyDescent="0.55000000000000004">
      <c r="B7" s="131" t="s">
        <v>26</v>
      </c>
      <c r="C7" s="52"/>
      <c r="D7" s="53"/>
      <c r="E7" s="53"/>
      <c r="F7" s="53" t="s">
        <v>27</v>
      </c>
      <c r="G7" s="53"/>
      <c r="H7" s="422" t="s">
        <v>223</v>
      </c>
      <c r="I7" s="52"/>
      <c r="J7" s="53" t="s">
        <v>27</v>
      </c>
      <c r="K7" s="52"/>
      <c r="L7" s="422" t="s">
        <v>223</v>
      </c>
      <c r="M7" s="52"/>
      <c r="N7" s="52"/>
    </row>
    <row r="8" spans="2:14" ht="24" customHeight="1" thickBot="1" x14ac:dyDescent="0.6">
      <c r="B8" s="53"/>
      <c r="C8" s="52"/>
      <c r="D8" s="53"/>
      <c r="E8" s="53"/>
      <c r="F8" s="109" t="s">
        <v>94</v>
      </c>
      <c r="G8" s="321"/>
      <c r="H8" s="412"/>
      <c r="I8" s="52"/>
      <c r="J8" s="109" t="s">
        <v>94</v>
      </c>
      <c r="K8" s="52"/>
      <c r="L8" s="412"/>
      <c r="M8" s="52"/>
      <c r="N8" s="52"/>
    </row>
    <row r="9" spans="2:14" ht="29.25" customHeight="1" x14ac:dyDescent="0.55000000000000004">
      <c r="B9" s="38" t="s">
        <v>161</v>
      </c>
      <c r="C9" s="38"/>
      <c r="D9" s="42"/>
      <c r="E9" s="42"/>
      <c r="F9" s="33">
        <v>204633</v>
      </c>
      <c r="G9" s="33"/>
      <c r="H9" s="322">
        <f>F9/L18</f>
        <v>9.3162251528414434E-7</v>
      </c>
      <c r="I9" s="42"/>
      <c r="J9" s="33">
        <v>422266</v>
      </c>
      <c r="K9" s="42"/>
      <c r="L9" s="323">
        <f>J9/L18</f>
        <v>1.9224294861482482E-6</v>
      </c>
      <c r="M9" s="42"/>
      <c r="N9" s="52"/>
    </row>
    <row r="10" spans="2:14" ht="29.25" customHeight="1" x14ac:dyDescent="0.55000000000000004">
      <c r="B10" s="38" t="s">
        <v>162</v>
      </c>
      <c r="C10" s="38"/>
      <c r="D10" s="42"/>
      <c r="E10" s="42"/>
      <c r="F10" s="33">
        <v>5835942363</v>
      </c>
      <c r="G10" s="33"/>
      <c r="H10" s="322">
        <f>F10/L18</f>
        <v>2.6569005503859853E-2</v>
      </c>
      <c r="I10" s="42"/>
      <c r="J10" s="33">
        <v>10289993205</v>
      </c>
      <c r="K10" s="42"/>
      <c r="L10" s="323">
        <f>J10/L18</f>
        <v>4.6846741981492988E-2</v>
      </c>
      <c r="M10" s="42"/>
      <c r="N10" s="52"/>
    </row>
    <row r="11" spans="2:14" ht="29.25" customHeight="1" x14ac:dyDescent="0.55000000000000004">
      <c r="B11" s="38" t="s">
        <v>183</v>
      </c>
      <c r="C11" s="38"/>
      <c r="D11" s="42"/>
      <c r="E11" s="42"/>
      <c r="F11" s="33">
        <v>0</v>
      </c>
      <c r="G11" s="33"/>
      <c r="H11" s="322">
        <f>F11/L18</f>
        <v>0</v>
      </c>
      <c r="I11" s="42"/>
      <c r="J11" s="33">
        <v>4055</v>
      </c>
      <c r="K11" s="42"/>
      <c r="L11" s="323">
        <f>J11/L18</f>
        <v>1.8460997490518174E-8</v>
      </c>
      <c r="M11" s="42"/>
      <c r="N11" s="52"/>
    </row>
    <row r="12" spans="2:14" ht="29.25" customHeight="1" thickBot="1" x14ac:dyDescent="0.6">
      <c r="B12" s="38" t="s">
        <v>199</v>
      </c>
      <c r="C12" s="38"/>
      <c r="D12" s="42"/>
      <c r="E12" s="42"/>
      <c r="F12" s="33">
        <v>1592479</v>
      </c>
      <c r="G12" s="33"/>
      <c r="H12" s="322">
        <f>F12/L18</f>
        <v>7.2500002028860394E-6</v>
      </c>
      <c r="I12" s="42"/>
      <c r="J12" s="33">
        <v>3178224</v>
      </c>
      <c r="K12" s="42"/>
      <c r="L12" s="323">
        <f>J12/L18</f>
        <v>1.446934285778166E-5</v>
      </c>
      <c r="M12" s="42"/>
      <c r="N12" s="52"/>
    </row>
    <row r="13" spans="2:14" ht="23.25" thickBot="1" x14ac:dyDescent="0.6">
      <c r="B13" s="38" t="s">
        <v>7</v>
      </c>
      <c r="C13" s="52"/>
      <c r="E13" s="42"/>
      <c r="F13" s="35">
        <f>SUM(F9:F12)</f>
        <v>5837739475</v>
      </c>
      <c r="G13" s="33"/>
      <c r="H13" s="318">
        <f>SUM(H9:H12)</f>
        <v>2.6577187126578024E-2</v>
      </c>
      <c r="I13" s="89"/>
      <c r="J13" s="35">
        <f>SUM(J9:J12)</f>
        <v>10293597750</v>
      </c>
      <c r="K13" s="52"/>
      <c r="L13" s="318">
        <f>SUM(L9:L12)</f>
        <v>4.6863152214834405E-2</v>
      </c>
      <c r="M13" s="52"/>
      <c r="N13" s="52"/>
    </row>
    <row r="14" spans="2:14" ht="23.25" thickTop="1" x14ac:dyDescent="0.55000000000000004"/>
    <row r="15" spans="2:14" x14ac:dyDescent="0.55000000000000004">
      <c r="F15" s="13"/>
      <c r="G15" s="13"/>
      <c r="H15" s="13"/>
      <c r="J15" s="159"/>
      <c r="L15" s="159"/>
    </row>
    <row r="16" spans="2:14" ht="19.5" customHeight="1" x14ac:dyDescent="0.55000000000000004">
      <c r="F16" s="108"/>
      <c r="G16" s="108"/>
      <c r="H16" s="108"/>
      <c r="I16" s="258"/>
      <c r="J16" s="159"/>
    </row>
    <row r="17" spans="6:12" x14ac:dyDescent="0.55000000000000004">
      <c r="F17" s="259"/>
      <c r="G17" s="259"/>
      <c r="H17" s="259"/>
      <c r="I17" s="258"/>
      <c r="J17" s="260"/>
      <c r="L17" s="93"/>
    </row>
    <row r="18" spans="6:12" ht="23.25" customHeight="1" x14ac:dyDescent="0.55000000000000004">
      <c r="F18" s="259"/>
      <c r="G18" s="259"/>
      <c r="H18" s="259"/>
      <c r="J18" s="336">
        <v>6809220361173</v>
      </c>
      <c r="K18" s="334"/>
      <c r="L18" s="337">
        <f>J18/31</f>
        <v>219652269715.25806</v>
      </c>
    </row>
    <row r="58" spans="18:18" ht="27.75" x14ac:dyDescent="0.55000000000000004">
      <c r="R58" s="146">
        <v>1783</v>
      </c>
    </row>
    <row r="75" spans="18:26" ht="27.75" x14ac:dyDescent="0.55000000000000004">
      <c r="R75" s="146">
        <v>2083</v>
      </c>
    </row>
    <row r="76" spans="18:26" x14ac:dyDescent="0.55000000000000004">
      <c r="Y76" s="276"/>
      <c r="Z76" s="276"/>
    </row>
    <row r="77" spans="18:26" x14ac:dyDescent="0.55000000000000004">
      <c r="Y77" s="276"/>
      <c r="Z77" s="276"/>
    </row>
    <row r="78" spans="18:26" x14ac:dyDescent="0.55000000000000004">
      <c r="Y78" s="276"/>
      <c r="Z78" s="276"/>
    </row>
    <row r="79" spans="18:26" x14ac:dyDescent="0.55000000000000004">
      <c r="Y79" s="276"/>
      <c r="Z79" s="276"/>
    </row>
    <row r="80" spans="18:26" x14ac:dyDescent="0.55000000000000004">
      <c r="Y80" s="276"/>
      <c r="Z80" s="276"/>
    </row>
    <row r="81" spans="25:26" x14ac:dyDescent="0.55000000000000004">
      <c r="Y81" s="276"/>
      <c r="Z81" s="276"/>
    </row>
    <row r="82" spans="25:26" x14ac:dyDescent="0.55000000000000004">
      <c r="Y82" s="276"/>
      <c r="Z82" s="276"/>
    </row>
  </sheetData>
  <mergeCells count="9">
    <mergeCell ref="B1:M1"/>
    <mergeCell ref="B2:M2"/>
    <mergeCell ref="B3:M3"/>
    <mergeCell ref="L7:L8"/>
    <mergeCell ref="B6:D6"/>
    <mergeCell ref="F6:I6"/>
    <mergeCell ref="B4:M4"/>
    <mergeCell ref="J6:M6"/>
    <mergeCell ref="H7:H8"/>
  </mergeCells>
  <hyperlinks>
    <hyperlink ref="F8" location="'سود اوراق بهادار و سپرده بانکی'!A1" display="یادداشت 2-2-1" xr:uid="{00000000-0004-0000-0D00-000000000000}"/>
    <hyperlink ref="J8" location="'سود اوراق بهادار و سپرده بانکی'!A1" display="یادداشت 2-2-1" xr:uid="{00000000-0004-0000-0D00-000001000000}"/>
  </hyperlinks>
  <printOptions horizontalCentered="1"/>
  <pageMargins left="0.7" right="0.7" top="0.75" bottom="0.75" header="0.3" footer="0.3"/>
  <pageSetup paperSize="9" scale="88" orientation="landscape" r:id="rId1"/>
  <headerFooter>
    <oddFooter>&amp;C&amp;P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25A7-1E09-4A51-86EF-3320677359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pageSetUpPr fitToPage="1"/>
  </sheetPr>
  <dimension ref="A1:Z82"/>
  <sheetViews>
    <sheetView rightToLeft="1" view="pageBreakPreview" zoomScale="85" zoomScaleNormal="100" zoomScaleSheetLayoutView="85" workbookViewId="0">
      <selection activeCell="D10" sqref="D10:F12"/>
    </sheetView>
  </sheetViews>
  <sheetFormatPr defaultColWidth="8.85546875" defaultRowHeight="24.75" x14ac:dyDescent="0.6"/>
  <cols>
    <col min="1" max="1" width="8.85546875" style="230"/>
    <col min="2" max="2" width="29.140625" style="230" customWidth="1"/>
    <col min="3" max="3" width="0.7109375" style="230" customWidth="1"/>
    <col min="4" max="4" width="20.7109375" style="230" bestFit="1" customWidth="1"/>
    <col min="5" max="5" width="0.42578125" style="230" customWidth="1"/>
    <col min="6" max="6" width="21.42578125" style="230" customWidth="1"/>
    <col min="7" max="16384" width="8.85546875" style="1"/>
  </cols>
  <sheetData>
    <row r="1" spans="2:12" ht="26.25" x14ac:dyDescent="0.65">
      <c r="B1" s="428" t="str">
        <f>'درآمد سپرده بانکی'!B1:M1</f>
        <v>صندوق سرمایه گذاری شاخص سی شرکت بزرگ فیروزه</v>
      </c>
      <c r="C1" s="428"/>
      <c r="D1" s="428"/>
      <c r="E1" s="428"/>
      <c r="F1" s="428"/>
    </row>
    <row r="2" spans="2:12" ht="26.25" x14ac:dyDescent="0.65">
      <c r="B2" s="428" t="s">
        <v>86</v>
      </c>
      <c r="C2" s="428"/>
      <c r="D2" s="428"/>
      <c r="E2" s="428"/>
      <c r="F2" s="428"/>
    </row>
    <row r="3" spans="2:12" ht="26.25" x14ac:dyDescent="0.65">
      <c r="B3" s="428" t="str">
        <f>' سهام'!AC6</f>
        <v>برای ماه منتهی به 1405/02/31</v>
      </c>
      <c r="C3" s="428"/>
      <c r="D3" s="428"/>
      <c r="E3" s="428"/>
      <c r="F3" s="428"/>
    </row>
    <row r="4" spans="2:12" ht="26.25" x14ac:dyDescent="0.6">
      <c r="B4" s="429" t="s">
        <v>39</v>
      </c>
      <c r="C4" s="429"/>
      <c r="D4" s="429"/>
      <c r="E4" s="429"/>
      <c r="F4" s="429"/>
    </row>
    <row r="5" spans="2:12" ht="79.5" thickBot="1" x14ac:dyDescent="0.65">
      <c r="B5" s="231"/>
      <c r="C5" s="232"/>
      <c r="D5" s="202" t="str">
        <f>' سهام'!AC7</f>
        <v>طی اردیبهشت ماه</v>
      </c>
      <c r="E5" s="233"/>
      <c r="F5" s="202" t="str">
        <f>' سهام'!AC8</f>
        <v>از ابتدای سال مالی تا پایان اردیبهشت ماه</v>
      </c>
    </row>
    <row r="6" spans="2:12" x14ac:dyDescent="0.6">
      <c r="B6" s="234" t="s">
        <v>40</v>
      </c>
      <c r="C6" s="233"/>
      <c r="D6" s="190">
        <v>5273</v>
      </c>
      <c r="E6" s="190"/>
      <c r="F6" s="190">
        <v>12127</v>
      </c>
    </row>
    <row r="7" spans="2:12" x14ac:dyDescent="0.6">
      <c r="B7" s="235" t="s">
        <v>147</v>
      </c>
      <c r="C7" s="233"/>
      <c r="D7" s="190">
        <v>0</v>
      </c>
      <c r="E7" s="190"/>
      <c r="F7" s="190">
        <v>0</v>
      </c>
    </row>
    <row r="8" spans="2:12" ht="25.5" thickBot="1" x14ac:dyDescent="0.65">
      <c r="B8" s="236"/>
      <c r="C8" s="233"/>
      <c r="D8" s="237">
        <f>SUM(D6:D7)</f>
        <v>5273</v>
      </c>
      <c r="E8" s="249"/>
      <c r="F8" s="237">
        <f>SUM(F6:F7)</f>
        <v>12127</v>
      </c>
    </row>
    <row r="9" spans="2:12" ht="25.5" thickTop="1" x14ac:dyDescent="0.6"/>
    <row r="10" spans="2:12" x14ac:dyDescent="0.6">
      <c r="D10" s="261"/>
      <c r="F10" s="190"/>
    </row>
    <row r="11" spans="2:12" x14ac:dyDescent="0.6">
      <c r="D11" s="238"/>
      <c r="E11" s="238"/>
      <c r="F11" s="238"/>
    </row>
    <row r="12" spans="2:12" x14ac:dyDescent="0.6">
      <c r="D12" s="265"/>
    </row>
    <row r="15" spans="2:12" x14ac:dyDescent="0.6">
      <c r="L15" s="108"/>
    </row>
    <row r="57" spans="18:18" ht="27.75" x14ac:dyDescent="0.6">
      <c r="R57" s="146">
        <v>1783</v>
      </c>
    </row>
    <row r="74" spans="18:26" ht="27.75" x14ac:dyDescent="0.6">
      <c r="R74" s="146">
        <v>2083</v>
      </c>
    </row>
    <row r="76" spans="18:26" x14ac:dyDescent="0.6">
      <c r="Y76" s="276"/>
      <c r="Z76" s="276"/>
    </row>
    <row r="77" spans="18:26" x14ac:dyDescent="0.6">
      <c r="Y77" s="276"/>
      <c r="Z77" s="276"/>
    </row>
    <row r="78" spans="18:26" x14ac:dyDescent="0.6">
      <c r="Y78" s="276"/>
      <c r="Z78" s="276"/>
    </row>
    <row r="79" spans="18:26" x14ac:dyDescent="0.6">
      <c r="Y79" s="276"/>
      <c r="Z79" s="276"/>
    </row>
    <row r="80" spans="18:26" x14ac:dyDescent="0.6">
      <c r="Y80" s="276"/>
      <c r="Z80" s="276"/>
    </row>
    <row r="81" spans="25:26" x14ac:dyDescent="0.6">
      <c r="Y81" s="276"/>
      <c r="Z81" s="276"/>
    </row>
    <row r="82" spans="25:26" x14ac:dyDescent="0.6">
      <c r="Y82" s="276"/>
      <c r="Z82" s="276"/>
    </row>
  </sheetData>
  <mergeCells count="4">
    <mergeCell ref="B1:F1"/>
    <mergeCell ref="B2:F2"/>
    <mergeCell ref="B3:F3"/>
    <mergeCell ref="B4:F4"/>
  </mergeCells>
  <printOptions horizontalCentered="1"/>
  <pageMargins left="0.7" right="0.7" top="0.75" bottom="0.75" header="0.3" footer="0.3"/>
  <pageSetup paperSize="9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16</vt:i4>
      </vt:variant>
    </vt:vector>
  </HeadingPairs>
  <TitlesOfParts>
    <vt:vector size="33" baseType="lpstr">
      <vt:lpstr> سهام</vt:lpstr>
      <vt:lpstr>اوراق تبعی</vt:lpstr>
      <vt:lpstr>تعدیل قیمت</vt:lpstr>
      <vt:lpstr>گواهی سپرده</vt:lpstr>
      <vt:lpstr>اوراق</vt:lpstr>
      <vt:lpstr>سپرده</vt:lpstr>
      <vt:lpstr>درآمدها</vt:lpstr>
      <vt:lpstr>تعدیل قیمت </vt:lpstr>
      <vt:lpstr>درآمد سرمایه گذاری در سهام </vt:lpstr>
      <vt:lpstr>درآمد سود سهام</vt:lpstr>
      <vt:lpstr>درآمد ناشی از تغییر قیمت اوراق </vt:lpstr>
      <vt:lpstr>درآمد ناشی ازفروش</vt:lpstr>
      <vt:lpstr>درآمد سرمایه گذاری در اوراق بها</vt:lpstr>
      <vt:lpstr>سود اوراق بهادار و سپرده بانکی</vt:lpstr>
      <vt:lpstr>درآمد سپرده بانکی</vt:lpstr>
      <vt:lpstr>Sheet1</vt:lpstr>
      <vt:lpstr>سایر درآمدها</vt:lpstr>
      <vt:lpstr>' سهام'!Print_Area</vt:lpstr>
      <vt:lpstr>اوراق!Print_Area</vt:lpstr>
      <vt:lpstr>'اوراق تبعی'!Print_Area</vt:lpstr>
      <vt:lpstr>'تعدیل قیمت'!Print_Area</vt:lpstr>
      <vt:lpstr>'تعدیل قیمت '!Print_Area</vt:lpstr>
      <vt:lpstr>'درآمد سپرده بانکی'!Print_Area</vt:lpstr>
      <vt:lpstr>'درآمد سرمایه گذاری در اوراق بها'!Print_Area</vt:lpstr>
      <vt:lpstr>'درآمد سرمایه گذاری در سهام 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اوراق بهادار و سپرده بانکی'!Print_Area</vt:lpstr>
      <vt:lpstr>'گواهی سپرده'!Print_Area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Zahra Mirzaei</cp:lastModifiedBy>
  <cp:lastPrinted>2026-04-26T12:07:46Z</cp:lastPrinted>
  <dcterms:created xsi:type="dcterms:W3CDTF">2017-11-22T14:26:20Z</dcterms:created>
  <dcterms:modified xsi:type="dcterms:W3CDTF">2026-05-31T08:11:54Z</dcterms:modified>
</cp:coreProperties>
</file>