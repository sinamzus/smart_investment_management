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Z:\BARANI\مریم\"/>
    </mc:Choice>
  </mc:AlternateContent>
  <xr:revisionPtr revIDLastSave="0" documentId="13_ncr:1_{0724B9D9-2FB4-4DA3-BB41-5DF1B933BBA4}" xr6:coauthVersionLast="47" xr6:coauthVersionMax="47" xr10:uidLastSave="{00000000-0000-0000-0000-000000000000}"/>
  <bookViews>
    <workbookView xWindow="-120" yWindow="-120" windowWidth="29040" windowHeight="15840" tabRatio="688" firstSheet="4" activeTab="7" xr2:uid="{00000000-000D-0000-FFFF-FFFF00000000}"/>
  </bookViews>
  <sheets>
    <sheet name="1" sheetId="16" r:id="rId1"/>
    <sheet name=" سهام" sheetId="1" r:id="rId2"/>
    <sheet name="سپرده" sheetId="2" r:id="rId3"/>
    <sheet name="درآمدها" sheetId="11" r:id="rId4"/>
    <sheet name="درآمد سود سهام" sheetId="12" r:id="rId5"/>
    <sheet name="سود اوراق بهادار" sheetId="13" r:id="rId6"/>
    <sheet name="سود سپرده بانکی" sheetId="24" r:id="rId7"/>
    <sheet name="درآمد ناشی ازفروش" sheetId="15" r:id="rId8"/>
    <sheet name="درآمد ناشی از تغییر قیمت اوراق " sheetId="14" r:id="rId9"/>
    <sheet name="درآمد سرمایه گذاری در سهام" sheetId="5" r:id="rId10"/>
    <sheet name="درآمد سپرده بانکی" sheetId="7" r:id="rId11"/>
    <sheet name="سایر درآمدها" sheetId="8" r:id="rId12"/>
  </sheets>
  <definedNames>
    <definedName name="_xlnm._FilterDatabase" localSheetId="4" hidden="1">'درآمد سود سهام'!#REF!</definedName>
    <definedName name="_xlnm.Print_Area" localSheetId="1">' سهام'!A1:M72</definedName>
    <definedName name="_xlnm.Print_Area" localSheetId="10">'درآمد سپرده بانکی'!$A$1:$F$11</definedName>
    <definedName name="_xlnm.Print_Area" localSheetId="9">'درآمد سرمایه گذاری در سهام'!$A$1:$K$102</definedName>
    <definedName name="_xlnm.Print_Area" localSheetId="4">'درآمد سود سهام'!$A$1:$J$58</definedName>
    <definedName name="_xlnm.Print_Area" localSheetId="8">'درآمد ناشی از تغییر قیمت اوراق '!A1:I71</definedName>
    <definedName name="_xlnm.Print_Area" localSheetId="7">'درآمد ناشی ازفروش'!$A$1:$I$97</definedName>
    <definedName name="_xlnm.Print_Area" localSheetId="3">درآمدها!$A$1:$E$12</definedName>
    <definedName name="_xlnm.Print_Area" localSheetId="11">'سایر درآمدها'!$A$1:$C$11</definedName>
    <definedName name="_xlnm.Print_Area" localSheetId="2">سپرده!A1:G15</definedName>
    <definedName name="_xlnm.Print_Area" localSheetId="5">'سود اوراق بهادار'!$A$1:$J$9</definedName>
    <definedName name="_xlnm.Print_Area" localSheetId="6">'سود سپرده بانکی'!$A$1:$G$9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1" i="1" l="1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101" i="5" s="1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1" i="5"/>
  <c r="D10" i="11"/>
  <c r="D9" i="11"/>
  <c r="D6" i="11"/>
  <c r="E10" i="11"/>
  <c r="E9" i="11"/>
  <c r="E6" i="11"/>
  <c r="E11" i="11" s="1"/>
  <c r="F9" i="2"/>
  <c r="F8" i="2"/>
  <c r="F10" i="2" s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10" i="1"/>
  <c r="E101" i="5"/>
  <c r="D101" i="5"/>
  <c r="C101" i="5"/>
  <c r="B101" i="5"/>
  <c r="H57" i="12"/>
  <c r="B71" i="1"/>
  <c r="G101" i="5"/>
  <c r="E67" i="14"/>
  <c r="I67" i="14"/>
  <c r="H71" i="1"/>
  <c r="F71" i="1"/>
  <c r="E71" i="1"/>
  <c r="G71" i="1"/>
  <c r="I71" i="1"/>
  <c r="J71" i="1"/>
  <c r="D71" i="1"/>
  <c r="C71" i="1"/>
  <c r="D1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E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<sst xmlns="http://schemas.openxmlformats.org/spreadsheetml/2006/main" count="621" uniqueCount="217">
  <si>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</si>
  <si>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</si>
  <si>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</si>
  <si>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1404/10/30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</si>
  <si>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</si>
  <si>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</si>
  <si>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</si>
  <si>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1404/10/30</t>
  </si>
  <si>
    <t>1- سرمایه گذاری ها</t>
  </si>
  <si>
    <t>1-1-سرمایه‌گذاری در سهام و حق تقدم سهام وصندوق‌های سرمایه‌گذاری</t>
  </si>
  <si>
    <t>1404/10/01</t>
  </si>
  <si>
    <t>تغییرات طی دوره</t>
  </si>
  <si>
    <t>1404/10/30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</si>
  <si>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</si>
  <si>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</si>
  <si>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</si>
  <si>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</si>
  <si>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</si>
  <si>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</si>
  <si>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</si>
  <si>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</si>
  <si>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</si>
  <si>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</si>
  <si>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سر. توسعه معادن و صنایع معدنی خاورمیانه (میدکو)</t>
  </si>
  <si>
    <t>پتروشیمی نوری (نوری)</t>
  </si>
  <si>
    <t>کشتیرانی ایران (حکشتی)</t>
  </si>
  <si>
    <t>سایپا (خساپا)</t>
  </si>
  <si>
    <t>گروه صنعتی پاکشو (پاکشو)</t>
  </si>
  <si>
    <t>سر. غدیر (وغدیر)</t>
  </si>
  <si>
    <t>بانک تجارت (وتجارت)</t>
  </si>
  <si>
    <t>پالایش نفت اصفهان (شپنا)</t>
  </si>
  <si>
    <t>گسترش نفت و گاز پارسیان (پارسان)</t>
  </si>
  <si>
    <t>موتوژن (بموتو)</t>
  </si>
  <si>
    <t>پتروشیمی خارک (شخارک)</t>
  </si>
  <si>
    <t>پتروشیمی پردیس (شپدیس)</t>
  </si>
  <si>
    <t>بیمه پاسارگاد (بپاس)</t>
  </si>
  <si>
    <t>ایران خودرو (خودرو)</t>
  </si>
  <si>
    <t>فولاد مبارکه اصفهان (فولاد)</t>
  </si>
  <si>
    <t>صنایع شیمیایی ایران (شیران)</t>
  </si>
  <si>
    <t>دارو عبیدی (دعبید)</t>
  </si>
  <si>
    <t>بانک اقتصاد نوین (ونوین)</t>
  </si>
  <si>
    <t>سر. امید (وامید)</t>
  </si>
  <si>
    <t>بانک پاسارگاد (وپاسار)</t>
  </si>
  <si>
    <t>چادرملو (کچاد)</t>
  </si>
  <si>
    <t>پارس دارو (دپارس)</t>
  </si>
  <si>
    <t>بانک ملت (وبملت)</t>
  </si>
  <si>
    <t>گروه مپنا (رمپنا)</t>
  </si>
  <si>
    <t>پالایش نفت بندر عباس (شبندر)</t>
  </si>
  <si>
    <t>سر. توسعه صنعتی ایران (وتوصا)</t>
  </si>
  <si>
    <t>گل گهر (کگل)</t>
  </si>
  <si>
    <t>ملی صنایع مس ایران (فملی)</t>
  </si>
  <si>
    <t>توسعه ساختمان (ثاخت)</t>
  </si>
  <si>
    <t>سیمان بجنورد (سبجنو)</t>
  </si>
  <si>
    <t>صنایع پتروشیمی خلیج فارس (فارس)</t>
  </si>
  <si>
    <t>صنعتی بارز (پکرمان)</t>
  </si>
  <si>
    <t>پتروشیمی جم (جم)</t>
  </si>
  <si>
    <t>سر. گروه توسعه ملی (وبانک)</t>
  </si>
  <si>
    <t>پتروشیمی شیراز (شیراز)</t>
  </si>
  <si>
    <t>سر. توسعه معادن و فلزات (ومعادن)</t>
  </si>
  <si>
    <t>مبین انرژی خلیج فارس (مبین)</t>
  </si>
  <si>
    <t>آلومینیوم ایران (فایرا)</t>
  </si>
  <si>
    <t>ارتباطات سیار (همراه)</t>
  </si>
  <si>
    <t>سیمان خوزستان (سخوز)</t>
  </si>
  <si>
    <t>پارس سوئیچ (بسویچ)</t>
  </si>
  <si>
    <t>نفت سپاهان (شسپا)</t>
  </si>
  <si>
    <t>فولاد خوزستان (فخوز)</t>
  </si>
  <si>
    <t>کاشی حافظ (کحافظ)</t>
  </si>
  <si>
    <t>ذوب آهن اصفهان (ذوب)</t>
  </si>
  <si>
    <t>بانک صادرات ایران (وبصادر)</t>
  </si>
  <si>
    <t>پتروشیمی بوعلی سینا (بوعلی)</t>
  </si>
  <si>
    <t>سر. نفت و گاز تامین (تاپیکو)</t>
  </si>
  <si>
    <t>پالایش نفت تبریز (شبریز)</t>
  </si>
  <si>
    <t>سر. امید (حق تقدم) (وامیدح)</t>
  </si>
  <si>
    <t>پالایش نفت تهران (شتران)</t>
  </si>
  <si>
    <t>همکاران سیستم (سیستم)</t>
  </si>
  <si>
    <t>بورس کالای ایران (کالا)</t>
  </si>
  <si>
    <t>چدن سازان (چدن)</t>
  </si>
  <si>
    <t>فروشگاه های افق کوروش (افق)</t>
  </si>
  <si>
    <t>گروه توسعه مالی مهر آیندگان (ومهان)</t>
  </si>
  <si>
    <t>گروه مالی صبا تامین (صبا)</t>
  </si>
  <si>
    <t>سر. تامین اجتماعی (شستا)</t>
  </si>
  <si>
    <t>پویا زرکان آق دره (فزر)</t>
  </si>
  <si>
    <t>پتروشیمی اروند (اروند)</t>
  </si>
  <si>
    <t>بیمه اتکایی حامی ما (حامیا)</t>
  </si>
  <si>
    <t>جمع</t>
  </si>
  <si>
    <t/>
  </si>
  <si>
    <t>نام سهام</t>
  </si>
  <si>
    <t>تاریخ سررسید</t>
  </si>
  <si>
    <t>نرخ سود علی الحساب</t>
  </si>
  <si>
    <t>درصد به کل</t>
  </si>
  <si>
    <t>3-1- سرمایه‌گذاری در  سپرده‌ بانکی</t>
  </si>
  <si>
    <t>سپرده های بانکی</t>
  </si>
  <si>
    <t>مبلغ</t>
  </si>
  <si>
    <t>افزایش</t>
  </si>
  <si>
    <t>کاهش</t>
  </si>
  <si>
    <t>بانک گردشگری</t>
  </si>
  <si>
    <t>بانک خاورمیانه</t>
  </si>
  <si>
    <t xml:space="preserve"> </t>
  </si>
  <si>
    <t xml:space="preserve">صورت وضعیت درآمدها </t>
  </si>
  <si>
    <t>برای ماه منتهی به  1404/10/30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</si>
  <si>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</si>
  <si>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</si>
  <si>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</si>
  <si>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</si>
  <si>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</si>
  <si>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</si>
  <si>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</si>
  <si>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سرمایه­گذاری در واحدهای صندوق های سرمایه­گذاری</t>
  </si>
  <si>
    <t>2-2</t>
  </si>
  <si>
    <t>درآمد حاصل از سرمایه گذاری در اوراق بهادار با درآمد ثابت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</si>
  <si>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</si>
  <si>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</si>
  <si>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</si>
  <si>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</si>
  <si>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</si>
  <si>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</si>
  <si>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</si>
  <si>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1404/10/01 تا  1404/10/30</t>
  </si>
  <si>
    <t>از ابتدای سال مالی تا 1404/10/30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</si>
  <si>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</si>
  <si>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</si>
  <si>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</si>
  <si>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</si>
  <si>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</si>
  <si>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</si>
  <si>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1404/03/04</t>
  </si>
  <si>
    <t>لیزینگ بانک اقتصاد نوین (ولنوین)</t>
  </si>
  <si>
    <t>1404/03/11</t>
  </si>
  <si>
    <t>سپید ماکیان (سپید)</t>
  </si>
  <si>
    <t>1404/03/18</t>
  </si>
  <si>
    <t>مس باهنر (فباهنر)</t>
  </si>
  <si>
    <t>1404/03/20</t>
  </si>
  <si>
    <t>1404/03/21</t>
  </si>
  <si>
    <t>مخابرات ایران (اخابر)</t>
  </si>
  <si>
    <t>1404/04/12</t>
  </si>
  <si>
    <t>1404/04/17</t>
  </si>
  <si>
    <t>1404/04/19</t>
  </si>
  <si>
    <t>1404/04/21</t>
  </si>
  <si>
    <t>1404/04/22</t>
  </si>
  <si>
    <t>1404/04/23</t>
  </si>
  <si>
    <t>قند هگمتان (قهکمت)</t>
  </si>
  <si>
    <t>1404/04/28</t>
  </si>
  <si>
    <t>تاید واتر خاورمیانه (حتاید)</t>
  </si>
  <si>
    <t>1404/04/29</t>
  </si>
  <si>
    <t>صنعتی سپاهان (فسپا)</t>
  </si>
  <si>
    <t>1404/04/30</t>
  </si>
  <si>
    <t>1404/04/31</t>
  </si>
  <si>
    <t>پتروشیمی پارس (پارس)</t>
  </si>
  <si>
    <t>1404/05/07</t>
  </si>
  <si>
    <t>1404/05/08</t>
  </si>
  <si>
    <t>1404/05/11</t>
  </si>
  <si>
    <t>1404/05/12</t>
  </si>
  <si>
    <t>سر. صندوق بازنشستگی (وصندوق)</t>
  </si>
  <si>
    <t>1404/05/13</t>
  </si>
  <si>
    <t>1404/05/14</t>
  </si>
  <si>
    <t>سر. سیمان تامین (سیتا)</t>
  </si>
  <si>
    <t>1404/05/25</t>
  </si>
  <si>
    <t>1404/06/26</t>
  </si>
  <si>
    <t>1404/07/15</t>
  </si>
  <si>
    <t>1404/07/20</t>
  </si>
  <si>
    <t>1404/07/30</t>
  </si>
  <si>
    <t>1404/09/17</t>
  </si>
  <si>
    <t>1404/09/22</t>
  </si>
  <si>
    <t>1404/10/10</t>
  </si>
  <si>
    <t>1404/10/11</t>
  </si>
  <si>
    <t>1404/10/23</t>
  </si>
  <si>
    <t>سود اوراق بهادار با درآمد ثابت</t>
  </si>
  <si>
    <t>تاریخ دریافت سود</t>
  </si>
  <si>
    <t xml:space="preserve">درآمد سود </t>
  </si>
  <si>
    <t>خالص درآمد</t>
  </si>
  <si>
    <t>بلند مدت گردشگری129.333.1709609.2</t>
  </si>
  <si>
    <t>1404/03/06</t>
  </si>
  <si>
    <t>-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</si>
  <si>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</si>
  <si>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</si>
  <si>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</si>
  <si>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</si>
  <si>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</si>
  <si>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بیمه اتکایی تهران رواک (بتهران)</t>
  </si>
  <si>
    <t>گروه بهمن (خبهمن)</t>
  </si>
  <si>
    <t>پلی پروپیلن جم (جم پیلن)</t>
  </si>
  <si>
    <t>سر. صدر تامین (تاصیکو)</t>
  </si>
  <si>
    <t>تامین سرمایه کاردان (تکاردان)</t>
  </si>
  <si>
    <t>پتروشیمی خراسان (خراسان)</t>
  </si>
  <si>
    <t>گلتاش (شگل)</t>
  </si>
  <si>
    <t>بین المللی توسعه صنایع و معادن غدیر (وکغدیر)</t>
  </si>
  <si>
    <t>صنعتی بهشهر (غبشهر)</t>
  </si>
  <si>
    <t>سر. دارویی تامین (تیپیکو)</t>
  </si>
  <si>
    <t>صنایع غذایی رضوی (نان)</t>
  </si>
  <si>
    <t>سر. سپه (وسپه)</t>
  </si>
  <si>
    <t>شیشه همدان (کهمدا)</t>
  </si>
  <si>
    <t>تکميلی پتروشیمی خلیج فارس (پترول)</t>
  </si>
  <si>
    <t>معادن روی ایران (کروی)</t>
  </si>
  <si>
    <t>بیمه ملت (ملت)</t>
  </si>
  <si>
    <t>آهنگری تراکتور (خاهن)</t>
  </si>
  <si>
    <t>بانک پارسیان (وپارس)</t>
  </si>
  <si>
    <t>سر. خوارزمی (وخارزم)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</si>
  <si>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</si>
  <si>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</si>
  <si>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</si>
  <si>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درآمد تغییر ارزش</t>
  </si>
  <si>
    <t>درآمد فروش</t>
  </si>
  <si>
    <t>یادداشت …</t>
  </si>
  <si>
    <t>یادداشت ...</t>
  </si>
  <si>
    <t>1-2-درآمد حاصل از سرمایه­گذاری در سهام و حق تقدم سهام:</t>
  </si>
  <si>
    <t>دارایی</t>
  </si>
  <si>
    <t>درصد از کل درآمد ها</t>
  </si>
  <si>
    <t>3-2-درآمد حاصل از سرمایه­گذاری در سپرده بانکی و گواهی سپرده:</t>
  </si>
  <si>
    <t>نام سپرده بانکی</t>
  </si>
  <si>
    <t>نام سپرده</t>
  </si>
  <si>
    <t>شماره حساب</t>
  </si>
  <si>
    <t>سود سپرده بانکی و گواهی سپرده</t>
  </si>
  <si>
    <t>درصد سود به میانگین سپرده</t>
  </si>
  <si>
    <t>129.333.1709609.2</t>
  </si>
  <si>
    <t>4-2-سایر درآمدها:</t>
  </si>
  <si>
    <t>تعدیل کارمزد کارگزاری</t>
  </si>
  <si>
    <t>1404/06/23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</si>
</sst>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;\(#,##0\);"/>
    <numFmt numFmtId="165" formatCode="#,##0.00;\(#,##0.00\);"/>
  </numFmts>
  <fonts count="30">
    <font>
      <sz val="11"/>
      <color theme="1"/>
      <name val="B Nazanin"/>
      <family val="2"/>
      <charset val="178"/>
      <scheme val="minor"/>
    </font>
    <font>
      <sz val="10"/>
      <color theme="1"/>
      <name val="B Nazanin"/>
      <charset val="178"/>
    </font>
    <font>
      <sz val="11"/>
      <color theme="1"/>
      <name val="B Nazanin"/>
      <charset val="178"/>
    </font>
    <font>
      <sz val="18"/>
      <color theme="1"/>
      <name val="B Nazanin"/>
      <charset val="178"/>
    </font>
    <font>
      <sz val="20"/>
      <color theme="1"/>
      <name val="B Nazanin"/>
      <charset val="178"/>
    </font>
    <font>
      <sz val="10"/>
      <color theme="1"/>
      <name val="B Nazanin"/>
      <charset val="178"/>
    </font>
    <font>
      <sz val="12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  <scheme val="minor"/>
    </font>
    <font>
      <sz val="11"/>
      <color rgb="FF000000"/>
      <name val="B Nazanin"/>
      <charset val="178"/>
      <scheme val="minor"/>
    </font>
    <font>
      <sz val="20"/>
      <color theme="1"/>
      <name val="B Nazanin"/>
      <charset val="178"/>
    </font>
    <font>
      <sz val="16"/>
      <color theme="1"/>
      <name val="B Nazanin"/>
      <charset val="17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B Nazanin"/>
      <family val="2"/>
      <charset val="178"/>
      <scheme val="minor"/>
    </font>
    <font>
      <b/>
      <sz val="11"/>
      <color theme="1"/>
      <name val="B Nazanin"/>
      <charset val="178"/>
    </font>
    <font>
      <sz val="11"/>
      <color rgb="FF0062AC"/>
      <name val="B Nazanin"/>
      <charset val="178"/>
    </font>
    <font>
      <b/>
      <sz val="11"/>
      <color theme="0"/>
      <name val="IranSansFaNum"/>
    </font>
    <font>
      <b/>
      <sz val="11"/>
      <color rgb="FF00A651"/>
      <name val="IranSansFaNum"/>
    </font>
    <font>
      <b/>
      <sz val="12"/>
      <color theme="1"/>
      <name val="B Nazanin"/>
      <charset val="178"/>
    </font>
    <font>
      <sz val="12"/>
      <color theme="1"/>
      <name val="B Nazanin"/>
      <charset val="178"/>
      <scheme val="minor"/>
    </font>
    <font>
      <sz val="12"/>
      <color theme="1"/>
      <name val="B Nazanin"/>
      <charset val="178"/>
    </font>
    <font>
      <sz val="12"/>
      <color rgb="FF000000"/>
      <name val="B Nazanin"/>
      <charset val="178"/>
    </font>
    <font>
      <sz val="12"/>
      <color theme="1"/>
      <name val="B Nazanin"/>
      <family val="2"/>
      <charset val="178"/>
      <scheme val="minor"/>
    </font>
    <font>
      <b/>
      <sz val="12"/>
      <color theme="0"/>
      <name val="IranSansFaNum"/>
    </font>
    <font>
      <sz val="12"/>
      <color theme="0"/>
      <name val="B Nazanin"/>
      <charset val="178"/>
    </font>
    <font>
      <b/>
      <sz val="12"/>
      <color rgb="FF00A651"/>
      <name val="IranSansFaNum"/>
    </font>
    <font>
      <b/>
      <sz val="12"/>
      <color theme="1"/>
      <name val="B Nazanin"/>
      <charset val="178"/>
      <scheme val="minor"/>
    </font>
    <font>
      <sz val="12"/>
      <color rgb="FF0062AC"/>
      <name val="B Nazanin"/>
      <charset val="178"/>
      <scheme val="minor"/>
    </font>
    <font>
      <sz val="12"/>
      <color rgb="FF000000"/>
      <name val="B Nazanin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center" readingOrder="2"/>
    </xf>
    <xf numFmtId="0" fontId="7" fillId="0" borderId="0" xfId="0" applyFont="1" applyAlignment="1">
      <alignment vertical="center" readingOrder="2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 readingOrder="2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right" vertical="center" readingOrder="2"/>
    </xf>
    <xf numFmtId="0" fontId="2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 readingOrder="2"/>
    </xf>
    <xf numFmtId="164" fontId="2" fillId="0" borderId="0" xfId="0" applyNumberFormat="1" applyFont="1" applyAlignment="1">
      <alignment vertical="center"/>
    </xf>
    <xf numFmtId="43" fontId="17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2" fillId="0" borderId="2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readingOrder="2"/>
    </xf>
    <xf numFmtId="43" fontId="2" fillId="0" borderId="2" xfId="1" applyFont="1" applyBorder="1" applyAlignment="1">
      <alignment horizontal="center" vertical="center" readingOrder="2"/>
    </xf>
    <xf numFmtId="164" fontId="2" fillId="0" borderId="1" xfId="0" applyNumberFormat="1" applyFont="1" applyBorder="1" applyAlignment="1">
      <alignment horizontal="center" vertical="center" readingOrder="2"/>
    </xf>
    <xf numFmtId="43" fontId="2" fillId="0" borderId="1" xfId="1" applyFont="1" applyBorder="1" applyAlignment="1">
      <alignment horizontal="center" vertical="center" readingOrder="2"/>
    </xf>
    <xf numFmtId="164" fontId="2" fillId="0" borderId="0" xfId="0" applyNumberFormat="1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3" fontId="18" fillId="0" borderId="0" xfId="0" applyNumberFormat="1" applyFont="1"/>
    <xf numFmtId="164" fontId="2" fillId="2" borderId="0" xfId="0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9" fontId="21" fillId="0" borderId="1" xfId="2" applyFont="1" applyBorder="1" applyAlignment="1">
      <alignment vertical="center"/>
    </xf>
    <xf numFmtId="0" fontId="21" fillId="0" borderId="0" xfId="0" applyFont="1"/>
    <xf numFmtId="0" fontId="21" fillId="0" borderId="0" xfId="0" applyFont="1" applyAlignment="1">
      <alignment horizontal="center" vertical="center" readingOrder="2"/>
    </xf>
    <xf numFmtId="0" fontId="21" fillId="0" borderId="1" xfId="0" applyFont="1" applyBorder="1" applyAlignment="1">
      <alignment vertical="center" readingOrder="2"/>
    </xf>
    <xf numFmtId="0" fontId="21" fillId="0" borderId="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readingOrder="2"/>
    </xf>
    <xf numFmtId="0" fontId="21" fillId="0" borderId="8" xfId="0" applyFont="1" applyBorder="1" applyAlignment="1">
      <alignment horizontal="center" vertical="center" readingOrder="2"/>
    </xf>
    <xf numFmtId="0" fontId="21" fillId="0" borderId="9" xfId="0" applyFont="1" applyBorder="1" applyAlignment="1">
      <alignment horizontal="center" vertical="center" readingOrder="2"/>
    </xf>
    <xf numFmtId="0" fontId="21" fillId="0" borderId="9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readingOrder="2"/>
    </xf>
    <xf numFmtId="9" fontId="21" fillId="0" borderId="6" xfId="2" applyFont="1" applyBorder="1" applyAlignment="1">
      <alignment horizontal="center" vertical="center" readingOrder="2"/>
    </xf>
    <xf numFmtId="0" fontId="21" fillId="0" borderId="0" xfId="0" applyFont="1" applyAlignment="1">
      <alignment horizontal="right" vertical="center"/>
    </xf>
    <xf numFmtId="165" fontId="21" fillId="0" borderId="0" xfId="0" applyNumberFormat="1" applyFont="1" applyAlignment="1">
      <alignment horizontal="center" vertical="center"/>
    </xf>
    <xf numFmtId="9" fontId="21" fillId="0" borderId="0" xfId="2" applyFont="1" applyAlignment="1">
      <alignment horizontal="center" vertical="center"/>
    </xf>
    <xf numFmtId="0" fontId="21" fillId="0" borderId="0" xfId="0" applyFont="1" applyAlignment="1">
      <alignment horizontal="right" vertical="center" readingOrder="2"/>
    </xf>
    <xf numFmtId="165" fontId="21" fillId="0" borderId="0" xfId="0" applyNumberFormat="1" applyFont="1" applyAlignment="1">
      <alignment horizontal="center" vertical="center" readingOrder="2"/>
    </xf>
    <xf numFmtId="9" fontId="21" fillId="0" borderId="0" xfId="2" applyFont="1" applyAlignment="1">
      <alignment horizontal="center" vertical="center" readingOrder="2"/>
    </xf>
    <xf numFmtId="0" fontId="21" fillId="0" borderId="0" xfId="0" applyFont="1" applyAlignment="1">
      <alignment vertical="center"/>
    </xf>
    <xf numFmtId="9" fontId="21" fillId="0" borderId="0" xfId="2" applyFont="1" applyAlignment="1">
      <alignment vertical="center"/>
    </xf>
    <xf numFmtId="0" fontId="22" fillId="0" borderId="1" xfId="0" applyFont="1" applyBorder="1" applyAlignment="1">
      <alignment horizontal="center" vertical="center" readingOrder="2"/>
    </xf>
    <xf numFmtId="0" fontId="22" fillId="0" borderId="0" xfId="0" applyFont="1" applyAlignment="1">
      <alignment vertical="center" readingOrder="2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readingOrder="2"/>
    </xf>
    <xf numFmtId="165" fontId="22" fillId="0" borderId="0" xfId="0" applyNumberFormat="1" applyFont="1" applyAlignment="1">
      <alignment horizontal="center" vertical="center" readingOrder="2"/>
    </xf>
    <xf numFmtId="9" fontId="23" fillId="0" borderId="0" xfId="2" applyFont="1" applyAlignment="1">
      <alignment vertical="center"/>
    </xf>
    <xf numFmtId="9" fontId="21" fillId="0" borderId="1" xfId="2" applyFont="1" applyBorder="1" applyAlignment="1">
      <alignment horizontal="center" vertical="center"/>
    </xf>
    <xf numFmtId="10" fontId="21" fillId="0" borderId="0" xfId="2" applyNumberFormat="1" applyFont="1" applyAlignment="1">
      <alignment horizontal="center" vertical="center"/>
    </xf>
    <xf numFmtId="0" fontId="21" fillId="0" borderId="0" xfId="0" applyFont="1" applyAlignment="1">
      <alignment horizontal="right" vertical="center" readingOrder="1"/>
    </xf>
    <xf numFmtId="49" fontId="21" fillId="0" borderId="0" xfId="0" applyNumberFormat="1" applyFont="1" applyAlignment="1">
      <alignment horizontal="right" vertical="center" readingOrder="2"/>
    </xf>
    <xf numFmtId="9" fontId="24" fillId="0" borderId="0" xfId="2" applyFont="1"/>
    <xf numFmtId="43" fontId="25" fillId="0" borderId="0" xfId="1" applyFont="1" applyAlignment="1">
      <alignment horizontal="center" vertical="center" readingOrder="2"/>
    </xf>
    <xf numFmtId="0" fontId="21" fillId="0" borderId="3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1" fillId="0" borderId="1" xfId="0" applyFont="1" applyBorder="1" applyAlignment="1">
      <alignment horizontal="right" vertical="center"/>
    </xf>
    <xf numFmtId="164" fontId="21" fillId="0" borderId="0" xfId="0" applyNumberFormat="1" applyFont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3" fontId="26" fillId="0" borderId="0" xfId="0" applyNumberFormat="1" applyFont="1"/>
    <xf numFmtId="3" fontId="21" fillId="0" borderId="0" xfId="0" applyNumberFormat="1" applyFont="1" applyAlignment="1">
      <alignment vertical="center"/>
    </xf>
    <xf numFmtId="164" fontId="22" fillId="0" borderId="0" xfId="0" applyNumberFormat="1" applyFont="1" applyAlignment="1">
      <alignment horizontal="center" vertical="center" readingOrder="2"/>
    </xf>
    <xf numFmtId="0" fontId="21" fillId="0" borderId="4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 readingOrder="2"/>
    </xf>
    <xf numFmtId="0" fontId="20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 readingOrder="2"/>
    </xf>
    <xf numFmtId="0" fontId="20" fillId="0" borderId="0" xfId="0" applyFont="1" applyAlignment="1">
      <alignment horizontal="center" vertical="center"/>
    </xf>
    <xf numFmtId="0" fontId="29" fillId="0" borderId="2" xfId="0" applyFont="1" applyBorder="1" applyAlignment="1">
      <alignment horizontal="center" vertical="center" readingOrder="2"/>
    </xf>
    <xf numFmtId="0" fontId="29" fillId="0" borderId="0" xfId="0" applyFont="1" applyAlignment="1">
      <alignment horizontal="center" vertical="center" readingOrder="2"/>
    </xf>
    <xf numFmtId="0" fontId="2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 readingOrder="2"/>
    </xf>
    <xf numFmtId="0" fontId="29" fillId="0" borderId="3" xfId="0" applyFont="1" applyBorder="1" applyAlignment="1">
      <alignment horizontal="center" vertical="center" readingOrder="2"/>
    </xf>
    <xf numFmtId="10" fontId="29" fillId="0" borderId="3" xfId="2" applyNumberFormat="1" applyFont="1" applyBorder="1" applyAlignment="1">
      <alignment horizontal="center" vertical="center" readingOrder="2"/>
    </xf>
    <xf numFmtId="165" fontId="22" fillId="0" borderId="2" xfId="0" applyNumberFormat="1" applyFont="1" applyBorder="1" applyAlignment="1">
      <alignment horizontal="center" vertical="center" readingOrder="2"/>
    </xf>
    <xf numFmtId="10" fontId="22" fillId="0" borderId="0" xfId="2" applyNumberFormat="1" applyFont="1" applyAlignment="1">
      <alignment horizontal="center" vertical="center" readingOrder="2"/>
    </xf>
    <xf numFmtId="10" fontId="20" fillId="0" borderId="0" xfId="2" applyNumberFormat="1" applyFont="1" applyAlignment="1">
      <alignment vertical="center"/>
    </xf>
    <xf numFmtId="0" fontId="29" fillId="0" borderId="3" xfId="0" applyFont="1" applyBorder="1" applyAlignment="1">
      <alignment horizontal="center" vertical="center" readingOrder="2"/>
    </xf>
    <xf numFmtId="0" fontId="20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readingOrder="2"/>
    </xf>
    <xf numFmtId="0" fontId="29" fillId="0" borderId="0" xfId="0" applyFont="1" applyAlignment="1">
      <alignment horizontal="center" vertical="center" readingOrder="2"/>
    </xf>
    <xf numFmtId="0" fontId="29" fillId="0" borderId="1" xfId="0" applyFont="1" applyBorder="1" applyAlignment="1">
      <alignment horizontal="center" vertical="center" readingOrder="2"/>
    </xf>
    <xf numFmtId="0" fontId="22" fillId="0" borderId="0" xfId="0" applyFont="1" applyAlignment="1">
      <alignment horizontal="right" vertical="center" readingOrder="1"/>
    </xf>
    <xf numFmtId="0" fontId="22" fillId="0" borderId="0" xfId="0" applyFont="1" applyAlignment="1">
      <alignment horizontal="right" vertical="center" readingOrder="2"/>
    </xf>
    <xf numFmtId="0" fontId="29" fillId="0" borderId="1" xfId="0" applyFont="1" applyBorder="1" applyAlignment="1">
      <alignment horizontal="right" vertical="center" readingOrder="2"/>
    </xf>
    <xf numFmtId="0" fontId="20" fillId="0" borderId="2" xfId="0" applyFont="1" applyBorder="1" applyAlignment="1">
      <alignment vertical="center"/>
    </xf>
    <xf numFmtId="0" fontId="20" fillId="0" borderId="1" xfId="0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122"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  <numFmt numFmtId="14" formatCode="0.00%"/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  <numFmt numFmtId="165" formatCode="#,##0.00;\(#,##0.00\);"/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2"/>
        <name val="B Nazanin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/>
    </dxf>
    <dxf>
      <font>
        <strike val="0"/>
        <outline val="0"/>
        <shadow val="0"/>
        <u val="none"/>
        <vertAlign val="baseline"/>
        <sz val="11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64" formatCode="#,##0;\(#,##0\);"/>
    </dxf>
    <dxf>
      <font>
        <strike val="0"/>
        <outline val="0"/>
        <shadow val="0"/>
        <u val="none"/>
        <vertAlign val="baseline"/>
        <sz val="11"/>
      </font>
      <numFmt numFmtId="164" formatCode="#,##0;\(#,##0\);"/>
    </dxf>
    <dxf>
      <font>
        <strike val="0"/>
        <outline val="0"/>
        <shadow val="0"/>
        <u val="none"/>
        <vertAlign val="baseline"/>
        <sz val="11"/>
      </font>
      <numFmt numFmtId="164" formatCode="#,##0;\(#,##0\);"/>
    </dxf>
    <dxf>
      <font>
        <strike val="0"/>
        <outline val="0"/>
        <shadow val="0"/>
        <u val="none"/>
        <vertAlign val="baseline"/>
        <sz val="11"/>
      </font>
      <numFmt numFmtId="164" formatCode="#,##0;\(#,##0\);"/>
    </dxf>
    <dxf>
      <font>
        <strike val="0"/>
        <outline val="0"/>
        <shadow val="0"/>
        <u val="none"/>
        <vertAlign val="baseline"/>
        <sz val="11"/>
      </font>
      <numFmt numFmtId="164" formatCode="#,##0;\(#,##0\);"/>
    </dxf>
    <dxf>
      <font>
        <strike val="0"/>
        <outline val="0"/>
        <shadow val="0"/>
        <u val="none"/>
        <vertAlign val="baseline"/>
        <sz val="11"/>
      </font>
      <numFmt numFmtId="164" formatCode="#,##0;\(#,##0\);"/>
    </dxf>
    <dxf>
      <font>
        <strike val="0"/>
        <outline val="0"/>
        <shadow val="0"/>
        <u val="none"/>
        <vertAlign val="baseline"/>
        <sz val="11"/>
      </font>
      <numFmt numFmtId="164" formatCode="#,##0;\(#,##0\);"/>
    </dxf>
    <dxf>
      <font>
        <strike val="0"/>
        <outline val="0"/>
        <shadow val="0"/>
        <u val="none"/>
        <vertAlign val="baseline"/>
        <sz val="11"/>
      </font>
      <numFmt numFmtId="164" formatCode="#,##0;\(#,##0\);"/>
    </dxf>
    <dxf>
      <font>
        <strike val="0"/>
        <outline val="0"/>
        <shadow val="0"/>
        <u val="none"/>
        <vertAlign val="baseline"/>
        <sz val="11"/>
      </font>
      <numFmt numFmtId="164" formatCode="#,##0;\(#,##0\);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M71" headerRowCount="0" headerRowDxfId="108" dataDxfId="106" totalsRowDxfId="107">
  <tableColumns count="13">
    <tableColumn id="1" xr3:uid="{00000000-0010-0000-0000-000001000000}" name="سر. توسعه معادن و صنایع معدنی خاورمیانه (میدکو)" dataDxfId="121"/>
    <tableColumn id="2" xr3:uid="{00000000-0010-0000-0000-000002000000}" name="2274591" dataDxfId="120"/>
    <tableColumn id="3" xr3:uid="{00000000-0010-0000-0000-000003000000}" name="10895398916.0000" dataDxfId="119"/>
    <tableColumn id="4" xr3:uid="{00000000-0010-0000-0000-000004000000}" name="13542050473.0000" dataDxfId="118"/>
    <tableColumn id="5" xr3:uid="{00000000-0010-0000-0000-000005000000}" name="4600000" dataDxfId="117"/>
    <tableColumn id="6" xr3:uid="{00000000-0010-0000-0000-000006000000}" name="27358689723.0000" dataDxfId="116"/>
    <tableColumn id="7" xr3:uid="{00000000-0010-0000-0000-000007000000}" name="2871603" dataDxfId="115"/>
    <tableColumn id="8" xr3:uid="{00000000-0010-0000-0000-000008000000}" name="16458786236.0000" dataDxfId="114"/>
    <tableColumn id="9" xr3:uid="{00000000-0010-0000-0000-000009000000}" name="4002988" dataDxfId="113"/>
    <tableColumn id="10" xr3:uid="{00000000-0010-0000-0000-00000A000000}" name="5660.0000" dataDxfId="112"/>
    <tableColumn id="11" xr3:uid="{00000000-0010-0000-0000-00000B000000}" name="22274875374.0000" dataDxfId="111"/>
    <tableColumn id="12" xr3:uid="{00000000-0010-0000-0000-00000C000000}" name="22481774152.0000" dataDxfId="110"/>
    <tableColumn id="13" xr3:uid="{00000000-0010-0000-0000-00000D000000}" name="1.62" dataDxfId="109" dataCellStyle="Comm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F10" headerRowCount="0" headerRowDxfId="99" dataDxfId="97" totalsRowDxfId="98">
  <tableColumns count="6">
    <tableColumn id="1" xr3:uid="{00000000-0010-0000-0500-000001000000}" name="بانک گردشگری" dataDxfId="105"/>
    <tableColumn id="2" xr3:uid="{00000000-0010-0000-0500-000002000000}" name="521459351.0000" dataDxfId="104"/>
    <tableColumn id="3" xr3:uid="{00000000-0010-0000-0500-000003000000}" name="793527027212.0000" dataDxfId="103"/>
    <tableColumn id="4" xr3:uid="{00000000-0010-0000-0500-000004000000}" name="759679770459.0000" dataDxfId="102"/>
    <tableColumn id="5" xr3:uid="{00000000-0010-0000-0500-000005000000}" name="34368716104.0000" dataDxfId="101"/>
    <tableColumn id="6" xr3:uid="{00000000-0010-0000-0500-000006000000}" name="2.48" dataDxfId="100" dataCellStyle="Percent">
      <calculatedColumnFormula>Table6[[#This Row],[34368716104.0000]]/' سهام'!M6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6:E11" headerRowCount="0" headerRowDxfId="78" dataDxfId="76" totalsRowDxfId="77">
  <tableColumns count="5">
    <tableColumn id="1" xr3:uid="{00000000-0010-0000-0600-000001000000}" name="درآمد حاصل از سرمایه­گذاری در سهام و حق تقدم سهام" dataDxfId="83"/>
    <tableColumn id="2" xr3:uid="{00000000-0010-0000-0600-000002000000}" name="1-2" dataDxfId="82"/>
    <tableColumn id="3" xr3:uid="{00000000-0010-0000-0600-000003000000}" name="289745263294.0000" dataDxfId="81"/>
    <tableColumn id="4" xr3:uid="{00000000-0010-0000-0600-000004000000}" name="99.30" dataDxfId="80" dataCellStyle="Percent"/>
    <tableColumn id="5" xr3:uid="{00000000-0010-0000-0600-000005000000}" name="20.89" dataDxfId="79" dataCellStyle="Perc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9466B4-61CA-44FA-98A1-1B36FA505F34}" name="Table8" displayName="Table8" ref="A7:J57" headerRowCount="0" headerRowDxfId="86" dataDxfId="84" totalsRowDxfId="85">
  <tableColumns count="10">
    <tableColumn id="1" xr3:uid="{2146ACDA-1B4E-4876-8171-6A3787656C42}" name="سیمان خوزستان (سخوز)" dataDxfId="96"/>
    <tableColumn id="2" xr3:uid="{0AD82691-60C4-477D-936A-72364B1995AE}" name="1404/03/04" dataDxfId="95"/>
    <tableColumn id="3" xr3:uid="{EC275AEE-1164-48A5-8130-B810595315DE}" name="137103.0000" dataDxfId="94"/>
    <tableColumn id="4" xr3:uid="{8E24195D-8B78-40F2-A64B-6EAC53B43731}" name="9120.0000" dataDxfId="93"/>
    <tableColumn id="5" xr3:uid="{88AC9C9E-C055-4428-804E-196F897D2D84}" name="0.0000" dataDxfId="92"/>
    <tableColumn id="6" xr3:uid="{DB0A1B0A-FAC0-4935-8E9E-6CCB958A95E8}" name="0" dataDxfId="91"/>
    <tableColumn id="7" xr3:uid="{8525AFF2-6A55-4B52-9A6B-F5B7EE422DCA}" name="Column7" dataDxfId="90"/>
    <tableColumn id="8" xr3:uid="{EE84CF3A-1A70-47E9-9D5F-06A47215AFCE}" name="1250379360.0000" dataDxfId="89"/>
    <tableColumn id="9" xr3:uid="{0EBEFFF8-2B83-4BB8-A6A9-8EAA949BCE30}" name="Column9" dataDxfId="88"/>
    <tableColumn id="10" xr3:uid="{DD241050-A914-40F8-A269-7BE0DB7314E7}" name="Column10" dataDxfId="8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J8" headerRowCount="0" headerRowDxfId="65" dataDxfId="63" totalsRowDxfId="64">
  <tableColumns count="10">
    <tableColumn id="1" xr3:uid="{00000000-0010-0000-0800-000001000000}" name="بلند مدت گردشگری129.333.1709609.2" dataDxfId="75"/>
    <tableColumn id="2" xr3:uid="{00000000-0010-0000-0800-000002000000}" name="1404/03/06" dataDxfId="74"/>
    <tableColumn id="3" xr3:uid="{00000000-0010-0000-0800-000003000000}" name="-" dataDxfId="73"/>
    <tableColumn id="4" xr3:uid="{00000000-0010-0000-0800-000004000000}" name="Column4" dataDxfId="72"/>
    <tableColumn id="5" xr3:uid="{00000000-0010-0000-0800-000005000000}" name="0.0000" dataDxfId="71"/>
    <tableColumn id="6" xr3:uid="{00000000-0010-0000-0800-000006000000}" name="Column6" dataDxfId="70"/>
    <tableColumn id="7" xr3:uid="{00000000-0010-0000-0800-000007000000}" name="Column7" dataDxfId="69"/>
    <tableColumn id="8" xr3:uid="{00000000-0010-0000-0800-000008000000}" name="33252977.0000" dataDxfId="68"/>
    <tableColumn id="9" xr3:uid="{00000000-0010-0000-0800-000009000000}" name="547948.0000" dataDxfId="67"/>
    <tableColumn id="10" xr3:uid="{00000000-0010-0000-0800-00000A000000}" name="33800925.0000" dataDxfId="6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8" headerRowCount="0" headerRowDxfId="55" dataDxfId="53" totalsRowDxfId="54">
  <tableColumns count="7">
    <tableColumn id="1" xr3:uid="{00000000-0010-0000-0900-000001000000}" name="بلند مدت گردشگری129.333.1709609.2" dataDxfId="62"/>
    <tableColumn id="2" xr3:uid="{00000000-0010-0000-0900-000002000000}" name="0.0000" dataDxfId="61"/>
    <tableColumn id="3" xr3:uid="{00000000-0010-0000-0900-000003000000}" name="Column3" dataDxfId="60"/>
    <tableColumn id="4" xr3:uid="{00000000-0010-0000-0900-000004000000}" name="Column4" dataDxfId="59"/>
    <tableColumn id="5" xr3:uid="{00000000-0010-0000-0900-000005000000}" name="33252977.0000" dataDxfId="58"/>
    <tableColumn id="6" xr3:uid="{00000000-0010-0000-0900-000006000000}" name="547948.0000" dataDxfId="57"/>
    <tableColumn id="7" xr3:uid="{00000000-0010-0000-0900-000007000000}" name="33800925.0000" dataDxfId="5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94" headerRowCount="0" headerRowDxfId="43" dataDxfId="41" totalsRowDxfId="42">
  <tableColumns count="9">
    <tableColumn id="1" xr3:uid="{00000000-0010-0000-0A00-000001000000}" name="فروشگاه های افق کوروش (افق)" dataDxfId="52"/>
    <tableColumn id="2" xr3:uid="{00000000-0010-0000-0A00-000002000000}" name="0" dataDxfId="51"/>
    <tableColumn id="3" xr3:uid="{00000000-0010-0000-0A00-000003000000}" name="Column3" dataDxfId="50"/>
    <tableColumn id="4" xr3:uid="{00000000-0010-0000-0A00-000004000000}" name="Column4" dataDxfId="49"/>
    <tableColumn id="5" xr3:uid="{00000000-0010-0000-0A00-000005000000}" name="Column5" dataDxfId="48"/>
    <tableColumn id="6" xr3:uid="{00000000-0010-0000-0A00-000006000000}" name="66049" dataDxfId="47"/>
    <tableColumn id="7" xr3:uid="{00000000-0010-0000-0A00-000007000000}" name="1731549273.0000" dataDxfId="46"/>
    <tableColumn id="8" xr3:uid="{00000000-0010-0000-0A00-000008000000}" name="-1449798734.0000" dataDxfId="45"/>
    <tableColumn id="9" xr3:uid="{00000000-0010-0000-0A00-000009000000}" name="281750539.0000" dataDxfId="4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67" headerRowCount="0" headerRowDxfId="31" dataDxfId="29" totalsRowDxfId="30">
  <tableColumns count="9">
    <tableColumn id="1" xr3:uid="{00000000-0010-0000-0B00-000001000000}" name="سر. توسعه معادن و صنایع معدنی خاورمیانه (میدکو)" dataDxfId="40"/>
    <tableColumn id="2" xr3:uid="{00000000-0010-0000-0B00-000002000000}" name="4002988" dataDxfId="39"/>
    <tableColumn id="3" xr3:uid="{00000000-0010-0000-0B00-000003000000}" name="22481774152.0000" dataDxfId="38"/>
    <tableColumn id="4" xr3:uid="{00000000-0010-0000-0B00-000004000000}" name="-24806104070.0000" dataDxfId="37"/>
    <tableColumn id="5" xr3:uid="{00000000-0010-0000-0B00-000005000000}" name="-2324329918.0000" dataDxfId="36"/>
    <tableColumn id="6" xr3:uid="{00000000-0010-0000-0B00-000006000000}" name="Column6" dataDxfId="35"/>
    <tableColumn id="7" xr3:uid="{00000000-0010-0000-0B00-000007000000}" name="Column7" dataDxfId="34"/>
    <tableColumn id="8" xr3:uid="{00000000-0010-0000-0B00-000008000000}" name="-22435773773.0000" dataDxfId="33"/>
    <tableColumn id="9" xr3:uid="{00000000-0010-0000-0B00-000009000000}" name="46000379.0000" dataDxfId="3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1:K101" headerRowCount="0" headerRowDxfId="17" dataDxfId="15" totalsRowDxfId="16">
  <tableColumns count="11">
    <tableColumn id="1" xr3:uid="{00000000-0010-0000-0D00-000001000000}" name="تاید واتر خاورمیانه (حتاید)" dataDxfId="28"/>
    <tableColumn id="2" xr3:uid="{00000000-0010-0000-0D00-000002000000}" name="0.0000" dataDxfId="27"/>
    <tableColumn id="3" xr3:uid="{00000000-0010-0000-0D00-000003000000}" name="0" dataDxfId="26"/>
    <tableColumn id="4" xr3:uid="{00000000-0010-0000-0D00-000004000000}" name="Column4" dataDxfId="25"/>
    <tableColumn id="5" xr3:uid="{00000000-0010-0000-0D00-000005000000}" name="Column5" dataDxfId="24"/>
    <tableColumn id="6" xr3:uid="{00000000-0010-0000-0D00-000006000000}" name="0.00" dataDxfId="23">
      <calculatedColumnFormula>Table14[[#This Row],[Column5]]/درآمدها!$E$12</calculatedColumnFormula>
    </tableColumn>
    <tableColumn id="7" xr3:uid="{00000000-0010-0000-0D00-000007000000}" name="239981000.0000" dataDxfId="22"/>
    <tableColumn id="8" xr3:uid="{00000000-0010-0000-0D00-000008000000}" name="Column8" dataDxfId="21"/>
    <tableColumn id="9" xr3:uid="{00000000-0010-0000-0D00-000009000000}" name="-565874784.0000" dataDxfId="20"/>
    <tableColumn id="10" xr3:uid="{00000000-0010-0000-0D00-00000A000000}" name="-325893784.0000" dataDxfId="19"/>
    <tableColumn id="11" xr3:uid="{00000000-0010-0000-0D00-00000B000000}" name="-0.11" dataDxfId="18" dataCellStyle="Percen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9:F10" headerRowCount="0" headerRowDxfId="8" dataDxfId="6" totalsRowDxfId="7">
  <tableColumns count="6">
    <tableColumn id="1" xr3:uid="{00000000-0010-0000-0E00-000001000000}" name="بلند مدت گردشگری129.333.1709609.2" dataDxfId="14"/>
    <tableColumn id="2" xr3:uid="{00000000-0010-0000-0E00-000002000000}" name="129.333.1709609.2" dataDxfId="13"/>
    <tableColumn id="3" xr3:uid="{00000000-0010-0000-0E00-000003000000}" name="0.0000" dataDxfId="12"/>
    <tableColumn id="4" xr3:uid="{00000000-0010-0000-0E00-000004000000}" name="-" dataDxfId="11"/>
    <tableColumn id="5" xr3:uid="{00000000-0010-0000-0E00-000005000000}" name="33800925.0000" dataDxfId="10"/>
    <tableColumn id="6" xr3:uid="{00000000-0010-0000-0E00-000006000000}" name="Column6" dataDxfId="9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10" headerRowCount="0" headerRowDxfId="2" dataDxfId="0" totalsRowDxfId="1">
  <tableColumns count="3">
    <tableColumn id="1" xr3:uid="{00000000-0010-0000-0F00-000001000000}" name="سایر درآمدها" dataDxfId="5"/>
    <tableColumn id="2" xr3:uid="{00000000-0010-0000-0F00-000002000000}" name="0.0000" dataDxfId="4"/>
    <tableColumn id="3" xr3:uid="{00000000-0010-0000-0F00-000003000000}" name="292888489.0000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9"/>
  <sheetViews>
    <sheetView rightToLeft="1" view="pageBreakPreview" zoomScaleNormal="100" zoomScaleSheetLayoutView="100" workbookViewId="0">
      <selection activeCell="D3" sqref="D3:F3"/>
    </sheetView>
  </sheetViews>
  <sheetFormatPr defaultColWidth="9" defaultRowHeight="18"/>
  <cols>
    <col min="1" max="1" width="9" style="1" customWidth="1"/>
    <col min="2" max="16384" width="9" style="1"/>
  </cols>
  <sheetData>
    <row r="3" spans="1:17" ht="27.75">
      <c r="D3" s="19" t="s">
        <v>0</v>
      </c>
      <c r="E3" s="20"/>
      <c r="F3" s="20"/>
    </row>
    <row r="6" spans="1:17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 customHeight="1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</row>
    <row r="9" spans="1:17" ht="15" customHeight="1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</row>
    <row r="10" spans="1:17" ht="15" customHeight="1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</row>
    <row r="11" spans="1:17" ht="15" customHeight="1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</row>
    <row r="12" spans="1:17" ht="15" customHeight="1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</row>
    <row r="13" spans="1:17" ht="15" customHeight="1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</row>
    <row r="14" spans="1:17" ht="15" customHeight="1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</row>
    <row r="15" spans="1:17" ht="15" customHeight="1">
      <c r="A15" s="17" t="s">
        <v>1</v>
      </c>
      <c r="B15" s="17"/>
      <c r="C15" s="17"/>
      <c r="D15" s="17"/>
      <c r="E15" s="17"/>
      <c r="F15" s="17"/>
      <c r="G15" s="17"/>
      <c r="H15" s="17"/>
      <c r="I15" s="17"/>
      <c r="J15" s="2"/>
      <c r="K15" s="2"/>
      <c r="L15" s="2"/>
      <c r="M15" s="2"/>
      <c r="N15" s="2"/>
      <c r="O15" s="2"/>
      <c r="P15" s="2"/>
      <c r="Q15" s="2"/>
    </row>
    <row r="16" spans="1:17" ht="1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5" customHeight="1">
      <c r="A17" s="18" t="s">
        <v>2</v>
      </c>
      <c r="B17" s="18"/>
      <c r="C17" s="18"/>
      <c r="D17" s="18"/>
      <c r="E17" s="18"/>
      <c r="F17" s="18"/>
      <c r="G17" s="18"/>
      <c r="H17" s="18"/>
      <c r="I17" s="18"/>
    </row>
    <row r="18" spans="1:9" ht="15" customHeight="1">
      <c r="A18" s="18"/>
      <c r="B18" s="18"/>
      <c r="C18" s="18"/>
      <c r="D18" s="18"/>
      <c r="E18" s="18"/>
      <c r="F18" s="18"/>
      <c r="G18" s="18"/>
      <c r="H18" s="18"/>
      <c r="I18" s="18"/>
    </row>
    <row r="19" spans="1:9" ht="15" customHeight="1">
      <c r="A19" s="18"/>
      <c r="B19" s="18"/>
      <c r="C19" s="18"/>
      <c r="D19" s="18"/>
      <c r="E19" s="18"/>
      <c r="F19" s="18"/>
      <c r="G19" s="18"/>
      <c r="H19" s="18"/>
      <c r="I19" s="18"/>
    </row>
    <row r="20" spans="1:9" ht="15" customHeight="1">
      <c r="A20" s="18" t="s">
        <v>3</v>
      </c>
      <c r="B20" s="18"/>
      <c r="C20" s="18"/>
      <c r="D20" s="18"/>
      <c r="E20" s="18"/>
      <c r="F20" s="18"/>
      <c r="G20" s="18"/>
      <c r="H20" s="18"/>
      <c r="I20" s="18"/>
    </row>
    <row r="21" spans="1:9" ht="15" customHeight="1">
      <c r="A21" s="18"/>
      <c r="B21" s="18"/>
      <c r="C21" s="18"/>
      <c r="D21" s="18"/>
      <c r="E21" s="18"/>
      <c r="F21" s="18"/>
      <c r="G21" s="18"/>
      <c r="H21" s="18"/>
      <c r="I21" s="18"/>
    </row>
    <row r="22" spans="1:9" ht="15" customHeight="1">
      <c r="A22" s="18"/>
      <c r="B22" s="18"/>
      <c r="C22" s="18"/>
      <c r="D22" s="18"/>
      <c r="E22" s="18"/>
      <c r="F22" s="18"/>
      <c r="G22" s="18"/>
      <c r="H22" s="18"/>
      <c r="I22" s="18"/>
    </row>
    <row r="23" spans="1:9" ht="15" customHeight="1">
      <c r="A23" s="18"/>
      <c r="B23" s="18"/>
      <c r="C23" s="18"/>
      <c r="D23" s="18"/>
      <c r="E23" s="18"/>
      <c r="F23" s="18"/>
      <c r="G23" s="18"/>
      <c r="H23" s="18"/>
      <c r="I23" s="18"/>
    </row>
    <row r="24" spans="1:9" ht="15" customHeight="1">
      <c r="A24" s="3"/>
      <c r="B24" s="3"/>
      <c r="C24" s="3"/>
      <c r="D24" s="3"/>
      <c r="E24" s="3"/>
      <c r="F24" s="3"/>
      <c r="G24" s="3"/>
      <c r="H24" s="3"/>
      <c r="I24" s="3"/>
    </row>
    <row r="37" spans="6:8">
      <c r="F37" s="15" t="s">
        <v>4</v>
      </c>
      <c r="G37" s="16"/>
      <c r="H37" s="16"/>
    </row>
    <row r="38" spans="6:8">
      <c r="F38" s="16"/>
      <c r="G38" s="16"/>
      <c r="H38" s="16"/>
    </row>
    <row r="39" spans="6:8">
      <c r="F39" s="16"/>
      <c r="G39" s="16"/>
      <c r="H39" s="16"/>
    </row>
  </sheetData>
  <mergeCells count="5">
    <mergeCell ref="F37:H39"/>
    <mergeCell ref="A15:I16"/>
    <mergeCell ref="A17:I19"/>
    <mergeCell ref="A20:I23"/>
    <mergeCell ref="D3:F3"/>
  </mergeCells>
  <pageMargins left="0.7" right="0.7" top="0.75" bottom="0.75" header="0.3" footer="0.3"/>
  <pageSetup orientation="portrait" r:id="rId1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M76"/>
  <sheetViews>
    <sheetView rightToLeft="1" view="pageBreakPreview" topLeftCell="A55" zoomScale="106" zoomScaleNormal="130" zoomScaleSheetLayoutView="106" workbookViewId="0">
      <selection activeCell="A6" sqref="A1:M1048576"/>
    </sheetView>
  </sheetViews>
  <sheetFormatPr defaultColWidth="9" defaultRowHeight="18"/>
  <cols>
    <col min="1" max="1" width="31.7109375" style="13" customWidth="1"/>
    <col min="2" max="2" width="13" style="13" customWidth="1"/>
    <col min="3" max="3" width="15.85546875" style="13" customWidth="1"/>
    <col min="4" max="4" width="17.28515625" style="13" customWidth="1"/>
    <col min="5" max="5" width="13" style="13" customWidth="1"/>
    <col min="6" max="6" width="17.28515625" style="13" customWidth="1"/>
    <col min="7" max="7" width="13" style="13" customWidth="1"/>
    <col min="8" max="8" width="15.85546875" style="13" customWidth="1"/>
    <col min="9" max="9" width="13" style="13" customWidth="1"/>
    <col min="10" max="10" width="12.28515625" style="13" bestFit="1" customWidth="1"/>
    <col min="11" max="11" width="17.28515625" style="13" customWidth="1"/>
    <col min="12" max="12" width="17.140625" style="25" bestFit="1" customWidth="1"/>
    <col min="13" max="13" width="23.85546875" style="37" bestFit="1" customWidth="1"/>
    <col min="14" max="14" width="9" style="4" customWidth="1"/>
    <col min="15" max="16384" width="9" style="4"/>
  </cols>
  <sheetData>
    <row r="1" spans="1:13" ht="19.5">
      <c r="A1" s="23" t="s">
        <v>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9.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9.5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>
      <c r="A4" s="24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>
      <c r="A5" s="24" t="s">
        <v>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>
      <c r="M6" s="26">
        <v>1386939178472</v>
      </c>
    </row>
    <row r="7" spans="1:13" ht="18.75" customHeight="1" thickBot="1">
      <c r="A7" s="27"/>
      <c r="B7" s="28" t="s">
        <v>10</v>
      </c>
      <c r="C7" s="28"/>
      <c r="D7" s="28"/>
      <c r="E7" s="22" t="s">
        <v>11</v>
      </c>
      <c r="F7" s="22"/>
      <c r="G7" s="22"/>
      <c r="H7" s="22"/>
      <c r="I7" s="28" t="s">
        <v>12</v>
      </c>
      <c r="J7" s="28"/>
      <c r="K7" s="28"/>
      <c r="L7" s="28"/>
      <c r="M7" s="28"/>
    </row>
    <row r="8" spans="1:13" ht="17.25" customHeight="1">
      <c r="A8" s="29" t="s">
        <v>13</v>
      </c>
      <c r="B8" s="29" t="s">
        <v>14</v>
      </c>
      <c r="C8" s="29" t="s">
        <v>15</v>
      </c>
      <c r="D8" s="30" t="s">
        <v>16</v>
      </c>
      <c r="E8" s="31" t="s">
        <v>17</v>
      </c>
      <c r="F8" s="31"/>
      <c r="G8" s="16" t="s">
        <v>18</v>
      </c>
      <c r="H8" s="16"/>
      <c r="I8" s="30" t="s">
        <v>14</v>
      </c>
      <c r="J8" s="30" t="s">
        <v>19</v>
      </c>
      <c r="K8" s="30" t="s">
        <v>15</v>
      </c>
      <c r="L8" s="32" t="s">
        <v>16</v>
      </c>
      <c r="M8" s="33" t="s">
        <v>20</v>
      </c>
    </row>
    <row r="9" spans="1:13" ht="20.25" customHeight="1">
      <c r="A9" s="28"/>
      <c r="B9" s="28"/>
      <c r="C9" s="28"/>
      <c r="D9" s="28"/>
      <c r="E9" s="14" t="s">
        <v>14</v>
      </c>
      <c r="F9" s="14" t="s">
        <v>21</v>
      </c>
      <c r="G9" s="14" t="s">
        <v>14</v>
      </c>
      <c r="H9" s="14" t="s">
        <v>22</v>
      </c>
      <c r="I9" s="28"/>
      <c r="J9" s="28"/>
      <c r="K9" s="28"/>
      <c r="L9" s="34"/>
      <c r="M9" s="35"/>
    </row>
    <row r="10" spans="1:13" ht="23.1" customHeight="1">
      <c r="A10" s="12" t="s">
        <v>23</v>
      </c>
      <c r="B10" s="36">
        <v>2274591</v>
      </c>
      <c r="C10" s="36">
        <v>10895398916</v>
      </c>
      <c r="D10" s="36">
        <v>13722611145</v>
      </c>
      <c r="E10" s="36">
        <v>4600000</v>
      </c>
      <c r="F10" s="36">
        <v>27358689723</v>
      </c>
      <c r="G10" s="36">
        <v>2871603</v>
      </c>
      <c r="H10" s="36">
        <v>16458786236</v>
      </c>
      <c r="I10" s="36">
        <v>4002988</v>
      </c>
      <c r="J10" s="36">
        <v>5660</v>
      </c>
      <c r="K10" s="36">
        <v>22274875374</v>
      </c>
      <c r="L10" s="36">
        <v>22481774152</v>
      </c>
      <c r="M10" s="37">
        <f>Table1[[#This Row],[22481774152.0000]]/$M$6</f>
        <v>1.6209632333530528E-2</v>
      </c>
    </row>
    <row r="11" spans="1:13" ht="23.1" customHeight="1">
      <c r="A11" s="12" t="s">
        <v>24</v>
      </c>
      <c r="B11" s="36">
        <v>665849</v>
      </c>
      <c r="C11" s="36">
        <v>32800478474</v>
      </c>
      <c r="D11" s="36">
        <v>34911493009</v>
      </c>
      <c r="E11" s="36">
        <v>3400000</v>
      </c>
      <c r="F11" s="36">
        <v>212440639408</v>
      </c>
      <c r="G11" s="36">
        <v>3300000</v>
      </c>
      <c r="H11" s="36">
        <v>201928929973</v>
      </c>
      <c r="I11" s="36">
        <v>765849</v>
      </c>
      <c r="J11" s="36">
        <v>60700</v>
      </c>
      <c r="K11" s="36">
        <v>47381246045</v>
      </c>
      <c r="L11" s="36">
        <v>46120090239</v>
      </c>
      <c r="M11" s="37">
        <f>Table1[[#This Row],[22481774152.0000]]/$M$6</f>
        <v>3.3253145455023343E-2</v>
      </c>
    </row>
    <row r="12" spans="1:13" ht="23.1" customHeight="1">
      <c r="A12" s="12" t="s">
        <v>25</v>
      </c>
      <c r="B12" s="36">
        <v>856411</v>
      </c>
      <c r="C12" s="36">
        <v>8623303340</v>
      </c>
      <c r="D12" s="36">
        <v>6458411169</v>
      </c>
      <c r="E12" s="36">
        <v>2400000</v>
      </c>
      <c r="F12" s="36">
        <v>19732427445</v>
      </c>
      <c r="G12" s="36">
        <v>1600000</v>
      </c>
      <c r="H12" s="36">
        <v>11971569372</v>
      </c>
      <c r="I12" s="36">
        <v>1656411</v>
      </c>
      <c r="J12" s="36">
        <v>7430</v>
      </c>
      <c r="K12" s="36">
        <v>14423469392</v>
      </c>
      <c r="L12" s="36">
        <v>12080511034</v>
      </c>
      <c r="M12" s="37">
        <f>Table1[[#This Row],[22481774152.0000]]/$M$6</f>
        <v>8.7101952425261923E-3</v>
      </c>
    </row>
    <row r="13" spans="1:13" ht="23.1" customHeight="1">
      <c r="A13" s="12" t="s">
        <v>26</v>
      </c>
      <c r="B13" s="36">
        <v>35200000</v>
      </c>
      <c r="C13" s="36">
        <v>18195408915</v>
      </c>
      <c r="D13" s="36">
        <v>19839049473</v>
      </c>
      <c r="E13" s="36">
        <v>5200000</v>
      </c>
      <c r="F13" s="36">
        <v>2977109870</v>
      </c>
      <c r="G13" s="36">
        <v>14000000</v>
      </c>
      <c r="H13" s="36">
        <v>7584887822</v>
      </c>
      <c r="I13" s="36">
        <v>26400000</v>
      </c>
      <c r="J13" s="36">
        <v>552</v>
      </c>
      <c r="K13" s="36">
        <v>13907981543</v>
      </c>
      <c r="L13" s="36">
        <v>14643523753</v>
      </c>
      <c r="M13" s="37">
        <f>Table1[[#This Row],[22481774152.0000]]/$M$6</f>
        <v>1.0558158555397408E-2</v>
      </c>
    </row>
    <row r="14" spans="1:13" ht="23.1" customHeight="1">
      <c r="A14" s="12" t="s">
        <v>27</v>
      </c>
      <c r="B14" s="36">
        <v>723642</v>
      </c>
      <c r="C14" s="36">
        <v>2711987733</v>
      </c>
      <c r="D14" s="36">
        <v>4207762733.0000005</v>
      </c>
      <c r="E14" s="36">
        <v>1141479</v>
      </c>
      <c r="F14" s="36">
        <v>6523493442</v>
      </c>
      <c r="G14" s="36">
        <v>1865121</v>
      </c>
      <c r="H14" s="36">
        <v>9575619036</v>
      </c>
      <c r="I14" s="36">
        <v>0</v>
      </c>
      <c r="J14" s="36">
        <v>0</v>
      </c>
      <c r="K14" s="36">
        <v>0</v>
      </c>
      <c r="L14" s="36">
        <v>0</v>
      </c>
      <c r="M14" s="37">
        <f>Table1[[#This Row],[22481774152.0000]]/$M$6</f>
        <v>0</v>
      </c>
    </row>
    <row r="15" spans="1:13" ht="23.1" customHeight="1">
      <c r="A15" s="12" t="s">
        <v>28</v>
      </c>
      <c r="B15" s="36">
        <v>2093280</v>
      </c>
      <c r="C15" s="36">
        <v>25144373676</v>
      </c>
      <c r="D15" s="36">
        <v>28643194464</v>
      </c>
      <c r="E15" s="36">
        <v>2600000</v>
      </c>
      <c r="F15" s="36">
        <v>40657116305</v>
      </c>
      <c r="G15" s="36">
        <v>1550000</v>
      </c>
      <c r="H15" s="36">
        <v>24047167445</v>
      </c>
      <c r="I15" s="36">
        <v>3143280</v>
      </c>
      <c r="J15" s="36">
        <v>16750</v>
      </c>
      <c r="K15" s="36">
        <v>44578656037</v>
      </c>
      <c r="L15" s="36">
        <v>51338451059</v>
      </c>
      <c r="M15" s="37">
        <f>Table1[[#This Row],[22481774152.0000]]/$M$6</f>
        <v>3.7015647013129954E-2</v>
      </c>
    </row>
    <row r="16" spans="1:13" ht="23.1" customHeight="1">
      <c r="A16" s="12" t="s">
        <v>29</v>
      </c>
      <c r="B16" s="36">
        <v>10400000</v>
      </c>
      <c r="C16" s="36">
        <v>5318129700</v>
      </c>
      <c r="D16" s="36">
        <v>6006011857</v>
      </c>
      <c r="E16" s="36">
        <v>13600000</v>
      </c>
      <c r="F16" s="36">
        <v>7851260025</v>
      </c>
      <c r="G16" s="36">
        <v>4000000</v>
      </c>
      <c r="H16" s="36">
        <v>2140127999</v>
      </c>
      <c r="I16" s="36">
        <v>20000000</v>
      </c>
      <c r="J16" s="36">
        <v>534</v>
      </c>
      <c r="K16" s="36">
        <v>10974491437</v>
      </c>
      <c r="L16" s="36">
        <v>10637134400</v>
      </c>
      <c r="M16" s="37">
        <f>Table1[[#This Row],[22481774152.0000]]/$M$6</f>
        <v>7.6695031513342934E-3</v>
      </c>
    </row>
    <row r="17" spans="1:13" ht="23.1" customHeight="1">
      <c r="A17" s="12" t="s">
        <v>30</v>
      </c>
      <c r="B17" s="36">
        <v>5518621</v>
      </c>
      <c r="C17" s="36">
        <v>24916120903</v>
      </c>
      <c r="D17" s="36">
        <v>33567647429</v>
      </c>
      <c r="E17" s="36">
        <v>5675000</v>
      </c>
      <c r="F17" s="36">
        <v>43051133305</v>
      </c>
      <c r="G17" s="36">
        <v>4400000</v>
      </c>
      <c r="H17" s="36">
        <v>29321578557</v>
      </c>
      <c r="I17" s="36">
        <v>6793621</v>
      </c>
      <c r="J17" s="36">
        <v>8110</v>
      </c>
      <c r="K17" s="36">
        <v>46410787570</v>
      </c>
      <c r="L17" s="36">
        <v>54131083671</v>
      </c>
      <c r="M17" s="37">
        <f>Table1[[#This Row],[22481774152.0000]]/$M$6</f>
        <v>3.9029169058903197E-2</v>
      </c>
    </row>
    <row r="18" spans="1:13" ht="23.1" customHeight="1">
      <c r="A18" s="12" t="s">
        <v>31</v>
      </c>
      <c r="B18" s="36">
        <v>489090</v>
      </c>
      <c r="C18" s="36">
        <v>34163282689</v>
      </c>
      <c r="D18" s="36">
        <v>41537625927</v>
      </c>
      <c r="E18" s="36"/>
      <c r="F18" s="36">
        <v>0</v>
      </c>
      <c r="G18" s="36">
        <v>0</v>
      </c>
      <c r="H18" s="36">
        <v>0</v>
      </c>
      <c r="I18" s="36">
        <v>1467270</v>
      </c>
      <c r="J18" s="36">
        <v>25573.333333333001</v>
      </c>
      <c r="K18" s="36">
        <v>34163282689</v>
      </c>
      <c r="L18" s="36">
        <v>37315434719</v>
      </c>
      <c r="M18" s="37">
        <f>Table1[[#This Row],[22481774152.0000]]/$M$6</f>
        <v>2.690488184212278E-2</v>
      </c>
    </row>
    <row r="19" spans="1:13" ht="23.1" customHeight="1">
      <c r="A19" s="12" t="s">
        <v>32</v>
      </c>
      <c r="B19" s="36">
        <v>2965422</v>
      </c>
      <c r="C19" s="36">
        <v>5331986014</v>
      </c>
      <c r="D19" s="36">
        <v>6829540850</v>
      </c>
      <c r="E19" s="36">
        <v>0</v>
      </c>
      <c r="F19" s="36">
        <v>0</v>
      </c>
      <c r="G19" s="36">
        <v>2965422</v>
      </c>
      <c r="H19" s="36">
        <v>6538233479</v>
      </c>
      <c r="I19" s="36">
        <v>0</v>
      </c>
      <c r="J19" s="36">
        <v>0</v>
      </c>
      <c r="K19" s="36">
        <v>0</v>
      </c>
      <c r="L19" s="36">
        <v>0</v>
      </c>
      <c r="M19" s="37">
        <f>Table1[[#This Row],[22481774152.0000]]/$M$6</f>
        <v>0</v>
      </c>
    </row>
    <row r="20" spans="1:13" ht="23.1" customHeight="1">
      <c r="A20" s="12" t="s">
        <v>33</v>
      </c>
      <c r="B20" s="36">
        <v>115127</v>
      </c>
      <c r="C20" s="36">
        <v>10432666147</v>
      </c>
      <c r="D20" s="36">
        <v>11487679590</v>
      </c>
      <c r="E20" s="36">
        <v>0</v>
      </c>
      <c r="F20" s="36">
        <v>0</v>
      </c>
      <c r="G20" s="36">
        <v>52719</v>
      </c>
      <c r="H20" s="36">
        <v>5437703565</v>
      </c>
      <c r="I20" s="36">
        <v>62408</v>
      </c>
      <c r="J20" s="36">
        <v>150770</v>
      </c>
      <c r="K20" s="36">
        <v>5655335663</v>
      </c>
      <c r="L20" s="36">
        <v>9336520630</v>
      </c>
      <c r="M20" s="37">
        <f>Table1[[#This Row],[22481774152.0000]]/$M$6</f>
        <v>6.7317448197592245E-3</v>
      </c>
    </row>
    <row r="21" spans="1:13" ht="23.1" customHeight="1">
      <c r="A21" s="12" t="s">
        <v>34</v>
      </c>
      <c r="B21" s="36">
        <v>97177</v>
      </c>
      <c r="C21" s="36">
        <v>33323653877</v>
      </c>
      <c r="D21" s="36">
        <v>39226024307</v>
      </c>
      <c r="E21" s="36">
        <v>228783</v>
      </c>
      <c r="F21" s="36">
        <v>135150158048</v>
      </c>
      <c r="G21" s="36">
        <v>97177</v>
      </c>
      <c r="H21" s="36">
        <v>43827808612</v>
      </c>
      <c r="I21" s="36">
        <v>228783</v>
      </c>
      <c r="J21" s="36">
        <v>612690</v>
      </c>
      <c r="K21" s="36">
        <v>135150158048</v>
      </c>
      <c r="L21" s="36">
        <v>137554900480</v>
      </c>
      <c r="M21" s="37">
        <f>Table1[[#This Row],[22481774152.0000]]/$M$6</f>
        <v>9.9178754638357777E-2</v>
      </c>
    </row>
    <row r="22" spans="1:13" ht="23.1" customHeight="1">
      <c r="A22" s="12" t="s">
        <v>35</v>
      </c>
      <c r="B22" s="36">
        <v>444616</v>
      </c>
      <c r="C22" s="36">
        <v>2273470249</v>
      </c>
      <c r="D22" s="36">
        <v>3061783084</v>
      </c>
      <c r="E22" s="36">
        <v>1000000</v>
      </c>
      <c r="F22" s="36">
        <v>6587371018</v>
      </c>
      <c r="G22" s="36">
        <v>1444616</v>
      </c>
      <c r="H22" s="36">
        <v>9161327073</v>
      </c>
      <c r="I22" s="36">
        <v>0</v>
      </c>
      <c r="J22" s="36">
        <v>0</v>
      </c>
      <c r="K22" s="36">
        <v>0</v>
      </c>
      <c r="L22" s="36">
        <v>0</v>
      </c>
      <c r="M22" s="37">
        <f>Table1[[#This Row],[22481774152.0000]]/$M$6</f>
        <v>0</v>
      </c>
    </row>
    <row r="23" spans="1:13" ht="23.1" customHeight="1">
      <c r="A23" s="12" t="s">
        <v>36</v>
      </c>
      <c r="B23" s="36">
        <v>43457527</v>
      </c>
      <c r="C23" s="36">
        <v>25036194913</v>
      </c>
      <c r="D23" s="36">
        <v>26347297798</v>
      </c>
      <c r="E23" s="36">
        <v>34800000</v>
      </c>
      <c r="F23" s="36">
        <v>21830344412</v>
      </c>
      <c r="G23" s="36">
        <v>36000000</v>
      </c>
      <c r="H23" s="36">
        <v>21219912820</v>
      </c>
      <c r="I23" s="36">
        <v>42257527</v>
      </c>
      <c r="J23" s="36">
        <v>612</v>
      </c>
      <c r="K23" s="36">
        <v>25534375864</v>
      </c>
      <c r="L23" s="36">
        <v>25661696310</v>
      </c>
      <c r="M23" s="37">
        <f>Table1[[#This Row],[22481774152.0000]]/$M$6</f>
        <v>1.8502394847819972E-2</v>
      </c>
    </row>
    <row r="24" spans="1:13" ht="23.1" customHeight="1">
      <c r="A24" s="12" t="s">
        <v>37</v>
      </c>
      <c r="B24" s="36">
        <v>20230493</v>
      </c>
      <c r="C24" s="36">
        <v>77663320898</v>
      </c>
      <c r="D24" s="36">
        <v>76783475683</v>
      </c>
      <c r="E24" s="36">
        <v>8400000</v>
      </c>
      <c r="F24" s="36">
        <v>36696299021</v>
      </c>
      <c r="G24" s="36">
        <v>8350000</v>
      </c>
      <c r="H24" s="36">
        <v>33133780698</v>
      </c>
      <c r="I24" s="36">
        <v>20280493</v>
      </c>
      <c r="J24" s="36">
        <v>3992</v>
      </c>
      <c r="K24" s="36">
        <v>82304606257</v>
      </c>
      <c r="L24" s="36">
        <v>79850939967</v>
      </c>
      <c r="M24" s="37">
        <f>Table1[[#This Row],[22481774152.0000]]/$M$6</f>
        <v>5.757349796331538E-2</v>
      </c>
    </row>
    <row r="25" spans="1:13" ht="23.1" customHeight="1">
      <c r="A25" s="12" t="s">
        <v>38</v>
      </c>
      <c r="B25" s="36">
        <v>644433</v>
      </c>
      <c r="C25" s="36">
        <v>3596426442</v>
      </c>
      <c r="D25" s="36">
        <v>4680785226</v>
      </c>
      <c r="E25" s="36">
        <v>400000</v>
      </c>
      <c r="F25" s="36">
        <v>3003981312</v>
      </c>
      <c r="G25" s="36">
        <v>86905</v>
      </c>
      <c r="H25" s="36">
        <v>616150813</v>
      </c>
      <c r="I25" s="36">
        <v>957528</v>
      </c>
      <c r="J25" s="36">
        <v>8160</v>
      </c>
      <c r="K25" s="36">
        <v>6115411734</v>
      </c>
      <c r="L25" s="36">
        <v>7686521838</v>
      </c>
      <c r="M25" s="37">
        <f>Table1[[#This Row],[22481774152.0000]]/$M$6</f>
        <v>5.5420756420395392E-3</v>
      </c>
    </row>
    <row r="26" spans="1:13" ht="23.1" customHeight="1">
      <c r="A26" s="12" t="s">
        <v>39</v>
      </c>
      <c r="B26" s="36">
        <v>1054588</v>
      </c>
      <c r="C26" s="36">
        <v>7673914766</v>
      </c>
      <c r="D26" s="36">
        <v>10391109826.999998</v>
      </c>
      <c r="E26" s="36">
        <v>0</v>
      </c>
      <c r="F26" s="36">
        <v>0</v>
      </c>
      <c r="G26" s="36">
        <v>135000</v>
      </c>
      <c r="H26" s="36">
        <v>1494953989</v>
      </c>
      <c r="I26" s="36">
        <v>919588</v>
      </c>
      <c r="J26" s="36">
        <v>11650</v>
      </c>
      <c r="K26" s="36">
        <v>6691561000</v>
      </c>
      <c r="L26" s="36">
        <v>10639511961</v>
      </c>
      <c r="M26" s="37">
        <f>Table1[[#This Row],[22481774152.0000]]/$M$6</f>
        <v>7.6712174017043921E-3</v>
      </c>
    </row>
    <row r="27" spans="1:13" ht="23.1" customHeight="1">
      <c r="A27" s="12" t="s">
        <v>40</v>
      </c>
      <c r="B27" s="36">
        <v>1912948</v>
      </c>
      <c r="C27" s="36">
        <v>7251257422</v>
      </c>
      <c r="D27" s="36">
        <v>9244043644</v>
      </c>
      <c r="E27" s="36"/>
      <c r="F27" s="36">
        <v>0</v>
      </c>
      <c r="G27" s="36">
        <v>1912948</v>
      </c>
      <c r="H27" s="36">
        <v>4178769552</v>
      </c>
      <c r="I27" s="36">
        <v>2591721</v>
      </c>
      <c r="J27" s="36">
        <v>2234</v>
      </c>
      <c r="K27" s="36">
        <v>4171946071</v>
      </c>
      <c r="L27" s="36">
        <v>5745148754</v>
      </c>
      <c r="M27" s="37">
        <f>Table1[[#This Row],[22481774152.0000]]/$M$6</f>
        <v>4.1423220593778797E-3</v>
      </c>
    </row>
    <row r="28" spans="1:13" ht="23.1" customHeight="1">
      <c r="A28" s="12" t="s">
        <v>41</v>
      </c>
      <c r="B28" s="36">
        <v>1520842</v>
      </c>
      <c r="C28" s="36">
        <v>6692544181</v>
      </c>
      <c r="D28" s="36">
        <v>8963970197</v>
      </c>
      <c r="E28" s="36"/>
      <c r="F28" s="36"/>
      <c r="G28" s="36">
        <v>853067</v>
      </c>
      <c r="H28" s="36">
        <v>4951865875</v>
      </c>
      <c r="I28" s="36">
        <v>667775</v>
      </c>
      <c r="J28" s="36">
        <v>5970</v>
      </c>
      <c r="K28" s="36">
        <v>2938578557.4290757</v>
      </c>
      <c r="L28" s="36">
        <v>14511401813</v>
      </c>
      <c r="M28" s="37">
        <f>Table1[[#This Row],[22481774152.0000]]/$M$6</f>
        <v>1.0462897031279559E-2</v>
      </c>
    </row>
    <row r="29" spans="1:13" ht="23.1" customHeight="1">
      <c r="A29" s="12" t="s">
        <v>42</v>
      </c>
      <c r="B29" s="36">
        <v>3392425</v>
      </c>
      <c r="C29" s="36">
        <v>16667368631</v>
      </c>
      <c r="D29" s="36">
        <v>18514108554</v>
      </c>
      <c r="E29" s="36">
        <v>3095686</v>
      </c>
      <c r="F29" s="36">
        <v>18114834009</v>
      </c>
      <c r="G29" s="36">
        <v>0</v>
      </c>
      <c r="H29" s="36">
        <v>0</v>
      </c>
      <c r="I29" s="36">
        <v>6488111</v>
      </c>
      <c r="J29" s="36">
        <v>5530</v>
      </c>
      <c r="K29" s="36">
        <v>34782202640</v>
      </c>
      <c r="L29" s="36">
        <v>35408768466</v>
      </c>
      <c r="M29" s="37">
        <f>Table1[[#This Row],[22481774152.0000]]/$M$6</f>
        <v>2.553015230632541E-2</v>
      </c>
    </row>
    <row r="30" spans="1:13" ht="23.1" customHeight="1">
      <c r="A30" s="12" t="s">
        <v>43</v>
      </c>
      <c r="B30" s="36">
        <v>4309843</v>
      </c>
      <c r="C30" s="36">
        <v>12339942850</v>
      </c>
      <c r="D30" s="36">
        <v>13586529184</v>
      </c>
      <c r="E30" s="36">
        <v>10000000</v>
      </c>
      <c r="F30" s="36">
        <v>32738984773</v>
      </c>
      <c r="G30" s="36">
        <v>8713349</v>
      </c>
      <c r="H30" s="36">
        <v>27114440984</v>
      </c>
      <c r="I30" s="36">
        <v>5596494</v>
      </c>
      <c r="J30" s="36">
        <v>3045</v>
      </c>
      <c r="K30" s="36">
        <v>17779057172</v>
      </c>
      <c r="L30" s="36">
        <v>16826296301</v>
      </c>
      <c r="M30" s="37">
        <f>Table1[[#This Row],[22481774152.0000]]/$M$6</f>
        <v>1.2131964084782464E-2</v>
      </c>
    </row>
    <row r="31" spans="1:13" ht="23.1" customHeight="1">
      <c r="A31" s="12" t="s">
        <v>44</v>
      </c>
      <c r="B31" s="36">
        <v>130253</v>
      </c>
      <c r="C31" s="36">
        <v>3880795746</v>
      </c>
      <c r="D31" s="36">
        <v>3916158178</v>
      </c>
      <c r="E31" s="36">
        <v>98127</v>
      </c>
      <c r="F31" s="36">
        <v>3026219137</v>
      </c>
      <c r="G31" s="36">
        <v>113758</v>
      </c>
      <c r="H31" s="36">
        <v>3314725324</v>
      </c>
      <c r="I31" s="36">
        <v>114622</v>
      </c>
      <c r="J31" s="36">
        <v>28470</v>
      </c>
      <c r="K31" s="36">
        <v>3469873419</v>
      </c>
      <c r="L31" s="36">
        <v>3249436721</v>
      </c>
      <c r="M31" s="37">
        <f>Table1[[#This Row],[22481774152.0000]]/$M$6</f>
        <v>2.342883358865041E-3</v>
      </c>
    </row>
    <row r="32" spans="1:13" ht="23.1" customHeight="1">
      <c r="A32" s="12" t="s">
        <v>45</v>
      </c>
      <c r="B32" s="36">
        <v>23200130</v>
      </c>
      <c r="C32" s="36">
        <v>28948025900</v>
      </c>
      <c r="D32" s="36">
        <v>33541295396</v>
      </c>
      <c r="E32" s="36">
        <v>14400000</v>
      </c>
      <c r="F32" s="36">
        <v>23662068040</v>
      </c>
      <c r="G32" s="36">
        <v>4800000</v>
      </c>
      <c r="H32" s="36">
        <v>7506324199</v>
      </c>
      <c r="I32" s="36">
        <v>32800130</v>
      </c>
      <c r="J32" s="36">
        <v>1474</v>
      </c>
      <c r="K32" s="36">
        <v>46472634548</v>
      </c>
      <c r="L32" s="36">
        <v>47843479946</v>
      </c>
      <c r="M32" s="37">
        <f>Table1[[#This Row],[22481774152.0000]]/$M$6</f>
        <v>3.449573037421113E-2</v>
      </c>
    </row>
    <row r="33" spans="1:13" ht="23.1" customHeight="1">
      <c r="A33" s="12" t="s">
        <v>46</v>
      </c>
      <c r="B33" s="36">
        <v>525145</v>
      </c>
      <c r="C33" s="36">
        <v>7739012532</v>
      </c>
      <c r="D33" s="36">
        <v>7821495297</v>
      </c>
      <c r="E33" s="36">
        <v>988000</v>
      </c>
      <c r="F33" s="36">
        <v>15672721185</v>
      </c>
      <c r="G33" s="36">
        <v>713145</v>
      </c>
      <c r="H33" s="36">
        <v>10708173756</v>
      </c>
      <c r="I33" s="36">
        <v>800000</v>
      </c>
      <c r="J33" s="36">
        <v>14810</v>
      </c>
      <c r="K33" s="36">
        <v>12673672960</v>
      </c>
      <c r="L33" s="36">
        <v>11891363680</v>
      </c>
      <c r="M33" s="37">
        <f>Table1[[#This Row],[22481774152.0000]]/$M$6</f>
        <v>8.5738177020140086E-3</v>
      </c>
    </row>
    <row r="34" spans="1:13" ht="23.1" customHeight="1">
      <c r="A34" s="12" t="s">
        <v>47</v>
      </c>
      <c r="B34" s="36">
        <v>3768747</v>
      </c>
      <c r="C34" s="36">
        <v>13516813869</v>
      </c>
      <c r="D34" s="36">
        <v>23634364185</v>
      </c>
      <c r="E34" s="36">
        <v>1916000</v>
      </c>
      <c r="F34" s="36">
        <v>14520259136</v>
      </c>
      <c r="G34" s="36">
        <v>1400000</v>
      </c>
      <c r="H34" s="36">
        <v>11085640527</v>
      </c>
      <c r="I34" s="36">
        <v>4284747</v>
      </c>
      <c r="J34" s="36">
        <v>9070</v>
      </c>
      <c r="K34" s="36">
        <v>21836036907</v>
      </c>
      <c r="L34" s="36">
        <v>38604763226</v>
      </c>
      <c r="M34" s="37">
        <f>Table1[[#This Row],[22481774152.0000]]/$M$6</f>
        <v>2.7834503361950681E-2</v>
      </c>
    </row>
    <row r="35" spans="1:13" ht="23.1" customHeight="1">
      <c r="A35" s="12" t="s">
        <v>48</v>
      </c>
      <c r="B35" s="36">
        <v>1267487</v>
      </c>
      <c r="C35" s="36">
        <v>2212083394</v>
      </c>
      <c r="D35" s="36">
        <v>2267613856</v>
      </c>
      <c r="E35" s="36">
        <v>293145</v>
      </c>
      <c r="F35" s="36">
        <v>511725052</v>
      </c>
      <c r="G35" s="36">
        <v>1560632</v>
      </c>
      <c r="H35" s="36">
        <v>2600046234</v>
      </c>
      <c r="I35" s="36">
        <v>0</v>
      </c>
      <c r="J35" s="36">
        <v>0</v>
      </c>
      <c r="K35" s="36">
        <v>0</v>
      </c>
      <c r="L35" s="36">
        <v>0</v>
      </c>
      <c r="M35" s="37">
        <f>Table1[[#This Row],[22481774152.0000]]/$M$6</f>
        <v>0</v>
      </c>
    </row>
    <row r="36" spans="1:13" ht="23.1" customHeight="1">
      <c r="A36" s="12" t="s">
        <v>49</v>
      </c>
      <c r="B36" s="36">
        <v>5652508</v>
      </c>
      <c r="C36" s="36">
        <v>13554820625</v>
      </c>
      <c r="D36" s="36">
        <v>14925054357.999998</v>
      </c>
      <c r="E36" s="36">
        <v>4800000</v>
      </c>
      <c r="F36" s="36">
        <v>13124470680</v>
      </c>
      <c r="G36" s="36">
        <v>2485244</v>
      </c>
      <c r="H36" s="36">
        <v>6346573071</v>
      </c>
      <c r="I36" s="36">
        <v>7967264</v>
      </c>
      <c r="J36" s="36">
        <v>2687</v>
      </c>
      <c r="K36" s="36">
        <v>20501592291</v>
      </c>
      <c r="L36" s="36">
        <v>21116063403</v>
      </c>
      <c r="M36" s="37">
        <f>Table1[[#This Row],[22481774152.0000]]/$M$6</f>
        <v>1.5224938289120728E-2</v>
      </c>
    </row>
    <row r="37" spans="1:13" ht="23.1" customHeight="1">
      <c r="A37" s="12" t="s">
        <v>50</v>
      </c>
      <c r="B37" s="36">
        <v>11384675</v>
      </c>
      <c r="C37" s="36">
        <v>93294550580</v>
      </c>
      <c r="D37" s="36">
        <v>129233921531.99998</v>
      </c>
      <c r="E37" s="36">
        <v>6849599</v>
      </c>
      <c r="F37" s="36">
        <v>106993168700</v>
      </c>
      <c r="G37" s="36">
        <v>7700000</v>
      </c>
      <c r="H37" s="36">
        <v>116367939529</v>
      </c>
      <c r="I37" s="36">
        <v>10534274</v>
      </c>
      <c r="J37" s="36">
        <v>15890</v>
      </c>
      <c r="K37" s="36">
        <v>119329897816</v>
      </c>
      <c r="L37" s="36">
        <v>165886635268</v>
      </c>
      <c r="M37" s="37">
        <f>Table1[[#This Row],[22481774152.0000]]/$M$6</f>
        <v>0.11960627967172893</v>
      </c>
    </row>
    <row r="38" spans="1:13" ht="23.1" customHeight="1">
      <c r="A38" s="12" t="s">
        <v>51</v>
      </c>
      <c r="B38" s="36">
        <v>4293355</v>
      </c>
      <c r="C38" s="36">
        <v>2354111858</v>
      </c>
      <c r="D38" s="36">
        <v>2458116574</v>
      </c>
      <c r="E38" s="36">
        <v>0</v>
      </c>
      <c r="F38" s="36">
        <v>0</v>
      </c>
      <c r="G38" s="36">
        <v>4293355</v>
      </c>
      <c r="H38" s="36">
        <v>2080486539</v>
      </c>
      <c r="I38" s="36">
        <v>0</v>
      </c>
      <c r="J38" s="36">
        <v>0</v>
      </c>
      <c r="K38" s="36">
        <v>0</v>
      </c>
      <c r="L38" s="36">
        <v>0</v>
      </c>
      <c r="M38" s="37">
        <f>Table1[[#This Row],[22481774152.0000]]/$M$6</f>
        <v>0</v>
      </c>
    </row>
    <row r="39" spans="1:13" ht="23.1" customHeight="1">
      <c r="A39" s="12" t="s">
        <v>52</v>
      </c>
      <c r="B39" s="36">
        <v>235209</v>
      </c>
      <c r="C39" s="36">
        <v>6972451456</v>
      </c>
      <c r="D39" s="36">
        <v>8236362550</v>
      </c>
      <c r="E39" s="36">
        <v>155768</v>
      </c>
      <c r="F39" s="36">
        <v>5300630370</v>
      </c>
      <c r="G39" s="36">
        <v>200000</v>
      </c>
      <c r="H39" s="36">
        <v>6787126806</v>
      </c>
      <c r="I39" s="36">
        <v>190977</v>
      </c>
      <c r="J39" s="36">
        <v>32430</v>
      </c>
      <c r="K39" s="36">
        <v>6344353371</v>
      </c>
      <c r="L39" s="36">
        <v>6173934368</v>
      </c>
      <c r="M39" s="37">
        <f>Table1[[#This Row],[22481774152.0000]]/$M$6</f>
        <v>4.4514816971295479E-3</v>
      </c>
    </row>
    <row r="40" spans="1:13" ht="23.1" customHeight="1">
      <c r="A40" s="12" t="s">
        <v>53</v>
      </c>
      <c r="B40" s="36">
        <v>11247680</v>
      </c>
      <c r="C40" s="36">
        <v>103869843518</v>
      </c>
      <c r="D40" s="36">
        <v>116629685283</v>
      </c>
      <c r="E40" s="36">
        <v>4351571</v>
      </c>
      <c r="F40" s="36">
        <v>51040338900</v>
      </c>
      <c r="G40" s="36">
        <v>1801941</v>
      </c>
      <c r="H40" s="36">
        <v>19666848554</v>
      </c>
      <c r="I40" s="36">
        <v>13797310</v>
      </c>
      <c r="J40" s="36">
        <v>13550</v>
      </c>
      <c r="K40" s="36">
        <v>138024484973</v>
      </c>
      <c r="L40" s="36">
        <v>183317894471</v>
      </c>
      <c r="M40" s="37">
        <f>Table1[[#This Row],[22481774152.0000]]/$M$6</f>
        <v>0.1321744293595935</v>
      </c>
    </row>
    <row r="41" spans="1:13" ht="23.1" customHeight="1">
      <c r="A41" s="12" t="s">
        <v>54</v>
      </c>
      <c r="B41" s="36">
        <v>55958</v>
      </c>
      <c r="C41" s="36">
        <v>377600591</v>
      </c>
      <c r="D41" s="36">
        <v>411443549</v>
      </c>
      <c r="E41" s="36">
        <v>0</v>
      </c>
      <c r="F41" s="36">
        <v>0</v>
      </c>
      <c r="G41" s="36">
        <v>55958</v>
      </c>
      <c r="H41" s="36">
        <v>425880173</v>
      </c>
      <c r="I41" s="36">
        <v>0</v>
      </c>
      <c r="J41" s="36"/>
      <c r="K41" s="36">
        <v>0</v>
      </c>
      <c r="L41" s="36">
        <v>0</v>
      </c>
      <c r="M41" s="37">
        <f>Table1[[#This Row],[22481774152.0000]]/$M$6</f>
        <v>0</v>
      </c>
    </row>
    <row r="42" spans="1:13" ht="23.1" customHeight="1">
      <c r="A42" s="12" t="s">
        <v>55</v>
      </c>
      <c r="B42" s="36">
        <v>166282</v>
      </c>
      <c r="C42" s="36">
        <v>10590947657</v>
      </c>
      <c r="D42" s="36">
        <v>10299090280</v>
      </c>
      <c r="E42" s="36">
        <v>500000</v>
      </c>
      <c r="F42" s="36">
        <v>32556500050</v>
      </c>
      <c r="G42" s="36">
        <v>457083</v>
      </c>
      <c r="H42" s="36">
        <v>28796792211</v>
      </c>
      <c r="I42" s="36">
        <v>209199</v>
      </c>
      <c r="J42" s="36">
        <v>60560</v>
      </c>
      <c r="K42" s="36">
        <v>13547934431</v>
      </c>
      <c r="L42" s="36">
        <v>12567007728</v>
      </c>
      <c r="M42" s="37">
        <f>Table1[[#This Row],[22481774152.0000]]/$M$6</f>
        <v>9.0609652701895364E-3</v>
      </c>
    </row>
    <row r="43" spans="1:13" ht="23.1" customHeight="1">
      <c r="A43" s="12" t="s">
        <v>56</v>
      </c>
      <c r="B43" s="36">
        <v>771716</v>
      </c>
      <c r="C43" s="36">
        <v>5373625748</v>
      </c>
      <c r="D43" s="36">
        <v>6953015772</v>
      </c>
      <c r="E43" s="36">
        <v>0</v>
      </c>
      <c r="F43" s="36">
        <v>0</v>
      </c>
      <c r="G43" s="36">
        <v>114549</v>
      </c>
      <c r="H43" s="36">
        <v>987628382</v>
      </c>
      <c r="I43" s="36">
        <v>657167</v>
      </c>
      <c r="J43" s="36">
        <v>8260</v>
      </c>
      <c r="K43" s="36">
        <v>4575996237</v>
      </c>
      <c r="L43" s="36">
        <v>5379718571</v>
      </c>
      <c r="M43" s="37">
        <f>Table1[[#This Row],[22481774152.0000]]/$M$6</f>
        <v>3.8788424571918655E-3</v>
      </c>
    </row>
    <row r="44" spans="1:13" ht="23.1" customHeight="1">
      <c r="A44" s="12" t="s">
        <v>57</v>
      </c>
      <c r="B44" s="36">
        <v>343482</v>
      </c>
      <c r="C44" s="36">
        <v>13871685573</v>
      </c>
      <c r="D44" s="36">
        <v>15303127101</v>
      </c>
      <c r="E44" s="36">
        <v>0</v>
      </c>
      <c r="F44" s="36">
        <v>0</v>
      </c>
      <c r="G44" s="36">
        <v>145197</v>
      </c>
      <c r="H44" s="36">
        <v>6828151249</v>
      </c>
      <c r="I44" s="36">
        <v>198285</v>
      </c>
      <c r="J44" s="36">
        <v>68910</v>
      </c>
      <c r="K44" s="36">
        <v>8007834977</v>
      </c>
      <c r="L44" s="36">
        <v>13558198030</v>
      </c>
      <c r="M44" s="37">
        <f>Table1[[#This Row],[22481774152.0000]]/$M$6</f>
        <v>9.7756255216159913E-3</v>
      </c>
    </row>
    <row r="45" spans="1:13" ht="23.1" customHeight="1">
      <c r="A45" s="12" t="s">
        <v>58</v>
      </c>
      <c r="B45" s="36">
        <v>5034648</v>
      </c>
      <c r="C45" s="36">
        <v>10918015555</v>
      </c>
      <c r="D45" s="36">
        <v>13548420228</v>
      </c>
      <c r="E45" s="36">
        <v>0</v>
      </c>
      <c r="F45" s="36">
        <v>0</v>
      </c>
      <c r="G45" s="36">
        <v>0</v>
      </c>
      <c r="H45" s="36">
        <v>0</v>
      </c>
      <c r="I45" s="36">
        <v>5034648</v>
      </c>
      <c r="J45" s="36">
        <v>3038</v>
      </c>
      <c r="K45" s="36">
        <v>10918015555</v>
      </c>
      <c r="L45" s="36">
        <v>14942228946</v>
      </c>
      <c r="M45" s="37">
        <f>Table1[[#This Row],[22481774152.0000]]/$M$6</f>
        <v>1.0773528629036171E-2</v>
      </c>
    </row>
    <row r="46" spans="1:13" ht="23.1" customHeight="1">
      <c r="A46" s="12" t="s">
        <v>59</v>
      </c>
      <c r="B46" s="36">
        <v>903290</v>
      </c>
      <c r="C46" s="36">
        <v>11005778500</v>
      </c>
      <c r="D46" s="36">
        <v>13435650453</v>
      </c>
      <c r="E46" s="36">
        <v>1660000</v>
      </c>
      <c r="F46" s="36">
        <v>31025432047</v>
      </c>
      <c r="G46" s="36">
        <v>1674279</v>
      </c>
      <c r="H46" s="36">
        <v>29066586581</v>
      </c>
      <c r="I46" s="36">
        <v>889011</v>
      </c>
      <c r="J46" s="36">
        <v>18760</v>
      </c>
      <c r="K46" s="36">
        <v>16231472217</v>
      </c>
      <c r="L46" s="36">
        <v>16434248550</v>
      </c>
      <c r="M46" s="37">
        <f>Table1[[#This Row],[22481774152.0000]]/$M$6</f>
        <v>1.1849292892645602E-2</v>
      </c>
    </row>
    <row r="47" spans="1:13" ht="23.1" customHeight="1">
      <c r="A47" s="12" t="s">
        <v>60</v>
      </c>
      <c r="B47" s="36">
        <v>663377</v>
      </c>
      <c r="C47" s="36">
        <v>3711491175</v>
      </c>
      <c r="D47" s="36">
        <v>3811262268</v>
      </c>
      <c r="E47" s="36">
        <v>355531</v>
      </c>
      <c r="F47" s="36">
        <v>2334518626</v>
      </c>
      <c r="G47" s="36">
        <v>1018908</v>
      </c>
      <c r="H47" s="36">
        <v>6643171522</v>
      </c>
      <c r="I47" s="36">
        <v>0</v>
      </c>
      <c r="J47" s="36">
        <v>0</v>
      </c>
      <c r="K47" s="36">
        <v>0</v>
      </c>
      <c r="L47" s="36">
        <v>0</v>
      </c>
      <c r="M47" s="37">
        <f>Table1[[#This Row],[22481774152.0000]]/$M$6</f>
        <v>0</v>
      </c>
    </row>
    <row r="48" spans="1:13" ht="23.1" customHeight="1">
      <c r="A48" s="12" t="s">
        <v>61</v>
      </c>
      <c r="B48" s="36">
        <v>1142066</v>
      </c>
      <c r="C48" s="36">
        <v>5421843952</v>
      </c>
      <c r="D48" s="36">
        <v>6108151905</v>
      </c>
      <c r="E48" s="36">
        <v>1800000</v>
      </c>
      <c r="F48" s="36">
        <v>9418402303</v>
      </c>
      <c r="G48" s="36">
        <v>296276</v>
      </c>
      <c r="H48" s="36">
        <v>1429944773</v>
      </c>
      <c r="I48" s="36">
        <v>2645790</v>
      </c>
      <c r="J48" s="36">
        <v>4657</v>
      </c>
      <c r="K48" s="36">
        <v>13377111618</v>
      </c>
      <c r="L48" s="36">
        <v>12234075285</v>
      </c>
      <c r="M48" s="37">
        <f>Table1[[#This Row],[22481774152.0000]]/$M$6</f>
        <v>8.8209169334147446E-3</v>
      </c>
    </row>
    <row r="49" spans="1:13" ht="23.1" customHeight="1">
      <c r="A49" s="12" t="s">
        <v>62</v>
      </c>
      <c r="B49" s="36">
        <v>68351</v>
      </c>
      <c r="C49" s="36">
        <v>5098028987</v>
      </c>
      <c r="D49" s="36">
        <v>6241039959</v>
      </c>
      <c r="E49" s="36">
        <v>63249</v>
      </c>
      <c r="F49" s="36">
        <v>5972025516</v>
      </c>
      <c r="G49" s="36">
        <v>131600</v>
      </c>
      <c r="H49" s="36">
        <v>11590445007</v>
      </c>
      <c r="I49" s="36">
        <v>0</v>
      </c>
      <c r="J49" s="36">
        <v>0</v>
      </c>
      <c r="K49" s="36">
        <v>0</v>
      </c>
      <c r="L49" s="36">
        <v>0</v>
      </c>
      <c r="M49" s="37">
        <f>Table1[[#This Row],[22481774152.0000]]/$M$6</f>
        <v>0</v>
      </c>
    </row>
    <row r="50" spans="1:13" ht="23.1" customHeight="1">
      <c r="A50" s="12" t="s">
        <v>63</v>
      </c>
      <c r="B50" s="36">
        <v>833717</v>
      </c>
      <c r="C50" s="36">
        <v>4848838729</v>
      </c>
      <c r="D50" s="36">
        <v>5153906853</v>
      </c>
      <c r="E50" s="36">
        <v>1000</v>
      </c>
      <c r="F50" s="36">
        <v>5985902</v>
      </c>
      <c r="G50" s="36">
        <v>834717</v>
      </c>
      <c r="H50" s="36">
        <v>4636653054</v>
      </c>
      <c r="I50" s="36">
        <v>0</v>
      </c>
      <c r="J50" s="36">
        <v>0</v>
      </c>
      <c r="K50" s="36">
        <v>0</v>
      </c>
      <c r="L50" s="36">
        <v>0</v>
      </c>
      <c r="M50" s="37">
        <f>Table1[[#This Row],[22481774152.0000]]/$M$6</f>
        <v>0</v>
      </c>
    </row>
    <row r="51" spans="1:13" ht="23.1" customHeight="1">
      <c r="A51" s="12" t="s">
        <v>64</v>
      </c>
      <c r="B51" s="36">
        <v>812530</v>
      </c>
      <c r="C51" s="36">
        <v>5495089061</v>
      </c>
      <c r="D51" s="36">
        <v>6957930107</v>
      </c>
      <c r="E51" s="36">
        <v>0</v>
      </c>
      <c r="F51" s="36">
        <v>0</v>
      </c>
      <c r="G51" s="36">
        <v>250000</v>
      </c>
      <c r="H51" s="36">
        <v>2216388861</v>
      </c>
      <c r="I51" s="36">
        <v>562530</v>
      </c>
      <c r="J51" s="36">
        <v>9250</v>
      </c>
      <c r="K51" s="36">
        <v>3804354854</v>
      </c>
      <c r="L51" s="36">
        <v>5163180201</v>
      </c>
      <c r="M51" s="37">
        <f>Table1[[#This Row],[22481774152.0000]]/$M$6</f>
        <v>3.7227156613228777E-3</v>
      </c>
    </row>
    <row r="52" spans="1:13" ht="23.1" customHeight="1">
      <c r="A52" s="12" t="s">
        <v>65</v>
      </c>
      <c r="B52" s="36">
        <v>6653441</v>
      </c>
      <c r="C52" s="36">
        <v>12165792416</v>
      </c>
      <c r="D52" s="36">
        <v>12616440924</v>
      </c>
      <c r="E52" s="36">
        <v>3100000</v>
      </c>
      <c r="F52" s="36">
        <v>7438062305</v>
      </c>
      <c r="G52" s="36">
        <v>9753441</v>
      </c>
      <c r="H52" s="36">
        <v>21105250067</v>
      </c>
      <c r="I52" s="36">
        <v>0</v>
      </c>
      <c r="J52" s="36">
        <v>0</v>
      </c>
      <c r="K52" s="36">
        <v>0</v>
      </c>
      <c r="L52" s="36">
        <v>0</v>
      </c>
      <c r="M52" s="37">
        <f>Table1[[#This Row],[22481774152.0000]]/$M$6</f>
        <v>0</v>
      </c>
    </row>
    <row r="53" spans="1:13" ht="23.1" customHeight="1">
      <c r="A53" s="12" t="s">
        <v>66</v>
      </c>
      <c r="B53" s="36">
        <v>0</v>
      </c>
      <c r="C53" s="36">
        <v>0</v>
      </c>
      <c r="D53" s="36"/>
      <c r="E53" s="36">
        <v>94046</v>
      </c>
      <c r="F53" s="36">
        <v>159832630</v>
      </c>
      <c r="G53" s="36">
        <v>94046</v>
      </c>
      <c r="H53" s="36">
        <v>146977483</v>
      </c>
      <c r="I53" s="36">
        <v>0</v>
      </c>
      <c r="J53" s="36">
        <v>0</v>
      </c>
      <c r="K53" s="36">
        <v>0</v>
      </c>
      <c r="L53" s="36">
        <v>0</v>
      </c>
      <c r="M53" s="37">
        <f>Table1[[#This Row],[22481774152.0000]]/$M$6</f>
        <v>0</v>
      </c>
    </row>
    <row r="54" spans="1:13" ht="23.1" customHeight="1">
      <c r="A54" s="12" t="s">
        <v>67</v>
      </c>
      <c r="B54" s="36">
        <v>18045445</v>
      </c>
      <c r="C54" s="36">
        <v>9072733405</v>
      </c>
      <c r="D54" s="36">
        <v>7484688655</v>
      </c>
      <c r="E54" s="36">
        <v>12000000</v>
      </c>
      <c r="F54" s="36">
        <v>5630960886</v>
      </c>
      <c r="G54" s="36">
        <v>10800000</v>
      </c>
      <c r="H54" s="36">
        <v>4714158809</v>
      </c>
      <c r="I54" s="36">
        <v>19245445</v>
      </c>
      <c r="J54" s="36">
        <v>446</v>
      </c>
      <c r="K54" s="36">
        <v>9411321747</v>
      </c>
      <c r="L54" s="36">
        <v>8459828230</v>
      </c>
      <c r="M54" s="37">
        <f>Table1[[#This Row],[22481774152.0000]]/$M$6</f>
        <v>6.0996389469077138E-3</v>
      </c>
    </row>
    <row r="55" spans="1:13" ht="23.1" customHeight="1">
      <c r="A55" s="12" t="s">
        <v>68</v>
      </c>
      <c r="B55" s="36">
        <v>31817596</v>
      </c>
      <c r="C55" s="36">
        <v>18832240350</v>
      </c>
      <c r="D55" s="36">
        <v>20900429645</v>
      </c>
      <c r="E55" s="36">
        <v>0</v>
      </c>
      <c r="F55" s="36">
        <v>0</v>
      </c>
      <c r="G55" s="36">
        <v>14000000</v>
      </c>
      <c r="H55" s="36">
        <v>8866527980</v>
      </c>
      <c r="I55" s="36">
        <v>17817596</v>
      </c>
      <c r="J55" s="36">
        <v>671</v>
      </c>
      <c r="K55" s="36">
        <v>10545902033</v>
      </c>
      <c r="L55" s="36">
        <v>11898549810</v>
      </c>
      <c r="M55" s="37">
        <f>Table1[[#This Row],[22481774152.0000]]/$M$6</f>
        <v>8.5789989890607248E-3</v>
      </c>
    </row>
    <row r="56" spans="1:13" ht="23.1" customHeight="1">
      <c r="A56" s="12" t="s">
        <v>69</v>
      </c>
      <c r="B56" s="36">
        <v>125861</v>
      </c>
      <c r="C56" s="36">
        <v>8942086367</v>
      </c>
      <c r="D56" s="36">
        <v>6983742246</v>
      </c>
      <c r="E56" s="36">
        <v>668356</v>
      </c>
      <c r="F56" s="36">
        <v>41571607258</v>
      </c>
      <c r="G56" s="36">
        <v>428795</v>
      </c>
      <c r="H56" s="36">
        <v>25768471550</v>
      </c>
      <c r="I56" s="36">
        <v>365422</v>
      </c>
      <c r="J56" s="36">
        <v>55110</v>
      </c>
      <c r="K56" s="36">
        <v>23215144900</v>
      </c>
      <c r="L56" s="36">
        <v>19982736541</v>
      </c>
      <c r="M56" s="37">
        <f>Table1[[#This Row],[22481774152.0000]]/$M$6</f>
        <v>1.4407795850871494E-2</v>
      </c>
    </row>
    <row r="57" spans="1:13" ht="23.1" customHeight="1">
      <c r="A57" s="12" t="s">
        <v>70</v>
      </c>
      <c r="B57" s="36">
        <v>975333</v>
      </c>
      <c r="C57" s="36">
        <v>19724532484</v>
      </c>
      <c r="D57" s="36">
        <v>21059190390</v>
      </c>
      <c r="E57" s="36">
        <v>273937</v>
      </c>
      <c r="F57" s="36">
        <v>6989171801</v>
      </c>
      <c r="G57" s="36">
        <v>100000</v>
      </c>
      <c r="H57" s="36">
        <v>2317942727</v>
      </c>
      <c r="I57" s="36">
        <v>1149270</v>
      </c>
      <c r="J57" s="36">
        <v>27450</v>
      </c>
      <c r="K57" s="36">
        <v>24659007724</v>
      </c>
      <c r="L57" s="36">
        <v>31212368735</v>
      </c>
      <c r="M57" s="37">
        <f>Table1[[#This Row],[22481774152.0000]]/$M$6</f>
        <v>2.250449711095974E-2</v>
      </c>
    </row>
    <row r="58" spans="1:13" ht="23.1" customHeight="1">
      <c r="A58" s="12" t="s">
        <v>71</v>
      </c>
      <c r="B58" s="36">
        <v>179502</v>
      </c>
      <c r="C58" s="36">
        <v>3952804622</v>
      </c>
      <c r="D58" s="36">
        <v>4869649053</v>
      </c>
      <c r="E58" s="36">
        <v>96416</v>
      </c>
      <c r="F58" s="36">
        <v>2996858413</v>
      </c>
      <c r="G58" s="36">
        <v>67068</v>
      </c>
      <c r="H58" s="36">
        <v>1977187565</v>
      </c>
      <c r="I58" s="36">
        <v>208850</v>
      </c>
      <c r="J58" s="36">
        <v>37920</v>
      </c>
      <c r="K58" s="36">
        <v>5260393033</v>
      </c>
      <c r="L58" s="36">
        <v>7760972831</v>
      </c>
      <c r="M58" s="37">
        <f>Table1[[#This Row],[22481774152.0000]]/$M$6</f>
        <v>5.5957557126263564E-3</v>
      </c>
    </row>
    <row r="59" spans="1:13" ht="23.1" customHeight="1">
      <c r="A59" s="12" t="s">
        <v>72</v>
      </c>
      <c r="B59" s="36">
        <v>1777785</v>
      </c>
      <c r="C59" s="36">
        <v>6045450193</v>
      </c>
      <c r="D59" s="36">
        <v>8714371049</v>
      </c>
      <c r="E59" s="36">
        <v>0</v>
      </c>
      <c r="F59" s="36">
        <v>0</v>
      </c>
      <c r="G59" s="36"/>
      <c r="H59" s="36"/>
      <c r="I59" s="36">
        <v>1777785</v>
      </c>
      <c r="J59" s="36">
        <v>5970</v>
      </c>
      <c r="K59" s="36">
        <v>7823235192.5709248</v>
      </c>
      <c r="L59" s="36">
        <v>0</v>
      </c>
      <c r="M59" s="37">
        <f>Table1[[#This Row],[22481774152.0000]]/$M$6</f>
        <v>0</v>
      </c>
    </row>
    <row r="60" spans="1:13" ht="23.1" customHeight="1">
      <c r="A60" s="12" t="s">
        <v>73</v>
      </c>
      <c r="B60" s="36">
        <v>5189070</v>
      </c>
      <c r="C60" s="36">
        <v>14941824310</v>
      </c>
      <c r="D60" s="36">
        <v>18531101606</v>
      </c>
      <c r="E60" s="36">
        <v>800000</v>
      </c>
      <c r="F60" s="36">
        <v>3202107727</v>
      </c>
      <c r="G60" s="36">
        <v>0</v>
      </c>
      <c r="H60" s="36">
        <v>0</v>
      </c>
      <c r="I60" s="36">
        <v>5989070</v>
      </c>
      <c r="J60" s="36">
        <v>4795</v>
      </c>
      <c r="K60" s="36">
        <v>18143932037</v>
      </c>
      <c r="L60" s="36">
        <v>28507489226</v>
      </c>
      <c r="M60" s="37">
        <f>Table1[[#This Row],[22481774152.0000]]/$M$6</f>
        <v>2.0554246118713648E-2</v>
      </c>
    </row>
    <row r="61" spans="1:13" ht="23.1" customHeight="1">
      <c r="A61" s="12" t="s">
        <v>74</v>
      </c>
      <c r="B61" s="36">
        <v>133031</v>
      </c>
      <c r="C61" s="36">
        <v>4843100624</v>
      </c>
      <c r="D61" s="36">
        <v>5235225911</v>
      </c>
      <c r="E61" s="36">
        <v>0</v>
      </c>
      <c r="F61" s="36">
        <v>0</v>
      </c>
      <c r="G61" s="36">
        <v>133031</v>
      </c>
      <c r="H61" s="36">
        <v>4207436353</v>
      </c>
      <c r="I61" s="36">
        <v>0</v>
      </c>
      <c r="J61" s="36">
        <v>0</v>
      </c>
      <c r="K61" s="36">
        <v>0</v>
      </c>
      <c r="L61" s="36">
        <v>0</v>
      </c>
      <c r="M61" s="37">
        <f>Table1[[#This Row],[22481774152.0000]]/$M$6</f>
        <v>0</v>
      </c>
    </row>
    <row r="62" spans="1:13" ht="23.1" customHeight="1">
      <c r="A62" s="12" t="s">
        <v>75</v>
      </c>
      <c r="B62" s="36">
        <v>116208</v>
      </c>
      <c r="C62" s="36">
        <v>742044539</v>
      </c>
      <c r="D62" s="36">
        <v>1130035182</v>
      </c>
      <c r="E62" s="36">
        <v>0</v>
      </c>
      <c r="F62" s="36">
        <v>0</v>
      </c>
      <c r="G62" s="36">
        <v>110204</v>
      </c>
      <c r="H62" s="36">
        <v>1119889426</v>
      </c>
      <c r="I62" s="36">
        <v>6004</v>
      </c>
      <c r="J62" s="36">
        <v>10470</v>
      </c>
      <c r="K62" s="36">
        <v>38338457</v>
      </c>
      <c r="L62" s="36">
        <v>62137658</v>
      </c>
      <c r="M62" s="37">
        <f>Table1[[#This Row],[22481774152.0000]]/$M$6</f>
        <v>4.4802006435824722E-5</v>
      </c>
    </row>
    <row r="63" spans="1:13" ht="23.1" customHeight="1">
      <c r="A63" s="12" t="s">
        <v>76</v>
      </c>
      <c r="B63" s="36">
        <v>1867884</v>
      </c>
      <c r="C63" s="36">
        <v>3421715246</v>
      </c>
      <c r="D63" s="36">
        <v>3499304649</v>
      </c>
      <c r="E63" s="36">
        <v>0</v>
      </c>
      <c r="F63" s="36">
        <v>0</v>
      </c>
      <c r="G63" s="36">
        <v>1867884</v>
      </c>
      <c r="H63" s="36">
        <v>3555241632</v>
      </c>
      <c r="I63" s="36">
        <v>0</v>
      </c>
      <c r="J63" s="36"/>
      <c r="K63" s="36">
        <v>0</v>
      </c>
      <c r="L63" s="36">
        <v>0</v>
      </c>
      <c r="M63" s="37">
        <f>Table1[[#This Row],[22481774152.0000]]/$M$6</f>
        <v>0</v>
      </c>
    </row>
    <row r="64" spans="1:13" ht="23.1" customHeight="1">
      <c r="A64" s="12" t="s">
        <v>77</v>
      </c>
      <c r="B64" s="36">
        <v>163951</v>
      </c>
      <c r="C64" s="36">
        <v>3598782003</v>
      </c>
      <c r="D64" s="36">
        <v>5010656692</v>
      </c>
      <c r="E64" s="36">
        <v>0</v>
      </c>
      <c r="F64" s="36">
        <v>0</v>
      </c>
      <c r="G64" s="36">
        <v>0</v>
      </c>
      <c r="H64" s="36">
        <v>0</v>
      </c>
      <c r="I64" s="36">
        <v>163951</v>
      </c>
      <c r="J64" s="36">
        <v>33280</v>
      </c>
      <c r="K64" s="36">
        <v>3598782003</v>
      </c>
      <c r="L64" s="36">
        <v>5405977984</v>
      </c>
      <c r="M64" s="37">
        <f>Table1[[#This Row],[22481774152.0000]]/$M$6</f>
        <v>3.8977758130358691E-3</v>
      </c>
    </row>
    <row r="65" spans="1:13" ht="23.1" customHeight="1">
      <c r="A65" s="12" t="s">
        <v>78</v>
      </c>
      <c r="B65" s="36">
        <v>519620</v>
      </c>
      <c r="C65" s="36">
        <v>2735511469</v>
      </c>
      <c r="D65" s="36">
        <v>2923470925</v>
      </c>
      <c r="E65" s="36">
        <v>0</v>
      </c>
      <c r="F65" s="36">
        <v>0</v>
      </c>
      <c r="G65" s="36">
        <v>0</v>
      </c>
      <c r="H65" s="36">
        <v>0</v>
      </c>
      <c r="I65" s="36">
        <v>519620</v>
      </c>
      <c r="J65" s="36">
        <v>5860</v>
      </c>
      <c r="K65" s="36">
        <v>2735511469</v>
      </c>
      <c r="L65" s="36">
        <v>3036903661</v>
      </c>
      <c r="M65" s="37">
        <f>Table1[[#This Row],[22481774152.0000]]/$M$6</f>
        <v>2.1896444401734881E-3</v>
      </c>
    </row>
    <row r="66" spans="1:13" ht="23.1" customHeight="1">
      <c r="A66" s="12" t="s">
        <v>79</v>
      </c>
      <c r="B66" s="36">
        <v>949361</v>
      </c>
      <c r="C66" s="36">
        <v>2843124070</v>
      </c>
      <c r="D66" s="36">
        <v>3947074025</v>
      </c>
      <c r="E66" s="36">
        <v>0</v>
      </c>
      <c r="F66" s="36">
        <v>0</v>
      </c>
      <c r="G66" s="36">
        <v>949361</v>
      </c>
      <c r="H66" s="36">
        <v>4475531980</v>
      </c>
      <c r="I66" s="36">
        <v>0</v>
      </c>
      <c r="J66" s="36">
        <v>0</v>
      </c>
      <c r="K66" s="36">
        <v>0</v>
      </c>
      <c r="L66" s="36">
        <v>0</v>
      </c>
      <c r="M66" s="37">
        <f>Table1[[#This Row],[22481774152.0000]]/$M$6</f>
        <v>0</v>
      </c>
    </row>
    <row r="67" spans="1:13" ht="23.1" customHeight="1">
      <c r="A67" s="12" t="s">
        <v>80</v>
      </c>
      <c r="B67" s="36">
        <v>14118385</v>
      </c>
      <c r="C67" s="36">
        <v>21951592506</v>
      </c>
      <c r="D67" s="36">
        <v>23577567559</v>
      </c>
      <c r="E67" s="36">
        <v>11935354</v>
      </c>
      <c r="F67" s="36">
        <v>22156122967</v>
      </c>
      <c r="G67" s="36">
        <v>3200000</v>
      </c>
      <c r="H67" s="36">
        <v>5566237852</v>
      </c>
      <c r="I67" s="36">
        <v>22853739</v>
      </c>
      <c r="J67" s="36">
        <v>1909</v>
      </c>
      <c r="K67" s="36">
        <v>39034810878</v>
      </c>
      <c r="L67" s="36">
        <v>43177159557</v>
      </c>
      <c r="M67" s="37">
        <f>Table1[[#This Row],[22481774152.0000]]/$M$6</f>
        <v>3.1131256674549031E-2</v>
      </c>
    </row>
    <row r="68" spans="1:13" ht="23.1" customHeight="1">
      <c r="A68" s="12" t="s">
        <v>81</v>
      </c>
      <c r="B68" s="36">
        <v>28040</v>
      </c>
      <c r="C68" s="36">
        <v>3014975144</v>
      </c>
      <c r="D68" s="36">
        <v>2868577160</v>
      </c>
      <c r="E68" s="36">
        <v>70268</v>
      </c>
      <c r="F68" s="36">
        <v>7390602325</v>
      </c>
      <c r="G68" s="36">
        <v>0</v>
      </c>
      <c r="H68" s="36">
        <v>0</v>
      </c>
      <c r="I68" s="36">
        <v>98308</v>
      </c>
      <c r="J68" s="36">
        <v>104050</v>
      </c>
      <c r="K68" s="36">
        <v>10405577469</v>
      </c>
      <c r="L68" s="36">
        <v>10066961772</v>
      </c>
      <c r="M68" s="37">
        <f>Table1[[#This Row],[22481774152.0000]]/$M$6</f>
        <v>7.2584017585333753E-3</v>
      </c>
    </row>
    <row r="69" spans="1:13" ht="23.1" customHeight="1">
      <c r="A69" s="12" t="s">
        <v>82</v>
      </c>
      <c r="B69" s="36">
        <v>0</v>
      </c>
      <c r="C69" s="36">
        <v>0</v>
      </c>
      <c r="D69" s="36"/>
      <c r="E69" s="36">
        <v>200000</v>
      </c>
      <c r="F69" s="36">
        <v>10628218552</v>
      </c>
      <c r="G69" s="36">
        <v>0</v>
      </c>
      <c r="H69" s="36">
        <v>0</v>
      </c>
      <c r="I69" s="36">
        <v>200000</v>
      </c>
      <c r="J69" s="36">
        <v>63440</v>
      </c>
      <c r="K69" s="36">
        <v>10628218552</v>
      </c>
      <c r="L69" s="36">
        <v>12589921760</v>
      </c>
      <c r="M69" s="37">
        <f>Table1[[#This Row],[22481774152.0000]]/$M$6</f>
        <v>9.077486565683723E-3</v>
      </c>
    </row>
    <row r="70" spans="1:13" ht="23.1" customHeight="1">
      <c r="A70" s="12" t="s">
        <v>83</v>
      </c>
      <c r="B70" s="36">
        <v>50000</v>
      </c>
      <c r="C70" s="36">
        <v>49863800</v>
      </c>
      <c r="D70" s="36">
        <v>49613500</v>
      </c>
      <c r="E70" s="36">
        <v>0</v>
      </c>
      <c r="F70" s="36">
        <v>0</v>
      </c>
      <c r="G70" s="36">
        <v>0</v>
      </c>
      <c r="H70" s="36">
        <v>0</v>
      </c>
      <c r="I70" s="36">
        <v>50000</v>
      </c>
      <c r="J70" s="36">
        <v>1000</v>
      </c>
      <c r="K70" s="36">
        <v>49863800</v>
      </c>
      <c r="L70" s="36">
        <v>49613500</v>
      </c>
      <c r="M70" s="37">
        <f>Table1[[#This Row],[22481774152.0000]]/$M$6</f>
        <v>3.577193634017861E-5</v>
      </c>
    </row>
    <row r="71" spans="1:13" ht="23.1" customHeight="1">
      <c r="A71" s="12" t="s">
        <v>84</v>
      </c>
      <c r="B71" s="36">
        <f>SUBTOTAL(109,B10:B70)</f>
        <v>293578044</v>
      </c>
      <c r="C71" s="36">
        <f t="shared" ref="C71:J71" si="0">SUBTOTAL(109,C10:C70)</f>
        <v>860984859290</v>
      </c>
      <c r="D71" s="36">
        <f t="shared" si="0"/>
        <v>998298400005</v>
      </c>
      <c r="E71" s="36">
        <f t="shared" si="0"/>
        <v>164011315</v>
      </c>
      <c r="F71" s="36">
        <f t="shared" si="0"/>
        <v>1038041852624</v>
      </c>
      <c r="G71" s="36">
        <f t="shared" si="0"/>
        <v>165748399</v>
      </c>
      <c r="H71" s="36">
        <f t="shared" si="0"/>
        <v>823609993676</v>
      </c>
      <c r="I71" s="36">
        <f t="shared" si="0"/>
        <v>295410861</v>
      </c>
      <c r="J71" s="36">
        <f t="shared" si="0"/>
        <v>1574149.333333333</v>
      </c>
      <c r="K71" s="36">
        <v>1159903328562</v>
      </c>
      <c r="L71" s="36">
        <f>SUBTOTAL(109,L10:L70)</f>
        <v>1332542559206</v>
      </c>
      <c r="M71" s="37">
        <v>96.08</v>
      </c>
    </row>
    <row r="72" spans="1:13" ht="23.1" customHeight="1">
      <c r="A72" s="12" t="s">
        <v>85</v>
      </c>
      <c r="B72" s="36"/>
      <c r="C72" s="38"/>
      <c r="D72" s="38"/>
      <c r="E72" s="38"/>
      <c r="F72" s="38"/>
      <c r="G72" s="38"/>
      <c r="H72" s="38"/>
      <c r="I72" s="36"/>
      <c r="J72" s="38"/>
      <c r="K72" s="38"/>
      <c r="L72" s="36"/>
    </row>
    <row r="74" spans="1:13">
      <c r="L74" s="39"/>
    </row>
    <row r="76" spans="1:13">
      <c r="L76" s="40"/>
    </row>
  </sheetData>
  <mergeCells count="19">
    <mergeCell ref="B7:D7"/>
    <mergeCell ref="I7:M7"/>
    <mergeCell ref="D8:D9"/>
    <mergeCell ref="L8:L9"/>
    <mergeCell ref="J8:J9"/>
    <mergeCell ref="M8:M9"/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</mergeCells>
  <pageMargins left="0.7" right="0.7" top="0.75" bottom="0.75" header="0.3" footer="0.3"/>
  <pageSetup paperSize="9" scale="62" orientation="landscape" horizontalDpi="4294967295" verticalDpi="4294967295" r:id="rId1"/>
  <headerFooter differentOddEven="1" differentFirst="1"/>
  <rowBreaks count="1" manualBreakCount="1">
    <brk id="37" max="12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15"/>
  <sheetViews>
    <sheetView rightToLeft="1" view="pageBreakPreview" zoomScale="106" zoomScaleNormal="115" zoomScaleSheetLayoutView="106" workbookViewId="0">
      <selection activeCell="D9" sqref="D9"/>
    </sheetView>
  </sheetViews>
  <sheetFormatPr defaultColWidth="9" defaultRowHeight="18.75"/>
  <cols>
    <col min="1" max="1" width="13.28515625" style="62" bestFit="1" customWidth="1"/>
    <col min="2" max="2" width="15" style="62" bestFit="1" customWidth="1"/>
    <col min="3" max="3" width="19" style="62" bestFit="1" customWidth="1"/>
    <col min="4" max="4" width="18.85546875" style="62" bestFit="1" customWidth="1"/>
    <col min="5" max="5" width="17.85546875" style="62" bestFit="1" customWidth="1"/>
    <col min="6" max="6" width="9.85546875" style="63" bestFit="1" customWidth="1"/>
    <col min="7" max="7" width="13" style="46" customWidth="1"/>
    <col min="8" max="8" width="11.42578125" style="4" customWidth="1"/>
    <col min="9" max="9" width="9" style="4" customWidth="1"/>
    <col min="10" max="16384" width="9" style="4"/>
  </cols>
  <sheetData>
    <row r="1" spans="1:7" ht="21">
      <c r="A1" s="41" t="s">
        <v>1</v>
      </c>
      <c r="B1" s="41"/>
      <c r="C1" s="41"/>
      <c r="D1" s="41"/>
      <c r="E1" s="41"/>
      <c r="F1" s="41"/>
      <c r="G1" s="42"/>
    </row>
    <row r="2" spans="1:7" ht="21">
      <c r="A2" s="41" t="s">
        <v>6</v>
      </c>
      <c r="B2" s="41"/>
      <c r="C2" s="41"/>
      <c r="D2" s="41"/>
      <c r="E2" s="41"/>
      <c r="F2" s="41"/>
      <c r="G2" s="42"/>
    </row>
    <row r="3" spans="1:7" ht="21">
      <c r="A3" s="41" t="s">
        <v>7</v>
      </c>
      <c r="B3" s="41"/>
      <c r="C3" s="41"/>
      <c r="D3" s="41"/>
      <c r="E3" s="41"/>
      <c r="F3" s="41"/>
      <c r="G3" s="42"/>
    </row>
    <row r="4" spans="1:7">
      <c r="A4" s="21" t="s">
        <v>90</v>
      </c>
      <c r="B4" s="21"/>
      <c r="C4" s="21"/>
      <c r="D4" s="21"/>
      <c r="E4" s="21"/>
      <c r="F4" s="21"/>
      <c r="G4" s="21"/>
    </row>
    <row r="5" spans="1:7">
      <c r="A5" s="43"/>
      <c r="B5" s="44"/>
      <c r="C5" s="44"/>
      <c r="D5" s="44"/>
      <c r="E5" s="44"/>
      <c r="F5" s="45"/>
    </row>
    <row r="6" spans="1:7" ht="18.75" customHeight="1">
      <c r="A6" s="47"/>
      <c r="B6" s="48" t="s">
        <v>10</v>
      </c>
      <c r="C6" s="49" t="s">
        <v>11</v>
      </c>
      <c r="D6" s="49"/>
      <c r="E6" s="50" t="s">
        <v>12</v>
      </c>
      <c r="F6" s="50"/>
    </row>
    <row r="7" spans="1:7" ht="31.9" customHeight="1">
      <c r="A7" s="51" t="s">
        <v>91</v>
      </c>
      <c r="B7" s="52" t="s">
        <v>92</v>
      </c>
      <c r="C7" s="53" t="s">
        <v>93</v>
      </c>
      <c r="D7" s="53" t="s">
        <v>94</v>
      </c>
      <c r="E7" s="54" t="s">
        <v>92</v>
      </c>
      <c r="F7" s="55" t="s">
        <v>89</v>
      </c>
    </row>
    <row r="8" spans="1:7" ht="23.1" customHeight="1">
      <c r="A8" s="56" t="s">
        <v>95</v>
      </c>
      <c r="B8" s="57">
        <v>521459351</v>
      </c>
      <c r="C8" s="57">
        <v>793527027212</v>
      </c>
      <c r="D8" s="57">
        <v>759679770459</v>
      </c>
      <c r="E8" s="57">
        <v>34368716104</v>
      </c>
      <c r="F8" s="58">
        <f>Table6[[#This Row],[34368716104.0000]]/' سهام'!M6</f>
        <v>2.478026191592932E-2</v>
      </c>
    </row>
    <row r="9" spans="1:7" ht="23.1" customHeight="1">
      <c r="A9" s="56" t="s">
        <v>96</v>
      </c>
      <c r="B9" s="57">
        <v>0</v>
      </c>
      <c r="C9" s="57">
        <v>5000000</v>
      </c>
      <c r="D9" s="57">
        <v>3329100</v>
      </c>
      <c r="E9" s="57">
        <v>1670900</v>
      </c>
      <c r="F9" s="58">
        <f>Table6[[#This Row],[34368716104.0000]]/' سهام'!M6</f>
        <v>1.2047392026525933E-6</v>
      </c>
    </row>
    <row r="10" spans="1:7" ht="23.1" customHeight="1">
      <c r="A10" s="56" t="s">
        <v>84</v>
      </c>
      <c r="B10" s="57">
        <v>521459351</v>
      </c>
      <c r="C10" s="57">
        <v>793532027212</v>
      </c>
      <c r="D10" s="57">
        <v>759683099559</v>
      </c>
      <c r="E10" s="57">
        <v>34370387004</v>
      </c>
      <c r="F10" s="58">
        <f>SUBTOTAL(109,F8:F9)</f>
        <v>2.4781466655131971E-2</v>
      </c>
    </row>
    <row r="11" spans="1:7" ht="23.1" customHeight="1">
      <c r="A11" s="59" t="s">
        <v>85</v>
      </c>
      <c r="B11" s="60"/>
      <c r="C11" s="60"/>
      <c r="D11" s="60"/>
      <c r="E11" s="60"/>
      <c r="F11" s="61"/>
      <c r="G11" s="47"/>
    </row>
    <row r="15" spans="1:7">
      <c r="C15" s="62" t="s">
        <v>97</v>
      </c>
    </row>
  </sheetData>
  <mergeCells count="6">
    <mergeCell ref="C6:D6"/>
    <mergeCell ref="A1:G1"/>
    <mergeCell ref="A2:G2"/>
    <mergeCell ref="A3:G3"/>
    <mergeCell ref="A4:G4"/>
    <mergeCell ref="E6:F6"/>
  </mergeCells>
  <pageMargins left="0.7" right="0.7" top="0.75" bottom="0.75" header="0.3" footer="0.3"/>
  <pageSetup paperSize="9" scale="81" orientation="landscape" horizontalDpi="4294967295" verticalDpi="4294967295" r:id="rId1"/>
  <headerFooter differentOddEven="1"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S12"/>
  <sheetViews>
    <sheetView rightToLeft="1" view="pageBreakPreview" zoomScaleNormal="130" zoomScaleSheetLayoutView="100" workbookViewId="0">
      <selection activeCell="A5" sqref="A1:E1048576"/>
    </sheetView>
  </sheetViews>
  <sheetFormatPr defaultColWidth="9" defaultRowHeight="18.75"/>
  <cols>
    <col min="1" max="1" width="52.140625" style="56" bestFit="1" customWidth="1"/>
    <col min="2" max="2" width="7" style="62" bestFit="1" customWidth="1"/>
    <col min="3" max="3" width="19" style="62" bestFit="1" customWidth="1"/>
    <col min="4" max="4" width="22" style="63" bestFit="1" customWidth="1"/>
    <col min="5" max="5" width="20.28515625" style="63" bestFit="1" customWidth="1"/>
    <col min="6" max="19" width="13" style="1" customWidth="1"/>
    <col min="20" max="20" width="9" style="1" customWidth="1"/>
    <col min="21" max="16384" width="9" style="1"/>
  </cols>
  <sheetData>
    <row r="1" spans="1:19" ht="21">
      <c r="A1" s="41" t="s">
        <v>1</v>
      </c>
      <c r="B1" s="41"/>
      <c r="C1" s="41"/>
      <c r="D1" s="41"/>
      <c r="E1" s="70"/>
    </row>
    <row r="2" spans="1:19" ht="21">
      <c r="A2" s="41" t="s">
        <v>98</v>
      </c>
      <c r="B2" s="41"/>
      <c r="C2" s="41"/>
      <c r="D2" s="41"/>
      <c r="E2" s="70"/>
    </row>
    <row r="3" spans="1:19" ht="21">
      <c r="A3" s="41" t="s">
        <v>99</v>
      </c>
      <c r="B3" s="41"/>
      <c r="C3" s="41"/>
      <c r="D3" s="41"/>
      <c r="E3" s="70"/>
    </row>
    <row r="4" spans="1:19">
      <c r="A4" s="21" t="s">
        <v>100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>
      <c r="A5" s="66" t="s">
        <v>101</v>
      </c>
      <c r="B5" s="66" t="s">
        <v>102</v>
      </c>
      <c r="C5" s="66" t="s">
        <v>92</v>
      </c>
      <c r="D5" s="71" t="s">
        <v>103</v>
      </c>
      <c r="E5" s="71" t="s">
        <v>104</v>
      </c>
    </row>
    <row r="6" spans="1:19" ht="23.1" customHeight="1">
      <c r="A6" s="56" t="s">
        <v>105</v>
      </c>
      <c r="B6" s="56" t="s">
        <v>106</v>
      </c>
      <c r="C6" s="57">
        <v>289745263294</v>
      </c>
      <c r="D6" s="58">
        <f>Table7[[#This Row],[289745263294.0000]]/D12</f>
        <v>0.96147183000392178</v>
      </c>
      <c r="E6" s="58">
        <f>Table7[[#This Row],[289745263294.0000]]/' سهام'!M6</f>
        <v>0.20890985545106186</v>
      </c>
    </row>
    <row r="7" spans="1:19" ht="23.1" customHeight="1">
      <c r="A7" s="56" t="s">
        <v>107</v>
      </c>
      <c r="B7" s="56" t="s">
        <v>108</v>
      </c>
      <c r="C7" s="57">
        <v>0</v>
      </c>
      <c r="D7" s="72">
        <v>0</v>
      </c>
      <c r="E7" s="58">
        <v>0</v>
      </c>
    </row>
    <row r="8" spans="1:19" ht="23.1" customHeight="1">
      <c r="A8" s="56" t="s">
        <v>109</v>
      </c>
      <c r="B8" s="56" t="s">
        <v>110</v>
      </c>
      <c r="C8" s="57">
        <v>0</v>
      </c>
      <c r="D8" s="72">
        <v>0</v>
      </c>
      <c r="E8" s="58">
        <v>0</v>
      </c>
    </row>
    <row r="9" spans="1:19" ht="23.1" customHeight="1">
      <c r="A9" s="56" t="s">
        <v>111</v>
      </c>
      <c r="B9" s="56" t="s">
        <v>112</v>
      </c>
      <c r="C9" s="57">
        <v>33800925</v>
      </c>
      <c r="D9" s="72">
        <f>Table7[[#This Row],[289745263294.0000]]/D12</f>
        <v>1.1216279032868761E-4</v>
      </c>
      <c r="E9" s="58">
        <f>Table7[[#This Row],[289745263294.0000]]/' سهام'!M6</f>
        <v>2.4370877630869656E-5</v>
      </c>
    </row>
    <row r="10" spans="1:19" ht="23.1" customHeight="1">
      <c r="A10" s="56" t="s">
        <v>113</v>
      </c>
      <c r="B10" s="56" t="s">
        <v>114</v>
      </c>
      <c r="C10" s="57">
        <v>2006336326</v>
      </c>
      <c r="D10" s="72">
        <f>Table7[[#This Row],[289745263294.0000]]/D12</f>
        <v>6.6576959258353857E-3</v>
      </c>
      <c r="E10" s="58">
        <f>Table7[[#This Row],[289745263294.0000]]/' سهام'!M6</f>
        <v>1.4465928694943882E-3</v>
      </c>
    </row>
    <row r="11" spans="1:19" ht="23.1" customHeight="1">
      <c r="A11" s="56" t="s">
        <v>84</v>
      </c>
      <c r="B11" s="56"/>
      <c r="C11" s="57">
        <v>291785400545</v>
      </c>
      <c r="D11" s="58">
        <f>SUBTOTAL(109,D6:D10)</f>
        <v>0.96824168872008587</v>
      </c>
      <c r="E11" s="58">
        <f>SUBTOTAL(109,E6:E10)</f>
        <v>0.21038081919818713</v>
      </c>
    </row>
    <row r="12" spans="1:19" ht="23.1" customHeight="1">
      <c r="A12" s="73" t="s">
        <v>85</v>
      </c>
      <c r="B12" s="74"/>
      <c r="C12" s="60"/>
      <c r="D12" s="75">
        <v>301355956828</v>
      </c>
      <c r="E12" s="76">
        <v>301355956828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</sheetData>
  <mergeCells count="4">
    <mergeCell ref="A4:S4"/>
    <mergeCell ref="A1:D1"/>
    <mergeCell ref="A2:D2"/>
    <mergeCell ref="A3:D3"/>
  </mergeCells>
  <pageMargins left="0.7" right="0.7" top="0.75" bottom="0.75" header="0.3" footer="0.3"/>
  <pageSetup paperSize="9" orientation="landscape" horizontalDpi="4294967295" verticalDpi="4294967295" r:id="rId1"/>
  <headerFooter differentOddEven="1" differentFirs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M58"/>
  <sheetViews>
    <sheetView rightToLeft="1" view="pageBreakPreview" topLeftCell="A49" zoomScaleNormal="130" zoomScaleSheetLayoutView="100" workbookViewId="0">
      <selection activeCell="M34" sqref="M34"/>
    </sheetView>
  </sheetViews>
  <sheetFormatPr defaultColWidth="9" defaultRowHeight="18.75"/>
  <cols>
    <col min="1" max="1" width="28.140625" style="62" bestFit="1" customWidth="1"/>
    <col min="2" max="2" width="14.85546875" style="62" bestFit="1" customWidth="1"/>
    <col min="3" max="3" width="24.85546875" style="62" bestFit="1" customWidth="1"/>
    <col min="4" max="4" width="16.85546875" style="62" bestFit="1" customWidth="1"/>
    <col min="5" max="5" width="16.5703125" style="62" bestFit="1" customWidth="1"/>
    <col min="6" max="6" width="16.28515625" style="62" bestFit="1" customWidth="1"/>
    <col min="7" max="8" width="17.5703125" style="62" bestFit="1" customWidth="1"/>
    <col min="9" max="9" width="16.42578125" style="62" bestFit="1" customWidth="1"/>
    <col min="10" max="10" width="17.85546875" style="62" bestFit="1" customWidth="1"/>
    <col min="11" max="11" width="13" style="62" customWidth="1"/>
    <col min="12" max="13" width="13" style="11" customWidth="1"/>
    <col min="14" max="16384" width="9" style="11"/>
  </cols>
  <sheetData>
    <row r="1" spans="1:13" ht="21">
      <c r="A1" s="41" t="s">
        <v>1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ht="21">
      <c r="A2" s="41" t="s">
        <v>98</v>
      </c>
      <c r="B2" s="41"/>
      <c r="C2" s="41"/>
      <c r="D2" s="41"/>
      <c r="E2" s="41"/>
      <c r="F2" s="41"/>
      <c r="G2" s="41"/>
      <c r="H2" s="41"/>
      <c r="I2" s="41"/>
      <c r="J2" s="41"/>
    </row>
    <row r="3" spans="1:13" ht="21">
      <c r="A3" s="41" t="s">
        <v>7</v>
      </c>
      <c r="B3" s="41"/>
      <c r="C3" s="41"/>
      <c r="D3" s="41"/>
      <c r="E3" s="41"/>
      <c r="F3" s="41"/>
      <c r="G3" s="41"/>
      <c r="H3" s="41"/>
      <c r="I3" s="41"/>
      <c r="J3" s="41"/>
    </row>
    <row r="4" spans="1:13">
      <c r="A4" s="21" t="s">
        <v>115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16.5" customHeight="1" thickBot="1">
      <c r="A5" s="43"/>
      <c r="B5" s="49" t="s">
        <v>116</v>
      </c>
      <c r="C5" s="49"/>
      <c r="D5" s="49"/>
      <c r="E5" s="64" t="s">
        <v>117</v>
      </c>
      <c r="F5" s="64"/>
      <c r="G5" s="64"/>
      <c r="H5" s="64" t="s">
        <v>118</v>
      </c>
      <c r="I5" s="64"/>
      <c r="J5" s="64"/>
      <c r="K5" s="65"/>
      <c r="L5" s="6"/>
      <c r="M5" s="6"/>
    </row>
    <row r="6" spans="1:13" s="10" customFormat="1" ht="47.25" customHeight="1" thickBot="1">
      <c r="A6" s="66" t="s">
        <v>86</v>
      </c>
      <c r="B6" s="66" t="s">
        <v>119</v>
      </c>
      <c r="C6" s="66" t="s">
        <v>120</v>
      </c>
      <c r="D6" s="66" t="s">
        <v>121</v>
      </c>
      <c r="E6" s="66" t="s">
        <v>122</v>
      </c>
      <c r="F6" s="66" t="s">
        <v>123</v>
      </c>
      <c r="G6" s="66" t="s">
        <v>124</v>
      </c>
      <c r="H6" s="66" t="s">
        <v>122</v>
      </c>
      <c r="I6" s="66" t="s">
        <v>123</v>
      </c>
      <c r="J6" s="66" t="s">
        <v>124</v>
      </c>
      <c r="K6" s="67"/>
    </row>
    <row r="7" spans="1:13" ht="23.1" customHeight="1">
      <c r="A7" s="56" t="s">
        <v>62</v>
      </c>
      <c r="B7" s="67" t="s">
        <v>125</v>
      </c>
      <c r="C7" s="57">
        <v>137103</v>
      </c>
      <c r="D7" s="57">
        <v>9120</v>
      </c>
      <c r="E7" s="57">
        <v>0</v>
      </c>
      <c r="F7" s="57">
        <v>0</v>
      </c>
      <c r="G7" s="57">
        <v>0</v>
      </c>
      <c r="H7" s="57">
        <v>1250379360</v>
      </c>
      <c r="I7" s="57">
        <v>0</v>
      </c>
      <c r="J7" s="57">
        <v>1250379360</v>
      </c>
    </row>
    <row r="8" spans="1:13" ht="23.1" customHeight="1">
      <c r="A8" s="56" t="s">
        <v>126</v>
      </c>
      <c r="B8" s="67" t="s">
        <v>127</v>
      </c>
      <c r="C8" s="57">
        <v>411</v>
      </c>
      <c r="D8" s="57">
        <v>285</v>
      </c>
      <c r="E8" s="57">
        <v>0</v>
      </c>
      <c r="F8" s="57">
        <v>0</v>
      </c>
      <c r="G8" s="57">
        <v>0</v>
      </c>
      <c r="H8" s="57">
        <v>117135</v>
      </c>
      <c r="I8" s="57">
        <v>0</v>
      </c>
      <c r="J8" s="57">
        <v>117135</v>
      </c>
    </row>
    <row r="9" spans="1:13" ht="23.1" customHeight="1">
      <c r="A9" s="56" t="s">
        <v>128</v>
      </c>
      <c r="B9" s="67" t="s">
        <v>129</v>
      </c>
      <c r="C9" s="57">
        <v>212091</v>
      </c>
      <c r="D9" s="57">
        <v>20</v>
      </c>
      <c r="E9" s="57">
        <v>0</v>
      </c>
      <c r="F9" s="57">
        <v>0</v>
      </c>
      <c r="G9" s="57">
        <v>0</v>
      </c>
      <c r="H9" s="57">
        <v>4241820</v>
      </c>
      <c r="I9" s="57">
        <v>0</v>
      </c>
      <c r="J9" s="57">
        <v>4241820</v>
      </c>
    </row>
    <row r="10" spans="1:13" ht="23.1" customHeight="1">
      <c r="A10" s="56" t="s">
        <v>130</v>
      </c>
      <c r="B10" s="67" t="s">
        <v>131</v>
      </c>
      <c r="C10" s="57">
        <v>195474</v>
      </c>
      <c r="D10" s="57">
        <v>1025</v>
      </c>
      <c r="E10" s="57">
        <v>0</v>
      </c>
      <c r="F10" s="57">
        <v>0</v>
      </c>
      <c r="G10" s="57">
        <v>0</v>
      </c>
      <c r="H10" s="57">
        <v>200360850</v>
      </c>
      <c r="I10" s="57">
        <v>0</v>
      </c>
      <c r="J10" s="57">
        <v>200360850</v>
      </c>
    </row>
    <row r="11" spans="1:13" ht="23.1" customHeight="1">
      <c r="A11" s="56" t="s">
        <v>33</v>
      </c>
      <c r="B11" s="67" t="s">
        <v>131</v>
      </c>
      <c r="C11" s="57">
        <v>39138</v>
      </c>
      <c r="D11" s="57">
        <v>10000</v>
      </c>
      <c r="E11" s="57">
        <v>0</v>
      </c>
      <c r="F11" s="57">
        <v>0</v>
      </c>
      <c r="G11" s="57">
        <v>0</v>
      </c>
      <c r="H11" s="57">
        <v>391380000</v>
      </c>
      <c r="I11" s="57">
        <v>0</v>
      </c>
      <c r="J11" s="57">
        <v>391380000</v>
      </c>
    </row>
    <row r="12" spans="1:13" ht="23.1" customHeight="1">
      <c r="A12" s="56" t="s">
        <v>61</v>
      </c>
      <c r="B12" s="67" t="s">
        <v>132</v>
      </c>
      <c r="C12" s="57">
        <v>532869</v>
      </c>
      <c r="D12" s="57">
        <v>637</v>
      </c>
      <c r="E12" s="57">
        <v>0</v>
      </c>
      <c r="F12" s="57">
        <v>0</v>
      </c>
      <c r="G12" s="57">
        <v>0</v>
      </c>
      <c r="H12" s="57">
        <v>339437553</v>
      </c>
      <c r="I12" s="57">
        <v>0</v>
      </c>
      <c r="J12" s="57">
        <v>339437553</v>
      </c>
    </row>
    <row r="13" spans="1:13" ht="23.1" customHeight="1">
      <c r="A13" s="56" t="s">
        <v>133</v>
      </c>
      <c r="B13" s="67" t="s">
        <v>134</v>
      </c>
      <c r="C13" s="57">
        <v>5281023</v>
      </c>
      <c r="D13" s="57">
        <v>40</v>
      </c>
      <c r="E13" s="57">
        <v>0</v>
      </c>
      <c r="F13" s="57">
        <v>0</v>
      </c>
      <c r="G13" s="57">
        <v>0</v>
      </c>
      <c r="H13" s="57">
        <v>211240920</v>
      </c>
      <c r="I13" s="57">
        <v>0</v>
      </c>
      <c r="J13" s="57">
        <v>211240920</v>
      </c>
    </row>
    <row r="14" spans="1:13" ht="23.1" customHeight="1">
      <c r="A14" s="56" t="s">
        <v>74</v>
      </c>
      <c r="B14" s="67" t="s">
        <v>135</v>
      </c>
      <c r="C14" s="57">
        <v>165309</v>
      </c>
      <c r="D14" s="57">
        <v>2000</v>
      </c>
      <c r="E14" s="57">
        <v>0</v>
      </c>
      <c r="F14" s="57">
        <v>0</v>
      </c>
      <c r="G14" s="57">
        <v>0</v>
      </c>
      <c r="H14" s="57">
        <v>330618000</v>
      </c>
      <c r="I14" s="57">
        <v>0</v>
      </c>
      <c r="J14" s="57">
        <v>330618000</v>
      </c>
    </row>
    <row r="15" spans="1:13" ht="23.1" customHeight="1">
      <c r="A15" s="56" t="s">
        <v>54</v>
      </c>
      <c r="B15" s="67" t="s">
        <v>136</v>
      </c>
      <c r="C15" s="57">
        <v>263826</v>
      </c>
      <c r="D15" s="57">
        <v>1430</v>
      </c>
      <c r="E15" s="57">
        <v>0</v>
      </c>
      <c r="F15" s="57">
        <v>0</v>
      </c>
      <c r="G15" s="57">
        <v>0</v>
      </c>
      <c r="H15" s="57">
        <v>377271180</v>
      </c>
      <c r="I15" s="57">
        <v>0</v>
      </c>
      <c r="J15" s="57">
        <v>377271180</v>
      </c>
    </row>
    <row r="16" spans="1:13" ht="23.1" customHeight="1">
      <c r="A16" s="56" t="s">
        <v>63</v>
      </c>
      <c r="B16" s="67" t="s">
        <v>137</v>
      </c>
      <c r="C16" s="57">
        <v>1046788</v>
      </c>
      <c r="D16" s="57">
        <v>110</v>
      </c>
      <c r="E16" s="57">
        <v>0</v>
      </c>
      <c r="F16" s="57">
        <v>0</v>
      </c>
      <c r="G16" s="57">
        <v>0</v>
      </c>
      <c r="H16" s="57">
        <v>115146680</v>
      </c>
      <c r="I16" s="57">
        <v>0</v>
      </c>
      <c r="J16" s="57">
        <v>115146680</v>
      </c>
    </row>
    <row r="17" spans="1:10" ht="23.1" customHeight="1">
      <c r="A17" s="56" t="s">
        <v>40</v>
      </c>
      <c r="B17" s="67" t="s">
        <v>138</v>
      </c>
      <c r="C17" s="57">
        <v>2374690</v>
      </c>
      <c r="D17" s="57">
        <v>240</v>
      </c>
      <c r="E17" s="57">
        <v>0</v>
      </c>
      <c r="F17" s="57">
        <v>0</v>
      </c>
      <c r="G17" s="57">
        <v>0</v>
      </c>
      <c r="H17" s="57">
        <v>569925600</v>
      </c>
      <c r="I17" s="57">
        <v>0</v>
      </c>
      <c r="J17" s="57">
        <v>569925600</v>
      </c>
    </row>
    <row r="18" spans="1:10" ht="23.1" customHeight="1">
      <c r="A18" s="56" t="s">
        <v>44</v>
      </c>
      <c r="B18" s="67" t="s">
        <v>139</v>
      </c>
      <c r="C18" s="57">
        <v>142765</v>
      </c>
      <c r="D18" s="57">
        <v>12050</v>
      </c>
      <c r="E18" s="57">
        <v>0</v>
      </c>
      <c r="F18" s="57">
        <v>0</v>
      </c>
      <c r="G18" s="57">
        <v>0</v>
      </c>
      <c r="H18" s="57">
        <v>1720318250</v>
      </c>
      <c r="I18" s="57">
        <v>0</v>
      </c>
      <c r="J18" s="57">
        <v>1720318250</v>
      </c>
    </row>
    <row r="19" spans="1:10" ht="23.1" customHeight="1">
      <c r="A19" s="56" t="s">
        <v>43</v>
      </c>
      <c r="B19" s="67" t="s">
        <v>139</v>
      </c>
      <c r="C19" s="57">
        <v>3039634</v>
      </c>
      <c r="D19" s="57">
        <v>380</v>
      </c>
      <c r="E19" s="57">
        <v>0</v>
      </c>
      <c r="F19" s="57">
        <v>0</v>
      </c>
      <c r="G19" s="57">
        <v>0</v>
      </c>
      <c r="H19" s="57">
        <v>1155060920</v>
      </c>
      <c r="I19" s="57">
        <v>0</v>
      </c>
      <c r="J19" s="57">
        <v>1155060920</v>
      </c>
    </row>
    <row r="20" spans="1:10" ht="23.1" customHeight="1">
      <c r="A20" s="56" t="s">
        <v>49</v>
      </c>
      <c r="B20" s="67" t="s">
        <v>139</v>
      </c>
      <c r="C20" s="57">
        <v>3577172</v>
      </c>
      <c r="D20" s="57">
        <v>310</v>
      </c>
      <c r="E20" s="57">
        <v>0</v>
      </c>
      <c r="F20" s="57">
        <v>0</v>
      </c>
      <c r="G20" s="57">
        <v>0</v>
      </c>
      <c r="H20" s="57">
        <v>1108912116</v>
      </c>
      <c r="I20" s="57">
        <v>0</v>
      </c>
      <c r="J20" s="57">
        <v>1108923320</v>
      </c>
    </row>
    <row r="21" spans="1:10" ht="23.1" customHeight="1">
      <c r="A21" s="56" t="s">
        <v>140</v>
      </c>
      <c r="B21" s="67" t="s">
        <v>141</v>
      </c>
      <c r="C21" s="57">
        <v>262907</v>
      </c>
      <c r="D21" s="57">
        <v>700</v>
      </c>
      <c r="E21" s="57">
        <v>0</v>
      </c>
      <c r="F21" s="57">
        <v>0</v>
      </c>
      <c r="G21" s="57">
        <v>0</v>
      </c>
      <c r="H21" s="57">
        <v>184034900</v>
      </c>
      <c r="I21" s="57">
        <v>0</v>
      </c>
      <c r="J21" s="57">
        <v>184034900</v>
      </c>
    </row>
    <row r="22" spans="1:10" ht="23.1" customHeight="1">
      <c r="A22" s="56" t="s">
        <v>55</v>
      </c>
      <c r="B22" s="67" t="s">
        <v>141</v>
      </c>
      <c r="C22" s="57">
        <v>116842</v>
      </c>
      <c r="D22" s="57">
        <v>4200</v>
      </c>
      <c r="E22" s="57">
        <v>0</v>
      </c>
      <c r="F22" s="57">
        <v>0</v>
      </c>
      <c r="G22" s="57">
        <v>0</v>
      </c>
      <c r="H22" s="57">
        <v>490736400</v>
      </c>
      <c r="I22" s="57">
        <v>0</v>
      </c>
      <c r="J22" s="57">
        <v>490736400</v>
      </c>
    </row>
    <row r="23" spans="1:10" ht="23.1" customHeight="1">
      <c r="A23" s="56" t="s">
        <v>142</v>
      </c>
      <c r="B23" s="67" t="s">
        <v>141</v>
      </c>
      <c r="C23" s="57">
        <v>239981</v>
      </c>
      <c r="D23" s="57">
        <v>1000</v>
      </c>
      <c r="E23" s="57">
        <v>0</v>
      </c>
      <c r="F23" s="57">
        <v>0</v>
      </c>
      <c r="G23" s="57">
        <v>0</v>
      </c>
      <c r="H23" s="57">
        <v>239981000</v>
      </c>
      <c r="I23" s="57">
        <v>0</v>
      </c>
      <c r="J23" s="57">
        <v>239981000</v>
      </c>
    </row>
    <row r="24" spans="1:10" ht="23.1" customHeight="1">
      <c r="A24" s="56" t="s">
        <v>71</v>
      </c>
      <c r="B24" s="67" t="s">
        <v>141</v>
      </c>
      <c r="C24" s="57">
        <v>185793</v>
      </c>
      <c r="D24" s="57">
        <v>1997</v>
      </c>
      <c r="E24" s="57">
        <v>0</v>
      </c>
      <c r="F24" s="57">
        <v>0</v>
      </c>
      <c r="G24" s="57">
        <v>0</v>
      </c>
      <c r="H24" s="57">
        <v>371028621</v>
      </c>
      <c r="I24" s="57">
        <v>0</v>
      </c>
      <c r="J24" s="57">
        <v>371028621</v>
      </c>
    </row>
    <row r="25" spans="1:10" ht="23.1" customHeight="1">
      <c r="A25" s="56" t="s">
        <v>58</v>
      </c>
      <c r="B25" s="67" t="s">
        <v>143</v>
      </c>
      <c r="C25" s="57">
        <v>2890877</v>
      </c>
      <c r="D25" s="57">
        <v>170</v>
      </c>
      <c r="E25" s="57">
        <v>0</v>
      </c>
      <c r="F25" s="57">
        <v>0</v>
      </c>
      <c r="G25" s="57">
        <v>0</v>
      </c>
      <c r="H25" s="57">
        <v>491449090</v>
      </c>
      <c r="I25" s="57">
        <v>0</v>
      </c>
      <c r="J25" s="57">
        <v>491449090</v>
      </c>
    </row>
    <row r="26" spans="1:10" ht="23.1" customHeight="1">
      <c r="A26" s="56" t="s">
        <v>69</v>
      </c>
      <c r="B26" s="67" t="s">
        <v>143</v>
      </c>
      <c r="C26" s="57">
        <v>96004</v>
      </c>
      <c r="D26" s="57">
        <v>8363</v>
      </c>
      <c r="E26" s="57">
        <v>0</v>
      </c>
      <c r="F26" s="57">
        <v>0</v>
      </c>
      <c r="G26" s="57">
        <v>0</v>
      </c>
      <c r="H26" s="57">
        <v>802881452</v>
      </c>
      <c r="I26" s="57">
        <v>0</v>
      </c>
      <c r="J26" s="57">
        <v>802881452</v>
      </c>
    </row>
    <row r="27" spans="1:10" ht="23.1" customHeight="1">
      <c r="A27" s="56" t="s">
        <v>144</v>
      </c>
      <c r="B27" s="67" t="s">
        <v>145</v>
      </c>
      <c r="C27" s="57">
        <v>588938</v>
      </c>
      <c r="D27" s="57">
        <v>500</v>
      </c>
      <c r="E27" s="57">
        <v>0</v>
      </c>
      <c r="F27" s="57">
        <v>0</v>
      </c>
      <c r="G27" s="57">
        <v>0</v>
      </c>
      <c r="H27" s="57">
        <v>294469000</v>
      </c>
      <c r="I27" s="57">
        <v>0</v>
      </c>
      <c r="J27" s="57">
        <v>294469000</v>
      </c>
    </row>
    <row r="28" spans="1:10" ht="23.1" customHeight="1">
      <c r="A28" s="56" t="s">
        <v>30</v>
      </c>
      <c r="B28" s="67" t="s">
        <v>145</v>
      </c>
      <c r="C28" s="57">
        <v>3835211</v>
      </c>
      <c r="D28" s="57">
        <v>360</v>
      </c>
      <c r="E28" s="57">
        <v>0</v>
      </c>
      <c r="F28" s="57">
        <v>0</v>
      </c>
      <c r="G28" s="57">
        <v>0</v>
      </c>
      <c r="H28" s="57">
        <v>1380675960</v>
      </c>
      <c r="I28" s="57">
        <v>0</v>
      </c>
      <c r="J28" s="57">
        <v>1380675960</v>
      </c>
    </row>
    <row r="29" spans="1:10" ht="23.1" customHeight="1">
      <c r="A29" s="56" t="s">
        <v>27</v>
      </c>
      <c r="B29" s="67" t="s">
        <v>145</v>
      </c>
      <c r="C29" s="57">
        <v>1073406</v>
      </c>
      <c r="D29" s="57">
        <v>357</v>
      </c>
      <c r="E29" s="57">
        <v>0</v>
      </c>
      <c r="F29" s="57">
        <v>0</v>
      </c>
      <c r="G29" s="57">
        <v>0</v>
      </c>
      <c r="H29" s="57">
        <v>383205942</v>
      </c>
      <c r="I29" s="57">
        <v>0</v>
      </c>
      <c r="J29" s="57">
        <v>383205942</v>
      </c>
    </row>
    <row r="30" spans="1:10" ht="23.1" customHeight="1">
      <c r="A30" s="56" t="s">
        <v>56</v>
      </c>
      <c r="B30" s="67" t="s">
        <v>145</v>
      </c>
      <c r="C30" s="57">
        <v>333350</v>
      </c>
      <c r="D30" s="57">
        <v>2000</v>
      </c>
      <c r="E30" s="57">
        <v>0</v>
      </c>
      <c r="F30" s="57">
        <v>0</v>
      </c>
      <c r="G30" s="57">
        <v>0</v>
      </c>
      <c r="H30" s="57">
        <v>666700000</v>
      </c>
      <c r="I30" s="57">
        <v>0</v>
      </c>
      <c r="J30" s="57">
        <v>666700000</v>
      </c>
    </row>
    <row r="31" spans="1:10" ht="23.1" customHeight="1">
      <c r="A31" s="56" t="s">
        <v>75</v>
      </c>
      <c r="B31" s="67" t="s">
        <v>146</v>
      </c>
      <c r="C31" s="57">
        <v>346358</v>
      </c>
      <c r="D31" s="57">
        <v>165</v>
      </c>
      <c r="E31" s="57">
        <v>0</v>
      </c>
      <c r="F31" s="57">
        <v>0</v>
      </c>
      <c r="G31" s="57">
        <v>0</v>
      </c>
      <c r="H31" s="57">
        <v>57149070</v>
      </c>
      <c r="I31" s="57">
        <v>0</v>
      </c>
      <c r="J31" s="57">
        <v>57149070</v>
      </c>
    </row>
    <row r="32" spans="1:10" ht="23.1" customHeight="1">
      <c r="A32" s="56" t="s">
        <v>45</v>
      </c>
      <c r="B32" s="67" t="s">
        <v>146</v>
      </c>
      <c r="C32" s="57">
        <v>7434657</v>
      </c>
      <c r="D32" s="57">
        <v>90</v>
      </c>
      <c r="E32" s="57">
        <v>0</v>
      </c>
      <c r="F32" s="57">
        <v>0</v>
      </c>
      <c r="G32" s="57">
        <v>0</v>
      </c>
      <c r="H32" s="57">
        <v>669119130</v>
      </c>
      <c r="I32" s="57">
        <v>0</v>
      </c>
      <c r="J32" s="57">
        <v>669119130</v>
      </c>
    </row>
    <row r="33" spans="1:10" ht="23.1" customHeight="1">
      <c r="A33" s="56" t="s">
        <v>64</v>
      </c>
      <c r="B33" s="67" t="s">
        <v>146</v>
      </c>
      <c r="C33" s="57">
        <v>361576</v>
      </c>
      <c r="D33" s="57">
        <v>800</v>
      </c>
      <c r="E33" s="57">
        <v>0</v>
      </c>
      <c r="F33" s="57">
        <v>0</v>
      </c>
      <c r="G33" s="57">
        <v>0</v>
      </c>
      <c r="H33" s="57">
        <v>289260800</v>
      </c>
      <c r="I33" s="57">
        <v>0</v>
      </c>
      <c r="J33" s="57">
        <v>289260800</v>
      </c>
    </row>
    <row r="34" spans="1:10" ht="23.1" customHeight="1">
      <c r="A34" s="56" t="s">
        <v>29</v>
      </c>
      <c r="B34" s="67" t="s">
        <v>146</v>
      </c>
      <c r="C34" s="57">
        <v>6537658</v>
      </c>
      <c r="D34" s="57">
        <v>11</v>
      </c>
      <c r="E34" s="57">
        <v>0</v>
      </c>
      <c r="F34" s="57">
        <v>0</v>
      </c>
      <c r="G34" s="57">
        <v>0</v>
      </c>
      <c r="H34" s="57">
        <v>71914238</v>
      </c>
      <c r="I34" s="57">
        <v>0</v>
      </c>
      <c r="J34" s="57">
        <v>71914238</v>
      </c>
    </row>
    <row r="35" spans="1:10" ht="23.1" customHeight="1">
      <c r="A35" s="56" t="s">
        <v>50</v>
      </c>
      <c r="B35" s="67" t="s">
        <v>146</v>
      </c>
      <c r="C35" s="57">
        <v>6741320</v>
      </c>
      <c r="D35" s="57">
        <v>370</v>
      </c>
      <c r="E35" s="57">
        <v>0</v>
      </c>
      <c r="F35" s="57">
        <v>0</v>
      </c>
      <c r="G35" s="57">
        <v>0</v>
      </c>
      <c r="H35" s="57">
        <v>2494288400</v>
      </c>
      <c r="I35" s="57">
        <v>0</v>
      </c>
      <c r="J35" s="57">
        <v>2494288400</v>
      </c>
    </row>
    <row r="36" spans="1:10" ht="23.1" customHeight="1">
      <c r="A36" s="56" t="s">
        <v>59</v>
      </c>
      <c r="B36" s="67" t="s">
        <v>148</v>
      </c>
      <c r="C36" s="57">
        <v>1039131</v>
      </c>
      <c r="D36" s="57">
        <v>2223</v>
      </c>
      <c r="E36" s="57">
        <v>0</v>
      </c>
      <c r="F36" s="57">
        <v>0</v>
      </c>
      <c r="G36" s="57">
        <v>0</v>
      </c>
      <c r="H36" s="57">
        <v>2309988213</v>
      </c>
      <c r="I36" s="57">
        <v>0</v>
      </c>
      <c r="J36" s="57">
        <v>2309988213</v>
      </c>
    </row>
    <row r="37" spans="1:10" ht="23.1" customHeight="1">
      <c r="A37" s="56" t="s">
        <v>24</v>
      </c>
      <c r="B37" s="67" t="s">
        <v>149</v>
      </c>
      <c r="C37" s="57">
        <v>401939</v>
      </c>
      <c r="D37" s="57">
        <v>3400</v>
      </c>
      <c r="E37" s="57">
        <v>0</v>
      </c>
      <c r="F37" s="57">
        <v>0</v>
      </c>
      <c r="G37" s="57">
        <v>0</v>
      </c>
      <c r="H37" s="57">
        <v>1366592600</v>
      </c>
      <c r="I37" s="57">
        <v>0</v>
      </c>
      <c r="J37" s="57">
        <v>1366592600</v>
      </c>
    </row>
    <row r="38" spans="1:10" ht="23.1" customHeight="1">
      <c r="A38" s="56" t="s">
        <v>47</v>
      </c>
      <c r="B38" s="67" t="s">
        <v>149</v>
      </c>
      <c r="C38" s="57">
        <v>1205960</v>
      </c>
      <c r="D38" s="57">
        <v>936</v>
      </c>
      <c r="E38" s="57">
        <v>0</v>
      </c>
      <c r="F38" s="57">
        <v>0</v>
      </c>
      <c r="G38" s="57">
        <v>0</v>
      </c>
      <c r="H38" s="57">
        <v>1128778560</v>
      </c>
      <c r="I38" s="57">
        <v>0</v>
      </c>
      <c r="J38" s="57">
        <v>1128778560</v>
      </c>
    </row>
    <row r="39" spans="1:10" ht="23.1" customHeight="1">
      <c r="A39" s="56" t="s">
        <v>57</v>
      </c>
      <c r="B39" s="67" t="s">
        <v>150</v>
      </c>
      <c r="C39" s="57">
        <v>94343</v>
      </c>
      <c r="D39" s="57">
        <v>4984</v>
      </c>
      <c r="E39" s="57">
        <v>0</v>
      </c>
      <c r="F39" s="57">
        <v>0</v>
      </c>
      <c r="G39" s="57">
        <v>0</v>
      </c>
      <c r="H39" s="57">
        <v>470205512</v>
      </c>
      <c r="I39" s="57">
        <v>0</v>
      </c>
      <c r="J39" s="57">
        <v>470205512</v>
      </c>
    </row>
    <row r="40" spans="1:10" ht="23.1" customHeight="1">
      <c r="A40" s="56" t="s">
        <v>73</v>
      </c>
      <c r="B40" s="67" t="s">
        <v>151</v>
      </c>
      <c r="C40" s="57">
        <v>6683985</v>
      </c>
      <c r="D40" s="57">
        <v>190</v>
      </c>
      <c r="E40" s="57">
        <v>0</v>
      </c>
      <c r="F40" s="57">
        <v>0</v>
      </c>
      <c r="G40" s="57">
        <v>0</v>
      </c>
      <c r="H40" s="57">
        <v>1269957150</v>
      </c>
      <c r="I40" s="57">
        <v>0</v>
      </c>
      <c r="J40" s="57">
        <v>1269957150</v>
      </c>
    </row>
    <row r="41" spans="1:10" ht="23.1" customHeight="1">
      <c r="A41" s="56" t="s">
        <v>152</v>
      </c>
      <c r="B41" s="67" t="s">
        <v>151</v>
      </c>
      <c r="C41" s="57">
        <v>266374</v>
      </c>
      <c r="D41" s="57">
        <v>2390</v>
      </c>
      <c r="E41" s="57">
        <v>0</v>
      </c>
      <c r="F41" s="57">
        <v>0</v>
      </c>
      <c r="G41" s="57">
        <v>0</v>
      </c>
      <c r="H41" s="57">
        <v>636633860</v>
      </c>
      <c r="I41" s="57">
        <v>0</v>
      </c>
      <c r="J41" s="57">
        <v>636633860</v>
      </c>
    </row>
    <row r="42" spans="1:10" ht="23.1" customHeight="1">
      <c r="A42" s="56" t="s">
        <v>37</v>
      </c>
      <c r="B42" s="67" t="s">
        <v>153</v>
      </c>
      <c r="C42" s="57">
        <v>10781867</v>
      </c>
      <c r="D42" s="57">
        <v>280</v>
      </c>
      <c r="E42" s="57">
        <v>0</v>
      </c>
      <c r="F42" s="57">
        <v>0</v>
      </c>
      <c r="G42" s="57">
        <v>0</v>
      </c>
      <c r="H42" s="57">
        <v>3018922760</v>
      </c>
      <c r="I42" s="57">
        <v>0</v>
      </c>
      <c r="J42" s="57">
        <v>3018922760</v>
      </c>
    </row>
    <row r="43" spans="1:10" ht="23.1" customHeight="1">
      <c r="A43" s="56" t="s">
        <v>66</v>
      </c>
      <c r="B43" s="67" t="s">
        <v>153</v>
      </c>
      <c r="C43" s="57">
        <v>1103257</v>
      </c>
      <c r="D43" s="57">
        <v>142</v>
      </c>
      <c r="E43" s="57">
        <v>0</v>
      </c>
      <c r="F43" s="57">
        <v>0</v>
      </c>
      <c r="G43" s="57">
        <v>0</v>
      </c>
      <c r="H43" s="57">
        <v>156662494</v>
      </c>
      <c r="I43" s="57">
        <v>0</v>
      </c>
      <c r="J43" s="57">
        <v>156662494</v>
      </c>
    </row>
    <row r="44" spans="1:10" ht="23.1" customHeight="1">
      <c r="A44" s="56" t="s">
        <v>60</v>
      </c>
      <c r="B44" s="67" t="s">
        <v>154</v>
      </c>
      <c r="C44" s="57">
        <v>663377</v>
      </c>
      <c r="D44" s="57">
        <v>320</v>
      </c>
      <c r="E44" s="57">
        <v>0</v>
      </c>
      <c r="F44" s="57">
        <v>0</v>
      </c>
      <c r="G44" s="57">
        <v>0</v>
      </c>
      <c r="H44" s="57">
        <v>212280640</v>
      </c>
      <c r="I44" s="57">
        <v>0</v>
      </c>
      <c r="J44" s="57">
        <v>212280640</v>
      </c>
    </row>
    <row r="45" spans="1:10" ht="23.1" customHeight="1">
      <c r="A45" s="56" t="s">
        <v>155</v>
      </c>
      <c r="B45" s="67" t="s">
        <v>156</v>
      </c>
      <c r="C45" s="57">
        <v>154440</v>
      </c>
      <c r="D45" s="57">
        <v>2350</v>
      </c>
      <c r="E45" s="57">
        <v>0</v>
      </c>
      <c r="F45" s="57">
        <v>0</v>
      </c>
      <c r="G45" s="57">
        <v>0</v>
      </c>
      <c r="H45" s="57">
        <v>362934000</v>
      </c>
      <c r="I45" s="57">
        <v>0</v>
      </c>
      <c r="J45" s="57">
        <v>362934000</v>
      </c>
    </row>
    <row r="46" spans="1:10" ht="23.1" customHeight="1">
      <c r="A46" s="56" t="s">
        <v>34</v>
      </c>
      <c r="B46" s="67" t="s">
        <v>216</v>
      </c>
      <c r="C46" s="57">
        <v>40106</v>
      </c>
      <c r="D46" s="57">
        <v>38000</v>
      </c>
      <c r="E46" s="57">
        <v>0</v>
      </c>
      <c r="F46" s="57">
        <v>0</v>
      </c>
      <c r="G46" s="57">
        <v>0</v>
      </c>
      <c r="H46" s="57">
        <v>1524028000</v>
      </c>
      <c r="I46" s="57">
        <v>0</v>
      </c>
      <c r="J46" s="57">
        <v>1524028000</v>
      </c>
    </row>
    <row r="47" spans="1:10" ht="23.1" customHeight="1">
      <c r="A47" s="56" t="s">
        <v>70</v>
      </c>
      <c r="B47" s="67" t="s">
        <v>157</v>
      </c>
      <c r="C47" s="57">
        <v>655469</v>
      </c>
      <c r="D47" s="57">
        <v>2000</v>
      </c>
      <c r="E47" s="57">
        <v>0</v>
      </c>
      <c r="F47" s="57">
        <v>0</v>
      </c>
      <c r="G47" s="57">
        <v>0</v>
      </c>
      <c r="H47" s="57">
        <v>1310938000</v>
      </c>
      <c r="I47" s="57">
        <v>0</v>
      </c>
      <c r="J47" s="57">
        <v>1310938000</v>
      </c>
    </row>
    <row r="48" spans="1:10" ht="23.1" customHeight="1">
      <c r="A48" s="56" t="s">
        <v>25</v>
      </c>
      <c r="B48" s="67" t="s">
        <v>158</v>
      </c>
      <c r="C48" s="57">
        <v>771260</v>
      </c>
      <c r="D48" s="57">
        <v>1050</v>
      </c>
      <c r="E48" s="57">
        <v>0</v>
      </c>
      <c r="F48" s="57">
        <v>0</v>
      </c>
      <c r="G48" s="57">
        <v>0</v>
      </c>
      <c r="H48" s="57">
        <v>809823000</v>
      </c>
      <c r="I48" s="57">
        <v>0</v>
      </c>
      <c r="J48" s="57">
        <v>809823000</v>
      </c>
    </row>
    <row r="49" spans="1:10" ht="23.1" customHeight="1">
      <c r="A49" s="56" t="s">
        <v>46</v>
      </c>
      <c r="B49" s="67" t="s">
        <v>159</v>
      </c>
      <c r="C49" s="57">
        <v>602029</v>
      </c>
      <c r="D49" s="57">
        <v>620</v>
      </c>
      <c r="E49" s="57">
        <v>0</v>
      </c>
      <c r="F49" s="57">
        <v>7315509</v>
      </c>
      <c r="G49" s="57">
        <v>7315509</v>
      </c>
      <c r="H49" s="57">
        <v>373257980</v>
      </c>
      <c r="I49" s="57">
        <v>-5044027</v>
      </c>
      <c r="J49" s="57">
        <v>368213953</v>
      </c>
    </row>
    <row r="50" spans="1:10" ht="23.1" customHeight="1">
      <c r="A50" s="56" t="s">
        <v>53</v>
      </c>
      <c r="B50" s="67" t="s">
        <v>160</v>
      </c>
      <c r="C50" s="57">
        <v>10331968</v>
      </c>
      <c r="D50" s="57">
        <v>510</v>
      </c>
      <c r="E50" s="57">
        <v>0</v>
      </c>
      <c r="F50" s="57">
        <v>207998829</v>
      </c>
      <c r="G50" s="57">
        <v>207998829</v>
      </c>
      <c r="H50" s="57">
        <v>5269303680</v>
      </c>
      <c r="I50" s="57">
        <v>0</v>
      </c>
      <c r="J50" s="57">
        <v>5269303680</v>
      </c>
    </row>
    <row r="51" spans="1:10" ht="23.1" customHeight="1">
      <c r="A51" s="56" t="s">
        <v>80</v>
      </c>
      <c r="B51" s="67" t="s">
        <v>160</v>
      </c>
      <c r="C51" s="57">
        <v>21743633</v>
      </c>
      <c r="D51" s="57">
        <v>190</v>
      </c>
      <c r="E51" s="57">
        <v>0</v>
      </c>
      <c r="F51" s="57">
        <v>163077248</v>
      </c>
      <c r="G51" s="57">
        <v>163077248</v>
      </c>
      <c r="H51" s="57">
        <v>4131290270</v>
      </c>
      <c r="I51" s="57">
        <v>0</v>
      </c>
      <c r="J51" s="57">
        <v>4131290270</v>
      </c>
    </row>
    <row r="52" spans="1:10" ht="23.1" customHeight="1">
      <c r="A52" s="56" t="s">
        <v>48</v>
      </c>
      <c r="B52" s="67" t="s">
        <v>161</v>
      </c>
      <c r="C52" s="57">
        <v>1267487</v>
      </c>
      <c r="D52" s="57">
        <v>330</v>
      </c>
      <c r="E52" s="57">
        <v>0</v>
      </c>
      <c r="F52" s="57">
        <v>0</v>
      </c>
      <c r="G52" s="57">
        <v>0</v>
      </c>
      <c r="H52" s="57">
        <v>418270710</v>
      </c>
      <c r="I52" s="57">
        <v>0</v>
      </c>
      <c r="J52" s="57">
        <v>418270710</v>
      </c>
    </row>
    <row r="53" spans="1:10" ht="23.1" customHeight="1">
      <c r="A53" s="56" t="s">
        <v>34</v>
      </c>
      <c r="B53" s="67" t="s">
        <v>162</v>
      </c>
      <c r="C53" s="57">
        <v>47177</v>
      </c>
      <c r="D53" s="57">
        <v>11000</v>
      </c>
      <c r="E53" s="57">
        <v>0</v>
      </c>
      <c r="F53" s="57">
        <v>9388977</v>
      </c>
      <c r="G53" s="57">
        <v>9388977</v>
      </c>
      <c r="H53" s="57">
        <v>518947000</v>
      </c>
      <c r="I53" s="57">
        <v>-27277552</v>
      </c>
      <c r="J53" s="57">
        <v>491669448</v>
      </c>
    </row>
    <row r="54" spans="1:10" ht="23.1" customHeight="1">
      <c r="A54" s="56" t="s">
        <v>51</v>
      </c>
      <c r="B54" s="67" t="s">
        <v>163</v>
      </c>
      <c r="C54" s="57">
        <v>4293355</v>
      </c>
      <c r="D54" s="57">
        <v>90</v>
      </c>
      <c r="E54" s="57">
        <v>386401950</v>
      </c>
      <c r="F54" s="57">
        <v>-24769356</v>
      </c>
      <c r="G54" s="57">
        <v>361632594</v>
      </c>
      <c r="H54" s="57">
        <v>386401950</v>
      </c>
      <c r="I54" s="57">
        <v>-24769356</v>
      </c>
      <c r="J54" s="57">
        <v>361632594</v>
      </c>
    </row>
    <row r="55" spans="1:10" ht="23.1" customHeight="1">
      <c r="A55" s="56" t="s">
        <v>32</v>
      </c>
      <c r="B55" s="67" t="s">
        <v>164</v>
      </c>
      <c r="C55" s="57">
        <v>2965422</v>
      </c>
      <c r="D55" s="57">
        <v>290</v>
      </c>
      <c r="E55" s="57">
        <v>859972380</v>
      </c>
      <c r="F55" s="57">
        <v>-55642031</v>
      </c>
      <c r="G55" s="57">
        <v>804330349</v>
      </c>
      <c r="H55" s="57">
        <v>859972380</v>
      </c>
      <c r="I55" s="57">
        <v>-55642031</v>
      </c>
      <c r="J55" s="57">
        <v>804330349</v>
      </c>
    </row>
    <row r="56" spans="1:10" ht="23.1" customHeight="1">
      <c r="A56" s="56" t="s">
        <v>31</v>
      </c>
      <c r="B56" s="67" t="s">
        <v>165</v>
      </c>
      <c r="C56" s="57">
        <v>489090</v>
      </c>
      <c r="D56" s="57">
        <v>8700</v>
      </c>
      <c r="E56" s="57">
        <v>4255083000</v>
      </c>
      <c r="F56" s="57">
        <v>-308182632</v>
      </c>
      <c r="G56" s="57">
        <v>3946900368</v>
      </c>
      <c r="H56" s="57">
        <v>4255083000</v>
      </c>
      <c r="I56" s="57">
        <v>-308182632</v>
      </c>
      <c r="J56" s="57">
        <v>3946900368</v>
      </c>
    </row>
    <row r="57" spans="1:10" ht="23.1" customHeight="1">
      <c r="A57" s="56" t="s">
        <v>84</v>
      </c>
      <c r="B57" s="67"/>
      <c r="C57" s="57"/>
      <c r="D57" s="57"/>
      <c r="E57" s="57">
        <v>5501457330</v>
      </c>
      <c r="F57" s="57">
        <v>-813456</v>
      </c>
      <c r="G57" s="57">
        <v>5500643874</v>
      </c>
      <c r="H57" s="57">
        <f>SUBTOTAL(109,H7:H56)</f>
        <v>47451576146</v>
      </c>
      <c r="I57" s="57">
        <v>-420915598</v>
      </c>
      <c r="J57" s="57">
        <v>47095350092</v>
      </c>
    </row>
    <row r="58" spans="1:10" ht="23.1" customHeight="1">
      <c r="A58" s="56" t="s">
        <v>85</v>
      </c>
      <c r="B58" s="68"/>
      <c r="C58" s="69"/>
      <c r="D58" s="69"/>
      <c r="E58" s="69"/>
      <c r="F58" s="69"/>
      <c r="G58" s="69"/>
      <c r="H58" s="69"/>
      <c r="I58" s="69"/>
      <c r="J58" s="69"/>
    </row>
  </sheetData>
  <mergeCells count="7">
    <mergeCell ref="B5:D5"/>
    <mergeCell ref="E5:G5"/>
    <mergeCell ref="H5:J5"/>
    <mergeCell ref="A4:M4"/>
    <mergeCell ref="A1:J1"/>
    <mergeCell ref="A2:J2"/>
    <mergeCell ref="A3:J3"/>
  </mergeCells>
  <pageMargins left="0.7" right="0.7" top="0.75" bottom="0.75" header="0.3" footer="0.3"/>
  <pageSetup paperSize="9" scale="75" orientation="landscape" horizontalDpi="4294967295" verticalDpi="4294967295" r:id="rId1"/>
  <headerFooter differentOddEven="1" differentFirst="1"/>
  <colBreaks count="1" manualBreakCount="1">
    <brk id="11" max="1048575" man="1"/>
  </col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J9"/>
  <sheetViews>
    <sheetView rightToLeft="1" view="pageBreakPreview" zoomScale="110" zoomScaleNormal="130" zoomScaleSheetLayoutView="110" workbookViewId="0">
      <selection activeCell="A5" sqref="A1:J1048576"/>
    </sheetView>
  </sheetViews>
  <sheetFormatPr defaultColWidth="9" defaultRowHeight="18.75"/>
  <cols>
    <col min="1" max="1" width="33.28515625" style="62" bestFit="1" customWidth="1"/>
    <col min="2" max="2" width="13.7109375" style="62" bestFit="1" customWidth="1"/>
    <col min="3" max="3" width="11" style="62" bestFit="1" customWidth="1"/>
    <col min="4" max="4" width="16.42578125" style="62" bestFit="1" customWidth="1"/>
    <col min="5" max="5" width="9.140625" style="62" bestFit="1" customWidth="1"/>
    <col min="6" max="6" width="9.5703125" style="62" bestFit="1" customWidth="1"/>
    <col min="7" max="7" width="9.85546875" style="62" bestFit="1" customWidth="1"/>
    <col min="8" max="8" width="13.85546875" style="62" bestFit="1" customWidth="1"/>
    <col min="9" max="9" width="11" style="62" bestFit="1" customWidth="1"/>
    <col min="10" max="10" width="13.85546875" style="62" bestFit="1" customWidth="1"/>
    <col min="11" max="11" width="9" style="1" customWidth="1"/>
    <col min="12" max="16384" width="9" style="1"/>
  </cols>
  <sheetData>
    <row r="1" spans="1:10" ht="21">
      <c r="A1" s="41" t="s">
        <v>1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21">
      <c r="A2" s="41" t="s">
        <v>98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ht="21">
      <c r="A3" s="41" t="s">
        <v>7</v>
      </c>
      <c r="B3" s="41"/>
      <c r="C3" s="41"/>
      <c r="D3" s="41"/>
      <c r="E3" s="41"/>
      <c r="F3" s="41"/>
      <c r="G3" s="41"/>
      <c r="H3" s="41"/>
      <c r="I3" s="41"/>
      <c r="J3" s="41"/>
    </row>
    <row r="4" spans="1:10">
      <c r="A4" s="21" t="s">
        <v>166</v>
      </c>
      <c r="B4" s="21"/>
      <c r="C4" s="21"/>
      <c r="D4" s="21"/>
      <c r="E4" s="21"/>
      <c r="F4" s="43"/>
      <c r="G4" s="43"/>
      <c r="H4" s="43"/>
      <c r="I4" s="43"/>
      <c r="J4" s="43"/>
    </row>
    <row r="5" spans="1:10" ht="16.5" customHeight="1">
      <c r="A5" s="67"/>
      <c r="B5" s="49"/>
      <c r="C5" s="49"/>
      <c r="D5" s="49"/>
      <c r="E5" s="64" t="s">
        <v>117</v>
      </c>
      <c r="F5" s="64"/>
      <c r="G5" s="64"/>
      <c r="H5" s="64" t="s">
        <v>118</v>
      </c>
      <c r="I5" s="64"/>
      <c r="J5" s="64"/>
    </row>
    <row r="6" spans="1:10" ht="38.25" customHeight="1">
      <c r="A6" s="67" t="s">
        <v>101</v>
      </c>
      <c r="B6" s="77" t="s">
        <v>167</v>
      </c>
      <c r="C6" s="77" t="s">
        <v>87</v>
      </c>
      <c r="D6" s="77" t="s">
        <v>88</v>
      </c>
      <c r="E6" s="77" t="s">
        <v>168</v>
      </c>
      <c r="F6" s="77" t="s">
        <v>123</v>
      </c>
      <c r="G6" s="77" t="s">
        <v>169</v>
      </c>
      <c r="H6" s="77" t="s">
        <v>168</v>
      </c>
      <c r="I6" s="77" t="s">
        <v>123</v>
      </c>
      <c r="J6" s="77" t="s">
        <v>169</v>
      </c>
    </row>
    <row r="7" spans="1:10" ht="23.1" customHeight="1">
      <c r="A7" s="56" t="s">
        <v>170</v>
      </c>
      <c r="B7" s="56" t="s">
        <v>171</v>
      </c>
      <c r="C7" s="56" t="s">
        <v>172</v>
      </c>
      <c r="D7" s="56" t="s">
        <v>172</v>
      </c>
      <c r="E7" s="57">
        <v>0</v>
      </c>
      <c r="F7" s="57">
        <v>0</v>
      </c>
      <c r="G7" s="57">
        <v>0</v>
      </c>
      <c r="H7" s="57">
        <v>33252977</v>
      </c>
      <c r="I7" s="57">
        <v>547948</v>
      </c>
      <c r="J7" s="57">
        <v>33800925</v>
      </c>
    </row>
    <row r="8" spans="1:10" ht="23.1" customHeight="1">
      <c r="A8" s="56" t="s">
        <v>84</v>
      </c>
      <c r="B8" s="56"/>
      <c r="C8" s="56"/>
      <c r="D8" s="56"/>
      <c r="E8" s="57">
        <v>0</v>
      </c>
      <c r="F8" s="57">
        <v>0</v>
      </c>
      <c r="G8" s="57">
        <v>0</v>
      </c>
      <c r="H8" s="57">
        <v>33252977</v>
      </c>
      <c r="I8" s="57">
        <v>547948</v>
      </c>
      <c r="J8" s="57">
        <v>33800925</v>
      </c>
    </row>
    <row r="9" spans="1:10" ht="23.1" customHeight="1">
      <c r="A9" s="56" t="s">
        <v>85</v>
      </c>
      <c r="B9" s="56"/>
      <c r="C9" s="56"/>
      <c r="D9" s="56"/>
      <c r="E9" s="57"/>
      <c r="F9" s="57"/>
      <c r="G9" s="57"/>
      <c r="H9" s="57"/>
      <c r="I9" s="57"/>
      <c r="J9" s="57"/>
    </row>
  </sheetData>
  <mergeCells count="7">
    <mergeCell ref="A4:E4"/>
    <mergeCell ref="B5:D5"/>
    <mergeCell ref="E5:G5"/>
    <mergeCell ref="H5:J5"/>
    <mergeCell ref="A1:J1"/>
    <mergeCell ref="A2:J2"/>
    <mergeCell ref="A3:J3"/>
  </mergeCells>
  <pageMargins left="0.7" right="0.7" top="0.75" bottom="0.75" header="0.3" footer="0.3"/>
  <pageSetup paperSize="9" scale="91" orientation="landscape" horizontalDpi="4294967295" verticalDpi="4294967295" r:id="rId1"/>
  <headerFooter differentOddEven="1"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sheetPr>
    <tabColor theme="9"/>
  </sheetPr>
  <dimension ref="A1:G9"/>
  <sheetViews>
    <sheetView rightToLeft="1" view="pageBreakPreview" zoomScaleNormal="130" zoomScaleSheetLayoutView="100" workbookViewId="0">
      <selection activeCell="C17" sqref="C17"/>
    </sheetView>
  </sheetViews>
  <sheetFormatPr defaultColWidth="9" defaultRowHeight="18.75"/>
  <cols>
    <col min="1" max="1" width="35.5703125" style="62" bestFit="1" customWidth="1"/>
    <col min="2" max="2" width="9.7109375" style="62" bestFit="1" customWidth="1"/>
    <col min="3" max="3" width="10.140625" style="62" bestFit="1" customWidth="1"/>
    <col min="4" max="4" width="10.5703125" style="62" bestFit="1" customWidth="1"/>
    <col min="5" max="5" width="15.140625" style="62" bestFit="1" customWidth="1"/>
    <col min="6" max="6" width="12" style="62" bestFit="1" customWidth="1"/>
    <col min="7" max="7" width="15.140625" style="62" bestFit="1" customWidth="1"/>
    <col min="8" max="8" width="9" style="1" customWidth="1"/>
    <col min="9" max="16384" width="9" style="1"/>
  </cols>
  <sheetData>
    <row r="1" spans="1:7" ht="21">
      <c r="A1" s="41" t="s">
        <v>1</v>
      </c>
      <c r="B1" s="41"/>
      <c r="C1" s="41"/>
      <c r="D1" s="41"/>
      <c r="E1" s="41"/>
      <c r="F1" s="41"/>
      <c r="G1" s="41"/>
    </row>
    <row r="2" spans="1:7" ht="21">
      <c r="A2" s="41" t="s">
        <v>98</v>
      </c>
      <c r="B2" s="41"/>
      <c r="C2" s="41"/>
      <c r="D2" s="41"/>
      <c r="E2" s="41"/>
      <c r="F2" s="41"/>
      <c r="G2" s="41"/>
    </row>
    <row r="3" spans="1:7" ht="21">
      <c r="A3" s="41" t="s">
        <v>7</v>
      </c>
      <c r="B3" s="41"/>
      <c r="C3" s="41"/>
      <c r="D3" s="41"/>
      <c r="E3" s="41"/>
      <c r="F3" s="41"/>
      <c r="G3" s="41"/>
    </row>
    <row r="4" spans="1:7">
      <c r="A4" s="21" t="s">
        <v>173</v>
      </c>
      <c r="B4" s="21"/>
      <c r="C4" s="43"/>
      <c r="D4" s="43"/>
      <c r="E4" s="43"/>
      <c r="F4" s="43"/>
      <c r="G4" s="43"/>
    </row>
    <row r="5" spans="1:7" ht="16.5" customHeight="1">
      <c r="A5" s="67"/>
      <c r="B5" s="64" t="s">
        <v>117</v>
      </c>
      <c r="C5" s="64"/>
      <c r="D5" s="64"/>
      <c r="E5" s="64" t="s">
        <v>118</v>
      </c>
      <c r="F5" s="64"/>
      <c r="G5" s="64"/>
    </row>
    <row r="6" spans="1:7" ht="38.25" customHeight="1">
      <c r="A6" s="67" t="s">
        <v>101</v>
      </c>
      <c r="B6" s="77" t="s">
        <v>168</v>
      </c>
      <c r="C6" s="77" t="s">
        <v>123</v>
      </c>
      <c r="D6" s="77" t="s">
        <v>169</v>
      </c>
      <c r="E6" s="77" t="s">
        <v>168</v>
      </c>
      <c r="F6" s="77" t="s">
        <v>123</v>
      </c>
      <c r="G6" s="77" t="s">
        <v>169</v>
      </c>
    </row>
    <row r="7" spans="1:7" ht="23.1" customHeight="1">
      <c r="A7" s="56" t="s">
        <v>170</v>
      </c>
      <c r="B7" s="57">
        <v>0</v>
      </c>
      <c r="C7" s="57">
        <v>0</v>
      </c>
      <c r="D7" s="57">
        <v>0</v>
      </c>
      <c r="E7" s="57">
        <v>33252977</v>
      </c>
      <c r="F7" s="57">
        <v>547948</v>
      </c>
      <c r="G7" s="57">
        <v>33800925</v>
      </c>
    </row>
    <row r="8" spans="1:7" ht="23.1" customHeight="1">
      <c r="A8" s="56" t="s">
        <v>84</v>
      </c>
      <c r="B8" s="57">
        <v>0</v>
      </c>
      <c r="C8" s="57">
        <v>0</v>
      </c>
      <c r="D8" s="57">
        <v>0</v>
      </c>
      <c r="E8" s="57">
        <v>33252977</v>
      </c>
      <c r="F8" s="57">
        <v>547948</v>
      </c>
      <c r="G8" s="57">
        <v>33800925</v>
      </c>
    </row>
    <row r="9" spans="1:7" ht="23.1" customHeight="1">
      <c r="A9" s="56" t="s">
        <v>85</v>
      </c>
      <c r="B9" s="57"/>
      <c r="C9" s="57"/>
      <c r="D9" s="57"/>
      <c r="E9" s="57"/>
      <c r="F9" s="57"/>
      <c r="G9" s="57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horizontalDpi="4294967295" verticalDpi="4294967295" r:id="rId1"/>
  <headerFooter differentOddEven="1" differentFirst="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I104"/>
  <sheetViews>
    <sheetView rightToLeft="1" tabSelected="1" view="pageBreakPreview" topLeftCell="A91" zoomScale="120" zoomScaleNormal="115" zoomScaleSheetLayoutView="120" workbookViewId="0">
      <selection activeCell="H12" sqref="H12"/>
    </sheetView>
  </sheetViews>
  <sheetFormatPr defaultColWidth="9" defaultRowHeight="18.75"/>
  <cols>
    <col min="1" max="1" width="31.7109375" style="62" customWidth="1"/>
    <col min="2" max="2" width="13" style="62" customWidth="1"/>
    <col min="3" max="3" width="19" style="62" bestFit="1" customWidth="1"/>
    <col min="4" max="4" width="20.28515625" style="62" bestFit="1" customWidth="1"/>
    <col min="5" max="5" width="22.5703125" style="62" customWidth="1"/>
    <col min="6" max="6" width="13" style="62" customWidth="1"/>
    <col min="7" max="7" width="20.42578125" style="62" bestFit="1" customWidth="1"/>
    <col min="8" max="8" width="22" style="62" bestFit="1" customWidth="1"/>
    <col min="9" max="9" width="22.5703125" style="62" customWidth="1"/>
    <col min="10" max="10" width="9" style="1" customWidth="1"/>
    <col min="11" max="16384" width="9" style="1"/>
  </cols>
  <sheetData>
    <row r="1" spans="1:9" ht="21">
      <c r="A1" s="41" t="s">
        <v>1</v>
      </c>
      <c r="B1" s="41"/>
      <c r="C1" s="41"/>
      <c r="D1" s="41"/>
      <c r="E1" s="41"/>
      <c r="F1" s="41"/>
      <c r="G1" s="41"/>
      <c r="H1" s="41"/>
      <c r="I1" s="41"/>
    </row>
    <row r="2" spans="1:9" ht="21">
      <c r="A2" s="41" t="s">
        <v>98</v>
      </c>
      <c r="B2" s="41"/>
      <c r="C2" s="41"/>
      <c r="D2" s="41"/>
      <c r="E2" s="41"/>
      <c r="F2" s="41"/>
      <c r="G2" s="41"/>
      <c r="H2" s="41"/>
      <c r="I2" s="41"/>
    </row>
    <row r="3" spans="1:9" ht="21">
      <c r="A3" s="41" t="s">
        <v>99</v>
      </c>
      <c r="B3" s="41"/>
      <c r="C3" s="41"/>
      <c r="D3" s="41"/>
      <c r="E3" s="41"/>
      <c r="F3" s="41"/>
      <c r="G3" s="41"/>
      <c r="H3" s="41"/>
      <c r="I3" s="41"/>
    </row>
    <row r="4" spans="1:9">
      <c r="A4" s="21" t="s">
        <v>174</v>
      </c>
      <c r="B4" s="21"/>
      <c r="C4" s="21"/>
      <c r="D4" s="21"/>
      <c r="E4" s="21"/>
      <c r="F4" s="21"/>
      <c r="G4" s="21"/>
      <c r="H4" s="21"/>
      <c r="I4" s="21"/>
    </row>
    <row r="5" spans="1:9" ht="16.5" customHeight="1">
      <c r="A5" s="78"/>
      <c r="B5" s="64" t="s">
        <v>117</v>
      </c>
      <c r="C5" s="64"/>
      <c r="D5" s="64"/>
      <c r="E5" s="64"/>
      <c r="F5" s="64" t="s">
        <v>118</v>
      </c>
      <c r="G5" s="64"/>
      <c r="H5" s="64"/>
      <c r="I5" s="64"/>
    </row>
    <row r="6" spans="1:9">
      <c r="A6" s="67" t="s">
        <v>101</v>
      </c>
      <c r="B6" s="66" t="s">
        <v>14</v>
      </c>
      <c r="C6" s="66" t="s">
        <v>175</v>
      </c>
      <c r="D6" s="66" t="s">
        <v>176</v>
      </c>
      <c r="E6" s="79" t="s">
        <v>177</v>
      </c>
      <c r="F6" s="66" t="s">
        <v>14</v>
      </c>
      <c r="G6" s="66" t="s">
        <v>16</v>
      </c>
      <c r="H6" s="66" t="s">
        <v>176</v>
      </c>
      <c r="I6" s="79" t="s">
        <v>177</v>
      </c>
    </row>
    <row r="7" spans="1:9" ht="23.1" customHeight="1">
      <c r="A7" s="56" t="s">
        <v>77</v>
      </c>
      <c r="B7" s="80">
        <v>0</v>
      </c>
      <c r="C7" s="57">
        <v>0</v>
      </c>
      <c r="D7" s="57">
        <v>0</v>
      </c>
      <c r="E7" s="57">
        <v>0</v>
      </c>
      <c r="F7" s="80">
        <v>66049</v>
      </c>
      <c r="G7" s="57">
        <v>1731549273</v>
      </c>
      <c r="H7" s="57">
        <v>-1449798734</v>
      </c>
      <c r="I7" s="57">
        <v>281750539</v>
      </c>
    </row>
    <row r="8" spans="1:9" ht="23.1" customHeight="1">
      <c r="A8" s="56" t="s">
        <v>178</v>
      </c>
      <c r="B8" s="80">
        <v>0</v>
      </c>
      <c r="C8" s="57">
        <v>0</v>
      </c>
      <c r="D8" s="57">
        <v>0</v>
      </c>
      <c r="E8" s="57">
        <v>0</v>
      </c>
      <c r="F8" s="80">
        <v>2000000</v>
      </c>
      <c r="G8" s="57">
        <v>4254534000</v>
      </c>
      <c r="H8" s="57">
        <v>-4424013330</v>
      </c>
      <c r="I8" s="57">
        <v>-169479330</v>
      </c>
    </row>
    <row r="9" spans="1:9" ht="23.1" customHeight="1">
      <c r="A9" s="56" t="s">
        <v>79</v>
      </c>
      <c r="B9" s="80">
        <v>949361</v>
      </c>
      <c r="C9" s="57">
        <v>4475531980</v>
      </c>
      <c r="D9" s="57">
        <v>-2843124071</v>
      </c>
      <c r="E9" s="57">
        <v>1632407909</v>
      </c>
      <c r="F9" s="80">
        <v>2018267</v>
      </c>
      <c r="G9" s="57">
        <v>7749455023</v>
      </c>
      <c r="H9" s="57">
        <v>-6944119520</v>
      </c>
      <c r="I9" s="57">
        <v>805335503</v>
      </c>
    </row>
    <row r="10" spans="1:9" ht="23.1" customHeight="1">
      <c r="A10" s="56" t="s">
        <v>56</v>
      </c>
      <c r="B10" s="80">
        <v>114549</v>
      </c>
      <c r="C10" s="57">
        <v>987628382</v>
      </c>
      <c r="D10" s="57">
        <v>-797629513</v>
      </c>
      <c r="E10" s="57">
        <v>189998869</v>
      </c>
      <c r="F10" s="80">
        <v>1243856</v>
      </c>
      <c r="G10" s="57">
        <v>8887520561</v>
      </c>
      <c r="H10" s="57">
        <v>-9381907803</v>
      </c>
      <c r="I10" s="57">
        <v>-494387242</v>
      </c>
    </row>
    <row r="11" spans="1:9" ht="23.1" customHeight="1">
      <c r="A11" s="56" t="s">
        <v>26</v>
      </c>
      <c r="B11" s="80">
        <v>14000000</v>
      </c>
      <c r="C11" s="57">
        <v>7584887822</v>
      </c>
      <c r="D11" s="57">
        <v>-7264537242</v>
      </c>
      <c r="E11" s="57">
        <v>320350580</v>
      </c>
      <c r="F11" s="80">
        <v>22348792</v>
      </c>
      <c r="G11" s="57">
        <v>11075182592</v>
      </c>
      <c r="H11" s="57">
        <v>-11734333554</v>
      </c>
      <c r="I11" s="57">
        <v>-659150962</v>
      </c>
    </row>
    <row r="12" spans="1:9" ht="23.1" customHeight="1">
      <c r="A12" s="56" t="s">
        <v>29</v>
      </c>
      <c r="B12" s="80">
        <v>4000000</v>
      </c>
      <c r="C12" s="57">
        <v>2140127999</v>
      </c>
      <c r="D12" s="57">
        <v>-2194898288</v>
      </c>
      <c r="E12" s="57">
        <v>-54770289</v>
      </c>
      <c r="F12" s="80">
        <v>13158178</v>
      </c>
      <c r="G12" s="57">
        <v>6354161556</v>
      </c>
      <c r="H12" s="57">
        <v>-7493244034</v>
      </c>
      <c r="I12" s="57">
        <v>-1139082478</v>
      </c>
    </row>
    <row r="13" spans="1:9" ht="23.1" customHeight="1">
      <c r="A13" s="56" t="s">
        <v>179</v>
      </c>
      <c r="B13" s="80">
        <v>0</v>
      </c>
      <c r="C13" s="57">
        <v>0</v>
      </c>
      <c r="D13" s="57">
        <v>0</v>
      </c>
      <c r="E13" s="57">
        <v>0</v>
      </c>
      <c r="F13" s="80">
        <v>3137646</v>
      </c>
      <c r="G13" s="57">
        <v>6566575577</v>
      </c>
      <c r="H13" s="57">
        <v>-7204836889</v>
      </c>
      <c r="I13" s="57">
        <v>-638261312</v>
      </c>
    </row>
    <row r="14" spans="1:9" ht="23.1" customHeight="1">
      <c r="A14" s="56" t="s">
        <v>71</v>
      </c>
      <c r="B14" s="80">
        <v>67068</v>
      </c>
      <c r="C14" s="57">
        <v>1977187565</v>
      </c>
      <c r="D14" s="57">
        <v>-1758866565</v>
      </c>
      <c r="E14" s="57">
        <v>218321000</v>
      </c>
      <c r="F14" s="80">
        <v>95757</v>
      </c>
      <c r="G14" s="57">
        <v>2571724540</v>
      </c>
      <c r="H14" s="57">
        <v>-2437477629</v>
      </c>
      <c r="I14" s="57">
        <v>134246911</v>
      </c>
    </row>
    <row r="15" spans="1:9" ht="23.1" customHeight="1">
      <c r="A15" s="56" t="s">
        <v>37</v>
      </c>
      <c r="B15" s="80">
        <v>8350000</v>
      </c>
      <c r="C15" s="57">
        <v>33133780698</v>
      </c>
      <c r="D15" s="57">
        <v>-30097175501</v>
      </c>
      <c r="E15" s="57">
        <v>3036605197</v>
      </c>
      <c r="F15" s="80">
        <v>11270408</v>
      </c>
      <c r="G15" s="57">
        <v>41184525664</v>
      </c>
      <c r="H15" s="57">
        <v>-40699399202</v>
      </c>
      <c r="I15" s="57">
        <v>485126462</v>
      </c>
    </row>
    <row r="16" spans="1:9" ht="23.1" customHeight="1">
      <c r="A16" s="56" t="s">
        <v>27</v>
      </c>
      <c r="B16" s="80">
        <v>1865121</v>
      </c>
      <c r="C16" s="57">
        <v>9575619036</v>
      </c>
      <c r="D16" s="57">
        <v>-9867688042</v>
      </c>
      <c r="E16" s="57">
        <v>-292069006</v>
      </c>
      <c r="F16" s="80">
        <v>2243024</v>
      </c>
      <c r="G16" s="57">
        <v>11634070886</v>
      </c>
      <c r="H16" s="57">
        <v>-11614105709</v>
      </c>
      <c r="I16" s="57">
        <v>19965177</v>
      </c>
    </row>
    <row r="17" spans="1:9" ht="23.1" customHeight="1">
      <c r="A17" s="56" t="s">
        <v>73</v>
      </c>
      <c r="B17" s="80">
        <v>0</v>
      </c>
      <c r="C17" s="57">
        <v>0</v>
      </c>
      <c r="D17" s="57">
        <v>0</v>
      </c>
      <c r="E17" s="57">
        <v>0</v>
      </c>
      <c r="F17" s="80">
        <v>3202137</v>
      </c>
      <c r="G17" s="57">
        <v>9877284167</v>
      </c>
      <c r="H17" s="57">
        <v>-8609631262</v>
      </c>
      <c r="I17" s="57">
        <v>1267652905</v>
      </c>
    </row>
    <row r="18" spans="1:9" ht="23.1" customHeight="1">
      <c r="A18" s="56" t="s">
        <v>80</v>
      </c>
      <c r="B18" s="80">
        <v>3200000</v>
      </c>
      <c r="C18" s="57">
        <v>5566237852</v>
      </c>
      <c r="D18" s="57">
        <v>-5034417792</v>
      </c>
      <c r="E18" s="57">
        <v>531820060</v>
      </c>
      <c r="F18" s="80">
        <v>11074323</v>
      </c>
      <c r="G18" s="57">
        <v>16631723137</v>
      </c>
      <c r="H18" s="57">
        <v>-17196930838</v>
      </c>
      <c r="I18" s="57">
        <v>-565207701</v>
      </c>
    </row>
    <row r="19" spans="1:9" ht="23.1" customHeight="1">
      <c r="A19" s="56" t="s">
        <v>63</v>
      </c>
      <c r="B19" s="80">
        <v>834717</v>
      </c>
      <c r="C19" s="57">
        <v>4636653054</v>
      </c>
      <c r="D19" s="57">
        <v>-5235445076</v>
      </c>
      <c r="E19" s="57">
        <v>-598792022</v>
      </c>
      <c r="F19" s="80">
        <v>1073908</v>
      </c>
      <c r="G19" s="57">
        <v>6042333099</v>
      </c>
      <c r="H19" s="57">
        <v>-6735759980</v>
      </c>
      <c r="I19" s="57">
        <v>-693426881</v>
      </c>
    </row>
    <row r="20" spans="1:9" ht="23.1" customHeight="1">
      <c r="A20" s="56" t="s">
        <v>24</v>
      </c>
      <c r="B20" s="80">
        <v>3300000</v>
      </c>
      <c r="C20" s="57">
        <v>201928929973</v>
      </c>
      <c r="D20" s="57">
        <v>-196269326365</v>
      </c>
      <c r="E20" s="57">
        <v>5659603608</v>
      </c>
      <c r="F20" s="80">
        <v>3440958</v>
      </c>
      <c r="G20" s="57">
        <v>207753256612</v>
      </c>
      <c r="H20" s="57">
        <v>-202868248401</v>
      </c>
      <c r="I20" s="57">
        <v>4885008211</v>
      </c>
    </row>
    <row r="21" spans="1:9" ht="23.1" customHeight="1">
      <c r="A21" s="56" t="s">
        <v>76</v>
      </c>
      <c r="B21" s="80">
        <v>1867884</v>
      </c>
      <c r="C21" s="57">
        <v>3555241632</v>
      </c>
      <c r="D21" s="57">
        <v>-3421715246</v>
      </c>
      <c r="E21" s="57">
        <v>133526386</v>
      </c>
      <c r="F21" s="80">
        <v>1867884</v>
      </c>
      <c r="G21" s="57">
        <v>3555241632</v>
      </c>
      <c r="H21" s="57">
        <v>-3421715246</v>
      </c>
      <c r="I21" s="57">
        <v>133526386</v>
      </c>
    </row>
    <row r="22" spans="1:9" ht="23.1" customHeight="1">
      <c r="A22" s="56" t="s">
        <v>180</v>
      </c>
      <c r="B22" s="80">
        <v>0</v>
      </c>
      <c r="C22" s="57">
        <v>0</v>
      </c>
      <c r="D22" s="57">
        <v>0</v>
      </c>
      <c r="E22" s="57">
        <v>0</v>
      </c>
      <c r="F22" s="80">
        <v>22683</v>
      </c>
      <c r="G22" s="57">
        <v>4557739316</v>
      </c>
      <c r="H22" s="57">
        <v>-3273523892</v>
      </c>
      <c r="I22" s="57">
        <v>1284215424</v>
      </c>
    </row>
    <row r="23" spans="1:9" ht="23.1" customHeight="1">
      <c r="A23" s="56" t="s">
        <v>38</v>
      </c>
      <c r="B23" s="80">
        <v>86905</v>
      </c>
      <c r="C23" s="57">
        <v>616150813</v>
      </c>
      <c r="D23" s="57">
        <v>-498458272</v>
      </c>
      <c r="E23" s="57">
        <v>117692541</v>
      </c>
      <c r="F23" s="80">
        <v>224817</v>
      </c>
      <c r="G23" s="57">
        <v>1410740086</v>
      </c>
      <c r="H23" s="57">
        <v>-1289475787</v>
      </c>
      <c r="I23" s="57">
        <v>121264299</v>
      </c>
    </row>
    <row r="24" spans="1:9" ht="23.1" customHeight="1">
      <c r="A24" s="56" t="s">
        <v>181</v>
      </c>
      <c r="B24" s="80">
        <v>0</v>
      </c>
      <c r="C24" s="57">
        <v>0</v>
      </c>
      <c r="D24" s="57">
        <v>0</v>
      </c>
      <c r="E24" s="57">
        <v>0</v>
      </c>
      <c r="F24" s="80">
        <v>444741</v>
      </c>
      <c r="G24" s="57">
        <v>4732346019</v>
      </c>
      <c r="H24" s="57">
        <v>-5636708590</v>
      </c>
      <c r="I24" s="57">
        <v>-904362571</v>
      </c>
    </row>
    <row r="25" spans="1:9" ht="23.1" customHeight="1">
      <c r="A25" s="56" t="s">
        <v>69</v>
      </c>
      <c r="B25" s="80">
        <v>428795</v>
      </c>
      <c r="C25" s="57">
        <v>25768471550</v>
      </c>
      <c r="D25" s="57">
        <v>-26975157301</v>
      </c>
      <c r="E25" s="57">
        <v>-1206685751</v>
      </c>
      <c r="F25" s="80">
        <v>448301</v>
      </c>
      <c r="G25" s="57">
        <v>26733577443</v>
      </c>
      <c r="H25" s="57">
        <v>-28292311751</v>
      </c>
      <c r="I25" s="57">
        <v>-1558734308</v>
      </c>
    </row>
    <row r="26" spans="1:9" ht="23.1" customHeight="1">
      <c r="A26" s="56" t="s">
        <v>182</v>
      </c>
      <c r="B26" s="80">
        <v>0</v>
      </c>
      <c r="C26" s="57">
        <v>0</v>
      </c>
      <c r="D26" s="57">
        <v>0</v>
      </c>
      <c r="E26" s="57">
        <v>0</v>
      </c>
      <c r="F26" s="80">
        <v>1707968</v>
      </c>
      <c r="G26" s="57">
        <v>3230411896</v>
      </c>
      <c r="H26" s="57">
        <v>-3565391745</v>
      </c>
      <c r="I26" s="57">
        <v>-334979849</v>
      </c>
    </row>
    <row r="27" spans="1:9" ht="23.1" customHeight="1">
      <c r="A27" s="56" t="s">
        <v>183</v>
      </c>
      <c r="B27" s="80">
        <v>0</v>
      </c>
      <c r="C27" s="57">
        <v>0</v>
      </c>
      <c r="D27" s="57">
        <v>0</v>
      </c>
      <c r="E27" s="57">
        <v>0</v>
      </c>
      <c r="F27" s="80">
        <v>24846</v>
      </c>
      <c r="G27" s="57">
        <v>4325078243</v>
      </c>
      <c r="H27" s="57">
        <v>-4530631628</v>
      </c>
      <c r="I27" s="57">
        <v>-205553385</v>
      </c>
    </row>
    <row r="28" spans="1:9" ht="23.1" customHeight="1">
      <c r="A28" s="56" t="s">
        <v>184</v>
      </c>
      <c r="B28" s="80">
        <v>0</v>
      </c>
      <c r="C28" s="57">
        <v>0</v>
      </c>
      <c r="D28" s="57">
        <v>0</v>
      </c>
      <c r="E28" s="57">
        <v>0</v>
      </c>
      <c r="F28" s="80">
        <v>400000</v>
      </c>
      <c r="G28" s="57">
        <v>1282053212</v>
      </c>
      <c r="H28" s="57">
        <v>-1225135872</v>
      </c>
      <c r="I28" s="57">
        <v>56917340</v>
      </c>
    </row>
    <row r="29" spans="1:9" ht="23.1" customHeight="1">
      <c r="A29" s="56" t="s">
        <v>35</v>
      </c>
      <c r="B29" s="80">
        <v>1444616</v>
      </c>
      <c r="C29" s="57">
        <v>9161327073</v>
      </c>
      <c r="D29" s="57">
        <v>-8860841267</v>
      </c>
      <c r="E29" s="57">
        <v>300485806</v>
      </c>
      <c r="F29" s="80">
        <v>1496800</v>
      </c>
      <c r="G29" s="57">
        <v>9461618342</v>
      </c>
      <c r="H29" s="57">
        <v>-9127675505</v>
      </c>
      <c r="I29" s="57">
        <v>333942837</v>
      </c>
    </row>
    <row r="30" spans="1:9" ht="23.1" customHeight="1">
      <c r="A30" s="56" t="s">
        <v>30</v>
      </c>
      <c r="B30" s="80">
        <v>4400000</v>
      </c>
      <c r="C30" s="57">
        <v>29321578557</v>
      </c>
      <c r="D30" s="57">
        <v>-21645475945</v>
      </c>
      <c r="E30" s="57">
        <v>7676102612</v>
      </c>
      <c r="F30" s="80">
        <v>7299312</v>
      </c>
      <c r="G30" s="57">
        <v>44382141664</v>
      </c>
      <c r="H30" s="57">
        <v>-33801267481</v>
      </c>
      <c r="I30" s="57">
        <v>10580874183</v>
      </c>
    </row>
    <row r="31" spans="1:9" ht="23.1" customHeight="1">
      <c r="A31" s="56" t="s">
        <v>75</v>
      </c>
      <c r="B31" s="80">
        <v>110204</v>
      </c>
      <c r="C31" s="57">
        <v>1119889426</v>
      </c>
      <c r="D31" s="57">
        <v>-741524550</v>
      </c>
      <c r="E31" s="57">
        <v>378364876</v>
      </c>
      <c r="F31" s="80">
        <v>456562</v>
      </c>
      <c r="G31" s="57">
        <v>2877472254</v>
      </c>
      <c r="H31" s="57">
        <v>-3072047582</v>
      </c>
      <c r="I31" s="57">
        <v>-194575328</v>
      </c>
    </row>
    <row r="32" spans="1:9" ht="23.1" customHeight="1">
      <c r="A32" s="56" t="s">
        <v>128</v>
      </c>
      <c r="B32" s="80">
        <v>0</v>
      </c>
      <c r="C32" s="57">
        <v>0</v>
      </c>
      <c r="D32" s="57">
        <v>0</v>
      </c>
      <c r="E32" s="57">
        <v>0</v>
      </c>
      <c r="F32" s="80">
        <v>212091</v>
      </c>
      <c r="G32" s="57">
        <v>1108960870</v>
      </c>
      <c r="H32" s="57">
        <v>-1673982727</v>
      </c>
      <c r="I32" s="57">
        <v>-565021857</v>
      </c>
    </row>
    <row r="33" spans="1:9" ht="23.1" customHeight="1">
      <c r="A33" s="56" t="s">
        <v>54</v>
      </c>
      <c r="B33" s="80">
        <v>55958</v>
      </c>
      <c r="C33" s="57">
        <v>425880173</v>
      </c>
      <c r="D33" s="57">
        <v>-377600591</v>
      </c>
      <c r="E33" s="57">
        <v>48279582</v>
      </c>
      <c r="F33" s="80">
        <v>326409</v>
      </c>
      <c r="G33" s="57">
        <v>2158005112</v>
      </c>
      <c r="H33" s="57">
        <v>-2912778924</v>
      </c>
      <c r="I33" s="57">
        <v>-754773812</v>
      </c>
    </row>
    <row r="34" spans="1:9" ht="23.1" customHeight="1">
      <c r="A34" s="56" t="s">
        <v>43</v>
      </c>
      <c r="B34" s="80">
        <v>8713349</v>
      </c>
      <c r="C34" s="57">
        <v>27114440984</v>
      </c>
      <c r="D34" s="57">
        <v>-27277599519</v>
      </c>
      <c r="E34" s="57">
        <v>-163158535</v>
      </c>
      <c r="F34" s="80">
        <v>9191403</v>
      </c>
      <c r="G34" s="57">
        <v>28300991909</v>
      </c>
      <c r="H34" s="57">
        <v>-28588526466</v>
      </c>
      <c r="I34" s="57">
        <v>-287534557</v>
      </c>
    </row>
    <row r="35" spans="1:9" ht="23.1" customHeight="1">
      <c r="A35" s="56" t="s">
        <v>52</v>
      </c>
      <c r="B35" s="80">
        <v>200000</v>
      </c>
      <c r="C35" s="57">
        <v>6787126806</v>
      </c>
      <c r="D35" s="57">
        <v>-5474730443</v>
      </c>
      <c r="E35" s="57">
        <v>1312396363</v>
      </c>
      <c r="F35" s="80">
        <v>256805</v>
      </c>
      <c r="G35" s="57">
        <v>8783542876</v>
      </c>
      <c r="H35" s="57">
        <v>-7021144955</v>
      </c>
      <c r="I35" s="57">
        <v>1762397921</v>
      </c>
    </row>
    <row r="36" spans="1:9" ht="23.1" customHeight="1">
      <c r="A36" s="56" t="s">
        <v>33</v>
      </c>
      <c r="B36" s="80">
        <v>52719</v>
      </c>
      <c r="C36" s="57">
        <v>5437703565</v>
      </c>
      <c r="D36" s="57">
        <v>-4781029013</v>
      </c>
      <c r="E36" s="57">
        <v>656674552</v>
      </c>
      <c r="F36" s="80">
        <v>81725</v>
      </c>
      <c r="G36" s="57">
        <v>8208432772</v>
      </c>
      <c r="H36" s="57">
        <v>-7412439643</v>
      </c>
      <c r="I36" s="57">
        <v>795993129</v>
      </c>
    </row>
    <row r="37" spans="1:9" ht="23.1" customHeight="1">
      <c r="A37" s="56" t="s">
        <v>58</v>
      </c>
      <c r="B37" s="80">
        <v>0</v>
      </c>
      <c r="C37" s="57">
        <v>0</v>
      </c>
      <c r="D37" s="57">
        <v>0</v>
      </c>
      <c r="E37" s="57">
        <v>0</v>
      </c>
      <c r="F37" s="80">
        <v>3931028</v>
      </c>
      <c r="G37" s="57">
        <v>8502469350</v>
      </c>
      <c r="H37" s="57">
        <v>-8251954967</v>
      </c>
      <c r="I37" s="57">
        <v>250514383</v>
      </c>
    </row>
    <row r="38" spans="1:9" ht="23.1" customHeight="1">
      <c r="A38" s="56" t="s">
        <v>59</v>
      </c>
      <c r="B38" s="80">
        <v>1674279</v>
      </c>
      <c r="C38" s="57">
        <v>29066586581</v>
      </c>
      <c r="D38" s="57">
        <v>-25799738331</v>
      </c>
      <c r="E38" s="57">
        <v>3266848250</v>
      </c>
      <c r="F38" s="80">
        <v>1835989</v>
      </c>
      <c r="G38" s="57">
        <v>31302583442</v>
      </c>
      <c r="H38" s="57">
        <v>-27770029645</v>
      </c>
      <c r="I38" s="57">
        <v>3532553797</v>
      </c>
    </row>
    <row r="39" spans="1:9" ht="23.1" customHeight="1">
      <c r="A39" s="56" t="s">
        <v>185</v>
      </c>
      <c r="B39" s="80">
        <v>0</v>
      </c>
      <c r="C39" s="57">
        <v>0</v>
      </c>
      <c r="D39" s="57">
        <v>0</v>
      </c>
      <c r="E39" s="57">
        <v>0</v>
      </c>
      <c r="F39" s="80">
        <v>652251</v>
      </c>
      <c r="G39" s="57">
        <v>2378374164</v>
      </c>
      <c r="H39" s="57">
        <v>-2882653496</v>
      </c>
      <c r="I39" s="57">
        <v>-504279332</v>
      </c>
    </row>
    <row r="40" spans="1:9" ht="23.1" customHeight="1">
      <c r="A40" s="56" t="s">
        <v>41</v>
      </c>
      <c r="B40" s="80">
        <v>853067</v>
      </c>
      <c r="C40" s="57">
        <v>4951865875</v>
      </c>
      <c r="D40" s="57">
        <v>-3732692248</v>
      </c>
      <c r="E40" s="57">
        <v>1219173627</v>
      </c>
      <c r="F40" s="80">
        <v>1689681</v>
      </c>
      <c r="G40" s="57">
        <v>16019010906</v>
      </c>
      <c r="H40" s="57">
        <v>-16641444740</v>
      </c>
      <c r="I40" s="57">
        <v>-622433834</v>
      </c>
    </row>
    <row r="41" spans="1:9" ht="23.1" customHeight="1">
      <c r="A41" s="56" t="s">
        <v>186</v>
      </c>
      <c r="B41" s="80">
        <v>0</v>
      </c>
      <c r="C41" s="57">
        <v>0</v>
      </c>
      <c r="D41" s="57">
        <v>0</v>
      </c>
      <c r="E41" s="57">
        <v>0</v>
      </c>
      <c r="F41" s="80">
        <v>1009300</v>
      </c>
      <c r="G41" s="57">
        <v>2097500191</v>
      </c>
      <c r="H41" s="57">
        <v>-3091150867</v>
      </c>
      <c r="I41" s="57">
        <v>-993650676</v>
      </c>
    </row>
    <row r="42" spans="1:9" ht="23.1" customHeight="1">
      <c r="A42" s="56" t="s">
        <v>187</v>
      </c>
      <c r="B42" s="80">
        <v>0</v>
      </c>
      <c r="C42" s="57">
        <v>0</v>
      </c>
      <c r="D42" s="57">
        <v>0</v>
      </c>
      <c r="E42" s="57">
        <v>0</v>
      </c>
      <c r="F42" s="80">
        <v>89688</v>
      </c>
      <c r="G42" s="57">
        <v>2314905765</v>
      </c>
      <c r="H42" s="57">
        <v>-2667498349</v>
      </c>
      <c r="I42" s="57">
        <v>-352592584</v>
      </c>
    </row>
    <row r="43" spans="1:9" ht="23.1" customHeight="1">
      <c r="A43" s="56" t="s">
        <v>23</v>
      </c>
      <c r="B43" s="80">
        <v>2871603</v>
      </c>
      <c r="C43" s="57">
        <v>16458786236</v>
      </c>
      <c r="D43" s="57">
        <v>-16094636126</v>
      </c>
      <c r="E43" s="57">
        <v>364150110</v>
      </c>
      <c r="F43" s="80">
        <v>3579900</v>
      </c>
      <c r="G43" s="57">
        <v>20538105206</v>
      </c>
      <c r="H43" s="57">
        <v>-19542138406</v>
      </c>
      <c r="I43" s="57">
        <v>995966800</v>
      </c>
    </row>
    <row r="44" spans="1:9" ht="23.1" customHeight="1">
      <c r="A44" s="56" t="s">
        <v>25</v>
      </c>
      <c r="B44" s="80">
        <v>1600000</v>
      </c>
      <c r="C44" s="57">
        <v>11971569372</v>
      </c>
      <c r="D44" s="57">
        <v>-13355421644</v>
      </c>
      <c r="E44" s="57">
        <v>-1383852272</v>
      </c>
      <c r="F44" s="80">
        <v>1652094</v>
      </c>
      <c r="G44" s="57">
        <v>12271859595</v>
      </c>
      <c r="H44" s="57">
        <v>-13836411063</v>
      </c>
      <c r="I44" s="57">
        <v>-1564551468</v>
      </c>
    </row>
    <row r="45" spans="1:9" ht="23.1" customHeight="1">
      <c r="A45" s="56" t="s">
        <v>188</v>
      </c>
      <c r="B45" s="80">
        <v>0</v>
      </c>
      <c r="C45" s="57">
        <v>0</v>
      </c>
      <c r="D45" s="57">
        <v>0</v>
      </c>
      <c r="E45" s="57">
        <v>0</v>
      </c>
      <c r="F45" s="80">
        <v>509</v>
      </c>
      <c r="G45" s="57">
        <v>1808852</v>
      </c>
      <c r="H45" s="57">
        <v>-1618558</v>
      </c>
      <c r="I45" s="57">
        <v>190294</v>
      </c>
    </row>
    <row r="46" spans="1:9" ht="23.1" customHeight="1">
      <c r="A46" s="56" t="s">
        <v>51</v>
      </c>
      <c r="B46" s="80">
        <v>4293355</v>
      </c>
      <c r="C46" s="57">
        <v>2080486539</v>
      </c>
      <c r="D46" s="57">
        <v>-2441254956</v>
      </c>
      <c r="E46" s="57">
        <v>-360768417</v>
      </c>
      <c r="F46" s="80">
        <v>4731898</v>
      </c>
      <c r="G46" s="57">
        <v>3686480168</v>
      </c>
      <c r="H46" s="57">
        <v>-4926076873</v>
      </c>
      <c r="I46" s="57">
        <v>-1239596705</v>
      </c>
    </row>
    <row r="47" spans="1:9" ht="23.1" customHeight="1">
      <c r="A47" s="56" t="s">
        <v>42</v>
      </c>
      <c r="B47" s="80">
        <v>0</v>
      </c>
      <c r="C47" s="57">
        <v>0</v>
      </c>
      <c r="D47" s="57">
        <v>0</v>
      </c>
      <c r="E47" s="57">
        <v>0</v>
      </c>
      <c r="F47" s="80">
        <v>4373119</v>
      </c>
      <c r="G47" s="57">
        <v>17047978691</v>
      </c>
      <c r="H47" s="57">
        <v>-17339654476</v>
      </c>
      <c r="I47" s="57">
        <v>-291675785</v>
      </c>
    </row>
    <row r="48" spans="1:9" ht="23.1" customHeight="1">
      <c r="A48" s="56" t="s">
        <v>189</v>
      </c>
      <c r="B48" s="80">
        <v>0</v>
      </c>
      <c r="C48" s="57">
        <v>0</v>
      </c>
      <c r="D48" s="57">
        <v>0</v>
      </c>
      <c r="E48" s="57">
        <v>0</v>
      </c>
      <c r="F48" s="80">
        <v>795447</v>
      </c>
      <c r="G48" s="57">
        <v>4137126571</v>
      </c>
      <c r="H48" s="57">
        <v>-4839170235</v>
      </c>
      <c r="I48" s="57">
        <v>-702043664</v>
      </c>
    </row>
    <row r="49" spans="1:9" ht="23.1" customHeight="1">
      <c r="A49" s="56" t="s">
        <v>32</v>
      </c>
      <c r="B49" s="80">
        <v>2965422</v>
      </c>
      <c r="C49" s="57">
        <v>6538233479</v>
      </c>
      <c r="D49" s="57">
        <v>-5257913015</v>
      </c>
      <c r="E49" s="57">
        <v>1280320464</v>
      </c>
      <c r="F49" s="80">
        <v>5916367</v>
      </c>
      <c r="G49" s="57">
        <v>12203226111</v>
      </c>
      <c r="H49" s="57">
        <v>-10494030590</v>
      </c>
      <c r="I49" s="57">
        <v>1709195521</v>
      </c>
    </row>
    <row r="50" spans="1:9" ht="23.1" customHeight="1">
      <c r="A50" s="56" t="s">
        <v>49</v>
      </c>
      <c r="B50" s="80">
        <v>2485244</v>
      </c>
      <c r="C50" s="57">
        <v>6346573071</v>
      </c>
      <c r="D50" s="57">
        <v>-6169850212</v>
      </c>
      <c r="E50" s="57">
        <v>176722859</v>
      </c>
      <c r="F50" s="80">
        <v>3006831</v>
      </c>
      <c r="G50" s="57">
        <v>7436677735</v>
      </c>
      <c r="H50" s="57">
        <v>-7440134927</v>
      </c>
      <c r="I50" s="57">
        <v>-3457192</v>
      </c>
    </row>
    <row r="51" spans="1:9" ht="23.1" customHeight="1">
      <c r="A51" s="56" t="s">
        <v>61</v>
      </c>
      <c r="B51" s="80">
        <v>296276</v>
      </c>
      <c r="C51" s="57">
        <v>1429944773</v>
      </c>
      <c r="D51" s="57">
        <v>-1487160506</v>
      </c>
      <c r="E51" s="57">
        <v>-57215733</v>
      </c>
      <c r="F51" s="80">
        <v>500109</v>
      </c>
      <c r="G51" s="57">
        <v>2367837836</v>
      </c>
      <c r="H51" s="57">
        <v>-2488187708</v>
      </c>
      <c r="I51" s="57">
        <v>-120349872</v>
      </c>
    </row>
    <row r="52" spans="1:9" ht="23.1" customHeight="1">
      <c r="A52" s="56" t="s">
        <v>34</v>
      </c>
      <c r="B52" s="80">
        <v>97177</v>
      </c>
      <c r="C52" s="57">
        <v>43827808612</v>
      </c>
      <c r="D52" s="57">
        <v>-33265189366</v>
      </c>
      <c r="E52" s="57">
        <v>10562619246</v>
      </c>
      <c r="F52" s="80">
        <v>108148</v>
      </c>
      <c r="G52" s="57">
        <v>47066905846</v>
      </c>
      <c r="H52" s="57">
        <v>-36391948671</v>
      </c>
      <c r="I52" s="57">
        <v>10674957175</v>
      </c>
    </row>
    <row r="53" spans="1:9" ht="23.1" customHeight="1">
      <c r="A53" s="56" t="s">
        <v>144</v>
      </c>
      <c r="B53" s="80">
        <v>0</v>
      </c>
      <c r="C53" s="57">
        <v>0</v>
      </c>
      <c r="D53" s="57">
        <v>0</v>
      </c>
      <c r="E53" s="57">
        <v>0</v>
      </c>
      <c r="F53" s="80">
        <v>727884</v>
      </c>
      <c r="G53" s="57">
        <v>1796573849</v>
      </c>
      <c r="H53" s="57">
        <v>-2485576983</v>
      </c>
      <c r="I53" s="57">
        <v>-689003134</v>
      </c>
    </row>
    <row r="54" spans="1:9" ht="23.1" customHeight="1">
      <c r="A54" s="56" t="s">
        <v>190</v>
      </c>
      <c r="B54" s="80">
        <v>0</v>
      </c>
      <c r="C54" s="57">
        <v>0</v>
      </c>
      <c r="D54" s="57">
        <v>0</v>
      </c>
      <c r="E54" s="57">
        <v>0</v>
      </c>
      <c r="F54" s="80">
        <v>1841351</v>
      </c>
      <c r="G54" s="57">
        <v>2320731585</v>
      </c>
      <c r="H54" s="57">
        <v>-3424668975</v>
      </c>
      <c r="I54" s="57">
        <v>-1103937390</v>
      </c>
    </row>
    <row r="55" spans="1:9" ht="23.1" customHeight="1">
      <c r="A55" s="56" t="s">
        <v>152</v>
      </c>
      <c r="B55" s="80">
        <v>0</v>
      </c>
      <c r="C55" s="57">
        <v>0</v>
      </c>
      <c r="D55" s="57">
        <v>0</v>
      </c>
      <c r="E55" s="57">
        <v>0</v>
      </c>
      <c r="F55" s="80">
        <v>272649</v>
      </c>
      <c r="G55" s="57">
        <v>3857499558</v>
      </c>
      <c r="H55" s="57">
        <v>-6553426539</v>
      </c>
      <c r="I55" s="57">
        <v>-2695926981</v>
      </c>
    </row>
    <row r="56" spans="1:9" ht="23.1" customHeight="1">
      <c r="A56" s="56" t="s">
        <v>191</v>
      </c>
      <c r="B56" s="80">
        <v>0</v>
      </c>
      <c r="C56" s="57">
        <v>0</v>
      </c>
      <c r="D56" s="57">
        <v>0</v>
      </c>
      <c r="E56" s="57">
        <v>0</v>
      </c>
      <c r="F56" s="80">
        <v>1315388</v>
      </c>
      <c r="G56" s="57">
        <v>1759344879</v>
      </c>
      <c r="H56" s="57">
        <v>-2467368443</v>
      </c>
      <c r="I56" s="57">
        <v>-708023564</v>
      </c>
    </row>
    <row r="57" spans="1:9" ht="23.1" customHeight="1">
      <c r="A57" s="56" t="s">
        <v>74</v>
      </c>
      <c r="B57" s="80">
        <v>133031</v>
      </c>
      <c r="C57" s="57">
        <v>4207436353</v>
      </c>
      <c r="D57" s="57">
        <v>-4955012778</v>
      </c>
      <c r="E57" s="57">
        <v>-747576425</v>
      </c>
      <c r="F57" s="80">
        <v>169495</v>
      </c>
      <c r="G57" s="57">
        <v>5444431918</v>
      </c>
      <c r="H57" s="57">
        <v>-6313189336</v>
      </c>
      <c r="I57" s="57">
        <v>-868757418</v>
      </c>
    </row>
    <row r="58" spans="1:9" ht="23.1" customHeight="1">
      <c r="A58" s="56" t="s">
        <v>66</v>
      </c>
      <c r="B58" s="80">
        <v>94046</v>
      </c>
      <c r="C58" s="57">
        <v>146977483</v>
      </c>
      <c r="D58" s="57">
        <v>-159832630</v>
      </c>
      <c r="E58" s="57">
        <v>-12855147</v>
      </c>
      <c r="F58" s="80">
        <v>1197303</v>
      </c>
      <c r="G58" s="57">
        <v>1351146018</v>
      </c>
      <c r="H58" s="57">
        <v>-2252243190</v>
      </c>
      <c r="I58" s="57">
        <v>-901097172</v>
      </c>
    </row>
    <row r="59" spans="1:9" ht="23.1" customHeight="1">
      <c r="A59" s="56" t="s">
        <v>155</v>
      </c>
      <c r="B59" s="80">
        <v>0</v>
      </c>
      <c r="C59" s="57">
        <v>0</v>
      </c>
      <c r="D59" s="57">
        <v>0</v>
      </c>
      <c r="E59" s="57">
        <v>0</v>
      </c>
      <c r="F59" s="80">
        <v>154440</v>
      </c>
      <c r="G59" s="57">
        <v>2178917053</v>
      </c>
      <c r="H59" s="57">
        <v>-3303773687</v>
      </c>
      <c r="I59" s="57">
        <v>-1124856634</v>
      </c>
    </row>
    <row r="60" spans="1:9" ht="23.1" customHeight="1">
      <c r="A60" s="56" t="s">
        <v>68</v>
      </c>
      <c r="B60" s="80">
        <v>14000000</v>
      </c>
      <c r="C60" s="57">
        <v>8866527980</v>
      </c>
      <c r="D60" s="57">
        <v>-8286338317</v>
      </c>
      <c r="E60" s="57">
        <v>580189663</v>
      </c>
      <c r="F60" s="80">
        <v>25512190</v>
      </c>
      <c r="G60" s="57">
        <v>15983695273</v>
      </c>
      <c r="H60" s="57">
        <v>-15504575112</v>
      </c>
      <c r="I60" s="57">
        <v>479120161</v>
      </c>
    </row>
    <row r="61" spans="1:9" ht="23.1" customHeight="1">
      <c r="A61" s="56" t="s">
        <v>70</v>
      </c>
      <c r="B61" s="80">
        <v>100000</v>
      </c>
      <c r="C61" s="57">
        <v>2317942727</v>
      </c>
      <c r="D61" s="57">
        <v>-2052885612</v>
      </c>
      <c r="E61" s="57">
        <v>265057115</v>
      </c>
      <c r="F61" s="80">
        <v>174708</v>
      </c>
      <c r="G61" s="57">
        <v>3581893707</v>
      </c>
      <c r="H61" s="57">
        <v>-3646502065</v>
      </c>
      <c r="I61" s="57">
        <v>-64608358</v>
      </c>
    </row>
    <row r="62" spans="1:9" ht="23.1" customHeight="1">
      <c r="A62" s="56" t="s">
        <v>28</v>
      </c>
      <c r="B62" s="80">
        <v>1550000</v>
      </c>
      <c r="C62" s="57">
        <v>24047167445</v>
      </c>
      <c r="D62" s="57">
        <v>-20956123223</v>
      </c>
      <c r="E62" s="57">
        <v>3091044222</v>
      </c>
      <c r="F62" s="80">
        <v>2235453</v>
      </c>
      <c r="G62" s="57">
        <v>32164632602</v>
      </c>
      <c r="H62" s="57">
        <v>-28348936895</v>
      </c>
      <c r="I62" s="57">
        <v>3815695707</v>
      </c>
    </row>
    <row r="63" spans="1:9" ht="23.1" customHeight="1">
      <c r="A63" s="56" t="s">
        <v>192</v>
      </c>
      <c r="B63" s="80">
        <v>0</v>
      </c>
      <c r="C63" s="57">
        <v>0</v>
      </c>
      <c r="D63" s="57">
        <v>0</v>
      </c>
      <c r="E63" s="57">
        <v>0</v>
      </c>
      <c r="F63" s="80">
        <v>376281</v>
      </c>
      <c r="G63" s="57">
        <v>1524210658</v>
      </c>
      <c r="H63" s="57">
        <v>-2150742241</v>
      </c>
      <c r="I63" s="57">
        <v>-626531583</v>
      </c>
    </row>
    <row r="64" spans="1:9" ht="23.1" customHeight="1">
      <c r="A64" s="56" t="s">
        <v>133</v>
      </c>
      <c r="B64" s="80">
        <v>0</v>
      </c>
      <c r="C64" s="57">
        <v>0</v>
      </c>
      <c r="D64" s="57">
        <v>0</v>
      </c>
      <c r="E64" s="57">
        <v>0</v>
      </c>
      <c r="F64" s="80">
        <v>5862634</v>
      </c>
      <c r="G64" s="57">
        <v>3310225670</v>
      </c>
      <c r="H64" s="57">
        <v>-4022072056</v>
      </c>
      <c r="I64" s="57">
        <v>-711846386</v>
      </c>
    </row>
    <row r="65" spans="1:9" ht="23.1" customHeight="1">
      <c r="A65" s="56" t="s">
        <v>57</v>
      </c>
      <c r="B65" s="80">
        <v>145197</v>
      </c>
      <c r="C65" s="57">
        <v>6828151249</v>
      </c>
      <c r="D65" s="57">
        <v>-5773751900</v>
      </c>
      <c r="E65" s="57">
        <v>1054399349</v>
      </c>
      <c r="F65" s="80">
        <v>200187</v>
      </c>
      <c r="G65" s="57">
        <v>9185171227</v>
      </c>
      <c r="H65" s="57">
        <v>-7920610225</v>
      </c>
      <c r="I65" s="57">
        <v>1264561002</v>
      </c>
    </row>
    <row r="66" spans="1:9" ht="23.1" customHeight="1">
      <c r="A66" s="56" t="s">
        <v>147</v>
      </c>
      <c r="B66" s="80">
        <v>0</v>
      </c>
      <c r="C66" s="57">
        <v>0</v>
      </c>
      <c r="D66" s="57">
        <v>0</v>
      </c>
      <c r="E66" s="57">
        <v>0</v>
      </c>
      <c r="F66" s="80">
        <v>3264919</v>
      </c>
      <c r="G66" s="57">
        <v>11121473173</v>
      </c>
      <c r="H66" s="57">
        <v>-12021305084</v>
      </c>
      <c r="I66" s="57">
        <v>-899831911</v>
      </c>
    </row>
    <row r="67" spans="1:9" ht="23.1" customHeight="1">
      <c r="A67" s="56" t="s">
        <v>46</v>
      </c>
      <c r="B67" s="80">
        <v>713145</v>
      </c>
      <c r="C67" s="57">
        <v>10708173756</v>
      </c>
      <c r="D67" s="57">
        <v>-11717162633</v>
      </c>
      <c r="E67" s="57">
        <v>-1008988877</v>
      </c>
      <c r="F67" s="80">
        <v>804923</v>
      </c>
      <c r="G67" s="57">
        <v>11978021475</v>
      </c>
      <c r="H67" s="57">
        <v>-13241648030</v>
      </c>
      <c r="I67" s="57">
        <v>-1263626555</v>
      </c>
    </row>
    <row r="68" spans="1:9" ht="23.1" customHeight="1">
      <c r="A68" s="56" t="s">
        <v>48</v>
      </c>
      <c r="B68" s="80">
        <v>1560632</v>
      </c>
      <c r="C68" s="57">
        <v>2600046234</v>
      </c>
      <c r="D68" s="57">
        <v>-2764507520</v>
      </c>
      <c r="E68" s="57">
        <v>-164461286</v>
      </c>
      <c r="F68" s="80">
        <v>2298852</v>
      </c>
      <c r="G68" s="57">
        <v>3824691266</v>
      </c>
      <c r="H68" s="57">
        <v>-4076591255</v>
      </c>
      <c r="I68" s="57">
        <v>-251899989</v>
      </c>
    </row>
    <row r="69" spans="1:9" ht="23.1" customHeight="1">
      <c r="A69" s="56" t="s">
        <v>45</v>
      </c>
      <c r="B69" s="80">
        <v>4800000</v>
      </c>
      <c r="C69" s="57">
        <v>7506324199</v>
      </c>
      <c r="D69" s="57">
        <v>-6087344932</v>
      </c>
      <c r="E69" s="57">
        <v>1418979267</v>
      </c>
      <c r="F69" s="80">
        <v>27835960</v>
      </c>
      <c r="G69" s="57">
        <v>34945319218</v>
      </c>
      <c r="H69" s="57">
        <v>-36015744252</v>
      </c>
      <c r="I69" s="57">
        <v>-1070425034</v>
      </c>
    </row>
    <row r="70" spans="1:9" ht="23.1" customHeight="1">
      <c r="A70" s="56" t="s">
        <v>81</v>
      </c>
      <c r="B70" s="80">
        <v>0</v>
      </c>
      <c r="C70" s="57">
        <v>0</v>
      </c>
      <c r="D70" s="57">
        <v>0</v>
      </c>
      <c r="E70" s="57">
        <v>0</v>
      </c>
      <c r="F70" s="80">
        <v>371192</v>
      </c>
      <c r="G70" s="57">
        <v>27828879822</v>
      </c>
      <c r="H70" s="57">
        <v>-26095390453</v>
      </c>
      <c r="I70" s="57">
        <v>1733489369</v>
      </c>
    </row>
    <row r="71" spans="1:9" ht="23.1" customHeight="1">
      <c r="A71" s="56" t="s">
        <v>126</v>
      </c>
      <c r="B71" s="80">
        <v>0</v>
      </c>
      <c r="C71" s="57">
        <v>0</v>
      </c>
      <c r="D71" s="57">
        <v>0</v>
      </c>
      <c r="E71" s="57">
        <v>0</v>
      </c>
      <c r="F71" s="80">
        <v>411</v>
      </c>
      <c r="G71" s="57">
        <v>1074502</v>
      </c>
      <c r="H71" s="57">
        <v>-992385</v>
      </c>
      <c r="I71" s="57">
        <v>82117</v>
      </c>
    </row>
    <row r="72" spans="1:9" ht="23.1" customHeight="1">
      <c r="A72" s="56" t="s">
        <v>64</v>
      </c>
      <c r="B72" s="80">
        <v>250000</v>
      </c>
      <c r="C72" s="57">
        <v>2216388861</v>
      </c>
      <c r="D72" s="57">
        <v>-1690734208</v>
      </c>
      <c r="E72" s="57">
        <v>525654653</v>
      </c>
      <c r="F72" s="80">
        <v>1157694</v>
      </c>
      <c r="G72" s="57">
        <v>8295348589</v>
      </c>
      <c r="H72" s="57">
        <v>-7861275710</v>
      </c>
      <c r="I72" s="57">
        <v>434072879</v>
      </c>
    </row>
    <row r="73" spans="1:9" ht="23.1" customHeight="1">
      <c r="A73" s="56" t="s">
        <v>65</v>
      </c>
      <c r="B73" s="80">
        <v>9753441</v>
      </c>
      <c r="C73" s="57">
        <v>21105250067</v>
      </c>
      <c r="D73" s="57">
        <v>-19603854722</v>
      </c>
      <c r="E73" s="57">
        <v>1501395345</v>
      </c>
      <c r="F73" s="80">
        <v>12844491</v>
      </c>
      <c r="G73" s="57">
        <v>26107028288</v>
      </c>
      <c r="H73" s="57">
        <v>-25224312186</v>
      </c>
      <c r="I73" s="57">
        <v>882716102</v>
      </c>
    </row>
    <row r="74" spans="1:9" ht="23.1" customHeight="1">
      <c r="A74" s="56" t="s">
        <v>44</v>
      </c>
      <c r="B74" s="80">
        <v>113758</v>
      </c>
      <c r="C74" s="57">
        <v>3314725324</v>
      </c>
      <c r="D74" s="57">
        <v>-3515417242</v>
      </c>
      <c r="E74" s="57">
        <v>-200691918</v>
      </c>
      <c r="F74" s="80">
        <v>129772</v>
      </c>
      <c r="G74" s="57">
        <v>3745419076</v>
      </c>
      <c r="H74" s="57">
        <v>-4010966893</v>
      </c>
      <c r="I74" s="57">
        <v>-265547817</v>
      </c>
    </row>
    <row r="75" spans="1:9" ht="23.1" customHeight="1">
      <c r="A75" s="56" t="s">
        <v>31</v>
      </c>
      <c r="B75" s="80">
        <v>0</v>
      </c>
      <c r="C75" s="57">
        <v>0</v>
      </c>
      <c r="D75" s="57">
        <v>0</v>
      </c>
      <c r="E75" s="57">
        <v>0</v>
      </c>
      <c r="F75" s="80">
        <v>189960</v>
      </c>
      <c r="G75" s="57">
        <v>13700365831</v>
      </c>
      <c r="H75" s="57">
        <v>-12480411345</v>
      </c>
      <c r="I75" s="57">
        <v>1219954486</v>
      </c>
    </row>
    <row r="76" spans="1:9" ht="23.1" customHeight="1">
      <c r="A76" s="56" t="s">
        <v>55</v>
      </c>
      <c r="B76" s="80">
        <v>457083</v>
      </c>
      <c r="C76" s="57">
        <v>28796792211</v>
      </c>
      <c r="D76" s="57">
        <v>-29542444151</v>
      </c>
      <c r="E76" s="57">
        <v>-745651940</v>
      </c>
      <c r="F76" s="80">
        <v>500527</v>
      </c>
      <c r="G76" s="57">
        <v>31187959016</v>
      </c>
      <c r="H76" s="57">
        <v>-32417121314</v>
      </c>
      <c r="I76" s="57">
        <v>-1229162298</v>
      </c>
    </row>
    <row r="77" spans="1:9" ht="23.1" customHeight="1">
      <c r="A77" s="56" t="s">
        <v>36</v>
      </c>
      <c r="B77" s="80">
        <v>36000000</v>
      </c>
      <c r="C77" s="57">
        <v>21219912820</v>
      </c>
      <c r="D77" s="57">
        <v>-21190457677</v>
      </c>
      <c r="E77" s="57">
        <v>29455143</v>
      </c>
      <c r="F77" s="80">
        <v>49717891</v>
      </c>
      <c r="G77" s="57">
        <v>27316215242</v>
      </c>
      <c r="H77" s="57">
        <v>-29384789053</v>
      </c>
      <c r="I77" s="57">
        <v>-2068573811</v>
      </c>
    </row>
    <row r="78" spans="1:9" ht="23.1" customHeight="1">
      <c r="A78" s="56" t="s">
        <v>130</v>
      </c>
      <c r="B78" s="80">
        <v>0</v>
      </c>
      <c r="C78" s="57">
        <v>0</v>
      </c>
      <c r="D78" s="57">
        <v>0</v>
      </c>
      <c r="E78" s="57">
        <v>0</v>
      </c>
      <c r="F78" s="80">
        <v>200675</v>
      </c>
      <c r="G78" s="57">
        <v>1000015663</v>
      </c>
      <c r="H78" s="57">
        <v>-1607816732</v>
      </c>
      <c r="I78" s="57">
        <v>-607801069</v>
      </c>
    </row>
    <row r="79" spans="1:9" ht="23.1" customHeight="1">
      <c r="A79" s="56" t="s">
        <v>60</v>
      </c>
      <c r="B79" s="80">
        <v>1018908</v>
      </c>
      <c r="C79" s="57">
        <v>6643171522</v>
      </c>
      <c r="D79" s="57">
        <v>-5723988352</v>
      </c>
      <c r="E79" s="57">
        <v>919183170</v>
      </c>
      <c r="F79" s="80">
        <v>1018908</v>
      </c>
      <c r="G79" s="57">
        <v>6643171522</v>
      </c>
      <c r="H79" s="57">
        <v>-5723988352</v>
      </c>
      <c r="I79" s="57">
        <v>919183170</v>
      </c>
    </row>
    <row r="80" spans="1:9" ht="23.1" customHeight="1">
      <c r="A80" s="56" t="s">
        <v>47</v>
      </c>
      <c r="B80" s="80">
        <v>1400000</v>
      </c>
      <c r="C80" s="57">
        <v>11085640527</v>
      </c>
      <c r="D80" s="57">
        <v>-6155553439</v>
      </c>
      <c r="E80" s="57">
        <v>4930087088</v>
      </c>
      <c r="F80" s="80">
        <v>1549579</v>
      </c>
      <c r="G80" s="57">
        <v>12039998859</v>
      </c>
      <c r="H80" s="57">
        <v>-6685728122</v>
      </c>
      <c r="I80" s="57">
        <v>5354270737</v>
      </c>
    </row>
    <row r="81" spans="1:9" ht="23.1" customHeight="1">
      <c r="A81" s="56" t="s">
        <v>193</v>
      </c>
      <c r="B81" s="80">
        <v>0</v>
      </c>
      <c r="C81" s="57">
        <v>0</v>
      </c>
      <c r="D81" s="57">
        <v>0</v>
      </c>
      <c r="E81" s="57">
        <v>0</v>
      </c>
      <c r="F81" s="80">
        <v>863801</v>
      </c>
      <c r="G81" s="57">
        <v>3539496279</v>
      </c>
      <c r="H81" s="57">
        <v>-4147334489</v>
      </c>
      <c r="I81" s="57">
        <v>-607838210</v>
      </c>
    </row>
    <row r="82" spans="1:9" ht="23.1" customHeight="1">
      <c r="A82" s="56" t="s">
        <v>142</v>
      </c>
      <c r="B82" s="80">
        <v>0</v>
      </c>
      <c r="C82" s="57">
        <v>0</v>
      </c>
      <c r="D82" s="57">
        <v>0</v>
      </c>
      <c r="E82" s="57">
        <v>0</v>
      </c>
      <c r="F82" s="80">
        <v>645675</v>
      </c>
      <c r="G82" s="57">
        <v>4472677980</v>
      </c>
      <c r="H82" s="57">
        <v>-5038552764</v>
      </c>
      <c r="I82" s="57">
        <v>-565874784</v>
      </c>
    </row>
    <row r="83" spans="1:9" ht="23.1" customHeight="1">
      <c r="A83" s="56" t="s">
        <v>67</v>
      </c>
      <c r="B83" s="80">
        <v>10800000</v>
      </c>
      <c r="C83" s="57">
        <v>4714158809</v>
      </c>
      <c r="D83" s="57">
        <v>-5067823539</v>
      </c>
      <c r="E83" s="57">
        <v>-353664730</v>
      </c>
      <c r="F83" s="80">
        <v>22737547</v>
      </c>
      <c r="G83" s="57">
        <v>9557145148</v>
      </c>
      <c r="H83" s="57">
        <v>-10772207370</v>
      </c>
      <c r="I83" s="57">
        <v>-1215062222</v>
      </c>
    </row>
    <row r="84" spans="1:9" ht="23.1" customHeight="1">
      <c r="A84" s="56" t="s">
        <v>194</v>
      </c>
      <c r="B84" s="80">
        <v>0</v>
      </c>
      <c r="C84" s="57">
        <v>0</v>
      </c>
      <c r="D84" s="57">
        <v>0</v>
      </c>
      <c r="E84" s="57">
        <v>0</v>
      </c>
      <c r="F84" s="80">
        <v>2506063</v>
      </c>
      <c r="G84" s="57">
        <v>2214440847</v>
      </c>
      <c r="H84" s="57">
        <v>-3432807356</v>
      </c>
      <c r="I84" s="57">
        <v>-1218366509</v>
      </c>
    </row>
    <row r="85" spans="1:9" ht="23.1" customHeight="1">
      <c r="A85" s="56" t="s">
        <v>39</v>
      </c>
      <c r="B85" s="80">
        <v>135000</v>
      </c>
      <c r="C85" s="57">
        <v>1494953989</v>
      </c>
      <c r="D85" s="57">
        <v>-1001265266</v>
      </c>
      <c r="E85" s="57">
        <v>493688723</v>
      </c>
      <c r="F85" s="80">
        <v>434792</v>
      </c>
      <c r="G85" s="57">
        <v>3645729515</v>
      </c>
      <c r="H85" s="57">
        <v>-3252334956</v>
      </c>
      <c r="I85" s="57">
        <v>393394559</v>
      </c>
    </row>
    <row r="86" spans="1:9" ht="23.1" customHeight="1">
      <c r="A86" s="56" t="s">
        <v>50</v>
      </c>
      <c r="B86" s="80">
        <v>7700000</v>
      </c>
      <c r="C86" s="57">
        <v>116367939529</v>
      </c>
      <c r="D86" s="57">
        <v>-79375036113</v>
      </c>
      <c r="E86" s="57">
        <v>36992903416</v>
      </c>
      <c r="F86" s="80">
        <v>11423645</v>
      </c>
      <c r="G86" s="57">
        <v>146128695863</v>
      </c>
      <c r="H86" s="57">
        <v>-106203364952</v>
      </c>
      <c r="I86" s="57">
        <v>39925330911</v>
      </c>
    </row>
    <row r="87" spans="1:9" ht="23.1" customHeight="1">
      <c r="A87" s="56" t="s">
        <v>195</v>
      </c>
      <c r="B87" s="80">
        <v>0</v>
      </c>
      <c r="C87" s="57">
        <v>0</v>
      </c>
      <c r="D87" s="57">
        <v>0</v>
      </c>
      <c r="E87" s="57">
        <v>0</v>
      </c>
      <c r="F87" s="80">
        <v>1066372</v>
      </c>
      <c r="G87" s="57">
        <v>3053746934</v>
      </c>
      <c r="H87" s="57">
        <v>-3657093452</v>
      </c>
      <c r="I87" s="57">
        <v>-603346518</v>
      </c>
    </row>
    <row r="88" spans="1:9" ht="23.1" customHeight="1">
      <c r="A88" s="56" t="s">
        <v>196</v>
      </c>
      <c r="B88" s="80">
        <v>0</v>
      </c>
      <c r="C88" s="57">
        <v>0</v>
      </c>
      <c r="D88" s="57">
        <v>0</v>
      </c>
      <c r="E88" s="57">
        <v>0</v>
      </c>
      <c r="F88" s="80">
        <v>2652068</v>
      </c>
      <c r="G88" s="57">
        <v>5610368086</v>
      </c>
      <c r="H88" s="57">
        <v>-6577539050</v>
      </c>
      <c r="I88" s="57">
        <v>-967170964</v>
      </c>
    </row>
    <row r="89" spans="1:9" ht="23.1" customHeight="1">
      <c r="A89" s="56" t="s">
        <v>53</v>
      </c>
      <c r="B89" s="80">
        <v>1801941</v>
      </c>
      <c r="C89" s="57">
        <v>19666848554</v>
      </c>
      <c r="D89" s="57">
        <v>-16568505920</v>
      </c>
      <c r="E89" s="57">
        <v>3098342634</v>
      </c>
      <c r="F89" s="80">
        <v>3552381</v>
      </c>
      <c r="G89" s="57">
        <v>33962088082</v>
      </c>
      <c r="H89" s="57">
        <v>-31852377496</v>
      </c>
      <c r="I89" s="57">
        <v>2109710586</v>
      </c>
    </row>
    <row r="90" spans="1:9" ht="23.1" customHeight="1">
      <c r="A90" s="56" t="s">
        <v>78</v>
      </c>
      <c r="B90" s="80">
        <v>0</v>
      </c>
      <c r="C90" s="57">
        <v>0</v>
      </c>
      <c r="D90" s="57">
        <v>0</v>
      </c>
      <c r="E90" s="57">
        <v>0</v>
      </c>
      <c r="F90" s="80">
        <v>630380</v>
      </c>
      <c r="G90" s="57">
        <v>3370736835</v>
      </c>
      <c r="H90" s="57">
        <v>-3318601516</v>
      </c>
      <c r="I90" s="57">
        <v>52135319</v>
      </c>
    </row>
    <row r="91" spans="1:9" ht="23.1" customHeight="1">
      <c r="A91" s="56" t="s">
        <v>62</v>
      </c>
      <c r="B91" s="80">
        <v>131600</v>
      </c>
      <c r="C91" s="57">
        <v>11590445007</v>
      </c>
      <c r="D91" s="57">
        <v>-11388034922</v>
      </c>
      <c r="E91" s="57">
        <v>202410085</v>
      </c>
      <c r="F91" s="80">
        <v>236014</v>
      </c>
      <c r="G91" s="57">
        <v>20344868799</v>
      </c>
      <c r="H91" s="57">
        <v>-19663377756</v>
      </c>
      <c r="I91" s="57">
        <v>681491043</v>
      </c>
    </row>
    <row r="92" spans="1:9" ht="23.1" customHeight="1">
      <c r="A92" s="56" t="s">
        <v>40</v>
      </c>
      <c r="B92" s="80">
        <v>1912948</v>
      </c>
      <c r="C92" s="57">
        <v>4178769552</v>
      </c>
      <c r="D92" s="57">
        <v>-3475377193</v>
      </c>
      <c r="E92" s="57">
        <v>703392359</v>
      </c>
      <c r="F92" s="80">
        <v>2835030</v>
      </c>
      <c r="G92" s="57">
        <v>8254302758</v>
      </c>
      <c r="H92" s="57">
        <v>-7424296737</v>
      </c>
      <c r="I92" s="57">
        <v>830006021</v>
      </c>
    </row>
    <row r="93" spans="1:9" ht="23.1" customHeight="1">
      <c r="A93" s="56" t="s">
        <v>140</v>
      </c>
      <c r="B93" s="80">
        <v>0</v>
      </c>
      <c r="C93" s="57">
        <v>0</v>
      </c>
      <c r="D93" s="57">
        <v>0</v>
      </c>
      <c r="E93" s="57">
        <v>0</v>
      </c>
      <c r="F93" s="80">
        <v>269589</v>
      </c>
      <c r="G93" s="57">
        <v>1200219410</v>
      </c>
      <c r="H93" s="57">
        <v>-1707064106</v>
      </c>
      <c r="I93" s="57">
        <v>-506844696</v>
      </c>
    </row>
    <row r="94" spans="1:9" ht="23.1" customHeight="1">
      <c r="A94" s="56" t="s">
        <v>84</v>
      </c>
      <c r="B94" s="80"/>
      <c r="C94" s="57">
        <v>823609993676</v>
      </c>
      <c r="D94" s="57">
        <v>-736072549295</v>
      </c>
      <c r="E94" s="57">
        <v>87537444381</v>
      </c>
      <c r="F94" s="80"/>
      <c r="G94" s="57">
        <v>1236343072837</v>
      </c>
      <c r="H94" s="57">
        <v>-1174531387163</v>
      </c>
      <c r="I94" s="57">
        <v>61811685674</v>
      </c>
    </row>
    <row r="95" spans="1:9" ht="23.1" customHeight="1">
      <c r="A95" s="56" t="s">
        <v>85</v>
      </c>
      <c r="B95" s="80"/>
      <c r="C95" s="57"/>
      <c r="D95" s="57"/>
      <c r="E95" s="57"/>
      <c r="F95" s="80"/>
      <c r="G95" s="57"/>
      <c r="H95" s="57"/>
      <c r="I95" s="57"/>
    </row>
    <row r="97" spans="1:9">
      <c r="A97" s="81" t="s">
        <v>197</v>
      </c>
      <c r="B97" s="82"/>
      <c r="C97" s="82"/>
      <c r="D97" s="82"/>
      <c r="E97" s="82"/>
      <c r="F97" s="82"/>
      <c r="G97" s="82"/>
      <c r="H97" s="82"/>
      <c r="I97" s="83"/>
    </row>
    <row r="101" spans="1:9">
      <c r="G101" s="84"/>
    </row>
    <row r="102" spans="1:9">
      <c r="G102" s="84"/>
    </row>
    <row r="103" spans="1:9">
      <c r="G103" s="84"/>
    </row>
    <row r="104" spans="1:9">
      <c r="G104" s="85"/>
    </row>
  </sheetData>
  <mergeCells count="8">
    <mergeCell ref="A1:I1"/>
    <mergeCell ref="A2:I2"/>
    <mergeCell ref="A3:I3"/>
    <mergeCell ref="A97:I97"/>
    <mergeCell ref="B5:E5"/>
    <mergeCell ref="F5:I5"/>
    <mergeCell ref="A4:E4"/>
    <mergeCell ref="F4:I4"/>
  </mergeCells>
  <pageMargins left="0.7" right="0.7" top="0.75" bottom="0.75" header="0.3" footer="0.3"/>
  <pageSetup paperSize="9" scale="77" orientation="landscape" horizontalDpi="4294967295" verticalDpi="4294967295" r:id="rId1"/>
  <headerFooter differentOddEven="1" differentFirst="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I71"/>
  <sheetViews>
    <sheetView rightToLeft="1" view="pageBreakPreview" zoomScale="106" zoomScaleNormal="100" zoomScaleSheetLayoutView="106" workbookViewId="0">
      <selection activeCell="A5" sqref="A1:I1048576"/>
    </sheetView>
  </sheetViews>
  <sheetFormatPr defaultColWidth="9" defaultRowHeight="18.75"/>
  <cols>
    <col min="1" max="1" width="38.85546875" style="62" bestFit="1" customWidth="1"/>
    <col min="2" max="2" width="11" style="62" bestFit="1" customWidth="1"/>
    <col min="3" max="3" width="20.42578125" style="62" bestFit="1" customWidth="1"/>
    <col min="4" max="4" width="22.140625" style="62" bestFit="1" customWidth="1"/>
    <col min="5" max="5" width="23.7109375" style="62" bestFit="1" customWidth="1"/>
    <col min="6" max="6" width="11" style="62" bestFit="1" customWidth="1"/>
    <col min="7" max="7" width="20.42578125" style="62" bestFit="1" customWidth="1"/>
    <col min="8" max="8" width="22" style="62" bestFit="1" customWidth="1"/>
    <col min="9" max="9" width="23.7109375" style="62" bestFit="1" customWidth="1"/>
    <col min="10" max="10" width="9" style="1" customWidth="1"/>
    <col min="11" max="16384" width="9" style="1"/>
  </cols>
  <sheetData>
    <row r="1" spans="1:9" ht="21">
      <c r="A1" s="41" t="s">
        <v>1</v>
      </c>
      <c r="B1" s="41"/>
      <c r="C1" s="41"/>
      <c r="D1" s="41"/>
      <c r="E1" s="41"/>
      <c r="F1" s="41"/>
      <c r="G1" s="41"/>
      <c r="H1" s="41"/>
      <c r="I1" s="41"/>
    </row>
    <row r="2" spans="1:9" ht="21">
      <c r="A2" s="41" t="s">
        <v>98</v>
      </c>
      <c r="B2" s="41"/>
      <c r="C2" s="41"/>
      <c r="D2" s="41"/>
      <c r="E2" s="41"/>
      <c r="F2" s="41"/>
      <c r="G2" s="41"/>
      <c r="H2" s="41"/>
      <c r="I2" s="41"/>
    </row>
    <row r="3" spans="1:9" ht="21">
      <c r="A3" s="41" t="s">
        <v>99</v>
      </c>
      <c r="B3" s="41"/>
      <c r="C3" s="41"/>
      <c r="D3" s="41"/>
      <c r="E3" s="41"/>
      <c r="F3" s="41"/>
      <c r="G3" s="41"/>
      <c r="H3" s="41"/>
      <c r="I3" s="41"/>
    </row>
    <row r="4" spans="1:9">
      <c r="A4" s="21" t="s">
        <v>198</v>
      </c>
      <c r="B4" s="21"/>
      <c r="C4" s="21"/>
      <c r="D4" s="21"/>
      <c r="E4" s="43"/>
      <c r="F4" s="43"/>
      <c r="G4" s="43"/>
      <c r="H4" s="43"/>
      <c r="I4" s="43"/>
    </row>
    <row r="5" spans="1:9" ht="16.5" customHeight="1">
      <c r="A5" s="43"/>
      <c r="B5" s="49" t="s">
        <v>117</v>
      </c>
      <c r="C5" s="49"/>
      <c r="D5" s="49"/>
      <c r="E5" s="49"/>
      <c r="F5" s="64" t="s">
        <v>118</v>
      </c>
      <c r="G5" s="64"/>
      <c r="H5" s="64"/>
      <c r="I5" s="64"/>
    </row>
    <row r="6" spans="1:9" ht="53.25" customHeight="1">
      <c r="A6" s="67" t="s">
        <v>101</v>
      </c>
      <c r="B6" s="66" t="s">
        <v>14</v>
      </c>
      <c r="C6" s="66" t="s">
        <v>16</v>
      </c>
      <c r="D6" s="66" t="s">
        <v>176</v>
      </c>
      <c r="E6" s="79" t="s">
        <v>199</v>
      </c>
      <c r="F6" s="66" t="s">
        <v>14</v>
      </c>
      <c r="G6" s="66" t="s">
        <v>16</v>
      </c>
      <c r="H6" s="66" t="s">
        <v>176</v>
      </c>
      <c r="I6" s="79" t="s">
        <v>199</v>
      </c>
    </row>
    <row r="7" spans="1:9" ht="23.1" customHeight="1">
      <c r="A7" s="56" t="s">
        <v>23</v>
      </c>
      <c r="B7" s="80">
        <v>4002988</v>
      </c>
      <c r="C7" s="57">
        <v>22481774152</v>
      </c>
      <c r="D7" s="57">
        <v>-24806104070</v>
      </c>
      <c r="E7" s="57">
        <v>-2324329918</v>
      </c>
      <c r="F7" s="80">
        <v>4002988</v>
      </c>
      <c r="G7" s="57">
        <v>22481774152</v>
      </c>
      <c r="H7" s="57">
        <v>-22435773773</v>
      </c>
      <c r="I7" s="57">
        <v>46000379</v>
      </c>
    </row>
    <row r="8" spans="1:9" ht="23.1" customHeight="1">
      <c r="A8" s="56" t="s">
        <v>24</v>
      </c>
      <c r="B8" s="80">
        <v>765849</v>
      </c>
      <c r="C8" s="57">
        <v>46120090239</v>
      </c>
      <c r="D8" s="57">
        <v>-50091753071</v>
      </c>
      <c r="E8" s="57">
        <v>-3971662832</v>
      </c>
      <c r="F8" s="80">
        <v>765849</v>
      </c>
      <c r="G8" s="57">
        <v>46120090239</v>
      </c>
      <c r="H8" s="57">
        <v>-47291349972</v>
      </c>
      <c r="I8" s="57">
        <v>-1171259733</v>
      </c>
    </row>
    <row r="9" spans="1:9" ht="23.1" customHeight="1">
      <c r="A9" s="56" t="s">
        <v>25</v>
      </c>
      <c r="B9" s="80">
        <v>1656411</v>
      </c>
      <c r="C9" s="57">
        <v>12080511034</v>
      </c>
      <c r="D9" s="57">
        <v>-12784429514</v>
      </c>
      <c r="E9" s="57">
        <v>-703918480</v>
      </c>
      <c r="F9" s="80">
        <v>1656411</v>
      </c>
      <c r="G9" s="57">
        <v>12080511034</v>
      </c>
      <c r="H9" s="57">
        <v>-13826292073</v>
      </c>
      <c r="I9" s="57">
        <v>-1745781039</v>
      </c>
    </row>
    <row r="10" spans="1:9" ht="23.1" customHeight="1">
      <c r="A10" s="56" t="s">
        <v>26</v>
      </c>
      <c r="B10" s="80">
        <v>26400000</v>
      </c>
      <c r="C10" s="57">
        <v>14643523753</v>
      </c>
      <c r="D10" s="57">
        <v>-15027703541</v>
      </c>
      <c r="E10" s="57">
        <v>-384179788</v>
      </c>
      <c r="F10" s="80">
        <v>26400000</v>
      </c>
      <c r="G10" s="57">
        <v>14643523753</v>
      </c>
      <c r="H10" s="57">
        <v>-13907981543</v>
      </c>
      <c r="I10" s="57">
        <v>735542210</v>
      </c>
    </row>
    <row r="11" spans="1:9" ht="23.1" customHeight="1">
      <c r="A11" s="56" t="s">
        <v>27</v>
      </c>
      <c r="B11" s="80">
        <v>0</v>
      </c>
      <c r="C11" s="57">
        <v>0</v>
      </c>
      <c r="D11" s="57">
        <v>-1064621642</v>
      </c>
      <c r="E11" s="57">
        <v>-1064621642</v>
      </c>
      <c r="F11" s="80">
        <v>0</v>
      </c>
      <c r="G11" s="57">
        <v>0</v>
      </c>
      <c r="H11" s="57">
        <v>0</v>
      </c>
      <c r="I11" s="57">
        <v>0</v>
      </c>
    </row>
    <row r="12" spans="1:9" ht="23.1" customHeight="1">
      <c r="A12" s="56" t="s">
        <v>28</v>
      </c>
      <c r="B12" s="80">
        <v>3143280</v>
      </c>
      <c r="C12" s="57">
        <v>51338451059</v>
      </c>
      <c r="D12" s="57">
        <v>-49195798113</v>
      </c>
      <c r="E12" s="57">
        <v>2142652946</v>
      </c>
      <c r="F12" s="80">
        <v>3143280</v>
      </c>
      <c r="G12" s="57">
        <v>51338451059</v>
      </c>
      <c r="H12" s="57">
        <v>-44174049542</v>
      </c>
      <c r="I12" s="57">
        <v>7164401517</v>
      </c>
    </row>
    <row r="13" spans="1:9" ht="23.1" customHeight="1">
      <c r="A13" s="56" t="s">
        <v>29</v>
      </c>
      <c r="B13" s="80">
        <v>20000000</v>
      </c>
      <c r="C13" s="57">
        <v>10637134400</v>
      </c>
      <c r="D13" s="57">
        <v>-11744930457</v>
      </c>
      <c r="E13" s="57">
        <v>-1107796057</v>
      </c>
      <c r="F13" s="80">
        <v>20000000</v>
      </c>
      <c r="G13" s="57">
        <v>10637134400</v>
      </c>
      <c r="H13" s="57">
        <v>-10974491437</v>
      </c>
      <c r="I13" s="57">
        <v>-337357037</v>
      </c>
    </row>
    <row r="14" spans="1:9" ht="23.1" customHeight="1">
      <c r="A14" s="56" t="s">
        <v>30</v>
      </c>
      <c r="B14" s="80">
        <v>6793621</v>
      </c>
      <c r="C14" s="57">
        <v>54131083671</v>
      </c>
      <c r="D14" s="57">
        <v>-55630420236</v>
      </c>
      <c r="E14" s="57">
        <v>-1499336565</v>
      </c>
      <c r="F14" s="80">
        <v>6793621</v>
      </c>
      <c r="G14" s="57">
        <v>54131083671</v>
      </c>
      <c r="H14" s="57">
        <v>-46449600101</v>
      </c>
      <c r="I14" s="57">
        <v>7681483570</v>
      </c>
    </row>
    <row r="15" spans="1:9" ht="23.1" customHeight="1">
      <c r="A15" s="56" t="s">
        <v>31</v>
      </c>
      <c r="B15" s="80">
        <v>1467270</v>
      </c>
      <c r="C15" s="57">
        <v>37315434719</v>
      </c>
      <c r="D15" s="57">
        <v>-40751424805</v>
      </c>
      <c r="E15" s="57">
        <v>-3435990086</v>
      </c>
      <c r="F15" s="80">
        <v>1467270</v>
      </c>
      <c r="G15" s="57">
        <v>37315434719</v>
      </c>
      <c r="H15" s="57">
        <v>-33996867421</v>
      </c>
      <c r="I15" s="57">
        <v>3318567298</v>
      </c>
    </row>
    <row r="16" spans="1:9" ht="23.1" customHeight="1">
      <c r="A16" s="56" t="s">
        <v>32</v>
      </c>
      <c r="B16" s="80">
        <v>0</v>
      </c>
      <c r="C16" s="57">
        <v>0</v>
      </c>
      <c r="D16" s="57">
        <v>-1807027778</v>
      </c>
      <c r="E16" s="57">
        <v>-1807027778</v>
      </c>
      <c r="F16" s="80">
        <v>0</v>
      </c>
      <c r="G16" s="57">
        <v>0</v>
      </c>
      <c r="H16" s="57">
        <v>0</v>
      </c>
      <c r="I16" s="57">
        <v>0</v>
      </c>
    </row>
    <row r="17" spans="1:9" ht="23.1" customHeight="1">
      <c r="A17" s="56" t="s">
        <v>33</v>
      </c>
      <c r="B17" s="80">
        <v>62408</v>
      </c>
      <c r="C17" s="57">
        <v>9336520630</v>
      </c>
      <c r="D17" s="57">
        <v>-6527298382</v>
      </c>
      <c r="E17" s="57">
        <v>2809222248</v>
      </c>
      <c r="F17" s="80">
        <v>62408</v>
      </c>
      <c r="G17" s="57">
        <v>9336520630</v>
      </c>
      <c r="H17" s="57">
        <v>-5659713929</v>
      </c>
      <c r="I17" s="57">
        <v>3676806701</v>
      </c>
    </row>
    <row r="18" spans="1:9" ht="23.1" customHeight="1">
      <c r="A18" s="56" t="s">
        <v>34</v>
      </c>
      <c r="B18" s="80">
        <v>228783</v>
      </c>
      <c r="C18" s="57">
        <v>137554900480</v>
      </c>
      <c r="D18" s="57">
        <v>-139979918101</v>
      </c>
      <c r="E18" s="57">
        <v>-2425017621</v>
      </c>
      <c r="F18" s="80">
        <v>228783</v>
      </c>
      <c r="G18" s="57">
        <v>137554900480</v>
      </c>
      <c r="H18" s="57">
        <v>-135150158048</v>
      </c>
      <c r="I18" s="57">
        <v>2404742432</v>
      </c>
    </row>
    <row r="19" spans="1:9" ht="23.1" customHeight="1">
      <c r="A19" s="56" t="s">
        <v>35</v>
      </c>
      <c r="B19" s="80">
        <v>0</v>
      </c>
      <c r="C19" s="57">
        <v>0</v>
      </c>
      <c r="D19" s="57">
        <v>-779489254</v>
      </c>
      <c r="E19" s="57">
        <v>-779489254</v>
      </c>
      <c r="F19" s="80">
        <v>0</v>
      </c>
      <c r="G19" s="57">
        <v>0</v>
      </c>
      <c r="H19" s="57">
        <v>0</v>
      </c>
      <c r="I19" s="57">
        <v>0</v>
      </c>
    </row>
    <row r="20" spans="1:9" ht="23.1" customHeight="1">
      <c r="A20" s="56" t="s">
        <v>36</v>
      </c>
      <c r="B20" s="80">
        <v>42257527</v>
      </c>
      <c r="C20" s="57">
        <v>25661696310</v>
      </c>
      <c r="D20" s="57">
        <v>-27461522136</v>
      </c>
      <c r="E20" s="57">
        <v>-1799825826</v>
      </c>
      <c r="F20" s="80">
        <v>42257527</v>
      </c>
      <c r="G20" s="57">
        <v>25661696310</v>
      </c>
      <c r="H20" s="57">
        <v>-25428070035</v>
      </c>
      <c r="I20" s="57">
        <v>233626275</v>
      </c>
    </row>
    <row r="21" spans="1:9" ht="23.1" customHeight="1">
      <c r="A21" s="56" t="s">
        <v>37</v>
      </c>
      <c r="B21" s="80">
        <v>20280493</v>
      </c>
      <c r="C21" s="57">
        <v>79850939967</v>
      </c>
      <c r="D21" s="57">
        <v>-84366230658</v>
      </c>
      <c r="E21" s="57">
        <v>-4515290691</v>
      </c>
      <c r="F21" s="80">
        <v>20280493</v>
      </c>
      <c r="G21" s="57">
        <v>79850939967</v>
      </c>
      <c r="H21" s="57">
        <v>-79518967624</v>
      </c>
      <c r="I21" s="57">
        <v>331972343</v>
      </c>
    </row>
    <row r="22" spans="1:9" ht="23.1" customHeight="1">
      <c r="A22" s="56" t="s">
        <v>38</v>
      </c>
      <c r="B22" s="80">
        <v>957528</v>
      </c>
      <c r="C22" s="57">
        <v>7686521838</v>
      </c>
      <c r="D22" s="57">
        <v>-7058417959</v>
      </c>
      <c r="E22" s="57">
        <v>628103879</v>
      </c>
      <c r="F22" s="80">
        <v>957528</v>
      </c>
      <c r="G22" s="57">
        <v>7686521838</v>
      </c>
      <c r="H22" s="57">
        <v>-6201777102</v>
      </c>
      <c r="I22" s="57">
        <v>1484744736</v>
      </c>
    </row>
    <row r="23" spans="1:9" ht="23.1" customHeight="1">
      <c r="A23" s="56" t="s">
        <v>39</v>
      </c>
      <c r="B23" s="80">
        <v>919588</v>
      </c>
      <c r="C23" s="57">
        <v>10639511961</v>
      </c>
      <c r="D23" s="57">
        <v>-9630524850</v>
      </c>
      <c r="E23" s="57">
        <v>1008987111</v>
      </c>
      <c r="F23" s="80">
        <v>919588</v>
      </c>
      <c r="G23" s="57">
        <v>10639511961</v>
      </c>
      <c r="H23" s="57">
        <v>-6820381658</v>
      </c>
      <c r="I23" s="57">
        <v>3819130303</v>
      </c>
    </row>
    <row r="24" spans="1:9" ht="23.1" customHeight="1">
      <c r="A24" s="56" t="s">
        <v>40</v>
      </c>
      <c r="B24" s="80">
        <v>2591721</v>
      </c>
      <c r="C24" s="57">
        <v>5745148754</v>
      </c>
      <c r="D24" s="57">
        <v>-5899639555</v>
      </c>
      <c r="E24" s="57">
        <v>-154490801</v>
      </c>
      <c r="F24" s="80">
        <v>2591721</v>
      </c>
      <c r="G24" s="57">
        <v>5745148754</v>
      </c>
      <c r="H24" s="57">
        <v>-4708548299</v>
      </c>
      <c r="I24" s="57">
        <v>1036600455</v>
      </c>
    </row>
    <row r="25" spans="1:9" ht="23.1" customHeight="1">
      <c r="A25" s="56" t="s">
        <v>41</v>
      </c>
      <c r="B25" s="80">
        <v>2445560</v>
      </c>
      <c r="C25" s="57">
        <v>14511401813</v>
      </c>
      <c r="D25" s="57">
        <v>-13175240013</v>
      </c>
      <c r="E25" s="57">
        <v>1336161800</v>
      </c>
      <c r="F25" s="80">
        <v>2445560</v>
      </c>
      <c r="G25" s="57">
        <v>14511401813</v>
      </c>
      <c r="H25" s="57">
        <v>-10745161097</v>
      </c>
      <c r="I25" s="57">
        <v>3766240716</v>
      </c>
    </row>
    <row r="26" spans="1:9" ht="23.1" customHeight="1">
      <c r="A26" s="56" t="s">
        <v>42</v>
      </c>
      <c r="B26" s="80">
        <v>6488111</v>
      </c>
      <c r="C26" s="57">
        <v>35408768466</v>
      </c>
      <c r="D26" s="57">
        <v>-36628942563</v>
      </c>
      <c r="E26" s="57">
        <v>-1220174097</v>
      </c>
      <c r="F26" s="80">
        <v>6488111</v>
      </c>
      <c r="G26" s="57">
        <v>35408768466</v>
      </c>
      <c r="H26" s="57">
        <v>-34782202639</v>
      </c>
      <c r="I26" s="57">
        <v>626565827</v>
      </c>
    </row>
    <row r="27" spans="1:9" ht="23.1" customHeight="1">
      <c r="A27" s="56" t="s">
        <v>43</v>
      </c>
      <c r="B27" s="80">
        <v>5596494</v>
      </c>
      <c r="C27" s="57">
        <v>16826296301</v>
      </c>
      <c r="D27" s="57">
        <v>-18641644287</v>
      </c>
      <c r="E27" s="57">
        <v>-1815347986</v>
      </c>
      <c r="F27" s="80">
        <v>5596494</v>
      </c>
      <c r="G27" s="57">
        <v>16826296301</v>
      </c>
      <c r="H27" s="57">
        <v>-17769193944</v>
      </c>
      <c r="I27" s="57">
        <v>-942897643</v>
      </c>
    </row>
    <row r="28" spans="1:9" ht="23.1" customHeight="1">
      <c r="A28" s="56" t="s">
        <v>44</v>
      </c>
      <c r="B28" s="80">
        <v>114622</v>
      </c>
      <c r="C28" s="57">
        <v>3249436721</v>
      </c>
      <c r="D28" s="57">
        <v>-3443762072</v>
      </c>
      <c r="E28" s="57">
        <v>-194325351</v>
      </c>
      <c r="F28" s="80">
        <v>114622</v>
      </c>
      <c r="G28" s="57">
        <v>3249436721</v>
      </c>
      <c r="H28" s="57">
        <v>-3541451873</v>
      </c>
      <c r="I28" s="57">
        <v>-292015152</v>
      </c>
    </row>
    <row r="29" spans="1:9" ht="23.1" customHeight="1">
      <c r="A29" s="56" t="s">
        <v>45</v>
      </c>
      <c r="B29" s="80">
        <v>32800130</v>
      </c>
      <c r="C29" s="57">
        <v>47843479946</v>
      </c>
      <c r="D29" s="57">
        <v>-51507371986</v>
      </c>
      <c r="E29" s="57">
        <v>-3663892040</v>
      </c>
      <c r="F29" s="80">
        <v>32800130</v>
      </c>
      <c r="G29" s="57">
        <v>47843479946</v>
      </c>
      <c r="H29" s="57">
        <v>-46255470529</v>
      </c>
      <c r="I29" s="57">
        <v>1588009417</v>
      </c>
    </row>
    <row r="30" spans="1:9" ht="23.1" customHeight="1">
      <c r="A30" s="56" t="s">
        <v>46</v>
      </c>
      <c r="B30" s="80">
        <v>800000</v>
      </c>
      <c r="C30" s="57">
        <v>11891363680</v>
      </c>
      <c r="D30" s="57">
        <v>-11876060117</v>
      </c>
      <c r="E30" s="57">
        <v>15303563</v>
      </c>
      <c r="F30" s="80">
        <v>800000</v>
      </c>
      <c r="G30" s="57">
        <v>11891363680</v>
      </c>
      <c r="H30" s="57">
        <v>-12673672960</v>
      </c>
      <c r="I30" s="57">
        <v>-782309280</v>
      </c>
    </row>
    <row r="31" spans="1:9" ht="23.1" customHeight="1">
      <c r="A31" s="56" t="s">
        <v>47</v>
      </c>
      <c r="B31" s="80">
        <v>4284747</v>
      </c>
      <c r="C31" s="57">
        <v>38604763226</v>
      </c>
      <c r="D31" s="57">
        <v>-32560012069</v>
      </c>
      <c r="E31" s="57">
        <v>6044751157</v>
      </c>
      <c r="F31" s="80">
        <v>4284747</v>
      </c>
      <c r="G31" s="57">
        <v>38604763226</v>
      </c>
      <c r="H31" s="57">
        <v>-21722825793</v>
      </c>
      <c r="I31" s="57">
        <v>16881937433</v>
      </c>
    </row>
    <row r="32" spans="1:9" ht="23.1" customHeight="1">
      <c r="A32" s="56" t="s">
        <v>48</v>
      </c>
      <c r="B32" s="80">
        <v>0</v>
      </c>
      <c r="C32" s="57">
        <v>0</v>
      </c>
      <c r="D32" s="57">
        <v>-51304380</v>
      </c>
      <c r="E32" s="57">
        <v>-51304380</v>
      </c>
      <c r="F32" s="80">
        <v>0</v>
      </c>
      <c r="G32" s="57">
        <v>0</v>
      </c>
      <c r="H32" s="57">
        <v>0</v>
      </c>
      <c r="I32" s="57">
        <v>0</v>
      </c>
    </row>
    <row r="33" spans="1:9" ht="23.1" customHeight="1">
      <c r="A33" s="56" t="s">
        <v>49</v>
      </c>
      <c r="B33" s="80">
        <v>7967264</v>
      </c>
      <c r="C33" s="57">
        <v>21116063403</v>
      </c>
      <c r="D33" s="57">
        <v>-21279531715</v>
      </c>
      <c r="E33" s="57">
        <v>-163468312</v>
      </c>
      <c r="F33" s="80">
        <v>7967264</v>
      </c>
      <c r="G33" s="57">
        <v>21116063403</v>
      </c>
      <c r="H33" s="57">
        <v>-20485287430</v>
      </c>
      <c r="I33" s="57">
        <v>630775973</v>
      </c>
    </row>
    <row r="34" spans="1:9" ht="23.1" customHeight="1">
      <c r="A34" s="56" t="s">
        <v>50</v>
      </c>
      <c r="B34" s="80">
        <v>10534274</v>
      </c>
      <c r="C34" s="57">
        <v>165886635268</v>
      </c>
      <c r="D34" s="57">
        <v>-158546554839</v>
      </c>
      <c r="E34" s="57">
        <v>7340080429</v>
      </c>
      <c r="F34" s="80">
        <v>10534274</v>
      </c>
      <c r="G34" s="57">
        <v>165886635268</v>
      </c>
      <c r="H34" s="57">
        <v>-117509595914</v>
      </c>
      <c r="I34" s="57">
        <v>48377039354</v>
      </c>
    </row>
    <row r="35" spans="1:9" ht="23.1" customHeight="1">
      <c r="A35" s="56" t="s">
        <v>51</v>
      </c>
      <c r="B35" s="80">
        <v>0</v>
      </c>
      <c r="C35" s="57">
        <v>0</v>
      </c>
      <c r="D35" s="57">
        <v>-38162455</v>
      </c>
      <c r="E35" s="57">
        <v>-38162455</v>
      </c>
      <c r="F35" s="80">
        <v>0</v>
      </c>
      <c r="G35" s="57">
        <v>0</v>
      </c>
      <c r="H35" s="57">
        <v>0</v>
      </c>
      <c r="I35" s="57">
        <v>0</v>
      </c>
    </row>
    <row r="36" spans="1:9" ht="23.1" customHeight="1">
      <c r="A36" s="56" t="s">
        <v>52</v>
      </c>
      <c r="B36" s="80">
        <v>190977</v>
      </c>
      <c r="C36" s="57">
        <v>6173934368</v>
      </c>
      <c r="D36" s="57">
        <v>-8111274553</v>
      </c>
      <c r="E36" s="57">
        <v>-1937340185</v>
      </c>
      <c r="F36" s="80">
        <v>190977</v>
      </c>
      <c r="G36" s="57">
        <v>6173934368</v>
      </c>
      <c r="H36" s="57">
        <v>-6264429292</v>
      </c>
      <c r="I36" s="57">
        <v>-90494924</v>
      </c>
    </row>
    <row r="37" spans="1:9" ht="23.1" customHeight="1">
      <c r="A37" s="56" t="s">
        <v>53</v>
      </c>
      <c r="B37" s="80">
        <v>13797310</v>
      </c>
      <c r="C37" s="57">
        <v>183317894471</v>
      </c>
      <c r="D37" s="57">
        <v>-150878303554</v>
      </c>
      <c r="E37" s="57">
        <v>32439590917</v>
      </c>
      <c r="F37" s="80">
        <v>13797310</v>
      </c>
      <c r="G37" s="57">
        <v>183317894471</v>
      </c>
      <c r="H37" s="57">
        <v>-136220460467</v>
      </c>
      <c r="I37" s="57">
        <v>47097434004</v>
      </c>
    </row>
    <row r="38" spans="1:9" ht="23.1" customHeight="1">
      <c r="A38" s="56" t="s">
        <v>54</v>
      </c>
      <c r="B38" s="80">
        <v>0</v>
      </c>
      <c r="C38" s="57">
        <v>0</v>
      </c>
      <c r="D38" s="57">
        <v>-35508722</v>
      </c>
      <c r="E38" s="57">
        <v>-35508722</v>
      </c>
      <c r="F38" s="80">
        <v>0</v>
      </c>
      <c r="G38" s="57">
        <v>0</v>
      </c>
      <c r="H38" s="57">
        <v>0</v>
      </c>
      <c r="I38" s="57">
        <v>0</v>
      </c>
    </row>
    <row r="39" spans="1:9" ht="23.1" customHeight="1">
      <c r="A39" s="56" t="s">
        <v>55</v>
      </c>
      <c r="B39" s="80">
        <v>209199</v>
      </c>
      <c r="C39" s="57">
        <v>12567007728</v>
      </c>
      <c r="D39" s="57">
        <v>-13070601120</v>
      </c>
      <c r="E39" s="57">
        <v>-503593392</v>
      </c>
      <c r="F39" s="80">
        <v>209199</v>
      </c>
      <c r="G39" s="57">
        <v>12567007728</v>
      </c>
      <c r="H39" s="57">
        <v>-13522077549</v>
      </c>
      <c r="I39" s="57">
        <v>-955069821</v>
      </c>
    </row>
    <row r="40" spans="1:9" ht="23.1" customHeight="1">
      <c r="A40" s="56" t="s">
        <v>56</v>
      </c>
      <c r="B40" s="80">
        <v>657167</v>
      </c>
      <c r="C40" s="57">
        <v>5379718571</v>
      </c>
      <c r="D40" s="57">
        <v>-5956291093</v>
      </c>
      <c r="E40" s="57">
        <v>-576572522</v>
      </c>
      <c r="F40" s="80">
        <v>657167</v>
      </c>
      <c r="G40" s="57">
        <v>5379718571</v>
      </c>
      <c r="H40" s="57">
        <v>-4575996238</v>
      </c>
      <c r="I40" s="57">
        <v>803722333</v>
      </c>
    </row>
    <row r="41" spans="1:9" ht="23.1" customHeight="1">
      <c r="A41" s="56" t="s">
        <v>57</v>
      </c>
      <c r="B41" s="80">
        <v>198285</v>
      </c>
      <c r="C41" s="57">
        <v>13558198030</v>
      </c>
      <c r="D41" s="57">
        <v>-9570274427</v>
      </c>
      <c r="E41" s="57">
        <v>3987923603</v>
      </c>
      <c r="F41" s="80">
        <v>198285</v>
      </c>
      <c r="G41" s="57">
        <v>13558198030</v>
      </c>
      <c r="H41" s="57">
        <v>-7884793736</v>
      </c>
      <c r="I41" s="57">
        <v>5673404294</v>
      </c>
    </row>
    <row r="42" spans="1:9" ht="23.1" customHeight="1">
      <c r="A42" s="56" t="s">
        <v>58</v>
      </c>
      <c r="B42" s="80">
        <v>5034648</v>
      </c>
      <c r="C42" s="57">
        <v>14942228946</v>
      </c>
      <c r="D42" s="57">
        <v>-13198719115</v>
      </c>
      <c r="E42" s="57">
        <v>1743509831</v>
      </c>
      <c r="F42" s="80">
        <v>5034648</v>
      </c>
      <c r="G42" s="57">
        <v>14942228946</v>
      </c>
      <c r="H42" s="57">
        <v>-10556129238</v>
      </c>
      <c r="I42" s="57">
        <v>4386099708</v>
      </c>
    </row>
    <row r="43" spans="1:9" ht="23.1" customHeight="1">
      <c r="A43" s="56" t="s">
        <v>59</v>
      </c>
      <c r="B43" s="80">
        <v>889011</v>
      </c>
      <c r="C43" s="57">
        <v>16434248550</v>
      </c>
      <c r="D43" s="57">
        <v>-18966088741</v>
      </c>
      <c r="E43" s="57">
        <v>-2531840191</v>
      </c>
      <c r="F43" s="80">
        <v>889011</v>
      </c>
      <c r="G43" s="57">
        <v>16434248550</v>
      </c>
      <c r="H43" s="57">
        <v>-16231472217</v>
      </c>
      <c r="I43" s="57">
        <v>202776333</v>
      </c>
    </row>
    <row r="44" spans="1:9" ht="23.1" customHeight="1">
      <c r="A44" s="56" t="s">
        <v>60</v>
      </c>
      <c r="B44" s="80">
        <v>0</v>
      </c>
      <c r="C44" s="57">
        <v>0</v>
      </c>
      <c r="D44" s="57">
        <v>-395462578</v>
      </c>
      <c r="E44" s="57">
        <v>-395462578</v>
      </c>
      <c r="F44" s="80">
        <v>0</v>
      </c>
      <c r="G44" s="57">
        <v>0</v>
      </c>
      <c r="H44" s="57">
        <v>0</v>
      </c>
      <c r="I44" s="57">
        <v>0</v>
      </c>
    </row>
    <row r="45" spans="1:9" ht="23.1" customHeight="1">
      <c r="A45" s="56" t="s">
        <v>61</v>
      </c>
      <c r="B45" s="80">
        <v>2645790</v>
      </c>
      <c r="C45" s="57">
        <v>12234075285</v>
      </c>
      <c r="D45" s="57">
        <v>-13937402298</v>
      </c>
      <c r="E45" s="57">
        <v>-1703327013</v>
      </c>
      <c r="F45" s="80">
        <v>2645790</v>
      </c>
      <c r="G45" s="57">
        <v>12234075285</v>
      </c>
      <c r="H45" s="57">
        <v>-13505866233</v>
      </c>
      <c r="I45" s="57">
        <v>-1271790948</v>
      </c>
    </row>
    <row r="46" spans="1:9" ht="23.1" customHeight="1">
      <c r="A46" s="56" t="s">
        <v>62</v>
      </c>
      <c r="B46" s="80">
        <v>0</v>
      </c>
      <c r="C46" s="57">
        <v>0</v>
      </c>
      <c r="D46" s="57">
        <v>-690063487</v>
      </c>
      <c r="E46" s="57">
        <v>-690063487</v>
      </c>
      <c r="F46" s="80">
        <v>0</v>
      </c>
      <c r="G46" s="57">
        <v>0</v>
      </c>
      <c r="H46" s="57">
        <v>0</v>
      </c>
      <c r="I46" s="57">
        <v>0</v>
      </c>
    </row>
    <row r="47" spans="1:9" ht="23.1" customHeight="1">
      <c r="A47" s="56" t="s">
        <v>63</v>
      </c>
      <c r="B47" s="80">
        <v>0</v>
      </c>
      <c r="C47" s="57">
        <v>0</v>
      </c>
      <c r="D47" s="57">
        <v>224454957</v>
      </c>
      <c r="E47" s="57">
        <v>224454957</v>
      </c>
      <c r="F47" s="80">
        <v>0</v>
      </c>
      <c r="G47" s="57">
        <v>0</v>
      </c>
      <c r="H47" s="57">
        <v>0</v>
      </c>
      <c r="I47" s="57">
        <v>0</v>
      </c>
    </row>
    <row r="48" spans="1:9" ht="23.1" customHeight="1">
      <c r="A48" s="56" t="s">
        <v>64</v>
      </c>
      <c r="B48" s="80">
        <v>562530</v>
      </c>
      <c r="C48" s="57">
        <v>5163180201</v>
      </c>
      <c r="D48" s="57">
        <v>-5549383100</v>
      </c>
      <c r="E48" s="57">
        <v>-386202899</v>
      </c>
      <c r="F48" s="80">
        <v>562530</v>
      </c>
      <c r="G48" s="57">
        <v>5163180201</v>
      </c>
      <c r="H48" s="57">
        <v>-3804354853</v>
      </c>
      <c r="I48" s="57">
        <v>1358825348</v>
      </c>
    </row>
    <row r="49" spans="1:9" ht="23.1" customHeight="1">
      <c r="A49" s="56" t="s">
        <v>65</v>
      </c>
      <c r="B49" s="80">
        <v>0</v>
      </c>
      <c r="C49" s="57">
        <v>0</v>
      </c>
      <c r="D49" s="57">
        <v>-265792230</v>
      </c>
      <c r="E49" s="57">
        <v>-265792230</v>
      </c>
      <c r="F49" s="80">
        <v>0</v>
      </c>
      <c r="G49" s="57">
        <v>0</v>
      </c>
      <c r="H49" s="57">
        <v>0</v>
      </c>
      <c r="I49" s="57">
        <v>0</v>
      </c>
    </row>
    <row r="50" spans="1:9" ht="23.1" customHeight="1">
      <c r="A50" s="56" t="s">
        <v>67</v>
      </c>
      <c r="B50" s="80">
        <v>19245445</v>
      </c>
      <c r="C50" s="57">
        <v>8459828230</v>
      </c>
      <c r="D50" s="57">
        <v>-8173167677</v>
      </c>
      <c r="E50" s="57">
        <v>286660553</v>
      </c>
      <c r="F50" s="80">
        <v>19245445</v>
      </c>
      <c r="G50" s="57">
        <v>8459828230</v>
      </c>
      <c r="H50" s="57">
        <v>-9030792419</v>
      </c>
      <c r="I50" s="57">
        <v>-570964189</v>
      </c>
    </row>
    <row r="51" spans="1:9" ht="23.1" customHeight="1">
      <c r="A51" s="56" t="s">
        <v>68</v>
      </c>
      <c r="B51" s="80">
        <v>17817596</v>
      </c>
      <c r="C51" s="57">
        <v>11898549810</v>
      </c>
      <c r="D51" s="57">
        <v>-12771949556</v>
      </c>
      <c r="E51" s="57">
        <v>-873399746</v>
      </c>
      <c r="F51" s="80">
        <v>17817596</v>
      </c>
      <c r="G51" s="57">
        <v>11898549810</v>
      </c>
      <c r="H51" s="57">
        <v>-10545902033</v>
      </c>
      <c r="I51" s="57">
        <v>1352647777</v>
      </c>
    </row>
    <row r="52" spans="1:9" ht="23.1" customHeight="1">
      <c r="A52" s="56" t="s">
        <v>69</v>
      </c>
      <c r="B52" s="80">
        <v>365422</v>
      </c>
      <c r="C52" s="57">
        <v>19982736541</v>
      </c>
      <c r="D52" s="57">
        <v>-21688844845</v>
      </c>
      <c r="E52" s="57">
        <v>-1706108304</v>
      </c>
      <c r="F52" s="80">
        <v>365422</v>
      </c>
      <c r="G52" s="57">
        <v>19982736541</v>
      </c>
      <c r="H52" s="57">
        <v>-22975085179</v>
      </c>
      <c r="I52" s="57">
        <v>-2992348638</v>
      </c>
    </row>
    <row r="53" spans="1:9" ht="23.1" customHeight="1">
      <c r="A53" s="56" t="s">
        <v>70</v>
      </c>
      <c r="B53" s="80">
        <v>1149270</v>
      </c>
      <c r="C53" s="57">
        <v>31212368735</v>
      </c>
      <c r="D53" s="57">
        <v>-26169679442</v>
      </c>
      <c r="E53" s="57">
        <v>5042689293</v>
      </c>
      <c r="F53" s="80">
        <v>1149270</v>
      </c>
      <c r="G53" s="57">
        <v>31212368735</v>
      </c>
      <c r="H53" s="57">
        <v>-24641344952</v>
      </c>
      <c r="I53" s="57">
        <v>6571023783</v>
      </c>
    </row>
    <row r="54" spans="1:9" ht="23.1" customHeight="1">
      <c r="A54" s="56" t="s">
        <v>71</v>
      </c>
      <c r="B54" s="80">
        <v>208850</v>
      </c>
      <c r="C54" s="57">
        <v>7760972831</v>
      </c>
      <c r="D54" s="57">
        <v>-5966930485</v>
      </c>
      <c r="E54" s="57">
        <v>1794042346</v>
      </c>
      <c r="F54" s="80">
        <v>208850</v>
      </c>
      <c r="G54" s="57">
        <v>7760972831</v>
      </c>
      <c r="H54" s="57">
        <v>-5477116988</v>
      </c>
      <c r="I54" s="57">
        <v>2283855843</v>
      </c>
    </row>
    <row r="55" spans="1:9" ht="23.1" customHeight="1">
      <c r="A55" s="56" t="s">
        <v>73</v>
      </c>
      <c r="B55" s="80">
        <v>5989070</v>
      </c>
      <c r="C55" s="57">
        <v>28507489226</v>
      </c>
      <c r="D55" s="57">
        <v>-21995806215</v>
      </c>
      <c r="E55" s="57">
        <v>6511683011</v>
      </c>
      <c r="F55" s="80">
        <v>5989070</v>
      </c>
      <c r="G55" s="57">
        <v>28507489226</v>
      </c>
      <c r="H55" s="57">
        <v>-18105866928</v>
      </c>
      <c r="I55" s="57">
        <v>10401622298</v>
      </c>
    </row>
    <row r="56" spans="1:9" ht="23.1" customHeight="1">
      <c r="A56" s="56" t="s">
        <v>74</v>
      </c>
      <c r="B56" s="80">
        <v>0</v>
      </c>
      <c r="C56" s="57">
        <v>0</v>
      </c>
      <c r="D56" s="57">
        <v>-566658928</v>
      </c>
      <c r="E56" s="57">
        <v>-566658928</v>
      </c>
      <c r="F56" s="80">
        <v>0</v>
      </c>
      <c r="G56" s="57">
        <v>0</v>
      </c>
      <c r="H56" s="57">
        <v>0</v>
      </c>
      <c r="I56" s="57">
        <v>0</v>
      </c>
    </row>
    <row r="57" spans="1:9" ht="23.1" customHeight="1">
      <c r="A57" s="56" t="s">
        <v>75</v>
      </c>
      <c r="B57" s="80">
        <v>6004</v>
      </c>
      <c r="C57" s="57">
        <v>62137658</v>
      </c>
      <c r="D57" s="57">
        <v>-358530107</v>
      </c>
      <c r="E57" s="57">
        <v>-296392449</v>
      </c>
      <c r="F57" s="80">
        <v>6004</v>
      </c>
      <c r="G57" s="57">
        <v>62137658</v>
      </c>
      <c r="H57" s="57">
        <v>-40398837</v>
      </c>
      <c r="I57" s="57">
        <v>21738821</v>
      </c>
    </row>
    <row r="58" spans="1:9" ht="23.1" customHeight="1">
      <c r="A58" s="56" t="s">
        <v>76</v>
      </c>
      <c r="B58" s="80">
        <v>0</v>
      </c>
      <c r="C58" s="57">
        <v>0</v>
      </c>
      <c r="D58" s="57">
        <v>-33106715</v>
      </c>
      <c r="E58" s="57">
        <v>-33106715</v>
      </c>
      <c r="F58" s="80">
        <v>0</v>
      </c>
      <c r="G58" s="57">
        <v>0</v>
      </c>
      <c r="H58" s="57">
        <v>0</v>
      </c>
      <c r="I58" s="57">
        <v>0</v>
      </c>
    </row>
    <row r="59" spans="1:9" ht="23.1" customHeight="1">
      <c r="A59" s="56" t="s">
        <v>77</v>
      </c>
      <c r="B59" s="80">
        <v>163951</v>
      </c>
      <c r="C59" s="57">
        <v>5405977984</v>
      </c>
      <c r="D59" s="57">
        <v>-5067595974</v>
      </c>
      <c r="E59" s="57">
        <v>338382010</v>
      </c>
      <c r="F59" s="80">
        <v>163951</v>
      </c>
      <c r="G59" s="57">
        <v>5405977984</v>
      </c>
      <c r="H59" s="57">
        <v>-3598782004</v>
      </c>
      <c r="I59" s="57">
        <v>1807195980</v>
      </c>
    </row>
    <row r="60" spans="1:9" ht="23.1" customHeight="1">
      <c r="A60" s="56" t="s">
        <v>78</v>
      </c>
      <c r="B60" s="80">
        <v>519620</v>
      </c>
      <c r="C60" s="57">
        <v>3036903661</v>
      </c>
      <c r="D60" s="57">
        <v>-2944095061</v>
      </c>
      <c r="E60" s="57">
        <v>92808600</v>
      </c>
      <c r="F60" s="80">
        <v>519620</v>
      </c>
      <c r="G60" s="57">
        <v>3036903661</v>
      </c>
      <c r="H60" s="57">
        <v>-2735511469</v>
      </c>
      <c r="I60" s="57">
        <v>301392192</v>
      </c>
    </row>
    <row r="61" spans="1:9" ht="23.1" customHeight="1">
      <c r="A61" s="56" t="s">
        <v>79</v>
      </c>
      <c r="B61" s="80">
        <v>0</v>
      </c>
      <c r="C61" s="57">
        <v>0</v>
      </c>
      <c r="D61" s="57">
        <v>-1095471751</v>
      </c>
      <c r="E61" s="57">
        <v>-1095471751</v>
      </c>
      <c r="F61" s="80">
        <v>0</v>
      </c>
      <c r="G61" s="57">
        <v>0</v>
      </c>
      <c r="H61" s="57">
        <v>0</v>
      </c>
      <c r="I61" s="57">
        <v>0</v>
      </c>
    </row>
    <row r="62" spans="1:9" ht="23.1" customHeight="1">
      <c r="A62" s="56" t="s">
        <v>80</v>
      </c>
      <c r="B62" s="80">
        <v>22853739</v>
      </c>
      <c r="C62" s="57">
        <v>43177159557</v>
      </c>
      <c r="D62" s="57">
        <v>-41147568730</v>
      </c>
      <c r="E62" s="57">
        <v>2029590827</v>
      </c>
      <c r="F62" s="80">
        <v>22853739</v>
      </c>
      <c r="G62" s="57">
        <v>43177159557</v>
      </c>
      <c r="H62" s="57">
        <v>-38875406489</v>
      </c>
      <c r="I62" s="57">
        <v>4301753068</v>
      </c>
    </row>
    <row r="63" spans="1:9" ht="23.1" customHeight="1">
      <c r="A63" s="56" t="s">
        <v>81</v>
      </c>
      <c r="B63" s="80">
        <v>98308</v>
      </c>
      <c r="C63" s="57">
        <v>10066961772</v>
      </c>
      <c r="D63" s="57">
        <v>-10175709732</v>
      </c>
      <c r="E63" s="57">
        <v>-108747960</v>
      </c>
      <c r="F63" s="80">
        <v>98308</v>
      </c>
      <c r="G63" s="57">
        <v>10066961772</v>
      </c>
      <c r="H63" s="57">
        <v>-10405577469</v>
      </c>
      <c r="I63" s="57">
        <v>-338615697</v>
      </c>
    </row>
    <row r="64" spans="1:9" ht="23.1" customHeight="1">
      <c r="A64" s="56" t="s">
        <v>82</v>
      </c>
      <c r="B64" s="80">
        <v>200000</v>
      </c>
      <c r="C64" s="57">
        <v>12589921760</v>
      </c>
      <c r="D64" s="57">
        <v>-10628218552</v>
      </c>
      <c r="E64" s="57">
        <v>1961703208</v>
      </c>
      <c r="F64" s="80">
        <v>200000</v>
      </c>
      <c r="G64" s="57">
        <v>12589921760</v>
      </c>
      <c r="H64" s="57">
        <v>-10628218552</v>
      </c>
      <c r="I64" s="57">
        <v>1961703208</v>
      </c>
    </row>
    <row r="65" spans="1:9" ht="23.1" customHeight="1">
      <c r="A65" s="56" t="s">
        <v>83</v>
      </c>
      <c r="B65" s="80">
        <v>50000</v>
      </c>
      <c r="C65" s="57">
        <v>49613500</v>
      </c>
      <c r="D65" s="57">
        <v>-49613500</v>
      </c>
      <c r="E65" s="57">
        <v>0</v>
      </c>
      <c r="F65" s="80">
        <v>50000</v>
      </c>
      <c r="G65" s="57">
        <v>49613500</v>
      </c>
      <c r="H65" s="57">
        <v>-49863800</v>
      </c>
      <c r="I65" s="57">
        <v>-250300</v>
      </c>
    </row>
    <row r="66" spans="1:9" ht="23.1" customHeight="1">
      <c r="A66" s="56" t="s">
        <v>72</v>
      </c>
      <c r="B66" s="80">
        <v>0</v>
      </c>
      <c r="C66" s="57">
        <v>0</v>
      </c>
      <c r="D66" s="57">
        <v>-2810044275</v>
      </c>
      <c r="E66" s="57">
        <v>-2810044275</v>
      </c>
      <c r="F66" s="80">
        <v>0</v>
      </c>
      <c r="G66" s="57">
        <v>0</v>
      </c>
      <c r="H66" s="57">
        <v>0</v>
      </c>
      <c r="I66" s="57">
        <v>0</v>
      </c>
    </row>
    <row r="67" spans="1:9" ht="23.1" customHeight="1">
      <c r="A67" s="56" t="s">
        <v>84</v>
      </c>
      <c r="B67" s="80"/>
      <c r="C67" s="57">
        <v>1332542559206</v>
      </c>
      <c r="D67" s="57">
        <v>-1304399542224</v>
      </c>
      <c r="E67" s="57">
        <f>SUBTOTAL(109,E7:E66)</f>
        <v>28143016982</v>
      </c>
      <c r="F67" s="80"/>
      <c r="G67" s="57">
        <v>1332542559206</v>
      </c>
      <c r="H67" s="57">
        <v>-1151704331678</v>
      </c>
      <c r="I67" s="57">
        <f>SUBTOTAL(109,I7:I66)</f>
        <v>180838227528</v>
      </c>
    </row>
    <row r="68" spans="1:9" ht="23.1" customHeight="1">
      <c r="A68" s="56" t="s">
        <v>85</v>
      </c>
      <c r="B68" s="86"/>
      <c r="C68" s="69"/>
      <c r="D68" s="69"/>
      <c r="E68" s="69"/>
      <c r="F68" s="86"/>
      <c r="G68" s="69"/>
      <c r="H68" s="69"/>
      <c r="I68" s="69"/>
    </row>
    <row r="71" spans="1:9">
      <c r="A71" s="87" t="s">
        <v>197</v>
      </c>
      <c r="B71" s="87"/>
      <c r="C71" s="87"/>
      <c r="D71" s="87"/>
      <c r="E71" s="87"/>
      <c r="F71" s="87"/>
      <c r="G71" s="87"/>
      <c r="H71" s="87"/>
      <c r="I71" s="87"/>
    </row>
  </sheetData>
  <mergeCells count="7">
    <mergeCell ref="A71:I71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scale="74" orientation="landscape" horizontalDpi="4294967295" verticalDpi="4294967295" r:id="rId1"/>
  <headerFooter differentOddEven="1" differentFirst="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K102"/>
  <sheetViews>
    <sheetView rightToLeft="1" view="pageBreakPreview" topLeftCell="A4" zoomScale="106" zoomScaleNormal="115" zoomScaleSheetLayoutView="106" workbookViewId="0">
      <selection activeCell="E111" sqref="E111"/>
    </sheetView>
  </sheetViews>
  <sheetFormatPr defaultColWidth="9" defaultRowHeight="18.75"/>
  <cols>
    <col min="1" max="1" width="38.85546875" style="43" bestFit="1" customWidth="1"/>
    <col min="2" max="2" width="16.42578125" style="43" bestFit="1" customWidth="1"/>
    <col min="3" max="4" width="18.140625" style="43" bestFit="1" customWidth="1"/>
    <col min="5" max="5" width="19" style="43" bestFit="1" customWidth="1"/>
    <col min="6" max="6" width="16.140625" style="43" bestFit="1" customWidth="1"/>
    <col min="7" max="7" width="17.85546875" style="43" bestFit="1" customWidth="1"/>
    <col min="8" max="8" width="19" style="43" bestFit="1" customWidth="1"/>
    <col min="9" max="9" width="18.140625" style="43" bestFit="1" customWidth="1"/>
    <col min="10" max="10" width="18.85546875" style="43" bestFit="1" customWidth="1"/>
    <col min="11" max="11" width="16.140625" style="101" bestFit="1" customWidth="1"/>
    <col min="12" max="12" width="9" style="7" customWidth="1"/>
    <col min="13" max="16384" width="9" style="7"/>
  </cols>
  <sheetData>
    <row r="1" spans="1:11" ht="21">
      <c r="A1" s="88" t="s">
        <v>1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21">
      <c r="A2" s="88" t="s">
        <v>98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1" ht="21">
      <c r="A3" s="88" t="s">
        <v>99</v>
      </c>
      <c r="B3" s="88"/>
      <c r="C3" s="88"/>
      <c r="D3" s="88"/>
      <c r="E3" s="88"/>
      <c r="F3" s="88"/>
      <c r="G3" s="88"/>
      <c r="H3" s="88"/>
      <c r="I3" s="88"/>
      <c r="J3" s="88"/>
      <c r="K3" s="88"/>
    </row>
    <row r="5" spans="1:11">
      <c r="A5" s="89" t="s">
        <v>204</v>
      </c>
      <c r="B5" s="89"/>
      <c r="C5" s="89"/>
      <c r="D5" s="89"/>
      <c r="E5" s="89"/>
      <c r="F5" s="89"/>
      <c r="G5" s="89"/>
      <c r="H5" s="89"/>
      <c r="I5" s="89"/>
      <c r="J5" s="89"/>
      <c r="K5" s="89"/>
    </row>
    <row r="7" spans="1:11" ht="19.5" customHeight="1">
      <c r="A7" s="90"/>
      <c r="B7" s="91" t="s">
        <v>117</v>
      </c>
      <c r="C7" s="91"/>
      <c r="D7" s="91"/>
      <c r="E7" s="91"/>
      <c r="F7" s="91"/>
      <c r="G7" s="91" t="s">
        <v>118</v>
      </c>
      <c r="H7" s="91"/>
      <c r="I7" s="91"/>
      <c r="J7" s="91"/>
      <c r="K7" s="91"/>
    </row>
    <row r="8" spans="1:11" ht="19.5" customHeight="1">
      <c r="A8" s="92" t="s">
        <v>205</v>
      </c>
      <c r="B8" s="93" t="s">
        <v>115</v>
      </c>
      <c r="C8" s="93" t="s">
        <v>200</v>
      </c>
      <c r="D8" s="93" t="s">
        <v>201</v>
      </c>
      <c r="E8" s="93" t="s">
        <v>84</v>
      </c>
      <c r="F8" s="93"/>
      <c r="G8" s="93" t="s">
        <v>115</v>
      </c>
      <c r="H8" s="93" t="s">
        <v>200</v>
      </c>
      <c r="I8" s="93" t="s">
        <v>201</v>
      </c>
      <c r="J8" s="93" t="s">
        <v>84</v>
      </c>
      <c r="K8" s="93"/>
    </row>
    <row r="9" spans="1:11" ht="18.75" customHeight="1">
      <c r="A9" s="92"/>
      <c r="B9" s="94"/>
      <c r="C9" s="94"/>
      <c r="D9" s="94"/>
      <c r="E9" s="91"/>
      <c r="F9" s="91"/>
      <c r="G9" s="94"/>
      <c r="H9" s="94"/>
      <c r="I9" s="94"/>
      <c r="J9" s="91"/>
      <c r="K9" s="91"/>
    </row>
    <row r="10" spans="1:11" ht="28.5" customHeight="1">
      <c r="A10" s="95"/>
      <c r="B10" s="96" t="s">
        <v>202</v>
      </c>
      <c r="C10" s="96" t="s">
        <v>203</v>
      </c>
      <c r="D10" s="96" t="s">
        <v>203</v>
      </c>
      <c r="E10" s="97" t="s">
        <v>92</v>
      </c>
      <c r="F10" s="97" t="s">
        <v>206</v>
      </c>
      <c r="G10" s="96" t="s">
        <v>202</v>
      </c>
      <c r="H10" s="96" t="s">
        <v>203</v>
      </c>
      <c r="I10" s="96" t="s">
        <v>203</v>
      </c>
      <c r="J10" s="97" t="s">
        <v>92</v>
      </c>
      <c r="K10" s="98" t="s">
        <v>206</v>
      </c>
    </row>
    <row r="11" spans="1:11" ht="23.1" customHeight="1">
      <c r="A11" s="56" t="s">
        <v>142</v>
      </c>
      <c r="B11" s="57">
        <v>0</v>
      </c>
      <c r="C11" s="57">
        <v>0</v>
      </c>
      <c r="D11" s="57">
        <v>0</v>
      </c>
      <c r="E11" s="57">
        <v>0</v>
      </c>
      <c r="F11" s="57">
        <f>Table14[[#This Row],[Column5]]/درآمدها!$E$12</f>
        <v>0</v>
      </c>
      <c r="G11" s="57">
        <v>239981000</v>
      </c>
      <c r="H11" s="57">
        <v>0</v>
      </c>
      <c r="I11" s="57">
        <v>-565874784</v>
      </c>
      <c r="J11" s="57">
        <v>-325893784</v>
      </c>
      <c r="K11" s="72">
        <f>Table14[[#This Row],[-325893784.0000]]/درآمدها!$E$12</f>
        <v>-1.0814247291816602E-3</v>
      </c>
    </row>
    <row r="12" spans="1:11" ht="23.1" customHeight="1">
      <c r="A12" s="56" t="s">
        <v>23</v>
      </c>
      <c r="B12" s="57">
        <v>0</v>
      </c>
      <c r="C12" s="57">
        <v>-2324329918</v>
      </c>
      <c r="D12" s="57">
        <v>364150110</v>
      </c>
      <c r="E12" s="57">
        <v>-1960179808</v>
      </c>
      <c r="F12" s="57">
        <f>Table14[[#This Row],[Column5]]/درآمدها!$E$12</f>
        <v>-6.5045331395880779E-3</v>
      </c>
      <c r="G12" s="57">
        <v>64593540</v>
      </c>
      <c r="H12" s="57">
        <v>46000379</v>
      </c>
      <c r="I12" s="57">
        <v>995966800</v>
      </c>
      <c r="J12" s="57">
        <v>1106560719</v>
      </c>
      <c r="K12" s="72">
        <f>Table14[[#This Row],[-325893784.0000]]/درآمدها!$E$12</f>
        <v>3.6719390937129327E-3</v>
      </c>
    </row>
    <row r="13" spans="1:11" ht="23.1" customHeight="1">
      <c r="A13" s="56" t="s">
        <v>24</v>
      </c>
      <c r="B13" s="57">
        <v>0</v>
      </c>
      <c r="C13" s="57">
        <v>-3971662832</v>
      </c>
      <c r="D13" s="57">
        <v>5659603608</v>
      </c>
      <c r="E13" s="57">
        <v>1687940776</v>
      </c>
      <c r="F13" s="57">
        <f>Table14[[#This Row],[Column5]]/درآمدها!$E$12</f>
        <v>5.6011528485013428E-3</v>
      </c>
      <c r="G13" s="57">
        <v>1366592600</v>
      </c>
      <c r="H13" s="57">
        <v>-1171259733</v>
      </c>
      <c r="I13" s="57">
        <v>4885008211</v>
      </c>
      <c r="J13" s="57">
        <v>5080341078</v>
      </c>
      <c r="K13" s="72">
        <f>Table14[[#This Row],[-325893784.0000]]/درآمدها!$E$12</f>
        <v>1.6858273290743752E-2</v>
      </c>
    </row>
    <row r="14" spans="1:11" ht="23.1" customHeight="1">
      <c r="A14" s="56" t="s">
        <v>25</v>
      </c>
      <c r="B14" s="57">
        <v>0</v>
      </c>
      <c r="C14" s="57">
        <v>-703918480</v>
      </c>
      <c r="D14" s="57">
        <v>-1383852272</v>
      </c>
      <c r="E14" s="57">
        <v>-2087770752</v>
      </c>
      <c r="F14" s="57">
        <f>Table14[[#This Row],[Column5]]/درآمدها!$E$12</f>
        <v>-6.9279226267015609E-3</v>
      </c>
      <c r="G14" s="57">
        <v>809823000</v>
      </c>
      <c r="H14" s="57">
        <v>-1745781039</v>
      </c>
      <c r="I14" s="57">
        <v>-1564551468</v>
      </c>
      <c r="J14" s="57">
        <v>-2500509507</v>
      </c>
      <c r="K14" s="72">
        <f>Table14[[#This Row],[-325893784.0000]]/درآمدها!$E$12</f>
        <v>-8.297528057250831E-3</v>
      </c>
    </row>
    <row r="15" spans="1:11" ht="23.1" customHeight="1">
      <c r="A15" s="56" t="s">
        <v>184</v>
      </c>
      <c r="B15" s="57">
        <v>0</v>
      </c>
      <c r="C15" s="57">
        <v>0</v>
      </c>
      <c r="D15" s="57">
        <v>0</v>
      </c>
      <c r="E15" s="57">
        <v>0</v>
      </c>
      <c r="F15" s="57">
        <f>Table14[[#This Row],[Column5]]/درآمدها!$E$12</f>
        <v>0</v>
      </c>
      <c r="G15" s="57">
        <v>0</v>
      </c>
      <c r="H15" s="57">
        <v>0</v>
      </c>
      <c r="I15" s="57">
        <v>56917340</v>
      </c>
      <c r="J15" s="57">
        <v>56917340</v>
      </c>
      <c r="K15" s="72">
        <f>Table14[[#This Row],[-325893784.0000]]/درآمدها!$E$12</f>
        <v>1.8887079784019593E-4</v>
      </c>
    </row>
    <row r="16" spans="1:11" ht="23.1" customHeight="1">
      <c r="A16" s="56" t="s">
        <v>26</v>
      </c>
      <c r="B16" s="57">
        <v>0</v>
      </c>
      <c r="C16" s="57">
        <v>-384179788</v>
      </c>
      <c r="D16" s="57">
        <v>320350580</v>
      </c>
      <c r="E16" s="57">
        <v>-63829208</v>
      </c>
      <c r="F16" s="57">
        <f>Table14[[#This Row],[Column5]]/درآمدها!$E$12</f>
        <v>-2.1180669090417468E-4</v>
      </c>
      <c r="G16" s="57">
        <v>0</v>
      </c>
      <c r="H16" s="57">
        <v>735542210</v>
      </c>
      <c r="I16" s="57">
        <v>-659150962</v>
      </c>
      <c r="J16" s="57">
        <v>76391248</v>
      </c>
      <c r="K16" s="72">
        <f>Table14[[#This Row],[-325893784.0000]]/درآمدها!$E$12</f>
        <v>2.5349174711552353E-4</v>
      </c>
    </row>
    <row r="17" spans="1:11" ht="23.1" customHeight="1">
      <c r="A17" s="56" t="s">
        <v>27</v>
      </c>
      <c r="B17" s="57">
        <v>0</v>
      </c>
      <c r="C17" s="57">
        <v>-1064621642</v>
      </c>
      <c r="D17" s="57">
        <v>-292069006</v>
      </c>
      <c r="E17" s="57">
        <v>-1356690648</v>
      </c>
      <c r="F17" s="57">
        <f>Table14[[#This Row],[Column5]]/درآمدها!$E$12</f>
        <v>-4.5019539758901668E-3</v>
      </c>
      <c r="G17" s="57">
        <v>383205942</v>
      </c>
      <c r="H17" s="57">
        <v>0</v>
      </c>
      <c r="I17" s="57">
        <v>19965177</v>
      </c>
      <c r="J17" s="57">
        <v>403171119</v>
      </c>
      <c r="K17" s="72">
        <f>Table14[[#This Row],[-325893784.0000]]/درآمدها!$E$12</f>
        <v>1.3378568097464599E-3</v>
      </c>
    </row>
    <row r="18" spans="1:11" ht="23.1" customHeight="1">
      <c r="A18" s="56" t="s">
        <v>28</v>
      </c>
      <c r="B18" s="57">
        <v>0</v>
      </c>
      <c r="C18" s="57">
        <v>2142652946</v>
      </c>
      <c r="D18" s="57">
        <v>3091044222</v>
      </c>
      <c r="E18" s="57">
        <v>5233697168</v>
      </c>
      <c r="F18" s="57">
        <f>Table14[[#This Row],[Column5]]/درآمدها!$E$12</f>
        <v>1.7367160161984623E-2</v>
      </c>
      <c r="G18" s="57">
        <v>0</v>
      </c>
      <c r="H18" s="57">
        <v>7164401517</v>
      </c>
      <c r="I18" s="57">
        <v>3815695707</v>
      </c>
      <c r="J18" s="57">
        <v>10980097224</v>
      </c>
      <c r="K18" s="72">
        <f>Table14[[#This Row],[-325893784.0000]]/درآمدها!$E$12</f>
        <v>3.6435640229494221E-2</v>
      </c>
    </row>
    <row r="19" spans="1:11" ht="23.1" customHeight="1">
      <c r="A19" s="56" t="s">
        <v>29</v>
      </c>
      <c r="B19" s="57">
        <v>0</v>
      </c>
      <c r="C19" s="57">
        <v>-1107796057</v>
      </c>
      <c r="D19" s="57">
        <v>-54770289</v>
      </c>
      <c r="E19" s="57">
        <v>-1162566346</v>
      </c>
      <c r="F19" s="57">
        <f>Table14[[#This Row],[Column5]]/درآمدها!$E$12</f>
        <v>-3.8577845224527581E-3</v>
      </c>
      <c r="G19" s="57">
        <v>71914238</v>
      </c>
      <c r="H19" s="57">
        <v>-337357037</v>
      </c>
      <c r="I19" s="57">
        <v>-1139082478</v>
      </c>
      <c r="J19" s="57">
        <v>-1404525277</v>
      </c>
      <c r="K19" s="72">
        <f>Table14[[#This Row],[-325893784.0000]]/درآمدها!$E$12</f>
        <v>-4.6606852964968526E-3</v>
      </c>
    </row>
    <row r="20" spans="1:11" ht="23.1" customHeight="1">
      <c r="A20" s="56" t="s">
        <v>30</v>
      </c>
      <c r="B20" s="57">
        <v>0</v>
      </c>
      <c r="C20" s="57">
        <v>-1499336565</v>
      </c>
      <c r="D20" s="57">
        <v>7676102612</v>
      </c>
      <c r="E20" s="57">
        <v>6176766047</v>
      </c>
      <c r="F20" s="57">
        <f>Table14[[#This Row],[Column5]]/درآمدها!$E$12</f>
        <v>2.0496578571119507E-2</v>
      </c>
      <c r="G20" s="57">
        <v>1380675960</v>
      </c>
      <c r="H20" s="57">
        <v>7681483570</v>
      </c>
      <c r="I20" s="57">
        <v>10580874183</v>
      </c>
      <c r="J20" s="57">
        <v>19643033713</v>
      </c>
      <c r="K20" s="72">
        <f>Table14[[#This Row],[-325893784.0000]]/درآمدها!$E$12</f>
        <v>6.5182165037511883E-2</v>
      </c>
    </row>
    <row r="21" spans="1:11" ht="23.1" customHeight="1">
      <c r="A21" s="56" t="s">
        <v>189</v>
      </c>
      <c r="B21" s="57">
        <v>0</v>
      </c>
      <c r="C21" s="57">
        <v>0</v>
      </c>
      <c r="D21" s="57">
        <v>0</v>
      </c>
      <c r="E21" s="57">
        <v>0</v>
      </c>
      <c r="F21" s="57">
        <f>Table14[[#This Row],[Column5]]/درآمدها!$E$12</f>
        <v>0</v>
      </c>
      <c r="G21" s="57">
        <v>0</v>
      </c>
      <c r="H21" s="57">
        <v>0</v>
      </c>
      <c r="I21" s="57">
        <v>-702043664</v>
      </c>
      <c r="J21" s="57">
        <v>-702043664</v>
      </c>
      <c r="K21" s="72">
        <f>Table14[[#This Row],[-325893784.0000]]/درآمدها!$E$12</f>
        <v>-2.3296160175147757E-3</v>
      </c>
    </row>
    <row r="22" spans="1:11" ht="23.1" customHeight="1">
      <c r="A22" s="56" t="s">
        <v>31</v>
      </c>
      <c r="B22" s="57">
        <v>3946900368</v>
      </c>
      <c r="C22" s="57">
        <v>-3435990086</v>
      </c>
      <c r="D22" s="57">
        <v>0</v>
      </c>
      <c r="E22" s="57">
        <v>510910282</v>
      </c>
      <c r="F22" s="57">
        <f>Table14[[#This Row],[Column5]]/درآمدها!$E$12</f>
        <v>1.6953714384069863E-3</v>
      </c>
      <c r="G22" s="57">
        <v>3946900368</v>
      </c>
      <c r="H22" s="57">
        <v>3318567298</v>
      </c>
      <c r="I22" s="57">
        <v>1219954486</v>
      </c>
      <c r="J22" s="57">
        <v>8485422152</v>
      </c>
      <c r="K22" s="72">
        <f>Table14[[#This Row],[-325893784.0000]]/درآمدها!$E$12</f>
        <v>2.8157472781741247E-2</v>
      </c>
    </row>
    <row r="23" spans="1:11" ht="23.1" customHeight="1">
      <c r="A23" s="56" t="s">
        <v>32</v>
      </c>
      <c r="B23" s="57">
        <v>804330349</v>
      </c>
      <c r="C23" s="57">
        <v>-1807027778</v>
      </c>
      <c r="D23" s="57">
        <v>1280320464</v>
      </c>
      <c r="E23" s="57">
        <v>277623035</v>
      </c>
      <c r="F23" s="57">
        <f>Table14[[#This Row],[Column5]]/درآمدها!$E$12</f>
        <v>9.2124621634227181E-4</v>
      </c>
      <c r="G23" s="57">
        <v>804330349</v>
      </c>
      <c r="H23" s="57">
        <v>0</v>
      </c>
      <c r="I23" s="57">
        <v>1709195521</v>
      </c>
      <c r="J23" s="57">
        <v>2513525870</v>
      </c>
      <c r="K23" s="72">
        <f>Table14[[#This Row],[-325893784.0000]]/درآمدها!$E$12</f>
        <v>8.3407207093457395E-3</v>
      </c>
    </row>
    <row r="24" spans="1:11" ht="23.1" customHeight="1">
      <c r="A24" s="56" t="s">
        <v>196</v>
      </c>
      <c r="B24" s="57">
        <v>0</v>
      </c>
      <c r="C24" s="57">
        <v>0</v>
      </c>
      <c r="D24" s="57">
        <v>0</v>
      </c>
      <c r="E24" s="57">
        <v>0</v>
      </c>
      <c r="F24" s="57">
        <f>Table14[[#This Row],[Column5]]/درآمدها!$E$12</f>
        <v>0</v>
      </c>
      <c r="G24" s="57">
        <v>0</v>
      </c>
      <c r="H24" s="57">
        <v>0</v>
      </c>
      <c r="I24" s="57">
        <v>-967170964</v>
      </c>
      <c r="J24" s="57">
        <v>-967170964</v>
      </c>
      <c r="K24" s="72">
        <f>Table14[[#This Row],[-325893784.0000]]/درآمدها!$E$12</f>
        <v>-3.2093971998436929E-3</v>
      </c>
    </row>
    <row r="25" spans="1:11" ht="23.1" customHeight="1">
      <c r="A25" s="56" t="s">
        <v>33</v>
      </c>
      <c r="B25" s="57">
        <v>0</v>
      </c>
      <c r="C25" s="57">
        <v>2809222248</v>
      </c>
      <c r="D25" s="57">
        <v>656674552</v>
      </c>
      <c r="E25" s="57">
        <v>3465896800</v>
      </c>
      <c r="F25" s="57">
        <f>Table14[[#This Row],[Column5]]/درآمدها!$E$12</f>
        <v>1.1501006439299201E-2</v>
      </c>
      <c r="G25" s="57">
        <v>391380000</v>
      </c>
      <c r="H25" s="57">
        <v>3676806701</v>
      </c>
      <c r="I25" s="57">
        <v>795993129</v>
      </c>
      <c r="J25" s="57">
        <v>4864179830</v>
      </c>
      <c r="K25" s="72">
        <f>Table14[[#This Row],[-325893784.0000]]/درآمدها!$E$12</f>
        <v>1.614097786949089E-2</v>
      </c>
    </row>
    <row r="26" spans="1:11" ht="23.1" customHeight="1">
      <c r="A26" s="56" t="s">
        <v>34</v>
      </c>
      <c r="B26" s="57">
        <v>9388977</v>
      </c>
      <c r="C26" s="57">
        <v>-2425017621</v>
      </c>
      <c r="D26" s="57">
        <v>10562619246</v>
      </c>
      <c r="E26" s="57">
        <v>8146990602</v>
      </c>
      <c r="F26" s="57">
        <f>Table14[[#This Row],[Column5]]/درآمدها!$E$12</f>
        <v>2.7034443545610496E-2</v>
      </c>
      <c r="G26" s="57">
        <v>2015697448</v>
      </c>
      <c r="H26" s="57">
        <v>2404742432</v>
      </c>
      <c r="I26" s="57">
        <v>10674957175</v>
      </c>
      <c r="J26" s="57">
        <v>15095397055</v>
      </c>
      <c r="K26" s="72">
        <f>Table14[[#This Row],[-325893784.0000]]/درآمدها!$E$12</f>
        <v>5.0091583434721192E-2</v>
      </c>
    </row>
    <row r="27" spans="1:11" ht="23.1" customHeight="1">
      <c r="A27" s="56" t="s">
        <v>35</v>
      </c>
      <c r="B27" s="57">
        <v>0</v>
      </c>
      <c r="C27" s="57">
        <v>-779489254</v>
      </c>
      <c r="D27" s="57">
        <v>300485806</v>
      </c>
      <c r="E27" s="57">
        <v>-479003448</v>
      </c>
      <c r="F27" s="57">
        <f>Table14[[#This Row],[Column5]]/درآمدها!$E$12</f>
        <v>-1.589493876417359E-3</v>
      </c>
      <c r="G27" s="57">
        <v>0</v>
      </c>
      <c r="H27" s="57">
        <v>0</v>
      </c>
      <c r="I27" s="57">
        <v>333942837</v>
      </c>
      <c r="J27" s="57">
        <v>333942837</v>
      </c>
      <c r="K27" s="72">
        <f>Table14[[#This Row],[-325893784.0000]]/درآمدها!$E$12</f>
        <v>1.1081341829609131E-3</v>
      </c>
    </row>
    <row r="28" spans="1:11" ht="23.1" customHeight="1">
      <c r="A28" s="56" t="s">
        <v>140</v>
      </c>
      <c r="B28" s="57">
        <v>0</v>
      </c>
      <c r="C28" s="57">
        <v>0</v>
      </c>
      <c r="D28" s="57">
        <v>0</v>
      </c>
      <c r="E28" s="57">
        <v>0</v>
      </c>
      <c r="F28" s="57">
        <f>Table14[[#This Row],[Column5]]/درآمدها!$E$12</f>
        <v>0</v>
      </c>
      <c r="G28" s="57">
        <v>184034900</v>
      </c>
      <c r="H28" s="57">
        <v>0</v>
      </c>
      <c r="I28" s="57">
        <v>-506844696</v>
      </c>
      <c r="J28" s="57">
        <v>-322809796</v>
      </c>
      <c r="K28" s="72">
        <f>Table14[[#This Row],[-325893784.0000]]/درآمدها!$E$12</f>
        <v>-1.0711910240561293E-3</v>
      </c>
    </row>
    <row r="29" spans="1:11" ht="23.1" customHeight="1">
      <c r="A29" s="56" t="s">
        <v>192</v>
      </c>
      <c r="B29" s="57">
        <v>0</v>
      </c>
      <c r="C29" s="57">
        <v>0</v>
      </c>
      <c r="D29" s="57">
        <v>0</v>
      </c>
      <c r="E29" s="57">
        <v>0</v>
      </c>
      <c r="F29" s="57">
        <f>Table14[[#This Row],[Column5]]/درآمدها!$E$12</f>
        <v>0</v>
      </c>
      <c r="G29" s="57">
        <v>0</v>
      </c>
      <c r="H29" s="57">
        <v>0</v>
      </c>
      <c r="I29" s="57">
        <v>-626531583</v>
      </c>
      <c r="J29" s="57">
        <v>-626531583</v>
      </c>
      <c r="K29" s="72">
        <f>Table14[[#This Row],[-325893784.0000]]/درآمدها!$E$12</f>
        <v>-2.0790416409707645E-3</v>
      </c>
    </row>
    <row r="30" spans="1:11" ht="23.1" customHeight="1">
      <c r="A30" s="56" t="s">
        <v>187</v>
      </c>
      <c r="B30" s="57">
        <v>0</v>
      </c>
      <c r="C30" s="57">
        <v>0</v>
      </c>
      <c r="D30" s="57">
        <v>0</v>
      </c>
      <c r="E30" s="57">
        <v>0</v>
      </c>
      <c r="F30" s="57">
        <f>Table14[[#This Row],[Column5]]/درآمدها!$E$12</f>
        <v>0</v>
      </c>
      <c r="G30" s="57">
        <v>0</v>
      </c>
      <c r="H30" s="57">
        <v>0</v>
      </c>
      <c r="I30" s="57">
        <v>-352592584</v>
      </c>
      <c r="J30" s="57">
        <v>-352592584</v>
      </c>
      <c r="K30" s="72">
        <f>Table14[[#This Row],[-325893784.0000]]/درآمدها!$E$12</f>
        <v>-1.17002028999627E-3</v>
      </c>
    </row>
    <row r="31" spans="1:11" ht="23.1" customHeight="1">
      <c r="A31" s="56" t="s">
        <v>36</v>
      </c>
      <c r="B31" s="57">
        <v>0</v>
      </c>
      <c r="C31" s="57">
        <v>-1799825826</v>
      </c>
      <c r="D31" s="57">
        <v>29455143</v>
      </c>
      <c r="E31" s="57">
        <v>-1770370683</v>
      </c>
      <c r="F31" s="57">
        <f>Table14[[#This Row],[Column5]]/درآمدها!$E$12</f>
        <v>-5.874682888748887E-3</v>
      </c>
      <c r="G31" s="57">
        <v>0</v>
      </c>
      <c r="H31" s="57">
        <v>233626275</v>
      </c>
      <c r="I31" s="57">
        <v>-2068573811</v>
      </c>
      <c r="J31" s="57">
        <v>-1834947536</v>
      </c>
      <c r="K31" s="72">
        <f>Table14[[#This Row],[-325893784.0000]]/درآمدها!$E$12</f>
        <v>-6.088970516176997E-3</v>
      </c>
    </row>
    <row r="32" spans="1:11" ht="23.1" customHeight="1">
      <c r="A32" s="56" t="s">
        <v>37</v>
      </c>
      <c r="B32" s="57">
        <v>0</v>
      </c>
      <c r="C32" s="57">
        <v>-4515290691</v>
      </c>
      <c r="D32" s="57">
        <v>3036605197</v>
      </c>
      <c r="E32" s="57">
        <v>-1478685494</v>
      </c>
      <c r="F32" s="57">
        <f>Table14[[#This Row],[Column5]]/درآمدها!$E$12</f>
        <v>-4.9067737354996609E-3</v>
      </c>
      <c r="G32" s="57">
        <v>3018922760</v>
      </c>
      <c r="H32" s="57">
        <v>331972343</v>
      </c>
      <c r="I32" s="57">
        <v>485126462</v>
      </c>
      <c r="J32" s="57">
        <v>3836021565</v>
      </c>
      <c r="K32" s="72">
        <f>Table14[[#This Row],[-325893784.0000]]/درآمدها!$E$12</f>
        <v>1.2729204378028682E-2</v>
      </c>
    </row>
    <row r="33" spans="1:11" ht="23.1" customHeight="1">
      <c r="A33" s="56" t="s">
        <v>38</v>
      </c>
      <c r="B33" s="57">
        <v>0</v>
      </c>
      <c r="C33" s="57">
        <v>628103879</v>
      </c>
      <c r="D33" s="57">
        <v>117692541</v>
      </c>
      <c r="E33" s="57">
        <v>745796420</v>
      </c>
      <c r="F33" s="57">
        <f>Table14[[#This Row],[Column5]]/درآمدها!$E$12</f>
        <v>2.4748023163373737E-3</v>
      </c>
      <c r="G33" s="57">
        <v>0</v>
      </c>
      <c r="H33" s="57">
        <v>1484744736</v>
      </c>
      <c r="I33" s="57">
        <v>121264299</v>
      </c>
      <c r="J33" s="57">
        <v>1606009035</v>
      </c>
      <c r="K33" s="72">
        <f>Table14[[#This Row],[-325893784.0000]]/درآمدها!$E$12</f>
        <v>5.3292758898959994E-3</v>
      </c>
    </row>
    <row r="34" spans="1:11" ht="23.1" customHeight="1">
      <c r="A34" s="56" t="s">
        <v>39</v>
      </c>
      <c r="B34" s="57">
        <v>0</v>
      </c>
      <c r="C34" s="57">
        <v>1008987111</v>
      </c>
      <c r="D34" s="57">
        <v>493688723</v>
      </c>
      <c r="E34" s="57">
        <v>1502675834</v>
      </c>
      <c r="F34" s="57">
        <f>Table14[[#This Row],[Column5]]/درآمدها!$E$12</f>
        <v>4.9863817188709417E-3</v>
      </c>
      <c r="G34" s="57">
        <v>0</v>
      </c>
      <c r="H34" s="57">
        <v>3819130303</v>
      </c>
      <c r="I34" s="57">
        <v>393394559</v>
      </c>
      <c r="J34" s="57">
        <v>4212524862</v>
      </c>
      <c r="K34" s="72">
        <f>Table14[[#This Row],[-325893784.0000]]/درآمدها!$E$12</f>
        <v>1.3978568422340208E-2</v>
      </c>
    </row>
    <row r="35" spans="1:11" ht="23.1" customHeight="1">
      <c r="A35" s="56" t="s">
        <v>40</v>
      </c>
      <c r="B35" s="57">
        <v>0</v>
      </c>
      <c r="C35" s="57">
        <v>-154490801</v>
      </c>
      <c r="D35" s="57">
        <v>703392359</v>
      </c>
      <c r="E35" s="57">
        <v>548901558</v>
      </c>
      <c r="F35" s="57">
        <f>Table14[[#This Row],[Column5]]/درآمدها!$E$12</f>
        <v>1.8214392168570523E-3</v>
      </c>
      <c r="G35" s="57">
        <v>569925600</v>
      </c>
      <c r="H35" s="57">
        <v>1036600455</v>
      </c>
      <c r="I35" s="57">
        <v>830006021</v>
      </c>
      <c r="J35" s="57">
        <v>2436532076</v>
      </c>
      <c r="K35" s="72">
        <f>Table14[[#This Row],[-325893784.0000]]/درآمدها!$E$12</f>
        <v>8.0852295127872963E-3</v>
      </c>
    </row>
    <row r="36" spans="1:11" ht="23.1" customHeight="1">
      <c r="A36" s="56" t="s">
        <v>41</v>
      </c>
      <c r="B36" s="57">
        <v>0</v>
      </c>
      <c r="C36" s="57">
        <v>1336161800</v>
      </c>
      <c r="D36" s="57">
        <v>1219173627</v>
      </c>
      <c r="E36" s="57">
        <v>2555335427</v>
      </c>
      <c r="F36" s="57">
        <f>Table14[[#This Row],[Column5]]/درآمدها!$E$12</f>
        <v>8.4794588230371927E-3</v>
      </c>
      <c r="G36" s="57">
        <v>0</v>
      </c>
      <c r="H36" s="57">
        <v>3766240716</v>
      </c>
      <c r="I36" s="57">
        <v>-622433834</v>
      </c>
      <c r="J36" s="57">
        <v>3143806882</v>
      </c>
      <c r="K36" s="72">
        <f>Table14[[#This Row],[-325893784.0000]]/درآمدها!$E$12</f>
        <v>1.0432204211560813E-2</v>
      </c>
    </row>
    <row r="37" spans="1:11" ht="23.1" customHeight="1">
      <c r="A37" s="56" t="s">
        <v>42</v>
      </c>
      <c r="B37" s="57">
        <v>0</v>
      </c>
      <c r="C37" s="57">
        <v>-1220174097</v>
      </c>
      <c r="D37" s="57">
        <v>0</v>
      </c>
      <c r="E37" s="57">
        <v>-1220174097</v>
      </c>
      <c r="F37" s="57">
        <f>Table14[[#This Row],[Column5]]/درآمدها!$E$12</f>
        <v>-4.0489463352351082E-3</v>
      </c>
      <c r="G37" s="57">
        <v>0</v>
      </c>
      <c r="H37" s="57">
        <v>626565827</v>
      </c>
      <c r="I37" s="57">
        <v>-291675785</v>
      </c>
      <c r="J37" s="57">
        <v>334890042</v>
      </c>
      <c r="K37" s="72">
        <f>Table14[[#This Row],[-325893784.0000]]/درآمدها!$E$12</f>
        <v>1.1112773264048657E-3</v>
      </c>
    </row>
    <row r="38" spans="1:11" ht="23.1" customHeight="1">
      <c r="A38" s="56" t="s">
        <v>191</v>
      </c>
      <c r="B38" s="57">
        <v>0</v>
      </c>
      <c r="C38" s="57">
        <v>0</v>
      </c>
      <c r="D38" s="57">
        <v>0</v>
      </c>
      <c r="E38" s="57">
        <v>0</v>
      </c>
      <c r="F38" s="57">
        <f>Table14[[#This Row],[Column5]]/درآمدها!$E$12</f>
        <v>0</v>
      </c>
      <c r="G38" s="57">
        <v>0</v>
      </c>
      <c r="H38" s="57">
        <v>0</v>
      </c>
      <c r="I38" s="57">
        <v>-708023564</v>
      </c>
      <c r="J38" s="57">
        <v>-708023564</v>
      </c>
      <c r="K38" s="72">
        <f>Table14[[#This Row],[-325893784.0000]]/درآمدها!$E$12</f>
        <v>-2.3494593286042358E-3</v>
      </c>
    </row>
    <row r="39" spans="1:11" ht="23.1" customHeight="1">
      <c r="A39" s="56" t="s">
        <v>43</v>
      </c>
      <c r="B39" s="57">
        <v>0</v>
      </c>
      <c r="C39" s="57">
        <v>-1815347986</v>
      </c>
      <c r="D39" s="57">
        <v>-163158535</v>
      </c>
      <c r="E39" s="57">
        <v>-1978506521</v>
      </c>
      <c r="F39" s="57">
        <f>Table14[[#This Row],[Column5]]/درآمدها!$E$12</f>
        <v>-6.5653473116154123E-3</v>
      </c>
      <c r="G39" s="57">
        <v>1155060920</v>
      </c>
      <c r="H39" s="57">
        <v>-942897643</v>
      </c>
      <c r="I39" s="57">
        <v>-287534557</v>
      </c>
      <c r="J39" s="57">
        <v>-75371280</v>
      </c>
      <c r="K39" s="72">
        <f>Table14[[#This Row],[-325893784.0000]]/درآمدها!$E$12</f>
        <v>-2.5010715166655367E-4</v>
      </c>
    </row>
    <row r="40" spans="1:11" ht="23.1" customHeight="1">
      <c r="A40" s="56" t="s">
        <v>195</v>
      </c>
      <c r="B40" s="57">
        <v>0</v>
      </c>
      <c r="C40" s="57">
        <v>0</v>
      </c>
      <c r="D40" s="57">
        <v>0</v>
      </c>
      <c r="E40" s="57">
        <v>0</v>
      </c>
      <c r="F40" s="57">
        <f>Table14[[#This Row],[Column5]]/درآمدها!$E$12</f>
        <v>0</v>
      </c>
      <c r="G40" s="57">
        <v>0</v>
      </c>
      <c r="H40" s="57">
        <v>0</v>
      </c>
      <c r="I40" s="57">
        <v>-603346518</v>
      </c>
      <c r="J40" s="57">
        <v>-603346518</v>
      </c>
      <c r="K40" s="72">
        <f>Table14[[#This Row],[-325893784.0000]]/درآمدها!$E$12</f>
        <v>-2.0021058297658347E-3</v>
      </c>
    </row>
    <row r="41" spans="1:11" ht="23.1" customHeight="1">
      <c r="A41" s="56" t="s">
        <v>44</v>
      </c>
      <c r="B41" s="57">
        <v>0</v>
      </c>
      <c r="C41" s="57">
        <v>-194325351</v>
      </c>
      <c r="D41" s="57">
        <v>-200691918</v>
      </c>
      <c r="E41" s="57">
        <v>-395017269</v>
      </c>
      <c r="F41" s="57">
        <f>Table14[[#This Row],[Column5]]/درآمدها!$E$12</f>
        <v>-1.3107996044208197E-3</v>
      </c>
      <c r="G41" s="57">
        <v>1720318250</v>
      </c>
      <c r="H41" s="57">
        <v>-292015152</v>
      </c>
      <c r="I41" s="57">
        <v>-265547817</v>
      </c>
      <c r="J41" s="57">
        <v>1162755281</v>
      </c>
      <c r="K41" s="72">
        <f>Table14[[#This Row],[-325893784.0000]]/درآمدها!$E$12</f>
        <v>3.8584114720640705E-3</v>
      </c>
    </row>
    <row r="42" spans="1:11" ht="23.1" customHeight="1">
      <c r="A42" s="56" t="s">
        <v>45</v>
      </c>
      <c r="B42" s="57">
        <v>0</v>
      </c>
      <c r="C42" s="57">
        <v>-3663892040</v>
      </c>
      <c r="D42" s="57">
        <v>1418979267</v>
      </c>
      <c r="E42" s="57">
        <v>-2244912773</v>
      </c>
      <c r="F42" s="57">
        <f>Table14[[#This Row],[Column5]]/درآمدها!$E$12</f>
        <v>-7.4493724850486099E-3</v>
      </c>
      <c r="G42" s="57">
        <v>669119130</v>
      </c>
      <c r="H42" s="57">
        <v>1588009417</v>
      </c>
      <c r="I42" s="57">
        <v>-1070425034</v>
      </c>
      <c r="J42" s="57">
        <v>1186703513</v>
      </c>
      <c r="K42" s="72">
        <f>Table14[[#This Row],[-325893784.0000]]/درآمدها!$E$12</f>
        <v>3.9378797269878267E-3</v>
      </c>
    </row>
    <row r="43" spans="1:11" ht="23.1" customHeight="1">
      <c r="A43" s="56" t="s">
        <v>46</v>
      </c>
      <c r="B43" s="57">
        <v>7315509</v>
      </c>
      <c r="C43" s="57">
        <v>15303563</v>
      </c>
      <c r="D43" s="57">
        <v>-1008988877</v>
      </c>
      <c r="E43" s="57">
        <v>-986369805</v>
      </c>
      <c r="F43" s="57">
        <f>Table14[[#This Row],[Column5]]/درآمدها!$E$12</f>
        <v>-3.2731053846829189E-3</v>
      </c>
      <c r="G43" s="57">
        <v>368213953</v>
      </c>
      <c r="H43" s="57">
        <v>-782309280</v>
      </c>
      <c r="I43" s="57">
        <v>-1263626555</v>
      </c>
      <c r="J43" s="57">
        <v>-1677721882</v>
      </c>
      <c r="K43" s="72">
        <f>Table14[[#This Row],[-325893784.0000]]/درآمدها!$E$12</f>
        <v>-5.567243135524166E-3</v>
      </c>
    </row>
    <row r="44" spans="1:11" ht="23.1" customHeight="1">
      <c r="A44" s="56" t="s">
        <v>47</v>
      </c>
      <c r="B44" s="57">
        <v>0</v>
      </c>
      <c r="C44" s="57">
        <v>6044751157</v>
      </c>
      <c r="D44" s="57">
        <v>4930087088</v>
      </c>
      <c r="E44" s="57">
        <v>10974838245</v>
      </c>
      <c r="F44" s="57">
        <f>Table14[[#This Row],[Column5]]/درآمدها!$E$12</f>
        <v>3.6418189175745838E-2</v>
      </c>
      <c r="G44" s="57">
        <v>1128778560</v>
      </c>
      <c r="H44" s="57">
        <v>16881937433</v>
      </c>
      <c r="I44" s="57">
        <v>5354270737</v>
      </c>
      <c r="J44" s="57">
        <v>23364986730</v>
      </c>
      <c r="K44" s="72">
        <f>Table14[[#This Row],[-325893784.0000]]/درآمدها!$E$12</f>
        <v>7.7532851767505129E-2</v>
      </c>
    </row>
    <row r="45" spans="1:11" ht="23.1" customHeight="1">
      <c r="A45" s="56" t="s">
        <v>48</v>
      </c>
      <c r="B45" s="57">
        <v>0</v>
      </c>
      <c r="C45" s="57">
        <v>-51304380</v>
      </c>
      <c r="D45" s="57">
        <v>-164461286</v>
      </c>
      <c r="E45" s="57">
        <v>-215765666</v>
      </c>
      <c r="F45" s="57">
        <f>Table14[[#This Row],[Column5]]/درآمدها!$E$12</f>
        <v>-7.1598274768183538E-4</v>
      </c>
      <c r="G45" s="57">
        <v>418270710</v>
      </c>
      <c r="H45" s="57">
        <v>0</v>
      </c>
      <c r="I45" s="57">
        <v>-251899989</v>
      </c>
      <c r="J45" s="57">
        <v>166370721</v>
      </c>
      <c r="K45" s="72">
        <f>Table14[[#This Row],[-325893784.0000]]/درآمدها!$E$12</f>
        <v>5.520737759796688E-4</v>
      </c>
    </row>
    <row r="46" spans="1:11" ht="23.1" customHeight="1">
      <c r="A46" s="56" t="s">
        <v>193</v>
      </c>
      <c r="B46" s="57">
        <v>0</v>
      </c>
      <c r="C46" s="57">
        <v>0</v>
      </c>
      <c r="D46" s="57">
        <v>0</v>
      </c>
      <c r="E46" s="57">
        <v>0</v>
      </c>
      <c r="F46" s="57">
        <f>Table14[[#This Row],[Column5]]/درآمدها!$E$12</f>
        <v>0</v>
      </c>
      <c r="G46" s="57">
        <v>0</v>
      </c>
      <c r="H46" s="57">
        <v>0</v>
      </c>
      <c r="I46" s="57">
        <v>-607838210</v>
      </c>
      <c r="J46" s="57">
        <v>-607838210</v>
      </c>
      <c r="K46" s="72">
        <f>Table14[[#This Row],[-325893784.0000]]/درآمدها!$E$12</f>
        <v>-2.0170107682554485E-3</v>
      </c>
    </row>
    <row r="47" spans="1:11" ht="23.1" customHeight="1">
      <c r="A47" s="56" t="s">
        <v>49</v>
      </c>
      <c r="B47" s="57">
        <v>0</v>
      </c>
      <c r="C47" s="57">
        <v>-163468312</v>
      </c>
      <c r="D47" s="57">
        <v>176722859</v>
      </c>
      <c r="E47" s="57">
        <v>13254547</v>
      </c>
      <c r="F47" s="57">
        <f>Table14[[#This Row],[Column5]]/درآمدها!$E$12</f>
        <v>4.3983026383530494E-5</v>
      </c>
      <c r="G47" s="57">
        <v>1108923320</v>
      </c>
      <c r="H47" s="57">
        <v>630775973</v>
      </c>
      <c r="I47" s="57">
        <v>-3457192</v>
      </c>
      <c r="J47" s="57">
        <v>1736242101</v>
      </c>
      <c r="K47" s="72">
        <f>Table14[[#This Row],[-325893784.0000]]/درآمدها!$E$12</f>
        <v>5.7614328227497636E-3</v>
      </c>
    </row>
    <row r="48" spans="1:11" ht="23.1" customHeight="1">
      <c r="A48" s="56" t="s">
        <v>50</v>
      </c>
      <c r="B48" s="57">
        <v>0</v>
      </c>
      <c r="C48" s="57">
        <v>7340080429</v>
      </c>
      <c r="D48" s="57">
        <v>36992903416</v>
      </c>
      <c r="E48" s="57">
        <v>44332983845</v>
      </c>
      <c r="F48" s="57">
        <f>Table14[[#This Row],[Column5]]/درآمدها!$E$12</f>
        <v>0.14711168915205219</v>
      </c>
      <c r="G48" s="57">
        <v>2494288400</v>
      </c>
      <c r="H48" s="57">
        <v>48377039354</v>
      </c>
      <c r="I48" s="57">
        <v>39925330911</v>
      </c>
      <c r="J48" s="57">
        <v>90796658665</v>
      </c>
      <c r="K48" s="72">
        <f>Table14[[#This Row],[-325893784.0000]]/درآمدها!$E$12</f>
        <v>0.3012937246062885</v>
      </c>
    </row>
    <row r="49" spans="1:11" ht="23.1" customHeight="1">
      <c r="A49" s="56" t="s">
        <v>51</v>
      </c>
      <c r="B49" s="57">
        <v>361632594</v>
      </c>
      <c r="C49" s="57">
        <v>-38162455</v>
      </c>
      <c r="D49" s="57">
        <v>-360768417</v>
      </c>
      <c r="E49" s="57">
        <v>-37298278</v>
      </c>
      <c r="F49" s="57">
        <f>Table14[[#This Row],[Column5]]/درآمدها!$E$12</f>
        <v>-1.2376817897543046E-4</v>
      </c>
      <c r="G49" s="57">
        <v>361632594</v>
      </c>
      <c r="H49" s="57">
        <v>0</v>
      </c>
      <c r="I49" s="57">
        <v>-1239596705</v>
      </c>
      <c r="J49" s="57">
        <v>-877964111</v>
      </c>
      <c r="K49" s="72">
        <f>Table14[[#This Row],[-325893784.0000]]/درآمدها!$E$12</f>
        <v>-2.9133789829185329E-3</v>
      </c>
    </row>
    <row r="50" spans="1:11" ht="23.1" customHeight="1">
      <c r="A50" s="56" t="s">
        <v>194</v>
      </c>
      <c r="B50" s="57">
        <v>0</v>
      </c>
      <c r="C50" s="57">
        <v>0</v>
      </c>
      <c r="D50" s="57">
        <v>0</v>
      </c>
      <c r="E50" s="57">
        <v>0</v>
      </c>
      <c r="F50" s="57">
        <f>Table14[[#This Row],[Column5]]/درآمدها!$E$12</f>
        <v>0</v>
      </c>
      <c r="G50" s="57">
        <v>0</v>
      </c>
      <c r="H50" s="57">
        <v>0</v>
      </c>
      <c r="I50" s="57">
        <v>-1218366509</v>
      </c>
      <c r="J50" s="57">
        <v>-1218366509</v>
      </c>
      <c r="K50" s="72">
        <f>Table14[[#This Row],[-325893784.0000]]/درآمدها!$E$12</f>
        <v>-4.0429481528230981E-3</v>
      </c>
    </row>
    <row r="51" spans="1:11" ht="23.1" customHeight="1">
      <c r="A51" s="56" t="s">
        <v>52</v>
      </c>
      <c r="B51" s="57">
        <v>0</v>
      </c>
      <c r="C51" s="57">
        <v>-1937340185</v>
      </c>
      <c r="D51" s="57">
        <v>1312396363</v>
      </c>
      <c r="E51" s="57">
        <v>-624943822</v>
      </c>
      <c r="F51" s="57">
        <f>Table14[[#This Row],[Column5]]/درآمدها!$E$12</f>
        <v>-2.0737729181729398E-3</v>
      </c>
      <c r="G51" s="57">
        <v>0</v>
      </c>
      <c r="H51" s="57">
        <v>-90494924</v>
      </c>
      <c r="I51" s="57">
        <v>1762397921</v>
      </c>
      <c r="J51" s="57">
        <v>1671902997</v>
      </c>
      <c r="K51" s="72">
        <f>Table14[[#This Row],[-325893784.0000]]/درآمدها!$E$12</f>
        <v>5.5479341261345785E-3</v>
      </c>
    </row>
    <row r="52" spans="1:11" ht="23.1" customHeight="1">
      <c r="A52" s="56" t="s">
        <v>53</v>
      </c>
      <c r="B52" s="57">
        <v>207998829</v>
      </c>
      <c r="C52" s="57">
        <v>32439590917</v>
      </c>
      <c r="D52" s="57">
        <v>3098342634</v>
      </c>
      <c r="E52" s="57">
        <v>35745932380</v>
      </c>
      <c r="F52" s="57">
        <f>Table14[[#This Row],[Column5]]/درآمدها!$E$12</f>
        <v>0.11861697627036495</v>
      </c>
      <c r="G52" s="57">
        <v>5269303680</v>
      </c>
      <c r="H52" s="57">
        <v>47097434004</v>
      </c>
      <c r="I52" s="57">
        <v>2109710586</v>
      </c>
      <c r="J52" s="57">
        <v>54476448270</v>
      </c>
      <c r="K52" s="72">
        <f>Table14[[#This Row],[-325893784.0000]]/درآمدها!$E$12</f>
        <v>0.18077110153522744</v>
      </c>
    </row>
    <row r="53" spans="1:11" ht="23.1" customHeight="1">
      <c r="A53" s="56" t="s">
        <v>54</v>
      </c>
      <c r="B53" s="57">
        <v>0</v>
      </c>
      <c r="C53" s="57">
        <v>-35508722</v>
      </c>
      <c r="D53" s="57">
        <v>48279582</v>
      </c>
      <c r="E53" s="57">
        <v>12770860</v>
      </c>
      <c r="F53" s="57">
        <f>Table14[[#This Row],[Column5]]/درآمدها!$E$12</f>
        <v>4.2377990912882514E-5</v>
      </c>
      <c r="G53" s="57">
        <v>377271180</v>
      </c>
      <c r="H53" s="57">
        <v>0</v>
      </c>
      <c r="I53" s="57">
        <v>-754773812</v>
      </c>
      <c r="J53" s="57">
        <v>-377502632</v>
      </c>
      <c r="K53" s="72">
        <f>Table14[[#This Row],[-325893784.0000]]/درآمدها!$E$12</f>
        <v>-1.2526801725557426E-3</v>
      </c>
    </row>
    <row r="54" spans="1:11" ht="23.1" customHeight="1">
      <c r="A54" s="56" t="s">
        <v>144</v>
      </c>
      <c r="B54" s="57">
        <v>0</v>
      </c>
      <c r="C54" s="57">
        <v>0</v>
      </c>
      <c r="D54" s="57">
        <v>0</v>
      </c>
      <c r="E54" s="57">
        <v>0</v>
      </c>
      <c r="F54" s="57">
        <f>Table14[[#This Row],[Column5]]/درآمدها!$E$12</f>
        <v>0</v>
      </c>
      <c r="G54" s="57">
        <v>294469000</v>
      </c>
      <c r="H54" s="57">
        <v>0</v>
      </c>
      <c r="I54" s="57">
        <v>-689003134</v>
      </c>
      <c r="J54" s="57">
        <v>-394534134</v>
      </c>
      <c r="K54" s="72">
        <f>Table14[[#This Row],[-325893784.0000]]/درآمدها!$E$12</f>
        <v>-1.3091964006710568E-3</v>
      </c>
    </row>
    <row r="55" spans="1:11" ht="23.1" customHeight="1">
      <c r="A55" s="56" t="s">
        <v>55</v>
      </c>
      <c r="B55" s="57">
        <v>0</v>
      </c>
      <c r="C55" s="57">
        <v>-503593392</v>
      </c>
      <c r="D55" s="57">
        <v>-745651940</v>
      </c>
      <c r="E55" s="57">
        <v>-1249245332</v>
      </c>
      <c r="F55" s="57">
        <f>Table14[[#This Row],[Column5]]/درآمدها!$E$12</f>
        <v>-4.1454144299958575E-3</v>
      </c>
      <c r="G55" s="57">
        <v>490736400</v>
      </c>
      <c r="H55" s="57">
        <v>-955069821</v>
      </c>
      <c r="I55" s="57">
        <v>-1229162298</v>
      </c>
      <c r="J55" s="57">
        <v>-1693495719</v>
      </c>
      <c r="K55" s="72">
        <f>Table14[[#This Row],[-325893784.0000]]/درآمدها!$E$12</f>
        <v>-5.6195860099310024E-3</v>
      </c>
    </row>
    <row r="56" spans="1:11" ht="23.1" customHeight="1">
      <c r="A56" s="56" t="s">
        <v>152</v>
      </c>
      <c r="B56" s="57">
        <v>0</v>
      </c>
      <c r="C56" s="57">
        <v>0</v>
      </c>
      <c r="D56" s="57">
        <v>0</v>
      </c>
      <c r="E56" s="57">
        <v>0</v>
      </c>
      <c r="F56" s="57">
        <f>Table14[[#This Row],[Column5]]/درآمدها!$E$12</f>
        <v>0</v>
      </c>
      <c r="G56" s="57">
        <v>636633860</v>
      </c>
      <c r="H56" s="57">
        <v>0</v>
      </c>
      <c r="I56" s="57">
        <v>-2695926981</v>
      </c>
      <c r="J56" s="57">
        <v>-2059293121</v>
      </c>
      <c r="K56" s="72">
        <f>Table14[[#This Row],[-325893784.0000]]/درآمدها!$E$12</f>
        <v>-6.8334243088327236E-3</v>
      </c>
    </row>
    <row r="57" spans="1:11" ht="23.1" customHeight="1">
      <c r="A57" s="56" t="s">
        <v>56</v>
      </c>
      <c r="B57" s="57">
        <v>0</v>
      </c>
      <c r="C57" s="57">
        <v>-576572522</v>
      </c>
      <c r="D57" s="57">
        <v>189998869</v>
      </c>
      <c r="E57" s="57">
        <v>-386573653</v>
      </c>
      <c r="F57" s="57">
        <f>Table14[[#This Row],[Column5]]/درآمدها!$E$12</f>
        <v>-1.2827808584538393E-3</v>
      </c>
      <c r="G57" s="57">
        <v>666700000</v>
      </c>
      <c r="H57" s="57">
        <v>803722333</v>
      </c>
      <c r="I57" s="57">
        <v>-494387242</v>
      </c>
      <c r="J57" s="57">
        <v>976035091</v>
      </c>
      <c r="K57" s="72">
        <f>Table14[[#This Row],[-325893784.0000]]/درآمدها!$E$12</f>
        <v>3.2388113421533446E-3</v>
      </c>
    </row>
    <row r="58" spans="1:11" ht="23.1" customHeight="1">
      <c r="A58" s="56" t="s">
        <v>57</v>
      </c>
      <c r="B58" s="57">
        <v>0</v>
      </c>
      <c r="C58" s="57">
        <v>3987923603</v>
      </c>
      <c r="D58" s="57">
        <v>1054399349</v>
      </c>
      <c r="E58" s="57">
        <v>5042322952</v>
      </c>
      <c r="F58" s="57">
        <f>Table14[[#This Row],[Column5]]/درآمدها!$E$12</f>
        <v>1.6732116415000629E-2</v>
      </c>
      <c r="G58" s="57">
        <v>470205512</v>
      </c>
      <c r="H58" s="57">
        <v>5673404294</v>
      </c>
      <c r="I58" s="57">
        <v>1264561002</v>
      </c>
      <c r="J58" s="57">
        <v>7408170808</v>
      </c>
      <c r="K58" s="72">
        <f>Table14[[#This Row],[-325893784.0000]]/درآمدها!$E$12</f>
        <v>2.4582792011070949E-2</v>
      </c>
    </row>
    <row r="59" spans="1:11" ht="23.1" customHeight="1">
      <c r="A59" s="56" t="s">
        <v>186</v>
      </c>
      <c r="B59" s="57">
        <v>0</v>
      </c>
      <c r="C59" s="57">
        <v>0</v>
      </c>
      <c r="D59" s="57">
        <v>0</v>
      </c>
      <c r="E59" s="57">
        <v>0</v>
      </c>
      <c r="F59" s="57">
        <f>Table14[[#This Row],[Column5]]/درآمدها!$E$12</f>
        <v>0</v>
      </c>
      <c r="G59" s="57">
        <v>0</v>
      </c>
      <c r="H59" s="57">
        <v>0</v>
      </c>
      <c r="I59" s="57">
        <v>-993650676</v>
      </c>
      <c r="J59" s="57">
        <v>-993650676</v>
      </c>
      <c r="K59" s="72">
        <f>Table14[[#This Row],[-325893784.0000]]/درآمدها!$E$12</f>
        <v>-3.2972657532936364E-3</v>
      </c>
    </row>
    <row r="60" spans="1:11" ht="23.1" customHeight="1">
      <c r="A60" s="56" t="s">
        <v>58</v>
      </c>
      <c r="B60" s="57">
        <v>0</v>
      </c>
      <c r="C60" s="57">
        <v>1743509831</v>
      </c>
      <c r="D60" s="57">
        <v>0</v>
      </c>
      <c r="E60" s="57">
        <v>1743509831</v>
      </c>
      <c r="F60" s="57">
        <f>Table14[[#This Row],[Column5]]/درآمدها!$E$12</f>
        <v>5.7855495851210749E-3</v>
      </c>
      <c r="G60" s="57">
        <v>491449090</v>
      </c>
      <c r="H60" s="57">
        <v>4386099708</v>
      </c>
      <c r="I60" s="57">
        <v>250514383</v>
      </c>
      <c r="J60" s="57">
        <v>5128063181</v>
      </c>
      <c r="K60" s="72">
        <f>Table14[[#This Row],[-325893784.0000]]/درآمدها!$E$12</f>
        <v>1.7016631212393326E-2</v>
      </c>
    </row>
    <row r="61" spans="1:11" ht="23.1" customHeight="1">
      <c r="A61" s="56" t="s">
        <v>179</v>
      </c>
      <c r="B61" s="57">
        <v>0</v>
      </c>
      <c r="C61" s="57">
        <v>0</v>
      </c>
      <c r="D61" s="57">
        <v>0</v>
      </c>
      <c r="E61" s="57">
        <v>0</v>
      </c>
      <c r="F61" s="57">
        <f>Table14[[#This Row],[Column5]]/درآمدها!$E$12</f>
        <v>0</v>
      </c>
      <c r="G61" s="57">
        <v>0</v>
      </c>
      <c r="H61" s="57">
        <v>0</v>
      </c>
      <c r="I61" s="57">
        <v>-638261312</v>
      </c>
      <c r="J61" s="57">
        <v>-638261312</v>
      </c>
      <c r="K61" s="72">
        <f>Table14[[#This Row],[-325893784.0000]]/درآمدها!$E$12</f>
        <v>-2.1179648105124067E-3</v>
      </c>
    </row>
    <row r="62" spans="1:11" ht="23.1" customHeight="1">
      <c r="A62" s="56" t="s">
        <v>59</v>
      </c>
      <c r="B62" s="57">
        <v>0</v>
      </c>
      <c r="C62" s="57">
        <v>-2531840191</v>
      </c>
      <c r="D62" s="57">
        <v>3266848250</v>
      </c>
      <c r="E62" s="57">
        <v>735008059</v>
      </c>
      <c r="F62" s="57">
        <f>Table14[[#This Row],[Column5]]/درآمدها!$E$12</f>
        <v>2.4390029211186575E-3</v>
      </c>
      <c r="G62" s="57">
        <v>2309988213</v>
      </c>
      <c r="H62" s="57">
        <v>202776333</v>
      </c>
      <c r="I62" s="57">
        <v>3532553797</v>
      </c>
      <c r="J62" s="57">
        <v>6045318343</v>
      </c>
      <c r="K62" s="72">
        <f>Table14[[#This Row],[-325893784.0000]]/درآمدها!$E$12</f>
        <v>2.0060391062554597E-2</v>
      </c>
    </row>
    <row r="63" spans="1:11" ht="23.1" customHeight="1">
      <c r="A63" s="56" t="s">
        <v>60</v>
      </c>
      <c r="B63" s="57">
        <v>0</v>
      </c>
      <c r="C63" s="57">
        <v>-395462578</v>
      </c>
      <c r="D63" s="57">
        <v>919183170</v>
      </c>
      <c r="E63" s="57">
        <v>523720592</v>
      </c>
      <c r="F63" s="57">
        <f>Table14[[#This Row],[Column5]]/درآمدها!$E$12</f>
        <v>1.7378803376331313E-3</v>
      </c>
      <c r="G63" s="57">
        <v>212280640</v>
      </c>
      <c r="H63" s="57">
        <v>0</v>
      </c>
      <c r="I63" s="57">
        <v>919183170</v>
      </c>
      <c r="J63" s="57">
        <v>1131463810</v>
      </c>
      <c r="K63" s="72">
        <f>Table14[[#This Row],[-325893784.0000]]/درآمدها!$E$12</f>
        <v>3.7545758906162492E-3</v>
      </c>
    </row>
    <row r="64" spans="1:11" ht="23.1" customHeight="1">
      <c r="A64" s="56" t="s">
        <v>61</v>
      </c>
      <c r="B64" s="57">
        <v>0</v>
      </c>
      <c r="C64" s="57">
        <v>-1703327013</v>
      </c>
      <c r="D64" s="57">
        <v>-57215733</v>
      </c>
      <c r="E64" s="57">
        <v>-1760542746</v>
      </c>
      <c r="F64" s="57">
        <f>Table14[[#This Row],[Column5]]/درآمدها!$E$12</f>
        <v>-5.8420705020436553E-3</v>
      </c>
      <c r="G64" s="57">
        <v>339437553</v>
      </c>
      <c r="H64" s="57">
        <v>-1271790948</v>
      </c>
      <c r="I64" s="57">
        <v>-120349872</v>
      </c>
      <c r="J64" s="57">
        <v>-1052703267</v>
      </c>
      <c r="K64" s="72">
        <f>Table14[[#This Row],[-325893784.0000]]/درآمدها!$E$12</f>
        <v>-3.4932220291262871E-3</v>
      </c>
    </row>
    <row r="65" spans="1:11" ht="23.1" customHeight="1">
      <c r="A65" s="56" t="s">
        <v>183</v>
      </c>
      <c r="B65" s="57">
        <v>0</v>
      </c>
      <c r="C65" s="57">
        <v>0</v>
      </c>
      <c r="D65" s="57">
        <v>0</v>
      </c>
      <c r="E65" s="57">
        <v>0</v>
      </c>
      <c r="F65" s="57">
        <f>Table14[[#This Row],[Column5]]/درآمدها!$E$12</f>
        <v>0</v>
      </c>
      <c r="G65" s="57">
        <v>0</v>
      </c>
      <c r="H65" s="57">
        <v>0</v>
      </c>
      <c r="I65" s="57">
        <v>-205553385</v>
      </c>
      <c r="J65" s="57">
        <v>-205553385</v>
      </c>
      <c r="K65" s="72">
        <f>Table14[[#This Row],[-325893784.0000]]/درآمدها!$E$12</f>
        <v>-6.8209497885359655E-4</v>
      </c>
    </row>
    <row r="66" spans="1:11" ht="23.1" customHeight="1">
      <c r="A66" s="56" t="s">
        <v>133</v>
      </c>
      <c r="B66" s="57">
        <v>0</v>
      </c>
      <c r="C66" s="57">
        <v>0</v>
      </c>
      <c r="D66" s="57">
        <v>0</v>
      </c>
      <c r="E66" s="57">
        <v>0</v>
      </c>
      <c r="F66" s="57">
        <f>Table14[[#This Row],[Column5]]/درآمدها!$E$12</f>
        <v>0</v>
      </c>
      <c r="G66" s="57">
        <v>211240920</v>
      </c>
      <c r="H66" s="57">
        <v>0</v>
      </c>
      <c r="I66" s="57">
        <v>-711846386</v>
      </c>
      <c r="J66" s="57">
        <v>-500605466</v>
      </c>
      <c r="K66" s="72">
        <f>Table14[[#This Row],[-325893784.0000]]/درآمدها!$E$12</f>
        <v>-1.6611766074553567E-3</v>
      </c>
    </row>
    <row r="67" spans="1:11" ht="23.1" customHeight="1">
      <c r="A67" s="56" t="s">
        <v>62</v>
      </c>
      <c r="B67" s="57">
        <v>0</v>
      </c>
      <c r="C67" s="57">
        <v>-690063487</v>
      </c>
      <c r="D67" s="57">
        <v>202410085</v>
      </c>
      <c r="E67" s="57">
        <v>-487653402</v>
      </c>
      <c r="F67" s="57">
        <f>Table14[[#This Row],[Column5]]/درآمدها!$E$12</f>
        <v>-1.6181973209785593E-3</v>
      </c>
      <c r="G67" s="57">
        <v>1250379360</v>
      </c>
      <c r="H67" s="57">
        <v>0</v>
      </c>
      <c r="I67" s="57">
        <v>681491043</v>
      </c>
      <c r="J67" s="57">
        <v>1931870403</v>
      </c>
      <c r="K67" s="72">
        <f>Table14[[#This Row],[-325893784.0000]]/درآمدها!$E$12</f>
        <v>6.410593051932343E-3</v>
      </c>
    </row>
    <row r="68" spans="1:11" ht="23.1" customHeight="1">
      <c r="A68" s="56" t="s">
        <v>63</v>
      </c>
      <c r="B68" s="57">
        <v>0</v>
      </c>
      <c r="C68" s="57">
        <v>224454957</v>
      </c>
      <c r="D68" s="57">
        <v>-598792022</v>
      </c>
      <c r="E68" s="57">
        <v>-374337065</v>
      </c>
      <c r="F68" s="57">
        <f>Table14[[#This Row],[Column5]]/درآمدها!$E$12</f>
        <v>-1.2421757609843904E-3</v>
      </c>
      <c r="G68" s="57">
        <v>115146680</v>
      </c>
      <c r="H68" s="57">
        <v>0</v>
      </c>
      <c r="I68" s="57">
        <v>-693426881</v>
      </c>
      <c r="J68" s="57">
        <v>-578280201</v>
      </c>
      <c r="K68" s="72">
        <f>Table14[[#This Row],[-325893784.0000]]/درآمدها!$E$12</f>
        <v>-1.9189273943241E-3</v>
      </c>
    </row>
    <row r="69" spans="1:11" ht="23.1" customHeight="1">
      <c r="A69" s="56" t="s">
        <v>64</v>
      </c>
      <c r="B69" s="57">
        <v>0</v>
      </c>
      <c r="C69" s="57">
        <v>-386202899</v>
      </c>
      <c r="D69" s="57">
        <v>525654653</v>
      </c>
      <c r="E69" s="57">
        <v>139451754</v>
      </c>
      <c r="F69" s="57">
        <f>Table14[[#This Row],[Column5]]/درآمدها!$E$12</f>
        <v>4.6274762731699572E-4</v>
      </c>
      <c r="G69" s="57">
        <v>289260800</v>
      </c>
      <c r="H69" s="57">
        <v>1358825348</v>
      </c>
      <c r="I69" s="57">
        <v>434072879</v>
      </c>
      <c r="J69" s="57">
        <v>2082159027</v>
      </c>
      <c r="K69" s="72">
        <f>Table14[[#This Row],[-325893784.0000]]/درآمدها!$E$12</f>
        <v>6.9093010435775119E-3</v>
      </c>
    </row>
    <row r="70" spans="1:11" ht="23.1" customHeight="1">
      <c r="A70" s="56" t="s">
        <v>65</v>
      </c>
      <c r="B70" s="57">
        <v>0</v>
      </c>
      <c r="C70" s="57">
        <v>-265792230</v>
      </c>
      <c r="D70" s="57">
        <v>1501395345</v>
      </c>
      <c r="E70" s="57">
        <v>1235603115</v>
      </c>
      <c r="F70" s="57">
        <f>Table14[[#This Row],[Column5]]/درآمدها!$E$12</f>
        <v>4.1001449847073209E-3</v>
      </c>
      <c r="G70" s="57">
        <v>0</v>
      </c>
      <c r="H70" s="57">
        <v>0</v>
      </c>
      <c r="I70" s="57">
        <v>882716102</v>
      </c>
      <c r="J70" s="57">
        <v>882716102</v>
      </c>
      <c r="K70" s="72">
        <f>Table14[[#This Row],[-325893784.0000]]/درآمدها!$E$12</f>
        <v>2.9291476806738996E-3</v>
      </c>
    </row>
    <row r="71" spans="1:11" ht="23.1" customHeight="1">
      <c r="A71" s="56" t="s">
        <v>66</v>
      </c>
      <c r="B71" s="57">
        <v>0</v>
      </c>
      <c r="C71" s="57">
        <v>0</v>
      </c>
      <c r="D71" s="57">
        <v>-12855147</v>
      </c>
      <c r="E71" s="57">
        <v>-12855147</v>
      </c>
      <c r="F71" s="57">
        <f>Table14[[#This Row],[Column5]]/درآمدها!$E$12</f>
        <v>-4.2657683409713126E-5</v>
      </c>
      <c r="G71" s="57">
        <v>156662494</v>
      </c>
      <c r="H71" s="57">
        <v>0</v>
      </c>
      <c r="I71" s="57">
        <v>-901097172</v>
      </c>
      <c r="J71" s="57">
        <v>-744434678</v>
      </c>
      <c r="K71" s="72">
        <f>Table14[[#This Row],[-325893784.0000]]/درآمدها!$E$12</f>
        <v>-2.4702836002836633E-3</v>
      </c>
    </row>
    <row r="72" spans="1:11" ht="23.1" customHeight="1">
      <c r="A72" s="56" t="s">
        <v>130</v>
      </c>
      <c r="B72" s="57">
        <v>0</v>
      </c>
      <c r="C72" s="57">
        <v>0</v>
      </c>
      <c r="D72" s="57">
        <v>0</v>
      </c>
      <c r="E72" s="57">
        <v>0</v>
      </c>
      <c r="F72" s="57">
        <f>Table14[[#This Row],[Column5]]/درآمدها!$E$12</f>
        <v>0</v>
      </c>
      <c r="G72" s="57">
        <v>200360850</v>
      </c>
      <c r="H72" s="57">
        <v>0</v>
      </c>
      <c r="I72" s="57">
        <v>-607801069</v>
      </c>
      <c r="J72" s="57">
        <v>-407440219</v>
      </c>
      <c r="K72" s="72">
        <f>Table14[[#This Row],[-325893784.0000]]/درآمدها!$E$12</f>
        <v>-1.3520231134257882E-3</v>
      </c>
    </row>
    <row r="73" spans="1:11" ht="23.1" customHeight="1">
      <c r="A73" s="56" t="s">
        <v>190</v>
      </c>
      <c r="B73" s="57">
        <v>0</v>
      </c>
      <c r="C73" s="57">
        <v>0</v>
      </c>
      <c r="D73" s="57">
        <v>0</v>
      </c>
      <c r="E73" s="57">
        <v>0</v>
      </c>
      <c r="F73" s="57">
        <f>Table14[[#This Row],[Column5]]/درآمدها!$E$12</f>
        <v>0</v>
      </c>
      <c r="G73" s="57">
        <v>0</v>
      </c>
      <c r="H73" s="57">
        <v>0</v>
      </c>
      <c r="I73" s="57">
        <v>-1103937390</v>
      </c>
      <c r="J73" s="57">
        <v>-1103937390</v>
      </c>
      <c r="K73" s="72">
        <f>Table14[[#This Row],[-325893784.0000]]/درآمدها!$E$12</f>
        <v>-3.6632340094411215E-3</v>
      </c>
    </row>
    <row r="74" spans="1:11" ht="23.1" customHeight="1">
      <c r="A74" s="56" t="s">
        <v>67</v>
      </c>
      <c r="B74" s="57">
        <v>0</v>
      </c>
      <c r="C74" s="57">
        <v>286660553</v>
      </c>
      <c r="D74" s="57">
        <v>-353664730</v>
      </c>
      <c r="E74" s="57">
        <v>-67004177</v>
      </c>
      <c r="F74" s="57">
        <f>Table14[[#This Row],[Column5]]/درآمدها!$E$12</f>
        <v>-2.2234230146060419E-4</v>
      </c>
      <c r="G74" s="57">
        <v>0</v>
      </c>
      <c r="H74" s="57">
        <v>-570964189</v>
      </c>
      <c r="I74" s="57">
        <v>-1215062222</v>
      </c>
      <c r="J74" s="57">
        <v>-1786026411</v>
      </c>
      <c r="K74" s="72">
        <f>Table14[[#This Row],[-325893784.0000]]/درآمدها!$E$12</f>
        <v>-5.9266338379346554E-3</v>
      </c>
    </row>
    <row r="75" spans="1:11" ht="23.1" customHeight="1">
      <c r="A75" s="56" t="s">
        <v>68</v>
      </c>
      <c r="B75" s="57">
        <v>0</v>
      </c>
      <c r="C75" s="57">
        <v>-873399746</v>
      </c>
      <c r="D75" s="57">
        <v>580189663</v>
      </c>
      <c r="E75" s="57">
        <v>-293210083</v>
      </c>
      <c r="F75" s="57">
        <f>Table14[[#This Row],[Column5]]/درآمدها!$E$12</f>
        <v>-9.7296926228457043E-4</v>
      </c>
      <c r="G75" s="57">
        <v>0</v>
      </c>
      <c r="H75" s="57">
        <v>1352647777</v>
      </c>
      <c r="I75" s="57">
        <v>479120161</v>
      </c>
      <c r="J75" s="57">
        <v>1831767938</v>
      </c>
      <c r="K75" s="72">
        <f>Table14[[#This Row],[-325893784.0000]]/درآمدها!$E$12</f>
        <v>6.0784195450481445E-3</v>
      </c>
    </row>
    <row r="76" spans="1:11" ht="23.1" customHeight="1">
      <c r="A76" s="56" t="s">
        <v>69</v>
      </c>
      <c r="B76" s="57">
        <v>0</v>
      </c>
      <c r="C76" s="57">
        <v>-1706108304</v>
      </c>
      <c r="D76" s="57">
        <v>-1206685751</v>
      </c>
      <c r="E76" s="57">
        <v>-2912794055</v>
      </c>
      <c r="F76" s="57">
        <f>Table14[[#This Row],[Column5]]/درآمدها!$E$12</f>
        <v>-9.6656262768433938E-3</v>
      </c>
      <c r="G76" s="57">
        <v>802881452</v>
      </c>
      <c r="H76" s="57">
        <v>-2992348638</v>
      </c>
      <c r="I76" s="57">
        <v>-1558734308</v>
      </c>
      <c r="J76" s="57">
        <v>-3748201494</v>
      </c>
      <c r="K76" s="72">
        <f>Table14[[#This Row],[-325893784.0000]]/درآمدها!$E$12</f>
        <v>-1.2437787968264055E-2</v>
      </c>
    </row>
    <row r="77" spans="1:11" ht="23.1" customHeight="1">
      <c r="A77" s="56" t="s">
        <v>70</v>
      </c>
      <c r="B77" s="57">
        <v>0</v>
      </c>
      <c r="C77" s="57">
        <v>5042689293</v>
      </c>
      <c r="D77" s="57">
        <v>265057115</v>
      </c>
      <c r="E77" s="57">
        <v>5307746408</v>
      </c>
      <c r="F77" s="57">
        <f>Table14[[#This Row],[Column5]]/درآمدها!$E$12</f>
        <v>1.7612880342131133E-2</v>
      </c>
      <c r="G77" s="57">
        <v>1310938000</v>
      </c>
      <c r="H77" s="57">
        <v>6571023783</v>
      </c>
      <c r="I77" s="57">
        <v>-64608358</v>
      </c>
      <c r="J77" s="57">
        <v>7817353425</v>
      </c>
      <c r="K77" s="72">
        <f>Table14[[#This Row],[-325893784.0000]]/درآمدها!$E$12</f>
        <v>2.5940596984654205E-2</v>
      </c>
    </row>
    <row r="78" spans="1:11" ht="23.1" customHeight="1">
      <c r="A78" s="56" t="s">
        <v>71</v>
      </c>
      <c r="B78" s="57">
        <v>0</v>
      </c>
      <c r="C78" s="57">
        <v>1794042346</v>
      </c>
      <c r="D78" s="57">
        <v>218321000</v>
      </c>
      <c r="E78" s="57">
        <v>2012363346</v>
      </c>
      <c r="F78" s="57">
        <f>Table14[[#This Row],[Column5]]/درآمدها!$E$12</f>
        <v>6.6776955968670748E-3</v>
      </c>
      <c r="G78" s="57">
        <v>371028621</v>
      </c>
      <c r="H78" s="57">
        <v>2283855843</v>
      </c>
      <c r="I78" s="57">
        <v>134246911</v>
      </c>
      <c r="J78" s="57">
        <v>2789131375</v>
      </c>
      <c r="K78" s="72">
        <f>Table14[[#This Row],[-325893784.0000]]/درآمدها!$E$12</f>
        <v>9.2552720854026677E-3</v>
      </c>
    </row>
    <row r="79" spans="1:11" ht="23.1" customHeight="1">
      <c r="A79" s="56" t="s">
        <v>73</v>
      </c>
      <c r="B79" s="57">
        <v>0</v>
      </c>
      <c r="C79" s="57">
        <v>6511683011</v>
      </c>
      <c r="D79" s="57">
        <v>0</v>
      </c>
      <c r="E79" s="57">
        <v>6511683011</v>
      </c>
      <c r="F79" s="57">
        <f>Table14[[#This Row],[Column5]]/درآمدها!$E$12</f>
        <v>2.1607945233737547E-2</v>
      </c>
      <c r="G79" s="57">
        <v>1269957150</v>
      </c>
      <c r="H79" s="57">
        <v>10401622298</v>
      </c>
      <c r="I79" s="57">
        <v>1267652905</v>
      </c>
      <c r="J79" s="57">
        <v>12939232353</v>
      </c>
      <c r="K79" s="72">
        <f>Table14[[#This Row],[-325893784.0000]]/درآمدها!$E$12</f>
        <v>4.2936706774258697E-2</v>
      </c>
    </row>
    <row r="80" spans="1:11" ht="23.1" customHeight="1">
      <c r="A80" s="56" t="s">
        <v>74</v>
      </c>
      <c r="B80" s="57">
        <v>0</v>
      </c>
      <c r="C80" s="57">
        <v>-566658928</v>
      </c>
      <c r="D80" s="57">
        <v>-747576425</v>
      </c>
      <c r="E80" s="57">
        <v>-1314235353</v>
      </c>
      <c r="F80" s="57">
        <f>Table14[[#This Row],[Column5]]/درآمدها!$E$12</f>
        <v>-4.3610730872331973E-3</v>
      </c>
      <c r="G80" s="57">
        <v>330618000</v>
      </c>
      <c r="H80" s="57">
        <v>0</v>
      </c>
      <c r="I80" s="57">
        <v>-868757418</v>
      </c>
      <c r="J80" s="57">
        <v>-538139418</v>
      </c>
      <c r="K80" s="72">
        <f>Table14[[#This Row],[-325893784.0000]]/درآمدها!$E$12</f>
        <v>-1.7857268316987178E-3</v>
      </c>
    </row>
    <row r="81" spans="1:11" ht="23.1" customHeight="1">
      <c r="A81" s="56" t="s">
        <v>75</v>
      </c>
      <c r="B81" s="57">
        <v>0</v>
      </c>
      <c r="C81" s="57">
        <v>-296392449</v>
      </c>
      <c r="D81" s="57">
        <v>378364876</v>
      </c>
      <c r="E81" s="57">
        <v>81972427</v>
      </c>
      <c r="F81" s="57">
        <f>Table14[[#This Row],[Column5]]/درآمدها!$E$12</f>
        <v>2.7201196838058872E-4</v>
      </c>
      <c r="G81" s="57">
        <v>57149070</v>
      </c>
      <c r="H81" s="57">
        <v>21738821</v>
      </c>
      <c r="I81" s="57">
        <v>-194575328</v>
      </c>
      <c r="J81" s="57">
        <v>-115687437</v>
      </c>
      <c r="K81" s="72">
        <f>Table14[[#This Row],[-325893784.0000]]/درآمدها!$E$12</f>
        <v>-3.8388966396316841E-4</v>
      </c>
    </row>
    <row r="82" spans="1:11" ht="23.1" customHeight="1">
      <c r="A82" s="56" t="s">
        <v>76</v>
      </c>
      <c r="B82" s="57">
        <v>0</v>
      </c>
      <c r="C82" s="57">
        <v>-33106715</v>
      </c>
      <c r="D82" s="57">
        <v>133526386</v>
      </c>
      <c r="E82" s="57">
        <v>100419671</v>
      </c>
      <c r="F82" s="57">
        <f>Table14[[#This Row],[Column5]]/درآمدها!$E$12</f>
        <v>3.3322610263620867E-4</v>
      </c>
      <c r="G82" s="57">
        <v>0</v>
      </c>
      <c r="H82" s="57">
        <v>0</v>
      </c>
      <c r="I82" s="57">
        <v>133526386</v>
      </c>
      <c r="J82" s="57">
        <v>133526386</v>
      </c>
      <c r="K82" s="72">
        <f>Table14[[#This Row],[-325893784.0000]]/درآمدها!$E$12</f>
        <v>4.4308527166831704E-4</v>
      </c>
    </row>
    <row r="83" spans="1:11" ht="23.1" customHeight="1">
      <c r="A83" s="56" t="s">
        <v>147</v>
      </c>
      <c r="B83" s="57">
        <v>0</v>
      </c>
      <c r="C83" s="57">
        <v>0</v>
      </c>
      <c r="D83" s="57">
        <v>0</v>
      </c>
      <c r="E83" s="57">
        <v>0</v>
      </c>
      <c r="F83" s="57">
        <f>Table14[[#This Row],[Column5]]/درآمدها!$E$12</f>
        <v>0</v>
      </c>
      <c r="G83" s="57">
        <v>84800</v>
      </c>
      <c r="H83" s="57">
        <v>0</v>
      </c>
      <c r="I83" s="57">
        <v>-899831911</v>
      </c>
      <c r="J83" s="57">
        <v>-899747111</v>
      </c>
      <c r="K83" s="72">
        <f>Table14[[#This Row],[-325893784.0000]]/درآمدها!$E$12</f>
        <v>-2.9856622728500898E-3</v>
      </c>
    </row>
    <row r="84" spans="1:11" ht="23.1" customHeight="1">
      <c r="A84" s="56" t="s">
        <v>77</v>
      </c>
      <c r="B84" s="57">
        <v>0</v>
      </c>
      <c r="C84" s="57">
        <v>338382010</v>
      </c>
      <c r="D84" s="57">
        <v>0</v>
      </c>
      <c r="E84" s="57">
        <v>338382010</v>
      </c>
      <c r="F84" s="57">
        <f>Table14[[#This Row],[Column5]]/درآمدها!$E$12</f>
        <v>1.1228648458179733E-3</v>
      </c>
      <c r="G84" s="57">
        <v>0</v>
      </c>
      <c r="H84" s="57">
        <v>1807195980</v>
      </c>
      <c r="I84" s="57">
        <v>281750539</v>
      </c>
      <c r="J84" s="57">
        <v>2088946519</v>
      </c>
      <c r="K84" s="72">
        <f>Table14[[#This Row],[-325893784.0000]]/درآمدها!$E$12</f>
        <v>6.9318242154153727E-3</v>
      </c>
    </row>
    <row r="85" spans="1:11" ht="23.1" customHeight="1">
      <c r="A85" s="56" t="s">
        <v>180</v>
      </c>
      <c r="B85" s="57">
        <v>0</v>
      </c>
      <c r="C85" s="57">
        <v>0</v>
      </c>
      <c r="D85" s="57">
        <v>0</v>
      </c>
      <c r="E85" s="57">
        <v>0</v>
      </c>
      <c r="F85" s="57">
        <f>Table14[[#This Row],[Column5]]/درآمدها!$E$12</f>
        <v>0</v>
      </c>
      <c r="G85" s="57">
        <v>0</v>
      </c>
      <c r="H85" s="57">
        <v>0</v>
      </c>
      <c r="I85" s="57">
        <v>1284215424</v>
      </c>
      <c r="J85" s="57">
        <v>1284215424</v>
      </c>
      <c r="K85" s="72">
        <f>Table14[[#This Row],[-325893784.0000]]/درآمدها!$E$12</f>
        <v>4.261456908027773E-3</v>
      </c>
    </row>
    <row r="86" spans="1:11" ht="23.1" customHeight="1">
      <c r="A86" s="56" t="s">
        <v>181</v>
      </c>
      <c r="B86" s="57">
        <v>0</v>
      </c>
      <c r="C86" s="57">
        <v>0</v>
      </c>
      <c r="D86" s="57">
        <v>0</v>
      </c>
      <c r="E86" s="57">
        <v>0</v>
      </c>
      <c r="F86" s="57">
        <f>Table14[[#This Row],[Column5]]/درآمدها!$E$12</f>
        <v>0</v>
      </c>
      <c r="G86" s="57">
        <v>0</v>
      </c>
      <c r="H86" s="57">
        <v>0</v>
      </c>
      <c r="I86" s="57">
        <v>-904362571</v>
      </c>
      <c r="J86" s="57">
        <v>-904362571</v>
      </c>
      <c r="K86" s="72">
        <f>Table14[[#This Row],[-325893784.0000]]/درآمدها!$E$12</f>
        <v>-3.0009779150181794E-3</v>
      </c>
    </row>
    <row r="87" spans="1:11" ht="23.1" customHeight="1">
      <c r="A87" s="56" t="s">
        <v>78</v>
      </c>
      <c r="B87" s="57">
        <v>0</v>
      </c>
      <c r="C87" s="57">
        <v>92808600</v>
      </c>
      <c r="D87" s="57">
        <v>0</v>
      </c>
      <c r="E87" s="57">
        <v>92808600</v>
      </c>
      <c r="F87" s="57">
        <f>Table14[[#This Row],[Column5]]/درآمدها!$E$12</f>
        <v>3.0797001982931052E-4</v>
      </c>
      <c r="G87" s="57">
        <v>0</v>
      </c>
      <c r="H87" s="57">
        <v>301392192</v>
      </c>
      <c r="I87" s="57">
        <v>52135319</v>
      </c>
      <c r="J87" s="57">
        <v>353527511</v>
      </c>
      <c r="K87" s="72">
        <f>Table14[[#This Row],[-325893784.0000]]/درآمدها!$E$12</f>
        <v>1.1731226909238669E-3</v>
      </c>
    </row>
    <row r="88" spans="1:11" ht="23.1" customHeight="1">
      <c r="A88" s="56" t="s">
        <v>79</v>
      </c>
      <c r="B88" s="57">
        <v>0</v>
      </c>
      <c r="C88" s="57">
        <v>-1095471751</v>
      </c>
      <c r="D88" s="57">
        <v>1632407909</v>
      </c>
      <c r="E88" s="57">
        <v>536936158</v>
      </c>
      <c r="F88" s="57">
        <f>Table14[[#This Row],[Column5]]/درآمدها!$E$12</f>
        <v>1.7817340120024846E-3</v>
      </c>
      <c r="G88" s="57">
        <v>0</v>
      </c>
      <c r="H88" s="57">
        <v>0</v>
      </c>
      <c r="I88" s="57">
        <v>805335503</v>
      </c>
      <c r="J88" s="57">
        <v>805335503</v>
      </c>
      <c r="K88" s="72">
        <f>Table14[[#This Row],[-325893784.0000]]/درآمدها!$E$12</f>
        <v>2.6723729355701709E-3</v>
      </c>
    </row>
    <row r="89" spans="1:11" ht="23.1" customHeight="1">
      <c r="A89" s="56" t="s">
        <v>80</v>
      </c>
      <c r="B89" s="57">
        <v>163077248</v>
      </c>
      <c r="C89" s="57">
        <v>2029590827</v>
      </c>
      <c r="D89" s="57">
        <v>531820060</v>
      </c>
      <c r="E89" s="57">
        <v>2724488135</v>
      </c>
      <c r="F89" s="57">
        <f>Table14[[#This Row],[Column5]]/درآمدها!$E$12</f>
        <v>9.0407641636730991E-3</v>
      </c>
      <c r="G89" s="57">
        <v>4131290270</v>
      </c>
      <c r="H89" s="57">
        <v>4301753068</v>
      </c>
      <c r="I89" s="57">
        <v>-565207701</v>
      </c>
      <c r="J89" s="57">
        <v>7867835637</v>
      </c>
      <c r="K89" s="72">
        <f>Table14[[#This Row],[-325893784.0000]]/درآمدها!$E$12</f>
        <v>2.6108113872428264E-2</v>
      </c>
    </row>
    <row r="90" spans="1:11" ht="23.1" customHeight="1">
      <c r="A90" s="56" t="s">
        <v>155</v>
      </c>
      <c r="B90" s="57">
        <v>0</v>
      </c>
      <c r="C90" s="57">
        <v>0</v>
      </c>
      <c r="D90" s="57">
        <v>0</v>
      </c>
      <c r="E90" s="57">
        <v>0</v>
      </c>
      <c r="F90" s="57">
        <f>Table14[[#This Row],[Column5]]/درآمدها!$E$12</f>
        <v>0</v>
      </c>
      <c r="G90" s="57">
        <v>362934000</v>
      </c>
      <c r="H90" s="57">
        <v>0</v>
      </c>
      <c r="I90" s="57">
        <v>-1124856634</v>
      </c>
      <c r="J90" s="57">
        <v>-761922634</v>
      </c>
      <c r="K90" s="72">
        <f>Table14[[#This Row],[-325893784.0000]]/درآمدها!$E$12</f>
        <v>-2.5283144956542874E-3</v>
      </c>
    </row>
    <row r="91" spans="1:11" ht="23.1" customHeight="1">
      <c r="A91" s="56" t="s">
        <v>128</v>
      </c>
      <c r="B91" s="57">
        <v>0</v>
      </c>
      <c r="C91" s="57">
        <v>0</v>
      </c>
      <c r="D91" s="57">
        <v>0</v>
      </c>
      <c r="E91" s="57">
        <v>0</v>
      </c>
      <c r="F91" s="57">
        <f>Table14[[#This Row],[Column5]]/درآمدها!$E$12</f>
        <v>0</v>
      </c>
      <c r="G91" s="57">
        <v>4241820</v>
      </c>
      <c r="H91" s="57">
        <v>0</v>
      </c>
      <c r="I91" s="57">
        <v>-565021857</v>
      </c>
      <c r="J91" s="57">
        <v>-560780037</v>
      </c>
      <c r="K91" s="72">
        <f>Table14[[#This Row],[-325893784.0000]]/درآمدها!$E$12</f>
        <v>-1.8608559887205655E-3</v>
      </c>
    </row>
    <row r="92" spans="1:11" ht="23.1" customHeight="1">
      <c r="A92" s="56" t="s">
        <v>126</v>
      </c>
      <c r="B92" s="57">
        <v>0</v>
      </c>
      <c r="C92" s="57">
        <v>0</v>
      </c>
      <c r="D92" s="57">
        <v>0</v>
      </c>
      <c r="E92" s="57">
        <v>0</v>
      </c>
      <c r="F92" s="57">
        <f>Table14[[#This Row],[Column5]]/درآمدها!$E$12</f>
        <v>0</v>
      </c>
      <c r="G92" s="57">
        <v>117135</v>
      </c>
      <c r="H92" s="57">
        <v>0</v>
      </c>
      <c r="I92" s="57">
        <v>82117</v>
      </c>
      <c r="J92" s="57">
        <v>199252</v>
      </c>
      <c r="K92" s="72">
        <f>Table14[[#This Row],[-325893784.0000]]/درآمدها!$E$12</f>
        <v>6.6118487285693115E-7</v>
      </c>
    </row>
    <row r="93" spans="1:11" ht="23.1" customHeight="1">
      <c r="A93" s="56" t="s">
        <v>81</v>
      </c>
      <c r="B93" s="57">
        <v>0</v>
      </c>
      <c r="C93" s="57">
        <v>-108747960</v>
      </c>
      <c r="D93" s="57">
        <v>0</v>
      </c>
      <c r="E93" s="57">
        <v>-108747960</v>
      </c>
      <c r="F93" s="57">
        <f>Table14[[#This Row],[Column5]]/درآمدها!$E$12</f>
        <v>-3.6086215498991542E-4</v>
      </c>
      <c r="G93" s="57">
        <v>0</v>
      </c>
      <c r="H93" s="57">
        <v>-338615697</v>
      </c>
      <c r="I93" s="57">
        <v>1733489369</v>
      </c>
      <c r="J93" s="57">
        <v>1394873672</v>
      </c>
      <c r="K93" s="72">
        <f>Table14[[#This Row],[-325893784.0000]]/درآمدها!$E$12</f>
        <v>4.6286580384277227E-3</v>
      </c>
    </row>
    <row r="94" spans="1:11" ht="23.1" customHeight="1">
      <c r="A94" s="56" t="s">
        <v>82</v>
      </c>
      <c r="B94" s="57">
        <v>0</v>
      </c>
      <c r="C94" s="57">
        <v>1961703208</v>
      </c>
      <c r="D94" s="57">
        <v>0</v>
      </c>
      <c r="E94" s="57">
        <v>1961703208</v>
      </c>
      <c r="F94" s="57">
        <f>Table14[[#This Row],[Column5]]/درآمدها!$E$12</f>
        <v>6.5095882910310258E-3</v>
      </c>
      <c r="G94" s="57">
        <v>0</v>
      </c>
      <c r="H94" s="57">
        <v>1961703208</v>
      </c>
      <c r="I94" s="57">
        <v>0</v>
      </c>
      <c r="J94" s="57">
        <v>1961703208</v>
      </c>
      <c r="K94" s="72">
        <f>Table14[[#This Row],[-325893784.0000]]/درآمدها!$E$12</f>
        <v>6.5095882910310258E-3</v>
      </c>
    </row>
    <row r="95" spans="1:11" ht="23.1" customHeight="1">
      <c r="A95" s="56" t="s">
        <v>178</v>
      </c>
      <c r="B95" s="57">
        <v>0</v>
      </c>
      <c r="C95" s="57">
        <v>0</v>
      </c>
      <c r="D95" s="57">
        <v>0</v>
      </c>
      <c r="E95" s="57">
        <v>0</v>
      </c>
      <c r="F95" s="57">
        <f>Table14[[#This Row],[Column5]]/درآمدها!$E$12</f>
        <v>0</v>
      </c>
      <c r="G95" s="57">
        <v>0</v>
      </c>
      <c r="H95" s="57">
        <v>0</v>
      </c>
      <c r="I95" s="57">
        <v>-169479330</v>
      </c>
      <c r="J95" s="57">
        <v>-169479330</v>
      </c>
      <c r="K95" s="72">
        <f>Table14[[#This Row],[-325893784.0000]]/درآمدها!$E$12</f>
        <v>-5.6238918182968233E-4</v>
      </c>
    </row>
    <row r="96" spans="1:11" ht="23.1" customHeight="1">
      <c r="A96" s="56" t="s">
        <v>185</v>
      </c>
      <c r="B96" s="57">
        <v>0</v>
      </c>
      <c r="C96" s="57">
        <v>0</v>
      </c>
      <c r="D96" s="57">
        <v>0</v>
      </c>
      <c r="E96" s="57">
        <v>0</v>
      </c>
      <c r="F96" s="57">
        <f>Table14[[#This Row],[Column5]]/درآمدها!$E$12</f>
        <v>0</v>
      </c>
      <c r="G96" s="57">
        <v>0</v>
      </c>
      <c r="H96" s="57">
        <v>0</v>
      </c>
      <c r="I96" s="57">
        <v>-504279332</v>
      </c>
      <c r="J96" s="57">
        <v>-504279332</v>
      </c>
      <c r="K96" s="72">
        <f>Table14[[#This Row],[-325893784.0000]]/درآمدها!$E$12</f>
        <v>-1.6733677253568252E-3</v>
      </c>
    </row>
    <row r="97" spans="1:11" ht="23.1" customHeight="1">
      <c r="A97" s="56" t="s">
        <v>182</v>
      </c>
      <c r="B97" s="57">
        <v>0</v>
      </c>
      <c r="C97" s="57">
        <v>0</v>
      </c>
      <c r="D97" s="57">
        <v>0</v>
      </c>
      <c r="E97" s="57">
        <v>0</v>
      </c>
      <c r="F97" s="57">
        <f>Table14[[#This Row],[Column5]]/درآمدها!$E$12</f>
        <v>0</v>
      </c>
      <c r="G97" s="57">
        <v>0</v>
      </c>
      <c r="H97" s="57">
        <v>0</v>
      </c>
      <c r="I97" s="57">
        <v>-334979849</v>
      </c>
      <c r="J97" s="57">
        <v>-334979849</v>
      </c>
      <c r="K97" s="72">
        <f>Table14[[#This Row],[-325893784.0000]]/درآمدها!$E$12</f>
        <v>-1.1115753361105483E-3</v>
      </c>
    </row>
    <row r="98" spans="1:11" ht="23.1" customHeight="1">
      <c r="A98" s="56" t="s">
        <v>188</v>
      </c>
      <c r="B98" s="57">
        <v>0</v>
      </c>
      <c r="C98" s="57">
        <v>0</v>
      </c>
      <c r="D98" s="57">
        <v>0</v>
      </c>
      <c r="E98" s="57">
        <v>0</v>
      </c>
      <c r="F98" s="57">
        <f>Table14[[#This Row],[Column5]]/درآمدها!$E$12</f>
        <v>0</v>
      </c>
      <c r="G98" s="57">
        <v>0</v>
      </c>
      <c r="H98" s="57">
        <v>0</v>
      </c>
      <c r="I98" s="57">
        <v>190294</v>
      </c>
      <c r="J98" s="57">
        <v>190294</v>
      </c>
      <c r="K98" s="72">
        <f>Table14[[#This Row],[-325893784.0000]]/درآمدها!$E$12</f>
        <v>6.3145922849174341E-7</v>
      </c>
    </row>
    <row r="99" spans="1:11" ht="23.1" customHeight="1">
      <c r="A99" s="56" t="s">
        <v>83</v>
      </c>
      <c r="B99" s="57">
        <v>0</v>
      </c>
      <c r="C99" s="57">
        <v>0</v>
      </c>
      <c r="D99" s="57">
        <v>0</v>
      </c>
      <c r="E99" s="57">
        <v>0</v>
      </c>
      <c r="F99" s="57">
        <f>Table14[[#This Row],[Column5]]/درآمدها!$E$12</f>
        <v>0</v>
      </c>
      <c r="G99" s="57">
        <v>0</v>
      </c>
      <c r="H99" s="57">
        <v>-250300</v>
      </c>
      <c r="I99" s="57">
        <v>0</v>
      </c>
      <c r="J99" s="57">
        <v>-250300</v>
      </c>
      <c r="K99" s="72">
        <f>Table14[[#This Row],[-325893784.0000]]/درآمدها!$E$12</f>
        <v>-8.3057923471829568E-7</v>
      </c>
    </row>
    <row r="100" spans="1:11" ht="23.1" customHeight="1">
      <c r="A100" s="56" t="s">
        <v>72</v>
      </c>
      <c r="B100" s="57">
        <v>0</v>
      </c>
      <c r="C100" s="57">
        <v>-2810044275</v>
      </c>
      <c r="D100" s="57">
        <v>0</v>
      </c>
      <c r="E100" s="57">
        <v>-2810044275</v>
      </c>
      <c r="F100" s="57">
        <f>Table14[[#This Row],[Column5]]/درآمدها!$E$12</f>
        <v>-9.3246680921055848E-3</v>
      </c>
      <c r="G100" s="57">
        <v>0</v>
      </c>
      <c r="H100" s="57">
        <v>0</v>
      </c>
      <c r="I100" s="57">
        <v>0</v>
      </c>
      <c r="J100" s="57">
        <v>0</v>
      </c>
      <c r="K100" s="72">
        <f>Table14[[#This Row],[-325893784.0000]]/درآمدها!$E$12</f>
        <v>0</v>
      </c>
    </row>
    <row r="101" spans="1:11" ht="23.1" customHeight="1">
      <c r="A101" s="56" t="s">
        <v>84</v>
      </c>
      <c r="B101" s="57">
        <f>SUBTOTAL(109,B11:B100)</f>
        <v>5500643874</v>
      </c>
      <c r="C101" s="57">
        <f>SUBTOTAL(109,C11:C100)</f>
        <v>28143016982</v>
      </c>
      <c r="D101" s="57">
        <f>SUBTOTAL(109,D11:D100)</f>
        <v>87537444381</v>
      </c>
      <c r="E101" s="57">
        <f>SUBTOTAL(109,E11:E100)</f>
        <v>121181105237</v>
      </c>
      <c r="F101" s="58">
        <f>Table14[[#This Row],[Column5]]/درآمدها!$E$12</f>
        <v>0.40211949520601165</v>
      </c>
      <c r="G101" s="57">
        <f>SUBTOTAL(109,G11:G100)</f>
        <v>47095350092</v>
      </c>
      <c r="H101" s="57">
        <v>180838227528</v>
      </c>
      <c r="I101" s="57">
        <v>61811685674</v>
      </c>
      <c r="J101" s="57">
        <v>289745263294</v>
      </c>
      <c r="K101" s="58">
        <f>SUBTOTAL(109,K11:K100)</f>
        <v>0.96147183000392178</v>
      </c>
    </row>
    <row r="102" spans="1:11" ht="23.1" customHeight="1">
      <c r="A102" s="56" t="s">
        <v>85</v>
      </c>
      <c r="B102" s="69"/>
      <c r="C102" s="69"/>
      <c r="D102" s="69"/>
      <c r="E102" s="69"/>
      <c r="F102" s="99"/>
      <c r="G102" s="69"/>
      <c r="H102" s="69"/>
      <c r="I102" s="69"/>
      <c r="J102" s="69"/>
      <c r="K102" s="100"/>
    </row>
  </sheetData>
  <mergeCells count="15"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  <mergeCell ref="G7:K7"/>
    <mergeCell ref="B7:F7"/>
    <mergeCell ref="A8:A10"/>
  </mergeCells>
  <pageMargins left="0.7" right="0.7" top="0.75" bottom="0.75" header="0.3" footer="0.3"/>
  <pageSetup paperSize="9" scale="62" orientation="landscape" horizontalDpi="4294967295" verticalDpi="4294967295" r:id="rId1"/>
  <headerFooter differentOddEven="1" differentFirst="1"/>
  <rowBreaks count="1" manualBreakCount="1">
    <brk id="67" max="10" man="1"/>
  </rowBreak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G11"/>
  <sheetViews>
    <sheetView rightToLeft="1" view="pageBreakPreview" zoomScale="106" zoomScaleNormal="100" zoomScaleSheetLayoutView="106" workbookViewId="0">
      <selection activeCell="E7" sqref="E7"/>
    </sheetView>
  </sheetViews>
  <sheetFormatPr defaultColWidth="9" defaultRowHeight="18.75"/>
  <cols>
    <col min="1" max="1" width="33.28515625" style="43" bestFit="1" customWidth="1"/>
    <col min="2" max="2" width="18.42578125" style="43" bestFit="1" customWidth="1"/>
    <col min="3" max="3" width="24.5703125" style="43" bestFit="1" customWidth="1"/>
    <col min="4" max="4" width="21.85546875" style="43" bestFit="1" customWidth="1"/>
    <col min="5" max="5" width="24.5703125" style="43" bestFit="1" customWidth="1"/>
    <col min="6" max="6" width="21.85546875" style="43" bestFit="1" customWidth="1"/>
    <col min="7" max="7" width="13" style="8" customWidth="1"/>
    <col min="8" max="8" width="9" style="8" customWidth="1"/>
    <col min="9" max="16384" width="9" style="8"/>
  </cols>
  <sheetData>
    <row r="1" spans="1:7" ht="21">
      <c r="A1" s="88" t="s">
        <v>1</v>
      </c>
      <c r="B1" s="88"/>
      <c r="C1" s="88"/>
      <c r="D1" s="88"/>
      <c r="E1" s="88"/>
      <c r="F1" s="88"/>
    </row>
    <row r="2" spans="1:7" ht="21">
      <c r="A2" s="88" t="s">
        <v>98</v>
      </c>
      <c r="B2" s="88"/>
      <c r="C2" s="88"/>
      <c r="D2" s="88"/>
      <c r="E2" s="88"/>
      <c r="F2" s="88"/>
    </row>
    <row r="3" spans="1:7" ht="21">
      <c r="A3" s="88" t="s">
        <v>99</v>
      </c>
      <c r="B3" s="88"/>
      <c r="C3" s="88"/>
      <c r="D3" s="88"/>
      <c r="E3" s="88"/>
      <c r="F3" s="88"/>
    </row>
    <row r="4" spans="1:7">
      <c r="A4" s="89" t="s">
        <v>207</v>
      </c>
      <c r="B4" s="89"/>
      <c r="C4" s="89"/>
      <c r="D4" s="89"/>
      <c r="E4" s="89"/>
      <c r="F4" s="89"/>
    </row>
    <row r="5" spans="1:7">
      <c r="A5" s="90"/>
      <c r="B5" s="90"/>
      <c r="C5" s="90"/>
      <c r="D5" s="90"/>
      <c r="E5" s="90"/>
      <c r="F5" s="90"/>
    </row>
    <row r="6" spans="1:7" ht="37.5" customHeight="1">
      <c r="A6" s="102" t="s">
        <v>208</v>
      </c>
      <c r="B6" s="102"/>
      <c r="C6" s="103" t="s">
        <v>117</v>
      </c>
      <c r="D6" s="103"/>
      <c r="E6" s="102" t="s">
        <v>118</v>
      </c>
      <c r="F6" s="102"/>
      <c r="G6" s="9"/>
    </row>
    <row r="7" spans="1:7" ht="59.25" customHeight="1">
      <c r="A7" s="104" t="s">
        <v>209</v>
      </c>
      <c r="B7" s="105" t="s">
        <v>210</v>
      </c>
      <c r="C7" s="105" t="s">
        <v>211</v>
      </c>
      <c r="D7" s="105" t="s">
        <v>212</v>
      </c>
      <c r="E7" s="105" t="s">
        <v>211</v>
      </c>
      <c r="F7" s="105" t="s">
        <v>212</v>
      </c>
      <c r="G7" s="7"/>
    </row>
    <row r="8" spans="1:7" ht="22.5" customHeight="1">
      <c r="A8" s="106"/>
      <c r="B8" s="106"/>
      <c r="C8" s="96" t="s">
        <v>202</v>
      </c>
      <c r="D8" s="106"/>
      <c r="E8" s="96" t="s">
        <v>202</v>
      </c>
      <c r="F8" s="106"/>
      <c r="G8" s="7"/>
    </row>
    <row r="9" spans="1:7" ht="23.1" customHeight="1">
      <c r="A9" s="56" t="s">
        <v>170</v>
      </c>
      <c r="B9" s="56" t="s">
        <v>213</v>
      </c>
      <c r="C9" s="57">
        <v>0</v>
      </c>
      <c r="D9" s="56" t="s">
        <v>172</v>
      </c>
      <c r="E9" s="57">
        <v>33800925</v>
      </c>
      <c r="F9" s="56" t="s">
        <v>172</v>
      </c>
    </row>
    <row r="10" spans="1:7" ht="23.1" customHeight="1">
      <c r="A10" s="56" t="s">
        <v>84</v>
      </c>
      <c r="B10" s="56"/>
      <c r="C10" s="57">
        <v>0</v>
      </c>
      <c r="D10" s="56"/>
      <c r="E10" s="57">
        <v>33800925</v>
      </c>
      <c r="F10" s="56"/>
    </row>
    <row r="11" spans="1:7" ht="23.1" customHeight="1">
      <c r="A11" s="107" t="s">
        <v>85</v>
      </c>
      <c r="B11" s="108"/>
      <c r="C11" s="69"/>
      <c r="D11" s="108"/>
      <c r="E11" s="69"/>
      <c r="F11" s="108"/>
      <c r="G11" s="7"/>
    </row>
  </sheetData>
  <mergeCells count="7">
    <mergeCell ref="A6:B6"/>
    <mergeCell ref="C6:D6"/>
    <mergeCell ref="A4:F4"/>
    <mergeCell ref="E6:F6"/>
    <mergeCell ref="A1:F1"/>
    <mergeCell ref="A2:F2"/>
    <mergeCell ref="A3:F3"/>
  </mergeCells>
  <pageMargins left="0.7" right="0.7" top="0.75" bottom="0.75" header="0.3" footer="0.3"/>
  <pageSetup paperSize="9" scale="61" orientation="portrait" horizontalDpi="4294967295" verticalDpi="4294967295" r:id="rId1"/>
  <headerFooter differentOddEven="1" differentFirst="1"/>
  <colBreaks count="1" manualBreakCount="1">
    <brk id="6" max="10" man="1"/>
  </colBreak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C11"/>
  <sheetViews>
    <sheetView rightToLeft="1" view="pageBreakPreview" zoomScale="115" zoomScaleNormal="115" zoomScaleSheetLayoutView="115" workbookViewId="0">
      <selection activeCell="B8" sqref="B8"/>
    </sheetView>
  </sheetViews>
  <sheetFormatPr defaultColWidth="9" defaultRowHeight="18.75"/>
  <cols>
    <col min="1" max="1" width="17.7109375" style="43" bestFit="1" customWidth="1"/>
    <col min="2" max="2" width="25.85546875" style="43" bestFit="1" customWidth="1"/>
    <col min="3" max="3" width="26.85546875" style="43" bestFit="1" customWidth="1"/>
    <col min="4" max="4" width="9" style="8" customWidth="1"/>
    <col min="5" max="16384" width="9" style="8"/>
  </cols>
  <sheetData>
    <row r="1" spans="1:3" ht="21">
      <c r="A1" s="88" t="s">
        <v>1</v>
      </c>
      <c r="B1" s="88"/>
      <c r="C1" s="88"/>
    </row>
    <row r="2" spans="1:3" ht="21">
      <c r="A2" s="88" t="s">
        <v>98</v>
      </c>
      <c r="B2" s="88"/>
      <c r="C2" s="88"/>
    </row>
    <row r="3" spans="1:3" ht="21">
      <c r="A3" s="88" t="s">
        <v>99</v>
      </c>
      <c r="B3" s="88"/>
      <c r="C3" s="88"/>
    </row>
    <row r="4" spans="1:3">
      <c r="A4" s="89" t="s">
        <v>214</v>
      </c>
      <c r="B4" s="89"/>
      <c r="C4" s="89"/>
    </row>
    <row r="5" spans="1:3">
      <c r="A5" s="109"/>
      <c r="B5" s="106" t="s">
        <v>117</v>
      </c>
      <c r="C5" s="106" t="s">
        <v>118</v>
      </c>
    </row>
    <row r="6" spans="1:3" ht="16.5" customHeight="1">
      <c r="A6" s="110" t="s">
        <v>113</v>
      </c>
      <c r="B6" s="93" t="s">
        <v>92</v>
      </c>
      <c r="C6" s="93" t="s">
        <v>92</v>
      </c>
    </row>
    <row r="7" spans="1:3" ht="18">
      <c r="A7" s="111"/>
      <c r="B7" s="91"/>
      <c r="C7" s="91"/>
    </row>
    <row r="8" spans="1:3" ht="23.1" customHeight="1">
      <c r="A8" s="56" t="s">
        <v>113</v>
      </c>
      <c r="B8" s="57">
        <v>0</v>
      </c>
      <c r="C8" s="57">
        <v>292888489</v>
      </c>
    </row>
    <row r="9" spans="1:3" ht="23.1" customHeight="1">
      <c r="A9" s="56" t="s">
        <v>215</v>
      </c>
      <c r="B9" s="57">
        <v>1713447837</v>
      </c>
      <c r="C9" s="57">
        <v>1713447837</v>
      </c>
    </row>
    <row r="10" spans="1:3" ht="23.1" customHeight="1">
      <c r="A10" s="56" t="s">
        <v>84</v>
      </c>
      <c r="B10" s="57">
        <v>1713447837</v>
      </c>
      <c r="C10" s="57">
        <v>2006336326</v>
      </c>
    </row>
    <row r="11" spans="1:3" ht="23.1" customHeight="1">
      <c r="A11" s="56" t="s">
        <v>85</v>
      </c>
      <c r="B11" s="57"/>
      <c r="C11" s="57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portrait" horizontalDpi="4294967295" verticalDpi="4294967295" r:id="rId1"/>
  <headerFooter differentOddEven="1" differentFirst="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1</vt:lpstr>
      <vt:lpstr> سهام</vt:lpstr>
      <vt:lpstr>سپرده</vt:lpstr>
      <vt:lpstr>درآمدها</vt:lpstr>
      <vt:lpstr>درآمد سود سهام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سهام</vt:lpstr>
      <vt:lpstr>درآمد سپرده بانکی</vt:lpstr>
      <vt:lpstr>سایر درآمدها</vt:lpstr>
      <vt:lpstr>' سهام'!Print_Area</vt:lpstr>
      <vt:lpstr>'درآمد سپرده بانکی'!Print_Area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Mabna</dc:creator>
  <cp:keywords>EPPlus noncommercial use</cp:keywords>
  <dc:description>This workbook has been created with EPPlus licensed to Mabna under The Polyform Noncommercial License: See https://polyformproject.org/licenses/noncommercial/1.0.0</dc:description>
  <cp:lastModifiedBy>Maryam Asadi</cp:lastModifiedBy>
  <cp:lastPrinted>2022-07-11T16:32:10Z</cp:lastPrinted>
  <dcterms:created xsi:type="dcterms:W3CDTF">2017-11-22T14:26:20Z</dcterms:created>
  <dcterms:modified xsi:type="dcterms:W3CDTF">2026-01-27T08:00:07Z</dcterms:modified>
</cp:coreProperties>
</file>