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001 Mali SanDogh\01 حسابداری صندوق های سرمایه گذاری\شاخصی شفق رابین\گزارشات\پرتفو ماهانه\1405\اردیبهشت\"/>
    </mc:Choice>
  </mc:AlternateContent>
  <xr:revisionPtr revIDLastSave="0" documentId="13_ncr:1_{78C01161-6B3E-413C-940E-B0079AB0BC9D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درآمد سپرده بانکی" sheetId="7" r:id="rId11"/>
    <sheet name="سایر درآمدها" sheetId="8" r:id="rId12"/>
  </sheets>
  <externalReferences>
    <externalReference r:id="rId13"/>
  </externalReferences>
  <definedNames>
    <definedName name="_xlnm.Print_Area" localSheetId="1">' سهام'!$A$1:$Q$48</definedName>
    <definedName name="_xlnm.Print_Area" localSheetId="10">'درآمد سپرده بانکی'!$A$1:$F$13</definedName>
    <definedName name="_xlnm.Print_Area" localSheetId="9">'درآمد سرمایه گذاری در سهام'!$A$1:$K$105</definedName>
    <definedName name="_xlnm.Print_Area" localSheetId="4">'درآمد سود سهام'!$A$1:$J$65</definedName>
    <definedName name="_xlnm.Print_Area" localSheetId="8">'درآمد ناشی از تغییر قیمت اوراق '!A1:I48</definedName>
    <definedName name="_xlnm.Print_Area" localSheetId="7">'درآمد ناشی ازفروش'!$A$1:$I$98</definedName>
    <definedName name="_xlnm.Print_Area" localSheetId="3">درآمدها!$A$1:$E$12</definedName>
    <definedName name="_xlnm.Print_Area" localSheetId="11">'سایر درآمدها'!$A$1:$C$11</definedName>
    <definedName name="_xlnm.Print_Area" localSheetId="2">سپرده!$A$1:$F$15</definedName>
    <definedName name="_xlnm.Print_Area" localSheetId="5">'سود اوراق بهادار'!$A$1:$J$11</definedName>
    <definedName name="_xlnm.Print_Area" localSheetId="6">'سود سپرده بانکی'!$A$1:$G$11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4" i="5" l="1"/>
  <c r="I104" i="5"/>
  <c r="E104" i="5"/>
  <c r="G104" i="5"/>
  <c r="B104" i="5"/>
  <c r="L47" i="1"/>
  <c r="H64" i="12" l="1"/>
  <c r="J64" i="12"/>
  <c r="I64" i="12"/>
  <c r="F95" i="15"/>
  <c r="F10" i="13"/>
  <c r="E10" i="13"/>
  <c r="I10" i="13"/>
  <c r="H10" i="13"/>
  <c r="G64" i="12" l="1"/>
  <c r="E64" i="12"/>
  <c r="F64" i="12"/>
  <c r="D47" i="1"/>
  <c r="C42" i="14"/>
  <c r="C40" i="14"/>
  <c r="C39" i="14"/>
  <c r="C38" i="14"/>
  <c r="C37" i="14"/>
  <c r="C36" i="14"/>
  <c r="C35" i="14"/>
  <c r="C34" i="14"/>
  <c r="C33" i="14"/>
  <c r="C32" i="14"/>
  <c r="C31" i="14"/>
  <c r="C29" i="14"/>
  <c r="C28" i="14"/>
  <c r="C27" i="14"/>
  <c r="C26" i="14"/>
  <c r="C25" i="14"/>
  <c r="C24" i="14"/>
  <c r="C23" i="14"/>
  <c r="C21" i="14"/>
  <c r="C20" i="14"/>
  <c r="C19" i="14"/>
  <c r="C18" i="14"/>
  <c r="C17" i="14"/>
  <c r="C16" i="14"/>
  <c r="C15" i="14"/>
  <c r="C14" i="14"/>
  <c r="C12" i="14"/>
  <c r="C11" i="14"/>
  <c r="C10" i="14"/>
  <c r="C9" i="14"/>
  <c r="C8" i="14"/>
  <c r="C7" i="14"/>
  <c r="F44" i="14"/>
  <c r="B44" i="14"/>
  <c r="G42" i="14"/>
  <c r="G40" i="14"/>
  <c r="G39" i="14"/>
  <c r="G38" i="14"/>
  <c r="G37" i="14"/>
  <c r="G36" i="14"/>
  <c r="G35" i="14"/>
  <c r="G34" i="14"/>
  <c r="G33" i="14"/>
  <c r="G32" i="14"/>
  <c r="G31" i="14"/>
  <c r="G29" i="14"/>
  <c r="G28" i="14"/>
  <c r="G27" i="14"/>
  <c r="G26" i="14"/>
  <c r="G25" i="14"/>
  <c r="G24" i="14"/>
  <c r="G23" i="14"/>
  <c r="G21" i="14"/>
  <c r="G20" i="14"/>
  <c r="G19" i="14"/>
  <c r="G18" i="14"/>
  <c r="G17" i="14"/>
  <c r="G16" i="14"/>
  <c r="G15" i="14"/>
  <c r="G14" i="14"/>
  <c r="G12" i="14"/>
  <c r="G11" i="14"/>
  <c r="G10" i="14"/>
  <c r="G9" i="14"/>
  <c r="G8" i="14"/>
  <c r="G7" i="14"/>
  <c r="I47" i="1"/>
  <c r="B47" i="1"/>
  <c r="C44" i="14" l="1"/>
  <c r="G4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<sst xmlns="http://schemas.openxmlformats.org/spreadsheetml/2006/main" count="647" uniqueCount="245">
  <si>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</si>
  <si>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</si>
  <si>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</si>
  <si>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1405/02/31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</si>
  <si>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</si>
  <si>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</si>
  <si>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</si>
  <si>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1405/02/31</t>
  </si>
  <si>
    <t>1- سرمایه گذاری ها</t>
  </si>
  <si>
    <t>1-1-سرمایه‌گذاری در سهام و حق تقدم سهام وصندوق‌های سرمایه‌گذاری</t>
  </si>
  <si>
    <t>1405/02/01</t>
  </si>
  <si>
    <t>تغییرات طی دوره</t>
  </si>
  <si>
    <t>1405/02/31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</si>
  <si>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</si>
  <si>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</si>
  <si>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</si>
  <si>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</si>
  <si>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</si>
  <si>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</si>
  <si>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</si>
  <si>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</si>
  <si>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</si>
  <si>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</si>
  <si>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</si>
  <si>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</si>
  <si>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</si>
  <si>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</si>
  <si>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سر. غدیر (وغدیر)</t>
  </si>
  <si>
    <t>بانک تجارت (وتجارت)</t>
  </si>
  <si>
    <t>پالایش نفت اصفهان (شپنا)</t>
  </si>
  <si>
    <t>پتروشیمی خارک (شخارک)</t>
  </si>
  <si>
    <t>پتروشیمی پردیس (شپدیس)</t>
  </si>
  <si>
    <t>ایران خودرو (خودرو)</t>
  </si>
  <si>
    <t>فولاد مبارکه اصفهان (فولاد)</t>
  </si>
  <si>
    <t>دارو عبیدی (دعبید)</t>
  </si>
  <si>
    <t>بانک اقتصاد نوین (ونوین)</t>
  </si>
  <si>
    <t>سر. امید (وامید)</t>
  </si>
  <si>
    <t>بانک پاسارگاد (وپاسار)</t>
  </si>
  <si>
    <t>چادرملو (کچاد)</t>
  </si>
  <si>
    <t>بانک ملت (وبملت)</t>
  </si>
  <si>
    <t>گروه مپنا (رمپنا)</t>
  </si>
  <si>
    <t>پالایش نفت بندر عباس (شبندر)</t>
  </si>
  <si>
    <t>گل گهر (کگل)</t>
  </si>
  <si>
    <t>ملی صنایع مس ایران (فملی)</t>
  </si>
  <si>
    <t>صنایع پتروشیمی خلیج فارس (فارس)</t>
  </si>
  <si>
    <t>آهن و فولاد ارفع (ارفع)</t>
  </si>
  <si>
    <t>سر. توسعه معادن و فلزات (ومعادن)</t>
  </si>
  <si>
    <t>مبین انرژی خلیج فارس (مبین)</t>
  </si>
  <si>
    <t>نفت سپاهان (شسپا)</t>
  </si>
  <si>
    <t>بانک صادرات ایران (وبصادر)</t>
  </si>
  <si>
    <t>سر. نفت و گاز تامین (تاپیکو)</t>
  </si>
  <si>
    <t>پالایش نفت تبریز (شبریز)</t>
  </si>
  <si>
    <t>چادرملو (حق تقدم) (کچادح)</t>
  </si>
  <si>
    <t>گل گهر (حق تقدم) (کگلح)</t>
  </si>
  <si>
    <t>سر. توسعه معادن و فلزات (حق تقدم) (ومعادنح)</t>
  </si>
  <si>
    <t>پالایش نفت تهران (شتران)</t>
  </si>
  <si>
    <t>سر. تامین اجتماعی (شستا)</t>
  </si>
  <si>
    <t>پویا زرکان آق دره (فزر)</t>
  </si>
  <si>
    <t>پتروشیمی اروند (اروند)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</si>
  <si>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</si>
  <si>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</si>
  <si>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</si>
  <si>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</si>
  <si>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</si>
  <si>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</si>
  <si>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</si>
  <si>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</si>
  <si>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سپرده های بانکی</t>
  </si>
  <si>
    <t>مبلغ</t>
  </si>
  <si>
    <t>افزایش</t>
  </si>
  <si>
    <t>کاهش</t>
  </si>
  <si>
    <t>بانک خاورمیانه</t>
  </si>
  <si>
    <t>بانک گردشگری</t>
  </si>
  <si>
    <t xml:space="preserve"> </t>
  </si>
  <si>
    <t xml:space="preserve">صورت وضعیت درآمدها </t>
  </si>
  <si>
    <t>برای ماه منتهی به  1405/02/31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</si>
  <si>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</si>
  <si>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</si>
  <si>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</si>
  <si>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</si>
  <si>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</si>
  <si>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</si>
  <si>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</si>
  <si>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</si>
  <si>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</si>
  <si>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</si>
  <si>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</si>
  <si>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</si>
  <si>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</si>
  <si>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</si>
  <si>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</si>
  <si>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</si>
  <si>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</si>
  <si>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1405/02/01 تا  1405/02/31</t>
  </si>
  <si>
    <t>از ابتدای سال مالی تا 1405/02/31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</si>
  <si>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</si>
  <si>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</si>
  <si>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</si>
  <si>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</si>
  <si>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</si>
  <si>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</si>
  <si>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سیمان خوزستان (سخوز)</t>
  </si>
  <si>
    <t>1404/03/04</t>
  </si>
  <si>
    <t>لیزینگ بانک اقتصاد نوین (ولنوین)</t>
  </si>
  <si>
    <t>1404/03/11</t>
  </si>
  <si>
    <t>سپید ماکیان (سپید)</t>
  </si>
  <si>
    <t>1404/03/18</t>
  </si>
  <si>
    <t>مس باهنر (فباهنر)</t>
  </si>
  <si>
    <t>1404/03/20</t>
  </si>
  <si>
    <t>ارتباطات سیار (همراه)</t>
  </si>
  <si>
    <t>1404/03/21</t>
  </si>
  <si>
    <t>مخابرات ایران (اخابر)</t>
  </si>
  <si>
    <t>1404/04/12</t>
  </si>
  <si>
    <t>همکاران سیستم (سیستم)</t>
  </si>
  <si>
    <t>1404/04/17</t>
  </si>
  <si>
    <t>صنعتی بارز (پکرمان)</t>
  </si>
  <si>
    <t>1404/04/19</t>
  </si>
  <si>
    <t>پارس سوئیچ (بسویچ)</t>
  </si>
  <si>
    <t>1404/04/21</t>
  </si>
  <si>
    <t>1404/04/22</t>
  </si>
  <si>
    <t>پارس دارو (دپارس)</t>
  </si>
  <si>
    <t>1404/04/23</t>
  </si>
  <si>
    <t>قند هگمتان (قهکمت)</t>
  </si>
  <si>
    <t>1404/04/28</t>
  </si>
  <si>
    <t>پتروشیمی جم (جم)</t>
  </si>
  <si>
    <t>تاید واتر خاورمیانه (حتاید)</t>
  </si>
  <si>
    <t>1404/04/29</t>
  </si>
  <si>
    <t>پتروشیمی بوعلی سینا (بوعلی)</t>
  </si>
  <si>
    <t>صنعتی سپاهان (فسپا)</t>
  </si>
  <si>
    <t>1404/04/30</t>
  </si>
  <si>
    <t>گروه صنعتی پاکشو (پاکشو)</t>
  </si>
  <si>
    <t>سر. گروه توسعه ملی (وبانک)</t>
  </si>
  <si>
    <t>بورس کالای ایران (کالا)</t>
  </si>
  <si>
    <t>1404/04/31</t>
  </si>
  <si>
    <t>پتروشیمی پارس (پارس)</t>
  </si>
  <si>
    <t>1404/05/07</t>
  </si>
  <si>
    <t>1404/05/08</t>
  </si>
  <si>
    <t>پتروشیمی شیراز (شیراز)</t>
  </si>
  <si>
    <t>1404/05/11</t>
  </si>
  <si>
    <t>1404/05/12</t>
  </si>
  <si>
    <t>سر. صندوق بازنشستگی (وصندوق)</t>
  </si>
  <si>
    <t>1404/05/13</t>
  </si>
  <si>
    <t>کاشی حافظ (کحافظ)</t>
  </si>
  <si>
    <t>آلومینیوم ایران (فایرا)</t>
  </si>
  <si>
    <t>1404/05/14</t>
  </si>
  <si>
    <t>سر. سیمان تامین (سیتا)</t>
  </si>
  <si>
    <t>1404/05/25</t>
  </si>
  <si>
    <t>1404/06/23</t>
  </si>
  <si>
    <t>1404/06/26</t>
  </si>
  <si>
    <t>1404/07/15</t>
  </si>
  <si>
    <t>1404/07/20</t>
  </si>
  <si>
    <t>1404/07/30</t>
  </si>
  <si>
    <t>سر. توسعه صنعتی ایران (وتوصا)</t>
  </si>
  <si>
    <t>1404/09/17</t>
  </si>
  <si>
    <t>1404/09/22</t>
  </si>
  <si>
    <t>توسعه ساختمان (ثاخت)</t>
  </si>
  <si>
    <t>1404/10/10</t>
  </si>
  <si>
    <t>موتوژن (بموتو)</t>
  </si>
  <si>
    <t>1404/10/11</t>
  </si>
  <si>
    <t>گسترش نفت و گاز پارسیان (پارسان)</t>
  </si>
  <si>
    <t>1404/10/23</t>
  </si>
  <si>
    <t>1404/10/29</t>
  </si>
  <si>
    <t>1404/10/30</t>
  </si>
  <si>
    <t>1404/12/10</t>
  </si>
  <si>
    <t>1405/01/31</t>
  </si>
  <si>
    <t>1405/02/30</t>
  </si>
  <si>
    <t>سود اوراق بهادار با درآمد ثابت</t>
  </si>
  <si>
    <t>تاریخ دریافت سود</t>
  </si>
  <si>
    <t xml:space="preserve">درآمد سود </t>
  </si>
  <si>
    <t>خالص درآمد</t>
  </si>
  <si>
    <t>بلند مدت گردشگری129.333.1709609.2</t>
  </si>
  <si>
    <t>1404/03/06</t>
  </si>
  <si>
    <t>-</t>
  </si>
  <si>
    <t>بلند مدت گردشگری129.301.1709609.1</t>
  </si>
  <si>
    <t>1405/02/09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</si>
  <si>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</si>
  <si>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</si>
  <si>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</si>
  <si>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</si>
  <si>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</si>
  <si>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پلی پروپیلن جم (جم پیلن)</t>
  </si>
  <si>
    <t>سیمان بجنورد (سبجنو)</t>
  </si>
  <si>
    <t>سر. دارویی تامین (تیپیکو)</t>
  </si>
  <si>
    <t>بیمه پاسارگاد (بپاس)</t>
  </si>
  <si>
    <t>فروشگاه های افق کوروش (افق)</t>
  </si>
  <si>
    <t>سر. سپه (وسپه)</t>
  </si>
  <si>
    <t>گروه بهمن (خبهمن)</t>
  </si>
  <si>
    <t>صنایع شیمیایی ایران (شیران)</t>
  </si>
  <si>
    <t>بیمه اتکایی تهران رواک (بتهران)</t>
  </si>
  <si>
    <t>آهنگری تراکتور (خاهن)</t>
  </si>
  <si>
    <t>پتروشیمی خراسان (خراسان)</t>
  </si>
  <si>
    <t>سر. خوارزمی (وخارزم)</t>
  </si>
  <si>
    <t>فولاد خوزستان (فخوز)</t>
  </si>
  <si>
    <t>سر. صدر تامین (تاصیکو)</t>
  </si>
  <si>
    <t>شیشه همدان (کهمدا)</t>
  </si>
  <si>
    <t>بانک پارسیان (وپارس)</t>
  </si>
  <si>
    <t>گروه مالی صبا تامین (صبا)</t>
  </si>
  <si>
    <t>تامین سرمایه کاردان (تکاردان)</t>
  </si>
  <si>
    <t>صنعتی بهشهر (غبشهر)</t>
  </si>
  <si>
    <t>تکميلی پتروشیمی خلیج فارس (پترول)</t>
  </si>
  <si>
    <t>صنایع غذایی رضوی (نان)</t>
  </si>
  <si>
    <t>بیمه ملت (ملت)</t>
  </si>
  <si>
    <t>چدن سازان (چدن)</t>
  </si>
  <si>
    <t>گلتاش (شگل)</t>
  </si>
  <si>
    <t>گروه توسعه مالی مهر آیندگان (ومهان)</t>
  </si>
  <si>
    <t>ذوب آهن اصفهان (ذوب)</t>
  </si>
  <si>
    <t>معادن روی ایران (کروی)</t>
  </si>
  <si>
    <t>بین المللی توسعه صنایع و معادن غدیر (وکغدیر)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</si>
  <si>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</si>
  <si>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</si>
  <si>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</si>
  <si>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</si>
  <si>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</si>
  <si>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یادداشت …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</si>
  <si>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</si>
  <si>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</si>
  <si>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</si>
  <si>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</si>
  <si>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</si>
  <si>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</si>
  <si>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</si>
  <si>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شماره حساب</t>
  </si>
  <si>
    <t>سود سپرده بانکی و گواهی سپرده</t>
  </si>
  <si>
    <t>درصد سود به میانگین سپرده</t>
  </si>
  <si>
    <t>129.333.1709609.2</t>
  </si>
  <si>
    <t>1007-10-810-707077733</t>
  </si>
  <si>
    <t>0.31</t>
  </si>
  <si>
    <t>1.79</t>
  </si>
  <si>
    <t>129.301.1709609.1</t>
  </si>
  <si>
    <t>2.76</t>
  </si>
  <si>
    <t>4.55</t>
  </si>
  <si>
    <t>4-2-سایر درآمدها:</t>
  </si>
  <si>
    <t>تعدیل کارمزد کارگزاری</t>
  </si>
  <si>
    <t>فلز اساسی</t>
  </si>
  <si>
    <t>حمل و نقل</t>
  </si>
  <si>
    <t>خودروسازی</t>
  </si>
  <si>
    <t>بانکی</t>
  </si>
  <si>
    <t>فرآورده های نفتی</t>
  </si>
  <si>
    <t>شیمیایی</t>
  </si>
  <si>
    <t>دارو</t>
  </si>
  <si>
    <t xml:space="preserve">کانه های فلزی </t>
  </si>
  <si>
    <t>خدمات فنی و مهندسی</t>
  </si>
  <si>
    <t>بیمه</t>
  </si>
  <si>
    <t>چند رشته ای</t>
  </si>
  <si>
    <t>عرضه برق گاز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</si>
</sst>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31">
    <font>
      <sz val="11"/>
      <color theme="1"/>
      <name val="B Nazanin"/>
      <family val="2"/>
      <charset val="178"/>
      <scheme val="minor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0"/>
      <color rgb="FF0062AC"/>
      <name val="B Nazanin"/>
      <charset val="178"/>
    </font>
    <font>
      <sz val="12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sz val="11"/>
      <color rgb="FF000000"/>
      <name val="B Nazanin"/>
      <charset val="178"/>
      <scheme val="minor"/>
    </font>
    <font>
      <sz val="12"/>
      <color rgb="FF0062AC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sz val="10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sz val="11"/>
      <color rgb="FF000000"/>
      <name val="B Nazanin"/>
      <charset val="178"/>
      <scheme val="minor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b/>
      <sz val="10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1"/>
      <color theme="1"/>
      <name val="B Nazanin"/>
      <charset val="178"/>
      <scheme val="minor"/>
    </font>
    <font>
      <sz val="8"/>
      <color theme="1"/>
      <name val="B Nazanin"/>
      <charset val="178"/>
    </font>
    <font>
      <sz val="8"/>
      <color rgb="FF0062AC"/>
      <name val="B Nazanin"/>
      <charset val="178"/>
    </font>
    <font>
      <sz val="8"/>
      <color rgb="FF000000"/>
      <name val="B Nazanin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2E2E2E"/>
      <name val="IranSansFaNum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 readingOrder="2"/>
    </xf>
    <xf numFmtId="0" fontId="8" fillId="0" borderId="0" xfId="0" applyFont="1" applyAlignment="1">
      <alignment vertical="center" readingOrder="2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 readingOrder="2"/>
    </xf>
    <xf numFmtId="0" fontId="9" fillId="0" borderId="0" xfId="0" applyFont="1"/>
    <xf numFmtId="0" fontId="11" fillId="0" borderId="0" xfId="0" applyFont="1" applyAlignment="1">
      <alignment vertical="center" readingOrder="2"/>
    </xf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readingOrder="2"/>
    </xf>
    <xf numFmtId="0" fontId="18" fillId="0" borderId="3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25" fillId="0" borderId="0" xfId="0" applyFont="1" applyAlignment="1">
      <alignment horizontal="right" vertical="center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25" fillId="0" borderId="0" xfId="0" applyFont="1" applyAlignment="1">
      <alignment horizontal="right" vertical="center" readingOrder="2"/>
    </xf>
    <xf numFmtId="0" fontId="1" fillId="0" borderId="8" xfId="0" applyFont="1" applyBorder="1" applyAlignment="1">
      <alignment horizontal="center" vertical="center" readingOrder="2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 readingOrder="1"/>
    </xf>
    <xf numFmtId="49" fontId="25" fillId="0" borderId="0" xfId="0" applyNumberFormat="1" applyFont="1" applyAlignment="1">
      <alignment horizontal="right" vertical="center" readingOrder="2"/>
    </xf>
    <xf numFmtId="165" fontId="26" fillId="0" borderId="0" xfId="0" applyNumberFormat="1" applyFont="1" applyAlignment="1">
      <alignment horizontal="center" vertical="center" readingOrder="2"/>
    </xf>
    <xf numFmtId="0" fontId="1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7" fillId="0" borderId="0" xfId="0" applyFont="1" applyAlignment="1">
      <alignment horizontal="center" vertical="center" readingOrder="2"/>
    </xf>
    <xf numFmtId="165" fontId="27" fillId="0" borderId="0" xfId="0" applyNumberFormat="1" applyFont="1" applyAlignment="1">
      <alignment horizontal="center" vertical="center" readingOrder="2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164" fontId="27" fillId="0" borderId="0" xfId="0" applyNumberFormat="1" applyFont="1" applyAlignment="1">
      <alignment horizontal="center" vertical="center" readingOrder="2"/>
    </xf>
    <xf numFmtId="0" fontId="27" fillId="0" borderId="0" xfId="0" applyFont="1" applyAlignment="1">
      <alignment horizontal="right" vertical="center" readingOrder="1"/>
    </xf>
    <xf numFmtId="0" fontId="11" fillId="0" borderId="1" xfId="0" applyFont="1" applyBorder="1" applyAlignment="1">
      <alignment horizontal="right" vertical="center" readingOrder="2"/>
    </xf>
    <xf numFmtId="165" fontId="27" fillId="0" borderId="2" xfId="0" applyNumberFormat="1" applyFont="1" applyBorder="1" applyAlignment="1">
      <alignment horizontal="center" vertical="center" readingOrder="2"/>
    </xf>
    <xf numFmtId="0" fontId="27" fillId="0" borderId="0" xfId="0" applyFont="1" applyAlignment="1">
      <alignment horizontal="right" vertical="center" readingOrder="2"/>
    </xf>
    <xf numFmtId="0" fontId="18" fillId="0" borderId="0" xfId="0" applyFont="1" applyAlignment="1">
      <alignment horizontal="center" vertical="center" readingOrder="2"/>
    </xf>
    <xf numFmtId="164" fontId="5" fillId="0" borderId="0" xfId="0" applyNumberFormat="1" applyFont="1" applyAlignment="1">
      <alignment vertical="center"/>
    </xf>
    <xf numFmtId="164" fontId="30" fillId="0" borderId="0" xfId="0" applyNumberFormat="1" applyFont="1"/>
    <xf numFmtId="0" fontId="1" fillId="0" borderId="0" xfId="0" applyFont="1"/>
    <xf numFmtId="0" fontId="7" fillId="0" borderId="0" xfId="0" applyFont="1" applyAlignment="1">
      <alignment horizontal="right" vertical="center" readingOrder="2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 vertical="center" readingOrder="2"/>
    </xf>
    <xf numFmtId="164" fontId="5" fillId="0" borderId="1" xfId="0" applyNumberFormat="1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right" vertical="center" readingOrder="2"/>
    </xf>
    <xf numFmtId="0" fontId="1" fillId="0" borderId="6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readingOrder="2"/>
    </xf>
    <xf numFmtId="0" fontId="11" fillId="0" borderId="0" xfId="0" applyFont="1" applyAlignment="1">
      <alignment horizontal="center" vertical="center" readingOrder="2"/>
    </xf>
    <xf numFmtId="0" fontId="18" fillId="0" borderId="2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0" fillId="0" borderId="0" xfId="0" applyFont="1" applyAlignment="1">
      <alignment horizontal="right" vertical="center" readingOrder="2"/>
    </xf>
    <xf numFmtId="0" fontId="18" fillId="0" borderId="1" xfId="0" applyFont="1" applyBorder="1" applyAlignment="1">
      <alignment horizontal="center" vertical="center" readingOrder="2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 readingOrder="2"/>
    </xf>
    <xf numFmtId="0" fontId="1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 readingOrder="2"/>
    </xf>
    <xf numFmtId="0" fontId="1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numFmt numFmtId="165" formatCode="#,##0.00;\(#,##0.00\);"/>
      <alignment horizontal="center" vertical="center" textRotation="0" wrapText="0" indent="0" justifyLastLine="0" shrinkToFit="0" readingOrder="0"/>
    </dxf>
    <dxf>
      <font>
        <sz val="8"/>
      </font>
      <numFmt numFmtId="165" formatCode="#,##0.00;\(#,##0.00\);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.asadii\Desktop\PORTFO.xlsx" TargetMode="External"/><Relationship Id="rId1" Type="http://schemas.openxmlformats.org/officeDocument/2006/relationships/externalLinkPath" Target="file:///C:\Users\m.asadii\Desktop\PORT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 سهام"/>
      <sheetName val="سپرده"/>
      <sheetName val="درآمدها"/>
      <sheetName val="درآمد سود سهام"/>
      <sheetName val="سود اوراق بهادار"/>
      <sheetName val="سود سپرده بانکی"/>
      <sheetName val="درآمد ناشی ازفروش"/>
      <sheetName val="درآمد ناشی از تغییر قیمت اوراق "/>
      <sheetName val="درآمد سرمایه گذاری در سهام"/>
      <sheetName val="درآمد سپرده بانکی"/>
      <sheetName val="سایر درآمدها"/>
      <sheetName val="PORTF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N47" headerRowCount="0">
  <tableColumns count="14">
    <tableColumn id="1" xr3:uid="{00000000-0010-0000-0000-000001000000}" name="سر. توسعه معادن و صنایع معدنی خاورمیانه (میدکو)"/>
    <tableColumn id="2" xr3:uid="{00000000-0010-0000-0000-000002000000}" name="1857627"/>
    <tableColumn id="3" xr3:uid="{00000000-0010-0000-0000-000003000000}" name="10336880829.0000"/>
    <tableColumn id="4" xr3:uid="{00000000-0010-0000-0000-000004000000}" name="9846735220.0000"/>
    <tableColumn id="5" xr3:uid="{00000000-0010-0000-0000-000005000000}" name="0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5650.0000"/>
    <tableColumn id="11" xr3:uid="{00000000-0010-0000-0000-00000B000000}" name="Column11"/>
    <tableColumn id="12" xr3:uid="{00000000-0010-0000-0000-00000C000000}" name="10414461623.0000" dataDxfId="2"/>
    <tableColumn id="13" xr3:uid="{00000000-0010-0000-0000-00000D000000}" name="1.82" dataDxfId="1"/>
    <tableColumn id="14" xr3:uid="{8E52F0CA-F11A-466B-AEB4-DBB0C4FB0CE4}" name="Column1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F10" headerRowCount="0">
  <tableColumns count="6">
    <tableColumn id="1" xr3:uid="{00000000-0010-0000-0500-000001000000}" name="بانک خاورمیانه"/>
    <tableColumn id="2" xr3:uid="{00000000-0010-0000-0500-000002000000}" name="1988211.0000"/>
    <tableColumn id="3" xr3:uid="{00000000-0010-0000-0500-000003000000}" name="4767.0000"/>
    <tableColumn id="4" xr3:uid="{00000000-0010-0000-0500-000004000000}" name="865500.0000"/>
    <tableColumn id="5" xr3:uid="{00000000-0010-0000-0500-000005000000}" name="1127478.0000"/>
    <tableColumn id="6" xr3:uid="{00000000-0010-0000-0500-000006000000}" name="0.0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14721545166.0000"/>
    <tableColumn id="4" xr3:uid="{00000000-0010-0000-0600-000004000000}" name="80.55"/>
    <tableColumn id="5" xr3:uid="{00000000-0010-0000-0600-000005000000}" name="2.5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64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0.0000"/>
    <tableColumn id="6" xr3:uid="{00000000-0010-0000-0700-000006000000}" name="0"/>
    <tableColumn id="7" xr3:uid="{00000000-0010-0000-0700-000007000000}" name="Column7"/>
    <tableColumn id="8" xr3:uid="{00000000-0010-0000-0700-000008000000}" name="1250379360.0000"/>
    <tableColumn id="9" xr3:uid="{00000000-0010-0000-0700-000009000000}" name="Column9"/>
    <tableColumn id="10" xr3:uid="{00000000-0010-0000-0700-00000A000000}" name="Column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10" headerRowCount="0">
  <tableColumns count="10">
    <tableColumn id="1" xr3:uid="{00000000-0010-0000-0800-000001000000}" name="بلند مدت گردشگری129.333.1709609.2"/>
    <tableColumn id="2" xr3:uid="{00000000-0010-0000-0800-000002000000}" name="1404/03/06"/>
    <tableColumn id="3" xr3:uid="{00000000-0010-0000-0800-000003000000}" name="-"/>
    <tableColumn id="4" xr3:uid="{00000000-0010-0000-0800-000004000000}" name="Column4"/>
    <tableColumn id="5" xr3:uid="{00000000-0010-0000-0800-000005000000}" name="0.0000"/>
    <tableColumn id="6" xr3:uid="{00000000-0010-0000-0800-000006000000}" name="Column6"/>
    <tableColumn id="7" xr3:uid="{00000000-0010-0000-0800-000007000000}" name="Column7"/>
    <tableColumn id="8" xr3:uid="{00000000-0010-0000-0800-000008000000}" name="33252977.0000"/>
    <tableColumn id="9" xr3:uid="{00000000-0010-0000-0800-000009000000}" name="547948.0000"/>
    <tableColumn id="10" xr3:uid="{00000000-0010-0000-0800-00000A000000}" name="33800925.000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10" headerRowCount="0">
  <tableColumns count="7">
    <tableColumn id="1" xr3:uid="{00000000-0010-0000-0900-000001000000}" name="بلند مدت گردشگری129.333.1709609.2"/>
    <tableColumn id="2" xr3:uid="{00000000-0010-0000-0900-000002000000}" name="0.0000"/>
    <tableColumn id="3" xr3:uid="{00000000-0010-0000-0900-000003000000}" name="Column3"/>
    <tableColumn id="4" xr3:uid="{00000000-0010-0000-0900-000004000000}" name="Column4"/>
    <tableColumn id="5" xr3:uid="{00000000-0010-0000-0900-000005000000}" name="33252977.0000"/>
    <tableColumn id="6" xr3:uid="{00000000-0010-0000-0900-000006000000}" name="547948.0000"/>
    <tableColumn id="7" xr3:uid="{00000000-0010-0000-0900-000007000000}" name="33800925.000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95" headerRowCount="0">
  <tableColumns count="9">
    <tableColumn id="1" xr3:uid="{00000000-0010-0000-0A00-000001000000}" name="کاشی حافظ (کحافظ)"/>
    <tableColumn id="2" xr3:uid="{00000000-0010-0000-0A00-000002000000}" name="0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1197303"/>
    <tableColumn id="7" xr3:uid="{00000000-0010-0000-0A00-000007000000}" name="1351146018.0000"/>
    <tableColumn id="8" xr3:uid="{00000000-0010-0000-0A00-000008000000}" name="-2252243190.0000"/>
    <tableColumn id="9" xr3:uid="{00000000-0010-0000-0A00-000009000000}" name="-901097172.000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44" headerRowCount="0">
  <tableColumns count="9">
    <tableColumn id="1" xr3:uid="{00000000-0010-0000-0B00-000001000000}" name="سر. توسعه معادن و صنایع معدنی خاورمیانه (میدکو)"/>
    <tableColumn id="2" xr3:uid="{00000000-0010-0000-0B00-000002000000}" name="1857627"/>
    <tableColumn id="3" xr3:uid="{00000000-0010-0000-0B00-000003000000}" name="10414461623.0000"/>
    <tableColumn id="4" xr3:uid="{00000000-0010-0000-0B00-000004000000}" name="-9846735220.0000"/>
    <tableColumn id="5" xr3:uid="{00000000-0010-0000-0B00-000005000000}" name="567726403.0000"/>
    <tableColumn id="6" xr3:uid="{00000000-0010-0000-0B00-000006000000}" name="Column6"/>
    <tableColumn id="7" xr3:uid="{00000000-0010-0000-0B00-000007000000}" name="Column7"/>
    <tableColumn id="8" xr3:uid="{00000000-0010-0000-0B00-000008000000}" name="-10411547355.0000"/>
    <tableColumn id="9" xr3:uid="{00000000-0010-0000-0B00-000009000000}" name="2914268.000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104" headerRowCount="0">
  <tableColumns count="11">
    <tableColumn id="1" xr3:uid="{00000000-0010-0000-0D00-000001000000}" name="تاید واتر خاورمیانه (حتاید)"/>
    <tableColumn id="2" xr3:uid="{00000000-0010-0000-0D00-000002000000}" name="0.0000"/>
    <tableColumn id="3" xr3:uid="{00000000-0010-0000-0D00-000003000000}" name="0"/>
    <tableColumn id="4" xr3:uid="{00000000-0010-0000-0D00-000004000000}" name="Column4"/>
    <tableColumn id="5" xr3:uid="{00000000-0010-0000-0D00-000005000000}" name="Column5"/>
    <tableColumn id="6" xr3:uid="{00000000-0010-0000-0D00-000006000000}" name="0.00"/>
    <tableColumn id="7" xr3:uid="{00000000-0010-0000-0D00-000007000000}" name="239981000.0000"/>
    <tableColumn id="8" xr3:uid="{00000000-0010-0000-0D00-000008000000}" name="Column8"/>
    <tableColumn id="9" xr3:uid="{00000000-0010-0000-0D00-000009000000}" name="-565874784.0000"/>
    <tableColumn id="10" xr3:uid="{00000000-0010-0000-0D00-00000A000000}" name="-325893784.0000"/>
    <tableColumn id="11" xr3:uid="{00000000-0010-0000-0D00-00000B000000}" name="-1.78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9:F12" headerRowCount="0">
  <tableColumns count="6">
    <tableColumn id="1" xr3:uid="{00000000-0010-0000-0E00-000001000000}" name="بلند مدت گردشگری129.333.1709609.2"/>
    <tableColumn id="2" xr3:uid="{00000000-0010-0000-0E00-000002000000}" name="129.333.1709609.2"/>
    <tableColumn id="3" xr3:uid="{00000000-0010-0000-0E00-000003000000}" name="0.0000"/>
    <tableColumn id="4" xr3:uid="{00000000-0010-0000-0E00-000004000000}" name="-"/>
    <tableColumn id="5" xr3:uid="{00000000-0010-0000-0E00-000005000000}" name="33800925.0000"/>
    <tableColumn id="6" xr3:uid="{00000000-0010-0000-0E00-000006000000}" name="Column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10" headerRowCount="0">
  <tableColumns count="3">
    <tableColumn id="1" xr3:uid="{00000000-0010-0000-0F00-000001000000}" name="سایر درآمدها"/>
    <tableColumn id="2" xr3:uid="{00000000-0010-0000-0F00-000002000000}" name="0.0000"/>
    <tableColumn id="3" xr3:uid="{00000000-0010-0000-0F00-000003000000}" name="292888489.0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tabSelected="1" view="pageBreakPreview" topLeftCell="A4" zoomScaleNormal="100" zoomScaleSheetLayoutView="100" workbookViewId="0">
      <selection activeCell="D36" sqref="D36"/>
    </sheetView>
  </sheetViews>
  <sheetFormatPr defaultColWidth="9" defaultRowHeight="18"/>
  <cols>
    <col min="1" max="1" width="9" style="1" customWidth="1"/>
    <col min="2" max="16384" width="9" style="1"/>
  </cols>
  <sheetData>
    <row r="3" spans="1:17" ht="27.75">
      <c r="D3" s="62" t="s">
        <v>0</v>
      </c>
      <c r="E3" s="63"/>
      <c r="F3" s="63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58" t="s">
        <v>1</v>
      </c>
      <c r="B15" s="59"/>
      <c r="C15" s="59"/>
      <c r="D15" s="59"/>
      <c r="E15" s="59"/>
      <c r="F15" s="59"/>
      <c r="G15" s="59"/>
      <c r="H15" s="59"/>
      <c r="I15" s="59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59"/>
      <c r="B16" s="59"/>
      <c r="C16" s="59"/>
      <c r="D16" s="59"/>
      <c r="E16" s="59"/>
      <c r="F16" s="59"/>
      <c r="G16" s="59"/>
      <c r="H16" s="59"/>
      <c r="I16" s="59"/>
    </row>
    <row r="17" spans="1:9" ht="15" customHeight="1">
      <c r="A17" s="60" t="s">
        <v>2</v>
      </c>
      <c r="B17" s="61"/>
      <c r="C17" s="61"/>
      <c r="D17" s="61"/>
      <c r="E17" s="61"/>
      <c r="F17" s="61"/>
      <c r="G17" s="61"/>
      <c r="H17" s="61"/>
      <c r="I17" s="61"/>
    </row>
    <row r="18" spans="1:9" ht="15" customHeight="1">
      <c r="A18" s="61"/>
      <c r="B18" s="61"/>
      <c r="C18" s="61"/>
      <c r="D18" s="61"/>
      <c r="E18" s="61"/>
      <c r="F18" s="61"/>
      <c r="G18" s="61"/>
      <c r="H18" s="61"/>
      <c r="I18" s="61"/>
    </row>
    <row r="19" spans="1:9" ht="15" customHeight="1">
      <c r="A19" s="61"/>
      <c r="B19" s="61"/>
      <c r="C19" s="61"/>
      <c r="D19" s="61"/>
      <c r="E19" s="61"/>
      <c r="F19" s="61"/>
      <c r="G19" s="61"/>
      <c r="H19" s="61"/>
      <c r="I19" s="61"/>
    </row>
    <row r="20" spans="1:9" ht="15" customHeight="1">
      <c r="A20" s="60" t="s">
        <v>3</v>
      </c>
      <c r="B20" s="61"/>
      <c r="C20" s="61"/>
      <c r="D20" s="61"/>
      <c r="E20" s="61"/>
      <c r="F20" s="61"/>
      <c r="G20" s="61"/>
      <c r="H20" s="61"/>
      <c r="I20" s="61"/>
    </row>
    <row r="21" spans="1:9" ht="15" customHeight="1">
      <c r="A21" s="61"/>
      <c r="B21" s="61"/>
      <c r="C21" s="61"/>
      <c r="D21" s="61"/>
      <c r="E21" s="61"/>
      <c r="F21" s="61"/>
      <c r="G21" s="61"/>
      <c r="H21" s="61"/>
      <c r="I21" s="61"/>
    </row>
    <row r="22" spans="1:9" ht="15" customHeight="1">
      <c r="A22" s="61"/>
      <c r="B22" s="61"/>
      <c r="C22" s="61"/>
      <c r="D22" s="61"/>
      <c r="E22" s="61"/>
      <c r="F22" s="61"/>
      <c r="G22" s="61"/>
      <c r="H22" s="61"/>
      <c r="I22" s="61"/>
    </row>
    <row r="23" spans="1:9" ht="15" customHeight="1">
      <c r="A23" s="61"/>
      <c r="B23" s="61"/>
      <c r="C23" s="61"/>
      <c r="D23" s="61"/>
      <c r="E23" s="61"/>
      <c r="F23" s="61"/>
      <c r="G23" s="61"/>
      <c r="H23" s="61"/>
      <c r="I23" s="61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37" spans="6:8">
      <c r="F37" s="56" t="s">
        <v>4</v>
      </c>
      <c r="G37" s="57"/>
      <c r="H37" s="57"/>
    </row>
    <row r="38" spans="6:8">
      <c r="F38" s="57"/>
      <c r="G38" s="57"/>
      <c r="H38" s="57"/>
    </row>
    <row r="39" spans="6:8">
      <c r="F39" s="57"/>
      <c r="G39" s="57"/>
      <c r="H39" s="57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O48"/>
  <sheetViews>
    <sheetView rightToLeft="1" view="pageBreakPreview" topLeftCell="A31" zoomScale="130" zoomScaleNormal="130" zoomScaleSheetLayoutView="130" workbookViewId="0">
      <selection activeCell="H43" sqref="H43"/>
    </sheetView>
  </sheetViews>
  <sheetFormatPr defaultColWidth="9" defaultRowHeight="15.75"/>
  <cols>
    <col min="1" max="1" width="21.42578125" style="9" customWidth="1"/>
    <col min="2" max="2" width="13" style="9" customWidth="1"/>
    <col min="3" max="4" width="15.85546875" style="9" customWidth="1"/>
    <col min="5" max="10" width="13" style="9" customWidth="1"/>
    <col min="11" max="11" width="12.7109375" style="9" bestFit="1" customWidth="1"/>
    <col min="12" max="12" width="17" style="51" bestFit="1" customWidth="1"/>
    <col min="13" max="13" width="13" style="9" customWidth="1"/>
    <col min="14" max="16384" width="9" style="4"/>
  </cols>
  <sheetData>
    <row r="1" spans="1:14">
      <c r="A1" s="68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4">
      <c r="A2" s="68" t="s">
        <v>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14">
      <c r="A3" s="68" t="s">
        <v>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4">
      <c r="A4" s="74" t="s">
        <v>8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</row>
    <row r="5" spans="1:14">
      <c r="A5" s="74" t="s">
        <v>9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</row>
    <row r="7" spans="1:14" ht="18.75" customHeight="1" thickBot="1">
      <c r="A7" s="5"/>
      <c r="B7" s="78" t="s">
        <v>10</v>
      </c>
      <c r="C7" s="67"/>
      <c r="D7" s="67"/>
      <c r="E7" s="76" t="s">
        <v>11</v>
      </c>
      <c r="F7" s="77"/>
      <c r="G7" s="77"/>
      <c r="H7" s="77"/>
      <c r="I7" s="78" t="s">
        <v>12</v>
      </c>
      <c r="J7" s="67"/>
      <c r="K7" s="67"/>
      <c r="L7" s="67"/>
      <c r="M7" s="67"/>
    </row>
    <row r="8" spans="1:14" ht="17.25" customHeight="1">
      <c r="A8" s="69" t="s">
        <v>13</v>
      </c>
      <c r="B8" s="69" t="s">
        <v>14</v>
      </c>
      <c r="C8" s="69" t="s">
        <v>15</v>
      </c>
      <c r="D8" s="66" t="s">
        <v>16</v>
      </c>
      <c r="E8" s="70" t="s">
        <v>17</v>
      </c>
      <c r="F8" s="71"/>
      <c r="G8" s="72" t="s">
        <v>18</v>
      </c>
      <c r="H8" s="73"/>
      <c r="I8" s="66" t="s">
        <v>14</v>
      </c>
      <c r="J8" s="66" t="s">
        <v>19</v>
      </c>
      <c r="K8" s="66" t="s">
        <v>15</v>
      </c>
      <c r="L8" s="64" t="s">
        <v>16</v>
      </c>
      <c r="M8" s="66" t="s">
        <v>20</v>
      </c>
    </row>
    <row r="9" spans="1:14" ht="20.25" customHeight="1" thickBot="1">
      <c r="A9" s="67"/>
      <c r="B9" s="67"/>
      <c r="C9" s="67"/>
      <c r="D9" s="67"/>
      <c r="E9" s="15" t="s">
        <v>14</v>
      </c>
      <c r="F9" s="15" t="s">
        <v>21</v>
      </c>
      <c r="G9" s="15" t="s">
        <v>14</v>
      </c>
      <c r="H9" s="15" t="s">
        <v>22</v>
      </c>
      <c r="I9" s="67"/>
      <c r="J9" s="67"/>
      <c r="K9" s="67"/>
      <c r="L9" s="65"/>
      <c r="M9" s="67"/>
    </row>
    <row r="10" spans="1:14" ht="23.1" customHeight="1">
      <c r="A10" s="21" t="s">
        <v>23</v>
      </c>
      <c r="B10" s="22">
        <v>1857627</v>
      </c>
      <c r="C10" s="23">
        <v>10336880829</v>
      </c>
      <c r="D10" s="23">
        <v>9846735220</v>
      </c>
      <c r="E10" s="23">
        <v>0</v>
      </c>
      <c r="F10" s="23">
        <v>0</v>
      </c>
      <c r="G10" s="23">
        <v>0</v>
      </c>
      <c r="H10" s="23">
        <v>0</v>
      </c>
      <c r="I10" s="22">
        <v>1857627</v>
      </c>
      <c r="J10" s="23">
        <v>5650</v>
      </c>
      <c r="K10" s="23">
        <v>10336880829</v>
      </c>
      <c r="L10" s="23">
        <v>10414461623</v>
      </c>
      <c r="M10" s="23">
        <v>1.82</v>
      </c>
      <c r="N10" s="23" t="s">
        <v>233</v>
      </c>
    </row>
    <row r="11" spans="1:14" ht="23.1" customHeight="1">
      <c r="A11" s="21" t="s">
        <v>24</v>
      </c>
      <c r="B11" s="22">
        <v>467087</v>
      </c>
      <c r="C11" s="23">
        <v>28897555616</v>
      </c>
      <c r="D11" s="23">
        <v>21134524638</v>
      </c>
      <c r="E11" s="23">
        <v>0</v>
      </c>
      <c r="F11" s="23">
        <v>0</v>
      </c>
      <c r="G11" s="23">
        <v>0</v>
      </c>
      <c r="H11" s="23">
        <v>0</v>
      </c>
      <c r="I11" s="22">
        <v>467087</v>
      </c>
      <c r="J11" s="23">
        <v>25042</v>
      </c>
      <c r="K11" s="23">
        <v>28897555616</v>
      </c>
      <c r="L11" s="23">
        <v>11606376449</v>
      </c>
      <c r="M11" s="23">
        <v>2.02</v>
      </c>
      <c r="N11" s="23" t="s">
        <v>238</v>
      </c>
    </row>
    <row r="12" spans="1:14" ht="23.1" customHeight="1">
      <c r="A12" s="21" t="s">
        <v>25</v>
      </c>
      <c r="B12" s="22">
        <v>1203411</v>
      </c>
      <c r="C12" s="23">
        <v>10478897885</v>
      </c>
      <c r="D12" s="23">
        <v>6866124642</v>
      </c>
      <c r="E12" s="23">
        <v>0</v>
      </c>
      <c r="F12" s="23">
        <v>0</v>
      </c>
      <c r="G12" s="23">
        <v>0</v>
      </c>
      <c r="H12" s="23">
        <v>0</v>
      </c>
      <c r="I12" s="22">
        <v>1203411</v>
      </c>
      <c r="J12" s="23">
        <v>4576</v>
      </c>
      <c r="K12" s="23">
        <v>10478897885</v>
      </c>
      <c r="L12" s="23">
        <v>5464241109</v>
      </c>
      <c r="M12" s="23">
        <v>0.95</v>
      </c>
      <c r="N12" s="23" t="s">
        <v>234</v>
      </c>
    </row>
    <row r="13" spans="1:14" ht="23.1" customHeight="1">
      <c r="A13" s="21" t="s">
        <v>26</v>
      </c>
      <c r="B13" s="22">
        <v>15600000</v>
      </c>
      <c r="C13" s="23">
        <v>8218352730</v>
      </c>
      <c r="D13" s="23">
        <v>7801623649</v>
      </c>
      <c r="E13" s="23">
        <v>0</v>
      </c>
      <c r="F13" s="23">
        <v>0</v>
      </c>
      <c r="G13" s="23">
        <v>0</v>
      </c>
      <c r="H13" s="23">
        <v>0</v>
      </c>
      <c r="I13" s="22">
        <v>15600000</v>
      </c>
      <c r="J13" s="23">
        <v>492</v>
      </c>
      <c r="K13" s="23">
        <v>8218352730</v>
      </c>
      <c r="L13" s="23">
        <v>7615870705</v>
      </c>
      <c r="M13" s="23">
        <v>1.33</v>
      </c>
      <c r="N13" s="23" t="s">
        <v>235</v>
      </c>
    </row>
    <row r="14" spans="1:14" ht="23.1" customHeight="1">
      <c r="A14" s="21" t="s">
        <v>27</v>
      </c>
      <c r="B14" s="22">
        <v>1447704</v>
      </c>
      <c r="C14" s="23">
        <v>20531641679</v>
      </c>
      <c r="D14" s="23">
        <v>19507849913</v>
      </c>
      <c r="E14" s="23">
        <v>0</v>
      </c>
      <c r="F14" s="23">
        <v>0</v>
      </c>
      <c r="G14" s="23">
        <v>0</v>
      </c>
      <c r="H14" s="23">
        <v>0</v>
      </c>
      <c r="I14" s="22">
        <v>1447704</v>
      </c>
      <c r="J14" s="23">
        <v>10856</v>
      </c>
      <c r="K14" s="23">
        <v>20531641679</v>
      </c>
      <c r="L14" s="23">
        <v>15594787825</v>
      </c>
      <c r="M14" s="23">
        <v>2.72</v>
      </c>
      <c r="N14" s="23" t="s">
        <v>243</v>
      </c>
    </row>
    <row r="15" spans="1:14" ht="23.1" customHeight="1">
      <c r="A15" s="21" t="s">
        <v>28</v>
      </c>
      <c r="B15" s="22">
        <v>15689630</v>
      </c>
      <c r="C15" s="23">
        <v>8011378749</v>
      </c>
      <c r="D15" s="23">
        <v>5852805295</v>
      </c>
      <c r="E15" s="23">
        <v>0</v>
      </c>
      <c r="F15" s="23">
        <v>0</v>
      </c>
      <c r="G15" s="23">
        <v>0</v>
      </c>
      <c r="H15" s="23">
        <v>0</v>
      </c>
      <c r="I15" s="22">
        <v>15689630</v>
      </c>
      <c r="J15" s="23">
        <v>387</v>
      </c>
      <c r="K15" s="23">
        <v>8011378749</v>
      </c>
      <c r="L15" s="23">
        <v>6024951129</v>
      </c>
      <c r="M15" s="23">
        <v>1.05</v>
      </c>
      <c r="N15" s="23" t="s">
        <v>236</v>
      </c>
    </row>
    <row r="16" spans="1:14" ht="23.1" customHeight="1">
      <c r="A16" s="21" t="s">
        <v>29</v>
      </c>
      <c r="B16" s="22">
        <v>4293621</v>
      </c>
      <c r="C16" s="23">
        <v>29343285033</v>
      </c>
      <c r="D16" s="23">
        <v>26201652558</v>
      </c>
      <c r="E16" s="23">
        <v>818383</v>
      </c>
      <c r="F16" s="23">
        <v>0</v>
      </c>
      <c r="G16" s="23">
        <v>0</v>
      </c>
      <c r="H16" s="23">
        <v>0</v>
      </c>
      <c r="I16" s="22">
        <v>5112004</v>
      </c>
      <c r="J16" s="23">
        <v>5180</v>
      </c>
      <c r="K16" s="23">
        <v>29343285033</v>
      </c>
      <c r="L16" s="23">
        <v>26275488926</v>
      </c>
      <c r="M16" s="23">
        <v>4.58</v>
      </c>
      <c r="N16" s="23" t="s">
        <v>237</v>
      </c>
    </row>
    <row r="17" spans="1:15" ht="23.1" customHeight="1">
      <c r="A17" s="21" t="s">
        <v>30</v>
      </c>
      <c r="B17" s="22">
        <v>57984</v>
      </c>
      <c r="C17" s="23">
        <v>5254438262</v>
      </c>
      <c r="D17" s="23">
        <v>5754153728</v>
      </c>
      <c r="E17" s="23">
        <v>0</v>
      </c>
      <c r="F17" s="23">
        <v>0</v>
      </c>
      <c r="G17" s="23">
        <v>0</v>
      </c>
      <c r="H17" s="23">
        <v>0</v>
      </c>
      <c r="I17" s="22">
        <v>57984</v>
      </c>
      <c r="J17" s="23">
        <v>75503</v>
      </c>
      <c r="K17" s="23">
        <v>5254438262</v>
      </c>
      <c r="L17" s="23">
        <v>4344124280</v>
      </c>
      <c r="M17" s="23">
        <v>0.76</v>
      </c>
      <c r="N17" s="23" t="s">
        <v>238</v>
      </c>
    </row>
    <row r="18" spans="1:15" ht="23.1" customHeight="1">
      <c r="A18" s="21" t="s">
        <v>31</v>
      </c>
      <c r="B18" s="22">
        <v>1614688</v>
      </c>
      <c r="C18" s="23">
        <v>24502512230</v>
      </c>
      <c r="D18" s="23">
        <v>20879952110</v>
      </c>
      <c r="E18" s="23">
        <v>0</v>
      </c>
      <c r="F18" s="23">
        <v>0</v>
      </c>
      <c r="G18" s="23">
        <v>0</v>
      </c>
      <c r="H18" s="23">
        <v>0</v>
      </c>
      <c r="I18" s="22">
        <v>1614688</v>
      </c>
      <c r="J18" s="23">
        <v>7836</v>
      </c>
      <c r="K18" s="23">
        <v>24502512230</v>
      </c>
      <c r="L18" s="23">
        <v>12554889839</v>
      </c>
      <c r="M18" s="23">
        <v>2.19</v>
      </c>
      <c r="N18" s="23" t="s">
        <v>238</v>
      </c>
    </row>
    <row r="19" spans="1:15" ht="23.1" customHeight="1">
      <c r="A19" s="21" t="s">
        <v>32</v>
      </c>
      <c r="B19" s="22">
        <v>26257527</v>
      </c>
      <c r="C19" s="23">
        <v>15866275461</v>
      </c>
      <c r="D19" s="23">
        <v>12375914254</v>
      </c>
      <c r="E19" s="23">
        <v>0</v>
      </c>
      <c r="F19" s="23">
        <v>0</v>
      </c>
      <c r="G19" s="23">
        <v>0</v>
      </c>
      <c r="H19" s="23">
        <v>0</v>
      </c>
      <c r="I19" s="22">
        <v>26257527</v>
      </c>
      <c r="J19" s="23">
        <v>461</v>
      </c>
      <c r="K19" s="23">
        <v>15866275461</v>
      </c>
      <c r="L19" s="23">
        <v>12011150466</v>
      </c>
      <c r="M19" s="23">
        <v>2.09</v>
      </c>
      <c r="N19" s="23" t="s">
        <v>235</v>
      </c>
    </row>
    <row r="20" spans="1:15" ht="23.1" customHeight="1">
      <c r="A20" s="21" t="s">
        <v>33</v>
      </c>
      <c r="B20" s="22">
        <v>16004179</v>
      </c>
      <c r="C20" s="23">
        <v>50348825894</v>
      </c>
      <c r="D20" s="23">
        <v>41449249124</v>
      </c>
      <c r="E20" s="23">
        <v>0</v>
      </c>
      <c r="F20" s="23">
        <v>0</v>
      </c>
      <c r="G20" s="23">
        <v>0</v>
      </c>
      <c r="H20" s="23">
        <v>0</v>
      </c>
      <c r="I20" s="22">
        <v>16004179</v>
      </c>
      <c r="J20" s="23">
        <v>1302</v>
      </c>
      <c r="K20" s="23">
        <v>50348825894</v>
      </c>
      <c r="L20" s="23">
        <v>20676367643</v>
      </c>
      <c r="M20" s="23">
        <v>3.61</v>
      </c>
      <c r="N20" s="23" t="s">
        <v>233</v>
      </c>
    </row>
    <row r="21" spans="1:15" ht="23.1" customHeight="1">
      <c r="A21" s="21" t="s">
        <v>34</v>
      </c>
      <c r="B21" s="22">
        <v>745126</v>
      </c>
      <c r="C21" s="23">
        <v>6083938408</v>
      </c>
      <c r="D21" s="23">
        <v>6098292224</v>
      </c>
      <c r="E21" s="23">
        <v>0</v>
      </c>
      <c r="F21" s="23">
        <v>0</v>
      </c>
      <c r="G21" s="23">
        <v>0</v>
      </c>
      <c r="H21" s="23">
        <v>0</v>
      </c>
      <c r="I21" s="22">
        <v>745126</v>
      </c>
      <c r="J21" s="23">
        <v>8390</v>
      </c>
      <c r="K21" s="23">
        <v>6083938408</v>
      </c>
      <c r="L21" s="23">
        <v>6203282221</v>
      </c>
      <c r="M21" s="23">
        <v>1.08</v>
      </c>
      <c r="N21" s="23" t="s">
        <v>239</v>
      </c>
      <c r="O21" s="53"/>
    </row>
    <row r="22" spans="1:15" ht="23.1" customHeight="1">
      <c r="A22" s="21" t="s">
        <v>35</v>
      </c>
      <c r="B22" s="22">
        <v>2591721</v>
      </c>
      <c r="C22" s="23">
        <v>4171946071</v>
      </c>
      <c r="D22" s="23">
        <v>5205094486</v>
      </c>
      <c r="E22" s="23">
        <v>0</v>
      </c>
      <c r="F22" s="23">
        <v>0</v>
      </c>
      <c r="G22" s="23">
        <v>0</v>
      </c>
      <c r="H22" s="23">
        <v>0</v>
      </c>
      <c r="I22" s="22">
        <v>2591721</v>
      </c>
      <c r="J22" s="23">
        <v>2146</v>
      </c>
      <c r="K22" s="23">
        <v>4171946071</v>
      </c>
      <c r="L22" s="23">
        <v>5518840301</v>
      </c>
      <c r="M22" s="23">
        <v>0.96</v>
      </c>
      <c r="N22" s="23" t="s">
        <v>236</v>
      </c>
    </row>
    <row r="23" spans="1:15" ht="23.1" customHeight="1">
      <c r="A23" s="21" t="s">
        <v>36</v>
      </c>
      <c r="B23" s="22">
        <v>2445560</v>
      </c>
      <c r="C23" s="23">
        <v>10761813750</v>
      </c>
      <c r="D23" s="23">
        <v>13152474553</v>
      </c>
      <c r="E23" s="23">
        <v>0</v>
      </c>
      <c r="F23" s="23">
        <v>0</v>
      </c>
      <c r="G23" s="23">
        <v>0</v>
      </c>
      <c r="H23" s="23">
        <v>0</v>
      </c>
      <c r="I23" s="22">
        <v>2445560</v>
      </c>
      <c r="J23" s="23">
        <v>5370</v>
      </c>
      <c r="K23" s="23">
        <v>10761813750</v>
      </c>
      <c r="L23" s="23">
        <v>13031141762</v>
      </c>
      <c r="M23" s="23">
        <v>2.27</v>
      </c>
      <c r="N23" s="23" t="s">
        <v>243</v>
      </c>
    </row>
    <row r="24" spans="1:15" ht="23.1" customHeight="1">
      <c r="A24" s="21" t="s">
        <v>37</v>
      </c>
      <c r="B24" s="22">
        <v>3646766</v>
      </c>
      <c r="C24" s="23">
        <v>19549997525</v>
      </c>
      <c r="D24" s="23">
        <v>20372585691</v>
      </c>
      <c r="E24" s="23">
        <v>0</v>
      </c>
      <c r="F24" s="23">
        <v>0</v>
      </c>
      <c r="G24" s="23">
        <v>0</v>
      </c>
      <c r="H24" s="23">
        <v>0</v>
      </c>
      <c r="I24" s="22">
        <v>3646766</v>
      </c>
      <c r="J24" s="23">
        <v>5890</v>
      </c>
      <c r="K24" s="23">
        <v>19549997525</v>
      </c>
      <c r="L24" s="23">
        <v>21313415582</v>
      </c>
      <c r="M24" s="23">
        <v>3.72</v>
      </c>
      <c r="N24" s="23" t="s">
        <v>236</v>
      </c>
    </row>
    <row r="25" spans="1:15" ht="23.1" customHeight="1">
      <c r="A25" s="21" t="s">
        <v>38</v>
      </c>
      <c r="B25" s="22">
        <v>3488179</v>
      </c>
      <c r="C25" s="23">
        <v>11081318744</v>
      </c>
      <c r="D25" s="23">
        <v>8601120213</v>
      </c>
      <c r="E25" s="23">
        <v>321815</v>
      </c>
      <c r="F25" s="23">
        <v>0</v>
      </c>
      <c r="G25" s="23">
        <v>0</v>
      </c>
      <c r="H25" s="23">
        <v>0</v>
      </c>
      <c r="I25" s="22">
        <v>3809994</v>
      </c>
      <c r="J25" s="23">
        <v>2149.0419948167892</v>
      </c>
      <c r="K25" s="23">
        <v>10362457349</v>
      </c>
      <c r="L25" s="23">
        <v>8124545128</v>
      </c>
      <c r="M25" s="23">
        <v>1.42</v>
      </c>
      <c r="N25" s="23" t="s">
        <v>240</v>
      </c>
    </row>
    <row r="26" spans="1:15" ht="23.1" customHeight="1">
      <c r="A26" s="21" t="s">
        <v>39</v>
      </c>
      <c r="B26" s="22">
        <v>31661832</v>
      </c>
      <c r="C26" s="23">
        <v>31548337240</v>
      </c>
      <c r="D26" s="23">
        <v>27419301010</v>
      </c>
      <c r="E26" s="23">
        <v>0</v>
      </c>
      <c r="F26" s="23">
        <v>0</v>
      </c>
      <c r="G26" s="23">
        <v>0</v>
      </c>
      <c r="H26" s="23">
        <v>0</v>
      </c>
      <c r="I26" s="22">
        <v>31661832</v>
      </c>
      <c r="J26" s="23">
        <v>941</v>
      </c>
      <c r="K26" s="23">
        <v>31548337240</v>
      </c>
      <c r="L26" s="23">
        <v>29563477965</v>
      </c>
      <c r="M26" s="23">
        <v>5.15</v>
      </c>
      <c r="N26" s="23" t="s">
        <v>236</v>
      </c>
    </row>
    <row r="27" spans="1:15" ht="23.1" customHeight="1">
      <c r="A27" s="21" t="s">
        <v>40</v>
      </c>
      <c r="B27" s="22">
        <v>451945</v>
      </c>
      <c r="C27" s="23">
        <v>7159753907</v>
      </c>
      <c r="D27" s="23">
        <v>5610127835</v>
      </c>
      <c r="E27" s="23">
        <v>0</v>
      </c>
      <c r="F27" s="23">
        <v>0</v>
      </c>
      <c r="G27" s="23">
        <v>0</v>
      </c>
      <c r="H27" s="23">
        <v>0</v>
      </c>
      <c r="I27" s="22">
        <v>451945</v>
      </c>
      <c r="J27" s="23">
        <v>12470</v>
      </c>
      <c r="K27" s="23">
        <v>7159753907</v>
      </c>
      <c r="L27" s="23">
        <v>5592189775</v>
      </c>
      <c r="M27" s="23">
        <v>0.98</v>
      </c>
      <c r="N27" s="23" t="s">
        <v>241</v>
      </c>
    </row>
    <row r="28" spans="1:15" ht="23.1" customHeight="1">
      <c r="A28" s="21" t="s">
        <v>41</v>
      </c>
      <c r="B28" s="22">
        <v>2902524</v>
      </c>
      <c r="C28" s="23">
        <v>14791916812</v>
      </c>
      <c r="D28" s="23">
        <v>19987807181</v>
      </c>
      <c r="E28" s="23">
        <v>0</v>
      </c>
      <c r="F28" s="23">
        <v>0</v>
      </c>
      <c r="G28" s="23">
        <v>0</v>
      </c>
      <c r="H28" s="23">
        <v>0</v>
      </c>
      <c r="I28" s="22">
        <v>2902524</v>
      </c>
      <c r="J28" s="23">
        <v>6940</v>
      </c>
      <c r="K28" s="23">
        <v>14791916812</v>
      </c>
      <c r="L28" s="23">
        <v>19987807181</v>
      </c>
      <c r="M28" s="23">
        <v>3.48</v>
      </c>
      <c r="N28" s="23" t="s">
        <v>237</v>
      </c>
    </row>
    <row r="29" spans="1:15" ht="23.1" customHeight="1">
      <c r="A29" s="21" t="s">
        <v>42</v>
      </c>
      <c r="B29" s="22">
        <v>5629184</v>
      </c>
      <c r="C29" s="23">
        <v>12806541355</v>
      </c>
      <c r="D29" s="23">
        <v>10617336119</v>
      </c>
      <c r="E29" s="23">
        <v>0</v>
      </c>
      <c r="F29" s="23">
        <v>0</v>
      </c>
      <c r="G29" s="23">
        <v>0</v>
      </c>
      <c r="H29" s="23">
        <v>0</v>
      </c>
      <c r="I29" s="22">
        <v>5629184</v>
      </c>
      <c r="J29" s="23">
        <v>1728.8015266511095</v>
      </c>
      <c r="K29" s="23">
        <v>12806541355</v>
      </c>
      <c r="L29" s="23">
        <v>9656515532</v>
      </c>
      <c r="M29" s="23">
        <v>1.68</v>
      </c>
      <c r="N29" s="23" t="s">
        <v>240</v>
      </c>
    </row>
    <row r="30" spans="1:15" ht="23.1" customHeight="1">
      <c r="A30" s="21" t="s">
        <v>43</v>
      </c>
      <c r="B30" s="22">
        <v>8003181</v>
      </c>
      <c r="C30" s="23">
        <v>98572309364</v>
      </c>
      <c r="D30" s="23">
        <v>108796034832</v>
      </c>
      <c r="E30" s="23">
        <v>0</v>
      </c>
      <c r="F30" s="23">
        <v>0</v>
      </c>
      <c r="G30" s="23">
        <v>0</v>
      </c>
      <c r="H30" s="23">
        <v>0</v>
      </c>
      <c r="I30" s="22">
        <v>8003181</v>
      </c>
      <c r="J30" s="23">
        <v>14230</v>
      </c>
      <c r="K30" s="23">
        <v>98572309364</v>
      </c>
      <c r="L30" s="23">
        <v>113004932531</v>
      </c>
      <c r="M30" s="23">
        <v>19.7</v>
      </c>
      <c r="N30" s="23" t="s">
        <v>233</v>
      </c>
    </row>
    <row r="31" spans="1:15" ht="23.1" customHeight="1">
      <c r="A31" s="21" t="s">
        <v>44</v>
      </c>
      <c r="B31" s="22">
        <v>7696430</v>
      </c>
      <c r="C31" s="23">
        <v>80947243481</v>
      </c>
      <c r="D31" s="23">
        <v>80187834262</v>
      </c>
      <c r="E31" s="23">
        <v>0</v>
      </c>
      <c r="F31" s="23">
        <v>0</v>
      </c>
      <c r="G31" s="23">
        <v>0</v>
      </c>
      <c r="H31" s="23">
        <v>0</v>
      </c>
      <c r="I31" s="22">
        <v>7696430</v>
      </c>
      <c r="J31" s="23">
        <v>6252</v>
      </c>
      <c r="K31" s="23">
        <v>80947243481</v>
      </c>
      <c r="L31" s="23">
        <v>47746127602</v>
      </c>
      <c r="M31" s="23">
        <v>8.32</v>
      </c>
      <c r="N31" s="23" t="s">
        <v>238</v>
      </c>
    </row>
    <row r="32" spans="1:15" ht="23.1" customHeight="1">
      <c r="A32" s="21" t="s">
        <v>45</v>
      </c>
      <c r="B32" s="22">
        <v>602757</v>
      </c>
      <c r="C32" s="23">
        <v>4327902471</v>
      </c>
      <c r="D32" s="23">
        <v>3963144811</v>
      </c>
      <c r="E32" s="23">
        <v>0</v>
      </c>
      <c r="F32" s="23">
        <v>0</v>
      </c>
      <c r="G32" s="23">
        <v>0</v>
      </c>
      <c r="H32" s="23">
        <v>0</v>
      </c>
      <c r="I32" s="22">
        <v>602757</v>
      </c>
      <c r="J32" s="23">
        <v>6626.2499995852386</v>
      </c>
      <c r="K32" s="23">
        <v>4327902471</v>
      </c>
      <c r="L32" s="23">
        <v>3963144811</v>
      </c>
      <c r="M32" s="23">
        <v>0.69</v>
      </c>
      <c r="N32" s="23" t="s">
        <v>233</v>
      </c>
    </row>
    <row r="33" spans="1:14" ht="23.1" customHeight="1">
      <c r="A33" s="21" t="s">
        <v>46</v>
      </c>
      <c r="B33" s="22">
        <v>3443531</v>
      </c>
      <c r="C33" s="23">
        <v>7467557816</v>
      </c>
      <c r="D33" s="23">
        <v>7001253727</v>
      </c>
      <c r="E33" s="23">
        <v>735135</v>
      </c>
      <c r="F33" s="23">
        <v>0</v>
      </c>
      <c r="G33" s="23">
        <v>0</v>
      </c>
      <c r="H33" s="23">
        <v>0</v>
      </c>
      <c r="I33" s="22">
        <v>4178666</v>
      </c>
      <c r="J33" s="23">
        <v>1809</v>
      </c>
      <c r="K33" s="23">
        <v>7294458325</v>
      </c>
      <c r="L33" s="23">
        <v>7500774130</v>
      </c>
      <c r="M33" s="23">
        <v>1.31</v>
      </c>
      <c r="N33" s="23" t="s">
        <v>240</v>
      </c>
    </row>
    <row r="34" spans="1:14" ht="23.1" customHeight="1">
      <c r="A34" s="21" t="s">
        <v>47</v>
      </c>
      <c r="B34" s="22">
        <v>536766</v>
      </c>
      <c r="C34" s="23">
        <v>9613453719</v>
      </c>
      <c r="D34" s="23">
        <v>7914685635</v>
      </c>
      <c r="E34" s="23">
        <v>0</v>
      </c>
      <c r="F34" s="23">
        <v>0</v>
      </c>
      <c r="G34" s="23">
        <v>0</v>
      </c>
      <c r="H34" s="23">
        <v>0</v>
      </c>
      <c r="I34" s="22">
        <v>536766</v>
      </c>
      <c r="J34" s="23">
        <v>8766</v>
      </c>
      <c r="K34" s="23">
        <v>9613453719</v>
      </c>
      <c r="L34" s="23">
        <v>4668918862</v>
      </c>
      <c r="M34" s="23">
        <v>0.81</v>
      </c>
      <c r="N34" s="23" t="s">
        <v>244</v>
      </c>
    </row>
    <row r="35" spans="1:14" ht="23.1" customHeight="1">
      <c r="A35" s="21" t="s">
        <v>48</v>
      </c>
      <c r="B35" s="22">
        <v>449652</v>
      </c>
      <c r="C35" s="23">
        <v>3040968071</v>
      </c>
      <c r="D35" s="23">
        <v>3569409524</v>
      </c>
      <c r="E35" s="23">
        <v>0</v>
      </c>
      <c r="F35" s="23">
        <v>0</v>
      </c>
      <c r="G35" s="23">
        <v>0</v>
      </c>
      <c r="H35" s="23">
        <v>0</v>
      </c>
      <c r="I35" s="22">
        <v>449652</v>
      </c>
      <c r="J35" s="23">
        <v>8240</v>
      </c>
      <c r="K35" s="23">
        <v>3040968071</v>
      </c>
      <c r="L35" s="23">
        <v>3676491810</v>
      </c>
      <c r="M35" s="23">
        <v>0.64</v>
      </c>
      <c r="N35" s="23" t="s">
        <v>237</v>
      </c>
    </row>
    <row r="36" spans="1:14" ht="23.1" customHeight="1">
      <c r="A36" s="21" t="s">
        <v>49</v>
      </c>
      <c r="B36" s="22">
        <v>7915042</v>
      </c>
      <c r="C36" s="23">
        <v>4684765415</v>
      </c>
      <c r="D36" s="23">
        <v>3824829201</v>
      </c>
      <c r="E36" s="23">
        <v>0</v>
      </c>
      <c r="F36" s="23">
        <v>0</v>
      </c>
      <c r="G36" s="23">
        <v>0</v>
      </c>
      <c r="H36" s="23">
        <v>0</v>
      </c>
      <c r="I36" s="22">
        <v>7915042</v>
      </c>
      <c r="J36" s="23">
        <v>501</v>
      </c>
      <c r="K36" s="23">
        <v>4684765415</v>
      </c>
      <c r="L36" s="23">
        <v>3934783224</v>
      </c>
      <c r="M36" s="23">
        <v>0.69</v>
      </c>
      <c r="N36" s="23" t="s">
        <v>236</v>
      </c>
    </row>
    <row r="37" spans="1:14" ht="23.1" customHeight="1">
      <c r="A37" s="21" t="s">
        <v>50</v>
      </c>
      <c r="B37" s="22">
        <v>627945</v>
      </c>
      <c r="C37" s="23">
        <v>13473335774</v>
      </c>
      <c r="D37" s="23">
        <v>11820035992</v>
      </c>
      <c r="E37" s="23">
        <v>0</v>
      </c>
      <c r="F37" s="23">
        <v>0</v>
      </c>
      <c r="G37" s="23">
        <v>0</v>
      </c>
      <c r="H37" s="23">
        <v>0</v>
      </c>
      <c r="I37" s="22">
        <v>627945</v>
      </c>
      <c r="J37" s="23">
        <v>11358</v>
      </c>
      <c r="K37" s="23">
        <v>13473335774</v>
      </c>
      <c r="L37" s="23">
        <v>7077067414</v>
      </c>
      <c r="M37" s="23">
        <v>1.23</v>
      </c>
      <c r="N37" s="23" t="s">
        <v>238</v>
      </c>
    </row>
    <row r="38" spans="1:14" ht="23.1" customHeight="1">
      <c r="A38" s="21" t="s">
        <v>51</v>
      </c>
      <c r="B38" s="22">
        <v>208850</v>
      </c>
      <c r="C38" s="23">
        <v>5260393033</v>
      </c>
      <c r="D38" s="23">
        <v>5367401771</v>
      </c>
      <c r="E38" s="23">
        <v>0</v>
      </c>
      <c r="F38" s="23">
        <v>0</v>
      </c>
      <c r="G38" s="23">
        <v>0</v>
      </c>
      <c r="H38" s="23">
        <v>0</v>
      </c>
      <c r="I38" s="22">
        <v>208850</v>
      </c>
      <c r="J38" s="23">
        <v>25890</v>
      </c>
      <c r="K38" s="23">
        <v>5260393033</v>
      </c>
      <c r="L38" s="23">
        <v>5365329415</v>
      </c>
      <c r="M38" s="23">
        <v>0.94</v>
      </c>
      <c r="N38" s="23" t="s">
        <v>237</v>
      </c>
    </row>
    <row r="39" spans="1:14" ht="23.1" customHeight="1">
      <c r="A39" s="21" t="s">
        <v>52</v>
      </c>
      <c r="B39" s="22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2">
        <v>417989</v>
      </c>
      <c r="J39" s="23">
        <v>1149.0419939280698</v>
      </c>
      <c r="K39" s="23">
        <v>718861395</v>
      </c>
      <c r="L39" s="23">
        <v>476574299</v>
      </c>
      <c r="M39" s="23">
        <v>0.08</v>
      </c>
      <c r="N39" s="23" t="s">
        <v>240</v>
      </c>
    </row>
    <row r="40" spans="1:14" ht="23.1" customHeight="1">
      <c r="A40" s="21" t="s">
        <v>53</v>
      </c>
      <c r="B40" s="22">
        <v>588548</v>
      </c>
      <c r="C40" s="23">
        <v>750414148</v>
      </c>
      <c r="D40" s="23">
        <v>526075681</v>
      </c>
      <c r="E40" s="23">
        <v>0</v>
      </c>
      <c r="F40" s="23">
        <v>0</v>
      </c>
      <c r="G40" s="23">
        <v>0</v>
      </c>
      <c r="H40" s="23">
        <v>0</v>
      </c>
      <c r="I40" s="22">
        <v>588548</v>
      </c>
      <c r="J40" s="23">
        <v>728.80152680834863</v>
      </c>
      <c r="K40" s="23">
        <v>750414148</v>
      </c>
      <c r="L40" s="23">
        <v>425619018</v>
      </c>
      <c r="M40" s="23">
        <v>7.0000000000000007E-2</v>
      </c>
      <c r="N40" s="23" t="s">
        <v>240</v>
      </c>
    </row>
    <row r="41" spans="1:14" ht="23.1" customHeight="1">
      <c r="A41" s="21" t="s">
        <v>54</v>
      </c>
      <c r="B41" s="22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2">
        <v>232148</v>
      </c>
      <c r="J41" s="23">
        <v>809</v>
      </c>
      <c r="K41" s="23">
        <v>173099491</v>
      </c>
      <c r="L41" s="23">
        <v>186355982</v>
      </c>
      <c r="M41" s="23">
        <v>0.03</v>
      </c>
      <c r="N41" s="23" t="s">
        <v>240</v>
      </c>
    </row>
    <row r="42" spans="1:14" ht="23.1" customHeight="1">
      <c r="A42" s="21" t="s">
        <v>55</v>
      </c>
      <c r="B42" s="22">
        <v>5818139</v>
      </c>
      <c r="C42" s="23">
        <v>14573609063</v>
      </c>
      <c r="D42" s="23">
        <v>17852395072</v>
      </c>
      <c r="E42" s="23">
        <v>0</v>
      </c>
      <c r="F42" s="23">
        <v>0</v>
      </c>
      <c r="G42" s="23">
        <v>0</v>
      </c>
      <c r="H42" s="23">
        <v>0</v>
      </c>
      <c r="I42" s="22">
        <v>5818139</v>
      </c>
      <c r="J42" s="23">
        <v>3092.306513474497</v>
      </c>
      <c r="K42" s="23">
        <v>14573609063</v>
      </c>
      <c r="L42" s="23">
        <v>17852395072</v>
      </c>
      <c r="M42" s="23">
        <v>3.11</v>
      </c>
      <c r="N42" s="23" t="s">
        <v>237</v>
      </c>
    </row>
    <row r="43" spans="1:14" ht="23.1" customHeight="1">
      <c r="A43" s="21" t="s">
        <v>56</v>
      </c>
      <c r="B43" s="22">
        <v>13311742</v>
      </c>
      <c r="C43" s="23">
        <v>22736819188</v>
      </c>
      <c r="D43" s="23">
        <v>21649292425</v>
      </c>
      <c r="E43" s="23">
        <v>0</v>
      </c>
      <c r="F43" s="23">
        <v>0</v>
      </c>
      <c r="G43" s="23">
        <v>0</v>
      </c>
      <c r="H43" s="23">
        <v>0</v>
      </c>
      <c r="I43" s="22">
        <v>13311742</v>
      </c>
      <c r="J43" s="23">
        <v>1600</v>
      </c>
      <c r="K43" s="23">
        <v>22736819188</v>
      </c>
      <c r="L43" s="23">
        <v>21134147578</v>
      </c>
      <c r="M43" s="23">
        <v>3.68</v>
      </c>
      <c r="N43" s="23" t="s">
        <v>243</v>
      </c>
    </row>
    <row r="44" spans="1:14" ht="23.1" customHeight="1">
      <c r="A44" s="21" t="s">
        <v>57</v>
      </c>
      <c r="B44" s="22">
        <v>164003</v>
      </c>
      <c r="C44" s="23">
        <v>17567844240</v>
      </c>
      <c r="D44" s="23">
        <v>17152296072</v>
      </c>
      <c r="E44" s="23">
        <v>0</v>
      </c>
      <c r="F44" s="23">
        <v>0</v>
      </c>
      <c r="G44" s="23">
        <v>0</v>
      </c>
      <c r="H44" s="23">
        <v>0</v>
      </c>
      <c r="I44" s="22">
        <v>164003</v>
      </c>
      <c r="J44" s="23">
        <v>106600</v>
      </c>
      <c r="K44" s="23">
        <v>17567844240</v>
      </c>
      <c r="L44" s="23">
        <v>17347578379</v>
      </c>
      <c r="M44" s="23">
        <v>3.02</v>
      </c>
      <c r="N44" s="23" t="s">
        <v>240</v>
      </c>
    </row>
    <row r="45" spans="1:14" ht="23.1" customHeight="1">
      <c r="A45" s="21" t="s">
        <v>58</v>
      </c>
      <c r="B45" s="22">
        <v>108570</v>
      </c>
      <c r="C45" s="23">
        <v>6012650955</v>
      </c>
      <c r="D45" s="23">
        <v>5677410734</v>
      </c>
      <c r="E45" s="23">
        <v>0</v>
      </c>
      <c r="F45" s="23">
        <v>0</v>
      </c>
      <c r="G45" s="23">
        <v>0</v>
      </c>
      <c r="H45" s="23">
        <v>0</v>
      </c>
      <c r="I45" s="22">
        <v>108570</v>
      </c>
      <c r="J45" s="23">
        <v>36862</v>
      </c>
      <c r="K45" s="23">
        <v>6012650955</v>
      </c>
      <c r="L45" s="23">
        <v>3971171055</v>
      </c>
      <c r="M45" s="23">
        <v>0.69</v>
      </c>
      <c r="N45" s="23" t="s">
        <v>238</v>
      </c>
    </row>
    <row r="46" spans="1:14" ht="23.1" customHeight="1">
      <c r="A46" s="21" t="s">
        <v>59</v>
      </c>
      <c r="B46" s="22">
        <v>50000</v>
      </c>
      <c r="C46" s="23">
        <v>49863800</v>
      </c>
      <c r="D46" s="23">
        <v>49613500</v>
      </c>
      <c r="E46" s="23">
        <v>0</v>
      </c>
      <c r="F46" s="23">
        <v>0</v>
      </c>
      <c r="G46" s="23">
        <v>0</v>
      </c>
      <c r="H46" s="23">
        <v>0</v>
      </c>
      <c r="I46" s="22">
        <v>50000</v>
      </c>
      <c r="J46" s="23">
        <v>1000</v>
      </c>
      <c r="K46" s="23">
        <v>49863800</v>
      </c>
      <c r="L46" s="23">
        <v>49613500</v>
      </c>
      <c r="M46" s="23">
        <v>0.01</v>
      </c>
      <c r="N46" s="23" t="s">
        <v>242</v>
      </c>
    </row>
    <row r="47" spans="1:14" ht="23.1" customHeight="1">
      <c r="A47" s="21" t="s">
        <v>60</v>
      </c>
      <c r="B47" s="22">
        <f>SUBTOTAL(109,B10:B46)</f>
        <v>187581451</v>
      </c>
      <c r="C47" s="23">
        <v>618824738718</v>
      </c>
      <c r="D47" s="23">
        <f>SUBTOTAL(109,D10:D46)</f>
        <v>590086437682</v>
      </c>
      <c r="E47" s="23"/>
      <c r="F47" s="23">
        <v>0</v>
      </c>
      <c r="G47" s="23"/>
      <c r="H47" s="23">
        <v>0</v>
      </c>
      <c r="I47" s="22">
        <f>SUBTOTAL(109,I10:I46)</f>
        <v>190106921</v>
      </c>
      <c r="J47" s="23">
        <v>418823.24355526408</v>
      </c>
      <c r="K47" s="23">
        <v>618824738718</v>
      </c>
      <c r="L47" s="23">
        <f>SUBTOTAL(109,L10:L46)</f>
        <v>509954950123</v>
      </c>
      <c r="M47" s="23">
        <v>88.88</v>
      </c>
      <c r="N47" s="23"/>
    </row>
    <row r="48" spans="1:14" ht="23.1" customHeight="1">
      <c r="A48" s="21" t="s">
        <v>61</v>
      </c>
      <c r="B48" s="22"/>
      <c r="C48" s="23"/>
      <c r="D48" s="23"/>
      <c r="E48" s="23"/>
      <c r="F48" s="23"/>
      <c r="G48" s="23"/>
      <c r="H48" s="23"/>
      <c r="I48" s="22"/>
      <c r="J48" s="23"/>
      <c r="K48" s="23"/>
      <c r="L48" s="52"/>
      <c r="M48" s="23"/>
    </row>
  </sheetData>
  <mergeCells count="19">
    <mergeCell ref="B7:D7"/>
    <mergeCell ref="I7:M7"/>
    <mergeCell ref="D8:D9"/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</mergeCells>
  <pageMargins left="0.7" right="0.7" top="0.75" bottom="0.75" header="0.3" footer="0.3"/>
  <pageSetup paperSize="9" scale="72" orientation="landscape" horizontalDpi="4294967295" verticalDpi="4294967295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5"/>
  <sheetViews>
    <sheetView rightToLeft="1" view="pageBreakPreview" topLeftCell="A2" zoomScale="106" zoomScaleNormal="130" zoomScaleSheetLayoutView="106" workbookViewId="0">
      <selection activeCell="B8" sqref="B8"/>
    </sheetView>
  </sheetViews>
  <sheetFormatPr defaultColWidth="9" defaultRowHeight="15.75"/>
  <cols>
    <col min="1" max="1" width="14.140625" style="9" customWidth="1"/>
    <col min="2" max="2" width="14.85546875" style="9" customWidth="1"/>
    <col min="3" max="4" width="14.28515625" style="9" customWidth="1"/>
    <col min="5" max="5" width="14.85546875" style="9" customWidth="1"/>
    <col min="6" max="6" width="13" style="9" customWidth="1"/>
    <col min="7" max="7" width="13" style="4" customWidth="1"/>
    <col min="8" max="8" width="11.42578125" style="4" customWidth="1"/>
    <col min="9" max="9" width="9" style="4" customWidth="1"/>
    <col min="10" max="16384" width="9" style="4"/>
  </cols>
  <sheetData>
    <row r="1" spans="1:7" ht="21">
      <c r="A1" s="55" t="s">
        <v>1</v>
      </c>
      <c r="B1" s="55"/>
      <c r="C1" s="55"/>
      <c r="D1" s="55"/>
      <c r="E1" s="55"/>
      <c r="F1" s="55"/>
      <c r="G1" s="79"/>
    </row>
    <row r="2" spans="1:7" ht="21">
      <c r="A2" s="55" t="s">
        <v>6</v>
      </c>
      <c r="B2" s="55"/>
      <c r="C2" s="55"/>
      <c r="D2" s="55"/>
      <c r="E2" s="55"/>
      <c r="F2" s="55"/>
      <c r="G2" s="79"/>
    </row>
    <row r="3" spans="1:7" ht="21">
      <c r="A3" s="55" t="s">
        <v>7</v>
      </c>
      <c r="B3" s="55"/>
      <c r="C3" s="55"/>
      <c r="D3" s="55"/>
      <c r="E3" s="55"/>
      <c r="F3" s="55"/>
      <c r="G3" s="79"/>
    </row>
    <row r="4" spans="1:7" ht="18.75">
      <c r="A4" s="80" t="s">
        <v>66</v>
      </c>
      <c r="B4" s="54"/>
      <c r="C4" s="54"/>
      <c r="D4" s="54"/>
      <c r="E4" s="54"/>
      <c r="F4" s="54"/>
      <c r="G4" s="54"/>
    </row>
    <row r="5" spans="1:7" ht="18">
      <c r="A5" s="26"/>
      <c r="B5" s="29"/>
      <c r="C5" s="29"/>
      <c r="D5" s="29"/>
      <c r="E5" s="29"/>
      <c r="F5" s="29"/>
    </row>
    <row r="6" spans="1:7" ht="18.75" customHeight="1">
      <c r="A6" s="5"/>
      <c r="B6" s="30" t="s">
        <v>10</v>
      </c>
      <c r="C6" s="76" t="s">
        <v>11</v>
      </c>
      <c r="D6" s="77"/>
      <c r="E6" s="81" t="s">
        <v>12</v>
      </c>
      <c r="F6" s="82"/>
    </row>
    <row r="7" spans="1:7" ht="31.9" customHeight="1">
      <c r="A7" s="28" t="s">
        <v>67</v>
      </c>
      <c r="B7" s="31" t="s">
        <v>68</v>
      </c>
      <c r="C7" s="32" t="s">
        <v>69</v>
      </c>
      <c r="D7" s="32" t="s">
        <v>70</v>
      </c>
      <c r="E7" s="33" t="s">
        <v>68</v>
      </c>
      <c r="F7" s="33" t="s">
        <v>65</v>
      </c>
    </row>
    <row r="8" spans="1:7" ht="23.1" customHeight="1">
      <c r="A8" s="21" t="s">
        <v>71</v>
      </c>
      <c r="B8" s="23">
        <v>1988211</v>
      </c>
      <c r="C8" s="23">
        <v>4767</v>
      </c>
      <c r="D8" s="23">
        <v>865500</v>
      </c>
      <c r="E8" s="23">
        <v>1127478</v>
      </c>
      <c r="F8" s="23">
        <v>0</v>
      </c>
    </row>
    <row r="9" spans="1:7" ht="23.1" customHeight="1">
      <c r="A9" s="21" t="s">
        <v>72</v>
      </c>
      <c r="B9" s="23">
        <v>58257448930</v>
      </c>
      <c r="C9" s="23">
        <v>1969519072</v>
      </c>
      <c r="D9" s="23">
        <v>1092950595</v>
      </c>
      <c r="E9" s="23">
        <v>59134017407</v>
      </c>
      <c r="F9" s="23">
        <v>10.31</v>
      </c>
    </row>
    <row r="10" spans="1:7" ht="23.1" customHeight="1">
      <c r="A10" s="21" t="s">
        <v>60</v>
      </c>
      <c r="B10" s="23">
        <v>58259437141</v>
      </c>
      <c r="C10" s="23">
        <v>1969523839</v>
      </c>
      <c r="D10" s="23">
        <v>1093816095</v>
      </c>
      <c r="E10" s="23">
        <v>59135144885</v>
      </c>
      <c r="F10" s="23">
        <v>10.31</v>
      </c>
    </row>
    <row r="11" spans="1:7" ht="23.1" customHeight="1">
      <c r="A11" s="27" t="s">
        <v>61</v>
      </c>
      <c r="B11" s="25"/>
      <c r="C11" s="25"/>
      <c r="D11" s="25"/>
      <c r="E11" s="25"/>
      <c r="F11" s="25"/>
      <c r="G11" s="5"/>
    </row>
    <row r="15" spans="1:7">
      <c r="C15" s="9" t="s">
        <v>73</v>
      </c>
    </row>
  </sheetData>
  <mergeCells count="6">
    <mergeCell ref="C6:D6"/>
    <mergeCell ref="A1:G1"/>
    <mergeCell ref="A2:G2"/>
    <mergeCell ref="A3:G3"/>
    <mergeCell ref="A4:G4"/>
    <mergeCell ref="E6:F6"/>
  </mergeCells>
  <pageMargins left="0.7" right="0.7" top="0.75" bottom="0.75" header="0.3" footer="0.3"/>
  <pageSetup paperSize="9" scale="81" orientation="landscape" horizontalDpi="4294967295" verticalDpi="4294967295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S12"/>
  <sheetViews>
    <sheetView rightToLeft="1" view="pageBreakPreview" zoomScale="106" zoomScaleNormal="106" zoomScaleSheetLayoutView="106" workbookViewId="0">
      <selection activeCell="D16" sqref="D16"/>
    </sheetView>
  </sheetViews>
  <sheetFormatPr defaultColWidth="9" defaultRowHeight="18"/>
  <cols>
    <col min="1" max="1" width="39.28515625" style="34" customWidth="1"/>
    <col min="2" max="2" width="13" style="39" customWidth="1"/>
    <col min="3" max="3" width="14.85546875" style="39" customWidth="1"/>
    <col min="4" max="4" width="15.7109375" style="39" customWidth="1"/>
    <col min="5" max="5" width="17.7109375" style="39" customWidth="1"/>
    <col min="6" max="19" width="13" style="1" customWidth="1"/>
    <col min="20" max="20" width="9" style="1" customWidth="1"/>
    <col min="21" max="16384" width="9" style="1"/>
  </cols>
  <sheetData>
    <row r="1" spans="1:19" ht="21">
      <c r="A1" s="55" t="s">
        <v>1</v>
      </c>
      <c r="B1" s="55"/>
      <c r="C1" s="55"/>
      <c r="D1" s="55"/>
      <c r="E1" s="26"/>
    </row>
    <row r="2" spans="1:19" ht="21">
      <c r="A2" s="55" t="s">
        <v>74</v>
      </c>
      <c r="B2" s="55"/>
      <c r="C2" s="55"/>
      <c r="D2" s="55"/>
      <c r="E2" s="26"/>
    </row>
    <row r="3" spans="1:19" ht="21">
      <c r="A3" s="55" t="s">
        <v>75</v>
      </c>
      <c r="B3" s="55"/>
      <c r="C3" s="55"/>
      <c r="D3" s="55"/>
      <c r="E3" s="26"/>
    </row>
    <row r="4" spans="1:19" ht="18.75">
      <c r="A4" s="54" t="s">
        <v>76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</row>
    <row r="5" spans="1:19">
      <c r="A5" s="38" t="s">
        <v>77</v>
      </c>
      <c r="B5" s="38" t="s">
        <v>78</v>
      </c>
      <c r="C5" s="38" t="s">
        <v>68</v>
      </c>
      <c r="D5" s="38" t="s">
        <v>79</v>
      </c>
      <c r="E5" s="38" t="s">
        <v>80</v>
      </c>
    </row>
    <row r="6" spans="1:19" ht="23.1" customHeight="1">
      <c r="A6" s="21" t="s">
        <v>81</v>
      </c>
      <c r="B6" s="21" t="s">
        <v>82</v>
      </c>
      <c r="C6" s="23">
        <v>14721545166</v>
      </c>
      <c r="D6" s="23">
        <v>80.55</v>
      </c>
      <c r="E6" s="23">
        <v>2.57</v>
      </c>
    </row>
    <row r="7" spans="1:19" ht="23.1" customHeight="1">
      <c r="A7" s="21" t="s">
        <v>83</v>
      </c>
      <c r="B7" s="21" t="s">
        <v>84</v>
      </c>
      <c r="C7" s="23">
        <v>0</v>
      </c>
      <c r="D7" s="23">
        <v>0</v>
      </c>
      <c r="E7" s="23">
        <v>0</v>
      </c>
    </row>
    <row r="8" spans="1:19" ht="23.1" customHeight="1">
      <c r="A8" s="21" t="s">
        <v>85</v>
      </c>
      <c r="B8" s="21" t="s">
        <v>86</v>
      </c>
      <c r="C8" s="23">
        <v>0</v>
      </c>
      <c r="D8" s="23">
        <v>0</v>
      </c>
      <c r="E8" s="23">
        <v>0</v>
      </c>
    </row>
    <row r="9" spans="1:19" ht="23.1" customHeight="1">
      <c r="A9" s="21" t="s">
        <v>87</v>
      </c>
      <c r="B9" s="21" t="s">
        <v>88</v>
      </c>
      <c r="C9" s="23">
        <v>2693035742</v>
      </c>
      <c r="D9" s="23">
        <v>14.73</v>
      </c>
      <c r="E9" s="23">
        <v>0.47</v>
      </c>
    </row>
    <row r="10" spans="1:19" ht="23.1" customHeight="1">
      <c r="A10" s="21" t="s">
        <v>89</v>
      </c>
      <c r="B10" s="21" t="s">
        <v>90</v>
      </c>
      <c r="C10" s="23">
        <v>862008245</v>
      </c>
      <c r="D10" s="23">
        <v>4.72</v>
      </c>
      <c r="E10" s="23">
        <v>0.15</v>
      </c>
    </row>
    <row r="11" spans="1:19" ht="23.1" customHeight="1">
      <c r="A11" s="21" t="s">
        <v>60</v>
      </c>
      <c r="B11" s="21"/>
      <c r="C11" s="23">
        <v>18276589153</v>
      </c>
      <c r="D11" s="23">
        <v>100</v>
      </c>
      <c r="E11" s="23">
        <v>3.19</v>
      </c>
    </row>
    <row r="12" spans="1:19" ht="23.1" customHeight="1">
      <c r="A12" s="35" t="s">
        <v>61</v>
      </c>
      <c r="B12" s="36"/>
      <c r="C12" s="25"/>
      <c r="D12" s="25"/>
      <c r="E12" s="3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</sheetData>
  <mergeCells count="4">
    <mergeCell ref="A4:S4"/>
    <mergeCell ref="A1:D1"/>
    <mergeCell ref="A2:D2"/>
    <mergeCell ref="A3:D3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M65"/>
  <sheetViews>
    <sheetView rightToLeft="1" view="pageBreakPreview" topLeftCell="A52" zoomScale="145" zoomScaleNormal="145" zoomScaleSheetLayoutView="145" workbookViewId="0">
      <selection activeCell="G63" sqref="G63"/>
    </sheetView>
  </sheetViews>
  <sheetFormatPr defaultColWidth="9" defaultRowHeight="15.75"/>
  <cols>
    <col min="1" max="1" width="31.7109375" style="9" customWidth="1"/>
    <col min="2" max="2" width="16.5703125" style="9" customWidth="1"/>
    <col min="3" max="3" width="23.5703125" style="9" customWidth="1"/>
    <col min="4" max="4" width="16.7109375" style="9" customWidth="1"/>
    <col min="5" max="5" width="14.42578125" style="9" customWidth="1"/>
    <col min="6" max="6" width="13" style="9" customWidth="1"/>
    <col min="7" max="7" width="16" style="9" customWidth="1"/>
    <col min="8" max="8" width="14.85546875" style="9" customWidth="1"/>
    <col min="9" max="9" width="13" style="9" customWidth="1"/>
    <col min="10" max="10" width="16" style="9" customWidth="1"/>
    <col min="11" max="13" width="13" style="9" customWidth="1"/>
    <col min="14" max="14" width="9" style="9" customWidth="1"/>
    <col min="15" max="16384" width="9" style="9"/>
  </cols>
  <sheetData>
    <row r="1" spans="1:13" ht="21">
      <c r="A1" s="55" t="s">
        <v>1</v>
      </c>
      <c r="B1" s="55"/>
      <c r="C1" s="55"/>
      <c r="D1" s="55"/>
      <c r="E1" s="55"/>
      <c r="F1" s="55"/>
      <c r="G1" s="55"/>
      <c r="H1" s="55"/>
      <c r="I1" s="55"/>
      <c r="J1" s="55"/>
    </row>
    <row r="2" spans="1:13" ht="21">
      <c r="A2" s="55" t="s">
        <v>74</v>
      </c>
      <c r="B2" s="55"/>
      <c r="C2" s="55"/>
      <c r="D2" s="55"/>
      <c r="E2" s="55"/>
      <c r="F2" s="55"/>
      <c r="G2" s="55"/>
      <c r="H2" s="55"/>
      <c r="I2" s="55"/>
      <c r="J2" s="55"/>
    </row>
    <row r="3" spans="1:13" ht="21">
      <c r="A3" s="55" t="s">
        <v>7</v>
      </c>
      <c r="B3" s="55"/>
      <c r="C3" s="55"/>
      <c r="D3" s="55"/>
      <c r="E3" s="55"/>
      <c r="F3" s="55"/>
      <c r="G3" s="55"/>
      <c r="H3" s="55"/>
      <c r="I3" s="55"/>
      <c r="J3" s="55"/>
    </row>
    <row r="4" spans="1:13" ht="18.75">
      <c r="A4" s="80" t="s">
        <v>91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spans="1:13" ht="16.5" customHeight="1">
      <c r="A5" s="26"/>
      <c r="B5" s="76" t="s">
        <v>92</v>
      </c>
      <c r="C5" s="77"/>
      <c r="D5" s="77"/>
      <c r="E5" s="83" t="s">
        <v>93</v>
      </c>
      <c r="F5" s="83"/>
      <c r="G5" s="83"/>
      <c r="H5" s="83" t="s">
        <v>94</v>
      </c>
      <c r="I5" s="83"/>
      <c r="J5" s="83"/>
      <c r="K5" s="8"/>
      <c r="L5" s="8"/>
      <c r="M5" s="8"/>
    </row>
    <row r="6" spans="1:13" s="6" customFormat="1" ht="47.25" customHeight="1">
      <c r="A6" s="15" t="s">
        <v>62</v>
      </c>
      <c r="B6" s="15" t="s">
        <v>95</v>
      </c>
      <c r="C6" s="15" t="s">
        <v>96</v>
      </c>
      <c r="D6" s="15" t="s">
        <v>97</v>
      </c>
      <c r="E6" s="15" t="s">
        <v>98</v>
      </c>
      <c r="F6" s="15" t="s">
        <v>99</v>
      </c>
      <c r="G6" s="15" t="s">
        <v>100</v>
      </c>
      <c r="H6" s="15" t="s">
        <v>98</v>
      </c>
      <c r="I6" s="15" t="s">
        <v>99</v>
      </c>
      <c r="J6" s="15" t="s">
        <v>100</v>
      </c>
    </row>
    <row r="7" spans="1:13" ht="23.1" customHeight="1">
      <c r="A7" s="21" t="s">
        <v>101</v>
      </c>
      <c r="B7" s="24" t="s">
        <v>102</v>
      </c>
      <c r="C7" s="23">
        <v>137103</v>
      </c>
      <c r="D7" s="23">
        <v>9120</v>
      </c>
      <c r="E7" s="23">
        <v>0</v>
      </c>
      <c r="F7" s="23">
        <v>0</v>
      </c>
      <c r="G7" s="23">
        <v>0</v>
      </c>
      <c r="H7" s="23">
        <v>1250379360</v>
      </c>
      <c r="I7" s="23">
        <v>0</v>
      </c>
      <c r="J7" s="23">
        <v>1250379360</v>
      </c>
    </row>
    <row r="8" spans="1:13" ht="23.1" customHeight="1">
      <c r="A8" s="21" t="s">
        <v>103</v>
      </c>
      <c r="B8" s="24" t="s">
        <v>104</v>
      </c>
      <c r="C8" s="23">
        <v>411</v>
      </c>
      <c r="D8" s="23">
        <v>285</v>
      </c>
      <c r="E8" s="23">
        <v>0</v>
      </c>
      <c r="F8" s="23">
        <v>0</v>
      </c>
      <c r="G8" s="23">
        <v>0</v>
      </c>
      <c r="H8" s="23">
        <v>117135</v>
      </c>
      <c r="I8" s="23">
        <v>0</v>
      </c>
      <c r="J8" s="23">
        <v>117135</v>
      </c>
    </row>
    <row r="9" spans="1:13" ht="23.1" customHeight="1">
      <c r="A9" s="21" t="s">
        <v>105</v>
      </c>
      <c r="B9" s="24" t="s">
        <v>106</v>
      </c>
      <c r="C9" s="23">
        <v>212091</v>
      </c>
      <c r="D9" s="23">
        <v>20</v>
      </c>
      <c r="E9" s="23">
        <v>0</v>
      </c>
      <c r="F9" s="23">
        <v>0</v>
      </c>
      <c r="G9" s="23">
        <v>0</v>
      </c>
      <c r="H9" s="23">
        <v>4241820</v>
      </c>
      <c r="I9" s="23">
        <v>0</v>
      </c>
      <c r="J9" s="23">
        <v>4241820</v>
      </c>
    </row>
    <row r="10" spans="1:13" ht="23.1" customHeight="1">
      <c r="A10" s="21" t="s">
        <v>107</v>
      </c>
      <c r="B10" s="24" t="s">
        <v>108</v>
      </c>
      <c r="C10" s="23">
        <v>195474</v>
      </c>
      <c r="D10" s="23">
        <v>1025</v>
      </c>
      <c r="E10" s="23">
        <v>0</v>
      </c>
      <c r="F10" s="23">
        <v>0</v>
      </c>
      <c r="G10" s="23">
        <v>0</v>
      </c>
      <c r="H10" s="23">
        <v>200360850</v>
      </c>
      <c r="I10" s="23">
        <v>0</v>
      </c>
      <c r="J10" s="23">
        <v>200360850</v>
      </c>
    </row>
    <row r="11" spans="1:13" ht="23.1" customHeight="1">
      <c r="A11" s="21" t="s">
        <v>30</v>
      </c>
      <c r="B11" s="24" t="s">
        <v>108</v>
      </c>
      <c r="C11" s="23">
        <v>39138</v>
      </c>
      <c r="D11" s="23">
        <v>10000</v>
      </c>
      <c r="E11" s="23">
        <v>0</v>
      </c>
      <c r="F11" s="23">
        <v>0</v>
      </c>
      <c r="G11" s="23">
        <v>0</v>
      </c>
      <c r="H11" s="23">
        <v>391380000</v>
      </c>
      <c r="I11" s="23">
        <v>0</v>
      </c>
      <c r="J11" s="23">
        <v>391380000</v>
      </c>
    </row>
    <row r="12" spans="1:13" ht="23.1" customHeight="1">
      <c r="A12" s="21" t="s">
        <v>109</v>
      </c>
      <c r="B12" s="24" t="s">
        <v>110</v>
      </c>
      <c r="C12" s="23">
        <v>532869</v>
      </c>
      <c r="D12" s="23">
        <v>637</v>
      </c>
      <c r="E12" s="23">
        <v>0</v>
      </c>
      <c r="F12" s="23">
        <v>0</v>
      </c>
      <c r="G12" s="23">
        <v>0</v>
      </c>
      <c r="H12" s="23">
        <v>339437553</v>
      </c>
      <c r="I12" s="23">
        <v>0</v>
      </c>
      <c r="J12" s="23">
        <v>339437553</v>
      </c>
    </row>
    <row r="13" spans="1:13" ht="23.1" customHeight="1">
      <c r="A13" s="21" t="s">
        <v>111</v>
      </c>
      <c r="B13" s="24" t="s">
        <v>112</v>
      </c>
      <c r="C13" s="23">
        <v>5281023</v>
      </c>
      <c r="D13" s="23">
        <v>40</v>
      </c>
      <c r="E13" s="23">
        <v>0</v>
      </c>
      <c r="F13" s="23">
        <v>0</v>
      </c>
      <c r="G13" s="23">
        <v>0</v>
      </c>
      <c r="H13" s="23">
        <v>211240920</v>
      </c>
      <c r="I13" s="23">
        <v>0</v>
      </c>
      <c r="J13" s="23">
        <v>211240920</v>
      </c>
    </row>
    <row r="14" spans="1:13" ht="23.1" customHeight="1">
      <c r="A14" s="21" t="s">
        <v>113</v>
      </c>
      <c r="B14" s="24" t="s">
        <v>114</v>
      </c>
      <c r="C14" s="23">
        <v>165309</v>
      </c>
      <c r="D14" s="23">
        <v>2000</v>
      </c>
      <c r="E14" s="23">
        <v>0</v>
      </c>
      <c r="F14" s="23">
        <v>0</v>
      </c>
      <c r="G14" s="23">
        <v>0</v>
      </c>
      <c r="H14" s="23">
        <v>330618000</v>
      </c>
      <c r="I14" s="23">
        <v>0</v>
      </c>
      <c r="J14" s="23">
        <v>330618000</v>
      </c>
    </row>
    <row r="15" spans="1:13" ht="23.1" customHeight="1">
      <c r="A15" s="21" t="s">
        <v>115</v>
      </c>
      <c r="B15" s="24" t="s">
        <v>116</v>
      </c>
      <c r="C15" s="23">
        <v>263826</v>
      </c>
      <c r="D15" s="23">
        <v>1430</v>
      </c>
      <c r="E15" s="23">
        <v>0</v>
      </c>
      <c r="F15" s="23">
        <v>0</v>
      </c>
      <c r="G15" s="23">
        <v>0</v>
      </c>
      <c r="H15" s="23">
        <v>377271180</v>
      </c>
      <c r="I15" s="23">
        <v>0</v>
      </c>
      <c r="J15" s="23">
        <v>377271180</v>
      </c>
    </row>
    <row r="16" spans="1:13" ht="23.1" customHeight="1">
      <c r="A16" s="21" t="s">
        <v>117</v>
      </c>
      <c r="B16" s="24" t="s">
        <v>118</v>
      </c>
      <c r="C16" s="23">
        <v>1046788</v>
      </c>
      <c r="D16" s="23">
        <v>110</v>
      </c>
      <c r="E16" s="23">
        <v>0</v>
      </c>
      <c r="F16" s="23">
        <v>0</v>
      </c>
      <c r="G16" s="23">
        <v>0</v>
      </c>
      <c r="H16" s="23">
        <v>115146680</v>
      </c>
      <c r="I16" s="23">
        <v>0</v>
      </c>
      <c r="J16" s="23">
        <v>115146680</v>
      </c>
    </row>
    <row r="17" spans="1:10" ht="23.1" customHeight="1">
      <c r="A17" s="21" t="s">
        <v>35</v>
      </c>
      <c r="B17" s="24" t="s">
        <v>119</v>
      </c>
      <c r="C17" s="23">
        <v>2374690</v>
      </c>
      <c r="D17" s="23">
        <v>240</v>
      </c>
      <c r="E17" s="23">
        <v>0</v>
      </c>
      <c r="F17" s="23">
        <v>0</v>
      </c>
      <c r="G17" s="23">
        <v>0</v>
      </c>
      <c r="H17" s="23">
        <v>569925600</v>
      </c>
      <c r="I17" s="23">
        <v>0</v>
      </c>
      <c r="J17" s="23">
        <v>569925600</v>
      </c>
    </row>
    <row r="18" spans="1:10" ht="23.1" customHeight="1">
      <c r="A18" s="21" t="s">
        <v>120</v>
      </c>
      <c r="B18" s="24" t="s">
        <v>121</v>
      </c>
      <c r="C18" s="23">
        <v>142765</v>
      </c>
      <c r="D18" s="23">
        <v>12050</v>
      </c>
      <c r="E18" s="23">
        <v>0</v>
      </c>
      <c r="F18" s="23">
        <v>0</v>
      </c>
      <c r="G18" s="23">
        <v>0</v>
      </c>
      <c r="H18" s="23">
        <v>1720318250</v>
      </c>
      <c r="I18" s="23">
        <v>0</v>
      </c>
      <c r="J18" s="23">
        <v>1720318250</v>
      </c>
    </row>
    <row r="19" spans="1:10" ht="23.1" customHeight="1">
      <c r="A19" s="21" t="s">
        <v>38</v>
      </c>
      <c r="B19" s="24" t="s">
        <v>121</v>
      </c>
      <c r="C19" s="23">
        <v>3039634</v>
      </c>
      <c r="D19" s="23">
        <v>380</v>
      </c>
      <c r="E19" s="23">
        <v>0</v>
      </c>
      <c r="F19" s="23">
        <v>0</v>
      </c>
      <c r="G19" s="23">
        <v>0</v>
      </c>
      <c r="H19" s="23">
        <v>1155060920</v>
      </c>
      <c r="I19" s="23">
        <v>0</v>
      </c>
      <c r="J19" s="23">
        <v>1155060920</v>
      </c>
    </row>
    <row r="20" spans="1:10" ht="23.1" customHeight="1">
      <c r="A20" s="21" t="s">
        <v>42</v>
      </c>
      <c r="B20" s="24" t="s">
        <v>121</v>
      </c>
      <c r="C20" s="23">
        <v>3577172</v>
      </c>
      <c r="D20" s="23">
        <v>310</v>
      </c>
      <c r="E20" s="23">
        <v>0</v>
      </c>
      <c r="F20" s="23">
        <v>0</v>
      </c>
      <c r="G20" s="23">
        <v>0</v>
      </c>
      <c r="H20" s="23">
        <v>1108923320</v>
      </c>
      <c r="I20" s="23">
        <v>0</v>
      </c>
      <c r="J20" s="23">
        <v>1108923320</v>
      </c>
    </row>
    <row r="21" spans="1:10" ht="23.1" customHeight="1">
      <c r="A21" s="21" t="s">
        <v>122</v>
      </c>
      <c r="B21" s="24" t="s">
        <v>123</v>
      </c>
      <c r="C21" s="23">
        <v>262907</v>
      </c>
      <c r="D21" s="23">
        <v>700</v>
      </c>
      <c r="E21" s="23">
        <v>0</v>
      </c>
      <c r="F21" s="23">
        <v>0</v>
      </c>
      <c r="G21" s="23">
        <v>0</v>
      </c>
      <c r="H21" s="23">
        <v>184034900</v>
      </c>
      <c r="I21" s="23">
        <v>0</v>
      </c>
      <c r="J21" s="23">
        <v>184034900</v>
      </c>
    </row>
    <row r="22" spans="1:10" ht="23.1" customHeight="1">
      <c r="A22" s="21" t="s">
        <v>124</v>
      </c>
      <c r="B22" s="24" t="s">
        <v>123</v>
      </c>
      <c r="C22" s="23">
        <v>116842</v>
      </c>
      <c r="D22" s="23">
        <v>4200</v>
      </c>
      <c r="E22" s="23">
        <v>0</v>
      </c>
      <c r="F22" s="23">
        <v>0</v>
      </c>
      <c r="G22" s="23">
        <v>0</v>
      </c>
      <c r="H22" s="23">
        <v>490736400</v>
      </c>
      <c r="I22" s="23">
        <v>0</v>
      </c>
      <c r="J22" s="23">
        <v>490736400</v>
      </c>
    </row>
    <row r="23" spans="1:10" ht="23.1" customHeight="1">
      <c r="A23" s="21" t="s">
        <v>125</v>
      </c>
      <c r="B23" s="24" t="s">
        <v>123</v>
      </c>
      <c r="C23" s="23">
        <v>239981</v>
      </c>
      <c r="D23" s="23">
        <v>1000</v>
      </c>
      <c r="E23" s="23">
        <v>0</v>
      </c>
      <c r="F23" s="23">
        <v>0</v>
      </c>
      <c r="G23" s="23">
        <v>0</v>
      </c>
      <c r="H23" s="23">
        <v>239981000</v>
      </c>
      <c r="I23" s="23">
        <v>0</v>
      </c>
      <c r="J23" s="23">
        <v>239981000</v>
      </c>
    </row>
    <row r="24" spans="1:10" ht="23.1" customHeight="1">
      <c r="A24" s="21" t="s">
        <v>51</v>
      </c>
      <c r="B24" s="24" t="s">
        <v>123</v>
      </c>
      <c r="C24" s="23">
        <v>185793</v>
      </c>
      <c r="D24" s="23">
        <v>1997</v>
      </c>
      <c r="E24" s="23">
        <v>0</v>
      </c>
      <c r="F24" s="23">
        <v>0</v>
      </c>
      <c r="G24" s="23">
        <v>0</v>
      </c>
      <c r="H24" s="23">
        <v>371028621</v>
      </c>
      <c r="I24" s="23">
        <v>0</v>
      </c>
      <c r="J24" s="23">
        <v>371028621</v>
      </c>
    </row>
    <row r="25" spans="1:10" ht="23.1" customHeight="1">
      <c r="A25" s="21" t="s">
        <v>46</v>
      </c>
      <c r="B25" s="24" t="s">
        <v>126</v>
      </c>
      <c r="C25" s="23">
        <v>2890877</v>
      </c>
      <c r="D25" s="23">
        <v>170</v>
      </c>
      <c r="E25" s="23">
        <v>0</v>
      </c>
      <c r="F25" s="23">
        <v>0</v>
      </c>
      <c r="G25" s="23">
        <v>0</v>
      </c>
      <c r="H25" s="23">
        <v>491449090</v>
      </c>
      <c r="I25" s="23">
        <v>0</v>
      </c>
      <c r="J25" s="23">
        <v>491449090</v>
      </c>
    </row>
    <row r="26" spans="1:10" ht="23.1" customHeight="1">
      <c r="A26" s="21" t="s">
        <v>127</v>
      </c>
      <c r="B26" s="24" t="s">
        <v>126</v>
      </c>
      <c r="C26" s="23">
        <v>96004</v>
      </c>
      <c r="D26" s="23">
        <v>8363</v>
      </c>
      <c r="E26" s="23">
        <v>0</v>
      </c>
      <c r="F26" s="23">
        <v>0</v>
      </c>
      <c r="G26" s="23">
        <v>0</v>
      </c>
      <c r="H26" s="23">
        <v>802881452</v>
      </c>
      <c r="I26" s="23">
        <v>0</v>
      </c>
      <c r="J26" s="23">
        <v>802881452</v>
      </c>
    </row>
    <row r="27" spans="1:10" ht="23.1" customHeight="1">
      <c r="A27" s="21" t="s">
        <v>128</v>
      </c>
      <c r="B27" s="24" t="s">
        <v>129</v>
      </c>
      <c r="C27" s="23">
        <v>588938</v>
      </c>
      <c r="D27" s="23">
        <v>500</v>
      </c>
      <c r="E27" s="23">
        <v>0</v>
      </c>
      <c r="F27" s="23">
        <v>0</v>
      </c>
      <c r="G27" s="23">
        <v>0</v>
      </c>
      <c r="H27" s="23">
        <v>294469000</v>
      </c>
      <c r="I27" s="23">
        <v>0</v>
      </c>
      <c r="J27" s="23">
        <v>294469000</v>
      </c>
    </row>
    <row r="28" spans="1:10" ht="23.1" customHeight="1">
      <c r="A28" s="21" t="s">
        <v>29</v>
      </c>
      <c r="B28" s="24" t="s">
        <v>129</v>
      </c>
      <c r="C28" s="23">
        <v>3835211</v>
      </c>
      <c r="D28" s="23">
        <v>360</v>
      </c>
      <c r="E28" s="23">
        <v>0</v>
      </c>
      <c r="F28" s="23">
        <v>0</v>
      </c>
      <c r="G28" s="23">
        <v>0</v>
      </c>
      <c r="H28" s="23">
        <v>1380675960</v>
      </c>
      <c r="I28" s="23">
        <v>0</v>
      </c>
      <c r="J28" s="23">
        <v>1380675960</v>
      </c>
    </row>
    <row r="29" spans="1:10" ht="23.1" customHeight="1">
      <c r="A29" s="21" t="s">
        <v>130</v>
      </c>
      <c r="B29" s="24" t="s">
        <v>129</v>
      </c>
      <c r="C29" s="23">
        <v>1073406</v>
      </c>
      <c r="D29" s="23">
        <v>357</v>
      </c>
      <c r="E29" s="23">
        <v>0</v>
      </c>
      <c r="F29" s="23">
        <v>0</v>
      </c>
      <c r="G29" s="23">
        <v>0</v>
      </c>
      <c r="H29" s="23">
        <v>383205942</v>
      </c>
      <c r="I29" s="23">
        <v>0</v>
      </c>
      <c r="J29" s="23">
        <v>383205942</v>
      </c>
    </row>
    <row r="30" spans="1:10" ht="23.1" customHeight="1">
      <c r="A30" s="21" t="s">
        <v>131</v>
      </c>
      <c r="B30" s="24" t="s">
        <v>129</v>
      </c>
      <c r="C30" s="23">
        <v>333350</v>
      </c>
      <c r="D30" s="23">
        <v>2000</v>
      </c>
      <c r="E30" s="23">
        <v>0</v>
      </c>
      <c r="F30" s="23">
        <v>0</v>
      </c>
      <c r="G30" s="23">
        <v>0</v>
      </c>
      <c r="H30" s="23">
        <v>666700000</v>
      </c>
      <c r="I30" s="23">
        <v>0</v>
      </c>
      <c r="J30" s="23">
        <v>666700000</v>
      </c>
    </row>
    <row r="31" spans="1:10" ht="23.1" customHeight="1">
      <c r="A31" s="21" t="s">
        <v>23</v>
      </c>
      <c r="B31" s="24" t="s">
        <v>129</v>
      </c>
      <c r="C31" s="23">
        <v>1899810</v>
      </c>
      <c r="D31" s="23">
        <v>34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</row>
    <row r="32" spans="1:10" ht="23.1" customHeight="1">
      <c r="A32" s="21" t="s">
        <v>132</v>
      </c>
      <c r="B32" s="24" t="s">
        <v>133</v>
      </c>
      <c r="C32" s="23">
        <v>346358</v>
      </c>
      <c r="D32" s="23">
        <v>165</v>
      </c>
      <c r="E32" s="23">
        <v>0</v>
      </c>
      <c r="F32" s="23">
        <v>0</v>
      </c>
      <c r="G32" s="23">
        <v>0</v>
      </c>
      <c r="H32" s="23">
        <v>57149070</v>
      </c>
      <c r="I32" s="23">
        <v>0</v>
      </c>
      <c r="J32" s="23">
        <v>57149070</v>
      </c>
    </row>
    <row r="33" spans="1:10" ht="23.1" customHeight="1">
      <c r="A33" s="21" t="s">
        <v>39</v>
      </c>
      <c r="B33" s="24" t="s">
        <v>133</v>
      </c>
      <c r="C33" s="23">
        <v>7434657</v>
      </c>
      <c r="D33" s="23">
        <v>90</v>
      </c>
      <c r="E33" s="23">
        <v>0</v>
      </c>
      <c r="F33" s="23">
        <v>0</v>
      </c>
      <c r="G33" s="23">
        <v>0</v>
      </c>
      <c r="H33" s="23">
        <v>669119130</v>
      </c>
      <c r="I33" s="23">
        <v>0</v>
      </c>
      <c r="J33" s="23">
        <v>669119130</v>
      </c>
    </row>
    <row r="34" spans="1:10" ht="23.1" customHeight="1">
      <c r="A34" s="21" t="s">
        <v>48</v>
      </c>
      <c r="B34" s="24" t="s">
        <v>133</v>
      </c>
      <c r="C34" s="23">
        <v>361576</v>
      </c>
      <c r="D34" s="23">
        <v>800</v>
      </c>
      <c r="E34" s="23">
        <v>0</v>
      </c>
      <c r="F34" s="23">
        <v>0</v>
      </c>
      <c r="G34" s="23">
        <v>0</v>
      </c>
      <c r="H34" s="23">
        <v>289260800</v>
      </c>
      <c r="I34" s="23">
        <v>0</v>
      </c>
      <c r="J34" s="23">
        <v>289260800</v>
      </c>
    </row>
    <row r="35" spans="1:10" ht="23.1" customHeight="1">
      <c r="A35" s="21" t="s">
        <v>134</v>
      </c>
      <c r="B35" s="24" t="s">
        <v>133</v>
      </c>
      <c r="C35" s="23">
        <v>530</v>
      </c>
      <c r="D35" s="23">
        <v>160</v>
      </c>
      <c r="E35" s="23">
        <v>0</v>
      </c>
      <c r="F35" s="23">
        <v>0</v>
      </c>
      <c r="G35" s="23">
        <v>0</v>
      </c>
      <c r="H35" s="23">
        <v>84800</v>
      </c>
      <c r="I35" s="23">
        <v>0</v>
      </c>
      <c r="J35" s="23">
        <v>84800</v>
      </c>
    </row>
    <row r="36" spans="1:10" ht="23.1" customHeight="1">
      <c r="A36" s="21" t="s">
        <v>28</v>
      </c>
      <c r="B36" s="24" t="s">
        <v>133</v>
      </c>
      <c r="C36" s="23">
        <v>6537658</v>
      </c>
      <c r="D36" s="23">
        <v>11</v>
      </c>
      <c r="E36" s="23">
        <v>0</v>
      </c>
      <c r="F36" s="23">
        <v>0</v>
      </c>
      <c r="G36" s="23">
        <v>0</v>
      </c>
      <c r="H36" s="23">
        <v>71914238</v>
      </c>
      <c r="I36" s="23">
        <v>0</v>
      </c>
      <c r="J36" s="23">
        <v>71914238</v>
      </c>
    </row>
    <row r="37" spans="1:10" ht="23.1" customHeight="1">
      <c r="A37" s="21" t="s">
        <v>43</v>
      </c>
      <c r="B37" s="24" t="s">
        <v>133</v>
      </c>
      <c r="C37" s="23">
        <v>6741320</v>
      </c>
      <c r="D37" s="23">
        <v>370</v>
      </c>
      <c r="E37" s="23">
        <v>0</v>
      </c>
      <c r="F37" s="23">
        <v>0</v>
      </c>
      <c r="G37" s="23">
        <v>0</v>
      </c>
      <c r="H37" s="23">
        <v>2494288400</v>
      </c>
      <c r="I37" s="23">
        <v>0</v>
      </c>
      <c r="J37" s="23">
        <v>2494288400</v>
      </c>
    </row>
    <row r="38" spans="1:10" ht="23.1" customHeight="1">
      <c r="A38" s="21" t="s">
        <v>47</v>
      </c>
      <c r="B38" s="24" t="s">
        <v>135</v>
      </c>
      <c r="C38" s="23">
        <v>1039131</v>
      </c>
      <c r="D38" s="23">
        <v>2223</v>
      </c>
      <c r="E38" s="23">
        <v>0</v>
      </c>
      <c r="F38" s="23">
        <v>0</v>
      </c>
      <c r="G38" s="23">
        <v>0</v>
      </c>
      <c r="H38" s="23">
        <v>2309988213</v>
      </c>
      <c r="I38" s="23">
        <v>0</v>
      </c>
      <c r="J38" s="23">
        <v>2309988213</v>
      </c>
    </row>
    <row r="39" spans="1:10" ht="23.1" customHeight="1">
      <c r="A39" s="21" t="s">
        <v>24</v>
      </c>
      <c r="B39" s="24" t="s">
        <v>136</v>
      </c>
      <c r="C39" s="23">
        <v>401939</v>
      </c>
      <c r="D39" s="23">
        <v>3400</v>
      </c>
      <c r="E39" s="23">
        <v>0</v>
      </c>
      <c r="F39" s="23">
        <v>0</v>
      </c>
      <c r="G39" s="23">
        <v>0</v>
      </c>
      <c r="H39" s="23">
        <v>1366592600</v>
      </c>
      <c r="I39" s="23">
        <v>0</v>
      </c>
      <c r="J39" s="23">
        <v>1366592600</v>
      </c>
    </row>
    <row r="40" spans="1:10" ht="23.1" customHeight="1">
      <c r="A40" s="21" t="s">
        <v>41</v>
      </c>
      <c r="B40" s="24" t="s">
        <v>136</v>
      </c>
      <c r="C40" s="23">
        <v>1205960</v>
      </c>
      <c r="D40" s="23">
        <v>936</v>
      </c>
      <c r="E40" s="23">
        <v>0</v>
      </c>
      <c r="F40" s="23">
        <v>0</v>
      </c>
      <c r="G40" s="23">
        <v>0</v>
      </c>
      <c r="H40" s="23">
        <v>1128778560</v>
      </c>
      <c r="I40" s="23">
        <v>0</v>
      </c>
      <c r="J40" s="23">
        <v>1128778560</v>
      </c>
    </row>
    <row r="41" spans="1:10" ht="23.1" customHeight="1">
      <c r="A41" s="21" t="s">
        <v>137</v>
      </c>
      <c r="B41" s="24" t="s">
        <v>138</v>
      </c>
      <c r="C41" s="23">
        <v>94343</v>
      </c>
      <c r="D41" s="23">
        <v>4984</v>
      </c>
      <c r="E41" s="23">
        <v>0</v>
      </c>
      <c r="F41" s="23">
        <v>0</v>
      </c>
      <c r="G41" s="23">
        <v>0</v>
      </c>
      <c r="H41" s="23">
        <v>470205512</v>
      </c>
      <c r="I41" s="23">
        <v>0</v>
      </c>
      <c r="J41" s="23">
        <v>470205512</v>
      </c>
    </row>
    <row r="42" spans="1:10" ht="23.1" customHeight="1">
      <c r="A42" s="21" t="s">
        <v>55</v>
      </c>
      <c r="B42" s="24" t="s">
        <v>139</v>
      </c>
      <c r="C42" s="23">
        <v>6683985</v>
      </c>
      <c r="D42" s="23">
        <v>190</v>
      </c>
      <c r="E42" s="23">
        <v>0</v>
      </c>
      <c r="F42" s="23">
        <v>0</v>
      </c>
      <c r="G42" s="23">
        <v>0</v>
      </c>
      <c r="H42" s="23">
        <v>1269957150</v>
      </c>
      <c r="I42" s="23">
        <v>0</v>
      </c>
      <c r="J42" s="23">
        <v>1269957150</v>
      </c>
    </row>
    <row r="43" spans="1:10" ht="23.1" customHeight="1">
      <c r="A43" s="21" t="s">
        <v>140</v>
      </c>
      <c r="B43" s="24" t="s">
        <v>139</v>
      </c>
      <c r="C43" s="23">
        <v>266374</v>
      </c>
      <c r="D43" s="23">
        <v>2390</v>
      </c>
      <c r="E43" s="23">
        <v>0</v>
      </c>
      <c r="F43" s="23">
        <v>0</v>
      </c>
      <c r="G43" s="23">
        <v>0</v>
      </c>
      <c r="H43" s="23">
        <v>636633860</v>
      </c>
      <c r="I43" s="23">
        <v>0</v>
      </c>
      <c r="J43" s="23">
        <v>636633860</v>
      </c>
    </row>
    <row r="44" spans="1:10" ht="23.1" customHeight="1">
      <c r="A44" s="21" t="s">
        <v>33</v>
      </c>
      <c r="B44" s="24" t="s">
        <v>141</v>
      </c>
      <c r="C44" s="23">
        <v>10781867</v>
      </c>
      <c r="D44" s="23">
        <v>280</v>
      </c>
      <c r="E44" s="23">
        <v>0</v>
      </c>
      <c r="F44" s="23">
        <v>0</v>
      </c>
      <c r="G44" s="23">
        <v>0</v>
      </c>
      <c r="H44" s="23">
        <v>3018922760</v>
      </c>
      <c r="I44" s="23">
        <v>0</v>
      </c>
      <c r="J44" s="23">
        <v>3018922760</v>
      </c>
    </row>
    <row r="45" spans="1:10" ht="23.1" customHeight="1">
      <c r="A45" s="21" t="s">
        <v>142</v>
      </c>
      <c r="B45" s="24" t="s">
        <v>141</v>
      </c>
      <c r="C45" s="23">
        <v>1103257</v>
      </c>
      <c r="D45" s="23">
        <v>142</v>
      </c>
      <c r="E45" s="23">
        <v>0</v>
      </c>
      <c r="F45" s="23">
        <v>0</v>
      </c>
      <c r="G45" s="23">
        <v>0</v>
      </c>
      <c r="H45" s="23">
        <v>156662494</v>
      </c>
      <c r="I45" s="23">
        <v>0</v>
      </c>
      <c r="J45" s="23">
        <v>156662494</v>
      </c>
    </row>
    <row r="46" spans="1:10" ht="23.1" customHeight="1">
      <c r="A46" s="21" t="s">
        <v>143</v>
      </c>
      <c r="B46" s="24" t="s">
        <v>144</v>
      </c>
      <c r="C46" s="23">
        <v>663377</v>
      </c>
      <c r="D46" s="23">
        <v>320</v>
      </c>
      <c r="E46" s="23">
        <v>0</v>
      </c>
      <c r="F46" s="23">
        <v>0</v>
      </c>
      <c r="G46" s="23">
        <v>0</v>
      </c>
      <c r="H46" s="23">
        <v>212280640</v>
      </c>
      <c r="I46" s="23">
        <v>0</v>
      </c>
      <c r="J46" s="23">
        <v>212280640</v>
      </c>
    </row>
    <row r="47" spans="1:10" ht="23.1" customHeight="1">
      <c r="A47" s="21" t="s">
        <v>145</v>
      </c>
      <c r="B47" s="24" t="s">
        <v>146</v>
      </c>
      <c r="C47" s="23">
        <v>154440</v>
      </c>
      <c r="D47" s="23">
        <v>2350</v>
      </c>
      <c r="E47" s="23">
        <v>0</v>
      </c>
      <c r="F47" s="23">
        <v>0</v>
      </c>
      <c r="G47" s="23">
        <v>0</v>
      </c>
      <c r="H47" s="23">
        <v>362934000</v>
      </c>
      <c r="I47" s="23">
        <v>0</v>
      </c>
      <c r="J47" s="23">
        <v>362934000</v>
      </c>
    </row>
    <row r="48" spans="1:10" ht="23.1" customHeight="1">
      <c r="A48" s="21" t="s">
        <v>31</v>
      </c>
      <c r="B48" s="24" t="s">
        <v>147</v>
      </c>
      <c r="C48" s="23">
        <v>40106</v>
      </c>
      <c r="D48" s="23">
        <v>38000</v>
      </c>
      <c r="E48" s="23">
        <v>0</v>
      </c>
      <c r="F48" s="23">
        <v>0</v>
      </c>
      <c r="G48" s="23">
        <v>0</v>
      </c>
      <c r="H48" s="23">
        <v>1524028000</v>
      </c>
      <c r="I48" s="23">
        <v>0</v>
      </c>
      <c r="J48" s="23">
        <v>1524028000</v>
      </c>
    </row>
    <row r="49" spans="1:10" ht="23.1" customHeight="1">
      <c r="A49" s="21" t="s">
        <v>50</v>
      </c>
      <c r="B49" s="24" t="s">
        <v>148</v>
      </c>
      <c r="C49" s="23">
        <v>655469</v>
      </c>
      <c r="D49" s="23">
        <v>2000</v>
      </c>
      <c r="E49" s="23">
        <v>0</v>
      </c>
      <c r="F49" s="23">
        <v>0</v>
      </c>
      <c r="G49" s="23">
        <v>0</v>
      </c>
      <c r="H49" s="23">
        <v>1310938000</v>
      </c>
      <c r="I49" s="23">
        <v>0</v>
      </c>
      <c r="J49" s="23">
        <v>1310938000</v>
      </c>
    </row>
    <row r="50" spans="1:10" ht="23.1" customHeight="1">
      <c r="A50" s="21" t="s">
        <v>25</v>
      </c>
      <c r="B50" s="24" t="s">
        <v>149</v>
      </c>
      <c r="C50" s="23">
        <v>771260</v>
      </c>
      <c r="D50" s="23">
        <v>1050</v>
      </c>
      <c r="E50" s="23">
        <v>0</v>
      </c>
      <c r="F50" s="23">
        <v>0</v>
      </c>
      <c r="G50" s="23">
        <v>0</v>
      </c>
      <c r="H50" s="23">
        <v>809823000</v>
      </c>
      <c r="I50" s="23">
        <v>0</v>
      </c>
      <c r="J50" s="23">
        <v>809823000</v>
      </c>
    </row>
    <row r="51" spans="1:10" ht="23.1" customHeight="1">
      <c r="A51" s="21" t="s">
        <v>40</v>
      </c>
      <c r="B51" s="24" t="s">
        <v>150</v>
      </c>
      <c r="C51" s="23">
        <v>602029</v>
      </c>
      <c r="D51" s="23">
        <v>620</v>
      </c>
      <c r="E51" s="23">
        <v>0</v>
      </c>
      <c r="F51" s="23">
        <v>0</v>
      </c>
      <c r="G51" s="23">
        <v>0</v>
      </c>
      <c r="H51" s="23">
        <v>373257980</v>
      </c>
      <c r="I51" s="23">
        <v>0</v>
      </c>
      <c r="J51" s="23">
        <v>373257980</v>
      </c>
    </row>
    <row r="52" spans="1:10" ht="23.1" customHeight="1">
      <c r="A52" s="21" t="s">
        <v>44</v>
      </c>
      <c r="B52" s="24" t="s">
        <v>151</v>
      </c>
      <c r="C52" s="23">
        <v>10331968</v>
      </c>
      <c r="D52" s="23">
        <v>510</v>
      </c>
      <c r="E52" s="23">
        <v>0</v>
      </c>
      <c r="F52" s="23">
        <v>0</v>
      </c>
      <c r="G52" s="23">
        <v>0</v>
      </c>
      <c r="H52" s="23">
        <v>5269303680</v>
      </c>
      <c r="I52" s="23">
        <v>0</v>
      </c>
      <c r="J52" s="23">
        <v>5269303680</v>
      </c>
    </row>
    <row r="53" spans="1:10" ht="23.1" customHeight="1">
      <c r="A53" s="21" t="s">
        <v>56</v>
      </c>
      <c r="B53" s="24" t="s">
        <v>151</v>
      </c>
      <c r="C53" s="23">
        <v>21743633</v>
      </c>
      <c r="D53" s="23">
        <v>190</v>
      </c>
      <c r="E53" s="23">
        <v>0</v>
      </c>
      <c r="F53" s="23">
        <v>0</v>
      </c>
      <c r="G53" s="23">
        <v>0</v>
      </c>
      <c r="H53" s="23">
        <v>4131290270</v>
      </c>
      <c r="I53" s="23">
        <v>0</v>
      </c>
      <c r="J53" s="23">
        <v>4131290270</v>
      </c>
    </row>
    <row r="54" spans="1:10" ht="23.1" customHeight="1">
      <c r="A54" s="21" t="s">
        <v>152</v>
      </c>
      <c r="B54" s="24" t="s">
        <v>153</v>
      </c>
      <c r="C54" s="23">
        <v>1267487</v>
      </c>
      <c r="D54" s="23">
        <v>330</v>
      </c>
      <c r="E54" s="23">
        <v>0</v>
      </c>
      <c r="F54" s="23">
        <v>0</v>
      </c>
      <c r="G54" s="23">
        <v>0</v>
      </c>
      <c r="H54" s="23">
        <v>418270710</v>
      </c>
      <c r="I54" s="23">
        <v>0</v>
      </c>
      <c r="J54" s="23">
        <v>418270710</v>
      </c>
    </row>
    <row r="55" spans="1:10" ht="23.1" customHeight="1">
      <c r="A55" s="21" t="s">
        <v>31</v>
      </c>
      <c r="B55" s="24" t="s">
        <v>154</v>
      </c>
      <c r="C55" s="23">
        <v>47177</v>
      </c>
      <c r="D55" s="23">
        <v>11000</v>
      </c>
      <c r="E55" s="23">
        <v>0</v>
      </c>
      <c r="F55" s="23">
        <v>0</v>
      </c>
      <c r="G55" s="23">
        <v>0</v>
      </c>
      <c r="H55" s="23">
        <v>518947000</v>
      </c>
      <c r="I55" s="23">
        <v>0</v>
      </c>
      <c r="J55" s="23">
        <v>518947000</v>
      </c>
    </row>
    <row r="56" spans="1:10" ht="23.1" customHeight="1">
      <c r="A56" s="21" t="s">
        <v>155</v>
      </c>
      <c r="B56" s="24" t="s">
        <v>156</v>
      </c>
      <c r="C56" s="23">
        <v>4293355</v>
      </c>
      <c r="D56" s="23">
        <v>90</v>
      </c>
      <c r="E56" s="23">
        <v>0</v>
      </c>
      <c r="F56" s="23">
        <v>2628585</v>
      </c>
      <c r="G56" s="23">
        <v>2628585</v>
      </c>
      <c r="H56" s="23">
        <v>386401950</v>
      </c>
      <c r="I56" s="23">
        <v>0</v>
      </c>
      <c r="J56" s="23">
        <v>386401950</v>
      </c>
    </row>
    <row r="57" spans="1:10" ht="23.1" customHeight="1">
      <c r="A57" s="21" t="s">
        <v>157</v>
      </c>
      <c r="B57" s="24" t="s">
        <v>158</v>
      </c>
      <c r="C57" s="23">
        <v>2965422</v>
      </c>
      <c r="D57" s="23">
        <v>290</v>
      </c>
      <c r="E57" s="23">
        <v>0</v>
      </c>
      <c r="F57" s="23">
        <v>0</v>
      </c>
      <c r="G57" s="23">
        <v>0</v>
      </c>
      <c r="H57" s="23">
        <v>859972380</v>
      </c>
      <c r="I57" s="23">
        <v>0</v>
      </c>
      <c r="J57" s="23">
        <v>859972380</v>
      </c>
    </row>
    <row r="58" spans="1:10" ht="23.1" customHeight="1">
      <c r="A58" s="21" t="s">
        <v>159</v>
      </c>
      <c r="B58" s="24" t="s">
        <v>160</v>
      </c>
      <c r="C58" s="23">
        <v>489090</v>
      </c>
      <c r="D58" s="23">
        <v>8700</v>
      </c>
      <c r="E58" s="23">
        <v>0</v>
      </c>
      <c r="F58" s="23">
        <v>0</v>
      </c>
      <c r="G58" s="23">
        <v>0</v>
      </c>
      <c r="H58" s="23">
        <v>4255083000</v>
      </c>
      <c r="I58" s="23">
        <v>0</v>
      </c>
      <c r="J58" s="23">
        <v>4255083000</v>
      </c>
    </row>
    <row r="59" spans="1:10" ht="23.1" customHeight="1">
      <c r="A59" s="21" t="s">
        <v>127</v>
      </c>
      <c r="B59" s="24" t="s">
        <v>161</v>
      </c>
      <c r="C59" s="23">
        <v>365422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</row>
    <row r="60" spans="1:10" ht="23.1" customHeight="1">
      <c r="A60" s="21" t="s">
        <v>132</v>
      </c>
      <c r="B60" s="24" t="s">
        <v>162</v>
      </c>
      <c r="C60" s="23">
        <v>6004</v>
      </c>
      <c r="D60" s="23">
        <v>0</v>
      </c>
      <c r="E60" s="23">
        <v>0</v>
      </c>
      <c r="F60" s="23">
        <v>0</v>
      </c>
      <c r="G60" s="23">
        <v>0</v>
      </c>
      <c r="H60" s="23">
        <v>8361620</v>
      </c>
      <c r="I60" s="23">
        <v>0</v>
      </c>
      <c r="J60" s="23">
        <v>8361620</v>
      </c>
    </row>
    <row r="61" spans="1:10" ht="23.1" customHeight="1">
      <c r="A61" s="21" t="s">
        <v>27</v>
      </c>
      <c r="B61" s="24" t="s">
        <v>163</v>
      </c>
      <c r="C61" s="23">
        <v>1447704</v>
      </c>
      <c r="D61" s="23">
        <v>1500</v>
      </c>
      <c r="E61" s="23">
        <v>0</v>
      </c>
      <c r="F61" s="23">
        <v>0</v>
      </c>
      <c r="G61" s="23">
        <v>0</v>
      </c>
      <c r="H61" s="23">
        <v>2171556000</v>
      </c>
      <c r="I61" s="23">
        <v>0</v>
      </c>
      <c r="J61" s="23">
        <v>2171556000</v>
      </c>
    </row>
    <row r="62" spans="1:10" ht="23.1" customHeight="1">
      <c r="A62" s="21" t="s">
        <v>34</v>
      </c>
      <c r="B62" s="24" t="s">
        <v>164</v>
      </c>
      <c r="C62" s="23">
        <v>745126</v>
      </c>
      <c r="D62" s="23">
        <v>322</v>
      </c>
      <c r="E62" s="23">
        <v>239930572</v>
      </c>
      <c r="F62" s="23">
        <v>-14513175</v>
      </c>
      <c r="G62" s="23">
        <v>225417397</v>
      </c>
      <c r="H62" s="23">
        <v>239930572</v>
      </c>
      <c r="I62" s="23">
        <v>-14513175</v>
      </c>
      <c r="J62" s="23">
        <v>225417397</v>
      </c>
    </row>
    <row r="63" spans="1:10" ht="23.1" customHeight="1">
      <c r="A63" s="21" t="s">
        <v>42</v>
      </c>
      <c r="B63" s="24" t="s">
        <v>165</v>
      </c>
      <c r="C63" s="23">
        <v>5629184</v>
      </c>
      <c r="D63" s="23">
        <v>190</v>
      </c>
      <c r="E63" s="23">
        <v>1069544960</v>
      </c>
      <c r="F63" s="23">
        <v>-83104251</v>
      </c>
      <c r="G63" s="23">
        <v>986440709</v>
      </c>
      <c r="H63" s="23">
        <v>1069544960</v>
      </c>
      <c r="I63" s="23">
        <v>-83104251</v>
      </c>
      <c r="J63" s="23">
        <v>986440709</v>
      </c>
    </row>
    <row r="64" spans="1:10" ht="23.1" customHeight="1">
      <c r="A64" s="21" t="s">
        <v>60</v>
      </c>
      <c r="B64" s="24"/>
      <c r="C64" s="23"/>
      <c r="D64" s="23"/>
      <c r="E64" s="23">
        <f t="shared" ref="E64:J64" si="0">SUBTOTAL(109,E7:E63)</f>
        <v>1309475532</v>
      </c>
      <c r="F64" s="23">
        <f t="shared" si="0"/>
        <v>-94988841</v>
      </c>
      <c r="G64" s="23">
        <f t="shared" si="0"/>
        <v>1214486691</v>
      </c>
      <c r="H64" s="23">
        <f t="shared" si="0"/>
        <v>50941065302</v>
      </c>
      <c r="I64" s="23">
        <f t="shared" si="0"/>
        <v>-97617426</v>
      </c>
      <c r="J64" s="23">
        <f t="shared" si="0"/>
        <v>50843447876</v>
      </c>
    </row>
    <row r="65" spans="1:10" ht="23.1" customHeight="1">
      <c r="A65" s="21" t="s">
        <v>61</v>
      </c>
      <c r="B65" s="40"/>
      <c r="C65" s="41"/>
      <c r="D65" s="41"/>
      <c r="E65" s="41"/>
      <c r="F65" s="41"/>
      <c r="G65" s="41"/>
      <c r="H65" s="41"/>
      <c r="I65" s="41"/>
      <c r="J65" s="41"/>
    </row>
  </sheetData>
  <mergeCells count="7"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scale="81" orientation="landscape" horizontalDpi="4294967295" verticalDpi="4294967295" r:id="rId1"/>
  <headerFooter differentOddEven="1" differentFirst="1"/>
  <colBreaks count="1" manualBreakCount="1">
    <brk id="10" max="64" man="1"/>
  </col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J11"/>
  <sheetViews>
    <sheetView rightToLeft="1" view="pageBreakPreview" zoomScaleNormal="115" zoomScaleSheetLayoutView="100" workbookViewId="0">
      <selection activeCell="E10" sqref="E10"/>
    </sheetView>
  </sheetViews>
  <sheetFormatPr defaultColWidth="9" defaultRowHeight="18"/>
  <cols>
    <col min="1" max="1" width="28.42578125" style="39" customWidth="1"/>
    <col min="2" max="2" width="16.85546875" style="39" customWidth="1"/>
    <col min="3" max="3" width="14.42578125" style="39" customWidth="1"/>
    <col min="4" max="4" width="18.7109375" style="39" customWidth="1"/>
    <col min="5" max="5" width="14.28515625" style="39" customWidth="1"/>
    <col min="6" max="6" width="13" style="39" customWidth="1"/>
    <col min="7" max="8" width="14.28515625" style="39" customWidth="1"/>
    <col min="9" max="9" width="13" style="39" customWidth="1"/>
    <col min="10" max="10" width="14.28515625" style="39" customWidth="1"/>
    <col min="11" max="11" width="9" style="1" customWidth="1"/>
    <col min="12" max="16384" width="9" style="1"/>
  </cols>
  <sheetData>
    <row r="1" spans="1:10" ht="19.5">
      <c r="A1" s="86" t="s">
        <v>1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19.5">
      <c r="A2" s="86" t="s">
        <v>74</v>
      </c>
      <c r="B2" s="86"/>
      <c r="C2" s="86"/>
      <c r="D2" s="86"/>
      <c r="E2" s="86"/>
      <c r="F2" s="86"/>
      <c r="G2" s="86"/>
      <c r="H2" s="86"/>
      <c r="I2" s="86"/>
      <c r="J2" s="86"/>
    </row>
    <row r="3" spans="1:10" ht="19.5">
      <c r="A3" s="86" t="s">
        <v>7</v>
      </c>
      <c r="B3" s="86"/>
      <c r="C3" s="86"/>
      <c r="D3" s="86"/>
      <c r="E3" s="86"/>
      <c r="F3" s="86"/>
      <c r="G3" s="86"/>
      <c r="H3" s="86"/>
      <c r="I3" s="86"/>
      <c r="J3" s="86"/>
    </row>
    <row r="4" spans="1:10" ht="18.75">
      <c r="A4" s="54" t="s">
        <v>166</v>
      </c>
      <c r="B4" s="54"/>
      <c r="C4" s="54"/>
      <c r="D4" s="54"/>
      <c r="E4" s="54"/>
      <c r="F4" s="26"/>
      <c r="G4" s="26"/>
      <c r="H4" s="26"/>
      <c r="I4" s="26"/>
      <c r="J4" s="26"/>
    </row>
    <row r="5" spans="1:10" ht="16.5" customHeight="1">
      <c r="A5" s="18"/>
      <c r="B5" s="84"/>
      <c r="C5" s="84"/>
      <c r="D5" s="84"/>
      <c r="E5" s="85" t="s">
        <v>93</v>
      </c>
      <c r="F5" s="83"/>
      <c r="G5" s="83"/>
      <c r="H5" s="85" t="s">
        <v>94</v>
      </c>
      <c r="I5" s="83"/>
      <c r="J5" s="83"/>
    </row>
    <row r="6" spans="1:10" ht="38.25" customHeight="1">
      <c r="A6" s="42" t="s">
        <v>77</v>
      </c>
      <c r="B6" s="43" t="s">
        <v>167</v>
      </c>
      <c r="C6" s="43" t="s">
        <v>63</v>
      </c>
      <c r="D6" s="43" t="s">
        <v>64</v>
      </c>
      <c r="E6" s="43" t="s">
        <v>168</v>
      </c>
      <c r="F6" s="43" t="s">
        <v>99</v>
      </c>
      <c r="G6" s="43" t="s">
        <v>169</v>
      </c>
      <c r="H6" s="43" t="s">
        <v>168</v>
      </c>
      <c r="I6" s="43" t="s">
        <v>99</v>
      </c>
      <c r="J6" s="43" t="s">
        <v>169</v>
      </c>
    </row>
    <row r="7" spans="1:10" ht="23.1" customHeight="1">
      <c r="A7" s="21" t="s">
        <v>170</v>
      </c>
      <c r="B7" s="21" t="s">
        <v>171</v>
      </c>
      <c r="C7" s="21" t="s">
        <v>172</v>
      </c>
      <c r="D7" s="21" t="s">
        <v>172</v>
      </c>
      <c r="E7" s="23">
        <v>0</v>
      </c>
      <c r="F7" s="23">
        <v>0</v>
      </c>
      <c r="G7" s="23">
        <v>0</v>
      </c>
      <c r="H7" s="23">
        <v>33252977</v>
      </c>
      <c r="I7" s="23">
        <v>547948</v>
      </c>
      <c r="J7" s="23">
        <v>33800925</v>
      </c>
    </row>
    <row r="8" spans="1:10" ht="23.1" customHeight="1">
      <c r="A8" s="21" t="s">
        <v>173</v>
      </c>
      <c r="B8" s="21" t="s">
        <v>174</v>
      </c>
      <c r="C8" s="21" t="s">
        <v>172</v>
      </c>
      <c r="D8" s="21" t="s">
        <v>172</v>
      </c>
      <c r="E8" s="23">
        <v>1610551370</v>
      </c>
      <c r="F8" s="23">
        <v>-202182</v>
      </c>
      <c r="G8" s="23">
        <v>1610349188</v>
      </c>
      <c r="H8" s="23">
        <v>2667167800</v>
      </c>
      <c r="I8" s="23">
        <v>-7960856</v>
      </c>
      <c r="J8" s="23">
        <v>2659206944</v>
      </c>
    </row>
    <row r="9" spans="1:10" ht="23.1" customHeight="1">
      <c r="A9" s="21" t="s">
        <v>71</v>
      </c>
      <c r="B9" s="21" t="s">
        <v>12</v>
      </c>
      <c r="C9" s="21" t="s">
        <v>172</v>
      </c>
      <c r="D9" s="21" t="s">
        <v>172</v>
      </c>
      <c r="E9" s="23">
        <v>4767</v>
      </c>
      <c r="F9" s="23">
        <v>0</v>
      </c>
      <c r="G9" s="23">
        <v>4767</v>
      </c>
      <c r="H9" s="23">
        <v>27873</v>
      </c>
      <c r="I9" s="23">
        <v>0</v>
      </c>
      <c r="J9" s="23">
        <v>27873</v>
      </c>
    </row>
    <row r="10" spans="1:10" ht="23.1" customHeight="1">
      <c r="A10" s="21" t="s">
        <v>60</v>
      </c>
      <c r="B10" s="21"/>
      <c r="C10" s="21"/>
      <c r="D10" s="21"/>
      <c r="E10" s="23">
        <f>SUBTOTAL(109,E7:E9)</f>
        <v>1610556137</v>
      </c>
      <c r="F10" s="23">
        <f>SUBTOTAL(109,F7:F9)</f>
        <v>-202182</v>
      </c>
      <c r="G10" s="23">
        <v>1610353955</v>
      </c>
      <c r="H10" s="23">
        <f>SUBTOTAL(109,H7:H9)</f>
        <v>2700448650</v>
      </c>
      <c r="I10" s="23">
        <f>SUBTOTAL(109,I7:I9)</f>
        <v>-7412908</v>
      </c>
      <c r="J10" s="23">
        <v>2693035742</v>
      </c>
    </row>
    <row r="11" spans="1:10" ht="23.1" customHeight="1">
      <c r="A11" s="21" t="s">
        <v>61</v>
      </c>
      <c r="B11" s="21"/>
      <c r="C11" s="21"/>
      <c r="D11" s="21"/>
      <c r="E11" s="23"/>
      <c r="F11" s="23"/>
      <c r="G11" s="23"/>
      <c r="H11" s="23"/>
      <c r="I11" s="23"/>
      <c r="J11" s="23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scale="88" orientation="landscape" horizontalDpi="4294967295" verticalDpi="4294967295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sheetPr>
    <tabColor theme="9"/>
  </sheetPr>
  <dimension ref="A1:G11"/>
  <sheetViews>
    <sheetView rightToLeft="1" view="pageBreakPreview" zoomScale="115" zoomScaleNormal="115" zoomScaleSheetLayoutView="115" workbookViewId="0">
      <selection activeCell="D21" sqref="D21"/>
    </sheetView>
  </sheetViews>
  <sheetFormatPr defaultColWidth="9" defaultRowHeight="18"/>
  <cols>
    <col min="1" max="1" width="28.42578125" style="39" customWidth="1"/>
    <col min="2" max="2" width="14.28515625" style="39" customWidth="1"/>
    <col min="3" max="3" width="13" style="39" customWidth="1"/>
    <col min="4" max="5" width="14.28515625" style="39" customWidth="1"/>
    <col min="6" max="6" width="13" style="39" customWidth="1"/>
    <col min="7" max="7" width="14.28515625" style="39" customWidth="1"/>
    <col min="8" max="8" width="9" style="1" customWidth="1"/>
    <col min="9" max="16384" width="9" style="1"/>
  </cols>
  <sheetData>
    <row r="1" spans="1:7" ht="19.5">
      <c r="A1" s="86" t="s">
        <v>1</v>
      </c>
      <c r="B1" s="86"/>
      <c r="C1" s="86"/>
      <c r="D1" s="86"/>
      <c r="E1" s="86"/>
      <c r="F1" s="86"/>
      <c r="G1" s="86"/>
    </row>
    <row r="2" spans="1:7" ht="19.5">
      <c r="A2" s="86" t="s">
        <v>74</v>
      </c>
      <c r="B2" s="86"/>
      <c r="C2" s="86"/>
      <c r="D2" s="86"/>
      <c r="E2" s="86"/>
      <c r="F2" s="86"/>
      <c r="G2" s="86"/>
    </row>
    <row r="3" spans="1:7" ht="19.5">
      <c r="A3" s="86" t="s">
        <v>7</v>
      </c>
      <c r="B3" s="86"/>
      <c r="C3" s="86"/>
      <c r="D3" s="86"/>
      <c r="E3" s="86"/>
      <c r="F3" s="86"/>
      <c r="G3" s="86"/>
    </row>
    <row r="4" spans="1:7" ht="18.75">
      <c r="A4" s="54" t="s">
        <v>175</v>
      </c>
      <c r="B4" s="54"/>
      <c r="C4" s="26"/>
      <c r="D4" s="26"/>
      <c r="E4" s="26"/>
      <c r="F4" s="26"/>
      <c r="G4" s="26"/>
    </row>
    <row r="5" spans="1:7" ht="16.5" customHeight="1">
      <c r="A5" s="18"/>
      <c r="B5" s="85" t="s">
        <v>93</v>
      </c>
      <c r="C5" s="83"/>
      <c r="D5" s="83"/>
      <c r="E5" s="85" t="s">
        <v>94</v>
      </c>
      <c r="F5" s="83"/>
      <c r="G5" s="83"/>
    </row>
    <row r="6" spans="1:7" ht="38.25" customHeight="1">
      <c r="A6" s="42" t="s">
        <v>77</v>
      </c>
      <c r="B6" s="43" t="s">
        <v>168</v>
      </c>
      <c r="C6" s="43" t="s">
        <v>99</v>
      </c>
      <c r="D6" s="43" t="s">
        <v>169</v>
      </c>
      <c r="E6" s="43" t="s">
        <v>168</v>
      </c>
      <c r="F6" s="43" t="s">
        <v>99</v>
      </c>
      <c r="G6" s="43" t="s">
        <v>169</v>
      </c>
    </row>
    <row r="7" spans="1:7" ht="23.1" customHeight="1">
      <c r="A7" s="21" t="s">
        <v>170</v>
      </c>
      <c r="B7" s="23">
        <v>0</v>
      </c>
      <c r="C7" s="23">
        <v>0</v>
      </c>
      <c r="D7" s="23">
        <v>0</v>
      </c>
      <c r="E7" s="23">
        <v>33252977</v>
      </c>
      <c r="F7" s="23">
        <v>547948</v>
      </c>
      <c r="G7" s="23">
        <v>33800925</v>
      </c>
    </row>
    <row r="8" spans="1:7" ht="23.1" customHeight="1">
      <c r="A8" s="21" t="s">
        <v>173</v>
      </c>
      <c r="B8" s="23">
        <v>1610551370</v>
      </c>
      <c r="C8" s="23">
        <v>-202182</v>
      </c>
      <c r="D8" s="23">
        <v>1610349188</v>
      </c>
      <c r="E8" s="23">
        <v>2667167800</v>
      </c>
      <c r="F8" s="23">
        <v>-7960856</v>
      </c>
      <c r="G8" s="23">
        <v>2659206944</v>
      </c>
    </row>
    <row r="9" spans="1:7" ht="23.1" customHeight="1">
      <c r="A9" s="21" t="s">
        <v>71</v>
      </c>
      <c r="B9" s="23">
        <v>4767</v>
      </c>
      <c r="C9" s="23">
        <v>0</v>
      </c>
      <c r="D9" s="23">
        <v>4767</v>
      </c>
      <c r="E9" s="23">
        <v>27873</v>
      </c>
      <c r="F9" s="23">
        <v>0</v>
      </c>
      <c r="G9" s="23">
        <v>27873</v>
      </c>
    </row>
    <row r="10" spans="1:7" ht="23.1" customHeight="1">
      <c r="A10" s="21" t="s">
        <v>60</v>
      </c>
      <c r="B10" s="23">
        <v>1610556137</v>
      </c>
      <c r="C10" s="23">
        <v>-202182</v>
      </c>
      <c r="D10" s="23">
        <v>1610353955</v>
      </c>
      <c r="E10" s="23">
        <v>2700448650</v>
      </c>
      <c r="F10" s="23">
        <v>-7412908</v>
      </c>
      <c r="G10" s="23">
        <v>2693035742</v>
      </c>
    </row>
    <row r="11" spans="1:7" ht="23.1" customHeight="1">
      <c r="A11" s="21" t="s">
        <v>61</v>
      </c>
      <c r="B11" s="23"/>
      <c r="C11" s="23"/>
      <c r="D11" s="23"/>
      <c r="E11" s="23"/>
      <c r="F11" s="23"/>
      <c r="G11" s="23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I98"/>
  <sheetViews>
    <sheetView rightToLeft="1" view="pageBreakPreview" topLeftCell="A81" zoomScaleNormal="115" zoomScaleSheetLayoutView="100" workbookViewId="0">
      <selection activeCell="H106" sqref="H106"/>
    </sheetView>
  </sheetViews>
  <sheetFormatPr defaultColWidth="9" defaultRowHeight="18"/>
  <cols>
    <col min="1" max="1" width="31.7109375" style="39" customWidth="1"/>
    <col min="2" max="2" width="13" style="39" customWidth="1"/>
    <col min="3" max="3" width="15.5703125" style="39" customWidth="1"/>
    <col min="4" max="4" width="13" style="39" customWidth="1"/>
    <col min="5" max="5" width="22.5703125" style="39" customWidth="1"/>
    <col min="6" max="6" width="13" style="39" customWidth="1"/>
    <col min="7" max="7" width="17.28515625" style="39" customWidth="1"/>
    <col min="8" max="8" width="18.28515625" style="39" customWidth="1"/>
    <col min="9" max="9" width="22.5703125" style="39" customWidth="1"/>
    <col min="10" max="10" width="9" style="1" customWidth="1"/>
    <col min="11" max="16384" width="9" style="1"/>
  </cols>
  <sheetData>
    <row r="1" spans="1:9" ht="21">
      <c r="A1" s="55" t="s">
        <v>1</v>
      </c>
      <c r="B1" s="55"/>
      <c r="C1" s="55"/>
      <c r="D1" s="55"/>
      <c r="E1" s="55"/>
      <c r="F1" s="55"/>
      <c r="G1" s="55"/>
      <c r="H1" s="55"/>
      <c r="I1" s="55"/>
    </row>
    <row r="2" spans="1:9" ht="21">
      <c r="A2" s="55" t="s">
        <v>74</v>
      </c>
      <c r="B2" s="55"/>
      <c r="C2" s="55"/>
      <c r="D2" s="55"/>
      <c r="E2" s="55"/>
      <c r="F2" s="55"/>
      <c r="G2" s="55"/>
      <c r="H2" s="55"/>
      <c r="I2" s="55"/>
    </row>
    <row r="3" spans="1:9" ht="21">
      <c r="A3" s="55" t="s">
        <v>75</v>
      </c>
      <c r="B3" s="55"/>
      <c r="C3" s="55"/>
      <c r="D3" s="55"/>
      <c r="E3" s="55"/>
      <c r="F3" s="55"/>
      <c r="G3" s="55"/>
      <c r="H3" s="55"/>
      <c r="I3" s="55"/>
    </row>
    <row r="4" spans="1:9" ht="18.75">
      <c r="A4" s="80" t="s">
        <v>176</v>
      </c>
      <c r="B4" s="54"/>
      <c r="C4" s="54"/>
      <c r="D4" s="54"/>
      <c r="E4" s="54"/>
      <c r="F4" s="54"/>
      <c r="G4" s="54"/>
      <c r="H4" s="54"/>
      <c r="I4" s="54"/>
    </row>
    <row r="5" spans="1:9" ht="16.5" customHeight="1">
      <c r="A5" s="26"/>
      <c r="B5" s="85" t="s">
        <v>93</v>
      </c>
      <c r="C5" s="83"/>
      <c r="D5" s="83"/>
      <c r="E5" s="83"/>
      <c r="F5" s="85" t="s">
        <v>94</v>
      </c>
      <c r="G5" s="83"/>
      <c r="H5" s="83"/>
      <c r="I5" s="83"/>
    </row>
    <row r="6" spans="1:9">
      <c r="A6" s="42" t="s">
        <v>77</v>
      </c>
      <c r="B6" s="38" t="s">
        <v>14</v>
      </c>
      <c r="C6" s="38" t="s">
        <v>177</v>
      </c>
      <c r="D6" s="38" t="s">
        <v>178</v>
      </c>
      <c r="E6" s="44" t="s">
        <v>179</v>
      </c>
      <c r="F6" s="38" t="s">
        <v>14</v>
      </c>
      <c r="G6" s="38" t="s">
        <v>16</v>
      </c>
      <c r="H6" s="38" t="s">
        <v>178</v>
      </c>
      <c r="I6" s="44" t="s">
        <v>179</v>
      </c>
    </row>
    <row r="7" spans="1:9" ht="23.1" customHeight="1">
      <c r="A7" s="21" t="s">
        <v>142</v>
      </c>
      <c r="B7" s="22">
        <v>0</v>
      </c>
      <c r="C7" s="23">
        <v>0</v>
      </c>
      <c r="D7" s="23">
        <v>0</v>
      </c>
      <c r="E7" s="23">
        <v>0</v>
      </c>
      <c r="F7" s="22">
        <v>1197303</v>
      </c>
      <c r="G7" s="23">
        <v>1351146018</v>
      </c>
      <c r="H7" s="23">
        <v>-2252243190</v>
      </c>
      <c r="I7" s="23">
        <v>-901097172</v>
      </c>
    </row>
    <row r="8" spans="1:9" ht="23.1" customHeight="1">
      <c r="A8" s="21" t="s">
        <v>49</v>
      </c>
      <c r="B8" s="22">
        <v>0</v>
      </c>
      <c r="C8" s="23">
        <v>0</v>
      </c>
      <c r="D8" s="23">
        <v>0</v>
      </c>
      <c r="E8" s="23">
        <v>0</v>
      </c>
      <c r="F8" s="22">
        <v>35414744</v>
      </c>
      <c r="G8" s="23">
        <v>21298701712</v>
      </c>
      <c r="H8" s="23">
        <v>-21365711730</v>
      </c>
      <c r="I8" s="23">
        <v>-67010018</v>
      </c>
    </row>
    <row r="9" spans="1:9" ht="23.1" customHeight="1">
      <c r="A9" s="21" t="s">
        <v>125</v>
      </c>
      <c r="B9" s="22">
        <v>0</v>
      </c>
      <c r="C9" s="23">
        <v>0</v>
      </c>
      <c r="D9" s="23">
        <v>0</v>
      </c>
      <c r="E9" s="23">
        <v>0</v>
      </c>
      <c r="F9" s="22">
        <v>645675</v>
      </c>
      <c r="G9" s="23">
        <v>4472677980</v>
      </c>
      <c r="H9" s="23">
        <v>-5038552764</v>
      </c>
      <c r="I9" s="23">
        <v>-565874784</v>
      </c>
    </row>
    <row r="10" spans="1:9" ht="23.1" customHeight="1">
      <c r="A10" s="21" t="s">
        <v>137</v>
      </c>
      <c r="B10" s="22">
        <v>0</v>
      </c>
      <c r="C10" s="23">
        <v>0</v>
      </c>
      <c r="D10" s="23">
        <v>0</v>
      </c>
      <c r="E10" s="23">
        <v>0</v>
      </c>
      <c r="F10" s="22">
        <v>398472</v>
      </c>
      <c r="G10" s="23">
        <v>22723158476</v>
      </c>
      <c r="H10" s="23">
        <v>-15805403961</v>
      </c>
      <c r="I10" s="23">
        <v>6917754515</v>
      </c>
    </row>
    <row r="11" spans="1:9" ht="23.1" customHeight="1">
      <c r="A11" s="21" t="s">
        <v>36</v>
      </c>
      <c r="B11" s="22">
        <v>0</v>
      </c>
      <c r="C11" s="23">
        <v>0</v>
      </c>
      <c r="D11" s="23">
        <v>0</v>
      </c>
      <c r="E11" s="23">
        <v>0</v>
      </c>
      <c r="F11" s="22">
        <v>1689681</v>
      </c>
      <c r="G11" s="23">
        <v>16019010906</v>
      </c>
      <c r="H11" s="23">
        <v>-16641444740</v>
      </c>
      <c r="I11" s="23">
        <v>-622433834</v>
      </c>
    </row>
    <row r="12" spans="1:9" ht="23.1" customHeight="1">
      <c r="A12" s="21" t="s">
        <v>107</v>
      </c>
      <c r="B12" s="22">
        <v>0</v>
      </c>
      <c r="C12" s="23">
        <v>0</v>
      </c>
      <c r="D12" s="23">
        <v>0</v>
      </c>
      <c r="E12" s="23">
        <v>0</v>
      </c>
      <c r="F12" s="22">
        <v>200675</v>
      </c>
      <c r="G12" s="23">
        <v>1000015663</v>
      </c>
      <c r="H12" s="23">
        <v>-1607816732</v>
      </c>
      <c r="I12" s="23">
        <v>-607801069</v>
      </c>
    </row>
    <row r="13" spans="1:9" ht="23.1" customHeight="1">
      <c r="A13" s="21" t="s">
        <v>39</v>
      </c>
      <c r="B13" s="22">
        <v>0</v>
      </c>
      <c r="C13" s="23">
        <v>0</v>
      </c>
      <c r="D13" s="23">
        <v>0</v>
      </c>
      <c r="E13" s="23">
        <v>0</v>
      </c>
      <c r="F13" s="22">
        <v>38369447</v>
      </c>
      <c r="G13" s="23">
        <v>48378088166</v>
      </c>
      <c r="H13" s="23">
        <v>-50870301152</v>
      </c>
      <c r="I13" s="23">
        <v>-2492212986</v>
      </c>
    </row>
    <row r="14" spans="1:9" ht="23.1" customHeight="1">
      <c r="A14" s="21" t="s">
        <v>58</v>
      </c>
      <c r="B14" s="22">
        <v>0</v>
      </c>
      <c r="C14" s="23">
        <v>0</v>
      </c>
      <c r="D14" s="23">
        <v>0</v>
      </c>
      <c r="E14" s="23">
        <v>0</v>
      </c>
      <c r="F14" s="22">
        <v>191430</v>
      </c>
      <c r="G14" s="23">
        <v>10427626311</v>
      </c>
      <c r="H14" s="23">
        <v>-10601471607</v>
      </c>
      <c r="I14" s="23">
        <v>-173845296</v>
      </c>
    </row>
    <row r="15" spans="1:9" ht="23.1" customHeight="1">
      <c r="A15" s="21" t="s">
        <v>143</v>
      </c>
      <c r="B15" s="22">
        <v>0</v>
      </c>
      <c r="C15" s="23">
        <v>0</v>
      </c>
      <c r="D15" s="23">
        <v>0</v>
      </c>
      <c r="E15" s="23">
        <v>0</v>
      </c>
      <c r="F15" s="22">
        <v>1018908</v>
      </c>
      <c r="G15" s="23">
        <v>6643171522</v>
      </c>
      <c r="H15" s="23">
        <v>-5723988352</v>
      </c>
      <c r="I15" s="23">
        <v>919183170</v>
      </c>
    </row>
    <row r="16" spans="1:9" ht="23.1" customHeight="1">
      <c r="A16" s="21" t="s">
        <v>180</v>
      </c>
      <c r="B16" s="22">
        <v>0</v>
      </c>
      <c r="C16" s="23">
        <v>0</v>
      </c>
      <c r="D16" s="23">
        <v>0</v>
      </c>
      <c r="E16" s="23">
        <v>0</v>
      </c>
      <c r="F16" s="22">
        <v>22683</v>
      </c>
      <c r="G16" s="23">
        <v>4557739316</v>
      </c>
      <c r="H16" s="23">
        <v>-3273523892</v>
      </c>
      <c r="I16" s="23">
        <v>1284215424</v>
      </c>
    </row>
    <row r="17" spans="1:9" ht="23.1" customHeight="1">
      <c r="A17" s="21" t="s">
        <v>132</v>
      </c>
      <c r="B17" s="22">
        <v>0</v>
      </c>
      <c r="C17" s="23">
        <v>0</v>
      </c>
      <c r="D17" s="23">
        <v>0</v>
      </c>
      <c r="E17" s="23">
        <v>0</v>
      </c>
      <c r="F17" s="22">
        <v>462566</v>
      </c>
      <c r="G17" s="23">
        <v>2877472255</v>
      </c>
      <c r="H17" s="23">
        <v>-3112446419</v>
      </c>
      <c r="I17" s="23">
        <v>-234974164</v>
      </c>
    </row>
    <row r="18" spans="1:9" ht="23.1" customHeight="1">
      <c r="A18" s="21" t="s">
        <v>131</v>
      </c>
      <c r="B18" s="22">
        <v>0</v>
      </c>
      <c r="C18" s="23">
        <v>0</v>
      </c>
      <c r="D18" s="23">
        <v>0</v>
      </c>
      <c r="E18" s="23">
        <v>0</v>
      </c>
      <c r="F18" s="22">
        <v>1901023</v>
      </c>
      <c r="G18" s="23">
        <v>13644067617</v>
      </c>
      <c r="H18" s="23">
        <v>-13957904041</v>
      </c>
      <c r="I18" s="23">
        <v>-313836424</v>
      </c>
    </row>
    <row r="19" spans="1:9" ht="23.1" customHeight="1">
      <c r="A19" s="21" t="s">
        <v>115</v>
      </c>
      <c r="B19" s="22">
        <v>0</v>
      </c>
      <c r="C19" s="23">
        <v>0</v>
      </c>
      <c r="D19" s="23">
        <v>0</v>
      </c>
      <c r="E19" s="23">
        <v>0</v>
      </c>
      <c r="F19" s="22">
        <v>326409</v>
      </c>
      <c r="G19" s="23">
        <v>2158005112</v>
      </c>
      <c r="H19" s="23">
        <v>-2912778924</v>
      </c>
      <c r="I19" s="23">
        <v>-754773812</v>
      </c>
    </row>
    <row r="20" spans="1:9" ht="23.1" customHeight="1">
      <c r="A20" s="21" t="s">
        <v>38</v>
      </c>
      <c r="B20" s="22">
        <v>0</v>
      </c>
      <c r="C20" s="23">
        <v>0</v>
      </c>
      <c r="D20" s="23">
        <v>0</v>
      </c>
      <c r="E20" s="23">
        <v>0</v>
      </c>
      <c r="F20" s="22">
        <v>11299718</v>
      </c>
      <c r="G20" s="23">
        <v>33850281008</v>
      </c>
      <c r="H20" s="23">
        <v>-35282549213</v>
      </c>
      <c r="I20" s="23">
        <v>-1432268205</v>
      </c>
    </row>
    <row r="21" spans="1:9" ht="23.1" customHeight="1">
      <c r="A21" s="21" t="s">
        <v>50</v>
      </c>
      <c r="B21" s="22">
        <v>0</v>
      </c>
      <c r="C21" s="23">
        <v>0</v>
      </c>
      <c r="D21" s="23">
        <v>0</v>
      </c>
      <c r="E21" s="23">
        <v>0</v>
      </c>
      <c r="F21" s="22">
        <v>696033</v>
      </c>
      <c r="G21" s="23">
        <v>14666769047</v>
      </c>
      <c r="H21" s="23">
        <v>-14824161934</v>
      </c>
      <c r="I21" s="23">
        <v>-157392887</v>
      </c>
    </row>
    <row r="22" spans="1:9" ht="23.1" customHeight="1">
      <c r="A22" s="21" t="s">
        <v>181</v>
      </c>
      <c r="B22" s="22">
        <v>0</v>
      </c>
      <c r="C22" s="23">
        <v>0</v>
      </c>
      <c r="D22" s="23">
        <v>0</v>
      </c>
      <c r="E22" s="23">
        <v>0</v>
      </c>
      <c r="F22" s="22">
        <v>447782</v>
      </c>
      <c r="G22" s="23">
        <v>14730064690</v>
      </c>
      <c r="H22" s="23">
        <v>-13285574247</v>
      </c>
      <c r="I22" s="23">
        <v>1444490443</v>
      </c>
    </row>
    <row r="23" spans="1:9" ht="23.1" customHeight="1">
      <c r="A23" s="21" t="s">
        <v>127</v>
      </c>
      <c r="B23" s="22">
        <v>0</v>
      </c>
      <c r="C23" s="23">
        <v>0</v>
      </c>
      <c r="D23" s="23">
        <v>0</v>
      </c>
      <c r="E23" s="23">
        <v>0</v>
      </c>
      <c r="F23" s="22">
        <v>813723</v>
      </c>
      <c r="G23" s="23">
        <v>44119541052</v>
      </c>
      <c r="H23" s="23">
        <v>-51267396930</v>
      </c>
      <c r="I23" s="23">
        <v>-7147855878</v>
      </c>
    </row>
    <row r="24" spans="1:9" ht="23.1" customHeight="1">
      <c r="A24" s="21" t="s">
        <v>47</v>
      </c>
      <c r="B24" s="22">
        <v>0</v>
      </c>
      <c r="C24" s="23">
        <v>0</v>
      </c>
      <c r="D24" s="23">
        <v>0</v>
      </c>
      <c r="E24" s="23">
        <v>0</v>
      </c>
      <c r="F24" s="22">
        <v>2478851</v>
      </c>
      <c r="G24" s="23">
        <v>41769422994</v>
      </c>
      <c r="H24" s="23">
        <v>-39391235088</v>
      </c>
      <c r="I24" s="23">
        <v>2378187906</v>
      </c>
    </row>
    <row r="25" spans="1:9" ht="23.1" customHeight="1">
      <c r="A25" s="21" t="s">
        <v>55</v>
      </c>
      <c r="B25" s="22">
        <v>0</v>
      </c>
      <c r="C25" s="23">
        <v>0</v>
      </c>
      <c r="D25" s="23">
        <v>0</v>
      </c>
      <c r="E25" s="23">
        <v>0</v>
      </c>
      <c r="F25" s="22">
        <v>4380653</v>
      </c>
      <c r="G25" s="23">
        <v>14573469125</v>
      </c>
      <c r="H25" s="23">
        <v>-12172463867</v>
      </c>
      <c r="I25" s="23">
        <v>2401005258</v>
      </c>
    </row>
    <row r="26" spans="1:9" ht="23.1" customHeight="1">
      <c r="A26" s="21" t="s">
        <v>124</v>
      </c>
      <c r="B26" s="22">
        <v>0</v>
      </c>
      <c r="C26" s="23">
        <v>0</v>
      </c>
      <c r="D26" s="23">
        <v>0</v>
      </c>
      <c r="E26" s="23">
        <v>0</v>
      </c>
      <c r="F26" s="22">
        <v>709726</v>
      </c>
      <c r="G26" s="23">
        <v>41769938719</v>
      </c>
      <c r="H26" s="23">
        <v>-45939198863</v>
      </c>
      <c r="I26" s="23">
        <v>-4169260144</v>
      </c>
    </row>
    <row r="27" spans="1:9" ht="23.1" customHeight="1">
      <c r="A27" s="21" t="s">
        <v>35</v>
      </c>
      <c r="B27" s="22">
        <v>0</v>
      </c>
      <c r="C27" s="23">
        <v>0</v>
      </c>
      <c r="D27" s="23">
        <v>0</v>
      </c>
      <c r="E27" s="23">
        <v>0</v>
      </c>
      <c r="F27" s="22">
        <v>2835030</v>
      </c>
      <c r="G27" s="23">
        <v>8254302758</v>
      </c>
      <c r="H27" s="23">
        <v>-7424296737</v>
      </c>
      <c r="I27" s="23">
        <v>830006021</v>
      </c>
    </row>
    <row r="28" spans="1:9" ht="23.1" customHeight="1">
      <c r="A28" s="21" t="s">
        <v>182</v>
      </c>
      <c r="B28" s="22">
        <v>0</v>
      </c>
      <c r="C28" s="23">
        <v>0</v>
      </c>
      <c r="D28" s="23">
        <v>0</v>
      </c>
      <c r="E28" s="23">
        <v>0</v>
      </c>
      <c r="F28" s="22">
        <v>89688</v>
      </c>
      <c r="G28" s="23">
        <v>2314905765</v>
      </c>
      <c r="H28" s="23">
        <v>-2667498349</v>
      </c>
      <c r="I28" s="23">
        <v>-352592584</v>
      </c>
    </row>
    <row r="29" spans="1:9" ht="23.1" customHeight="1">
      <c r="A29" s="21" t="s">
        <v>183</v>
      </c>
      <c r="B29" s="22">
        <v>0</v>
      </c>
      <c r="C29" s="23">
        <v>0</v>
      </c>
      <c r="D29" s="23">
        <v>0</v>
      </c>
      <c r="E29" s="23">
        <v>0</v>
      </c>
      <c r="F29" s="22">
        <v>1496800</v>
      </c>
      <c r="G29" s="23">
        <v>9461618342</v>
      </c>
      <c r="H29" s="23">
        <v>-9127675505</v>
      </c>
      <c r="I29" s="23">
        <v>333942837</v>
      </c>
    </row>
    <row r="30" spans="1:9" ht="23.1" customHeight="1">
      <c r="A30" s="21" t="s">
        <v>184</v>
      </c>
      <c r="B30" s="22">
        <v>0</v>
      </c>
      <c r="C30" s="23">
        <v>0</v>
      </c>
      <c r="D30" s="23">
        <v>0</v>
      </c>
      <c r="E30" s="23">
        <v>0</v>
      </c>
      <c r="F30" s="22">
        <v>230000</v>
      </c>
      <c r="G30" s="23">
        <v>6668874665</v>
      </c>
      <c r="H30" s="23">
        <v>-5048580738</v>
      </c>
      <c r="I30" s="23">
        <v>1620293927</v>
      </c>
    </row>
    <row r="31" spans="1:9" ht="23.1" customHeight="1">
      <c r="A31" s="21" t="s">
        <v>105</v>
      </c>
      <c r="B31" s="22">
        <v>0</v>
      </c>
      <c r="C31" s="23">
        <v>0</v>
      </c>
      <c r="D31" s="23">
        <v>0</v>
      </c>
      <c r="E31" s="23">
        <v>0</v>
      </c>
      <c r="F31" s="22">
        <v>212091</v>
      </c>
      <c r="G31" s="23">
        <v>1108960870</v>
      </c>
      <c r="H31" s="23">
        <v>-1673982727</v>
      </c>
      <c r="I31" s="23">
        <v>-565021857</v>
      </c>
    </row>
    <row r="32" spans="1:9" ht="23.1" customHeight="1">
      <c r="A32" s="21" t="s">
        <v>26</v>
      </c>
      <c r="B32" s="22">
        <v>0</v>
      </c>
      <c r="C32" s="23">
        <v>0</v>
      </c>
      <c r="D32" s="23">
        <v>0</v>
      </c>
      <c r="E32" s="23">
        <v>0</v>
      </c>
      <c r="F32" s="22">
        <v>33148792</v>
      </c>
      <c r="G32" s="23">
        <v>16639039118</v>
      </c>
      <c r="H32" s="23">
        <v>-17423962367</v>
      </c>
      <c r="I32" s="23">
        <v>-784923249</v>
      </c>
    </row>
    <row r="33" spans="1:9" ht="23.1" customHeight="1">
      <c r="A33" s="21" t="s">
        <v>185</v>
      </c>
      <c r="B33" s="22">
        <v>0</v>
      </c>
      <c r="C33" s="23">
        <v>0</v>
      </c>
      <c r="D33" s="23">
        <v>0</v>
      </c>
      <c r="E33" s="23">
        <v>0</v>
      </c>
      <c r="F33" s="22">
        <v>795447</v>
      </c>
      <c r="G33" s="23">
        <v>4137126571</v>
      </c>
      <c r="H33" s="23">
        <v>-4839170235</v>
      </c>
      <c r="I33" s="23">
        <v>-702043664</v>
      </c>
    </row>
    <row r="34" spans="1:9" ht="23.1" customHeight="1">
      <c r="A34" s="21" t="s">
        <v>186</v>
      </c>
      <c r="B34" s="22">
        <v>0</v>
      </c>
      <c r="C34" s="23">
        <v>0</v>
      </c>
      <c r="D34" s="23">
        <v>0</v>
      </c>
      <c r="E34" s="23">
        <v>0</v>
      </c>
      <c r="F34" s="22">
        <v>3137646</v>
      </c>
      <c r="G34" s="23">
        <v>6566575577</v>
      </c>
      <c r="H34" s="23">
        <v>-7204836889</v>
      </c>
      <c r="I34" s="23">
        <v>-638261312</v>
      </c>
    </row>
    <row r="35" spans="1:9" ht="23.1" customHeight="1">
      <c r="A35" s="21" t="s">
        <v>27</v>
      </c>
      <c r="B35" s="22">
        <v>0</v>
      </c>
      <c r="C35" s="23">
        <v>0</v>
      </c>
      <c r="D35" s="23">
        <v>0</v>
      </c>
      <c r="E35" s="23">
        <v>0</v>
      </c>
      <c r="F35" s="22">
        <v>3931029</v>
      </c>
      <c r="G35" s="23">
        <v>57304834023</v>
      </c>
      <c r="H35" s="23">
        <v>-52177694825</v>
      </c>
      <c r="I35" s="23">
        <v>5127139198</v>
      </c>
    </row>
    <row r="36" spans="1:9" ht="23.1" customHeight="1">
      <c r="A36" s="21" t="s">
        <v>31</v>
      </c>
      <c r="B36" s="22">
        <v>0</v>
      </c>
      <c r="C36" s="23">
        <v>0</v>
      </c>
      <c r="D36" s="23">
        <v>0</v>
      </c>
      <c r="E36" s="23">
        <v>0</v>
      </c>
      <c r="F36" s="22">
        <v>295453</v>
      </c>
      <c r="G36" s="23">
        <v>144508637735</v>
      </c>
      <c r="H36" s="23">
        <v>-147039594488</v>
      </c>
      <c r="I36" s="23">
        <v>-2530956753</v>
      </c>
    </row>
    <row r="37" spans="1:9" ht="23.1" customHeight="1">
      <c r="A37" s="21" t="s">
        <v>32</v>
      </c>
      <c r="B37" s="22">
        <v>0</v>
      </c>
      <c r="C37" s="23">
        <v>0</v>
      </c>
      <c r="D37" s="23">
        <v>0</v>
      </c>
      <c r="E37" s="23">
        <v>0</v>
      </c>
      <c r="F37" s="22">
        <v>65717891</v>
      </c>
      <c r="G37" s="23">
        <v>35074973109</v>
      </c>
      <c r="H37" s="23">
        <v>-39012638797</v>
      </c>
      <c r="I37" s="23">
        <v>-3937665688</v>
      </c>
    </row>
    <row r="38" spans="1:9" ht="23.1" customHeight="1">
      <c r="A38" s="21" t="s">
        <v>40</v>
      </c>
      <c r="B38" s="22">
        <v>0</v>
      </c>
      <c r="C38" s="23">
        <v>0</v>
      </c>
      <c r="D38" s="23">
        <v>0</v>
      </c>
      <c r="E38" s="23">
        <v>0</v>
      </c>
      <c r="F38" s="22">
        <v>1152978</v>
      </c>
      <c r="G38" s="23">
        <v>16748365447</v>
      </c>
      <c r="H38" s="23">
        <v>-18755567083</v>
      </c>
      <c r="I38" s="23">
        <v>-2007201636</v>
      </c>
    </row>
    <row r="39" spans="1:9" ht="23.1" customHeight="1">
      <c r="A39" s="21" t="s">
        <v>24</v>
      </c>
      <c r="B39" s="22">
        <v>0</v>
      </c>
      <c r="C39" s="23">
        <v>0</v>
      </c>
      <c r="D39" s="23">
        <v>0</v>
      </c>
      <c r="E39" s="23">
        <v>0</v>
      </c>
      <c r="F39" s="22">
        <v>3739720</v>
      </c>
      <c r="G39" s="23">
        <v>223391173189</v>
      </c>
      <c r="H39" s="23">
        <v>-221316869869</v>
      </c>
      <c r="I39" s="23">
        <v>2074303320</v>
      </c>
    </row>
    <row r="40" spans="1:9" ht="23.1" customHeight="1">
      <c r="A40" s="21" t="s">
        <v>23</v>
      </c>
      <c r="B40" s="22">
        <v>0</v>
      </c>
      <c r="C40" s="23">
        <v>0</v>
      </c>
      <c r="D40" s="23">
        <v>0</v>
      </c>
      <c r="E40" s="23">
        <v>0</v>
      </c>
      <c r="F40" s="22">
        <v>5725261</v>
      </c>
      <c r="G40" s="23">
        <v>31131415349</v>
      </c>
      <c r="H40" s="23">
        <v>-31566364824</v>
      </c>
      <c r="I40" s="23">
        <v>-434949475</v>
      </c>
    </row>
    <row r="41" spans="1:9" ht="23.1" customHeight="1">
      <c r="A41" s="21" t="s">
        <v>25</v>
      </c>
      <c r="B41" s="22">
        <v>0</v>
      </c>
      <c r="C41" s="23">
        <v>0</v>
      </c>
      <c r="D41" s="23">
        <v>0</v>
      </c>
      <c r="E41" s="23">
        <v>0</v>
      </c>
      <c r="F41" s="22">
        <v>2105094</v>
      </c>
      <c r="G41" s="23">
        <v>15449812651</v>
      </c>
      <c r="H41" s="23">
        <v>-17617664816</v>
      </c>
      <c r="I41" s="23">
        <v>-2167852165</v>
      </c>
    </row>
    <row r="42" spans="1:9" ht="23.1" customHeight="1">
      <c r="A42" s="21" t="s">
        <v>187</v>
      </c>
      <c r="B42" s="22">
        <v>0</v>
      </c>
      <c r="C42" s="23">
        <v>0</v>
      </c>
      <c r="D42" s="23">
        <v>0</v>
      </c>
      <c r="E42" s="23">
        <v>0</v>
      </c>
      <c r="F42" s="22">
        <v>1182345</v>
      </c>
      <c r="G42" s="23">
        <v>8016966962</v>
      </c>
      <c r="H42" s="23">
        <v>-7491252889</v>
      </c>
      <c r="I42" s="23">
        <v>525714073</v>
      </c>
    </row>
    <row r="43" spans="1:9" ht="23.1" customHeight="1">
      <c r="A43" s="21" t="s">
        <v>29</v>
      </c>
      <c r="B43" s="22">
        <v>0</v>
      </c>
      <c r="C43" s="23">
        <v>0</v>
      </c>
      <c r="D43" s="23">
        <v>0</v>
      </c>
      <c r="E43" s="23">
        <v>0</v>
      </c>
      <c r="F43" s="22">
        <v>10799312</v>
      </c>
      <c r="G43" s="23">
        <v>68862434980</v>
      </c>
      <c r="H43" s="23">
        <v>-57733694794</v>
      </c>
      <c r="I43" s="23">
        <v>11128740186</v>
      </c>
    </row>
    <row r="44" spans="1:9" ht="23.1" customHeight="1">
      <c r="A44" s="21" t="s">
        <v>188</v>
      </c>
      <c r="B44" s="22">
        <v>0</v>
      </c>
      <c r="C44" s="23">
        <v>0</v>
      </c>
      <c r="D44" s="23">
        <v>0</v>
      </c>
      <c r="E44" s="23">
        <v>0</v>
      </c>
      <c r="F44" s="22">
        <v>2000000</v>
      </c>
      <c r="G44" s="23">
        <v>4254534000</v>
      </c>
      <c r="H44" s="23">
        <v>-4424013330</v>
      </c>
      <c r="I44" s="23">
        <v>-169479330</v>
      </c>
    </row>
    <row r="45" spans="1:9" ht="23.1" customHeight="1">
      <c r="A45" s="21" t="s">
        <v>101</v>
      </c>
      <c r="B45" s="22">
        <v>0</v>
      </c>
      <c r="C45" s="23">
        <v>0</v>
      </c>
      <c r="D45" s="23">
        <v>0</v>
      </c>
      <c r="E45" s="23">
        <v>0</v>
      </c>
      <c r="F45" s="22">
        <v>236014</v>
      </c>
      <c r="G45" s="23">
        <v>20344868799</v>
      </c>
      <c r="H45" s="23">
        <v>-19663377756</v>
      </c>
      <c r="I45" s="23">
        <v>681491043</v>
      </c>
    </row>
    <row r="46" spans="1:9" ht="23.1" customHeight="1">
      <c r="A46" s="21" t="s">
        <v>30</v>
      </c>
      <c r="B46" s="22">
        <v>0</v>
      </c>
      <c r="C46" s="23">
        <v>0</v>
      </c>
      <c r="D46" s="23">
        <v>0</v>
      </c>
      <c r="E46" s="23">
        <v>0</v>
      </c>
      <c r="F46" s="22">
        <v>86149</v>
      </c>
      <c r="G46" s="23">
        <v>8702680651</v>
      </c>
      <c r="H46" s="23">
        <v>-7813647412</v>
      </c>
      <c r="I46" s="23">
        <v>889033239</v>
      </c>
    </row>
    <row r="47" spans="1:9" ht="23.1" customHeight="1">
      <c r="A47" s="21" t="s">
        <v>109</v>
      </c>
      <c r="B47" s="22">
        <v>0</v>
      </c>
      <c r="C47" s="23">
        <v>0</v>
      </c>
      <c r="D47" s="23">
        <v>0</v>
      </c>
      <c r="E47" s="23">
        <v>0</v>
      </c>
      <c r="F47" s="22">
        <v>3145899</v>
      </c>
      <c r="G47" s="23">
        <v>13346154529</v>
      </c>
      <c r="H47" s="23">
        <v>-15994053941</v>
      </c>
      <c r="I47" s="23">
        <v>-2647899412</v>
      </c>
    </row>
    <row r="48" spans="1:9" ht="23.1" customHeight="1">
      <c r="A48" s="21" t="s">
        <v>189</v>
      </c>
      <c r="B48" s="22">
        <v>0</v>
      </c>
      <c r="C48" s="23">
        <v>0</v>
      </c>
      <c r="D48" s="23">
        <v>0</v>
      </c>
      <c r="E48" s="23">
        <v>0</v>
      </c>
      <c r="F48" s="22">
        <v>2506063</v>
      </c>
      <c r="G48" s="23">
        <v>2214440847</v>
      </c>
      <c r="H48" s="23">
        <v>-3432807356</v>
      </c>
      <c r="I48" s="23">
        <v>-1218366509</v>
      </c>
    </row>
    <row r="49" spans="1:9" ht="23.1" customHeight="1">
      <c r="A49" s="21" t="s">
        <v>111</v>
      </c>
      <c r="B49" s="22">
        <v>0</v>
      </c>
      <c r="C49" s="23">
        <v>0</v>
      </c>
      <c r="D49" s="23">
        <v>0</v>
      </c>
      <c r="E49" s="23">
        <v>0</v>
      </c>
      <c r="F49" s="22">
        <v>5862634</v>
      </c>
      <c r="G49" s="23">
        <v>3310225670</v>
      </c>
      <c r="H49" s="23">
        <v>-4022072056</v>
      </c>
      <c r="I49" s="23">
        <v>-711846386</v>
      </c>
    </row>
    <row r="50" spans="1:9" ht="23.1" customHeight="1">
      <c r="A50" s="21" t="s">
        <v>190</v>
      </c>
      <c r="B50" s="22">
        <v>0</v>
      </c>
      <c r="C50" s="23">
        <v>0</v>
      </c>
      <c r="D50" s="23">
        <v>0</v>
      </c>
      <c r="E50" s="23">
        <v>0</v>
      </c>
      <c r="F50" s="22">
        <v>24846</v>
      </c>
      <c r="G50" s="23">
        <v>4325078243</v>
      </c>
      <c r="H50" s="23">
        <v>-4530631628</v>
      </c>
      <c r="I50" s="23">
        <v>-205553385</v>
      </c>
    </row>
    <row r="51" spans="1:9" ht="23.1" customHeight="1">
      <c r="A51" s="21" t="s">
        <v>56</v>
      </c>
      <c r="B51" s="22">
        <v>0</v>
      </c>
      <c r="C51" s="23">
        <v>0</v>
      </c>
      <c r="D51" s="23">
        <v>0</v>
      </c>
      <c r="E51" s="23">
        <v>0</v>
      </c>
      <c r="F51" s="22">
        <v>20616320</v>
      </c>
      <c r="G51" s="23">
        <v>31875057591</v>
      </c>
      <c r="H51" s="23">
        <v>-33428367283</v>
      </c>
      <c r="I51" s="23">
        <v>-1553309692</v>
      </c>
    </row>
    <row r="52" spans="1:9" ht="23.1" customHeight="1">
      <c r="A52" s="21" t="s">
        <v>152</v>
      </c>
      <c r="B52" s="22">
        <v>0</v>
      </c>
      <c r="C52" s="23">
        <v>0</v>
      </c>
      <c r="D52" s="23">
        <v>0</v>
      </c>
      <c r="E52" s="23">
        <v>0</v>
      </c>
      <c r="F52" s="22">
        <v>2298852</v>
      </c>
      <c r="G52" s="23">
        <v>3824691266</v>
      </c>
      <c r="H52" s="23">
        <v>-4076591255</v>
      </c>
      <c r="I52" s="23">
        <v>-251899989</v>
      </c>
    </row>
    <row r="53" spans="1:9" ht="23.1" customHeight="1">
      <c r="A53" s="21" t="s">
        <v>191</v>
      </c>
      <c r="B53" s="22">
        <v>0</v>
      </c>
      <c r="C53" s="23">
        <v>0</v>
      </c>
      <c r="D53" s="23">
        <v>0</v>
      </c>
      <c r="E53" s="23">
        <v>0</v>
      </c>
      <c r="F53" s="22">
        <v>2652068</v>
      </c>
      <c r="G53" s="23">
        <v>5610368086</v>
      </c>
      <c r="H53" s="23">
        <v>-6577539050</v>
      </c>
      <c r="I53" s="23">
        <v>-967170964</v>
      </c>
    </row>
    <row r="54" spans="1:9" ht="23.1" customHeight="1">
      <c r="A54" s="21" t="s">
        <v>44</v>
      </c>
      <c r="B54" s="22">
        <v>0</v>
      </c>
      <c r="C54" s="23">
        <v>0</v>
      </c>
      <c r="D54" s="23">
        <v>0</v>
      </c>
      <c r="E54" s="23">
        <v>0</v>
      </c>
      <c r="F54" s="22">
        <v>12189962</v>
      </c>
      <c r="G54" s="23">
        <v>136390173955</v>
      </c>
      <c r="H54" s="23">
        <v>-117754768074</v>
      </c>
      <c r="I54" s="23">
        <v>18635405881</v>
      </c>
    </row>
    <row r="55" spans="1:9" ht="23.1" customHeight="1">
      <c r="A55" s="21" t="s">
        <v>145</v>
      </c>
      <c r="B55" s="22">
        <v>0</v>
      </c>
      <c r="C55" s="23">
        <v>0</v>
      </c>
      <c r="D55" s="23">
        <v>0</v>
      </c>
      <c r="E55" s="23">
        <v>0</v>
      </c>
      <c r="F55" s="22">
        <v>154440</v>
      </c>
      <c r="G55" s="23">
        <v>2178917053</v>
      </c>
      <c r="H55" s="23">
        <v>-3303773687</v>
      </c>
      <c r="I55" s="23">
        <v>-1124856634</v>
      </c>
    </row>
    <row r="56" spans="1:9" ht="23.1" customHeight="1">
      <c r="A56" s="21" t="s">
        <v>103</v>
      </c>
      <c r="B56" s="22">
        <v>0</v>
      </c>
      <c r="C56" s="23">
        <v>0</v>
      </c>
      <c r="D56" s="23">
        <v>0</v>
      </c>
      <c r="E56" s="23">
        <v>0</v>
      </c>
      <c r="F56" s="22">
        <v>411</v>
      </c>
      <c r="G56" s="23">
        <v>1074502</v>
      </c>
      <c r="H56" s="23">
        <v>-992385</v>
      </c>
      <c r="I56" s="23">
        <v>82117</v>
      </c>
    </row>
    <row r="57" spans="1:9" ht="23.1" customHeight="1">
      <c r="A57" s="21" t="s">
        <v>28</v>
      </c>
      <c r="B57" s="22">
        <v>0</v>
      </c>
      <c r="C57" s="23">
        <v>0</v>
      </c>
      <c r="D57" s="23">
        <v>0</v>
      </c>
      <c r="E57" s="23">
        <v>0</v>
      </c>
      <c r="F57" s="22">
        <v>18558178</v>
      </c>
      <c r="G57" s="23">
        <v>9057203301</v>
      </c>
      <c r="H57" s="23">
        <v>-10456356722</v>
      </c>
      <c r="I57" s="23">
        <v>-1399153421</v>
      </c>
    </row>
    <row r="58" spans="1:9" ht="23.1" customHeight="1">
      <c r="A58" s="21" t="s">
        <v>48</v>
      </c>
      <c r="B58" s="22">
        <v>0</v>
      </c>
      <c r="C58" s="23">
        <v>0</v>
      </c>
      <c r="D58" s="23">
        <v>0</v>
      </c>
      <c r="E58" s="23">
        <v>0</v>
      </c>
      <c r="F58" s="22">
        <v>1270572</v>
      </c>
      <c r="G58" s="23">
        <v>9329645105</v>
      </c>
      <c r="H58" s="23">
        <v>-8624662492</v>
      </c>
      <c r="I58" s="23">
        <v>704982613</v>
      </c>
    </row>
    <row r="59" spans="1:9" ht="23.1" customHeight="1">
      <c r="A59" s="21" t="s">
        <v>192</v>
      </c>
      <c r="B59" s="22">
        <v>0</v>
      </c>
      <c r="C59" s="23">
        <v>0</v>
      </c>
      <c r="D59" s="23">
        <v>0</v>
      </c>
      <c r="E59" s="23">
        <v>0</v>
      </c>
      <c r="F59" s="22">
        <v>12844491</v>
      </c>
      <c r="G59" s="23">
        <v>26107028288</v>
      </c>
      <c r="H59" s="23">
        <v>-25224312186</v>
      </c>
      <c r="I59" s="23">
        <v>882716102</v>
      </c>
    </row>
    <row r="60" spans="1:9" ht="23.1" customHeight="1">
      <c r="A60" s="21" t="s">
        <v>193</v>
      </c>
      <c r="B60" s="22">
        <v>0</v>
      </c>
      <c r="C60" s="23">
        <v>0</v>
      </c>
      <c r="D60" s="23">
        <v>0</v>
      </c>
      <c r="E60" s="23">
        <v>0</v>
      </c>
      <c r="F60" s="22">
        <v>444741</v>
      </c>
      <c r="G60" s="23">
        <v>4732346019</v>
      </c>
      <c r="H60" s="23">
        <v>-5636708590</v>
      </c>
      <c r="I60" s="23">
        <v>-904362571</v>
      </c>
    </row>
    <row r="61" spans="1:9" ht="23.1" customHeight="1">
      <c r="A61" s="21" t="s">
        <v>42</v>
      </c>
      <c r="B61" s="22">
        <v>0</v>
      </c>
      <c r="C61" s="23">
        <v>0</v>
      </c>
      <c r="D61" s="23">
        <v>0</v>
      </c>
      <c r="E61" s="23">
        <v>0</v>
      </c>
      <c r="F61" s="22">
        <v>5739786</v>
      </c>
      <c r="G61" s="23">
        <v>13997077141</v>
      </c>
      <c r="H61" s="23">
        <v>-14379248664</v>
      </c>
      <c r="I61" s="23">
        <v>-382171523</v>
      </c>
    </row>
    <row r="62" spans="1:9" ht="23.1" customHeight="1">
      <c r="A62" s="21" t="s">
        <v>46</v>
      </c>
      <c r="B62" s="22">
        <v>0</v>
      </c>
      <c r="C62" s="23">
        <v>0</v>
      </c>
      <c r="D62" s="23">
        <v>0</v>
      </c>
      <c r="E62" s="23">
        <v>0</v>
      </c>
      <c r="F62" s="22">
        <v>5522145</v>
      </c>
      <c r="G62" s="23">
        <v>12046091228</v>
      </c>
      <c r="H62" s="23">
        <v>-11588044538</v>
      </c>
      <c r="I62" s="23">
        <v>458046690</v>
      </c>
    </row>
    <row r="63" spans="1:9" ht="23.1" customHeight="1">
      <c r="A63" s="21" t="s">
        <v>194</v>
      </c>
      <c r="B63" s="22">
        <v>0</v>
      </c>
      <c r="C63" s="23">
        <v>0</v>
      </c>
      <c r="D63" s="23">
        <v>0</v>
      </c>
      <c r="E63" s="23">
        <v>0</v>
      </c>
      <c r="F63" s="22">
        <v>1841351</v>
      </c>
      <c r="G63" s="23">
        <v>2320731585</v>
      </c>
      <c r="H63" s="23">
        <v>-3424668975</v>
      </c>
      <c r="I63" s="23">
        <v>-1103937390</v>
      </c>
    </row>
    <row r="64" spans="1:9" ht="23.1" customHeight="1">
      <c r="A64" s="21" t="s">
        <v>134</v>
      </c>
      <c r="B64" s="22">
        <v>0</v>
      </c>
      <c r="C64" s="23">
        <v>0</v>
      </c>
      <c r="D64" s="23">
        <v>0</v>
      </c>
      <c r="E64" s="23">
        <v>0</v>
      </c>
      <c r="F64" s="22">
        <v>3264919</v>
      </c>
      <c r="G64" s="23">
        <v>11121473173</v>
      </c>
      <c r="H64" s="23">
        <v>-12021305084</v>
      </c>
      <c r="I64" s="23">
        <v>-899831911</v>
      </c>
    </row>
    <row r="65" spans="1:9" ht="23.1" customHeight="1">
      <c r="A65" s="21" t="s">
        <v>195</v>
      </c>
      <c r="B65" s="22">
        <v>0</v>
      </c>
      <c r="C65" s="23">
        <v>0</v>
      </c>
      <c r="D65" s="23">
        <v>0</v>
      </c>
      <c r="E65" s="23">
        <v>0</v>
      </c>
      <c r="F65" s="22">
        <v>1066372</v>
      </c>
      <c r="G65" s="23">
        <v>3053746934</v>
      </c>
      <c r="H65" s="23">
        <v>-3657093452</v>
      </c>
      <c r="I65" s="23">
        <v>-603346518</v>
      </c>
    </row>
    <row r="66" spans="1:9" ht="23.1" customHeight="1">
      <c r="A66" s="21" t="s">
        <v>57</v>
      </c>
      <c r="B66" s="22">
        <v>0</v>
      </c>
      <c r="C66" s="23">
        <v>0</v>
      </c>
      <c r="D66" s="23">
        <v>0</v>
      </c>
      <c r="E66" s="23">
        <v>0</v>
      </c>
      <c r="F66" s="22">
        <v>469500</v>
      </c>
      <c r="G66" s="23">
        <v>38684786204</v>
      </c>
      <c r="H66" s="23">
        <v>-36500967922</v>
      </c>
      <c r="I66" s="23">
        <v>2183818282</v>
      </c>
    </row>
    <row r="67" spans="1:9" ht="23.1" customHeight="1">
      <c r="A67" s="21" t="s">
        <v>196</v>
      </c>
      <c r="B67" s="22">
        <v>0</v>
      </c>
      <c r="C67" s="23">
        <v>0</v>
      </c>
      <c r="D67" s="23">
        <v>0</v>
      </c>
      <c r="E67" s="23">
        <v>0</v>
      </c>
      <c r="F67" s="22">
        <v>2018267</v>
      </c>
      <c r="G67" s="23">
        <v>7749455023</v>
      </c>
      <c r="H67" s="23">
        <v>-6944119520</v>
      </c>
      <c r="I67" s="23">
        <v>805335503</v>
      </c>
    </row>
    <row r="68" spans="1:9" ht="23.1" customHeight="1">
      <c r="A68" s="21" t="s">
        <v>155</v>
      </c>
      <c r="B68" s="22">
        <v>0</v>
      </c>
      <c r="C68" s="23">
        <v>0</v>
      </c>
      <c r="D68" s="23">
        <v>0</v>
      </c>
      <c r="E68" s="23">
        <v>0</v>
      </c>
      <c r="F68" s="22">
        <v>4731898</v>
      </c>
      <c r="G68" s="23">
        <v>3686480168</v>
      </c>
      <c r="H68" s="23">
        <v>-4926076873</v>
      </c>
      <c r="I68" s="23">
        <v>-1239596705</v>
      </c>
    </row>
    <row r="69" spans="1:9" ht="23.1" customHeight="1">
      <c r="A69" s="21" t="s">
        <v>130</v>
      </c>
      <c r="B69" s="22">
        <v>0</v>
      </c>
      <c r="C69" s="23">
        <v>0</v>
      </c>
      <c r="D69" s="23">
        <v>0</v>
      </c>
      <c r="E69" s="23">
        <v>0</v>
      </c>
      <c r="F69" s="22">
        <v>2243024</v>
      </c>
      <c r="G69" s="23">
        <v>11634070886</v>
      </c>
      <c r="H69" s="23">
        <v>-11614105709</v>
      </c>
      <c r="I69" s="23">
        <v>19965177</v>
      </c>
    </row>
    <row r="70" spans="1:9" ht="23.1" customHeight="1">
      <c r="A70" s="21" t="s">
        <v>197</v>
      </c>
      <c r="B70" s="22">
        <v>0</v>
      </c>
      <c r="C70" s="23">
        <v>0</v>
      </c>
      <c r="D70" s="23">
        <v>0</v>
      </c>
      <c r="E70" s="23">
        <v>0</v>
      </c>
      <c r="F70" s="22">
        <v>1707968</v>
      </c>
      <c r="G70" s="23">
        <v>3230411896</v>
      </c>
      <c r="H70" s="23">
        <v>-3565391745</v>
      </c>
      <c r="I70" s="23">
        <v>-334979849</v>
      </c>
    </row>
    <row r="71" spans="1:9" ht="23.1" customHeight="1">
      <c r="A71" s="21" t="s">
        <v>43</v>
      </c>
      <c r="B71" s="22">
        <v>0</v>
      </c>
      <c r="C71" s="23">
        <v>0</v>
      </c>
      <c r="D71" s="23">
        <v>0</v>
      </c>
      <c r="E71" s="23">
        <v>0</v>
      </c>
      <c r="F71" s="22">
        <v>16450599</v>
      </c>
      <c r="G71" s="23">
        <v>216411745051</v>
      </c>
      <c r="H71" s="23">
        <v>-162820918042</v>
      </c>
      <c r="I71" s="23">
        <v>53590827009</v>
      </c>
    </row>
    <row r="72" spans="1:9" ht="23.1" customHeight="1">
      <c r="A72" s="21" t="s">
        <v>198</v>
      </c>
      <c r="B72" s="22">
        <v>0</v>
      </c>
      <c r="C72" s="23">
        <v>0</v>
      </c>
      <c r="D72" s="23">
        <v>0</v>
      </c>
      <c r="E72" s="23">
        <v>0</v>
      </c>
      <c r="F72" s="22">
        <v>1009300</v>
      </c>
      <c r="G72" s="23">
        <v>2097500191</v>
      </c>
      <c r="H72" s="23">
        <v>-3091150867</v>
      </c>
      <c r="I72" s="23">
        <v>-993650676</v>
      </c>
    </row>
    <row r="73" spans="1:9" ht="23.1" customHeight="1">
      <c r="A73" s="21" t="s">
        <v>199</v>
      </c>
      <c r="B73" s="22">
        <v>0</v>
      </c>
      <c r="C73" s="23">
        <v>0</v>
      </c>
      <c r="D73" s="23">
        <v>0</v>
      </c>
      <c r="E73" s="23">
        <v>0</v>
      </c>
      <c r="F73" s="22">
        <v>1315388</v>
      </c>
      <c r="G73" s="23">
        <v>1759344879</v>
      </c>
      <c r="H73" s="23">
        <v>-2467368443</v>
      </c>
      <c r="I73" s="23">
        <v>-708023564</v>
      </c>
    </row>
    <row r="74" spans="1:9" ht="23.1" customHeight="1">
      <c r="A74" s="21" t="s">
        <v>122</v>
      </c>
      <c r="B74" s="22">
        <v>0</v>
      </c>
      <c r="C74" s="23">
        <v>0</v>
      </c>
      <c r="D74" s="23">
        <v>0</v>
      </c>
      <c r="E74" s="23">
        <v>0</v>
      </c>
      <c r="F74" s="22">
        <v>269589</v>
      </c>
      <c r="G74" s="23">
        <v>1200219410</v>
      </c>
      <c r="H74" s="23">
        <v>-1707064106</v>
      </c>
      <c r="I74" s="23">
        <v>-506844696</v>
      </c>
    </row>
    <row r="75" spans="1:9" ht="23.1" customHeight="1">
      <c r="A75" s="21" t="s">
        <v>41</v>
      </c>
      <c r="B75" s="22">
        <v>0</v>
      </c>
      <c r="C75" s="23">
        <v>0</v>
      </c>
      <c r="D75" s="23">
        <v>0</v>
      </c>
      <c r="E75" s="23">
        <v>0</v>
      </c>
      <c r="F75" s="22">
        <v>2931802</v>
      </c>
      <c r="G75" s="23">
        <v>23354518168</v>
      </c>
      <c r="H75" s="23">
        <v>-13693327271</v>
      </c>
      <c r="I75" s="23">
        <v>9661190897</v>
      </c>
    </row>
    <row r="76" spans="1:9" ht="23.1" customHeight="1">
      <c r="A76" s="21" t="s">
        <v>200</v>
      </c>
      <c r="B76" s="22">
        <v>0</v>
      </c>
      <c r="C76" s="23">
        <v>0</v>
      </c>
      <c r="D76" s="23">
        <v>0</v>
      </c>
      <c r="E76" s="23">
        <v>0</v>
      </c>
      <c r="F76" s="22">
        <v>509</v>
      </c>
      <c r="G76" s="23">
        <v>1808852</v>
      </c>
      <c r="H76" s="23">
        <v>-1618558</v>
      </c>
      <c r="I76" s="23">
        <v>190294</v>
      </c>
    </row>
    <row r="77" spans="1:9" ht="23.1" customHeight="1">
      <c r="A77" s="21" t="s">
        <v>201</v>
      </c>
      <c r="B77" s="22">
        <v>0</v>
      </c>
      <c r="C77" s="23">
        <v>0</v>
      </c>
      <c r="D77" s="23">
        <v>0</v>
      </c>
      <c r="E77" s="23">
        <v>0</v>
      </c>
      <c r="F77" s="22">
        <v>863801</v>
      </c>
      <c r="G77" s="23">
        <v>3539496279</v>
      </c>
      <c r="H77" s="23">
        <v>-4147334489</v>
      </c>
      <c r="I77" s="23">
        <v>-607838210</v>
      </c>
    </row>
    <row r="78" spans="1:9" ht="23.1" customHeight="1">
      <c r="A78" s="21" t="s">
        <v>37</v>
      </c>
      <c r="B78" s="22">
        <v>0</v>
      </c>
      <c r="C78" s="23">
        <v>0</v>
      </c>
      <c r="D78" s="23">
        <v>0</v>
      </c>
      <c r="E78" s="23">
        <v>0</v>
      </c>
      <c r="F78" s="22">
        <v>7214464</v>
      </c>
      <c r="G78" s="23">
        <v>31535220807</v>
      </c>
      <c r="H78" s="23">
        <v>-32571859592</v>
      </c>
      <c r="I78" s="23">
        <v>-1036638785</v>
      </c>
    </row>
    <row r="79" spans="1:9" ht="23.1" customHeight="1">
      <c r="A79" s="21" t="s">
        <v>33</v>
      </c>
      <c r="B79" s="22">
        <v>0</v>
      </c>
      <c r="C79" s="23">
        <v>0</v>
      </c>
      <c r="D79" s="23">
        <v>0</v>
      </c>
      <c r="E79" s="23">
        <v>0</v>
      </c>
      <c r="F79" s="22">
        <v>19144560</v>
      </c>
      <c r="G79" s="23">
        <v>67059514872</v>
      </c>
      <c r="H79" s="23">
        <v>-71573620945</v>
      </c>
      <c r="I79" s="23">
        <v>-4514106073</v>
      </c>
    </row>
    <row r="80" spans="1:9" ht="23.1" customHeight="1">
      <c r="A80" s="21" t="s">
        <v>120</v>
      </c>
      <c r="B80" s="22">
        <v>0</v>
      </c>
      <c r="C80" s="23">
        <v>0</v>
      </c>
      <c r="D80" s="23">
        <v>0</v>
      </c>
      <c r="E80" s="23">
        <v>0</v>
      </c>
      <c r="F80" s="22">
        <v>244394</v>
      </c>
      <c r="G80" s="23">
        <v>6618389748</v>
      </c>
      <c r="H80" s="23">
        <v>-7552418766</v>
      </c>
      <c r="I80" s="23">
        <v>-934029018</v>
      </c>
    </row>
    <row r="81" spans="1:9" ht="23.1" customHeight="1">
      <c r="A81" s="21" t="s">
        <v>34</v>
      </c>
      <c r="B81" s="22">
        <v>0</v>
      </c>
      <c r="C81" s="23">
        <v>0</v>
      </c>
      <c r="D81" s="23">
        <v>0</v>
      </c>
      <c r="E81" s="23">
        <v>0</v>
      </c>
      <c r="F81" s="22">
        <v>1009254</v>
      </c>
      <c r="G81" s="23">
        <v>8767876953</v>
      </c>
      <c r="H81" s="23">
        <v>-7998885385</v>
      </c>
      <c r="I81" s="23">
        <v>768991568</v>
      </c>
    </row>
    <row r="82" spans="1:9" ht="23.1" customHeight="1">
      <c r="A82" s="21" t="s">
        <v>159</v>
      </c>
      <c r="B82" s="22">
        <v>0</v>
      </c>
      <c r="C82" s="23">
        <v>0</v>
      </c>
      <c r="D82" s="23">
        <v>0</v>
      </c>
      <c r="E82" s="23">
        <v>0</v>
      </c>
      <c r="F82" s="22">
        <v>1657230</v>
      </c>
      <c r="G82" s="23">
        <v>54120175155</v>
      </c>
      <c r="H82" s="23">
        <v>-46477278766</v>
      </c>
      <c r="I82" s="23">
        <v>7642896389</v>
      </c>
    </row>
    <row r="83" spans="1:9" ht="23.1" customHeight="1">
      <c r="A83" s="21" t="s">
        <v>140</v>
      </c>
      <c r="B83" s="22">
        <v>0</v>
      </c>
      <c r="C83" s="23">
        <v>0</v>
      </c>
      <c r="D83" s="23">
        <v>0</v>
      </c>
      <c r="E83" s="23">
        <v>0</v>
      </c>
      <c r="F83" s="22">
        <v>272649</v>
      </c>
      <c r="G83" s="23">
        <v>3857499558</v>
      </c>
      <c r="H83" s="23">
        <v>-6553426539</v>
      </c>
      <c r="I83" s="23">
        <v>-2695926981</v>
      </c>
    </row>
    <row r="84" spans="1:9" ht="23.1" customHeight="1">
      <c r="A84" s="21" t="s">
        <v>113</v>
      </c>
      <c r="B84" s="22">
        <v>0</v>
      </c>
      <c r="C84" s="23">
        <v>0</v>
      </c>
      <c r="D84" s="23">
        <v>0</v>
      </c>
      <c r="E84" s="23">
        <v>0</v>
      </c>
      <c r="F84" s="22">
        <v>169495</v>
      </c>
      <c r="G84" s="23">
        <v>5444431918</v>
      </c>
      <c r="H84" s="23">
        <v>-6313189336</v>
      </c>
      <c r="I84" s="23">
        <v>-868757418</v>
      </c>
    </row>
    <row r="85" spans="1:9" ht="23.1" customHeight="1">
      <c r="A85" s="21" t="s">
        <v>202</v>
      </c>
      <c r="B85" s="22">
        <v>0</v>
      </c>
      <c r="C85" s="23">
        <v>0</v>
      </c>
      <c r="D85" s="23">
        <v>0</v>
      </c>
      <c r="E85" s="23">
        <v>0</v>
      </c>
      <c r="F85" s="22">
        <v>1867884</v>
      </c>
      <c r="G85" s="23">
        <v>3555241632</v>
      </c>
      <c r="H85" s="23">
        <v>-3421715246</v>
      </c>
      <c r="I85" s="23">
        <v>133526386</v>
      </c>
    </row>
    <row r="86" spans="1:9" ht="23.1" customHeight="1">
      <c r="A86" s="21" t="s">
        <v>203</v>
      </c>
      <c r="B86" s="22">
        <v>0</v>
      </c>
      <c r="C86" s="23">
        <v>0</v>
      </c>
      <c r="D86" s="23">
        <v>0</v>
      </c>
      <c r="E86" s="23">
        <v>0</v>
      </c>
      <c r="F86" s="22">
        <v>400000</v>
      </c>
      <c r="G86" s="23">
        <v>1282053212</v>
      </c>
      <c r="H86" s="23">
        <v>-1225135872</v>
      </c>
      <c r="I86" s="23">
        <v>56917340</v>
      </c>
    </row>
    <row r="87" spans="1:9" ht="23.1" customHeight="1">
      <c r="A87" s="21" t="s">
        <v>204</v>
      </c>
      <c r="B87" s="22">
        <v>0</v>
      </c>
      <c r="C87" s="23">
        <v>0</v>
      </c>
      <c r="D87" s="23">
        <v>0</v>
      </c>
      <c r="E87" s="23">
        <v>0</v>
      </c>
      <c r="F87" s="22">
        <v>1150000</v>
      </c>
      <c r="G87" s="23">
        <v>6415510358</v>
      </c>
      <c r="H87" s="23">
        <v>-6054112985</v>
      </c>
      <c r="I87" s="23">
        <v>361397373</v>
      </c>
    </row>
    <row r="88" spans="1:9" ht="23.1" customHeight="1">
      <c r="A88" s="21" t="s">
        <v>157</v>
      </c>
      <c r="B88" s="22">
        <v>0</v>
      </c>
      <c r="C88" s="23">
        <v>0</v>
      </c>
      <c r="D88" s="23">
        <v>0</v>
      </c>
      <c r="E88" s="23">
        <v>0</v>
      </c>
      <c r="F88" s="22">
        <v>5916367</v>
      </c>
      <c r="G88" s="23">
        <v>12203226111</v>
      </c>
      <c r="H88" s="23">
        <v>-10494030590</v>
      </c>
      <c r="I88" s="23">
        <v>1709195521</v>
      </c>
    </row>
    <row r="89" spans="1:9" ht="23.1" customHeight="1">
      <c r="A89" s="21" t="s">
        <v>51</v>
      </c>
      <c r="B89" s="22">
        <v>0</v>
      </c>
      <c r="C89" s="23">
        <v>0</v>
      </c>
      <c r="D89" s="23">
        <v>0</v>
      </c>
      <c r="E89" s="23">
        <v>0</v>
      </c>
      <c r="F89" s="22">
        <v>95757</v>
      </c>
      <c r="G89" s="23">
        <v>2571724540</v>
      </c>
      <c r="H89" s="23">
        <v>-2437477629</v>
      </c>
      <c r="I89" s="23">
        <v>134246911</v>
      </c>
    </row>
    <row r="90" spans="1:9" ht="23.1" customHeight="1">
      <c r="A90" s="21" t="s">
        <v>205</v>
      </c>
      <c r="B90" s="22">
        <v>0</v>
      </c>
      <c r="C90" s="23">
        <v>0</v>
      </c>
      <c r="D90" s="23">
        <v>0</v>
      </c>
      <c r="E90" s="23">
        <v>0</v>
      </c>
      <c r="F90" s="22">
        <v>41982992</v>
      </c>
      <c r="G90" s="23">
        <v>17186480575</v>
      </c>
      <c r="H90" s="23">
        <v>-19802999789</v>
      </c>
      <c r="I90" s="23">
        <v>-2616519214</v>
      </c>
    </row>
    <row r="91" spans="1:9" ht="23.1" customHeight="1">
      <c r="A91" s="21" t="s">
        <v>206</v>
      </c>
      <c r="B91" s="22">
        <v>0</v>
      </c>
      <c r="C91" s="23">
        <v>0</v>
      </c>
      <c r="D91" s="23">
        <v>0</v>
      </c>
      <c r="E91" s="23">
        <v>0</v>
      </c>
      <c r="F91" s="22">
        <v>376281</v>
      </c>
      <c r="G91" s="23">
        <v>1524210658</v>
      </c>
      <c r="H91" s="23">
        <v>-2150742241</v>
      </c>
      <c r="I91" s="23">
        <v>-626531583</v>
      </c>
    </row>
    <row r="92" spans="1:9" ht="23.1" customHeight="1">
      <c r="A92" s="21" t="s">
        <v>128</v>
      </c>
      <c r="B92" s="22">
        <v>0</v>
      </c>
      <c r="C92" s="23">
        <v>0</v>
      </c>
      <c r="D92" s="23">
        <v>0</v>
      </c>
      <c r="E92" s="23">
        <v>0</v>
      </c>
      <c r="F92" s="22">
        <v>727884</v>
      </c>
      <c r="G92" s="23">
        <v>1796573849</v>
      </c>
      <c r="H92" s="23">
        <v>-2485576983</v>
      </c>
      <c r="I92" s="23">
        <v>-689003134</v>
      </c>
    </row>
    <row r="93" spans="1:9" ht="23.1" customHeight="1">
      <c r="A93" s="21" t="s">
        <v>207</v>
      </c>
      <c r="B93" s="22">
        <v>0</v>
      </c>
      <c r="C93" s="23">
        <v>0</v>
      </c>
      <c r="D93" s="23">
        <v>0</v>
      </c>
      <c r="E93" s="23">
        <v>0</v>
      </c>
      <c r="F93" s="22">
        <v>652251</v>
      </c>
      <c r="G93" s="23">
        <v>2378374164</v>
      </c>
      <c r="H93" s="23">
        <v>-2882653496</v>
      </c>
      <c r="I93" s="23">
        <v>-504279332</v>
      </c>
    </row>
    <row r="94" spans="1:9" ht="23.1" customHeight="1">
      <c r="A94" s="21" t="s">
        <v>117</v>
      </c>
      <c r="B94" s="22">
        <v>0</v>
      </c>
      <c r="C94" s="23">
        <v>0</v>
      </c>
      <c r="D94" s="23">
        <v>0</v>
      </c>
      <c r="E94" s="23">
        <v>0</v>
      </c>
      <c r="F94" s="22">
        <v>1073908</v>
      </c>
      <c r="G94" s="23">
        <v>6042333099</v>
      </c>
      <c r="H94" s="23">
        <v>-6735759980</v>
      </c>
      <c r="I94" s="23">
        <v>-693426881</v>
      </c>
    </row>
    <row r="95" spans="1:9" ht="23.1" customHeight="1">
      <c r="A95" s="21" t="s">
        <v>60</v>
      </c>
      <c r="B95" s="22"/>
      <c r="C95" s="23">
        <v>0</v>
      </c>
      <c r="D95" s="23">
        <v>0</v>
      </c>
      <c r="E95" s="23">
        <v>0</v>
      </c>
      <c r="F95" s="22">
        <f>SUBTOTAL(109,F7:F94)</f>
        <v>459553307</v>
      </c>
      <c r="G95" s="23">
        <v>1890522666982</v>
      </c>
      <c r="H95" s="23">
        <v>-1821692877179</v>
      </c>
      <c r="I95" s="23">
        <v>68829789803</v>
      </c>
    </row>
    <row r="96" spans="1:9" ht="23.1" customHeight="1">
      <c r="A96" s="21" t="s">
        <v>61</v>
      </c>
      <c r="B96" s="22"/>
      <c r="C96" s="23"/>
      <c r="D96" s="23"/>
      <c r="E96" s="23"/>
      <c r="F96" s="22"/>
      <c r="G96" s="23"/>
      <c r="H96" s="23"/>
      <c r="I96" s="23"/>
    </row>
    <row r="98" spans="1:9">
      <c r="A98" s="87" t="s">
        <v>208</v>
      </c>
      <c r="B98" s="88"/>
      <c r="C98" s="88"/>
      <c r="D98" s="88"/>
      <c r="E98" s="88"/>
      <c r="F98" s="88"/>
      <c r="G98" s="88"/>
      <c r="H98" s="88"/>
      <c r="I98" s="89"/>
    </row>
  </sheetData>
  <mergeCells count="8">
    <mergeCell ref="A1:I1"/>
    <mergeCell ref="A2:I2"/>
    <mergeCell ref="A3:I3"/>
    <mergeCell ref="A98:I98"/>
    <mergeCell ref="B5:E5"/>
    <mergeCell ref="F5:I5"/>
    <mergeCell ref="A4:E4"/>
    <mergeCell ref="F4:I4"/>
  </mergeCells>
  <pageMargins left="0.7" right="0.7" top="0.75" bottom="0.75" header="0.3" footer="0.3"/>
  <pageSetup paperSize="9" scale="85" orientation="landscape" horizontalDpi="4294967295" verticalDpi="4294967295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I48"/>
  <sheetViews>
    <sheetView rightToLeft="1" view="pageBreakPreview" topLeftCell="A4" zoomScale="106" zoomScaleNormal="115" zoomScaleSheetLayoutView="106" workbookViewId="0">
      <selection activeCell="E54" sqref="E54"/>
    </sheetView>
  </sheetViews>
  <sheetFormatPr defaultColWidth="9" defaultRowHeight="18"/>
  <cols>
    <col min="1" max="1" width="31.7109375" style="39" customWidth="1"/>
    <col min="2" max="2" width="13" style="39" customWidth="1"/>
    <col min="3" max="3" width="16.28515625" style="39" customWidth="1"/>
    <col min="4" max="4" width="17" style="39" customWidth="1"/>
    <col min="5" max="5" width="28.42578125" style="39" customWidth="1"/>
    <col min="6" max="6" width="13" style="39" customWidth="1"/>
    <col min="7" max="7" width="16.28515625" style="39" customWidth="1"/>
    <col min="8" max="8" width="17" style="39" customWidth="1"/>
    <col min="9" max="9" width="28.42578125" style="39" customWidth="1"/>
    <col min="10" max="10" width="9" style="1" customWidth="1"/>
    <col min="11" max="16384" width="9" style="1"/>
  </cols>
  <sheetData>
    <row r="1" spans="1:9" ht="21">
      <c r="A1" s="55" t="s">
        <v>1</v>
      </c>
      <c r="B1" s="55"/>
      <c r="C1" s="55"/>
      <c r="D1" s="55"/>
      <c r="E1" s="55"/>
      <c r="F1" s="55"/>
      <c r="G1" s="55"/>
      <c r="H1" s="55"/>
      <c r="I1" s="55"/>
    </row>
    <row r="2" spans="1:9" ht="21">
      <c r="A2" s="55" t="s">
        <v>74</v>
      </c>
      <c r="B2" s="55"/>
      <c r="C2" s="55"/>
      <c r="D2" s="55"/>
      <c r="E2" s="55"/>
      <c r="F2" s="55"/>
      <c r="G2" s="55"/>
      <c r="H2" s="55"/>
      <c r="I2" s="55"/>
    </row>
    <row r="3" spans="1:9" ht="21">
      <c r="A3" s="55" t="s">
        <v>75</v>
      </c>
      <c r="B3" s="55"/>
      <c r="C3" s="55"/>
      <c r="D3" s="55"/>
      <c r="E3" s="55"/>
      <c r="F3" s="55"/>
      <c r="G3" s="55"/>
      <c r="H3" s="55"/>
      <c r="I3" s="55"/>
    </row>
    <row r="4" spans="1:9" ht="18.75">
      <c r="A4" s="80" t="s">
        <v>209</v>
      </c>
      <c r="B4" s="54"/>
      <c r="C4" s="54"/>
      <c r="D4" s="54"/>
      <c r="E4" s="26"/>
      <c r="F4" s="26"/>
      <c r="G4" s="26"/>
      <c r="H4" s="26"/>
      <c r="I4" s="26"/>
    </row>
    <row r="5" spans="1:9" ht="16.5" customHeight="1">
      <c r="A5" s="26"/>
      <c r="B5" s="92" t="s">
        <v>93</v>
      </c>
      <c r="C5" s="84"/>
      <c r="D5" s="84"/>
      <c r="E5" s="84"/>
      <c r="F5" s="85" t="s">
        <v>94</v>
      </c>
      <c r="G5" s="83"/>
      <c r="H5" s="83"/>
      <c r="I5" s="83"/>
    </row>
    <row r="6" spans="1:9" ht="53.25" customHeight="1">
      <c r="A6" s="18" t="s">
        <v>77</v>
      </c>
      <c r="B6" s="38" t="s">
        <v>14</v>
      </c>
      <c r="C6" s="38" t="s">
        <v>16</v>
      </c>
      <c r="D6" s="38" t="s">
        <v>178</v>
      </c>
      <c r="E6" s="44" t="s">
        <v>210</v>
      </c>
      <c r="F6" s="38" t="s">
        <v>14</v>
      </c>
      <c r="G6" s="38" t="s">
        <v>16</v>
      </c>
      <c r="H6" s="38" t="s">
        <v>178</v>
      </c>
      <c r="I6" s="44" t="s">
        <v>210</v>
      </c>
    </row>
    <row r="7" spans="1:9" ht="23.1" customHeight="1">
      <c r="A7" s="21" t="s">
        <v>23</v>
      </c>
      <c r="B7" s="22">
        <v>1857627</v>
      </c>
      <c r="C7" s="23">
        <f>VLOOKUP([1]!Table12[[#This Row],[1857627]],'[1] سهام'!B:D,3,0)</f>
        <v>9846735220</v>
      </c>
      <c r="D7" s="23">
        <v>-9846735220</v>
      </c>
      <c r="E7" s="23">
        <v>567726403</v>
      </c>
      <c r="F7" s="22">
        <v>1857627</v>
      </c>
      <c r="G7" s="23">
        <f>VLOOKUP([1]!Table12[[#This Row],[1857627]],'[1] سهام'!B:L,11,0)</f>
        <v>10414461623</v>
      </c>
      <c r="H7" s="23">
        <v>-10411547355</v>
      </c>
      <c r="I7" s="23">
        <v>2914268</v>
      </c>
    </row>
    <row r="8" spans="1:9" ht="23.1" customHeight="1">
      <c r="A8" s="21" t="s">
        <v>24</v>
      </c>
      <c r="B8" s="22">
        <v>467087</v>
      </c>
      <c r="C8" s="23">
        <f>VLOOKUP([1]!Table12[[#This Row],[1857627]],'[1] سهام'!B:D,3,0)</f>
        <v>21134524638</v>
      </c>
      <c r="D8" s="23">
        <v>-21134524638</v>
      </c>
      <c r="E8" s="23">
        <v>-9528148189</v>
      </c>
      <c r="F8" s="22">
        <v>467087</v>
      </c>
      <c r="G8" s="23">
        <f>VLOOKUP([1]!Table12[[#This Row],[1857627]],'[1] سهام'!B:L,11,0)</f>
        <v>11606376449</v>
      </c>
      <c r="H8" s="23">
        <v>-28842728504</v>
      </c>
      <c r="I8" s="23">
        <v>-17236352055</v>
      </c>
    </row>
    <row r="9" spans="1:9" ht="23.1" customHeight="1">
      <c r="A9" s="21" t="s">
        <v>25</v>
      </c>
      <c r="B9" s="22">
        <v>1203411</v>
      </c>
      <c r="C9" s="23">
        <f>VLOOKUP([1]!Table12[[#This Row],[1857627]],'[1] سهام'!B:D,3,0)</f>
        <v>6866124642</v>
      </c>
      <c r="D9" s="23">
        <v>-6866124642</v>
      </c>
      <c r="E9" s="23">
        <v>-1401883533</v>
      </c>
      <c r="F9" s="22">
        <v>1203411</v>
      </c>
      <c r="G9" s="23">
        <f>VLOOKUP([1]!Table12[[#This Row],[1857627]],'[1] سهام'!B:L,11,0)</f>
        <v>5464241109</v>
      </c>
      <c r="H9" s="23">
        <v>-10045038320</v>
      </c>
      <c r="I9" s="23">
        <v>-4580797211</v>
      </c>
    </row>
    <row r="10" spans="1:9" ht="23.1" customHeight="1">
      <c r="A10" s="21" t="s">
        <v>26</v>
      </c>
      <c r="B10" s="22">
        <v>15600000</v>
      </c>
      <c r="C10" s="23">
        <f>VLOOKUP([1]!Table12[[#This Row],[1857627]],'[1] سهام'!B:D,3,0)</f>
        <v>7801623649</v>
      </c>
      <c r="D10" s="23">
        <v>-7801623649</v>
      </c>
      <c r="E10" s="23">
        <v>-185752944</v>
      </c>
      <c r="F10" s="22">
        <v>15600000</v>
      </c>
      <c r="G10" s="23">
        <f>VLOOKUP([1]!Table12[[#This Row],[1857627]],'[1] سهام'!B:L,11,0)</f>
        <v>7615870705</v>
      </c>
      <c r="H10" s="23">
        <v>-8218352730</v>
      </c>
      <c r="I10" s="23">
        <v>-602482025</v>
      </c>
    </row>
    <row r="11" spans="1:9" ht="23.1" customHeight="1">
      <c r="A11" s="21" t="s">
        <v>27</v>
      </c>
      <c r="B11" s="22">
        <v>1447704</v>
      </c>
      <c r="C11" s="23">
        <f>VLOOKUP([1]!Table12[[#This Row],[1857627]],'[1] سهام'!B:D,3,0)</f>
        <v>19507849913</v>
      </c>
      <c r="D11" s="23">
        <v>-19507849913</v>
      </c>
      <c r="E11" s="23">
        <v>-3913062088</v>
      </c>
      <c r="F11" s="22">
        <v>1447704</v>
      </c>
      <c r="G11" s="23">
        <f>VLOOKUP([1]!Table12[[#This Row],[1857627]],'[1] سهام'!B:L,11,0)</f>
        <v>15594787825</v>
      </c>
      <c r="H11" s="23">
        <v>-20345291612</v>
      </c>
      <c r="I11" s="23">
        <v>-4750503787</v>
      </c>
    </row>
    <row r="12" spans="1:9" ht="23.1" customHeight="1">
      <c r="A12" s="21" t="s">
        <v>28</v>
      </c>
      <c r="B12" s="22">
        <v>15689630</v>
      </c>
      <c r="C12" s="23">
        <f>VLOOKUP([1]!Table12[[#This Row],[1857627]],'[1] سهام'!B:D,3,0)</f>
        <v>5852805295</v>
      </c>
      <c r="D12" s="23">
        <v>-5852805295</v>
      </c>
      <c r="E12" s="23">
        <v>172145834</v>
      </c>
      <c r="F12" s="22">
        <v>15689630</v>
      </c>
      <c r="G12" s="23">
        <f>VLOOKUP([1]!Table12[[#This Row],[1857627]],'[1] سهام'!B:L,11,0)</f>
        <v>6024951129</v>
      </c>
      <c r="H12" s="23">
        <v>-8011378749</v>
      </c>
      <c r="I12" s="23">
        <v>-1986427620</v>
      </c>
    </row>
    <row r="13" spans="1:9" ht="23.1" customHeight="1">
      <c r="A13" s="21" t="s">
        <v>29</v>
      </c>
      <c r="B13" s="22">
        <v>5112004</v>
      </c>
      <c r="C13" s="23">
        <v>26201652558</v>
      </c>
      <c r="D13" s="23">
        <v>-26201652558</v>
      </c>
      <c r="E13" s="23">
        <v>73836368</v>
      </c>
      <c r="F13" s="22">
        <v>5112004</v>
      </c>
      <c r="G13" s="23">
        <v>26275488926</v>
      </c>
      <c r="H13" s="23">
        <v>-29363429534</v>
      </c>
      <c r="I13" s="23">
        <v>-3087940608</v>
      </c>
    </row>
    <row r="14" spans="1:9" ht="23.1" customHeight="1">
      <c r="A14" s="21" t="s">
        <v>30</v>
      </c>
      <c r="B14" s="22">
        <v>57984</v>
      </c>
      <c r="C14" s="23">
        <f>VLOOKUP([1]!Table12[[#This Row],[1857627]],'[1] سهام'!B:D,3,0)</f>
        <v>5754153728</v>
      </c>
      <c r="D14" s="23">
        <v>-5754153728</v>
      </c>
      <c r="E14" s="23">
        <v>-1410029448</v>
      </c>
      <c r="F14" s="22">
        <v>57984</v>
      </c>
      <c r="G14" s="23">
        <f>VLOOKUP([1]!Table12[[#This Row],[1857627]],'[1] سهام'!B:L,11,0)</f>
        <v>4344124280</v>
      </c>
      <c r="H14" s="23">
        <v>-5258506160</v>
      </c>
      <c r="I14" s="23">
        <v>-914381880</v>
      </c>
    </row>
    <row r="15" spans="1:9" ht="23.1" customHeight="1">
      <c r="A15" s="21" t="s">
        <v>31</v>
      </c>
      <c r="B15" s="22">
        <v>1614688</v>
      </c>
      <c r="C15" s="23">
        <f>VLOOKUP([1]!Table12[[#This Row],[1857627]],'[1] سهام'!B:D,3,0)</f>
        <v>20879952110</v>
      </c>
      <c r="D15" s="23">
        <v>-20879952110</v>
      </c>
      <c r="E15" s="23">
        <v>-8325062271</v>
      </c>
      <c r="F15" s="22">
        <v>1614688</v>
      </c>
      <c r="G15" s="23">
        <f>VLOOKUP([1]!Table12[[#This Row],[1857627]],'[1] سهام'!B:L,11,0)</f>
        <v>12554889839</v>
      </c>
      <c r="H15" s="23">
        <v>-24502512231</v>
      </c>
      <c r="I15" s="23">
        <v>-11947622392</v>
      </c>
    </row>
    <row r="16" spans="1:9" ht="23.1" customHeight="1">
      <c r="A16" s="21" t="s">
        <v>32</v>
      </c>
      <c r="B16" s="22">
        <v>26257527</v>
      </c>
      <c r="C16" s="23">
        <f>VLOOKUP([1]!Table12[[#This Row],[1857627]],'[1] سهام'!B:D,3,0)</f>
        <v>12375914254</v>
      </c>
      <c r="D16" s="23">
        <v>-12375914254</v>
      </c>
      <c r="E16" s="23">
        <v>-364763788</v>
      </c>
      <c r="F16" s="22">
        <v>26257527</v>
      </c>
      <c r="G16" s="23">
        <f>VLOOKUP([1]!Table12[[#This Row],[1857627]],'[1] سهام'!B:L,11,0)</f>
        <v>12011150466</v>
      </c>
      <c r="H16" s="23">
        <v>-15800220291</v>
      </c>
      <c r="I16" s="23">
        <v>-3789069825</v>
      </c>
    </row>
    <row r="17" spans="1:9" ht="23.1" customHeight="1">
      <c r="A17" s="21" t="s">
        <v>33</v>
      </c>
      <c r="B17" s="22">
        <v>16004179</v>
      </c>
      <c r="C17" s="23">
        <f>VLOOKUP([1]!Table12[[#This Row],[1857627]],'[1] سهام'!B:D,3,0)</f>
        <v>41449249124</v>
      </c>
      <c r="D17" s="23">
        <v>-41449249124</v>
      </c>
      <c r="E17" s="23">
        <v>-20772881481</v>
      </c>
      <c r="F17" s="22">
        <v>16004179</v>
      </c>
      <c r="G17" s="23">
        <f>VLOOKUP([1]!Table12[[#This Row],[1857627]],'[1] سهام'!B:L,11,0)</f>
        <v>20676367643</v>
      </c>
      <c r="H17" s="23">
        <v>-48644745881</v>
      </c>
      <c r="I17" s="23">
        <v>-27968378238</v>
      </c>
    </row>
    <row r="18" spans="1:9" ht="23.1" customHeight="1">
      <c r="A18" s="21" t="s">
        <v>34</v>
      </c>
      <c r="B18" s="22">
        <v>745126</v>
      </c>
      <c r="C18" s="23">
        <f>VLOOKUP([1]!Table12[[#This Row],[1857627]],'[1] سهام'!B:D,3,0)</f>
        <v>6098292224</v>
      </c>
      <c r="D18" s="23">
        <v>-6336368132</v>
      </c>
      <c r="E18" s="23">
        <v>-133085911</v>
      </c>
      <c r="F18" s="22">
        <v>745126</v>
      </c>
      <c r="G18" s="23">
        <f>VLOOKUP([1]!Table12[[#This Row],[1857627]],'[1] سهام'!B:L,11,0)</f>
        <v>6203282221</v>
      </c>
      <c r="H18" s="23">
        <v>-6156679007</v>
      </c>
      <c r="I18" s="23">
        <v>46603214</v>
      </c>
    </row>
    <row r="19" spans="1:9" ht="23.1" customHeight="1">
      <c r="A19" s="21" t="s">
        <v>35</v>
      </c>
      <c r="B19" s="22">
        <v>2591721</v>
      </c>
      <c r="C19" s="23">
        <f>VLOOKUP([1]!Table12[[#This Row],[1857627]],'[1] سهام'!B:D,3,0)</f>
        <v>5205094486</v>
      </c>
      <c r="D19" s="23">
        <v>-5205094486</v>
      </c>
      <c r="E19" s="23">
        <v>313745815</v>
      </c>
      <c r="F19" s="22">
        <v>2591721</v>
      </c>
      <c r="G19" s="23">
        <f>VLOOKUP([1]!Table12[[#This Row],[1857627]],'[1] سهام'!B:L,11,0)</f>
        <v>5518840301</v>
      </c>
      <c r="H19" s="23">
        <v>-4708548299</v>
      </c>
      <c r="I19" s="23">
        <v>810292002</v>
      </c>
    </row>
    <row r="20" spans="1:9" ht="23.1" customHeight="1">
      <c r="A20" s="21" t="s">
        <v>36</v>
      </c>
      <c r="B20" s="22">
        <v>2445560</v>
      </c>
      <c r="C20" s="23">
        <f>VLOOKUP([1]!Table12[[#This Row],[1857627]],'[1] سهام'!B:D,3,0)</f>
        <v>13152474553</v>
      </c>
      <c r="D20" s="23">
        <v>-13152474553</v>
      </c>
      <c r="E20" s="23">
        <v>-121332791</v>
      </c>
      <c r="F20" s="22">
        <v>2445560</v>
      </c>
      <c r="G20" s="23">
        <f>VLOOKUP([1]!Table12[[#This Row],[1857627]],'[1] سهام'!B:L,11,0)</f>
        <v>13031141762</v>
      </c>
      <c r="H20" s="23">
        <v>-10745161097</v>
      </c>
      <c r="I20" s="23">
        <v>2285980665</v>
      </c>
    </row>
    <row r="21" spans="1:9" ht="23.1" customHeight="1">
      <c r="A21" s="21" t="s">
        <v>37</v>
      </c>
      <c r="B21" s="22">
        <v>3646766</v>
      </c>
      <c r="C21" s="23">
        <f>VLOOKUP([1]!Table12[[#This Row],[1857627]],'[1] سهام'!B:D,3,0)</f>
        <v>20372585691</v>
      </c>
      <c r="D21" s="23">
        <v>-20372585691</v>
      </c>
      <c r="E21" s="23">
        <v>940829891</v>
      </c>
      <c r="F21" s="22">
        <v>3646766</v>
      </c>
      <c r="G21" s="23">
        <f>VLOOKUP([1]!Table12[[#This Row],[1857627]],'[1] سهام'!B:L,11,0)</f>
        <v>21313415582</v>
      </c>
      <c r="H21" s="23">
        <v>-19549997523</v>
      </c>
      <c r="I21" s="23">
        <v>1763418059</v>
      </c>
    </row>
    <row r="22" spans="1:9" ht="23.1" customHeight="1">
      <c r="A22" s="21" t="s">
        <v>38</v>
      </c>
      <c r="B22" s="22">
        <v>3809994</v>
      </c>
      <c r="C22" s="23">
        <v>8601120213</v>
      </c>
      <c r="D22" s="23">
        <v>-7882258818</v>
      </c>
      <c r="E22" s="23">
        <v>242286310</v>
      </c>
      <c r="F22" s="22">
        <v>3809994</v>
      </c>
      <c r="G22" s="23">
        <v>7437879542.447711</v>
      </c>
      <c r="H22" s="23">
        <v>-10356309802</v>
      </c>
      <c r="I22" s="23">
        <v>-2231764674</v>
      </c>
    </row>
    <row r="23" spans="1:9" ht="23.1" customHeight="1">
      <c r="A23" s="21" t="s">
        <v>39</v>
      </c>
      <c r="B23" s="22">
        <v>31661832</v>
      </c>
      <c r="C23" s="23">
        <f>VLOOKUP([1]!Table12[[#This Row],[1857627]],'[1] سهام'!B:D,3,0)</f>
        <v>27419301010</v>
      </c>
      <c r="D23" s="23">
        <v>-27419301010</v>
      </c>
      <c r="E23" s="23">
        <v>2144176955</v>
      </c>
      <c r="F23" s="22">
        <v>31661832</v>
      </c>
      <c r="G23" s="23">
        <f>VLOOKUP([1]!Table12[[#This Row],[1857627]],'[1] سهام'!B:L,11,0)</f>
        <v>29563477965</v>
      </c>
      <c r="H23" s="23">
        <v>-31400913629</v>
      </c>
      <c r="I23" s="23">
        <v>-1837435664</v>
      </c>
    </row>
    <row r="24" spans="1:9" ht="23.1" customHeight="1">
      <c r="A24" s="21" t="s">
        <v>40</v>
      </c>
      <c r="B24" s="22">
        <v>451945</v>
      </c>
      <c r="C24" s="23">
        <f>VLOOKUP([1]!Table12[[#This Row],[1857627]],'[1] سهام'!B:D,3,0)</f>
        <v>5610127835</v>
      </c>
      <c r="D24" s="23">
        <v>-5610127835</v>
      </c>
      <c r="E24" s="23">
        <v>-17938060</v>
      </c>
      <c r="F24" s="22">
        <v>451945</v>
      </c>
      <c r="G24" s="23">
        <f>VLOOKUP([1]!Table12[[#This Row],[1857627]],'[1] سهام'!B:L,11,0)</f>
        <v>5592189775</v>
      </c>
      <c r="H24" s="23">
        <v>-7159753907</v>
      </c>
      <c r="I24" s="23">
        <v>-1567564132</v>
      </c>
    </row>
    <row r="25" spans="1:9" ht="23.1" customHeight="1">
      <c r="A25" s="21" t="s">
        <v>41</v>
      </c>
      <c r="B25" s="22">
        <v>2902524</v>
      </c>
      <c r="C25" s="23">
        <f>VLOOKUP([1]!Table12[[#This Row],[1857627]],'[1] سهام'!B:D,3,0)</f>
        <v>19987807181</v>
      </c>
      <c r="D25" s="23">
        <v>-19987807181</v>
      </c>
      <c r="E25" s="23">
        <v>0</v>
      </c>
      <c r="F25" s="22">
        <v>2902524</v>
      </c>
      <c r="G25" s="23">
        <f>VLOOKUP([1]!Table12[[#This Row],[1857627]],'[1] سهام'!B:L,11,0)</f>
        <v>19987807181</v>
      </c>
      <c r="H25" s="23">
        <v>-14715226644</v>
      </c>
      <c r="I25" s="23">
        <v>5272580537</v>
      </c>
    </row>
    <row r="26" spans="1:9" ht="23.1" customHeight="1">
      <c r="A26" s="21" t="s">
        <v>42</v>
      </c>
      <c r="B26" s="22">
        <v>5629184</v>
      </c>
      <c r="C26" s="23">
        <f>VLOOKUP([1]!Table12[[#This Row],[1857627]],'[1] سهام'!B:D,3,0)</f>
        <v>10617336119</v>
      </c>
      <c r="D26" s="23">
        <v>-10617336119</v>
      </c>
      <c r="E26" s="23">
        <v>-960820587</v>
      </c>
      <c r="F26" s="22">
        <v>5629184</v>
      </c>
      <c r="G26" s="23">
        <f>VLOOKUP([1]!Table12[[#This Row],[1857627]],'[1] سهام'!B:L,11,0)</f>
        <v>9656515532</v>
      </c>
      <c r="H26" s="23">
        <v>-12795759545</v>
      </c>
      <c r="I26" s="23">
        <v>-3139244013</v>
      </c>
    </row>
    <row r="27" spans="1:9" ht="23.1" customHeight="1">
      <c r="A27" s="21" t="s">
        <v>43</v>
      </c>
      <c r="B27" s="22">
        <v>8003181</v>
      </c>
      <c r="C27" s="23">
        <f>VLOOKUP([1]!Table12[[#This Row],[1857627]],'[1] سهام'!B:D,3,0)</f>
        <v>108796034832</v>
      </c>
      <c r="D27" s="23">
        <v>-108796034832</v>
      </c>
      <c r="E27" s="23">
        <v>4208897699</v>
      </c>
      <c r="F27" s="22">
        <v>8003181</v>
      </c>
      <c r="G27" s="23">
        <f>VLOOKUP([1]!Table12[[#This Row],[1857627]],'[1] سهام'!B:L,11,0)</f>
        <v>113004932531</v>
      </c>
      <c r="H27" s="23">
        <v>-97594394023</v>
      </c>
      <c r="I27" s="23">
        <v>15410538508</v>
      </c>
    </row>
    <row r="28" spans="1:9" ht="23.1" customHeight="1">
      <c r="A28" s="21" t="s">
        <v>44</v>
      </c>
      <c r="B28" s="22">
        <v>7696430</v>
      </c>
      <c r="C28" s="23">
        <f>VLOOKUP([1]!Table12[[#This Row],[1857627]],'[1] سهام'!B:D,3,0)</f>
        <v>80187834262</v>
      </c>
      <c r="D28" s="23">
        <v>-80187834262</v>
      </c>
      <c r="E28" s="23">
        <v>-32441706660</v>
      </c>
      <c r="F28" s="22">
        <v>7696430</v>
      </c>
      <c r="G28" s="23">
        <f>VLOOKUP([1]!Table12[[#This Row],[1857627]],'[1] سهام'!B:L,11,0)</f>
        <v>47746127602</v>
      </c>
      <c r="H28" s="23">
        <v>-80230267018</v>
      </c>
      <c r="I28" s="23">
        <v>-32484139416</v>
      </c>
    </row>
    <row r="29" spans="1:9" ht="23.1" customHeight="1">
      <c r="A29" s="21" t="s">
        <v>45</v>
      </c>
      <c r="B29" s="22">
        <v>602757</v>
      </c>
      <c r="C29" s="23">
        <f>VLOOKUP([1]!Table12[[#This Row],[1857627]],'[1] سهام'!B:D,3,0)</f>
        <v>3963144811</v>
      </c>
      <c r="D29" s="23">
        <v>-3963144811</v>
      </c>
      <c r="E29" s="23">
        <v>0</v>
      </c>
      <c r="F29" s="22">
        <v>602757</v>
      </c>
      <c r="G29" s="23">
        <f>VLOOKUP([1]!Table12[[#This Row],[1857627]],'[1] سهام'!B:L,11,0)</f>
        <v>3963144811</v>
      </c>
      <c r="H29" s="23">
        <v>-4327902471</v>
      </c>
      <c r="I29" s="23">
        <v>-364757660</v>
      </c>
    </row>
    <row r="30" spans="1:9" ht="23.1" customHeight="1">
      <c r="A30" s="21" t="s">
        <v>46</v>
      </c>
      <c r="B30" s="22">
        <v>4178666</v>
      </c>
      <c r="C30" s="23">
        <v>7001253727</v>
      </c>
      <c r="D30" s="23">
        <v>-6828154236</v>
      </c>
      <c r="E30" s="23">
        <v>672619894</v>
      </c>
      <c r="F30" s="22">
        <v>4178666</v>
      </c>
      <c r="G30" s="23">
        <v>7500774130</v>
      </c>
      <c r="H30" s="23">
        <v>-7046940176</v>
      </c>
      <c r="I30" s="23">
        <v>453833954</v>
      </c>
    </row>
    <row r="31" spans="1:9" ht="23.1" customHeight="1">
      <c r="A31" s="21" t="s">
        <v>47</v>
      </c>
      <c r="B31" s="22">
        <v>536766</v>
      </c>
      <c r="C31" s="23">
        <f>VLOOKUP([1]!Table12[[#This Row],[1857627]],'[1] سهام'!B:D,3,0)</f>
        <v>7914685635</v>
      </c>
      <c r="D31" s="23">
        <v>-7914685635</v>
      </c>
      <c r="E31" s="23">
        <v>-3245766773</v>
      </c>
      <c r="F31" s="22">
        <v>536766</v>
      </c>
      <c r="G31" s="23">
        <f>VLOOKUP([1]!Table12[[#This Row],[1857627]],'[1] سهام'!B:L,11,0)</f>
        <v>4668918862</v>
      </c>
      <c r="H31" s="23">
        <v>-9613453719</v>
      </c>
      <c r="I31" s="23">
        <v>-4944534857</v>
      </c>
    </row>
    <row r="32" spans="1:9" ht="23.1" customHeight="1">
      <c r="A32" s="21" t="s">
        <v>48</v>
      </c>
      <c r="B32" s="22">
        <v>449652</v>
      </c>
      <c r="C32" s="23">
        <f>VLOOKUP([1]!Table12[[#This Row],[1857627]],'[1] سهام'!B:D,3,0)</f>
        <v>3569409524</v>
      </c>
      <c r="D32" s="23">
        <v>-3569409524</v>
      </c>
      <c r="E32" s="23">
        <v>107082286</v>
      </c>
      <c r="F32" s="22">
        <v>449652</v>
      </c>
      <c r="G32" s="23">
        <f>VLOOKUP([1]!Table12[[#This Row],[1857627]],'[1] سهام'!B:L,11,0)</f>
        <v>3676491810</v>
      </c>
      <c r="H32" s="23">
        <v>-3040968071</v>
      </c>
      <c r="I32" s="23">
        <v>635523739</v>
      </c>
    </row>
    <row r="33" spans="1:9" ht="23.1" customHeight="1">
      <c r="A33" s="21" t="s">
        <v>49</v>
      </c>
      <c r="B33" s="22">
        <v>7915042</v>
      </c>
      <c r="C33" s="23">
        <f>VLOOKUP([1]!Table12[[#This Row],[1857627]],'[1] سهام'!B:D,3,0)</f>
        <v>3824829201</v>
      </c>
      <c r="D33" s="23">
        <v>-3824829201</v>
      </c>
      <c r="E33" s="23">
        <v>109954023</v>
      </c>
      <c r="F33" s="22">
        <v>7915042</v>
      </c>
      <c r="G33" s="23">
        <f>VLOOKUP([1]!Table12[[#This Row],[1857627]],'[1] سهام'!B:L,11,0)</f>
        <v>3934783224</v>
      </c>
      <c r="H33" s="23">
        <v>-4684765415</v>
      </c>
      <c r="I33" s="23">
        <v>-749982191</v>
      </c>
    </row>
    <row r="34" spans="1:9" ht="23.1" customHeight="1">
      <c r="A34" s="21" t="s">
        <v>50</v>
      </c>
      <c r="B34" s="22">
        <v>627945</v>
      </c>
      <c r="C34" s="23">
        <f>VLOOKUP([1]!Table12[[#This Row],[1857627]],'[1] سهام'!B:D,3,0)</f>
        <v>11820035992</v>
      </c>
      <c r="D34" s="23">
        <v>-11820035992</v>
      </c>
      <c r="E34" s="23">
        <v>-4742968578</v>
      </c>
      <c r="F34" s="22">
        <v>627945</v>
      </c>
      <c r="G34" s="23">
        <f>VLOOKUP([1]!Table12[[#This Row],[1857627]],'[1] سهام'!B:L,11,0)</f>
        <v>7077067414</v>
      </c>
      <c r="H34" s="23">
        <v>-13463685083</v>
      </c>
      <c r="I34" s="23">
        <v>-6386617669</v>
      </c>
    </row>
    <row r="35" spans="1:9" ht="23.1" customHeight="1">
      <c r="A35" s="21" t="s">
        <v>51</v>
      </c>
      <c r="B35" s="22">
        <v>208850</v>
      </c>
      <c r="C35" s="23">
        <f>VLOOKUP([1]!Table12[[#This Row],[1857627]],'[1] سهام'!B:D,3,0)</f>
        <v>5367401771</v>
      </c>
      <c r="D35" s="23">
        <v>-5367401771</v>
      </c>
      <c r="E35" s="23">
        <v>-2072356</v>
      </c>
      <c r="F35" s="22">
        <v>208850</v>
      </c>
      <c r="G35" s="23">
        <f>VLOOKUP([1]!Table12[[#This Row],[1857627]],'[1] سهام'!B:L,11,0)</f>
        <v>5365329415</v>
      </c>
      <c r="H35" s="23">
        <v>-5477116988</v>
      </c>
      <c r="I35" s="23">
        <v>-111787573</v>
      </c>
    </row>
    <row r="36" spans="1:9" ht="23.1" customHeight="1">
      <c r="A36" s="21" t="s">
        <v>55</v>
      </c>
      <c r="B36" s="22">
        <v>5818139</v>
      </c>
      <c r="C36" s="23">
        <f>VLOOKUP([1]!Table12[[#This Row],[1857627]],'[1] سهام'!B:D,3,0)</f>
        <v>17852395072</v>
      </c>
      <c r="D36" s="23">
        <v>-17852395072</v>
      </c>
      <c r="E36" s="23">
        <v>0</v>
      </c>
      <c r="F36" s="22">
        <v>5818139</v>
      </c>
      <c r="G36" s="23">
        <f>VLOOKUP([1]!Table12[[#This Row],[1857627]],'[1] سهام'!B:L,11,0)</f>
        <v>17852395072</v>
      </c>
      <c r="H36" s="23">
        <v>-14543034323</v>
      </c>
      <c r="I36" s="23">
        <v>3309360749</v>
      </c>
    </row>
    <row r="37" spans="1:9" ht="23.1" customHeight="1">
      <c r="A37" s="21" t="s">
        <v>56</v>
      </c>
      <c r="B37" s="22">
        <v>13311742</v>
      </c>
      <c r="C37" s="23">
        <f>VLOOKUP([1]!Table12[[#This Row],[1857627]],'[1] سهام'!B:D,3,0)</f>
        <v>21649292425</v>
      </c>
      <c r="D37" s="23">
        <v>-21649292425</v>
      </c>
      <c r="E37" s="23">
        <v>-515144847</v>
      </c>
      <c r="F37" s="22">
        <v>13311742</v>
      </c>
      <c r="G37" s="23">
        <f>VLOOKUP([1]!Table12[[#This Row],[1857627]],'[1] سهام'!B:L,11,0)</f>
        <v>21134147578</v>
      </c>
      <c r="H37" s="23">
        <v>-22643970044</v>
      </c>
      <c r="I37" s="23">
        <v>-1509822466</v>
      </c>
    </row>
    <row r="38" spans="1:9" ht="23.1" customHeight="1">
      <c r="A38" s="21" t="s">
        <v>57</v>
      </c>
      <c r="B38" s="22">
        <v>164003</v>
      </c>
      <c r="C38" s="23">
        <f>VLOOKUP([1]!Table12[[#This Row],[1857627]],'[1] سهام'!B:D,3,0)</f>
        <v>17152296072</v>
      </c>
      <c r="D38" s="23">
        <v>-17152296072</v>
      </c>
      <c r="E38" s="23">
        <v>195282307</v>
      </c>
      <c r="F38" s="22">
        <v>164003</v>
      </c>
      <c r="G38" s="23">
        <f>VLOOKUP([1]!Table12[[#This Row],[1857627]],'[1] سهام'!B:L,11,0)</f>
        <v>17347578379</v>
      </c>
      <c r="H38" s="23">
        <v>-17567844240</v>
      </c>
      <c r="I38" s="23">
        <v>-220265861</v>
      </c>
    </row>
    <row r="39" spans="1:9" ht="23.1" customHeight="1">
      <c r="A39" s="21" t="s">
        <v>58</v>
      </c>
      <c r="B39" s="22">
        <v>108570</v>
      </c>
      <c r="C39" s="23">
        <f>VLOOKUP([1]!Table12[[#This Row],[1857627]],'[1] سهام'!B:D,3,0)</f>
        <v>5677410734</v>
      </c>
      <c r="D39" s="23">
        <v>-5677410734</v>
      </c>
      <c r="E39" s="23">
        <v>-1706239679</v>
      </c>
      <c r="F39" s="22">
        <v>108570</v>
      </c>
      <c r="G39" s="23">
        <f>VLOOKUP([1]!Table12[[#This Row],[1857627]],'[1] سهام'!B:L,11,0)</f>
        <v>3971171055</v>
      </c>
      <c r="H39" s="23">
        <v>-6012650955</v>
      </c>
      <c r="I39" s="23">
        <v>-2041479900</v>
      </c>
    </row>
    <row r="40" spans="1:9" ht="23.1" customHeight="1">
      <c r="A40" s="21" t="s">
        <v>59</v>
      </c>
      <c r="B40" s="22">
        <v>50000</v>
      </c>
      <c r="C40" s="23">
        <f>VLOOKUP([1]!Table12[[#This Row],[1857627]],'[1] سهام'!B:D,3,0)</f>
        <v>49613500</v>
      </c>
      <c r="D40" s="23">
        <v>-49613500</v>
      </c>
      <c r="E40" s="23">
        <v>0</v>
      </c>
      <c r="F40" s="22">
        <v>50000</v>
      </c>
      <c r="G40" s="23">
        <f>VLOOKUP([1]!Table12[[#This Row],[1857627]],'[1] سهام'!B:L,11,0)</f>
        <v>49613500</v>
      </c>
      <c r="H40" s="23">
        <v>-49863800</v>
      </c>
      <c r="I40" s="23">
        <v>-250300</v>
      </c>
    </row>
    <row r="41" spans="1:9" ht="23.1" customHeight="1">
      <c r="A41" s="21" t="s">
        <v>52</v>
      </c>
      <c r="B41" s="22">
        <v>417989</v>
      </c>
      <c r="C41" s="23">
        <v>0</v>
      </c>
      <c r="D41" s="23">
        <v>-718861395</v>
      </c>
      <c r="E41" s="23">
        <v>-242287096</v>
      </c>
      <c r="F41" s="22">
        <v>417989</v>
      </c>
      <c r="G41" s="23">
        <v>401241198.73157495</v>
      </c>
      <c r="H41" s="23">
        <v>-718861395</v>
      </c>
      <c r="I41" s="23">
        <v>-242287096</v>
      </c>
    </row>
    <row r="42" spans="1:9" ht="23.1" customHeight="1">
      <c r="A42" s="21" t="s">
        <v>53</v>
      </c>
      <c r="B42" s="22">
        <v>588548</v>
      </c>
      <c r="C42" s="23">
        <f>VLOOKUP([1]!Table12[[#This Row],[1857627]],'[1] سهام'!B:D,3,0)</f>
        <v>526075681</v>
      </c>
      <c r="D42" s="23">
        <v>-526075681</v>
      </c>
      <c r="E42" s="23">
        <v>-100456663</v>
      </c>
      <c r="F42" s="22">
        <v>588548</v>
      </c>
      <c r="G42" s="23">
        <f>VLOOKUP([1]!Table12[[#This Row],[1857627]],'[1] سهام'!B:L,11,0)</f>
        <v>425619018</v>
      </c>
      <c r="H42" s="23">
        <v>-750414148</v>
      </c>
      <c r="I42" s="23">
        <v>-324795130</v>
      </c>
    </row>
    <row r="43" spans="1:9" ht="23.1" customHeight="1">
      <c r="A43" s="21" t="s">
        <v>54</v>
      </c>
      <c r="B43" s="22">
        <v>232148</v>
      </c>
      <c r="C43" s="23">
        <v>0</v>
      </c>
      <c r="D43" s="23">
        <v>-173099491</v>
      </c>
      <c r="E43" s="23">
        <v>13256491</v>
      </c>
      <c r="F43" s="22">
        <v>232148</v>
      </c>
      <c r="G43" s="23">
        <v>186355982</v>
      </c>
      <c r="H43" s="23">
        <v>-173099491</v>
      </c>
      <c r="I43" s="23">
        <v>13256491</v>
      </c>
    </row>
    <row r="44" spans="1:9" ht="23.1" customHeight="1">
      <c r="A44" s="21" t="s">
        <v>60</v>
      </c>
      <c r="B44" s="22">
        <f>SUBTOTAL(109,B7:B43)</f>
        <v>190106921</v>
      </c>
      <c r="C44" s="23">
        <f>SUBTOTAL(109,C7:C43)</f>
        <v>590086437682</v>
      </c>
      <c r="D44" s="23">
        <v>-590324513590</v>
      </c>
      <c r="E44" s="23">
        <v>-80369563467</v>
      </c>
      <c r="F44" s="22">
        <f>SUBTOTAL(109,F7:F43)</f>
        <v>190106921</v>
      </c>
      <c r="G44" s="23">
        <f>SUBTOTAL(109,G7:G43)</f>
        <v>509192951437.17932</v>
      </c>
      <c r="H44" s="23">
        <v>-614971332180</v>
      </c>
      <c r="I44" s="23">
        <v>-105016382057</v>
      </c>
    </row>
    <row r="45" spans="1:9" ht="23.1" customHeight="1">
      <c r="A45" s="21" t="s">
        <v>61</v>
      </c>
      <c r="B45" s="45"/>
      <c r="C45" s="41"/>
      <c r="D45" s="41"/>
      <c r="E45" s="41"/>
      <c r="F45" s="45"/>
      <c r="G45" s="41"/>
      <c r="H45" s="41"/>
      <c r="I45" s="41"/>
    </row>
    <row r="48" spans="1:9">
      <c r="A48" s="90" t="s">
        <v>208</v>
      </c>
      <c r="B48" s="91"/>
      <c r="C48" s="91"/>
      <c r="D48" s="91"/>
      <c r="E48" s="91"/>
      <c r="F48" s="91"/>
      <c r="G48" s="91"/>
      <c r="H48" s="91"/>
      <c r="I48" s="91"/>
    </row>
  </sheetData>
  <mergeCells count="7">
    <mergeCell ref="A48:I48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79" orientation="landscape" horizontalDpi="4294967295" verticalDpi="4294967295" r:id="rId1"/>
  <headerFooter differentOddEven="1" differentFirst="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K105"/>
  <sheetViews>
    <sheetView rightToLeft="1" view="pageBreakPreview" topLeftCell="A97" zoomScale="115" zoomScaleNormal="145" zoomScaleSheetLayoutView="115" workbookViewId="0">
      <selection activeCell="J105" sqref="J105"/>
    </sheetView>
  </sheetViews>
  <sheetFormatPr defaultColWidth="9" defaultRowHeight="18"/>
  <cols>
    <col min="1" max="1" width="31.7109375" style="10" customWidth="1"/>
    <col min="2" max="2" width="14.28515625" style="10" customWidth="1"/>
    <col min="3" max="3" width="16" style="10" customWidth="1"/>
    <col min="4" max="4" width="13" style="10" customWidth="1"/>
    <col min="5" max="5" width="16" style="10" customWidth="1"/>
    <col min="6" max="6" width="16.28515625" style="10" customWidth="1"/>
    <col min="7" max="7" width="14.85546875" style="10" customWidth="1"/>
    <col min="8" max="8" width="17" style="10" customWidth="1"/>
    <col min="9" max="9" width="15" style="10" customWidth="1"/>
    <col min="10" max="10" width="16" style="10" customWidth="1"/>
    <col min="11" max="11" width="16.28515625" style="10" customWidth="1"/>
    <col min="12" max="16384" width="9" style="10"/>
  </cols>
  <sheetData>
    <row r="1" spans="1:11" ht="19.5">
      <c r="A1" s="93" t="s">
        <v>1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19.5">
      <c r="A2" s="93" t="s">
        <v>74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19.5">
      <c r="A3" s="93" t="s">
        <v>75</v>
      </c>
      <c r="B3" s="93"/>
      <c r="C3" s="93"/>
      <c r="D3" s="93"/>
      <c r="E3" s="93"/>
      <c r="F3" s="93"/>
      <c r="G3" s="93"/>
      <c r="H3" s="93"/>
      <c r="I3" s="93"/>
      <c r="J3" s="93"/>
      <c r="K3" s="93"/>
    </row>
    <row r="5" spans="1:11">
      <c r="A5" s="98" t="s">
        <v>215</v>
      </c>
      <c r="B5" s="98"/>
      <c r="C5" s="98"/>
      <c r="D5" s="98"/>
      <c r="E5" s="98"/>
      <c r="F5" s="98"/>
      <c r="G5" s="98"/>
      <c r="H5" s="98"/>
      <c r="I5" s="98"/>
      <c r="J5" s="98"/>
      <c r="K5" s="98"/>
    </row>
    <row r="7" spans="1:11" ht="19.5" customHeight="1" thickBot="1">
      <c r="A7" s="11"/>
      <c r="B7" s="99" t="s">
        <v>93</v>
      </c>
      <c r="C7" s="97"/>
      <c r="D7" s="97"/>
      <c r="E7" s="97"/>
      <c r="F7" s="97"/>
      <c r="G7" s="97" t="s">
        <v>94</v>
      </c>
      <c r="H7" s="97"/>
      <c r="I7" s="97"/>
      <c r="J7" s="97"/>
      <c r="K7" s="97"/>
    </row>
    <row r="8" spans="1:11" ht="19.5" customHeight="1">
      <c r="A8" s="100" t="s">
        <v>216</v>
      </c>
      <c r="B8" s="94" t="s">
        <v>91</v>
      </c>
      <c r="C8" s="96" t="s">
        <v>211</v>
      </c>
      <c r="D8" s="96" t="s">
        <v>212</v>
      </c>
      <c r="E8" s="96" t="s">
        <v>60</v>
      </c>
      <c r="F8" s="94"/>
      <c r="G8" s="94" t="s">
        <v>91</v>
      </c>
      <c r="H8" s="96" t="s">
        <v>211</v>
      </c>
      <c r="I8" s="96" t="s">
        <v>212</v>
      </c>
      <c r="J8" s="96" t="s">
        <v>60</v>
      </c>
      <c r="K8" s="94"/>
    </row>
    <row r="9" spans="1:11" ht="18.75" customHeight="1" thickBot="1">
      <c r="A9" s="101"/>
      <c r="B9" s="95"/>
      <c r="C9" s="95"/>
      <c r="D9" s="95"/>
      <c r="E9" s="97"/>
      <c r="F9" s="97"/>
      <c r="G9" s="95"/>
      <c r="H9" s="95"/>
      <c r="I9" s="95"/>
      <c r="J9" s="97"/>
      <c r="K9" s="97"/>
    </row>
    <row r="10" spans="1:11" ht="28.5" customHeight="1" thickBot="1">
      <c r="A10" s="102"/>
      <c r="B10" s="16" t="s">
        <v>213</v>
      </c>
      <c r="C10" s="16" t="s">
        <v>214</v>
      </c>
      <c r="D10" s="16" t="s">
        <v>214</v>
      </c>
      <c r="E10" s="17" t="s">
        <v>68</v>
      </c>
      <c r="F10" s="17" t="s">
        <v>217</v>
      </c>
      <c r="G10" s="16" t="s">
        <v>213</v>
      </c>
      <c r="H10" s="16" t="s">
        <v>214</v>
      </c>
      <c r="I10" s="16" t="s">
        <v>214</v>
      </c>
      <c r="J10" s="17" t="s">
        <v>68</v>
      </c>
      <c r="K10" s="17" t="s">
        <v>217</v>
      </c>
    </row>
    <row r="11" spans="1:11" ht="23.1" customHeight="1">
      <c r="A11" s="21" t="s">
        <v>125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239981000</v>
      </c>
      <c r="H11" s="23">
        <v>0</v>
      </c>
      <c r="I11" s="23">
        <v>-565874784</v>
      </c>
      <c r="J11" s="23">
        <v>-325893784</v>
      </c>
      <c r="K11" s="23">
        <v>-1.78</v>
      </c>
    </row>
    <row r="12" spans="1:11" ht="23.1" customHeight="1">
      <c r="A12" s="21" t="s">
        <v>23</v>
      </c>
      <c r="B12" s="23">
        <v>0</v>
      </c>
      <c r="C12" s="23">
        <v>567726403</v>
      </c>
      <c r="D12" s="23">
        <v>0</v>
      </c>
      <c r="E12" s="23">
        <v>567726403</v>
      </c>
      <c r="F12" s="23">
        <v>-0.73</v>
      </c>
      <c r="G12" s="23">
        <v>0</v>
      </c>
      <c r="H12" s="23">
        <v>2914268</v>
      </c>
      <c r="I12" s="23">
        <v>-434949475</v>
      </c>
      <c r="J12" s="23">
        <v>-367441667</v>
      </c>
      <c r="K12" s="23">
        <v>-2.0099999999999998</v>
      </c>
    </row>
    <row r="13" spans="1:11" ht="23.1" customHeight="1">
      <c r="A13" s="21" t="s">
        <v>24</v>
      </c>
      <c r="B13" s="23">
        <v>0</v>
      </c>
      <c r="C13" s="23">
        <v>-9528148189</v>
      </c>
      <c r="D13" s="23">
        <v>0</v>
      </c>
      <c r="E13" s="23">
        <v>-9528148189</v>
      </c>
      <c r="F13" s="23">
        <v>12.29</v>
      </c>
      <c r="G13" s="23">
        <v>1366592600</v>
      </c>
      <c r="H13" s="23">
        <v>-17236352055</v>
      </c>
      <c r="I13" s="23">
        <v>2074303320</v>
      </c>
      <c r="J13" s="23">
        <v>-13795456135</v>
      </c>
      <c r="K13" s="23">
        <v>-75.48</v>
      </c>
    </row>
    <row r="14" spans="1:11" ht="23.1" customHeight="1">
      <c r="A14" s="21" t="s">
        <v>25</v>
      </c>
      <c r="B14" s="23">
        <v>0</v>
      </c>
      <c r="C14" s="23">
        <v>-1401883533</v>
      </c>
      <c r="D14" s="23">
        <v>0</v>
      </c>
      <c r="E14" s="23">
        <v>-1401883533</v>
      </c>
      <c r="F14" s="23">
        <v>1.81</v>
      </c>
      <c r="G14" s="23">
        <v>809823000</v>
      </c>
      <c r="H14" s="23">
        <v>-4580797211</v>
      </c>
      <c r="I14" s="23">
        <v>-2167852165</v>
      </c>
      <c r="J14" s="23">
        <v>-5938826376</v>
      </c>
      <c r="K14" s="23">
        <v>-32.49</v>
      </c>
    </row>
    <row r="15" spans="1:11" ht="23.1" customHeight="1">
      <c r="A15" s="21" t="s">
        <v>203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56917340</v>
      </c>
      <c r="J15" s="23">
        <v>56917340</v>
      </c>
      <c r="K15" s="23">
        <v>0.31</v>
      </c>
    </row>
    <row r="16" spans="1:11" ht="23.1" customHeight="1">
      <c r="A16" s="21" t="s">
        <v>26</v>
      </c>
      <c r="B16" s="23">
        <v>0</v>
      </c>
      <c r="C16" s="23">
        <v>-185752944</v>
      </c>
      <c r="D16" s="23">
        <v>0</v>
      </c>
      <c r="E16" s="23">
        <v>-185752944</v>
      </c>
      <c r="F16" s="23">
        <v>0.24</v>
      </c>
      <c r="G16" s="23">
        <v>0</v>
      </c>
      <c r="H16" s="23">
        <v>-602482025</v>
      </c>
      <c r="I16" s="23">
        <v>-784923249</v>
      </c>
      <c r="J16" s="23">
        <v>-1387405274</v>
      </c>
      <c r="K16" s="23">
        <v>-7.59</v>
      </c>
    </row>
    <row r="17" spans="1:11" ht="23.1" customHeight="1">
      <c r="A17" s="21" t="s">
        <v>130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383205942</v>
      </c>
      <c r="H17" s="23">
        <v>0</v>
      </c>
      <c r="I17" s="23">
        <v>19965177</v>
      </c>
      <c r="J17" s="23">
        <v>403171119</v>
      </c>
      <c r="K17" s="23">
        <v>2.21</v>
      </c>
    </row>
    <row r="18" spans="1:11" ht="23.1" customHeight="1">
      <c r="A18" s="21" t="s">
        <v>27</v>
      </c>
      <c r="B18" s="23">
        <v>0</v>
      </c>
      <c r="C18" s="23">
        <v>-3913062088</v>
      </c>
      <c r="D18" s="23">
        <v>0</v>
      </c>
      <c r="E18" s="23">
        <v>-3913062088</v>
      </c>
      <c r="F18" s="23">
        <v>5.05</v>
      </c>
      <c r="G18" s="23">
        <v>2171556000</v>
      </c>
      <c r="H18" s="23">
        <v>-4750503787</v>
      </c>
      <c r="I18" s="23">
        <v>5127139198</v>
      </c>
      <c r="J18" s="23">
        <v>2548191411</v>
      </c>
      <c r="K18" s="23">
        <v>13.94</v>
      </c>
    </row>
    <row r="19" spans="1:11" ht="23.1" customHeight="1">
      <c r="A19" s="21" t="s">
        <v>28</v>
      </c>
      <c r="B19" s="23">
        <v>0</v>
      </c>
      <c r="C19" s="23">
        <v>172145834</v>
      </c>
      <c r="D19" s="23">
        <v>0</v>
      </c>
      <c r="E19" s="23">
        <v>172145834</v>
      </c>
      <c r="F19" s="23">
        <v>-0.22</v>
      </c>
      <c r="G19" s="23">
        <v>71914238</v>
      </c>
      <c r="H19" s="23">
        <v>-1986427620</v>
      </c>
      <c r="I19" s="23">
        <v>-1399153421</v>
      </c>
      <c r="J19" s="23">
        <v>-3313666803</v>
      </c>
      <c r="K19" s="23">
        <v>-18.13</v>
      </c>
    </row>
    <row r="20" spans="1:11" ht="23.1" customHeight="1">
      <c r="A20" s="21" t="s">
        <v>29</v>
      </c>
      <c r="B20" s="23">
        <v>0</v>
      </c>
      <c r="C20" s="23">
        <v>73836368</v>
      </c>
      <c r="D20" s="23">
        <v>0</v>
      </c>
      <c r="E20" s="23">
        <v>73836368</v>
      </c>
      <c r="F20" s="23">
        <v>-0.1</v>
      </c>
      <c r="G20" s="23">
        <v>1380675960</v>
      </c>
      <c r="H20" s="23">
        <v>-3087940608</v>
      </c>
      <c r="I20" s="23">
        <v>11128740186</v>
      </c>
      <c r="J20" s="23">
        <v>9421475538</v>
      </c>
      <c r="K20" s="23">
        <v>51.55</v>
      </c>
    </row>
    <row r="21" spans="1:11" ht="23.1" customHeight="1">
      <c r="A21" s="21" t="s">
        <v>185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-702043664</v>
      </c>
      <c r="J21" s="23">
        <v>-702043664</v>
      </c>
      <c r="K21" s="23">
        <v>-3.84</v>
      </c>
    </row>
    <row r="22" spans="1:11" ht="23.1" customHeight="1">
      <c r="A22" s="21" t="s">
        <v>159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4255083000</v>
      </c>
      <c r="H22" s="23">
        <v>0</v>
      </c>
      <c r="I22" s="23">
        <v>7642896389</v>
      </c>
      <c r="J22" s="23">
        <v>11897979389</v>
      </c>
      <c r="K22" s="23">
        <v>65.099999999999994</v>
      </c>
    </row>
    <row r="23" spans="1:11" ht="23.1" customHeight="1">
      <c r="A23" s="21" t="s">
        <v>157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859972380</v>
      </c>
      <c r="H23" s="23">
        <v>0</v>
      </c>
      <c r="I23" s="23">
        <v>1709195521</v>
      </c>
      <c r="J23" s="23">
        <v>2569167901</v>
      </c>
      <c r="K23" s="23">
        <v>14.06</v>
      </c>
    </row>
    <row r="24" spans="1:11" ht="23.1" customHeight="1">
      <c r="A24" s="21" t="s">
        <v>191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-967170964</v>
      </c>
      <c r="J24" s="23">
        <v>-967170964</v>
      </c>
      <c r="K24" s="23">
        <v>-5.29</v>
      </c>
    </row>
    <row r="25" spans="1:11" ht="23.1" customHeight="1">
      <c r="A25" s="21" t="s">
        <v>30</v>
      </c>
      <c r="B25" s="23">
        <v>0</v>
      </c>
      <c r="C25" s="23">
        <v>-1410029448</v>
      </c>
      <c r="D25" s="23">
        <v>0</v>
      </c>
      <c r="E25" s="23">
        <v>-1410029448</v>
      </c>
      <c r="F25" s="23">
        <v>1.82</v>
      </c>
      <c r="G25" s="23">
        <v>391380000</v>
      </c>
      <c r="H25" s="23">
        <v>-914381880</v>
      </c>
      <c r="I25" s="23">
        <v>889033239</v>
      </c>
      <c r="J25" s="23">
        <v>366031359</v>
      </c>
      <c r="K25" s="23">
        <v>2</v>
      </c>
    </row>
    <row r="26" spans="1:11" ht="23.1" customHeight="1">
      <c r="A26" s="21" t="s">
        <v>31</v>
      </c>
      <c r="B26" s="23">
        <v>0</v>
      </c>
      <c r="C26" s="23">
        <v>-8325062271</v>
      </c>
      <c r="D26" s="23">
        <v>0</v>
      </c>
      <c r="E26" s="23">
        <v>-8325062271</v>
      </c>
      <c r="F26" s="23">
        <v>10.74</v>
      </c>
      <c r="G26" s="23">
        <v>2042975000</v>
      </c>
      <c r="H26" s="23">
        <v>-11947622392</v>
      </c>
      <c r="I26" s="23">
        <v>-2530956753</v>
      </c>
      <c r="J26" s="23">
        <v>-12435604145</v>
      </c>
      <c r="K26" s="23">
        <v>-68.040000000000006</v>
      </c>
    </row>
    <row r="27" spans="1:11" ht="23.1" customHeight="1">
      <c r="A27" s="21" t="s">
        <v>183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333942837</v>
      </c>
      <c r="J27" s="23">
        <v>333942837</v>
      </c>
      <c r="K27" s="23">
        <v>1.83</v>
      </c>
    </row>
    <row r="28" spans="1:11" ht="23.1" customHeight="1">
      <c r="A28" s="21" t="s">
        <v>122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184034900</v>
      </c>
      <c r="H28" s="23">
        <v>0</v>
      </c>
      <c r="I28" s="23">
        <v>-506844696</v>
      </c>
      <c r="J28" s="23">
        <v>-322809796</v>
      </c>
      <c r="K28" s="23">
        <v>-1.77</v>
      </c>
    </row>
    <row r="29" spans="1:11" ht="23.1" customHeight="1">
      <c r="A29" s="21" t="s">
        <v>206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-626531583</v>
      </c>
      <c r="J29" s="23">
        <v>-626531583</v>
      </c>
      <c r="K29" s="23">
        <v>-3.43</v>
      </c>
    </row>
    <row r="30" spans="1:11" ht="23.1" customHeight="1">
      <c r="A30" s="21" t="s">
        <v>182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-352592584</v>
      </c>
      <c r="J30" s="23">
        <v>-352592584</v>
      </c>
      <c r="K30" s="23">
        <v>-1.93</v>
      </c>
    </row>
    <row r="31" spans="1:11" ht="23.1" customHeight="1">
      <c r="A31" s="21" t="s">
        <v>32</v>
      </c>
      <c r="B31" s="23">
        <v>0</v>
      </c>
      <c r="C31" s="23">
        <v>-364763788</v>
      </c>
      <c r="D31" s="23">
        <v>0</v>
      </c>
      <c r="E31" s="23">
        <v>-364763788</v>
      </c>
      <c r="F31" s="23">
        <v>0.47</v>
      </c>
      <c r="G31" s="23">
        <v>0</v>
      </c>
      <c r="H31" s="23">
        <v>-3789069825</v>
      </c>
      <c r="I31" s="23">
        <v>-3937665688</v>
      </c>
      <c r="J31" s="23">
        <v>-7726735513</v>
      </c>
      <c r="K31" s="23">
        <v>-42.28</v>
      </c>
    </row>
    <row r="32" spans="1:11" ht="23.1" customHeight="1">
      <c r="A32" s="21" t="s">
        <v>33</v>
      </c>
      <c r="B32" s="23">
        <v>0</v>
      </c>
      <c r="C32" s="23">
        <v>-20772881481</v>
      </c>
      <c r="D32" s="23">
        <v>0</v>
      </c>
      <c r="E32" s="23">
        <v>-20772881481</v>
      </c>
      <c r="F32" s="23">
        <v>26.79</v>
      </c>
      <c r="G32" s="23">
        <v>3018922760</v>
      </c>
      <c r="H32" s="23">
        <v>-27968378238</v>
      </c>
      <c r="I32" s="23">
        <v>-4514106073</v>
      </c>
      <c r="J32" s="23">
        <v>-29463561551</v>
      </c>
      <c r="K32" s="23">
        <v>-161.21</v>
      </c>
    </row>
    <row r="33" spans="1:11" ht="23.1" customHeight="1">
      <c r="A33" s="21" t="s">
        <v>187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525714073</v>
      </c>
      <c r="J33" s="23">
        <v>525714073</v>
      </c>
      <c r="K33" s="23">
        <v>2.88</v>
      </c>
    </row>
    <row r="34" spans="1:11" ht="23.1" customHeight="1">
      <c r="A34" s="21" t="s">
        <v>34</v>
      </c>
      <c r="B34" s="23">
        <v>225417397</v>
      </c>
      <c r="C34" s="23">
        <v>-133085911</v>
      </c>
      <c r="D34" s="23">
        <v>0</v>
      </c>
      <c r="E34" s="23">
        <v>92331486</v>
      </c>
      <c r="F34" s="23">
        <v>-0.12</v>
      </c>
      <c r="G34" s="23">
        <v>225417397</v>
      </c>
      <c r="H34" s="23">
        <v>46603214</v>
      </c>
      <c r="I34" s="23">
        <v>768991568</v>
      </c>
      <c r="J34" s="23">
        <v>1041012179</v>
      </c>
      <c r="K34" s="23">
        <v>5.7</v>
      </c>
    </row>
    <row r="35" spans="1:11" ht="23.1" customHeight="1">
      <c r="A35" s="21" t="s">
        <v>35</v>
      </c>
      <c r="B35" s="23">
        <v>0</v>
      </c>
      <c r="C35" s="23">
        <v>313745815</v>
      </c>
      <c r="D35" s="23">
        <v>0</v>
      </c>
      <c r="E35" s="23">
        <v>313745815</v>
      </c>
      <c r="F35" s="23">
        <v>-0.4</v>
      </c>
      <c r="G35" s="23">
        <v>569925600</v>
      </c>
      <c r="H35" s="23">
        <v>810292002</v>
      </c>
      <c r="I35" s="23">
        <v>830006021</v>
      </c>
      <c r="J35" s="23">
        <v>2210223623</v>
      </c>
      <c r="K35" s="23">
        <v>12.09</v>
      </c>
    </row>
    <row r="36" spans="1:11" ht="23.1" customHeight="1">
      <c r="A36" s="21" t="s">
        <v>36</v>
      </c>
      <c r="B36" s="23">
        <v>0</v>
      </c>
      <c r="C36" s="23">
        <v>-121332791</v>
      </c>
      <c r="D36" s="23">
        <v>0</v>
      </c>
      <c r="E36" s="23">
        <v>-121332791</v>
      </c>
      <c r="F36" s="23">
        <v>0.16</v>
      </c>
      <c r="G36" s="23">
        <v>0</v>
      </c>
      <c r="H36" s="23">
        <v>2285980665</v>
      </c>
      <c r="I36" s="23">
        <v>-622433834</v>
      </c>
      <c r="J36" s="23">
        <v>1663546831</v>
      </c>
      <c r="K36" s="23">
        <v>9.1</v>
      </c>
    </row>
    <row r="37" spans="1:11" ht="23.1" customHeight="1">
      <c r="A37" s="21" t="s">
        <v>37</v>
      </c>
      <c r="B37" s="23">
        <v>0</v>
      </c>
      <c r="C37" s="23">
        <v>940829891</v>
      </c>
      <c r="D37" s="23">
        <v>0</v>
      </c>
      <c r="E37" s="23">
        <v>940829891</v>
      </c>
      <c r="F37" s="23">
        <v>-1.21</v>
      </c>
      <c r="G37" s="23">
        <v>0</v>
      </c>
      <c r="H37" s="23">
        <v>1763418059</v>
      </c>
      <c r="I37" s="23">
        <v>-1036638785</v>
      </c>
      <c r="J37" s="23">
        <v>726779274</v>
      </c>
      <c r="K37" s="23">
        <v>3.98</v>
      </c>
    </row>
    <row r="38" spans="1:11" ht="23.1" customHeight="1">
      <c r="A38" s="21" t="s">
        <v>199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-708023564</v>
      </c>
      <c r="J38" s="23">
        <v>-708023564</v>
      </c>
      <c r="K38" s="23">
        <v>-3.87</v>
      </c>
    </row>
    <row r="39" spans="1:11" ht="23.1" customHeight="1">
      <c r="A39" s="21" t="s">
        <v>38</v>
      </c>
      <c r="B39" s="23">
        <v>0</v>
      </c>
      <c r="C39" s="23">
        <v>242286310</v>
      </c>
      <c r="D39" s="23">
        <v>0</v>
      </c>
      <c r="E39" s="23">
        <v>242286310</v>
      </c>
      <c r="F39" s="23">
        <v>-0.31</v>
      </c>
      <c r="G39" s="23">
        <v>1155060920</v>
      </c>
      <c r="H39" s="23">
        <v>-2231764674</v>
      </c>
      <c r="I39" s="23">
        <v>-1432268205</v>
      </c>
      <c r="J39" s="23">
        <v>-2508971959</v>
      </c>
      <c r="K39" s="23">
        <v>-13.73</v>
      </c>
    </row>
    <row r="40" spans="1:11" ht="23.1" customHeight="1">
      <c r="A40" s="21" t="s">
        <v>195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-603346518</v>
      </c>
      <c r="J40" s="23">
        <v>-603346518</v>
      </c>
      <c r="K40" s="23">
        <v>-3.3</v>
      </c>
    </row>
    <row r="41" spans="1:11" ht="23.1" customHeight="1">
      <c r="A41" s="21" t="s">
        <v>120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1720318250</v>
      </c>
      <c r="H41" s="23">
        <v>0</v>
      </c>
      <c r="I41" s="23">
        <v>-934029018</v>
      </c>
      <c r="J41" s="23">
        <v>786289232</v>
      </c>
      <c r="K41" s="23">
        <v>4.3</v>
      </c>
    </row>
    <row r="42" spans="1:11" ht="23.1" customHeight="1">
      <c r="A42" s="21" t="s">
        <v>39</v>
      </c>
      <c r="B42" s="23">
        <v>0</v>
      </c>
      <c r="C42" s="23">
        <v>2144176955</v>
      </c>
      <c r="D42" s="23">
        <v>0</v>
      </c>
      <c r="E42" s="23">
        <v>2144176955</v>
      </c>
      <c r="F42" s="23">
        <v>-2.77</v>
      </c>
      <c r="G42" s="23">
        <v>669119130</v>
      </c>
      <c r="H42" s="23">
        <v>-1837435664</v>
      </c>
      <c r="I42" s="23">
        <v>-2492212986</v>
      </c>
      <c r="J42" s="23">
        <v>-3660529520</v>
      </c>
      <c r="K42" s="23">
        <v>-20.03</v>
      </c>
    </row>
    <row r="43" spans="1:11" ht="23.1" customHeight="1">
      <c r="A43" s="21" t="s">
        <v>40</v>
      </c>
      <c r="B43" s="23">
        <v>0</v>
      </c>
      <c r="C43" s="23">
        <v>-17938060</v>
      </c>
      <c r="D43" s="23">
        <v>0</v>
      </c>
      <c r="E43" s="23">
        <v>-17938060</v>
      </c>
      <c r="F43" s="23">
        <v>0.02</v>
      </c>
      <c r="G43" s="23">
        <v>373257980</v>
      </c>
      <c r="H43" s="23">
        <v>-1567564132</v>
      </c>
      <c r="I43" s="23">
        <v>-2007201636</v>
      </c>
      <c r="J43" s="23">
        <v>-3201507788</v>
      </c>
      <c r="K43" s="23">
        <v>-17.52</v>
      </c>
    </row>
    <row r="44" spans="1:11" ht="23.1" customHeight="1">
      <c r="A44" s="21" t="s">
        <v>41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1128778560</v>
      </c>
      <c r="H44" s="23">
        <v>5272580537</v>
      </c>
      <c r="I44" s="23">
        <v>9661190897</v>
      </c>
      <c r="J44" s="23">
        <v>16062549994</v>
      </c>
      <c r="K44" s="23">
        <v>87.89</v>
      </c>
    </row>
    <row r="45" spans="1:11" ht="23.1" customHeight="1">
      <c r="A45" s="21" t="s">
        <v>152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418270710</v>
      </c>
      <c r="H45" s="23">
        <v>0</v>
      </c>
      <c r="I45" s="23">
        <v>-251899989</v>
      </c>
      <c r="J45" s="23">
        <v>166370721</v>
      </c>
      <c r="K45" s="23">
        <v>0.91</v>
      </c>
    </row>
    <row r="46" spans="1:11" ht="23.1" customHeight="1">
      <c r="A46" s="21" t="s">
        <v>201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-607838210</v>
      </c>
      <c r="J46" s="23">
        <v>-607838210</v>
      </c>
      <c r="K46" s="23">
        <v>-3.33</v>
      </c>
    </row>
    <row r="47" spans="1:11" ht="23.1" customHeight="1">
      <c r="A47" s="21" t="s">
        <v>42</v>
      </c>
      <c r="B47" s="23">
        <v>986440709</v>
      </c>
      <c r="C47" s="23">
        <v>-960820587</v>
      </c>
      <c r="D47" s="23">
        <v>0</v>
      </c>
      <c r="E47" s="23">
        <v>25620122</v>
      </c>
      <c r="F47" s="23">
        <v>-0.03</v>
      </c>
      <c r="G47" s="23">
        <v>2095364029</v>
      </c>
      <c r="H47" s="23">
        <v>-3139244013</v>
      </c>
      <c r="I47" s="23">
        <v>-382171523</v>
      </c>
      <c r="J47" s="23">
        <v>-1426051507</v>
      </c>
      <c r="K47" s="23">
        <v>-7.8</v>
      </c>
    </row>
    <row r="48" spans="1:11" ht="23.1" customHeight="1">
      <c r="A48" s="21" t="s">
        <v>43</v>
      </c>
      <c r="B48" s="23">
        <v>0</v>
      </c>
      <c r="C48" s="23">
        <v>4208897699</v>
      </c>
      <c r="D48" s="23">
        <v>0</v>
      </c>
      <c r="E48" s="23">
        <v>4208897699</v>
      </c>
      <c r="F48" s="23">
        <v>-5.43</v>
      </c>
      <c r="G48" s="23">
        <v>2494288400</v>
      </c>
      <c r="H48" s="23">
        <v>15410538508</v>
      </c>
      <c r="I48" s="23">
        <v>53590827009</v>
      </c>
      <c r="J48" s="23">
        <v>71495653917</v>
      </c>
      <c r="K48" s="23">
        <v>391.19</v>
      </c>
    </row>
    <row r="49" spans="1:11" ht="23.1" customHeight="1">
      <c r="A49" s="21" t="s">
        <v>155</v>
      </c>
      <c r="B49" s="23">
        <v>2628585</v>
      </c>
      <c r="C49" s="23">
        <v>0</v>
      </c>
      <c r="D49" s="23">
        <v>0</v>
      </c>
      <c r="E49" s="23">
        <v>2628585</v>
      </c>
      <c r="F49" s="23">
        <v>0</v>
      </c>
      <c r="G49" s="23">
        <v>386401950</v>
      </c>
      <c r="H49" s="23">
        <v>0</v>
      </c>
      <c r="I49" s="23">
        <v>-1239596705</v>
      </c>
      <c r="J49" s="23">
        <v>-853194755</v>
      </c>
      <c r="K49" s="23">
        <v>-4.67</v>
      </c>
    </row>
    <row r="50" spans="1:11" ht="23.1" customHeight="1">
      <c r="A50" s="21" t="s">
        <v>189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-1218366509</v>
      </c>
      <c r="J50" s="23">
        <v>-1218366509</v>
      </c>
      <c r="K50" s="23">
        <v>-6.67</v>
      </c>
    </row>
    <row r="51" spans="1:11" ht="23.1" customHeight="1">
      <c r="A51" s="21" t="s">
        <v>181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1444490443</v>
      </c>
      <c r="J51" s="23">
        <v>1444490443</v>
      </c>
      <c r="K51" s="23">
        <v>7.9</v>
      </c>
    </row>
    <row r="52" spans="1:11" ht="23.1" customHeight="1">
      <c r="A52" s="21" t="s">
        <v>44</v>
      </c>
      <c r="B52" s="23">
        <v>0</v>
      </c>
      <c r="C52" s="23">
        <v>-32441706660</v>
      </c>
      <c r="D52" s="23">
        <v>0</v>
      </c>
      <c r="E52" s="23">
        <v>-32441706660</v>
      </c>
      <c r="F52" s="23">
        <v>41.84</v>
      </c>
      <c r="G52" s="23">
        <v>5269303680</v>
      </c>
      <c r="H52" s="23">
        <v>-32484139416</v>
      </c>
      <c r="I52" s="23">
        <v>18635405881</v>
      </c>
      <c r="J52" s="23">
        <v>-8579429855</v>
      </c>
      <c r="K52" s="23">
        <v>-46.94</v>
      </c>
    </row>
    <row r="53" spans="1:11" ht="23.1" customHeight="1">
      <c r="A53" s="21" t="s">
        <v>115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377271180</v>
      </c>
      <c r="H53" s="23">
        <v>0</v>
      </c>
      <c r="I53" s="23">
        <v>-754773812</v>
      </c>
      <c r="J53" s="23">
        <v>-377502632</v>
      </c>
      <c r="K53" s="23">
        <v>-2.0699999999999998</v>
      </c>
    </row>
    <row r="54" spans="1:11" ht="23.1" customHeight="1">
      <c r="A54" s="21" t="s">
        <v>45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-364757660</v>
      </c>
      <c r="I54" s="23">
        <v>0</v>
      </c>
      <c r="J54" s="23">
        <v>-364757660</v>
      </c>
      <c r="K54" s="23">
        <v>-2</v>
      </c>
    </row>
    <row r="55" spans="1:11" ht="23.1" customHeight="1">
      <c r="A55" s="21" t="s">
        <v>128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294469000</v>
      </c>
      <c r="H55" s="23">
        <v>0</v>
      </c>
      <c r="I55" s="23">
        <v>-689003134</v>
      </c>
      <c r="J55" s="23">
        <v>-394534134</v>
      </c>
      <c r="K55" s="23">
        <v>-2.16</v>
      </c>
    </row>
    <row r="56" spans="1:11" ht="23.1" customHeight="1">
      <c r="A56" s="21" t="s">
        <v>124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490736400</v>
      </c>
      <c r="H56" s="23">
        <v>0</v>
      </c>
      <c r="I56" s="23">
        <v>-4169260144</v>
      </c>
      <c r="J56" s="23">
        <v>-3678523744</v>
      </c>
      <c r="K56" s="23">
        <v>-20.13</v>
      </c>
    </row>
    <row r="57" spans="1:11" ht="23.1" customHeight="1">
      <c r="A57" s="21" t="s">
        <v>140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636633860</v>
      </c>
      <c r="H57" s="23">
        <v>0</v>
      </c>
      <c r="I57" s="23">
        <v>-2695926981</v>
      </c>
      <c r="J57" s="23">
        <v>-2059293121</v>
      </c>
      <c r="K57" s="23">
        <v>-11.27</v>
      </c>
    </row>
    <row r="58" spans="1:11" ht="23.1" customHeight="1">
      <c r="A58" s="21" t="s">
        <v>131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666700000</v>
      </c>
      <c r="H58" s="23">
        <v>0</v>
      </c>
      <c r="I58" s="23">
        <v>-313836424</v>
      </c>
      <c r="J58" s="23">
        <v>352863576</v>
      </c>
      <c r="K58" s="23">
        <v>1.93</v>
      </c>
    </row>
    <row r="59" spans="1:11" ht="23.1" customHeight="1">
      <c r="A59" s="21" t="s">
        <v>137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470205512</v>
      </c>
      <c r="H59" s="23">
        <v>0</v>
      </c>
      <c r="I59" s="23">
        <v>6917754515</v>
      </c>
      <c r="J59" s="23">
        <v>7387960027</v>
      </c>
      <c r="K59" s="23">
        <v>40.42</v>
      </c>
    </row>
    <row r="60" spans="1:11" ht="23.1" customHeight="1">
      <c r="A60" s="21" t="s">
        <v>198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-993650676</v>
      </c>
      <c r="J60" s="23">
        <v>-993650676</v>
      </c>
      <c r="K60" s="23">
        <v>-5.44</v>
      </c>
    </row>
    <row r="61" spans="1:11" ht="23.1" customHeight="1">
      <c r="A61" s="21" t="s">
        <v>46</v>
      </c>
      <c r="B61" s="23">
        <v>0</v>
      </c>
      <c r="C61" s="23">
        <v>672619894</v>
      </c>
      <c r="D61" s="23">
        <v>0</v>
      </c>
      <c r="E61" s="23">
        <v>672619894</v>
      </c>
      <c r="F61" s="23">
        <v>-0.87</v>
      </c>
      <c r="G61" s="23">
        <v>491449090</v>
      </c>
      <c r="H61" s="23">
        <v>453833954</v>
      </c>
      <c r="I61" s="23">
        <v>458046690</v>
      </c>
      <c r="J61" s="23">
        <v>1403329734</v>
      </c>
      <c r="K61" s="23">
        <v>7.68</v>
      </c>
    </row>
    <row r="62" spans="1:11" ht="23.1" customHeight="1">
      <c r="A62" s="21" t="s">
        <v>186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-638261312</v>
      </c>
      <c r="J62" s="23">
        <v>-638261312</v>
      </c>
      <c r="K62" s="23">
        <v>-3.49</v>
      </c>
    </row>
    <row r="63" spans="1:11" ht="23.1" customHeight="1">
      <c r="A63" s="21" t="s">
        <v>47</v>
      </c>
      <c r="B63" s="23">
        <v>0</v>
      </c>
      <c r="C63" s="23">
        <v>-3245766773</v>
      </c>
      <c r="D63" s="23">
        <v>0</v>
      </c>
      <c r="E63" s="23">
        <v>-3245766773</v>
      </c>
      <c r="F63" s="23">
        <v>4.1900000000000004</v>
      </c>
      <c r="G63" s="23">
        <v>2309988213</v>
      </c>
      <c r="H63" s="23">
        <v>-4944534857</v>
      </c>
      <c r="I63" s="23">
        <v>2378187906</v>
      </c>
      <c r="J63" s="23">
        <v>-256358738</v>
      </c>
      <c r="K63" s="23">
        <v>-1.4</v>
      </c>
    </row>
    <row r="64" spans="1:11" ht="23.1" customHeight="1">
      <c r="A64" s="21" t="s">
        <v>143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212280640</v>
      </c>
      <c r="H64" s="23">
        <v>0</v>
      </c>
      <c r="I64" s="23">
        <v>919183170</v>
      </c>
      <c r="J64" s="23">
        <v>1131463810</v>
      </c>
      <c r="K64" s="23">
        <v>6.19</v>
      </c>
    </row>
    <row r="65" spans="1:11" ht="23.1" customHeight="1">
      <c r="A65" s="21" t="s">
        <v>109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339437553</v>
      </c>
      <c r="H65" s="23">
        <v>0</v>
      </c>
      <c r="I65" s="23">
        <v>-2647899412</v>
      </c>
      <c r="J65" s="23">
        <v>-2308461859</v>
      </c>
      <c r="K65" s="23">
        <v>-12.63</v>
      </c>
    </row>
    <row r="66" spans="1:11" ht="23.1" customHeight="1">
      <c r="A66" s="21" t="s">
        <v>190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-205553385</v>
      </c>
      <c r="J66" s="23">
        <v>-205553385</v>
      </c>
      <c r="K66" s="23">
        <v>-1.1200000000000001</v>
      </c>
    </row>
    <row r="67" spans="1:11" ht="23.1" customHeight="1">
      <c r="A67" s="21" t="s">
        <v>111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211240920</v>
      </c>
      <c r="H67" s="23">
        <v>0</v>
      </c>
      <c r="I67" s="23">
        <v>-711846386</v>
      </c>
      <c r="J67" s="23">
        <v>-500605466</v>
      </c>
      <c r="K67" s="23">
        <v>-2.74</v>
      </c>
    </row>
    <row r="68" spans="1:11" ht="23.1" customHeight="1">
      <c r="A68" s="21" t="s">
        <v>101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1250379360</v>
      </c>
      <c r="H68" s="23">
        <v>0</v>
      </c>
      <c r="I68" s="23">
        <v>681491043</v>
      </c>
      <c r="J68" s="23">
        <v>1931870403</v>
      </c>
      <c r="K68" s="23">
        <v>10.57</v>
      </c>
    </row>
    <row r="69" spans="1:11" ht="23.1" customHeight="1">
      <c r="A69" s="21" t="s">
        <v>117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115146680</v>
      </c>
      <c r="H69" s="23">
        <v>0</v>
      </c>
      <c r="I69" s="23">
        <v>-693426881</v>
      </c>
      <c r="J69" s="23">
        <v>-578280201</v>
      </c>
      <c r="K69" s="23">
        <v>-3.16</v>
      </c>
    </row>
    <row r="70" spans="1:11" ht="23.1" customHeight="1">
      <c r="A70" s="21" t="s">
        <v>48</v>
      </c>
      <c r="B70" s="23">
        <v>0</v>
      </c>
      <c r="C70" s="23">
        <v>107082286</v>
      </c>
      <c r="D70" s="23">
        <v>0</v>
      </c>
      <c r="E70" s="23">
        <v>107082286</v>
      </c>
      <c r="F70" s="23">
        <v>-0.14000000000000001</v>
      </c>
      <c r="G70" s="23">
        <v>289260800</v>
      </c>
      <c r="H70" s="23">
        <v>635523739</v>
      </c>
      <c r="I70" s="23">
        <v>704982613</v>
      </c>
      <c r="J70" s="23">
        <v>1629767152</v>
      </c>
      <c r="K70" s="23">
        <v>8.92</v>
      </c>
    </row>
    <row r="71" spans="1:11" ht="23.1" customHeight="1">
      <c r="A71" s="21" t="s">
        <v>192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882716102</v>
      </c>
      <c r="J71" s="23">
        <v>882716102</v>
      </c>
      <c r="K71" s="23">
        <v>4.83</v>
      </c>
    </row>
    <row r="72" spans="1:11" ht="23.1" customHeight="1">
      <c r="A72" s="21" t="s">
        <v>142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156662494</v>
      </c>
      <c r="H72" s="23">
        <v>0</v>
      </c>
      <c r="I72" s="23">
        <v>-901097172</v>
      </c>
      <c r="J72" s="23">
        <v>-744434678</v>
      </c>
      <c r="K72" s="23">
        <v>-4.07</v>
      </c>
    </row>
    <row r="73" spans="1:11" ht="23.1" customHeight="1">
      <c r="A73" s="21" t="s">
        <v>107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200360850</v>
      </c>
      <c r="H73" s="23">
        <v>0</v>
      </c>
      <c r="I73" s="23">
        <v>-607801069</v>
      </c>
      <c r="J73" s="23">
        <v>-407440219</v>
      </c>
      <c r="K73" s="23">
        <v>-2.23</v>
      </c>
    </row>
    <row r="74" spans="1:11" ht="23.1" customHeight="1">
      <c r="A74" s="21" t="s">
        <v>194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-1103937390</v>
      </c>
      <c r="J74" s="23">
        <v>-1103937390</v>
      </c>
      <c r="K74" s="23">
        <v>-6.04</v>
      </c>
    </row>
    <row r="75" spans="1:11" ht="23.1" customHeight="1">
      <c r="A75" s="21" t="s">
        <v>205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-2616519214</v>
      </c>
      <c r="J75" s="23">
        <v>-2616519214</v>
      </c>
      <c r="K75" s="23">
        <v>-14.32</v>
      </c>
    </row>
    <row r="76" spans="1:11" ht="23.1" customHeight="1">
      <c r="A76" s="21" t="s">
        <v>49</v>
      </c>
      <c r="B76" s="23">
        <v>0</v>
      </c>
      <c r="C76" s="23">
        <v>109954023</v>
      </c>
      <c r="D76" s="23">
        <v>0</v>
      </c>
      <c r="E76" s="23">
        <v>109954023</v>
      </c>
      <c r="F76" s="23">
        <v>-0.14000000000000001</v>
      </c>
      <c r="G76" s="23">
        <v>0</v>
      </c>
      <c r="H76" s="23">
        <v>-749982191</v>
      </c>
      <c r="I76" s="23">
        <v>-67010018</v>
      </c>
      <c r="J76" s="23">
        <v>-816992209</v>
      </c>
      <c r="K76" s="23">
        <v>-4.47</v>
      </c>
    </row>
    <row r="77" spans="1:11" ht="23.1" customHeight="1">
      <c r="A77" s="21" t="s">
        <v>127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802881452</v>
      </c>
      <c r="H77" s="23">
        <v>0</v>
      </c>
      <c r="I77" s="23">
        <v>-7147855878</v>
      </c>
      <c r="J77" s="23">
        <v>-6344878422</v>
      </c>
      <c r="K77" s="23">
        <v>-34.72</v>
      </c>
    </row>
    <row r="78" spans="1:11" ht="23.1" customHeight="1">
      <c r="A78" s="21" t="s">
        <v>50</v>
      </c>
      <c r="B78" s="23">
        <v>0</v>
      </c>
      <c r="C78" s="23">
        <v>-4742968578</v>
      </c>
      <c r="D78" s="23">
        <v>0</v>
      </c>
      <c r="E78" s="23">
        <v>-4742968578</v>
      </c>
      <c r="F78" s="23">
        <v>6.12</v>
      </c>
      <c r="G78" s="23">
        <v>1310938000</v>
      </c>
      <c r="H78" s="23">
        <v>-6386617669</v>
      </c>
      <c r="I78" s="23">
        <v>-157392887</v>
      </c>
      <c r="J78" s="23">
        <v>-5233072556</v>
      </c>
      <c r="K78" s="23">
        <v>-28.63</v>
      </c>
    </row>
    <row r="79" spans="1:11" ht="23.1" customHeight="1">
      <c r="A79" s="21" t="s">
        <v>51</v>
      </c>
      <c r="B79" s="23">
        <v>0</v>
      </c>
      <c r="C79" s="23">
        <v>-2072356</v>
      </c>
      <c r="D79" s="23">
        <v>0</v>
      </c>
      <c r="E79" s="23">
        <v>-2072356</v>
      </c>
      <c r="F79" s="23">
        <v>0</v>
      </c>
      <c r="G79" s="23">
        <v>371028621</v>
      </c>
      <c r="H79" s="23">
        <v>-111787573</v>
      </c>
      <c r="I79" s="23">
        <v>134246911</v>
      </c>
      <c r="J79" s="23">
        <v>393487959</v>
      </c>
      <c r="K79" s="23">
        <v>2.15</v>
      </c>
    </row>
    <row r="80" spans="1:11" ht="23.1" customHeight="1">
      <c r="A80" s="21" t="s">
        <v>55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1269957150</v>
      </c>
      <c r="H80" s="23">
        <v>3309360749</v>
      </c>
      <c r="I80" s="23">
        <v>2401005258</v>
      </c>
      <c r="J80" s="23">
        <v>6980323157</v>
      </c>
      <c r="K80" s="23">
        <v>38.19</v>
      </c>
    </row>
    <row r="81" spans="1:11" ht="23.1" customHeight="1">
      <c r="A81" s="21" t="s">
        <v>113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330618000</v>
      </c>
      <c r="H81" s="23">
        <v>0</v>
      </c>
      <c r="I81" s="23">
        <v>-868757418</v>
      </c>
      <c r="J81" s="23">
        <v>-538139418</v>
      </c>
      <c r="K81" s="23">
        <v>-2.94</v>
      </c>
    </row>
    <row r="82" spans="1:11" ht="23.1" customHeight="1">
      <c r="A82" s="21" t="s">
        <v>132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65510690</v>
      </c>
      <c r="H82" s="23">
        <v>0</v>
      </c>
      <c r="I82" s="23">
        <v>-234974164</v>
      </c>
      <c r="J82" s="23">
        <v>-169463474</v>
      </c>
      <c r="K82" s="23">
        <v>-0.93</v>
      </c>
    </row>
    <row r="83" spans="1:11" ht="23.1" customHeight="1">
      <c r="A83" s="21" t="s">
        <v>202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133526386</v>
      </c>
      <c r="J83" s="23">
        <v>133526386</v>
      </c>
      <c r="K83" s="23">
        <v>0.73</v>
      </c>
    </row>
    <row r="84" spans="1:11" ht="23.1" customHeight="1">
      <c r="A84" s="21" t="s">
        <v>134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84800</v>
      </c>
      <c r="H84" s="23">
        <v>0</v>
      </c>
      <c r="I84" s="23">
        <v>-899831911</v>
      </c>
      <c r="J84" s="23">
        <v>-899747111</v>
      </c>
      <c r="K84" s="23">
        <v>-4.92</v>
      </c>
    </row>
    <row r="85" spans="1:11" ht="23.1" customHeight="1">
      <c r="A85" s="21" t="s">
        <v>184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1620293927</v>
      </c>
      <c r="J85" s="23">
        <v>1620293927</v>
      </c>
      <c r="K85" s="23">
        <v>8.8699999999999992</v>
      </c>
    </row>
    <row r="86" spans="1:11" ht="23.1" customHeight="1">
      <c r="A86" s="21" t="s">
        <v>180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1284215424</v>
      </c>
      <c r="J86" s="23">
        <v>1284215424</v>
      </c>
      <c r="K86" s="23">
        <v>7.03</v>
      </c>
    </row>
    <row r="87" spans="1:11" ht="23.1" customHeight="1">
      <c r="A87" s="21" t="s">
        <v>193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-904362571</v>
      </c>
      <c r="J87" s="23">
        <v>-904362571</v>
      </c>
      <c r="K87" s="23">
        <v>-4.95</v>
      </c>
    </row>
    <row r="88" spans="1:11" ht="23.1" customHeight="1">
      <c r="A88" s="21" t="s">
        <v>204</v>
      </c>
      <c r="B88" s="23">
        <v>0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361397373</v>
      </c>
      <c r="J88" s="23">
        <v>361397373</v>
      </c>
      <c r="K88" s="23">
        <v>1.98</v>
      </c>
    </row>
    <row r="89" spans="1:11" ht="23.1" customHeight="1">
      <c r="A89" s="21" t="s">
        <v>196</v>
      </c>
      <c r="B89" s="23">
        <v>0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805335503</v>
      </c>
      <c r="J89" s="23">
        <v>805335503</v>
      </c>
      <c r="K89" s="23">
        <v>4.41</v>
      </c>
    </row>
    <row r="90" spans="1:11" ht="23.1" customHeight="1">
      <c r="A90" s="21" t="s">
        <v>56</v>
      </c>
      <c r="B90" s="23">
        <v>0</v>
      </c>
      <c r="C90" s="23">
        <v>-515144847</v>
      </c>
      <c r="D90" s="23">
        <v>0</v>
      </c>
      <c r="E90" s="23">
        <v>-515144847</v>
      </c>
      <c r="F90" s="23">
        <v>0.66</v>
      </c>
      <c r="G90" s="23">
        <v>4131290270</v>
      </c>
      <c r="H90" s="23">
        <v>-1509822466</v>
      </c>
      <c r="I90" s="23">
        <v>-1553309692</v>
      </c>
      <c r="J90" s="23">
        <v>1068158112</v>
      </c>
      <c r="K90" s="23">
        <v>5.84</v>
      </c>
    </row>
    <row r="91" spans="1:11" ht="23.1" customHeight="1">
      <c r="A91" s="21" t="s">
        <v>145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362934000</v>
      </c>
      <c r="H91" s="23">
        <v>0</v>
      </c>
      <c r="I91" s="23">
        <v>-1124856634</v>
      </c>
      <c r="J91" s="23">
        <v>-761922634</v>
      </c>
      <c r="K91" s="23">
        <v>-4.17</v>
      </c>
    </row>
    <row r="92" spans="1:11" ht="23.1" customHeight="1">
      <c r="A92" s="21" t="s">
        <v>105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4241820</v>
      </c>
      <c r="H92" s="23">
        <v>0</v>
      </c>
      <c r="I92" s="23">
        <v>-565021857</v>
      </c>
      <c r="J92" s="23">
        <v>-560780037</v>
      </c>
      <c r="K92" s="23">
        <v>-3.07</v>
      </c>
    </row>
    <row r="93" spans="1:11" ht="23.1" customHeight="1">
      <c r="A93" s="21" t="s">
        <v>103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117135</v>
      </c>
      <c r="H93" s="23">
        <v>0</v>
      </c>
      <c r="I93" s="23">
        <v>82117</v>
      </c>
      <c r="J93" s="23">
        <v>199252</v>
      </c>
      <c r="K93" s="23">
        <v>0</v>
      </c>
    </row>
    <row r="94" spans="1:11" ht="23.1" customHeight="1">
      <c r="A94" s="21" t="s">
        <v>57</v>
      </c>
      <c r="B94" s="23">
        <v>0</v>
      </c>
      <c r="C94" s="23">
        <v>195282307</v>
      </c>
      <c r="D94" s="23">
        <v>0</v>
      </c>
      <c r="E94" s="23">
        <v>195282307</v>
      </c>
      <c r="F94" s="23">
        <v>-0.25</v>
      </c>
      <c r="G94" s="23">
        <v>0</v>
      </c>
      <c r="H94" s="23">
        <v>-220265861</v>
      </c>
      <c r="I94" s="23">
        <v>2183818282</v>
      </c>
      <c r="J94" s="23">
        <v>1963552421</v>
      </c>
      <c r="K94" s="23">
        <v>10.74</v>
      </c>
    </row>
    <row r="95" spans="1:11" ht="23.1" customHeight="1">
      <c r="A95" s="21" t="s">
        <v>58</v>
      </c>
      <c r="B95" s="23">
        <v>0</v>
      </c>
      <c r="C95" s="23">
        <v>-1706239679</v>
      </c>
      <c r="D95" s="23">
        <v>0</v>
      </c>
      <c r="E95" s="23">
        <v>-1706239679</v>
      </c>
      <c r="F95" s="23">
        <v>2.2000000000000002</v>
      </c>
      <c r="G95" s="23">
        <v>0</v>
      </c>
      <c r="H95" s="23">
        <v>-2041479900</v>
      </c>
      <c r="I95" s="23">
        <v>-173845296</v>
      </c>
      <c r="J95" s="23">
        <v>-2215325196</v>
      </c>
      <c r="K95" s="23">
        <v>-12.12</v>
      </c>
    </row>
    <row r="96" spans="1:11" ht="23.1" customHeight="1">
      <c r="A96" s="21" t="s">
        <v>188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-169479330</v>
      </c>
      <c r="J96" s="23">
        <v>-169479330</v>
      </c>
      <c r="K96" s="23">
        <v>-0.93</v>
      </c>
    </row>
    <row r="97" spans="1:11" ht="23.1" customHeight="1">
      <c r="A97" s="21" t="s">
        <v>207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-504279332</v>
      </c>
      <c r="J97" s="23">
        <v>-504279332</v>
      </c>
      <c r="K97" s="23">
        <v>-2.76</v>
      </c>
    </row>
    <row r="98" spans="1:11" ht="23.1" customHeight="1">
      <c r="A98" s="21" t="s">
        <v>197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-334979849</v>
      </c>
      <c r="J98" s="23">
        <v>-334979849</v>
      </c>
      <c r="K98" s="23">
        <v>-1.83</v>
      </c>
    </row>
    <row r="99" spans="1:11" ht="23.1" customHeight="1">
      <c r="A99" s="21" t="s">
        <v>200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190294</v>
      </c>
      <c r="J99" s="23">
        <v>190294</v>
      </c>
      <c r="K99" s="23">
        <v>0</v>
      </c>
    </row>
    <row r="100" spans="1:11" ht="23.1" customHeight="1">
      <c r="A100" s="21" t="s">
        <v>59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-250300</v>
      </c>
      <c r="I100" s="23">
        <v>0</v>
      </c>
      <c r="J100" s="23">
        <v>-250300</v>
      </c>
      <c r="K100" s="23">
        <v>0</v>
      </c>
    </row>
    <row r="101" spans="1:11" ht="23.1" customHeight="1">
      <c r="A101" s="21" t="s">
        <v>52</v>
      </c>
      <c r="B101" s="23">
        <v>0</v>
      </c>
      <c r="C101" s="23">
        <v>-242287096</v>
      </c>
      <c r="D101" s="23">
        <v>0</v>
      </c>
      <c r="E101" s="23">
        <v>-242287096</v>
      </c>
      <c r="F101" s="23">
        <v>0.31</v>
      </c>
      <c r="G101" s="23">
        <v>0</v>
      </c>
      <c r="H101" s="23">
        <v>-242287096</v>
      </c>
      <c r="I101" s="23">
        <v>0</v>
      </c>
      <c r="J101" s="23">
        <v>-242287096</v>
      </c>
      <c r="K101" s="23">
        <v>-1.33</v>
      </c>
    </row>
    <row r="102" spans="1:11" ht="23.1" customHeight="1">
      <c r="A102" s="21" t="s">
        <v>53</v>
      </c>
      <c r="B102" s="23">
        <v>0</v>
      </c>
      <c r="C102" s="23">
        <v>-100456663</v>
      </c>
      <c r="D102" s="23">
        <v>0</v>
      </c>
      <c r="E102" s="23">
        <v>-100456663</v>
      </c>
      <c r="F102" s="23">
        <v>0.13</v>
      </c>
      <c r="G102" s="23">
        <v>0</v>
      </c>
      <c r="H102" s="23">
        <v>-324795130</v>
      </c>
      <c r="I102" s="23">
        <v>0</v>
      </c>
      <c r="J102" s="23">
        <v>-324795130</v>
      </c>
      <c r="K102" s="23">
        <v>-1.78</v>
      </c>
    </row>
    <row r="103" spans="1:11" ht="23.1" customHeight="1">
      <c r="A103" s="21" t="s">
        <v>54</v>
      </c>
      <c r="B103" s="23">
        <v>0</v>
      </c>
      <c r="C103" s="23">
        <v>13256491</v>
      </c>
      <c r="D103" s="23">
        <v>0</v>
      </c>
      <c r="E103" s="23">
        <v>13256491</v>
      </c>
      <c r="F103" s="23">
        <v>-0.02</v>
      </c>
      <c r="G103" s="23">
        <v>0</v>
      </c>
      <c r="H103" s="23">
        <v>13256491</v>
      </c>
      <c r="I103" s="23">
        <v>0</v>
      </c>
      <c r="J103" s="23">
        <v>13256491</v>
      </c>
      <c r="K103" s="23">
        <v>7.0000000000000007E-2</v>
      </c>
    </row>
    <row r="104" spans="1:11" ht="23.1" customHeight="1" thickBot="1">
      <c r="A104" s="21" t="s">
        <v>60</v>
      </c>
      <c r="B104" s="23">
        <f>SUBTOTAL(109,B11:B103)</f>
        <v>1214486691</v>
      </c>
      <c r="C104" s="23">
        <v>-80369563467</v>
      </c>
      <c r="D104" s="23">
        <v>0</v>
      </c>
      <c r="E104" s="23">
        <f>SUBTOTAL(109,E11:E103)</f>
        <v>-79155076776</v>
      </c>
      <c r="F104" s="23">
        <v>102.1</v>
      </c>
      <c r="G104" s="23">
        <f>SUBTOTAL(109,G11:G103)</f>
        <v>50843447876</v>
      </c>
      <c r="H104" s="23">
        <v>-105016382057</v>
      </c>
      <c r="I104" s="23">
        <f>SUBTOTAL(109,I11:I103)</f>
        <v>68829789803</v>
      </c>
      <c r="J104" s="23">
        <f>SUBTOTAL(109,J11:J103)</f>
        <v>14721545166</v>
      </c>
      <c r="K104" s="23">
        <v>80.540000000000006</v>
      </c>
    </row>
    <row r="105" spans="1:11" ht="23.1" customHeight="1">
      <c r="A105" s="21" t="s">
        <v>61</v>
      </c>
      <c r="B105" s="41"/>
      <c r="C105" s="41"/>
      <c r="D105" s="41"/>
      <c r="E105" s="41"/>
      <c r="F105" s="48"/>
      <c r="G105" s="41"/>
      <c r="H105" s="41"/>
      <c r="I105" s="41"/>
      <c r="J105" s="41"/>
      <c r="K105" s="41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scale="76" orientation="landscape" horizontalDpi="4294967295" verticalDpi="4294967295" r:id="rId1"/>
  <headerFooter differentOddEven="1" differentFirst="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G13"/>
  <sheetViews>
    <sheetView rightToLeft="1" view="pageBreakPreview" zoomScale="106" zoomScaleNormal="115" zoomScaleSheetLayoutView="106" workbookViewId="0">
      <selection activeCell="C20" sqref="C20"/>
    </sheetView>
  </sheetViews>
  <sheetFormatPr defaultColWidth="9" defaultRowHeight="18"/>
  <cols>
    <col min="1" max="1" width="28.42578125" style="10" customWidth="1"/>
    <col min="2" max="2" width="19.85546875" style="10" customWidth="1"/>
    <col min="3" max="3" width="29.28515625" style="10" customWidth="1"/>
    <col min="4" max="4" width="26" style="10" customWidth="1"/>
    <col min="5" max="5" width="29.28515625" style="10" customWidth="1"/>
    <col min="6" max="6" width="26" style="10" customWidth="1"/>
    <col min="7" max="7" width="13" style="13" customWidth="1"/>
    <col min="8" max="8" width="9" style="13" customWidth="1"/>
    <col min="9" max="16384" width="9" style="13"/>
  </cols>
  <sheetData>
    <row r="1" spans="1:7" ht="19.5">
      <c r="A1" s="93" t="s">
        <v>1</v>
      </c>
      <c r="B1" s="93"/>
      <c r="C1" s="93"/>
      <c r="D1" s="93"/>
      <c r="E1" s="93"/>
      <c r="F1" s="93"/>
    </row>
    <row r="2" spans="1:7" ht="19.5">
      <c r="A2" s="93" t="s">
        <v>74</v>
      </c>
      <c r="B2" s="93"/>
      <c r="C2" s="93"/>
      <c r="D2" s="93"/>
      <c r="E2" s="93"/>
      <c r="F2" s="93"/>
    </row>
    <row r="3" spans="1:7" ht="19.5">
      <c r="A3" s="93" t="s">
        <v>75</v>
      </c>
      <c r="B3" s="93"/>
      <c r="C3" s="93"/>
      <c r="D3" s="93"/>
      <c r="E3" s="93"/>
      <c r="F3" s="93"/>
    </row>
    <row r="4" spans="1:7">
      <c r="A4" s="107" t="s">
        <v>218</v>
      </c>
      <c r="B4" s="98"/>
      <c r="C4" s="98"/>
      <c r="D4" s="98"/>
      <c r="E4" s="98"/>
      <c r="F4" s="98"/>
    </row>
    <row r="5" spans="1:7">
      <c r="A5" s="11"/>
      <c r="B5" s="11"/>
      <c r="C5" s="11"/>
      <c r="D5" s="11"/>
      <c r="E5" s="11"/>
      <c r="F5" s="11"/>
    </row>
    <row r="6" spans="1:7" ht="37.5" customHeight="1">
      <c r="A6" s="103" t="s">
        <v>219</v>
      </c>
      <c r="B6" s="104"/>
      <c r="C6" s="105" t="s">
        <v>93</v>
      </c>
      <c r="D6" s="106"/>
      <c r="E6" s="103" t="s">
        <v>94</v>
      </c>
      <c r="F6" s="104"/>
      <c r="G6" s="14"/>
    </row>
    <row r="7" spans="1:7" ht="59.25" customHeight="1">
      <c r="A7" s="12" t="s">
        <v>220</v>
      </c>
      <c r="B7" s="50" t="s">
        <v>221</v>
      </c>
      <c r="C7" s="50" t="s">
        <v>222</v>
      </c>
      <c r="D7" s="50" t="s">
        <v>223</v>
      </c>
      <c r="E7" s="50" t="s">
        <v>222</v>
      </c>
      <c r="F7" s="50" t="s">
        <v>223</v>
      </c>
      <c r="G7" s="10"/>
    </row>
    <row r="8" spans="1:7" ht="22.5" customHeight="1">
      <c r="A8" s="20"/>
      <c r="B8" s="20"/>
      <c r="C8" s="16" t="s">
        <v>213</v>
      </c>
      <c r="D8" s="20"/>
      <c r="E8" s="16" t="s">
        <v>213</v>
      </c>
      <c r="F8" s="20"/>
      <c r="G8" s="10"/>
    </row>
    <row r="9" spans="1:7" ht="23.1" customHeight="1">
      <c r="A9" s="21" t="s">
        <v>170</v>
      </c>
      <c r="B9" s="21" t="s">
        <v>224</v>
      </c>
      <c r="C9" s="23">
        <v>0</v>
      </c>
      <c r="D9" s="21" t="s">
        <v>172</v>
      </c>
      <c r="E9" s="23">
        <v>33800925</v>
      </c>
      <c r="F9" s="21" t="s">
        <v>172</v>
      </c>
    </row>
    <row r="10" spans="1:7" ht="23.1" customHeight="1">
      <c r="A10" s="21" t="s">
        <v>71</v>
      </c>
      <c r="B10" s="21" t="s">
        <v>225</v>
      </c>
      <c r="C10" s="23">
        <v>4767</v>
      </c>
      <c r="D10" s="21" t="s">
        <v>226</v>
      </c>
      <c r="E10" s="23">
        <v>27873</v>
      </c>
      <c r="F10" s="21" t="s">
        <v>227</v>
      </c>
    </row>
    <row r="11" spans="1:7" ht="23.1" customHeight="1">
      <c r="A11" s="21" t="s">
        <v>173</v>
      </c>
      <c r="B11" s="21" t="s">
        <v>228</v>
      </c>
      <c r="C11" s="23">
        <v>1610349188</v>
      </c>
      <c r="D11" s="21" t="s">
        <v>229</v>
      </c>
      <c r="E11" s="23">
        <v>2659206944</v>
      </c>
      <c r="F11" s="21" t="s">
        <v>230</v>
      </c>
    </row>
    <row r="12" spans="1:7" ht="23.1" customHeight="1">
      <c r="A12" s="21" t="s">
        <v>60</v>
      </c>
      <c r="B12" s="21"/>
      <c r="C12" s="23">
        <v>1610353955</v>
      </c>
      <c r="D12" s="21"/>
      <c r="E12" s="23">
        <v>2693035742</v>
      </c>
      <c r="F12" s="21"/>
    </row>
    <row r="13" spans="1:7" ht="23.1" customHeight="1">
      <c r="A13" s="46" t="s">
        <v>61</v>
      </c>
      <c r="B13" s="49"/>
      <c r="C13" s="41"/>
      <c r="D13" s="49"/>
      <c r="E13" s="41"/>
      <c r="F13" s="49"/>
      <c r="G13" s="10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scale="60" orientation="portrait" horizontalDpi="4294967295" verticalDpi="4294967295" r:id="rId1"/>
  <headerFooter differentOddEven="1" differentFirst="1"/>
  <colBreaks count="1" manualBreakCount="1">
    <brk id="6" max="12" man="1"/>
  </colBreak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C11"/>
  <sheetViews>
    <sheetView rightToLeft="1" view="pageBreakPreview" zoomScale="115" zoomScaleNormal="100" zoomScaleSheetLayoutView="115" workbookViewId="0">
      <selection activeCell="A9" sqref="A9"/>
    </sheetView>
  </sheetViews>
  <sheetFormatPr defaultColWidth="9" defaultRowHeight="18"/>
  <cols>
    <col min="1" max="1" width="15.85546875" style="10" customWidth="1"/>
    <col min="2" max="2" width="29.7109375" style="10" customWidth="1"/>
    <col min="3" max="3" width="30.42578125" style="10" customWidth="1"/>
    <col min="4" max="4" width="9" style="13" customWidth="1"/>
    <col min="5" max="16384" width="9" style="13"/>
  </cols>
  <sheetData>
    <row r="1" spans="1:3" ht="19.5">
      <c r="A1" s="93" t="s">
        <v>1</v>
      </c>
      <c r="B1" s="93"/>
      <c r="C1" s="93"/>
    </row>
    <row r="2" spans="1:3" ht="19.5">
      <c r="A2" s="93" t="s">
        <v>74</v>
      </c>
      <c r="B2" s="93"/>
      <c r="C2" s="93"/>
    </row>
    <row r="3" spans="1:3" ht="19.5">
      <c r="A3" s="93" t="s">
        <v>75</v>
      </c>
      <c r="B3" s="93"/>
      <c r="C3" s="93"/>
    </row>
    <row r="4" spans="1:3">
      <c r="A4" s="107" t="s">
        <v>231</v>
      </c>
      <c r="B4" s="98"/>
      <c r="C4" s="98"/>
    </row>
    <row r="5" spans="1:3">
      <c r="A5" s="47"/>
      <c r="B5" s="19" t="s">
        <v>93</v>
      </c>
      <c r="C5" s="19" t="s">
        <v>94</v>
      </c>
    </row>
    <row r="6" spans="1:3" ht="16.5" customHeight="1">
      <c r="A6" s="108" t="s">
        <v>89</v>
      </c>
      <c r="B6" s="96" t="s">
        <v>68</v>
      </c>
      <c r="C6" s="96" t="s">
        <v>68</v>
      </c>
    </row>
    <row r="7" spans="1:3">
      <c r="A7" s="109"/>
      <c r="B7" s="97"/>
      <c r="C7" s="97"/>
    </row>
    <row r="8" spans="1:3" ht="23.1" customHeight="1">
      <c r="A8" s="21" t="s">
        <v>89</v>
      </c>
      <c r="B8" s="23">
        <v>0</v>
      </c>
      <c r="C8" s="23">
        <v>292888489</v>
      </c>
    </row>
    <row r="9" spans="1:3" ht="23.1" customHeight="1">
      <c r="A9" s="21" t="s">
        <v>232</v>
      </c>
      <c r="B9" s="23">
        <v>0</v>
      </c>
      <c r="C9" s="23">
        <v>569119756</v>
      </c>
    </row>
    <row r="10" spans="1:3" ht="23.1" customHeight="1">
      <c r="A10" s="21" t="s">
        <v>60</v>
      </c>
      <c r="B10" s="23">
        <v>0</v>
      </c>
      <c r="C10" s="23">
        <v>862008245</v>
      </c>
    </row>
    <row r="11" spans="1:3" ht="23.1" customHeight="1">
      <c r="A11" s="21" t="s">
        <v>61</v>
      </c>
      <c r="B11" s="23"/>
      <c r="C11" s="23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horizontalDpi="4294967295" verticalDpi="4294967295" r:id="rId1"/>
  <headerFooter differentOddEven="1" differentFirs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' سهام'!Print_Area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Mabna</dc:creator>
  <cp:keywords>EPPlus noncommercial use</cp:keywords>
  <dc:description>This workbook has been created with EPPlus licensed to Mabna under The Polyform Noncommercial License: See https://polyformproject.org/licenses/noncommercial/1.0.0</dc:description>
  <cp:lastModifiedBy>Maryam Asadi</cp:lastModifiedBy>
  <cp:lastPrinted>2022-07-11T16:32:10Z</cp:lastPrinted>
  <dcterms:created xsi:type="dcterms:W3CDTF">2017-11-22T14:26:20Z</dcterms:created>
  <dcterms:modified xsi:type="dcterms:W3CDTF">2026-05-26T08:20:06Z</dcterms:modified>
</cp:coreProperties>
</file>