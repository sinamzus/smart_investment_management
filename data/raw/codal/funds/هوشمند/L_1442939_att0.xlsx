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Z:\Ms.moradi\"/>
    </mc:Choice>
  </mc:AlternateContent>
  <xr:revisionPtr revIDLastSave="0" documentId="13_ncr:1_{3D317DD7-0B08-473D-BBC0-4EFB3E72A4A2}" xr6:coauthVersionLast="47" xr6:coauthVersionMax="47" xr10:uidLastSave="{00000000-0000-0000-0000-000000000000}"/>
  <bookViews>
    <workbookView xWindow="-120" yWindow="-120" windowWidth="29040" windowHeight="15720" tabRatio="688" firstSheet="1" activeTab="3" xr2:uid="{00000000-000D-0000-FFFF-FFFF00000000}"/>
  </bookViews>
  <sheets>
    <sheet name="1" sheetId="16" r:id="rId1"/>
    <sheet name=" سهام" sheetId="1" r:id="rId2"/>
    <sheet name="سپرده" sheetId="2" r:id="rId3"/>
    <sheet name="درآمدها" sheetId="11" r:id="rId4"/>
    <sheet name="درآمد سود سهام" sheetId="12" r:id="rId5"/>
    <sheet name="سود اوراق بهادار" sheetId="13" r:id="rId6"/>
    <sheet name="سود سپرده بانکی" sheetId="24" r:id="rId7"/>
    <sheet name="درآمد ناشی ازفروش" sheetId="15" r:id="rId8"/>
    <sheet name="درآمد ناشی از تغییر قیمت اوراق " sheetId="14" r:id="rId9"/>
    <sheet name="درآمد سرمایه گذاری در سهام" sheetId="5" r:id="rId10"/>
    <sheet name="درآمد سپرده بانکی" sheetId="7" r:id="rId11"/>
    <sheet name="سایر درآمدها" sheetId="8" r:id="rId12"/>
    <sheet name="Sheet1" sheetId="25" r:id="rId13"/>
  </sheets>
  <definedNames>
    <definedName name="_xlnm._FilterDatabase" localSheetId="7" hidden="1">'درآمد ناشی ازفروش'!$A$6:$J$6</definedName>
    <definedName name="_xlnm.Print_Area" localSheetId="1">' سهام'!$A$1:$M$70</definedName>
    <definedName name="_xlnm.Print_Area" localSheetId="0">'1'!$A$1:$I$31</definedName>
    <definedName name="_xlnm.Print_Area" localSheetId="10">'درآمد سپرده بانکی'!$A$1:$G$11</definedName>
    <definedName name="_xlnm.Print_Area" localSheetId="9">'درآمد سرمایه گذاری در سهام'!$A$1:$K$100</definedName>
    <definedName name="_xlnm.Print_Area" localSheetId="4">'درآمد سود سهام'!$A$1:$J$53</definedName>
    <definedName name="_xlnm.Print_Area" localSheetId="8">'درآمد ناشی از تغییر قیمت اوراق '!$A$1:$I$70</definedName>
    <definedName name="_xlnm.Print_Area" localSheetId="7">'درآمد ناشی ازفروش'!$A$1:$I$93</definedName>
    <definedName name="_xlnm.Print_Area" localSheetId="3">درآمدها!$A$1:$R$11</definedName>
    <definedName name="_xlnm.Print_Area" localSheetId="11">'سایر درآمدها'!$A$1:$C$10</definedName>
    <definedName name="_xlnm.Print_Area" localSheetId="2">سپرده!A1:J15</definedName>
    <definedName name="_xlnm.Print_Area" localSheetId="5">'سود اوراق بهادار'!$A$1:$J$9</definedName>
    <definedName name="_xlnm.Print_Area" localSheetId="6">'سود سپرده بانکی'!$A$1:$G$9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1" l="1"/>
  <c r="D10" i="11"/>
  <c r="C10" i="11"/>
  <c r="C9" i="11"/>
  <c r="C8" i="11"/>
  <c r="C7" i="11"/>
  <c r="C6" i="11"/>
  <c r="D6" i="11" s="1"/>
  <c r="E10" i="7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11" i="5"/>
  <c r="E99" i="5"/>
  <c r="J11" i="5"/>
  <c r="E11" i="5"/>
  <c r="C99" i="5"/>
  <c r="D9" i="11" l="1"/>
  <c r="D8" i="11"/>
  <c r="D7" i="11"/>
  <c r="D11" i="11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K99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G99" i="5"/>
  <c r="D99" i="5"/>
  <c r="F99" i="5"/>
  <c r="H99" i="5"/>
  <c r="I99" i="5"/>
  <c r="B99" i="5"/>
  <c r="J53" i="12"/>
  <c r="H53" i="12"/>
  <c r="J99" i="5" l="1"/>
  <c r="I90" i="15"/>
</calcChain>
</file>

<file path=xl/sharedStrings.xml><?xml version="1.0" encoding="utf-8"?>
<sst xmlns="http://schemas.openxmlformats.org/spreadsheetml/2006/main" count="605" uniqueCount="209">
  <si>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</si>
  <si>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</si>
  <si>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</si>
  <si>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1404/08/30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</si>
  <si>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</si>
  <si>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</si>
  <si>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</si>
  <si>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1404/08/30</t>
  </si>
  <si>
    <t>1- سرمایه گذاری ها</t>
  </si>
  <si>
    <t>1-1-سرمایه‌گذاری در سهام و حق تقدم سهام وصندوق‌های سرمایه‌گذاری</t>
  </si>
  <si>
    <t>1404/08/01</t>
  </si>
  <si>
    <t>تغییرات طی دوره</t>
  </si>
  <si>
    <t>1404/08/30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</si>
  <si>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</si>
  <si>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</si>
  <si>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</si>
  <si>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</si>
  <si>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</si>
  <si>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</si>
  <si>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</si>
  <si>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</si>
  <si>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</si>
  <si>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</si>
  <si>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تاید واتر خاورمیانه (حتاید)</t>
  </si>
  <si>
    <t>سر. توسعه معادن و صنایع معدنی خاورمیانه (میدکو)</t>
  </si>
  <si>
    <t>پتروشیمی نوری (نوری)</t>
  </si>
  <si>
    <t>کشتیرانی ایران (حکشتی)</t>
  </si>
  <si>
    <t>سایپا (خساپا)</t>
  </si>
  <si>
    <t>گروه صنعتی پاکشو (پاکشو)</t>
  </si>
  <si>
    <t>سر. غدیر (وغدیر)</t>
  </si>
  <si>
    <t>پالایش نفت اصفهان (شپنا)</t>
  </si>
  <si>
    <t>گسترش نفت و گاز پارسیان (پارسان)</t>
  </si>
  <si>
    <t>موتوژن (بموتو)</t>
  </si>
  <si>
    <t>پتروشیمی خارک (شخارک)</t>
  </si>
  <si>
    <t>پتروشیمی پردیس (شپدیس)</t>
  </si>
  <si>
    <t>بیمه پاسارگاد (بپاس)</t>
  </si>
  <si>
    <t>ایران خودرو (خودرو)</t>
  </si>
  <si>
    <t>فولاد مبارکه اصفهان (فولاد)</t>
  </si>
  <si>
    <t>صنایع شیمیایی ایران (شیران)</t>
  </si>
  <si>
    <t>دارو عبیدی (دعبید)</t>
  </si>
  <si>
    <t>بانک اقتصاد نوین (ونوین)</t>
  </si>
  <si>
    <t>سر. امید (وامید)</t>
  </si>
  <si>
    <t>بانک پاسارگاد (وپاسار)</t>
  </si>
  <si>
    <t>چادرملو (کچاد)</t>
  </si>
  <si>
    <t>پارس دارو (دپارس)</t>
  </si>
  <si>
    <t>بانک ملت (وبملت)</t>
  </si>
  <si>
    <t>گروه مپنا (رمپنا)</t>
  </si>
  <si>
    <t>پالایش نفت بندر عباس (شبندر)</t>
  </si>
  <si>
    <t>سر. توسعه صنعتی ایران (وتوصا)</t>
  </si>
  <si>
    <t>گل گهر (کگل)</t>
  </si>
  <si>
    <t>ملی صنایع مس ایران (فملی)</t>
  </si>
  <si>
    <t>توسعه ساختمان (ثاخت)</t>
  </si>
  <si>
    <t>سیمان بجنورد (سبجنو)</t>
  </si>
  <si>
    <t>صنایع پتروشیمی خلیج فارس (فارس)</t>
  </si>
  <si>
    <t>صنعتی بارز (پکرمان)</t>
  </si>
  <si>
    <t>صنعتی سپاهان (فسپا)</t>
  </si>
  <si>
    <t>پتروشیمی جم (جم)</t>
  </si>
  <si>
    <t>سر. گروه توسعه ملی (وبانک)</t>
  </si>
  <si>
    <t>پتروشیمی شیراز (شیراز)</t>
  </si>
  <si>
    <t>سر. توسعه معادن و فلزات (ومعادن)</t>
  </si>
  <si>
    <t>مبین انرژی خلیج فارس (مبین)</t>
  </si>
  <si>
    <t>آلومینیوم ایران (فایرا)</t>
  </si>
  <si>
    <t>ارتباطات سیار (همراه)</t>
  </si>
  <si>
    <t>مخابرات ایران (اخابر)</t>
  </si>
  <si>
    <t>سیمان خوزستان (سخوز)</t>
  </si>
  <si>
    <t>پارس سوئیچ (بسویچ)</t>
  </si>
  <si>
    <t>نفت سپاهان (شسپا)</t>
  </si>
  <si>
    <t>ذوب آهن اصفهان (ذوب)</t>
  </si>
  <si>
    <t>پتروشیمی بوعلی سینا (بوعلی)</t>
  </si>
  <si>
    <t>سر. نفت و گاز تامین (تاپیکو)</t>
  </si>
  <si>
    <t>پالایش نفت تبریز (شبریز)</t>
  </si>
  <si>
    <t>گلتاش (حق تقدم) (شگلح)</t>
  </si>
  <si>
    <t>پالایش نفت تهران (شتران)</t>
  </si>
  <si>
    <t>همکاران سیستم (سیستم)</t>
  </si>
  <si>
    <t>بورس کالای ایران (کالا)</t>
  </si>
  <si>
    <t>فروشگاه های افق کوروش (افق)</t>
  </si>
  <si>
    <t>پلی پروپیلن جم (جم پیلن)</t>
  </si>
  <si>
    <t>گروه توسعه مالی مهر آیندگان (ومهان)</t>
  </si>
  <si>
    <t>گروه مالی صبا تامین (صبا)</t>
  </si>
  <si>
    <t>سر. تامین اجتماعی (شستا)</t>
  </si>
  <si>
    <t>پویا زرکان آق دره (فزر)</t>
  </si>
  <si>
    <t>بیمه اتکایی حامی ما (حامیا)</t>
  </si>
  <si>
    <t>جمع</t>
  </si>
  <si>
    <t/>
  </si>
  <si>
    <t>نام سهام</t>
  </si>
  <si>
    <t>تاریخ سررسید</t>
  </si>
  <si>
    <t>نرخ سود علی الحساب</t>
  </si>
  <si>
    <t>درصد به کل</t>
  </si>
  <si>
    <t>3-1- سرمایه‌گذاری در  سپرده‌ بانکی</t>
  </si>
  <si>
    <t>مشخصات حساب بانکی</t>
  </si>
  <si>
    <t>سپرده های بانکی</t>
  </si>
  <si>
    <t>شماره حساب</t>
  </si>
  <si>
    <t>نوع سپرده</t>
  </si>
  <si>
    <t>تاریخ افتتاح حساب</t>
  </si>
  <si>
    <t>مبلغ</t>
  </si>
  <si>
    <t>افزایش</t>
  </si>
  <si>
    <t>کاهش</t>
  </si>
  <si>
    <t>جاری گردشگری</t>
  </si>
  <si>
    <t>129.71.1709609.1</t>
  </si>
  <si>
    <t>جاری</t>
  </si>
  <si>
    <t>-</t>
  </si>
  <si>
    <t>بلند مدت گردشگری129.333.1709609.2</t>
  </si>
  <si>
    <t>129.333.1709609.2</t>
  </si>
  <si>
    <t>سپرده سرمایه‌گذاری</t>
  </si>
  <si>
    <t xml:space="preserve"> </t>
  </si>
  <si>
    <t xml:space="preserve">صورت وضعیت درآمدها </t>
  </si>
  <si>
    <t>برای ماه منتهی به  1404/08/30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</si>
  <si>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</si>
  <si>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</si>
  <si>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</si>
  <si>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</si>
  <si>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2-2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</si>
  <si>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</si>
  <si>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</si>
  <si>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</si>
  <si>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</si>
  <si>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</si>
  <si>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</si>
  <si>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</si>
  <si>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1404/08/01 تا  1404/08/30</t>
  </si>
  <si>
    <t>از ابتدای سال مالی تا 1404/08/30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</si>
  <si>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</si>
  <si>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</si>
  <si>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</si>
  <si>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</si>
  <si>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</si>
  <si>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</si>
  <si>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1404/03/04</t>
  </si>
  <si>
    <t>لیزینگ بانک اقتصاد نوین (ولنوین)</t>
  </si>
  <si>
    <t>1404/03/11</t>
  </si>
  <si>
    <t>سپید ماکیان (سپید)</t>
  </si>
  <si>
    <t>1404/03/18</t>
  </si>
  <si>
    <t>مس باهنر (فباهنر)</t>
  </si>
  <si>
    <t>1404/03/20</t>
  </si>
  <si>
    <t>1404/03/21</t>
  </si>
  <si>
    <t>1404/04/12</t>
  </si>
  <si>
    <t>1404/04/17</t>
  </si>
  <si>
    <t>1404/04/19</t>
  </si>
  <si>
    <t>1404/04/21</t>
  </si>
  <si>
    <t>1404/04/22</t>
  </si>
  <si>
    <t>1404/04/23</t>
  </si>
  <si>
    <t>قند هگمتان (قهکمت)</t>
  </si>
  <si>
    <t>1404/04/28</t>
  </si>
  <si>
    <t>1404/04/29</t>
  </si>
  <si>
    <t>1404/04/30</t>
  </si>
  <si>
    <t>1404/04/31</t>
  </si>
  <si>
    <t>پتروشیمی پارس (پارس)</t>
  </si>
  <si>
    <t>بانک تجارت (وتجارت)</t>
  </si>
  <si>
    <t>1404/05/07</t>
  </si>
  <si>
    <t>1404/05/08</t>
  </si>
  <si>
    <t>1404/05/11</t>
  </si>
  <si>
    <t>1404/05/12</t>
  </si>
  <si>
    <t>سر. صندوق بازنشستگی (وصندوق)</t>
  </si>
  <si>
    <t>1404/05/13</t>
  </si>
  <si>
    <t>کاشی حافظ (کحافظ)</t>
  </si>
  <si>
    <t>1404/05/14</t>
  </si>
  <si>
    <t>سر. سیمان تامین (سیتا)</t>
  </si>
  <si>
    <t>1404/05/25</t>
  </si>
  <si>
    <t>1404/06/23</t>
  </si>
  <si>
    <t>1404/06/26</t>
  </si>
  <si>
    <t>1404/07/15</t>
  </si>
  <si>
    <t>1404/07/20</t>
  </si>
  <si>
    <t>1404/07/30</t>
  </si>
  <si>
    <t>سود اوراق بهادار با درآمد ثابت</t>
  </si>
  <si>
    <t>تاریخ دریافت سود</t>
  </si>
  <si>
    <t xml:space="preserve">درآمد سود </t>
  </si>
  <si>
    <t>خالص درآمد</t>
  </si>
  <si>
    <t>1404/03/06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</si>
  <si>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</si>
  <si>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</si>
  <si>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</si>
  <si>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</si>
  <si>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</si>
  <si>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سر. سپه (وسپه)</t>
  </si>
  <si>
    <t>صنعتی بهشهر (غبشهر)</t>
  </si>
  <si>
    <t>سر. خوارزمی (وخارزم)</t>
  </si>
  <si>
    <t>بیمه اتکایی تهران رواک (بتهران)</t>
  </si>
  <si>
    <t>بیمه ملت (ملت)</t>
  </si>
  <si>
    <t>گروه بهمن (خبهمن)</t>
  </si>
  <si>
    <t>بانک پارسیان (وپارس)</t>
  </si>
  <si>
    <t>بانک صادرات ایران (وبصادر)</t>
  </si>
  <si>
    <t>صنایع غذایی رضوی (نان)</t>
  </si>
  <si>
    <t>آهنگری تراکتور (خاهن)</t>
  </si>
  <si>
    <t>سر. دارویی تامین (تیپیکو)</t>
  </si>
  <si>
    <t>تکميلی پتروشیمی خلیج فارس (پترول)</t>
  </si>
  <si>
    <t>پتروشیمی خراسان (خراسان)</t>
  </si>
  <si>
    <t>سر. صدر تامین (تاصیکو)</t>
  </si>
  <si>
    <t>معادن روی ایران (کروی)</t>
  </si>
  <si>
    <t>شیشه همدان (کهمدا)</t>
  </si>
  <si>
    <t>فولاد خوزستان (فخوز)</t>
  </si>
  <si>
    <t>بین المللی توسعه صنایع و معادن غدیر (وکغدیر)</t>
  </si>
  <si>
    <t>تامین سرمایه کاردان (تکاردان)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</si>
  <si>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</si>
  <si>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</si>
  <si>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</si>
  <si>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درآمد تغییر ارزش</t>
  </si>
  <si>
    <t>درآمد فروش</t>
  </si>
  <si>
    <t>یادداشت …</t>
  </si>
  <si>
    <t>1-2-درآمد حاصل از سرمایه­گذاری در سهام و حق تقدم سهام:</t>
  </si>
  <si>
    <t>دارایی</t>
  </si>
  <si>
    <t>درصد از کل درآمد ها</t>
  </si>
  <si>
    <t>3-2-درآمد حاصل از سرمایه­گذاری در سپرده بانکی و گواهی سپرده:</t>
  </si>
  <si>
    <t>نام سپرده بانکی</t>
  </si>
  <si>
    <t>نام سپرده</t>
  </si>
  <si>
    <t>سود سپرده بانکی و گواهی سپرده</t>
  </si>
  <si>
    <t>درصد سود به میانگین سپرده</t>
  </si>
  <si>
    <t>4-2-سایر درآمدها:</t>
  </si>
  <si>
    <t>سود (زیان) فروش اوراق بهادار</t>
  </si>
  <si>
    <t>درآمد (هزینه) ناشی از تغییر ارزش سرمایه‌گذاری‌ها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</si>
</sst>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"/>
    <numFmt numFmtId="165" formatCode="#,##0.00;\(#,##0.00\);"/>
    <numFmt numFmtId="166" formatCode="_(* #,##0_);_(* \(#,##0\);_(* &quot;-&quot;??_);_(@_)"/>
    <numFmt numFmtId="167" formatCode="0.0%"/>
  </numFmts>
  <fonts count="32">
    <font>
      <sz val="11"/>
      <color theme="1"/>
      <name val="B Nazanin"/>
      <family val="2"/>
      <charset val="178"/>
      <scheme val="minor"/>
    </font>
    <font>
      <sz val="10"/>
      <color theme="1"/>
      <name val="B Nazanin"/>
      <charset val="178"/>
    </font>
    <font>
      <sz val="11"/>
      <color theme="1"/>
      <name val="B Nazanin"/>
      <charset val="178"/>
    </font>
    <font>
      <sz val="20"/>
      <color theme="1"/>
      <name val="B Nazanin"/>
      <charset val="178"/>
    </font>
    <font>
      <sz val="10"/>
      <color theme="1"/>
      <name val="B Nazanin"/>
      <charset val="178"/>
    </font>
    <font>
      <sz val="10"/>
      <color rgb="FF0062AC"/>
      <name val="B Nazanin"/>
      <charset val="178"/>
    </font>
    <font>
      <sz val="12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sz val="11"/>
      <color rgb="FF000000"/>
      <name val="B Nazanin"/>
      <charset val="178"/>
      <scheme val="minor"/>
    </font>
    <font>
      <sz val="12"/>
      <color rgb="FF0062AC"/>
      <name val="B Nazanin"/>
      <charset val="178"/>
    </font>
    <font>
      <sz val="20"/>
      <color theme="1"/>
      <name val="B Nazanin"/>
      <charset val="178"/>
    </font>
    <font>
      <sz val="16"/>
      <color theme="1"/>
      <name val="B Nazanin"/>
      <charset val="178"/>
    </font>
    <font>
      <sz val="10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sz val="11"/>
      <color rgb="FF000000"/>
      <name val="B Nazanin"/>
      <charset val="178"/>
      <scheme val="minor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b/>
      <sz val="10"/>
      <color theme="1"/>
      <name val="B Nazanin"/>
    </font>
    <font>
      <b/>
      <sz val="12"/>
      <color theme="1"/>
      <name val="B Nazanin"/>
    </font>
    <font>
      <b/>
      <sz val="11"/>
      <color theme="1"/>
      <name val="B Nazanin"/>
    </font>
    <font>
      <b/>
      <sz val="11"/>
      <color theme="1"/>
      <name val="B Nazanin"/>
      <scheme val="minor"/>
    </font>
    <font>
      <sz val="8"/>
      <color theme="1"/>
      <name val="B Nazanin"/>
      <charset val="178"/>
    </font>
    <font>
      <sz val="8"/>
      <color theme="1"/>
      <name val="B Nazanin"/>
      <family val="2"/>
      <charset val="178"/>
    </font>
    <font>
      <sz val="8"/>
      <color rgb="FF000000"/>
      <name val="B Nazanin"/>
      <charset val="178"/>
    </font>
    <font>
      <sz val="11"/>
      <color theme="1"/>
      <name val="B Nazanin"/>
      <family val="2"/>
      <charset val="178"/>
      <scheme val="minor"/>
    </font>
    <font>
      <b/>
      <sz val="9"/>
      <color rgb="FF00A651"/>
      <name val="IranSansFaNum"/>
    </font>
    <font>
      <b/>
      <sz val="9"/>
      <color rgb="FFD42020"/>
      <name val="IranSansFaNum"/>
    </font>
    <font>
      <sz val="12"/>
      <color theme="1"/>
      <name val="B Nazanin"/>
      <charset val="178"/>
      <scheme val="minor"/>
    </font>
    <font>
      <b/>
      <sz val="18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10" fillId="0" borderId="2" xfId="0" applyFont="1" applyBorder="1" applyAlignment="1">
      <alignment horizontal="center" vertical="center" readingOrder="2"/>
    </xf>
    <xf numFmtId="0" fontId="8" fillId="0" borderId="0" xfId="0" applyFont="1"/>
    <xf numFmtId="0" fontId="10" fillId="0" borderId="0" xfId="0" applyFont="1" applyAlignment="1">
      <alignment vertical="center" readingOrder="2"/>
    </xf>
    <xf numFmtId="0" fontId="17" fillId="0" borderId="1" xfId="0" applyFont="1" applyBorder="1" applyAlignment="1">
      <alignment vertical="center" readingOrder="2"/>
    </xf>
    <xf numFmtId="0" fontId="24" fillId="0" borderId="0" xfId="0" applyFont="1" applyAlignment="1">
      <alignment horizontal="right" vertical="center"/>
    </xf>
    <xf numFmtId="164" fontId="24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right" vertical="center" readingOrder="2"/>
    </xf>
    <xf numFmtId="0" fontId="1" fillId="0" borderId="8" xfId="0" applyFont="1" applyBorder="1" applyAlignment="1">
      <alignment horizontal="center" vertical="center" readingOrder="2"/>
    </xf>
    <xf numFmtId="0" fontId="4" fillId="0" borderId="1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readingOrder="2"/>
    </xf>
    <xf numFmtId="0" fontId="2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6" fillId="0" borderId="0" xfId="0" applyFont="1" applyAlignment="1">
      <alignment horizontal="center" vertical="center" readingOrder="2"/>
    </xf>
    <xf numFmtId="165" fontId="26" fillId="0" borderId="0" xfId="0" applyNumberFormat="1" applyFont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164" fontId="26" fillId="0" borderId="0" xfId="0" applyNumberFormat="1" applyFont="1" applyAlignment="1">
      <alignment horizontal="center" vertical="center" readingOrder="2"/>
    </xf>
    <xf numFmtId="0" fontId="26" fillId="0" borderId="0" xfId="0" applyFont="1" applyAlignment="1">
      <alignment horizontal="right" vertical="center" readingOrder="1"/>
    </xf>
    <xf numFmtId="0" fontId="10" fillId="0" borderId="1" xfId="0" applyFont="1" applyBorder="1" applyAlignment="1">
      <alignment horizontal="center" vertical="center" readingOrder="2"/>
    </xf>
    <xf numFmtId="0" fontId="26" fillId="0" borderId="0" xfId="0" applyFont="1" applyAlignment="1">
      <alignment horizontal="right" vertical="center" readingOrder="2"/>
    </xf>
    <xf numFmtId="0" fontId="17" fillId="0" borderId="0" xfId="0" applyFont="1" applyAlignment="1">
      <alignment horizontal="center" vertical="center" readingOrder="2"/>
    </xf>
    <xf numFmtId="165" fontId="4" fillId="0" borderId="0" xfId="0" applyNumberFormat="1" applyFont="1"/>
    <xf numFmtId="39" fontId="4" fillId="0" borderId="0" xfId="0" applyNumberFormat="1" applyFont="1"/>
    <xf numFmtId="166" fontId="4" fillId="0" borderId="0" xfId="1" applyNumberFormat="1" applyFont="1" applyAlignment="1">
      <alignment vertical="center"/>
    </xf>
    <xf numFmtId="166" fontId="1" fillId="0" borderId="1" xfId="1" applyNumberFormat="1" applyFont="1" applyBorder="1" applyAlignment="1">
      <alignment horizontal="center" vertical="center"/>
    </xf>
    <xf numFmtId="166" fontId="24" fillId="0" borderId="0" xfId="1" applyNumberFormat="1" applyFont="1" applyAlignment="1">
      <alignment horizontal="center" vertical="center"/>
    </xf>
    <xf numFmtId="166" fontId="25" fillId="2" borderId="10" xfId="1" applyNumberFormat="1" applyFont="1" applyFill="1" applyBorder="1" applyAlignment="1">
      <alignment horizontal="center" vertical="center"/>
    </xf>
    <xf numFmtId="3" fontId="28" fillId="0" borderId="0" xfId="0" applyNumberFormat="1" applyFont="1"/>
    <xf numFmtId="166" fontId="16" fillId="0" borderId="1" xfId="1" applyNumberFormat="1" applyFont="1" applyBorder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166" fontId="24" fillId="0" borderId="0" xfId="1" applyNumberFormat="1" applyFont="1" applyFill="1" applyAlignment="1">
      <alignment horizontal="center" vertical="center"/>
    </xf>
    <xf numFmtId="166" fontId="16" fillId="0" borderId="1" xfId="1" applyNumberFormat="1" applyFont="1" applyBorder="1" applyAlignment="1">
      <alignment horizontal="right" vertical="center"/>
    </xf>
    <xf numFmtId="3" fontId="29" fillId="0" borderId="0" xfId="0" applyNumberFormat="1" applyFont="1"/>
    <xf numFmtId="166" fontId="25" fillId="0" borderId="11" xfId="1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166" fontId="17" fillId="0" borderId="1" xfId="1" applyNumberFormat="1" applyFont="1" applyBorder="1" applyAlignment="1">
      <alignment vertical="center" readingOrder="2"/>
    </xf>
    <xf numFmtId="166" fontId="26" fillId="0" borderId="0" xfId="1" applyNumberFormat="1" applyFont="1" applyAlignment="1">
      <alignment horizontal="center" vertical="center" readingOrder="2"/>
    </xf>
    <xf numFmtId="166" fontId="8" fillId="0" borderId="0" xfId="1" applyNumberFormat="1" applyFont="1" applyAlignment="1">
      <alignment vertical="center"/>
    </xf>
    <xf numFmtId="166" fontId="8" fillId="0" borderId="0" xfId="1" applyNumberFormat="1" applyFont="1" applyFill="1" applyAlignment="1">
      <alignment vertical="center"/>
    </xf>
    <xf numFmtId="166" fontId="17" fillId="0" borderId="1" xfId="1" applyNumberFormat="1" applyFont="1" applyFill="1" applyBorder="1" applyAlignment="1">
      <alignment vertical="center" readingOrder="2"/>
    </xf>
    <xf numFmtId="166" fontId="8" fillId="3" borderId="4" xfId="1" applyNumberFormat="1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0" fillId="0" borderId="0" xfId="0" applyFont="1" applyAlignment="1">
      <alignment vertical="center"/>
    </xf>
    <xf numFmtId="166" fontId="17" fillId="0" borderId="3" xfId="1" applyNumberFormat="1" applyFont="1" applyBorder="1" applyAlignment="1">
      <alignment horizontal="center" vertical="center" readingOrder="2"/>
    </xf>
    <xf numFmtId="165" fontId="25" fillId="2" borderId="12" xfId="0" applyNumberFormat="1" applyFont="1" applyFill="1" applyBorder="1" applyAlignment="1">
      <alignment horizontal="center" vertical="center"/>
    </xf>
    <xf numFmtId="166" fontId="25" fillId="2" borderId="12" xfId="1" applyNumberFormat="1" applyFont="1" applyFill="1" applyBorder="1" applyAlignment="1">
      <alignment horizontal="center" vertical="center"/>
    </xf>
    <xf numFmtId="166" fontId="8" fillId="0" borderId="1" xfId="1" applyNumberFormat="1" applyFont="1" applyBorder="1" applyAlignment="1">
      <alignment vertical="center"/>
    </xf>
    <xf numFmtId="166" fontId="17" fillId="0" borderId="0" xfId="1" applyNumberFormat="1" applyFont="1" applyAlignment="1">
      <alignment horizontal="center" vertical="center" readingOrder="2"/>
    </xf>
    <xf numFmtId="166" fontId="17" fillId="0" borderId="13" xfId="1" applyNumberFormat="1" applyFont="1" applyBorder="1" applyAlignment="1">
      <alignment horizontal="center" vertical="center" readingOrder="2"/>
    </xf>
    <xf numFmtId="167" fontId="25" fillId="2" borderId="12" xfId="2" applyNumberFormat="1" applyFont="1" applyFill="1" applyBorder="1" applyAlignment="1">
      <alignment horizontal="center" vertical="center"/>
    </xf>
    <xf numFmtId="166" fontId="10" fillId="0" borderId="1" xfId="1" applyNumberFormat="1" applyFont="1" applyBorder="1" applyAlignment="1">
      <alignment horizontal="right" vertical="center" readingOrder="2"/>
    </xf>
    <xf numFmtId="166" fontId="17" fillId="0" borderId="1" xfId="1" applyNumberFormat="1" applyFont="1" applyBorder="1" applyAlignment="1">
      <alignment horizontal="center" vertical="center" readingOrder="2"/>
    </xf>
    <xf numFmtId="166" fontId="24" fillId="0" borderId="0" xfId="1" applyNumberFormat="1" applyFont="1" applyAlignment="1">
      <alignment horizontal="right" vertical="center"/>
    </xf>
    <xf numFmtId="166" fontId="4" fillId="0" borderId="1" xfId="1" applyNumberFormat="1" applyFont="1" applyBorder="1" applyAlignment="1">
      <alignment vertical="center"/>
    </xf>
    <xf numFmtId="166" fontId="0" fillId="0" borderId="0" xfId="1" applyNumberFormat="1" applyFont="1" applyAlignment="1">
      <alignment vertical="center"/>
    </xf>
    <xf numFmtId="166" fontId="1" fillId="0" borderId="1" xfId="1" applyNumberFormat="1" applyFont="1" applyBorder="1" applyAlignment="1">
      <alignment vertical="center" readingOrder="2"/>
    </xf>
    <xf numFmtId="166" fontId="1" fillId="0" borderId="9" xfId="1" applyNumberFormat="1" applyFont="1" applyBorder="1" applyAlignment="1">
      <alignment horizontal="center" vertical="center"/>
    </xf>
    <xf numFmtId="166" fontId="1" fillId="0" borderId="9" xfId="1" applyNumberFormat="1" applyFont="1" applyBorder="1" applyAlignment="1">
      <alignment horizontal="center" vertical="center" readingOrder="2"/>
    </xf>
    <xf numFmtId="166" fontId="1" fillId="0" borderId="6" xfId="1" applyNumberFormat="1" applyFont="1" applyBorder="1" applyAlignment="1">
      <alignment horizontal="center" vertical="center" readingOrder="2"/>
    </xf>
    <xf numFmtId="166" fontId="24" fillId="0" borderId="0" xfId="1" applyNumberFormat="1" applyFont="1" applyAlignment="1">
      <alignment horizontal="right" vertical="center" readingOrder="2"/>
    </xf>
    <xf numFmtId="166" fontId="24" fillId="0" borderId="0" xfId="1" applyNumberFormat="1" applyFont="1" applyAlignment="1">
      <alignment horizontal="center" vertical="center" readingOrder="2"/>
    </xf>
    <xf numFmtId="0" fontId="25" fillId="2" borderId="16" xfId="0" applyFont="1" applyFill="1" applyBorder="1" applyAlignment="1">
      <alignment horizontal="right" vertical="center"/>
    </xf>
    <xf numFmtId="0" fontId="25" fillId="2" borderId="10" xfId="0" applyFont="1" applyFill="1" applyBorder="1" applyAlignment="1">
      <alignment horizontal="right" vertical="center"/>
    </xf>
    <xf numFmtId="9" fontId="25" fillId="2" borderId="10" xfId="2" applyFont="1" applyFill="1" applyBorder="1" applyAlignment="1">
      <alignment horizontal="center" vertical="center"/>
    </xf>
    <xf numFmtId="0" fontId="2" fillId="0" borderId="0" xfId="0" applyFont="1" applyBorder="1"/>
    <xf numFmtId="0" fontId="3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top" wrapText="1"/>
    </xf>
    <xf numFmtId="0" fontId="31" fillId="0" borderId="0" xfId="0" applyFont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 readingOrder="2"/>
    </xf>
    <xf numFmtId="166" fontId="4" fillId="0" borderId="1" xfId="1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2"/>
    </xf>
    <xf numFmtId="166" fontId="1" fillId="0" borderId="2" xfId="1" applyNumberFormat="1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166" fontId="1" fillId="0" borderId="2" xfId="1" applyNumberFormat="1" applyFont="1" applyBorder="1" applyAlignment="1">
      <alignment horizontal="center" vertical="center"/>
    </xf>
    <xf numFmtId="166" fontId="4" fillId="0" borderId="2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166" fontId="1" fillId="0" borderId="0" xfId="1" applyNumberFormat="1" applyFont="1" applyAlignment="1">
      <alignment horizontal="center" vertical="center" readingOrder="2"/>
    </xf>
    <xf numFmtId="0" fontId="14" fillId="0" borderId="0" xfId="0" applyFont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166" fontId="1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166" fontId="24" fillId="0" borderId="0" xfId="1" applyNumberFormat="1" applyFont="1" applyAlignment="1">
      <alignment horizontal="center" vertical="center" readingOrder="2"/>
    </xf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1" fillId="0" borderId="6" xfId="0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6" fontId="17" fillId="0" borderId="2" xfId="1" applyNumberFormat="1" applyFont="1" applyBorder="1" applyAlignment="1">
      <alignment horizontal="center" vertical="center" readingOrder="2"/>
    </xf>
    <xf numFmtId="166" fontId="17" fillId="0" borderId="14" xfId="1" applyNumberFormat="1" applyFont="1" applyBorder="1" applyAlignment="1">
      <alignment horizontal="center" vertical="center" readingOrder="2"/>
    </xf>
    <xf numFmtId="166" fontId="17" fillId="0" borderId="1" xfId="1" applyNumberFormat="1" applyFont="1" applyBorder="1" applyAlignment="1">
      <alignment horizontal="center" vertical="center" readingOrder="2"/>
    </xf>
    <xf numFmtId="166" fontId="17" fillId="0" borderId="15" xfId="1" applyNumberFormat="1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/>
    </xf>
    <xf numFmtId="166" fontId="10" fillId="0" borderId="2" xfId="1" applyNumberFormat="1" applyFont="1" applyBorder="1" applyAlignment="1">
      <alignment horizontal="center" vertical="center" readingOrder="2"/>
    </xf>
    <xf numFmtId="166" fontId="10" fillId="0" borderId="0" xfId="1" applyNumberFormat="1" applyFont="1" applyBorder="1" applyAlignment="1">
      <alignment horizontal="center" vertical="center" readingOrder="2"/>
    </xf>
    <xf numFmtId="166" fontId="17" fillId="0" borderId="0" xfId="1" applyNumberFormat="1" applyFont="1" applyBorder="1" applyAlignment="1">
      <alignment horizontal="center" vertical="center" readingOrder="2"/>
    </xf>
    <xf numFmtId="166" fontId="10" fillId="0" borderId="2" xfId="1" applyNumberFormat="1" applyFont="1" applyFill="1" applyBorder="1" applyAlignment="1">
      <alignment horizontal="center" vertical="center" readingOrder="2"/>
    </xf>
    <xf numFmtId="166" fontId="10" fillId="0" borderId="0" xfId="1" applyNumberFormat="1" applyFont="1" applyFill="1" applyBorder="1" applyAlignment="1">
      <alignment horizontal="center" vertical="center" readingOrder="2"/>
    </xf>
    <xf numFmtId="0" fontId="9" fillId="0" borderId="0" xfId="0" applyFont="1" applyAlignment="1">
      <alignment horizontal="right" vertical="center" readingOrder="2"/>
    </xf>
    <xf numFmtId="166" fontId="10" fillId="0" borderId="1" xfId="1" applyNumberFormat="1" applyFont="1" applyBorder="1" applyAlignment="1">
      <alignment horizontal="center" vertical="center" readingOrder="2"/>
    </xf>
    <xf numFmtId="0" fontId="30" fillId="0" borderId="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readingOrder="2"/>
    </xf>
    <xf numFmtId="0" fontId="10" fillId="0" borderId="3" xfId="0" applyFont="1" applyBorder="1" applyAlignment="1">
      <alignment horizontal="center" vertical="center" readingOrder="2"/>
    </xf>
    <xf numFmtId="0" fontId="1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right" vertical="center" readingOrder="2"/>
    </xf>
    <xf numFmtId="166" fontId="23" fillId="0" borderId="0" xfId="1" applyNumberFormat="1" applyFont="1" applyAlignment="1">
      <alignment horizontal="center" vertical="center"/>
    </xf>
    <xf numFmtId="166" fontId="19" fillId="0" borderId="0" xfId="1" applyNumberFormat="1" applyFont="1" applyAlignment="1">
      <alignment horizontal="right" vertical="center" readingOrder="2"/>
    </xf>
    <xf numFmtId="166" fontId="9" fillId="0" borderId="0" xfId="1" applyNumberFormat="1" applyFont="1" applyAlignment="1">
      <alignment horizontal="right" vertical="center" readingOrder="2"/>
    </xf>
    <xf numFmtId="166" fontId="18" fillId="0" borderId="2" xfId="1" applyNumberFormat="1" applyFont="1" applyBorder="1" applyAlignment="1">
      <alignment vertical="center"/>
    </xf>
    <xf numFmtId="166" fontId="8" fillId="0" borderId="1" xfId="1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35"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sz val="8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z val="8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z val="8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numFmt numFmtId="166" formatCode="_(* #,##0_);_(* \(#,##0\);_(* &quot;-&quot;??_);_(@_)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  <fill>
        <patternFill patternType="none">
          <fgColor indexed="64"/>
          <bgColor auto="1"/>
        </patternFill>
      </fill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69" headerRowCount="0">
  <tableColumns count="13">
    <tableColumn id="1" xr3:uid="{00000000-0010-0000-0000-000001000000}" name="تاید واتر خاورمیانه (حتاید)"/>
    <tableColumn id="2" xr3:uid="{00000000-0010-0000-0000-000002000000}" name="639981" dataDxfId="34" dataCellStyle="Comma"/>
    <tableColumn id="3" xr3:uid="{00000000-0010-0000-0000-000003000000}" name="4987865166.0000" dataDxfId="33" dataCellStyle="Comma"/>
    <tableColumn id="4" xr3:uid="{00000000-0010-0000-0000-000004000000}" name="4306891978.0000" dataDxfId="32" dataCellStyle="Comma"/>
    <tableColumn id="5" xr3:uid="{00000000-0010-0000-0000-000005000000}" name="0" dataDxfId="31" dataCellStyle="Comma"/>
    <tableColumn id="6" xr3:uid="{00000000-0010-0000-0000-000006000000}" name="Column6" dataDxfId="30" dataCellStyle="Comma"/>
    <tableColumn id="7" xr3:uid="{00000000-0010-0000-0000-000007000000}" name="90000" dataDxfId="29" dataCellStyle="Comma"/>
    <tableColumn id="8" xr3:uid="{00000000-0010-0000-0000-000008000000}" name="671878402.0000" dataDxfId="28" dataCellStyle="Comma"/>
    <tableColumn id="9" xr3:uid="{00000000-0010-0000-0000-000009000000}" name="549981" dataDxfId="27" dataCellStyle="Comma"/>
    <tableColumn id="10" xr3:uid="{00000000-0010-0000-0000-00000A000000}" name="7180.0000" dataDxfId="26" dataCellStyle="Comma"/>
    <tableColumn id="11" xr3:uid="{00000000-0010-0000-0000-00000B000000}" name="4286425803.0000" dataDxfId="25" dataCellStyle="Comma"/>
    <tableColumn id="12" xr3:uid="{00000000-0010-0000-0000-00000C000000}" name="3918338870.0000" dataDxfId="24" dataCellStyle="Comma"/>
    <tableColumn id="13" xr3:uid="{00000000-0010-0000-0000-00000D000000}" name="0.5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J10" headerRowCount="0">
  <tableColumns count="10">
    <tableColumn id="1" xr3:uid="{00000000-0010-0000-0500-000001000000}" name="جاری گردشگری"/>
    <tableColumn id="2" xr3:uid="{00000000-0010-0000-0500-000002000000}" name="129.71.1709609.1"/>
    <tableColumn id="3" xr3:uid="{00000000-0010-0000-0500-000003000000}" name="جاری"/>
    <tableColumn id="4" xr3:uid="{00000000-0010-0000-0500-000004000000}" name="-"/>
    <tableColumn id="5" xr3:uid="{00000000-0010-0000-0500-000005000000}" name="Column5" dataDxfId="23" dataCellStyle="Comma"/>
    <tableColumn id="6" xr3:uid="{00000000-0010-0000-0500-000006000000}" name="224018914.0000" dataDxfId="22" dataCellStyle="Comma"/>
    <tableColumn id="7" xr3:uid="{00000000-0010-0000-0500-000007000000}" name="107888355510.0000" dataDxfId="21" dataCellStyle="Comma"/>
    <tableColumn id="8" xr3:uid="{00000000-0010-0000-0500-000008000000}" name="108099000000.0000" dataDxfId="20" dataCellStyle="Comma"/>
    <tableColumn id="9" xr3:uid="{00000000-0010-0000-0500-000009000000}" name="13374424.0000" dataDxfId="19" dataCellStyle="Comma"/>
    <tableColumn id="10" xr3:uid="{00000000-0010-0000-0500-00000A000000}" name="0.0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7:D11" headerRowCount="0">
  <tableColumns count="4">
    <tableColumn id="1" xr3:uid="{00000000-0010-0000-0600-000001000000}" name="درآمد حاصل از سرمایه­گذاری در سهام و حق تقدم سهام"/>
    <tableColumn id="2" xr3:uid="{00000000-0010-0000-0600-000002000000}" name="1-2"/>
    <tableColumn id="3" xr3:uid="{00000000-0010-0000-0600-000003000000}" name="125104870.0000" dataDxfId="18" dataCellStyle="Comma"/>
    <tableColumn id="4" xr3:uid="{00000000-0010-0000-0600-000004000000}" name="27.65">
      <calculatedColumnFormula>C7/$C$11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52" headerRowCount="0">
  <tableColumns count="10">
    <tableColumn id="1" xr3:uid="{00000000-0010-0000-0700-000001000000}" name="سیمان خوزستان (سخوز)"/>
    <tableColumn id="2" xr3:uid="{00000000-0010-0000-0700-000002000000}" name="1404/03/04"/>
    <tableColumn id="3" xr3:uid="{00000000-0010-0000-0700-000003000000}" name="137103.0000"/>
    <tableColumn id="4" xr3:uid="{00000000-0010-0000-0700-000004000000}" name="9120.0000"/>
    <tableColumn id="5" xr3:uid="{00000000-0010-0000-0700-000005000000}" name="0.0000"/>
    <tableColumn id="6" xr3:uid="{00000000-0010-0000-0700-000006000000}" name="0"/>
    <tableColumn id="7" xr3:uid="{00000000-0010-0000-0700-000007000000}" name="Column7"/>
    <tableColumn id="8" xr3:uid="{00000000-0010-0000-0700-000008000000}" name="1250379360.0000" dataDxfId="17" dataCellStyle="Comma"/>
    <tableColumn id="9" xr3:uid="{00000000-0010-0000-0700-000009000000}" name="Column9"/>
    <tableColumn id="10" xr3:uid="{00000000-0010-0000-0700-00000A000000}" name="Column10" dataDxfId="16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8" headerRowCount="0">
  <tableColumns count="10">
    <tableColumn id="1" xr3:uid="{00000000-0010-0000-0800-000001000000}" name="بلند مدت گردشگری129.333.1709609.2"/>
    <tableColumn id="2" xr3:uid="{00000000-0010-0000-0800-000002000000}" name="1404/03/06"/>
    <tableColumn id="3" xr3:uid="{00000000-0010-0000-0800-000003000000}" name="-"/>
    <tableColumn id="4" xr3:uid="{00000000-0010-0000-0800-000004000000}" name="Column4"/>
    <tableColumn id="5" xr3:uid="{00000000-0010-0000-0800-000005000000}" name="0.0000"/>
    <tableColumn id="6" xr3:uid="{00000000-0010-0000-0800-000006000000}" name="Column6"/>
    <tableColumn id="7" xr3:uid="{00000000-0010-0000-0800-000007000000}" name="Column7"/>
    <tableColumn id="8" xr3:uid="{00000000-0010-0000-0800-000008000000}" name="33252977.0000"/>
    <tableColumn id="9" xr3:uid="{00000000-0010-0000-0800-000009000000}" name="547948.0000"/>
    <tableColumn id="10" xr3:uid="{00000000-0010-0000-0800-00000A000000}" name="33800925.000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8" headerRowCount="0">
  <tableColumns count="7">
    <tableColumn id="1" xr3:uid="{00000000-0010-0000-0900-000001000000}" name="بلند مدت گردشگری129.333.1709609.2"/>
    <tableColumn id="2" xr3:uid="{00000000-0010-0000-0900-000002000000}" name="0.0000"/>
    <tableColumn id="3" xr3:uid="{00000000-0010-0000-0900-000003000000}" name="Column3"/>
    <tableColumn id="4" xr3:uid="{00000000-0010-0000-0900-000004000000}" name="Column4"/>
    <tableColumn id="5" xr3:uid="{00000000-0010-0000-0900-000005000000}" name="33252977.0000"/>
    <tableColumn id="6" xr3:uid="{00000000-0010-0000-0900-000006000000}" name="547948.0000"/>
    <tableColumn id="7" xr3:uid="{00000000-0010-0000-0900-000007000000}" name="33800925.000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90" headerRowCount="0">
  <tableColumns count="9">
    <tableColumn id="1" xr3:uid="{00000000-0010-0000-0A00-000001000000}" name="پالایش نفت اصفهان (شپنا)" dataDxfId="15" dataCellStyle="Comma"/>
    <tableColumn id="2" xr3:uid="{00000000-0010-0000-0A00-000002000000}" name="2245246" dataDxfId="14" dataCellStyle="Comma"/>
    <tableColumn id="3" xr3:uid="{00000000-0010-0000-0A00-000003000000}" name="11371202475.0000" dataDxfId="13" dataCellStyle="Comma"/>
    <tableColumn id="4" xr3:uid="{00000000-0010-0000-0A00-000004000000}" name="-9330896797.0000" dataDxfId="12" dataCellStyle="Comma"/>
    <tableColumn id="5" xr3:uid="{00000000-0010-0000-0A00-000005000000}" name="2040305678.0000" dataDxfId="11" dataCellStyle="Comma"/>
    <tableColumn id="6" xr3:uid="{00000000-0010-0000-0A00-000006000000}" name="Column6" dataDxfId="10" dataCellStyle="Comma"/>
    <tableColumn id="7" xr3:uid="{00000000-0010-0000-0A00-000007000000}" name="Column7" dataDxfId="9" dataCellStyle="Comma"/>
    <tableColumn id="8" xr3:uid="{00000000-0010-0000-0A00-000008000000}" name="Column8" dataDxfId="8" dataCellStyle="Comma"/>
    <tableColumn id="9" xr3:uid="{00000000-0010-0000-0A00-000009000000}" name="Column9" dataDxfId="7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66" headerRowCount="0">
  <tableColumns count="9">
    <tableColumn id="1" xr3:uid="{00000000-0010-0000-0B00-000001000000}" name="تاید واتر خاورمیانه (حتاید)"/>
    <tableColumn id="2" xr3:uid="{00000000-0010-0000-0B00-000002000000}" name="549981"/>
    <tableColumn id="3" xr3:uid="{00000000-0010-0000-0B00-000003000000}" name="3918338870.0000"/>
    <tableColumn id="4" xr3:uid="{00000000-0010-0000-0B00-000004000000}" name="-3605488263.0000"/>
    <tableColumn id="5" xr3:uid="{00000000-0010-0000-0B00-000005000000}" name="312850607.0000"/>
    <tableColumn id="6" xr3:uid="{00000000-0010-0000-0B00-000006000000}" name="Column6"/>
    <tableColumn id="7" xr3:uid="{00000000-0010-0000-0B00-000007000000}" name="Column7"/>
    <tableColumn id="8" xr3:uid="{00000000-0010-0000-0B00-000008000000}" name="-4286207963.0000"/>
    <tableColumn id="9" xr3:uid="{00000000-0010-0000-0B00-000009000000}" name="-367869093.000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9:F10" headerRowCount="0">
  <tableColumns count="6">
    <tableColumn id="1" xr3:uid="{00000000-0010-0000-0E00-000001000000}" name="بلند مدت گردشگری129.333.1709609.2"/>
    <tableColumn id="2" xr3:uid="{00000000-0010-0000-0E00-000002000000}" name="129.333.1709609.2"/>
    <tableColumn id="3" xr3:uid="{00000000-0010-0000-0E00-000003000000}" name="0.0000"/>
    <tableColumn id="4" xr3:uid="{00000000-0010-0000-0E00-000004000000}" name="-"/>
    <tableColumn id="5" xr3:uid="{00000000-0010-0000-0E00-000005000000}" name="33800925.0000" dataDxfId="6" dataCellStyle="Comma"/>
    <tableColumn id="6" xr3:uid="{00000000-0010-0000-0E00-000006000000}" name="Column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9" headerRowCount="0" headerRowDxfId="5" dataDxfId="4" totalsRowDxfId="3" headerRowCellStyle="Comma" dataCellStyle="Comma" totalsRowCellStyle="Comma">
  <tableColumns count="3">
    <tableColumn id="1" xr3:uid="{00000000-0010-0000-0F00-000001000000}" name="سایر درآمدها" dataDxfId="2" dataCellStyle="Comma"/>
    <tableColumn id="2" xr3:uid="{00000000-0010-0000-0F00-000002000000}" name="-145448.0000" dataDxfId="1" dataCellStyle="Comma"/>
    <tableColumn id="3" xr3:uid="{00000000-0010-0000-0F00-000003000000}" name="293535671.0000" dataDxfId="0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rightToLeft="1" view="pageBreakPreview" zoomScale="60" zoomScaleNormal="100" workbookViewId="0">
      <selection activeCell="E7" sqref="E7:G7"/>
    </sheetView>
  </sheetViews>
  <sheetFormatPr defaultColWidth="9" defaultRowHeight="18"/>
  <cols>
    <col min="1" max="2" width="15.5703125" style="1" customWidth="1"/>
    <col min="3" max="3" width="10.85546875" style="1" customWidth="1"/>
    <col min="4" max="4" width="10.7109375" style="1" customWidth="1"/>
    <col min="5" max="6" width="9" style="1"/>
    <col min="7" max="7" width="12.28515625" style="1" customWidth="1"/>
    <col min="8" max="8" width="36.42578125" style="1" customWidth="1"/>
    <col min="9" max="9" width="24.5703125" style="1" customWidth="1"/>
    <col min="10" max="10" width="4.85546875" style="1" customWidth="1"/>
    <col min="11" max="16384" width="9" style="1"/>
  </cols>
  <sheetData>
    <row r="1" spans="1:18" ht="27" customHeight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8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8" s="81" customFormat="1" ht="34.5" customHeight="1"/>
    <row r="4" spans="1:18" s="81" customFormat="1" ht="34.5" customHeight="1"/>
    <row r="5" spans="1:18" s="81" customFormat="1" ht="34.5" customHeight="1"/>
    <row r="6" spans="1:18" ht="46.5" customHeight="1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</row>
    <row r="7" spans="1:18" ht="36.75" customHeight="1">
      <c r="A7" s="81"/>
      <c r="B7" s="81"/>
      <c r="C7" s="83"/>
      <c r="D7" s="83"/>
      <c r="E7" s="88" t="s">
        <v>0</v>
      </c>
      <c r="F7" s="88"/>
      <c r="G7" s="88"/>
      <c r="H7" s="83"/>
      <c r="I7" s="81"/>
      <c r="J7" s="81"/>
      <c r="K7" s="81"/>
    </row>
    <row r="8" spans="1:1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</row>
    <row r="9" spans="1:18" ht="15" customHeight="1">
      <c r="A9" s="84"/>
      <c r="B9" s="84"/>
      <c r="C9" s="84"/>
      <c r="D9" s="84"/>
      <c r="E9" s="84"/>
      <c r="F9" s="84"/>
      <c r="G9" s="84"/>
      <c r="H9" s="84"/>
      <c r="I9" s="84"/>
      <c r="J9" s="84"/>
      <c r="K9" s="82"/>
      <c r="L9" s="2"/>
      <c r="M9" s="2"/>
      <c r="N9" s="2"/>
      <c r="O9" s="2"/>
      <c r="P9" s="2"/>
      <c r="Q9" s="2"/>
      <c r="R9" s="2"/>
    </row>
    <row r="10" spans="1:18" ht="15" customHeight="1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2"/>
      <c r="L10" s="2"/>
      <c r="M10" s="2"/>
      <c r="N10" s="2"/>
      <c r="O10" s="2"/>
      <c r="P10" s="2"/>
      <c r="Q10" s="2"/>
      <c r="R10" s="2"/>
    </row>
    <row r="11" spans="1:18" ht="15" customHeight="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2"/>
      <c r="L11" s="2"/>
      <c r="M11" s="2"/>
      <c r="N11" s="2"/>
      <c r="O11" s="2"/>
      <c r="P11" s="2"/>
      <c r="Q11" s="2"/>
      <c r="R11" s="2"/>
    </row>
    <row r="12" spans="1:18" ht="15" customHeight="1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2"/>
      <c r="L12" s="2"/>
      <c r="M12" s="2"/>
      <c r="N12" s="2"/>
      <c r="O12" s="2"/>
      <c r="P12" s="2"/>
      <c r="Q12" s="2"/>
      <c r="R12" s="2"/>
    </row>
    <row r="13" spans="1:18" ht="15" customHeight="1">
      <c r="A13" s="86" t="s">
        <v>1</v>
      </c>
      <c r="B13" s="86"/>
      <c r="C13" s="86"/>
      <c r="D13" s="86"/>
      <c r="E13" s="86"/>
      <c r="F13" s="86"/>
      <c r="G13" s="86"/>
      <c r="H13" s="86"/>
      <c r="I13" s="86"/>
      <c r="J13" s="86"/>
      <c r="K13" s="82"/>
      <c r="L13" s="2"/>
      <c r="M13" s="2"/>
      <c r="N13" s="2"/>
      <c r="O13" s="2"/>
      <c r="P13" s="2"/>
      <c r="Q13" s="2"/>
      <c r="R13" s="2"/>
    </row>
    <row r="14" spans="1:18" ht="20.25" customHeight="1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1"/>
    </row>
    <row r="15" spans="1:18" ht="15" customHeight="1">
      <c r="A15" s="87" t="s">
        <v>2</v>
      </c>
      <c r="B15" s="87"/>
      <c r="C15" s="87"/>
      <c r="D15" s="87"/>
      <c r="E15" s="87"/>
      <c r="F15" s="87"/>
      <c r="G15" s="87"/>
      <c r="H15" s="87"/>
      <c r="I15" s="87"/>
      <c r="J15" s="87"/>
      <c r="K15" s="81"/>
    </row>
    <row r="16" spans="1:18" ht="1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1"/>
    </row>
    <row r="17" spans="1:11" ht="20.2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1"/>
    </row>
    <row r="18" spans="1:11" ht="15" customHeight="1">
      <c r="A18" s="87" t="s">
        <v>3</v>
      </c>
      <c r="B18" s="87"/>
      <c r="C18" s="87"/>
      <c r="D18" s="87"/>
      <c r="E18" s="87"/>
      <c r="F18" s="87"/>
      <c r="G18" s="87"/>
      <c r="H18" s="87"/>
      <c r="I18" s="87"/>
      <c r="J18" s="87"/>
      <c r="K18" s="81"/>
    </row>
    <row r="19" spans="1:11" ht="1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1"/>
    </row>
    <row r="20" spans="1:11" ht="1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1"/>
    </row>
    <row r="21" spans="1:11" ht="6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1"/>
    </row>
    <row r="22" spans="1:11" ht="15" customHeight="1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1"/>
    </row>
    <row r="23" spans="1:1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1"/>
    </row>
    <row r="24" spans="1:1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spans="1:1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</row>
    <row r="29" spans="1:11" ht="18" customHeight="1">
      <c r="A29" s="81"/>
      <c r="B29" s="81"/>
      <c r="C29" s="81"/>
      <c r="D29" s="81"/>
      <c r="E29" s="81"/>
      <c r="F29" s="81"/>
      <c r="G29" s="85" t="s">
        <v>4</v>
      </c>
      <c r="H29" s="85"/>
      <c r="I29" s="85"/>
      <c r="J29" s="81"/>
      <c r="K29" s="81"/>
    </row>
    <row r="30" spans="1:11">
      <c r="A30" s="81"/>
      <c r="B30" s="81"/>
      <c r="C30" s="81"/>
      <c r="D30" s="81"/>
      <c r="E30" s="81"/>
      <c r="F30" s="81"/>
      <c r="G30" s="85"/>
      <c r="H30" s="85"/>
      <c r="I30" s="85"/>
      <c r="J30" s="81"/>
      <c r="K30" s="81"/>
    </row>
    <row r="31" spans="1:11">
      <c r="A31" s="81"/>
      <c r="B31" s="81"/>
      <c r="C31" s="81"/>
      <c r="D31" s="81"/>
      <c r="E31" s="81"/>
      <c r="F31" s="81"/>
      <c r="G31" s="85"/>
      <c r="H31" s="85"/>
      <c r="I31" s="85"/>
      <c r="J31" s="81"/>
      <c r="K31" s="81"/>
    </row>
    <row r="32" spans="1:1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</row>
    <row r="33" spans="1:1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</row>
    <row r="34" spans="1:1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</row>
  </sheetData>
  <mergeCells count="5">
    <mergeCell ref="G29:I31"/>
    <mergeCell ref="A13:J14"/>
    <mergeCell ref="A15:J17"/>
    <mergeCell ref="A18:J21"/>
    <mergeCell ref="E7:G7"/>
  </mergeCells>
  <pageMargins left="0.7" right="0.7" top="0.75" bottom="0.75" header="0.3" footer="0.3"/>
  <pageSetup scale="68"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70"/>
  <sheetViews>
    <sheetView rightToLeft="1" view="pageBreakPreview" zoomScale="106" zoomScaleNormal="145" zoomScaleSheetLayoutView="106" workbookViewId="0">
      <selection activeCell="Q14" sqref="Q14"/>
    </sheetView>
  </sheetViews>
  <sheetFormatPr defaultColWidth="9" defaultRowHeight="15.75"/>
  <cols>
    <col min="1" max="1" width="31.7109375" style="5" customWidth="1"/>
    <col min="2" max="2" width="13" style="40" customWidth="1"/>
    <col min="3" max="4" width="15.85546875" style="40" customWidth="1"/>
    <col min="5" max="5" width="13" style="40" customWidth="1"/>
    <col min="6" max="6" width="14.28515625" style="40" customWidth="1"/>
    <col min="7" max="7" width="13" style="40" customWidth="1"/>
    <col min="8" max="8" width="15.85546875" style="40" customWidth="1"/>
    <col min="9" max="10" width="13" style="40" customWidth="1"/>
    <col min="11" max="12" width="15.85546875" style="40" customWidth="1"/>
    <col min="13" max="13" width="13" style="5" customWidth="1"/>
    <col min="14" max="14" width="9" style="3" customWidth="1"/>
    <col min="15" max="15" width="12.7109375" style="3" bestFit="1" customWidth="1"/>
    <col min="16" max="16384" width="9" style="3"/>
  </cols>
  <sheetData>
    <row r="1" spans="1:15">
      <c r="A1" s="95" t="s">
        <v>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>
      <c r="A2" s="95" t="s">
        <v>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5">
      <c r="A3" s="95" t="s">
        <v>7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</row>
    <row r="4" spans="1:15">
      <c r="A4" s="102" t="s">
        <v>8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</row>
    <row r="5" spans="1:15">
      <c r="A5" s="102" t="s">
        <v>9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7" spans="1:15" ht="18.75" customHeight="1">
      <c r="A7" s="15"/>
      <c r="B7" s="89" t="s">
        <v>10</v>
      </c>
      <c r="C7" s="90"/>
      <c r="D7" s="90"/>
      <c r="E7" s="104" t="s">
        <v>11</v>
      </c>
      <c r="F7" s="105"/>
      <c r="G7" s="105"/>
      <c r="H7" s="105"/>
      <c r="I7" s="91" t="s">
        <v>12</v>
      </c>
      <c r="J7" s="92"/>
      <c r="K7" s="92"/>
      <c r="L7" s="92"/>
      <c r="M7" s="92"/>
    </row>
    <row r="8" spans="1:15" ht="17.25" customHeight="1">
      <c r="A8" s="96" t="s">
        <v>13</v>
      </c>
      <c r="B8" s="101" t="s">
        <v>14</v>
      </c>
      <c r="C8" s="101" t="s">
        <v>15</v>
      </c>
      <c r="D8" s="93" t="s">
        <v>16</v>
      </c>
      <c r="E8" s="97" t="s">
        <v>17</v>
      </c>
      <c r="F8" s="98"/>
      <c r="G8" s="99" t="s">
        <v>18</v>
      </c>
      <c r="H8" s="100"/>
      <c r="I8" s="93" t="s">
        <v>14</v>
      </c>
      <c r="J8" s="93" t="s">
        <v>19</v>
      </c>
      <c r="K8" s="93" t="s">
        <v>15</v>
      </c>
      <c r="L8" s="93" t="s">
        <v>16</v>
      </c>
      <c r="M8" s="94" t="s">
        <v>20</v>
      </c>
    </row>
    <row r="9" spans="1:15" ht="20.25" customHeight="1">
      <c r="A9" s="92"/>
      <c r="B9" s="90"/>
      <c r="C9" s="90"/>
      <c r="D9" s="90"/>
      <c r="E9" s="41" t="s">
        <v>14</v>
      </c>
      <c r="F9" s="41" t="s">
        <v>21</v>
      </c>
      <c r="G9" s="41" t="s">
        <v>14</v>
      </c>
      <c r="H9" s="41" t="s">
        <v>22</v>
      </c>
      <c r="I9" s="90"/>
      <c r="J9" s="90"/>
      <c r="K9" s="90"/>
      <c r="L9" s="90"/>
      <c r="M9" s="92"/>
    </row>
    <row r="10" spans="1:15" ht="23.1" customHeight="1">
      <c r="A10" s="12" t="s">
        <v>23</v>
      </c>
      <c r="B10" s="42">
        <v>639981</v>
      </c>
      <c r="C10" s="42">
        <v>4987865166</v>
      </c>
      <c r="D10" s="43">
        <v>4306891978</v>
      </c>
      <c r="E10" s="42">
        <v>0</v>
      </c>
      <c r="F10" s="42">
        <v>0</v>
      </c>
      <c r="G10" s="42">
        <v>90000</v>
      </c>
      <c r="H10" s="42">
        <v>671878402</v>
      </c>
      <c r="I10" s="42">
        <v>549981</v>
      </c>
      <c r="J10" s="42">
        <v>7180</v>
      </c>
      <c r="K10" s="42">
        <v>4286425803</v>
      </c>
      <c r="L10" s="42">
        <v>3918338870</v>
      </c>
      <c r="M10" s="14">
        <v>0.56000000000000005</v>
      </c>
      <c r="O10" s="38"/>
    </row>
    <row r="11" spans="1:15" ht="23.1" customHeight="1">
      <c r="A11" s="12" t="s">
        <v>24</v>
      </c>
      <c r="B11" s="42">
        <v>1899810</v>
      </c>
      <c r="C11" s="42">
        <v>8420535011</v>
      </c>
      <c r="D11" s="42">
        <v>8107356821</v>
      </c>
      <c r="E11" s="42">
        <v>0</v>
      </c>
      <c r="F11" s="42">
        <v>0</v>
      </c>
      <c r="G11" s="42">
        <v>62139</v>
      </c>
      <c r="H11" s="42">
        <v>296542321</v>
      </c>
      <c r="I11" s="42">
        <v>1837671</v>
      </c>
      <c r="J11" s="42">
        <v>4952</v>
      </c>
      <c r="K11" s="42">
        <v>8145116088</v>
      </c>
      <c r="L11" s="42">
        <v>9029802661</v>
      </c>
      <c r="M11" s="14">
        <v>1.28</v>
      </c>
      <c r="O11" s="39"/>
    </row>
    <row r="12" spans="1:15" ht="23.1" customHeight="1">
      <c r="A12" s="12" t="s">
        <v>25</v>
      </c>
      <c r="B12" s="42">
        <v>797283</v>
      </c>
      <c r="C12" s="42">
        <v>39275066689</v>
      </c>
      <c r="D12" s="42">
        <v>35497829255</v>
      </c>
      <c r="E12" s="42">
        <v>0</v>
      </c>
      <c r="F12" s="42">
        <v>0</v>
      </c>
      <c r="G12" s="42">
        <v>79001</v>
      </c>
      <c r="H12" s="42">
        <v>3172344815</v>
      </c>
      <c r="I12" s="42">
        <v>718282</v>
      </c>
      <c r="J12" s="42">
        <v>41670</v>
      </c>
      <c r="K12" s="42">
        <v>35383387644</v>
      </c>
      <c r="L12" s="42">
        <v>29699445777</v>
      </c>
      <c r="M12" s="14">
        <v>4.22</v>
      </c>
    </row>
    <row r="13" spans="1:15" ht="23.1" customHeight="1">
      <c r="A13" s="12" t="s">
        <v>26</v>
      </c>
      <c r="B13" s="42">
        <v>771260</v>
      </c>
      <c r="C13" s="42">
        <v>8380184225</v>
      </c>
      <c r="D13" s="42">
        <v>4285690910</v>
      </c>
      <c r="E13" s="42">
        <v>137245</v>
      </c>
      <c r="F13" s="42">
        <v>809150436</v>
      </c>
      <c r="G13" s="42">
        <v>52094</v>
      </c>
      <c r="H13" s="42">
        <v>300290223</v>
      </c>
      <c r="I13" s="42">
        <v>856411</v>
      </c>
      <c r="J13" s="42">
        <v>5770</v>
      </c>
      <c r="K13" s="42">
        <v>8623303340</v>
      </c>
      <c r="L13" s="42">
        <v>4903293744</v>
      </c>
      <c r="M13" s="14">
        <v>0.7</v>
      </c>
    </row>
    <row r="14" spans="1:15" ht="23.1" customHeight="1">
      <c r="A14" s="12" t="s">
        <v>27</v>
      </c>
      <c r="B14" s="42">
        <v>13200000</v>
      </c>
      <c r="C14" s="42">
        <v>6407940850</v>
      </c>
      <c r="D14" s="42">
        <v>6337665181</v>
      </c>
      <c r="E14" s="42">
        <v>0</v>
      </c>
      <c r="F14" s="42">
        <v>0</v>
      </c>
      <c r="G14" s="42">
        <v>0</v>
      </c>
      <c r="H14" s="42">
        <v>0</v>
      </c>
      <c r="I14" s="42">
        <v>13200000</v>
      </c>
      <c r="J14" s="42">
        <v>485</v>
      </c>
      <c r="K14" s="42">
        <v>6407940850</v>
      </c>
      <c r="L14" s="42">
        <v>6352512540</v>
      </c>
      <c r="M14" s="14">
        <v>0.9</v>
      </c>
    </row>
    <row r="15" spans="1:15" ht="23.1" customHeight="1">
      <c r="A15" s="12" t="s">
        <v>28</v>
      </c>
      <c r="B15" s="42">
        <v>945380</v>
      </c>
      <c r="C15" s="42">
        <v>3542993584</v>
      </c>
      <c r="D15" s="42">
        <v>5187447544</v>
      </c>
      <c r="E15" s="42">
        <v>0</v>
      </c>
      <c r="F15" s="42">
        <v>0</v>
      </c>
      <c r="G15" s="42">
        <v>221738</v>
      </c>
      <c r="H15" s="42">
        <v>1231553220</v>
      </c>
      <c r="I15" s="42">
        <v>723642</v>
      </c>
      <c r="J15" s="42">
        <v>5810</v>
      </c>
      <c r="K15" s="42">
        <v>2711987733</v>
      </c>
      <c r="L15" s="42">
        <v>4171860320</v>
      </c>
      <c r="M15" s="14">
        <v>0.59</v>
      </c>
    </row>
    <row r="16" spans="1:15" ht="23.1" customHeight="1">
      <c r="A16" s="12" t="s">
        <v>29</v>
      </c>
      <c r="B16" s="42">
        <v>1916392</v>
      </c>
      <c r="C16" s="42">
        <v>20864873307</v>
      </c>
      <c r="D16" s="42">
        <v>19202293839</v>
      </c>
      <c r="E16" s="42">
        <v>0</v>
      </c>
      <c r="F16" s="42">
        <v>0</v>
      </c>
      <c r="G16" s="42">
        <v>319426</v>
      </c>
      <c r="H16" s="42">
        <v>3507191896</v>
      </c>
      <c r="I16" s="42">
        <v>1596966</v>
      </c>
      <c r="J16" s="42">
        <v>11240</v>
      </c>
      <c r="K16" s="42">
        <v>17387096830</v>
      </c>
      <c r="L16" s="42">
        <v>17811145133</v>
      </c>
      <c r="M16" s="14">
        <v>2.5299999999999998</v>
      </c>
    </row>
    <row r="17" spans="1:13" ht="23.1" customHeight="1">
      <c r="A17" s="12" t="s">
        <v>30</v>
      </c>
      <c r="B17" s="42">
        <v>7009844</v>
      </c>
      <c r="C17" s="42">
        <v>28917390138</v>
      </c>
      <c r="D17" s="42">
        <v>34143863599</v>
      </c>
      <c r="E17" s="42">
        <v>0</v>
      </c>
      <c r="F17" s="42">
        <v>0</v>
      </c>
      <c r="G17" s="42">
        <v>2245246</v>
      </c>
      <c r="H17" s="42">
        <v>11371202475</v>
      </c>
      <c r="I17" s="42">
        <v>4764598</v>
      </c>
      <c r="J17" s="42">
        <v>5233</v>
      </c>
      <c r="K17" s="42">
        <v>19655179091</v>
      </c>
      <c r="L17" s="42">
        <v>24740408155</v>
      </c>
      <c r="M17" s="14">
        <v>3.51</v>
      </c>
    </row>
    <row r="18" spans="1:13" ht="23.1" customHeight="1">
      <c r="A18" s="12" t="s">
        <v>31</v>
      </c>
      <c r="B18" s="42">
        <v>359008</v>
      </c>
      <c r="C18" s="42">
        <v>22837535009</v>
      </c>
      <c r="D18" s="42">
        <v>24042460067</v>
      </c>
      <c r="E18" s="42">
        <v>0</v>
      </c>
      <c r="F18" s="42">
        <v>0</v>
      </c>
      <c r="G18" s="42">
        <v>85388</v>
      </c>
      <c r="H18" s="42">
        <v>5467090066</v>
      </c>
      <c r="I18" s="42">
        <v>273620</v>
      </c>
      <c r="J18" s="42">
        <v>65450</v>
      </c>
      <c r="K18" s="42">
        <v>17405757891</v>
      </c>
      <c r="L18" s="42">
        <v>17769996847</v>
      </c>
      <c r="M18" s="14">
        <v>2.52</v>
      </c>
    </row>
    <row r="19" spans="1:13" ht="23.1" customHeight="1">
      <c r="A19" s="12" t="s">
        <v>32</v>
      </c>
      <c r="B19" s="42">
        <v>5877132</v>
      </c>
      <c r="C19" s="42">
        <v>10567395005</v>
      </c>
      <c r="D19" s="42">
        <v>10527577847</v>
      </c>
      <c r="E19" s="42">
        <v>0</v>
      </c>
      <c r="F19" s="42">
        <v>0</v>
      </c>
      <c r="G19" s="42">
        <v>2294601</v>
      </c>
      <c r="H19" s="42">
        <v>4129541306</v>
      </c>
      <c r="I19" s="42">
        <v>3582531</v>
      </c>
      <c r="J19" s="42">
        <v>1860</v>
      </c>
      <c r="K19" s="42">
        <v>6441580722</v>
      </c>
      <c r="L19" s="42">
        <v>6611998749</v>
      </c>
      <c r="M19" s="14">
        <v>0.94</v>
      </c>
    </row>
    <row r="20" spans="1:13" ht="23.1" customHeight="1">
      <c r="A20" s="12" t="s">
        <v>33</v>
      </c>
      <c r="B20" s="42">
        <v>143181</v>
      </c>
      <c r="C20" s="42">
        <v>12974884880</v>
      </c>
      <c r="D20" s="42">
        <v>12581890059</v>
      </c>
      <c r="E20" s="42">
        <v>0</v>
      </c>
      <c r="F20" s="42">
        <v>0</v>
      </c>
      <c r="G20" s="42">
        <v>7925</v>
      </c>
      <c r="H20" s="42">
        <v>693250471</v>
      </c>
      <c r="I20" s="42">
        <v>135256</v>
      </c>
      <c r="J20" s="42">
        <v>87300</v>
      </c>
      <c r="K20" s="42">
        <v>12256731196</v>
      </c>
      <c r="L20" s="42">
        <v>11716574132</v>
      </c>
      <c r="M20" s="14">
        <v>1.66</v>
      </c>
    </row>
    <row r="21" spans="1:13" ht="23.1" customHeight="1">
      <c r="A21" s="12" t="s">
        <v>34</v>
      </c>
      <c r="B21" s="42">
        <v>57143</v>
      </c>
      <c r="C21" s="42">
        <v>16373068418</v>
      </c>
      <c r="D21" s="42">
        <v>16183174461</v>
      </c>
      <c r="E21" s="42">
        <v>0</v>
      </c>
      <c r="F21" s="42">
        <v>0</v>
      </c>
      <c r="G21" s="42">
        <v>5001</v>
      </c>
      <c r="H21" s="42">
        <v>1485969971</v>
      </c>
      <c r="I21" s="42">
        <v>52142</v>
      </c>
      <c r="J21" s="42">
        <v>299700</v>
      </c>
      <c r="K21" s="42">
        <v>14940141985</v>
      </c>
      <c r="L21" s="42">
        <v>15506161022</v>
      </c>
      <c r="M21" s="14">
        <v>2.2000000000000002</v>
      </c>
    </row>
    <row r="22" spans="1:13" ht="23.1" customHeight="1">
      <c r="A22" s="12" t="s">
        <v>35</v>
      </c>
      <c r="B22" s="42">
        <v>360000</v>
      </c>
      <c r="C22" s="42">
        <v>2540304487</v>
      </c>
      <c r="D22" s="42">
        <v>2705406481</v>
      </c>
      <c r="E22" s="42">
        <v>136800</v>
      </c>
      <c r="F22" s="42">
        <v>0</v>
      </c>
      <c r="G22" s="42">
        <v>52184</v>
      </c>
      <c r="H22" s="42">
        <v>300291269</v>
      </c>
      <c r="I22" s="42">
        <v>444616</v>
      </c>
      <c r="J22" s="42">
        <v>5710</v>
      </c>
      <c r="K22" s="42">
        <v>2273470249</v>
      </c>
      <c r="L22" s="42">
        <v>2519132769</v>
      </c>
      <c r="M22" s="14">
        <v>0.36</v>
      </c>
    </row>
    <row r="23" spans="1:13" ht="23.1" customHeight="1">
      <c r="A23" s="12" t="s">
        <v>36</v>
      </c>
      <c r="B23" s="42">
        <v>17353992</v>
      </c>
      <c r="C23" s="42">
        <v>9232938415</v>
      </c>
      <c r="D23" s="42">
        <v>9177391422</v>
      </c>
      <c r="E23" s="42">
        <v>0</v>
      </c>
      <c r="F23" s="42">
        <v>0</v>
      </c>
      <c r="G23" s="42">
        <v>0</v>
      </c>
      <c r="H23" s="42">
        <v>0</v>
      </c>
      <c r="I23" s="42">
        <v>17353992</v>
      </c>
      <c r="J23" s="42">
        <v>536</v>
      </c>
      <c r="K23" s="42">
        <v>9232938415</v>
      </c>
      <c r="L23" s="42">
        <v>9229837267</v>
      </c>
      <c r="M23" s="14">
        <v>1.31</v>
      </c>
    </row>
    <row r="24" spans="1:13" ht="23.1" customHeight="1">
      <c r="A24" s="12" t="s">
        <v>37</v>
      </c>
      <c r="B24" s="42">
        <v>11669550</v>
      </c>
      <c r="C24" s="42">
        <v>46875407669</v>
      </c>
      <c r="D24" s="42">
        <v>32155522048</v>
      </c>
      <c r="E24" s="42">
        <v>0</v>
      </c>
      <c r="F24" s="42">
        <v>0</v>
      </c>
      <c r="G24" s="42">
        <v>986446</v>
      </c>
      <c r="H24" s="42">
        <v>2996457686</v>
      </c>
      <c r="I24" s="42">
        <v>10683104</v>
      </c>
      <c r="J24" s="42">
        <v>3070</v>
      </c>
      <c r="K24" s="42">
        <v>42912953384</v>
      </c>
      <c r="L24" s="42">
        <v>32543607475</v>
      </c>
      <c r="M24" s="14">
        <v>4.62</v>
      </c>
    </row>
    <row r="25" spans="1:13" ht="23.1" customHeight="1">
      <c r="A25" s="12" t="s">
        <v>38</v>
      </c>
      <c r="B25" s="42">
        <v>782345</v>
      </c>
      <c r="C25" s="42">
        <v>4366080330</v>
      </c>
      <c r="D25" s="42">
        <v>4199526260</v>
      </c>
      <c r="E25" s="42">
        <v>0</v>
      </c>
      <c r="F25" s="42">
        <v>0</v>
      </c>
      <c r="G25" s="42">
        <v>53193</v>
      </c>
      <c r="H25" s="42">
        <v>300292227</v>
      </c>
      <c r="I25" s="42">
        <v>729152</v>
      </c>
      <c r="J25" s="42">
        <v>5830</v>
      </c>
      <c r="K25" s="42">
        <v>4069222919</v>
      </c>
      <c r="L25" s="42">
        <v>4218096271</v>
      </c>
      <c r="M25" s="14">
        <v>0.6</v>
      </c>
    </row>
    <row r="26" spans="1:13" ht="23.1" customHeight="1">
      <c r="A26" s="12" t="s">
        <v>39</v>
      </c>
      <c r="B26" s="42">
        <v>1347709</v>
      </c>
      <c r="C26" s="42">
        <v>9806866753</v>
      </c>
      <c r="D26" s="42">
        <v>9029511490</v>
      </c>
      <c r="E26" s="42">
        <v>0</v>
      </c>
      <c r="F26" s="42">
        <v>0</v>
      </c>
      <c r="G26" s="42">
        <v>293121</v>
      </c>
      <c r="H26" s="42">
        <v>2070934580</v>
      </c>
      <c r="I26" s="42">
        <v>1054588</v>
      </c>
      <c r="J26" s="42">
        <v>7390</v>
      </c>
      <c r="K26" s="42">
        <v>7673914766</v>
      </c>
      <c r="L26" s="42">
        <v>7733162300</v>
      </c>
      <c r="M26" s="14">
        <v>1.1000000000000001</v>
      </c>
    </row>
    <row r="27" spans="1:13" ht="23.1" customHeight="1">
      <c r="A27" s="12" t="s">
        <v>40</v>
      </c>
      <c r="B27" s="42">
        <v>2774690</v>
      </c>
      <c r="C27" s="42">
        <v>10517793195</v>
      </c>
      <c r="D27" s="42">
        <v>11672620280</v>
      </c>
      <c r="E27" s="42">
        <v>0</v>
      </c>
      <c r="F27" s="42">
        <v>0</v>
      </c>
      <c r="G27" s="42">
        <v>685666</v>
      </c>
      <c r="H27" s="42">
        <v>2994392641</v>
      </c>
      <c r="I27" s="42">
        <v>2089024</v>
      </c>
      <c r="J27" s="42">
        <v>4361</v>
      </c>
      <c r="K27" s="42">
        <v>7918694489</v>
      </c>
      <c r="L27" s="42">
        <v>9039811560</v>
      </c>
      <c r="M27" s="14">
        <v>1.28</v>
      </c>
    </row>
    <row r="28" spans="1:13" ht="23.1" customHeight="1">
      <c r="A28" s="12" t="s">
        <v>41</v>
      </c>
      <c r="B28" s="42">
        <v>1473747</v>
      </c>
      <c r="C28" s="42">
        <v>22005986627</v>
      </c>
      <c r="D28" s="42">
        <v>20392496622</v>
      </c>
      <c r="E28" s="42">
        <v>0</v>
      </c>
      <c r="F28" s="42">
        <v>0</v>
      </c>
      <c r="G28" s="42">
        <v>438021</v>
      </c>
      <c r="H28" s="42">
        <v>5959098168</v>
      </c>
      <c r="I28" s="42">
        <v>1035726</v>
      </c>
      <c r="J28" s="42">
        <v>13710</v>
      </c>
      <c r="K28" s="42">
        <v>15465458119</v>
      </c>
      <c r="L28" s="42">
        <v>14090038982</v>
      </c>
      <c r="M28" s="14">
        <v>2</v>
      </c>
    </row>
    <row r="29" spans="1:13" ht="23.1" customHeight="1">
      <c r="A29" s="12" t="s">
        <v>42</v>
      </c>
      <c r="B29" s="42">
        <v>3460000</v>
      </c>
      <c r="C29" s="42">
        <v>16430848403</v>
      </c>
      <c r="D29" s="42">
        <v>17537566889</v>
      </c>
      <c r="E29" s="42">
        <v>0</v>
      </c>
      <c r="F29" s="42">
        <v>0</v>
      </c>
      <c r="G29" s="42">
        <v>658158</v>
      </c>
      <c r="H29" s="42">
        <v>3200177107</v>
      </c>
      <c r="I29" s="42">
        <v>2801842</v>
      </c>
      <c r="J29" s="42">
        <v>4755</v>
      </c>
      <c r="K29" s="42">
        <v>13305387616</v>
      </c>
      <c r="L29" s="42">
        <v>13219773789</v>
      </c>
      <c r="M29" s="14">
        <v>1.88</v>
      </c>
    </row>
    <row r="30" spans="1:13" ht="23.1" customHeight="1">
      <c r="A30" s="12" t="s">
        <v>43</v>
      </c>
      <c r="B30" s="42">
        <v>3039634</v>
      </c>
      <c r="C30" s="42">
        <v>8493642640</v>
      </c>
      <c r="D30" s="42">
        <v>7853003717</v>
      </c>
      <c r="E30" s="42">
        <v>476200</v>
      </c>
      <c r="F30" s="42">
        <v>1158816238</v>
      </c>
      <c r="G30" s="42">
        <v>0</v>
      </c>
      <c r="H30" s="42">
        <v>0</v>
      </c>
      <c r="I30" s="42">
        <v>3515834</v>
      </c>
      <c r="J30" s="42">
        <v>2480</v>
      </c>
      <c r="K30" s="42">
        <v>9652458878</v>
      </c>
      <c r="L30" s="42">
        <v>8651868379</v>
      </c>
      <c r="M30" s="14">
        <v>1.23</v>
      </c>
    </row>
    <row r="31" spans="1:13" ht="23.1" customHeight="1">
      <c r="A31" s="12" t="s">
        <v>44</v>
      </c>
      <c r="B31" s="42">
        <v>142765</v>
      </c>
      <c r="C31" s="42">
        <v>4253581911</v>
      </c>
      <c r="D31" s="42">
        <v>3501056579</v>
      </c>
      <c r="E31" s="42">
        <v>0</v>
      </c>
      <c r="F31" s="42">
        <v>0</v>
      </c>
      <c r="G31" s="42">
        <v>12512</v>
      </c>
      <c r="H31" s="42">
        <v>300289374</v>
      </c>
      <c r="I31" s="42">
        <v>130253</v>
      </c>
      <c r="J31" s="42">
        <v>24180</v>
      </c>
      <c r="K31" s="42">
        <v>3880795746</v>
      </c>
      <c r="L31" s="42">
        <v>3125171773</v>
      </c>
      <c r="M31" s="14">
        <v>0.44</v>
      </c>
    </row>
    <row r="32" spans="1:13" ht="23.1" customHeight="1">
      <c r="A32" s="12" t="s">
        <v>45</v>
      </c>
      <c r="B32" s="42">
        <v>38207433</v>
      </c>
      <c r="C32" s="42">
        <v>47673429418</v>
      </c>
      <c r="D32" s="42">
        <v>46487640904</v>
      </c>
      <c r="E32" s="42">
        <v>0</v>
      </c>
      <c r="F32" s="42">
        <v>0</v>
      </c>
      <c r="G32" s="42">
        <v>7407303</v>
      </c>
      <c r="H32" s="42">
        <v>8969062099</v>
      </c>
      <c r="I32" s="42">
        <v>30800130</v>
      </c>
      <c r="J32" s="42">
        <v>1194</v>
      </c>
      <c r="K32" s="42">
        <v>38430946764</v>
      </c>
      <c r="L32" s="42">
        <v>36491081728</v>
      </c>
      <c r="M32" s="14">
        <v>5.18</v>
      </c>
    </row>
    <row r="33" spans="1:13" ht="23.1" customHeight="1">
      <c r="A33" s="12" t="s">
        <v>46</v>
      </c>
      <c r="B33" s="42">
        <v>602029</v>
      </c>
      <c r="C33" s="42">
        <v>8877600605</v>
      </c>
      <c r="D33" s="42">
        <v>8126909278</v>
      </c>
      <c r="E33" s="42">
        <v>0</v>
      </c>
      <c r="F33" s="42">
        <v>0</v>
      </c>
      <c r="G33" s="42">
        <v>76884</v>
      </c>
      <c r="H33" s="42">
        <v>1039179884</v>
      </c>
      <c r="I33" s="42">
        <v>525145</v>
      </c>
      <c r="J33" s="42">
        <v>13570</v>
      </c>
      <c r="K33" s="42">
        <v>7743858800</v>
      </c>
      <c r="L33" s="42">
        <v>7071131991</v>
      </c>
      <c r="M33" s="14">
        <v>1</v>
      </c>
    </row>
    <row r="34" spans="1:13" ht="23.1" customHeight="1">
      <c r="A34" s="12" t="s">
        <v>47</v>
      </c>
      <c r="B34" s="42">
        <v>3678177</v>
      </c>
      <c r="C34" s="42">
        <v>12924473586</v>
      </c>
      <c r="D34" s="42">
        <v>15104681081</v>
      </c>
      <c r="E34" s="42">
        <v>0</v>
      </c>
      <c r="F34" s="42">
        <v>0</v>
      </c>
      <c r="G34" s="42">
        <v>0</v>
      </c>
      <c r="H34" s="42">
        <v>0</v>
      </c>
      <c r="I34" s="42">
        <v>3678177</v>
      </c>
      <c r="J34" s="42">
        <v>4131.1475421112136</v>
      </c>
      <c r="K34" s="42">
        <v>12924473586</v>
      </c>
      <c r="L34" s="42">
        <v>15077496339</v>
      </c>
      <c r="M34" s="14">
        <v>2.14</v>
      </c>
    </row>
    <row r="35" spans="1:13" ht="23.1" customHeight="1">
      <c r="A35" s="12" t="s">
        <v>48</v>
      </c>
      <c r="B35" s="42">
        <v>1559454</v>
      </c>
      <c r="C35" s="42">
        <v>2721639194</v>
      </c>
      <c r="D35" s="42">
        <v>2841471235</v>
      </c>
      <c r="E35" s="42">
        <v>0</v>
      </c>
      <c r="F35" s="42">
        <v>0</v>
      </c>
      <c r="G35" s="42">
        <v>177516</v>
      </c>
      <c r="H35" s="42">
        <v>300289021</v>
      </c>
      <c r="I35" s="42">
        <v>1381938</v>
      </c>
      <c r="J35" s="42">
        <v>1692</v>
      </c>
      <c r="K35" s="42">
        <v>2411829156</v>
      </c>
      <c r="L35" s="42">
        <v>2320164511</v>
      </c>
      <c r="M35" s="14">
        <v>0.33</v>
      </c>
    </row>
    <row r="36" spans="1:13" ht="23.1" customHeight="1">
      <c r="A36" s="12" t="s">
        <v>49</v>
      </c>
      <c r="B36" s="42">
        <v>3577172</v>
      </c>
      <c r="C36" s="42">
        <v>8739463535</v>
      </c>
      <c r="D36" s="42">
        <v>7222008178</v>
      </c>
      <c r="E36" s="42">
        <v>515000</v>
      </c>
      <c r="F36" s="42">
        <v>1110010654</v>
      </c>
      <c r="G36" s="42">
        <v>439664</v>
      </c>
      <c r="H36" s="42">
        <v>889691752</v>
      </c>
      <c r="I36" s="42">
        <v>3652508</v>
      </c>
      <c r="J36" s="42">
        <v>2159</v>
      </c>
      <c r="K36" s="42">
        <v>8775321899</v>
      </c>
      <c r="L36" s="42">
        <v>7824807816</v>
      </c>
      <c r="M36" s="14">
        <v>1.1100000000000001</v>
      </c>
    </row>
    <row r="37" spans="1:13" ht="23.1" customHeight="1">
      <c r="A37" s="12" t="s">
        <v>50</v>
      </c>
      <c r="B37" s="42">
        <v>11841320</v>
      </c>
      <c r="C37" s="42">
        <v>90172433879</v>
      </c>
      <c r="D37" s="42">
        <v>93342952679</v>
      </c>
      <c r="E37" s="42">
        <v>0</v>
      </c>
      <c r="F37" s="42">
        <v>0</v>
      </c>
      <c r="G37" s="42">
        <v>1328048</v>
      </c>
      <c r="H37" s="42">
        <v>11069861439</v>
      </c>
      <c r="I37" s="42">
        <v>10513272</v>
      </c>
      <c r="J37" s="42">
        <v>8720</v>
      </c>
      <c r="K37" s="42">
        <v>80059260647</v>
      </c>
      <c r="L37" s="42">
        <v>90967078437</v>
      </c>
      <c r="M37" s="14">
        <v>12.92</v>
      </c>
    </row>
    <row r="38" spans="1:13" ht="23.1" customHeight="1">
      <c r="A38" s="12" t="s">
        <v>51</v>
      </c>
      <c r="B38" s="42">
        <v>4293355</v>
      </c>
      <c r="C38" s="42">
        <v>2354111858</v>
      </c>
      <c r="D38" s="42">
        <v>2274742487</v>
      </c>
      <c r="E38" s="42">
        <v>0</v>
      </c>
      <c r="F38" s="42">
        <v>0</v>
      </c>
      <c r="G38" s="42">
        <v>0</v>
      </c>
      <c r="H38" s="42">
        <v>0</v>
      </c>
      <c r="I38" s="42">
        <v>4293355</v>
      </c>
      <c r="J38" s="42">
        <v>513</v>
      </c>
      <c r="K38" s="42">
        <v>2354111858</v>
      </c>
      <c r="L38" s="42">
        <v>2185465862</v>
      </c>
      <c r="M38" s="14">
        <v>0.31</v>
      </c>
    </row>
    <row r="39" spans="1:13" ht="23.1" customHeight="1">
      <c r="A39" s="12" t="s">
        <v>52</v>
      </c>
      <c r="B39" s="42">
        <v>285818</v>
      </c>
      <c r="C39" s="42">
        <v>8472686548</v>
      </c>
      <c r="D39" s="42">
        <v>9347461900</v>
      </c>
      <c r="E39" s="42">
        <v>0</v>
      </c>
      <c r="F39" s="42">
        <v>0</v>
      </c>
      <c r="G39" s="42">
        <v>38049</v>
      </c>
      <c r="H39" s="42">
        <v>1321612787</v>
      </c>
      <c r="I39" s="42">
        <v>247769</v>
      </c>
      <c r="J39" s="42">
        <v>38510</v>
      </c>
      <c r="K39" s="42">
        <v>7344775603</v>
      </c>
      <c r="L39" s="42">
        <v>9467827748</v>
      </c>
      <c r="M39" s="14">
        <v>1.34</v>
      </c>
    </row>
    <row r="40" spans="1:13" ht="23.1" customHeight="1">
      <c r="A40" s="12" t="s">
        <v>53</v>
      </c>
      <c r="B40" s="42">
        <v>10331968</v>
      </c>
      <c r="C40" s="42">
        <v>92868632558</v>
      </c>
      <c r="D40" s="42">
        <v>84834270452</v>
      </c>
      <c r="E40" s="42">
        <v>0</v>
      </c>
      <c r="F40" s="42">
        <v>0</v>
      </c>
      <c r="G40" s="42">
        <v>184573</v>
      </c>
      <c r="H40" s="42">
        <v>1667860911</v>
      </c>
      <c r="I40" s="42">
        <v>10147395</v>
      </c>
      <c r="J40" s="42">
        <v>8890</v>
      </c>
      <c r="K40" s="42">
        <v>91209602824</v>
      </c>
      <c r="L40" s="42">
        <v>89513015614</v>
      </c>
      <c r="M40" s="14">
        <v>12.71</v>
      </c>
    </row>
    <row r="41" spans="1:13" ht="23.1" customHeight="1">
      <c r="A41" s="12" t="s">
        <v>54</v>
      </c>
      <c r="B41" s="42">
        <v>0</v>
      </c>
      <c r="C41" s="42">
        <v>0</v>
      </c>
      <c r="D41" s="42">
        <v>0</v>
      </c>
      <c r="E41" s="42">
        <v>55958</v>
      </c>
      <c r="F41" s="42">
        <v>377600591</v>
      </c>
      <c r="G41" s="42">
        <v>0</v>
      </c>
      <c r="H41" s="42">
        <v>0</v>
      </c>
      <c r="I41" s="42">
        <v>55958</v>
      </c>
      <c r="J41" s="42">
        <v>6650</v>
      </c>
      <c r="K41" s="42">
        <v>377600591</v>
      </c>
      <c r="L41" s="42">
        <v>369244210</v>
      </c>
      <c r="M41" s="14">
        <v>0.05</v>
      </c>
    </row>
    <row r="42" spans="1:13" ht="23.1" customHeight="1">
      <c r="A42" s="12" t="s">
        <v>55</v>
      </c>
      <c r="B42" s="42">
        <v>0</v>
      </c>
      <c r="C42" s="42">
        <v>0</v>
      </c>
      <c r="D42" s="42">
        <v>0</v>
      </c>
      <c r="E42" s="42">
        <v>124379</v>
      </c>
      <c r="F42" s="42">
        <v>294690524</v>
      </c>
      <c r="G42" s="42">
        <v>0</v>
      </c>
      <c r="H42" s="42">
        <v>0</v>
      </c>
      <c r="I42" s="42">
        <v>124379</v>
      </c>
      <c r="J42" s="42">
        <v>2382</v>
      </c>
      <c r="K42" s="42">
        <v>294690524</v>
      </c>
      <c r="L42" s="42">
        <v>293980609</v>
      </c>
      <c r="M42" s="14">
        <v>0.04</v>
      </c>
    </row>
    <row r="43" spans="1:13" ht="23.1" customHeight="1">
      <c r="A43" s="12" t="s">
        <v>56</v>
      </c>
      <c r="B43" s="42">
        <v>116842</v>
      </c>
      <c r="C43" s="42">
        <v>8292775670</v>
      </c>
      <c r="D43" s="42">
        <v>5017541335</v>
      </c>
      <c r="E43" s="42">
        <v>0</v>
      </c>
      <c r="F43" s="42">
        <v>0</v>
      </c>
      <c r="G43" s="42">
        <v>4857</v>
      </c>
      <c r="H43" s="42">
        <v>215670635</v>
      </c>
      <c r="I43" s="42">
        <v>111985</v>
      </c>
      <c r="J43" s="42">
        <v>44700</v>
      </c>
      <c r="K43" s="42">
        <v>7948053640</v>
      </c>
      <c r="L43" s="42">
        <v>4967035214</v>
      </c>
      <c r="M43" s="14">
        <v>0.71</v>
      </c>
    </row>
    <row r="44" spans="1:13" ht="23.1" customHeight="1">
      <c r="A44" s="12" t="s">
        <v>57</v>
      </c>
      <c r="B44" s="42">
        <v>812205</v>
      </c>
      <c r="C44" s="42">
        <v>5598553497</v>
      </c>
      <c r="D44" s="42">
        <v>5732343904</v>
      </c>
      <c r="E44" s="42">
        <v>182735</v>
      </c>
      <c r="F44" s="42">
        <v>1326462000</v>
      </c>
      <c r="G44" s="42">
        <v>152060</v>
      </c>
      <c r="H44" s="42">
        <v>1102588716</v>
      </c>
      <c r="I44" s="42">
        <v>842880</v>
      </c>
      <c r="J44" s="42">
        <v>6980</v>
      </c>
      <c r="K44" s="42">
        <v>5869156102</v>
      </c>
      <c r="L44" s="42">
        <v>5837824474</v>
      </c>
      <c r="M44" s="14">
        <v>0.83</v>
      </c>
    </row>
    <row r="45" spans="1:13" ht="23.1" customHeight="1">
      <c r="A45" s="12" t="s">
        <v>58</v>
      </c>
      <c r="B45" s="42">
        <v>94343</v>
      </c>
      <c r="C45" s="42">
        <v>3665793963</v>
      </c>
      <c r="D45" s="42">
        <v>3378015364</v>
      </c>
      <c r="E45" s="42">
        <v>13128</v>
      </c>
      <c r="F45" s="42">
        <v>471497682</v>
      </c>
      <c r="G45" s="42">
        <v>8469</v>
      </c>
      <c r="H45" s="42">
        <v>299600011</v>
      </c>
      <c r="I45" s="42">
        <v>99002</v>
      </c>
      <c r="J45" s="42">
        <v>35920</v>
      </c>
      <c r="K45" s="42">
        <v>3808219970</v>
      </c>
      <c r="L45" s="42">
        <v>3528662789</v>
      </c>
      <c r="M45" s="14">
        <v>0.5</v>
      </c>
    </row>
    <row r="46" spans="1:13" ht="23.1" customHeight="1">
      <c r="A46" s="12" t="s">
        <v>59</v>
      </c>
      <c r="B46" s="42">
        <v>8664335</v>
      </c>
      <c r="C46" s="42">
        <v>18786838212</v>
      </c>
      <c r="D46" s="42">
        <v>17501173449</v>
      </c>
      <c r="E46" s="42">
        <v>229915</v>
      </c>
      <c r="F46" s="42">
        <v>500176343</v>
      </c>
      <c r="G46" s="42">
        <v>2997927</v>
      </c>
      <c r="H46" s="42">
        <v>6305023843</v>
      </c>
      <c r="I46" s="42">
        <v>5896323</v>
      </c>
      <c r="J46" s="42">
        <v>2181</v>
      </c>
      <c r="K46" s="42">
        <v>12786623063</v>
      </c>
      <c r="L46" s="42">
        <v>12760473590</v>
      </c>
      <c r="M46" s="14">
        <v>1.81</v>
      </c>
    </row>
    <row r="47" spans="1:13" ht="23.1" customHeight="1">
      <c r="A47" s="12" t="s">
        <v>60</v>
      </c>
      <c r="B47" s="42">
        <v>1039131</v>
      </c>
      <c r="C47" s="42">
        <v>12660879252</v>
      </c>
      <c r="D47" s="42">
        <v>13294042959</v>
      </c>
      <c r="E47" s="42">
        <v>0</v>
      </c>
      <c r="F47" s="42">
        <v>0</v>
      </c>
      <c r="G47" s="42">
        <v>67841</v>
      </c>
      <c r="H47" s="42">
        <v>873400502</v>
      </c>
      <c r="I47" s="42">
        <v>971290</v>
      </c>
      <c r="J47" s="42">
        <v>12230</v>
      </c>
      <c r="K47" s="42">
        <v>11834297512</v>
      </c>
      <c r="L47" s="42">
        <v>11787052988</v>
      </c>
      <c r="M47" s="14">
        <v>1.67</v>
      </c>
    </row>
    <row r="48" spans="1:13" ht="23.1" customHeight="1">
      <c r="A48" s="12" t="s">
        <v>61</v>
      </c>
      <c r="B48" s="42">
        <v>663377</v>
      </c>
      <c r="C48" s="42">
        <v>3711491175</v>
      </c>
      <c r="D48" s="42">
        <v>3071624509</v>
      </c>
      <c r="E48" s="42">
        <v>0</v>
      </c>
      <c r="F48" s="42">
        <v>0</v>
      </c>
      <c r="G48" s="42">
        <v>0</v>
      </c>
      <c r="H48" s="42">
        <v>0</v>
      </c>
      <c r="I48" s="42">
        <v>663377</v>
      </c>
      <c r="J48" s="42">
        <v>4628</v>
      </c>
      <c r="K48" s="42">
        <v>3711491175</v>
      </c>
      <c r="L48" s="42">
        <v>3046376821</v>
      </c>
      <c r="M48" s="14">
        <v>0.43</v>
      </c>
    </row>
    <row r="49" spans="1:13" ht="23.1" customHeight="1">
      <c r="A49" s="12" t="s">
        <v>62</v>
      </c>
      <c r="B49" s="42">
        <v>1332869</v>
      </c>
      <c r="C49" s="42">
        <v>6327662085</v>
      </c>
      <c r="D49" s="42">
        <v>6168913330</v>
      </c>
      <c r="E49" s="42">
        <v>0</v>
      </c>
      <c r="F49" s="42">
        <v>0</v>
      </c>
      <c r="G49" s="42">
        <v>190803</v>
      </c>
      <c r="H49" s="42">
        <v>867690664</v>
      </c>
      <c r="I49" s="42">
        <v>1142066</v>
      </c>
      <c r="J49" s="42">
        <v>4547</v>
      </c>
      <c r="K49" s="42">
        <v>5421843952</v>
      </c>
      <c r="L49" s="42">
        <v>5152832416</v>
      </c>
      <c r="M49" s="14">
        <v>0.73</v>
      </c>
    </row>
    <row r="50" spans="1:13" ht="23.1" customHeight="1">
      <c r="A50" s="12" t="s">
        <v>63</v>
      </c>
      <c r="B50" s="42">
        <v>0</v>
      </c>
      <c r="C50" s="42">
        <v>0</v>
      </c>
      <c r="D50" s="42">
        <v>0</v>
      </c>
      <c r="E50" s="42">
        <v>453000</v>
      </c>
      <c r="F50" s="42">
        <v>214839805</v>
      </c>
      <c r="G50" s="42">
        <v>0</v>
      </c>
      <c r="H50" s="42">
        <v>0</v>
      </c>
      <c r="I50" s="42">
        <v>453000</v>
      </c>
      <c r="J50" s="42">
        <v>474</v>
      </c>
      <c r="K50" s="42">
        <v>214839805</v>
      </c>
      <c r="L50" s="42">
        <v>213062203</v>
      </c>
      <c r="M50" s="14">
        <v>0.03</v>
      </c>
    </row>
    <row r="51" spans="1:13" ht="23.1" customHeight="1">
      <c r="A51" s="12" t="s">
        <v>64</v>
      </c>
      <c r="B51" s="42">
        <v>169396</v>
      </c>
      <c r="C51" s="42">
        <v>12634573281</v>
      </c>
      <c r="D51" s="42">
        <v>12950728298</v>
      </c>
      <c r="E51" s="42">
        <v>0</v>
      </c>
      <c r="F51" s="42">
        <v>0</v>
      </c>
      <c r="G51" s="42">
        <v>58733</v>
      </c>
      <c r="H51" s="42">
        <v>4770302150</v>
      </c>
      <c r="I51" s="42">
        <v>110663</v>
      </c>
      <c r="J51" s="42">
        <v>87470</v>
      </c>
      <c r="K51" s="42">
        <v>8253912625</v>
      </c>
      <c r="L51" s="42">
        <v>9604868589</v>
      </c>
      <c r="M51" s="14">
        <v>1.36</v>
      </c>
    </row>
    <row r="52" spans="1:13" ht="23.1" customHeight="1">
      <c r="A52" s="12" t="s">
        <v>65</v>
      </c>
      <c r="B52" s="42">
        <v>1046788</v>
      </c>
      <c r="C52" s="42">
        <v>6088044499</v>
      </c>
      <c r="D52" s="42">
        <v>5280840032</v>
      </c>
      <c r="E52" s="42">
        <v>0</v>
      </c>
      <c r="F52" s="42">
        <v>0</v>
      </c>
      <c r="G52" s="42">
        <v>114429</v>
      </c>
      <c r="H52" s="42">
        <v>654020190</v>
      </c>
      <c r="I52" s="42">
        <v>932359</v>
      </c>
      <c r="J52" s="42">
        <v>6000</v>
      </c>
      <c r="K52" s="42">
        <v>5422533580</v>
      </c>
      <c r="L52" s="42">
        <v>5550911193</v>
      </c>
      <c r="M52" s="14">
        <v>0.79</v>
      </c>
    </row>
    <row r="53" spans="1:13" ht="23.1" customHeight="1">
      <c r="A53" s="12" t="s">
        <v>66</v>
      </c>
      <c r="B53" s="42">
        <v>1350000</v>
      </c>
      <c r="C53" s="42">
        <v>9129964717</v>
      </c>
      <c r="D53" s="42">
        <v>9487710225</v>
      </c>
      <c r="E53" s="42">
        <v>0</v>
      </c>
      <c r="F53" s="42">
        <v>0</v>
      </c>
      <c r="G53" s="42">
        <v>143465</v>
      </c>
      <c r="H53" s="42">
        <v>995674053</v>
      </c>
      <c r="I53" s="42">
        <v>1206535</v>
      </c>
      <c r="J53" s="42">
        <v>7670</v>
      </c>
      <c r="K53" s="42">
        <v>8159719985</v>
      </c>
      <c r="L53" s="42">
        <v>9182589078</v>
      </c>
      <c r="M53" s="14">
        <v>1.3</v>
      </c>
    </row>
    <row r="54" spans="1:13" ht="23.1" customHeight="1">
      <c r="A54" s="12" t="s">
        <v>67</v>
      </c>
      <c r="B54" s="42">
        <v>21082992</v>
      </c>
      <c r="C54" s="42">
        <v>11517762912</v>
      </c>
      <c r="D54" s="42">
        <v>7775250385</v>
      </c>
      <c r="E54" s="42">
        <v>0</v>
      </c>
      <c r="F54" s="42">
        <v>0</v>
      </c>
      <c r="G54" s="42">
        <v>3200000</v>
      </c>
      <c r="H54" s="42">
        <v>1139437247</v>
      </c>
      <c r="I54" s="42">
        <v>17882992</v>
      </c>
      <c r="J54" s="42">
        <v>346</v>
      </c>
      <c r="K54" s="42">
        <v>9769584033</v>
      </c>
      <c r="L54" s="42">
        <v>6139685743</v>
      </c>
      <c r="M54" s="14">
        <v>0.87</v>
      </c>
    </row>
    <row r="55" spans="1:13" ht="23.1" customHeight="1">
      <c r="A55" s="12" t="s">
        <v>68</v>
      </c>
      <c r="B55" s="42">
        <v>143004</v>
      </c>
      <c r="C55" s="42">
        <v>10160050523</v>
      </c>
      <c r="D55" s="42">
        <v>7896606163</v>
      </c>
      <c r="E55" s="42">
        <v>0</v>
      </c>
      <c r="F55" s="42">
        <v>0</v>
      </c>
      <c r="G55" s="42">
        <v>6368</v>
      </c>
      <c r="H55" s="42">
        <v>300295090</v>
      </c>
      <c r="I55" s="42">
        <v>136636</v>
      </c>
      <c r="J55" s="42">
        <v>46420</v>
      </c>
      <c r="K55" s="42">
        <v>9707621208</v>
      </c>
      <c r="L55" s="42">
        <v>6293614493</v>
      </c>
      <c r="M55" s="14">
        <v>0.89</v>
      </c>
    </row>
    <row r="56" spans="1:13" ht="23.1" customHeight="1">
      <c r="A56" s="12" t="s">
        <v>69</v>
      </c>
      <c r="B56" s="42">
        <v>655469</v>
      </c>
      <c r="C56" s="42">
        <v>14140755796</v>
      </c>
      <c r="D56" s="42">
        <v>11623990239</v>
      </c>
      <c r="E56" s="42">
        <v>78188</v>
      </c>
      <c r="F56" s="42">
        <v>1318613746</v>
      </c>
      <c r="G56" s="42">
        <v>28079</v>
      </c>
      <c r="H56" s="42">
        <v>458756832</v>
      </c>
      <c r="I56" s="42">
        <v>705578</v>
      </c>
      <c r="J56" s="42">
        <v>16470</v>
      </c>
      <c r="K56" s="42">
        <v>14853607436</v>
      </c>
      <c r="L56" s="42">
        <v>11531040341</v>
      </c>
      <c r="M56" s="14">
        <v>1.64</v>
      </c>
    </row>
    <row r="57" spans="1:13" ht="23.1" customHeight="1">
      <c r="A57" s="12" t="s">
        <v>70</v>
      </c>
      <c r="B57" s="42">
        <v>185793</v>
      </c>
      <c r="C57" s="42">
        <v>4106096048</v>
      </c>
      <c r="D57" s="42">
        <v>4390022632</v>
      </c>
      <c r="E57" s="42">
        <v>17681</v>
      </c>
      <c r="F57" s="42">
        <v>374594795</v>
      </c>
      <c r="G57" s="42">
        <v>0</v>
      </c>
      <c r="H57" s="42">
        <v>0</v>
      </c>
      <c r="I57" s="42">
        <v>203474</v>
      </c>
      <c r="J57" s="42">
        <v>20730</v>
      </c>
      <c r="K57" s="42">
        <v>4480690843</v>
      </c>
      <c r="L57" s="42">
        <v>4185410759</v>
      </c>
      <c r="M57" s="14">
        <v>0.59</v>
      </c>
    </row>
    <row r="58" spans="1:13" ht="23.1" customHeight="1">
      <c r="A58" s="12" t="s">
        <v>71</v>
      </c>
      <c r="B58" s="42">
        <v>400000</v>
      </c>
      <c r="C58" s="42">
        <v>1225135872</v>
      </c>
      <c r="D58" s="42">
        <v>1216717200</v>
      </c>
      <c r="E58" s="42">
        <v>0</v>
      </c>
      <c r="F58" s="42">
        <v>0</v>
      </c>
      <c r="G58" s="42">
        <v>0</v>
      </c>
      <c r="H58" s="42">
        <v>0</v>
      </c>
      <c r="I58" s="42">
        <v>400000</v>
      </c>
      <c r="J58" s="42">
        <v>3060</v>
      </c>
      <c r="K58" s="42">
        <v>1225135872</v>
      </c>
      <c r="L58" s="42">
        <v>1214538480</v>
      </c>
      <c r="M58" s="14">
        <v>0.17</v>
      </c>
    </row>
    <row r="59" spans="1:13" ht="23.1" customHeight="1">
      <c r="A59" s="12" t="s">
        <v>72</v>
      </c>
      <c r="B59" s="42">
        <v>6683985</v>
      </c>
      <c r="C59" s="42">
        <v>17791805563</v>
      </c>
      <c r="D59" s="42">
        <v>19381176001</v>
      </c>
      <c r="E59" s="42">
        <v>0</v>
      </c>
      <c r="F59" s="42">
        <v>0</v>
      </c>
      <c r="G59" s="42">
        <v>2290147</v>
      </c>
      <c r="H59" s="42">
        <v>6853475950</v>
      </c>
      <c r="I59" s="42">
        <v>4393838</v>
      </c>
      <c r="J59" s="42">
        <v>3118</v>
      </c>
      <c r="K59" s="42">
        <v>11695764034</v>
      </c>
      <c r="L59" s="42">
        <v>13594085989</v>
      </c>
      <c r="M59" s="14">
        <v>1.93</v>
      </c>
    </row>
    <row r="60" spans="1:13" ht="23.1" customHeight="1">
      <c r="A60" s="12" t="s">
        <v>73</v>
      </c>
      <c r="B60" s="42">
        <v>165309</v>
      </c>
      <c r="C60" s="42">
        <v>6018207192</v>
      </c>
      <c r="D60" s="42">
        <v>4855815912</v>
      </c>
      <c r="E60" s="42">
        <v>0</v>
      </c>
      <c r="F60" s="42">
        <v>0</v>
      </c>
      <c r="G60" s="42">
        <v>16226</v>
      </c>
      <c r="H60" s="42">
        <v>494287594</v>
      </c>
      <c r="I60" s="42">
        <v>149083</v>
      </c>
      <c r="J60" s="42">
        <v>30790</v>
      </c>
      <c r="K60" s="42">
        <v>5427486603</v>
      </c>
      <c r="L60" s="42">
        <v>4554782823</v>
      </c>
      <c r="M60" s="14">
        <v>0.65</v>
      </c>
    </row>
    <row r="61" spans="1:13" ht="23.1" customHeight="1">
      <c r="A61" s="12" t="s">
        <v>74</v>
      </c>
      <c r="B61" s="42">
        <v>116208</v>
      </c>
      <c r="C61" s="42">
        <v>742044539</v>
      </c>
      <c r="D61" s="42">
        <v>860598394</v>
      </c>
      <c r="E61" s="42">
        <v>0</v>
      </c>
      <c r="F61" s="42">
        <v>0</v>
      </c>
      <c r="G61" s="42">
        <v>0</v>
      </c>
      <c r="H61" s="42">
        <v>0</v>
      </c>
      <c r="I61" s="42">
        <v>116208</v>
      </c>
      <c r="J61" s="42">
        <v>8120</v>
      </c>
      <c r="K61" s="42">
        <v>742044539</v>
      </c>
      <c r="L61" s="42">
        <v>936314868</v>
      </c>
      <c r="M61" s="14">
        <v>0.13</v>
      </c>
    </row>
    <row r="62" spans="1:13" ht="23.1" customHeight="1">
      <c r="A62" s="12" t="s">
        <v>75</v>
      </c>
      <c r="B62" s="42">
        <v>230000</v>
      </c>
      <c r="C62" s="42">
        <v>5048580738</v>
      </c>
      <c r="D62" s="42">
        <v>5779804321</v>
      </c>
      <c r="E62" s="42">
        <v>0</v>
      </c>
      <c r="F62" s="42">
        <v>0</v>
      </c>
      <c r="G62" s="42">
        <v>54754</v>
      </c>
      <c r="H62" s="42">
        <v>1434993800</v>
      </c>
      <c r="I62" s="42">
        <v>175246</v>
      </c>
      <c r="J62" s="42">
        <v>26360</v>
      </c>
      <c r="K62" s="42">
        <v>3846711218</v>
      </c>
      <c r="L62" s="42">
        <v>4583775948</v>
      </c>
      <c r="M62" s="14">
        <v>0.65</v>
      </c>
    </row>
    <row r="63" spans="1:13" ht="23.1" customHeight="1">
      <c r="A63" s="12" t="s">
        <v>76</v>
      </c>
      <c r="B63" s="42">
        <v>22683</v>
      </c>
      <c r="C63" s="42">
        <v>4061181514</v>
      </c>
      <c r="D63" s="42">
        <v>3936210673</v>
      </c>
      <c r="E63" s="42">
        <v>0</v>
      </c>
      <c r="F63" s="42">
        <v>0</v>
      </c>
      <c r="G63" s="42">
        <v>1756</v>
      </c>
      <c r="H63" s="42">
        <v>300355153</v>
      </c>
      <c r="I63" s="42">
        <v>20927</v>
      </c>
      <c r="J63" s="42">
        <v>184120</v>
      </c>
      <c r="K63" s="42">
        <v>3746785943</v>
      </c>
      <c r="L63" s="42">
        <v>3823294940</v>
      </c>
      <c r="M63" s="14">
        <v>0.54</v>
      </c>
    </row>
    <row r="64" spans="1:13" ht="23.1" customHeight="1">
      <c r="A64" s="12" t="s">
        <v>77</v>
      </c>
      <c r="B64" s="42">
        <v>1150000</v>
      </c>
      <c r="C64" s="42">
        <v>6054112985</v>
      </c>
      <c r="D64" s="42">
        <v>6024440025</v>
      </c>
      <c r="E64" s="42">
        <v>0</v>
      </c>
      <c r="F64" s="42">
        <v>0</v>
      </c>
      <c r="G64" s="42">
        <v>630380</v>
      </c>
      <c r="H64" s="42">
        <v>3370736835</v>
      </c>
      <c r="I64" s="42">
        <v>519620</v>
      </c>
      <c r="J64" s="42">
        <v>5270</v>
      </c>
      <c r="K64" s="42">
        <v>2735511469</v>
      </c>
      <c r="L64" s="42">
        <v>2717229591</v>
      </c>
      <c r="M64" s="14">
        <v>0.39</v>
      </c>
    </row>
    <row r="65" spans="1:13" ht="23.1" customHeight="1">
      <c r="A65" s="12" t="s">
        <v>78</v>
      </c>
      <c r="B65" s="42">
        <v>1200000</v>
      </c>
      <c r="C65" s="42">
        <v>3593731872</v>
      </c>
      <c r="D65" s="42">
        <v>3858902100</v>
      </c>
      <c r="E65" s="42">
        <v>0</v>
      </c>
      <c r="F65" s="42">
        <v>0</v>
      </c>
      <c r="G65" s="42">
        <v>158132</v>
      </c>
      <c r="H65" s="42">
        <v>500481222</v>
      </c>
      <c r="I65" s="42">
        <v>1041868</v>
      </c>
      <c r="J65" s="42">
        <v>3259</v>
      </c>
      <c r="K65" s="42">
        <v>3120161865</v>
      </c>
      <c r="L65" s="42">
        <v>3369201003</v>
      </c>
      <c r="M65" s="14">
        <v>0.48</v>
      </c>
    </row>
    <row r="66" spans="1:13" ht="23.1" customHeight="1">
      <c r="A66" s="12" t="s">
        <v>79</v>
      </c>
      <c r="B66" s="42">
        <v>21743633</v>
      </c>
      <c r="C66" s="42">
        <v>33807504983</v>
      </c>
      <c r="D66" s="42">
        <v>26866523172</v>
      </c>
      <c r="E66" s="42">
        <v>0</v>
      </c>
      <c r="F66" s="42">
        <v>0</v>
      </c>
      <c r="G66" s="42">
        <v>4472176</v>
      </c>
      <c r="H66" s="42">
        <v>5642157100</v>
      </c>
      <c r="I66" s="42">
        <v>17271457</v>
      </c>
      <c r="J66" s="42">
        <v>1332</v>
      </c>
      <c r="K66" s="42">
        <v>26854061995</v>
      </c>
      <c r="L66" s="42">
        <v>22827747588</v>
      </c>
      <c r="M66" s="14">
        <v>3.24</v>
      </c>
    </row>
    <row r="67" spans="1:13" ht="23.1" customHeight="1">
      <c r="A67" s="12" t="s">
        <v>80</v>
      </c>
      <c r="B67" s="42">
        <v>121192</v>
      </c>
      <c r="C67" s="42">
        <v>10015803524</v>
      </c>
      <c r="D67" s="42">
        <v>9348542435</v>
      </c>
      <c r="E67" s="42">
        <v>0</v>
      </c>
      <c r="F67" s="42">
        <v>0</v>
      </c>
      <c r="G67" s="42">
        <v>0</v>
      </c>
      <c r="H67" s="42">
        <v>0</v>
      </c>
      <c r="I67" s="42">
        <v>121192</v>
      </c>
      <c r="J67" s="42">
        <v>93300</v>
      </c>
      <c r="K67" s="42">
        <v>10015803524</v>
      </c>
      <c r="L67" s="42">
        <v>11219808841</v>
      </c>
      <c r="M67" s="14">
        <v>1.59</v>
      </c>
    </row>
    <row r="68" spans="1:13" ht="23.1" customHeight="1">
      <c r="A68" s="12" t="s">
        <v>81</v>
      </c>
      <c r="B68" s="42">
        <v>50000</v>
      </c>
      <c r="C68" s="42">
        <v>49863800</v>
      </c>
      <c r="D68" s="42">
        <v>49702500</v>
      </c>
      <c r="E68" s="42">
        <v>0</v>
      </c>
      <c r="F68" s="42">
        <v>0</v>
      </c>
      <c r="G68" s="42">
        <v>0</v>
      </c>
      <c r="H68" s="42">
        <v>0</v>
      </c>
      <c r="I68" s="42">
        <v>50000</v>
      </c>
      <c r="J68" s="42">
        <v>1000</v>
      </c>
      <c r="K68" s="42">
        <v>49863800</v>
      </c>
      <c r="L68" s="42">
        <v>49613500</v>
      </c>
      <c r="M68" s="14">
        <v>0.01</v>
      </c>
    </row>
    <row r="69" spans="1:13" ht="23.1" customHeight="1">
      <c r="A69" s="12" t="s">
        <v>82</v>
      </c>
      <c r="B69" s="42"/>
      <c r="C69" s="42">
        <v>808106868105</v>
      </c>
      <c r="D69" s="42">
        <v>763957617100</v>
      </c>
      <c r="E69" s="42"/>
      <c r="F69" s="42">
        <v>7956452814</v>
      </c>
      <c r="G69" s="42"/>
      <c r="H69" s="42">
        <v>112285293698</v>
      </c>
      <c r="I69" s="42"/>
      <c r="J69" s="42">
        <v>1353578.1475421111</v>
      </c>
      <c r="K69" s="42">
        <v>703657941797</v>
      </c>
      <c r="L69" s="42">
        <v>686855167642</v>
      </c>
      <c r="M69" s="14">
        <v>97.49</v>
      </c>
    </row>
    <row r="70" spans="1:13" ht="23.1" customHeight="1">
      <c r="A70" s="12" t="s">
        <v>83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4"/>
      <c r="M70" s="14"/>
    </row>
  </sheetData>
  <mergeCells count="19"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  <mergeCell ref="B7:D7"/>
    <mergeCell ref="I7:M7"/>
    <mergeCell ref="D8:D9"/>
    <mergeCell ref="L8:L9"/>
    <mergeCell ref="J8:J9"/>
    <mergeCell ref="M8:M9"/>
  </mergeCells>
  <pageMargins left="0.7" right="0.7" top="0.75" bottom="0.75" header="0.3" footer="0.3"/>
  <pageSetup paperSize="9" scale="60" orientation="landscape" r:id="rId1"/>
  <headerFooter differentOddEven="1"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15"/>
  <sheetViews>
    <sheetView rightToLeft="1" zoomScale="145" zoomScaleNormal="145" zoomScaleSheetLayoutView="106" workbookViewId="0">
      <selection activeCell="G8" sqref="G8"/>
    </sheetView>
  </sheetViews>
  <sheetFormatPr defaultColWidth="9" defaultRowHeight="15.75"/>
  <cols>
    <col min="1" max="1" width="28.42578125" style="5" customWidth="1"/>
    <col min="2" max="2" width="15.42578125" style="5" customWidth="1"/>
    <col min="3" max="3" width="13.28515625" style="5" customWidth="1"/>
    <col min="4" max="4" width="16.7109375" style="5" customWidth="1"/>
    <col min="5" max="5" width="17" style="40" customWidth="1"/>
    <col min="6" max="6" width="13" style="40" customWidth="1"/>
    <col min="7" max="8" width="15.85546875" style="40" customWidth="1"/>
    <col min="9" max="9" width="13" style="40" customWidth="1"/>
    <col min="10" max="10" width="13" style="5" customWidth="1"/>
    <col min="11" max="11" width="9" style="3" customWidth="1"/>
    <col min="12" max="16384" width="9" style="3"/>
  </cols>
  <sheetData>
    <row r="1" spans="1:10" ht="18">
      <c r="A1" s="107" t="s">
        <v>1</v>
      </c>
      <c r="B1" s="107"/>
      <c r="C1" s="107"/>
      <c r="D1" s="107"/>
      <c r="E1" s="107"/>
      <c r="F1" s="107"/>
      <c r="G1" s="107"/>
      <c r="H1" s="107"/>
      <c r="I1" s="107"/>
      <c r="J1" s="18"/>
    </row>
    <row r="2" spans="1:10" ht="18">
      <c r="A2" s="107" t="s">
        <v>6</v>
      </c>
      <c r="B2" s="107"/>
      <c r="C2" s="107"/>
      <c r="D2" s="107"/>
      <c r="E2" s="107"/>
      <c r="F2" s="107"/>
      <c r="G2" s="107"/>
      <c r="H2" s="107"/>
      <c r="I2" s="107"/>
      <c r="J2" s="18"/>
    </row>
    <row r="3" spans="1:10" ht="18">
      <c r="A3" s="107" t="s">
        <v>7</v>
      </c>
      <c r="B3" s="107"/>
      <c r="C3" s="107"/>
      <c r="D3" s="107"/>
      <c r="E3" s="107"/>
      <c r="F3" s="107"/>
      <c r="G3" s="107"/>
      <c r="H3" s="107"/>
      <c r="I3" s="107"/>
      <c r="J3" s="18"/>
    </row>
    <row r="4" spans="1:10" ht="18.75">
      <c r="A4" s="108" t="s">
        <v>88</v>
      </c>
      <c r="B4" s="109"/>
      <c r="C4" s="109"/>
      <c r="D4" s="109"/>
      <c r="E4" s="109"/>
      <c r="F4" s="109"/>
      <c r="G4" s="109"/>
      <c r="H4" s="109"/>
      <c r="I4" s="109"/>
      <c r="J4" s="18"/>
    </row>
    <row r="5" spans="1:10" ht="18">
      <c r="A5" s="18"/>
      <c r="B5" s="21"/>
      <c r="C5" s="21"/>
      <c r="D5" s="21"/>
      <c r="E5" s="70"/>
      <c r="F5" s="70"/>
      <c r="G5" s="70"/>
      <c r="H5" s="70"/>
      <c r="I5" s="71"/>
      <c r="J5" s="18"/>
    </row>
    <row r="6" spans="1:10" ht="18.75" customHeight="1">
      <c r="A6" s="15"/>
      <c r="B6" s="91" t="s">
        <v>89</v>
      </c>
      <c r="C6" s="92"/>
      <c r="D6" s="92"/>
      <c r="E6" s="92"/>
      <c r="F6" s="72" t="s">
        <v>10</v>
      </c>
      <c r="G6" s="104" t="s">
        <v>11</v>
      </c>
      <c r="H6" s="105"/>
      <c r="I6" s="110" t="s">
        <v>12</v>
      </c>
      <c r="J6" s="111"/>
    </row>
    <row r="7" spans="1:10" ht="31.9" customHeight="1">
      <c r="A7" s="20" t="s">
        <v>90</v>
      </c>
      <c r="B7" s="22" t="s">
        <v>91</v>
      </c>
      <c r="C7" s="22" t="s">
        <v>92</v>
      </c>
      <c r="D7" s="22" t="s">
        <v>93</v>
      </c>
      <c r="E7" s="73" t="s">
        <v>86</v>
      </c>
      <c r="F7" s="74" t="s">
        <v>94</v>
      </c>
      <c r="G7" s="73" t="s">
        <v>95</v>
      </c>
      <c r="H7" s="73" t="s">
        <v>96</v>
      </c>
      <c r="I7" s="75" t="s">
        <v>94</v>
      </c>
      <c r="J7" s="23" t="s">
        <v>87</v>
      </c>
    </row>
    <row r="8" spans="1:10" ht="23.1" customHeight="1">
      <c r="A8" s="12" t="s">
        <v>97</v>
      </c>
      <c r="B8" s="12" t="s">
        <v>98</v>
      </c>
      <c r="C8" s="12" t="s">
        <v>99</v>
      </c>
      <c r="D8" s="12" t="s">
        <v>100</v>
      </c>
      <c r="E8" s="69" t="s">
        <v>100</v>
      </c>
      <c r="F8" s="42">
        <v>224018914</v>
      </c>
      <c r="G8" s="42">
        <v>107888355510</v>
      </c>
      <c r="H8" s="42">
        <v>108099000000</v>
      </c>
      <c r="I8" s="42">
        <v>13374424</v>
      </c>
      <c r="J8" s="14">
        <v>0</v>
      </c>
    </row>
    <row r="9" spans="1:10" ht="23.1" customHeight="1">
      <c r="A9" s="12" t="s">
        <v>101</v>
      </c>
      <c r="B9" s="12" t="s">
        <v>102</v>
      </c>
      <c r="C9" s="12" t="s">
        <v>103</v>
      </c>
      <c r="D9" s="12" t="s">
        <v>100</v>
      </c>
      <c r="E9" s="69" t="s">
        <v>100</v>
      </c>
      <c r="F9" s="42">
        <v>0</v>
      </c>
      <c r="G9" s="42">
        <v>0</v>
      </c>
      <c r="H9" s="42">
        <v>0</v>
      </c>
      <c r="I9" s="42">
        <v>0</v>
      </c>
      <c r="J9" s="14">
        <v>0</v>
      </c>
    </row>
    <row r="10" spans="1:10" ht="23.1" customHeight="1">
      <c r="A10" s="12" t="s">
        <v>82</v>
      </c>
      <c r="B10" s="12"/>
      <c r="C10" s="12"/>
      <c r="D10" s="12"/>
      <c r="E10" s="69"/>
      <c r="F10" s="42">
        <v>224018914</v>
      </c>
      <c r="G10" s="42">
        <v>107888355510</v>
      </c>
      <c r="H10" s="42">
        <v>108099000000</v>
      </c>
      <c r="I10" s="42">
        <v>13374424</v>
      </c>
      <c r="J10" s="14">
        <v>0</v>
      </c>
    </row>
    <row r="11" spans="1:10" ht="23.1" customHeight="1">
      <c r="A11" s="19" t="s">
        <v>83</v>
      </c>
      <c r="B11" s="19"/>
      <c r="C11" s="19"/>
      <c r="D11" s="19"/>
      <c r="E11" s="76"/>
      <c r="F11" s="77"/>
      <c r="G11" s="106"/>
      <c r="H11" s="106"/>
      <c r="I11" s="77"/>
      <c r="J11" s="14"/>
    </row>
    <row r="15" spans="1:10">
      <c r="C15" s="5" t="s">
        <v>104</v>
      </c>
    </row>
  </sheetData>
  <mergeCells count="8">
    <mergeCell ref="G11:H11"/>
    <mergeCell ref="B6:E6"/>
    <mergeCell ref="G6:H6"/>
    <mergeCell ref="A1:I1"/>
    <mergeCell ref="A2:I2"/>
    <mergeCell ref="A3:I3"/>
    <mergeCell ref="A4:I4"/>
    <mergeCell ref="I6:J6"/>
  </mergeCells>
  <pageMargins left="0.7" right="0.7" top="0.75" bottom="0.75" header="0.3" footer="0.3"/>
  <pageSetup paperSize="9" scale="81" orientation="landscape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"/>
  <sheetViews>
    <sheetView rightToLeft="1" tabSelected="1" zoomScale="175" zoomScaleNormal="175" workbookViewId="0">
      <selection activeCell="A14" sqref="A14"/>
    </sheetView>
  </sheetViews>
  <sheetFormatPr defaultColWidth="9" defaultRowHeight="18"/>
  <cols>
    <col min="1" max="1" width="39.28515625" style="24" customWidth="1"/>
    <col min="2" max="2" width="13" style="26" customWidth="1"/>
    <col min="3" max="3" width="15.7109375" style="46" bestFit="1" customWidth="1"/>
    <col min="4" max="4" width="15.7109375" style="26" customWidth="1"/>
    <col min="5" max="18" width="13" style="1" customWidth="1"/>
    <col min="19" max="19" width="9" style="1" customWidth="1"/>
    <col min="20" max="16384" width="9" style="1"/>
  </cols>
  <sheetData>
    <row r="1" spans="1:18">
      <c r="A1" s="107" t="s">
        <v>1</v>
      </c>
      <c r="B1" s="107"/>
      <c r="C1" s="107"/>
      <c r="D1" s="107"/>
    </row>
    <row r="2" spans="1:18">
      <c r="A2" s="107" t="s">
        <v>105</v>
      </c>
      <c r="B2" s="107"/>
      <c r="C2" s="107"/>
      <c r="D2" s="107"/>
    </row>
    <row r="3" spans="1:18">
      <c r="A3" s="107" t="s">
        <v>106</v>
      </c>
      <c r="B3" s="107"/>
      <c r="C3" s="107"/>
      <c r="D3" s="107"/>
    </row>
    <row r="4" spans="1:18" ht="18.75">
      <c r="A4" s="109" t="s">
        <v>107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</row>
    <row r="5" spans="1:18" ht="18.75" thickBot="1">
      <c r="A5" s="25" t="s">
        <v>108</v>
      </c>
      <c r="B5" s="25" t="s">
        <v>109</v>
      </c>
      <c r="C5" s="45" t="s">
        <v>94</v>
      </c>
      <c r="D5" s="25" t="s">
        <v>110</v>
      </c>
    </row>
    <row r="6" spans="1:18">
      <c r="A6" s="78" t="s">
        <v>207</v>
      </c>
      <c r="B6" s="79"/>
      <c r="C6" s="43">
        <f>'درآمد سرمایه گذاری در سهام'!I99</f>
        <v>-35826002153</v>
      </c>
      <c r="D6" s="80">
        <f>C6/$C$11</f>
        <v>-0.90524618283861125</v>
      </c>
    </row>
    <row r="7" spans="1:18" ht="23.1" customHeight="1">
      <c r="A7" s="12" t="s">
        <v>117</v>
      </c>
      <c r="B7" s="12" t="s">
        <v>111</v>
      </c>
      <c r="C7" s="47">
        <f>'درآمد سرمایه گذاری در سهام'!G99</f>
        <v>41012901106</v>
      </c>
      <c r="D7" s="80">
        <f t="shared" ref="D7:D11" si="0">C7/$C$11</f>
        <v>1.036307986997512</v>
      </c>
    </row>
    <row r="8" spans="1:18" ht="23.1" customHeight="1">
      <c r="A8" s="12" t="s">
        <v>208</v>
      </c>
      <c r="B8" s="12" t="s">
        <v>112</v>
      </c>
      <c r="C8" s="47">
        <f>'درآمد سرمایه گذاری در سهام'!H99</f>
        <v>-1763712708</v>
      </c>
      <c r="D8" s="80">
        <f t="shared" si="0"/>
        <v>-4.4565234762239711E-2</v>
      </c>
    </row>
    <row r="9" spans="1:18" ht="23.1" customHeight="1">
      <c r="A9" s="12" t="s">
        <v>113</v>
      </c>
      <c r="B9" s="12" t="s">
        <v>114</v>
      </c>
      <c r="C9" s="47">
        <f>'درآمد سپرده بانکی'!E9</f>
        <v>33252977</v>
      </c>
      <c r="D9" s="80">
        <f t="shared" si="0"/>
        <v>8.4023135957829562E-4</v>
      </c>
    </row>
    <row r="10" spans="1:18" ht="23.1" customHeight="1">
      <c r="A10" s="12" t="s">
        <v>115</v>
      </c>
      <c r="B10" s="12" t="s">
        <v>116</v>
      </c>
      <c r="C10" s="47">
        <f>'سایر درآمدها'!C8</f>
        <v>293535671</v>
      </c>
      <c r="D10" s="80">
        <f t="shared" si="0"/>
        <v>7.4170164051494481E-3</v>
      </c>
    </row>
    <row r="11" spans="1:18" ht="23.1" customHeight="1">
      <c r="A11" s="12" t="s">
        <v>82</v>
      </c>
      <c r="B11" s="12"/>
      <c r="C11" s="47">
        <f>SUBTOTAL(109,C7:C10)</f>
        <v>39575977046</v>
      </c>
      <c r="D11" s="80">
        <f t="shared" si="0"/>
        <v>1</v>
      </c>
    </row>
    <row r="12" spans="1:18">
      <c r="A12" s="12"/>
      <c r="B12" s="12"/>
      <c r="C12" s="44"/>
      <c r="D12" s="12"/>
    </row>
    <row r="13" spans="1:18">
      <c r="A13" s="12"/>
      <c r="B13" s="12"/>
      <c r="C13" s="12"/>
      <c r="D13" s="12"/>
    </row>
  </sheetData>
  <mergeCells count="4">
    <mergeCell ref="A4:R4"/>
    <mergeCell ref="A1:D1"/>
    <mergeCell ref="A2:D2"/>
    <mergeCell ref="A3:D3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J57"/>
  <sheetViews>
    <sheetView rightToLeft="1" view="pageBreakPreview" zoomScale="60" zoomScaleNormal="115" workbookViewId="0">
      <selection activeCell="M9" sqref="M9"/>
    </sheetView>
  </sheetViews>
  <sheetFormatPr defaultColWidth="9" defaultRowHeight="15.75"/>
  <cols>
    <col min="1" max="1" width="31.7109375" style="5" customWidth="1"/>
    <col min="2" max="2" width="16.5703125" style="5" customWidth="1"/>
    <col min="3" max="3" width="23.5703125" style="5" customWidth="1"/>
    <col min="4" max="4" width="16.7109375" style="5" customWidth="1"/>
    <col min="5" max="5" width="14.42578125" style="5" customWidth="1"/>
    <col min="6" max="6" width="13" style="5" customWidth="1"/>
    <col min="7" max="7" width="16" style="5" customWidth="1"/>
    <col min="8" max="8" width="14.85546875" style="40" customWidth="1"/>
    <col min="9" max="9" width="15" style="5" customWidth="1"/>
    <col min="10" max="10" width="16" style="40" customWidth="1"/>
    <col min="11" max="16384" width="9" style="5"/>
  </cols>
  <sheetData>
    <row r="1" spans="1:10">
      <c r="A1" s="107" t="s">
        <v>1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>
      <c r="A2" s="107" t="s">
        <v>105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07" t="s">
        <v>7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0" ht="18.75">
      <c r="A4" s="108" t="s">
        <v>117</v>
      </c>
      <c r="B4" s="109"/>
      <c r="C4" s="109"/>
      <c r="D4" s="109"/>
      <c r="E4" s="109"/>
      <c r="F4" s="109"/>
      <c r="G4" s="109"/>
      <c r="H4" s="109"/>
      <c r="I4" s="109"/>
      <c r="J4" s="109"/>
    </row>
    <row r="5" spans="1:10" ht="16.5" customHeight="1">
      <c r="A5" s="18"/>
      <c r="B5" s="112" t="s">
        <v>118</v>
      </c>
      <c r="C5" s="113"/>
      <c r="D5" s="113"/>
      <c r="E5" s="114" t="s">
        <v>119</v>
      </c>
      <c r="F5" s="114"/>
      <c r="G5" s="114"/>
      <c r="H5" s="114" t="s">
        <v>120</v>
      </c>
      <c r="I5" s="114"/>
      <c r="J5" s="114"/>
    </row>
    <row r="6" spans="1:10" s="4" customFormat="1" ht="47.25" customHeight="1">
      <c r="A6" s="16" t="s">
        <v>84</v>
      </c>
      <c r="B6" s="16" t="s">
        <v>121</v>
      </c>
      <c r="C6" s="16" t="s">
        <v>122</v>
      </c>
      <c r="D6" s="16" t="s">
        <v>123</v>
      </c>
      <c r="E6" s="16" t="s">
        <v>124</v>
      </c>
      <c r="F6" s="16" t="s">
        <v>125</v>
      </c>
      <c r="G6" s="16" t="s">
        <v>126</v>
      </c>
      <c r="H6" s="41" t="s">
        <v>124</v>
      </c>
      <c r="I6" s="16" t="s">
        <v>125</v>
      </c>
      <c r="J6" s="41" t="s">
        <v>126</v>
      </c>
    </row>
    <row r="7" spans="1:10" ht="23.1" customHeight="1">
      <c r="A7" s="12" t="s">
        <v>62</v>
      </c>
      <c r="B7" s="17" t="s">
        <v>134</v>
      </c>
      <c r="C7" s="14">
        <v>532869</v>
      </c>
      <c r="D7" s="14">
        <v>637</v>
      </c>
      <c r="E7" s="14">
        <v>0</v>
      </c>
      <c r="F7" s="14"/>
      <c r="G7" s="14"/>
      <c r="H7" s="42">
        <v>339437553</v>
      </c>
      <c r="I7" s="14">
        <v>0</v>
      </c>
      <c r="J7" s="42">
        <v>339437553</v>
      </c>
    </row>
    <row r="8" spans="1:10" ht="23.1" customHeight="1">
      <c r="A8" s="12" t="s">
        <v>61</v>
      </c>
      <c r="B8" s="17" t="s">
        <v>155</v>
      </c>
      <c r="C8" s="14">
        <v>663377</v>
      </c>
      <c r="D8" s="14">
        <v>320</v>
      </c>
      <c r="E8" s="14">
        <v>0</v>
      </c>
      <c r="F8" s="14"/>
      <c r="G8" s="14"/>
      <c r="H8" s="42">
        <v>212280640</v>
      </c>
      <c r="I8" s="14">
        <v>0</v>
      </c>
      <c r="J8" s="42">
        <v>212280640</v>
      </c>
    </row>
    <row r="9" spans="1:10" ht="23.1" customHeight="1">
      <c r="A9" s="12" t="s">
        <v>40</v>
      </c>
      <c r="B9" s="17" t="s">
        <v>139</v>
      </c>
      <c r="C9" s="14">
        <v>2374690</v>
      </c>
      <c r="D9" s="14">
        <v>240</v>
      </c>
      <c r="E9" s="14">
        <v>0</v>
      </c>
      <c r="F9" s="14"/>
      <c r="G9" s="14"/>
      <c r="H9" s="42">
        <v>569925600</v>
      </c>
      <c r="I9" s="14">
        <v>0</v>
      </c>
      <c r="J9" s="42">
        <v>569925600</v>
      </c>
    </row>
    <row r="10" spans="1:10" ht="23.1" customHeight="1">
      <c r="A10" s="12" t="s">
        <v>147</v>
      </c>
      <c r="B10" s="17" t="s">
        <v>145</v>
      </c>
      <c r="C10" s="14">
        <v>6537658</v>
      </c>
      <c r="D10" s="14">
        <v>11</v>
      </c>
      <c r="E10" s="14">
        <v>0</v>
      </c>
      <c r="F10" s="14"/>
      <c r="G10" s="14"/>
      <c r="H10" s="42">
        <v>71914238</v>
      </c>
      <c r="I10" s="14">
        <v>0</v>
      </c>
      <c r="J10" s="42">
        <v>71914238</v>
      </c>
    </row>
    <row r="11" spans="1:10" ht="23.1" customHeight="1">
      <c r="A11" s="12" t="s">
        <v>45</v>
      </c>
      <c r="B11" s="17" t="s">
        <v>145</v>
      </c>
      <c r="C11" s="14">
        <v>7434657</v>
      </c>
      <c r="D11" s="14">
        <v>90</v>
      </c>
      <c r="E11" s="14">
        <v>0</v>
      </c>
      <c r="F11" s="14"/>
      <c r="G11" s="14"/>
      <c r="H11" s="42">
        <v>669119130</v>
      </c>
      <c r="I11" s="14">
        <v>0</v>
      </c>
      <c r="J11" s="42">
        <v>669119130</v>
      </c>
    </row>
    <row r="12" spans="1:10" ht="23.1" customHeight="1">
      <c r="A12" s="12" t="s">
        <v>74</v>
      </c>
      <c r="B12" s="17" t="s">
        <v>145</v>
      </c>
      <c r="C12" s="14">
        <v>346358</v>
      </c>
      <c r="D12" s="14">
        <v>165</v>
      </c>
      <c r="E12" s="14">
        <v>0</v>
      </c>
      <c r="F12" s="14"/>
      <c r="G12" s="14"/>
      <c r="H12" s="47">
        <v>57149070</v>
      </c>
      <c r="I12" s="14">
        <v>0</v>
      </c>
      <c r="J12" s="42">
        <v>57149070</v>
      </c>
    </row>
    <row r="13" spans="1:10" ht="23.1" customHeight="1">
      <c r="A13" s="12" t="s">
        <v>44</v>
      </c>
      <c r="B13" s="17" t="s">
        <v>140</v>
      </c>
      <c r="C13" s="14">
        <v>142765</v>
      </c>
      <c r="D13" s="14">
        <v>12050</v>
      </c>
      <c r="E13" s="14">
        <v>0</v>
      </c>
      <c r="F13" s="14"/>
      <c r="G13" s="14"/>
      <c r="H13" s="42">
        <v>1720318250</v>
      </c>
      <c r="I13" s="14">
        <v>-123582938</v>
      </c>
      <c r="J13" s="42">
        <v>1596735312</v>
      </c>
    </row>
    <row r="14" spans="1:10" ht="23.1" customHeight="1">
      <c r="A14" s="12" t="s">
        <v>65</v>
      </c>
      <c r="B14" s="17" t="s">
        <v>138</v>
      </c>
      <c r="C14" s="14">
        <v>1046788</v>
      </c>
      <c r="D14" s="14">
        <v>110</v>
      </c>
      <c r="E14" s="14">
        <v>0</v>
      </c>
      <c r="F14" s="14"/>
      <c r="G14" s="14"/>
      <c r="H14" s="42">
        <v>115146680</v>
      </c>
      <c r="I14" s="14">
        <v>0</v>
      </c>
      <c r="J14" s="42">
        <v>115146680</v>
      </c>
    </row>
    <row r="15" spans="1:10" ht="23.1" customHeight="1">
      <c r="A15" s="12" t="s">
        <v>30</v>
      </c>
      <c r="B15" s="17" t="s">
        <v>144</v>
      </c>
      <c r="C15" s="14">
        <v>3835211</v>
      </c>
      <c r="D15" s="14">
        <v>360</v>
      </c>
      <c r="E15" s="14">
        <v>0</v>
      </c>
      <c r="F15" s="14"/>
      <c r="G15" s="14"/>
      <c r="H15" s="42">
        <v>1380675960</v>
      </c>
      <c r="I15" s="14">
        <v>0</v>
      </c>
      <c r="J15" s="42">
        <v>1380675960</v>
      </c>
    </row>
    <row r="16" spans="1:10" ht="23.1" customHeight="1">
      <c r="A16" s="12" t="s">
        <v>47</v>
      </c>
      <c r="B16" s="17" t="s">
        <v>149</v>
      </c>
      <c r="C16" s="14">
        <v>1205960</v>
      </c>
      <c r="D16" s="14">
        <v>936</v>
      </c>
      <c r="E16" s="14">
        <v>0</v>
      </c>
      <c r="F16" s="14"/>
      <c r="G16" s="14"/>
      <c r="H16" s="42">
        <v>1128778560</v>
      </c>
      <c r="I16" s="14">
        <v>0</v>
      </c>
      <c r="J16" s="42">
        <v>1128778560</v>
      </c>
    </row>
    <row r="17" spans="1:10" ht="23.1" customHeight="1">
      <c r="A17" s="12" t="s">
        <v>70</v>
      </c>
      <c r="B17" s="17" t="s">
        <v>142</v>
      </c>
      <c r="C17" s="14">
        <v>185793</v>
      </c>
      <c r="D17" s="14">
        <v>1997</v>
      </c>
      <c r="E17" s="14">
        <v>0</v>
      </c>
      <c r="F17" s="14"/>
      <c r="G17" s="14"/>
      <c r="H17" s="42">
        <v>371028621</v>
      </c>
      <c r="I17" s="14">
        <v>0</v>
      </c>
      <c r="J17" s="42">
        <v>371028621</v>
      </c>
    </row>
    <row r="18" spans="1:10" ht="23.1" customHeight="1">
      <c r="A18" s="12" t="s">
        <v>72</v>
      </c>
      <c r="B18" s="17" t="s">
        <v>151</v>
      </c>
      <c r="C18" s="14">
        <v>6683985</v>
      </c>
      <c r="D18" s="14">
        <v>190</v>
      </c>
      <c r="E18" s="14">
        <v>0</v>
      </c>
      <c r="F18" s="14"/>
      <c r="G18" s="14"/>
      <c r="H18" s="42">
        <v>1269957150</v>
      </c>
      <c r="I18" s="14">
        <v>0</v>
      </c>
      <c r="J18" s="42">
        <v>1269957150</v>
      </c>
    </row>
    <row r="19" spans="1:10" ht="23.1" customHeight="1">
      <c r="A19" s="12" t="s">
        <v>68</v>
      </c>
      <c r="B19" s="17" t="s">
        <v>143</v>
      </c>
      <c r="C19" s="14">
        <v>96004</v>
      </c>
      <c r="D19" s="14">
        <v>8363</v>
      </c>
      <c r="E19" s="14">
        <v>0</v>
      </c>
      <c r="F19" s="14"/>
      <c r="G19" s="14"/>
      <c r="H19" s="42">
        <v>802785448</v>
      </c>
      <c r="I19" s="14">
        <v>0</v>
      </c>
      <c r="J19" s="42">
        <v>802881452</v>
      </c>
    </row>
    <row r="20" spans="1:10" ht="23.1" customHeight="1">
      <c r="A20" s="12" t="s">
        <v>146</v>
      </c>
      <c r="B20" s="17" t="s">
        <v>145</v>
      </c>
      <c r="C20" s="14">
        <v>530</v>
      </c>
      <c r="D20" s="14">
        <v>160</v>
      </c>
      <c r="E20" s="14">
        <v>0</v>
      </c>
      <c r="F20" s="14"/>
      <c r="G20" s="14"/>
      <c r="H20" s="42">
        <v>84800</v>
      </c>
      <c r="I20" s="14">
        <v>0</v>
      </c>
      <c r="J20" s="42">
        <v>84800</v>
      </c>
    </row>
    <row r="21" spans="1:10" ht="23.1" customHeight="1">
      <c r="A21" s="12" t="s">
        <v>34</v>
      </c>
      <c r="B21" s="17" t="s">
        <v>158</v>
      </c>
      <c r="C21" s="14">
        <v>40106</v>
      </c>
      <c r="D21" s="14">
        <v>38000</v>
      </c>
      <c r="E21" s="14">
        <v>0</v>
      </c>
      <c r="F21" s="14"/>
      <c r="G21" s="14"/>
      <c r="H21" s="42">
        <v>1524028000</v>
      </c>
      <c r="I21" s="14">
        <v>-161455508</v>
      </c>
      <c r="J21" s="42">
        <v>1362572492</v>
      </c>
    </row>
    <row r="22" spans="1:10" ht="23.1" customHeight="1">
      <c r="A22" s="12" t="s">
        <v>56</v>
      </c>
      <c r="B22" s="17" t="s">
        <v>142</v>
      </c>
      <c r="C22" s="14">
        <v>116842</v>
      </c>
      <c r="D22" s="14">
        <v>4200</v>
      </c>
      <c r="E22" s="14">
        <v>0</v>
      </c>
      <c r="F22" s="14"/>
      <c r="G22" s="14"/>
      <c r="H22" s="42">
        <v>490736400</v>
      </c>
      <c r="I22" s="14">
        <v>0</v>
      </c>
      <c r="J22" s="42">
        <v>490736400</v>
      </c>
    </row>
    <row r="23" spans="1:10" ht="23.1" customHeight="1">
      <c r="A23" s="12" t="s">
        <v>33</v>
      </c>
      <c r="B23" s="17" t="s">
        <v>133</v>
      </c>
      <c r="C23" s="14">
        <v>39138</v>
      </c>
      <c r="D23" s="14">
        <v>10000</v>
      </c>
      <c r="E23" s="14">
        <v>0</v>
      </c>
      <c r="F23" s="14"/>
      <c r="G23" s="14"/>
      <c r="H23" s="42">
        <v>391380000</v>
      </c>
      <c r="I23" s="14">
        <v>0</v>
      </c>
      <c r="J23" s="42">
        <v>391380000</v>
      </c>
    </row>
    <row r="24" spans="1:10" ht="23.1" customHeight="1">
      <c r="A24" s="12" t="s">
        <v>58</v>
      </c>
      <c r="B24" s="17" t="s">
        <v>150</v>
      </c>
      <c r="C24" s="14">
        <v>94343</v>
      </c>
      <c r="D24" s="14">
        <v>4984</v>
      </c>
      <c r="E24" s="14">
        <v>0</v>
      </c>
      <c r="F24" s="14"/>
      <c r="G24" s="14"/>
      <c r="H24" s="47">
        <v>470205512</v>
      </c>
      <c r="I24" s="14">
        <v>0</v>
      </c>
      <c r="J24" s="42">
        <v>470205512</v>
      </c>
    </row>
    <row r="25" spans="1:10" ht="23.1" customHeight="1">
      <c r="A25" s="12" t="s">
        <v>25</v>
      </c>
      <c r="B25" s="17" t="s">
        <v>149</v>
      </c>
      <c r="C25" s="14">
        <v>401939</v>
      </c>
      <c r="D25" s="14">
        <v>3400</v>
      </c>
      <c r="E25" s="14">
        <v>0</v>
      </c>
      <c r="F25" s="14"/>
      <c r="G25" s="14"/>
      <c r="H25" s="42">
        <v>1366592600</v>
      </c>
      <c r="I25" s="14">
        <v>0</v>
      </c>
      <c r="J25" s="42">
        <v>1366592600</v>
      </c>
    </row>
    <row r="26" spans="1:10" ht="23.1" customHeight="1">
      <c r="A26" s="12" t="s">
        <v>23</v>
      </c>
      <c r="B26" s="17" t="s">
        <v>142</v>
      </c>
      <c r="C26" s="14">
        <v>239981</v>
      </c>
      <c r="D26" s="14">
        <v>1000</v>
      </c>
      <c r="E26" s="14">
        <v>0</v>
      </c>
      <c r="F26" s="14"/>
      <c r="G26" s="14"/>
      <c r="H26" s="42">
        <v>239981000</v>
      </c>
      <c r="I26" s="14">
        <v>0</v>
      </c>
      <c r="J26" s="42">
        <v>239981000</v>
      </c>
    </row>
    <row r="27" spans="1:10" ht="23.1" customHeight="1">
      <c r="A27" s="12" t="s">
        <v>43</v>
      </c>
      <c r="B27" s="17" t="s">
        <v>140</v>
      </c>
      <c r="C27" s="14">
        <v>3039634</v>
      </c>
      <c r="D27" s="14">
        <v>380</v>
      </c>
      <c r="E27" s="14">
        <v>0</v>
      </c>
      <c r="F27" s="14"/>
      <c r="G27" s="14"/>
      <c r="H27" s="42">
        <v>1155060920</v>
      </c>
      <c r="I27" s="14">
        <v>0</v>
      </c>
      <c r="J27" s="42">
        <v>1155060920</v>
      </c>
    </row>
    <row r="28" spans="1:10" ht="23.1" customHeight="1">
      <c r="A28" s="12" t="s">
        <v>130</v>
      </c>
      <c r="B28" s="17" t="s">
        <v>131</v>
      </c>
      <c r="C28" s="14">
        <v>212091</v>
      </c>
      <c r="D28" s="14">
        <v>20</v>
      </c>
      <c r="E28" s="14">
        <v>0</v>
      </c>
      <c r="F28" s="14"/>
      <c r="G28" s="14"/>
      <c r="H28" s="42">
        <v>4241820</v>
      </c>
      <c r="I28" s="14">
        <v>0</v>
      </c>
      <c r="J28" s="42">
        <v>4241820</v>
      </c>
    </row>
    <row r="29" spans="1:10" ht="23.1" customHeight="1">
      <c r="A29" s="12" t="s">
        <v>79</v>
      </c>
      <c r="B29" s="17" t="s">
        <v>162</v>
      </c>
      <c r="C29" s="14">
        <v>21743633</v>
      </c>
      <c r="D29" s="14">
        <v>190</v>
      </c>
      <c r="E29" s="14">
        <v>0</v>
      </c>
      <c r="F29" s="14"/>
      <c r="G29" s="14"/>
      <c r="H29" s="42">
        <v>4131290270</v>
      </c>
      <c r="I29" s="14">
        <v>-521665019</v>
      </c>
      <c r="J29" s="42">
        <v>3609625251</v>
      </c>
    </row>
    <row r="30" spans="1:10" ht="23.1" customHeight="1">
      <c r="A30" s="12" t="s">
        <v>59</v>
      </c>
      <c r="B30" s="17" t="s">
        <v>143</v>
      </c>
      <c r="C30" s="14">
        <v>2890877</v>
      </c>
      <c r="D30" s="14">
        <v>170</v>
      </c>
      <c r="E30" s="14">
        <v>0</v>
      </c>
      <c r="F30" s="14"/>
      <c r="G30" s="14"/>
      <c r="H30" s="42">
        <v>491449090</v>
      </c>
      <c r="I30" s="14">
        <v>0</v>
      </c>
      <c r="J30" s="42">
        <v>491449090</v>
      </c>
    </row>
    <row r="31" spans="1:10" ht="23.1" customHeight="1">
      <c r="A31" s="12" t="s">
        <v>156</v>
      </c>
      <c r="B31" s="17" t="s">
        <v>157</v>
      </c>
      <c r="C31" s="14">
        <v>154440</v>
      </c>
      <c r="D31" s="14">
        <v>2350</v>
      </c>
      <c r="E31" s="14">
        <v>0</v>
      </c>
      <c r="F31" s="14"/>
      <c r="G31" s="14"/>
      <c r="H31" s="42">
        <v>362934000</v>
      </c>
      <c r="I31" s="14">
        <v>-32582603</v>
      </c>
      <c r="J31" s="42">
        <v>330351397</v>
      </c>
    </row>
    <row r="32" spans="1:10" ht="23.1" customHeight="1">
      <c r="A32" s="12" t="s">
        <v>152</v>
      </c>
      <c r="B32" s="17" t="s">
        <v>151</v>
      </c>
      <c r="C32" s="14">
        <v>266374</v>
      </c>
      <c r="D32" s="14">
        <v>2390</v>
      </c>
      <c r="E32" s="14">
        <v>0</v>
      </c>
      <c r="F32" s="14"/>
      <c r="G32" s="14"/>
      <c r="H32" s="47">
        <v>636633860</v>
      </c>
      <c r="I32" s="14">
        <v>0</v>
      </c>
      <c r="J32" s="42">
        <v>636633860</v>
      </c>
    </row>
    <row r="33" spans="1:10" ht="23.1" customHeight="1">
      <c r="A33" s="12" t="s">
        <v>57</v>
      </c>
      <c r="B33" s="17" t="s">
        <v>144</v>
      </c>
      <c r="C33" s="14">
        <v>333350</v>
      </c>
      <c r="D33" s="14">
        <v>2000</v>
      </c>
      <c r="E33" s="14">
        <v>0</v>
      </c>
      <c r="F33" s="14"/>
      <c r="G33" s="14"/>
      <c r="H33" s="42">
        <v>666700000</v>
      </c>
      <c r="I33" s="14">
        <v>0</v>
      </c>
      <c r="J33" s="42">
        <v>666700000</v>
      </c>
    </row>
    <row r="34" spans="1:10" ht="23.1" customHeight="1">
      <c r="A34" s="12" t="s">
        <v>69</v>
      </c>
      <c r="B34" s="17" t="s">
        <v>159</v>
      </c>
      <c r="C34" s="14">
        <v>655469</v>
      </c>
      <c r="D34" s="14">
        <v>2000</v>
      </c>
      <c r="E34" s="14">
        <v>0</v>
      </c>
      <c r="F34" s="14"/>
      <c r="G34" s="14"/>
      <c r="H34" s="42">
        <v>1310938000</v>
      </c>
      <c r="I34" s="14">
        <v>0</v>
      </c>
      <c r="J34" s="42">
        <v>1310938000</v>
      </c>
    </row>
    <row r="35" spans="1:10" ht="23.1" customHeight="1">
      <c r="A35" s="12" t="s">
        <v>64</v>
      </c>
      <c r="B35" s="17" t="s">
        <v>127</v>
      </c>
      <c r="C35" s="14">
        <v>137103</v>
      </c>
      <c r="D35" s="14">
        <v>9120</v>
      </c>
      <c r="E35" s="14">
        <v>0</v>
      </c>
      <c r="F35" s="14"/>
      <c r="G35" s="14"/>
      <c r="H35" s="42">
        <v>1250379360</v>
      </c>
      <c r="I35" s="14">
        <v>0</v>
      </c>
      <c r="J35" s="42">
        <v>1250379360</v>
      </c>
    </row>
    <row r="36" spans="1:10" ht="23.1" customHeight="1">
      <c r="A36" s="12" t="s">
        <v>53</v>
      </c>
      <c r="B36" s="17" t="s">
        <v>162</v>
      </c>
      <c r="C36" s="14">
        <v>10331968</v>
      </c>
      <c r="D36" s="14">
        <v>510</v>
      </c>
      <c r="E36" s="14">
        <v>0</v>
      </c>
      <c r="F36" s="14"/>
      <c r="G36" s="14"/>
      <c r="H36" s="42">
        <v>5269303680</v>
      </c>
      <c r="I36" s="14">
        <v>-665363900</v>
      </c>
      <c r="J36" s="42">
        <v>4603939780</v>
      </c>
    </row>
    <row r="37" spans="1:10" ht="23.1" customHeight="1">
      <c r="A37" s="12" t="s">
        <v>54</v>
      </c>
      <c r="B37" s="17" t="s">
        <v>137</v>
      </c>
      <c r="C37" s="14">
        <v>263826</v>
      </c>
      <c r="D37" s="14">
        <v>1430</v>
      </c>
      <c r="E37" s="14">
        <v>0</v>
      </c>
      <c r="F37" s="14"/>
      <c r="G37" s="14"/>
      <c r="H37" s="42">
        <v>377271180</v>
      </c>
      <c r="I37" s="14">
        <v>0</v>
      </c>
      <c r="J37" s="42">
        <v>377271180</v>
      </c>
    </row>
    <row r="38" spans="1:10" ht="23.1" customHeight="1">
      <c r="A38" s="12" t="s">
        <v>55</v>
      </c>
      <c r="B38" s="17" t="s">
        <v>144</v>
      </c>
      <c r="C38" s="14">
        <v>588938</v>
      </c>
      <c r="D38" s="14">
        <v>500</v>
      </c>
      <c r="E38" s="14">
        <v>0</v>
      </c>
      <c r="F38" s="14"/>
      <c r="G38" s="14"/>
      <c r="H38" s="42">
        <v>294469000</v>
      </c>
      <c r="I38" s="14">
        <v>0</v>
      </c>
      <c r="J38" s="42">
        <v>294469000</v>
      </c>
    </row>
    <row r="39" spans="1:10" ht="23.1" customHeight="1">
      <c r="A39" s="12" t="s">
        <v>37</v>
      </c>
      <c r="B39" s="17" t="s">
        <v>153</v>
      </c>
      <c r="C39" s="14">
        <v>10781867</v>
      </c>
      <c r="D39" s="14">
        <v>280</v>
      </c>
      <c r="E39" s="14">
        <v>0</v>
      </c>
      <c r="F39" s="14"/>
      <c r="G39" s="14"/>
      <c r="H39" s="47">
        <v>3018922760</v>
      </c>
      <c r="I39" s="14">
        <v>0</v>
      </c>
      <c r="J39" s="42">
        <v>3018922760</v>
      </c>
    </row>
    <row r="40" spans="1:10" ht="23.1" customHeight="1">
      <c r="A40" s="12" t="s">
        <v>141</v>
      </c>
      <c r="B40" s="17" t="s">
        <v>142</v>
      </c>
      <c r="C40" s="14">
        <v>262907</v>
      </c>
      <c r="D40" s="14">
        <v>700</v>
      </c>
      <c r="E40" s="14">
        <v>0</v>
      </c>
      <c r="F40" s="14"/>
      <c r="G40" s="14"/>
      <c r="H40" s="42">
        <v>184034900</v>
      </c>
      <c r="I40" s="14">
        <v>0</v>
      </c>
      <c r="J40" s="42">
        <v>184034900</v>
      </c>
    </row>
    <row r="41" spans="1:10" ht="23.1" customHeight="1">
      <c r="A41" s="12" t="s">
        <v>154</v>
      </c>
      <c r="B41" s="17" t="s">
        <v>153</v>
      </c>
      <c r="C41" s="14">
        <v>1103257</v>
      </c>
      <c r="D41" s="14">
        <v>142</v>
      </c>
      <c r="E41" s="14">
        <v>0</v>
      </c>
      <c r="F41" s="14"/>
      <c r="G41" s="14"/>
      <c r="H41" s="42">
        <v>156662494</v>
      </c>
      <c r="I41" s="14">
        <v>-13079794</v>
      </c>
      <c r="J41" s="42">
        <v>143582700</v>
      </c>
    </row>
    <row r="42" spans="1:10" ht="23.1" customHeight="1">
      <c r="A42" s="12" t="s">
        <v>26</v>
      </c>
      <c r="B42" s="17" t="s">
        <v>160</v>
      </c>
      <c r="C42" s="14">
        <v>771260</v>
      </c>
      <c r="D42" s="14">
        <v>1050</v>
      </c>
      <c r="E42" s="14">
        <v>0</v>
      </c>
      <c r="F42" s="14"/>
      <c r="G42" s="14"/>
      <c r="H42" s="42">
        <v>809823000</v>
      </c>
      <c r="I42" s="14">
        <v>0</v>
      </c>
      <c r="J42" s="42">
        <v>809823000</v>
      </c>
    </row>
    <row r="43" spans="1:10" ht="23.1" customHeight="1">
      <c r="A43" s="12" t="s">
        <v>28</v>
      </c>
      <c r="B43" s="17" t="s">
        <v>144</v>
      </c>
      <c r="C43" s="14">
        <v>1073406</v>
      </c>
      <c r="D43" s="14">
        <v>357</v>
      </c>
      <c r="E43" s="14">
        <v>0</v>
      </c>
      <c r="F43" s="14"/>
      <c r="G43" s="14"/>
      <c r="H43" s="42">
        <v>383205942</v>
      </c>
      <c r="I43" s="14">
        <v>0</v>
      </c>
      <c r="J43" s="42">
        <v>383205942</v>
      </c>
    </row>
    <row r="44" spans="1:10" ht="23.1" customHeight="1">
      <c r="A44" s="12" t="s">
        <v>46</v>
      </c>
      <c r="B44" s="17" t="s">
        <v>161</v>
      </c>
      <c r="C44" s="14">
        <v>602029</v>
      </c>
      <c r="D44" s="14">
        <v>620</v>
      </c>
      <c r="E44" s="14">
        <v>0</v>
      </c>
      <c r="F44" s="14"/>
      <c r="G44" s="14"/>
      <c r="H44" s="47">
        <v>373257980</v>
      </c>
      <c r="I44" s="14">
        <v>-45168485</v>
      </c>
      <c r="J44" s="42">
        <v>328089495</v>
      </c>
    </row>
    <row r="45" spans="1:10" ht="23.1" customHeight="1">
      <c r="A45" s="12" t="s">
        <v>49</v>
      </c>
      <c r="B45" s="17" t="s">
        <v>140</v>
      </c>
      <c r="C45" s="14">
        <v>3577172</v>
      </c>
      <c r="D45" s="14">
        <v>310</v>
      </c>
      <c r="E45" s="14">
        <v>0</v>
      </c>
      <c r="F45" s="14"/>
      <c r="G45" s="14"/>
      <c r="H45" s="42">
        <v>1108923320</v>
      </c>
      <c r="I45" s="14">
        <v>0</v>
      </c>
      <c r="J45" s="42">
        <v>1108923320</v>
      </c>
    </row>
    <row r="46" spans="1:10" ht="23.1" customHeight="1">
      <c r="A46" s="12" t="s">
        <v>128</v>
      </c>
      <c r="B46" s="17" t="s">
        <v>129</v>
      </c>
      <c r="C46" s="14">
        <v>411</v>
      </c>
      <c r="D46" s="14">
        <v>285</v>
      </c>
      <c r="E46" s="14">
        <v>0</v>
      </c>
      <c r="F46" s="14"/>
      <c r="G46" s="14"/>
      <c r="H46" s="42">
        <v>117135</v>
      </c>
      <c r="I46" s="14">
        <v>0</v>
      </c>
      <c r="J46" s="42">
        <v>117135</v>
      </c>
    </row>
    <row r="47" spans="1:10" ht="23.1" customHeight="1">
      <c r="A47" s="12" t="s">
        <v>60</v>
      </c>
      <c r="B47" s="17" t="s">
        <v>148</v>
      </c>
      <c r="C47" s="14">
        <v>1039131</v>
      </c>
      <c r="D47" s="14">
        <v>2223</v>
      </c>
      <c r="E47" s="14">
        <v>0</v>
      </c>
      <c r="F47" s="14"/>
      <c r="G47" s="14"/>
      <c r="H47" s="42">
        <v>2309988213</v>
      </c>
      <c r="I47" s="14">
        <v>0</v>
      </c>
      <c r="J47" s="42">
        <v>2309988213</v>
      </c>
    </row>
    <row r="48" spans="1:10" ht="23.1" customHeight="1">
      <c r="A48" s="12" t="s">
        <v>63</v>
      </c>
      <c r="B48" s="17" t="s">
        <v>135</v>
      </c>
      <c r="C48" s="14">
        <v>5281023</v>
      </c>
      <c r="D48" s="14">
        <v>40</v>
      </c>
      <c r="E48" s="14">
        <v>0</v>
      </c>
      <c r="F48" s="14"/>
      <c r="G48" s="14"/>
      <c r="H48" s="42">
        <v>211240920</v>
      </c>
      <c r="I48" s="14">
        <v>0</v>
      </c>
      <c r="J48" s="42">
        <v>211240920</v>
      </c>
    </row>
    <row r="49" spans="1:10" ht="23.1" customHeight="1">
      <c r="A49" s="12" t="s">
        <v>132</v>
      </c>
      <c r="B49" s="17" t="s">
        <v>133</v>
      </c>
      <c r="C49" s="14">
        <v>195474</v>
      </c>
      <c r="D49" s="14">
        <v>1025</v>
      </c>
      <c r="E49" s="14">
        <v>0</v>
      </c>
      <c r="F49" s="14"/>
      <c r="G49" s="14"/>
      <c r="H49" s="42">
        <v>200360850</v>
      </c>
      <c r="I49" s="14">
        <v>0</v>
      </c>
      <c r="J49" s="42">
        <v>200360850</v>
      </c>
    </row>
    <row r="50" spans="1:10" ht="23.1" customHeight="1">
      <c r="A50" s="12" t="s">
        <v>50</v>
      </c>
      <c r="B50" s="17" t="s">
        <v>145</v>
      </c>
      <c r="C50" s="14">
        <v>6741320</v>
      </c>
      <c r="D50" s="14">
        <v>370</v>
      </c>
      <c r="E50" s="14">
        <v>0</v>
      </c>
      <c r="F50" s="14"/>
      <c r="G50" s="14"/>
      <c r="H50" s="42">
        <v>2494288400</v>
      </c>
      <c r="I50" s="14">
        <v>0</v>
      </c>
      <c r="J50" s="42">
        <v>2494288400</v>
      </c>
    </row>
    <row r="51" spans="1:10" ht="23.1" customHeight="1">
      <c r="A51" s="12" t="s">
        <v>66</v>
      </c>
      <c r="B51" s="17" t="s">
        <v>145</v>
      </c>
      <c r="C51" s="14">
        <v>361576</v>
      </c>
      <c r="D51" s="14">
        <v>800</v>
      </c>
      <c r="E51" s="14">
        <v>0</v>
      </c>
      <c r="F51" s="14"/>
      <c r="G51" s="14"/>
      <c r="H51" s="42">
        <v>289260800</v>
      </c>
      <c r="I51" s="14">
        <v>0</v>
      </c>
      <c r="J51" s="42">
        <v>289260800</v>
      </c>
    </row>
    <row r="52" spans="1:10" ht="23.1" customHeight="1">
      <c r="A52" s="12" t="s">
        <v>73</v>
      </c>
      <c r="B52" s="17" t="s">
        <v>136</v>
      </c>
      <c r="C52" s="14">
        <v>165309</v>
      </c>
      <c r="D52" s="14">
        <v>2000</v>
      </c>
      <c r="E52" s="14">
        <v>0</v>
      </c>
      <c r="F52" s="14"/>
      <c r="G52" s="14"/>
      <c r="H52" s="42">
        <v>330618000</v>
      </c>
      <c r="I52" s="14">
        <v>0</v>
      </c>
      <c r="J52" s="42">
        <v>330618000</v>
      </c>
    </row>
    <row r="53" spans="1:10" ht="23.1" customHeight="1">
      <c r="A53" s="12" t="s">
        <v>83</v>
      </c>
      <c r="B53" s="27"/>
      <c r="C53" s="28"/>
      <c r="D53" s="28"/>
      <c r="E53" s="28"/>
      <c r="F53" s="28"/>
      <c r="G53" s="28"/>
      <c r="H53" s="44">
        <f>SUBTOTAL(109,Table8[[#All],[1250379360.0000]])</f>
        <v>41012901106</v>
      </c>
      <c r="I53" s="28"/>
      <c r="J53" s="53">
        <f>SUBTOTAL(109,Table8[[#All],[Column10]])</f>
        <v>39450098863</v>
      </c>
    </row>
    <row r="54" spans="1:10">
      <c r="H54" s="5"/>
    </row>
    <row r="55" spans="1:10">
      <c r="H55" s="5"/>
    </row>
    <row r="56" spans="1:10">
      <c r="H56" s="5"/>
    </row>
    <row r="57" spans="1:10">
      <c r="H57" s="5"/>
    </row>
  </sheetData>
  <mergeCells count="7">
    <mergeCell ref="B5:D5"/>
    <mergeCell ref="E5:G5"/>
    <mergeCell ref="H5:J5"/>
    <mergeCell ref="A4:J4"/>
    <mergeCell ref="A1:J1"/>
    <mergeCell ref="A2:J2"/>
    <mergeCell ref="A3:J3"/>
  </mergeCells>
  <pageMargins left="0.7" right="0.7" top="0.75" bottom="0.75" header="0.3" footer="0.3"/>
  <pageSetup paperSize="9" scale="70" orientation="landscape" r:id="rId1"/>
  <headerFooter differentOddEven="1" differentFirst="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9"/>
  <sheetViews>
    <sheetView rightToLeft="1" view="pageBreakPreview" zoomScale="60" zoomScaleNormal="106" workbookViewId="0">
      <selection activeCell="A22" sqref="A22"/>
    </sheetView>
  </sheetViews>
  <sheetFormatPr defaultColWidth="9" defaultRowHeight="18"/>
  <cols>
    <col min="1" max="1" width="28.42578125" style="26" customWidth="1"/>
    <col min="2" max="2" width="16.85546875" style="26" customWidth="1"/>
    <col min="3" max="3" width="14.42578125" style="26" customWidth="1"/>
    <col min="4" max="4" width="18.7109375" style="26" customWidth="1"/>
    <col min="5" max="10" width="13" style="26" customWidth="1"/>
    <col min="11" max="11" width="9" style="1" customWidth="1"/>
    <col min="12" max="16384" width="9" style="1"/>
  </cols>
  <sheetData>
    <row r="1" spans="1:10">
      <c r="A1" s="117" t="s">
        <v>1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>
      <c r="A2" s="117" t="s">
        <v>105</v>
      </c>
      <c r="B2" s="117"/>
      <c r="C2" s="117"/>
      <c r="D2" s="117"/>
      <c r="E2" s="117"/>
      <c r="F2" s="117"/>
      <c r="G2" s="117"/>
      <c r="H2" s="117"/>
      <c r="I2" s="117"/>
      <c r="J2" s="117"/>
    </row>
    <row r="3" spans="1:10">
      <c r="A3" s="117" t="s">
        <v>7</v>
      </c>
      <c r="B3" s="117"/>
      <c r="C3" s="117"/>
      <c r="D3" s="117"/>
      <c r="E3" s="117"/>
      <c r="F3" s="117"/>
      <c r="G3" s="117"/>
      <c r="H3" s="117"/>
      <c r="I3" s="117"/>
      <c r="J3" s="117"/>
    </row>
    <row r="4" spans="1:10" ht="18.75">
      <c r="A4" s="109" t="s">
        <v>163</v>
      </c>
      <c r="B4" s="109"/>
      <c r="C4" s="109"/>
      <c r="D4" s="109"/>
      <c r="E4" s="109"/>
      <c r="F4" s="18"/>
      <c r="G4" s="18"/>
      <c r="H4" s="18"/>
      <c r="I4" s="18"/>
      <c r="J4" s="18"/>
    </row>
    <row r="5" spans="1:10" ht="16.5" customHeight="1">
      <c r="A5" s="29"/>
      <c r="B5" s="115"/>
      <c r="C5" s="115"/>
      <c r="D5" s="115"/>
      <c r="E5" s="116" t="s">
        <v>119</v>
      </c>
      <c r="F5" s="114"/>
      <c r="G5" s="114"/>
      <c r="H5" s="116" t="s">
        <v>120</v>
      </c>
      <c r="I5" s="114"/>
      <c r="J5" s="114"/>
    </row>
    <row r="6" spans="1:10" ht="38.25" customHeight="1">
      <c r="A6" s="30" t="s">
        <v>108</v>
      </c>
      <c r="B6" s="31" t="s">
        <v>164</v>
      </c>
      <c r="C6" s="31" t="s">
        <v>85</v>
      </c>
      <c r="D6" s="31" t="s">
        <v>86</v>
      </c>
      <c r="E6" s="31" t="s">
        <v>165</v>
      </c>
      <c r="F6" s="31" t="s">
        <v>125</v>
      </c>
      <c r="G6" s="31" t="s">
        <v>166</v>
      </c>
      <c r="H6" s="31" t="s">
        <v>165</v>
      </c>
      <c r="I6" s="31" t="s">
        <v>125</v>
      </c>
      <c r="J6" s="31" t="s">
        <v>166</v>
      </c>
    </row>
    <row r="7" spans="1:10" ht="23.1" customHeight="1">
      <c r="A7" s="12" t="s">
        <v>101</v>
      </c>
      <c r="B7" s="12" t="s">
        <v>167</v>
      </c>
      <c r="C7" s="12" t="s">
        <v>100</v>
      </c>
      <c r="D7" s="12" t="s">
        <v>100</v>
      </c>
      <c r="E7" s="14">
        <v>0</v>
      </c>
      <c r="F7" s="14">
        <v>0</v>
      </c>
      <c r="G7" s="14">
        <v>0</v>
      </c>
      <c r="H7" s="14">
        <v>33252977</v>
      </c>
      <c r="I7" s="14">
        <v>547948</v>
      </c>
      <c r="J7" s="14">
        <v>33800925</v>
      </c>
    </row>
    <row r="8" spans="1:10" ht="23.1" customHeight="1">
      <c r="A8" s="12" t="s">
        <v>82</v>
      </c>
      <c r="B8" s="12"/>
      <c r="C8" s="12"/>
      <c r="D8" s="12"/>
      <c r="E8" s="14">
        <v>0</v>
      </c>
      <c r="F8" s="14">
        <v>0</v>
      </c>
      <c r="G8" s="14">
        <v>0</v>
      </c>
      <c r="H8" s="14">
        <v>33252977</v>
      </c>
      <c r="I8" s="14">
        <v>547948</v>
      </c>
      <c r="J8" s="14">
        <v>33800925</v>
      </c>
    </row>
    <row r="9" spans="1:10" ht="23.1" customHeight="1">
      <c r="A9" s="12" t="s">
        <v>83</v>
      </c>
      <c r="B9" s="12"/>
      <c r="C9" s="12"/>
      <c r="D9" s="12"/>
      <c r="E9" s="14"/>
      <c r="F9" s="14"/>
      <c r="G9" s="14"/>
      <c r="H9" s="14"/>
      <c r="I9" s="14"/>
      <c r="J9" s="14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scale="91" orientation="landscape" r:id="rId1"/>
  <headerFooter differentOddEven="1"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sheetPr>
    <tabColor rgb="FF92D050"/>
  </sheetPr>
  <dimension ref="A1:G9"/>
  <sheetViews>
    <sheetView rightToLeft="1" zoomScale="106" zoomScaleNormal="106" workbookViewId="0">
      <selection activeCell="B7" sqref="B7"/>
    </sheetView>
  </sheetViews>
  <sheetFormatPr defaultColWidth="9" defaultRowHeight="18"/>
  <cols>
    <col min="1" max="1" width="28.42578125" style="26" customWidth="1"/>
    <col min="2" max="7" width="13" style="26" customWidth="1"/>
    <col min="8" max="8" width="9" style="1" customWidth="1"/>
    <col min="9" max="16384" width="9" style="1"/>
  </cols>
  <sheetData>
    <row r="1" spans="1:7">
      <c r="A1" s="117" t="s">
        <v>1</v>
      </c>
      <c r="B1" s="117"/>
      <c r="C1" s="117"/>
      <c r="D1" s="117"/>
      <c r="E1" s="117"/>
      <c r="F1" s="117"/>
      <c r="G1" s="117"/>
    </row>
    <row r="2" spans="1:7">
      <c r="A2" s="117" t="s">
        <v>105</v>
      </c>
      <c r="B2" s="117"/>
      <c r="C2" s="117"/>
      <c r="D2" s="117"/>
      <c r="E2" s="117"/>
      <c r="F2" s="117"/>
      <c r="G2" s="117"/>
    </row>
    <row r="3" spans="1:7">
      <c r="A3" s="117" t="s">
        <v>7</v>
      </c>
      <c r="B3" s="117"/>
      <c r="C3" s="117"/>
      <c r="D3" s="117"/>
      <c r="E3" s="117"/>
      <c r="F3" s="117"/>
      <c r="G3" s="117"/>
    </row>
    <row r="4" spans="1:7" ht="18.75">
      <c r="A4" s="109" t="s">
        <v>168</v>
      </c>
      <c r="B4" s="109"/>
      <c r="C4" s="18"/>
      <c r="D4" s="18"/>
      <c r="E4" s="18"/>
      <c r="F4" s="18"/>
      <c r="G4" s="18"/>
    </row>
    <row r="5" spans="1:7" ht="16.5" customHeight="1">
      <c r="A5" s="29"/>
      <c r="B5" s="116" t="s">
        <v>119</v>
      </c>
      <c r="C5" s="114"/>
      <c r="D5" s="114"/>
      <c r="E5" s="116" t="s">
        <v>120</v>
      </c>
      <c r="F5" s="114"/>
      <c r="G5" s="114"/>
    </row>
    <row r="6" spans="1:7" ht="38.25" customHeight="1">
      <c r="A6" s="30" t="s">
        <v>108</v>
      </c>
      <c r="B6" s="31" t="s">
        <v>165</v>
      </c>
      <c r="C6" s="31" t="s">
        <v>125</v>
      </c>
      <c r="D6" s="31" t="s">
        <v>166</v>
      </c>
      <c r="E6" s="31" t="s">
        <v>165</v>
      </c>
      <c r="F6" s="31" t="s">
        <v>125</v>
      </c>
      <c r="G6" s="31" t="s">
        <v>166</v>
      </c>
    </row>
    <row r="7" spans="1:7" ht="23.1" customHeight="1">
      <c r="A7" s="12" t="s">
        <v>101</v>
      </c>
      <c r="B7" s="14">
        <v>0</v>
      </c>
      <c r="C7" s="14">
        <v>0</v>
      </c>
      <c r="D7" s="14">
        <v>0</v>
      </c>
      <c r="E7" s="14">
        <v>33252977</v>
      </c>
      <c r="F7" s="14">
        <v>547948</v>
      </c>
      <c r="G7" s="14">
        <v>33800925</v>
      </c>
    </row>
    <row r="8" spans="1:7" ht="23.1" customHeight="1">
      <c r="A8" s="12" t="s">
        <v>82</v>
      </c>
      <c r="B8" s="14">
        <v>0</v>
      </c>
      <c r="C8" s="14">
        <v>0</v>
      </c>
      <c r="D8" s="14">
        <v>0</v>
      </c>
      <c r="E8" s="14">
        <v>33252977</v>
      </c>
      <c r="F8" s="14">
        <v>547948</v>
      </c>
      <c r="G8" s="14">
        <v>33800925</v>
      </c>
    </row>
    <row r="9" spans="1:7" ht="23.1" customHeight="1">
      <c r="A9" s="12" t="s">
        <v>83</v>
      </c>
      <c r="B9" s="14"/>
      <c r="C9" s="14"/>
      <c r="D9" s="14"/>
      <c r="E9" s="14"/>
      <c r="F9" s="14"/>
      <c r="G9" s="14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J93"/>
  <sheetViews>
    <sheetView rightToLeft="1" view="pageBreakPreview" zoomScale="60" zoomScaleNormal="115" workbookViewId="0">
      <selection activeCell="J1" sqref="J1:J1048576"/>
    </sheetView>
  </sheetViews>
  <sheetFormatPr defaultColWidth="9" defaultRowHeight="18"/>
  <cols>
    <col min="1" max="1" width="31.7109375" style="26" customWidth="1"/>
    <col min="2" max="2" width="13" style="26" customWidth="1"/>
    <col min="3" max="3" width="15.85546875" style="26" customWidth="1"/>
    <col min="4" max="4" width="17" style="26" customWidth="1"/>
    <col min="5" max="5" width="22.5703125" style="26" customWidth="1"/>
    <col min="6" max="6" width="13" style="26" customWidth="1"/>
    <col min="7" max="7" width="16.28515625" style="46" customWidth="1"/>
    <col min="8" max="8" width="17" style="46" customWidth="1"/>
    <col min="9" max="9" width="22.5703125" style="46" customWidth="1"/>
    <col min="10" max="16384" width="9" style="1"/>
  </cols>
  <sheetData>
    <row r="1" spans="1:9">
      <c r="A1" s="107" t="s">
        <v>1</v>
      </c>
      <c r="B1" s="107"/>
      <c r="C1" s="107"/>
      <c r="D1" s="107"/>
      <c r="E1" s="107"/>
      <c r="F1" s="107"/>
      <c r="G1" s="107"/>
      <c r="H1" s="107"/>
      <c r="I1" s="107"/>
    </row>
    <row r="2" spans="1:9">
      <c r="A2" s="107" t="s">
        <v>105</v>
      </c>
      <c r="B2" s="107"/>
      <c r="C2" s="107"/>
      <c r="D2" s="107"/>
      <c r="E2" s="107"/>
      <c r="F2" s="107"/>
      <c r="G2" s="107"/>
      <c r="H2" s="107"/>
      <c r="I2" s="107"/>
    </row>
    <row r="3" spans="1:9">
      <c r="A3" s="107" t="s">
        <v>106</v>
      </c>
      <c r="B3" s="107"/>
      <c r="C3" s="107"/>
      <c r="D3" s="107"/>
      <c r="E3" s="107"/>
      <c r="F3" s="107"/>
      <c r="G3" s="107"/>
      <c r="H3" s="107"/>
      <c r="I3" s="107"/>
    </row>
    <row r="4" spans="1:9" ht="18.75">
      <c r="A4" s="108" t="s">
        <v>169</v>
      </c>
      <c r="B4" s="109"/>
      <c r="C4" s="109"/>
      <c r="D4" s="109"/>
      <c r="E4" s="109"/>
      <c r="F4" s="109"/>
      <c r="G4" s="109"/>
      <c r="H4" s="109"/>
      <c r="I4" s="109"/>
    </row>
    <row r="5" spans="1:9" ht="16.5" customHeight="1" thickBot="1">
      <c r="A5" s="18"/>
      <c r="B5" s="116" t="s">
        <v>119</v>
      </c>
      <c r="C5" s="114"/>
      <c r="D5" s="114"/>
      <c r="E5" s="114"/>
      <c r="F5" s="116" t="s">
        <v>120</v>
      </c>
      <c r="G5" s="114"/>
      <c r="H5" s="114"/>
      <c r="I5" s="114"/>
    </row>
    <row r="6" spans="1:9" ht="18.75" thickBot="1">
      <c r="A6" s="30" t="s">
        <v>108</v>
      </c>
      <c r="B6" s="25" t="s">
        <v>14</v>
      </c>
      <c r="C6" s="25" t="s">
        <v>170</v>
      </c>
      <c r="D6" s="25" t="s">
        <v>171</v>
      </c>
      <c r="E6" s="32" t="s">
        <v>172</v>
      </c>
      <c r="F6" s="25" t="s">
        <v>14</v>
      </c>
      <c r="G6" s="45" t="s">
        <v>16</v>
      </c>
      <c r="H6" s="45" t="s">
        <v>171</v>
      </c>
      <c r="I6" s="48" t="s">
        <v>172</v>
      </c>
    </row>
    <row r="7" spans="1:9" ht="23.1" customHeight="1">
      <c r="A7" s="42" t="s">
        <v>30</v>
      </c>
      <c r="B7" s="42">
        <v>2245246</v>
      </c>
      <c r="C7" s="42">
        <v>11371202475</v>
      </c>
      <c r="D7" s="42">
        <v>-9330896797</v>
      </c>
      <c r="E7" s="42">
        <v>2112797169</v>
      </c>
      <c r="F7" s="42">
        <v>2245246</v>
      </c>
      <c r="G7" s="42">
        <v>11371202475</v>
      </c>
      <c r="H7" s="42">
        <v>-9330896797</v>
      </c>
      <c r="I7" s="42">
        <v>2112797169</v>
      </c>
    </row>
    <row r="8" spans="1:9" ht="23.1" customHeight="1">
      <c r="A8" s="42" t="s">
        <v>147</v>
      </c>
      <c r="B8" s="42">
        <v>0</v>
      </c>
      <c r="C8" s="42">
        <v>0</v>
      </c>
      <c r="D8" s="42">
        <v>0</v>
      </c>
      <c r="E8" s="42"/>
      <c r="F8" s="42">
        <v>9158178</v>
      </c>
      <c r="G8" s="42">
        <v>4214033557</v>
      </c>
      <c r="H8" s="42">
        <v>-5298345746</v>
      </c>
      <c r="I8" s="42">
        <v>-1059088746</v>
      </c>
    </row>
    <row r="9" spans="1:9" ht="23.1" customHeight="1">
      <c r="A9" s="42" t="s">
        <v>42</v>
      </c>
      <c r="B9" s="42">
        <v>658158</v>
      </c>
      <c r="C9" s="42">
        <v>3200177107</v>
      </c>
      <c r="D9" s="42">
        <v>-3125460790</v>
      </c>
      <c r="E9" s="42">
        <v>98128505</v>
      </c>
      <c r="F9" s="42">
        <v>3658477</v>
      </c>
      <c r="G9" s="42">
        <v>13397968435</v>
      </c>
      <c r="H9" s="42">
        <v>-13880237163</v>
      </c>
      <c r="I9" s="42">
        <v>-397816511</v>
      </c>
    </row>
    <row r="10" spans="1:9" ht="23.1" customHeight="1">
      <c r="A10" s="42" t="s">
        <v>173</v>
      </c>
      <c r="B10" s="42">
        <v>0</v>
      </c>
      <c r="C10" s="42">
        <v>0</v>
      </c>
      <c r="D10" s="42">
        <v>0</v>
      </c>
      <c r="E10" s="42"/>
      <c r="F10" s="42">
        <v>795447</v>
      </c>
      <c r="G10" s="42">
        <v>4137126571</v>
      </c>
      <c r="H10" s="42">
        <v>-4839170235</v>
      </c>
      <c r="I10" s="42">
        <v>-677280461</v>
      </c>
    </row>
    <row r="11" spans="1:9" ht="23.1" customHeight="1">
      <c r="A11" s="42" t="s">
        <v>69</v>
      </c>
      <c r="B11" s="42">
        <v>28079</v>
      </c>
      <c r="C11" s="42">
        <v>458756832</v>
      </c>
      <c r="D11" s="42">
        <v>-604851522</v>
      </c>
      <c r="E11" s="42">
        <v>-142464962</v>
      </c>
      <c r="F11" s="42">
        <v>44463</v>
      </c>
      <c r="G11" s="42">
        <v>769666412</v>
      </c>
      <c r="H11" s="42">
        <v>-957780307</v>
      </c>
      <c r="I11" s="42">
        <v>-182623187</v>
      </c>
    </row>
    <row r="12" spans="1:9" ht="23.1" customHeight="1">
      <c r="A12" s="42" t="s">
        <v>49</v>
      </c>
      <c r="B12" s="42">
        <v>439664</v>
      </c>
      <c r="C12" s="42">
        <v>889691752</v>
      </c>
      <c r="D12" s="42">
        <v>-1070767598</v>
      </c>
      <c r="E12" s="42">
        <v>-174096766</v>
      </c>
      <c r="F12" s="42">
        <v>521587</v>
      </c>
      <c r="G12" s="42">
        <v>1090104664</v>
      </c>
      <c r="H12" s="42">
        <v>-1270284715</v>
      </c>
      <c r="I12" s="42">
        <v>-172001380</v>
      </c>
    </row>
    <row r="13" spans="1:9" ht="23.1" customHeight="1">
      <c r="A13" s="42" t="s">
        <v>39</v>
      </c>
      <c r="B13" s="42">
        <v>293121</v>
      </c>
      <c r="C13" s="42">
        <v>2070934580</v>
      </c>
      <c r="D13" s="42">
        <v>-2174013896</v>
      </c>
      <c r="E13" s="42">
        <v>-89791516</v>
      </c>
      <c r="F13" s="42">
        <v>299792</v>
      </c>
      <c r="G13" s="42">
        <v>2150775526</v>
      </c>
      <c r="H13" s="42">
        <v>-2251069690</v>
      </c>
      <c r="I13" s="42">
        <v>-86528470</v>
      </c>
    </row>
    <row r="14" spans="1:9" ht="23.1" customHeight="1">
      <c r="A14" s="42" t="s">
        <v>55</v>
      </c>
      <c r="B14" s="42">
        <v>0</v>
      </c>
      <c r="C14" s="42">
        <v>0</v>
      </c>
      <c r="D14" s="42">
        <v>0</v>
      </c>
      <c r="E14" s="42"/>
      <c r="F14" s="42">
        <v>603505</v>
      </c>
      <c r="G14" s="42">
        <v>1491483622</v>
      </c>
      <c r="H14" s="42">
        <v>-2190886459</v>
      </c>
      <c r="I14" s="42">
        <v>-690475582</v>
      </c>
    </row>
    <row r="15" spans="1:9" ht="23.1" customHeight="1">
      <c r="A15" s="42" t="s">
        <v>58</v>
      </c>
      <c r="B15" s="42">
        <v>8469</v>
      </c>
      <c r="C15" s="42">
        <v>299600011</v>
      </c>
      <c r="D15" s="42">
        <v>-305342966</v>
      </c>
      <c r="E15" s="42">
        <v>-3372496</v>
      </c>
      <c r="F15" s="42">
        <v>10730</v>
      </c>
      <c r="G15" s="42">
        <v>379837448</v>
      </c>
      <c r="H15" s="42">
        <v>-386861498</v>
      </c>
      <c r="I15" s="42">
        <v>-4173328</v>
      </c>
    </row>
    <row r="16" spans="1:9" ht="23.1" customHeight="1">
      <c r="A16" s="42" t="s">
        <v>72</v>
      </c>
      <c r="B16" s="42">
        <v>2290147</v>
      </c>
      <c r="C16" s="42">
        <v>6853475950</v>
      </c>
      <c r="D16" s="42">
        <v>-6072602332</v>
      </c>
      <c r="E16" s="42">
        <v>826716546</v>
      </c>
      <c r="F16" s="42">
        <v>2385851</v>
      </c>
      <c r="G16" s="42">
        <v>7094166395</v>
      </c>
      <c r="H16" s="42">
        <v>-6334888318</v>
      </c>
      <c r="I16" s="42">
        <v>806561680</v>
      </c>
    </row>
    <row r="17" spans="1:9" ht="23.1" customHeight="1">
      <c r="A17" s="42" t="s">
        <v>174</v>
      </c>
      <c r="B17" s="42">
        <v>0</v>
      </c>
      <c r="C17" s="42">
        <v>0</v>
      </c>
      <c r="D17" s="42">
        <v>0</v>
      </c>
      <c r="E17" s="42"/>
      <c r="F17" s="42">
        <v>1009300</v>
      </c>
      <c r="G17" s="42">
        <v>2097500191</v>
      </c>
      <c r="H17" s="42">
        <v>-3091150867</v>
      </c>
      <c r="I17" s="42">
        <v>-981095912</v>
      </c>
    </row>
    <row r="18" spans="1:9" ht="23.1" customHeight="1">
      <c r="A18" s="42" t="s">
        <v>65</v>
      </c>
      <c r="B18" s="42">
        <v>114429</v>
      </c>
      <c r="C18" s="42">
        <v>654020190</v>
      </c>
      <c r="D18" s="42">
        <v>-717750809</v>
      </c>
      <c r="E18" s="42">
        <v>-58923959</v>
      </c>
      <c r="F18" s="42">
        <v>140549</v>
      </c>
      <c r="G18" s="42">
        <v>812530277</v>
      </c>
      <c r="H18" s="42">
        <v>-881587347</v>
      </c>
      <c r="I18" s="42">
        <v>-63301677</v>
      </c>
    </row>
    <row r="19" spans="1:9" ht="23.1" customHeight="1">
      <c r="A19" s="42" t="s">
        <v>35</v>
      </c>
      <c r="B19" s="42">
        <v>52184</v>
      </c>
      <c r="C19" s="42">
        <v>300291269</v>
      </c>
      <c r="D19" s="42">
        <v>-266834238</v>
      </c>
      <c r="E19" s="42">
        <v>35832962</v>
      </c>
      <c r="F19" s="42">
        <v>52184</v>
      </c>
      <c r="G19" s="42">
        <v>300291269</v>
      </c>
      <c r="H19" s="42">
        <v>-266834238</v>
      </c>
      <c r="I19" s="42">
        <v>35832962</v>
      </c>
    </row>
    <row r="20" spans="1:9" ht="23.1" customHeight="1">
      <c r="A20" s="42" t="s">
        <v>130</v>
      </c>
      <c r="B20" s="42">
        <v>0</v>
      </c>
      <c r="C20" s="42">
        <v>0</v>
      </c>
      <c r="D20" s="42">
        <v>0</v>
      </c>
      <c r="E20" s="42"/>
      <c r="F20" s="42">
        <v>212091</v>
      </c>
      <c r="G20" s="42">
        <v>1108960870</v>
      </c>
      <c r="H20" s="42">
        <v>-1673982727</v>
      </c>
      <c r="I20" s="42">
        <v>-558384067</v>
      </c>
    </row>
    <row r="21" spans="1:9" ht="23.1" customHeight="1">
      <c r="A21" s="42" t="s">
        <v>29</v>
      </c>
      <c r="B21" s="42">
        <v>319426</v>
      </c>
      <c r="C21" s="42">
        <v>3507191896</v>
      </c>
      <c r="D21" s="42">
        <v>-3317472263</v>
      </c>
      <c r="E21" s="42">
        <v>214322197</v>
      </c>
      <c r="F21" s="42">
        <v>353977</v>
      </c>
      <c r="G21" s="42">
        <v>3858202119</v>
      </c>
      <c r="H21" s="42">
        <v>-3689089725</v>
      </c>
      <c r="I21" s="42">
        <v>195815955</v>
      </c>
    </row>
    <row r="22" spans="1:9" ht="23.1" customHeight="1">
      <c r="A22" s="42" t="s">
        <v>67</v>
      </c>
      <c r="B22" s="42">
        <v>3200000</v>
      </c>
      <c r="C22" s="42">
        <v>1139437247</v>
      </c>
      <c r="D22" s="42">
        <v>-1590480000</v>
      </c>
      <c r="E22" s="42">
        <v>-442080000</v>
      </c>
      <c r="F22" s="42">
        <v>3700000</v>
      </c>
      <c r="G22" s="42">
        <v>1357034825</v>
      </c>
      <c r="H22" s="42">
        <v>-1838992500</v>
      </c>
      <c r="I22" s="42">
        <v>-471692500</v>
      </c>
    </row>
    <row r="23" spans="1:9" ht="23.1" customHeight="1">
      <c r="A23" s="42" t="s">
        <v>62</v>
      </c>
      <c r="B23" s="42">
        <v>190803</v>
      </c>
      <c r="C23" s="42">
        <v>867690664</v>
      </c>
      <c r="D23" s="42">
        <v>-931342906</v>
      </c>
      <c r="E23" s="42">
        <v>-56892757</v>
      </c>
      <c r="F23" s="42">
        <v>203833</v>
      </c>
      <c r="G23" s="42">
        <v>937893063</v>
      </c>
      <c r="H23" s="42">
        <v>-1001027202</v>
      </c>
      <c r="I23" s="42">
        <v>-55954453</v>
      </c>
    </row>
    <row r="24" spans="1:9" ht="23.1" customHeight="1">
      <c r="A24" s="42" t="s">
        <v>56</v>
      </c>
      <c r="B24" s="42">
        <v>4857</v>
      </c>
      <c r="C24" s="42">
        <v>215670635</v>
      </c>
      <c r="D24" s="42">
        <v>-340139706</v>
      </c>
      <c r="E24" s="42">
        <v>-122788956</v>
      </c>
      <c r="F24" s="42">
        <v>7790</v>
      </c>
      <c r="G24" s="42">
        <v>413927946</v>
      </c>
      <c r="H24" s="42">
        <v>-545540108</v>
      </c>
      <c r="I24" s="42">
        <v>-128745358</v>
      </c>
    </row>
    <row r="25" spans="1:9" ht="23.1" customHeight="1">
      <c r="A25" s="42" t="s">
        <v>175</v>
      </c>
      <c r="B25" s="42">
        <v>0</v>
      </c>
      <c r="C25" s="42">
        <v>0</v>
      </c>
      <c r="D25" s="42">
        <v>0</v>
      </c>
      <c r="E25" s="42"/>
      <c r="F25" s="42">
        <v>2652068</v>
      </c>
      <c r="G25" s="42">
        <v>5610368086</v>
      </c>
      <c r="H25" s="42">
        <v>-6577539050</v>
      </c>
      <c r="I25" s="42">
        <v>-933589506</v>
      </c>
    </row>
    <row r="26" spans="1:9" ht="23.1" customHeight="1">
      <c r="A26" s="42" t="s">
        <v>141</v>
      </c>
      <c r="B26" s="42">
        <v>0</v>
      </c>
      <c r="C26" s="42">
        <v>0</v>
      </c>
      <c r="D26" s="42">
        <v>0</v>
      </c>
      <c r="E26" s="42"/>
      <c r="F26" s="42">
        <v>269589</v>
      </c>
      <c r="G26" s="42">
        <v>1200219410</v>
      </c>
      <c r="H26" s="42">
        <v>-1707064106</v>
      </c>
      <c r="I26" s="42">
        <v>-499660653</v>
      </c>
    </row>
    <row r="27" spans="1:9" ht="23.1" customHeight="1">
      <c r="A27" s="42" t="s">
        <v>24</v>
      </c>
      <c r="B27" s="42">
        <v>62139</v>
      </c>
      <c r="C27" s="42">
        <v>296542321</v>
      </c>
      <c r="D27" s="42">
        <v>-287227119</v>
      </c>
      <c r="E27" s="42">
        <v>11661471</v>
      </c>
      <c r="F27" s="42">
        <v>108297</v>
      </c>
      <c r="G27" s="42">
        <v>507146947</v>
      </c>
      <c r="H27" s="42">
        <v>-500584743</v>
      </c>
      <c r="I27" s="42">
        <v>10169067</v>
      </c>
    </row>
    <row r="28" spans="1:9" ht="23.1" customHeight="1">
      <c r="A28" s="42" t="s">
        <v>26</v>
      </c>
      <c r="B28" s="42">
        <v>52094</v>
      </c>
      <c r="C28" s="42">
        <v>300290223</v>
      </c>
      <c r="D28" s="42">
        <v>-480989419</v>
      </c>
      <c r="E28" s="42">
        <v>-178323279</v>
      </c>
      <c r="F28" s="42">
        <v>52094</v>
      </c>
      <c r="G28" s="42">
        <v>300290223</v>
      </c>
      <c r="H28" s="42">
        <v>-480989419</v>
      </c>
      <c r="I28" s="42">
        <v>-178323279</v>
      </c>
    </row>
    <row r="29" spans="1:9" ht="23.1" customHeight="1">
      <c r="A29" s="42" t="s">
        <v>176</v>
      </c>
      <c r="B29" s="42">
        <v>0</v>
      </c>
      <c r="C29" s="42">
        <v>0</v>
      </c>
      <c r="D29" s="42">
        <v>0</v>
      </c>
      <c r="E29" s="42"/>
      <c r="F29" s="42">
        <v>2000000</v>
      </c>
      <c r="G29" s="42">
        <v>4254534000</v>
      </c>
      <c r="H29" s="42">
        <v>-4424013330</v>
      </c>
      <c r="I29" s="42">
        <v>-144013330</v>
      </c>
    </row>
    <row r="30" spans="1:9" ht="23.1" customHeight="1">
      <c r="A30" s="42" t="s">
        <v>177</v>
      </c>
      <c r="B30" s="42">
        <v>0</v>
      </c>
      <c r="C30" s="42">
        <v>0</v>
      </c>
      <c r="D30" s="42">
        <v>0</v>
      </c>
      <c r="E30" s="42"/>
      <c r="F30" s="42">
        <v>863801</v>
      </c>
      <c r="G30" s="42">
        <v>3539496279</v>
      </c>
      <c r="H30" s="42">
        <v>-4147334489</v>
      </c>
      <c r="I30" s="42">
        <v>-586652166</v>
      </c>
    </row>
    <row r="31" spans="1:9" ht="23.1" customHeight="1">
      <c r="A31" s="42" t="s">
        <v>178</v>
      </c>
      <c r="B31" s="42">
        <v>0</v>
      </c>
      <c r="C31" s="42">
        <v>0</v>
      </c>
      <c r="D31" s="42">
        <v>0</v>
      </c>
      <c r="E31" s="42"/>
      <c r="F31" s="42">
        <v>3137646</v>
      </c>
      <c r="G31" s="42">
        <v>6566575577</v>
      </c>
      <c r="H31" s="42">
        <v>-7204836889</v>
      </c>
      <c r="I31" s="42">
        <v>-598956422</v>
      </c>
    </row>
    <row r="32" spans="1:9" ht="23.1" customHeight="1">
      <c r="A32" s="42" t="s">
        <v>43</v>
      </c>
      <c r="B32" s="42">
        <v>0</v>
      </c>
      <c r="C32" s="42">
        <v>0</v>
      </c>
      <c r="D32" s="42">
        <v>0</v>
      </c>
      <c r="E32" s="42"/>
      <c r="F32" s="42">
        <v>72063</v>
      </c>
      <c r="G32" s="42">
        <v>200575839</v>
      </c>
      <c r="H32" s="42">
        <v>-200504196</v>
      </c>
      <c r="I32" s="42">
        <v>1272204</v>
      </c>
    </row>
    <row r="33" spans="1:9" ht="23.1" customHeight="1">
      <c r="A33" s="42" t="s">
        <v>59</v>
      </c>
      <c r="B33" s="42">
        <v>2997927</v>
      </c>
      <c r="C33" s="42">
        <v>6305023843</v>
      </c>
      <c r="D33" s="42">
        <v>-6276159522</v>
      </c>
      <c r="E33" s="42">
        <v>69619399</v>
      </c>
      <c r="F33" s="42">
        <v>3069353</v>
      </c>
      <c r="G33" s="42">
        <v>6465486141</v>
      </c>
      <c r="H33" s="42">
        <v>-6445283942</v>
      </c>
      <c r="I33" s="42">
        <v>61917739</v>
      </c>
    </row>
    <row r="34" spans="1:9" ht="23.1" customHeight="1">
      <c r="A34" s="42" t="s">
        <v>34</v>
      </c>
      <c r="B34" s="42">
        <v>5001</v>
      </c>
      <c r="C34" s="42">
        <v>1485969971</v>
      </c>
      <c r="D34" s="42">
        <v>-1426728901</v>
      </c>
      <c r="E34" s="42">
        <v>70998199</v>
      </c>
      <c r="F34" s="42">
        <v>6006</v>
      </c>
      <c r="G34" s="42">
        <v>1756764410</v>
      </c>
      <c r="H34" s="42">
        <v>-1710300800</v>
      </c>
      <c r="I34" s="42">
        <v>59841600</v>
      </c>
    </row>
    <row r="35" spans="1:9" ht="23.1" customHeight="1">
      <c r="A35" s="42" t="s">
        <v>63</v>
      </c>
      <c r="B35" s="42">
        <v>0</v>
      </c>
      <c r="C35" s="42">
        <v>0</v>
      </c>
      <c r="D35" s="42">
        <v>0</v>
      </c>
      <c r="E35" s="42"/>
      <c r="F35" s="42">
        <v>5409634</v>
      </c>
      <c r="G35" s="42">
        <v>3087781374</v>
      </c>
      <c r="H35" s="42">
        <v>-3807232251</v>
      </c>
      <c r="I35" s="42">
        <v>-700968752</v>
      </c>
    </row>
    <row r="36" spans="1:9" ht="23.1" customHeight="1">
      <c r="A36" s="42" t="s">
        <v>79</v>
      </c>
      <c r="B36" s="42">
        <v>4472176</v>
      </c>
      <c r="C36" s="42">
        <v>5642157100</v>
      </c>
      <c r="D36" s="42">
        <v>-6890758465</v>
      </c>
      <c r="E36" s="42">
        <v>-1207950710</v>
      </c>
      <c r="F36" s="42">
        <v>4721251</v>
      </c>
      <c r="G36" s="42">
        <v>6016517734</v>
      </c>
      <c r="H36" s="42">
        <v>-7304238782</v>
      </c>
      <c r="I36" s="42">
        <v>-1244829627</v>
      </c>
    </row>
    <row r="37" spans="1:9" ht="23.1" customHeight="1">
      <c r="A37" s="42" t="s">
        <v>36</v>
      </c>
      <c r="B37" s="42">
        <v>0</v>
      </c>
      <c r="C37" s="42">
        <v>0</v>
      </c>
      <c r="D37" s="42">
        <v>0</v>
      </c>
      <c r="E37" s="42"/>
      <c r="F37" s="42">
        <v>10000000</v>
      </c>
      <c r="G37" s="42">
        <v>3804428337</v>
      </c>
      <c r="H37" s="42">
        <v>-6073645502</v>
      </c>
      <c r="I37" s="42">
        <v>-2246445502</v>
      </c>
    </row>
    <row r="38" spans="1:9" ht="23.1" customHeight="1">
      <c r="A38" s="42" t="s">
        <v>46</v>
      </c>
      <c r="B38" s="42">
        <v>76884</v>
      </c>
      <c r="C38" s="42">
        <v>1039179884</v>
      </c>
      <c r="D38" s="42">
        <v>-1277087486</v>
      </c>
      <c r="E38" s="42">
        <v>-230925786</v>
      </c>
      <c r="F38" s="42">
        <v>91778</v>
      </c>
      <c r="G38" s="42">
        <v>1269847719</v>
      </c>
      <c r="H38" s="42">
        <v>-1524485397</v>
      </c>
      <c r="I38" s="42">
        <v>-246275177</v>
      </c>
    </row>
    <row r="39" spans="1:9" ht="23.1" customHeight="1">
      <c r="A39" s="42" t="s">
        <v>179</v>
      </c>
      <c r="B39" s="42">
        <v>0</v>
      </c>
      <c r="C39" s="42">
        <v>0</v>
      </c>
      <c r="D39" s="42">
        <v>0</v>
      </c>
      <c r="E39" s="42"/>
      <c r="F39" s="42">
        <v>1066372</v>
      </c>
      <c r="G39" s="42">
        <v>3053746934</v>
      </c>
      <c r="H39" s="42">
        <v>-3657093452</v>
      </c>
      <c r="I39" s="42">
        <v>-585067992</v>
      </c>
    </row>
    <row r="40" spans="1:9" ht="23.1" customHeight="1">
      <c r="A40" s="42" t="s">
        <v>45</v>
      </c>
      <c r="B40" s="42">
        <v>7407303</v>
      </c>
      <c r="C40" s="42">
        <v>8969062099</v>
      </c>
      <c r="D40" s="42">
        <v>-9157146379</v>
      </c>
      <c r="E40" s="42">
        <v>-122239165</v>
      </c>
      <c r="F40" s="42">
        <v>15435960</v>
      </c>
      <c r="G40" s="42">
        <v>17457296383</v>
      </c>
      <c r="H40" s="42">
        <v>-20533034708</v>
      </c>
      <c r="I40" s="42">
        <v>-2959086088</v>
      </c>
    </row>
    <row r="41" spans="1:9" ht="23.1" customHeight="1">
      <c r="A41" s="42" t="s">
        <v>128</v>
      </c>
      <c r="B41" s="42">
        <v>0</v>
      </c>
      <c r="C41" s="42">
        <v>0</v>
      </c>
      <c r="D41" s="42">
        <v>0</v>
      </c>
      <c r="E41" s="42">
        <v>10015632</v>
      </c>
      <c r="F41" s="42">
        <v>411</v>
      </c>
      <c r="G41" s="42">
        <v>1074502</v>
      </c>
      <c r="H41" s="42">
        <v>-992385</v>
      </c>
      <c r="I41" s="42">
        <v>88545</v>
      </c>
    </row>
    <row r="42" spans="1:9" ht="23.1" customHeight="1">
      <c r="A42" s="42" t="s">
        <v>57</v>
      </c>
      <c r="B42" s="42">
        <v>152060</v>
      </c>
      <c r="C42" s="42">
        <v>1102588716</v>
      </c>
      <c r="D42" s="42">
        <v>-1055859393</v>
      </c>
      <c r="E42" s="42">
        <v>53907487</v>
      </c>
      <c r="F42" s="42">
        <v>1058143</v>
      </c>
      <c r="G42" s="42">
        <v>7405594854</v>
      </c>
      <c r="H42" s="42">
        <v>-8088747936</v>
      </c>
      <c r="I42" s="42">
        <v>-638247676</v>
      </c>
    </row>
    <row r="43" spans="1:9" ht="23.1" customHeight="1">
      <c r="A43" s="42" t="s">
        <v>180</v>
      </c>
      <c r="B43" s="42">
        <v>0</v>
      </c>
      <c r="C43" s="42">
        <v>0</v>
      </c>
      <c r="D43" s="42">
        <v>0</v>
      </c>
      <c r="E43" s="42"/>
      <c r="F43" s="42">
        <v>5112190</v>
      </c>
      <c r="G43" s="42">
        <v>2881365006</v>
      </c>
      <c r="H43" s="42">
        <v>-3430196421</v>
      </c>
      <c r="I43" s="42">
        <v>-531584691</v>
      </c>
    </row>
    <row r="44" spans="1:9" ht="23.1" customHeight="1">
      <c r="A44" s="42" t="s">
        <v>181</v>
      </c>
      <c r="B44" s="42">
        <v>0</v>
      </c>
      <c r="C44" s="42">
        <v>0</v>
      </c>
      <c r="D44" s="42">
        <v>0</v>
      </c>
      <c r="E44" s="42"/>
      <c r="F44" s="42">
        <v>509</v>
      </c>
      <c r="G44" s="42">
        <v>1808852</v>
      </c>
      <c r="H44" s="42">
        <v>-1618558</v>
      </c>
      <c r="I44" s="42">
        <v>201117</v>
      </c>
    </row>
    <row r="45" spans="1:9" ht="23.1" customHeight="1">
      <c r="A45" s="42" t="s">
        <v>64</v>
      </c>
      <c r="B45" s="42">
        <v>58733</v>
      </c>
      <c r="C45" s="42">
        <v>4770302150</v>
      </c>
      <c r="D45" s="42">
        <v>-4653896508</v>
      </c>
      <c r="E45" s="42">
        <v>146513802</v>
      </c>
      <c r="F45" s="42">
        <v>62102</v>
      </c>
      <c r="G45" s="42">
        <v>5001011667</v>
      </c>
      <c r="H45" s="42">
        <v>-4922616613</v>
      </c>
      <c r="I45" s="42">
        <v>109884107</v>
      </c>
    </row>
    <row r="46" spans="1:9" ht="23.1" customHeight="1">
      <c r="A46" s="42" t="s">
        <v>37</v>
      </c>
      <c r="B46" s="42">
        <v>986446</v>
      </c>
      <c r="C46" s="42">
        <v>2996457686</v>
      </c>
      <c r="D46" s="42">
        <v>-3503790960</v>
      </c>
      <c r="E46" s="42">
        <v>-483625000</v>
      </c>
      <c r="F46" s="42">
        <v>2439087</v>
      </c>
      <c r="G46" s="42">
        <v>6568040020</v>
      </c>
      <c r="H46" s="42">
        <v>-8892603339</v>
      </c>
      <c r="I46" s="42">
        <v>-2279476959</v>
      </c>
    </row>
    <row r="47" spans="1:9" ht="23.1" customHeight="1">
      <c r="A47" s="42" t="s">
        <v>28</v>
      </c>
      <c r="B47" s="42">
        <v>221738</v>
      </c>
      <c r="C47" s="42">
        <v>1231553220</v>
      </c>
      <c r="D47" s="42">
        <v>-1024726346</v>
      </c>
      <c r="E47" s="42">
        <v>214776954</v>
      </c>
      <c r="F47" s="42">
        <v>377903</v>
      </c>
      <c r="G47" s="42">
        <v>2058451850</v>
      </c>
      <c r="H47" s="42">
        <v>-1746417667</v>
      </c>
      <c r="I47" s="42">
        <v>324933732</v>
      </c>
    </row>
    <row r="48" spans="1:9" ht="23.1" customHeight="1">
      <c r="A48" s="42" t="s">
        <v>182</v>
      </c>
      <c r="B48" s="42">
        <v>0</v>
      </c>
      <c r="C48" s="42">
        <v>0</v>
      </c>
      <c r="D48" s="42">
        <v>0</v>
      </c>
      <c r="E48" s="42"/>
      <c r="F48" s="42">
        <v>2506063</v>
      </c>
      <c r="G48" s="42">
        <v>2214440847</v>
      </c>
      <c r="H48" s="42">
        <v>-3432807356</v>
      </c>
      <c r="I48" s="42">
        <v>-1205111876</v>
      </c>
    </row>
    <row r="49" spans="1:9" ht="23.1" customHeight="1">
      <c r="A49" s="42" t="s">
        <v>152</v>
      </c>
      <c r="B49" s="42">
        <v>0</v>
      </c>
      <c r="C49" s="42">
        <v>0</v>
      </c>
      <c r="D49" s="42">
        <v>0</v>
      </c>
      <c r="E49" s="42"/>
      <c r="F49" s="42">
        <v>272649</v>
      </c>
      <c r="G49" s="42">
        <v>3857499558</v>
      </c>
      <c r="H49" s="42">
        <v>-6553426539</v>
      </c>
      <c r="I49" s="42">
        <v>-2672837539</v>
      </c>
    </row>
    <row r="50" spans="1:9" ht="23.1" customHeight="1">
      <c r="A50" s="42" t="s">
        <v>183</v>
      </c>
      <c r="B50" s="42">
        <v>0</v>
      </c>
      <c r="C50" s="42">
        <v>0</v>
      </c>
      <c r="D50" s="42">
        <v>0</v>
      </c>
      <c r="E50" s="42"/>
      <c r="F50" s="42">
        <v>89688</v>
      </c>
      <c r="G50" s="42">
        <v>2314905765</v>
      </c>
      <c r="H50" s="42">
        <v>-2667498349</v>
      </c>
      <c r="I50" s="42">
        <v>-338736529</v>
      </c>
    </row>
    <row r="51" spans="1:9" ht="23.1" customHeight="1">
      <c r="A51" s="42" t="s">
        <v>184</v>
      </c>
      <c r="B51" s="42">
        <v>0</v>
      </c>
      <c r="C51" s="42">
        <v>0</v>
      </c>
      <c r="D51" s="42">
        <v>0</v>
      </c>
      <c r="E51" s="42"/>
      <c r="F51" s="42">
        <v>1315388</v>
      </c>
      <c r="G51" s="42">
        <v>1759344879</v>
      </c>
      <c r="H51" s="42">
        <v>-2467368443</v>
      </c>
      <c r="I51" s="42">
        <v>-697492873</v>
      </c>
    </row>
    <row r="52" spans="1:9" ht="23.1" customHeight="1">
      <c r="A52" s="42" t="s">
        <v>76</v>
      </c>
      <c r="B52" s="42">
        <v>1756</v>
      </c>
      <c r="C52" s="42">
        <v>300355153</v>
      </c>
      <c r="D52" s="42">
        <v>-253419211</v>
      </c>
      <c r="E52" s="42">
        <v>49312339</v>
      </c>
      <c r="F52" s="42">
        <v>1756</v>
      </c>
      <c r="G52" s="42">
        <v>300355153</v>
      </c>
      <c r="H52" s="42">
        <v>-253419211</v>
      </c>
      <c r="I52" s="42">
        <v>49312339</v>
      </c>
    </row>
    <row r="53" spans="1:9" ht="23.1" customHeight="1">
      <c r="A53" s="42" t="s">
        <v>27</v>
      </c>
      <c r="B53" s="42">
        <v>0</v>
      </c>
      <c r="C53" s="42">
        <v>0</v>
      </c>
      <c r="D53" s="42">
        <v>0</v>
      </c>
      <c r="E53" s="42"/>
      <c r="F53" s="42">
        <v>7148792</v>
      </c>
      <c r="G53" s="42">
        <v>2835396552</v>
      </c>
      <c r="H53" s="42">
        <v>-3849498281</v>
      </c>
      <c r="I53" s="42">
        <v>-997130273</v>
      </c>
    </row>
    <row r="54" spans="1:9" ht="23.1" customHeight="1">
      <c r="A54" s="42" t="s">
        <v>70</v>
      </c>
      <c r="B54" s="42">
        <v>0</v>
      </c>
      <c r="C54" s="42">
        <v>0</v>
      </c>
      <c r="D54" s="42">
        <v>0</v>
      </c>
      <c r="E54" s="42"/>
      <c r="F54" s="42">
        <v>4717</v>
      </c>
      <c r="G54" s="42">
        <v>100249409</v>
      </c>
      <c r="H54" s="42">
        <v>-112487524</v>
      </c>
      <c r="I54" s="42">
        <v>-11638064</v>
      </c>
    </row>
    <row r="55" spans="1:9" ht="23.1" customHeight="1">
      <c r="A55" s="42" t="s">
        <v>60</v>
      </c>
      <c r="B55" s="42">
        <v>67841</v>
      </c>
      <c r="C55" s="42">
        <v>873400502</v>
      </c>
      <c r="D55" s="42">
        <v>-826581739</v>
      </c>
      <c r="E55" s="42">
        <v>52617861</v>
      </c>
      <c r="F55" s="42">
        <v>93710</v>
      </c>
      <c r="G55" s="42">
        <v>1204353584</v>
      </c>
      <c r="H55" s="42">
        <v>-1141772301</v>
      </c>
      <c r="I55" s="42">
        <v>70361329</v>
      </c>
    </row>
    <row r="56" spans="1:9" ht="23.1" customHeight="1">
      <c r="A56" s="42" t="s">
        <v>185</v>
      </c>
      <c r="B56" s="42">
        <v>0</v>
      </c>
      <c r="C56" s="42">
        <v>0</v>
      </c>
      <c r="D56" s="42">
        <v>0</v>
      </c>
      <c r="E56" s="42"/>
      <c r="F56" s="42">
        <v>24846</v>
      </c>
      <c r="G56" s="42">
        <v>4325078243</v>
      </c>
      <c r="H56" s="42">
        <v>-4530631628</v>
      </c>
      <c r="I56" s="42">
        <v>-179665178</v>
      </c>
    </row>
    <row r="57" spans="1:9" ht="23.1" customHeight="1">
      <c r="A57" s="42" t="s">
        <v>40</v>
      </c>
      <c r="B57" s="42">
        <v>685666</v>
      </c>
      <c r="C57" s="42">
        <v>2994392641</v>
      </c>
      <c r="D57" s="42">
        <v>-2933398846</v>
      </c>
      <c r="E57" s="42">
        <v>70436905</v>
      </c>
      <c r="F57" s="42">
        <v>746006</v>
      </c>
      <c r="G57" s="42">
        <v>3245113130</v>
      </c>
      <c r="H57" s="42">
        <v>-3195635678</v>
      </c>
      <c r="I57" s="42">
        <v>70436905</v>
      </c>
    </row>
    <row r="58" spans="1:9" ht="23.1" customHeight="1">
      <c r="A58" s="42" t="s">
        <v>132</v>
      </c>
      <c r="B58" s="42">
        <v>0</v>
      </c>
      <c r="C58" s="42">
        <v>0</v>
      </c>
      <c r="D58" s="42">
        <v>0</v>
      </c>
      <c r="E58" s="42"/>
      <c r="F58" s="42">
        <v>200675</v>
      </c>
      <c r="G58" s="42">
        <v>1000015663</v>
      </c>
      <c r="H58" s="42">
        <v>-1607816732</v>
      </c>
      <c r="I58" s="42">
        <v>-601815412</v>
      </c>
    </row>
    <row r="59" spans="1:9" ht="23.1" customHeight="1">
      <c r="A59" s="42" t="s">
        <v>74</v>
      </c>
      <c r="B59" s="42">
        <v>0</v>
      </c>
      <c r="C59" s="42">
        <v>0</v>
      </c>
      <c r="D59" s="42">
        <v>0</v>
      </c>
      <c r="E59" s="42"/>
      <c r="F59" s="42">
        <v>346358</v>
      </c>
      <c r="G59" s="42">
        <v>1757582828</v>
      </c>
      <c r="H59" s="42">
        <v>-2330523032</v>
      </c>
      <c r="I59" s="42">
        <v>-562420012</v>
      </c>
    </row>
    <row r="60" spans="1:9" ht="23.1" customHeight="1">
      <c r="A60" s="42" t="s">
        <v>51</v>
      </c>
      <c r="B60" s="42">
        <v>0</v>
      </c>
      <c r="C60" s="42">
        <v>0</v>
      </c>
      <c r="D60" s="42">
        <v>0</v>
      </c>
      <c r="E60" s="42"/>
      <c r="F60" s="42">
        <v>438543</v>
      </c>
      <c r="G60" s="42">
        <v>1605993629</v>
      </c>
      <c r="H60" s="42">
        <v>-2484821917</v>
      </c>
      <c r="I60" s="42">
        <v>-869215481</v>
      </c>
    </row>
    <row r="61" spans="1:9" ht="23.1" customHeight="1">
      <c r="A61" s="42" t="s">
        <v>32</v>
      </c>
      <c r="B61" s="42">
        <v>2294601</v>
      </c>
      <c r="C61" s="42">
        <v>4129541306</v>
      </c>
      <c r="D61" s="42">
        <v>-4068497654</v>
      </c>
      <c r="E61" s="42">
        <v>86911584</v>
      </c>
      <c r="F61" s="42">
        <v>2333836</v>
      </c>
      <c r="G61" s="42">
        <v>4199042483</v>
      </c>
      <c r="H61" s="42">
        <v>-4141937576</v>
      </c>
      <c r="I61" s="42">
        <v>83388827</v>
      </c>
    </row>
    <row r="62" spans="1:9" ht="23.1" customHeight="1">
      <c r="A62" s="42" t="s">
        <v>186</v>
      </c>
      <c r="B62" s="42">
        <v>0</v>
      </c>
      <c r="C62" s="42">
        <v>0</v>
      </c>
      <c r="D62" s="42">
        <v>0</v>
      </c>
      <c r="E62" s="42"/>
      <c r="F62" s="42">
        <v>444741</v>
      </c>
      <c r="G62" s="42">
        <v>4732346019</v>
      </c>
      <c r="H62" s="42">
        <v>-5636708590</v>
      </c>
      <c r="I62" s="42">
        <v>-876036610</v>
      </c>
    </row>
    <row r="63" spans="1:9" ht="23.1" customHeight="1">
      <c r="A63" s="42" t="s">
        <v>52</v>
      </c>
      <c r="B63" s="42">
        <v>38049</v>
      </c>
      <c r="C63" s="42">
        <v>1321612787</v>
      </c>
      <c r="D63" s="42">
        <v>-1041540091</v>
      </c>
      <c r="E63" s="42">
        <v>290470909</v>
      </c>
      <c r="F63" s="42">
        <v>44245</v>
      </c>
      <c r="G63" s="42">
        <v>1502137002</v>
      </c>
      <c r="H63" s="42">
        <v>-1202601440</v>
      </c>
      <c r="I63" s="42">
        <v>311014320</v>
      </c>
    </row>
    <row r="64" spans="1:9" ht="23.1" customHeight="1">
      <c r="A64" s="42" t="s">
        <v>68</v>
      </c>
      <c r="B64" s="42">
        <v>6368</v>
      </c>
      <c r="C64" s="42">
        <v>300295090</v>
      </c>
      <c r="D64" s="42">
        <v>-423921223</v>
      </c>
      <c r="E64" s="42">
        <v>-121250183</v>
      </c>
      <c r="F64" s="42">
        <v>8731</v>
      </c>
      <c r="G64" s="42">
        <v>470828155</v>
      </c>
      <c r="H64" s="42">
        <v>-599856840</v>
      </c>
      <c r="I64" s="42">
        <v>-125632000</v>
      </c>
    </row>
    <row r="65" spans="1:10" ht="23.1" customHeight="1">
      <c r="A65" s="42" t="s">
        <v>187</v>
      </c>
      <c r="B65" s="42">
        <v>0</v>
      </c>
      <c r="C65" s="42">
        <v>0</v>
      </c>
      <c r="D65" s="42">
        <v>0</v>
      </c>
      <c r="E65" s="42"/>
      <c r="F65" s="42">
        <v>376281</v>
      </c>
      <c r="G65" s="42">
        <v>1524210658</v>
      </c>
      <c r="H65" s="42">
        <v>-2150742241</v>
      </c>
      <c r="I65" s="42">
        <v>-617408263</v>
      </c>
    </row>
    <row r="66" spans="1:10" ht="23.1" customHeight="1">
      <c r="A66" s="42" t="s">
        <v>50</v>
      </c>
      <c r="B66" s="42">
        <v>1328048</v>
      </c>
      <c r="C66" s="42">
        <v>11069861439</v>
      </c>
      <c r="D66" s="42">
        <v>-9631857470</v>
      </c>
      <c r="E66" s="42">
        <v>1510145760</v>
      </c>
      <c r="F66" s="42">
        <v>2495048</v>
      </c>
      <c r="G66" s="42">
        <v>17496661884</v>
      </c>
      <c r="H66" s="42">
        <v>-17531841214</v>
      </c>
      <c r="I66" s="42">
        <v>75430716</v>
      </c>
    </row>
    <row r="67" spans="1:10" ht="23.1" customHeight="1">
      <c r="A67" s="42" t="s">
        <v>41</v>
      </c>
      <c r="B67" s="42">
        <v>438021</v>
      </c>
      <c r="C67" s="42">
        <v>5959098168</v>
      </c>
      <c r="D67" s="42">
        <v>-6521054775</v>
      </c>
      <c r="E67" s="42">
        <v>-523189565</v>
      </c>
      <c r="F67" s="42">
        <v>653955</v>
      </c>
      <c r="G67" s="42">
        <v>8595552590</v>
      </c>
      <c r="H67" s="42">
        <v>-10189409480</v>
      </c>
      <c r="I67" s="42">
        <v>-1539309050</v>
      </c>
    </row>
    <row r="68" spans="1:10" ht="23.1" customHeight="1">
      <c r="A68" s="42" t="s">
        <v>188</v>
      </c>
      <c r="B68" s="42">
        <v>0</v>
      </c>
      <c r="C68" s="42">
        <v>0</v>
      </c>
      <c r="D68" s="42">
        <v>0</v>
      </c>
      <c r="E68" s="42"/>
      <c r="F68" s="42">
        <v>1841351</v>
      </c>
      <c r="G68" s="42">
        <v>2320731585</v>
      </c>
      <c r="H68" s="42">
        <v>-3424668975</v>
      </c>
      <c r="I68" s="42">
        <v>-1090046480</v>
      </c>
    </row>
    <row r="69" spans="1:10" ht="23.1" customHeight="1">
      <c r="A69" s="42" t="s">
        <v>48</v>
      </c>
      <c r="B69" s="42">
        <v>177516</v>
      </c>
      <c r="C69" s="42">
        <v>300289021</v>
      </c>
      <c r="D69" s="42">
        <v>-315510087</v>
      </c>
      <c r="E69" s="42">
        <v>-12845307</v>
      </c>
      <c r="F69" s="42">
        <v>623769</v>
      </c>
      <c r="G69" s="42">
        <v>1026926110</v>
      </c>
      <c r="H69" s="42">
        <v>-1108662944</v>
      </c>
      <c r="I69" s="42">
        <v>-75011739</v>
      </c>
    </row>
    <row r="70" spans="1:10" ht="23.1" customHeight="1">
      <c r="A70" s="42" t="s">
        <v>73</v>
      </c>
      <c r="B70" s="42">
        <v>16226</v>
      </c>
      <c r="C70" s="42">
        <v>494287594</v>
      </c>
      <c r="D70" s="42">
        <v>-604370690</v>
      </c>
      <c r="E70" s="42">
        <v>-106232490</v>
      </c>
      <c r="F70" s="42">
        <v>20412</v>
      </c>
      <c r="G70" s="42">
        <v>643978309</v>
      </c>
      <c r="H70" s="42">
        <v>-760286855</v>
      </c>
      <c r="I70" s="42">
        <v>-111561955</v>
      </c>
    </row>
    <row r="71" spans="1:10" ht="23.1" customHeight="1">
      <c r="A71" s="42" t="s">
        <v>25</v>
      </c>
      <c r="B71" s="42">
        <v>79001</v>
      </c>
      <c r="C71" s="42">
        <v>3172344815</v>
      </c>
      <c r="D71" s="42">
        <v>-3692299662</v>
      </c>
      <c r="E71" s="42">
        <v>-497861462</v>
      </c>
      <c r="F71" s="42">
        <v>88525</v>
      </c>
      <c r="G71" s="42">
        <v>3623652553</v>
      </c>
      <c r="H71" s="42">
        <v>-4148341054</v>
      </c>
      <c r="I71" s="42">
        <v>-499893774</v>
      </c>
    </row>
    <row r="72" spans="1:10" ht="23.1" customHeight="1">
      <c r="A72" s="42" t="s">
        <v>38</v>
      </c>
      <c r="B72" s="42">
        <v>53193</v>
      </c>
      <c r="C72" s="42">
        <v>300292227</v>
      </c>
      <c r="D72" s="42">
        <v>-305097414</v>
      </c>
      <c r="E72" s="42">
        <v>-2429244</v>
      </c>
      <c r="F72" s="42">
        <v>53193</v>
      </c>
      <c r="G72" s="42">
        <v>300292227</v>
      </c>
      <c r="H72" s="42">
        <v>-305097414</v>
      </c>
      <c r="I72" s="42">
        <v>-2429244</v>
      </c>
    </row>
    <row r="73" spans="1:10" ht="23.1" customHeight="1">
      <c r="A73" s="42" t="s">
        <v>75</v>
      </c>
      <c r="B73" s="42">
        <v>54754</v>
      </c>
      <c r="C73" s="42">
        <v>1434993800</v>
      </c>
      <c r="D73" s="42">
        <v>-1201869519</v>
      </c>
      <c r="E73" s="42">
        <v>242605571</v>
      </c>
      <c r="F73" s="42">
        <v>54754</v>
      </c>
      <c r="G73" s="42">
        <v>1434993800</v>
      </c>
      <c r="H73" s="42">
        <v>-1201869519</v>
      </c>
      <c r="I73" s="42">
        <v>242605571</v>
      </c>
    </row>
    <row r="74" spans="1:10" ht="23.1" customHeight="1">
      <c r="A74" s="42" t="s">
        <v>54</v>
      </c>
      <c r="B74" s="42">
        <v>0</v>
      </c>
      <c r="C74" s="42">
        <v>0</v>
      </c>
      <c r="D74" s="42">
        <v>0</v>
      </c>
      <c r="E74" s="42"/>
      <c r="F74" s="42">
        <v>270451</v>
      </c>
      <c r="G74" s="42">
        <v>1732124939</v>
      </c>
      <c r="H74" s="42">
        <v>-2535178333</v>
      </c>
      <c r="I74" s="42">
        <v>-792685713</v>
      </c>
    </row>
    <row r="75" spans="1:10" ht="23.1" customHeight="1">
      <c r="A75" s="42" t="s">
        <v>66</v>
      </c>
      <c r="B75" s="42">
        <v>143465</v>
      </c>
      <c r="C75" s="42">
        <v>995674053</v>
      </c>
      <c r="D75" s="42">
        <v>-970244732</v>
      </c>
      <c r="E75" s="42">
        <v>32353198</v>
      </c>
      <c r="F75" s="42">
        <v>513689</v>
      </c>
      <c r="G75" s="42">
        <v>2703774499</v>
      </c>
      <c r="H75" s="42">
        <v>-3505910578</v>
      </c>
      <c r="I75" s="42">
        <v>-784988192</v>
      </c>
    </row>
    <row r="76" spans="1:10" ht="23.1" customHeight="1">
      <c r="A76" s="42" t="s">
        <v>189</v>
      </c>
      <c r="B76" s="42">
        <v>0</v>
      </c>
      <c r="C76" s="42">
        <v>0</v>
      </c>
      <c r="D76" s="42">
        <v>0</v>
      </c>
      <c r="E76" s="42"/>
      <c r="F76" s="42">
        <v>1551037</v>
      </c>
      <c r="G76" s="42">
        <v>2144668566</v>
      </c>
      <c r="H76" s="42">
        <v>-2804549354</v>
      </c>
      <c r="I76" s="42">
        <v>-647043678</v>
      </c>
    </row>
    <row r="77" spans="1:10" ht="23.1" customHeight="1">
      <c r="A77" s="42" t="s">
        <v>23</v>
      </c>
      <c r="B77" s="42">
        <v>90000</v>
      </c>
      <c r="C77" s="42">
        <v>671878402</v>
      </c>
      <c r="D77" s="42">
        <v>-701403715</v>
      </c>
      <c r="E77" s="42">
        <v>-25503715</v>
      </c>
      <c r="F77" s="42">
        <v>95694</v>
      </c>
      <c r="G77" s="42">
        <v>722027075</v>
      </c>
      <c r="H77" s="42">
        <v>-752344801</v>
      </c>
      <c r="I77" s="42">
        <v>-25995961</v>
      </c>
      <c r="J77" s="50"/>
    </row>
    <row r="78" spans="1:10" ht="23.1" customHeight="1">
      <c r="A78" s="42" t="s">
        <v>33</v>
      </c>
      <c r="B78" s="42">
        <v>7925</v>
      </c>
      <c r="C78" s="42">
        <v>693250471</v>
      </c>
      <c r="D78" s="42">
        <v>-718709667</v>
      </c>
      <c r="E78" s="42">
        <v>-21309667</v>
      </c>
      <c r="F78" s="42">
        <v>8877</v>
      </c>
      <c r="G78" s="42">
        <v>793562053</v>
      </c>
      <c r="H78" s="42">
        <v>-805933420</v>
      </c>
      <c r="I78" s="42">
        <v>-7621420</v>
      </c>
    </row>
    <row r="79" spans="1:10" ht="23.1" customHeight="1">
      <c r="A79" s="42" t="s">
        <v>190</v>
      </c>
      <c r="B79" s="42">
        <v>0</v>
      </c>
      <c r="C79" s="42">
        <v>0</v>
      </c>
      <c r="D79" s="42">
        <v>0</v>
      </c>
      <c r="E79" s="42"/>
      <c r="F79" s="42">
        <v>652251</v>
      </c>
      <c r="G79" s="42">
        <v>2378374164</v>
      </c>
      <c r="H79" s="42">
        <v>-2882653496</v>
      </c>
      <c r="I79" s="42">
        <v>-490043326</v>
      </c>
    </row>
    <row r="80" spans="1:10" ht="23.1" customHeight="1">
      <c r="A80" s="42" t="s">
        <v>31</v>
      </c>
      <c r="B80" s="42">
        <v>85388</v>
      </c>
      <c r="C80" s="42">
        <v>5467090066</v>
      </c>
      <c r="D80" s="42">
        <v>-5367460260</v>
      </c>
      <c r="E80" s="42">
        <v>141125340</v>
      </c>
      <c r="F80" s="42">
        <v>92107</v>
      </c>
      <c r="G80" s="42">
        <v>5868298918</v>
      </c>
      <c r="H80" s="42">
        <v>-5781492830</v>
      </c>
      <c r="I80" s="42">
        <v>130703100</v>
      </c>
    </row>
    <row r="81" spans="1:9" ht="23.1" customHeight="1">
      <c r="A81" s="42" t="s">
        <v>146</v>
      </c>
      <c r="B81" s="42">
        <v>0</v>
      </c>
      <c r="C81" s="42">
        <v>0</v>
      </c>
      <c r="D81" s="42">
        <v>0</v>
      </c>
      <c r="E81" s="42"/>
      <c r="F81" s="42">
        <v>3264919</v>
      </c>
      <c r="G81" s="42">
        <v>11121473173</v>
      </c>
      <c r="H81" s="42">
        <v>-12021305084</v>
      </c>
      <c r="I81" s="42">
        <v>-833263239</v>
      </c>
    </row>
    <row r="82" spans="1:9" ht="23.1" customHeight="1">
      <c r="A82" s="42" t="s">
        <v>53</v>
      </c>
      <c r="B82" s="42">
        <v>184573</v>
      </c>
      <c r="C82" s="42">
        <v>1667860911</v>
      </c>
      <c r="D82" s="42">
        <v>-1617283005</v>
      </c>
      <c r="E82" s="42">
        <v>61703625</v>
      </c>
      <c r="F82" s="42">
        <v>950725</v>
      </c>
      <c r="G82" s="42">
        <v>6964437688</v>
      </c>
      <c r="H82" s="42">
        <v>-8223987323</v>
      </c>
      <c r="I82" s="42">
        <v>-1216720713</v>
      </c>
    </row>
    <row r="83" spans="1:9" ht="23.1" customHeight="1">
      <c r="A83" s="42" t="s">
        <v>77</v>
      </c>
      <c r="B83" s="42">
        <v>630380</v>
      </c>
      <c r="C83" s="42">
        <v>3370736835</v>
      </c>
      <c r="D83" s="42">
        <v>-3318601516</v>
      </c>
      <c r="E83" s="42">
        <v>72889704</v>
      </c>
      <c r="F83" s="42">
        <v>630380</v>
      </c>
      <c r="G83" s="42">
        <v>3370736835</v>
      </c>
      <c r="H83" s="42">
        <v>-3318601516</v>
      </c>
      <c r="I83" s="42">
        <v>72889704</v>
      </c>
    </row>
    <row r="84" spans="1:9" ht="23.1" customHeight="1">
      <c r="A84" s="42" t="s">
        <v>80</v>
      </c>
      <c r="B84" s="42">
        <v>0</v>
      </c>
      <c r="C84" s="42">
        <v>0</v>
      </c>
      <c r="D84" s="42">
        <v>0</v>
      </c>
      <c r="E84" s="42"/>
      <c r="F84" s="42">
        <v>250000</v>
      </c>
      <c r="G84" s="42">
        <v>16302420151</v>
      </c>
      <c r="H84" s="42">
        <v>-16079586929</v>
      </c>
      <c r="I84" s="42">
        <v>320413071</v>
      </c>
    </row>
    <row r="85" spans="1:9" ht="23.1" customHeight="1">
      <c r="A85" s="42" t="s">
        <v>154</v>
      </c>
      <c r="B85" s="42">
        <v>0</v>
      </c>
      <c r="C85" s="42">
        <v>0</v>
      </c>
      <c r="D85" s="42">
        <v>0</v>
      </c>
      <c r="E85" s="42"/>
      <c r="F85" s="42">
        <v>1103257</v>
      </c>
      <c r="G85" s="42">
        <v>1204168535</v>
      </c>
      <c r="H85" s="42">
        <v>-2092410560</v>
      </c>
      <c r="I85" s="42">
        <v>-881034374</v>
      </c>
    </row>
    <row r="86" spans="1:9" ht="23.1" customHeight="1">
      <c r="A86" s="42" t="s">
        <v>156</v>
      </c>
      <c r="B86" s="42">
        <v>0</v>
      </c>
      <c r="C86" s="42">
        <v>0</v>
      </c>
      <c r="D86" s="42">
        <v>0</v>
      </c>
      <c r="E86" s="42"/>
      <c r="F86" s="42">
        <v>154440</v>
      </c>
      <c r="G86" s="42">
        <v>2178917053</v>
      </c>
      <c r="H86" s="42">
        <v>-3303773687</v>
      </c>
      <c r="I86" s="42">
        <v>-1111814487</v>
      </c>
    </row>
    <row r="87" spans="1:9" ht="23.1" customHeight="1">
      <c r="A87" s="42" t="s">
        <v>78</v>
      </c>
      <c r="B87" s="42">
        <v>158132</v>
      </c>
      <c r="C87" s="42">
        <v>500481222</v>
      </c>
      <c r="D87" s="42">
        <v>-473570007</v>
      </c>
      <c r="E87" s="42">
        <v>30871073</v>
      </c>
      <c r="F87" s="42">
        <v>976399</v>
      </c>
      <c r="G87" s="42">
        <v>2977583166</v>
      </c>
      <c r="H87" s="42">
        <v>-3823957655</v>
      </c>
      <c r="I87" s="42">
        <v>-827587681</v>
      </c>
    </row>
    <row r="88" spans="1:9" ht="23.1" customHeight="1">
      <c r="A88" s="42" t="s">
        <v>44</v>
      </c>
      <c r="B88" s="42">
        <v>12512</v>
      </c>
      <c r="C88" s="42">
        <v>300289374</v>
      </c>
      <c r="D88" s="42">
        <v>-387181044</v>
      </c>
      <c r="E88" s="42">
        <v>-84515764</v>
      </c>
      <c r="F88" s="42">
        <v>16014</v>
      </c>
      <c r="G88" s="42">
        <v>430693752</v>
      </c>
      <c r="H88" s="42">
        <v>-495549651</v>
      </c>
      <c r="I88" s="42">
        <v>-61699451</v>
      </c>
    </row>
    <row r="89" spans="1:9" ht="23.1" customHeight="1">
      <c r="A89" s="42" t="s">
        <v>191</v>
      </c>
      <c r="B89" s="42">
        <v>0</v>
      </c>
      <c r="C89" s="42">
        <v>0</v>
      </c>
      <c r="D89" s="42">
        <v>0</v>
      </c>
      <c r="E89" s="42"/>
      <c r="F89" s="42">
        <v>1707968</v>
      </c>
      <c r="G89" s="42">
        <v>3230411896</v>
      </c>
      <c r="H89" s="42">
        <v>-3565391745</v>
      </c>
      <c r="I89" s="42">
        <v>-315643873</v>
      </c>
    </row>
    <row r="90" spans="1:9" ht="23.1" customHeight="1">
      <c r="A90" s="42" t="s">
        <v>82</v>
      </c>
      <c r="B90" s="42"/>
      <c r="C90" s="42">
        <v>112285293698</v>
      </c>
      <c r="D90" s="42">
        <v>-111256198648</v>
      </c>
      <c r="E90" s="42">
        <v>1798121443</v>
      </c>
      <c r="F90" s="42"/>
      <c r="G90" s="42">
        <v>284506482887</v>
      </c>
      <c r="H90" s="42">
        <v>-322132357712</v>
      </c>
      <c r="I90" s="42">
        <f>SUBTOTAL(109,I7:I89)</f>
        <v>-35826002153</v>
      </c>
    </row>
    <row r="91" spans="1:9" ht="23.1" customHeight="1">
      <c r="A91" s="12" t="s">
        <v>83</v>
      </c>
      <c r="B91" s="13"/>
      <c r="C91" s="14"/>
      <c r="D91" s="14"/>
      <c r="E91" s="44"/>
      <c r="F91" s="13"/>
      <c r="G91" s="42"/>
      <c r="H91" s="42"/>
      <c r="I91" s="49"/>
    </row>
    <row r="92" spans="1:9">
      <c r="E92" s="51"/>
    </row>
    <row r="93" spans="1:9">
      <c r="A93" s="118" t="s">
        <v>192</v>
      </c>
      <c r="B93" s="119"/>
      <c r="C93" s="119"/>
      <c r="D93" s="119"/>
      <c r="E93" s="119"/>
      <c r="F93" s="119"/>
      <c r="G93" s="119"/>
      <c r="H93" s="119"/>
      <c r="I93" s="120"/>
    </row>
  </sheetData>
  <mergeCells count="8">
    <mergeCell ref="A1:I1"/>
    <mergeCell ref="A2:I2"/>
    <mergeCell ref="A3:I3"/>
    <mergeCell ref="A93:I93"/>
    <mergeCell ref="B5:E5"/>
    <mergeCell ref="F5:I5"/>
    <mergeCell ref="A4:E4"/>
    <mergeCell ref="F4:I4"/>
  </mergeCells>
  <pageMargins left="0.7" right="0.7" top="0.75" bottom="0.75" header="0.3" footer="0.3"/>
  <pageSetup paperSize="9" scale="55" orientation="landscape" r:id="rId1"/>
  <headerFooter differentOddEven="1" differentFirst="1"/>
  <rowBreaks count="1" manualBreakCount="1">
    <brk id="53" max="8" man="1"/>
  </rowBreak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I70"/>
  <sheetViews>
    <sheetView rightToLeft="1" view="pageBreakPreview" zoomScale="106" zoomScaleNormal="130" zoomScaleSheetLayoutView="106" workbookViewId="0">
      <selection activeCell="E12" sqref="E12"/>
    </sheetView>
  </sheetViews>
  <sheetFormatPr defaultColWidth="9" defaultRowHeight="18"/>
  <cols>
    <col min="1" max="1" width="31.7109375" style="26" customWidth="1"/>
    <col min="2" max="2" width="13" style="26" customWidth="1"/>
    <col min="3" max="3" width="16.28515625" style="26" customWidth="1"/>
    <col min="4" max="4" width="17" style="26" customWidth="1"/>
    <col min="5" max="5" width="28.42578125" style="26" customWidth="1"/>
    <col min="6" max="6" width="13" style="26" customWidth="1"/>
    <col min="7" max="7" width="16.28515625" style="26" customWidth="1"/>
    <col min="8" max="8" width="17" style="26" customWidth="1"/>
    <col min="9" max="9" width="28.42578125" style="26" customWidth="1"/>
    <col min="10" max="10" width="9" style="1" customWidth="1"/>
    <col min="11" max="16384" width="9" style="1"/>
  </cols>
  <sheetData>
    <row r="1" spans="1:9">
      <c r="A1" s="107" t="s">
        <v>1</v>
      </c>
      <c r="B1" s="107"/>
      <c r="C1" s="107"/>
      <c r="D1" s="107"/>
      <c r="E1" s="107"/>
      <c r="F1" s="107"/>
      <c r="G1" s="107"/>
      <c r="H1" s="107"/>
      <c r="I1" s="107"/>
    </row>
    <row r="2" spans="1:9">
      <c r="A2" s="107" t="s">
        <v>105</v>
      </c>
      <c r="B2" s="107"/>
      <c r="C2" s="107"/>
      <c r="D2" s="107"/>
      <c r="E2" s="107"/>
      <c r="F2" s="107"/>
      <c r="G2" s="107"/>
      <c r="H2" s="107"/>
      <c r="I2" s="107"/>
    </row>
    <row r="3" spans="1:9">
      <c r="A3" s="107" t="s">
        <v>106</v>
      </c>
      <c r="B3" s="107"/>
      <c r="C3" s="107"/>
      <c r="D3" s="107"/>
      <c r="E3" s="107"/>
      <c r="F3" s="107"/>
      <c r="G3" s="107"/>
      <c r="H3" s="107"/>
      <c r="I3" s="107"/>
    </row>
    <row r="4" spans="1:9" ht="18.75">
      <c r="A4" s="108" t="s">
        <v>193</v>
      </c>
      <c r="B4" s="109"/>
      <c r="C4" s="109"/>
      <c r="D4" s="109"/>
      <c r="E4" s="18"/>
      <c r="F4" s="18"/>
      <c r="G4" s="18"/>
      <c r="H4" s="18"/>
      <c r="I4" s="18"/>
    </row>
    <row r="5" spans="1:9" ht="16.5" customHeight="1">
      <c r="A5" s="18"/>
      <c r="B5" s="123" t="s">
        <v>119</v>
      </c>
      <c r="C5" s="115"/>
      <c r="D5" s="115"/>
      <c r="E5" s="115"/>
      <c r="F5" s="116" t="s">
        <v>120</v>
      </c>
      <c r="G5" s="114"/>
      <c r="H5" s="114"/>
      <c r="I5" s="114"/>
    </row>
    <row r="6" spans="1:9" ht="53.25" customHeight="1">
      <c r="A6" s="29" t="s">
        <v>108</v>
      </c>
      <c r="B6" s="25" t="s">
        <v>14</v>
      </c>
      <c r="C6" s="25" t="s">
        <v>16</v>
      </c>
      <c r="D6" s="25" t="s">
        <v>171</v>
      </c>
      <c r="E6" s="32" t="s">
        <v>194</v>
      </c>
      <c r="F6" s="25" t="s">
        <v>14</v>
      </c>
      <c r="G6" s="25" t="s">
        <v>16</v>
      </c>
      <c r="H6" s="25" t="s">
        <v>171</v>
      </c>
      <c r="I6" s="32" t="s">
        <v>194</v>
      </c>
    </row>
    <row r="7" spans="1:9" ht="23.1" customHeight="1">
      <c r="A7" s="12" t="s">
        <v>23</v>
      </c>
      <c r="B7" s="13">
        <v>549981</v>
      </c>
      <c r="C7" s="14">
        <v>3918338870</v>
      </c>
      <c r="D7" s="14">
        <v>-3605488263</v>
      </c>
      <c r="E7" s="14">
        <v>312850607</v>
      </c>
      <c r="F7" s="13">
        <v>549981</v>
      </c>
      <c r="G7" s="14">
        <v>3918338870</v>
      </c>
      <c r="H7" s="14">
        <v>-4286207963</v>
      </c>
      <c r="I7" s="14">
        <v>-367869093</v>
      </c>
    </row>
    <row r="8" spans="1:9" ht="23.1" customHeight="1">
      <c r="A8" s="12" t="s">
        <v>24</v>
      </c>
      <c r="B8" s="13">
        <v>1837671</v>
      </c>
      <c r="C8" s="14">
        <v>9029802661</v>
      </c>
      <c r="D8" s="14">
        <v>-7820129702</v>
      </c>
      <c r="E8" s="14">
        <v>1209672959</v>
      </c>
      <c r="F8" s="13">
        <v>1837671</v>
      </c>
      <c r="G8" s="14">
        <v>9029802661</v>
      </c>
      <c r="H8" s="14">
        <v>-8494326390</v>
      </c>
      <c r="I8" s="14">
        <v>535476271</v>
      </c>
    </row>
    <row r="9" spans="1:9" ht="23.1" customHeight="1">
      <c r="A9" s="12" t="s">
        <v>25</v>
      </c>
      <c r="B9" s="13">
        <v>718282</v>
      </c>
      <c r="C9" s="14">
        <v>29699445777</v>
      </c>
      <c r="D9" s="14">
        <v>-31805529593</v>
      </c>
      <c r="E9" s="14">
        <v>-2106083816</v>
      </c>
      <c r="F9" s="13">
        <v>718282</v>
      </c>
      <c r="G9" s="14">
        <v>29699445777</v>
      </c>
      <c r="H9" s="14">
        <v>-33570617911</v>
      </c>
      <c r="I9" s="14">
        <v>-3871172134</v>
      </c>
    </row>
    <row r="10" spans="1:9" ht="23.1" customHeight="1">
      <c r="A10" s="12" t="s">
        <v>26</v>
      </c>
      <c r="B10" s="13">
        <v>856411</v>
      </c>
      <c r="C10" s="14">
        <v>4903293744</v>
      </c>
      <c r="D10" s="14">
        <v>-4613851927</v>
      </c>
      <c r="E10" s="14">
        <v>289441817</v>
      </c>
      <c r="F10" s="13">
        <v>856411</v>
      </c>
      <c r="G10" s="14">
        <v>4903293744</v>
      </c>
      <c r="H10" s="14">
        <v>-7449286272</v>
      </c>
      <c r="I10" s="14">
        <v>-2545992528</v>
      </c>
    </row>
    <row r="11" spans="1:9" ht="23.1" customHeight="1">
      <c r="A11" s="12" t="s">
        <v>27</v>
      </c>
      <c r="B11" s="13">
        <v>13200000</v>
      </c>
      <c r="C11" s="14">
        <v>6352512540</v>
      </c>
      <c r="D11" s="14">
        <v>-6337665181</v>
      </c>
      <c r="E11" s="14">
        <v>14847359</v>
      </c>
      <c r="F11" s="13">
        <v>13200000</v>
      </c>
      <c r="G11" s="14">
        <v>6352512540</v>
      </c>
      <c r="H11" s="14">
        <v>-6407940850</v>
      </c>
      <c r="I11" s="14">
        <v>-55428310</v>
      </c>
    </row>
    <row r="12" spans="1:9" ht="23.1" customHeight="1">
      <c r="A12" s="12" t="s">
        <v>28</v>
      </c>
      <c r="B12" s="13">
        <v>723642</v>
      </c>
      <c r="C12" s="14">
        <v>4171860320</v>
      </c>
      <c r="D12" s="14">
        <v>-4162721198</v>
      </c>
      <c r="E12" s="14">
        <v>9139122</v>
      </c>
      <c r="F12" s="13">
        <v>723642</v>
      </c>
      <c r="G12" s="14">
        <v>4171860320</v>
      </c>
      <c r="H12" s="14">
        <v>-3344194600</v>
      </c>
      <c r="I12" s="14">
        <v>827665720</v>
      </c>
    </row>
    <row r="13" spans="1:9" ht="23.1" customHeight="1">
      <c r="A13" s="12" t="s">
        <v>29</v>
      </c>
      <c r="B13" s="13">
        <v>1596966</v>
      </c>
      <c r="C13" s="14">
        <v>17811145133</v>
      </c>
      <c r="D13" s="14">
        <v>-15884821576</v>
      </c>
      <c r="E13" s="14">
        <v>1926323557</v>
      </c>
      <c r="F13" s="13">
        <v>1596966</v>
      </c>
      <c r="G13" s="14">
        <v>17811145133</v>
      </c>
      <c r="H13" s="14">
        <v>-16585658046</v>
      </c>
      <c r="I13" s="14">
        <v>1225487087</v>
      </c>
    </row>
    <row r="14" spans="1:9" ht="23.1" customHeight="1">
      <c r="A14" s="12" t="s">
        <v>30</v>
      </c>
      <c r="B14" s="13">
        <v>4764598</v>
      </c>
      <c r="C14" s="14">
        <v>24740408155</v>
      </c>
      <c r="D14" s="14">
        <v>-24812966802</v>
      </c>
      <c r="E14" s="14">
        <v>-72558647</v>
      </c>
      <c r="F14" s="13">
        <v>4764598</v>
      </c>
      <c r="G14" s="14">
        <v>24740408155</v>
      </c>
      <c r="H14" s="14">
        <v>-19800935938</v>
      </c>
      <c r="I14" s="14">
        <v>4939472217</v>
      </c>
    </row>
    <row r="15" spans="1:9" ht="23.1" customHeight="1">
      <c r="A15" s="12" t="s">
        <v>31</v>
      </c>
      <c r="B15" s="13">
        <v>273620</v>
      </c>
      <c r="C15" s="14">
        <v>17769996847</v>
      </c>
      <c r="D15" s="14">
        <v>-18674999807</v>
      </c>
      <c r="E15" s="14">
        <v>-905002960</v>
      </c>
      <c r="F15" s="13">
        <v>273620</v>
      </c>
      <c r="G15" s="14">
        <v>17769996847</v>
      </c>
      <c r="H15" s="14">
        <v>-17199658927</v>
      </c>
      <c r="I15" s="14">
        <v>570337920</v>
      </c>
    </row>
    <row r="16" spans="1:9" ht="23.1" customHeight="1">
      <c r="A16" s="12" t="s">
        <v>32</v>
      </c>
      <c r="B16" s="13">
        <v>3582531</v>
      </c>
      <c r="C16" s="14">
        <v>6611998749</v>
      </c>
      <c r="D16" s="14">
        <v>-6459080193</v>
      </c>
      <c r="E16" s="14">
        <v>152918556</v>
      </c>
      <c r="F16" s="13">
        <v>3582531</v>
      </c>
      <c r="G16" s="14">
        <v>6611998749</v>
      </c>
      <c r="H16" s="14">
        <v>-6352093014</v>
      </c>
      <c r="I16" s="14">
        <v>259905735</v>
      </c>
    </row>
    <row r="17" spans="1:9" ht="23.1" customHeight="1">
      <c r="A17" s="12" t="s">
        <v>33</v>
      </c>
      <c r="B17" s="13">
        <v>135256</v>
      </c>
      <c r="C17" s="14">
        <v>11716574132</v>
      </c>
      <c r="D17" s="14">
        <v>-11863180392</v>
      </c>
      <c r="E17" s="14">
        <v>-146606260</v>
      </c>
      <c r="F17" s="13">
        <v>135256</v>
      </c>
      <c r="G17" s="14">
        <v>11716574132</v>
      </c>
      <c r="H17" s="14">
        <v>-12266220152</v>
      </c>
      <c r="I17" s="14">
        <v>-549646020</v>
      </c>
    </row>
    <row r="18" spans="1:9" ht="23.1" customHeight="1">
      <c r="A18" s="12" t="s">
        <v>34</v>
      </c>
      <c r="B18" s="13">
        <v>52142</v>
      </c>
      <c r="C18" s="14">
        <v>15506161022</v>
      </c>
      <c r="D18" s="14">
        <v>-14756445560</v>
      </c>
      <c r="E18" s="14">
        <v>749715462</v>
      </c>
      <c r="F18" s="13">
        <v>52142</v>
      </c>
      <c r="G18" s="14">
        <v>15506161022</v>
      </c>
      <c r="H18" s="14">
        <v>-14875524553</v>
      </c>
      <c r="I18" s="14">
        <v>630636469</v>
      </c>
    </row>
    <row r="19" spans="1:9" ht="23.1" customHeight="1">
      <c r="A19" s="12" t="s">
        <v>35</v>
      </c>
      <c r="B19" s="13">
        <v>444616</v>
      </c>
      <c r="C19" s="14">
        <v>2519132769</v>
      </c>
      <c r="D19" s="14">
        <v>-2438572243</v>
      </c>
      <c r="E19" s="14">
        <v>80560526</v>
      </c>
      <c r="F19" s="13">
        <v>444616</v>
      </c>
      <c r="G19" s="14">
        <v>2519132769</v>
      </c>
      <c r="H19" s="14">
        <v>-2273470249</v>
      </c>
      <c r="I19" s="14">
        <v>245662520</v>
      </c>
    </row>
    <row r="20" spans="1:9" ht="23.1" customHeight="1">
      <c r="A20" s="12" t="s">
        <v>36</v>
      </c>
      <c r="B20" s="13">
        <v>17353992</v>
      </c>
      <c r="C20" s="14">
        <v>9229837267</v>
      </c>
      <c r="D20" s="14">
        <v>-9177391422</v>
      </c>
      <c r="E20" s="14">
        <v>52445845</v>
      </c>
      <c r="F20" s="13">
        <v>17353992</v>
      </c>
      <c r="G20" s="14">
        <v>9229837267</v>
      </c>
      <c r="H20" s="14">
        <v>-8963708841</v>
      </c>
      <c r="I20" s="14">
        <v>266128426</v>
      </c>
    </row>
    <row r="21" spans="1:9" ht="23.1" customHeight="1">
      <c r="A21" s="12" t="s">
        <v>37</v>
      </c>
      <c r="B21" s="13">
        <v>10683104</v>
      </c>
      <c r="C21" s="14">
        <v>32543607475</v>
      </c>
      <c r="D21" s="14">
        <v>-28651731088</v>
      </c>
      <c r="E21" s="14">
        <v>3891876387</v>
      </c>
      <c r="F21" s="13">
        <v>10683104</v>
      </c>
      <c r="G21" s="14">
        <v>32543607475</v>
      </c>
      <c r="H21" s="14">
        <v>-37945678946</v>
      </c>
      <c r="I21" s="14">
        <v>-5402071471</v>
      </c>
    </row>
    <row r="22" spans="1:9" ht="23.1" customHeight="1">
      <c r="A22" s="12" t="s">
        <v>38</v>
      </c>
      <c r="B22" s="13">
        <v>729152</v>
      </c>
      <c r="C22" s="14">
        <v>4218096271</v>
      </c>
      <c r="D22" s="14">
        <v>-3894428846</v>
      </c>
      <c r="E22" s="14">
        <v>323667425</v>
      </c>
      <c r="F22" s="13">
        <v>729152</v>
      </c>
      <c r="G22" s="14">
        <v>4218096271</v>
      </c>
      <c r="H22" s="14">
        <v>-4182174163</v>
      </c>
      <c r="I22" s="14">
        <v>35922108</v>
      </c>
    </row>
    <row r="23" spans="1:9" ht="23.1" customHeight="1">
      <c r="A23" s="12" t="s">
        <v>39</v>
      </c>
      <c r="B23" s="13">
        <v>1054588</v>
      </c>
      <c r="C23" s="14">
        <v>7733162300</v>
      </c>
      <c r="D23" s="14">
        <v>-6855497594</v>
      </c>
      <c r="E23" s="14">
        <v>877664706</v>
      </c>
      <c r="F23" s="13">
        <v>1054588</v>
      </c>
      <c r="G23" s="14">
        <v>7733162300</v>
      </c>
      <c r="H23" s="14">
        <v>-7821646924</v>
      </c>
      <c r="I23" s="14">
        <v>-88484624</v>
      </c>
    </row>
    <row r="24" spans="1:9" ht="23.1" customHeight="1">
      <c r="A24" s="12" t="s">
        <v>40</v>
      </c>
      <c r="B24" s="13">
        <v>2089024</v>
      </c>
      <c r="C24" s="14">
        <v>9039811560</v>
      </c>
      <c r="D24" s="14">
        <v>-8739221434</v>
      </c>
      <c r="E24" s="14">
        <v>300590126</v>
      </c>
      <c r="F24" s="13">
        <v>2089024</v>
      </c>
      <c r="G24" s="14">
        <v>9039811560</v>
      </c>
      <c r="H24" s="14">
        <v>-8937209358</v>
      </c>
      <c r="I24" s="14">
        <v>102602202</v>
      </c>
    </row>
    <row r="25" spans="1:9" ht="23.1" customHeight="1">
      <c r="A25" s="12" t="s">
        <v>41</v>
      </c>
      <c r="B25" s="13">
        <v>1035726</v>
      </c>
      <c r="C25" s="14">
        <v>14090038982</v>
      </c>
      <c r="D25" s="14">
        <v>-13871441847</v>
      </c>
      <c r="E25" s="14">
        <v>218597135</v>
      </c>
      <c r="F25" s="13">
        <v>1035726</v>
      </c>
      <c r="G25" s="14">
        <v>14090038982</v>
      </c>
      <c r="H25" s="14">
        <v>-15419411357</v>
      </c>
      <c r="I25" s="14">
        <v>-1329372375</v>
      </c>
    </row>
    <row r="26" spans="1:9" ht="23.1" customHeight="1">
      <c r="A26" s="12" t="s">
        <v>42</v>
      </c>
      <c r="B26" s="13">
        <v>2801842</v>
      </c>
      <c r="C26" s="14">
        <v>13219773789</v>
      </c>
      <c r="D26" s="14">
        <v>-14412106099</v>
      </c>
      <c r="E26" s="14">
        <v>-1192332310</v>
      </c>
      <c r="F26" s="13">
        <v>2801842</v>
      </c>
      <c r="G26" s="14">
        <v>13219773789</v>
      </c>
      <c r="H26" s="14">
        <v>-13305387613</v>
      </c>
      <c r="I26" s="14">
        <v>-85613824</v>
      </c>
    </row>
    <row r="27" spans="1:9" ht="23.1" customHeight="1">
      <c r="A27" s="12" t="s">
        <v>43</v>
      </c>
      <c r="B27" s="13">
        <v>3515834</v>
      </c>
      <c r="C27" s="14">
        <v>8651868379</v>
      </c>
      <c r="D27" s="14">
        <v>-9011819955</v>
      </c>
      <c r="E27" s="14">
        <v>-359951576</v>
      </c>
      <c r="F27" s="13">
        <v>3515834</v>
      </c>
      <c r="G27" s="14">
        <v>8651868379</v>
      </c>
      <c r="H27" s="14">
        <v>-9616129591</v>
      </c>
      <c r="I27" s="14">
        <v>-964261212</v>
      </c>
    </row>
    <row r="28" spans="1:9" ht="23.1" customHeight="1">
      <c r="A28" s="12" t="s">
        <v>44</v>
      </c>
      <c r="B28" s="13">
        <v>130253</v>
      </c>
      <c r="C28" s="14">
        <v>3125171773</v>
      </c>
      <c r="D28" s="14">
        <v>-3113875535</v>
      </c>
      <c r="E28" s="14">
        <v>11296238</v>
      </c>
      <c r="F28" s="13">
        <v>130253</v>
      </c>
      <c r="G28" s="14">
        <v>3125171773</v>
      </c>
      <c r="H28" s="14">
        <v>-4030649978</v>
      </c>
      <c r="I28" s="14">
        <v>-905478205</v>
      </c>
    </row>
    <row r="29" spans="1:9" ht="23.1" customHeight="1">
      <c r="A29" s="12" t="s">
        <v>45</v>
      </c>
      <c r="B29" s="13">
        <v>30800130</v>
      </c>
      <c r="C29" s="14">
        <v>36491081728</v>
      </c>
      <c r="D29" s="14">
        <v>-37330494525</v>
      </c>
      <c r="E29" s="14">
        <v>-839412797</v>
      </c>
      <c r="F29" s="13">
        <v>30800130</v>
      </c>
      <c r="G29" s="14">
        <v>36491081728</v>
      </c>
      <c r="H29" s="14">
        <v>-38076112033</v>
      </c>
      <c r="I29" s="14">
        <v>-1585030305</v>
      </c>
    </row>
    <row r="30" spans="1:9" ht="23.1" customHeight="1">
      <c r="A30" s="12" t="s">
        <v>46</v>
      </c>
      <c r="B30" s="13">
        <v>525145</v>
      </c>
      <c r="C30" s="14">
        <v>7071131991</v>
      </c>
      <c r="D30" s="14">
        <v>-6849821792</v>
      </c>
      <c r="E30" s="14">
        <v>221310199</v>
      </c>
      <c r="F30" s="13">
        <v>525145</v>
      </c>
      <c r="G30" s="14">
        <v>7071131991</v>
      </c>
      <c r="H30" s="14">
        <v>-8722960676</v>
      </c>
      <c r="I30" s="14">
        <v>-1651828685</v>
      </c>
    </row>
    <row r="31" spans="1:9" ht="23.1" customHeight="1">
      <c r="A31" s="12" t="s">
        <v>47</v>
      </c>
      <c r="B31" s="13">
        <v>3678177</v>
      </c>
      <c r="C31" s="14">
        <v>15077496339</v>
      </c>
      <c r="D31" s="14">
        <v>-15104681081</v>
      </c>
      <c r="E31" s="14">
        <v>-27184742</v>
      </c>
      <c r="F31" s="13">
        <v>3678177</v>
      </c>
      <c r="G31" s="14">
        <v>15077496339</v>
      </c>
      <c r="H31" s="14">
        <v>-12759481365</v>
      </c>
      <c r="I31" s="14">
        <v>2318014974</v>
      </c>
    </row>
    <row r="32" spans="1:9" ht="23.1" customHeight="1">
      <c r="A32" s="12" t="s">
        <v>48</v>
      </c>
      <c r="B32" s="13">
        <v>1381938</v>
      </c>
      <c r="C32" s="14">
        <v>2320164511</v>
      </c>
      <c r="D32" s="14">
        <v>-2525961148</v>
      </c>
      <c r="E32" s="14">
        <v>-205796637</v>
      </c>
      <c r="F32" s="13">
        <v>1381938</v>
      </c>
      <c r="G32" s="14">
        <v>2320164511</v>
      </c>
      <c r="H32" s="14">
        <v>-2456203259</v>
      </c>
      <c r="I32" s="14">
        <v>-136038748</v>
      </c>
    </row>
    <row r="33" spans="1:9" ht="23.1" customHeight="1">
      <c r="A33" s="12" t="s">
        <v>49</v>
      </c>
      <c r="B33" s="13">
        <v>3652508</v>
      </c>
      <c r="C33" s="14">
        <v>7824807816</v>
      </c>
      <c r="D33" s="14">
        <v>-7261251234</v>
      </c>
      <c r="E33" s="14">
        <v>563556582</v>
      </c>
      <c r="F33" s="13">
        <v>3652508</v>
      </c>
      <c r="G33" s="14">
        <v>7824807816</v>
      </c>
      <c r="H33" s="14">
        <v>-8751168236</v>
      </c>
      <c r="I33" s="14">
        <v>-926360420</v>
      </c>
    </row>
    <row r="34" spans="1:9" ht="23.1" customHeight="1">
      <c r="A34" s="12" t="s">
        <v>50</v>
      </c>
      <c r="B34" s="13">
        <v>10513272</v>
      </c>
      <c r="C34" s="14">
        <v>90967078437</v>
      </c>
      <c r="D34" s="14">
        <v>-83711095209</v>
      </c>
      <c r="E34" s="14">
        <v>7255983228</v>
      </c>
      <c r="F34" s="13">
        <v>10513272</v>
      </c>
      <c r="G34" s="14">
        <v>90967078437</v>
      </c>
      <c r="H34" s="14">
        <v>-76249004131</v>
      </c>
      <c r="I34" s="14">
        <v>14718074306</v>
      </c>
    </row>
    <row r="35" spans="1:9" ht="23.1" customHeight="1">
      <c r="A35" s="12" t="s">
        <v>51</v>
      </c>
      <c r="B35" s="13">
        <v>4293355</v>
      </c>
      <c r="C35" s="14">
        <v>2185465862</v>
      </c>
      <c r="D35" s="14">
        <v>-2274742487</v>
      </c>
      <c r="E35" s="14">
        <v>-89276625</v>
      </c>
      <c r="F35" s="13">
        <v>4293355</v>
      </c>
      <c r="G35" s="14">
        <v>2185465862</v>
      </c>
      <c r="H35" s="14">
        <v>-2441254956</v>
      </c>
      <c r="I35" s="14">
        <v>-255789094</v>
      </c>
    </row>
    <row r="36" spans="1:9" ht="23.1" customHeight="1">
      <c r="A36" s="12" t="s">
        <v>52</v>
      </c>
      <c r="B36" s="13">
        <v>247769</v>
      </c>
      <c r="C36" s="14">
        <v>9467827748</v>
      </c>
      <c r="D36" s="14">
        <v>-8305921809</v>
      </c>
      <c r="E36" s="14">
        <v>1161905939</v>
      </c>
      <c r="F36" s="13">
        <v>247769</v>
      </c>
      <c r="G36" s="14">
        <v>9467827748</v>
      </c>
      <c r="H36" s="14">
        <v>-6782342437</v>
      </c>
      <c r="I36" s="14">
        <v>2685485311</v>
      </c>
    </row>
    <row r="37" spans="1:9" ht="23.1" customHeight="1">
      <c r="A37" s="12" t="s">
        <v>53</v>
      </c>
      <c r="B37" s="13">
        <v>10147395</v>
      </c>
      <c r="C37" s="14">
        <v>89513015614</v>
      </c>
      <c r="D37" s="14">
        <v>-83216987447</v>
      </c>
      <c r="E37" s="14">
        <v>6296028167</v>
      </c>
      <c r="F37" s="13">
        <v>10147395</v>
      </c>
      <c r="G37" s="14">
        <v>89513015614</v>
      </c>
      <c r="H37" s="14">
        <v>-88914464490</v>
      </c>
      <c r="I37" s="14">
        <v>598551124</v>
      </c>
    </row>
    <row r="38" spans="1:9" ht="23.1" customHeight="1">
      <c r="A38" s="12" t="s">
        <v>54</v>
      </c>
      <c r="B38" s="13">
        <v>55958</v>
      </c>
      <c r="C38" s="14">
        <v>369244210</v>
      </c>
      <c r="D38" s="14">
        <v>-377600591</v>
      </c>
      <c r="E38" s="14">
        <v>-8356381</v>
      </c>
      <c r="F38" s="13">
        <v>55958</v>
      </c>
      <c r="G38" s="14">
        <v>369244210</v>
      </c>
      <c r="H38" s="14">
        <v>-377600591</v>
      </c>
      <c r="I38" s="14">
        <v>-8356381</v>
      </c>
    </row>
    <row r="39" spans="1:9" ht="23.1" customHeight="1">
      <c r="A39" s="12" t="s">
        <v>55</v>
      </c>
      <c r="B39" s="13">
        <v>124379</v>
      </c>
      <c r="C39" s="14">
        <v>293980609</v>
      </c>
      <c r="D39" s="14">
        <v>-294690524</v>
      </c>
      <c r="E39" s="14">
        <v>-709915</v>
      </c>
      <c r="F39" s="13">
        <v>124379</v>
      </c>
      <c r="G39" s="14">
        <v>293980609</v>
      </c>
      <c r="H39" s="14">
        <v>-294690524</v>
      </c>
      <c r="I39" s="14">
        <v>-709915</v>
      </c>
    </row>
    <row r="40" spans="1:9" ht="23.1" customHeight="1">
      <c r="A40" s="12" t="s">
        <v>56</v>
      </c>
      <c r="B40" s="13">
        <v>111985</v>
      </c>
      <c r="C40" s="14">
        <v>4967035214</v>
      </c>
      <c r="D40" s="14">
        <v>-4677401629</v>
      </c>
      <c r="E40" s="14">
        <v>289633585</v>
      </c>
      <c r="F40" s="13">
        <v>111985</v>
      </c>
      <c r="G40" s="14">
        <v>4967035214</v>
      </c>
      <c r="H40" s="14">
        <v>-7842401661</v>
      </c>
      <c r="I40" s="14">
        <v>-2875366447</v>
      </c>
    </row>
    <row r="41" spans="1:9" ht="23.1" customHeight="1">
      <c r="A41" s="12" t="s">
        <v>57</v>
      </c>
      <c r="B41" s="13">
        <v>842880</v>
      </c>
      <c r="C41" s="14">
        <v>5837824474</v>
      </c>
      <c r="D41" s="14">
        <v>-6002946511</v>
      </c>
      <c r="E41" s="14">
        <v>-165122037</v>
      </c>
      <c r="F41" s="13">
        <v>842880</v>
      </c>
      <c r="G41" s="14">
        <v>5837824474</v>
      </c>
      <c r="H41" s="14">
        <v>-5869156105</v>
      </c>
      <c r="I41" s="14">
        <v>-31331631</v>
      </c>
    </row>
    <row r="42" spans="1:9" ht="23.1" customHeight="1">
      <c r="A42" s="12" t="s">
        <v>58</v>
      </c>
      <c r="B42" s="13">
        <v>99002</v>
      </c>
      <c r="C42" s="14">
        <v>3528662789</v>
      </c>
      <c r="D42" s="14">
        <v>-3544170080</v>
      </c>
      <c r="E42" s="14">
        <v>-15507291</v>
      </c>
      <c r="F42" s="13">
        <v>99002</v>
      </c>
      <c r="G42" s="14">
        <v>3528662789</v>
      </c>
      <c r="H42" s="14">
        <v>-3567615498</v>
      </c>
      <c r="I42" s="14">
        <v>-38952709</v>
      </c>
    </row>
    <row r="43" spans="1:9" ht="23.1" customHeight="1">
      <c r="A43" s="12" t="s">
        <v>59</v>
      </c>
      <c r="B43" s="13">
        <v>5896323</v>
      </c>
      <c r="C43" s="14">
        <v>12760473590</v>
      </c>
      <c r="D43" s="14">
        <v>-11725190270</v>
      </c>
      <c r="E43" s="14">
        <v>1035283320</v>
      </c>
      <c r="F43" s="13">
        <v>5896323</v>
      </c>
      <c r="G43" s="14">
        <v>12760473590</v>
      </c>
      <c r="H43" s="14">
        <v>-12362800263</v>
      </c>
      <c r="I43" s="14">
        <v>397673327</v>
      </c>
    </row>
    <row r="44" spans="1:9" ht="23.1" customHeight="1">
      <c r="A44" s="12" t="s">
        <v>60</v>
      </c>
      <c r="B44" s="13">
        <v>971290</v>
      </c>
      <c r="C44" s="14">
        <v>11787052988</v>
      </c>
      <c r="D44" s="14">
        <v>-12467461220</v>
      </c>
      <c r="E44" s="14">
        <v>-680408232</v>
      </c>
      <c r="F44" s="13">
        <v>971290</v>
      </c>
      <c r="G44" s="14">
        <v>11787052988</v>
      </c>
      <c r="H44" s="14">
        <v>-11834297514</v>
      </c>
      <c r="I44" s="14">
        <v>-47244526</v>
      </c>
    </row>
    <row r="45" spans="1:9" ht="23.1" customHeight="1">
      <c r="A45" s="12" t="s">
        <v>61</v>
      </c>
      <c r="B45" s="13">
        <v>663377</v>
      </c>
      <c r="C45" s="14">
        <v>3046376821</v>
      </c>
      <c r="D45" s="14">
        <v>-3071624509</v>
      </c>
      <c r="E45" s="14">
        <v>-25247688</v>
      </c>
      <c r="F45" s="13">
        <v>663377</v>
      </c>
      <c r="G45" s="14">
        <v>3046376821</v>
      </c>
      <c r="H45" s="14">
        <v>-3389469726</v>
      </c>
      <c r="I45" s="14">
        <v>-343092905</v>
      </c>
    </row>
    <row r="46" spans="1:9" ht="23.1" customHeight="1">
      <c r="A46" s="12" t="s">
        <v>62</v>
      </c>
      <c r="B46" s="13">
        <v>1142066</v>
      </c>
      <c r="C46" s="14">
        <v>5152832416</v>
      </c>
      <c r="D46" s="14">
        <v>-5237570424</v>
      </c>
      <c r="E46" s="14">
        <v>-84738008</v>
      </c>
      <c r="F46" s="13">
        <v>1142066</v>
      </c>
      <c r="G46" s="14">
        <v>5152832416</v>
      </c>
      <c r="H46" s="14">
        <v>-5574624436</v>
      </c>
      <c r="I46" s="14">
        <v>-421792020</v>
      </c>
    </row>
    <row r="47" spans="1:9" ht="23.1" customHeight="1">
      <c r="A47" s="12" t="s">
        <v>63</v>
      </c>
      <c r="B47" s="13">
        <v>453000</v>
      </c>
      <c r="C47" s="14">
        <v>213062203</v>
      </c>
      <c r="D47" s="14">
        <v>-214839805</v>
      </c>
      <c r="E47" s="14">
        <v>-1777602</v>
      </c>
      <c r="F47" s="13">
        <v>453000</v>
      </c>
      <c r="G47" s="14">
        <v>213062203</v>
      </c>
      <c r="H47" s="14">
        <v>-214839805</v>
      </c>
      <c r="I47" s="14">
        <v>-1777602</v>
      </c>
    </row>
    <row r="48" spans="1:9" ht="23.1" customHeight="1">
      <c r="A48" s="12" t="s">
        <v>64</v>
      </c>
      <c r="B48" s="13">
        <v>110663</v>
      </c>
      <c r="C48" s="14">
        <v>9604868589</v>
      </c>
      <c r="D48" s="14">
        <v>-8296831790</v>
      </c>
      <c r="E48" s="14">
        <v>1308036799</v>
      </c>
      <c r="F48" s="13">
        <v>110663</v>
      </c>
      <c r="G48" s="14">
        <v>9604868589</v>
      </c>
      <c r="H48" s="14">
        <v>-8768735627</v>
      </c>
      <c r="I48" s="14">
        <v>836132962</v>
      </c>
    </row>
    <row r="49" spans="1:9" ht="23.1" customHeight="1">
      <c r="A49" s="12" t="s">
        <v>65</v>
      </c>
      <c r="B49" s="13">
        <v>932359</v>
      </c>
      <c r="C49" s="14">
        <v>5550911193</v>
      </c>
      <c r="D49" s="14">
        <v>-4563089223</v>
      </c>
      <c r="E49" s="14">
        <v>987821970</v>
      </c>
      <c r="F49" s="13">
        <v>932359</v>
      </c>
      <c r="G49" s="14">
        <v>5550911193</v>
      </c>
      <c r="H49" s="14">
        <v>-5848180342</v>
      </c>
      <c r="I49" s="14">
        <v>-297269149</v>
      </c>
    </row>
    <row r="50" spans="1:9" ht="23.1" customHeight="1">
      <c r="A50" s="12" t="s">
        <v>66</v>
      </c>
      <c r="B50" s="13">
        <v>1206535</v>
      </c>
      <c r="C50" s="14">
        <v>9182589078</v>
      </c>
      <c r="D50" s="14">
        <v>-8517465493</v>
      </c>
      <c r="E50" s="14">
        <v>665123585</v>
      </c>
      <c r="F50" s="13">
        <v>1206535</v>
      </c>
      <c r="G50" s="14">
        <v>9182589078</v>
      </c>
      <c r="H50" s="14">
        <v>-8159719985</v>
      </c>
      <c r="I50" s="14">
        <v>1022869093</v>
      </c>
    </row>
    <row r="51" spans="1:9" ht="23.1" customHeight="1">
      <c r="A51" s="12" t="s">
        <v>67</v>
      </c>
      <c r="B51" s="13">
        <v>17882992</v>
      </c>
      <c r="C51" s="14">
        <v>6139685743</v>
      </c>
      <c r="D51" s="14">
        <v>-6184770385</v>
      </c>
      <c r="E51" s="14">
        <v>-45084642</v>
      </c>
      <c r="F51" s="13">
        <v>17882992</v>
      </c>
      <c r="G51" s="14">
        <v>6139685743</v>
      </c>
      <c r="H51" s="14">
        <v>-8888294104</v>
      </c>
      <c r="I51" s="14">
        <v>-2748608361</v>
      </c>
    </row>
    <row r="52" spans="1:9" ht="23.1" customHeight="1">
      <c r="A52" s="12" t="s">
        <v>68</v>
      </c>
      <c r="B52" s="13">
        <v>136636</v>
      </c>
      <c r="C52" s="14">
        <v>6293614493</v>
      </c>
      <c r="D52" s="14">
        <v>-7472684940</v>
      </c>
      <c r="E52" s="14">
        <v>-1179070447</v>
      </c>
      <c r="F52" s="13">
        <v>136636</v>
      </c>
      <c r="G52" s="14">
        <v>6293614493</v>
      </c>
      <c r="H52" s="14">
        <v>-9095932832</v>
      </c>
      <c r="I52" s="14">
        <v>-2802318339</v>
      </c>
    </row>
    <row r="53" spans="1:9" ht="23.1" customHeight="1">
      <c r="A53" s="12" t="s">
        <v>69</v>
      </c>
      <c r="B53" s="13">
        <v>705578</v>
      </c>
      <c r="C53" s="14">
        <v>11531040341</v>
      </c>
      <c r="D53" s="14">
        <v>-12337752463</v>
      </c>
      <c r="E53" s="14">
        <v>-806712122</v>
      </c>
      <c r="F53" s="13">
        <v>705578</v>
      </c>
      <c r="G53" s="14">
        <v>11531040341</v>
      </c>
      <c r="H53" s="14">
        <v>-14833261578</v>
      </c>
      <c r="I53" s="14">
        <v>-3302221237</v>
      </c>
    </row>
    <row r="54" spans="1:9" ht="23.1" customHeight="1">
      <c r="A54" s="12" t="s">
        <v>70</v>
      </c>
      <c r="B54" s="13">
        <v>203474</v>
      </c>
      <c r="C54" s="14">
        <v>4185410759</v>
      </c>
      <c r="D54" s="14">
        <v>-4764617427</v>
      </c>
      <c r="E54" s="14">
        <v>-579206668</v>
      </c>
      <c r="F54" s="13">
        <v>203474</v>
      </c>
      <c r="G54" s="14">
        <v>4185410759</v>
      </c>
      <c r="H54" s="14">
        <v>-4805248680</v>
      </c>
      <c r="I54" s="14">
        <v>-619837921</v>
      </c>
    </row>
    <row r="55" spans="1:9" ht="23.1" customHeight="1">
      <c r="A55" s="12" t="s">
        <v>72</v>
      </c>
      <c r="B55" s="13">
        <v>4393838</v>
      </c>
      <c r="C55" s="14">
        <v>13594085989</v>
      </c>
      <c r="D55" s="14">
        <v>-13308573669</v>
      </c>
      <c r="E55" s="14">
        <v>285512320</v>
      </c>
      <c r="F55" s="13">
        <v>4393838</v>
      </c>
      <c r="G55" s="14">
        <v>13594085989</v>
      </c>
      <c r="H55" s="14">
        <v>-11650793984</v>
      </c>
      <c r="I55" s="14">
        <v>1943292005</v>
      </c>
    </row>
    <row r="56" spans="1:9" ht="23.1" customHeight="1">
      <c r="A56" s="12" t="s">
        <v>73</v>
      </c>
      <c r="B56" s="13">
        <v>149083</v>
      </c>
      <c r="C56" s="14">
        <v>4554782823</v>
      </c>
      <c r="D56" s="14">
        <v>-4251445222</v>
      </c>
      <c r="E56" s="14">
        <v>303337601</v>
      </c>
      <c r="F56" s="13">
        <v>149083</v>
      </c>
      <c r="G56" s="14">
        <v>4554782823</v>
      </c>
      <c r="H56" s="14">
        <v>-5552902481</v>
      </c>
      <c r="I56" s="14">
        <v>-998119658</v>
      </c>
    </row>
    <row r="57" spans="1:9" ht="23.1" customHeight="1">
      <c r="A57" s="12" t="s">
        <v>74</v>
      </c>
      <c r="B57" s="13">
        <v>116208</v>
      </c>
      <c r="C57" s="14">
        <v>936314868</v>
      </c>
      <c r="D57" s="14">
        <v>-860598394</v>
      </c>
      <c r="E57" s="14">
        <v>75716474</v>
      </c>
      <c r="F57" s="13">
        <v>116208</v>
      </c>
      <c r="G57" s="14">
        <v>936314868</v>
      </c>
      <c r="H57" s="14">
        <v>-781923387</v>
      </c>
      <c r="I57" s="14">
        <v>154391481</v>
      </c>
    </row>
    <row r="58" spans="1:9" ht="23.1" customHeight="1">
      <c r="A58" s="12" t="s">
        <v>75</v>
      </c>
      <c r="B58" s="13">
        <v>175246</v>
      </c>
      <c r="C58" s="14">
        <v>4583775948</v>
      </c>
      <c r="D58" s="14">
        <v>-4577934802</v>
      </c>
      <c r="E58" s="14">
        <v>5841146</v>
      </c>
      <c r="F58" s="13">
        <v>175246</v>
      </c>
      <c r="G58" s="14">
        <v>4583775948</v>
      </c>
      <c r="H58" s="14">
        <v>-3846711219</v>
      </c>
      <c r="I58" s="14">
        <v>737064729</v>
      </c>
    </row>
    <row r="59" spans="1:9" ht="23.1" customHeight="1">
      <c r="A59" s="12" t="s">
        <v>76</v>
      </c>
      <c r="B59" s="13">
        <v>20927</v>
      </c>
      <c r="C59" s="14">
        <v>3823294940</v>
      </c>
      <c r="D59" s="14">
        <v>-3682791462</v>
      </c>
      <c r="E59" s="14">
        <v>140503478</v>
      </c>
      <c r="F59" s="13">
        <v>20927</v>
      </c>
      <c r="G59" s="14">
        <v>3823294940</v>
      </c>
      <c r="H59" s="14">
        <v>-3020104681</v>
      </c>
      <c r="I59" s="14">
        <v>803190259</v>
      </c>
    </row>
    <row r="60" spans="1:9" ht="23.1" customHeight="1">
      <c r="A60" s="12" t="s">
        <v>77</v>
      </c>
      <c r="B60" s="13">
        <v>519620</v>
      </c>
      <c r="C60" s="14">
        <v>2717229591</v>
      </c>
      <c r="D60" s="14">
        <v>-2705838509</v>
      </c>
      <c r="E60" s="14">
        <v>11391082</v>
      </c>
      <c r="F60" s="13">
        <v>519620</v>
      </c>
      <c r="G60" s="14">
        <v>2717229591</v>
      </c>
      <c r="H60" s="14">
        <v>-2735511469</v>
      </c>
      <c r="I60" s="14">
        <v>-18281878</v>
      </c>
    </row>
    <row r="61" spans="1:9" ht="23.1" customHeight="1">
      <c r="A61" s="12" t="s">
        <v>78</v>
      </c>
      <c r="B61" s="13">
        <v>1041868</v>
      </c>
      <c r="C61" s="14">
        <v>3369201003</v>
      </c>
      <c r="D61" s="14">
        <v>-3385332093</v>
      </c>
      <c r="E61" s="14">
        <v>-16131090</v>
      </c>
      <c r="F61" s="13">
        <v>1041868</v>
      </c>
      <c r="G61" s="14">
        <v>3369201003</v>
      </c>
      <c r="H61" s="14">
        <v>-3120161865</v>
      </c>
      <c r="I61" s="14">
        <v>249039138</v>
      </c>
    </row>
    <row r="62" spans="1:9" ht="23.1" customHeight="1">
      <c r="A62" s="12" t="s">
        <v>79</v>
      </c>
      <c r="B62" s="13">
        <v>17271457</v>
      </c>
      <c r="C62" s="14">
        <v>22827747588</v>
      </c>
      <c r="D62" s="14">
        <v>-19975764707</v>
      </c>
      <c r="E62" s="14">
        <v>2851982881</v>
      </c>
      <c r="F62" s="13">
        <v>17271457</v>
      </c>
      <c r="G62" s="14">
        <v>22827747588</v>
      </c>
      <c r="H62" s="14">
        <v>-26611975578</v>
      </c>
      <c r="I62" s="14">
        <v>-3784227990</v>
      </c>
    </row>
    <row r="63" spans="1:9" ht="23.1" customHeight="1">
      <c r="A63" s="12" t="s">
        <v>80</v>
      </c>
      <c r="B63" s="13">
        <v>121192</v>
      </c>
      <c r="C63" s="14">
        <v>11219808841</v>
      </c>
      <c r="D63" s="14">
        <v>-9348542435</v>
      </c>
      <c r="E63" s="14">
        <v>1871266406</v>
      </c>
      <c r="F63" s="13">
        <v>121192</v>
      </c>
      <c r="G63" s="14">
        <v>11219808841</v>
      </c>
      <c r="H63" s="14">
        <v>-10015803524</v>
      </c>
      <c r="I63" s="14">
        <v>1204005317</v>
      </c>
    </row>
    <row r="64" spans="1:9" ht="23.1" customHeight="1">
      <c r="A64" s="12" t="s">
        <v>81</v>
      </c>
      <c r="B64" s="13">
        <v>50000</v>
      </c>
      <c r="C64" s="14">
        <v>49613500</v>
      </c>
      <c r="D64" s="14">
        <v>-49702500</v>
      </c>
      <c r="E64" s="14">
        <v>-89000</v>
      </c>
      <c r="F64" s="13">
        <v>50000</v>
      </c>
      <c r="G64" s="14">
        <v>49613500</v>
      </c>
      <c r="H64" s="14">
        <v>-49863800</v>
      </c>
      <c r="I64" s="14">
        <v>-250300</v>
      </c>
    </row>
    <row r="65" spans="1:9" ht="23.1" customHeight="1">
      <c r="A65" s="12" t="s">
        <v>71</v>
      </c>
      <c r="B65" s="13">
        <v>400000</v>
      </c>
      <c r="C65" s="14">
        <v>1214538480</v>
      </c>
      <c r="D65" s="14">
        <v>-1216717200</v>
      </c>
      <c r="E65" s="14">
        <v>-2178720</v>
      </c>
      <c r="F65" s="13">
        <v>400000</v>
      </c>
      <c r="G65" s="14">
        <v>1214538480</v>
      </c>
      <c r="H65" s="14">
        <v>-1225135872</v>
      </c>
      <c r="I65" s="14">
        <v>-10597392</v>
      </c>
    </row>
    <row r="66" spans="1:9" ht="23.1" customHeight="1">
      <c r="A66" s="12" t="s">
        <v>82</v>
      </c>
      <c r="B66" s="13"/>
      <c r="C66" s="14">
        <v>686855167642</v>
      </c>
      <c r="D66" s="14">
        <v>-660657871266</v>
      </c>
      <c r="E66" s="14">
        <v>26197296376</v>
      </c>
      <c r="F66" s="13"/>
      <c r="G66" s="14">
        <v>686855167642</v>
      </c>
      <c r="H66" s="14">
        <v>-688618880350</v>
      </c>
      <c r="I66" s="14">
        <v>-1763712708</v>
      </c>
    </row>
    <row r="67" spans="1:9" ht="23.1" customHeight="1">
      <c r="A67" s="12" t="s">
        <v>83</v>
      </c>
      <c r="B67" s="33"/>
      <c r="C67" s="28"/>
      <c r="D67" s="28"/>
      <c r="E67" s="28"/>
      <c r="F67" s="33"/>
      <c r="G67" s="28"/>
      <c r="H67" s="28"/>
      <c r="I67" s="28"/>
    </row>
    <row r="70" spans="1:9">
      <c r="A70" s="121" t="s">
        <v>192</v>
      </c>
      <c r="B70" s="122"/>
      <c r="C70" s="122"/>
      <c r="D70" s="122"/>
      <c r="E70" s="122"/>
      <c r="F70" s="122"/>
      <c r="G70" s="122"/>
      <c r="H70" s="122"/>
      <c r="I70" s="122"/>
    </row>
  </sheetData>
  <mergeCells count="7">
    <mergeCell ref="A70:I70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scale="65" orientation="landscape" r:id="rId1"/>
  <headerFooter differentOddEven="1" differentFirst="1"/>
  <rowBreaks count="1" manualBreakCount="1">
    <brk id="43" max="8" man="1"/>
  </rowBreak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K100"/>
  <sheetViews>
    <sheetView rightToLeft="1" view="pageBreakPreview" zoomScale="106" zoomScaleNormal="115" zoomScaleSheetLayoutView="106" workbookViewId="0">
      <selection activeCell="I99" sqref="I99"/>
    </sheetView>
  </sheetViews>
  <sheetFormatPr defaultColWidth="9" defaultRowHeight="18.75"/>
  <cols>
    <col min="1" max="1" width="31.7109375" style="59" customWidth="1"/>
    <col min="2" max="2" width="13" style="54" customWidth="1"/>
    <col min="3" max="3" width="16.85546875" style="54" bestFit="1" customWidth="1"/>
    <col min="4" max="4" width="15" style="54" customWidth="1"/>
    <col min="5" max="5" width="16.85546875" style="54" bestFit="1" customWidth="1"/>
    <col min="6" max="6" width="16.28515625" style="54" customWidth="1"/>
    <col min="7" max="7" width="17" style="55" bestFit="1" customWidth="1"/>
    <col min="8" max="8" width="16.85546875" style="54" bestFit="1" customWidth="1"/>
    <col min="9" max="9" width="17.7109375" style="54" bestFit="1" customWidth="1"/>
    <col min="10" max="10" width="16.85546875" style="54" bestFit="1" customWidth="1"/>
    <col min="11" max="11" width="16.28515625" style="54" customWidth="1"/>
    <col min="12" max="16384" width="9" style="6"/>
  </cols>
  <sheetData>
    <row r="1" spans="1:11" ht="18">
      <c r="A1" s="128" t="s">
        <v>1</v>
      </c>
      <c r="B1" s="128"/>
      <c r="C1" s="128"/>
      <c r="D1" s="128"/>
      <c r="E1" s="128"/>
      <c r="F1" s="128"/>
      <c r="G1" s="128"/>
      <c r="H1" s="128"/>
      <c r="I1" s="128"/>
    </row>
    <row r="2" spans="1:11" ht="18">
      <c r="A2" s="128" t="s">
        <v>105</v>
      </c>
      <c r="B2" s="128"/>
      <c r="C2" s="128"/>
      <c r="D2" s="128"/>
      <c r="E2" s="128"/>
      <c r="F2" s="128"/>
      <c r="G2" s="128"/>
      <c r="H2" s="128"/>
      <c r="I2" s="128"/>
    </row>
    <row r="3" spans="1:11" ht="18">
      <c r="A3" s="128" t="s">
        <v>106</v>
      </c>
      <c r="B3" s="128"/>
      <c r="C3" s="128"/>
      <c r="D3" s="128"/>
      <c r="E3" s="128"/>
      <c r="F3" s="128"/>
      <c r="G3" s="128"/>
      <c r="H3" s="128"/>
      <c r="I3" s="128"/>
    </row>
    <row r="5" spans="1:11" ht="18">
      <c r="A5" s="134" t="s">
        <v>198</v>
      </c>
      <c r="B5" s="134"/>
      <c r="C5" s="134"/>
      <c r="D5" s="134"/>
      <c r="E5" s="134"/>
      <c r="F5" s="134"/>
      <c r="G5" s="134"/>
      <c r="H5" s="134"/>
      <c r="I5" s="134"/>
    </row>
    <row r="7" spans="1:11" ht="19.5" customHeight="1" thickBot="1">
      <c r="A7" s="58"/>
      <c r="B7" s="126" t="s">
        <v>119</v>
      </c>
      <c r="C7" s="126"/>
      <c r="D7" s="126"/>
      <c r="E7" s="126"/>
      <c r="F7" s="126"/>
      <c r="G7" s="135" t="s">
        <v>120</v>
      </c>
      <c r="H7" s="135"/>
      <c r="I7" s="135"/>
    </row>
    <row r="8" spans="1:11" ht="19.5" customHeight="1">
      <c r="A8" s="136" t="s">
        <v>199</v>
      </c>
      <c r="B8" s="129" t="s">
        <v>117</v>
      </c>
      <c r="C8" s="124" t="s">
        <v>195</v>
      </c>
      <c r="D8" s="124" t="s">
        <v>196</v>
      </c>
      <c r="E8" s="124" t="s">
        <v>82</v>
      </c>
      <c r="F8" s="124"/>
      <c r="G8" s="132" t="s">
        <v>117</v>
      </c>
      <c r="H8" s="124" t="s">
        <v>195</v>
      </c>
      <c r="I8" s="124" t="s">
        <v>196</v>
      </c>
      <c r="J8" s="124" t="s">
        <v>82</v>
      </c>
      <c r="K8" s="125"/>
    </row>
    <row r="9" spans="1:11" ht="18.75" customHeight="1" thickBot="1">
      <c r="A9" s="137"/>
      <c r="B9" s="130"/>
      <c r="C9" s="131"/>
      <c r="D9" s="131"/>
      <c r="E9" s="126"/>
      <c r="F9" s="126"/>
      <c r="G9" s="133"/>
      <c r="H9" s="131"/>
      <c r="I9" s="131"/>
      <c r="J9" s="126"/>
      <c r="K9" s="127"/>
    </row>
    <row r="10" spans="1:11" ht="28.5" customHeight="1" thickBot="1">
      <c r="A10" s="138"/>
      <c r="B10" s="52"/>
      <c r="C10" s="52"/>
      <c r="D10" s="52"/>
      <c r="E10" s="60" t="s">
        <v>94</v>
      </c>
      <c r="F10" s="60" t="s">
        <v>200</v>
      </c>
      <c r="G10" s="56"/>
      <c r="H10" s="52"/>
      <c r="I10" s="52"/>
      <c r="J10" s="60" t="s">
        <v>94</v>
      </c>
      <c r="K10" s="65" t="s">
        <v>200</v>
      </c>
    </row>
    <row r="11" spans="1:11" ht="18">
      <c r="A11" s="61" t="s">
        <v>62</v>
      </c>
      <c r="B11" s="61"/>
      <c r="C11" s="62">
        <v>-84738008</v>
      </c>
      <c r="D11" s="62">
        <v>-56892757</v>
      </c>
      <c r="E11" s="62">
        <f>B11+C11+D11</f>
        <v>-141630765</v>
      </c>
      <c r="F11" s="66">
        <f>E11/$E$99</f>
        <v>-5.0590695204369368E-3</v>
      </c>
      <c r="G11" s="62">
        <v>339437553</v>
      </c>
      <c r="H11" s="62">
        <v>-421792020</v>
      </c>
      <c r="I11" s="62">
        <v>-55954453</v>
      </c>
      <c r="J11" s="62">
        <f>G11+H11+I11</f>
        <v>-138308920</v>
      </c>
      <c r="K11" s="66">
        <f>J11/$J$99</f>
        <v>-4.0403562675568064E-2</v>
      </c>
    </row>
    <row r="12" spans="1:11" ht="18">
      <c r="A12" s="61" t="s">
        <v>36</v>
      </c>
      <c r="B12" s="61"/>
      <c r="C12" s="62">
        <v>52445845</v>
      </c>
      <c r="D12" s="62"/>
      <c r="E12" s="62">
        <f t="shared" ref="E12:E75" si="0">B12+C12+D12</f>
        <v>52445845</v>
      </c>
      <c r="F12" s="66">
        <f t="shared" ref="F12:F75" si="1">E12/$E$99</f>
        <v>1.8733724689904761E-3</v>
      </c>
      <c r="G12" s="62"/>
      <c r="H12" s="62">
        <v>266128426</v>
      </c>
      <c r="I12" s="62">
        <v>-2246445502</v>
      </c>
      <c r="J12" s="62">
        <f t="shared" ref="J12:J75" si="2">G12+H12+I12</f>
        <v>-1980317076</v>
      </c>
      <c r="K12" s="66">
        <f t="shared" ref="K12:K75" si="3">J12/$J$99</f>
        <v>-0.57850111979519248</v>
      </c>
    </row>
    <row r="13" spans="1:11" ht="18">
      <c r="A13" s="61" t="s">
        <v>61</v>
      </c>
      <c r="B13" s="61"/>
      <c r="C13" s="62">
        <v>-25247688</v>
      </c>
      <c r="D13" s="62"/>
      <c r="E13" s="62">
        <f t="shared" si="0"/>
        <v>-25247688</v>
      </c>
      <c r="F13" s="66">
        <f t="shared" si="1"/>
        <v>-9.0185073011715634E-4</v>
      </c>
      <c r="G13" s="62">
        <v>212280640</v>
      </c>
      <c r="H13" s="62">
        <v>-343092905</v>
      </c>
      <c r="I13" s="62"/>
      <c r="J13" s="62">
        <f t="shared" si="2"/>
        <v>-130812265</v>
      </c>
      <c r="K13" s="66">
        <f t="shared" si="3"/>
        <v>-3.8213598570941906E-2</v>
      </c>
    </row>
    <row r="14" spans="1:11" ht="18">
      <c r="A14" s="61" t="s">
        <v>182</v>
      </c>
      <c r="B14" s="61"/>
      <c r="C14" s="62"/>
      <c r="D14" s="62"/>
      <c r="E14" s="62">
        <f t="shared" si="0"/>
        <v>0</v>
      </c>
      <c r="F14" s="66">
        <f t="shared" si="1"/>
        <v>0</v>
      </c>
      <c r="G14" s="62"/>
      <c r="H14" s="62"/>
      <c r="I14" s="62">
        <v>-1205111876</v>
      </c>
      <c r="J14" s="62">
        <f t="shared" si="2"/>
        <v>-1205111876</v>
      </c>
      <c r="K14" s="66">
        <f t="shared" si="3"/>
        <v>-0.35204391165108812</v>
      </c>
    </row>
    <row r="15" spans="1:11" ht="18">
      <c r="A15" s="61" t="s">
        <v>40</v>
      </c>
      <c r="B15" s="61"/>
      <c r="C15" s="62">
        <v>300590126</v>
      </c>
      <c r="D15" s="62">
        <v>70436905</v>
      </c>
      <c r="E15" s="62">
        <f t="shared" si="0"/>
        <v>371027031</v>
      </c>
      <c r="F15" s="66">
        <f t="shared" si="1"/>
        <v>1.3253134259285477E-2</v>
      </c>
      <c r="G15" s="62">
        <v>569925600</v>
      </c>
      <c r="H15" s="62">
        <v>102602202</v>
      </c>
      <c r="I15" s="62">
        <v>70436905</v>
      </c>
      <c r="J15" s="62">
        <f t="shared" si="2"/>
        <v>742964707</v>
      </c>
      <c r="K15" s="66">
        <f t="shared" si="3"/>
        <v>0.21703893794420176</v>
      </c>
    </row>
    <row r="16" spans="1:11" ht="18">
      <c r="A16" s="61" t="s">
        <v>179</v>
      </c>
      <c r="B16" s="61"/>
      <c r="C16" s="62"/>
      <c r="D16" s="62"/>
      <c r="E16" s="62">
        <f t="shared" si="0"/>
        <v>0</v>
      </c>
      <c r="F16" s="66">
        <f t="shared" si="1"/>
        <v>0</v>
      </c>
      <c r="G16" s="62"/>
      <c r="H16" s="62"/>
      <c r="I16" s="62">
        <v>-585067992</v>
      </c>
      <c r="J16" s="62">
        <f t="shared" si="2"/>
        <v>-585067992</v>
      </c>
      <c r="K16" s="66">
        <f t="shared" si="3"/>
        <v>-0.17091328082267401</v>
      </c>
    </row>
    <row r="17" spans="1:11" ht="18">
      <c r="A17" s="61" t="s">
        <v>42</v>
      </c>
      <c r="B17" s="61"/>
      <c r="C17" s="62">
        <v>-1192332310</v>
      </c>
      <c r="D17" s="62">
        <v>98128505</v>
      </c>
      <c r="E17" s="62">
        <f t="shared" si="0"/>
        <v>-1094203805</v>
      </c>
      <c r="F17" s="66">
        <f t="shared" si="1"/>
        <v>-3.9085103572106115E-2</v>
      </c>
      <c r="G17" s="62"/>
      <c r="H17" s="62">
        <v>-85613824</v>
      </c>
      <c r="I17" s="62">
        <v>-397816511</v>
      </c>
      <c r="J17" s="62">
        <f t="shared" si="2"/>
        <v>-483430335</v>
      </c>
      <c r="K17" s="66">
        <f t="shared" si="3"/>
        <v>-0.14122232925716843</v>
      </c>
    </row>
    <row r="18" spans="1:11" ht="18">
      <c r="A18" s="61" t="s">
        <v>147</v>
      </c>
      <c r="B18" s="61"/>
      <c r="C18" s="62"/>
      <c r="D18" s="62"/>
      <c r="E18" s="62">
        <f t="shared" si="0"/>
        <v>0</v>
      </c>
      <c r="F18" s="66">
        <f t="shared" si="1"/>
        <v>0</v>
      </c>
      <c r="G18" s="62">
        <v>71914238</v>
      </c>
      <c r="H18" s="62"/>
      <c r="I18" s="62">
        <v>-1059088746</v>
      </c>
      <c r="J18" s="62">
        <f t="shared" si="2"/>
        <v>-987174508</v>
      </c>
      <c r="K18" s="66">
        <f t="shared" si="3"/>
        <v>-0.28837884863608992</v>
      </c>
    </row>
    <row r="19" spans="1:11" ht="18">
      <c r="A19" s="61" t="s">
        <v>180</v>
      </c>
      <c r="B19" s="61"/>
      <c r="C19" s="62"/>
      <c r="D19" s="62"/>
      <c r="E19" s="62">
        <f t="shared" si="0"/>
        <v>0</v>
      </c>
      <c r="F19" s="66">
        <f t="shared" si="1"/>
        <v>0</v>
      </c>
      <c r="G19" s="62"/>
      <c r="H19" s="62"/>
      <c r="I19" s="62">
        <v>-531584691</v>
      </c>
      <c r="J19" s="62">
        <f t="shared" si="2"/>
        <v>-531584691</v>
      </c>
      <c r="K19" s="66">
        <f t="shared" si="3"/>
        <v>-0.15528944467349598</v>
      </c>
    </row>
    <row r="20" spans="1:11" ht="18">
      <c r="A20" s="61" t="s">
        <v>45</v>
      </c>
      <c r="B20" s="61"/>
      <c r="C20" s="62">
        <v>-839412797</v>
      </c>
      <c r="D20" s="62">
        <v>-122239165</v>
      </c>
      <c r="E20" s="62">
        <f t="shared" si="0"/>
        <v>-961651962</v>
      </c>
      <c r="F20" s="66">
        <f t="shared" si="1"/>
        <v>-3.4350334337476598E-2</v>
      </c>
      <c r="G20" s="62">
        <v>669119130</v>
      </c>
      <c r="H20" s="62">
        <v>-1585030305</v>
      </c>
      <c r="I20" s="62">
        <v>-2959086088</v>
      </c>
      <c r="J20" s="62">
        <f t="shared" si="2"/>
        <v>-3874997263</v>
      </c>
      <c r="K20" s="66">
        <f t="shared" si="3"/>
        <v>-1.1319855204080489</v>
      </c>
    </row>
    <row r="21" spans="1:11" ht="18">
      <c r="A21" s="61" t="s">
        <v>74</v>
      </c>
      <c r="B21" s="61"/>
      <c r="C21" s="62">
        <v>75716474</v>
      </c>
      <c r="D21" s="62"/>
      <c r="E21" s="62">
        <f t="shared" si="0"/>
        <v>75716474</v>
      </c>
      <c r="F21" s="66">
        <f t="shared" si="1"/>
        <v>2.7046023920604804E-3</v>
      </c>
      <c r="G21" s="62">
        <v>57149070</v>
      </c>
      <c r="H21" s="62">
        <v>154391481</v>
      </c>
      <c r="I21" s="62">
        <v>-562420012</v>
      </c>
      <c r="J21" s="62">
        <f t="shared" si="2"/>
        <v>-350879461</v>
      </c>
      <c r="K21" s="66">
        <f t="shared" si="3"/>
        <v>-0.10250083865945191</v>
      </c>
    </row>
    <row r="22" spans="1:11" ht="18">
      <c r="A22" s="61" t="s">
        <v>176</v>
      </c>
      <c r="B22" s="61"/>
      <c r="C22" s="62"/>
      <c r="D22" s="62"/>
      <c r="E22" s="62">
        <f t="shared" si="0"/>
        <v>0</v>
      </c>
      <c r="F22" s="66">
        <f t="shared" si="1"/>
        <v>0</v>
      </c>
      <c r="G22" s="62"/>
      <c r="H22" s="62"/>
      <c r="I22" s="62">
        <v>-144013330</v>
      </c>
      <c r="J22" s="62">
        <f t="shared" si="2"/>
        <v>-144013330</v>
      </c>
      <c r="K22" s="66">
        <f t="shared" si="3"/>
        <v>-4.2069966309998423E-2</v>
      </c>
    </row>
    <row r="23" spans="1:11" ht="18">
      <c r="A23" s="61" t="s">
        <v>81</v>
      </c>
      <c r="B23" s="61"/>
      <c r="C23" s="62">
        <v>-89000</v>
      </c>
      <c r="D23" s="62"/>
      <c r="E23" s="62">
        <f t="shared" si="0"/>
        <v>-89000</v>
      </c>
      <c r="F23" s="66">
        <f t="shared" si="1"/>
        <v>-3.1790916847684E-6</v>
      </c>
      <c r="G23" s="62"/>
      <c r="H23" s="62">
        <v>-250300</v>
      </c>
      <c r="I23" s="62"/>
      <c r="J23" s="62">
        <f t="shared" si="2"/>
        <v>-250300</v>
      </c>
      <c r="K23" s="66">
        <f t="shared" si="3"/>
        <v>-7.3119013131580285E-5</v>
      </c>
    </row>
    <row r="24" spans="1:11" ht="18">
      <c r="A24" s="61" t="s">
        <v>35</v>
      </c>
      <c r="B24" s="61"/>
      <c r="C24" s="62">
        <v>80560526</v>
      </c>
      <c r="D24" s="62">
        <v>35832962</v>
      </c>
      <c r="E24" s="62">
        <f t="shared" si="0"/>
        <v>116393488</v>
      </c>
      <c r="F24" s="66">
        <f t="shared" si="1"/>
        <v>4.1575906726066354E-3</v>
      </c>
      <c r="G24" s="62"/>
      <c r="H24" s="62">
        <v>245662520</v>
      </c>
      <c r="I24" s="62">
        <v>35832962</v>
      </c>
      <c r="J24" s="62">
        <f t="shared" si="2"/>
        <v>281495482</v>
      </c>
      <c r="K24" s="66">
        <f t="shared" si="3"/>
        <v>8.2232008968591772E-2</v>
      </c>
    </row>
    <row r="25" spans="1:11" ht="18">
      <c r="A25" s="61" t="s">
        <v>177</v>
      </c>
      <c r="B25" s="61"/>
      <c r="C25" s="62"/>
      <c r="D25" s="62"/>
      <c r="E25" s="62">
        <f t="shared" si="0"/>
        <v>0</v>
      </c>
      <c r="F25" s="66">
        <f t="shared" si="1"/>
        <v>0</v>
      </c>
      <c r="G25" s="62"/>
      <c r="H25" s="62"/>
      <c r="I25" s="62">
        <v>-586652166</v>
      </c>
      <c r="J25" s="62">
        <f t="shared" si="2"/>
        <v>-586652166</v>
      </c>
      <c r="K25" s="66">
        <f t="shared" si="3"/>
        <v>-0.17137605844755899</v>
      </c>
    </row>
    <row r="26" spans="1:11" ht="18">
      <c r="A26" s="61" t="s">
        <v>190</v>
      </c>
      <c r="B26" s="61"/>
      <c r="C26" s="62"/>
      <c r="D26" s="62"/>
      <c r="E26" s="62">
        <f t="shared" si="0"/>
        <v>0</v>
      </c>
      <c r="F26" s="66">
        <f t="shared" si="1"/>
        <v>0</v>
      </c>
      <c r="G26" s="62"/>
      <c r="H26" s="62"/>
      <c r="I26" s="62">
        <v>-490043326</v>
      </c>
      <c r="J26" s="62">
        <f t="shared" si="2"/>
        <v>-490043326</v>
      </c>
      <c r="K26" s="66">
        <f t="shared" si="3"/>
        <v>-0.14315415257226238</v>
      </c>
    </row>
    <row r="27" spans="1:11" ht="18">
      <c r="A27" s="61" t="s">
        <v>44</v>
      </c>
      <c r="B27" s="61"/>
      <c r="C27" s="62">
        <v>11296238</v>
      </c>
      <c r="D27" s="62">
        <v>-84515764</v>
      </c>
      <c r="E27" s="62">
        <f t="shared" si="0"/>
        <v>-73219526</v>
      </c>
      <c r="F27" s="66">
        <f t="shared" si="1"/>
        <v>-2.6154110816773448E-3</v>
      </c>
      <c r="G27" s="62">
        <v>1720318250</v>
      </c>
      <c r="H27" s="62">
        <v>-905478205</v>
      </c>
      <c r="I27" s="62">
        <v>-61699451</v>
      </c>
      <c r="J27" s="62">
        <f t="shared" si="2"/>
        <v>753140594</v>
      </c>
      <c r="K27" s="66">
        <f t="shared" si="3"/>
        <v>0.22001157404159877</v>
      </c>
    </row>
    <row r="28" spans="1:11" ht="18">
      <c r="A28" s="61" t="s">
        <v>65</v>
      </c>
      <c r="B28" s="61"/>
      <c r="C28" s="62">
        <v>987821970</v>
      </c>
      <c r="D28" s="62">
        <v>-58923959</v>
      </c>
      <c r="E28" s="62">
        <f t="shared" si="0"/>
        <v>928898011</v>
      </c>
      <c r="F28" s="66">
        <f t="shared" si="1"/>
        <v>3.3180358907505682E-2</v>
      </c>
      <c r="G28" s="62">
        <v>115146680</v>
      </c>
      <c r="H28" s="62">
        <v>-297269149</v>
      </c>
      <c r="I28" s="62">
        <v>-63301677</v>
      </c>
      <c r="J28" s="62">
        <f t="shared" si="2"/>
        <v>-245424146</v>
      </c>
      <c r="K28" s="66">
        <f t="shared" si="3"/>
        <v>-7.1694651834522075E-2</v>
      </c>
    </row>
    <row r="29" spans="1:11" ht="18">
      <c r="A29" s="61" t="s">
        <v>30</v>
      </c>
      <c r="B29" s="61"/>
      <c r="C29" s="62">
        <v>-72558647</v>
      </c>
      <c r="D29" s="62">
        <v>2112797169</v>
      </c>
      <c r="E29" s="62">
        <f t="shared" si="0"/>
        <v>2040238522</v>
      </c>
      <c r="F29" s="66">
        <f t="shared" si="1"/>
        <v>7.2877587867801921E-2</v>
      </c>
      <c r="G29" s="62">
        <v>1380675960</v>
      </c>
      <c r="H29" s="62">
        <v>4939472217</v>
      </c>
      <c r="I29" s="62">
        <v>2112797169</v>
      </c>
      <c r="J29" s="62">
        <f t="shared" si="2"/>
        <v>8432945346</v>
      </c>
      <c r="K29" s="66">
        <f t="shared" si="3"/>
        <v>2.4634783918980139</v>
      </c>
    </row>
    <row r="30" spans="1:11" ht="18">
      <c r="A30" s="61" t="s">
        <v>47</v>
      </c>
      <c r="B30" s="61"/>
      <c r="C30" s="62">
        <v>-27184742</v>
      </c>
      <c r="D30" s="62"/>
      <c r="E30" s="62">
        <f t="shared" si="0"/>
        <v>-27184742</v>
      </c>
      <c r="F30" s="66">
        <f t="shared" si="1"/>
        <v>-9.7104255331207062E-4</v>
      </c>
      <c r="G30" s="62">
        <v>1128778560</v>
      </c>
      <c r="H30" s="62">
        <v>2318014974</v>
      </c>
      <c r="I30" s="62"/>
      <c r="J30" s="62">
        <f t="shared" si="2"/>
        <v>3446793534</v>
      </c>
      <c r="K30" s="66">
        <f t="shared" si="3"/>
        <v>1.0068962911481902</v>
      </c>
    </row>
    <row r="31" spans="1:11" ht="18">
      <c r="A31" s="61" t="s">
        <v>70</v>
      </c>
      <c r="B31" s="61"/>
      <c r="C31" s="62">
        <v>-579206668</v>
      </c>
      <c r="D31" s="62"/>
      <c r="E31" s="62">
        <f t="shared" si="0"/>
        <v>-579206668</v>
      </c>
      <c r="F31" s="66">
        <f t="shared" si="1"/>
        <v>-2.0689338224732713E-2</v>
      </c>
      <c r="G31" s="62">
        <v>371028621</v>
      </c>
      <c r="H31" s="62">
        <v>-619837921</v>
      </c>
      <c r="I31" s="62">
        <v>-11638064</v>
      </c>
      <c r="J31" s="62">
        <f t="shared" si="2"/>
        <v>-260447364</v>
      </c>
      <c r="K31" s="66">
        <f t="shared" si="3"/>
        <v>-7.6083316933285933E-2</v>
      </c>
    </row>
    <row r="32" spans="1:11" ht="18">
      <c r="A32" s="61" t="s">
        <v>72</v>
      </c>
      <c r="B32" s="61"/>
      <c r="C32" s="62">
        <v>285512320</v>
      </c>
      <c r="D32" s="62">
        <v>826716546</v>
      </c>
      <c r="E32" s="62">
        <f t="shared" si="0"/>
        <v>1112228866</v>
      </c>
      <c r="F32" s="66">
        <f t="shared" si="1"/>
        <v>3.9728961117527946E-2</v>
      </c>
      <c r="G32" s="62">
        <v>1269957150</v>
      </c>
      <c r="H32" s="62">
        <v>1943292005</v>
      </c>
      <c r="I32" s="62">
        <v>806561680</v>
      </c>
      <c r="J32" s="62">
        <f t="shared" si="2"/>
        <v>4019810835</v>
      </c>
      <c r="K32" s="66">
        <f t="shared" si="3"/>
        <v>1.1742892578139581</v>
      </c>
    </row>
    <row r="33" spans="1:11" ht="18">
      <c r="A33" s="61" t="s">
        <v>68</v>
      </c>
      <c r="B33" s="61"/>
      <c r="C33" s="62">
        <v>-1179070447</v>
      </c>
      <c r="D33" s="62">
        <v>-121250183</v>
      </c>
      <c r="E33" s="62">
        <f t="shared" si="0"/>
        <v>-1300320630</v>
      </c>
      <c r="F33" s="66">
        <f t="shared" si="1"/>
        <v>-4.6447623622087722E-2</v>
      </c>
      <c r="G33" s="62">
        <v>802785448</v>
      </c>
      <c r="H33" s="62">
        <v>-2802318339</v>
      </c>
      <c r="I33" s="62">
        <v>-125632000</v>
      </c>
      <c r="J33" s="62">
        <f t="shared" si="2"/>
        <v>-2125164891</v>
      </c>
      <c r="K33" s="66">
        <f t="shared" si="3"/>
        <v>-0.62081486045466394</v>
      </c>
    </row>
    <row r="34" spans="1:11" ht="18">
      <c r="A34" s="61" t="s">
        <v>146</v>
      </c>
      <c r="B34" s="61"/>
      <c r="C34" s="62"/>
      <c r="D34" s="62"/>
      <c r="E34" s="62">
        <f t="shared" si="0"/>
        <v>0</v>
      </c>
      <c r="F34" s="66">
        <f t="shared" si="1"/>
        <v>0</v>
      </c>
      <c r="G34" s="62">
        <v>84800</v>
      </c>
      <c r="H34" s="62"/>
      <c r="I34" s="62">
        <v>-833263239</v>
      </c>
      <c r="J34" s="62">
        <f t="shared" si="2"/>
        <v>-833178439</v>
      </c>
      <c r="K34" s="66">
        <f t="shared" si="3"/>
        <v>-0.24339266968514009</v>
      </c>
    </row>
    <row r="35" spans="1:11" ht="18">
      <c r="A35" s="61" t="s">
        <v>34</v>
      </c>
      <c r="B35" s="61"/>
      <c r="C35" s="62">
        <v>749715462</v>
      </c>
      <c r="D35" s="62">
        <v>70998199</v>
      </c>
      <c r="E35" s="62">
        <f t="shared" si="0"/>
        <v>820713661</v>
      </c>
      <c r="F35" s="66">
        <f t="shared" si="1"/>
        <v>2.9315999722032939E-2</v>
      </c>
      <c r="G35" s="62">
        <v>1524028000</v>
      </c>
      <c r="H35" s="62">
        <v>630636469</v>
      </c>
      <c r="I35" s="62">
        <v>59841600</v>
      </c>
      <c r="J35" s="62">
        <f t="shared" si="2"/>
        <v>2214506069</v>
      </c>
      <c r="K35" s="66">
        <f t="shared" si="3"/>
        <v>0.64691369692039646</v>
      </c>
    </row>
    <row r="36" spans="1:11" ht="18">
      <c r="A36" s="61" t="s">
        <v>56</v>
      </c>
      <c r="B36" s="61"/>
      <c r="C36" s="62">
        <v>289633585</v>
      </c>
      <c r="D36" s="62">
        <v>-122788956</v>
      </c>
      <c r="E36" s="62">
        <f t="shared" si="0"/>
        <v>166844629</v>
      </c>
      <c r="F36" s="66">
        <f t="shared" si="1"/>
        <v>5.9597120528333556E-3</v>
      </c>
      <c r="G36" s="62">
        <v>490736400</v>
      </c>
      <c r="H36" s="62">
        <v>-2875366447</v>
      </c>
      <c r="I36" s="62">
        <v>-128745358</v>
      </c>
      <c r="J36" s="62">
        <f t="shared" si="2"/>
        <v>-2513375405</v>
      </c>
      <c r="K36" s="66">
        <f t="shared" si="3"/>
        <v>-0.73422105170909269</v>
      </c>
    </row>
    <row r="37" spans="1:11" ht="18">
      <c r="A37" s="61" t="s">
        <v>33</v>
      </c>
      <c r="B37" s="61"/>
      <c r="C37" s="62">
        <v>-146606260</v>
      </c>
      <c r="D37" s="62">
        <v>-21309667</v>
      </c>
      <c r="E37" s="62">
        <f t="shared" si="0"/>
        <v>-167915927</v>
      </c>
      <c r="F37" s="66">
        <f t="shared" si="1"/>
        <v>-5.9979789580435691E-3</v>
      </c>
      <c r="G37" s="62">
        <v>391380000</v>
      </c>
      <c r="H37" s="62">
        <v>-549646020</v>
      </c>
      <c r="I37" s="62">
        <v>-7621420</v>
      </c>
      <c r="J37" s="62">
        <f t="shared" si="2"/>
        <v>-165887440</v>
      </c>
      <c r="K37" s="66">
        <f t="shared" si="3"/>
        <v>-4.8459951672889474E-2</v>
      </c>
    </row>
    <row r="38" spans="1:11" ht="18">
      <c r="A38" s="61" t="s">
        <v>185</v>
      </c>
      <c r="B38" s="61"/>
      <c r="C38" s="62"/>
      <c r="D38" s="62"/>
      <c r="E38" s="62">
        <f t="shared" si="0"/>
        <v>0</v>
      </c>
      <c r="F38" s="66">
        <f t="shared" si="1"/>
        <v>0</v>
      </c>
      <c r="G38" s="62"/>
      <c r="H38" s="62"/>
      <c r="I38" s="62">
        <v>-179665178</v>
      </c>
      <c r="J38" s="62">
        <f t="shared" si="2"/>
        <v>-179665178</v>
      </c>
      <c r="K38" s="66">
        <f t="shared" si="3"/>
        <v>-5.2484780301517014E-2</v>
      </c>
    </row>
    <row r="39" spans="1:11" ht="18">
      <c r="A39" s="61" t="s">
        <v>58</v>
      </c>
      <c r="B39" s="61"/>
      <c r="C39" s="62">
        <v>-15507291</v>
      </c>
      <c r="D39" s="62">
        <v>-3372496</v>
      </c>
      <c r="E39" s="62">
        <f t="shared" si="0"/>
        <v>-18879787</v>
      </c>
      <c r="F39" s="66">
        <f t="shared" si="1"/>
        <v>-6.7438847035841058E-4</v>
      </c>
      <c r="G39" s="62">
        <v>470205512</v>
      </c>
      <c r="H39" s="62">
        <v>-38952709</v>
      </c>
      <c r="I39" s="62">
        <v>-4173328</v>
      </c>
      <c r="J39" s="62">
        <f t="shared" si="2"/>
        <v>427079475</v>
      </c>
      <c r="K39" s="66">
        <f t="shared" si="3"/>
        <v>0.12476080599581867</v>
      </c>
    </row>
    <row r="40" spans="1:11" ht="18">
      <c r="A40" s="61" t="s">
        <v>25</v>
      </c>
      <c r="B40" s="61"/>
      <c r="C40" s="62">
        <v>-2106083816</v>
      </c>
      <c r="D40" s="62">
        <v>-497861462</v>
      </c>
      <c r="E40" s="62">
        <f t="shared" si="0"/>
        <v>-2603945278</v>
      </c>
      <c r="F40" s="66">
        <f t="shared" si="1"/>
        <v>-9.3013267200918431E-2</v>
      </c>
      <c r="G40" s="62">
        <v>1366592600</v>
      </c>
      <c r="H40" s="62">
        <v>-3871172134</v>
      </c>
      <c r="I40" s="62">
        <v>-499893774</v>
      </c>
      <c r="J40" s="62">
        <f t="shared" si="2"/>
        <v>-3004473308</v>
      </c>
      <c r="K40" s="66">
        <f t="shared" si="3"/>
        <v>-0.87768327311679761</v>
      </c>
    </row>
    <row r="41" spans="1:11" ht="18">
      <c r="A41" s="61" t="s">
        <v>76</v>
      </c>
      <c r="B41" s="61"/>
      <c r="C41" s="62">
        <v>140503478</v>
      </c>
      <c r="D41" s="62">
        <v>49312339</v>
      </c>
      <c r="E41" s="62">
        <f t="shared" si="0"/>
        <v>189815817</v>
      </c>
      <c r="F41" s="66">
        <f t="shared" si="1"/>
        <v>6.7802459040698917E-3</v>
      </c>
      <c r="G41" s="62"/>
      <c r="H41" s="62">
        <v>803190259</v>
      </c>
      <c r="I41" s="62">
        <v>49312339</v>
      </c>
      <c r="J41" s="62">
        <f t="shared" si="2"/>
        <v>852502598</v>
      </c>
      <c r="K41" s="66">
        <f t="shared" si="3"/>
        <v>0.24903774933227449</v>
      </c>
    </row>
    <row r="42" spans="1:11" ht="18">
      <c r="A42" s="61" t="s">
        <v>80</v>
      </c>
      <c r="B42" s="61"/>
      <c r="C42" s="62">
        <v>1871266406</v>
      </c>
      <c r="D42" s="62"/>
      <c r="E42" s="62">
        <f t="shared" si="0"/>
        <v>1871266406</v>
      </c>
      <c r="F42" s="66">
        <f t="shared" si="1"/>
        <v>6.684188170001179E-2</v>
      </c>
      <c r="G42" s="62"/>
      <c r="H42" s="62">
        <v>1204005317</v>
      </c>
      <c r="I42" s="62">
        <v>320413071</v>
      </c>
      <c r="J42" s="62">
        <f t="shared" si="2"/>
        <v>1524418388</v>
      </c>
      <c r="K42" s="66">
        <f t="shared" si="3"/>
        <v>0.44532148673669375</v>
      </c>
    </row>
    <row r="43" spans="1:11" ht="18">
      <c r="A43" s="61" t="s">
        <v>191</v>
      </c>
      <c r="B43" s="61"/>
      <c r="C43" s="62"/>
      <c r="D43" s="62"/>
      <c r="E43" s="62">
        <f t="shared" si="0"/>
        <v>0</v>
      </c>
      <c r="F43" s="66">
        <f t="shared" si="1"/>
        <v>0</v>
      </c>
      <c r="G43" s="62"/>
      <c r="H43" s="62"/>
      <c r="I43" s="62">
        <v>-315643873</v>
      </c>
      <c r="J43" s="62">
        <f t="shared" si="2"/>
        <v>-315643873</v>
      </c>
      <c r="K43" s="66">
        <f t="shared" si="3"/>
        <v>-9.2207624829364204E-2</v>
      </c>
    </row>
    <row r="44" spans="1:11" ht="18">
      <c r="A44" s="61" t="s">
        <v>23</v>
      </c>
      <c r="B44" s="61"/>
      <c r="C44" s="62">
        <v>312850607</v>
      </c>
      <c r="D44" s="62">
        <v>-25503715</v>
      </c>
      <c r="E44" s="62">
        <f t="shared" si="0"/>
        <v>287346892</v>
      </c>
      <c r="F44" s="66">
        <f t="shared" si="1"/>
        <v>1.026406870787914E-2</v>
      </c>
      <c r="G44" s="62">
        <v>239981000</v>
      </c>
      <c r="H44" s="62">
        <v>-367869093</v>
      </c>
      <c r="I44" s="62">
        <v>-25995961</v>
      </c>
      <c r="J44" s="62">
        <f t="shared" si="2"/>
        <v>-153884054</v>
      </c>
      <c r="K44" s="66">
        <f t="shared" si="3"/>
        <v>-4.4953456512851812E-2</v>
      </c>
    </row>
    <row r="45" spans="1:11" ht="18">
      <c r="A45" s="61" t="s">
        <v>184</v>
      </c>
      <c r="B45" s="61"/>
      <c r="C45" s="62"/>
      <c r="D45" s="62"/>
      <c r="E45" s="62">
        <f t="shared" si="0"/>
        <v>0</v>
      </c>
      <c r="F45" s="66">
        <f t="shared" si="1"/>
        <v>0</v>
      </c>
      <c r="G45" s="62"/>
      <c r="H45" s="62"/>
      <c r="I45" s="62">
        <v>-697492873</v>
      </c>
      <c r="J45" s="62">
        <f t="shared" si="2"/>
        <v>-697492873</v>
      </c>
      <c r="K45" s="66">
        <f t="shared" si="3"/>
        <v>-0.20375545561354638</v>
      </c>
    </row>
    <row r="46" spans="1:11" ht="18">
      <c r="A46" s="61" t="s">
        <v>51</v>
      </c>
      <c r="B46" s="61"/>
      <c r="C46" s="62">
        <v>-89276625</v>
      </c>
      <c r="D46" s="62"/>
      <c r="E46" s="62">
        <f t="shared" si="0"/>
        <v>-89276625</v>
      </c>
      <c r="F46" s="66">
        <f t="shared" si="1"/>
        <v>-3.1889727660863671E-3</v>
      </c>
      <c r="G46" s="62"/>
      <c r="H46" s="62">
        <v>-255789094</v>
      </c>
      <c r="I46" s="62">
        <v>-869215481</v>
      </c>
      <c r="J46" s="62">
        <f t="shared" si="2"/>
        <v>-1125004575</v>
      </c>
      <c r="K46" s="66">
        <f t="shared" si="3"/>
        <v>-0.32864252613868516</v>
      </c>
    </row>
    <row r="47" spans="1:11" ht="18">
      <c r="A47" s="61" t="s">
        <v>43</v>
      </c>
      <c r="B47" s="61"/>
      <c r="C47" s="62">
        <v>-359951576</v>
      </c>
      <c r="D47" s="62"/>
      <c r="E47" s="62">
        <f t="shared" si="0"/>
        <v>-359951576</v>
      </c>
      <c r="F47" s="66">
        <f t="shared" si="1"/>
        <v>-1.2857517552594167E-2</v>
      </c>
      <c r="G47" s="62">
        <v>1155060920</v>
      </c>
      <c r="H47" s="62">
        <v>-964261212</v>
      </c>
      <c r="I47" s="62">
        <v>1272204</v>
      </c>
      <c r="J47" s="62">
        <f t="shared" si="2"/>
        <v>192071912</v>
      </c>
      <c r="K47" s="66">
        <f t="shared" si="3"/>
        <v>5.6109103698504727E-2</v>
      </c>
    </row>
    <row r="48" spans="1:11" ht="18">
      <c r="A48" s="61" t="s">
        <v>39</v>
      </c>
      <c r="B48" s="61"/>
      <c r="C48" s="62">
        <v>877664706</v>
      </c>
      <c r="D48" s="62">
        <v>-89791516</v>
      </c>
      <c r="E48" s="62">
        <f t="shared" si="0"/>
        <v>787873190</v>
      </c>
      <c r="F48" s="66">
        <f t="shared" si="1"/>
        <v>2.8142933786302851E-2</v>
      </c>
      <c r="G48" s="62"/>
      <c r="H48" s="62">
        <v>-88484624</v>
      </c>
      <c r="I48" s="62">
        <v>-86528470</v>
      </c>
      <c r="J48" s="62">
        <f t="shared" si="2"/>
        <v>-175013094</v>
      </c>
      <c r="K48" s="66">
        <f t="shared" si="3"/>
        <v>-5.1125787928024351E-2</v>
      </c>
    </row>
    <row r="49" spans="1:11" ht="18">
      <c r="A49" s="61" t="s">
        <v>67</v>
      </c>
      <c r="B49" s="61"/>
      <c r="C49" s="62">
        <v>-45084642</v>
      </c>
      <c r="D49" s="62">
        <v>-442080000</v>
      </c>
      <c r="E49" s="62">
        <f t="shared" si="0"/>
        <v>-487164642</v>
      </c>
      <c r="F49" s="66">
        <f t="shared" si="1"/>
        <v>-1.740158497185814E-2</v>
      </c>
      <c r="G49" s="62"/>
      <c r="H49" s="62">
        <v>-2748608361</v>
      </c>
      <c r="I49" s="62">
        <v>-471692500</v>
      </c>
      <c r="J49" s="62">
        <f t="shared" si="2"/>
        <v>-3220300861</v>
      </c>
      <c r="K49" s="66">
        <f t="shared" si="3"/>
        <v>-0.94073200536595403</v>
      </c>
    </row>
    <row r="50" spans="1:11" ht="18">
      <c r="A50" s="61" t="s">
        <v>27</v>
      </c>
      <c r="B50" s="61"/>
      <c r="C50" s="62">
        <v>14847359</v>
      </c>
      <c r="D50" s="62"/>
      <c r="E50" s="62">
        <f t="shared" si="0"/>
        <v>14847359</v>
      </c>
      <c r="F50" s="66">
        <f t="shared" si="1"/>
        <v>5.3034961278282324E-4</v>
      </c>
      <c r="G50" s="62"/>
      <c r="H50" s="62">
        <v>-55428310</v>
      </c>
      <c r="I50" s="62">
        <v>-997130273</v>
      </c>
      <c r="J50" s="62">
        <f t="shared" si="2"/>
        <v>-1052558583</v>
      </c>
      <c r="K50" s="66">
        <f t="shared" si="3"/>
        <v>-0.30747920436330217</v>
      </c>
    </row>
    <row r="51" spans="1:11" ht="18">
      <c r="A51" s="61" t="s">
        <v>130</v>
      </c>
      <c r="B51" s="61"/>
      <c r="C51" s="62"/>
      <c r="D51" s="62"/>
      <c r="E51" s="62">
        <f t="shared" si="0"/>
        <v>0</v>
      </c>
      <c r="F51" s="66">
        <f t="shared" si="1"/>
        <v>0</v>
      </c>
      <c r="G51" s="62">
        <v>4241820</v>
      </c>
      <c r="H51" s="62"/>
      <c r="I51" s="62">
        <v>-558384067</v>
      </c>
      <c r="J51" s="62">
        <f t="shared" si="2"/>
        <v>-554142247</v>
      </c>
      <c r="K51" s="66">
        <f t="shared" si="3"/>
        <v>-0.16187908204217502</v>
      </c>
    </row>
    <row r="52" spans="1:11" ht="18">
      <c r="A52" s="61" t="s">
        <v>41</v>
      </c>
      <c r="B52" s="61"/>
      <c r="C52" s="62">
        <v>218597135</v>
      </c>
      <c r="D52" s="62">
        <v>-523189565</v>
      </c>
      <c r="E52" s="62">
        <f t="shared" si="0"/>
        <v>-304592430</v>
      </c>
      <c r="F52" s="66">
        <f t="shared" si="1"/>
        <v>-1.0880081589397763E-2</v>
      </c>
      <c r="G52" s="62"/>
      <c r="H52" s="62">
        <v>-1329372375</v>
      </c>
      <c r="I52" s="62">
        <v>-1539309050</v>
      </c>
      <c r="J52" s="62">
        <f t="shared" si="2"/>
        <v>-2868681425</v>
      </c>
      <c r="K52" s="66">
        <f t="shared" si="3"/>
        <v>-0.83801500113821592</v>
      </c>
    </row>
    <row r="53" spans="1:11" ht="18">
      <c r="A53" s="61" t="s">
        <v>79</v>
      </c>
      <c r="B53" s="61"/>
      <c r="C53" s="62">
        <v>2851982881</v>
      </c>
      <c r="D53" s="62">
        <v>-1207950710</v>
      </c>
      <c r="E53" s="62">
        <f t="shared" si="0"/>
        <v>1644032171</v>
      </c>
      <c r="F53" s="66">
        <f t="shared" si="1"/>
        <v>5.8725044992335287E-2</v>
      </c>
      <c r="G53" s="62">
        <v>4131290270</v>
      </c>
      <c r="H53" s="62">
        <v>-3784227990</v>
      </c>
      <c r="I53" s="62">
        <v>-1244829627</v>
      </c>
      <c r="J53" s="62">
        <f t="shared" si="2"/>
        <v>-897767347</v>
      </c>
      <c r="K53" s="66">
        <f t="shared" si="3"/>
        <v>-0.26226073685336393</v>
      </c>
    </row>
    <row r="54" spans="1:11" ht="18">
      <c r="A54" s="61" t="s">
        <v>48</v>
      </c>
      <c r="B54" s="61"/>
      <c r="C54" s="62">
        <v>-205796637</v>
      </c>
      <c r="D54" s="62">
        <v>-12845307</v>
      </c>
      <c r="E54" s="62">
        <f t="shared" si="0"/>
        <v>-218641944</v>
      </c>
      <c r="F54" s="66">
        <f t="shared" si="1"/>
        <v>-7.8099189450786316E-3</v>
      </c>
      <c r="G54" s="62"/>
      <c r="H54" s="62">
        <v>-136038748</v>
      </c>
      <c r="I54" s="62">
        <v>-75011739</v>
      </c>
      <c r="J54" s="62">
        <f t="shared" si="2"/>
        <v>-211050487</v>
      </c>
      <c r="K54" s="66">
        <f t="shared" si="3"/>
        <v>-6.1653229446182234E-2</v>
      </c>
    </row>
    <row r="55" spans="1:11" ht="18">
      <c r="A55" s="61" t="s">
        <v>24</v>
      </c>
      <c r="B55" s="61"/>
      <c r="C55" s="62">
        <v>1209672959</v>
      </c>
      <c r="D55" s="62">
        <v>11661471</v>
      </c>
      <c r="E55" s="62">
        <f t="shared" si="0"/>
        <v>1221334430</v>
      </c>
      <c r="F55" s="66">
        <f t="shared" si="1"/>
        <v>4.3626226188026446E-2</v>
      </c>
      <c r="G55" s="62"/>
      <c r="H55" s="62">
        <v>535476271</v>
      </c>
      <c r="I55" s="62">
        <v>10169067</v>
      </c>
      <c r="J55" s="62">
        <f t="shared" si="2"/>
        <v>545645338</v>
      </c>
      <c r="K55" s="66">
        <f t="shared" si="3"/>
        <v>0.15939691823574736</v>
      </c>
    </row>
    <row r="56" spans="1:11" ht="18">
      <c r="A56" s="61" t="s">
        <v>59</v>
      </c>
      <c r="B56" s="61"/>
      <c r="C56" s="62">
        <v>1035283320</v>
      </c>
      <c r="D56" s="62">
        <v>69619399</v>
      </c>
      <c r="E56" s="62">
        <f t="shared" si="0"/>
        <v>1104902719</v>
      </c>
      <c r="F56" s="66">
        <f t="shared" si="1"/>
        <v>3.946727018484153E-2</v>
      </c>
      <c r="G56" s="62">
        <v>491449090</v>
      </c>
      <c r="H56" s="62">
        <v>397673327</v>
      </c>
      <c r="I56" s="62">
        <v>61917739</v>
      </c>
      <c r="J56" s="62">
        <f t="shared" si="2"/>
        <v>951040156</v>
      </c>
      <c r="K56" s="66">
        <f t="shared" si="3"/>
        <v>0.27782308292139096</v>
      </c>
    </row>
    <row r="57" spans="1:11" ht="18">
      <c r="A57" s="61" t="s">
        <v>175</v>
      </c>
      <c r="B57" s="61"/>
      <c r="C57" s="62"/>
      <c r="D57" s="62"/>
      <c r="E57" s="62">
        <f t="shared" si="0"/>
        <v>0</v>
      </c>
      <c r="F57" s="66">
        <f t="shared" si="1"/>
        <v>0</v>
      </c>
      <c r="G57" s="62"/>
      <c r="H57" s="62"/>
      <c r="I57" s="62">
        <v>-933589506</v>
      </c>
      <c r="J57" s="62">
        <f t="shared" si="2"/>
        <v>-933589506</v>
      </c>
      <c r="K57" s="66">
        <f t="shared" si="3"/>
        <v>-0.27272530303124071</v>
      </c>
    </row>
    <row r="58" spans="1:11" ht="18">
      <c r="A58" s="61" t="s">
        <v>183</v>
      </c>
      <c r="B58" s="61"/>
      <c r="C58" s="62"/>
      <c r="D58" s="62"/>
      <c r="E58" s="62">
        <f t="shared" si="0"/>
        <v>0</v>
      </c>
      <c r="F58" s="66">
        <f t="shared" si="1"/>
        <v>0</v>
      </c>
      <c r="G58" s="62"/>
      <c r="H58" s="62"/>
      <c r="I58" s="62">
        <v>-338736529</v>
      </c>
      <c r="J58" s="62">
        <f t="shared" si="2"/>
        <v>-338736529</v>
      </c>
      <c r="K58" s="66">
        <f t="shared" si="3"/>
        <v>-9.8953578554122748E-2</v>
      </c>
    </row>
    <row r="59" spans="1:11" ht="18">
      <c r="A59" s="61" t="s">
        <v>173</v>
      </c>
      <c r="B59" s="61"/>
      <c r="C59" s="62"/>
      <c r="D59" s="62"/>
      <c r="E59" s="62">
        <f t="shared" si="0"/>
        <v>0</v>
      </c>
      <c r="F59" s="66">
        <f t="shared" si="1"/>
        <v>0</v>
      </c>
      <c r="G59" s="62"/>
      <c r="H59" s="62"/>
      <c r="I59" s="62">
        <v>-677280461</v>
      </c>
      <c r="J59" s="62">
        <f t="shared" si="2"/>
        <v>-677280461</v>
      </c>
      <c r="K59" s="66">
        <f t="shared" si="3"/>
        <v>-0.19785089461295144</v>
      </c>
    </row>
    <row r="60" spans="1:11" ht="18">
      <c r="A60" s="61" t="s">
        <v>156</v>
      </c>
      <c r="B60" s="61"/>
      <c r="C60" s="62"/>
      <c r="D60" s="62"/>
      <c r="E60" s="62">
        <f t="shared" si="0"/>
        <v>0</v>
      </c>
      <c r="F60" s="66">
        <f t="shared" si="1"/>
        <v>0</v>
      </c>
      <c r="G60" s="62">
        <v>362934000</v>
      </c>
      <c r="H60" s="62"/>
      <c r="I60" s="62">
        <v>-1111814487</v>
      </c>
      <c r="J60" s="62">
        <f t="shared" si="2"/>
        <v>-748880487</v>
      </c>
      <c r="K60" s="66">
        <f t="shared" si="3"/>
        <v>-0.21876708814597379</v>
      </c>
    </row>
    <row r="61" spans="1:11" ht="18">
      <c r="A61" s="61" t="s">
        <v>186</v>
      </c>
      <c r="B61" s="61"/>
      <c r="C61" s="62"/>
      <c r="D61" s="62"/>
      <c r="E61" s="62">
        <f t="shared" si="0"/>
        <v>0</v>
      </c>
      <c r="F61" s="66">
        <f t="shared" si="1"/>
        <v>0</v>
      </c>
      <c r="G61" s="62"/>
      <c r="H61" s="62"/>
      <c r="I61" s="62">
        <v>-876036610</v>
      </c>
      <c r="J61" s="62">
        <f t="shared" si="2"/>
        <v>-876036610</v>
      </c>
      <c r="K61" s="66">
        <f t="shared" si="3"/>
        <v>-0.25591263440006023</v>
      </c>
    </row>
    <row r="62" spans="1:11" ht="18">
      <c r="A62" s="61" t="s">
        <v>152</v>
      </c>
      <c r="B62" s="61"/>
      <c r="C62" s="62"/>
      <c r="D62" s="62"/>
      <c r="E62" s="62">
        <f t="shared" si="0"/>
        <v>0</v>
      </c>
      <c r="F62" s="66">
        <f t="shared" si="1"/>
        <v>0</v>
      </c>
      <c r="G62" s="62">
        <v>636633860</v>
      </c>
      <c r="H62" s="62"/>
      <c r="I62" s="62">
        <v>-2672837539</v>
      </c>
      <c r="J62" s="62">
        <f t="shared" si="2"/>
        <v>-2036203679</v>
      </c>
      <c r="K62" s="66">
        <f t="shared" si="3"/>
        <v>-0.59482702174739543</v>
      </c>
    </row>
    <row r="63" spans="1:11" ht="18">
      <c r="A63" s="61" t="s">
        <v>29</v>
      </c>
      <c r="B63" s="61"/>
      <c r="C63" s="62">
        <v>1926323557</v>
      </c>
      <c r="D63" s="62">
        <v>214322197</v>
      </c>
      <c r="E63" s="62">
        <f t="shared" si="0"/>
        <v>2140645754</v>
      </c>
      <c r="F63" s="66">
        <f t="shared" si="1"/>
        <v>7.6464147377260469E-2</v>
      </c>
      <c r="G63" s="62"/>
      <c r="H63" s="62">
        <v>1225487087</v>
      </c>
      <c r="I63" s="62">
        <v>195815955</v>
      </c>
      <c r="J63" s="62">
        <f t="shared" si="2"/>
        <v>1421303042</v>
      </c>
      <c r="K63" s="66">
        <f t="shared" si="3"/>
        <v>0.41519886453037558</v>
      </c>
    </row>
    <row r="64" spans="1:11" ht="18">
      <c r="A64" s="61" t="s">
        <v>57</v>
      </c>
      <c r="B64" s="61"/>
      <c r="C64" s="62">
        <v>-165122037</v>
      </c>
      <c r="D64" s="62">
        <v>53907487</v>
      </c>
      <c r="E64" s="62">
        <f t="shared" si="0"/>
        <v>-111214550</v>
      </c>
      <c r="F64" s="66">
        <f t="shared" si="1"/>
        <v>-3.9725983273062862E-3</v>
      </c>
      <c r="G64" s="62">
        <v>666700000</v>
      </c>
      <c r="H64" s="62">
        <v>-31331631</v>
      </c>
      <c r="I64" s="62">
        <v>-638247676</v>
      </c>
      <c r="J64" s="62">
        <f t="shared" si="2"/>
        <v>-2879307</v>
      </c>
      <c r="K64" s="66">
        <f t="shared" si="3"/>
        <v>-8.4111900256832216E-4</v>
      </c>
    </row>
    <row r="65" spans="1:11" ht="18">
      <c r="A65" s="61" t="s">
        <v>69</v>
      </c>
      <c r="B65" s="61"/>
      <c r="C65" s="62">
        <v>-806712122</v>
      </c>
      <c r="D65" s="62">
        <v>-142464962</v>
      </c>
      <c r="E65" s="62">
        <f t="shared" si="0"/>
        <v>-949177084</v>
      </c>
      <c r="F65" s="66">
        <f t="shared" si="1"/>
        <v>-3.3904730057495697E-2</v>
      </c>
      <c r="G65" s="62">
        <v>1310938000</v>
      </c>
      <c r="H65" s="62">
        <v>-3302221237</v>
      </c>
      <c r="I65" s="62">
        <v>-182623187</v>
      </c>
      <c r="J65" s="62">
        <f t="shared" si="2"/>
        <v>-2173906424</v>
      </c>
      <c r="K65" s="66">
        <f t="shared" si="3"/>
        <v>-0.63505350524683468</v>
      </c>
    </row>
    <row r="66" spans="1:11" ht="18">
      <c r="A66" s="61" t="s">
        <v>52</v>
      </c>
      <c r="B66" s="61"/>
      <c r="C66" s="62">
        <v>1161905939</v>
      </c>
      <c r="D66" s="62">
        <v>290470909</v>
      </c>
      <c r="E66" s="62">
        <f t="shared" si="0"/>
        <v>1452376848</v>
      </c>
      <c r="F66" s="66">
        <f t="shared" si="1"/>
        <v>5.1879091692437512E-2</v>
      </c>
      <c r="G66" s="62"/>
      <c r="H66" s="62">
        <v>2685485311</v>
      </c>
      <c r="I66" s="62">
        <v>311014320</v>
      </c>
      <c r="J66" s="62">
        <f t="shared" si="2"/>
        <v>2996499631</v>
      </c>
      <c r="K66" s="66">
        <f t="shared" si="3"/>
        <v>0.87535395872099275</v>
      </c>
    </row>
    <row r="67" spans="1:11" ht="18">
      <c r="A67" s="61" t="s">
        <v>64</v>
      </c>
      <c r="B67" s="61"/>
      <c r="C67" s="62">
        <v>1308036799</v>
      </c>
      <c r="D67" s="62">
        <v>146513802</v>
      </c>
      <c r="E67" s="62">
        <f t="shared" si="0"/>
        <v>1454550601</v>
      </c>
      <c r="F67" s="66">
        <f t="shared" si="1"/>
        <v>5.1956738434988527E-2</v>
      </c>
      <c r="G67" s="62">
        <v>1250379360</v>
      </c>
      <c r="H67" s="62">
        <v>836132962</v>
      </c>
      <c r="I67" s="62">
        <v>109884107</v>
      </c>
      <c r="J67" s="62">
        <f t="shared" si="2"/>
        <v>2196396429</v>
      </c>
      <c r="K67" s="66">
        <f t="shared" si="3"/>
        <v>0.64162340924573324</v>
      </c>
    </row>
    <row r="68" spans="1:11" ht="18">
      <c r="A68" s="61" t="s">
        <v>188</v>
      </c>
      <c r="B68" s="61"/>
      <c r="C68" s="62"/>
      <c r="D68" s="62"/>
      <c r="E68" s="62">
        <f t="shared" si="0"/>
        <v>0</v>
      </c>
      <c r="F68" s="66">
        <f t="shared" si="1"/>
        <v>0</v>
      </c>
      <c r="G68" s="62"/>
      <c r="H68" s="62"/>
      <c r="I68" s="62">
        <v>-1090046480</v>
      </c>
      <c r="J68" s="62">
        <f t="shared" si="2"/>
        <v>-1090046480</v>
      </c>
      <c r="K68" s="66">
        <f t="shared" si="3"/>
        <v>-0.31843037509050287</v>
      </c>
    </row>
    <row r="69" spans="1:11" ht="18">
      <c r="A69" s="61" t="s">
        <v>53</v>
      </c>
      <c r="B69" s="61"/>
      <c r="C69" s="62">
        <v>6296028167</v>
      </c>
      <c r="D69" s="62">
        <v>61703625</v>
      </c>
      <c r="E69" s="62">
        <f t="shared" si="0"/>
        <v>6357731792</v>
      </c>
      <c r="F69" s="66">
        <f t="shared" si="1"/>
        <v>0.22709901431387527</v>
      </c>
      <c r="G69" s="62">
        <v>5269303680</v>
      </c>
      <c r="H69" s="62">
        <v>598551124</v>
      </c>
      <c r="I69" s="62">
        <v>-1216720713</v>
      </c>
      <c r="J69" s="62">
        <f t="shared" si="2"/>
        <v>4651134091</v>
      </c>
      <c r="K69" s="66">
        <f t="shared" si="3"/>
        <v>1.3587148808492597</v>
      </c>
    </row>
    <row r="70" spans="1:11" ht="18">
      <c r="A70" s="61" t="s">
        <v>38</v>
      </c>
      <c r="B70" s="61"/>
      <c r="C70" s="62">
        <v>323667425</v>
      </c>
      <c r="D70" s="62">
        <v>-2429244</v>
      </c>
      <c r="E70" s="62">
        <f t="shared" si="0"/>
        <v>321238181</v>
      </c>
      <c r="F70" s="66">
        <f t="shared" si="1"/>
        <v>1.1474670000530632E-2</v>
      </c>
      <c r="G70" s="62"/>
      <c r="H70" s="62">
        <v>35922108</v>
      </c>
      <c r="I70" s="62">
        <v>-2429244</v>
      </c>
      <c r="J70" s="62">
        <f t="shared" si="2"/>
        <v>33492864</v>
      </c>
      <c r="K70" s="66">
        <f t="shared" si="3"/>
        <v>9.7841197068726828E-3</v>
      </c>
    </row>
    <row r="71" spans="1:11" ht="18">
      <c r="A71" s="61" t="s">
        <v>181</v>
      </c>
      <c r="B71" s="61"/>
      <c r="C71" s="62"/>
      <c r="D71" s="62"/>
      <c r="E71" s="62">
        <f t="shared" si="0"/>
        <v>0</v>
      </c>
      <c r="F71" s="66">
        <f t="shared" si="1"/>
        <v>0</v>
      </c>
      <c r="G71" s="62"/>
      <c r="H71" s="62"/>
      <c r="I71" s="62">
        <v>201117</v>
      </c>
      <c r="J71" s="62">
        <f t="shared" si="2"/>
        <v>201117</v>
      </c>
      <c r="K71" s="66">
        <f t="shared" si="3"/>
        <v>5.8751404570451583E-5</v>
      </c>
    </row>
    <row r="72" spans="1:11" ht="18">
      <c r="A72" s="61" t="s">
        <v>54</v>
      </c>
      <c r="B72" s="61"/>
      <c r="C72" s="62"/>
      <c r="D72" s="62"/>
      <c r="E72" s="62">
        <f t="shared" si="0"/>
        <v>0</v>
      </c>
      <c r="F72" s="66">
        <f t="shared" si="1"/>
        <v>0</v>
      </c>
      <c r="G72" s="62">
        <v>377271180</v>
      </c>
      <c r="H72" s="62"/>
      <c r="I72" s="62">
        <v>-792685713</v>
      </c>
      <c r="J72" s="62">
        <f t="shared" si="2"/>
        <v>-415414533</v>
      </c>
      <c r="K72" s="66">
        <f t="shared" si="3"/>
        <v>-0.12135317895915418</v>
      </c>
    </row>
    <row r="73" spans="1:11" ht="18">
      <c r="A73" s="61" t="s">
        <v>54</v>
      </c>
      <c r="B73" s="61"/>
      <c r="C73" s="62">
        <v>-8356381</v>
      </c>
      <c r="D73" s="62"/>
      <c r="E73" s="62">
        <f t="shared" si="0"/>
        <v>-8356381</v>
      </c>
      <c r="F73" s="66">
        <f t="shared" si="1"/>
        <v>-2.9849102642535562E-4</v>
      </c>
      <c r="G73" s="62"/>
      <c r="H73" s="62">
        <v>-8356381</v>
      </c>
      <c r="I73" s="62"/>
      <c r="J73" s="62">
        <f t="shared" si="2"/>
        <v>-8356381</v>
      </c>
      <c r="K73" s="66">
        <f t="shared" si="3"/>
        <v>-2.4411119938932799E-3</v>
      </c>
    </row>
    <row r="74" spans="1:11" ht="18">
      <c r="A74" s="61" t="s">
        <v>174</v>
      </c>
      <c r="B74" s="61"/>
      <c r="C74" s="62"/>
      <c r="D74" s="62"/>
      <c r="E74" s="62">
        <f t="shared" si="0"/>
        <v>0</v>
      </c>
      <c r="F74" s="66">
        <f t="shared" si="1"/>
        <v>0</v>
      </c>
      <c r="G74" s="62"/>
      <c r="H74" s="62"/>
      <c r="I74" s="62">
        <v>-981095912</v>
      </c>
      <c r="J74" s="62">
        <f t="shared" si="2"/>
        <v>-981095912</v>
      </c>
      <c r="K74" s="66">
        <f t="shared" si="3"/>
        <v>-0.28660313572859664</v>
      </c>
    </row>
    <row r="75" spans="1:11" ht="18">
      <c r="A75" s="61" t="s">
        <v>55</v>
      </c>
      <c r="B75" s="61"/>
      <c r="C75" s="62">
        <v>-709915</v>
      </c>
      <c r="D75" s="62"/>
      <c r="E75" s="62">
        <f t="shared" si="0"/>
        <v>-709915</v>
      </c>
      <c r="F75" s="66">
        <f t="shared" si="1"/>
        <v>-2.5358257004408525E-5</v>
      </c>
      <c r="G75" s="62">
        <v>294469000</v>
      </c>
      <c r="H75" s="62">
        <v>-709915</v>
      </c>
      <c r="I75" s="62">
        <v>-690475582</v>
      </c>
      <c r="J75" s="62">
        <f t="shared" si="2"/>
        <v>-396716497</v>
      </c>
      <c r="K75" s="66">
        <f t="shared" si="3"/>
        <v>-0.11589100580766093</v>
      </c>
    </row>
    <row r="76" spans="1:11" ht="18">
      <c r="A76" s="61" t="s">
        <v>75</v>
      </c>
      <c r="B76" s="61"/>
      <c r="C76" s="62">
        <v>5841146</v>
      </c>
      <c r="D76" s="62">
        <v>242605571</v>
      </c>
      <c r="E76" s="62">
        <f t="shared" ref="E76:E98" si="4">B76+C76+D76</f>
        <v>248446717</v>
      </c>
      <c r="F76" s="66">
        <f t="shared" ref="F76:F98" si="5">E76/$E$99</f>
        <v>8.8745493496933479E-3</v>
      </c>
      <c r="G76" s="62"/>
      <c r="H76" s="62">
        <v>737064729</v>
      </c>
      <c r="I76" s="62">
        <v>242605571</v>
      </c>
      <c r="J76" s="62">
        <f t="shared" ref="J76:J98" si="6">G76+H76+I76</f>
        <v>979670300</v>
      </c>
      <c r="K76" s="66">
        <f t="shared" ref="K76:K98" si="7">J76/$J$99</f>
        <v>0.28618667810754772</v>
      </c>
    </row>
    <row r="77" spans="1:11" ht="18">
      <c r="A77" s="61" t="s">
        <v>189</v>
      </c>
      <c r="B77" s="61"/>
      <c r="C77" s="62"/>
      <c r="D77" s="62"/>
      <c r="E77" s="62">
        <f t="shared" si="4"/>
        <v>0</v>
      </c>
      <c r="F77" s="66">
        <f t="shared" si="5"/>
        <v>0</v>
      </c>
      <c r="G77" s="62"/>
      <c r="H77" s="62"/>
      <c r="I77" s="62">
        <v>-647043678</v>
      </c>
      <c r="J77" s="62">
        <f t="shared" si="6"/>
        <v>-647043678</v>
      </c>
      <c r="K77" s="66">
        <f t="shared" si="7"/>
        <v>-0.18901795920250899</v>
      </c>
    </row>
    <row r="78" spans="1:11" ht="18">
      <c r="A78" s="61" t="s">
        <v>37</v>
      </c>
      <c r="B78" s="61"/>
      <c r="C78" s="62">
        <v>3891876387</v>
      </c>
      <c r="D78" s="62">
        <v>-483625000</v>
      </c>
      <c r="E78" s="62">
        <f t="shared" si="4"/>
        <v>3408251387</v>
      </c>
      <c r="F78" s="66">
        <f t="shared" si="5"/>
        <v>0.12174318701137153</v>
      </c>
      <c r="G78" s="62">
        <v>3018922760</v>
      </c>
      <c r="H78" s="62">
        <v>-5402071471</v>
      </c>
      <c r="I78" s="62">
        <v>-2279476959</v>
      </c>
      <c r="J78" s="62">
        <f t="shared" si="6"/>
        <v>-4662625670</v>
      </c>
      <c r="K78" s="66">
        <f t="shared" si="7"/>
        <v>-1.3620718641325342</v>
      </c>
    </row>
    <row r="79" spans="1:11" ht="18">
      <c r="A79" s="61" t="s">
        <v>141</v>
      </c>
      <c r="B79" s="61"/>
      <c r="C79" s="62"/>
      <c r="D79" s="62"/>
      <c r="E79" s="62">
        <f t="shared" si="4"/>
        <v>0</v>
      </c>
      <c r="F79" s="66">
        <f t="shared" si="5"/>
        <v>0</v>
      </c>
      <c r="G79" s="62">
        <v>184034900</v>
      </c>
      <c r="H79" s="62"/>
      <c r="I79" s="62">
        <v>-499660653</v>
      </c>
      <c r="J79" s="62">
        <f t="shared" si="6"/>
        <v>-315625753</v>
      </c>
      <c r="K79" s="66">
        <f t="shared" si="7"/>
        <v>-9.220233151526934E-2</v>
      </c>
    </row>
    <row r="80" spans="1:11" ht="18">
      <c r="A80" s="61" t="s">
        <v>154</v>
      </c>
      <c r="B80" s="61"/>
      <c r="C80" s="62"/>
      <c r="D80" s="62"/>
      <c r="E80" s="62">
        <f t="shared" si="4"/>
        <v>0</v>
      </c>
      <c r="F80" s="66">
        <f t="shared" si="5"/>
        <v>0</v>
      </c>
      <c r="G80" s="62">
        <v>156662494</v>
      </c>
      <c r="H80" s="62"/>
      <c r="I80" s="62">
        <v>-881034374</v>
      </c>
      <c r="J80" s="62">
        <f t="shared" si="6"/>
        <v>-724371880</v>
      </c>
      <c r="K80" s="66">
        <f t="shared" si="7"/>
        <v>-0.21160749902464043</v>
      </c>
    </row>
    <row r="81" spans="1:11" ht="18">
      <c r="A81" s="61" t="s">
        <v>26</v>
      </c>
      <c r="B81" s="61"/>
      <c r="C81" s="62">
        <v>289441817</v>
      </c>
      <c r="D81" s="62">
        <v>-178323279</v>
      </c>
      <c r="E81" s="62">
        <f t="shared" si="4"/>
        <v>111118538</v>
      </c>
      <c r="F81" s="66">
        <f t="shared" si="5"/>
        <v>3.9691687660609156E-3</v>
      </c>
      <c r="G81" s="62">
        <v>809823000</v>
      </c>
      <c r="H81" s="62">
        <v>-2545992528</v>
      </c>
      <c r="I81" s="62">
        <v>-178323279</v>
      </c>
      <c r="J81" s="62">
        <f t="shared" si="6"/>
        <v>-1914492807</v>
      </c>
      <c r="K81" s="66">
        <f t="shared" si="7"/>
        <v>-0.5592721721747862</v>
      </c>
    </row>
    <row r="82" spans="1:11" ht="18">
      <c r="A82" s="61" t="s">
        <v>178</v>
      </c>
      <c r="B82" s="61"/>
      <c r="C82" s="62"/>
      <c r="D82" s="62"/>
      <c r="E82" s="62">
        <f t="shared" si="4"/>
        <v>0</v>
      </c>
      <c r="F82" s="66">
        <f t="shared" si="5"/>
        <v>0</v>
      </c>
      <c r="G82" s="62"/>
      <c r="H82" s="62"/>
      <c r="I82" s="62">
        <v>-598956422</v>
      </c>
      <c r="J82" s="62">
        <f t="shared" si="6"/>
        <v>-598956422</v>
      </c>
      <c r="K82" s="66">
        <f t="shared" si="7"/>
        <v>-0.17497044540736054</v>
      </c>
    </row>
    <row r="83" spans="1:11" ht="18">
      <c r="A83" s="61" t="s">
        <v>77</v>
      </c>
      <c r="B83" s="61"/>
      <c r="C83" s="62">
        <v>11391082</v>
      </c>
      <c r="D83" s="62">
        <v>72889704</v>
      </c>
      <c r="E83" s="62">
        <f t="shared" si="4"/>
        <v>84280786</v>
      </c>
      <c r="F83" s="66">
        <f t="shared" si="5"/>
        <v>3.0105207411049999E-3</v>
      </c>
      <c r="G83" s="62"/>
      <c r="H83" s="62">
        <v>-18281878</v>
      </c>
      <c r="I83" s="62">
        <v>72889704</v>
      </c>
      <c r="J83" s="62">
        <f t="shared" si="6"/>
        <v>54607826</v>
      </c>
      <c r="K83" s="66">
        <f t="shared" si="7"/>
        <v>1.595233857922913E-2</v>
      </c>
    </row>
    <row r="84" spans="1:11" ht="18">
      <c r="A84" s="61" t="s">
        <v>28</v>
      </c>
      <c r="B84" s="61"/>
      <c r="C84" s="62">
        <v>9139122</v>
      </c>
      <c r="D84" s="62">
        <v>214776954</v>
      </c>
      <c r="E84" s="62">
        <f t="shared" si="4"/>
        <v>223916076</v>
      </c>
      <c r="F84" s="66">
        <f t="shared" si="5"/>
        <v>7.9983116325569557E-3</v>
      </c>
      <c r="G84" s="62">
        <v>383205942</v>
      </c>
      <c r="H84" s="62">
        <v>827665720</v>
      </c>
      <c r="I84" s="62">
        <v>324933732</v>
      </c>
      <c r="J84" s="62">
        <f t="shared" si="6"/>
        <v>1535805394</v>
      </c>
      <c r="K84" s="66">
        <f t="shared" si="7"/>
        <v>0.4486479215798555</v>
      </c>
    </row>
    <row r="85" spans="1:11" ht="18">
      <c r="A85" s="61" t="s">
        <v>78</v>
      </c>
      <c r="B85" s="61"/>
      <c r="C85" s="62">
        <v>-16131090</v>
      </c>
      <c r="D85" s="62">
        <v>30871073</v>
      </c>
      <c r="E85" s="62">
        <f t="shared" si="4"/>
        <v>14739983</v>
      </c>
      <c r="F85" s="66">
        <f t="shared" si="5"/>
        <v>5.2651412796547844E-4</v>
      </c>
      <c r="G85" s="62"/>
      <c r="H85" s="62">
        <v>249039138</v>
      </c>
      <c r="I85" s="62">
        <v>-827587681</v>
      </c>
      <c r="J85" s="62">
        <f t="shared" si="6"/>
        <v>-578548543</v>
      </c>
      <c r="K85" s="66">
        <f t="shared" si="7"/>
        <v>-0.16900878351128101</v>
      </c>
    </row>
    <row r="86" spans="1:11" ht="18">
      <c r="A86" s="61" t="s">
        <v>46</v>
      </c>
      <c r="B86" s="61"/>
      <c r="C86" s="62">
        <v>221310199</v>
      </c>
      <c r="D86" s="62">
        <v>-230925786</v>
      </c>
      <c r="E86" s="62">
        <f t="shared" si="4"/>
        <v>-9615587</v>
      </c>
      <c r="F86" s="66">
        <f t="shared" si="5"/>
        <v>-3.4347003006592275E-4</v>
      </c>
      <c r="G86" s="62">
        <v>373257980</v>
      </c>
      <c r="H86" s="62">
        <v>-1651828685</v>
      </c>
      <c r="I86" s="62">
        <v>-246275177</v>
      </c>
      <c r="J86" s="62">
        <f t="shared" si="6"/>
        <v>-1524845882</v>
      </c>
      <c r="K86" s="66">
        <f t="shared" si="7"/>
        <v>-0.44544636863601328</v>
      </c>
    </row>
    <row r="87" spans="1:11" ht="18">
      <c r="A87" s="61" t="s">
        <v>31</v>
      </c>
      <c r="B87" s="61"/>
      <c r="C87" s="62">
        <v>-905002960</v>
      </c>
      <c r="D87" s="62">
        <v>141125340</v>
      </c>
      <c r="E87" s="62">
        <f t="shared" si="4"/>
        <v>-763877620</v>
      </c>
      <c r="F87" s="66">
        <f t="shared" si="5"/>
        <v>-2.7285808875535684E-2</v>
      </c>
      <c r="G87" s="62"/>
      <c r="H87" s="62">
        <v>570337920</v>
      </c>
      <c r="I87" s="62">
        <v>130703100</v>
      </c>
      <c r="J87" s="62">
        <f t="shared" si="6"/>
        <v>701041020</v>
      </c>
      <c r="K87" s="66">
        <f t="shared" si="7"/>
        <v>0.20479195983682155</v>
      </c>
    </row>
    <row r="88" spans="1:11" ht="18">
      <c r="A88" s="61" t="s">
        <v>49</v>
      </c>
      <c r="B88" s="61"/>
      <c r="C88" s="62">
        <v>563556582</v>
      </c>
      <c r="D88" s="62">
        <v>-174096766</v>
      </c>
      <c r="E88" s="62">
        <f t="shared" si="4"/>
        <v>389459816</v>
      </c>
      <c r="F88" s="66">
        <f t="shared" si="5"/>
        <v>1.3911555759517203E-2</v>
      </c>
      <c r="G88" s="62">
        <v>1108923320</v>
      </c>
      <c r="H88" s="62">
        <v>-926360420</v>
      </c>
      <c r="I88" s="62">
        <v>-172001380</v>
      </c>
      <c r="J88" s="62">
        <f t="shared" si="6"/>
        <v>10561520</v>
      </c>
      <c r="K88" s="66">
        <f t="shared" si="7"/>
        <v>3.0852893310804944E-3</v>
      </c>
    </row>
    <row r="89" spans="1:11" ht="18">
      <c r="A89" s="61" t="s">
        <v>71</v>
      </c>
      <c r="B89" s="61"/>
      <c r="C89" s="62">
        <v>-2178720</v>
      </c>
      <c r="D89" s="62"/>
      <c r="E89" s="62">
        <f t="shared" si="4"/>
        <v>-2178720</v>
      </c>
      <c r="F89" s="66">
        <f t="shared" si="5"/>
        <v>-7.7824164443130437E-5</v>
      </c>
      <c r="G89" s="62"/>
      <c r="H89" s="62">
        <v>-10597392</v>
      </c>
      <c r="I89" s="62"/>
      <c r="J89" s="62">
        <f t="shared" si="6"/>
        <v>-10597392</v>
      </c>
      <c r="K89" s="66">
        <f t="shared" si="7"/>
        <v>-3.0957684570855127E-3</v>
      </c>
    </row>
    <row r="90" spans="1:11" ht="18">
      <c r="A90" s="61" t="s">
        <v>128</v>
      </c>
      <c r="B90" s="61"/>
      <c r="C90" s="62"/>
      <c r="D90" s="62">
        <v>10015632</v>
      </c>
      <c r="E90" s="62">
        <f t="shared" si="4"/>
        <v>10015632</v>
      </c>
      <c r="F90" s="66">
        <f t="shared" si="5"/>
        <v>3.5775968998764382E-4</v>
      </c>
      <c r="G90" s="62">
        <v>117135</v>
      </c>
      <c r="H90" s="62"/>
      <c r="I90" s="62">
        <v>88545</v>
      </c>
      <c r="J90" s="62">
        <f t="shared" si="6"/>
        <v>205680</v>
      </c>
      <c r="K90" s="66">
        <f t="shared" si="7"/>
        <v>6.0084373235730851E-5</v>
      </c>
    </row>
    <row r="91" spans="1:11" ht="18">
      <c r="A91" s="61" t="s">
        <v>60</v>
      </c>
      <c r="B91" s="61"/>
      <c r="C91" s="62">
        <v>-680408232</v>
      </c>
      <c r="D91" s="62">
        <v>52617861</v>
      </c>
      <c r="E91" s="62">
        <f t="shared" si="4"/>
        <v>-627790371</v>
      </c>
      <c r="F91" s="66">
        <f t="shared" si="5"/>
        <v>-2.2424754474424369E-2</v>
      </c>
      <c r="G91" s="62">
        <v>2309988213</v>
      </c>
      <c r="H91" s="62">
        <v>-47244526</v>
      </c>
      <c r="I91" s="62">
        <v>70361329</v>
      </c>
      <c r="J91" s="62">
        <f t="shared" si="6"/>
        <v>2333105016</v>
      </c>
      <c r="K91" s="66">
        <f t="shared" si="7"/>
        <v>0.68155947384043081</v>
      </c>
    </row>
    <row r="92" spans="1:11" ht="18">
      <c r="A92" s="61" t="s">
        <v>63</v>
      </c>
      <c r="B92" s="61"/>
      <c r="C92" s="62">
        <v>-1777602</v>
      </c>
      <c r="D92" s="62"/>
      <c r="E92" s="62">
        <f t="shared" si="4"/>
        <v>-1777602</v>
      </c>
      <c r="F92" s="66">
        <f t="shared" si="5"/>
        <v>-6.3496176820535701E-5</v>
      </c>
      <c r="G92" s="62">
        <v>211240920</v>
      </c>
      <c r="H92" s="62">
        <v>-1777602</v>
      </c>
      <c r="I92" s="62">
        <v>-700968752</v>
      </c>
      <c r="J92" s="62">
        <f t="shared" si="6"/>
        <v>-491505434</v>
      </c>
      <c r="K92" s="66">
        <f t="shared" si="7"/>
        <v>-0.1435812716056295</v>
      </c>
    </row>
    <row r="93" spans="1:11" ht="18">
      <c r="A93" s="61" t="s">
        <v>132</v>
      </c>
      <c r="B93" s="61"/>
      <c r="C93" s="62"/>
      <c r="D93" s="62"/>
      <c r="E93" s="62">
        <f t="shared" si="4"/>
        <v>0</v>
      </c>
      <c r="F93" s="66">
        <f t="shared" si="5"/>
        <v>0</v>
      </c>
      <c r="G93" s="62">
        <v>200360850</v>
      </c>
      <c r="H93" s="62"/>
      <c r="I93" s="62">
        <v>-601815412</v>
      </c>
      <c r="J93" s="62">
        <f t="shared" si="6"/>
        <v>-401454562</v>
      </c>
      <c r="K93" s="66">
        <f t="shared" si="7"/>
        <v>-0.11727511542393453</v>
      </c>
    </row>
    <row r="94" spans="1:11" ht="18">
      <c r="A94" s="61" t="s">
        <v>187</v>
      </c>
      <c r="B94" s="61"/>
      <c r="C94" s="62"/>
      <c r="D94" s="62"/>
      <c r="E94" s="62">
        <f t="shared" si="4"/>
        <v>0</v>
      </c>
      <c r="F94" s="66">
        <f t="shared" si="5"/>
        <v>0</v>
      </c>
      <c r="G94" s="62"/>
      <c r="H94" s="62"/>
      <c r="I94" s="62">
        <v>-617408263</v>
      </c>
      <c r="J94" s="62">
        <f t="shared" si="6"/>
        <v>-617408263</v>
      </c>
      <c r="K94" s="66">
        <f t="shared" si="7"/>
        <v>-0.1803606987209076</v>
      </c>
    </row>
    <row r="95" spans="1:11" ht="18">
      <c r="A95" s="61" t="s">
        <v>50</v>
      </c>
      <c r="B95" s="61"/>
      <c r="C95" s="62">
        <v>7255983228</v>
      </c>
      <c r="D95" s="62">
        <v>1510145760</v>
      </c>
      <c r="E95" s="62">
        <f t="shared" si="4"/>
        <v>8766128988</v>
      </c>
      <c r="F95" s="66">
        <f t="shared" si="5"/>
        <v>0.31312727835233745</v>
      </c>
      <c r="G95" s="62">
        <v>2494288400</v>
      </c>
      <c r="H95" s="62">
        <v>14718074306</v>
      </c>
      <c r="I95" s="62">
        <v>75430716</v>
      </c>
      <c r="J95" s="62">
        <f t="shared" si="6"/>
        <v>17287793422</v>
      </c>
      <c r="K95" s="66">
        <f t="shared" si="7"/>
        <v>5.0502053305603889</v>
      </c>
    </row>
    <row r="96" spans="1:11" ht="18">
      <c r="A96" s="61" t="s">
        <v>32</v>
      </c>
      <c r="B96" s="61"/>
      <c r="C96" s="62">
        <v>152918556</v>
      </c>
      <c r="D96" s="62">
        <v>86911584</v>
      </c>
      <c r="E96" s="62">
        <f t="shared" si="4"/>
        <v>239830140</v>
      </c>
      <c r="F96" s="66">
        <f t="shared" si="5"/>
        <v>8.5667640879869798E-3</v>
      </c>
      <c r="G96" s="62"/>
      <c r="H96" s="62">
        <v>259905735</v>
      </c>
      <c r="I96" s="62">
        <v>83388827</v>
      </c>
      <c r="J96" s="62">
        <f t="shared" si="6"/>
        <v>343294562</v>
      </c>
      <c r="K96" s="66">
        <f t="shared" si="7"/>
        <v>0.10028509623203397</v>
      </c>
    </row>
    <row r="97" spans="1:11" ht="18">
      <c r="A97" s="61" t="s">
        <v>66</v>
      </c>
      <c r="B97" s="61"/>
      <c r="C97" s="62">
        <v>665123585</v>
      </c>
      <c r="D97" s="62">
        <v>32353198</v>
      </c>
      <c r="E97" s="62">
        <f t="shared" si="4"/>
        <v>697476783</v>
      </c>
      <c r="F97" s="66">
        <f t="shared" si="5"/>
        <v>2.4913962260160828E-2</v>
      </c>
      <c r="G97" s="62">
        <v>289260800</v>
      </c>
      <c r="H97" s="62">
        <v>1022869093</v>
      </c>
      <c r="I97" s="62">
        <v>-784988192</v>
      </c>
      <c r="J97" s="62">
        <f t="shared" si="6"/>
        <v>527141701</v>
      </c>
      <c r="K97" s="66">
        <f t="shared" si="7"/>
        <v>0.15399153398970264</v>
      </c>
    </row>
    <row r="98" spans="1:11" ht="18">
      <c r="A98" s="61" t="s">
        <v>73</v>
      </c>
      <c r="B98" s="61"/>
      <c r="C98" s="62">
        <v>303337601</v>
      </c>
      <c r="D98" s="62">
        <v>-106232490</v>
      </c>
      <c r="E98" s="62">
        <f t="shared" si="4"/>
        <v>197105111</v>
      </c>
      <c r="F98" s="66">
        <f t="shared" si="5"/>
        <v>7.0406204427578938E-3</v>
      </c>
      <c r="G98" s="62">
        <v>330618000</v>
      </c>
      <c r="H98" s="62">
        <v>-998119658</v>
      </c>
      <c r="I98" s="62">
        <v>-111561955</v>
      </c>
      <c r="J98" s="62">
        <f t="shared" si="6"/>
        <v>-779063613</v>
      </c>
      <c r="K98" s="66">
        <f t="shared" si="7"/>
        <v>-0.2275843489783595</v>
      </c>
    </row>
    <row r="99" spans="1:11" ht="18">
      <c r="A99" s="61" t="s">
        <v>82</v>
      </c>
      <c r="B99" s="61">
        <f>SUM(B11:B98)</f>
        <v>0</v>
      </c>
      <c r="C99" s="62">
        <f>SUM(C11:C98)</f>
        <v>26197296376</v>
      </c>
      <c r="D99" s="62">
        <f t="shared" ref="D99:I99" si="8">SUM(D11:D98)</f>
        <v>1798121443</v>
      </c>
      <c r="E99" s="62">
        <f>SUM(E11:E98)</f>
        <v>27995417819</v>
      </c>
      <c r="F99" s="62">
        <f t="shared" si="8"/>
        <v>0.99999999999999989</v>
      </c>
      <c r="G99" s="62">
        <f>SUM(G11:G98)</f>
        <v>41012901106</v>
      </c>
      <c r="H99" s="62">
        <f t="shared" si="8"/>
        <v>-1763712708</v>
      </c>
      <c r="I99" s="62">
        <f t="shared" si="8"/>
        <v>-35826002153</v>
      </c>
      <c r="J99" s="62">
        <f t="shared" ref="J99" si="9">SUM(J11:J98)</f>
        <v>3423186245</v>
      </c>
      <c r="K99" s="66">
        <f t="shared" ref="K99" si="10">SUM(K11:K98)</f>
        <v>0.99999999999999933</v>
      </c>
    </row>
    <row r="100" spans="1:11">
      <c r="C100" s="57"/>
      <c r="D100" s="57"/>
    </row>
  </sheetData>
  <mergeCells count="15">
    <mergeCell ref="J8:K9"/>
    <mergeCell ref="A1:I1"/>
    <mergeCell ref="A2:I2"/>
    <mergeCell ref="A3:I3"/>
    <mergeCell ref="B8:B9"/>
    <mergeCell ref="C8:C9"/>
    <mergeCell ref="D8:D9"/>
    <mergeCell ref="G8:G9"/>
    <mergeCell ref="H8:H9"/>
    <mergeCell ref="I8:I9"/>
    <mergeCell ref="E8:F9"/>
    <mergeCell ref="A5:I5"/>
    <mergeCell ref="G7:I7"/>
    <mergeCell ref="B7:F7"/>
    <mergeCell ref="A8:A10"/>
  </mergeCells>
  <pageMargins left="0.7" right="0.7" top="0.75" bottom="0.75" header="0.3" footer="0.3"/>
  <pageSetup paperSize="9" scale="60" orientation="landscape" r:id="rId1"/>
  <headerFooter differentOddEven="1" differentFirst="1"/>
  <rowBreaks count="1" manualBreakCount="1">
    <brk id="56" max="1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G11"/>
  <sheetViews>
    <sheetView rightToLeft="1" view="pageBreakPreview" zoomScale="106" zoomScaleNormal="130" zoomScaleSheetLayoutView="106" workbookViewId="0">
      <selection activeCell="C9" sqref="C9:E9"/>
    </sheetView>
  </sheetViews>
  <sheetFormatPr defaultColWidth="9" defaultRowHeight="18"/>
  <cols>
    <col min="1" max="1" width="28.42578125" style="6" customWidth="1"/>
    <col min="2" max="2" width="15.42578125" style="6" customWidth="1"/>
    <col min="3" max="3" width="29.28515625" style="6" customWidth="1"/>
    <col min="4" max="4" width="26" style="6" customWidth="1"/>
    <col min="5" max="5" width="29.28515625" style="54" customWidth="1"/>
    <col min="6" max="6" width="26" style="6" customWidth="1"/>
    <col min="7" max="7" width="13" style="9" customWidth="1"/>
    <col min="8" max="8" width="9" style="9" customWidth="1"/>
    <col min="9" max="16384" width="9" style="9"/>
  </cols>
  <sheetData>
    <row r="1" spans="1:7">
      <c r="A1" s="128" t="s">
        <v>1</v>
      </c>
      <c r="B1" s="128"/>
      <c r="C1" s="128"/>
      <c r="D1" s="128"/>
      <c r="E1" s="128"/>
      <c r="F1" s="128"/>
    </row>
    <row r="2" spans="1:7">
      <c r="A2" s="128" t="s">
        <v>105</v>
      </c>
      <c r="B2" s="128"/>
      <c r="C2" s="128"/>
      <c r="D2" s="128"/>
      <c r="E2" s="128"/>
      <c r="F2" s="128"/>
    </row>
    <row r="3" spans="1:7">
      <c r="A3" s="128" t="s">
        <v>106</v>
      </c>
      <c r="B3" s="128"/>
      <c r="C3" s="128"/>
      <c r="D3" s="128"/>
      <c r="E3" s="128"/>
      <c r="F3" s="128"/>
    </row>
    <row r="4" spans="1:7">
      <c r="A4" s="143" t="s">
        <v>201</v>
      </c>
      <c r="B4" s="134"/>
      <c r="C4" s="134"/>
      <c r="D4" s="134"/>
      <c r="E4" s="134"/>
      <c r="F4" s="134"/>
    </row>
    <row r="5" spans="1:7">
      <c r="A5" s="7"/>
      <c r="B5" s="7"/>
      <c r="C5" s="7"/>
      <c r="D5" s="7"/>
      <c r="E5" s="63"/>
      <c r="F5" s="7"/>
    </row>
    <row r="6" spans="1:7" ht="37.5" customHeight="1">
      <c r="A6" s="139" t="s">
        <v>202</v>
      </c>
      <c r="B6" s="140"/>
      <c r="C6" s="141" t="s">
        <v>119</v>
      </c>
      <c r="D6" s="142"/>
      <c r="E6" s="139" t="s">
        <v>120</v>
      </c>
      <c r="F6" s="140"/>
      <c r="G6" s="10"/>
    </row>
    <row r="7" spans="1:7" ht="59.25" customHeight="1">
      <c r="A7" s="8" t="s">
        <v>203</v>
      </c>
      <c r="B7" s="37" t="s">
        <v>91</v>
      </c>
      <c r="C7" s="37" t="s">
        <v>204</v>
      </c>
      <c r="D7" s="37" t="s">
        <v>205</v>
      </c>
      <c r="E7" s="64" t="s">
        <v>204</v>
      </c>
      <c r="F7" s="37" t="s">
        <v>205</v>
      </c>
      <c r="G7" s="6"/>
    </row>
    <row r="8" spans="1:7" ht="22.5" customHeight="1" thickBot="1">
      <c r="A8" s="35"/>
      <c r="B8" s="35"/>
      <c r="C8" s="11" t="s">
        <v>197</v>
      </c>
      <c r="D8" s="35"/>
      <c r="E8" s="52" t="s">
        <v>197</v>
      </c>
      <c r="F8" s="35"/>
      <c r="G8" s="6"/>
    </row>
    <row r="9" spans="1:7" ht="23.1" customHeight="1">
      <c r="A9" s="12" t="s">
        <v>101</v>
      </c>
      <c r="B9" s="12" t="s">
        <v>102</v>
      </c>
      <c r="C9" s="14">
        <v>0</v>
      </c>
      <c r="D9" s="12" t="s">
        <v>100</v>
      </c>
      <c r="E9" s="42">
        <v>33252977</v>
      </c>
      <c r="F9" s="12" t="s">
        <v>100</v>
      </c>
    </row>
    <row r="10" spans="1:7" ht="23.1" customHeight="1">
      <c r="A10" s="12" t="s">
        <v>82</v>
      </c>
      <c r="B10" s="12"/>
      <c r="C10" s="14">
        <v>0</v>
      </c>
      <c r="D10" s="12"/>
      <c r="E10" s="42">
        <f>SUBTOTAL(109,E9)</f>
        <v>33252977</v>
      </c>
      <c r="F10" s="12"/>
    </row>
    <row r="11" spans="1:7" ht="23.1" customHeight="1">
      <c r="A11" s="34" t="s">
        <v>83</v>
      </c>
      <c r="B11" s="36"/>
      <c r="C11" s="28"/>
      <c r="D11" s="36"/>
      <c r="E11" s="44"/>
      <c r="F11" s="36"/>
      <c r="G11" s="6"/>
    </row>
  </sheetData>
  <mergeCells count="7">
    <mergeCell ref="A6:B6"/>
    <mergeCell ref="C6:D6"/>
    <mergeCell ref="A4:F4"/>
    <mergeCell ref="E6:F6"/>
    <mergeCell ref="A1:F1"/>
    <mergeCell ref="A2:F2"/>
    <mergeCell ref="A3:F3"/>
  </mergeCells>
  <pageMargins left="0.7" right="0.7" top="0.75" bottom="0.75" header="0.3" footer="0.3"/>
  <pageSetup paperSize="9" scale="57" orientation="portrait" r:id="rId1"/>
  <headerFooter differentOddEven="1" differentFirst="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C10"/>
  <sheetViews>
    <sheetView rightToLeft="1" zoomScale="130" zoomScaleNormal="130" zoomScaleSheetLayoutView="106" workbookViewId="0">
      <selection activeCell="C8" sqref="C8"/>
    </sheetView>
  </sheetViews>
  <sheetFormatPr defaultColWidth="9" defaultRowHeight="18"/>
  <cols>
    <col min="1" max="1" width="13" style="54" customWidth="1"/>
    <col min="2" max="2" width="29.7109375" style="54" customWidth="1"/>
    <col min="3" max="3" width="30.42578125" style="54" customWidth="1"/>
    <col min="4" max="4" width="9" style="9" customWidth="1"/>
    <col min="5" max="16384" width="9" style="9"/>
  </cols>
  <sheetData>
    <row r="1" spans="1:3">
      <c r="A1" s="144" t="s">
        <v>1</v>
      </c>
      <c r="B1" s="144"/>
      <c r="C1" s="144"/>
    </row>
    <row r="2" spans="1:3">
      <c r="A2" s="144" t="s">
        <v>105</v>
      </c>
      <c r="B2" s="144"/>
      <c r="C2" s="144"/>
    </row>
    <row r="3" spans="1:3">
      <c r="A3" s="144" t="s">
        <v>106</v>
      </c>
      <c r="B3" s="144"/>
      <c r="C3" s="144"/>
    </row>
    <row r="4" spans="1:3">
      <c r="A4" s="145" t="s">
        <v>206</v>
      </c>
      <c r="B4" s="146"/>
      <c r="C4" s="146"/>
    </row>
    <row r="5" spans="1:3">
      <c r="A5" s="67"/>
      <c r="B5" s="68" t="s">
        <v>119</v>
      </c>
      <c r="C5" s="68" t="s">
        <v>120</v>
      </c>
    </row>
    <row r="6" spans="1:3" ht="16.5" customHeight="1">
      <c r="A6" s="147" t="s">
        <v>115</v>
      </c>
      <c r="B6" s="124" t="s">
        <v>94</v>
      </c>
      <c r="C6" s="124" t="s">
        <v>94</v>
      </c>
    </row>
    <row r="7" spans="1:3">
      <c r="A7" s="148"/>
      <c r="B7" s="135"/>
      <c r="C7" s="135"/>
    </row>
    <row r="8" spans="1:3" ht="23.1" customHeight="1">
      <c r="A8" s="69" t="s">
        <v>115</v>
      </c>
      <c r="B8" s="42">
        <v>-145448</v>
      </c>
      <c r="C8" s="42">
        <v>293535671</v>
      </c>
    </row>
    <row r="9" spans="1:3" ht="23.1" customHeight="1">
      <c r="A9" s="69" t="s">
        <v>82</v>
      </c>
      <c r="B9" s="42">
        <v>-145448</v>
      </c>
      <c r="C9" s="42">
        <v>293535671</v>
      </c>
    </row>
    <row r="10" spans="1:3" ht="23.1" customHeight="1">
      <c r="A10" s="69" t="s">
        <v>83</v>
      </c>
      <c r="B10" s="42"/>
      <c r="C10" s="42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horizontalDpi="4294967295" verticalDpi="4294967295" r:id="rId1"/>
  <headerFooter differentOddEven="1" differentFirst="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FAA9-7339-4C44-AF75-F9DBE060961A}">
  <dimension ref="A1"/>
  <sheetViews>
    <sheetView workbookViewId="0"/>
  </sheetViews>
  <sheetFormatPr defaultRowHeight="1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1</vt:lpstr>
      <vt:lpstr> سهام</vt:lpstr>
      <vt:lpstr>سپرده</vt:lpstr>
      <vt:lpstr>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سهام</vt:lpstr>
      <vt:lpstr>درآمد سپرده بانکی</vt:lpstr>
      <vt:lpstr>سایر درآمدها</vt:lpstr>
      <vt:lpstr>Sheet1</vt:lpstr>
      <vt:lpstr>' سهام'!Print_Area</vt:lpstr>
      <vt:lpstr>'1'!Print_Area</vt:lpstr>
      <vt:lpstr>'درآمد سپرده بانکی'!Print_Area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Mabna</dc:creator>
  <cp:keywords>EPPlus noncommercial use</cp:keywords>
  <dc:description>This workbook has been created with EPPlus licensed to Mabna under The Polyform Noncommercial License: See https://polyformproject.org/licenses/noncommercial/1.0.0</dc:description>
  <cp:lastModifiedBy>شکیلا مرادی</cp:lastModifiedBy>
  <cp:lastPrinted>2025-11-25T10:59:51Z</cp:lastPrinted>
  <dcterms:created xsi:type="dcterms:W3CDTF">2017-11-22T14:26:20Z</dcterms:created>
  <dcterms:modified xsi:type="dcterms:W3CDTF">2025-11-25T10:59:54Z</dcterms:modified>
</cp:coreProperties>
</file>