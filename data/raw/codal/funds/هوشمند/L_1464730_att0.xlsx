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.deldadeh\Desktop\"/>
    </mc:Choice>
  </mc:AlternateContent>
  <xr:revisionPtr revIDLastSave="0" documentId="8_{6AF1A7AA-5AF3-4D32-AE5F-3568A2AF0C55}" xr6:coauthVersionLast="47" xr6:coauthVersionMax="47" xr10:uidLastSave="{00000000-0000-0000-0000-000000000000}"/>
  <bookViews>
    <workbookView xWindow="-120" yWindow="-120" windowWidth="29040" windowHeight="15840" tabRatio="688" activeTab="10" xr2:uid="{00000000-000D-0000-FFFF-FFFF00000000}"/>
  </bookViews>
  <sheets>
    <sheet name="1" sheetId="16" r:id="rId1"/>
    <sheet name=" سهام" sheetId="1" r:id="rId2"/>
    <sheet name="سپرده" sheetId="2" r:id="rId3"/>
    <sheet name="درآمدها" sheetId="11" r:id="rId4"/>
    <sheet name="درآمد سود سهام" sheetId="12" r:id="rId5"/>
    <sheet name="سود سپرده بانکی" sheetId="24" r:id="rId6"/>
    <sheet name="درآمد ناشی ازفروش" sheetId="15" r:id="rId7"/>
    <sheet name="درآمد ناشی از تغییر قیمت اوراق " sheetId="14" r:id="rId8"/>
    <sheet name="درآمد سرمایه گذاری در سهام" sheetId="5" r:id="rId9"/>
    <sheet name="درآمد سپرده بانکی" sheetId="7" r:id="rId10"/>
    <sheet name="سایر درآمدها" sheetId="8" r:id="rId11"/>
  </sheets>
  <definedNames>
    <definedName name="_xlnm._FilterDatabase" localSheetId="8" hidden="1">'درآمد سرمایه گذاری در سهام'!$A$9:$K$9</definedName>
    <definedName name="_xlnm._FilterDatabase" localSheetId="4" hidden="1">'درآمد سود سهام'!$A$6:$M$6</definedName>
    <definedName name="_xlnm._FilterDatabase" localSheetId="6" hidden="1">'درآمد ناشی ازفروش'!$A$6:$J$6</definedName>
    <definedName name="_xlnm.Print_Area" localSheetId="1">' سهام'!A1:M76</definedName>
    <definedName name="_xlnm.Print_Area" localSheetId="9">'درآمد سپرده بانکی'!$A$1:$G$10</definedName>
    <definedName name="_xlnm.Print_Area" localSheetId="8">'درآمد سرمایه گذاری در سهام'!$A$1:$K$102</definedName>
    <definedName name="_xlnm.Print_Area" localSheetId="4">'درآمد سود سهام'!$A$1:$M$54</definedName>
    <definedName name="_xlnm.Print_Area" localSheetId="7">'درآمد ناشی از تغییر قیمت اوراق '!A1:I75</definedName>
    <definedName name="_xlnm.Print_Area" localSheetId="6">'درآمد ناشی ازفروش'!$A$1:$I$93</definedName>
    <definedName name="_xlnm.Print_Area" localSheetId="3">درآمدها!$A$1:$S$10</definedName>
    <definedName name="_xlnm.Print_Area" localSheetId="10">'سایر درآمدها'!$A$1:$C$10</definedName>
    <definedName name="_xlnm.Print_Area" localSheetId="2">سپرده!A1:J15</definedName>
    <definedName name="_xlnm.Print_Area" localSheetId="5">'سود سپرده بانکی'!$A$1:$G$9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4" i="12" l="1"/>
  <c r="C9" i="11"/>
  <c r="E9" i="7"/>
  <c r="C7" i="11"/>
  <c r="C8" i="11"/>
  <c r="C6" i="11"/>
  <c r="K101" i="5"/>
  <c r="D101" i="5"/>
  <c r="G101" i="5"/>
  <c r="H101" i="5"/>
  <c r="I101" i="5"/>
  <c r="C101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K58" i="5" s="1"/>
  <c r="J59" i="5"/>
  <c r="J60" i="5"/>
  <c r="J61" i="5"/>
  <c r="J62" i="5"/>
  <c r="K62" i="5" s="1"/>
  <c r="J63" i="5"/>
  <c r="J64" i="5"/>
  <c r="J65" i="5"/>
  <c r="J66" i="5"/>
  <c r="K66" i="5" s="1"/>
  <c r="J67" i="5"/>
  <c r="J68" i="5"/>
  <c r="J69" i="5"/>
  <c r="J70" i="5"/>
  <c r="K70" i="5" s="1"/>
  <c r="J71" i="5"/>
  <c r="J72" i="5"/>
  <c r="J73" i="5"/>
  <c r="J74" i="5"/>
  <c r="K74" i="5" s="1"/>
  <c r="J75" i="5"/>
  <c r="J76" i="5"/>
  <c r="J77" i="5"/>
  <c r="J78" i="5"/>
  <c r="K78" i="5" s="1"/>
  <c r="J79" i="5"/>
  <c r="J80" i="5"/>
  <c r="J81" i="5"/>
  <c r="J82" i="5"/>
  <c r="K82" i="5" s="1"/>
  <c r="J83" i="5"/>
  <c r="J84" i="5"/>
  <c r="J85" i="5"/>
  <c r="J86" i="5"/>
  <c r="K86" i="5" s="1"/>
  <c r="J87" i="5"/>
  <c r="J88" i="5"/>
  <c r="J89" i="5"/>
  <c r="J90" i="5"/>
  <c r="K90" i="5" s="1"/>
  <c r="J91" i="5"/>
  <c r="J92" i="5"/>
  <c r="J93" i="5"/>
  <c r="J94" i="5"/>
  <c r="K94" i="5" s="1"/>
  <c r="J95" i="5"/>
  <c r="J96" i="5"/>
  <c r="J97" i="5"/>
  <c r="J98" i="5"/>
  <c r="K98" i="5" s="1"/>
  <c r="J99" i="5"/>
  <c r="J100" i="5"/>
  <c r="J10" i="5"/>
  <c r="J101" i="5" s="1"/>
  <c r="E11" i="5"/>
  <c r="F11" i="5" s="1"/>
  <c r="E12" i="5"/>
  <c r="E13" i="5"/>
  <c r="E14" i="5"/>
  <c r="F14" i="5" s="1"/>
  <c r="E15" i="5"/>
  <c r="F15" i="5" s="1"/>
  <c r="E16" i="5"/>
  <c r="E17" i="5"/>
  <c r="E18" i="5"/>
  <c r="F18" i="5" s="1"/>
  <c r="E19" i="5"/>
  <c r="F19" i="5" s="1"/>
  <c r="E20" i="5"/>
  <c r="E21" i="5"/>
  <c r="E22" i="5"/>
  <c r="F22" i="5" s="1"/>
  <c r="E23" i="5"/>
  <c r="F23" i="5" s="1"/>
  <c r="E24" i="5"/>
  <c r="E25" i="5"/>
  <c r="E26" i="5"/>
  <c r="F26" i="5" s="1"/>
  <c r="E27" i="5"/>
  <c r="F27" i="5" s="1"/>
  <c r="E28" i="5"/>
  <c r="E29" i="5"/>
  <c r="E30" i="5"/>
  <c r="F30" i="5" s="1"/>
  <c r="E31" i="5"/>
  <c r="F31" i="5" s="1"/>
  <c r="E32" i="5"/>
  <c r="E33" i="5"/>
  <c r="E34" i="5"/>
  <c r="F34" i="5" s="1"/>
  <c r="E35" i="5"/>
  <c r="F35" i="5" s="1"/>
  <c r="E36" i="5"/>
  <c r="E37" i="5"/>
  <c r="E38" i="5"/>
  <c r="F38" i="5" s="1"/>
  <c r="E39" i="5"/>
  <c r="F39" i="5" s="1"/>
  <c r="E40" i="5"/>
  <c r="E41" i="5"/>
  <c r="E42" i="5"/>
  <c r="F42" i="5" s="1"/>
  <c r="E43" i="5"/>
  <c r="F43" i="5" s="1"/>
  <c r="E44" i="5"/>
  <c r="E45" i="5"/>
  <c r="E46" i="5"/>
  <c r="F46" i="5" s="1"/>
  <c r="E47" i="5"/>
  <c r="F47" i="5" s="1"/>
  <c r="E48" i="5"/>
  <c r="E49" i="5"/>
  <c r="E50" i="5"/>
  <c r="F50" i="5" s="1"/>
  <c r="E51" i="5"/>
  <c r="F51" i="5" s="1"/>
  <c r="E52" i="5"/>
  <c r="E53" i="5"/>
  <c r="E54" i="5"/>
  <c r="F54" i="5" s="1"/>
  <c r="E55" i="5"/>
  <c r="F55" i="5" s="1"/>
  <c r="E56" i="5"/>
  <c r="E57" i="5"/>
  <c r="E58" i="5"/>
  <c r="F58" i="5" s="1"/>
  <c r="E59" i="5"/>
  <c r="F59" i="5" s="1"/>
  <c r="E60" i="5"/>
  <c r="E61" i="5"/>
  <c r="E62" i="5"/>
  <c r="F62" i="5" s="1"/>
  <c r="E63" i="5"/>
  <c r="F63" i="5" s="1"/>
  <c r="E64" i="5"/>
  <c r="E65" i="5"/>
  <c r="E66" i="5"/>
  <c r="F66" i="5" s="1"/>
  <c r="E67" i="5"/>
  <c r="F67" i="5" s="1"/>
  <c r="E68" i="5"/>
  <c r="E69" i="5"/>
  <c r="E70" i="5"/>
  <c r="F70" i="5" s="1"/>
  <c r="E71" i="5"/>
  <c r="F71" i="5" s="1"/>
  <c r="E72" i="5"/>
  <c r="E73" i="5"/>
  <c r="E74" i="5"/>
  <c r="F74" i="5" s="1"/>
  <c r="E75" i="5"/>
  <c r="F75" i="5" s="1"/>
  <c r="E76" i="5"/>
  <c r="E77" i="5"/>
  <c r="E78" i="5"/>
  <c r="F78" i="5" s="1"/>
  <c r="E79" i="5"/>
  <c r="F79" i="5" s="1"/>
  <c r="E80" i="5"/>
  <c r="E81" i="5"/>
  <c r="E82" i="5"/>
  <c r="F82" i="5" s="1"/>
  <c r="E83" i="5"/>
  <c r="F83" i="5" s="1"/>
  <c r="E84" i="5"/>
  <c r="E85" i="5"/>
  <c r="E86" i="5"/>
  <c r="F86" i="5" s="1"/>
  <c r="E87" i="5"/>
  <c r="F87" i="5" s="1"/>
  <c r="E88" i="5"/>
  <c r="E89" i="5"/>
  <c r="E90" i="5"/>
  <c r="F90" i="5" s="1"/>
  <c r="E91" i="5"/>
  <c r="F91" i="5" s="1"/>
  <c r="E92" i="5"/>
  <c r="E93" i="5"/>
  <c r="E94" i="5"/>
  <c r="F94" i="5" s="1"/>
  <c r="E95" i="5"/>
  <c r="F95" i="5" s="1"/>
  <c r="E96" i="5"/>
  <c r="E97" i="5"/>
  <c r="E98" i="5"/>
  <c r="F98" i="5" s="1"/>
  <c r="E99" i="5"/>
  <c r="F99" i="5" s="1"/>
  <c r="E100" i="5"/>
  <c r="E10" i="5"/>
  <c r="E101" i="5" s="1"/>
  <c r="C92" i="15"/>
  <c r="D92" i="15"/>
  <c r="E92" i="15"/>
  <c r="F92" i="15"/>
  <c r="G92" i="15"/>
  <c r="H92" i="15"/>
  <c r="I92" i="15"/>
  <c r="B92" i="15"/>
  <c r="F54" i="12"/>
  <c r="G54" i="12"/>
  <c r="H54" i="12"/>
  <c r="I54" i="12"/>
  <c r="E54" i="12"/>
  <c r="J8" i="12"/>
  <c r="J7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G35" i="12"/>
  <c r="G43" i="12"/>
  <c r="G45" i="12"/>
  <c r="G37" i="12"/>
  <c r="G29" i="12"/>
  <c r="G30" i="12"/>
  <c r="G21" i="12"/>
  <c r="K97" i="5" l="1"/>
  <c r="K93" i="5"/>
  <c r="K89" i="5"/>
  <c r="K85" i="5"/>
  <c r="K81" i="5"/>
  <c r="K77" i="5"/>
  <c r="K73" i="5"/>
  <c r="K69" i="5"/>
  <c r="K65" i="5"/>
  <c r="K61" i="5"/>
  <c r="K57" i="5"/>
  <c r="K53" i="5"/>
  <c r="K49" i="5"/>
  <c r="K45" i="5"/>
  <c r="K41" i="5"/>
  <c r="K37" i="5"/>
  <c r="K33" i="5"/>
  <c r="K29" i="5"/>
  <c r="K25" i="5"/>
  <c r="K21" i="5"/>
  <c r="K17" i="5"/>
  <c r="K13" i="5"/>
  <c r="F13" i="5"/>
  <c r="F20" i="5"/>
  <c r="F36" i="5"/>
  <c r="F52" i="5"/>
  <c r="K100" i="5"/>
  <c r="K96" i="5"/>
  <c r="K92" i="5"/>
  <c r="K88" i="5"/>
  <c r="K84" i="5"/>
  <c r="K80" i="5"/>
  <c r="K76" i="5"/>
  <c r="K72" i="5"/>
  <c r="K68" i="5"/>
  <c r="K64" i="5"/>
  <c r="K60" i="5"/>
  <c r="K56" i="5"/>
  <c r="K52" i="5"/>
  <c r="K48" i="5"/>
  <c r="K44" i="5"/>
  <c r="K40" i="5"/>
  <c r="K36" i="5"/>
  <c r="K32" i="5"/>
  <c r="K28" i="5"/>
  <c r="K24" i="5"/>
  <c r="K20" i="5"/>
  <c r="K16" i="5"/>
  <c r="K12" i="5"/>
  <c r="F100" i="5"/>
  <c r="F96" i="5"/>
  <c r="F92" i="5"/>
  <c r="F88" i="5"/>
  <c r="F84" i="5"/>
  <c r="F80" i="5"/>
  <c r="F76" i="5"/>
  <c r="F72" i="5"/>
  <c r="F68" i="5"/>
  <c r="F64" i="5"/>
  <c r="F60" i="5"/>
  <c r="F56" i="5"/>
  <c r="F48" i="5"/>
  <c r="F44" i="5"/>
  <c r="F40" i="5"/>
  <c r="F32" i="5"/>
  <c r="F28" i="5"/>
  <c r="F24" i="5"/>
  <c r="F16" i="5"/>
  <c r="F12" i="5"/>
  <c r="K99" i="5"/>
  <c r="K95" i="5"/>
  <c r="K91" i="5"/>
  <c r="K87" i="5"/>
  <c r="K83" i="5"/>
  <c r="K79" i="5"/>
  <c r="K75" i="5"/>
  <c r="K71" i="5"/>
  <c r="K67" i="5"/>
  <c r="K63" i="5"/>
  <c r="K59" i="5"/>
  <c r="K55" i="5"/>
  <c r="K51" i="5"/>
  <c r="K47" i="5"/>
  <c r="K43" i="5"/>
  <c r="K39" i="5"/>
  <c r="K35" i="5"/>
  <c r="K31" i="5"/>
  <c r="K27" i="5"/>
  <c r="K23" i="5"/>
  <c r="K19" i="5"/>
  <c r="K15" i="5"/>
  <c r="K11" i="5"/>
  <c r="K54" i="5"/>
  <c r="K50" i="5"/>
  <c r="K46" i="5"/>
  <c r="K42" i="5"/>
  <c r="K38" i="5"/>
  <c r="K34" i="5"/>
  <c r="K30" i="5"/>
  <c r="K26" i="5"/>
  <c r="K22" i="5"/>
  <c r="K18" i="5"/>
  <c r="K14" i="5"/>
  <c r="K10" i="5"/>
  <c r="F10" i="5"/>
  <c r="F97" i="5"/>
  <c r="F93" i="5"/>
  <c r="F89" i="5"/>
  <c r="F85" i="5"/>
  <c r="F81" i="5"/>
  <c r="F77" i="5"/>
  <c r="F73" i="5"/>
  <c r="F69" i="5"/>
  <c r="F65" i="5"/>
  <c r="F61" i="5"/>
  <c r="F57" i="5"/>
  <c r="F53" i="5"/>
  <c r="F49" i="5"/>
  <c r="F45" i="5"/>
  <c r="F41" i="5"/>
  <c r="F37" i="5"/>
  <c r="F33" i="5"/>
  <c r="F29" i="5"/>
  <c r="F25" i="5"/>
  <c r="F21" i="5"/>
  <c r="F17" i="5"/>
  <c r="F10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<sst xmlns="http://schemas.openxmlformats.org/spreadsheetml/2006/main" count="592" uniqueCount="207">
  <si>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</si>
  <si>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</si>
  <si>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</si>
  <si>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1404/09/30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</si>
  <si>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</si>
  <si>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</si>
  <si>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</si>
  <si>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1404/09/30</t>
  </si>
  <si>
    <t>1- سرمایه گذاری ها</t>
  </si>
  <si>
    <t>1-1-سرمایه‌گذاری در سهام و حق تقدم سهام وصندوق‌های سرمایه‌گذاری</t>
  </si>
  <si>
    <t>1404/09/01</t>
  </si>
  <si>
    <t>تغییرات طی دوره</t>
  </si>
  <si>
    <t>1404/09/30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</si>
  <si>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</si>
  <si>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</si>
  <si>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</si>
  <si>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</si>
  <si>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</si>
  <si>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</si>
  <si>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</si>
  <si>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</si>
  <si>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</si>
  <si>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</si>
  <si>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تاید واتر خاورمیانه (حتاید)</t>
  </si>
  <si>
    <t>سر. توسعه معادن و صنایع معدنی خاورمیانه (میدکو)</t>
  </si>
  <si>
    <t>پتروشیمی نوری (نوری)</t>
  </si>
  <si>
    <t>کشتیرانی ایران (حکشتی)</t>
  </si>
  <si>
    <t>گلتاش (شگل)</t>
  </si>
  <si>
    <t>سایپا (خساپا)</t>
  </si>
  <si>
    <t>گروه صنعتی پاکشو (پاکشو)</t>
  </si>
  <si>
    <t>سر. غدیر (وغدیر)</t>
  </si>
  <si>
    <t>بانک تجارت (وتجارت)</t>
  </si>
  <si>
    <t>پالایش نفت اصفهان (شپنا)</t>
  </si>
  <si>
    <t>گسترش نفت و گاز پارسیان (پارسان)</t>
  </si>
  <si>
    <t>موتوژن (بموتو)</t>
  </si>
  <si>
    <t>پتروشیمی خارک (شخارک)</t>
  </si>
  <si>
    <t>پتروشیمی پردیس (شپدیس)</t>
  </si>
  <si>
    <t>بیمه پاسارگاد (بپاس)</t>
  </si>
  <si>
    <t>ایران خودرو (خودرو)</t>
  </si>
  <si>
    <t>فولاد مبارکه اصفهان (فولاد)</t>
  </si>
  <si>
    <t>صنایع شیمیایی ایران (شیران)</t>
  </si>
  <si>
    <t>دارو عبیدی (دعبید)</t>
  </si>
  <si>
    <t>بانک اقتصاد نوین (ونوین)</t>
  </si>
  <si>
    <t>سر. امید (وامید)</t>
  </si>
  <si>
    <t>بانک پاسارگاد (وپاسار)</t>
  </si>
  <si>
    <t>چادرملو (کچاد)</t>
  </si>
  <si>
    <t>پارس دارو (دپارس)</t>
  </si>
  <si>
    <t>بانک ملت (وبملت)</t>
  </si>
  <si>
    <t>گروه مپنا (رمپنا)</t>
  </si>
  <si>
    <t>پالایش نفت بندر عباس (شبندر)</t>
  </si>
  <si>
    <t>سر. توسعه صنعتی ایران (وتوصا)</t>
  </si>
  <si>
    <t>گل گهر (کگل)</t>
  </si>
  <si>
    <t>ملی صنایع مس ایران (فملی)</t>
  </si>
  <si>
    <t>توسعه ساختمان (ثاخت)</t>
  </si>
  <si>
    <t>سیمان بجنورد (سبجنو)</t>
  </si>
  <si>
    <t>صنایع پتروشیمی خلیج فارس (فارس)</t>
  </si>
  <si>
    <t>صنعتی بارز (پکرمان)</t>
  </si>
  <si>
    <t>صنعتی سپاهان (فسپا)</t>
  </si>
  <si>
    <t>پتروشیمی جم (جم)</t>
  </si>
  <si>
    <t>سر. گروه توسعه ملی (وبانک)</t>
  </si>
  <si>
    <t>پتروشیمی شیراز (شیراز)</t>
  </si>
  <si>
    <t>سر. توسعه معادن و فلزات (ومعادن)</t>
  </si>
  <si>
    <t>مبین انرژی خلیج فارس (مبین)</t>
  </si>
  <si>
    <t>آلومینیوم ایران (فایرا)</t>
  </si>
  <si>
    <t>ارتباطات سیار (همراه)</t>
  </si>
  <si>
    <t>مخابرات ایران (اخابر)</t>
  </si>
  <si>
    <t>سیمان خوزستان (سخوز)</t>
  </si>
  <si>
    <t>پارس سوئیچ (بسویچ)</t>
  </si>
  <si>
    <t>نفت سپاهان (شسپا)</t>
  </si>
  <si>
    <t>فولاد خوزستان (فخوز)</t>
  </si>
  <si>
    <t>ذوب آهن اصفهان (ذوب)</t>
  </si>
  <si>
    <t>بانک صادرات ایران (وبصادر)</t>
  </si>
  <si>
    <t>پتروشیمی بوعلی سینا (بوعلی)</t>
  </si>
  <si>
    <t>سر. نفت و گاز تامین (تاپیکو)</t>
  </si>
  <si>
    <t>پالایش نفت تبریز (شبریز)</t>
  </si>
  <si>
    <t>سر. امید (حق تقدم) (وامیدح)</t>
  </si>
  <si>
    <t>گلتاش (حق تقدم) (شگلح)</t>
  </si>
  <si>
    <t>پالایش نفت تهران (شتران)</t>
  </si>
  <si>
    <t>همکاران سیستم (سیستم)</t>
  </si>
  <si>
    <t>بورس کالای ایران (کالا)</t>
  </si>
  <si>
    <t>چدن سازان (چدن)</t>
  </si>
  <si>
    <t>فروشگاه های افق کوروش (افق)</t>
  </si>
  <si>
    <t>پلی پروپیلن جم (جم پیلن)</t>
  </si>
  <si>
    <t>گروه توسعه مالی مهر آیندگان (ومهان)</t>
  </si>
  <si>
    <t>گروه مالی صبا تامین (صبا)</t>
  </si>
  <si>
    <t>سر. تامین اجتماعی (شستا)</t>
  </si>
  <si>
    <t>پویا زرکان آق دره (فزر)</t>
  </si>
  <si>
    <t>بیمه اتکایی حامی ما (حامیا)</t>
  </si>
  <si>
    <t>جمع</t>
  </si>
  <si>
    <t/>
  </si>
  <si>
    <t>نام سهام</t>
  </si>
  <si>
    <t>نرخ سود علی الحساب</t>
  </si>
  <si>
    <t>درصد به کل</t>
  </si>
  <si>
    <t>3-1- سرمایه‌گذاری در  سپرده‌ بانکی</t>
  </si>
  <si>
    <t>مشخصات حساب بانکی</t>
  </si>
  <si>
    <t>سپرده های بانکی</t>
  </si>
  <si>
    <t>شماره حساب</t>
  </si>
  <si>
    <t>نوع سپرده</t>
  </si>
  <si>
    <t>تاریخ افتتاح حساب</t>
  </si>
  <si>
    <t>مبلغ</t>
  </si>
  <si>
    <t>افزایش</t>
  </si>
  <si>
    <t>کاهش</t>
  </si>
  <si>
    <t>جاری گردشگری</t>
  </si>
  <si>
    <t>129.71.1709609.1</t>
  </si>
  <si>
    <t>جاری</t>
  </si>
  <si>
    <t>-</t>
  </si>
  <si>
    <t>بلند مدت گردشگری129.333.1709609.2</t>
  </si>
  <si>
    <t>129.333.1709609.2</t>
  </si>
  <si>
    <t>سپرده سرمایه‌گذاری</t>
  </si>
  <si>
    <t xml:space="preserve"> </t>
  </si>
  <si>
    <t xml:space="preserve">صورت وضعیت درآمدها </t>
  </si>
  <si>
    <t>برای ماه منتهی به  1404/09/30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</si>
  <si>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</si>
  <si>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</si>
  <si>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</si>
  <si>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</si>
  <si>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</si>
  <si>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</si>
  <si>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</si>
  <si>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</si>
  <si>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</si>
  <si>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</si>
  <si>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</si>
  <si>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</si>
  <si>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</si>
  <si>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1404/09/01 تا  1404/09/30</t>
  </si>
  <si>
    <t>از ابتدای سال مالی تا 1404/09/30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</si>
  <si>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</si>
  <si>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</si>
  <si>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</si>
  <si>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</si>
  <si>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</si>
  <si>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</si>
  <si>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1404/03/04</t>
  </si>
  <si>
    <t>لیزینگ بانک اقتصاد نوین (ولنوین)</t>
  </si>
  <si>
    <t>1404/03/11</t>
  </si>
  <si>
    <t>سپید ماکیان (سپید)</t>
  </si>
  <si>
    <t>1404/03/18</t>
  </si>
  <si>
    <t>مس باهنر (فباهنر)</t>
  </si>
  <si>
    <t>1404/03/20</t>
  </si>
  <si>
    <t>1404/03/21</t>
  </si>
  <si>
    <t>1404/04/12</t>
  </si>
  <si>
    <t>1404/04/17</t>
  </si>
  <si>
    <t>1404/04/19</t>
  </si>
  <si>
    <t>1404/04/21</t>
  </si>
  <si>
    <t>1404/04/22</t>
  </si>
  <si>
    <t>1404/04/23</t>
  </si>
  <si>
    <t>قند هگمتان (قهکمت)</t>
  </si>
  <si>
    <t>1404/04/28</t>
  </si>
  <si>
    <t>1404/04/29</t>
  </si>
  <si>
    <t>1404/04/30</t>
  </si>
  <si>
    <t>1404/04/31</t>
  </si>
  <si>
    <t>پتروشیمی پارس (پارس)</t>
  </si>
  <si>
    <t>1404/05/07</t>
  </si>
  <si>
    <t>1404/05/08</t>
  </si>
  <si>
    <t>1404/05/11</t>
  </si>
  <si>
    <t>1404/05/12</t>
  </si>
  <si>
    <t>سر. صندوق بازنشستگی (وصندوق)</t>
  </si>
  <si>
    <t>1404/05/13</t>
  </si>
  <si>
    <t>کاشی حافظ (کحافظ)</t>
  </si>
  <si>
    <t>1404/05/14</t>
  </si>
  <si>
    <t>سر. سیمان تامین (سیتا)</t>
  </si>
  <si>
    <t>1404/05/25</t>
  </si>
  <si>
    <t>1404/06/23</t>
  </si>
  <si>
    <t>1404/06/26</t>
  </si>
  <si>
    <t>1404/07/15</t>
  </si>
  <si>
    <t>1404/07/20</t>
  </si>
  <si>
    <t>1404/07/30</t>
  </si>
  <si>
    <t>1404/09/17</t>
  </si>
  <si>
    <t xml:space="preserve">درآمد سود </t>
  </si>
  <si>
    <t>خالص درآمد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</si>
  <si>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</si>
  <si>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</si>
  <si>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</si>
  <si>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</si>
  <si>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</si>
  <si>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سر. سپه (وسپه)</t>
  </si>
  <si>
    <t>سر. صدر تامین (تاصیکو)</t>
  </si>
  <si>
    <t>پتروشیمی خراسان (خراسان)</t>
  </si>
  <si>
    <t>سر. دارویی تامین (تیپیکو)</t>
  </si>
  <si>
    <t>تکميلی پتروشیمی خلیج فارس (پترول)</t>
  </si>
  <si>
    <t>بانک پارسیان (وپارس)</t>
  </si>
  <si>
    <t>صنایع غذایی رضوی (نان)</t>
  </si>
  <si>
    <t>بیمه ملت (ملت)</t>
  </si>
  <si>
    <t>گروه بهمن (خبهمن)</t>
  </si>
  <si>
    <t>آهنگری تراکتور (خاهن)</t>
  </si>
  <si>
    <t>سر. خوارزمی (وخارزم)</t>
  </si>
  <si>
    <t>بیمه اتکایی تهران رواک (بتهران)</t>
  </si>
  <si>
    <t>تامین سرمایه کاردان (تکاردان)</t>
  </si>
  <si>
    <t>معادن روی ایران (کروی)</t>
  </si>
  <si>
    <t>شیشه همدان (کهمدا)</t>
  </si>
  <si>
    <t>بین المللی توسعه صنایع و معادن غدیر (وکغدیر)</t>
  </si>
  <si>
    <t>صنعتی بهشهر (غبشهر)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</si>
  <si>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</si>
  <si>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</si>
  <si>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</si>
  <si>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درآمد تغییر ارزش</t>
  </si>
  <si>
    <t>درآمد فروش</t>
  </si>
  <si>
    <t>1-2-درآمد حاصل از سرمایه­گذاری در سهام و حق تقدم سهام:</t>
  </si>
  <si>
    <t>دارایی</t>
  </si>
  <si>
    <t>3-2-درآمد حاصل از سرمایه­گذاری در سپرده بانکی و گواهی سپرده:</t>
  </si>
  <si>
    <t>نام سپرده بانکی</t>
  </si>
  <si>
    <t>نام سپرده</t>
  </si>
  <si>
    <t>سود سپرده بانکی و گواهی سپرده</t>
  </si>
  <si>
    <t>درصد سود به میانگین سپرده</t>
  </si>
  <si>
    <t>4-2-سایر درآمدها:</t>
  </si>
  <si>
    <t>چمع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</si>
</sst>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"/>
    <numFmt numFmtId="165" formatCode="#,##0.00;\(#,##0.00\);"/>
    <numFmt numFmtId="167" formatCode="_(* #,##0_);_(* \(#,##0\);_(* &quot;-&quot;??_);_(@_)"/>
  </numFmts>
  <fonts count="36">
    <font>
      <sz val="11"/>
      <color theme="1"/>
      <name val="B Nazanin"/>
      <family val="2"/>
      <charset val="178"/>
      <scheme val="minor"/>
    </font>
    <font>
      <b/>
      <sz val="12"/>
      <color theme="1"/>
      <name val="B Nazanin"/>
      <charset val="178"/>
    </font>
    <font>
      <sz val="10"/>
      <color theme="1"/>
      <name val="B Nazanin"/>
      <charset val="178"/>
    </font>
    <font>
      <sz val="11"/>
      <color theme="1"/>
      <name val="B Nazanin"/>
      <charset val="178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sz val="10"/>
      <color theme="1"/>
      <name val="B Nazanin"/>
      <charset val="178"/>
    </font>
    <font>
      <sz val="10"/>
      <color rgb="FF0062AC"/>
      <name val="B Nazanin"/>
      <charset val="178"/>
    </font>
    <font>
      <sz val="12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sz val="11"/>
      <color rgb="FF000000"/>
      <name val="B Nazanin"/>
      <charset val="178"/>
      <scheme val="minor"/>
    </font>
    <font>
      <sz val="12"/>
      <color rgb="FF0062AC"/>
      <name val="B Nazanin"/>
      <charset val="178"/>
    </font>
    <font>
      <sz val="20"/>
      <color theme="1"/>
      <name val="B Nazanin"/>
      <charset val="178"/>
    </font>
    <font>
      <sz val="16"/>
      <color theme="1"/>
      <name val="B Nazanin"/>
      <charset val="178"/>
    </font>
    <font>
      <sz val="10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sz val="11"/>
      <color rgb="FF000000"/>
      <name val="B Nazanin"/>
      <charset val="178"/>
      <scheme val="minor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b/>
      <sz val="10"/>
      <color theme="1"/>
      <name val="B Nazanin"/>
    </font>
    <font>
      <b/>
      <sz val="12"/>
      <color theme="1"/>
      <name val="B Nazanin"/>
    </font>
    <font>
      <b/>
      <sz val="11"/>
      <color theme="1"/>
      <name val="B Nazanin"/>
    </font>
    <font>
      <b/>
      <sz val="11"/>
      <color theme="1"/>
      <name val="B Nazanin"/>
      <scheme val="minor"/>
    </font>
    <font>
      <sz val="8"/>
      <color theme="1"/>
      <name val="B Nazanin"/>
      <charset val="178"/>
    </font>
    <font>
      <sz val="8"/>
      <color theme="1"/>
      <name val="B Nazanin"/>
      <family val="2"/>
      <charset val="178"/>
    </font>
    <font>
      <sz val="8"/>
      <color rgb="FF0062AC"/>
      <name val="B Nazanin"/>
      <charset val="178"/>
    </font>
    <font>
      <sz val="8"/>
      <color rgb="FF000000"/>
      <name val="B Nazanin"/>
      <charset val="17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B Nazanin"/>
      <family val="2"/>
      <charset val="178"/>
      <scheme val="minor"/>
    </font>
    <font>
      <b/>
      <sz val="9"/>
      <color rgb="FF00A651"/>
      <name val="IranSansFaNum"/>
    </font>
    <font>
      <sz val="12"/>
      <color theme="1"/>
      <name val="B Nazanin"/>
      <charset val="178"/>
    </font>
    <font>
      <sz val="12"/>
      <color theme="1"/>
      <name val="B Nazanin"/>
      <family val="2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32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 readingOrder="2"/>
    </xf>
    <xf numFmtId="0" fontId="9" fillId="0" borderId="0" xfId="0" applyFont="1" applyAlignment="1">
      <alignment vertical="center" readingOrder="2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 readingOrder="2"/>
    </xf>
    <xf numFmtId="0" fontId="12" fillId="0" borderId="2" xfId="0" applyFont="1" applyBorder="1" applyAlignment="1">
      <alignment horizontal="center" vertical="center" readingOrder="2"/>
    </xf>
    <xf numFmtId="0" fontId="10" fillId="0" borderId="0" xfId="0" applyFont="1"/>
    <xf numFmtId="0" fontId="12" fillId="0" borderId="0" xfId="0" applyFont="1" applyAlignment="1">
      <alignment vertical="center" readingOrder="2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readingOrder="2"/>
    </xf>
    <xf numFmtId="0" fontId="26" fillId="0" borderId="0" xfId="0" applyFont="1" applyAlignment="1">
      <alignment horizontal="right" vertical="center"/>
    </xf>
    <xf numFmtId="164" fontId="26" fillId="0" borderId="0" xfId="0" applyNumberFormat="1" applyFont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165" fontId="26" fillId="0" borderId="0" xfId="0" applyNumberFormat="1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2" fillId="0" borderId="6" xfId="0" applyFont="1" applyBorder="1" applyAlignment="1">
      <alignment horizontal="center" vertical="center" readingOrder="2"/>
    </xf>
    <xf numFmtId="0" fontId="6" fillId="0" borderId="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vertical="center" readingOrder="2"/>
    </xf>
    <xf numFmtId="0" fontId="2" fillId="0" borderId="7" xfId="0" applyFont="1" applyBorder="1" applyAlignment="1">
      <alignment horizontal="center" vertical="center" readingOrder="2"/>
    </xf>
    <xf numFmtId="0" fontId="2" fillId="0" borderId="5" xfId="0" applyFont="1" applyBorder="1" applyAlignment="1">
      <alignment horizontal="center" vertical="center" readingOrder="2"/>
    </xf>
    <xf numFmtId="0" fontId="3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 readingOrder="1"/>
    </xf>
    <xf numFmtId="49" fontId="26" fillId="0" borderId="0" xfId="0" applyNumberFormat="1" applyFont="1" applyAlignment="1">
      <alignment horizontal="right" vertical="center" readingOrder="2"/>
    </xf>
    <xf numFmtId="165" fontId="28" fillId="0" borderId="0" xfId="0" applyNumberFormat="1" applyFont="1" applyAlignment="1">
      <alignment horizontal="center" vertical="center" readingOrder="2"/>
    </xf>
    <xf numFmtId="0" fontId="18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29" fillId="0" borderId="0" xfId="0" applyNumberFormat="1" applyFont="1" applyAlignment="1">
      <alignment horizontal="center" vertical="center" readingOrder="2"/>
    </xf>
    <xf numFmtId="0" fontId="18" fillId="0" borderId="0" xfId="0" applyFont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164" fontId="29" fillId="0" borderId="0" xfId="0" applyNumberFormat="1" applyFont="1" applyAlignment="1">
      <alignment horizontal="center" vertical="center" readingOrder="2"/>
    </xf>
    <xf numFmtId="0" fontId="29" fillId="0" borderId="0" xfId="0" applyFont="1" applyAlignment="1">
      <alignment horizontal="right" vertical="center" readingOrder="1"/>
    </xf>
    <xf numFmtId="0" fontId="12" fillId="0" borderId="1" xfId="0" applyFont="1" applyBorder="1" applyAlignment="1">
      <alignment horizontal="right" vertical="center" readingOrder="2"/>
    </xf>
    <xf numFmtId="0" fontId="29" fillId="0" borderId="0" xfId="0" applyFont="1" applyAlignment="1">
      <alignment horizontal="right" vertical="center" readingOrder="2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13" fillId="0" borderId="0" xfId="0" applyFont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2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readingOrder="2"/>
    </xf>
    <xf numFmtId="0" fontId="6" fillId="0" borderId="5" xfId="0" applyFont="1" applyBorder="1" applyAlignment="1">
      <alignment horizontal="center" vertical="center" readingOrder="2"/>
    </xf>
    <xf numFmtId="0" fontId="9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readingOrder="2"/>
    </xf>
    <xf numFmtId="0" fontId="24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 readingOrder="2"/>
    </xf>
    <xf numFmtId="0" fontId="12" fillId="0" borderId="0" xfId="0" applyFont="1" applyAlignment="1">
      <alignment horizontal="center" vertical="center" readingOrder="2"/>
    </xf>
    <xf numFmtId="0" fontId="21" fillId="0" borderId="0" xfId="0" applyFont="1" applyAlignment="1">
      <alignment horizontal="right" vertical="center" readingOrder="2"/>
    </xf>
    <xf numFmtId="0" fontId="11" fillId="0" borderId="0" xfId="0" applyFont="1" applyAlignment="1">
      <alignment horizontal="right" vertical="center" readingOrder="2"/>
    </xf>
    <xf numFmtId="0" fontId="19" fillId="0" borderId="1" xfId="0" applyFont="1" applyBorder="1" applyAlignment="1">
      <alignment horizontal="center" vertical="center" readingOrder="2"/>
    </xf>
    <xf numFmtId="0" fontId="12" fillId="0" borderId="1" xfId="0" applyFont="1" applyBorder="1" applyAlignment="1">
      <alignment horizontal="center" vertical="center" readingOrder="2"/>
    </xf>
    <xf numFmtId="0" fontId="12" fillId="0" borderId="2" xfId="0" applyFont="1" applyBorder="1" applyAlignment="1">
      <alignment horizontal="center" vertical="center" readingOrder="2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 readingOrder="2"/>
    </xf>
    <xf numFmtId="0" fontId="12" fillId="0" borderId="3" xfId="0" applyFont="1" applyBorder="1" applyAlignment="1">
      <alignment horizontal="center" vertical="center" readingOrder="2"/>
    </xf>
    <xf numFmtId="0" fontId="2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167" fontId="2" fillId="0" borderId="2" xfId="1" applyNumberFormat="1" applyFont="1" applyBorder="1" applyAlignment="1">
      <alignment horizontal="center" vertical="center" readingOrder="2"/>
    </xf>
    <xf numFmtId="167" fontId="6" fillId="0" borderId="1" xfId="1" applyNumberFormat="1" applyFont="1" applyBorder="1" applyAlignment="1">
      <alignment horizontal="center" vertical="center" readingOrder="2"/>
    </xf>
    <xf numFmtId="167" fontId="26" fillId="0" borderId="0" xfId="1" applyNumberFormat="1" applyFont="1" applyAlignment="1">
      <alignment horizontal="center" vertical="center"/>
    </xf>
    <xf numFmtId="167" fontId="6" fillId="0" borderId="0" xfId="1" applyNumberFormat="1" applyFont="1" applyAlignment="1">
      <alignment vertical="center"/>
    </xf>
    <xf numFmtId="0" fontId="33" fillId="0" borderId="0" xfId="0" applyFont="1"/>
    <xf numFmtId="0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5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34" fillId="2" borderId="0" xfId="0" applyNumberFormat="1" applyFont="1" applyFill="1" applyAlignment="1">
      <alignment horizontal="center" vertical="center"/>
    </xf>
    <xf numFmtId="165" fontId="1" fillId="2" borderId="10" xfId="0" applyNumberFormat="1" applyFont="1" applyFill="1" applyBorder="1" applyAlignment="1">
      <alignment horizontal="center" vertical="center"/>
    </xf>
    <xf numFmtId="165" fontId="35" fillId="2" borderId="8" xfId="0" applyNumberFormat="1" applyFont="1" applyFill="1" applyBorder="1" applyAlignment="1">
      <alignment horizontal="center" vertical="center"/>
    </xf>
    <xf numFmtId="165" fontId="35" fillId="2" borderId="9" xfId="0" applyNumberFormat="1" applyFont="1" applyFill="1" applyBorder="1" applyAlignment="1">
      <alignment horizontal="center" vertical="center"/>
    </xf>
    <xf numFmtId="165" fontId="35" fillId="2" borderId="12" xfId="0" applyNumberFormat="1" applyFont="1" applyFill="1" applyBorder="1" applyAlignment="1">
      <alignment horizontal="center" vertical="center"/>
    </xf>
    <xf numFmtId="167" fontId="26" fillId="2" borderId="0" xfId="1" applyNumberFormat="1" applyFont="1" applyFill="1" applyAlignment="1">
      <alignment horizontal="center" vertical="center"/>
    </xf>
    <xf numFmtId="167" fontId="2" fillId="2" borderId="0" xfId="1" applyNumberFormat="1" applyFont="1" applyFill="1" applyAlignment="1">
      <alignment horizontal="right" vertical="center"/>
    </xf>
    <xf numFmtId="167" fontId="2" fillId="2" borderId="0" xfId="1" applyNumberFormat="1" applyFont="1" applyFill="1" applyAlignment="1">
      <alignment horizontal="center" vertical="center"/>
    </xf>
    <xf numFmtId="167" fontId="2" fillId="2" borderId="10" xfId="1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167" fontId="3" fillId="2" borderId="0" xfId="1" applyNumberFormat="1" applyFont="1" applyFill="1" applyAlignment="1">
      <alignment horizontal="right" vertical="center"/>
    </xf>
    <xf numFmtId="167" fontId="3" fillId="2" borderId="0" xfId="1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 readingOrder="2"/>
    </xf>
    <xf numFmtId="165" fontId="3" fillId="2" borderId="0" xfId="0" applyNumberFormat="1" applyFont="1" applyFill="1" applyAlignment="1">
      <alignment horizontal="center" vertical="center" readingOrder="2"/>
    </xf>
    <xf numFmtId="165" fontId="3" fillId="2" borderId="0" xfId="0" applyNumberFormat="1" applyFont="1" applyFill="1" applyAlignment="1">
      <alignment horizontal="center" vertical="center" readingOrder="2"/>
    </xf>
    <xf numFmtId="0" fontId="3" fillId="2" borderId="10" xfId="0" applyFont="1" applyFill="1" applyBorder="1" applyAlignment="1">
      <alignment horizontal="right" vertical="center"/>
    </xf>
    <xf numFmtId="167" fontId="3" fillId="2" borderId="10" xfId="1" applyNumberFormat="1" applyFont="1" applyFill="1" applyBorder="1" applyAlignment="1">
      <alignment horizontal="right" vertical="center"/>
    </xf>
    <xf numFmtId="167" fontId="3" fillId="2" borderId="10" xfId="1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167" fontId="27" fillId="3" borderId="12" xfId="1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 readingOrder="2"/>
    </xf>
    <xf numFmtId="0" fontId="34" fillId="2" borderId="0" xfId="0" applyFont="1" applyFill="1" applyBorder="1" applyAlignment="1">
      <alignment horizontal="right" vertical="center"/>
    </xf>
    <xf numFmtId="167" fontId="34" fillId="2" borderId="0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88"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border diagonalUp="0" diagonalDown="0">
        <left/>
        <right/>
        <top style="thin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B Nazanin"/>
        <charset val="178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B Nazanin"/>
        <charset val="178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B Nazanin"/>
        <charset val="178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B Nazanin"/>
        <charset val="178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B Nazanin"/>
        <charset val="178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B Nazanin"/>
        <charset val="178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B Nazanin"/>
        <charset val="178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B Nazanin"/>
        <charset val="178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B Nazanin"/>
        <charset val="178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7" formatCode="_(* #,##0_);_(* \(#,##0\);_(* &quot;-&quot;??_);_(@_)"/>
      <fill>
        <patternFill>
          <bgColor theme="0"/>
        </patternFill>
      </fill>
    </dxf>
    <dxf>
      <numFmt numFmtId="167" formatCode="_(* #,##0_);_(* \(#,##0\);_(* &quot;-&quot;??_);_(@_)"/>
      <fill>
        <patternFill>
          <bgColor theme="0"/>
        </patternFill>
      </fill>
    </dxf>
    <dxf>
      <numFmt numFmtId="167" formatCode="_(* #,##0_);_(* \(#,##0\);_(* &quot;-&quot;??_);_(@_)"/>
      <fill>
        <patternFill>
          <bgColor theme="0"/>
        </patternFill>
      </fill>
    </dxf>
    <dxf>
      <numFmt numFmtId="167" formatCode="_(* #,##0_);_(* \(#,##0\);_(* &quot;-&quot;??_);_(@_)"/>
      <fill>
        <patternFill>
          <bgColor theme="0"/>
        </patternFill>
      </fill>
    </dxf>
    <dxf>
      <numFmt numFmtId="167" formatCode="_(* #,##0_);_(* \(#,##0\);_(* &quot;-&quot;??_);_(@_)"/>
      <fill>
        <patternFill>
          <bgColor theme="0"/>
        </patternFill>
      </fill>
    </dxf>
    <dxf>
      <numFmt numFmtId="167" formatCode="_(* #,##0_);_(* \(#,##0\);_(* &quot;-&quot;??_);_(@_)"/>
      <fill>
        <patternFill>
          <bgColor theme="0"/>
        </patternFill>
      </fill>
    </dxf>
    <dxf>
      <numFmt numFmtId="167" formatCode="_(* #,##0_);_(* \(#,##0\);_(* &quot;-&quot;??_);_(@_)"/>
      <fill>
        <patternFill>
          <bgColor theme="0"/>
        </patternFill>
      </fill>
    </dxf>
    <dxf>
      <numFmt numFmtId="167" formatCode="_(* #,##0_);_(* \(#,##0\);_(* &quot;-&quot;??_);_(@_)"/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B Nazanin"/>
        <charset val="178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#,##0.00;\(#,##0.00\)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75" headerRowCount="0" headerRowDxfId="62" dataDxfId="60" totalsRowDxfId="61" headerRowCellStyle="Comma" dataCellStyle="Comma" totalsRowCellStyle="Comma">
  <tableColumns count="13">
    <tableColumn id="1" xr3:uid="{00000000-0010-0000-0000-000001000000}" name="تاید واتر خاورمیانه (حتاید)" dataDxfId="75" dataCellStyle="Comma"/>
    <tableColumn id="2" xr3:uid="{00000000-0010-0000-0000-000002000000}" name="549981" dataDxfId="74" dataCellStyle="Comma"/>
    <tableColumn id="3" xr3:uid="{00000000-0010-0000-0000-000003000000}" name="4286425803.0000" dataDxfId="73" dataCellStyle="Comma"/>
    <tableColumn id="4" xr3:uid="{00000000-0010-0000-0000-000004000000}" name="3918338870.0000" dataDxfId="72" dataCellStyle="Comma"/>
    <tableColumn id="5" xr3:uid="{00000000-0010-0000-0000-000005000000}" name="0" dataDxfId="71" dataCellStyle="Comma"/>
    <tableColumn id="6" xr3:uid="{00000000-0010-0000-0000-000006000000}" name="Column6" dataDxfId="70" dataCellStyle="Comma"/>
    <tableColumn id="7" xr3:uid="{00000000-0010-0000-0000-000007000000}" name="Column7" dataDxfId="69" dataCellStyle="Comma"/>
    <tableColumn id="8" xr3:uid="{00000000-0010-0000-0000-000008000000}" name="3750650905.0000" dataDxfId="68" dataCellStyle="Comma"/>
    <tableColumn id="9" xr3:uid="{00000000-0010-0000-0000-000009000000}" name="Column9" dataDxfId="67" dataCellStyle="Comma"/>
    <tableColumn id="10" xr3:uid="{00000000-0010-0000-0000-00000A000000}" name="Column10" dataDxfId="66" dataCellStyle="Comma"/>
    <tableColumn id="11" xr3:uid="{00000000-0010-0000-0000-00000B000000}" name="Column11" dataDxfId="65" dataCellStyle="Comma"/>
    <tableColumn id="12" xr3:uid="{00000000-0010-0000-0000-00000C000000}" name="Column12" dataDxfId="64" dataCellStyle="Comma"/>
    <tableColumn id="13" xr3:uid="{00000000-0010-0000-0000-00000D000000}" name="0.00" dataDxfId="63" dataCellStyle="Comm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J10" headerRowCount="0" headerRowDxfId="49" dataDxfId="47" totalsRowDxfId="48">
  <tableColumns count="10">
    <tableColumn id="1" xr3:uid="{00000000-0010-0000-0500-000001000000}" name="جاری گردشگری" dataDxfId="59"/>
    <tableColumn id="2" xr3:uid="{00000000-0010-0000-0500-000002000000}" name="129.71.1709609.1" dataDxfId="58"/>
    <tableColumn id="3" xr3:uid="{00000000-0010-0000-0500-000003000000}" name="جاری" dataDxfId="57"/>
    <tableColumn id="4" xr3:uid="{00000000-0010-0000-0500-000004000000}" name="-" dataDxfId="56" dataCellStyle="Comma"/>
    <tableColumn id="5" xr3:uid="{00000000-0010-0000-0500-000005000000}" name="Column5" dataDxfId="55" dataCellStyle="Comma"/>
    <tableColumn id="6" xr3:uid="{00000000-0010-0000-0500-000006000000}" name="13374424.0000" dataDxfId="54" dataCellStyle="Comma"/>
    <tableColumn id="7" xr3:uid="{00000000-0010-0000-0500-000007000000}" name="269667678798.0000" dataDxfId="53" dataCellStyle="Comma"/>
    <tableColumn id="8" xr3:uid="{00000000-0010-0000-0500-000008000000}" name="269159593871.0000" dataDxfId="52" dataCellStyle="Comma"/>
    <tableColumn id="9" xr3:uid="{00000000-0010-0000-0500-000009000000}" name="521459351.0000" dataDxfId="51" dataCellStyle="Comma"/>
    <tableColumn id="10" xr3:uid="{00000000-0010-0000-0500-00000A000000}" name="0.05" dataDxfId="5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9" headerRowCount="0" headerRowDxfId="41" dataDxfId="39" totalsRowDxfId="40">
  <tableColumns count="5">
    <tableColumn id="1" xr3:uid="{00000000-0010-0000-0600-000001000000}" name="درآمد حاصل از سرمایه­گذاری در سهام و حق تقدم سهام" dataDxfId="46"/>
    <tableColumn id="2" xr3:uid="{00000000-0010-0000-0600-000002000000}" name="1-2" dataDxfId="45"/>
    <tableColumn id="3" xr3:uid="{00000000-0010-0000-0600-000003000000}" name="168564158057.0000" dataDxfId="44"/>
    <tableColumn id="4" xr3:uid="{00000000-0010-0000-0600-000004000000}" name="99.81" dataDxfId="43"/>
    <tableColumn id="5" xr3:uid="{00000000-0010-0000-0600-000005000000}" name="16.28" dataDxfId="4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53" headerRowCount="0" headerRowDxfId="28" dataDxfId="26" totalsRowDxfId="27">
  <sortState xmlns:xlrd2="http://schemas.microsoft.com/office/spreadsheetml/2017/richdata2" ref="A7:J53">
    <sortCondition ref="A6"/>
  </sortState>
  <tableColumns count="10">
    <tableColumn id="1" xr3:uid="{00000000-0010-0000-0700-000001000000}" name="سیمان خوزستان (سخوز)" dataDxfId="38"/>
    <tableColumn id="2" xr3:uid="{00000000-0010-0000-0700-000002000000}" name="1404/03/04" dataDxfId="37"/>
    <tableColumn id="3" xr3:uid="{00000000-0010-0000-0700-000003000000}" name="137103.0000" dataDxfId="36" dataCellStyle="Comma"/>
    <tableColumn id="4" xr3:uid="{00000000-0010-0000-0700-000004000000}" name="9120.0000" dataDxfId="35" dataCellStyle="Comma"/>
    <tableColumn id="5" xr3:uid="{00000000-0010-0000-0700-000005000000}" name="0.0000" dataDxfId="34" dataCellStyle="Comma"/>
    <tableColumn id="6" xr3:uid="{00000000-0010-0000-0700-000006000000}" name="0" dataDxfId="33" dataCellStyle="Comma"/>
    <tableColumn id="7" xr3:uid="{00000000-0010-0000-0700-000007000000}" name="Column7" dataDxfId="32" dataCellStyle="Comma"/>
    <tableColumn id="8" xr3:uid="{00000000-0010-0000-0700-000008000000}" name="1250379360.0000" dataDxfId="31" dataCellStyle="Comma"/>
    <tableColumn id="9" xr3:uid="{00000000-0010-0000-0700-000009000000}" name="Column9" dataDxfId="30" dataCellStyle="Comma"/>
    <tableColumn id="10" xr3:uid="{00000000-0010-0000-0700-00000A000000}" name="Column10" dataDxfId="29" dataCellStyle="Comma">
      <calculatedColumnFormula>Table8[[#This Row],[1250379360.0000]]-Table8[[#This Row],[Column9]]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8" headerRowCount="0" headerRowDxfId="18" dataDxfId="16" totalsRowDxfId="17">
  <tableColumns count="7">
    <tableColumn id="1" xr3:uid="{00000000-0010-0000-0900-000001000000}" name="بلند مدت گردشگری129.333.1709609.2" dataDxfId="25"/>
    <tableColumn id="2" xr3:uid="{00000000-0010-0000-0900-000002000000}" name="0.0000" dataDxfId="24"/>
    <tableColumn id="3" xr3:uid="{00000000-0010-0000-0900-000003000000}" name="Column3" dataDxfId="23"/>
    <tableColumn id="4" xr3:uid="{00000000-0010-0000-0900-000004000000}" name="Column4" dataDxfId="22"/>
    <tableColumn id="5" xr3:uid="{00000000-0010-0000-0900-000005000000}" name="33252977.0000" dataDxfId="21"/>
    <tableColumn id="6" xr3:uid="{00000000-0010-0000-0900-000006000000}" name="547948.0000" dataDxfId="20"/>
    <tableColumn id="7" xr3:uid="{00000000-0010-0000-0900-000007000000}" name="33800925.0000" dataDxfId="1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71" headerRowCount="0" headerRowDxfId="78" dataDxfId="76" totalsRowDxfId="77">
  <tableColumns count="9">
    <tableColumn id="1" xr3:uid="{00000000-0010-0000-0B00-000001000000}" name="تاید واتر خاورمیانه (حتاید)" dataDxfId="87"/>
    <tableColumn id="2" xr3:uid="{00000000-0010-0000-0B00-000002000000}" name="0" dataDxfId="86"/>
    <tableColumn id="3" xr3:uid="{00000000-0010-0000-0B00-000003000000}" name="Column3" dataDxfId="85"/>
    <tableColumn id="4" xr3:uid="{00000000-0010-0000-0B00-000004000000}" name="367869093.0000" dataDxfId="84"/>
    <tableColumn id="5" xr3:uid="{00000000-0010-0000-0B00-000005000000}" name="Column5" dataDxfId="83"/>
    <tableColumn id="6" xr3:uid="{00000000-0010-0000-0B00-000006000000}" name="Column6" dataDxfId="82"/>
    <tableColumn id="7" xr3:uid="{00000000-0010-0000-0B00-000007000000}" name="Column7" dataDxfId="81"/>
    <tableColumn id="8" xr3:uid="{00000000-0010-0000-0B00-000008000000}" name="Column8" dataDxfId="80"/>
    <tableColumn id="9" xr3:uid="{00000000-0010-0000-0B00-000009000000}" name="Column9" dataDxfId="7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8:F9" headerRowCount="0" headerRowDxfId="9" dataDxfId="7" totalsRowDxfId="8">
  <tableColumns count="6">
    <tableColumn id="1" xr3:uid="{00000000-0010-0000-0E00-000001000000}" name="بلند مدت گردشگری129.333.1709609.2" dataDxfId="15"/>
    <tableColumn id="2" xr3:uid="{00000000-0010-0000-0E00-000002000000}" name="129.333.1709609.2" dataDxfId="14"/>
    <tableColumn id="3" xr3:uid="{00000000-0010-0000-0E00-000003000000}" name="0.0000" dataDxfId="13"/>
    <tableColumn id="4" xr3:uid="{00000000-0010-0000-0E00-000004000000}" name="-" dataDxfId="12"/>
    <tableColumn id="5" xr3:uid="{00000000-0010-0000-0E00-000005000000}" name="33800925.0000" dataDxfId="11"/>
    <tableColumn id="6" xr3:uid="{00000000-0010-0000-0E00-000006000000}" name="Column6" dataDxfId="1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9" headerRowCount="0" headerRowDxfId="2" dataDxfId="0" totalsRowDxfId="1" tableBorderDxfId="6">
  <tableColumns count="3">
    <tableColumn id="1" xr3:uid="{00000000-0010-0000-0F00-000001000000}" name="سایر درآمدها" dataDxfId="5"/>
    <tableColumn id="2" xr3:uid="{00000000-0010-0000-0F00-000002000000}" name="-647182.0000" dataDxfId="4" dataCellStyle="Comma"/>
    <tableColumn id="3" xr3:uid="{00000000-0010-0000-0F00-000003000000}" name="292888489.0000" dataDxfId="3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topLeftCell="A11" zoomScaleNormal="100" workbookViewId="0">
      <selection activeCell="D36" sqref="D36"/>
    </sheetView>
  </sheetViews>
  <sheetFormatPr defaultColWidth="9" defaultRowHeight="18"/>
  <cols>
    <col min="1" max="1" width="9" style="1" customWidth="1"/>
    <col min="2" max="16384" width="9" style="1"/>
  </cols>
  <sheetData>
    <row r="3" spans="1:17" ht="27.75">
      <c r="D3" s="50" t="s">
        <v>0</v>
      </c>
      <c r="E3" s="51"/>
      <c r="F3" s="51"/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customHeight="1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</row>
    <row r="9" spans="1:17" ht="15" customHeight="1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</row>
    <row r="10" spans="1:17" ht="15" customHeight="1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</row>
    <row r="11" spans="1:17" ht="15" customHeight="1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</row>
    <row r="12" spans="1:17" ht="15" customHeight="1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</row>
    <row r="13" spans="1:17" ht="15" customHeight="1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</row>
    <row r="14" spans="1:17" ht="15" customHeight="1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</row>
    <row r="15" spans="1:17" ht="15" customHeight="1">
      <c r="A15" s="46" t="s">
        <v>1</v>
      </c>
      <c r="B15" s="47"/>
      <c r="C15" s="47"/>
      <c r="D15" s="47"/>
      <c r="E15" s="47"/>
      <c r="F15" s="47"/>
      <c r="G15" s="47"/>
      <c r="H15" s="47"/>
      <c r="I15" s="47"/>
      <c r="J15" s="2"/>
      <c r="K15" s="2"/>
      <c r="L15" s="2"/>
      <c r="M15" s="2"/>
      <c r="N15" s="2"/>
      <c r="O15" s="2"/>
      <c r="P15" s="2"/>
      <c r="Q15" s="2"/>
    </row>
    <row r="16" spans="1:17" ht="15" customHeight="1">
      <c r="A16" s="47"/>
      <c r="B16" s="47"/>
      <c r="C16" s="47"/>
      <c r="D16" s="47"/>
      <c r="E16" s="47"/>
      <c r="F16" s="47"/>
      <c r="G16" s="47"/>
      <c r="H16" s="47"/>
      <c r="I16" s="47"/>
    </row>
    <row r="17" spans="1:9" ht="15" customHeight="1">
      <c r="A17" s="48" t="s">
        <v>2</v>
      </c>
      <c r="B17" s="49"/>
      <c r="C17" s="49"/>
      <c r="D17" s="49"/>
      <c r="E17" s="49"/>
      <c r="F17" s="49"/>
      <c r="G17" s="49"/>
      <c r="H17" s="49"/>
      <c r="I17" s="49"/>
    </row>
    <row r="18" spans="1:9" ht="15" customHeight="1">
      <c r="A18" s="49"/>
      <c r="B18" s="49"/>
      <c r="C18" s="49"/>
      <c r="D18" s="49"/>
      <c r="E18" s="49"/>
      <c r="F18" s="49"/>
      <c r="G18" s="49"/>
      <c r="H18" s="49"/>
      <c r="I18" s="49"/>
    </row>
    <row r="19" spans="1:9" ht="15" customHeight="1">
      <c r="A19" s="49"/>
      <c r="B19" s="49"/>
      <c r="C19" s="49"/>
      <c r="D19" s="49"/>
      <c r="E19" s="49"/>
      <c r="F19" s="49"/>
      <c r="G19" s="49"/>
      <c r="H19" s="49"/>
      <c r="I19" s="49"/>
    </row>
    <row r="20" spans="1:9" ht="15" customHeight="1">
      <c r="A20" s="48" t="s">
        <v>3</v>
      </c>
      <c r="B20" s="49"/>
      <c r="C20" s="49"/>
      <c r="D20" s="49"/>
      <c r="E20" s="49"/>
      <c r="F20" s="49"/>
      <c r="G20" s="49"/>
      <c r="H20" s="49"/>
      <c r="I20" s="49"/>
    </row>
    <row r="21" spans="1:9" ht="15" customHeight="1">
      <c r="A21" s="49"/>
      <c r="B21" s="49"/>
      <c r="C21" s="49"/>
      <c r="D21" s="49"/>
      <c r="E21" s="49"/>
      <c r="F21" s="49"/>
      <c r="G21" s="49"/>
      <c r="H21" s="49"/>
      <c r="I21" s="49"/>
    </row>
    <row r="22" spans="1:9" ht="15" customHeight="1">
      <c r="A22" s="49"/>
      <c r="B22" s="49"/>
      <c r="C22" s="49"/>
      <c r="D22" s="49"/>
      <c r="E22" s="49"/>
      <c r="F22" s="49"/>
      <c r="G22" s="49"/>
      <c r="H22" s="49"/>
      <c r="I22" s="49"/>
    </row>
    <row r="23" spans="1:9" ht="15" customHeight="1">
      <c r="A23" s="49"/>
      <c r="B23" s="49"/>
      <c r="C23" s="49"/>
      <c r="D23" s="49"/>
      <c r="E23" s="49"/>
      <c r="F23" s="49"/>
      <c r="G23" s="49"/>
      <c r="H23" s="49"/>
      <c r="I23" s="49"/>
    </row>
    <row r="24" spans="1:9" ht="15" customHeight="1">
      <c r="A24" s="3"/>
      <c r="B24" s="3"/>
      <c r="C24" s="3"/>
      <c r="D24" s="3"/>
      <c r="E24" s="3"/>
      <c r="F24" s="3"/>
      <c r="G24" s="3"/>
      <c r="H24" s="3"/>
      <c r="I24" s="3"/>
    </row>
    <row r="37" spans="6:8">
      <c r="F37" s="44" t="s">
        <v>4</v>
      </c>
      <c r="G37" s="45"/>
      <c r="H37" s="45"/>
    </row>
    <row r="38" spans="6:8">
      <c r="F38" s="45"/>
      <c r="G38" s="45"/>
      <c r="H38" s="45"/>
    </row>
    <row r="39" spans="6:8">
      <c r="F39" s="45"/>
      <c r="G39" s="45"/>
      <c r="H39" s="45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rightToLeft="1" view="pageBreakPreview" topLeftCell="A61" zoomScale="106" zoomScaleNormal="100" zoomScaleSheetLayoutView="106" workbookViewId="0">
      <selection activeCell="E84" sqref="E84"/>
    </sheetView>
  </sheetViews>
  <sheetFormatPr defaultColWidth="9" defaultRowHeight="15.75"/>
  <cols>
    <col min="1" max="1" width="31.7109375" style="9" customWidth="1"/>
    <col min="2" max="2" width="13" style="9" customWidth="1"/>
    <col min="3" max="4" width="15.85546875" style="9" customWidth="1"/>
    <col min="5" max="5" width="13" style="9" customWidth="1"/>
    <col min="6" max="6" width="15.85546875" style="9" customWidth="1"/>
    <col min="7" max="7" width="13" style="9" customWidth="1"/>
    <col min="8" max="8" width="15.85546875" style="9" customWidth="1"/>
    <col min="9" max="10" width="13" style="9" customWidth="1"/>
    <col min="11" max="11" width="15.85546875" style="9" customWidth="1"/>
    <col min="12" max="12" width="17.28515625" style="95" customWidth="1"/>
    <col min="13" max="13" width="13" style="9" customWidth="1"/>
    <col min="14" max="14" width="9" style="4" customWidth="1"/>
    <col min="15" max="16384" width="9" style="4"/>
  </cols>
  <sheetData>
    <row r="1" spans="1:13">
      <c r="A1" s="54" t="s">
        <v>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>
      <c r="A2" s="54" t="s">
        <v>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>
      <c r="A3" s="54" t="s">
        <v>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3">
      <c r="A4" s="60" t="s">
        <v>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13">
      <c r="A5" s="60" t="s">
        <v>9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</row>
    <row r="7" spans="1:13" ht="18.75" customHeight="1">
      <c r="A7" s="5"/>
      <c r="B7" s="64" t="s">
        <v>10</v>
      </c>
      <c r="C7" s="53"/>
      <c r="D7" s="53"/>
      <c r="E7" s="62" t="s">
        <v>11</v>
      </c>
      <c r="F7" s="63"/>
      <c r="G7" s="63"/>
      <c r="H7" s="63"/>
      <c r="I7" s="64" t="s">
        <v>12</v>
      </c>
      <c r="J7" s="53"/>
      <c r="K7" s="53"/>
      <c r="L7" s="53"/>
      <c r="M7" s="53"/>
    </row>
    <row r="8" spans="1:13" ht="17.25" customHeight="1">
      <c r="A8" s="55" t="s">
        <v>13</v>
      </c>
      <c r="B8" s="55" t="s">
        <v>14</v>
      </c>
      <c r="C8" s="55" t="s">
        <v>15</v>
      </c>
      <c r="D8" s="52" t="s">
        <v>16</v>
      </c>
      <c r="E8" s="56" t="s">
        <v>17</v>
      </c>
      <c r="F8" s="57"/>
      <c r="G8" s="58" t="s">
        <v>18</v>
      </c>
      <c r="H8" s="59"/>
      <c r="I8" s="52" t="s">
        <v>14</v>
      </c>
      <c r="J8" s="52" t="s">
        <v>19</v>
      </c>
      <c r="K8" s="52" t="s">
        <v>15</v>
      </c>
      <c r="L8" s="92" t="s">
        <v>16</v>
      </c>
      <c r="M8" s="52" t="s">
        <v>20</v>
      </c>
    </row>
    <row r="9" spans="1:13" ht="20.25" customHeight="1">
      <c r="A9" s="53"/>
      <c r="B9" s="53"/>
      <c r="C9" s="53"/>
      <c r="D9" s="53"/>
      <c r="E9" s="16" t="s">
        <v>14</v>
      </c>
      <c r="F9" s="16" t="s">
        <v>21</v>
      </c>
      <c r="G9" s="16" t="s">
        <v>14</v>
      </c>
      <c r="H9" s="16" t="s">
        <v>22</v>
      </c>
      <c r="I9" s="53"/>
      <c r="J9" s="53"/>
      <c r="K9" s="53"/>
      <c r="L9" s="93"/>
      <c r="M9" s="53"/>
    </row>
    <row r="10" spans="1:13" ht="23.1" customHeight="1">
      <c r="A10" s="109" t="s">
        <v>23</v>
      </c>
      <c r="B10" s="110">
        <v>549981</v>
      </c>
      <c r="C10" s="110">
        <v>4286425803</v>
      </c>
      <c r="D10" s="110">
        <v>3918338870</v>
      </c>
      <c r="E10" s="110">
        <v>0</v>
      </c>
      <c r="F10" s="110">
        <v>0</v>
      </c>
      <c r="G10" s="110">
        <v>549981</v>
      </c>
      <c r="H10" s="110">
        <v>3750650905</v>
      </c>
      <c r="I10" s="110">
        <v>0</v>
      </c>
      <c r="J10" s="110">
        <v>0</v>
      </c>
      <c r="K10" s="110">
        <v>0</v>
      </c>
      <c r="L10" s="110">
        <v>0</v>
      </c>
      <c r="M10" s="110">
        <v>0</v>
      </c>
    </row>
    <row r="11" spans="1:13" ht="23.1" customHeight="1">
      <c r="A11" s="109" t="s">
        <v>24</v>
      </c>
      <c r="B11" s="110">
        <v>1837671</v>
      </c>
      <c r="C11" s="110">
        <v>8145116088</v>
      </c>
      <c r="D11" s="110">
        <v>9029802661</v>
      </c>
      <c r="E11" s="110">
        <v>1036920</v>
      </c>
      <c r="F11" s="110">
        <v>5624311323</v>
      </c>
      <c r="G11" s="110">
        <v>600000</v>
      </c>
      <c r="H11" s="110">
        <v>3572172023</v>
      </c>
      <c r="I11" s="110">
        <v>2274591</v>
      </c>
      <c r="J11" s="110">
        <v>6000</v>
      </c>
      <c r="K11" s="110">
        <v>10895398916</v>
      </c>
      <c r="L11" s="110">
        <v>13542050473</v>
      </c>
      <c r="M11" s="110">
        <v>1.31</v>
      </c>
    </row>
    <row r="12" spans="1:13" ht="23.1" customHeight="1">
      <c r="A12" s="109" t="s">
        <v>25</v>
      </c>
      <c r="B12" s="110">
        <v>718282</v>
      </c>
      <c r="C12" s="110">
        <v>35383387644</v>
      </c>
      <c r="D12" s="110">
        <v>29699445777</v>
      </c>
      <c r="E12" s="110">
        <v>0</v>
      </c>
      <c r="F12" s="110">
        <v>0</v>
      </c>
      <c r="G12" s="110">
        <v>52433</v>
      </c>
      <c r="H12" s="110">
        <v>2200674086</v>
      </c>
      <c r="I12" s="110">
        <v>665849</v>
      </c>
      <c r="J12" s="110">
        <v>51340</v>
      </c>
      <c r="K12" s="110">
        <v>32800478474</v>
      </c>
      <c r="L12" s="110">
        <v>33920440028</v>
      </c>
      <c r="M12" s="110">
        <v>3.28</v>
      </c>
    </row>
    <row r="13" spans="1:13" ht="23.1" customHeight="1">
      <c r="A13" s="109" t="s">
        <v>26</v>
      </c>
      <c r="B13" s="110">
        <v>856411</v>
      </c>
      <c r="C13" s="110">
        <v>8623303340</v>
      </c>
      <c r="D13" s="110">
        <v>4903293744</v>
      </c>
      <c r="E13" s="110">
        <v>0</v>
      </c>
      <c r="F13" s="110">
        <v>0</v>
      </c>
      <c r="G13" s="110">
        <v>0</v>
      </c>
      <c r="H13" s="110">
        <v>0</v>
      </c>
      <c r="I13" s="110">
        <v>856411</v>
      </c>
      <c r="J13" s="110">
        <v>7540</v>
      </c>
      <c r="K13" s="110">
        <v>8623303340</v>
      </c>
      <c r="L13" s="110">
        <v>6407423713</v>
      </c>
      <c r="M13" s="110">
        <v>0.62</v>
      </c>
    </row>
    <row r="14" spans="1:13" ht="23.1" customHeight="1">
      <c r="A14" s="109" t="s">
        <v>27</v>
      </c>
      <c r="B14" s="110">
        <v>0</v>
      </c>
      <c r="C14" s="110">
        <v>0</v>
      </c>
      <c r="D14" s="110">
        <v>0</v>
      </c>
      <c r="E14" s="110">
        <v>400000</v>
      </c>
      <c r="F14" s="110">
        <v>1225135872</v>
      </c>
      <c r="G14" s="110">
        <v>400000</v>
      </c>
      <c r="H14" s="110">
        <v>1282053212</v>
      </c>
      <c r="I14" s="110">
        <v>0</v>
      </c>
      <c r="J14" s="110">
        <v>0</v>
      </c>
      <c r="K14" s="110">
        <v>0</v>
      </c>
      <c r="L14" s="110">
        <v>0</v>
      </c>
      <c r="M14" s="110">
        <v>0</v>
      </c>
    </row>
    <row r="15" spans="1:13" ht="23.1" customHeight="1">
      <c r="A15" s="109" t="s">
        <v>28</v>
      </c>
      <c r="B15" s="110">
        <v>13200000</v>
      </c>
      <c r="C15" s="110">
        <v>6407940850</v>
      </c>
      <c r="D15" s="110">
        <v>6352512540</v>
      </c>
      <c r="E15" s="110">
        <v>23200000</v>
      </c>
      <c r="F15" s="110">
        <v>12407766096</v>
      </c>
      <c r="G15" s="110">
        <v>1200000</v>
      </c>
      <c r="H15" s="110">
        <v>654898218</v>
      </c>
      <c r="I15" s="110">
        <v>35200000</v>
      </c>
      <c r="J15" s="110">
        <v>553</v>
      </c>
      <c r="K15" s="110">
        <v>18195408915</v>
      </c>
      <c r="L15" s="110">
        <v>19315130913</v>
      </c>
      <c r="M15" s="110">
        <v>1.87</v>
      </c>
    </row>
    <row r="16" spans="1:13" ht="23.1" customHeight="1">
      <c r="A16" s="109" t="s">
        <v>29</v>
      </c>
      <c r="B16" s="110">
        <v>723642</v>
      </c>
      <c r="C16" s="110">
        <v>2711987733</v>
      </c>
      <c r="D16" s="110">
        <v>4171860320</v>
      </c>
      <c r="E16" s="110">
        <v>0</v>
      </c>
      <c r="F16" s="110">
        <v>0</v>
      </c>
      <c r="G16" s="110">
        <v>0</v>
      </c>
      <c r="H16" s="110">
        <v>0</v>
      </c>
      <c r="I16" s="110">
        <v>723642</v>
      </c>
      <c r="J16" s="110">
        <v>6140</v>
      </c>
      <c r="K16" s="110">
        <v>2711987733</v>
      </c>
      <c r="L16" s="110">
        <v>4408816242</v>
      </c>
      <c r="M16" s="110">
        <v>0.43</v>
      </c>
    </row>
    <row r="17" spans="1:13" ht="23.1" customHeight="1">
      <c r="A17" s="109" t="s">
        <v>30</v>
      </c>
      <c r="B17" s="110">
        <v>1596966</v>
      </c>
      <c r="C17" s="110">
        <v>17387096830</v>
      </c>
      <c r="D17" s="110">
        <v>17811145133</v>
      </c>
      <c r="E17" s="110">
        <v>827790</v>
      </c>
      <c r="F17" s="110">
        <v>11591122361</v>
      </c>
      <c r="G17" s="110">
        <v>331476</v>
      </c>
      <c r="H17" s="110">
        <v>4259263038</v>
      </c>
      <c r="I17" s="110">
        <v>2093280</v>
      </c>
      <c r="J17" s="110">
        <v>14200</v>
      </c>
      <c r="K17" s="110">
        <v>25144373676</v>
      </c>
      <c r="L17" s="110">
        <v>29494805031</v>
      </c>
      <c r="M17" s="110">
        <v>2.85</v>
      </c>
    </row>
    <row r="18" spans="1:13" ht="23.1" customHeight="1">
      <c r="A18" s="109" t="s">
        <v>31</v>
      </c>
      <c r="B18" s="110">
        <v>0</v>
      </c>
      <c r="C18" s="110">
        <v>0</v>
      </c>
      <c r="D18" s="110">
        <v>0</v>
      </c>
      <c r="E18" s="110">
        <v>10400000</v>
      </c>
      <c r="F18" s="110">
        <v>5318129700</v>
      </c>
      <c r="G18" s="110">
        <v>0</v>
      </c>
      <c r="H18" s="110">
        <v>0</v>
      </c>
      <c r="I18" s="110">
        <v>10400000</v>
      </c>
      <c r="J18" s="110">
        <v>590</v>
      </c>
      <c r="K18" s="110">
        <v>5318129700</v>
      </c>
      <c r="L18" s="110">
        <v>6088568720</v>
      </c>
      <c r="M18" s="110">
        <v>0.59</v>
      </c>
    </row>
    <row r="19" spans="1:13" ht="23.1" customHeight="1">
      <c r="A19" s="109" t="s">
        <v>32</v>
      </c>
      <c r="B19" s="110">
        <v>4764598</v>
      </c>
      <c r="C19" s="110">
        <v>19655179091</v>
      </c>
      <c r="D19" s="110">
        <v>24740408155</v>
      </c>
      <c r="E19" s="110">
        <v>1408089</v>
      </c>
      <c r="F19" s="110">
        <v>8067901542</v>
      </c>
      <c r="G19" s="110">
        <v>654066</v>
      </c>
      <c r="H19" s="110">
        <v>3689360632</v>
      </c>
      <c r="I19" s="110">
        <v>5518621</v>
      </c>
      <c r="J19" s="110">
        <v>6250</v>
      </c>
      <c r="K19" s="110">
        <v>24916120903</v>
      </c>
      <c r="L19" s="110">
        <v>34224762876</v>
      </c>
      <c r="M19" s="110">
        <v>3.31</v>
      </c>
    </row>
    <row r="20" spans="1:13" ht="23.1" customHeight="1">
      <c r="A20" s="109" t="s">
        <v>33</v>
      </c>
      <c r="B20" s="110">
        <v>273620</v>
      </c>
      <c r="C20" s="110">
        <v>17405757891</v>
      </c>
      <c r="D20" s="110">
        <v>17769996847</v>
      </c>
      <c r="E20" s="110">
        <v>313323</v>
      </c>
      <c r="F20" s="110">
        <v>23496127009</v>
      </c>
      <c r="G20" s="110">
        <v>97853</v>
      </c>
      <c r="H20" s="110">
        <v>7832066913</v>
      </c>
      <c r="I20" s="110">
        <v>489090</v>
      </c>
      <c r="J20" s="110">
        <v>83970</v>
      </c>
      <c r="K20" s="110">
        <v>34163282689</v>
      </c>
      <c r="L20" s="110">
        <v>40751424805</v>
      </c>
      <c r="M20" s="110">
        <v>3.94</v>
      </c>
    </row>
    <row r="21" spans="1:13" ht="23.1" customHeight="1">
      <c r="A21" s="109" t="s">
        <v>34</v>
      </c>
      <c r="B21" s="110">
        <v>3582531</v>
      </c>
      <c r="C21" s="110">
        <v>6441580722</v>
      </c>
      <c r="D21" s="110">
        <v>6611998749</v>
      </c>
      <c r="E21" s="110">
        <v>0</v>
      </c>
      <c r="F21" s="110">
        <v>0</v>
      </c>
      <c r="G21" s="110">
        <v>617109</v>
      </c>
      <c r="H21" s="110">
        <v>1465950149</v>
      </c>
      <c r="I21" s="110">
        <v>2965422</v>
      </c>
      <c r="J21" s="110">
        <v>2401</v>
      </c>
      <c r="K21" s="110">
        <v>5331986014</v>
      </c>
      <c r="L21" s="110">
        <v>7064940793</v>
      </c>
      <c r="M21" s="110">
        <v>0.68</v>
      </c>
    </row>
    <row r="22" spans="1:13" ht="23.1" customHeight="1">
      <c r="A22" s="109" t="s">
        <v>35</v>
      </c>
      <c r="B22" s="110">
        <v>135256</v>
      </c>
      <c r="C22" s="110">
        <v>12256731196</v>
      </c>
      <c r="D22" s="110">
        <v>11716574132</v>
      </c>
      <c r="E22" s="110">
        <v>0</v>
      </c>
      <c r="F22" s="110">
        <v>0</v>
      </c>
      <c r="G22" s="110">
        <v>20129</v>
      </c>
      <c r="H22" s="110">
        <v>1977167154</v>
      </c>
      <c r="I22" s="110">
        <v>115127</v>
      </c>
      <c r="J22" s="110">
        <v>98990</v>
      </c>
      <c r="K22" s="110">
        <v>10432666147</v>
      </c>
      <c r="L22" s="110">
        <v>11308327395</v>
      </c>
      <c r="M22" s="110">
        <v>1.0900000000000001</v>
      </c>
    </row>
    <row r="23" spans="1:13" ht="23.1" customHeight="1">
      <c r="A23" s="109" t="s">
        <v>36</v>
      </c>
      <c r="B23" s="110">
        <v>52142</v>
      </c>
      <c r="C23" s="110">
        <v>14940141985</v>
      </c>
      <c r="D23" s="110">
        <v>15506161022</v>
      </c>
      <c r="E23" s="110">
        <v>50000</v>
      </c>
      <c r="F23" s="110">
        <v>19806123318</v>
      </c>
      <c r="G23" s="110">
        <v>4965</v>
      </c>
      <c r="H23" s="110">
        <v>1482332824</v>
      </c>
      <c r="I23" s="110">
        <v>97177</v>
      </c>
      <c r="J23" s="110">
        <v>395070</v>
      </c>
      <c r="K23" s="110">
        <v>33323653877</v>
      </c>
      <c r="L23" s="110">
        <v>38094949419</v>
      </c>
      <c r="M23" s="110">
        <v>3.68</v>
      </c>
    </row>
    <row r="24" spans="1:13" ht="23.1" customHeight="1">
      <c r="A24" s="109" t="s">
        <v>37</v>
      </c>
      <c r="B24" s="110">
        <v>444616</v>
      </c>
      <c r="C24" s="110">
        <v>2273470249</v>
      </c>
      <c r="D24" s="110">
        <v>2519132769</v>
      </c>
      <c r="E24" s="110">
        <v>0</v>
      </c>
      <c r="F24" s="110">
        <v>0</v>
      </c>
      <c r="G24" s="110">
        <v>0</v>
      </c>
      <c r="H24" s="110">
        <v>0</v>
      </c>
      <c r="I24" s="110">
        <v>444616</v>
      </c>
      <c r="J24" s="110">
        <v>6920</v>
      </c>
      <c r="K24" s="110">
        <v>2273470249</v>
      </c>
      <c r="L24" s="110">
        <v>3052959503</v>
      </c>
      <c r="M24" s="110">
        <v>0.28999999999999998</v>
      </c>
    </row>
    <row r="25" spans="1:13" ht="23.1" customHeight="1">
      <c r="A25" s="109" t="s">
        <v>38</v>
      </c>
      <c r="B25" s="110">
        <v>17353992</v>
      </c>
      <c r="C25" s="110">
        <v>9232938415</v>
      </c>
      <c r="D25" s="110">
        <v>9229837267</v>
      </c>
      <c r="E25" s="110">
        <v>29821426</v>
      </c>
      <c r="F25" s="110">
        <v>17945160333</v>
      </c>
      <c r="G25" s="110">
        <v>3717891</v>
      </c>
      <c r="H25" s="110">
        <v>2291874085</v>
      </c>
      <c r="I25" s="110">
        <v>43457527</v>
      </c>
      <c r="J25" s="110">
        <v>622</v>
      </c>
      <c r="K25" s="110">
        <v>25036194913</v>
      </c>
      <c r="L25" s="110">
        <v>26821635401</v>
      </c>
      <c r="M25" s="110">
        <v>2.59</v>
      </c>
    </row>
    <row r="26" spans="1:13" ht="23.1" customHeight="1">
      <c r="A26" s="109" t="s">
        <v>39</v>
      </c>
      <c r="B26" s="110">
        <v>10683104</v>
      </c>
      <c r="C26" s="110">
        <v>42912953384</v>
      </c>
      <c r="D26" s="110">
        <v>32543607475</v>
      </c>
      <c r="E26" s="110">
        <v>10028710</v>
      </c>
      <c r="F26" s="110">
        <v>36683785520</v>
      </c>
      <c r="G26" s="110">
        <v>481321</v>
      </c>
      <c r="H26" s="110">
        <v>1482704946</v>
      </c>
      <c r="I26" s="110">
        <v>20230493</v>
      </c>
      <c r="J26" s="110">
        <v>3874</v>
      </c>
      <c r="K26" s="110">
        <v>77663320898</v>
      </c>
      <c r="L26" s="110">
        <v>77767107138</v>
      </c>
      <c r="M26" s="110">
        <v>7.51</v>
      </c>
    </row>
    <row r="27" spans="1:13" ht="23.1" customHeight="1">
      <c r="A27" s="109" t="s">
        <v>40</v>
      </c>
      <c r="B27" s="110">
        <v>729152</v>
      </c>
      <c r="C27" s="110">
        <v>4069222919</v>
      </c>
      <c r="D27" s="110">
        <v>4218096271</v>
      </c>
      <c r="E27" s="110">
        <v>0</v>
      </c>
      <c r="F27" s="110">
        <v>0</v>
      </c>
      <c r="G27" s="110">
        <v>84719</v>
      </c>
      <c r="H27" s="110">
        <v>494297046</v>
      </c>
      <c r="I27" s="110">
        <v>644433</v>
      </c>
      <c r="J27" s="110">
        <v>7120</v>
      </c>
      <c r="K27" s="110">
        <v>3596426442</v>
      </c>
      <c r="L27" s="110">
        <v>4552894919</v>
      </c>
      <c r="M27" s="110">
        <v>0.44</v>
      </c>
    </row>
    <row r="28" spans="1:13" ht="23.1" customHeight="1">
      <c r="A28" s="109" t="s">
        <v>41</v>
      </c>
      <c r="B28" s="110">
        <v>1054588</v>
      </c>
      <c r="C28" s="110">
        <v>7673914766</v>
      </c>
      <c r="D28" s="110">
        <v>7733162300</v>
      </c>
      <c r="E28" s="110">
        <v>0</v>
      </c>
      <c r="F28" s="110">
        <v>0</v>
      </c>
      <c r="G28" s="110">
        <v>0</v>
      </c>
      <c r="H28" s="110">
        <v>0</v>
      </c>
      <c r="I28" s="110">
        <v>1054588</v>
      </c>
      <c r="J28" s="110">
        <v>10160</v>
      </c>
      <c r="K28" s="110">
        <v>7673914766</v>
      </c>
      <c r="L28" s="110">
        <v>10631790116</v>
      </c>
      <c r="M28" s="110">
        <v>1.03</v>
      </c>
    </row>
    <row r="29" spans="1:13" ht="23.1" customHeight="1">
      <c r="A29" s="109" t="s">
        <v>42</v>
      </c>
      <c r="B29" s="110">
        <v>2089024</v>
      </c>
      <c r="C29" s="110">
        <v>7918694489</v>
      </c>
      <c r="D29" s="110">
        <v>9039811560</v>
      </c>
      <c r="E29" s="110">
        <v>0</v>
      </c>
      <c r="F29" s="110">
        <v>0</v>
      </c>
      <c r="G29" s="110">
        <v>176076</v>
      </c>
      <c r="H29" s="110">
        <v>830420076</v>
      </c>
      <c r="I29" s="110">
        <v>1912948</v>
      </c>
      <c r="J29" s="110">
        <v>4939</v>
      </c>
      <c r="K29" s="110">
        <v>7251257422</v>
      </c>
      <c r="L29" s="110">
        <v>9375016748</v>
      </c>
      <c r="M29" s="110">
        <v>0.91</v>
      </c>
    </row>
    <row r="30" spans="1:13" ht="23.1" customHeight="1">
      <c r="A30" s="109" t="s">
        <v>43</v>
      </c>
      <c r="B30" s="110">
        <v>1035726</v>
      </c>
      <c r="C30" s="110">
        <v>15465458119</v>
      </c>
      <c r="D30" s="110">
        <v>14090038982</v>
      </c>
      <c r="E30" s="110">
        <v>667775</v>
      </c>
      <c r="F30" s="110">
        <v>0</v>
      </c>
      <c r="G30" s="110">
        <v>182659</v>
      </c>
      <c r="H30" s="110">
        <v>2471592441</v>
      </c>
      <c r="I30" s="110">
        <v>1520842</v>
      </c>
      <c r="J30" s="110">
        <v>6020</v>
      </c>
      <c r="K30" s="110">
        <v>6692544181</v>
      </c>
      <c r="L30" s="110">
        <v>9084697068</v>
      </c>
      <c r="M30" s="110">
        <v>0.88</v>
      </c>
    </row>
    <row r="31" spans="1:13" ht="23.1" customHeight="1">
      <c r="A31" s="109" t="s">
        <v>44</v>
      </c>
      <c r="B31" s="110">
        <v>2801842</v>
      </c>
      <c r="C31" s="110">
        <v>13305387616</v>
      </c>
      <c r="D31" s="110">
        <v>13219773789</v>
      </c>
      <c r="E31" s="110">
        <v>1305225</v>
      </c>
      <c r="F31" s="110">
        <v>6821398330</v>
      </c>
      <c r="G31" s="110">
        <v>714642</v>
      </c>
      <c r="H31" s="110">
        <v>3650010256</v>
      </c>
      <c r="I31" s="110">
        <v>3392425</v>
      </c>
      <c r="J31" s="110">
        <v>5500</v>
      </c>
      <c r="K31" s="110">
        <v>16667368631</v>
      </c>
      <c r="L31" s="110">
        <v>18514108554</v>
      </c>
      <c r="M31" s="110">
        <v>1.79</v>
      </c>
    </row>
    <row r="32" spans="1:13" ht="23.1" customHeight="1">
      <c r="A32" s="109" t="s">
        <v>45</v>
      </c>
      <c r="B32" s="110">
        <v>3515834</v>
      </c>
      <c r="C32" s="110">
        <v>9652458878</v>
      </c>
      <c r="D32" s="110">
        <v>8651868379</v>
      </c>
      <c r="E32" s="110">
        <v>1200000</v>
      </c>
      <c r="F32" s="110">
        <v>3802101850</v>
      </c>
      <c r="G32" s="110">
        <v>405991</v>
      </c>
      <c r="H32" s="110">
        <v>985975086</v>
      </c>
      <c r="I32" s="110">
        <v>4309843</v>
      </c>
      <c r="J32" s="110">
        <v>3082</v>
      </c>
      <c r="K32" s="110">
        <v>12339942850</v>
      </c>
      <c r="L32" s="110">
        <v>13180259033</v>
      </c>
      <c r="M32" s="110">
        <v>1.27</v>
      </c>
    </row>
    <row r="33" spans="1:13" ht="23.1" customHeight="1">
      <c r="A33" s="109" t="s">
        <v>46</v>
      </c>
      <c r="B33" s="110">
        <v>130253</v>
      </c>
      <c r="C33" s="110">
        <v>3880795746</v>
      </c>
      <c r="D33" s="110">
        <v>3125171773</v>
      </c>
      <c r="E33" s="110">
        <v>0</v>
      </c>
      <c r="F33" s="110">
        <v>0</v>
      </c>
      <c r="G33" s="110">
        <v>0</v>
      </c>
      <c r="H33" s="110">
        <v>0</v>
      </c>
      <c r="I33" s="110">
        <v>130253</v>
      </c>
      <c r="J33" s="110">
        <v>30430</v>
      </c>
      <c r="K33" s="110">
        <v>3880795746</v>
      </c>
      <c r="L33" s="110">
        <v>3932960177</v>
      </c>
      <c r="M33" s="110">
        <v>0.38</v>
      </c>
    </row>
    <row r="34" spans="1:13" ht="23.1" customHeight="1">
      <c r="A34" s="109" t="s">
        <v>47</v>
      </c>
      <c r="B34" s="110">
        <v>30800130</v>
      </c>
      <c r="C34" s="110">
        <v>38430946764</v>
      </c>
      <c r="D34" s="110">
        <v>36491081728</v>
      </c>
      <c r="E34" s="110">
        <v>0</v>
      </c>
      <c r="F34" s="110">
        <v>0</v>
      </c>
      <c r="G34" s="110">
        <v>7600000</v>
      </c>
      <c r="H34" s="110">
        <v>9981698636</v>
      </c>
      <c r="I34" s="110">
        <v>23200130</v>
      </c>
      <c r="J34" s="110">
        <v>1474</v>
      </c>
      <c r="K34" s="110">
        <v>28948025900</v>
      </c>
      <c r="L34" s="110">
        <v>33932648878</v>
      </c>
      <c r="M34" s="110">
        <v>3.28</v>
      </c>
    </row>
    <row r="35" spans="1:13" ht="23.1" customHeight="1">
      <c r="A35" s="109" t="s">
        <v>48</v>
      </c>
      <c r="B35" s="110">
        <v>525145</v>
      </c>
      <c r="C35" s="110">
        <v>7743858800</v>
      </c>
      <c r="D35" s="110">
        <v>7071131991</v>
      </c>
      <c r="E35" s="110">
        <v>0</v>
      </c>
      <c r="F35" s="110">
        <v>0</v>
      </c>
      <c r="G35" s="110">
        <v>0</v>
      </c>
      <c r="H35" s="110">
        <v>0</v>
      </c>
      <c r="I35" s="110">
        <v>525145</v>
      </c>
      <c r="J35" s="110">
        <v>15200</v>
      </c>
      <c r="K35" s="110">
        <v>7739012532</v>
      </c>
      <c r="L35" s="110">
        <v>7920501565</v>
      </c>
      <c r="M35" s="110">
        <v>0.76</v>
      </c>
    </row>
    <row r="36" spans="1:13" ht="23.1" customHeight="1">
      <c r="A36" s="109" t="s">
        <v>49</v>
      </c>
      <c r="B36" s="110">
        <v>3678177</v>
      </c>
      <c r="C36" s="110">
        <v>12924473586</v>
      </c>
      <c r="D36" s="110">
        <v>15077496339</v>
      </c>
      <c r="E36" s="110">
        <v>240149</v>
      </c>
      <c r="F36" s="110">
        <v>1128813414</v>
      </c>
      <c r="G36" s="110">
        <v>149579</v>
      </c>
      <c r="H36" s="110">
        <v>954358332</v>
      </c>
      <c r="I36" s="110">
        <v>3768747</v>
      </c>
      <c r="J36" s="110">
        <v>6470</v>
      </c>
      <c r="K36" s="110">
        <v>13516813869</v>
      </c>
      <c r="L36" s="110">
        <v>24195306372</v>
      </c>
      <c r="M36" s="110">
        <v>2.34</v>
      </c>
    </row>
    <row r="37" spans="1:13" ht="23.1" customHeight="1">
      <c r="A37" s="109" t="s">
        <v>50</v>
      </c>
      <c r="B37" s="110">
        <v>1381938</v>
      </c>
      <c r="C37" s="110">
        <v>2411829156</v>
      </c>
      <c r="D37" s="110">
        <v>2320164511</v>
      </c>
      <c r="E37" s="110">
        <v>0</v>
      </c>
      <c r="F37" s="110">
        <v>0</v>
      </c>
      <c r="G37" s="110">
        <v>114451</v>
      </c>
      <c r="H37" s="110">
        <v>197718922</v>
      </c>
      <c r="I37" s="110">
        <v>1267487</v>
      </c>
      <c r="J37" s="110">
        <v>1832</v>
      </c>
      <c r="K37" s="110">
        <v>2212083394</v>
      </c>
      <c r="L37" s="110">
        <v>2304086848</v>
      </c>
      <c r="M37" s="110">
        <v>0.22</v>
      </c>
    </row>
    <row r="38" spans="1:13" ht="23.1" customHeight="1">
      <c r="A38" s="109" t="s">
        <v>51</v>
      </c>
      <c r="B38" s="110">
        <v>3652508</v>
      </c>
      <c r="C38" s="110">
        <v>8775321899</v>
      </c>
      <c r="D38" s="110">
        <v>7824807816</v>
      </c>
      <c r="E38" s="110">
        <v>2000000</v>
      </c>
      <c r="F38" s="110">
        <v>4779498726</v>
      </c>
      <c r="G38" s="110">
        <v>0</v>
      </c>
      <c r="H38" s="110">
        <v>0</v>
      </c>
      <c r="I38" s="110">
        <v>5652508</v>
      </c>
      <c r="J38" s="110">
        <v>2554</v>
      </c>
      <c r="K38" s="110">
        <v>13554820625</v>
      </c>
      <c r="L38" s="110">
        <v>14324911247</v>
      </c>
      <c r="M38" s="110">
        <v>1.38</v>
      </c>
    </row>
    <row r="39" spans="1:13" ht="23.1" customHeight="1">
      <c r="A39" s="109" t="s">
        <v>52</v>
      </c>
      <c r="B39" s="110">
        <v>10513272</v>
      </c>
      <c r="C39" s="110">
        <v>80059260647</v>
      </c>
      <c r="D39" s="110">
        <v>90967078437</v>
      </c>
      <c r="E39" s="110">
        <v>2100000</v>
      </c>
      <c r="F39" s="110">
        <v>22938946821</v>
      </c>
      <c r="G39" s="110">
        <v>1228597</v>
      </c>
      <c r="H39" s="110">
        <v>12264094450</v>
      </c>
      <c r="I39" s="110">
        <v>11384675</v>
      </c>
      <c r="J39" s="110">
        <v>11590</v>
      </c>
      <c r="K39" s="110">
        <v>93294550580</v>
      </c>
      <c r="L39" s="110">
        <v>130928422252</v>
      </c>
      <c r="M39" s="110">
        <v>12.64</v>
      </c>
    </row>
    <row r="40" spans="1:13" ht="23.1" customHeight="1">
      <c r="A40" s="109" t="s">
        <v>53</v>
      </c>
      <c r="B40" s="110">
        <v>4293355</v>
      </c>
      <c r="C40" s="110">
        <v>2354111858</v>
      </c>
      <c r="D40" s="110">
        <v>2185465862</v>
      </c>
      <c r="E40" s="110">
        <v>0</v>
      </c>
      <c r="F40" s="110">
        <v>0</v>
      </c>
      <c r="G40" s="110">
        <v>0</v>
      </c>
      <c r="H40" s="110">
        <v>0</v>
      </c>
      <c r="I40" s="110">
        <v>4293355</v>
      </c>
      <c r="J40" s="110">
        <v>582</v>
      </c>
      <c r="K40" s="110">
        <v>2354111858</v>
      </c>
      <c r="L40" s="110">
        <v>2479417411</v>
      </c>
      <c r="M40" s="110">
        <v>0.24</v>
      </c>
    </row>
    <row r="41" spans="1:13" ht="23.1" customHeight="1">
      <c r="A41" s="109" t="s">
        <v>54</v>
      </c>
      <c r="B41" s="110">
        <v>247769</v>
      </c>
      <c r="C41" s="110">
        <v>7344775603</v>
      </c>
      <c r="D41" s="110">
        <v>9467827748</v>
      </c>
      <c r="E41" s="110">
        <v>0</v>
      </c>
      <c r="F41" s="110">
        <v>0</v>
      </c>
      <c r="G41" s="110">
        <v>12560</v>
      </c>
      <c r="H41" s="110">
        <v>494279068</v>
      </c>
      <c r="I41" s="110">
        <v>235209</v>
      </c>
      <c r="J41" s="110">
        <v>35500</v>
      </c>
      <c r="K41" s="110">
        <v>6972451456</v>
      </c>
      <c r="L41" s="110">
        <v>8285374626</v>
      </c>
      <c r="M41" s="110">
        <v>0.8</v>
      </c>
    </row>
    <row r="42" spans="1:13" ht="23.1" customHeight="1">
      <c r="A42" s="109" t="s">
        <v>55</v>
      </c>
      <c r="B42" s="110">
        <v>10147395</v>
      </c>
      <c r="C42" s="110">
        <v>91209602824</v>
      </c>
      <c r="D42" s="110">
        <v>89513015614</v>
      </c>
      <c r="E42" s="110">
        <v>1900000</v>
      </c>
      <c r="F42" s="110">
        <v>19894047250</v>
      </c>
      <c r="G42" s="110">
        <v>799715</v>
      </c>
      <c r="H42" s="110">
        <v>7330801840</v>
      </c>
      <c r="I42" s="110">
        <v>11247680</v>
      </c>
      <c r="J42" s="110">
        <v>10430</v>
      </c>
      <c r="K42" s="110">
        <v>103869843518</v>
      </c>
      <c r="L42" s="110">
        <v>116406470574</v>
      </c>
      <c r="M42" s="110">
        <v>11.24</v>
      </c>
    </row>
    <row r="43" spans="1:13" ht="23.1" customHeight="1">
      <c r="A43" s="109" t="s">
        <v>56</v>
      </c>
      <c r="B43" s="110">
        <v>55958</v>
      </c>
      <c r="C43" s="110">
        <v>377600591</v>
      </c>
      <c r="D43" s="110">
        <v>369244210</v>
      </c>
      <c r="E43" s="110">
        <v>0</v>
      </c>
      <c r="F43" s="110">
        <v>0</v>
      </c>
      <c r="G43" s="110">
        <v>0</v>
      </c>
      <c r="H43" s="110">
        <v>0</v>
      </c>
      <c r="I43" s="110">
        <v>55958</v>
      </c>
      <c r="J43" s="110">
        <v>7440</v>
      </c>
      <c r="K43" s="110">
        <v>377600591</v>
      </c>
      <c r="L43" s="110">
        <v>413109313</v>
      </c>
      <c r="M43" s="110">
        <v>0.04</v>
      </c>
    </row>
    <row r="44" spans="1:13" ht="23.1" customHeight="1">
      <c r="A44" s="109" t="s">
        <v>57</v>
      </c>
      <c r="B44" s="110">
        <v>124379</v>
      </c>
      <c r="C44" s="110">
        <v>294690524</v>
      </c>
      <c r="D44" s="110">
        <v>293980609</v>
      </c>
      <c r="E44" s="110">
        <v>0</v>
      </c>
      <c r="F44" s="110">
        <v>0</v>
      </c>
      <c r="G44" s="110">
        <v>124379</v>
      </c>
      <c r="H44" s="110">
        <v>305090227</v>
      </c>
      <c r="I44" s="110">
        <v>0</v>
      </c>
      <c r="J44" s="110">
        <v>0</v>
      </c>
      <c r="K44" s="110">
        <v>0</v>
      </c>
      <c r="L44" s="110">
        <v>0</v>
      </c>
      <c r="M44" s="110">
        <v>0</v>
      </c>
    </row>
    <row r="45" spans="1:13" ht="23.1" customHeight="1">
      <c r="A45" s="109" t="s">
        <v>58</v>
      </c>
      <c r="B45" s="110">
        <v>111985</v>
      </c>
      <c r="C45" s="110">
        <v>7948053640</v>
      </c>
      <c r="D45" s="110">
        <v>4967035214</v>
      </c>
      <c r="E45" s="110">
        <v>89951</v>
      </c>
      <c r="F45" s="110">
        <v>4994757044</v>
      </c>
      <c r="G45" s="110">
        <v>35654</v>
      </c>
      <c r="H45" s="110">
        <v>1977238859</v>
      </c>
      <c r="I45" s="110">
        <v>166282</v>
      </c>
      <c r="J45" s="110">
        <v>60950</v>
      </c>
      <c r="K45" s="110">
        <v>10590947657</v>
      </c>
      <c r="L45" s="110">
        <v>10056545221</v>
      </c>
      <c r="M45" s="110">
        <v>0.97</v>
      </c>
    </row>
    <row r="46" spans="1:13" ht="23.1" customHeight="1">
      <c r="A46" s="109" t="s">
        <v>59</v>
      </c>
      <c r="B46" s="110">
        <v>842880</v>
      </c>
      <c r="C46" s="110">
        <v>5869156102</v>
      </c>
      <c r="D46" s="110">
        <v>5837824474</v>
      </c>
      <c r="E46" s="110">
        <v>0</v>
      </c>
      <c r="F46" s="110">
        <v>0</v>
      </c>
      <c r="G46" s="110">
        <v>71164</v>
      </c>
      <c r="H46" s="110">
        <v>494297325</v>
      </c>
      <c r="I46" s="110">
        <v>771716</v>
      </c>
      <c r="J46" s="110">
        <v>8820</v>
      </c>
      <c r="K46" s="110">
        <v>5373625748</v>
      </c>
      <c r="L46" s="110">
        <v>6753920606</v>
      </c>
      <c r="M46" s="110">
        <v>0.65</v>
      </c>
    </row>
    <row r="47" spans="1:13" ht="23.1" customHeight="1">
      <c r="A47" s="109" t="s">
        <v>60</v>
      </c>
      <c r="B47" s="110">
        <v>99002</v>
      </c>
      <c r="C47" s="110">
        <v>3808219970</v>
      </c>
      <c r="D47" s="110">
        <v>3528662789</v>
      </c>
      <c r="E47" s="110">
        <v>288740</v>
      </c>
      <c r="F47" s="110">
        <v>11850926965</v>
      </c>
      <c r="G47" s="110">
        <v>44260</v>
      </c>
      <c r="H47" s="110">
        <v>1977182530</v>
      </c>
      <c r="I47" s="110">
        <v>343482</v>
      </c>
      <c r="J47" s="110">
        <v>45020</v>
      </c>
      <c r="K47" s="110">
        <v>13871685573</v>
      </c>
      <c r="L47" s="110">
        <v>15344026327</v>
      </c>
      <c r="M47" s="110">
        <v>1.48</v>
      </c>
    </row>
    <row r="48" spans="1:13" ht="23.1" customHeight="1">
      <c r="A48" s="109" t="s">
        <v>61</v>
      </c>
      <c r="B48" s="110">
        <v>5896323</v>
      </c>
      <c r="C48" s="110">
        <v>12786623063</v>
      </c>
      <c r="D48" s="110">
        <v>12760473590</v>
      </c>
      <c r="E48" s="110">
        <v>0</v>
      </c>
      <c r="F48" s="110">
        <v>0</v>
      </c>
      <c r="G48" s="110">
        <v>861675</v>
      </c>
      <c r="H48" s="110">
        <v>2036983209</v>
      </c>
      <c r="I48" s="110">
        <v>5034648</v>
      </c>
      <c r="J48" s="110">
        <v>2642</v>
      </c>
      <c r="K48" s="110">
        <v>10918015555</v>
      </c>
      <c r="L48" s="110">
        <v>13198719115</v>
      </c>
      <c r="M48" s="110">
        <v>1.27</v>
      </c>
    </row>
    <row r="49" spans="1:13" ht="23.1" customHeight="1">
      <c r="A49" s="109" t="s">
        <v>62</v>
      </c>
      <c r="B49" s="110">
        <v>971290</v>
      </c>
      <c r="C49" s="110">
        <v>11834297512</v>
      </c>
      <c r="D49" s="110">
        <v>11787052988</v>
      </c>
      <c r="E49" s="110">
        <v>0</v>
      </c>
      <c r="F49" s="110">
        <v>0</v>
      </c>
      <c r="G49" s="110">
        <v>68000</v>
      </c>
      <c r="H49" s="110">
        <v>1031643277</v>
      </c>
      <c r="I49" s="110">
        <v>903290</v>
      </c>
      <c r="J49" s="110">
        <v>15330</v>
      </c>
      <c r="K49" s="110">
        <v>11005778500</v>
      </c>
      <c r="L49" s="110">
        <v>13740395025</v>
      </c>
      <c r="M49" s="110">
        <v>1.33</v>
      </c>
    </row>
    <row r="50" spans="1:13" ht="23.1" customHeight="1">
      <c r="A50" s="109" t="s">
        <v>63</v>
      </c>
      <c r="B50" s="110">
        <v>663377</v>
      </c>
      <c r="C50" s="110">
        <v>3711491175</v>
      </c>
      <c r="D50" s="110">
        <v>3046376821</v>
      </c>
      <c r="E50" s="110">
        <v>0</v>
      </c>
      <c r="F50" s="110">
        <v>0</v>
      </c>
      <c r="G50" s="110">
        <v>0</v>
      </c>
      <c r="H50" s="110">
        <v>0</v>
      </c>
      <c r="I50" s="110">
        <v>663377</v>
      </c>
      <c r="J50" s="110">
        <v>5750</v>
      </c>
      <c r="K50" s="110">
        <v>3711491175</v>
      </c>
      <c r="L50" s="110">
        <v>3784932304</v>
      </c>
      <c r="M50" s="110">
        <v>0.37</v>
      </c>
    </row>
    <row r="51" spans="1:13" ht="23.1" customHeight="1">
      <c r="A51" s="109" t="s">
        <v>64</v>
      </c>
      <c r="B51" s="110">
        <v>1142066</v>
      </c>
      <c r="C51" s="110">
        <v>5421843952</v>
      </c>
      <c r="D51" s="110">
        <v>5152832416</v>
      </c>
      <c r="E51" s="110">
        <v>0</v>
      </c>
      <c r="F51" s="110">
        <v>0</v>
      </c>
      <c r="G51" s="110">
        <v>0</v>
      </c>
      <c r="H51" s="110">
        <v>0</v>
      </c>
      <c r="I51" s="110">
        <v>1142066</v>
      </c>
      <c r="J51" s="110">
        <v>5300</v>
      </c>
      <c r="K51" s="110">
        <v>5421843952</v>
      </c>
      <c r="L51" s="110">
        <v>6006160501</v>
      </c>
      <c r="M51" s="110">
        <v>0.57999999999999996</v>
      </c>
    </row>
    <row r="52" spans="1:13" ht="23.1" customHeight="1">
      <c r="A52" s="109" t="s">
        <v>65</v>
      </c>
      <c r="B52" s="110">
        <v>453000</v>
      </c>
      <c r="C52" s="110">
        <v>214839805</v>
      </c>
      <c r="D52" s="110">
        <v>213062203</v>
      </c>
      <c r="E52" s="110">
        <v>0</v>
      </c>
      <c r="F52" s="110">
        <v>0</v>
      </c>
      <c r="G52" s="110">
        <v>453000</v>
      </c>
      <c r="H52" s="110">
        <v>222444296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</row>
    <row r="53" spans="1:13" ht="23.1" customHeight="1">
      <c r="A53" s="109" t="s">
        <v>66</v>
      </c>
      <c r="B53" s="110">
        <v>110663</v>
      </c>
      <c r="C53" s="110">
        <v>8253912625</v>
      </c>
      <c r="D53" s="110">
        <v>9604868589</v>
      </c>
      <c r="E53" s="110">
        <v>0</v>
      </c>
      <c r="F53" s="110">
        <v>0</v>
      </c>
      <c r="G53" s="110">
        <v>42312</v>
      </c>
      <c r="H53" s="110">
        <v>3753412125</v>
      </c>
      <c r="I53" s="110">
        <v>68351</v>
      </c>
      <c r="J53" s="110">
        <v>90030</v>
      </c>
      <c r="K53" s="110">
        <v>5098028987</v>
      </c>
      <c r="L53" s="110">
        <v>6106072893</v>
      </c>
      <c r="M53" s="110">
        <v>0.59</v>
      </c>
    </row>
    <row r="54" spans="1:13" ht="23.1" customHeight="1">
      <c r="A54" s="109" t="s">
        <v>67</v>
      </c>
      <c r="B54" s="110">
        <v>932359</v>
      </c>
      <c r="C54" s="110">
        <v>5422533580</v>
      </c>
      <c r="D54" s="110">
        <v>5550911193</v>
      </c>
      <c r="E54" s="110">
        <v>0</v>
      </c>
      <c r="F54" s="110">
        <v>0</v>
      </c>
      <c r="G54" s="110">
        <v>98642</v>
      </c>
      <c r="H54" s="110">
        <v>593149768</v>
      </c>
      <c r="I54" s="110">
        <v>833717</v>
      </c>
      <c r="J54" s="110">
        <v>6050</v>
      </c>
      <c r="K54" s="110">
        <v>4848838729</v>
      </c>
      <c r="L54" s="110">
        <v>5004997828</v>
      </c>
      <c r="M54" s="110">
        <v>0.48</v>
      </c>
    </row>
    <row r="55" spans="1:13" ht="23.1" customHeight="1">
      <c r="A55" s="109" t="s">
        <v>68</v>
      </c>
      <c r="B55" s="110">
        <v>1206535</v>
      </c>
      <c r="C55" s="110">
        <v>8159719985</v>
      </c>
      <c r="D55" s="110">
        <v>9182589078</v>
      </c>
      <c r="E55" s="110">
        <v>0</v>
      </c>
      <c r="F55" s="110">
        <v>0</v>
      </c>
      <c r="G55" s="110">
        <v>394005</v>
      </c>
      <c r="H55" s="110">
        <v>3375185229</v>
      </c>
      <c r="I55" s="110">
        <v>812530</v>
      </c>
      <c r="J55" s="110">
        <v>8980</v>
      </c>
      <c r="K55" s="110">
        <v>5495089061</v>
      </c>
      <c r="L55" s="110">
        <v>7240117308</v>
      </c>
      <c r="M55" s="110">
        <v>0.7</v>
      </c>
    </row>
    <row r="56" spans="1:13" ht="23.1" customHeight="1">
      <c r="A56" s="109" t="s">
        <v>69</v>
      </c>
      <c r="B56" s="110">
        <v>0</v>
      </c>
      <c r="C56" s="110">
        <v>0</v>
      </c>
      <c r="D56" s="110">
        <v>0</v>
      </c>
      <c r="E56" s="110">
        <v>8193454</v>
      </c>
      <c r="F56" s="110">
        <v>14981700527</v>
      </c>
      <c r="G56" s="110">
        <v>1540013</v>
      </c>
      <c r="H56" s="110">
        <v>2857109655</v>
      </c>
      <c r="I56" s="110">
        <v>6653441</v>
      </c>
      <c r="J56" s="110">
        <v>1883</v>
      </c>
      <c r="K56" s="110">
        <v>12165792416</v>
      </c>
      <c r="L56" s="110">
        <v>12431584647</v>
      </c>
      <c r="M56" s="110">
        <v>1.2</v>
      </c>
    </row>
    <row r="57" spans="1:13" ht="23.1" customHeight="1">
      <c r="A57" s="109" t="s">
        <v>70</v>
      </c>
      <c r="B57" s="110">
        <v>17882992</v>
      </c>
      <c r="C57" s="110">
        <v>9769584033</v>
      </c>
      <c r="D57" s="110">
        <v>6139685743</v>
      </c>
      <c r="E57" s="110">
        <v>8400000</v>
      </c>
      <c r="F57" s="110">
        <v>3444752299</v>
      </c>
      <c r="G57" s="110">
        <v>8237547</v>
      </c>
      <c r="H57" s="110">
        <v>3485951514</v>
      </c>
      <c r="I57" s="110">
        <v>18045445</v>
      </c>
      <c r="J57" s="110">
        <v>425</v>
      </c>
      <c r="K57" s="110">
        <v>9072733405</v>
      </c>
      <c r="L57" s="110">
        <v>7610030330</v>
      </c>
      <c r="M57" s="110">
        <v>0.73</v>
      </c>
    </row>
    <row r="58" spans="1:13" ht="23.1" customHeight="1">
      <c r="A58" s="109" t="s">
        <v>71</v>
      </c>
      <c r="B58" s="110">
        <v>0</v>
      </c>
      <c r="C58" s="110">
        <v>0</v>
      </c>
      <c r="D58" s="110">
        <v>0</v>
      </c>
      <c r="E58" s="110">
        <v>38217596</v>
      </c>
      <c r="F58" s="110">
        <v>22620280724</v>
      </c>
      <c r="G58" s="110">
        <v>6400000</v>
      </c>
      <c r="H58" s="110">
        <v>4235802287</v>
      </c>
      <c r="I58" s="110">
        <v>31817596</v>
      </c>
      <c r="J58" s="110">
        <v>667</v>
      </c>
      <c r="K58" s="110">
        <v>18832240350</v>
      </c>
      <c r="L58" s="110">
        <v>21058287873</v>
      </c>
      <c r="M58" s="110">
        <v>2.0299999999999998</v>
      </c>
    </row>
    <row r="59" spans="1:13" ht="23.1" customHeight="1">
      <c r="A59" s="109" t="s">
        <v>72</v>
      </c>
      <c r="B59" s="110">
        <v>136636</v>
      </c>
      <c r="C59" s="110">
        <v>9707621208</v>
      </c>
      <c r="D59" s="110">
        <v>6293614493</v>
      </c>
      <c r="E59" s="110">
        <v>0</v>
      </c>
      <c r="F59" s="110">
        <v>0</v>
      </c>
      <c r="G59" s="110">
        <v>10775</v>
      </c>
      <c r="H59" s="110">
        <v>494277738</v>
      </c>
      <c r="I59" s="110">
        <v>125861</v>
      </c>
      <c r="J59" s="110">
        <v>56790</v>
      </c>
      <c r="K59" s="110">
        <v>8942086367</v>
      </c>
      <c r="L59" s="110">
        <v>7092394888</v>
      </c>
      <c r="M59" s="110">
        <v>0.68</v>
      </c>
    </row>
    <row r="60" spans="1:13" ht="23.1" customHeight="1">
      <c r="A60" s="109" t="s">
        <v>73</v>
      </c>
      <c r="B60" s="110">
        <v>705578</v>
      </c>
      <c r="C60" s="110">
        <v>14853607436</v>
      </c>
      <c r="D60" s="110">
        <v>11531040341</v>
      </c>
      <c r="E60" s="110">
        <v>300000</v>
      </c>
      <c r="F60" s="110">
        <v>5507633331</v>
      </c>
      <c r="G60" s="110">
        <v>30245</v>
      </c>
      <c r="H60" s="110">
        <v>494284568</v>
      </c>
      <c r="I60" s="110">
        <v>975333</v>
      </c>
      <c r="J60" s="110">
        <v>21940</v>
      </c>
      <c r="K60" s="110">
        <v>19724532484</v>
      </c>
      <c r="L60" s="110">
        <v>21233393253</v>
      </c>
      <c r="M60" s="110">
        <v>2.0499999999999998</v>
      </c>
    </row>
    <row r="61" spans="1:13" ht="23.1" customHeight="1">
      <c r="A61" s="109" t="s">
        <v>74</v>
      </c>
      <c r="B61" s="110">
        <v>203474</v>
      </c>
      <c r="C61" s="110">
        <v>4480690843</v>
      </c>
      <c r="D61" s="110">
        <v>4185410759</v>
      </c>
      <c r="E61" s="110">
        <v>0</v>
      </c>
      <c r="F61" s="110">
        <v>0</v>
      </c>
      <c r="G61" s="110">
        <v>23972</v>
      </c>
      <c r="H61" s="110">
        <v>494287566</v>
      </c>
      <c r="I61" s="110">
        <v>179502</v>
      </c>
      <c r="J61" s="110">
        <v>26550</v>
      </c>
      <c r="K61" s="110">
        <v>3952804622</v>
      </c>
      <c r="L61" s="110">
        <v>4728938637</v>
      </c>
      <c r="M61" s="110">
        <v>0.46</v>
      </c>
    </row>
    <row r="62" spans="1:13" ht="23.1" customHeight="1">
      <c r="A62" s="109" t="s">
        <v>75</v>
      </c>
      <c r="B62" s="110">
        <v>0</v>
      </c>
      <c r="C62" s="110">
        <v>0</v>
      </c>
      <c r="D62" s="110">
        <v>0</v>
      </c>
      <c r="E62" s="110">
        <v>0</v>
      </c>
      <c r="F62" s="110">
        <v>0</v>
      </c>
      <c r="G62" s="110">
        <v>0</v>
      </c>
      <c r="H62" s="110">
        <v>0</v>
      </c>
      <c r="I62" s="110">
        <v>1777785</v>
      </c>
      <c r="J62" s="110">
        <v>5020</v>
      </c>
      <c r="K62" s="110">
        <v>6045450193</v>
      </c>
      <c r="L62" s="110">
        <v>8855494468</v>
      </c>
      <c r="M62" s="110">
        <v>0.86</v>
      </c>
    </row>
    <row r="63" spans="1:13" ht="23.1" customHeight="1">
      <c r="A63" s="109" t="s">
        <v>76</v>
      </c>
      <c r="B63" s="110">
        <v>400000</v>
      </c>
      <c r="C63" s="110">
        <v>1225135872</v>
      </c>
      <c r="D63" s="110">
        <v>1214538480</v>
      </c>
      <c r="E63" s="110">
        <v>0</v>
      </c>
      <c r="F63" s="110">
        <v>0</v>
      </c>
      <c r="G63" s="110">
        <v>400000</v>
      </c>
      <c r="H63" s="110">
        <v>1225135872</v>
      </c>
      <c r="I63" s="110">
        <v>0</v>
      </c>
      <c r="J63" s="110">
        <v>0</v>
      </c>
      <c r="K63" s="110">
        <v>0</v>
      </c>
      <c r="L63" s="110">
        <v>0</v>
      </c>
      <c r="M63" s="110">
        <v>0</v>
      </c>
    </row>
    <row r="64" spans="1:13" ht="23.1" customHeight="1">
      <c r="A64" s="109" t="s">
        <v>77</v>
      </c>
      <c r="B64" s="110">
        <v>4393838</v>
      </c>
      <c r="C64" s="110">
        <v>11695764034</v>
      </c>
      <c r="D64" s="110">
        <v>13594085989</v>
      </c>
      <c r="E64" s="110">
        <v>1611518</v>
      </c>
      <c r="F64" s="110">
        <v>5527708161</v>
      </c>
      <c r="G64" s="110">
        <v>816286</v>
      </c>
      <c r="H64" s="110">
        <v>2783117772</v>
      </c>
      <c r="I64" s="110">
        <v>5189070</v>
      </c>
      <c r="J64" s="110">
        <v>3650</v>
      </c>
      <c r="K64" s="110">
        <v>14941824310</v>
      </c>
      <c r="L64" s="110">
        <v>18793698488</v>
      </c>
      <c r="M64" s="110">
        <v>1.82</v>
      </c>
    </row>
    <row r="65" spans="1:13" ht="23.1" customHeight="1">
      <c r="A65" s="109" t="s">
        <v>78</v>
      </c>
      <c r="B65" s="110">
        <v>149083</v>
      </c>
      <c r="C65" s="110">
        <v>5427486603</v>
      </c>
      <c r="D65" s="110">
        <v>4554782823</v>
      </c>
      <c r="E65" s="110">
        <v>0</v>
      </c>
      <c r="F65" s="110">
        <v>0</v>
      </c>
      <c r="G65" s="110">
        <v>16052</v>
      </c>
      <c r="H65" s="110">
        <v>593017256</v>
      </c>
      <c r="I65" s="110">
        <v>133031</v>
      </c>
      <c r="J65" s="110">
        <v>41830</v>
      </c>
      <c r="K65" s="110">
        <v>4843100624</v>
      </c>
      <c r="L65" s="110">
        <v>5521671706</v>
      </c>
      <c r="M65" s="110">
        <v>0.53</v>
      </c>
    </row>
    <row r="66" spans="1:13" ht="23.1" customHeight="1">
      <c r="A66" s="109" t="s">
        <v>79</v>
      </c>
      <c r="B66" s="110">
        <v>116208</v>
      </c>
      <c r="C66" s="110">
        <v>742044539</v>
      </c>
      <c r="D66" s="110">
        <v>936314868</v>
      </c>
      <c r="E66" s="110">
        <v>0</v>
      </c>
      <c r="F66" s="110">
        <v>0</v>
      </c>
      <c r="G66" s="110">
        <v>0</v>
      </c>
      <c r="H66" s="110">
        <v>0</v>
      </c>
      <c r="I66" s="110">
        <v>116208</v>
      </c>
      <c r="J66" s="110">
        <v>9540</v>
      </c>
      <c r="K66" s="110">
        <v>742044539</v>
      </c>
      <c r="L66" s="110">
        <v>1100054657</v>
      </c>
      <c r="M66" s="110">
        <v>0.11</v>
      </c>
    </row>
    <row r="67" spans="1:13" ht="23.1" customHeight="1">
      <c r="A67" s="109" t="s">
        <v>80</v>
      </c>
      <c r="B67" s="110">
        <v>0</v>
      </c>
      <c r="C67" s="110">
        <v>0</v>
      </c>
      <c r="D67" s="110">
        <v>0</v>
      </c>
      <c r="E67" s="110">
        <v>1867884</v>
      </c>
      <c r="F67" s="110">
        <v>3421715246</v>
      </c>
      <c r="G67" s="110">
        <v>0</v>
      </c>
      <c r="H67" s="110">
        <v>0</v>
      </c>
      <c r="I67" s="110">
        <v>1867884</v>
      </c>
      <c r="J67" s="110">
        <v>1864</v>
      </c>
      <c r="K67" s="110">
        <v>3421715246</v>
      </c>
      <c r="L67" s="110">
        <v>3454821961</v>
      </c>
      <c r="M67" s="110">
        <v>0.33</v>
      </c>
    </row>
    <row r="68" spans="1:13" ht="23.1" customHeight="1">
      <c r="A68" s="109" t="s">
        <v>81</v>
      </c>
      <c r="B68" s="110">
        <v>175246</v>
      </c>
      <c r="C68" s="110">
        <v>3846711218</v>
      </c>
      <c r="D68" s="110">
        <v>4583775948</v>
      </c>
      <c r="E68" s="110">
        <v>0</v>
      </c>
      <c r="F68" s="110">
        <v>0</v>
      </c>
      <c r="G68" s="110">
        <v>11295</v>
      </c>
      <c r="H68" s="110">
        <v>296555473</v>
      </c>
      <c r="I68" s="110">
        <v>163951</v>
      </c>
      <c r="J68" s="110">
        <v>31150</v>
      </c>
      <c r="K68" s="110">
        <v>3598782003</v>
      </c>
      <c r="L68" s="110">
        <v>5067595974</v>
      </c>
      <c r="M68" s="110">
        <v>0.49</v>
      </c>
    </row>
    <row r="69" spans="1:13" ht="23.1" customHeight="1">
      <c r="A69" s="109" t="s">
        <v>82</v>
      </c>
      <c r="B69" s="110">
        <v>20927</v>
      </c>
      <c r="C69" s="110">
        <v>3746785943</v>
      </c>
      <c r="D69" s="110">
        <v>3823294940</v>
      </c>
      <c r="E69" s="110">
        <v>0</v>
      </c>
      <c r="F69" s="110">
        <v>0</v>
      </c>
      <c r="G69" s="110">
        <v>20927</v>
      </c>
      <c r="H69" s="110">
        <v>4257384163</v>
      </c>
      <c r="I69" s="110">
        <v>0</v>
      </c>
      <c r="J69" s="110">
        <v>0</v>
      </c>
      <c r="K69" s="110">
        <v>0</v>
      </c>
      <c r="L69" s="110">
        <v>0</v>
      </c>
      <c r="M69" s="110">
        <v>0</v>
      </c>
    </row>
    <row r="70" spans="1:13" ht="23.1" customHeight="1">
      <c r="A70" s="109" t="s">
        <v>83</v>
      </c>
      <c r="B70" s="110">
        <v>519620</v>
      </c>
      <c r="C70" s="110">
        <v>2735511469</v>
      </c>
      <c r="D70" s="110">
        <v>2717229591</v>
      </c>
      <c r="E70" s="110">
        <v>0</v>
      </c>
      <c r="F70" s="110">
        <v>0</v>
      </c>
      <c r="G70" s="110">
        <v>0</v>
      </c>
      <c r="H70" s="110">
        <v>0</v>
      </c>
      <c r="I70" s="110">
        <v>519620</v>
      </c>
      <c r="J70" s="110">
        <v>5710</v>
      </c>
      <c r="K70" s="110">
        <v>2735511469</v>
      </c>
      <c r="L70" s="110">
        <v>2944095061</v>
      </c>
      <c r="M70" s="110">
        <v>0.28000000000000003</v>
      </c>
    </row>
    <row r="71" spans="1:13" ht="23.1" customHeight="1">
      <c r="A71" s="109" t="s">
        <v>84</v>
      </c>
      <c r="B71" s="110">
        <v>1041868</v>
      </c>
      <c r="C71" s="110">
        <v>3120161865</v>
      </c>
      <c r="D71" s="110">
        <v>3369201003</v>
      </c>
      <c r="E71" s="110">
        <v>0</v>
      </c>
      <c r="F71" s="110">
        <v>0</v>
      </c>
      <c r="G71" s="110">
        <v>92507</v>
      </c>
      <c r="H71" s="110">
        <v>296339877</v>
      </c>
      <c r="I71" s="110">
        <v>949361</v>
      </c>
      <c r="J71" s="110">
        <v>4181</v>
      </c>
      <c r="K71" s="110">
        <v>2843124070</v>
      </c>
      <c r="L71" s="110">
        <v>3938595822</v>
      </c>
      <c r="M71" s="110">
        <v>0.38</v>
      </c>
    </row>
    <row r="72" spans="1:13" ht="23.1" customHeight="1">
      <c r="A72" s="109" t="s">
        <v>85</v>
      </c>
      <c r="B72" s="110">
        <v>17271457</v>
      </c>
      <c r="C72" s="110">
        <v>26854061995</v>
      </c>
      <c r="D72" s="110">
        <v>22827747588</v>
      </c>
      <c r="E72" s="110">
        <v>0</v>
      </c>
      <c r="F72" s="110">
        <v>0</v>
      </c>
      <c r="G72" s="110">
        <v>3153072</v>
      </c>
      <c r="H72" s="110">
        <v>5048967551</v>
      </c>
      <c r="I72" s="110">
        <v>14118385</v>
      </c>
      <c r="J72" s="110">
        <v>1715</v>
      </c>
      <c r="K72" s="110">
        <v>21951592506</v>
      </c>
      <c r="L72" s="110">
        <v>24025863555</v>
      </c>
      <c r="M72" s="110">
        <v>2.3199999999999998</v>
      </c>
    </row>
    <row r="73" spans="1:13" ht="23.1" customHeight="1">
      <c r="A73" s="109" t="s">
        <v>86</v>
      </c>
      <c r="B73" s="110">
        <v>121192</v>
      </c>
      <c r="C73" s="110">
        <v>10015803524</v>
      </c>
      <c r="D73" s="110">
        <v>11219808841</v>
      </c>
      <c r="E73" s="110">
        <v>28040</v>
      </c>
      <c r="F73" s="110">
        <v>3014975144</v>
      </c>
      <c r="G73" s="110">
        <v>121192</v>
      </c>
      <c r="H73" s="110">
        <v>11526459671</v>
      </c>
      <c r="I73" s="110">
        <v>28040</v>
      </c>
      <c r="J73" s="110">
        <v>100100</v>
      </c>
      <c r="K73" s="110">
        <v>3014975144</v>
      </c>
      <c r="L73" s="110">
        <v>2785107407</v>
      </c>
      <c r="M73" s="110">
        <v>0.27</v>
      </c>
    </row>
    <row r="74" spans="1:13" ht="23.1" customHeight="1">
      <c r="A74" s="109" t="s">
        <v>87</v>
      </c>
      <c r="B74" s="110">
        <v>50000</v>
      </c>
      <c r="C74" s="110">
        <v>49863800</v>
      </c>
      <c r="D74" s="110">
        <v>49613500</v>
      </c>
      <c r="E74" s="110">
        <v>0</v>
      </c>
      <c r="F74" s="110">
        <v>0</v>
      </c>
      <c r="G74" s="110">
        <v>0</v>
      </c>
      <c r="H74" s="110">
        <v>0</v>
      </c>
      <c r="I74" s="110">
        <v>50000</v>
      </c>
      <c r="J74" s="110">
        <v>1000</v>
      </c>
      <c r="K74" s="110">
        <v>49863800</v>
      </c>
      <c r="L74" s="110">
        <v>49613500</v>
      </c>
      <c r="M74" s="110">
        <v>0</v>
      </c>
    </row>
    <row r="75" spans="1:13" ht="23.1" customHeight="1" thickBot="1">
      <c r="A75" s="109" t="s">
        <v>88</v>
      </c>
      <c r="B75" s="110"/>
      <c r="C75" s="111">
        <v>703657941797</v>
      </c>
      <c r="D75" s="111">
        <v>686855167642</v>
      </c>
      <c r="E75" s="111"/>
      <c r="F75" s="111">
        <v>276894818906</v>
      </c>
      <c r="G75" s="111"/>
      <c r="H75" s="111">
        <v>129451732146</v>
      </c>
      <c r="I75" s="111"/>
      <c r="J75" s="111">
        <v>1407670</v>
      </c>
      <c r="K75" s="111">
        <v>860984859290</v>
      </c>
      <c r="L75" s="111">
        <v>1000652447506</v>
      </c>
      <c r="M75" s="111">
        <v>96.64</v>
      </c>
    </row>
    <row r="76" spans="1:13" ht="23.1" customHeight="1" thickTop="1">
      <c r="A76" s="19" t="s">
        <v>89</v>
      </c>
      <c r="B76" s="20"/>
      <c r="C76" s="21"/>
      <c r="D76" s="21"/>
      <c r="E76" s="21"/>
      <c r="F76" s="21"/>
      <c r="G76" s="21"/>
      <c r="H76" s="21"/>
      <c r="I76" s="20"/>
      <c r="J76" s="21"/>
      <c r="K76" s="21"/>
      <c r="L76" s="94"/>
      <c r="M76" s="21"/>
    </row>
  </sheetData>
  <mergeCells count="19">
    <mergeCell ref="B7:D7"/>
    <mergeCell ref="I7:M7"/>
    <mergeCell ref="D8:D9"/>
    <mergeCell ref="L8:L9"/>
    <mergeCell ref="J8:J9"/>
    <mergeCell ref="M8:M9"/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</mergeCells>
  <pageMargins left="0.7" right="0.7" top="0.75" bottom="0.75" header="0.3" footer="0.3"/>
  <pageSetup paperSize="9" scale="69" orientation="landscape" horizontalDpi="4294967295" verticalDpi="4294967295" r:id="rId1"/>
  <headerFooter differentOddEven="1"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rightToLeft="1" view="pageBreakPreview" zoomScale="106" zoomScaleNormal="100" zoomScaleSheetLayoutView="106" workbookViewId="0">
      <selection activeCell="F21" sqref="F21"/>
    </sheetView>
  </sheetViews>
  <sheetFormatPr defaultColWidth="9" defaultRowHeight="15.75"/>
  <cols>
    <col min="1" max="1" width="28.42578125" style="9" customWidth="1"/>
    <col min="2" max="2" width="15.42578125" style="9" customWidth="1"/>
    <col min="3" max="3" width="13.28515625" style="9" customWidth="1"/>
    <col min="4" max="4" width="16.7109375" style="9" customWidth="1"/>
    <col min="5" max="5" width="17" style="9" customWidth="1"/>
    <col min="6" max="6" width="13" style="9" customWidth="1"/>
    <col min="7" max="7" width="15.85546875" style="9" customWidth="1"/>
    <col min="8" max="8" width="16.42578125" style="9" bestFit="1" customWidth="1"/>
    <col min="9" max="10" width="13" style="9" customWidth="1"/>
    <col min="11" max="11" width="9" style="4" customWidth="1"/>
    <col min="12" max="16384" width="9" style="4"/>
  </cols>
  <sheetData>
    <row r="1" spans="1:10" ht="18">
      <c r="A1" s="67" t="s">
        <v>1</v>
      </c>
      <c r="B1" s="67"/>
      <c r="C1" s="67"/>
      <c r="D1" s="67"/>
      <c r="E1" s="67"/>
      <c r="F1" s="67"/>
      <c r="G1" s="67"/>
      <c r="H1" s="67"/>
      <c r="I1" s="67"/>
      <c r="J1" s="23"/>
    </row>
    <row r="2" spans="1:10" ht="18">
      <c r="A2" s="67" t="s">
        <v>6</v>
      </c>
      <c r="B2" s="67"/>
      <c r="C2" s="67"/>
      <c r="D2" s="67"/>
      <c r="E2" s="67"/>
      <c r="F2" s="67"/>
      <c r="G2" s="67"/>
      <c r="H2" s="67"/>
      <c r="I2" s="67"/>
      <c r="J2" s="23"/>
    </row>
    <row r="3" spans="1:10" ht="18">
      <c r="A3" s="67" t="s">
        <v>7</v>
      </c>
      <c r="B3" s="67"/>
      <c r="C3" s="67"/>
      <c r="D3" s="67"/>
      <c r="E3" s="67"/>
      <c r="F3" s="67"/>
      <c r="G3" s="67"/>
      <c r="H3" s="67"/>
      <c r="I3" s="67"/>
      <c r="J3" s="23"/>
    </row>
    <row r="4" spans="1:10" ht="18.75">
      <c r="A4" s="65" t="s">
        <v>93</v>
      </c>
      <c r="B4" s="66"/>
      <c r="C4" s="66"/>
      <c r="D4" s="66"/>
      <c r="E4" s="66"/>
      <c r="F4" s="66"/>
      <c r="G4" s="66"/>
      <c r="H4" s="66"/>
      <c r="I4" s="66"/>
      <c r="J4" s="23"/>
    </row>
    <row r="5" spans="1:10" ht="18">
      <c r="A5" s="23"/>
      <c r="B5" s="25"/>
      <c r="C5" s="25"/>
      <c r="D5" s="25"/>
      <c r="E5" s="25"/>
      <c r="F5" s="25"/>
      <c r="G5" s="25"/>
      <c r="H5" s="25"/>
      <c r="I5" s="23"/>
      <c r="J5" s="23"/>
    </row>
    <row r="6" spans="1:10" ht="18.75" customHeight="1">
      <c r="A6" s="5"/>
      <c r="B6" s="64" t="s">
        <v>94</v>
      </c>
      <c r="C6" s="53"/>
      <c r="D6" s="53"/>
      <c r="E6" s="53"/>
      <c r="F6" s="27" t="s">
        <v>10</v>
      </c>
      <c r="G6" s="62" t="s">
        <v>11</v>
      </c>
      <c r="H6" s="63"/>
      <c r="I6" s="68" t="s">
        <v>12</v>
      </c>
      <c r="J6" s="69"/>
    </row>
    <row r="7" spans="1:10" ht="31.9" customHeight="1">
      <c r="A7" s="24" t="s">
        <v>95</v>
      </c>
      <c r="B7" s="26" t="s">
        <v>96</v>
      </c>
      <c r="C7" s="26" t="s">
        <v>97</v>
      </c>
      <c r="D7" s="26" t="s">
        <v>98</v>
      </c>
      <c r="E7" s="26" t="s">
        <v>91</v>
      </c>
      <c r="F7" s="28" t="s">
        <v>99</v>
      </c>
      <c r="G7" s="26" t="s">
        <v>100</v>
      </c>
      <c r="H7" s="26" t="s">
        <v>101</v>
      </c>
      <c r="I7" s="29" t="s">
        <v>99</v>
      </c>
      <c r="J7" s="29" t="s">
        <v>92</v>
      </c>
    </row>
    <row r="8" spans="1:10" ht="23.1" customHeight="1">
      <c r="A8" s="115" t="s">
        <v>102</v>
      </c>
      <c r="B8" s="115" t="s">
        <v>103</v>
      </c>
      <c r="C8" s="115" t="s">
        <v>104</v>
      </c>
      <c r="D8" s="116" t="s">
        <v>105</v>
      </c>
      <c r="E8" s="116" t="s">
        <v>105</v>
      </c>
      <c r="F8" s="117">
        <v>13374424</v>
      </c>
      <c r="G8" s="117">
        <v>269667678798</v>
      </c>
      <c r="H8" s="117">
        <v>269159593871</v>
      </c>
      <c r="I8" s="117">
        <v>521459351</v>
      </c>
      <c r="J8" s="118">
        <v>0.05</v>
      </c>
    </row>
    <row r="9" spans="1:10" ht="23.1" customHeight="1">
      <c r="A9" s="115" t="s">
        <v>106</v>
      </c>
      <c r="B9" s="115" t="s">
        <v>107</v>
      </c>
      <c r="C9" s="115" t="s">
        <v>108</v>
      </c>
      <c r="D9" s="116" t="s">
        <v>105</v>
      </c>
      <c r="E9" s="116" t="s">
        <v>105</v>
      </c>
      <c r="F9" s="117">
        <v>0</v>
      </c>
      <c r="G9" s="117">
        <v>0</v>
      </c>
      <c r="H9" s="117">
        <v>0</v>
      </c>
      <c r="I9" s="117">
        <v>0</v>
      </c>
      <c r="J9" s="118">
        <v>0</v>
      </c>
    </row>
    <row r="10" spans="1:10" ht="23.1" customHeight="1" thickBot="1">
      <c r="A10" s="122" t="s">
        <v>88</v>
      </c>
      <c r="B10" s="122"/>
      <c r="C10" s="122"/>
      <c r="D10" s="123"/>
      <c r="E10" s="123"/>
      <c r="F10" s="124">
        <v>13374424</v>
      </c>
      <c r="G10" s="124">
        <v>269667678798</v>
      </c>
      <c r="H10" s="124">
        <v>269159593871</v>
      </c>
      <c r="I10" s="124">
        <v>521459351</v>
      </c>
      <c r="J10" s="125">
        <v>0.05</v>
      </c>
    </row>
    <row r="11" spans="1:10" ht="23.1" customHeight="1" thickTop="1">
      <c r="A11" s="119" t="s">
        <v>89</v>
      </c>
      <c r="B11" s="119"/>
      <c r="C11" s="119"/>
      <c r="D11" s="119"/>
      <c r="E11" s="119"/>
      <c r="F11" s="120"/>
      <c r="G11" s="121"/>
      <c r="H11" s="121"/>
      <c r="I11" s="120"/>
      <c r="J11" s="118"/>
    </row>
    <row r="15" spans="1:10">
      <c r="C15" s="9" t="s">
        <v>109</v>
      </c>
    </row>
  </sheetData>
  <mergeCells count="8">
    <mergeCell ref="G11:H11"/>
    <mergeCell ref="B6:E6"/>
    <mergeCell ref="G6:H6"/>
    <mergeCell ref="A1:I1"/>
    <mergeCell ref="A2:I2"/>
    <mergeCell ref="A3:I3"/>
    <mergeCell ref="A4:I4"/>
    <mergeCell ref="I6:J6"/>
  </mergeCells>
  <pageMargins left="0.7" right="0.7" top="0.75" bottom="0.75" header="0.3" footer="0.3"/>
  <pageSetup paperSize="9" scale="81" orientation="landscape" horizontalDpi="4294967295" verticalDpi="4294967295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5"/>
  <sheetViews>
    <sheetView rightToLeft="1" zoomScale="106" zoomScaleNormal="106" workbookViewId="0">
      <selection activeCell="E17" sqref="E17"/>
    </sheetView>
  </sheetViews>
  <sheetFormatPr defaultColWidth="9" defaultRowHeight="18"/>
  <cols>
    <col min="1" max="1" width="39.28515625" style="30" customWidth="1"/>
    <col min="2" max="2" width="13" style="35" customWidth="1"/>
    <col min="3" max="3" width="15.85546875" style="35" customWidth="1"/>
    <col min="4" max="4" width="15.7109375" style="35" customWidth="1"/>
    <col min="5" max="5" width="17.7109375" style="35" customWidth="1"/>
    <col min="6" max="19" width="13" style="1" customWidth="1"/>
    <col min="20" max="20" width="9" style="1" customWidth="1"/>
    <col min="21" max="16384" width="9" style="1"/>
  </cols>
  <sheetData>
    <row r="1" spans="1:19">
      <c r="A1" s="67" t="s">
        <v>1</v>
      </c>
      <c r="B1" s="67"/>
      <c r="C1" s="67"/>
      <c r="D1" s="67"/>
    </row>
    <row r="2" spans="1:19">
      <c r="A2" s="67" t="s">
        <v>110</v>
      </c>
      <c r="B2" s="67"/>
      <c r="C2" s="67"/>
      <c r="D2" s="67"/>
    </row>
    <row r="3" spans="1:19">
      <c r="A3" s="67" t="s">
        <v>111</v>
      </c>
      <c r="B3" s="67"/>
      <c r="C3" s="67"/>
      <c r="D3" s="67"/>
    </row>
    <row r="4" spans="1:19" ht="18.75">
      <c r="A4" s="66" t="s">
        <v>112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</row>
    <row r="5" spans="1:19">
      <c r="A5" s="126" t="s">
        <v>113</v>
      </c>
      <c r="B5" s="126" t="s">
        <v>114</v>
      </c>
      <c r="C5" s="126" t="s">
        <v>99</v>
      </c>
      <c r="D5" s="126" t="s">
        <v>115</v>
      </c>
      <c r="E5" s="126" t="s">
        <v>116</v>
      </c>
    </row>
    <row r="6" spans="1:19" ht="23.1" customHeight="1">
      <c r="A6" s="113" t="s">
        <v>117</v>
      </c>
      <c r="B6" s="113" t="s">
        <v>118</v>
      </c>
      <c r="C6" s="114">
        <f>'درآمد سرمایه گذاری در سهام'!J101</f>
        <v>171718354632</v>
      </c>
      <c r="D6" s="114">
        <v>99.81</v>
      </c>
      <c r="E6" s="114">
        <v>16.28</v>
      </c>
    </row>
    <row r="7" spans="1:19" ht="23.1" customHeight="1">
      <c r="A7" s="113" t="s">
        <v>119</v>
      </c>
      <c r="B7" s="113" t="s">
        <v>120</v>
      </c>
      <c r="C7" s="114">
        <f>'سود سپرده بانکی'!E8</f>
        <v>33252977</v>
      </c>
      <c r="D7" s="114">
        <v>0.02</v>
      </c>
      <c r="E7" s="114">
        <v>0</v>
      </c>
    </row>
    <row r="8" spans="1:19" ht="23.1" customHeight="1">
      <c r="A8" s="113" t="s">
        <v>121</v>
      </c>
      <c r="B8" s="113" t="s">
        <v>122</v>
      </c>
      <c r="C8" s="114">
        <f>'سایر درآمدها'!C9</f>
        <v>292888489</v>
      </c>
      <c r="D8" s="114">
        <v>0.17</v>
      </c>
      <c r="E8" s="114">
        <v>0.03</v>
      </c>
    </row>
    <row r="9" spans="1:19" ht="23.1" customHeight="1" thickBot="1">
      <c r="A9" s="127" t="s">
        <v>88</v>
      </c>
      <c r="B9" s="127"/>
      <c r="C9" s="111">
        <f>SUBTOTAL(109,C6:C8)</f>
        <v>172044496098</v>
      </c>
      <c r="D9" s="128">
        <v>100</v>
      </c>
      <c r="E9" s="128">
        <v>16.309999999999999</v>
      </c>
    </row>
    <row r="10" spans="1:19" ht="23.1" customHeight="1" thickTop="1">
      <c r="A10" s="31" t="s">
        <v>89</v>
      </c>
      <c r="B10" s="32"/>
      <c r="C10" s="22"/>
      <c r="D10" s="22"/>
      <c r="E10" s="33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4" spans="1:19">
      <c r="B14" s="96"/>
    </row>
    <row r="15" spans="1:19">
      <c r="B15" s="97"/>
      <c r="C15" s="98"/>
    </row>
  </sheetData>
  <mergeCells count="4">
    <mergeCell ref="A4:S4"/>
    <mergeCell ref="A1:D1"/>
    <mergeCell ref="A2:D2"/>
    <mergeCell ref="A3:D3"/>
  </mergeCells>
  <pageMargins left="0.7" right="0.7" top="0.75" bottom="0.75" header="0.3" footer="0.3"/>
  <pageSetup paperSize="9" orientation="landscape" horizontalDpi="4294967295" verticalDpi="4294967295"/>
  <headerFooter differentOddEven="1" differentFirst="1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6"/>
  <sheetViews>
    <sheetView rightToLeft="1" topLeftCell="A50" zoomScale="120" zoomScaleNormal="120" workbookViewId="0">
      <selection activeCell="G60" sqref="G60"/>
    </sheetView>
  </sheetViews>
  <sheetFormatPr defaultColWidth="9" defaultRowHeight="15.75"/>
  <cols>
    <col min="1" max="1" width="31.7109375" style="9" customWidth="1"/>
    <col min="2" max="2" width="16.5703125" style="9" customWidth="1"/>
    <col min="3" max="3" width="23.5703125" style="9" customWidth="1"/>
    <col min="4" max="4" width="16.7109375" style="9" customWidth="1"/>
    <col min="5" max="5" width="14.42578125" style="9" customWidth="1"/>
    <col min="6" max="6" width="14.28515625" style="9" customWidth="1"/>
    <col min="7" max="7" width="16" style="9" customWidth="1"/>
    <col min="8" max="8" width="14.85546875" style="9" customWidth="1"/>
    <col min="9" max="9" width="13.85546875" style="9" customWidth="1"/>
    <col min="10" max="10" width="16" style="9" customWidth="1"/>
    <col min="11" max="13" width="13" style="9" customWidth="1"/>
    <col min="14" max="14" width="9" style="9" customWidth="1"/>
    <col min="15" max="16384" width="9" style="9"/>
  </cols>
  <sheetData>
    <row r="1" spans="1:13">
      <c r="A1" s="67" t="s">
        <v>1</v>
      </c>
      <c r="B1" s="67"/>
      <c r="C1" s="67"/>
      <c r="D1" s="67"/>
      <c r="E1" s="67"/>
      <c r="F1" s="67"/>
      <c r="G1" s="67"/>
      <c r="H1" s="67"/>
      <c r="I1" s="67"/>
      <c r="J1" s="67"/>
    </row>
    <row r="2" spans="1:13">
      <c r="A2" s="67" t="s">
        <v>110</v>
      </c>
      <c r="B2" s="67"/>
      <c r="C2" s="67"/>
      <c r="D2" s="67"/>
      <c r="E2" s="67"/>
      <c r="F2" s="67"/>
      <c r="G2" s="67"/>
      <c r="H2" s="67"/>
      <c r="I2" s="67"/>
      <c r="J2" s="67"/>
    </row>
    <row r="3" spans="1:13">
      <c r="A3" s="67" t="s">
        <v>7</v>
      </c>
      <c r="B3" s="67"/>
      <c r="C3" s="67"/>
      <c r="D3" s="67"/>
      <c r="E3" s="67"/>
      <c r="F3" s="67"/>
      <c r="G3" s="67"/>
      <c r="H3" s="67"/>
      <c r="I3" s="67"/>
      <c r="J3" s="67"/>
    </row>
    <row r="4" spans="1:13" ht="18.75">
      <c r="A4" s="65" t="s">
        <v>123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ht="16.5" customHeight="1">
      <c r="A5" s="23"/>
      <c r="B5" s="62" t="s">
        <v>124</v>
      </c>
      <c r="C5" s="63"/>
      <c r="D5" s="63"/>
      <c r="E5" s="70" t="s">
        <v>125</v>
      </c>
      <c r="F5" s="70"/>
      <c r="G5" s="70"/>
      <c r="H5" s="70" t="s">
        <v>126</v>
      </c>
      <c r="I5" s="70"/>
      <c r="J5" s="70"/>
      <c r="K5" s="8"/>
      <c r="L5" s="8"/>
      <c r="M5" s="8"/>
    </row>
    <row r="6" spans="1:13" s="6" customFormat="1" ht="47.25" customHeight="1">
      <c r="A6" s="16" t="s">
        <v>90</v>
      </c>
      <c r="B6" s="16" t="s">
        <v>127</v>
      </c>
      <c r="C6" s="16" t="s">
        <v>128</v>
      </c>
      <c r="D6" s="16" t="s">
        <v>129</v>
      </c>
      <c r="E6" s="16" t="s">
        <v>130</v>
      </c>
      <c r="F6" s="16" t="s">
        <v>131</v>
      </c>
      <c r="G6" s="16" t="s">
        <v>132</v>
      </c>
      <c r="H6" s="16" t="s">
        <v>130</v>
      </c>
      <c r="I6" s="16" t="s">
        <v>131</v>
      </c>
      <c r="J6" s="16" t="s">
        <v>132</v>
      </c>
    </row>
    <row r="7" spans="1:13" ht="23.1" customHeight="1">
      <c r="A7" s="112" t="s">
        <v>64</v>
      </c>
      <c r="B7" s="129" t="s">
        <v>140</v>
      </c>
      <c r="C7" s="108">
        <v>532869</v>
      </c>
      <c r="D7" s="108">
        <v>637</v>
      </c>
      <c r="E7" s="108">
        <v>0</v>
      </c>
      <c r="F7" s="108">
        <v>0</v>
      </c>
      <c r="G7" s="108">
        <v>0</v>
      </c>
      <c r="H7" s="108">
        <v>339437553</v>
      </c>
      <c r="I7" s="108">
        <v>0</v>
      </c>
      <c r="J7" s="108">
        <f>Table8[[#This Row],[1250379360.0000]]-Table8[[#This Row],[Column9]]</f>
        <v>339437553</v>
      </c>
    </row>
    <row r="8" spans="1:13" ht="23.1" customHeight="1">
      <c r="A8" s="112" t="s">
        <v>63</v>
      </c>
      <c r="B8" s="129" t="s">
        <v>160</v>
      </c>
      <c r="C8" s="108">
        <v>663377</v>
      </c>
      <c r="D8" s="108">
        <v>320</v>
      </c>
      <c r="E8" s="108">
        <v>0</v>
      </c>
      <c r="F8" s="108">
        <v>0</v>
      </c>
      <c r="G8" s="108">
        <v>0</v>
      </c>
      <c r="H8" s="108">
        <v>212280640</v>
      </c>
      <c r="I8" s="108">
        <v>0</v>
      </c>
      <c r="J8" s="108">
        <f>Table8[[#This Row],[1250379360.0000]]-Table8[[#This Row],[Column9]]</f>
        <v>212280640</v>
      </c>
    </row>
    <row r="9" spans="1:13" ht="23.1" customHeight="1">
      <c r="A9" s="112" t="s">
        <v>42</v>
      </c>
      <c r="B9" s="129" t="s">
        <v>145</v>
      </c>
      <c r="C9" s="108">
        <v>2374690</v>
      </c>
      <c r="D9" s="108">
        <v>240</v>
      </c>
      <c r="E9" s="108">
        <v>0</v>
      </c>
      <c r="F9" s="108">
        <v>0</v>
      </c>
      <c r="G9" s="108">
        <v>0</v>
      </c>
      <c r="H9" s="108">
        <v>569925600</v>
      </c>
      <c r="I9" s="108">
        <v>0</v>
      </c>
      <c r="J9" s="108">
        <f>Table8[[#This Row],[1250379360.0000]]-Table8[[#This Row],[Column9]]</f>
        <v>569925600</v>
      </c>
    </row>
    <row r="10" spans="1:13" ht="23.1" customHeight="1">
      <c r="A10" s="112" t="s">
        <v>31</v>
      </c>
      <c r="B10" s="129" t="s">
        <v>151</v>
      </c>
      <c r="C10" s="108">
        <v>6537658</v>
      </c>
      <c r="D10" s="108">
        <v>11</v>
      </c>
      <c r="E10" s="108">
        <v>0</v>
      </c>
      <c r="F10" s="108">
        <v>0</v>
      </c>
      <c r="G10" s="108">
        <v>0</v>
      </c>
      <c r="H10" s="108">
        <v>71914238</v>
      </c>
      <c r="I10" s="108">
        <v>0</v>
      </c>
      <c r="J10" s="108">
        <f>Table8[[#This Row],[1250379360.0000]]-Table8[[#This Row],[Column9]]</f>
        <v>71914238</v>
      </c>
    </row>
    <row r="11" spans="1:13" ht="23.1" customHeight="1">
      <c r="A11" s="112" t="s">
        <v>47</v>
      </c>
      <c r="B11" s="129" t="s">
        <v>151</v>
      </c>
      <c r="C11" s="108">
        <v>7434657</v>
      </c>
      <c r="D11" s="108">
        <v>90</v>
      </c>
      <c r="E11" s="108">
        <v>0</v>
      </c>
      <c r="F11" s="108">
        <v>0</v>
      </c>
      <c r="G11" s="108">
        <v>0</v>
      </c>
      <c r="H11" s="108">
        <v>669119130</v>
      </c>
      <c r="I11" s="108">
        <v>0</v>
      </c>
      <c r="J11" s="108">
        <f>Table8[[#This Row],[1250379360.0000]]-Table8[[#This Row],[Column9]]</f>
        <v>669119130</v>
      </c>
    </row>
    <row r="12" spans="1:13" ht="23.1" customHeight="1">
      <c r="A12" s="112" t="s">
        <v>79</v>
      </c>
      <c r="B12" s="129" t="s">
        <v>151</v>
      </c>
      <c r="C12" s="108">
        <v>346358</v>
      </c>
      <c r="D12" s="108">
        <v>165</v>
      </c>
      <c r="E12" s="108">
        <v>0</v>
      </c>
      <c r="F12" s="108">
        <v>0</v>
      </c>
      <c r="G12" s="108">
        <v>0</v>
      </c>
      <c r="H12" s="108">
        <v>57149070</v>
      </c>
      <c r="I12" s="108">
        <v>0</v>
      </c>
      <c r="J12" s="108">
        <f>Table8[[#This Row],[1250379360.0000]]-Table8[[#This Row],[Column9]]</f>
        <v>57149070</v>
      </c>
    </row>
    <row r="13" spans="1:13" ht="23.1" customHeight="1">
      <c r="A13" s="112" t="s">
        <v>46</v>
      </c>
      <c r="B13" s="129" t="s">
        <v>146</v>
      </c>
      <c r="C13" s="108">
        <v>142765</v>
      </c>
      <c r="D13" s="108">
        <v>12050</v>
      </c>
      <c r="E13" s="108"/>
      <c r="F13" s="108"/>
      <c r="G13" s="108"/>
      <c r="H13" s="108">
        <v>1720318250</v>
      </c>
      <c r="I13" s="108">
        <v>0</v>
      </c>
      <c r="J13" s="108">
        <f>Table8[[#This Row],[1250379360.0000]]-Table8[[#This Row],[Column9]]</f>
        <v>1720318250</v>
      </c>
    </row>
    <row r="14" spans="1:13" ht="23.1" customHeight="1">
      <c r="A14" s="112" t="s">
        <v>67</v>
      </c>
      <c r="B14" s="129" t="s">
        <v>144</v>
      </c>
      <c r="C14" s="108">
        <v>1046788</v>
      </c>
      <c r="D14" s="108">
        <v>110</v>
      </c>
      <c r="E14" s="108">
        <v>0</v>
      </c>
      <c r="F14" s="108">
        <v>0</v>
      </c>
      <c r="G14" s="108">
        <v>0</v>
      </c>
      <c r="H14" s="108">
        <v>115146680</v>
      </c>
      <c r="I14" s="108">
        <v>0</v>
      </c>
      <c r="J14" s="108">
        <f>Table8[[#This Row],[1250379360.0000]]-Table8[[#This Row],[Column9]]</f>
        <v>115146680</v>
      </c>
    </row>
    <row r="15" spans="1:13" ht="23.1" customHeight="1">
      <c r="A15" s="112" t="s">
        <v>32</v>
      </c>
      <c r="B15" s="129" t="s">
        <v>150</v>
      </c>
      <c r="C15" s="108">
        <v>3835211</v>
      </c>
      <c r="D15" s="108">
        <v>360</v>
      </c>
      <c r="E15" s="108">
        <v>0</v>
      </c>
      <c r="F15" s="108">
        <v>0</v>
      </c>
      <c r="G15" s="108">
        <v>0</v>
      </c>
      <c r="H15" s="108">
        <v>1380675960</v>
      </c>
      <c r="I15" s="108">
        <v>0</v>
      </c>
      <c r="J15" s="108">
        <f>Table8[[#This Row],[1250379360.0000]]-Table8[[#This Row],[Column9]]</f>
        <v>1380675960</v>
      </c>
    </row>
    <row r="16" spans="1:13" ht="23.1" customHeight="1">
      <c r="A16" s="112" t="s">
        <v>49</v>
      </c>
      <c r="B16" s="129" t="s">
        <v>154</v>
      </c>
      <c r="C16" s="108">
        <v>1205960</v>
      </c>
      <c r="D16" s="108">
        <v>936</v>
      </c>
      <c r="E16" s="108">
        <v>0</v>
      </c>
      <c r="F16" s="108">
        <v>0</v>
      </c>
      <c r="G16" s="108">
        <v>0</v>
      </c>
      <c r="H16" s="108">
        <v>1127778560</v>
      </c>
      <c r="I16" s="108">
        <v>0</v>
      </c>
      <c r="J16" s="108">
        <f>Table8[[#This Row],[1250379360.0000]]-Table8[[#This Row],[Column9]]</f>
        <v>1127778560</v>
      </c>
    </row>
    <row r="17" spans="1:10" ht="23.1" customHeight="1">
      <c r="A17" s="112" t="s">
        <v>74</v>
      </c>
      <c r="B17" s="129" t="s">
        <v>148</v>
      </c>
      <c r="C17" s="108">
        <v>185793</v>
      </c>
      <c r="D17" s="108">
        <v>1997</v>
      </c>
      <c r="E17" s="108">
        <v>0</v>
      </c>
      <c r="F17" s="108">
        <v>0</v>
      </c>
      <c r="G17" s="108">
        <v>0</v>
      </c>
      <c r="H17" s="108">
        <v>371028621</v>
      </c>
      <c r="I17" s="108">
        <v>0</v>
      </c>
      <c r="J17" s="108">
        <f>Table8[[#This Row],[1250379360.0000]]-Table8[[#This Row],[Column9]]</f>
        <v>371028621</v>
      </c>
    </row>
    <row r="18" spans="1:10" ht="23.1" customHeight="1">
      <c r="A18" s="112" t="s">
        <v>77</v>
      </c>
      <c r="B18" s="129" t="s">
        <v>156</v>
      </c>
      <c r="C18" s="108">
        <v>6683985</v>
      </c>
      <c r="D18" s="108">
        <v>190</v>
      </c>
      <c r="E18" s="108">
        <v>0</v>
      </c>
      <c r="F18" s="108">
        <v>0</v>
      </c>
      <c r="G18" s="108">
        <v>0</v>
      </c>
      <c r="H18" s="108">
        <v>1269957150</v>
      </c>
      <c r="I18" s="108">
        <v>0</v>
      </c>
      <c r="J18" s="108">
        <f>Table8[[#This Row],[1250379360.0000]]-Table8[[#This Row],[Column9]]</f>
        <v>1269957150</v>
      </c>
    </row>
    <row r="19" spans="1:10" ht="23.1" customHeight="1">
      <c r="A19" s="112" t="s">
        <v>72</v>
      </c>
      <c r="B19" s="129" t="s">
        <v>149</v>
      </c>
      <c r="C19" s="108">
        <v>96004</v>
      </c>
      <c r="D19" s="108">
        <v>8363</v>
      </c>
      <c r="E19" s="108">
        <v>0</v>
      </c>
      <c r="F19" s="108">
        <v>0</v>
      </c>
      <c r="G19" s="108">
        <v>0</v>
      </c>
      <c r="H19" s="108">
        <v>802785448</v>
      </c>
      <c r="I19" s="108">
        <v>0</v>
      </c>
      <c r="J19" s="108">
        <f>Table8[[#This Row],[1250379360.0000]]-Table8[[#This Row],[Column9]]</f>
        <v>802785448</v>
      </c>
    </row>
    <row r="20" spans="1:10" ht="23.1" customHeight="1">
      <c r="A20" s="112" t="s">
        <v>152</v>
      </c>
      <c r="B20" s="129" t="s">
        <v>151</v>
      </c>
      <c r="C20" s="108">
        <v>530</v>
      </c>
      <c r="D20" s="108">
        <v>160</v>
      </c>
      <c r="E20" s="108">
        <v>0</v>
      </c>
      <c r="F20" s="108">
        <v>0</v>
      </c>
      <c r="G20" s="108">
        <v>0</v>
      </c>
      <c r="H20" s="108">
        <v>84800</v>
      </c>
      <c r="I20" s="108">
        <v>0</v>
      </c>
      <c r="J20" s="108">
        <f>Table8[[#This Row],[1250379360.0000]]-Table8[[#This Row],[Column9]]</f>
        <v>84800</v>
      </c>
    </row>
    <row r="21" spans="1:10" ht="23.1" customHeight="1">
      <c r="A21" s="112" t="s">
        <v>36</v>
      </c>
      <c r="B21" s="129" t="s">
        <v>163</v>
      </c>
      <c r="C21" s="108">
        <v>40106</v>
      </c>
      <c r="D21" s="108">
        <v>38000</v>
      </c>
      <c r="E21" s="108">
        <v>518947000</v>
      </c>
      <c r="F21" s="108">
        <v>124788979</v>
      </c>
      <c r="G21" s="108">
        <f>Table8[[#This Row],[0.0000]]-Table8[[#This Row],[0]]</f>
        <v>394158021</v>
      </c>
      <c r="H21" s="108">
        <v>2042975000</v>
      </c>
      <c r="I21" s="108">
        <v>36666529</v>
      </c>
      <c r="J21" s="108">
        <f>Table8[[#This Row],[1250379360.0000]]-Table8[[#This Row],[Column9]]</f>
        <v>2006308471</v>
      </c>
    </row>
    <row r="22" spans="1:10" ht="23.1" customHeight="1">
      <c r="A22" s="112" t="s">
        <v>58</v>
      </c>
      <c r="B22" s="129" t="s">
        <v>148</v>
      </c>
      <c r="C22" s="108">
        <v>116842</v>
      </c>
      <c r="D22" s="108">
        <v>4200</v>
      </c>
      <c r="E22" s="108">
        <v>0</v>
      </c>
      <c r="F22" s="108">
        <v>0</v>
      </c>
      <c r="G22" s="108">
        <v>0</v>
      </c>
      <c r="H22" s="108">
        <v>490736400</v>
      </c>
      <c r="I22" s="108">
        <v>0</v>
      </c>
      <c r="J22" s="108">
        <f>Table8[[#This Row],[1250379360.0000]]-Table8[[#This Row],[Column9]]</f>
        <v>490736400</v>
      </c>
    </row>
    <row r="23" spans="1:10" ht="23.1" customHeight="1">
      <c r="A23" s="112" t="s">
        <v>35</v>
      </c>
      <c r="B23" s="129" t="s">
        <v>139</v>
      </c>
      <c r="C23" s="108">
        <v>39138</v>
      </c>
      <c r="D23" s="108">
        <v>10000</v>
      </c>
      <c r="E23" s="108">
        <v>0</v>
      </c>
      <c r="F23" s="108">
        <v>0</v>
      </c>
      <c r="G23" s="108">
        <v>0</v>
      </c>
      <c r="H23" s="108">
        <v>391380000</v>
      </c>
      <c r="I23" s="108">
        <v>0</v>
      </c>
      <c r="J23" s="108">
        <f>Table8[[#This Row],[1250379360.0000]]-Table8[[#This Row],[Column9]]</f>
        <v>391380000</v>
      </c>
    </row>
    <row r="24" spans="1:10" ht="23.1" customHeight="1">
      <c r="A24" s="112" t="s">
        <v>60</v>
      </c>
      <c r="B24" s="129" t="s">
        <v>155</v>
      </c>
      <c r="C24" s="108">
        <v>94343</v>
      </c>
      <c r="D24" s="108">
        <v>4984</v>
      </c>
      <c r="E24" s="108">
        <v>0</v>
      </c>
      <c r="F24" s="108">
        <v>0</v>
      </c>
      <c r="G24" s="108">
        <v>0</v>
      </c>
      <c r="H24" s="108">
        <v>470205512</v>
      </c>
      <c r="I24" s="108">
        <v>0</v>
      </c>
      <c r="J24" s="108">
        <f>Table8[[#This Row],[1250379360.0000]]-Table8[[#This Row],[Column9]]</f>
        <v>470205512</v>
      </c>
    </row>
    <row r="25" spans="1:10" ht="23.1" customHeight="1">
      <c r="A25" s="112" t="s">
        <v>25</v>
      </c>
      <c r="B25" s="129" t="s">
        <v>154</v>
      </c>
      <c r="C25" s="108">
        <v>401939</v>
      </c>
      <c r="D25" s="108">
        <v>3400</v>
      </c>
      <c r="E25" s="108">
        <v>0</v>
      </c>
      <c r="F25" s="108">
        <v>0</v>
      </c>
      <c r="G25" s="108">
        <v>0</v>
      </c>
      <c r="H25" s="108">
        <v>1366592600</v>
      </c>
      <c r="I25" s="108">
        <v>0</v>
      </c>
      <c r="J25" s="108">
        <f>Table8[[#This Row],[1250379360.0000]]-Table8[[#This Row],[Column9]]</f>
        <v>1366592600</v>
      </c>
    </row>
    <row r="26" spans="1:10" ht="23.1" customHeight="1">
      <c r="A26" s="112" t="s">
        <v>23</v>
      </c>
      <c r="B26" s="129" t="s">
        <v>148</v>
      </c>
      <c r="C26" s="108">
        <v>239981</v>
      </c>
      <c r="D26" s="108">
        <v>1000</v>
      </c>
      <c r="E26" s="108">
        <v>0</v>
      </c>
      <c r="F26" s="108">
        <v>0</v>
      </c>
      <c r="G26" s="108">
        <v>0</v>
      </c>
      <c r="H26" s="108">
        <v>239981000</v>
      </c>
      <c r="I26" s="108">
        <v>0</v>
      </c>
      <c r="J26" s="108">
        <f>Table8[[#This Row],[1250379360.0000]]-Table8[[#This Row],[Column9]]</f>
        <v>239981000</v>
      </c>
    </row>
    <row r="27" spans="1:10" ht="23.1" customHeight="1">
      <c r="A27" s="112" t="s">
        <v>45</v>
      </c>
      <c r="B27" s="129" t="s">
        <v>146</v>
      </c>
      <c r="C27" s="108">
        <v>3039634</v>
      </c>
      <c r="D27" s="108">
        <v>380</v>
      </c>
      <c r="E27" s="108">
        <v>0</v>
      </c>
      <c r="F27" s="108">
        <v>0</v>
      </c>
      <c r="G27" s="108">
        <v>0</v>
      </c>
      <c r="H27" s="108">
        <v>1155060920</v>
      </c>
      <c r="I27" s="108">
        <v>0</v>
      </c>
      <c r="J27" s="108">
        <f>Table8[[#This Row],[1250379360.0000]]-Table8[[#This Row],[Column9]]</f>
        <v>1155060920</v>
      </c>
    </row>
    <row r="28" spans="1:10" ht="23.1" customHeight="1">
      <c r="A28" s="112" t="s">
        <v>136</v>
      </c>
      <c r="B28" s="129" t="s">
        <v>137</v>
      </c>
      <c r="C28" s="108">
        <v>212091</v>
      </c>
      <c r="D28" s="108">
        <v>20</v>
      </c>
      <c r="E28" s="108">
        <v>0</v>
      </c>
      <c r="F28" s="108">
        <v>0</v>
      </c>
      <c r="G28" s="108">
        <v>0</v>
      </c>
      <c r="H28" s="108">
        <v>4241820</v>
      </c>
      <c r="I28" s="108">
        <v>0</v>
      </c>
      <c r="J28" s="108">
        <f>Table8[[#This Row],[1250379360.0000]]-Table8[[#This Row],[Column9]]</f>
        <v>4241820</v>
      </c>
    </row>
    <row r="29" spans="1:10" ht="23.1" customHeight="1">
      <c r="A29" s="112" t="s">
        <v>85</v>
      </c>
      <c r="B29" s="129" t="s">
        <v>167</v>
      </c>
      <c r="C29" s="108">
        <v>21743633</v>
      </c>
      <c r="D29" s="108">
        <v>190</v>
      </c>
      <c r="E29" s="108">
        <v>0</v>
      </c>
      <c r="F29" s="108">
        <v>0</v>
      </c>
      <c r="G29" s="108">
        <f>Table8[[#This Row],[0.0000]]-Table8[[#This Row],[0]]</f>
        <v>0</v>
      </c>
      <c r="H29" s="108">
        <v>4131290270</v>
      </c>
      <c r="I29" s="108">
        <v>163077248</v>
      </c>
      <c r="J29" s="108">
        <f>Table8[[#This Row],[1250379360.0000]]-Table8[[#This Row],[Column9]]</f>
        <v>3968213022</v>
      </c>
    </row>
    <row r="30" spans="1:10" ht="23.1" customHeight="1">
      <c r="A30" s="112" t="s">
        <v>50</v>
      </c>
      <c r="B30" s="129" t="s">
        <v>168</v>
      </c>
      <c r="C30" s="108">
        <v>1267487</v>
      </c>
      <c r="D30" s="108">
        <v>330</v>
      </c>
      <c r="E30" s="108">
        <v>418270710</v>
      </c>
      <c r="F30" s="108">
        <v>0</v>
      </c>
      <c r="G30" s="108">
        <f>Table8[[#This Row],[0.0000]]-Table8[[#This Row],[0]]</f>
        <v>418270710</v>
      </c>
      <c r="H30" s="108">
        <v>418270710</v>
      </c>
      <c r="I30" s="108">
        <v>0</v>
      </c>
      <c r="J30" s="108">
        <f>Table8[[#This Row],[1250379360.0000]]-Table8[[#This Row],[Column9]]</f>
        <v>418270710</v>
      </c>
    </row>
    <row r="31" spans="1:10" ht="23.1" customHeight="1">
      <c r="A31" s="112" t="s">
        <v>61</v>
      </c>
      <c r="B31" s="129" t="s">
        <v>149</v>
      </c>
      <c r="C31" s="108">
        <v>2890877</v>
      </c>
      <c r="D31" s="108">
        <v>170</v>
      </c>
      <c r="E31" s="108">
        <v>0</v>
      </c>
      <c r="F31" s="108">
        <v>0</v>
      </c>
      <c r="G31" s="108">
        <v>0</v>
      </c>
      <c r="H31" s="108">
        <v>491449090</v>
      </c>
      <c r="I31" s="108">
        <v>0</v>
      </c>
      <c r="J31" s="108">
        <f>Table8[[#This Row],[1250379360.0000]]-Table8[[#This Row],[Column9]]</f>
        <v>491449090</v>
      </c>
    </row>
    <row r="32" spans="1:10" ht="23.1" customHeight="1">
      <c r="A32" s="112" t="s">
        <v>161</v>
      </c>
      <c r="B32" s="129" t="s">
        <v>162</v>
      </c>
      <c r="C32" s="108">
        <v>154440</v>
      </c>
      <c r="D32" s="108">
        <v>2350</v>
      </c>
      <c r="E32" s="108"/>
      <c r="F32" s="108"/>
      <c r="G32" s="108"/>
      <c r="H32" s="108">
        <v>362934000</v>
      </c>
      <c r="I32" s="108">
        <v>0</v>
      </c>
      <c r="J32" s="108">
        <f>Table8[[#This Row],[1250379360.0000]]-Table8[[#This Row],[Column9]]</f>
        <v>362934000</v>
      </c>
    </row>
    <row r="33" spans="1:10" ht="23.1" customHeight="1">
      <c r="A33" s="112" t="s">
        <v>157</v>
      </c>
      <c r="B33" s="129" t="s">
        <v>156</v>
      </c>
      <c r="C33" s="108">
        <v>266374</v>
      </c>
      <c r="D33" s="108">
        <v>2390</v>
      </c>
      <c r="E33" s="108">
        <v>0</v>
      </c>
      <c r="F33" s="108">
        <v>0</v>
      </c>
      <c r="G33" s="108">
        <v>0</v>
      </c>
      <c r="H33" s="108">
        <v>636633860</v>
      </c>
      <c r="I33" s="108">
        <v>0</v>
      </c>
      <c r="J33" s="108">
        <f>Table8[[#This Row],[1250379360.0000]]-Table8[[#This Row],[Column9]]</f>
        <v>636633860</v>
      </c>
    </row>
    <row r="34" spans="1:10" ht="23.1" customHeight="1">
      <c r="A34" s="112" t="s">
        <v>59</v>
      </c>
      <c r="B34" s="129" t="s">
        <v>150</v>
      </c>
      <c r="C34" s="108">
        <v>333350</v>
      </c>
      <c r="D34" s="108">
        <v>2000</v>
      </c>
      <c r="E34" s="108">
        <v>0</v>
      </c>
      <c r="F34" s="108">
        <v>0</v>
      </c>
      <c r="G34" s="108">
        <v>0</v>
      </c>
      <c r="H34" s="108">
        <v>666700000</v>
      </c>
      <c r="I34" s="108">
        <v>0</v>
      </c>
      <c r="J34" s="108">
        <f>Table8[[#This Row],[1250379360.0000]]-Table8[[#This Row],[Column9]]</f>
        <v>666700000</v>
      </c>
    </row>
    <row r="35" spans="1:10" ht="23.1" customHeight="1">
      <c r="A35" s="112" t="s">
        <v>73</v>
      </c>
      <c r="B35" s="129" t="s">
        <v>164</v>
      </c>
      <c r="C35" s="108">
        <v>655469</v>
      </c>
      <c r="D35" s="108">
        <v>2000</v>
      </c>
      <c r="E35" s="108"/>
      <c r="F35" s="108"/>
      <c r="G35" s="108">
        <f>Table8[[#This Row],[0.0000]]-Table8[[#This Row],[0]]</f>
        <v>0</v>
      </c>
      <c r="H35" s="108">
        <v>1310938000</v>
      </c>
      <c r="I35" s="108">
        <v>0</v>
      </c>
      <c r="J35" s="108">
        <f>Table8[[#This Row],[1250379360.0000]]-Table8[[#This Row],[Column9]]</f>
        <v>1310938000</v>
      </c>
    </row>
    <row r="36" spans="1:10" ht="23.1" customHeight="1">
      <c r="A36" s="112" t="s">
        <v>66</v>
      </c>
      <c r="B36" s="129" t="s">
        <v>133</v>
      </c>
      <c r="C36" s="108">
        <v>137103</v>
      </c>
      <c r="D36" s="108">
        <v>9120</v>
      </c>
      <c r="E36" s="108">
        <v>0</v>
      </c>
      <c r="F36" s="108">
        <v>0</v>
      </c>
      <c r="G36" s="108">
        <v>0</v>
      </c>
      <c r="H36" s="108">
        <v>1250379360</v>
      </c>
      <c r="I36" s="108">
        <v>0</v>
      </c>
      <c r="J36" s="108">
        <f>Table8[[#This Row],[1250379360.0000]]-Table8[[#This Row],[Column9]]</f>
        <v>1250379360</v>
      </c>
    </row>
    <row r="37" spans="1:10" ht="23.1" customHeight="1">
      <c r="A37" s="112" t="s">
        <v>55</v>
      </c>
      <c r="B37" s="129" t="s">
        <v>167</v>
      </c>
      <c r="C37" s="108">
        <v>10331968</v>
      </c>
      <c r="D37" s="108">
        <v>510</v>
      </c>
      <c r="E37" s="108"/>
      <c r="F37" s="108"/>
      <c r="G37" s="108">
        <f>Table8[[#This Row],[0.0000]]-Table8[[#This Row],[0]]</f>
        <v>0</v>
      </c>
      <c r="H37" s="108">
        <v>5269303680</v>
      </c>
      <c r="I37" s="108">
        <v>207998829</v>
      </c>
      <c r="J37" s="108">
        <f>Table8[[#This Row],[1250379360.0000]]-Table8[[#This Row],[Column9]]</f>
        <v>5061304851</v>
      </c>
    </row>
    <row r="38" spans="1:10" ht="23.1" customHeight="1">
      <c r="A38" s="112" t="s">
        <v>56</v>
      </c>
      <c r="B38" s="129" t="s">
        <v>143</v>
      </c>
      <c r="C38" s="108">
        <v>263826</v>
      </c>
      <c r="D38" s="108">
        <v>1430</v>
      </c>
      <c r="E38" s="108">
        <v>0</v>
      </c>
      <c r="F38" s="108">
        <v>0</v>
      </c>
      <c r="G38" s="108">
        <v>0</v>
      </c>
      <c r="H38" s="108">
        <v>377271180</v>
      </c>
      <c r="I38" s="108">
        <v>0</v>
      </c>
      <c r="J38" s="108">
        <f>Table8[[#This Row],[1250379360.0000]]-Table8[[#This Row],[Column9]]</f>
        <v>377271180</v>
      </c>
    </row>
    <row r="39" spans="1:10" ht="23.1" customHeight="1">
      <c r="A39" s="112" t="s">
        <v>57</v>
      </c>
      <c r="B39" s="129" t="s">
        <v>150</v>
      </c>
      <c r="C39" s="108">
        <v>588938</v>
      </c>
      <c r="D39" s="108">
        <v>500</v>
      </c>
      <c r="E39" s="108">
        <v>0</v>
      </c>
      <c r="F39" s="108">
        <v>0</v>
      </c>
      <c r="G39" s="108">
        <v>0</v>
      </c>
      <c r="H39" s="108">
        <v>294469000</v>
      </c>
      <c r="I39" s="108">
        <v>0</v>
      </c>
      <c r="J39" s="108">
        <f>Table8[[#This Row],[1250379360.0000]]-Table8[[#This Row],[Column9]]</f>
        <v>294469000</v>
      </c>
    </row>
    <row r="40" spans="1:10" ht="23.1" customHeight="1">
      <c r="A40" s="112" t="s">
        <v>39</v>
      </c>
      <c r="B40" s="129" t="s">
        <v>158</v>
      </c>
      <c r="C40" s="108">
        <v>10781867</v>
      </c>
      <c r="D40" s="108">
        <v>280</v>
      </c>
      <c r="E40" s="108">
        <v>0</v>
      </c>
      <c r="F40" s="108">
        <v>0</v>
      </c>
      <c r="G40" s="108">
        <v>0</v>
      </c>
      <c r="H40" s="108">
        <v>3018922760</v>
      </c>
      <c r="I40" s="108">
        <v>0</v>
      </c>
      <c r="J40" s="108">
        <f>Table8[[#This Row],[1250379360.0000]]-Table8[[#This Row],[Column9]]</f>
        <v>3018922760</v>
      </c>
    </row>
    <row r="41" spans="1:10" ht="23.1" customHeight="1">
      <c r="A41" s="112" t="s">
        <v>147</v>
      </c>
      <c r="B41" s="129" t="s">
        <v>148</v>
      </c>
      <c r="C41" s="108">
        <v>262907</v>
      </c>
      <c r="D41" s="108">
        <v>700</v>
      </c>
      <c r="E41" s="108">
        <v>0</v>
      </c>
      <c r="F41" s="108">
        <v>0</v>
      </c>
      <c r="G41" s="108">
        <v>0</v>
      </c>
      <c r="H41" s="108">
        <v>184034900</v>
      </c>
      <c r="I41" s="108">
        <v>0</v>
      </c>
      <c r="J41" s="108">
        <f>Table8[[#This Row],[1250379360.0000]]-Table8[[#This Row],[Column9]]</f>
        <v>184034900</v>
      </c>
    </row>
    <row r="42" spans="1:10" ht="23.1" customHeight="1">
      <c r="A42" s="112" t="s">
        <v>159</v>
      </c>
      <c r="B42" s="129" t="s">
        <v>158</v>
      </c>
      <c r="C42" s="108">
        <v>1103257</v>
      </c>
      <c r="D42" s="108">
        <v>142</v>
      </c>
      <c r="E42" s="108"/>
      <c r="F42" s="108"/>
      <c r="G42" s="108"/>
      <c r="H42" s="108">
        <v>156662494</v>
      </c>
      <c r="I42" s="108">
        <v>0</v>
      </c>
      <c r="J42" s="108">
        <f>Table8[[#This Row],[1250379360.0000]]-Table8[[#This Row],[Column9]]</f>
        <v>156662494</v>
      </c>
    </row>
    <row r="43" spans="1:10" ht="23.1" customHeight="1">
      <c r="A43" s="112" t="s">
        <v>26</v>
      </c>
      <c r="B43" s="129" t="s">
        <v>165</v>
      </c>
      <c r="C43" s="108">
        <v>771260</v>
      </c>
      <c r="D43" s="108">
        <v>1050</v>
      </c>
      <c r="E43" s="108"/>
      <c r="F43" s="108"/>
      <c r="G43" s="108">
        <f>Table8[[#This Row],[0.0000]]-Table8[[#This Row],[0]]</f>
        <v>0</v>
      </c>
      <c r="H43" s="108">
        <v>809823000</v>
      </c>
      <c r="I43" s="108">
        <v>0</v>
      </c>
      <c r="J43" s="108">
        <f>Table8[[#This Row],[1250379360.0000]]-Table8[[#This Row],[Column9]]</f>
        <v>809823000</v>
      </c>
    </row>
    <row r="44" spans="1:10" ht="23.1" customHeight="1">
      <c r="A44" s="112" t="s">
        <v>29</v>
      </c>
      <c r="B44" s="129" t="s">
        <v>150</v>
      </c>
      <c r="C44" s="108">
        <v>1073406</v>
      </c>
      <c r="D44" s="108">
        <v>357</v>
      </c>
      <c r="E44" s="108">
        <v>0</v>
      </c>
      <c r="F44" s="108">
        <v>0</v>
      </c>
      <c r="G44" s="108">
        <v>0</v>
      </c>
      <c r="H44" s="108">
        <v>383205942</v>
      </c>
      <c r="I44" s="108">
        <v>0</v>
      </c>
      <c r="J44" s="108">
        <f>Table8[[#This Row],[1250379360.0000]]-Table8[[#This Row],[Column9]]</f>
        <v>383205942</v>
      </c>
    </row>
    <row r="45" spans="1:10" ht="23.1" customHeight="1">
      <c r="A45" s="112" t="s">
        <v>48</v>
      </c>
      <c r="B45" s="129" t="s">
        <v>166</v>
      </c>
      <c r="C45" s="108">
        <v>602029</v>
      </c>
      <c r="D45" s="108">
        <v>620</v>
      </c>
      <c r="E45" s="108"/>
      <c r="F45" s="108"/>
      <c r="G45" s="108">
        <f>Table8[[#This Row],[0.0000]]-Table8[[#This Row],[0]]</f>
        <v>0</v>
      </c>
      <c r="H45" s="108">
        <v>373257980</v>
      </c>
      <c r="I45" s="108">
        <v>12359536</v>
      </c>
      <c r="J45" s="108">
        <f>Table8[[#This Row],[1250379360.0000]]-Table8[[#This Row],[Column9]]</f>
        <v>360898444</v>
      </c>
    </row>
    <row r="46" spans="1:10" ht="23.1" customHeight="1">
      <c r="A46" s="112" t="s">
        <v>51</v>
      </c>
      <c r="B46" s="129" t="s">
        <v>146</v>
      </c>
      <c r="C46" s="108">
        <v>3577172</v>
      </c>
      <c r="D46" s="108">
        <v>310</v>
      </c>
      <c r="E46" s="108">
        <v>0</v>
      </c>
      <c r="F46" s="108">
        <v>0</v>
      </c>
      <c r="G46" s="108">
        <v>0</v>
      </c>
      <c r="H46" s="108">
        <v>1108923320</v>
      </c>
      <c r="I46" s="108">
        <v>0</v>
      </c>
      <c r="J46" s="108">
        <f>Table8[[#This Row],[1250379360.0000]]-Table8[[#This Row],[Column9]]</f>
        <v>1108923320</v>
      </c>
    </row>
    <row r="47" spans="1:10" ht="23.1" customHeight="1">
      <c r="A47" s="112" t="s">
        <v>134</v>
      </c>
      <c r="B47" s="129" t="s">
        <v>135</v>
      </c>
      <c r="C47" s="108">
        <v>411</v>
      </c>
      <c r="D47" s="108">
        <v>285</v>
      </c>
      <c r="E47" s="108">
        <v>0</v>
      </c>
      <c r="F47" s="108">
        <v>0</v>
      </c>
      <c r="G47" s="108">
        <v>0</v>
      </c>
      <c r="H47" s="108">
        <v>117135</v>
      </c>
      <c r="I47" s="108">
        <v>0</v>
      </c>
      <c r="J47" s="108">
        <f>Table8[[#This Row],[1250379360.0000]]-Table8[[#This Row],[Column9]]</f>
        <v>117135</v>
      </c>
    </row>
    <row r="48" spans="1:10" ht="23.1" customHeight="1">
      <c r="A48" s="112" t="s">
        <v>62</v>
      </c>
      <c r="B48" s="129" t="s">
        <v>153</v>
      </c>
      <c r="C48" s="108">
        <v>1039131</v>
      </c>
      <c r="D48" s="108">
        <v>2223</v>
      </c>
      <c r="E48" s="108">
        <v>0</v>
      </c>
      <c r="F48" s="108">
        <v>0</v>
      </c>
      <c r="G48" s="108">
        <v>0</v>
      </c>
      <c r="H48" s="108">
        <v>2309988213</v>
      </c>
      <c r="I48" s="108">
        <v>0</v>
      </c>
      <c r="J48" s="108">
        <f>Table8[[#This Row],[1250379360.0000]]-Table8[[#This Row],[Column9]]</f>
        <v>2309988213</v>
      </c>
    </row>
    <row r="49" spans="1:10" ht="23.1" customHeight="1">
      <c r="A49" s="112" t="s">
        <v>65</v>
      </c>
      <c r="B49" s="129" t="s">
        <v>141</v>
      </c>
      <c r="C49" s="108">
        <v>5281023</v>
      </c>
      <c r="D49" s="108">
        <v>40</v>
      </c>
      <c r="E49" s="108">
        <v>0</v>
      </c>
      <c r="F49" s="108">
        <v>0</v>
      </c>
      <c r="G49" s="108">
        <v>0</v>
      </c>
      <c r="H49" s="108">
        <v>211240920</v>
      </c>
      <c r="I49" s="108">
        <v>0</v>
      </c>
      <c r="J49" s="108">
        <f>Table8[[#This Row],[1250379360.0000]]-Table8[[#This Row],[Column9]]</f>
        <v>211240920</v>
      </c>
    </row>
    <row r="50" spans="1:10" ht="23.1" customHeight="1">
      <c r="A50" s="112" t="s">
        <v>138</v>
      </c>
      <c r="B50" s="129" t="s">
        <v>139</v>
      </c>
      <c r="C50" s="108">
        <v>195474</v>
      </c>
      <c r="D50" s="108">
        <v>1025</v>
      </c>
      <c r="E50" s="108">
        <v>0</v>
      </c>
      <c r="F50" s="108">
        <v>0</v>
      </c>
      <c r="G50" s="108">
        <v>0</v>
      </c>
      <c r="H50" s="108">
        <v>201360850</v>
      </c>
      <c r="I50" s="108">
        <v>0</v>
      </c>
      <c r="J50" s="108">
        <f>Table8[[#This Row],[1250379360.0000]]-Table8[[#This Row],[Column9]]</f>
        <v>201360850</v>
      </c>
    </row>
    <row r="51" spans="1:10" ht="23.1" customHeight="1">
      <c r="A51" s="112" t="s">
        <v>52</v>
      </c>
      <c r="B51" s="129" t="s">
        <v>151</v>
      </c>
      <c r="C51" s="108">
        <v>6741320</v>
      </c>
      <c r="D51" s="108">
        <v>370</v>
      </c>
      <c r="E51" s="108">
        <v>0</v>
      </c>
      <c r="F51" s="108">
        <v>0</v>
      </c>
      <c r="G51" s="108">
        <v>0</v>
      </c>
      <c r="H51" s="108">
        <v>2494288400</v>
      </c>
      <c r="I51" s="108">
        <v>0</v>
      </c>
      <c r="J51" s="108">
        <f>Table8[[#This Row],[1250379360.0000]]-Table8[[#This Row],[Column9]]</f>
        <v>2494288400</v>
      </c>
    </row>
    <row r="52" spans="1:10" ht="23.1" customHeight="1">
      <c r="A52" s="112" t="s">
        <v>68</v>
      </c>
      <c r="B52" s="129" t="s">
        <v>151</v>
      </c>
      <c r="C52" s="108">
        <v>361576</v>
      </c>
      <c r="D52" s="108">
        <v>800</v>
      </c>
      <c r="E52" s="108">
        <v>0</v>
      </c>
      <c r="F52" s="108">
        <v>0</v>
      </c>
      <c r="G52" s="108">
        <v>0</v>
      </c>
      <c r="H52" s="108">
        <v>289260800</v>
      </c>
      <c r="I52" s="108">
        <v>0</v>
      </c>
      <c r="J52" s="108">
        <f>Table8[[#This Row],[1250379360.0000]]-Table8[[#This Row],[Column9]]</f>
        <v>289260800</v>
      </c>
    </row>
    <row r="53" spans="1:10" ht="23.1" customHeight="1">
      <c r="A53" s="112" t="s">
        <v>78</v>
      </c>
      <c r="B53" s="129" t="s">
        <v>142</v>
      </c>
      <c r="C53" s="108">
        <v>165309</v>
      </c>
      <c r="D53" s="108">
        <v>2000</v>
      </c>
      <c r="E53" s="108">
        <v>0</v>
      </c>
      <c r="F53" s="108">
        <v>0</v>
      </c>
      <c r="G53" s="108">
        <v>0</v>
      </c>
      <c r="H53" s="108">
        <v>330618000</v>
      </c>
      <c r="I53" s="108">
        <v>0</v>
      </c>
      <c r="J53" s="108">
        <f>Table8[[#This Row],[1250379360.0000]]-Table8[[#This Row],[Column9]]</f>
        <v>330618000</v>
      </c>
    </row>
    <row r="54" spans="1:10" ht="23.1" customHeight="1" thickBot="1">
      <c r="A54" s="130" t="s">
        <v>206</v>
      </c>
      <c r="B54" s="130"/>
      <c r="C54" s="130"/>
      <c r="D54" s="131"/>
      <c r="E54" s="132">
        <f>SUBTOTAL(109,Table8[[#All],[0.0000]])</f>
        <v>937217710</v>
      </c>
      <c r="F54" s="132">
        <f>SUBTOTAL(109,Table8[[#All],[0]])</f>
        <v>124788979</v>
      </c>
      <c r="G54" s="132">
        <f>SUBTOTAL(109,Table8[[#All],[Column7]])</f>
        <v>812428731</v>
      </c>
      <c r="H54" s="132">
        <f>SUBTOTAL(109,Table8[[#All],[1250379360.0000]])</f>
        <v>41950118816</v>
      </c>
      <c r="I54" s="132">
        <f>SUBTOTAL(109,Table8[[#All],[Column9]])</f>
        <v>420102142</v>
      </c>
      <c r="J54" s="132">
        <f>SUBTOTAL(109,Table8[[#All],[Column10]])</f>
        <v>41530016674</v>
      </c>
    </row>
    <row r="55" spans="1:10" ht="16.5" thickTop="1">
      <c r="H55" s="95"/>
    </row>
    <row r="56" spans="1:10">
      <c r="H56" s="95"/>
    </row>
  </sheetData>
  <autoFilter ref="A6:M6" xr:uid="{00000000-0001-0000-0500-000000000000}"/>
  <mergeCells count="8">
    <mergeCell ref="A54:D54"/>
    <mergeCell ref="B5:D5"/>
    <mergeCell ref="E5:G5"/>
    <mergeCell ref="H5:J5"/>
    <mergeCell ref="A4:M4"/>
    <mergeCell ref="A1:J1"/>
    <mergeCell ref="A2:J2"/>
    <mergeCell ref="A3:J3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dimension ref="A1:G9"/>
  <sheetViews>
    <sheetView rightToLeft="1" view="pageBreakPreview" zoomScale="106" zoomScaleNormal="106" zoomScaleSheetLayoutView="106" workbookViewId="0">
      <selection activeCell="G18" sqref="G18"/>
    </sheetView>
  </sheetViews>
  <sheetFormatPr defaultColWidth="9" defaultRowHeight="18"/>
  <cols>
    <col min="1" max="1" width="28.42578125" style="35" customWidth="1"/>
    <col min="2" max="7" width="13" style="35" customWidth="1"/>
    <col min="8" max="8" width="9" style="1" customWidth="1"/>
    <col min="9" max="16384" width="9" style="1"/>
  </cols>
  <sheetData>
    <row r="1" spans="1:7">
      <c r="A1" s="73" t="s">
        <v>1</v>
      </c>
      <c r="B1" s="73"/>
      <c r="C1" s="73"/>
      <c r="D1" s="73"/>
      <c r="E1" s="73"/>
      <c r="F1" s="73"/>
      <c r="G1" s="73"/>
    </row>
    <row r="2" spans="1:7">
      <c r="A2" s="73" t="s">
        <v>110</v>
      </c>
      <c r="B2" s="73"/>
      <c r="C2" s="73"/>
      <c r="D2" s="73"/>
      <c r="E2" s="73"/>
      <c r="F2" s="73"/>
      <c r="G2" s="73"/>
    </row>
    <row r="3" spans="1:7">
      <c r="A3" s="73" t="s">
        <v>7</v>
      </c>
      <c r="B3" s="73"/>
      <c r="C3" s="73"/>
      <c r="D3" s="73"/>
      <c r="E3" s="73"/>
      <c r="F3" s="73"/>
      <c r="G3" s="73"/>
    </row>
    <row r="4" spans="1:7" ht="18.75">
      <c r="A4" s="66" t="s">
        <v>171</v>
      </c>
      <c r="B4" s="66"/>
      <c r="C4" s="23"/>
      <c r="D4" s="23"/>
      <c r="E4" s="23"/>
      <c r="F4" s="23"/>
      <c r="G4" s="23"/>
    </row>
    <row r="5" spans="1:7" ht="16.5" customHeight="1">
      <c r="A5" s="17"/>
      <c r="B5" s="72" t="s">
        <v>125</v>
      </c>
      <c r="C5" s="70"/>
      <c r="D5" s="70"/>
      <c r="E5" s="72" t="s">
        <v>126</v>
      </c>
      <c r="F5" s="70"/>
      <c r="G5" s="70"/>
    </row>
    <row r="6" spans="1:7" ht="38.25" customHeight="1">
      <c r="A6" s="37" t="s">
        <v>113</v>
      </c>
      <c r="B6" s="38" t="s">
        <v>169</v>
      </c>
      <c r="C6" s="38" t="s">
        <v>131</v>
      </c>
      <c r="D6" s="38" t="s">
        <v>170</v>
      </c>
      <c r="E6" s="38" t="s">
        <v>169</v>
      </c>
      <c r="F6" s="38" t="s">
        <v>131</v>
      </c>
      <c r="G6" s="38" t="s">
        <v>170</v>
      </c>
    </row>
    <row r="7" spans="1:7" ht="23.1" customHeight="1">
      <c r="A7" s="113" t="s">
        <v>106</v>
      </c>
      <c r="B7" s="114">
        <v>0</v>
      </c>
      <c r="C7" s="114">
        <v>0</v>
      </c>
      <c r="D7" s="114">
        <v>0</v>
      </c>
      <c r="E7" s="114">
        <v>33252977</v>
      </c>
      <c r="F7" s="114">
        <v>547948</v>
      </c>
      <c r="G7" s="114">
        <v>33800925</v>
      </c>
    </row>
    <row r="8" spans="1:7" ht="23.1" customHeight="1" thickBot="1">
      <c r="A8" s="127" t="s">
        <v>88</v>
      </c>
      <c r="B8" s="128">
        <v>0</v>
      </c>
      <c r="C8" s="128">
        <v>0</v>
      </c>
      <c r="D8" s="128">
        <v>0</v>
      </c>
      <c r="E8" s="128">
        <v>33252977</v>
      </c>
      <c r="F8" s="128">
        <v>547948</v>
      </c>
      <c r="G8" s="128">
        <v>33800925</v>
      </c>
    </row>
    <row r="9" spans="1:7" ht="23.1" customHeight="1" thickTop="1">
      <c r="A9" s="19" t="s">
        <v>89</v>
      </c>
      <c r="B9" s="21"/>
      <c r="C9" s="21"/>
      <c r="D9" s="21"/>
      <c r="E9" s="21"/>
      <c r="F9" s="21"/>
      <c r="G9" s="21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horizontalDpi="4294967295" verticalDpi="4294967295" r:id="rId1"/>
  <headerFooter differentOddEven="1"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3"/>
  <sheetViews>
    <sheetView rightToLeft="1" view="pageBreakPreview" topLeftCell="A71" zoomScale="110" zoomScaleNormal="100" zoomScaleSheetLayoutView="110" workbookViewId="0">
      <selection activeCell="I7" sqref="I7:I91"/>
    </sheetView>
  </sheetViews>
  <sheetFormatPr defaultColWidth="9" defaultRowHeight="18"/>
  <cols>
    <col min="1" max="1" width="48.42578125" style="35" bestFit="1" customWidth="1"/>
    <col min="2" max="2" width="14.140625" style="35" bestFit="1" customWidth="1"/>
    <col min="3" max="3" width="18.7109375" style="35" bestFit="1" customWidth="1"/>
    <col min="4" max="4" width="19" style="35" bestFit="1" customWidth="1"/>
    <col min="5" max="5" width="22.5703125" style="35" customWidth="1"/>
    <col min="6" max="6" width="14.7109375" style="35" bestFit="1" customWidth="1"/>
    <col min="7" max="7" width="19.42578125" style="35" bestFit="1" customWidth="1"/>
    <col min="8" max="8" width="20.28515625" style="35" bestFit="1" customWidth="1"/>
    <col min="9" max="9" width="22.5703125" style="35" customWidth="1"/>
    <col min="10" max="16384" width="9" style="1"/>
  </cols>
  <sheetData>
    <row r="1" spans="1:9">
      <c r="A1" s="67" t="s">
        <v>1</v>
      </c>
      <c r="B1" s="67"/>
      <c r="C1" s="67"/>
      <c r="D1" s="67"/>
      <c r="E1" s="67"/>
      <c r="F1" s="67"/>
      <c r="G1" s="67"/>
      <c r="H1" s="67"/>
      <c r="I1" s="67"/>
    </row>
    <row r="2" spans="1:9">
      <c r="A2" s="67" t="s">
        <v>110</v>
      </c>
      <c r="B2" s="67"/>
      <c r="C2" s="67"/>
      <c r="D2" s="67"/>
      <c r="E2" s="67"/>
      <c r="F2" s="67"/>
      <c r="G2" s="67"/>
      <c r="H2" s="67"/>
      <c r="I2" s="67"/>
    </row>
    <row r="3" spans="1:9">
      <c r="A3" s="67" t="s">
        <v>111</v>
      </c>
      <c r="B3" s="67"/>
      <c r="C3" s="67"/>
      <c r="D3" s="67"/>
      <c r="E3" s="67"/>
      <c r="F3" s="67"/>
      <c r="G3" s="67"/>
      <c r="H3" s="67"/>
      <c r="I3" s="67"/>
    </row>
    <row r="4" spans="1:9" ht="18.75">
      <c r="A4" s="65" t="s">
        <v>172</v>
      </c>
      <c r="B4" s="66"/>
      <c r="C4" s="66"/>
      <c r="D4" s="66"/>
      <c r="E4" s="66"/>
      <c r="F4" s="66"/>
      <c r="G4" s="66"/>
      <c r="H4" s="66"/>
      <c r="I4" s="66"/>
    </row>
    <row r="5" spans="1:9" ht="16.5" customHeight="1">
      <c r="A5" s="23"/>
      <c r="B5" s="72" t="s">
        <v>125</v>
      </c>
      <c r="C5" s="70"/>
      <c r="D5" s="70"/>
      <c r="E5" s="70"/>
      <c r="F5" s="72" t="s">
        <v>126</v>
      </c>
      <c r="G5" s="70"/>
      <c r="H5" s="70"/>
      <c r="I5" s="70"/>
    </row>
    <row r="6" spans="1:9">
      <c r="A6" s="37" t="s">
        <v>113</v>
      </c>
      <c r="B6" s="34" t="s">
        <v>14</v>
      </c>
      <c r="C6" s="34" t="s">
        <v>173</v>
      </c>
      <c r="D6" s="34" t="s">
        <v>174</v>
      </c>
      <c r="E6" s="39" t="s">
        <v>175</v>
      </c>
      <c r="F6" s="34" t="s">
        <v>14</v>
      </c>
      <c r="G6" s="34" t="s">
        <v>16</v>
      </c>
      <c r="H6" s="34" t="s">
        <v>174</v>
      </c>
      <c r="I6" s="39" t="s">
        <v>175</v>
      </c>
    </row>
    <row r="7" spans="1:9" ht="23.1" customHeight="1">
      <c r="A7" s="99" t="s">
        <v>64</v>
      </c>
      <c r="B7" s="99"/>
      <c r="C7" s="99"/>
      <c r="D7" s="99"/>
      <c r="E7" s="99"/>
      <c r="F7" s="99">
        <v>203833</v>
      </c>
      <c r="G7" s="99">
        <v>937893063</v>
      </c>
      <c r="H7" s="99">
        <v>-971142413</v>
      </c>
      <c r="I7" s="99">
        <v>-55954453</v>
      </c>
    </row>
    <row r="8" spans="1:9" ht="23.1" customHeight="1">
      <c r="A8" s="99" t="s">
        <v>38</v>
      </c>
      <c r="B8" s="99">
        <v>3717891</v>
      </c>
      <c r="C8" s="99">
        <v>2291874085</v>
      </c>
      <c r="D8" s="99">
        <v>2141903835</v>
      </c>
      <c r="E8" s="99">
        <v>189042328</v>
      </c>
      <c r="F8" s="99">
        <v>13717891</v>
      </c>
      <c r="G8" s="99">
        <v>6096302422</v>
      </c>
      <c r="H8" s="99">
        <v>-8568884754</v>
      </c>
      <c r="I8" s="99">
        <v>-2057403174</v>
      </c>
    </row>
    <row r="9" spans="1:9" ht="23.1" customHeight="1">
      <c r="A9" s="99" t="s">
        <v>185</v>
      </c>
      <c r="B9" s="99"/>
      <c r="C9" s="99"/>
      <c r="D9" s="99"/>
      <c r="E9" s="99"/>
      <c r="F9" s="99">
        <v>2506063</v>
      </c>
      <c r="G9" s="99">
        <v>2214440847</v>
      </c>
      <c r="H9" s="99">
        <v>-3582657167</v>
      </c>
      <c r="I9" s="99">
        <v>-1205111876</v>
      </c>
    </row>
    <row r="10" spans="1:9" ht="23.1" customHeight="1">
      <c r="A10" s="99" t="s">
        <v>42</v>
      </c>
      <c r="B10" s="99">
        <v>176076</v>
      </c>
      <c r="C10" s="99">
        <v>830420076</v>
      </c>
      <c r="D10" s="99">
        <v>667437067</v>
      </c>
      <c r="E10" s="99">
        <v>83605362</v>
      </c>
      <c r="F10" s="99">
        <v>922082</v>
      </c>
      <c r="G10" s="99">
        <v>4075533206</v>
      </c>
      <c r="H10" s="99">
        <v>-3494398072</v>
      </c>
      <c r="I10" s="99">
        <v>154042267</v>
      </c>
    </row>
    <row r="11" spans="1:9" ht="23.1" customHeight="1">
      <c r="A11" s="99" t="s">
        <v>181</v>
      </c>
      <c r="B11" s="99"/>
      <c r="C11" s="99"/>
      <c r="D11" s="99"/>
      <c r="E11" s="99"/>
      <c r="F11" s="99">
        <v>1066372</v>
      </c>
      <c r="G11" s="99">
        <v>3053746934</v>
      </c>
      <c r="H11" s="99">
        <v>-3906022305</v>
      </c>
      <c r="I11" s="99">
        <v>-585067992</v>
      </c>
    </row>
    <row r="12" spans="1:9" ht="23.1" customHeight="1">
      <c r="A12" s="99" t="s">
        <v>44</v>
      </c>
      <c r="B12" s="99">
        <v>714642</v>
      </c>
      <c r="C12" s="99">
        <v>3650010256</v>
      </c>
      <c r="D12" s="99">
        <v>3459417315</v>
      </c>
      <c r="E12" s="99">
        <v>219027292</v>
      </c>
      <c r="F12" s="99">
        <v>4373119</v>
      </c>
      <c r="G12" s="99">
        <v>17047978691</v>
      </c>
      <c r="H12" s="99">
        <v>-14795362515</v>
      </c>
      <c r="I12" s="99">
        <v>-178789219</v>
      </c>
    </row>
    <row r="13" spans="1:9" ht="23.1" customHeight="1">
      <c r="A13" s="99" t="s">
        <v>31</v>
      </c>
      <c r="B13" s="99"/>
      <c r="C13" s="99"/>
      <c r="D13" s="99"/>
      <c r="E13" s="99"/>
      <c r="F13" s="99">
        <v>9158178</v>
      </c>
      <c r="G13" s="99">
        <v>4214033557</v>
      </c>
      <c r="H13" s="99">
        <v>-5700773892</v>
      </c>
      <c r="I13" s="99">
        <v>-1059088746</v>
      </c>
    </row>
    <row r="14" spans="1:9" ht="23.1" customHeight="1">
      <c r="A14" s="99" t="s">
        <v>71</v>
      </c>
      <c r="B14" s="99">
        <v>6400000</v>
      </c>
      <c r="C14" s="99">
        <v>4235802287</v>
      </c>
      <c r="D14" s="99">
        <v>3788040374</v>
      </c>
      <c r="E14" s="99">
        <v>480759626</v>
      </c>
      <c r="F14" s="99">
        <v>11512190</v>
      </c>
      <c r="G14" s="99">
        <v>7117167293</v>
      </c>
      <c r="H14" s="99">
        <v>-7440645205</v>
      </c>
      <c r="I14" s="99">
        <v>-50825065</v>
      </c>
    </row>
    <row r="15" spans="1:9" ht="23.1" customHeight="1">
      <c r="A15" s="99" t="s">
        <v>47</v>
      </c>
      <c r="B15" s="99">
        <v>7600000</v>
      </c>
      <c r="C15" s="99">
        <v>9981698636</v>
      </c>
      <c r="D15" s="99">
        <v>9482920864</v>
      </c>
      <c r="E15" s="99">
        <v>664093410</v>
      </c>
      <c r="F15" s="99">
        <v>23035960</v>
      </c>
      <c r="G15" s="99">
        <v>27438995019</v>
      </c>
      <c r="H15" s="99">
        <v>-30628705764</v>
      </c>
      <c r="I15" s="99">
        <v>-2294992678</v>
      </c>
    </row>
    <row r="16" spans="1:9" ht="23.1" customHeight="1">
      <c r="A16" s="99" t="s">
        <v>79</v>
      </c>
      <c r="B16" s="99"/>
      <c r="C16" s="99"/>
      <c r="D16" s="99"/>
      <c r="E16" s="99"/>
      <c r="F16" s="99">
        <v>346358</v>
      </c>
      <c r="G16" s="99">
        <v>1757582828</v>
      </c>
      <c r="H16" s="99">
        <v>-2211664105</v>
      </c>
      <c r="I16" s="99">
        <v>-562420012</v>
      </c>
    </row>
    <row r="17" spans="1:9" ht="23.1" customHeight="1">
      <c r="A17" s="99" t="s">
        <v>187</v>
      </c>
      <c r="B17" s="99"/>
      <c r="C17" s="99"/>
      <c r="D17" s="99"/>
      <c r="E17" s="99"/>
      <c r="F17" s="99">
        <v>2000000</v>
      </c>
      <c r="G17" s="99">
        <v>4254534000</v>
      </c>
      <c r="H17" s="99">
        <v>-4424013330</v>
      </c>
      <c r="I17" s="99">
        <v>-144013330</v>
      </c>
    </row>
    <row r="18" spans="1:9" ht="23.1" customHeight="1">
      <c r="A18" s="99" t="s">
        <v>37</v>
      </c>
      <c r="B18" s="99"/>
      <c r="C18" s="99"/>
      <c r="D18" s="99"/>
      <c r="E18" s="99"/>
      <c r="F18" s="99">
        <v>52184</v>
      </c>
      <c r="G18" s="99">
        <v>300291269</v>
      </c>
      <c r="H18" s="99">
        <v>-266834238</v>
      </c>
      <c r="I18" s="99">
        <v>35832962</v>
      </c>
    </row>
    <row r="19" spans="1:9" ht="23.1" customHeight="1">
      <c r="A19" s="99" t="s">
        <v>183</v>
      </c>
      <c r="B19" s="99"/>
      <c r="C19" s="99"/>
      <c r="D19" s="99"/>
      <c r="E19" s="99"/>
      <c r="F19" s="99">
        <v>863801</v>
      </c>
      <c r="G19" s="99">
        <v>3539496279</v>
      </c>
      <c r="H19" s="99">
        <v>-4156627198</v>
      </c>
      <c r="I19" s="99">
        <v>-586652166</v>
      </c>
    </row>
    <row r="20" spans="1:9" ht="23.1" customHeight="1">
      <c r="A20" s="99" t="s">
        <v>191</v>
      </c>
      <c r="B20" s="99"/>
      <c r="C20" s="99"/>
      <c r="D20" s="99"/>
      <c r="E20" s="99"/>
      <c r="F20" s="99">
        <v>652251</v>
      </c>
      <c r="G20" s="99">
        <v>2378374164</v>
      </c>
      <c r="H20" s="99">
        <v>-2663109282</v>
      </c>
      <c r="I20" s="99">
        <v>-490043326</v>
      </c>
    </row>
    <row r="21" spans="1:9" ht="23.1" customHeight="1">
      <c r="A21" s="99" t="s">
        <v>46</v>
      </c>
      <c r="B21" s="99"/>
      <c r="C21" s="99"/>
      <c r="D21" s="99"/>
      <c r="E21" s="99"/>
      <c r="F21" s="99">
        <v>16014</v>
      </c>
      <c r="G21" s="99">
        <v>430693752</v>
      </c>
      <c r="H21" s="99">
        <v>-477125771</v>
      </c>
      <c r="I21" s="99">
        <v>-61699451</v>
      </c>
    </row>
    <row r="22" spans="1:9" ht="23.1" customHeight="1">
      <c r="A22" s="99" t="s">
        <v>67</v>
      </c>
      <c r="B22" s="99">
        <v>98642</v>
      </c>
      <c r="C22" s="99">
        <v>593149768</v>
      </c>
      <c r="D22" s="99">
        <v>573694851</v>
      </c>
      <c r="E22" s="99">
        <v>-20957037</v>
      </c>
      <c r="F22" s="99">
        <v>239191</v>
      </c>
      <c r="G22" s="99">
        <v>1405680045</v>
      </c>
      <c r="H22" s="99">
        <v>-1391117831</v>
      </c>
      <c r="I22" s="99">
        <v>-84258714</v>
      </c>
    </row>
    <row r="23" spans="1:9" ht="23.1" customHeight="1">
      <c r="A23" s="99" t="s">
        <v>32</v>
      </c>
      <c r="B23" s="99">
        <v>654066</v>
      </c>
      <c r="C23" s="99">
        <v>3689360632</v>
      </c>
      <c r="D23" s="99">
        <v>2806959730</v>
      </c>
      <c r="E23" s="99">
        <v>893206721</v>
      </c>
      <c r="F23" s="99">
        <v>2899312</v>
      </c>
      <c r="G23" s="99">
        <v>15060563107</v>
      </c>
      <c r="H23" s="99">
        <v>-12069170777</v>
      </c>
      <c r="I23" s="99">
        <v>3006003890</v>
      </c>
    </row>
    <row r="24" spans="1:9" ht="23.1" customHeight="1">
      <c r="A24" s="99" t="s">
        <v>49</v>
      </c>
      <c r="B24" s="99">
        <v>149579</v>
      </c>
      <c r="C24" s="99">
        <v>954358332</v>
      </c>
      <c r="D24" s="99">
        <v>536473131</v>
      </c>
      <c r="E24" s="99">
        <v>431618287</v>
      </c>
      <c r="F24" s="99">
        <v>149579</v>
      </c>
      <c r="G24" s="99">
        <v>954358332</v>
      </c>
      <c r="H24" s="99">
        <v>-536473131</v>
      </c>
      <c r="I24" s="99">
        <v>431618287</v>
      </c>
    </row>
    <row r="25" spans="1:9" ht="23.1" customHeight="1">
      <c r="A25" s="99" t="s">
        <v>74</v>
      </c>
      <c r="B25" s="99">
        <v>23972</v>
      </c>
      <c r="C25" s="99">
        <v>494287566</v>
      </c>
      <c r="D25" s="99">
        <v>527886221</v>
      </c>
      <c r="E25" s="99">
        <v>-67985380</v>
      </c>
      <c r="F25" s="99">
        <v>28689</v>
      </c>
      <c r="G25" s="99">
        <v>594536975</v>
      </c>
      <c r="H25" s="99">
        <v>-632133717</v>
      </c>
      <c r="I25" s="99">
        <v>-79623444</v>
      </c>
    </row>
    <row r="26" spans="1:9" ht="23.1" customHeight="1">
      <c r="A26" s="99" t="s">
        <v>77</v>
      </c>
      <c r="B26" s="99">
        <v>816286</v>
      </c>
      <c r="C26" s="99">
        <v>2783117772</v>
      </c>
      <c r="D26" s="99">
        <v>2281647885</v>
      </c>
      <c r="E26" s="99">
        <v>530055880</v>
      </c>
      <c r="F26" s="99">
        <v>3202137</v>
      </c>
      <c r="G26" s="99">
        <v>9877284167</v>
      </c>
      <c r="H26" s="99">
        <v>-8641661049</v>
      </c>
      <c r="I26" s="99">
        <v>1336617560</v>
      </c>
    </row>
    <row r="27" spans="1:9" ht="23.1" customHeight="1">
      <c r="A27" s="99" t="s">
        <v>72</v>
      </c>
      <c r="B27" s="99">
        <v>10775</v>
      </c>
      <c r="C27" s="99">
        <v>494277738</v>
      </c>
      <c r="D27" s="99">
        <v>765534841</v>
      </c>
      <c r="E27" s="99">
        <v>-219169360</v>
      </c>
      <c r="F27" s="99">
        <v>19506</v>
      </c>
      <c r="G27" s="99">
        <v>965105893</v>
      </c>
      <c r="H27" s="99">
        <v>-1409657286</v>
      </c>
      <c r="I27" s="99">
        <v>-344801360</v>
      </c>
    </row>
    <row r="28" spans="1:9" ht="23.1" customHeight="1">
      <c r="A28" s="99" t="s">
        <v>152</v>
      </c>
      <c r="B28" s="99"/>
      <c r="C28" s="99"/>
      <c r="D28" s="99"/>
      <c r="E28" s="99"/>
      <c r="F28" s="99">
        <v>3264919</v>
      </c>
      <c r="G28" s="99">
        <v>11121473173</v>
      </c>
      <c r="H28" s="99">
        <v>-12322027187</v>
      </c>
      <c r="I28" s="99">
        <v>-833263239</v>
      </c>
    </row>
    <row r="29" spans="1:9" ht="23.1" customHeight="1">
      <c r="A29" s="99" t="s">
        <v>36</v>
      </c>
      <c r="B29" s="99">
        <v>4965</v>
      </c>
      <c r="C29" s="99">
        <v>1482332824</v>
      </c>
      <c r="D29" s="99">
        <v>1422611426</v>
      </c>
      <c r="E29" s="99">
        <v>77421965</v>
      </c>
      <c r="F29" s="99">
        <v>10971</v>
      </c>
      <c r="G29" s="99">
        <v>3239097234</v>
      </c>
      <c r="H29" s="99">
        <v>-3140884281</v>
      </c>
      <c r="I29" s="99">
        <v>137263565</v>
      </c>
    </row>
    <row r="30" spans="1:9" ht="23.1" customHeight="1">
      <c r="A30" s="99" t="s">
        <v>58</v>
      </c>
      <c r="B30" s="99">
        <v>35654</v>
      </c>
      <c r="C30" s="99">
        <v>1977238859</v>
      </c>
      <c r="D30" s="99">
        <v>2351863027</v>
      </c>
      <c r="E30" s="99">
        <v>-336495095</v>
      </c>
      <c r="F30" s="99">
        <v>43444</v>
      </c>
      <c r="G30" s="99">
        <v>2391166805</v>
      </c>
      <c r="H30" s="99">
        <v>-2904752591</v>
      </c>
      <c r="I30" s="99">
        <v>-465240453</v>
      </c>
    </row>
    <row r="31" spans="1:9" ht="23.1" customHeight="1">
      <c r="A31" s="99" t="s">
        <v>35</v>
      </c>
      <c r="B31" s="99">
        <v>20129</v>
      </c>
      <c r="C31" s="99">
        <v>1977167154</v>
      </c>
      <c r="D31" s="99">
        <v>1824065049</v>
      </c>
      <c r="E31" s="99">
        <v>167092500</v>
      </c>
      <c r="F31" s="99">
        <v>29006</v>
      </c>
      <c r="G31" s="99">
        <v>2770729207</v>
      </c>
      <c r="H31" s="99">
        <v>-2629198150</v>
      </c>
      <c r="I31" s="99">
        <v>159471080</v>
      </c>
    </row>
    <row r="32" spans="1:9" ht="23.1" customHeight="1">
      <c r="A32" s="99" t="s">
        <v>178</v>
      </c>
      <c r="B32" s="99"/>
      <c r="C32" s="99"/>
      <c r="D32" s="99"/>
      <c r="E32" s="99"/>
      <c r="F32" s="99">
        <v>24846</v>
      </c>
      <c r="G32" s="99">
        <v>4325078243</v>
      </c>
      <c r="H32" s="99">
        <v>-4407812928</v>
      </c>
      <c r="I32" s="99">
        <v>-179665178</v>
      </c>
    </row>
    <row r="33" spans="1:9" ht="23.1" customHeight="1">
      <c r="A33" s="99" t="s">
        <v>60</v>
      </c>
      <c r="B33" s="99">
        <v>44260</v>
      </c>
      <c r="C33" s="99">
        <v>1977182530</v>
      </c>
      <c r="D33" s="99">
        <v>1787461362</v>
      </c>
      <c r="E33" s="99">
        <v>232588373</v>
      </c>
      <c r="F33" s="99">
        <v>54990</v>
      </c>
      <c r="G33" s="99">
        <v>2357019978</v>
      </c>
      <c r="H33" s="99">
        <v>-2204386509</v>
      </c>
      <c r="I33" s="99">
        <v>228415045</v>
      </c>
    </row>
    <row r="34" spans="1:9" ht="23.1" customHeight="1">
      <c r="A34" s="99" t="s">
        <v>25</v>
      </c>
      <c r="B34" s="99">
        <v>52433</v>
      </c>
      <c r="C34" s="99">
        <v>2200674086</v>
      </c>
      <c r="D34" s="99">
        <v>2582909170</v>
      </c>
      <c r="E34" s="99">
        <v>-232763182</v>
      </c>
      <c r="F34" s="99">
        <v>140958</v>
      </c>
      <c r="G34" s="99">
        <v>5824326639</v>
      </c>
      <c r="H34" s="99">
        <v>-6978307758</v>
      </c>
      <c r="I34" s="99">
        <v>-732656956</v>
      </c>
    </row>
    <row r="35" spans="1:9" ht="23.1" customHeight="1">
      <c r="A35" s="99" t="s">
        <v>82</v>
      </c>
      <c r="B35" s="99">
        <v>20927</v>
      </c>
      <c r="C35" s="99">
        <v>4257384163</v>
      </c>
      <c r="D35" s="99">
        <v>3746785943</v>
      </c>
      <c r="E35" s="99">
        <v>1270445409</v>
      </c>
      <c r="F35" s="99">
        <v>22683</v>
      </c>
      <c r="G35" s="99">
        <v>4557739316</v>
      </c>
      <c r="H35" s="99">
        <v>-4061181514</v>
      </c>
      <c r="I35" s="99">
        <v>1319757748</v>
      </c>
    </row>
    <row r="36" spans="1:9" ht="23.1" customHeight="1">
      <c r="A36" s="99" t="s">
        <v>86</v>
      </c>
      <c r="B36" s="99">
        <v>121192</v>
      </c>
      <c r="C36" s="99">
        <v>11526459671</v>
      </c>
      <c r="D36" s="99">
        <v>10015803524</v>
      </c>
      <c r="E36" s="99">
        <v>1600449676</v>
      </c>
      <c r="F36" s="99">
        <v>371192</v>
      </c>
      <c r="G36" s="99">
        <v>27828879822</v>
      </c>
      <c r="H36" s="99">
        <v>-26095390453</v>
      </c>
      <c r="I36" s="99">
        <v>1920862747</v>
      </c>
    </row>
    <row r="37" spans="1:9" ht="23.1" customHeight="1">
      <c r="A37" s="99" t="s">
        <v>188</v>
      </c>
      <c r="B37" s="99"/>
      <c r="C37" s="99"/>
      <c r="D37" s="99"/>
      <c r="E37" s="99"/>
      <c r="F37" s="99">
        <v>1707968</v>
      </c>
      <c r="G37" s="99">
        <v>3230411896</v>
      </c>
      <c r="H37" s="99">
        <v>-3305290869</v>
      </c>
      <c r="I37" s="99">
        <v>-315643873</v>
      </c>
    </row>
    <row r="38" spans="1:9" ht="23.1" customHeight="1">
      <c r="A38" s="99" t="s">
        <v>23</v>
      </c>
      <c r="B38" s="99">
        <v>549981</v>
      </c>
      <c r="C38" s="99">
        <v>3750650905</v>
      </c>
      <c r="D38" s="99">
        <v>4286425803</v>
      </c>
      <c r="E38" s="99">
        <v>-506338683</v>
      </c>
      <c r="F38" s="99">
        <v>645675</v>
      </c>
      <c r="G38" s="99">
        <v>4472677980</v>
      </c>
      <c r="H38" s="99">
        <v>-5038812267</v>
      </c>
      <c r="I38" s="99">
        <v>-532334644</v>
      </c>
    </row>
    <row r="39" spans="1:9" ht="23.1" customHeight="1">
      <c r="A39" s="99" t="s">
        <v>180</v>
      </c>
      <c r="B39" s="99"/>
      <c r="C39" s="99"/>
      <c r="D39" s="99"/>
      <c r="E39" s="99"/>
      <c r="F39" s="99">
        <v>1315388</v>
      </c>
      <c r="G39" s="99">
        <v>1759344879</v>
      </c>
      <c r="H39" s="99">
        <v>-2578550033</v>
      </c>
      <c r="I39" s="99">
        <v>-697492873</v>
      </c>
    </row>
    <row r="40" spans="1:9" ht="23.1" customHeight="1">
      <c r="A40" s="99" t="s">
        <v>53</v>
      </c>
      <c r="B40" s="99"/>
      <c r="C40" s="99"/>
      <c r="D40" s="99"/>
      <c r="E40" s="99"/>
      <c r="F40" s="99">
        <v>438543</v>
      </c>
      <c r="G40" s="99">
        <v>1605993629</v>
      </c>
      <c r="H40" s="99">
        <v>-2307712342</v>
      </c>
      <c r="I40" s="99">
        <v>-869215481</v>
      </c>
    </row>
    <row r="41" spans="1:9" ht="23.1" customHeight="1">
      <c r="A41" s="99" t="s">
        <v>45</v>
      </c>
      <c r="B41" s="99">
        <v>405991</v>
      </c>
      <c r="C41" s="99">
        <v>985975086</v>
      </c>
      <c r="D41" s="99">
        <v>1114617878</v>
      </c>
      <c r="E41" s="99">
        <v>-116766719</v>
      </c>
      <c r="F41" s="99">
        <v>478054</v>
      </c>
      <c r="G41" s="99">
        <v>1186550925</v>
      </c>
      <c r="H41" s="99">
        <v>-1315983361</v>
      </c>
      <c r="I41" s="99">
        <v>-115494515</v>
      </c>
    </row>
    <row r="42" spans="1:9" ht="23.1" customHeight="1">
      <c r="A42" s="99" t="s">
        <v>41</v>
      </c>
      <c r="B42" s="99"/>
      <c r="C42" s="99"/>
      <c r="D42" s="99"/>
      <c r="E42" s="99"/>
      <c r="F42" s="99">
        <v>299792</v>
      </c>
      <c r="G42" s="99">
        <v>2150775526</v>
      </c>
      <c r="H42" s="99">
        <v>-2205329585</v>
      </c>
      <c r="I42" s="99">
        <v>-86528470</v>
      </c>
    </row>
    <row r="43" spans="1:9" ht="23.1" customHeight="1">
      <c r="A43" s="99" t="s">
        <v>70</v>
      </c>
      <c r="B43" s="99">
        <v>8237547</v>
      </c>
      <c r="C43" s="99">
        <v>3485951514</v>
      </c>
      <c r="D43" s="99">
        <v>4141602927</v>
      </c>
      <c r="E43" s="99">
        <v>-352283668</v>
      </c>
      <c r="F43" s="99">
        <v>11937547</v>
      </c>
      <c r="G43" s="99">
        <v>4842986339</v>
      </c>
      <c r="H43" s="99">
        <v>-6162934756</v>
      </c>
      <c r="I43" s="99">
        <v>-823976168</v>
      </c>
    </row>
    <row r="44" spans="1:9" ht="23.1" customHeight="1">
      <c r="A44" s="99" t="s">
        <v>28</v>
      </c>
      <c r="B44" s="99">
        <v>1200000</v>
      </c>
      <c r="C44" s="99">
        <v>654898218</v>
      </c>
      <c r="D44" s="99">
        <v>620298031</v>
      </c>
      <c r="E44" s="99">
        <v>39701969</v>
      </c>
      <c r="F44" s="99">
        <v>8348792</v>
      </c>
      <c r="G44" s="99">
        <v>3490294770</v>
      </c>
      <c r="H44" s="99">
        <v>-4562876865</v>
      </c>
      <c r="I44" s="99">
        <v>-957428304</v>
      </c>
    </row>
    <row r="45" spans="1:9" ht="23.1" customHeight="1">
      <c r="A45" s="99" t="s">
        <v>136</v>
      </c>
      <c r="B45" s="99"/>
      <c r="C45" s="99"/>
      <c r="D45" s="99"/>
      <c r="E45" s="99"/>
      <c r="F45" s="99">
        <v>212091</v>
      </c>
      <c r="G45" s="99">
        <v>1108960870</v>
      </c>
      <c r="H45" s="99">
        <v>-1715874020</v>
      </c>
      <c r="I45" s="99">
        <v>-558384067</v>
      </c>
    </row>
    <row r="46" spans="1:9" ht="23.1" customHeight="1">
      <c r="A46" s="99" t="s">
        <v>43</v>
      </c>
      <c r="B46" s="99">
        <v>182659</v>
      </c>
      <c r="C46" s="99">
        <v>2471592441</v>
      </c>
      <c r="D46" s="99">
        <v>2727463745</v>
      </c>
      <c r="E46" s="99">
        <v>-228496382</v>
      </c>
      <c r="F46" s="99">
        <v>836614</v>
      </c>
      <c r="G46" s="99">
        <v>11067145031</v>
      </c>
      <c r="H46" s="99">
        <v>-12968230221</v>
      </c>
      <c r="I46" s="99">
        <v>-1767805432</v>
      </c>
    </row>
    <row r="47" spans="1:9" ht="23.1" customHeight="1">
      <c r="A47" s="99" t="s">
        <v>85</v>
      </c>
      <c r="B47" s="99">
        <v>3153072</v>
      </c>
      <c r="C47" s="99">
        <v>5048967551</v>
      </c>
      <c r="D47" s="99">
        <v>4902469489</v>
      </c>
      <c r="E47" s="99">
        <v>230025762</v>
      </c>
      <c r="F47" s="99">
        <v>7874323</v>
      </c>
      <c r="G47" s="99">
        <v>11065485285</v>
      </c>
      <c r="H47" s="99">
        <v>-12276592477</v>
      </c>
      <c r="I47" s="99">
        <v>-1014803865</v>
      </c>
    </row>
    <row r="48" spans="1:9" ht="23.1" customHeight="1">
      <c r="A48" s="99" t="s">
        <v>50</v>
      </c>
      <c r="B48" s="99">
        <v>114451</v>
      </c>
      <c r="C48" s="99">
        <v>197718922</v>
      </c>
      <c r="D48" s="99">
        <v>199745762</v>
      </c>
      <c r="E48" s="99">
        <v>-4161600</v>
      </c>
      <c r="F48" s="99">
        <v>738220</v>
      </c>
      <c r="G48" s="99">
        <v>1224645032</v>
      </c>
      <c r="H48" s="99">
        <v>-1288379450</v>
      </c>
      <c r="I48" s="99">
        <v>-79173339</v>
      </c>
    </row>
    <row r="49" spans="1:9" ht="23.1" customHeight="1">
      <c r="A49" s="99" t="s">
        <v>24</v>
      </c>
      <c r="B49" s="99">
        <v>600000</v>
      </c>
      <c r="C49" s="99">
        <v>3572172023</v>
      </c>
      <c r="D49" s="99">
        <v>2874028495</v>
      </c>
      <c r="E49" s="99">
        <v>653082463</v>
      </c>
      <c r="F49" s="99">
        <v>708297</v>
      </c>
      <c r="G49" s="99">
        <v>4079318970</v>
      </c>
      <c r="H49" s="99">
        <v>-3354033695</v>
      </c>
      <c r="I49" s="99">
        <v>663251530</v>
      </c>
    </row>
    <row r="50" spans="1:9" ht="23.1" customHeight="1">
      <c r="A50" s="99" t="s">
        <v>61</v>
      </c>
      <c r="B50" s="99">
        <v>861675</v>
      </c>
      <c r="C50" s="99">
        <v>2036983209</v>
      </c>
      <c r="D50" s="99">
        <v>1868607508</v>
      </c>
      <c r="E50" s="99">
        <v>246180685</v>
      </c>
      <c r="F50" s="99">
        <v>3931028</v>
      </c>
      <c r="G50" s="99">
        <v>8502469350</v>
      </c>
      <c r="H50" s="99">
        <v>-8554135155</v>
      </c>
      <c r="I50" s="99">
        <v>308098424</v>
      </c>
    </row>
    <row r="51" spans="1:9" ht="23.1" customHeight="1">
      <c r="A51" s="99" t="s">
        <v>186</v>
      </c>
      <c r="B51" s="99"/>
      <c r="C51" s="99"/>
      <c r="D51" s="99"/>
      <c r="E51" s="99"/>
      <c r="F51" s="99">
        <v>2652068</v>
      </c>
      <c r="G51" s="99">
        <v>5610368086</v>
      </c>
      <c r="H51" s="99">
        <v>-6117143353</v>
      </c>
      <c r="I51" s="99">
        <v>-933589506</v>
      </c>
    </row>
    <row r="52" spans="1:9" ht="23.1" customHeight="1">
      <c r="A52" s="99" t="s">
        <v>179</v>
      </c>
      <c r="B52" s="99"/>
      <c r="C52" s="99"/>
      <c r="D52" s="99"/>
      <c r="E52" s="99"/>
      <c r="F52" s="99">
        <v>89688</v>
      </c>
      <c r="G52" s="99">
        <v>2314905765</v>
      </c>
      <c r="H52" s="99">
        <v>-2461373755</v>
      </c>
      <c r="I52" s="99">
        <v>-338736529</v>
      </c>
    </row>
    <row r="53" spans="1:9" ht="23.1" customHeight="1">
      <c r="A53" s="99" t="s">
        <v>176</v>
      </c>
      <c r="B53" s="99"/>
      <c r="C53" s="99"/>
      <c r="D53" s="99"/>
      <c r="E53" s="99"/>
      <c r="F53" s="99">
        <v>795447</v>
      </c>
      <c r="G53" s="99">
        <v>4137126571</v>
      </c>
      <c r="H53" s="99">
        <v>-4839171559</v>
      </c>
      <c r="I53" s="99">
        <v>-677280461</v>
      </c>
    </row>
    <row r="54" spans="1:9" ht="23.1" customHeight="1">
      <c r="A54" s="99" t="s">
        <v>161</v>
      </c>
      <c r="B54" s="99"/>
      <c r="C54" s="99"/>
      <c r="D54" s="99"/>
      <c r="E54" s="99"/>
      <c r="F54" s="99">
        <v>154440</v>
      </c>
      <c r="G54" s="99">
        <v>2178917053</v>
      </c>
      <c r="H54" s="99">
        <v>-2989778871</v>
      </c>
      <c r="I54" s="99">
        <v>-1111814487</v>
      </c>
    </row>
    <row r="55" spans="1:9" ht="23.1" customHeight="1">
      <c r="A55" s="99" t="s">
        <v>177</v>
      </c>
      <c r="B55" s="99"/>
      <c r="C55" s="99"/>
      <c r="D55" s="99"/>
      <c r="E55" s="99"/>
      <c r="F55" s="99">
        <v>444741</v>
      </c>
      <c r="G55" s="99">
        <v>4732346019</v>
      </c>
      <c r="H55" s="99">
        <v>-6548854441</v>
      </c>
      <c r="I55" s="99">
        <v>-876036610</v>
      </c>
    </row>
    <row r="56" spans="1:9" ht="23.1" customHeight="1">
      <c r="A56" s="99" t="s">
        <v>157</v>
      </c>
      <c r="B56" s="99"/>
      <c r="C56" s="99"/>
      <c r="D56" s="99"/>
      <c r="E56" s="99"/>
      <c r="F56" s="99">
        <v>272649</v>
      </c>
      <c r="G56" s="99">
        <v>3857499558</v>
      </c>
      <c r="H56" s="99">
        <v>-6872789848</v>
      </c>
      <c r="I56" s="99">
        <v>-2672837539</v>
      </c>
    </row>
    <row r="57" spans="1:9" ht="23.1" customHeight="1">
      <c r="A57" s="99" t="s">
        <v>30</v>
      </c>
      <c r="B57" s="99">
        <v>331476</v>
      </c>
      <c r="C57" s="99">
        <v>4259263038</v>
      </c>
      <c r="D57" s="99">
        <v>3833845515</v>
      </c>
      <c r="E57" s="99">
        <v>588719663</v>
      </c>
      <c r="F57" s="99">
        <v>685453</v>
      </c>
      <c r="G57" s="99">
        <v>8117465157</v>
      </c>
      <c r="H57" s="99">
        <v>-7707211496</v>
      </c>
      <c r="I57" s="99">
        <v>784535618</v>
      </c>
    </row>
    <row r="58" spans="1:9" ht="23.1" customHeight="1">
      <c r="A58" s="99" t="s">
        <v>59</v>
      </c>
      <c r="B58" s="99">
        <v>71164</v>
      </c>
      <c r="C58" s="99">
        <v>494297325</v>
      </c>
      <c r="D58" s="99">
        <v>495530354</v>
      </c>
      <c r="E58" s="99">
        <v>2617646</v>
      </c>
      <c r="F58" s="99">
        <v>1129307</v>
      </c>
      <c r="G58" s="99">
        <v>7899892179</v>
      </c>
      <c r="H58" s="99">
        <v>-8355158518</v>
      </c>
      <c r="I58" s="99">
        <v>-635630030</v>
      </c>
    </row>
    <row r="59" spans="1:9" ht="23.1" customHeight="1">
      <c r="A59" s="99" t="s">
        <v>73</v>
      </c>
      <c r="B59" s="99">
        <v>30245</v>
      </c>
      <c r="C59" s="99">
        <v>494284568</v>
      </c>
      <c r="D59" s="99">
        <v>636708283</v>
      </c>
      <c r="E59" s="99">
        <v>-137700996</v>
      </c>
      <c r="F59" s="99">
        <v>74708</v>
      </c>
      <c r="G59" s="99">
        <v>1263950980</v>
      </c>
      <c r="H59" s="99">
        <v>-1595930496</v>
      </c>
      <c r="I59" s="99">
        <v>-320324183</v>
      </c>
    </row>
    <row r="60" spans="1:9" ht="23.1" customHeight="1">
      <c r="A60" s="99" t="s">
        <v>54</v>
      </c>
      <c r="B60" s="99">
        <v>12560</v>
      </c>
      <c r="C60" s="99">
        <v>494279068</v>
      </c>
      <c r="D60" s="99">
        <v>372324147</v>
      </c>
      <c r="E60" s="99">
        <v>154316528</v>
      </c>
      <c r="F60" s="99">
        <v>56805</v>
      </c>
      <c r="G60" s="99">
        <v>1996416070</v>
      </c>
      <c r="H60" s="99">
        <v>-1677954708</v>
      </c>
      <c r="I60" s="99">
        <v>465330848</v>
      </c>
    </row>
    <row r="61" spans="1:9" ht="23.1" customHeight="1">
      <c r="A61" s="99" t="s">
        <v>66</v>
      </c>
      <c r="B61" s="99">
        <v>42312</v>
      </c>
      <c r="C61" s="99">
        <v>3753412125</v>
      </c>
      <c r="D61" s="99">
        <v>3155883638</v>
      </c>
      <c r="E61" s="99">
        <v>429925749</v>
      </c>
      <c r="F61" s="99">
        <v>104414</v>
      </c>
      <c r="G61" s="99">
        <v>8754423792</v>
      </c>
      <c r="H61" s="99">
        <v>-7785411779</v>
      </c>
      <c r="I61" s="99">
        <v>539809856</v>
      </c>
    </row>
    <row r="62" spans="1:9" ht="23.1" customHeight="1">
      <c r="A62" s="99" t="s">
        <v>190</v>
      </c>
      <c r="B62" s="99"/>
      <c r="C62" s="99"/>
      <c r="D62" s="99"/>
      <c r="E62" s="99"/>
      <c r="F62" s="99">
        <v>1841351</v>
      </c>
      <c r="G62" s="99">
        <v>2320731585</v>
      </c>
      <c r="H62" s="99">
        <v>-3416588743</v>
      </c>
      <c r="I62" s="99">
        <v>-1090046480</v>
      </c>
    </row>
    <row r="63" spans="1:9" ht="23.1" customHeight="1">
      <c r="A63" s="99" t="s">
        <v>55</v>
      </c>
      <c r="B63" s="99">
        <v>799715</v>
      </c>
      <c r="C63" s="99">
        <v>7330801840</v>
      </c>
      <c r="D63" s="99">
        <v>7233806556</v>
      </c>
      <c r="E63" s="99">
        <v>328026077</v>
      </c>
      <c r="F63" s="99">
        <v>1750440</v>
      </c>
      <c r="G63" s="99">
        <v>14295239528</v>
      </c>
      <c r="H63" s="99">
        <v>-15797616348</v>
      </c>
      <c r="I63" s="99">
        <v>-888694636</v>
      </c>
    </row>
    <row r="64" spans="1:9" ht="23.1" customHeight="1">
      <c r="A64" s="99" t="s">
        <v>40</v>
      </c>
      <c r="B64" s="99">
        <v>84719</v>
      </c>
      <c r="C64" s="99">
        <v>494297046</v>
      </c>
      <c r="D64" s="99">
        <v>472796477</v>
      </c>
      <c r="E64" s="99">
        <v>12227619</v>
      </c>
      <c r="F64" s="99">
        <v>137912</v>
      </c>
      <c r="G64" s="99">
        <v>794589273</v>
      </c>
      <c r="H64" s="99">
        <v>-769653888</v>
      </c>
      <c r="I64" s="99">
        <v>9798375</v>
      </c>
    </row>
    <row r="65" spans="1:9" ht="23.1" customHeight="1">
      <c r="A65" s="99" t="s">
        <v>182</v>
      </c>
      <c r="B65" s="99"/>
      <c r="C65" s="99"/>
      <c r="D65" s="99"/>
      <c r="E65" s="99"/>
      <c r="F65" s="99">
        <v>509</v>
      </c>
      <c r="G65" s="99">
        <v>1808852</v>
      </c>
      <c r="H65" s="99">
        <v>-1618558</v>
      </c>
      <c r="I65" s="99">
        <v>201117</v>
      </c>
    </row>
    <row r="66" spans="1:9" ht="23.1" customHeight="1">
      <c r="A66" s="99" t="s">
        <v>56</v>
      </c>
      <c r="B66" s="99"/>
      <c r="C66" s="99"/>
      <c r="D66" s="99"/>
      <c r="E66" s="99"/>
      <c r="F66" s="99">
        <v>270451</v>
      </c>
      <c r="G66" s="99">
        <v>1732124939</v>
      </c>
      <c r="H66" s="99">
        <v>-2720484993</v>
      </c>
      <c r="I66" s="99">
        <v>-792685713</v>
      </c>
    </row>
    <row r="67" spans="1:9" ht="23.1" customHeight="1">
      <c r="A67" s="99" t="s">
        <v>192</v>
      </c>
      <c r="B67" s="99"/>
      <c r="C67" s="99"/>
      <c r="D67" s="99"/>
      <c r="E67" s="99"/>
      <c r="F67" s="99">
        <v>1009300</v>
      </c>
      <c r="G67" s="99">
        <v>2097500191</v>
      </c>
      <c r="H67" s="99">
        <v>-3214399579</v>
      </c>
      <c r="I67" s="99">
        <v>-981095912</v>
      </c>
    </row>
    <row r="68" spans="1:9" ht="23.1" customHeight="1">
      <c r="A68" s="99" t="s">
        <v>57</v>
      </c>
      <c r="B68" s="99">
        <v>124379</v>
      </c>
      <c r="C68" s="99">
        <v>305090227</v>
      </c>
      <c r="D68" s="99">
        <v>294690524</v>
      </c>
      <c r="E68" s="99">
        <v>12776410</v>
      </c>
      <c r="F68" s="99">
        <v>727884</v>
      </c>
      <c r="G68" s="99">
        <v>1796573849</v>
      </c>
      <c r="H68" s="99">
        <v>-2646553704</v>
      </c>
      <c r="I68" s="99">
        <v>-677699172</v>
      </c>
    </row>
    <row r="69" spans="1:9" ht="23.1" customHeight="1">
      <c r="A69" s="99" t="s">
        <v>81</v>
      </c>
      <c r="B69" s="99">
        <v>11295</v>
      </c>
      <c r="C69" s="99">
        <v>296555473</v>
      </c>
      <c r="D69" s="99">
        <v>247929215</v>
      </c>
      <c r="E69" s="99">
        <v>50936485</v>
      </c>
      <c r="F69" s="99">
        <v>66049</v>
      </c>
      <c r="G69" s="99">
        <v>1731549273</v>
      </c>
      <c r="H69" s="99">
        <v>-1449798735</v>
      </c>
      <c r="I69" s="99">
        <v>293542056</v>
      </c>
    </row>
    <row r="70" spans="1:9" ht="23.1" customHeight="1">
      <c r="A70" s="99" t="s">
        <v>69</v>
      </c>
      <c r="B70" s="99">
        <v>1540013</v>
      </c>
      <c r="C70" s="99">
        <v>2857109655</v>
      </c>
      <c r="D70" s="99">
        <v>2815908111</v>
      </c>
      <c r="E70" s="99">
        <v>63459001</v>
      </c>
      <c r="F70" s="99">
        <v>3091050</v>
      </c>
      <c r="G70" s="99">
        <v>5001778221</v>
      </c>
      <c r="H70" s="99">
        <v>-5881289735</v>
      </c>
      <c r="I70" s="99">
        <v>-583584677</v>
      </c>
    </row>
    <row r="71" spans="1:9" ht="23.1" customHeight="1">
      <c r="A71" s="99" t="s">
        <v>39</v>
      </c>
      <c r="B71" s="99">
        <v>481321</v>
      </c>
      <c r="C71" s="99">
        <v>1482704946</v>
      </c>
      <c r="D71" s="99">
        <v>1933418006</v>
      </c>
      <c r="E71" s="99">
        <v>-215364842</v>
      </c>
      <c r="F71" s="99">
        <v>2920408</v>
      </c>
      <c r="G71" s="99">
        <v>8050744966</v>
      </c>
      <c r="H71" s="99">
        <v>-12118739663</v>
      </c>
      <c r="I71" s="99">
        <v>-2494841801</v>
      </c>
    </row>
    <row r="72" spans="1:9" ht="23.1" customHeight="1">
      <c r="A72" s="99" t="s">
        <v>147</v>
      </c>
      <c r="B72" s="99"/>
      <c r="C72" s="99"/>
      <c r="D72" s="99"/>
      <c r="E72" s="99"/>
      <c r="F72" s="99">
        <v>269589</v>
      </c>
      <c r="G72" s="99">
        <v>1200219410</v>
      </c>
      <c r="H72" s="99">
        <v>-1624400248</v>
      </c>
      <c r="I72" s="99">
        <v>-499660653</v>
      </c>
    </row>
    <row r="73" spans="1:9" ht="23.1" customHeight="1">
      <c r="A73" s="99" t="s">
        <v>159</v>
      </c>
      <c r="B73" s="99"/>
      <c r="C73" s="99"/>
      <c r="D73" s="99"/>
      <c r="E73" s="99"/>
      <c r="F73" s="99">
        <v>1103257</v>
      </c>
      <c r="G73" s="99">
        <v>1204168535</v>
      </c>
      <c r="H73" s="99">
        <v>-2265526561</v>
      </c>
      <c r="I73" s="99">
        <v>-881034374</v>
      </c>
    </row>
    <row r="74" spans="1:9" ht="23.1" customHeight="1">
      <c r="A74" s="99" t="s">
        <v>26</v>
      </c>
      <c r="B74" s="99"/>
      <c r="C74" s="99"/>
      <c r="D74" s="99"/>
      <c r="E74" s="99"/>
      <c r="F74" s="99">
        <v>52094</v>
      </c>
      <c r="G74" s="99">
        <v>300290223</v>
      </c>
      <c r="H74" s="99">
        <v>-566031321</v>
      </c>
      <c r="I74" s="99">
        <v>-178323279</v>
      </c>
    </row>
    <row r="75" spans="1:9" ht="23.1" customHeight="1">
      <c r="A75" s="99" t="s">
        <v>184</v>
      </c>
      <c r="B75" s="99"/>
      <c r="C75" s="99"/>
      <c r="D75" s="99"/>
      <c r="E75" s="99"/>
      <c r="F75" s="99">
        <v>3137646</v>
      </c>
      <c r="G75" s="99">
        <v>6566575577</v>
      </c>
      <c r="H75" s="99">
        <v>-7649589408</v>
      </c>
      <c r="I75" s="99">
        <v>-598956422</v>
      </c>
    </row>
    <row r="76" spans="1:9" ht="23.1" customHeight="1">
      <c r="A76" s="99" t="s">
        <v>83</v>
      </c>
      <c r="B76" s="99"/>
      <c r="C76" s="99"/>
      <c r="D76" s="99"/>
      <c r="E76" s="99"/>
      <c r="F76" s="99">
        <v>630380</v>
      </c>
      <c r="G76" s="99">
        <v>3370736835</v>
      </c>
      <c r="H76" s="99">
        <v>-3318601516</v>
      </c>
      <c r="I76" s="99">
        <v>72889704</v>
      </c>
    </row>
    <row r="77" spans="1:9" ht="23.1" customHeight="1">
      <c r="A77" s="99" t="s">
        <v>29</v>
      </c>
      <c r="B77" s="99"/>
      <c r="C77" s="99"/>
      <c r="D77" s="99"/>
      <c r="E77" s="99"/>
      <c r="F77" s="99">
        <v>377903</v>
      </c>
      <c r="G77" s="99">
        <v>2058451850</v>
      </c>
      <c r="H77" s="99">
        <v>-1416264258</v>
      </c>
      <c r="I77" s="99">
        <v>324933732</v>
      </c>
    </row>
    <row r="78" spans="1:9" ht="23.1" customHeight="1">
      <c r="A78" s="99" t="s">
        <v>84</v>
      </c>
      <c r="B78" s="99">
        <v>92507</v>
      </c>
      <c r="C78" s="99">
        <v>296339877</v>
      </c>
      <c r="D78" s="99">
        <v>277037795</v>
      </c>
      <c r="E78" s="99">
        <v>21610622</v>
      </c>
      <c r="F78" s="99">
        <v>1068906</v>
      </c>
      <c r="G78" s="99">
        <v>3273923043</v>
      </c>
      <c r="H78" s="99">
        <v>-4434109814</v>
      </c>
      <c r="I78" s="99">
        <v>-805977059</v>
      </c>
    </row>
    <row r="79" spans="1:9" ht="23.1" customHeight="1">
      <c r="A79" s="99" t="s">
        <v>48</v>
      </c>
      <c r="B79" s="99"/>
      <c r="C79" s="99"/>
      <c r="D79" s="99"/>
      <c r="E79" s="99"/>
      <c r="F79" s="99">
        <v>91778</v>
      </c>
      <c r="G79" s="99">
        <v>1269847719</v>
      </c>
      <c r="H79" s="99">
        <v>-1353370732</v>
      </c>
      <c r="I79" s="99">
        <v>-246275177</v>
      </c>
    </row>
    <row r="80" spans="1:9" ht="23.1" customHeight="1">
      <c r="A80" s="99" t="s">
        <v>33</v>
      </c>
      <c r="B80" s="99">
        <v>97853</v>
      </c>
      <c r="C80" s="99">
        <v>7832066913</v>
      </c>
      <c r="D80" s="99">
        <v>6738602211</v>
      </c>
      <c r="E80" s="99">
        <v>1194161855</v>
      </c>
      <c r="F80" s="99">
        <v>189960</v>
      </c>
      <c r="G80" s="99">
        <v>13700365831</v>
      </c>
      <c r="H80" s="99">
        <v>-12591165962</v>
      </c>
      <c r="I80" s="99">
        <v>1324864955</v>
      </c>
    </row>
    <row r="81" spans="1:9" ht="23.1" customHeight="1">
      <c r="A81" s="99" t="s">
        <v>51</v>
      </c>
      <c r="B81" s="99"/>
      <c r="C81" s="99"/>
      <c r="D81" s="99"/>
      <c r="E81" s="99"/>
      <c r="F81" s="99">
        <v>521587</v>
      </c>
      <c r="G81" s="99">
        <v>1090104664</v>
      </c>
      <c r="H81" s="99">
        <v>-1274300080</v>
      </c>
      <c r="I81" s="99">
        <v>-172001380</v>
      </c>
    </row>
    <row r="82" spans="1:9" ht="23.1" customHeight="1">
      <c r="A82" s="99" t="s">
        <v>27</v>
      </c>
      <c r="B82" s="99">
        <v>400000</v>
      </c>
      <c r="C82" s="99">
        <v>1282053212</v>
      </c>
      <c r="D82" s="99">
        <v>1225135872</v>
      </c>
      <c r="E82" s="99">
        <v>66904792</v>
      </c>
      <c r="F82" s="99">
        <v>400000</v>
      </c>
      <c r="G82" s="99">
        <v>1282053212</v>
      </c>
      <c r="H82" s="99">
        <v>-1225135872</v>
      </c>
      <c r="I82" s="99">
        <v>66904792</v>
      </c>
    </row>
    <row r="83" spans="1:9" ht="23.1" customHeight="1">
      <c r="A83" s="99" t="s">
        <v>134</v>
      </c>
      <c r="B83" s="99"/>
      <c r="C83" s="99"/>
      <c r="D83" s="99"/>
      <c r="E83" s="99"/>
      <c r="F83" s="99">
        <v>411</v>
      </c>
      <c r="G83" s="99">
        <v>1074502</v>
      </c>
      <c r="H83" s="99">
        <v>-999240</v>
      </c>
      <c r="I83" s="99">
        <v>88545</v>
      </c>
    </row>
    <row r="84" spans="1:9" ht="23.1" customHeight="1">
      <c r="A84" s="99" t="s">
        <v>62</v>
      </c>
      <c r="B84" s="99">
        <v>68000</v>
      </c>
      <c r="C84" s="99">
        <v>1031643277</v>
      </c>
      <c r="D84" s="99">
        <v>828519012</v>
      </c>
      <c r="E84" s="99">
        <v>211160987</v>
      </c>
      <c r="F84" s="99">
        <v>161710</v>
      </c>
      <c r="G84" s="99">
        <v>2235996861</v>
      </c>
      <c r="H84" s="99">
        <v>-1970291315</v>
      </c>
      <c r="I84" s="99">
        <v>281522316</v>
      </c>
    </row>
    <row r="85" spans="1:9" ht="23.1" customHeight="1">
      <c r="A85" s="99" t="s">
        <v>65</v>
      </c>
      <c r="B85" s="99">
        <v>453000</v>
      </c>
      <c r="C85" s="99">
        <v>222444296</v>
      </c>
      <c r="D85" s="99">
        <v>214839805</v>
      </c>
      <c r="E85" s="99">
        <v>9337371</v>
      </c>
      <c r="F85" s="99">
        <v>5862634</v>
      </c>
      <c r="G85" s="99">
        <v>3310225670</v>
      </c>
      <c r="H85" s="99">
        <v>-3949069474</v>
      </c>
      <c r="I85" s="99">
        <v>-691631381</v>
      </c>
    </row>
    <row r="86" spans="1:9" ht="23.1" customHeight="1">
      <c r="A86" s="99" t="s">
        <v>138</v>
      </c>
      <c r="B86" s="99"/>
      <c r="C86" s="99"/>
      <c r="D86" s="99"/>
      <c r="E86" s="99"/>
      <c r="F86" s="99">
        <v>200675</v>
      </c>
      <c r="G86" s="99">
        <v>1000015663</v>
      </c>
      <c r="H86" s="99">
        <v>-1624413999</v>
      </c>
      <c r="I86" s="99">
        <v>-601815412</v>
      </c>
    </row>
    <row r="87" spans="1:9" ht="23.1" customHeight="1">
      <c r="A87" s="99" t="s">
        <v>189</v>
      </c>
      <c r="B87" s="99"/>
      <c r="C87" s="99"/>
      <c r="D87" s="99"/>
      <c r="E87" s="99"/>
      <c r="F87" s="99">
        <v>376281</v>
      </c>
      <c r="G87" s="99">
        <v>1524210658</v>
      </c>
      <c r="H87" s="99">
        <v>-2164257216</v>
      </c>
      <c r="I87" s="99">
        <v>-617408263</v>
      </c>
    </row>
    <row r="88" spans="1:9" ht="23.1" customHeight="1">
      <c r="A88" s="99" t="s">
        <v>52</v>
      </c>
      <c r="B88" s="99">
        <v>1228597</v>
      </c>
      <c r="C88" s="99">
        <v>12264094450</v>
      </c>
      <c r="D88" s="99">
        <v>9703656888</v>
      </c>
      <c r="E88" s="99">
        <v>3063146665</v>
      </c>
      <c r="F88" s="99">
        <v>3723645</v>
      </c>
      <c r="G88" s="99">
        <v>29760756334</v>
      </c>
      <c r="H88" s="99">
        <v>-28589133270</v>
      </c>
      <c r="I88" s="99">
        <v>3138577381</v>
      </c>
    </row>
    <row r="89" spans="1:9" ht="23.1" customHeight="1">
      <c r="A89" s="99" t="s">
        <v>34</v>
      </c>
      <c r="B89" s="99">
        <v>617109</v>
      </c>
      <c r="C89" s="99">
        <v>1465950149</v>
      </c>
      <c r="D89" s="99">
        <v>1109594708</v>
      </c>
      <c r="E89" s="99">
        <v>383190196</v>
      </c>
      <c r="F89" s="99">
        <v>2950945</v>
      </c>
      <c r="G89" s="99">
        <v>5664992632</v>
      </c>
      <c r="H89" s="99">
        <v>-5312648679</v>
      </c>
      <c r="I89" s="99">
        <v>466579023</v>
      </c>
    </row>
    <row r="90" spans="1:9" ht="23.1" customHeight="1">
      <c r="A90" s="99" t="s">
        <v>68</v>
      </c>
      <c r="B90" s="99">
        <v>394005</v>
      </c>
      <c r="C90" s="99">
        <v>3375185229</v>
      </c>
      <c r="D90" s="99">
        <v>2664630924</v>
      </c>
      <c r="E90" s="99">
        <v>736847716</v>
      </c>
      <c r="F90" s="99">
        <v>907694</v>
      </c>
      <c r="G90" s="99">
        <v>6078959728</v>
      </c>
      <c r="H90" s="99">
        <v>-6397945860</v>
      </c>
      <c r="I90" s="99">
        <v>-48140476</v>
      </c>
    </row>
    <row r="91" spans="1:9" ht="23.1" customHeight="1">
      <c r="A91" s="99" t="s">
        <v>78</v>
      </c>
      <c r="B91" s="99">
        <v>16052</v>
      </c>
      <c r="C91" s="99">
        <v>593017256</v>
      </c>
      <c r="D91" s="99">
        <v>584385979</v>
      </c>
      <c r="E91" s="99">
        <v>-252723</v>
      </c>
      <c r="F91" s="99">
        <v>36464</v>
      </c>
      <c r="G91" s="99">
        <v>1236995565</v>
      </c>
      <c r="H91" s="99">
        <v>-1327501267</v>
      </c>
      <c r="I91" s="99">
        <v>-111814678</v>
      </c>
    </row>
    <row r="92" spans="1:9" s="21" customFormat="1" ht="21.75" thickBot="1">
      <c r="A92" s="101" t="s">
        <v>88</v>
      </c>
      <c r="B92" s="102">
        <f>SUM(B7:B91)</f>
        <v>42863187</v>
      </c>
      <c r="C92" s="102">
        <f t="shared" ref="C92:I92" si="0">SUM(C7:C91)</f>
        <v>128226596274</v>
      </c>
      <c r="D92" s="102">
        <f t="shared" si="0"/>
        <v>118337919273</v>
      </c>
      <c r="E92" s="102">
        <f t="shared" si="0"/>
        <v>12899027423</v>
      </c>
      <c r="F92" s="102">
        <f t="shared" si="0"/>
        <v>160738684</v>
      </c>
      <c r="G92" s="102">
        <f t="shared" si="0"/>
        <v>412733079161</v>
      </c>
      <c r="H92" s="102">
        <f t="shared" si="0"/>
        <v>-444369135131</v>
      </c>
      <c r="I92" s="102">
        <f t="shared" si="0"/>
        <v>-22926974730</v>
      </c>
    </row>
    <row r="93" spans="1:9" ht="19.5" thickTop="1">
      <c r="A93" s="100"/>
      <c r="B93" s="100"/>
      <c r="C93" s="100"/>
      <c r="D93" s="100"/>
      <c r="E93" s="100"/>
      <c r="F93" s="100"/>
      <c r="G93" s="100"/>
      <c r="H93" s="100"/>
      <c r="I93" s="100"/>
    </row>
  </sheetData>
  <autoFilter ref="A6:J6" xr:uid="{00000000-0001-0000-0700-000000000000}">
    <sortState xmlns:xlrd2="http://schemas.microsoft.com/office/spreadsheetml/2017/richdata2" ref="A7:J91">
      <sortCondition ref="A6"/>
    </sortState>
  </autoFilter>
  <mergeCells count="7">
    <mergeCell ref="A1:I1"/>
    <mergeCell ref="A2:I2"/>
    <mergeCell ref="A3:I3"/>
    <mergeCell ref="B5:E5"/>
    <mergeCell ref="F5:I5"/>
    <mergeCell ref="A4:E4"/>
    <mergeCell ref="F4:I4"/>
  </mergeCells>
  <pageMargins left="0.7" right="0.7" top="0.75" bottom="0.75" header="0.3" footer="0.3"/>
  <pageSetup paperSize="9" scale="64" orientation="landscape" horizontalDpi="4294967295" verticalDpi="4294967295" r:id="rId1"/>
  <headerFooter differentOddEven="1" differentFirst="1"/>
  <rowBreaks count="1" manualBreakCount="1">
    <brk id="59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5"/>
  <sheetViews>
    <sheetView rightToLeft="1" view="pageBreakPreview" topLeftCell="A44" zoomScale="106" zoomScaleNormal="100" zoomScaleSheetLayoutView="106" workbookViewId="0">
      <selection activeCell="B52" sqref="B52"/>
    </sheetView>
  </sheetViews>
  <sheetFormatPr defaultColWidth="9" defaultRowHeight="18"/>
  <cols>
    <col min="1" max="1" width="38.85546875" style="35" bestFit="1" customWidth="1"/>
    <col min="2" max="2" width="13" style="35" customWidth="1"/>
    <col min="3" max="4" width="20.28515625" style="35" bestFit="1" customWidth="1"/>
    <col min="5" max="5" width="28.42578125" style="35" customWidth="1"/>
    <col min="6" max="6" width="13" style="35" customWidth="1"/>
    <col min="7" max="8" width="20.28515625" style="35" bestFit="1" customWidth="1"/>
    <col min="9" max="9" width="28.42578125" style="35" customWidth="1"/>
    <col min="10" max="10" width="9" style="1" customWidth="1"/>
    <col min="11" max="16384" width="9" style="1"/>
  </cols>
  <sheetData>
    <row r="1" spans="1:9">
      <c r="A1" s="67" t="s">
        <v>1</v>
      </c>
      <c r="B1" s="67"/>
      <c r="C1" s="67"/>
      <c r="D1" s="67"/>
      <c r="E1" s="67"/>
      <c r="F1" s="67"/>
      <c r="G1" s="67"/>
      <c r="H1" s="67"/>
      <c r="I1" s="67"/>
    </row>
    <row r="2" spans="1:9">
      <c r="A2" s="67" t="s">
        <v>110</v>
      </c>
      <c r="B2" s="67"/>
      <c r="C2" s="67"/>
      <c r="D2" s="67"/>
      <c r="E2" s="67"/>
      <c r="F2" s="67"/>
      <c r="G2" s="67"/>
      <c r="H2" s="67"/>
      <c r="I2" s="67"/>
    </row>
    <row r="3" spans="1:9">
      <c r="A3" s="67" t="s">
        <v>111</v>
      </c>
      <c r="B3" s="67"/>
      <c r="C3" s="67"/>
      <c r="D3" s="67"/>
      <c r="E3" s="67"/>
      <c r="F3" s="67"/>
      <c r="G3" s="67"/>
      <c r="H3" s="67"/>
      <c r="I3" s="67"/>
    </row>
    <row r="4" spans="1:9" ht="18.75">
      <c r="A4" s="65" t="s">
        <v>194</v>
      </c>
      <c r="B4" s="66"/>
      <c r="C4" s="66"/>
      <c r="D4" s="66"/>
      <c r="E4" s="23"/>
      <c r="F4" s="23"/>
      <c r="G4" s="23"/>
      <c r="H4" s="23"/>
      <c r="I4" s="23"/>
    </row>
    <row r="5" spans="1:9" ht="16.5" customHeight="1">
      <c r="A5" s="23"/>
      <c r="B5" s="76" t="s">
        <v>125</v>
      </c>
      <c r="C5" s="71"/>
      <c r="D5" s="71"/>
      <c r="E5" s="71"/>
      <c r="F5" s="72" t="s">
        <v>126</v>
      </c>
      <c r="G5" s="70"/>
      <c r="H5" s="70"/>
      <c r="I5" s="70"/>
    </row>
    <row r="6" spans="1:9" ht="53.25" customHeight="1">
      <c r="A6" s="17" t="s">
        <v>113</v>
      </c>
      <c r="B6" s="34" t="s">
        <v>14</v>
      </c>
      <c r="C6" s="34" t="s">
        <v>16</v>
      </c>
      <c r="D6" s="34" t="s">
        <v>174</v>
      </c>
      <c r="E6" s="39" t="s">
        <v>195</v>
      </c>
      <c r="F6" s="34" t="s">
        <v>14</v>
      </c>
      <c r="G6" s="34" t="s">
        <v>16</v>
      </c>
      <c r="H6" s="34" t="s">
        <v>174</v>
      </c>
      <c r="I6" s="39" t="s">
        <v>195</v>
      </c>
    </row>
    <row r="7" spans="1:9" ht="23.1" customHeight="1">
      <c r="A7" s="103" t="s">
        <v>23</v>
      </c>
      <c r="B7" s="103">
        <v>0</v>
      </c>
      <c r="C7" s="103">
        <v>0</v>
      </c>
      <c r="D7" s="103">
        <v>367869093</v>
      </c>
      <c r="E7" s="103">
        <v>367869093</v>
      </c>
      <c r="F7" s="103">
        <v>0</v>
      </c>
      <c r="G7" s="103">
        <v>0</v>
      </c>
      <c r="H7" s="103">
        <v>0</v>
      </c>
      <c r="I7" s="103">
        <v>0</v>
      </c>
    </row>
    <row r="8" spans="1:9" ht="23.1" customHeight="1">
      <c r="A8" s="103" t="s">
        <v>24</v>
      </c>
      <c r="B8" s="103">
        <v>2274591</v>
      </c>
      <c r="C8" s="103">
        <v>13542050473</v>
      </c>
      <c r="D8" s="103">
        <v>-11707196447</v>
      </c>
      <c r="E8" s="103">
        <v>1834854026</v>
      </c>
      <c r="F8" s="103">
        <v>2274591</v>
      </c>
      <c r="G8" s="103">
        <v>13542050473</v>
      </c>
      <c r="H8" s="103">
        <v>-11171720176</v>
      </c>
      <c r="I8" s="103">
        <v>2370330297</v>
      </c>
    </row>
    <row r="9" spans="1:9" ht="23.1" customHeight="1">
      <c r="A9" s="103" t="s">
        <v>25</v>
      </c>
      <c r="B9" s="103">
        <v>665849</v>
      </c>
      <c r="C9" s="103">
        <v>33920440028</v>
      </c>
      <c r="D9" s="103">
        <v>-27248864795</v>
      </c>
      <c r="E9" s="103">
        <v>6671575233</v>
      </c>
      <c r="F9" s="103">
        <v>665849</v>
      </c>
      <c r="G9" s="103">
        <v>33920440028</v>
      </c>
      <c r="H9" s="103">
        <v>-31120036929</v>
      </c>
      <c r="I9" s="103">
        <v>2800403099</v>
      </c>
    </row>
    <row r="10" spans="1:9" ht="23.1" customHeight="1">
      <c r="A10" s="103" t="s">
        <v>26</v>
      </c>
      <c r="B10" s="103">
        <v>856411</v>
      </c>
      <c r="C10" s="103">
        <v>6407423713</v>
      </c>
      <c r="D10" s="103">
        <v>-4903293744</v>
      </c>
      <c r="E10" s="103">
        <v>1504129969</v>
      </c>
      <c r="F10" s="103">
        <v>856411</v>
      </c>
      <c r="G10" s="103">
        <v>6407423713</v>
      </c>
      <c r="H10" s="103">
        <v>-7449286272</v>
      </c>
      <c r="I10" s="103">
        <v>-1041862559</v>
      </c>
    </row>
    <row r="11" spans="1:9" ht="23.1" customHeight="1">
      <c r="A11" s="103" t="s">
        <v>28</v>
      </c>
      <c r="B11" s="103">
        <v>35200000</v>
      </c>
      <c r="C11" s="103">
        <v>19315130913</v>
      </c>
      <c r="D11" s="103">
        <v>-18139980605</v>
      </c>
      <c r="E11" s="103">
        <v>1175150308</v>
      </c>
      <c r="F11" s="103">
        <v>35200000</v>
      </c>
      <c r="G11" s="103">
        <v>19315130913</v>
      </c>
      <c r="H11" s="103">
        <v>-18195408915</v>
      </c>
      <c r="I11" s="103">
        <v>1119721998</v>
      </c>
    </row>
    <row r="12" spans="1:9" ht="23.1" customHeight="1">
      <c r="A12" s="103" t="s">
        <v>29</v>
      </c>
      <c r="B12" s="103">
        <v>723642</v>
      </c>
      <c r="C12" s="103">
        <v>4408816242</v>
      </c>
      <c r="D12" s="103">
        <v>-4171860320</v>
      </c>
      <c r="E12" s="103">
        <v>236955922</v>
      </c>
      <c r="F12" s="103">
        <v>723642</v>
      </c>
      <c r="G12" s="103">
        <v>4408816242</v>
      </c>
      <c r="H12" s="103">
        <v>-3344194600</v>
      </c>
      <c r="I12" s="103">
        <v>1064621642</v>
      </c>
    </row>
    <row r="13" spans="1:9" ht="23.1" customHeight="1">
      <c r="A13" s="103" t="s">
        <v>30</v>
      </c>
      <c r="B13" s="103">
        <v>2093280</v>
      </c>
      <c r="C13" s="103">
        <v>29494805031</v>
      </c>
      <c r="D13" s="103">
        <v>-25698543547</v>
      </c>
      <c r="E13" s="103">
        <v>3796261484</v>
      </c>
      <c r="F13" s="103">
        <v>2093280</v>
      </c>
      <c r="G13" s="103">
        <v>29494805031</v>
      </c>
      <c r="H13" s="103">
        <v>-24473056460</v>
      </c>
      <c r="I13" s="103">
        <v>5021748571</v>
      </c>
    </row>
    <row r="14" spans="1:9" ht="23.1" customHeight="1">
      <c r="A14" s="103" t="s">
        <v>31</v>
      </c>
      <c r="B14" s="103">
        <v>10400000</v>
      </c>
      <c r="C14" s="103">
        <v>6088568720</v>
      </c>
      <c r="D14" s="103">
        <v>-5318129700</v>
      </c>
      <c r="E14" s="103">
        <v>770439020</v>
      </c>
      <c r="F14" s="103">
        <v>10400000</v>
      </c>
      <c r="G14" s="103">
        <v>6088568720</v>
      </c>
      <c r="H14" s="103">
        <v>-5318129700</v>
      </c>
      <c r="I14" s="103">
        <v>770439020</v>
      </c>
    </row>
    <row r="15" spans="1:9" ht="23.1" customHeight="1">
      <c r="A15" s="103" t="s">
        <v>32</v>
      </c>
      <c r="B15" s="103">
        <v>5518621</v>
      </c>
      <c r="C15" s="103">
        <v>34224762876</v>
      </c>
      <c r="D15" s="103">
        <v>-29983414958</v>
      </c>
      <c r="E15" s="103">
        <v>4241347918</v>
      </c>
      <c r="F15" s="103">
        <v>5518621</v>
      </c>
      <c r="G15" s="103">
        <v>34224762876</v>
      </c>
      <c r="H15" s="103">
        <v>-25043942741</v>
      </c>
      <c r="I15" s="103">
        <v>9180820135</v>
      </c>
    </row>
    <row r="16" spans="1:9" ht="23.1" customHeight="1">
      <c r="A16" s="103" t="s">
        <v>33</v>
      </c>
      <c r="B16" s="103">
        <v>489090</v>
      </c>
      <c r="C16" s="103">
        <v>40751424805</v>
      </c>
      <c r="D16" s="103">
        <v>-34567205341</v>
      </c>
      <c r="E16" s="103">
        <v>6184219464</v>
      </c>
      <c r="F16" s="103">
        <v>489090</v>
      </c>
      <c r="G16" s="103">
        <v>40751424805</v>
      </c>
      <c r="H16" s="103">
        <v>-33996867421</v>
      </c>
      <c r="I16" s="103">
        <v>6754557384</v>
      </c>
    </row>
    <row r="17" spans="1:9" ht="23.1" customHeight="1">
      <c r="A17" s="103" t="s">
        <v>34</v>
      </c>
      <c r="B17" s="103">
        <v>2965422</v>
      </c>
      <c r="C17" s="103">
        <v>7064940793</v>
      </c>
      <c r="D17" s="103">
        <v>-5517818750</v>
      </c>
      <c r="E17" s="103">
        <v>1547122043</v>
      </c>
      <c r="F17" s="103">
        <v>2965422</v>
      </c>
      <c r="G17" s="103">
        <v>7064940793</v>
      </c>
      <c r="H17" s="103">
        <v>-5257913015</v>
      </c>
      <c r="I17" s="103">
        <v>1807027778</v>
      </c>
    </row>
    <row r="18" spans="1:9" ht="23.1" customHeight="1">
      <c r="A18" s="103" t="s">
        <v>35</v>
      </c>
      <c r="B18" s="103">
        <v>115127</v>
      </c>
      <c r="C18" s="103">
        <v>11308327395</v>
      </c>
      <c r="D18" s="103">
        <v>-9891096922</v>
      </c>
      <c r="E18" s="103">
        <v>1417230473</v>
      </c>
      <c r="F18" s="103">
        <v>115127</v>
      </c>
      <c r="G18" s="103">
        <v>11308327395</v>
      </c>
      <c r="H18" s="103">
        <v>-10440742942</v>
      </c>
      <c r="I18" s="103">
        <v>867584453</v>
      </c>
    </row>
    <row r="19" spans="1:9" ht="23.1" customHeight="1">
      <c r="A19" s="103" t="s">
        <v>36</v>
      </c>
      <c r="B19" s="103">
        <v>97177</v>
      </c>
      <c r="C19" s="103">
        <v>38094949419</v>
      </c>
      <c r="D19" s="103">
        <v>-33895825835</v>
      </c>
      <c r="E19" s="103">
        <v>4199123584</v>
      </c>
      <c r="F19" s="103">
        <v>97177</v>
      </c>
      <c r="G19" s="103">
        <v>38094949419</v>
      </c>
      <c r="H19" s="103">
        <v>-33265189366</v>
      </c>
      <c r="I19" s="103">
        <v>4829760053</v>
      </c>
    </row>
    <row r="20" spans="1:9" ht="23.1" customHeight="1">
      <c r="A20" s="103" t="s">
        <v>37</v>
      </c>
      <c r="B20" s="103">
        <v>444616</v>
      </c>
      <c r="C20" s="103">
        <v>3052959503</v>
      </c>
      <c r="D20" s="103">
        <v>-2519132769</v>
      </c>
      <c r="E20" s="103">
        <v>533826734</v>
      </c>
      <c r="F20" s="103">
        <v>444616</v>
      </c>
      <c r="G20" s="103">
        <v>3052959503</v>
      </c>
      <c r="H20" s="103">
        <v>-2273470249</v>
      </c>
      <c r="I20" s="103">
        <v>779489254</v>
      </c>
    </row>
    <row r="21" spans="1:9" ht="23.1" customHeight="1">
      <c r="A21" s="103" t="s">
        <v>38</v>
      </c>
      <c r="B21" s="103">
        <v>43457527</v>
      </c>
      <c r="C21" s="103">
        <v>26821635401</v>
      </c>
      <c r="D21" s="103">
        <v>-25054311726</v>
      </c>
      <c r="E21" s="103">
        <v>1767323675</v>
      </c>
      <c r="F21" s="103">
        <v>43457527</v>
      </c>
      <c r="G21" s="103">
        <v>26821635401</v>
      </c>
      <c r="H21" s="103">
        <v>-24788183300</v>
      </c>
      <c r="I21" s="103">
        <v>2033452101</v>
      </c>
    </row>
    <row r="22" spans="1:9" ht="23.1" customHeight="1">
      <c r="A22" s="103" t="s">
        <v>39</v>
      </c>
      <c r="B22" s="103">
        <v>20230493</v>
      </c>
      <c r="C22" s="103">
        <v>77767107138</v>
      </c>
      <c r="D22" s="103">
        <v>-67517772633</v>
      </c>
      <c r="E22" s="103">
        <v>10249334505</v>
      </c>
      <c r="F22" s="103">
        <v>20230493</v>
      </c>
      <c r="G22" s="103">
        <v>77767107138</v>
      </c>
      <c r="H22" s="103">
        <v>-72919844104</v>
      </c>
      <c r="I22" s="103">
        <v>4847263034</v>
      </c>
    </row>
    <row r="23" spans="1:9" ht="23.1" customHeight="1">
      <c r="A23" s="103" t="s">
        <v>40</v>
      </c>
      <c r="B23" s="103">
        <v>644433</v>
      </c>
      <c r="C23" s="103">
        <v>4552894919</v>
      </c>
      <c r="D23" s="103">
        <v>-3732176170</v>
      </c>
      <c r="E23" s="103">
        <v>820718749</v>
      </c>
      <c r="F23" s="103">
        <v>644433</v>
      </c>
      <c r="G23" s="103">
        <v>4552894919</v>
      </c>
      <c r="H23" s="103">
        <v>-3696254062</v>
      </c>
      <c r="I23" s="103">
        <v>856640857</v>
      </c>
    </row>
    <row r="24" spans="1:9" ht="23.1" customHeight="1">
      <c r="A24" s="103" t="s">
        <v>41</v>
      </c>
      <c r="B24" s="103">
        <v>1054588</v>
      </c>
      <c r="C24" s="103">
        <v>10631790116</v>
      </c>
      <c r="D24" s="103">
        <v>-7733162300</v>
      </c>
      <c r="E24" s="103">
        <v>2898627816</v>
      </c>
      <c r="F24" s="103">
        <v>1054588</v>
      </c>
      <c r="G24" s="103">
        <v>10631790116</v>
      </c>
      <c r="H24" s="103">
        <v>-7821646924</v>
      </c>
      <c r="I24" s="103">
        <v>2810143192</v>
      </c>
    </row>
    <row r="25" spans="1:9" ht="23.1" customHeight="1">
      <c r="A25" s="103" t="s">
        <v>42</v>
      </c>
      <c r="B25" s="103">
        <v>1912948</v>
      </c>
      <c r="C25" s="103">
        <v>9375016748</v>
      </c>
      <c r="D25" s="103">
        <v>-8286527694</v>
      </c>
      <c r="E25" s="103">
        <v>1088489054</v>
      </c>
      <c r="F25" s="103">
        <v>1912948</v>
      </c>
      <c r="G25" s="103">
        <v>9375016748</v>
      </c>
      <c r="H25" s="103">
        <v>-8183925492</v>
      </c>
      <c r="I25" s="103">
        <v>1191091256</v>
      </c>
    </row>
    <row r="26" spans="1:9" ht="23.1" customHeight="1">
      <c r="A26" s="103" t="s">
        <v>43</v>
      </c>
      <c r="B26" s="103">
        <v>1520842</v>
      </c>
      <c r="C26" s="103">
        <v>9084697068</v>
      </c>
      <c r="D26" s="103">
        <v>-5325245777</v>
      </c>
      <c r="E26" s="103">
        <v>3759451291</v>
      </c>
      <c r="F26" s="103">
        <v>1520842</v>
      </c>
      <c r="G26" s="103">
        <v>9084697068</v>
      </c>
      <c r="H26" s="103">
        <v>-6654618152</v>
      </c>
      <c r="I26" s="103">
        <v>2430078916</v>
      </c>
    </row>
    <row r="27" spans="1:9" ht="23.1" customHeight="1">
      <c r="A27" s="103" t="s">
        <v>44</v>
      </c>
      <c r="B27" s="103">
        <v>3392425</v>
      </c>
      <c r="C27" s="103">
        <v>18514108554</v>
      </c>
      <c r="D27" s="103">
        <v>-16581754806</v>
      </c>
      <c r="E27" s="103">
        <v>1932353748</v>
      </c>
      <c r="F27" s="103">
        <v>3392425</v>
      </c>
      <c r="G27" s="103">
        <v>18514108554</v>
      </c>
      <c r="H27" s="103">
        <v>-16667368630</v>
      </c>
      <c r="I27" s="103">
        <v>1846739924</v>
      </c>
    </row>
    <row r="28" spans="1:9" ht="23.1" customHeight="1">
      <c r="A28" s="103" t="s">
        <v>45</v>
      </c>
      <c r="B28" s="103">
        <v>4309843</v>
      </c>
      <c r="C28" s="103">
        <v>13180259033</v>
      </c>
      <c r="D28" s="103">
        <v>-11343547478</v>
      </c>
      <c r="E28" s="103">
        <v>1836711555</v>
      </c>
      <c r="F28" s="103">
        <v>4309843</v>
      </c>
      <c r="G28" s="103">
        <v>13180259033</v>
      </c>
      <c r="H28" s="103">
        <v>-12307808690</v>
      </c>
      <c r="I28" s="103">
        <v>872450343</v>
      </c>
    </row>
    <row r="29" spans="1:9" ht="23.1" customHeight="1">
      <c r="A29" s="103" t="s">
        <v>46</v>
      </c>
      <c r="B29" s="103">
        <v>130253</v>
      </c>
      <c r="C29" s="103">
        <v>3932960177</v>
      </c>
      <c r="D29" s="103">
        <v>-3125171773</v>
      </c>
      <c r="E29" s="103">
        <v>807788404</v>
      </c>
      <c r="F29" s="103">
        <v>130253</v>
      </c>
      <c r="G29" s="103">
        <v>3932960177</v>
      </c>
      <c r="H29" s="103">
        <v>-4030649978</v>
      </c>
      <c r="I29" s="103">
        <v>-97689801</v>
      </c>
    </row>
    <row r="30" spans="1:9" ht="23.1" customHeight="1">
      <c r="A30" s="103" t="s">
        <v>47</v>
      </c>
      <c r="B30" s="103">
        <v>23200130</v>
      </c>
      <c r="C30" s="103">
        <v>33932648878</v>
      </c>
      <c r="D30" s="103">
        <v>-27095717116</v>
      </c>
      <c r="E30" s="103">
        <v>6836931762</v>
      </c>
      <c r="F30" s="103">
        <v>23200130</v>
      </c>
      <c r="G30" s="103">
        <v>33932648878</v>
      </c>
      <c r="H30" s="103">
        <v>-28680747421</v>
      </c>
      <c r="I30" s="103">
        <v>5251901457</v>
      </c>
    </row>
    <row r="31" spans="1:9" ht="23.1" customHeight="1">
      <c r="A31" s="103" t="s">
        <v>48</v>
      </c>
      <c r="B31" s="103">
        <v>525145</v>
      </c>
      <c r="C31" s="103">
        <v>7920501565</v>
      </c>
      <c r="D31" s="103">
        <v>-7066285723</v>
      </c>
      <c r="E31" s="103">
        <v>854215842</v>
      </c>
      <c r="F31" s="103">
        <v>525145</v>
      </c>
      <c r="G31" s="103">
        <v>7920501565</v>
      </c>
      <c r="H31" s="103">
        <v>-8718114408</v>
      </c>
      <c r="I31" s="103">
        <v>-797612843</v>
      </c>
    </row>
    <row r="32" spans="1:9" ht="23.1" customHeight="1">
      <c r="A32" s="103" t="s">
        <v>49</v>
      </c>
      <c r="B32" s="103">
        <v>3768747</v>
      </c>
      <c r="C32" s="103">
        <v>24195306372</v>
      </c>
      <c r="D32" s="103">
        <v>-15676135070</v>
      </c>
      <c r="E32" s="103">
        <v>8519171302</v>
      </c>
      <c r="F32" s="103">
        <v>3768747</v>
      </c>
      <c r="G32" s="103">
        <v>24195306372</v>
      </c>
      <c r="H32" s="103">
        <v>-13358120096</v>
      </c>
      <c r="I32" s="103">
        <v>10837186276</v>
      </c>
    </row>
    <row r="33" spans="1:9" ht="23.1" customHeight="1">
      <c r="A33" s="103" t="s">
        <v>50</v>
      </c>
      <c r="B33" s="103">
        <v>1267487</v>
      </c>
      <c r="C33" s="103">
        <v>2304086848</v>
      </c>
      <c r="D33" s="103">
        <v>-2116743720</v>
      </c>
      <c r="E33" s="103">
        <v>187343128</v>
      </c>
      <c r="F33" s="103">
        <v>1267487</v>
      </c>
      <c r="G33" s="103">
        <v>2304086848</v>
      </c>
      <c r="H33" s="103">
        <v>-2252782468</v>
      </c>
      <c r="I33" s="103">
        <v>51304380</v>
      </c>
    </row>
    <row r="34" spans="1:9" ht="23.1" customHeight="1">
      <c r="A34" s="103" t="s">
        <v>51</v>
      </c>
      <c r="B34" s="103">
        <v>5652508</v>
      </c>
      <c r="C34" s="103">
        <v>14324911247</v>
      </c>
      <c r="D34" s="103">
        <v>-12604306542</v>
      </c>
      <c r="E34" s="103">
        <v>1720604705</v>
      </c>
      <c r="F34" s="103">
        <v>5652508</v>
      </c>
      <c r="G34" s="103">
        <v>14324911247</v>
      </c>
      <c r="H34" s="103">
        <v>-13530666962</v>
      </c>
      <c r="I34" s="103">
        <v>794244285</v>
      </c>
    </row>
    <row r="35" spans="1:9" ht="23.1" customHeight="1">
      <c r="A35" s="103" t="s">
        <v>52</v>
      </c>
      <c r="B35" s="103">
        <v>11384675</v>
      </c>
      <c r="C35" s="103">
        <v>130928422252</v>
      </c>
      <c r="D35" s="103">
        <v>-104609537633</v>
      </c>
      <c r="E35" s="103">
        <v>26318884619</v>
      </c>
      <c r="F35" s="103">
        <v>11384675</v>
      </c>
      <c r="G35" s="103">
        <v>130928422252</v>
      </c>
      <c r="H35" s="103">
        <v>-89891463327</v>
      </c>
      <c r="I35" s="103">
        <v>41036958925</v>
      </c>
    </row>
    <row r="36" spans="1:9" ht="23.1" customHeight="1">
      <c r="A36" s="103" t="s">
        <v>53</v>
      </c>
      <c r="B36" s="103">
        <v>4293355</v>
      </c>
      <c r="C36" s="103">
        <v>2479417411</v>
      </c>
      <c r="D36" s="103">
        <v>-2185465862</v>
      </c>
      <c r="E36" s="103">
        <v>293951549</v>
      </c>
      <c r="F36" s="103">
        <v>4293355</v>
      </c>
      <c r="G36" s="103">
        <v>2479417411</v>
      </c>
      <c r="H36" s="103">
        <v>-2441254956</v>
      </c>
      <c r="I36" s="103">
        <v>38162455</v>
      </c>
    </row>
    <row r="37" spans="1:9" ht="23.1" customHeight="1">
      <c r="A37" s="103" t="s">
        <v>54</v>
      </c>
      <c r="B37" s="103">
        <v>235209</v>
      </c>
      <c r="C37" s="103">
        <v>8285374626</v>
      </c>
      <c r="D37" s="103">
        <v>-9124014676</v>
      </c>
      <c r="E37" s="103">
        <v>-838640050</v>
      </c>
      <c r="F37" s="103">
        <v>235209</v>
      </c>
      <c r="G37" s="103">
        <v>8285374626</v>
      </c>
      <c r="H37" s="103">
        <v>-6438529365</v>
      </c>
      <c r="I37" s="103">
        <v>1846845261</v>
      </c>
    </row>
    <row r="38" spans="1:9" ht="23.1" customHeight="1">
      <c r="A38" s="103" t="s">
        <v>55</v>
      </c>
      <c r="B38" s="103">
        <v>11247680</v>
      </c>
      <c r="C38" s="103">
        <v>116406470574</v>
      </c>
      <c r="D38" s="103">
        <v>-102347178611</v>
      </c>
      <c r="E38" s="103">
        <v>14059291963</v>
      </c>
      <c r="F38" s="103">
        <v>11247680</v>
      </c>
      <c r="G38" s="103">
        <v>116406470574</v>
      </c>
      <c r="H38" s="103">
        <v>-101748627487</v>
      </c>
      <c r="I38" s="103">
        <v>14657843087</v>
      </c>
    </row>
    <row r="39" spans="1:9" ht="23.1" customHeight="1">
      <c r="A39" s="103" t="s">
        <v>56</v>
      </c>
      <c r="B39" s="103">
        <v>55958</v>
      </c>
      <c r="C39" s="103">
        <v>413109313</v>
      </c>
      <c r="D39" s="103">
        <v>-369244210</v>
      </c>
      <c r="E39" s="103">
        <v>43865103</v>
      </c>
      <c r="F39" s="103">
        <v>55958</v>
      </c>
      <c r="G39" s="103">
        <v>413109313</v>
      </c>
      <c r="H39" s="103">
        <v>-377600591</v>
      </c>
      <c r="I39" s="103">
        <v>35508722</v>
      </c>
    </row>
    <row r="40" spans="1:9" ht="23.1" customHeight="1">
      <c r="A40" s="103" t="s">
        <v>57</v>
      </c>
      <c r="B40" s="103">
        <v>0</v>
      </c>
      <c r="C40" s="103">
        <v>0</v>
      </c>
      <c r="D40" s="103">
        <v>709915</v>
      </c>
      <c r="E40" s="103">
        <v>709915</v>
      </c>
      <c r="F40" s="103">
        <v>0</v>
      </c>
      <c r="G40" s="103">
        <v>0</v>
      </c>
      <c r="H40" s="103">
        <v>0</v>
      </c>
      <c r="I40" s="103">
        <v>0</v>
      </c>
    </row>
    <row r="41" spans="1:9" ht="23.1" customHeight="1">
      <c r="A41" s="103" t="s">
        <v>58</v>
      </c>
      <c r="B41" s="103">
        <v>166282</v>
      </c>
      <c r="C41" s="103">
        <v>10056545221</v>
      </c>
      <c r="D41" s="103">
        <v>-7632655203</v>
      </c>
      <c r="E41" s="103">
        <v>2423890018</v>
      </c>
      <c r="F41" s="103">
        <v>166282</v>
      </c>
      <c r="G41" s="103">
        <v>10056545221</v>
      </c>
      <c r="H41" s="103">
        <v>-10508021650</v>
      </c>
      <c r="I41" s="103">
        <v>-451476429</v>
      </c>
    </row>
    <row r="42" spans="1:9" ht="23.1" customHeight="1">
      <c r="A42" s="103" t="s">
        <v>59</v>
      </c>
      <c r="B42" s="103">
        <v>771716</v>
      </c>
      <c r="C42" s="103">
        <v>6753920606</v>
      </c>
      <c r="D42" s="103">
        <v>-5342294120</v>
      </c>
      <c r="E42" s="103">
        <v>1411626486</v>
      </c>
      <c r="F42" s="103">
        <v>771716</v>
      </c>
      <c r="G42" s="103">
        <v>6753920606</v>
      </c>
      <c r="H42" s="103">
        <v>-5373625751</v>
      </c>
      <c r="I42" s="103">
        <v>1380294855</v>
      </c>
    </row>
    <row r="43" spans="1:9" ht="23.1" customHeight="1">
      <c r="A43" s="103" t="s">
        <v>60</v>
      </c>
      <c r="B43" s="103">
        <v>343482</v>
      </c>
      <c r="C43" s="103">
        <v>15344026327</v>
      </c>
      <c r="D43" s="103">
        <v>-13619592927</v>
      </c>
      <c r="E43" s="103">
        <v>1724433400</v>
      </c>
      <c r="F43" s="103">
        <v>343482</v>
      </c>
      <c r="G43" s="103">
        <v>15344026327</v>
      </c>
      <c r="H43" s="103">
        <v>-13658545636</v>
      </c>
      <c r="I43" s="103">
        <v>1685480691</v>
      </c>
    </row>
    <row r="44" spans="1:9" ht="23.1" customHeight="1">
      <c r="A44" s="103" t="s">
        <v>61</v>
      </c>
      <c r="B44" s="103">
        <v>5034648</v>
      </c>
      <c r="C44" s="103">
        <v>13198719115</v>
      </c>
      <c r="D44" s="103">
        <v>-10953802565</v>
      </c>
      <c r="E44" s="103">
        <v>2244916550</v>
      </c>
      <c r="F44" s="103">
        <v>5034648</v>
      </c>
      <c r="G44" s="103">
        <v>13198719115</v>
      </c>
      <c r="H44" s="103">
        <v>-10556129238</v>
      </c>
      <c r="I44" s="103">
        <v>2642589877</v>
      </c>
    </row>
    <row r="45" spans="1:9" ht="23.1" customHeight="1">
      <c r="A45" s="103" t="s">
        <v>62</v>
      </c>
      <c r="B45" s="103">
        <v>903290</v>
      </c>
      <c r="C45" s="103">
        <v>13740395025</v>
      </c>
      <c r="D45" s="103">
        <v>-10958533975</v>
      </c>
      <c r="E45" s="103">
        <v>2781861050</v>
      </c>
      <c r="F45" s="103">
        <v>903290</v>
      </c>
      <c r="G45" s="103">
        <v>13740395025</v>
      </c>
      <c r="H45" s="103">
        <v>-11005778501</v>
      </c>
      <c r="I45" s="103">
        <v>2734616524</v>
      </c>
    </row>
    <row r="46" spans="1:9" ht="23.1" customHeight="1">
      <c r="A46" s="103" t="s">
        <v>63</v>
      </c>
      <c r="B46" s="103">
        <v>663377</v>
      </c>
      <c r="C46" s="103">
        <v>3784932304</v>
      </c>
      <c r="D46" s="103">
        <v>-3046376821</v>
      </c>
      <c r="E46" s="103">
        <v>738555483</v>
      </c>
      <c r="F46" s="103">
        <v>663377</v>
      </c>
      <c r="G46" s="103">
        <v>3784932304</v>
      </c>
      <c r="H46" s="103">
        <v>-3389469726</v>
      </c>
      <c r="I46" s="103">
        <v>395462578</v>
      </c>
    </row>
    <row r="47" spans="1:9" ht="23.1" customHeight="1">
      <c r="A47" s="103" t="s">
        <v>64</v>
      </c>
      <c r="B47" s="103">
        <v>1142066</v>
      </c>
      <c r="C47" s="103">
        <v>6006160501</v>
      </c>
      <c r="D47" s="103">
        <v>-5152832416</v>
      </c>
      <c r="E47" s="103">
        <v>853328085</v>
      </c>
      <c r="F47" s="103">
        <v>1142066</v>
      </c>
      <c r="G47" s="103">
        <v>6006160501</v>
      </c>
      <c r="H47" s="103">
        <v>-5574624436</v>
      </c>
      <c r="I47" s="103">
        <v>431536065</v>
      </c>
    </row>
    <row r="48" spans="1:9" ht="23.1" customHeight="1">
      <c r="A48" s="103" t="s">
        <v>65</v>
      </c>
      <c r="B48" s="103">
        <v>0</v>
      </c>
      <c r="C48" s="103">
        <v>0</v>
      </c>
      <c r="D48" s="103">
        <v>1777602</v>
      </c>
      <c r="E48" s="103">
        <v>1777602</v>
      </c>
      <c r="F48" s="103">
        <v>0</v>
      </c>
      <c r="G48" s="103">
        <v>0</v>
      </c>
      <c r="H48" s="103">
        <v>0</v>
      </c>
      <c r="I48" s="103">
        <v>0</v>
      </c>
    </row>
    <row r="49" spans="1:9" ht="23.1" customHeight="1">
      <c r="A49" s="103" t="s">
        <v>66</v>
      </c>
      <c r="B49" s="103">
        <v>68351</v>
      </c>
      <c r="C49" s="103">
        <v>6106072893</v>
      </c>
      <c r="D49" s="103">
        <v>-6252142368</v>
      </c>
      <c r="E49" s="103">
        <v>-146069475</v>
      </c>
      <c r="F49" s="103">
        <v>68351</v>
      </c>
      <c r="G49" s="103">
        <v>6106072893</v>
      </c>
      <c r="H49" s="103">
        <v>-5416009406</v>
      </c>
      <c r="I49" s="103">
        <v>690063487</v>
      </c>
    </row>
    <row r="50" spans="1:9" ht="23.1" customHeight="1">
      <c r="A50" s="103" t="s">
        <v>67</v>
      </c>
      <c r="B50" s="103">
        <v>833717</v>
      </c>
      <c r="C50" s="103">
        <v>5004997828</v>
      </c>
      <c r="D50" s="103">
        <v>-4932183636</v>
      </c>
      <c r="E50" s="103">
        <v>72814192</v>
      </c>
      <c r="F50" s="103">
        <v>833717</v>
      </c>
      <c r="G50" s="103">
        <v>5004997828</v>
      </c>
      <c r="H50" s="103">
        <v>-5229452785</v>
      </c>
      <c r="I50" s="103">
        <v>-224454957</v>
      </c>
    </row>
    <row r="51" spans="1:9" ht="23.1" customHeight="1">
      <c r="A51" s="103" t="s">
        <v>68</v>
      </c>
      <c r="B51" s="103">
        <v>812530</v>
      </c>
      <c r="C51" s="103">
        <v>7240117308</v>
      </c>
      <c r="D51" s="103">
        <v>-6517958154</v>
      </c>
      <c r="E51" s="103">
        <v>722159154</v>
      </c>
      <c r="F51" s="103">
        <v>812530</v>
      </c>
      <c r="G51" s="103">
        <v>7240117308</v>
      </c>
      <c r="H51" s="103">
        <v>-5495089061</v>
      </c>
      <c r="I51" s="103">
        <v>1745028247</v>
      </c>
    </row>
    <row r="52" spans="1:9" ht="23.1" customHeight="1">
      <c r="A52" s="103" t="s">
        <v>69</v>
      </c>
      <c r="B52" s="103">
        <v>6653441</v>
      </c>
      <c r="C52" s="103">
        <v>12431584647</v>
      </c>
      <c r="D52" s="103">
        <v>-12165792417</v>
      </c>
      <c r="E52" s="103">
        <v>265792230</v>
      </c>
      <c r="F52" s="103">
        <v>6653441</v>
      </c>
      <c r="G52" s="103">
        <v>12431584647</v>
      </c>
      <c r="H52" s="103">
        <v>-12165792417</v>
      </c>
      <c r="I52" s="103">
        <v>265792230</v>
      </c>
    </row>
    <row r="53" spans="1:9" ht="23.1" customHeight="1">
      <c r="A53" s="103" t="s">
        <v>70</v>
      </c>
      <c r="B53" s="103">
        <v>18045445</v>
      </c>
      <c r="C53" s="103">
        <v>7610030330</v>
      </c>
      <c r="D53" s="103">
        <v>-5719046711</v>
      </c>
      <c r="E53" s="103">
        <v>1890983619</v>
      </c>
      <c r="F53" s="103">
        <v>18045445</v>
      </c>
      <c r="G53" s="103">
        <v>7610030330</v>
      </c>
      <c r="H53" s="103">
        <v>-8467655072</v>
      </c>
      <c r="I53" s="103">
        <v>-857624742</v>
      </c>
    </row>
    <row r="54" spans="1:9" ht="23.1" customHeight="1">
      <c r="A54" s="103" t="s">
        <v>71</v>
      </c>
      <c r="B54" s="103">
        <v>31817596</v>
      </c>
      <c r="C54" s="103">
        <v>21058287873</v>
      </c>
      <c r="D54" s="103">
        <v>-18832240350</v>
      </c>
      <c r="E54" s="103">
        <v>2226047523</v>
      </c>
      <c r="F54" s="103">
        <v>31817596</v>
      </c>
      <c r="G54" s="103">
        <v>21058287873</v>
      </c>
      <c r="H54" s="103">
        <v>-18832240350</v>
      </c>
      <c r="I54" s="103">
        <v>2226047523</v>
      </c>
    </row>
    <row r="55" spans="1:9" ht="23.1" customHeight="1">
      <c r="A55" s="103" t="s">
        <v>72</v>
      </c>
      <c r="B55" s="103">
        <v>125861</v>
      </c>
      <c r="C55" s="103">
        <v>7092394888</v>
      </c>
      <c r="D55" s="103">
        <v>-5576316883</v>
      </c>
      <c r="E55" s="103">
        <v>1516078005</v>
      </c>
      <c r="F55" s="103">
        <v>125861</v>
      </c>
      <c r="G55" s="103">
        <v>7092394888</v>
      </c>
      <c r="H55" s="103">
        <v>-8378635222</v>
      </c>
      <c r="I55" s="103">
        <v>-1286240334</v>
      </c>
    </row>
    <row r="56" spans="1:9" ht="23.1" customHeight="1">
      <c r="A56" s="103" t="s">
        <v>73</v>
      </c>
      <c r="B56" s="103">
        <v>975333</v>
      </c>
      <c r="C56" s="103">
        <v>21233393253</v>
      </c>
      <c r="D56" s="103">
        <v>-16402837526</v>
      </c>
      <c r="E56" s="103">
        <v>4830555727</v>
      </c>
      <c r="F56" s="103">
        <v>975333</v>
      </c>
      <c r="G56" s="103">
        <v>21233393253</v>
      </c>
      <c r="H56" s="103">
        <v>-19705058763</v>
      </c>
      <c r="I56" s="103">
        <v>1528334490</v>
      </c>
    </row>
    <row r="57" spans="1:9" ht="23.1" customHeight="1">
      <c r="A57" s="103" t="s">
        <v>74</v>
      </c>
      <c r="B57" s="103">
        <v>179502</v>
      </c>
      <c r="C57" s="103">
        <v>4728938637</v>
      </c>
      <c r="D57" s="103">
        <v>-3619287219</v>
      </c>
      <c r="E57" s="103">
        <v>1109651418</v>
      </c>
      <c r="F57" s="103">
        <v>179502</v>
      </c>
      <c r="G57" s="103">
        <v>4728938637</v>
      </c>
      <c r="H57" s="103">
        <v>-4239125140</v>
      </c>
      <c r="I57" s="103">
        <v>489813497</v>
      </c>
    </row>
    <row r="58" spans="1:9" ht="23.1" customHeight="1">
      <c r="A58" s="103" t="s">
        <v>77</v>
      </c>
      <c r="B58" s="103">
        <v>5189070</v>
      </c>
      <c r="C58" s="103">
        <v>18793698488</v>
      </c>
      <c r="D58" s="103">
        <v>-16847051206</v>
      </c>
      <c r="E58" s="103">
        <v>1946647282</v>
      </c>
      <c r="F58" s="103">
        <v>5189070</v>
      </c>
      <c r="G58" s="103">
        <v>18793698488</v>
      </c>
      <c r="H58" s="103">
        <v>-14903759201</v>
      </c>
      <c r="I58" s="103">
        <v>3889939287</v>
      </c>
    </row>
    <row r="59" spans="1:9" ht="23.1" customHeight="1">
      <c r="A59" s="103" t="s">
        <v>78</v>
      </c>
      <c r="B59" s="103">
        <v>133031</v>
      </c>
      <c r="C59" s="103">
        <v>5521671706</v>
      </c>
      <c r="D59" s="103">
        <v>-3956893120</v>
      </c>
      <c r="E59" s="103">
        <v>1564778586</v>
      </c>
      <c r="F59" s="103">
        <v>133031</v>
      </c>
      <c r="G59" s="103">
        <v>5521671706</v>
      </c>
      <c r="H59" s="103">
        <v>-4955012778</v>
      </c>
      <c r="I59" s="103">
        <v>566658928</v>
      </c>
    </row>
    <row r="60" spans="1:9" ht="23.1" customHeight="1">
      <c r="A60" s="103" t="s">
        <v>79</v>
      </c>
      <c r="B60" s="103">
        <v>116208</v>
      </c>
      <c r="C60" s="103">
        <v>1100054657</v>
      </c>
      <c r="D60" s="103">
        <v>-936314868</v>
      </c>
      <c r="E60" s="103">
        <v>163739789</v>
      </c>
      <c r="F60" s="103">
        <v>116208</v>
      </c>
      <c r="G60" s="103">
        <v>1100054657</v>
      </c>
      <c r="H60" s="103">
        <v>-781923387</v>
      </c>
      <c r="I60" s="103">
        <v>318131270</v>
      </c>
    </row>
    <row r="61" spans="1:9" ht="23.1" customHeight="1">
      <c r="A61" s="103" t="s">
        <v>80</v>
      </c>
      <c r="B61" s="103">
        <v>1867884</v>
      </c>
      <c r="C61" s="103">
        <v>3454821961</v>
      </c>
      <c r="D61" s="103">
        <v>-3421715246</v>
      </c>
      <c r="E61" s="103">
        <v>33106715</v>
      </c>
      <c r="F61" s="103">
        <v>1867884</v>
      </c>
      <c r="G61" s="103">
        <v>3454821961</v>
      </c>
      <c r="H61" s="103">
        <v>-3421715246</v>
      </c>
      <c r="I61" s="103">
        <v>33106715</v>
      </c>
    </row>
    <row r="62" spans="1:9" ht="23.1" customHeight="1">
      <c r="A62" s="103" t="s">
        <v>81</v>
      </c>
      <c r="B62" s="103">
        <v>163951</v>
      </c>
      <c r="C62" s="103">
        <v>5067595974</v>
      </c>
      <c r="D62" s="103">
        <v>-4335846733</v>
      </c>
      <c r="E62" s="103">
        <v>731749241</v>
      </c>
      <c r="F62" s="103">
        <v>163951</v>
      </c>
      <c r="G62" s="103">
        <v>5067595974</v>
      </c>
      <c r="H62" s="103">
        <v>-3598782004</v>
      </c>
      <c r="I62" s="103">
        <v>1468813970</v>
      </c>
    </row>
    <row r="63" spans="1:9" ht="23.1" customHeight="1">
      <c r="A63" s="103" t="s">
        <v>82</v>
      </c>
      <c r="B63" s="103">
        <v>0</v>
      </c>
      <c r="C63" s="103">
        <v>0</v>
      </c>
      <c r="D63" s="103">
        <v>-803190259</v>
      </c>
      <c r="E63" s="103">
        <v>-803190259</v>
      </c>
      <c r="F63" s="103">
        <v>0</v>
      </c>
      <c r="G63" s="103">
        <v>0</v>
      </c>
      <c r="H63" s="103">
        <v>0</v>
      </c>
      <c r="I63" s="103">
        <v>0</v>
      </c>
    </row>
    <row r="64" spans="1:9" ht="23.1" customHeight="1">
      <c r="A64" s="103" t="s">
        <v>83</v>
      </c>
      <c r="B64" s="103">
        <v>519620</v>
      </c>
      <c r="C64" s="103">
        <v>2944095061</v>
      </c>
      <c r="D64" s="103">
        <v>-2717229591</v>
      </c>
      <c r="E64" s="103">
        <v>226865470</v>
      </c>
      <c r="F64" s="103">
        <v>519620</v>
      </c>
      <c r="G64" s="103">
        <v>2944095061</v>
      </c>
      <c r="H64" s="103">
        <v>-2735511469</v>
      </c>
      <c r="I64" s="103">
        <v>208583592</v>
      </c>
    </row>
    <row r="65" spans="1:9" ht="23.1" customHeight="1">
      <c r="A65" s="103" t="s">
        <v>84</v>
      </c>
      <c r="B65" s="103">
        <v>949361</v>
      </c>
      <c r="C65" s="103">
        <v>3938595822</v>
      </c>
      <c r="D65" s="103">
        <v>-3092163209</v>
      </c>
      <c r="E65" s="103">
        <v>846432613</v>
      </c>
      <c r="F65" s="103">
        <v>949361</v>
      </c>
      <c r="G65" s="103">
        <v>3938595822</v>
      </c>
      <c r="H65" s="103">
        <v>-2843124071</v>
      </c>
      <c r="I65" s="103">
        <v>1095471751</v>
      </c>
    </row>
    <row r="66" spans="1:9" ht="23.1" customHeight="1">
      <c r="A66" s="103" t="s">
        <v>85</v>
      </c>
      <c r="B66" s="103">
        <v>14118385</v>
      </c>
      <c r="C66" s="103">
        <v>24025863555</v>
      </c>
      <c r="D66" s="103">
        <v>-17969473324</v>
      </c>
      <c r="E66" s="103">
        <v>6056390231</v>
      </c>
      <c r="F66" s="103">
        <v>14118385</v>
      </c>
      <c r="G66" s="103">
        <v>24025863555</v>
      </c>
      <c r="H66" s="103">
        <v>-21753701314</v>
      </c>
      <c r="I66" s="103">
        <v>2272162241</v>
      </c>
    </row>
    <row r="67" spans="1:9" ht="23.1" customHeight="1">
      <c r="A67" s="103" t="s">
        <v>86</v>
      </c>
      <c r="B67" s="103">
        <v>28040</v>
      </c>
      <c r="C67" s="103">
        <v>2785107407</v>
      </c>
      <c r="D67" s="103">
        <v>-4218980461</v>
      </c>
      <c r="E67" s="103">
        <v>-1433873054</v>
      </c>
      <c r="F67" s="103">
        <v>28040</v>
      </c>
      <c r="G67" s="103">
        <v>2785107407</v>
      </c>
      <c r="H67" s="103">
        <v>-3014975144</v>
      </c>
      <c r="I67" s="103">
        <v>-229867737</v>
      </c>
    </row>
    <row r="68" spans="1:9" ht="23.1" customHeight="1">
      <c r="A68" s="103" t="s">
        <v>87</v>
      </c>
      <c r="B68" s="103">
        <v>50000</v>
      </c>
      <c r="C68" s="103">
        <v>49613500</v>
      </c>
      <c r="D68" s="103">
        <v>-49613500</v>
      </c>
      <c r="E68" s="103">
        <v>0</v>
      </c>
      <c r="F68" s="103">
        <v>50000</v>
      </c>
      <c r="G68" s="103">
        <v>49613500</v>
      </c>
      <c r="H68" s="103">
        <v>-49863800</v>
      </c>
      <c r="I68" s="103">
        <v>-250300</v>
      </c>
    </row>
    <row r="69" spans="1:9" ht="23.1" customHeight="1">
      <c r="A69" s="103" t="s">
        <v>75</v>
      </c>
      <c r="B69" s="103">
        <v>1777785</v>
      </c>
      <c r="C69" s="103">
        <v>8855494468</v>
      </c>
      <c r="D69" s="103">
        <v>-6045450193</v>
      </c>
      <c r="E69" s="103">
        <v>2810044275</v>
      </c>
      <c r="F69" s="103">
        <v>1777785</v>
      </c>
      <c r="G69" s="103">
        <v>8855494468</v>
      </c>
      <c r="H69" s="103">
        <v>-6045450193</v>
      </c>
      <c r="I69" s="103">
        <v>2810044275</v>
      </c>
    </row>
    <row r="70" spans="1:9" ht="23.1" customHeight="1">
      <c r="A70" s="103" t="s">
        <v>76</v>
      </c>
      <c r="B70" s="103">
        <v>0</v>
      </c>
      <c r="C70" s="103">
        <v>0</v>
      </c>
      <c r="D70" s="103">
        <v>10597392</v>
      </c>
      <c r="E70" s="103">
        <v>10597392</v>
      </c>
      <c r="F70" s="103">
        <v>0</v>
      </c>
      <c r="G70" s="103">
        <v>0</v>
      </c>
      <c r="H70" s="103">
        <v>0</v>
      </c>
      <c r="I70" s="103">
        <v>0</v>
      </c>
    </row>
    <row r="71" spans="1:9" ht="23.1" customHeight="1" thickBot="1">
      <c r="A71" s="104" t="s">
        <v>88</v>
      </c>
      <c r="B71" s="104"/>
      <c r="C71" s="104">
        <v>1000652447506</v>
      </c>
      <c r="D71" s="104">
        <v>-846193524252</v>
      </c>
      <c r="E71" s="104">
        <v>154458923254</v>
      </c>
      <c r="F71" s="104"/>
      <c r="G71" s="104">
        <v>1000652447506</v>
      </c>
      <c r="H71" s="104">
        <v>-847957236960</v>
      </c>
      <c r="I71" s="104">
        <v>152695210546</v>
      </c>
    </row>
    <row r="72" spans="1:9" ht="23.1" customHeight="1" thickTop="1">
      <c r="A72" s="19" t="s">
        <v>89</v>
      </c>
      <c r="B72" s="40"/>
      <c r="C72" s="36"/>
      <c r="D72" s="36"/>
      <c r="E72" s="36"/>
      <c r="F72" s="40"/>
      <c r="G72" s="36"/>
      <c r="H72" s="36"/>
      <c r="I72" s="36"/>
    </row>
    <row r="75" spans="1:9">
      <c r="A75" s="74" t="s">
        <v>193</v>
      </c>
      <c r="B75" s="75"/>
      <c r="C75" s="75"/>
      <c r="D75" s="75"/>
      <c r="E75" s="75"/>
      <c r="F75" s="75"/>
      <c r="G75" s="75"/>
      <c r="H75" s="75"/>
      <c r="I75" s="75"/>
    </row>
  </sheetData>
  <mergeCells count="7">
    <mergeCell ref="A75:I75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scale="70" orientation="landscape" horizontalDpi="4294967295" verticalDpi="4294967295" r:id="rId1"/>
  <headerFooter differentOddEven="1"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2"/>
  <sheetViews>
    <sheetView rightToLeft="1" view="pageBreakPreview" topLeftCell="A91" zoomScale="106" zoomScaleNormal="100" zoomScaleSheetLayoutView="106" workbookViewId="0">
      <selection activeCell="M93" sqref="M93"/>
    </sheetView>
  </sheetViews>
  <sheetFormatPr defaultColWidth="9" defaultRowHeight="18"/>
  <cols>
    <col min="1" max="1" width="31.7109375" style="10" customWidth="1"/>
    <col min="2" max="2" width="14.28515625" style="10" customWidth="1"/>
    <col min="3" max="3" width="19" style="10" bestFit="1" customWidth="1"/>
    <col min="4" max="4" width="16.5703125" style="10" bestFit="1" customWidth="1"/>
    <col min="5" max="5" width="18.7109375" style="10" bestFit="1" customWidth="1"/>
    <col min="6" max="6" width="16.28515625" style="10" customWidth="1"/>
    <col min="7" max="7" width="17.7109375" style="10" bestFit="1" customWidth="1"/>
    <col min="8" max="8" width="18" style="10" bestFit="1" customWidth="1"/>
    <col min="9" max="9" width="18.140625" style="10" bestFit="1" customWidth="1"/>
    <col min="10" max="10" width="18.85546875" style="10" bestFit="1" customWidth="1"/>
    <col min="11" max="11" width="16.28515625" style="10" customWidth="1"/>
    <col min="12" max="12" width="9" style="10" customWidth="1"/>
    <col min="13" max="16384" width="9" style="10"/>
  </cols>
  <sheetData>
    <row r="1" spans="1:11">
      <c r="A1" s="77" t="s">
        <v>1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>
      <c r="A2" s="77" t="s">
        <v>110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>
      <c r="A3" s="77" t="s">
        <v>111</v>
      </c>
      <c r="B3" s="77"/>
      <c r="C3" s="77"/>
      <c r="D3" s="77"/>
      <c r="E3" s="77"/>
      <c r="F3" s="77"/>
      <c r="G3" s="77"/>
      <c r="H3" s="77"/>
      <c r="I3" s="77"/>
      <c r="J3" s="77"/>
      <c r="K3" s="77"/>
    </row>
    <row r="5" spans="1:11">
      <c r="A5" s="81" t="s">
        <v>198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7" spans="1:11" ht="19.5" customHeight="1">
      <c r="A7" s="11"/>
      <c r="B7" s="82" t="s">
        <v>125</v>
      </c>
      <c r="C7" s="83"/>
      <c r="D7" s="83"/>
      <c r="E7" s="83"/>
      <c r="F7" s="83"/>
      <c r="G7" s="83" t="s">
        <v>126</v>
      </c>
      <c r="H7" s="83"/>
      <c r="I7" s="83"/>
      <c r="J7" s="83"/>
      <c r="K7" s="83"/>
    </row>
    <row r="8" spans="1:11" ht="19.5" customHeight="1">
      <c r="A8" s="85" t="s">
        <v>199</v>
      </c>
      <c r="B8" s="84" t="s">
        <v>123</v>
      </c>
      <c r="C8" s="78" t="s">
        <v>196</v>
      </c>
      <c r="D8" s="78" t="s">
        <v>197</v>
      </c>
      <c r="E8" s="78" t="s">
        <v>88</v>
      </c>
      <c r="F8" s="84"/>
      <c r="G8" s="84" t="s">
        <v>123</v>
      </c>
      <c r="H8" s="78" t="s">
        <v>196</v>
      </c>
      <c r="I8" s="78" t="s">
        <v>197</v>
      </c>
      <c r="J8" s="78" t="s">
        <v>88</v>
      </c>
      <c r="K8" s="84"/>
    </row>
    <row r="9" spans="1:11" ht="18.75" customHeight="1">
      <c r="A9" s="86"/>
      <c r="B9" s="79"/>
      <c r="C9" s="79"/>
      <c r="D9" s="79"/>
      <c r="E9" s="83"/>
      <c r="F9" s="83"/>
      <c r="G9" s="79"/>
      <c r="H9" s="79"/>
      <c r="I9" s="79"/>
      <c r="J9" s="83"/>
      <c r="K9" s="83"/>
    </row>
    <row r="10" spans="1:11" ht="23.1" customHeight="1">
      <c r="A10" s="105" t="s">
        <v>64</v>
      </c>
      <c r="B10" s="105"/>
      <c r="C10" s="105">
        <v>853328085</v>
      </c>
      <c r="D10" s="105"/>
      <c r="E10" s="105">
        <f>B10+C10+D10</f>
        <v>853328085</v>
      </c>
      <c r="F10" s="105">
        <f>E10/$E$101</f>
        <v>5.0704253317465737E-3</v>
      </c>
      <c r="G10" s="105">
        <v>339437553</v>
      </c>
      <c r="H10" s="105"/>
      <c r="I10" s="105">
        <v>-55954453</v>
      </c>
      <c r="J10" s="105">
        <f>G10+H10+I10</f>
        <v>283483100</v>
      </c>
      <c r="K10" s="105">
        <f>J10/$J$101</f>
        <v>1.6508607982385853E-3</v>
      </c>
    </row>
    <row r="11" spans="1:11" ht="23.1" customHeight="1">
      <c r="A11" s="105" t="s">
        <v>38</v>
      </c>
      <c r="B11" s="105"/>
      <c r="C11" s="105">
        <v>1767323675</v>
      </c>
      <c r="D11" s="105">
        <v>189042328</v>
      </c>
      <c r="E11" s="105">
        <f t="shared" ref="E11:E74" si="0">B11+C11+D11</f>
        <v>1956366003</v>
      </c>
      <c r="F11" s="105">
        <f t="shared" ref="F11:F74" si="1">E11/$E$101</f>
        <v>1.162461181595704E-2</v>
      </c>
      <c r="G11" s="105"/>
      <c r="H11" s="105">
        <v>4847263034</v>
      </c>
      <c r="I11" s="105">
        <v>-2057403174</v>
      </c>
      <c r="J11" s="105">
        <f t="shared" ref="J11:J74" si="2">G11+H11+I11</f>
        <v>2789859860</v>
      </c>
      <c r="K11" s="105">
        <f t="shared" ref="K11:K74" si="3">J11/$J$101</f>
        <v>1.6246719029999981E-2</v>
      </c>
    </row>
    <row r="12" spans="1:11" ht="23.1" customHeight="1">
      <c r="A12" s="105" t="s">
        <v>63</v>
      </c>
      <c r="B12" s="105"/>
      <c r="C12" s="105">
        <v>738555483</v>
      </c>
      <c r="D12" s="105"/>
      <c r="E12" s="105">
        <f t="shared" si="0"/>
        <v>738555483</v>
      </c>
      <c r="F12" s="105">
        <f t="shared" si="1"/>
        <v>4.38845327574508E-3</v>
      </c>
      <c r="G12" s="105">
        <v>212280640</v>
      </c>
      <c r="H12" s="105">
        <v>431536065</v>
      </c>
      <c r="I12" s="105"/>
      <c r="J12" s="105">
        <f t="shared" si="2"/>
        <v>643816705</v>
      </c>
      <c r="K12" s="105">
        <f t="shared" si="3"/>
        <v>3.7492596896803931E-3</v>
      </c>
    </row>
    <row r="13" spans="1:11" ht="23.1" customHeight="1">
      <c r="A13" s="105" t="s">
        <v>185</v>
      </c>
      <c r="B13" s="105"/>
      <c r="C13" s="105"/>
      <c r="D13" s="105"/>
      <c r="E13" s="105">
        <f t="shared" si="0"/>
        <v>0</v>
      </c>
      <c r="F13" s="105">
        <f t="shared" si="1"/>
        <v>0</v>
      </c>
      <c r="G13" s="105"/>
      <c r="H13" s="105"/>
      <c r="I13" s="105">
        <v>-1205111876</v>
      </c>
      <c r="J13" s="105">
        <f t="shared" si="2"/>
        <v>-1205111876</v>
      </c>
      <c r="K13" s="105">
        <f t="shared" si="3"/>
        <v>-7.017956109482925E-3</v>
      </c>
    </row>
    <row r="14" spans="1:11" ht="23.1" customHeight="1">
      <c r="A14" s="105" t="s">
        <v>42</v>
      </c>
      <c r="B14" s="105"/>
      <c r="C14" s="105">
        <v>1088489054</v>
      </c>
      <c r="D14" s="105">
        <v>83605362</v>
      </c>
      <c r="E14" s="105">
        <f t="shared" si="0"/>
        <v>1172094416</v>
      </c>
      <c r="F14" s="105">
        <f t="shared" si="1"/>
        <v>6.9645161369382407E-3</v>
      </c>
      <c r="G14" s="105">
        <v>569925600</v>
      </c>
      <c r="H14" s="105">
        <v>2430078916</v>
      </c>
      <c r="I14" s="105">
        <v>154042267</v>
      </c>
      <c r="J14" s="105">
        <f t="shared" si="2"/>
        <v>3154046783</v>
      </c>
      <c r="K14" s="105">
        <f t="shared" si="3"/>
        <v>1.8367557677566041E-2</v>
      </c>
    </row>
    <row r="15" spans="1:11" ht="23.1" customHeight="1">
      <c r="A15" s="105" t="s">
        <v>181</v>
      </c>
      <c r="B15" s="105"/>
      <c r="C15" s="105"/>
      <c r="D15" s="105"/>
      <c r="E15" s="105">
        <f t="shared" si="0"/>
        <v>0</v>
      </c>
      <c r="F15" s="105">
        <f t="shared" si="1"/>
        <v>0</v>
      </c>
      <c r="G15" s="105"/>
      <c r="H15" s="105"/>
      <c r="I15" s="105">
        <v>-585067992</v>
      </c>
      <c r="J15" s="105">
        <f t="shared" si="2"/>
        <v>-585067992</v>
      </c>
      <c r="K15" s="105">
        <f t="shared" si="3"/>
        <v>-3.4071371884142874E-3</v>
      </c>
    </row>
    <row r="16" spans="1:11" ht="23.1" customHeight="1">
      <c r="A16" s="105" t="s">
        <v>44</v>
      </c>
      <c r="B16" s="105"/>
      <c r="C16" s="105">
        <v>1932353748</v>
      </c>
      <c r="D16" s="105">
        <v>219027292</v>
      </c>
      <c r="E16" s="105">
        <f t="shared" si="0"/>
        <v>2151381040</v>
      </c>
      <c r="F16" s="105">
        <f t="shared" si="1"/>
        <v>1.2783379704952861E-2</v>
      </c>
      <c r="G16" s="105"/>
      <c r="H16" s="105">
        <v>872450343</v>
      </c>
      <c r="I16" s="105">
        <v>-178789219</v>
      </c>
      <c r="J16" s="105">
        <f t="shared" si="2"/>
        <v>693661124</v>
      </c>
      <c r="K16" s="105">
        <f t="shared" si="3"/>
        <v>4.0395281301556047E-3</v>
      </c>
    </row>
    <row r="17" spans="1:11" ht="23.1" customHeight="1">
      <c r="A17" s="105" t="s">
        <v>31</v>
      </c>
      <c r="B17" s="105"/>
      <c r="C17" s="105">
        <v>770439020</v>
      </c>
      <c r="D17" s="105"/>
      <c r="E17" s="105">
        <f t="shared" si="0"/>
        <v>770439020</v>
      </c>
      <c r="F17" s="105">
        <f t="shared" si="1"/>
        <v>4.5779033788323105E-3</v>
      </c>
      <c r="G17" s="105">
        <v>71914238</v>
      </c>
      <c r="H17" s="105">
        <v>9180820135</v>
      </c>
      <c r="I17" s="105">
        <v>-1059088746</v>
      </c>
      <c r="J17" s="105">
        <f t="shared" si="2"/>
        <v>8193645627</v>
      </c>
      <c r="K17" s="105">
        <f t="shared" si="3"/>
        <v>4.7715607598030764E-2</v>
      </c>
    </row>
    <row r="18" spans="1:11" ht="23.1" customHeight="1">
      <c r="A18" s="105" t="s">
        <v>71</v>
      </c>
      <c r="B18" s="105"/>
      <c r="C18" s="105">
        <v>2226047523</v>
      </c>
      <c r="D18" s="105">
        <v>480759626</v>
      </c>
      <c r="E18" s="105">
        <f t="shared" si="0"/>
        <v>2706807149</v>
      </c>
      <c r="F18" s="105">
        <f t="shared" si="1"/>
        <v>1.6083689002738405E-2</v>
      </c>
      <c r="G18" s="105"/>
      <c r="H18" s="105">
        <v>-1286240334</v>
      </c>
      <c r="I18" s="105">
        <v>-50825065</v>
      </c>
      <c r="J18" s="105">
        <f t="shared" si="2"/>
        <v>-1337065399</v>
      </c>
      <c r="K18" s="105">
        <f t="shared" si="3"/>
        <v>-7.7863860381459519E-3</v>
      </c>
    </row>
    <row r="19" spans="1:11" ht="23.1" customHeight="1">
      <c r="A19" s="105" t="s">
        <v>47</v>
      </c>
      <c r="B19" s="105"/>
      <c r="C19" s="105">
        <v>6836931762</v>
      </c>
      <c r="D19" s="105">
        <v>664093410</v>
      </c>
      <c r="E19" s="105">
        <f t="shared" si="0"/>
        <v>7501025172</v>
      </c>
      <c r="F19" s="105">
        <f t="shared" si="1"/>
        <v>4.4570650743526743E-2</v>
      </c>
      <c r="G19" s="105">
        <v>669119130</v>
      </c>
      <c r="H19" s="105">
        <v>-797612843</v>
      </c>
      <c r="I19" s="105">
        <v>-2294992678</v>
      </c>
      <c r="J19" s="105">
        <f t="shared" si="2"/>
        <v>-2423486391</v>
      </c>
      <c r="K19" s="105">
        <f t="shared" si="3"/>
        <v>-1.4113147055209318E-2</v>
      </c>
    </row>
    <row r="20" spans="1:11" ht="23.1" customHeight="1">
      <c r="A20" s="105" t="s">
        <v>79</v>
      </c>
      <c r="B20" s="105"/>
      <c r="C20" s="105">
        <v>163739789</v>
      </c>
      <c r="D20" s="105"/>
      <c r="E20" s="105">
        <f t="shared" si="0"/>
        <v>163739789</v>
      </c>
      <c r="F20" s="105">
        <f t="shared" si="1"/>
        <v>9.7293220339799205E-4</v>
      </c>
      <c r="G20" s="105">
        <v>57149070</v>
      </c>
      <c r="H20" s="105">
        <v>33106715</v>
      </c>
      <c r="I20" s="105">
        <v>-562420012</v>
      </c>
      <c r="J20" s="105">
        <f t="shared" si="2"/>
        <v>-472164227</v>
      </c>
      <c r="K20" s="105">
        <f t="shared" si="3"/>
        <v>-2.7496433215416531E-3</v>
      </c>
    </row>
    <row r="21" spans="1:11" ht="23.1" customHeight="1">
      <c r="A21" s="105" t="s">
        <v>187</v>
      </c>
      <c r="B21" s="105"/>
      <c r="C21" s="105"/>
      <c r="D21" s="105"/>
      <c r="E21" s="105">
        <f t="shared" si="0"/>
        <v>0</v>
      </c>
      <c r="F21" s="105">
        <f t="shared" si="1"/>
        <v>0</v>
      </c>
      <c r="G21" s="105"/>
      <c r="H21" s="105"/>
      <c r="I21" s="105">
        <v>-144013330</v>
      </c>
      <c r="J21" s="105">
        <f t="shared" si="2"/>
        <v>-144013330</v>
      </c>
      <c r="K21" s="105">
        <f t="shared" si="3"/>
        <v>-8.3866008563049019E-4</v>
      </c>
    </row>
    <row r="22" spans="1:11" ht="23.1" customHeight="1">
      <c r="A22" s="105" t="s">
        <v>87</v>
      </c>
      <c r="B22" s="105"/>
      <c r="C22" s="105">
        <v>0</v>
      </c>
      <c r="D22" s="105"/>
      <c r="E22" s="105">
        <f t="shared" si="0"/>
        <v>0</v>
      </c>
      <c r="F22" s="105">
        <f t="shared" si="1"/>
        <v>0</v>
      </c>
      <c r="G22" s="105"/>
      <c r="H22" s="105">
        <v>2810044275</v>
      </c>
      <c r="I22" s="105"/>
      <c r="J22" s="105">
        <f t="shared" si="2"/>
        <v>2810044275</v>
      </c>
      <c r="K22" s="105">
        <f t="shared" si="3"/>
        <v>1.6364262754683671E-2</v>
      </c>
    </row>
    <row r="23" spans="1:11" ht="23.1" customHeight="1">
      <c r="A23" s="105" t="s">
        <v>37</v>
      </c>
      <c r="B23" s="105"/>
      <c r="C23" s="105">
        <v>533826734</v>
      </c>
      <c r="D23" s="105"/>
      <c r="E23" s="105">
        <f t="shared" si="0"/>
        <v>533826734</v>
      </c>
      <c r="F23" s="105">
        <f t="shared" si="1"/>
        <v>3.1719670809113708E-3</v>
      </c>
      <c r="G23" s="105"/>
      <c r="H23" s="105">
        <v>2033452101</v>
      </c>
      <c r="I23" s="105">
        <v>35832962</v>
      </c>
      <c r="J23" s="105">
        <f t="shared" si="2"/>
        <v>2069285063</v>
      </c>
      <c r="K23" s="105">
        <f t="shared" si="3"/>
        <v>1.2050459413232611E-2</v>
      </c>
    </row>
    <row r="24" spans="1:11" ht="23.1" customHeight="1">
      <c r="A24" s="105" t="s">
        <v>183</v>
      </c>
      <c r="B24" s="105"/>
      <c r="C24" s="105"/>
      <c r="D24" s="105"/>
      <c r="E24" s="105">
        <f t="shared" si="0"/>
        <v>0</v>
      </c>
      <c r="F24" s="105">
        <f t="shared" si="1"/>
        <v>0</v>
      </c>
      <c r="G24" s="105"/>
      <c r="H24" s="105"/>
      <c r="I24" s="105">
        <v>-586652166</v>
      </c>
      <c r="J24" s="105">
        <f t="shared" si="2"/>
        <v>-586652166</v>
      </c>
      <c r="K24" s="105">
        <f t="shared" si="3"/>
        <v>-3.4163626087451247E-3</v>
      </c>
    </row>
    <row r="25" spans="1:11" ht="23.1" customHeight="1">
      <c r="A25" s="105" t="s">
        <v>191</v>
      </c>
      <c r="B25" s="105"/>
      <c r="C25" s="105"/>
      <c r="D25" s="105"/>
      <c r="E25" s="105">
        <f t="shared" si="0"/>
        <v>0</v>
      </c>
      <c r="F25" s="105">
        <f t="shared" si="1"/>
        <v>0</v>
      </c>
      <c r="G25" s="105"/>
      <c r="H25" s="105"/>
      <c r="I25" s="105">
        <v>-490043326</v>
      </c>
      <c r="J25" s="105">
        <f t="shared" si="2"/>
        <v>-490043326</v>
      </c>
      <c r="K25" s="105">
        <f t="shared" si="3"/>
        <v>-2.8537620631771394E-3</v>
      </c>
    </row>
    <row r="26" spans="1:11" ht="23.1" customHeight="1">
      <c r="A26" s="105" t="s">
        <v>46</v>
      </c>
      <c r="B26" s="105"/>
      <c r="C26" s="105">
        <v>807788404</v>
      </c>
      <c r="D26" s="105"/>
      <c r="E26" s="105">
        <f t="shared" si="0"/>
        <v>807788404</v>
      </c>
      <c r="F26" s="105">
        <f t="shared" si="1"/>
        <v>4.7998312235706334E-3</v>
      </c>
      <c r="G26" s="105">
        <v>1720318250</v>
      </c>
      <c r="H26" s="105">
        <v>5251901457</v>
      </c>
      <c r="I26" s="105">
        <v>-61699451</v>
      </c>
      <c r="J26" s="105">
        <f t="shared" si="2"/>
        <v>6910520256</v>
      </c>
      <c r="K26" s="105">
        <f t="shared" si="3"/>
        <v>4.0243340735529112E-2</v>
      </c>
    </row>
    <row r="27" spans="1:11" ht="23.1" customHeight="1">
      <c r="A27" s="105" t="s">
        <v>67</v>
      </c>
      <c r="B27" s="105"/>
      <c r="C27" s="105">
        <v>72814192</v>
      </c>
      <c r="D27" s="105">
        <v>-20957037</v>
      </c>
      <c r="E27" s="105">
        <f t="shared" si="0"/>
        <v>51857155</v>
      </c>
      <c r="F27" s="105">
        <f t="shared" si="1"/>
        <v>3.0813216741168025E-4</v>
      </c>
      <c r="G27" s="105">
        <v>115146680</v>
      </c>
      <c r="H27" s="105">
        <v>1745028247</v>
      </c>
      <c r="I27" s="105">
        <v>-84258714</v>
      </c>
      <c r="J27" s="105">
        <f t="shared" si="2"/>
        <v>1775916213</v>
      </c>
      <c r="K27" s="105">
        <f t="shared" si="3"/>
        <v>1.0342029055693357E-2</v>
      </c>
    </row>
    <row r="28" spans="1:11" ht="23.1" customHeight="1">
      <c r="A28" s="105" t="s">
        <v>32</v>
      </c>
      <c r="B28" s="105"/>
      <c r="C28" s="105">
        <v>4241347918</v>
      </c>
      <c r="D28" s="105">
        <v>893206721</v>
      </c>
      <c r="E28" s="105">
        <f t="shared" si="0"/>
        <v>5134554639</v>
      </c>
      <c r="F28" s="105">
        <f t="shared" si="1"/>
        <v>3.0509221911783773E-2</v>
      </c>
      <c r="G28" s="105">
        <v>1380675960</v>
      </c>
      <c r="H28" s="105">
        <v>6754557384</v>
      </c>
      <c r="I28" s="105">
        <v>3006003890</v>
      </c>
      <c r="J28" s="105">
        <f t="shared" si="2"/>
        <v>11141237234</v>
      </c>
      <c r="K28" s="105">
        <f t="shared" si="3"/>
        <v>6.4880875768208723E-2</v>
      </c>
    </row>
    <row r="29" spans="1:11" ht="23.1" customHeight="1">
      <c r="A29" s="105" t="s">
        <v>49</v>
      </c>
      <c r="B29" s="105"/>
      <c r="C29" s="105">
        <v>8519171302</v>
      </c>
      <c r="D29" s="105">
        <v>431618287</v>
      </c>
      <c r="E29" s="105">
        <f t="shared" si="0"/>
        <v>8950789589</v>
      </c>
      <c r="F29" s="105">
        <f t="shared" si="1"/>
        <v>5.3185065707990975E-2</v>
      </c>
      <c r="G29" s="105">
        <v>1127778560</v>
      </c>
      <c r="H29" s="105">
        <v>51304380</v>
      </c>
      <c r="I29" s="105">
        <v>431618287</v>
      </c>
      <c r="J29" s="105">
        <f t="shared" si="2"/>
        <v>1610701227</v>
      </c>
      <c r="K29" s="105">
        <f t="shared" si="3"/>
        <v>9.3799013533049733E-3</v>
      </c>
    </row>
    <row r="30" spans="1:11" ht="23.1" customHeight="1">
      <c r="A30" s="105" t="s">
        <v>74</v>
      </c>
      <c r="B30" s="105"/>
      <c r="C30" s="105">
        <v>1109651418</v>
      </c>
      <c r="D30" s="105">
        <v>-67985380</v>
      </c>
      <c r="E30" s="105">
        <f t="shared" si="0"/>
        <v>1041666038</v>
      </c>
      <c r="F30" s="105">
        <f t="shared" si="1"/>
        <v>6.1895183800206102E-3</v>
      </c>
      <c r="G30" s="105">
        <v>371028621</v>
      </c>
      <c r="H30" s="105">
        <v>3889939287</v>
      </c>
      <c r="I30" s="105">
        <v>-79623444</v>
      </c>
      <c r="J30" s="105">
        <f t="shared" si="2"/>
        <v>4181344464</v>
      </c>
      <c r="K30" s="105">
        <f t="shared" si="3"/>
        <v>2.4350014725920275E-2</v>
      </c>
    </row>
    <row r="31" spans="1:11" ht="23.1" customHeight="1">
      <c r="A31" s="105" t="s">
        <v>77</v>
      </c>
      <c r="B31" s="105"/>
      <c r="C31" s="105">
        <v>1946647282</v>
      </c>
      <c r="D31" s="105">
        <v>530055880</v>
      </c>
      <c r="E31" s="105">
        <f t="shared" si="0"/>
        <v>2476703162</v>
      </c>
      <c r="F31" s="105">
        <f t="shared" si="1"/>
        <v>1.4716424634988592E-2</v>
      </c>
      <c r="G31" s="105">
        <v>1269957150</v>
      </c>
      <c r="H31" s="105">
        <v>566658928</v>
      </c>
      <c r="I31" s="105">
        <v>1336617560</v>
      </c>
      <c r="J31" s="105">
        <f t="shared" si="2"/>
        <v>3173233638</v>
      </c>
      <c r="K31" s="105">
        <f t="shared" si="3"/>
        <v>1.8479292122268346E-2</v>
      </c>
    </row>
    <row r="32" spans="1:11" ht="23.1" customHeight="1">
      <c r="A32" s="105" t="s">
        <v>72</v>
      </c>
      <c r="B32" s="105"/>
      <c r="C32" s="105">
        <v>1516078005</v>
      </c>
      <c r="D32" s="105">
        <v>-219169360</v>
      </c>
      <c r="E32" s="105">
        <f t="shared" si="0"/>
        <v>1296908645</v>
      </c>
      <c r="F32" s="105">
        <f t="shared" si="1"/>
        <v>7.7061549504363553E-3</v>
      </c>
      <c r="G32" s="105">
        <v>802785448</v>
      </c>
      <c r="H32" s="105">
        <v>1528334490</v>
      </c>
      <c r="I32" s="105">
        <v>-344801360</v>
      </c>
      <c r="J32" s="105">
        <f t="shared" si="2"/>
        <v>1986318578</v>
      </c>
      <c r="K32" s="105">
        <f t="shared" si="3"/>
        <v>1.1567304975969332E-2</v>
      </c>
    </row>
    <row r="33" spans="1:11" ht="23.1" customHeight="1">
      <c r="A33" s="105" t="s">
        <v>152</v>
      </c>
      <c r="B33" s="105"/>
      <c r="C33" s="105"/>
      <c r="D33" s="105"/>
      <c r="E33" s="105">
        <f t="shared" si="0"/>
        <v>0</v>
      </c>
      <c r="F33" s="105">
        <f t="shared" si="1"/>
        <v>0</v>
      </c>
      <c r="G33" s="105">
        <v>84800</v>
      </c>
      <c r="H33" s="105"/>
      <c r="I33" s="105">
        <v>-833263239</v>
      </c>
      <c r="J33" s="105">
        <f t="shared" si="2"/>
        <v>-833178439</v>
      </c>
      <c r="K33" s="105">
        <f t="shared" si="3"/>
        <v>-4.8520057205622431E-3</v>
      </c>
    </row>
    <row r="34" spans="1:11" ht="23.1" customHeight="1">
      <c r="A34" s="105" t="s">
        <v>36</v>
      </c>
      <c r="B34" s="105">
        <v>518947000</v>
      </c>
      <c r="C34" s="105">
        <v>4199123584</v>
      </c>
      <c r="D34" s="105">
        <v>77421965</v>
      </c>
      <c r="E34" s="105">
        <f t="shared" si="0"/>
        <v>4795492549</v>
      </c>
      <c r="F34" s="105">
        <f t="shared" si="1"/>
        <v>2.8494534899377592E-2</v>
      </c>
      <c r="G34" s="105">
        <v>2042975000</v>
      </c>
      <c r="H34" s="105">
        <v>779489254</v>
      </c>
      <c r="I34" s="105">
        <v>137263565</v>
      </c>
      <c r="J34" s="105">
        <f t="shared" si="2"/>
        <v>2959727819</v>
      </c>
      <c r="K34" s="105">
        <f t="shared" si="3"/>
        <v>1.7235943270845024E-2</v>
      </c>
    </row>
    <row r="35" spans="1:11" ht="23.1" customHeight="1">
      <c r="A35" s="105" t="s">
        <v>58</v>
      </c>
      <c r="B35" s="105"/>
      <c r="C35" s="105">
        <v>2423890018</v>
      </c>
      <c r="D35" s="105">
        <v>-336495095</v>
      </c>
      <c r="E35" s="105">
        <f t="shared" si="0"/>
        <v>2087394923</v>
      </c>
      <c r="F35" s="105">
        <f t="shared" si="1"/>
        <v>1.240317795814536E-2</v>
      </c>
      <c r="G35" s="105">
        <v>490736400</v>
      </c>
      <c r="H35" s="105">
        <v>1380294855</v>
      </c>
      <c r="I35" s="105">
        <v>-465240453</v>
      </c>
      <c r="J35" s="105">
        <f t="shared" si="2"/>
        <v>1405790802</v>
      </c>
      <c r="K35" s="105">
        <f t="shared" si="3"/>
        <v>8.1866076868292361E-3</v>
      </c>
    </row>
    <row r="36" spans="1:11" ht="23.1" customHeight="1">
      <c r="A36" s="105" t="s">
        <v>35</v>
      </c>
      <c r="B36" s="105"/>
      <c r="C36" s="105">
        <v>1417230473</v>
      </c>
      <c r="D36" s="105">
        <v>167092500</v>
      </c>
      <c r="E36" s="105">
        <f t="shared" si="0"/>
        <v>1584322973</v>
      </c>
      <c r="F36" s="105">
        <f t="shared" si="1"/>
        <v>9.4139539963310169E-3</v>
      </c>
      <c r="G36" s="105">
        <v>391380000</v>
      </c>
      <c r="H36" s="105">
        <v>4829760053</v>
      </c>
      <c r="I36" s="105">
        <v>159471080</v>
      </c>
      <c r="J36" s="105">
        <f t="shared" si="2"/>
        <v>5380611133</v>
      </c>
      <c r="K36" s="105">
        <f t="shared" si="3"/>
        <v>3.1333931335010091E-2</v>
      </c>
    </row>
    <row r="37" spans="1:11" ht="23.1" customHeight="1">
      <c r="A37" s="105" t="s">
        <v>178</v>
      </c>
      <c r="B37" s="105"/>
      <c r="C37" s="105"/>
      <c r="D37" s="105"/>
      <c r="E37" s="105">
        <f t="shared" si="0"/>
        <v>0</v>
      </c>
      <c r="F37" s="105">
        <f t="shared" si="1"/>
        <v>0</v>
      </c>
      <c r="G37" s="105"/>
      <c r="H37" s="105"/>
      <c r="I37" s="105">
        <v>-179665178</v>
      </c>
      <c r="J37" s="105">
        <f t="shared" si="2"/>
        <v>-179665178</v>
      </c>
      <c r="K37" s="105">
        <f t="shared" si="3"/>
        <v>-1.0462782408149111E-3</v>
      </c>
    </row>
    <row r="38" spans="1:11" ht="23.1" customHeight="1">
      <c r="A38" s="105" t="s">
        <v>60</v>
      </c>
      <c r="B38" s="105"/>
      <c r="C38" s="105">
        <v>1724433400</v>
      </c>
      <c r="D38" s="105">
        <v>232588373</v>
      </c>
      <c r="E38" s="105">
        <f t="shared" si="0"/>
        <v>1957021773</v>
      </c>
      <c r="F38" s="105">
        <f t="shared" si="1"/>
        <v>1.1628508362758028E-2</v>
      </c>
      <c r="G38" s="105">
        <v>470205512</v>
      </c>
      <c r="H38" s="105">
        <v>2642589877</v>
      </c>
      <c r="I38" s="105">
        <v>228415045</v>
      </c>
      <c r="J38" s="105">
        <f t="shared" si="2"/>
        <v>3341210434</v>
      </c>
      <c r="K38" s="105">
        <f t="shared" si="3"/>
        <v>1.945750319562729E-2</v>
      </c>
    </row>
    <row r="39" spans="1:11" ht="23.1" customHeight="1">
      <c r="A39" s="105" t="s">
        <v>25</v>
      </c>
      <c r="B39" s="105"/>
      <c r="C39" s="105">
        <v>6671575233</v>
      </c>
      <c r="D39" s="105">
        <v>-232763182</v>
      </c>
      <c r="E39" s="105">
        <f t="shared" si="0"/>
        <v>6438812051</v>
      </c>
      <c r="F39" s="105">
        <f t="shared" si="1"/>
        <v>3.8259042803853706E-2</v>
      </c>
      <c r="G39" s="105">
        <v>1366592600</v>
      </c>
      <c r="H39" s="105">
        <v>-1041862559</v>
      </c>
      <c r="I39" s="105">
        <v>-732656956</v>
      </c>
      <c r="J39" s="105">
        <f t="shared" si="2"/>
        <v>-407926915</v>
      </c>
      <c r="K39" s="105">
        <f t="shared" si="3"/>
        <v>-2.3755580227530445E-3</v>
      </c>
    </row>
    <row r="40" spans="1:11" ht="23.1" customHeight="1">
      <c r="A40" s="105" t="s">
        <v>82</v>
      </c>
      <c r="B40" s="105"/>
      <c r="C40" s="105">
        <v>-803190259</v>
      </c>
      <c r="D40" s="105">
        <v>1270445409</v>
      </c>
      <c r="E40" s="105">
        <f t="shared" si="0"/>
        <v>467255150</v>
      </c>
      <c r="F40" s="105">
        <f t="shared" si="1"/>
        <v>2.7764026411354376E-3</v>
      </c>
      <c r="G40" s="105"/>
      <c r="H40" s="105">
        <v>208583592</v>
      </c>
      <c r="I40" s="105">
        <v>1319757748</v>
      </c>
      <c r="J40" s="105">
        <f t="shared" si="2"/>
        <v>1528341340</v>
      </c>
      <c r="K40" s="105">
        <f t="shared" si="3"/>
        <v>8.9002794330012239E-3</v>
      </c>
    </row>
    <row r="41" spans="1:11" ht="23.1" customHeight="1">
      <c r="A41" s="105" t="s">
        <v>86</v>
      </c>
      <c r="B41" s="105"/>
      <c r="C41" s="105">
        <v>-1433873054</v>
      </c>
      <c r="D41" s="105">
        <v>1600449676</v>
      </c>
      <c r="E41" s="105">
        <f t="shared" si="0"/>
        <v>166576622</v>
      </c>
      <c r="F41" s="105">
        <f t="shared" si="1"/>
        <v>9.8978849836587018E-4</v>
      </c>
      <c r="G41" s="105"/>
      <c r="H41" s="105">
        <v>-250300</v>
      </c>
      <c r="I41" s="105">
        <v>1920862747</v>
      </c>
      <c r="J41" s="105">
        <f t="shared" si="2"/>
        <v>1920612447</v>
      </c>
      <c r="K41" s="105">
        <f t="shared" si="3"/>
        <v>1.1184666025457542E-2</v>
      </c>
    </row>
    <row r="42" spans="1:11" ht="23.1" customHeight="1">
      <c r="A42" s="105" t="s">
        <v>188</v>
      </c>
      <c r="B42" s="105"/>
      <c r="C42" s="105"/>
      <c r="D42" s="105"/>
      <c r="E42" s="105">
        <f t="shared" si="0"/>
        <v>0</v>
      </c>
      <c r="F42" s="105">
        <f t="shared" si="1"/>
        <v>0</v>
      </c>
      <c r="G42" s="105"/>
      <c r="H42" s="105"/>
      <c r="I42" s="105">
        <v>-315643873</v>
      </c>
      <c r="J42" s="105">
        <f t="shared" si="2"/>
        <v>-315643873</v>
      </c>
      <c r="K42" s="105">
        <f t="shared" si="3"/>
        <v>-1.8381487155315385E-3</v>
      </c>
    </row>
    <row r="43" spans="1:11" ht="23.1" customHeight="1">
      <c r="A43" s="105" t="s">
        <v>23</v>
      </c>
      <c r="B43" s="105"/>
      <c r="C43" s="105">
        <v>367869093</v>
      </c>
      <c r="D43" s="105">
        <v>-506338683</v>
      </c>
      <c r="E43" s="105">
        <f t="shared" si="0"/>
        <v>-138469590</v>
      </c>
      <c r="F43" s="105">
        <f t="shared" si="1"/>
        <v>-8.2277816604684004E-4</v>
      </c>
      <c r="G43" s="105">
        <v>239981000</v>
      </c>
      <c r="H43" s="105">
        <v>2370330297</v>
      </c>
      <c r="I43" s="105">
        <v>-532334644</v>
      </c>
      <c r="J43" s="105">
        <f t="shared" si="2"/>
        <v>2077976653</v>
      </c>
      <c r="K43" s="105">
        <f t="shared" si="3"/>
        <v>1.2101074794556445E-2</v>
      </c>
    </row>
    <row r="44" spans="1:11" ht="23.1" customHeight="1">
      <c r="A44" s="105" t="s">
        <v>180</v>
      </c>
      <c r="B44" s="105"/>
      <c r="C44" s="105"/>
      <c r="D44" s="105"/>
      <c r="E44" s="105">
        <f t="shared" si="0"/>
        <v>0</v>
      </c>
      <c r="F44" s="105">
        <f t="shared" si="1"/>
        <v>0</v>
      </c>
      <c r="G44" s="105"/>
      <c r="H44" s="105"/>
      <c r="I44" s="105">
        <v>-697492873</v>
      </c>
      <c r="J44" s="105">
        <f t="shared" si="2"/>
        <v>-697492873</v>
      </c>
      <c r="K44" s="105">
        <f t="shared" si="3"/>
        <v>-4.0618422794392482E-3</v>
      </c>
    </row>
    <row r="45" spans="1:11" ht="23.1" customHeight="1">
      <c r="A45" s="105" t="s">
        <v>53</v>
      </c>
      <c r="B45" s="105"/>
      <c r="C45" s="105">
        <v>293951549</v>
      </c>
      <c r="D45" s="105"/>
      <c r="E45" s="105">
        <f t="shared" si="0"/>
        <v>293951549</v>
      </c>
      <c r="F45" s="105">
        <f t="shared" si="1"/>
        <v>1.7466428288900678E-3</v>
      </c>
      <c r="G45" s="105"/>
      <c r="H45" s="105">
        <v>1846845261</v>
      </c>
      <c r="I45" s="105">
        <v>-869215481</v>
      </c>
      <c r="J45" s="105">
        <f t="shared" si="2"/>
        <v>977629780</v>
      </c>
      <c r="K45" s="105">
        <f t="shared" si="3"/>
        <v>5.693216558562442E-3</v>
      </c>
    </row>
    <row r="46" spans="1:11" ht="18.75">
      <c r="A46" s="105" t="s">
        <v>45</v>
      </c>
      <c r="B46" s="105"/>
      <c r="C46" s="105">
        <v>1836711555</v>
      </c>
      <c r="D46" s="105">
        <v>-116766719</v>
      </c>
      <c r="E46" s="105">
        <f t="shared" si="0"/>
        <v>1719944836</v>
      </c>
      <c r="F46" s="105">
        <f t="shared" si="1"/>
        <v>1.0219811135902208E-2</v>
      </c>
      <c r="G46" s="105">
        <v>1155060920</v>
      </c>
      <c r="H46" s="105">
        <v>-97689801</v>
      </c>
      <c r="I46" s="105">
        <v>-115494515</v>
      </c>
      <c r="J46" s="105">
        <f t="shared" si="2"/>
        <v>941876604</v>
      </c>
      <c r="K46" s="105">
        <f t="shared" si="3"/>
        <v>5.4850083208547104E-3</v>
      </c>
    </row>
    <row r="47" spans="1:11" ht="18.75">
      <c r="A47" s="105" t="s">
        <v>80</v>
      </c>
      <c r="B47" s="105"/>
      <c r="C47" s="105">
        <v>33106715</v>
      </c>
      <c r="D47" s="105"/>
      <c r="E47" s="105">
        <f t="shared" si="0"/>
        <v>33106715</v>
      </c>
      <c r="F47" s="105">
        <f t="shared" si="1"/>
        <v>1.9671815487816069E-4</v>
      </c>
      <c r="G47" s="105"/>
      <c r="H47" s="105">
        <v>1468813970</v>
      </c>
      <c r="I47" s="105"/>
      <c r="J47" s="105">
        <f t="shared" si="2"/>
        <v>1468813970</v>
      </c>
      <c r="K47" s="105">
        <f t="shared" si="3"/>
        <v>8.5536224310309352E-3</v>
      </c>
    </row>
    <row r="48" spans="1:11" ht="18.75">
      <c r="A48" s="105" t="s">
        <v>41</v>
      </c>
      <c r="B48" s="105"/>
      <c r="C48" s="105">
        <v>2898627816</v>
      </c>
      <c r="D48" s="105"/>
      <c r="E48" s="105">
        <f t="shared" si="0"/>
        <v>2898627816</v>
      </c>
      <c r="F48" s="105">
        <f t="shared" si="1"/>
        <v>1.7223476132924475E-2</v>
      </c>
      <c r="G48" s="105"/>
      <c r="H48" s="105">
        <v>1191091256</v>
      </c>
      <c r="I48" s="105">
        <v>-86528470</v>
      </c>
      <c r="J48" s="105">
        <f t="shared" si="2"/>
        <v>1104562786</v>
      </c>
      <c r="K48" s="105">
        <f t="shared" si="3"/>
        <v>6.4324095602192712E-3</v>
      </c>
    </row>
    <row r="49" spans="1:11" ht="18.75">
      <c r="A49" s="105" t="s">
        <v>70</v>
      </c>
      <c r="B49" s="105"/>
      <c r="C49" s="105">
        <v>1890983619</v>
      </c>
      <c r="D49" s="105">
        <v>-352283668</v>
      </c>
      <c r="E49" s="105">
        <f t="shared" si="0"/>
        <v>1538699951</v>
      </c>
      <c r="F49" s="105">
        <f t="shared" si="1"/>
        <v>9.1428646808309512E-3</v>
      </c>
      <c r="G49" s="105"/>
      <c r="H49" s="105">
        <v>2226047523</v>
      </c>
      <c r="I49" s="105">
        <v>-823976168</v>
      </c>
      <c r="J49" s="105">
        <f t="shared" si="2"/>
        <v>1402071355</v>
      </c>
      <c r="K49" s="105">
        <f t="shared" si="3"/>
        <v>8.1649475270404309E-3</v>
      </c>
    </row>
    <row r="50" spans="1:11" ht="18.75">
      <c r="A50" s="105" t="s">
        <v>28</v>
      </c>
      <c r="B50" s="105"/>
      <c r="C50" s="105">
        <v>1175150308</v>
      </c>
      <c r="D50" s="105">
        <v>39701969</v>
      </c>
      <c r="E50" s="105">
        <f t="shared" si="0"/>
        <v>1214852277</v>
      </c>
      <c r="F50" s="105">
        <f t="shared" si="1"/>
        <v>7.2185808341592387E-3</v>
      </c>
      <c r="G50" s="105"/>
      <c r="H50" s="105">
        <v>1064621642</v>
      </c>
      <c r="I50" s="105">
        <v>-957428304</v>
      </c>
      <c r="J50" s="105">
        <f t="shared" si="2"/>
        <v>107193338</v>
      </c>
      <c r="K50" s="105">
        <f t="shared" si="3"/>
        <v>6.2423925636674105E-4</v>
      </c>
    </row>
    <row r="51" spans="1:11" ht="18.75">
      <c r="A51" s="105" t="s">
        <v>136</v>
      </c>
      <c r="B51" s="105"/>
      <c r="C51" s="105"/>
      <c r="D51" s="105"/>
      <c r="E51" s="105">
        <f t="shared" si="0"/>
        <v>0</v>
      </c>
      <c r="F51" s="105">
        <f t="shared" si="1"/>
        <v>0</v>
      </c>
      <c r="G51" s="105">
        <v>4241820</v>
      </c>
      <c r="H51" s="105"/>
      <c r="I51" s="105">
        <v>-558384067</v>
      </c>
      <c r="J51" s="105">
        <f t="shared" si="2"/>
        <v>-554142247</v>
      </c>
      <c r="K51" s="105">
        <f t="shared" si="3"/>
        <v>-3.2270414434586872E-3</v>
      </c>
    </row>
    <row r="52" spans="1:11" ht="18.75">
      <c r="A52" s="105" t="s">
        <v>75</v>
      </c>
      <c r="B52" s="105"/>
      <c r="C52" s="105">
        <v>2810044275</v>
      </c>
      <c r="D52" s="105"/>
      <c r="E52" s="105">
        <f t="shared" si="0"/>
        <v>2810044275</v>
      </c>
      <c r="F52" s="105">
        <f t="shared" si="1"/>
        <v>1.6697117938277439E-2</v>
      </c>
      <c r="G52" s="105"/>
      <c r="H52" s="105">
        <v>0</v>
      </c>
      <c r="I52" s="105"/>
      <c r="J52" s="105">
        <f t="shared" si="2"/>
        <v>0</v>
      </c>
      <c r="K52" s="105">
        <f t="shared" si="3"/>
        <v>0</v>
      </c>
    </row>
    <row r="53" spans="1:11" ht="18.75">
      <c r="A53" s="105" t="s">
        <v>43</v>
      </c>
      <c r="B53" s="105"/>
      <c r="C53" s="105">
        <v>3759451291</v>
      </c>
      <c r="D53" s="105">
        <v>-228496382</v>
      </c>
      <c r="E53" s="105">
        <f t="shared" si="0"/>
        <v>3530954909</v>
      </c>
      <c r="F53" s="105">
        <f t="shared" si="1"/>
        <v>2.0980726558236414E-2</v>
      </c>
      <c r="G53" s="105"/>
      <c r="H53" s="105">
        <v>1846739924</v>
      </c>
      <c r="I53" s="105">
        <v>-1767805432</v>
      </c>
      <c r="J53" s="105">
        <f t="shared" si="2"/>
        <v>78934492</v>
      </c>
      <c r="K53" s="105">
        <f t="shared" si="3"/>
        <v>4.596741691891941E-4</v>
      </c>
    </row>
    <row r="54" spans="1:11" ht="18.75">
      <c r="A54" s="105" t="s">
        <v>85</v>
      </c>
      <c r="B54" s="105"/>
      <c r="C54" s="105">
        <v>6056390231</v>
      </c>
      <c r="D54" s="105">
        <v>230025762</v>
      </c>
      <c r="E54" s="105">
        <f t="shared" si="0"/>
        <v>6286415993</v>
      </c>
      <c r="F54" s="105">
        <f t="shared" si="1"/>
        <v>3.7353514383396853E-2</v>
      </c>
      <c r="G54" s="105">
        <v>4131290270</v>
      </c>
      <c r="H54" s="105">
        <v>-229867737</v>
      </c>
      <c r="I54" s="105">
        <v>-1014803865</v>
      </c>
      <c r="J54" s="105">
        <f t="shared" si="2"/>
        <v>2886618668</v>
      </c>
      <c r="K54" s="105">
        <f t="shared" si="3"/>
        <v>1.68101929126106E-2</v>
      </c>
    </row>
    <row r="55" spans="1:11" ht="18.75">
      <c r="A55" s="105" t="s">
        <v>50</v>
      </c>
      <c r="B55" s="105">
        <v>418270710</v>
      </c>
      <c r="C55" s="105">
        <v>187343128</v>
      </c>
      <c r="D55" s="105">
        <v>-4161600</v>
      </c>
      <c r="E55" s="105">
        <f t="shared" si="0"/>
        <v>601452238</v>
      </c>
      <c r="F55" s="105">
        <f t="shared" si="1"/>
        <v>3.5737938513893744E-3</v>
      </c>
      <c r="G55" s="105">
        <v>418270710</v>
      </c>
      <c r="H55" s="105">
        <v>794244285</v>
      </c>
      <c r="I55" s="105">
        <v>-79173339</v>
      </c>
      <c r="J55" s="105">
        <f t="shared" si="2"/>
        <v>1133341656</v>
      </c>
      <c r="K55" s="105">
        <f t="shared" si="3"/>
        <v>6.6000030015940991E-3</v>
      </c>
    </row>
    <row r="56" spans="1:11" ht="18.75">
      <c r="A56" s="105" t="s">
        <v>24</v>
      </c>
      <c r="B56" s="105"/>
      <c r="C56" s="105">
        <v>1834854026</v>
      </c>
      <c r="D56" s="105">
        <v>653082463</v>
      </c>
      <c r="E56" s="105">
        <f t="shared" si="0"/>
        <v>2487936489</v>
      </c>
      <c r="F56" s="105">
        <f t="shared" si="1"/>
        <v>1.4783172403850076E-2</v>
      </c>
      <c r="G56" s="105"/>
      <c r="H56" s="105">
        <v>2800403099</v>
      </c>
      <c r="I56" s="105">
        <v>663251530</v>
      </c>
      <c r="J56" s="105">
        <f t="shared" si="2"/>
        <v>3463654629</v>
      </c>
      <c r="K56" s="105">
        <f t="shared" si="3"/>
        <v>2.0170555654477149E-2</v>
      </c>
    </row>
    <row r="57" spans="1:11" ht="18.75">
      <c r="A57" s="105" t="s">
        <v>61</v>
      </c>
      <c r="B57" s="105"/>
      <c r="C57" s="105"/>
      <c r="D57" s="105">
        <v>246180685</v>
      </c>
      <c r="E57" s="105">
        <f t="shared" si="0"/>
        <v>246180685</v>
      </c>
      <c r="F57" s="105">
        <f t="shared" si="1"/>
        <v>1.4627911624527439E-3</v>
      </c>
      <c r="G57" s="105"/>
      <c r="H57" s="105"/>
      <c r="I57" s="105">
        <v>308098424</v>
      </c>
      <c r="J57" s="105">
        <f t="shared" si="2"/>
        <v>308098424</v>
      </c>
      <c r="K57" s="105">
        <f t="shared" si="3"/>
        <v>1.7942078740520691E-3</v>
      </c>
    </row>
    <row r="58" spans="1:11" ht="18.75">
      <c r="A58" s="105" t="s">
        <v>61</v>
      </c>
      <c r="B58" s="105"/>
      <c r="C58" s="105">
        <v>2244916550</v>
      </c>
      <c r="D58" s="105"/>
      <c r="E58" s="105">
        <f t="shared" si="0"/>
        <v>2244916550</v>
      </c>
      <c r="F58" s="105">
        <f t="shared" si="1"/>
        <v>1.3339162208375135E-2</v>
      </c>
      <c r="G58" s="105">
        <v>491449090</v>
      </c>
      <c r="H58" s="105">
        <v>2734616524</v>
      </c>
      <c r="I58" s="105"/>
      <c r="J58" s="105">
        <f t="shared" si="2"/>
        <v>3226065614</v>
      </c>
      <c r="K58" s="105">
        <f t="shared" si="3"/>
        <v>1.8786958568952055E-2</v>
      </c>
    </row>
    <row r="59" spans="1:11" ht="18.75">
      <c r="A59" s="105" t="s">
        <v>186</v>
      </c>
      <c r="B59" s="105"/>
      <c r="C59" s="105"/>
      <c r="D59" s="105"/>
      <c r="E59" s="105">
        <f t="shared" si="0"/>
        <v>0</v>
      </c>
      <c r="F59" s="105">
        <f t="shared" si="1"/>
        <v>0</v>
      </c>
      <c r="G59" s="105"/>
      <c r="H59" s="105"/>
      <c r="I59" s="105">
        <v>-933589506</v>
      </c>
      <c r="J59" s="105">
        <f t="shared" si="2"/>
        <v>-933589506</v>
      </c>
      <c r="K59" s="105">
        <f t="shared" si="3"/>
        <v>-5.4367484943628969E-3</v>
      </c>
    </row>
    <row r="60" spans="1:11" ht="18.75">
      <c r="A60" s="105" t="s">
        <v>179</v>
      </c>
      <c r="B60" s="105"/>
      <c r="C60" s="105"/>
      <c r="D60" s="105"/>
      <c r="E60" s="105">
        <f t="shared" si="0"/>
        <v>0</v>
      </c>
      <c r="F60" s="105">
        <f t="shared" si="1"/>
        <v>0</v>
      </c>
      <c r="G60" s="105"/>
      <c r="H60" s="105"/>
      <c r="I60" s="105">
        <v>-338736529</v>
      </c>
      <c r="J60" s="105">
        <f t="shared" si="2"/>
        <v>-338736529</v>
      </c>
      <c r="K60" s="105">
        <f t="shared" si="3"/>
        <v>-1.9726285505467793E-3</v>
      </c>
    </row>
    <row r="61" spans="1:11" ht="18.75">
      <c r="A61" s="105" t="s">
        <v>176</v>
      </c>
      <c r="B61" s="105"/>
      <c r="C61" s="105"/>
      <c r="D61" s="105"/>
      <c r="E61" s="105">
        <f t="shared" si="0"/>
        <v>0</v>
      </c>
      <c r="F61" s="105">
        <f t="shared" si="1"/>
        <v>0</v>
      </c>
      <c r="G61" s="105"/>
      <c r="H61" s="105"/>
      <c r="I61" s="105">
        <v>-677280461</v>
      </c>
      <c r="J61" s="105">
        <f t="shared" si="2"/>
        <v>-677280461</v>
      </c>
      <c r="K61" s="105">
        <f t="shared" si="3"/>
        <v>-3.9441355145257585E-3</v>
      </c>
    </row>
    <row r="62" spans="1:11" ht="18.75">
      <c r="A62" s="105" t="s">
        <v>161</v>
      </c>
      <c r="B62" s="105"/>
      <c r="C62" s="105"/>
      <c r="D62" s="105"/>
      <c r="E62" s="105">
        <f t="shared" si="0"/>
        <v>0</v>
      </c>
      <c r="F62" s="105">
        <f t="shared" si="1"/>
        <v>0</v>
      </c>
      <c r="G62" s="105">
        <v>362934000</v>
      </c>
      <c r="H62" s="105"/>
      <c r="I62" s="105">
        <v>-1111814487</v>
      </c>
      <c r="J62" s="105">
        <f t="shared" si="2"/>
        <v>-748880487</v>
      </c>
      <c r="K62" s="105">
        <f t="shared" si="3"/>
        <v>-4.3610974994774667E-3</v>
      </c>
    </row>
    <row r="63" spans="1:11" ht="18.75">
      <c r="A63" s="105" t="s">
        <v>177</v>
      </c>
      <c r="B63" s="105"/>
      <c r="C63" s="105"/>
      <c r="D63" s="105"/>
      <c r="E63" s="105">
        <f t="shared" si="0"/>
        <v>0</v>
      </c>
      <c r="F63" s="105">
        <f t="shared" si="1"/>
        <v>0</v>
      </c>
      <c r="G63" s="105"/>
      <c r="H63" s="105"/>
      <c r="I63" s="105">
        <v>-876036610</v>
      </c>
      <c r="J63" s="105">
        <f t="shared" si="2"/>
        <v>-876036610</v>
      </c>
      <c r="K63" s="105">
        <f t="shared" si="3"/>
        <v>-5.1015898205953878E-3</v>
      </c>
    </row>
    <row r="64" spans="1:11" ht="18.75">
      <c r="A64" s="105" t="s">
        <v>157</v>
      </c>
      <c r="B64" s="105"/>
      <c r="C64" s="105"/>
      <c r="D64" s="105"/>
      <c r="E64" s="105">
        <f t="shared" si="0"/>
        <v>0</v>
      </c>
      <c r="F64" s="105">
        <f t="shared" si="1"/>
        <v>0</v>
      </c>
      <c r="G64" s="105">
        <v>636633860</v>
      </c>
      <c r="H64" s="105"/>
      <c r="I64" s="105">
        <v>-2672837539</v>
      </c>
      <c r="J64" s="105">
        <f t="shared" si="2"/>
        <v>-2036203679</v>
      </c>
      <c r="K64" s="105">
        <f t="shared" si="3"/>
        <v>-1.1857810327636054E-2</v>
      </c>
    </row>
    <row r="65" spans="1:11" ht="18.75">
      <c r="A65" s="105" t="s">
        <v>30</v>
      </c>
      <c r="B65" s="105"/>
      <c r="C65" s="105">
        <v>3796261484</v>
      </c>
      <c r="D65" s="105">
        <v>588719663</v>
      </c>
      <c r="E65" s="105">
        <f t="shared" si="0"/>
        <v>4384981147</v>
      </c>
      <c r="F65" s="105">
        <f t="shared" si="1"/>
        <v>2.6055300274079162E-2</v>
      </c>
      <c r="G65" s="105"/>
      <c r="H65" s="105">
        <v>770439020</v>
      </c>
      <c r="I65" s="105">
        <v>784535618</v>
      </c>
      <c r="J65" s="105">
        <f t="shared" si="2"/>
        <v>1554974638</v>
      </c>
      <c r="K65" s="105">
        <f t="shared" si="3"/>
        <v>9.0553781588018304E-3</v>
      </c>
    </row>
    <row r="66" spans="1:11" ht="18.75">
      <c r="A66" s="105" t="s">
        <v>59</v>
      </c>
      <c r="B66" s="105"/>
      <c r="C66" s="105">
        <v>1411626486</v>
      </c>
      <c r="D66" s="105">
        <v>2617646</v>
      </c>
      <c r="E66" s="105">
        <f t="shared" si="0"/>
        <v>1414244132</v>
      </c>
      <c r="F66" s="105">
        <f t="shared" si="1"/>
        <v>8.4033555184894037E-3</v>
      </c>
      <c r="G66" s="105">
        <v>666700000</v>
      </c>
      <c r="H66" s="105">
        <v>1685480691</v>
      </c>
      <c r="I66" s="105">
        <v>-635630030</v>
      </c>
      <c r="J66" s="105">
        <f t="shared" si="2"/>
        <v>1716550661</v>
      </c>
      <c r="K66" s="105">
        <f t="shared" si="3"/>
        <v>9.9963143991138488E-3</v>
      </c>
    </row>
    <row r="67" spans="1:11" ht="18.75">
      <c r="A67" s="105" t="s">
        <v>73</v>
      </c>
      <c r="B67" s="105"/>
      <c r="C67" s="105">
        <v>4830555727</v>
      </c>
      <c r="D67" s="105">
        <v>-137700996</v>
      </c>
      <c r="E67" s="105">
        <f t="shared" si="0"/>
        <v>4692854731</v>
      </c>
      <c r="F67" s="105">
        <f t="shared" si="1"/>
        <v>2.7884667016753767E-2</v>
      </c>
      <c r="G67" s="105">
        <v>1310938000</v>
      </c>
      <c r="H67" s="105">
        <v>489813497</v>
      </c>
      <c r="I67" s="105">
        <v>-320324183</v>
      </c>
      <c r="J67" s="105">
        <f t="shared" si="2"/>
        <v>1480427314</v>
      </c>
      <c r="K67" s="105">
        <f t="shared" si="3"/>
        <v>8.6212526154971665E-3</v>
      </c>
    </row>
    <row r="68" spans="1:11" ht="18.75">
      <c r="A68" s="105" t="s">
        <v>54</v>
      </c>
      <c r="B68" s="105"/>
      <c r="C68" s="105">
        <v>-838640050</v>
      </c>
      <c r="D68" s="105">
        <v>154316528</v>
      </c>
      <c r="E68" s="105">
        <f t="shared" si="0"/>
        <v>-684323522</v>
      </c>
      <c r="F68" s="105">
        <f t="shared" si="1"/>
        <v>-4.0662101506466104E-3</v>
      </c>
      <c r="G68" s="105"/>
      <c r="H68" s="105">
        <v>14657843087</v>
      </c>
      <c r="I68" s="105">
        <v>465330848</v>
      </c>
      <c r="J68" s="105">
        <f t="shared" si="2"/>
        <v>15123173935</v>
      </c>
      <c r="K68" s="105">
        <f t="shared" si="3"/>
        <v>8.8069641520905712E-2</v>
      </c>
    </row>
    <row r="69" spans="1:11" ht="18.75">
      <c r="A69" s="105" t="s">
        <v>66</v>
      </c>
      <c r="B69" s="105"/>
      <c r="C69" s="105">
        <v>-146069475</v>
      </c>
      <c r="D69" s="105">
        <v>429925749</v>
      </c>
      <c r="E69" s="105">
        <f t="shared" si="0"/>
        <v>283856274</v>
      </c>
      <c r="F69" s="105">
        <f t="shared" si="1"/>
        <v>1.6866572981302922E-3</v>
      </c>
      <c r="G69" s="105">
        <v>1250379360</v>
      </c>
      <c r="H69" s="105">
        <v>-224454957</v>
      </c>
      <c r="I69" s="105">
        <v>539809856</v>
      </c>
      <c r="J69" s="105">
        <f t="shared" si="2"/>
        <v>1565734259</v>
      </c>
      <c r="K69" s="105">
        <f t="shared" si="3"/>
        <v>9.1180366965164412E-3</v>
      </c>
    </row>
    <row r="70" spans="1:11" ht="18.75">
      <c r="A70" s="105" t="s">
        <v>190</v>
      </c>
      <c r="B70" s="105"/>
      <c r="C70" s="105"/>
      <c r="D70" s="105"/>
      <c r="E70" s="105">
        <f t="shared" si="0"/>
        <v>0</v>
      </c>
      <c r="F70" s="105">
        <f t="shared" si="1"/>
        <v>0</v>
      </c>
      <c r="G70" s="105"/>
      <c r="H70" s="105"/>
      <c r="I70" s="105">
        <v>-1090046480</v>
      </c>
      <c r="J70" s="105">
        <f t="shared" si="2"/>
        <v>-1090046480</v>
      </c>
      <c r="K70" s="105">
        <f t="shared" si="3"/>
        <v>-6.347874007621478E-3</v>
      </c>
    </row>
    <row r="71" spans="1:11" ht="18.75">
      <c r="A71" s="105" t="s">
        <v>55</v>
      </c>
      <c r="B71" s="105"/>
      <c r="C71" s="105">
        <v>14059291963</v>
      </c>
      <c r="D71" s="105">
        <v>328026077</v>
      </c>
      <c r="E71" s="105">
        <f t="shared" si="0"/>
        <v>14387318040</v>
      </c>
      <c r="F71" s="105">
        <f t="shared" si="1"/>
        <v>8.5488598263949639E-2</v>
      </c>
      <c r="G71" s="105">
        <v>5269303680</v>
      </c>
      <c r="H71" s="105">
        <v>35508722</v>
      </c>
      <c r="I71" s="105">
        <v>-888694636</v>
      </c>
      <c r="J71" s="105">
        <f t="shared" si="2"/>
        <v>4416117766</v>
      </c>
      <c r="K71" s="105">
        <f t="shared" si="3"/>
        <v>2.5717214536931331E-2</v>
      </c>
    </row>
    <row r="72" spans="1:11" ht="18.75">
      <c r="A72" s="105" t="s">
        <v>40</v>
      </c>
      <c r="B72" s="105"/>
      <c r="C72" s="105">
        <v>820718749</v>
      </c>
      <c r="D72" s="105">
        <v>12227619</v>
      </c>
      <c r="E72" s="105">
        <f t="shared" si="0"/>
        <v>832946368</v>
      </c>
      <c r="F72" s="105">
        <f t="shared" si="1"/>
        <v>4.9493183671477353E-3</v>
      </c>
      <c r="G72" s="105"/>
      <c r="H72" s="105">
        <v>2810143192</v>
      </c>
      <c r="I72" s="105">
        <v>9798375</v>
      </c>
      <c r="J72" s="105">
        <f t="shared" si="2"/>
        <v>2819941567</v>
      </c>
      <c r="K72" s="105">
        <f t="shared" si="3"/>
        <v>1.6421899528697787E-2</v>
      </c>
    </row>
    <row r="73" spans="1:11" ht="18.75">
      <c r="A73" s="105" t="s">
        <v>182</v>
      </c>
      <c r="B73" s="105"/>
      <c r="C73" s="105"/>
      <c r="D73" s="105"/>
      <c r="E73" s="105">
        <f t="shared" si="0"/>
        <v>0</v>
      </c>
      <c r="F73" s="105">
        <f t="shared" si="1"/>
        <v>0</v>
      </c>
      <c r="G73" s="105"/>
      <c r="H73" s="105"/>
      <c r="I73" s="105">
        <v>201117</v>
      </c>
      <c r="J73" s="105">
        <f t="shared" si="2"/>
        <v>201117</v>
      </c>
      <c r="K73" s="105">
        <f t="shared" si="3"/>
        <v>1.1712026965958448E-6</v>
      </c>
    </row>
    <row r="74" spans="1:11" ht="18.75">
      <c r="A74" s="105" t="s">
        <v>56</v>
      </c>
      <c r="B74" s="105"/>
      <c r="C74" s="105">
        <v>43865103</v>
      </c>
      <c r="D74" s="105"/>
      <c r="E74" s="105">
        <f t="shared" si="0"/>
        <v>43865103</v>
      </c>
      <c r="F74" s="105">
        <f t="shared" si="1"/>
        <v>2.6064386411338216E-4</v>
      </c>
      <c r="G74" s="105">
        <v>377271180</v>
      </c>
      <c r="H74" s="105"/>
      <c r="I74" s="105">
        <v>-792685713</v>
      </c>
      <c r="J74" s="105">
        <f t="shared" si="2"/>
        <v>-415414533</v>
      </c>
      <c r="K74" s="105">
        <f t="shared" si="3"/>
        <v>-2.4191620860230792E-3</v>
      </c>
    </row>
    <row r="75" spans="1:11" ht="18.75">
      <c r="A75" s="105" t="s">
        <v>192</v>
      </c>
      <c r="B75" s="105"/>
      <c r="C75" s="105"/>
      <c r="D75" s="105"/>
      <c r="E75" s="105">
        <f t="shared" ref="E75:E100" si="4">B75+C75+D75</f>
        <v>0</v>
      </c>
      <c r="F75" s="105">
        <f t="shared" ref="F75:F100" si="5">E75/$E$101</f>
        <v>0</v>
      </c>
      <c r="G75" s="105"/>
      <c r="H75" s="105"/>
      <c r="I75" s="105">
        <v>-981095912</v>
      </c>
      <c r="J75" s="105">
        <f t="shared" ref="J75:J100" si="6">G75+H75+I75</f>
        <v>-981095912</v>
      </c>
      <c r="K75" s="105">
        <f t="shared" ref="K75:K100" si="7">J75/$J$101</f>
        <v>-5.7134015411604176E-3</v>
      </c>
    </row>
    <row r="76" spans="1:11" ht="18.75">
      <c r="A76" s="105" t="s">
        <v>57</v>
      </c>
      <c r="B76" s="105"/>
      <c r="C76" s="105">
        <v>709915</v>
      </c>
      <c r="D76" s="105">
        <v>12776410</v>
      </c>
      <c r="E76" s="105">
        <f t="shared" si="4"/>
        <v>13486325</v>
      </c>
      <c r="F76" s="105">
        <f t="shared" si="5"/>
        <v>8.0134950570819556E-5</v>
      </c>
      <c r="G76" s="105">
        <v>294469000</v>
      </c>
      <c r="H76" s="105">
        <v>-451476429</v>
      </c>
      <c r="I76" s="105">
        <v>-677699172</v>
      </c>
      <c r="J76" s="105">
        <f t="shared" si="6"/>
        <v>-834706601</v>
      </c>
      <c r="K76" s="105">
        <f t="shared" si="7"/>
        <v>-4.860904955610674E-3</v>
      </c>
    </row>
    <row r="77" spans="1:11" ht="18.75">
      <c r="A77" s="105" t="s">
        <v>81</v>
      </c>
      <c r="B77" s="105"/>
      <c r="C77" s="105">
        <v>731749241</v>
      </c>
      <c r="D77" s="105">
        <v>50936485</v>
      </c>
      <c r="E77" s="105">
        <f t="shared" si="4"/>
        <v>782685726</v>
      </c>
      <c r="F77" s="105">
        <f t="shared" si="5"/>
        <v>4.6506725861564235E-3</v>
      </c>
      <c r="G77" s="105"/>
      <c r="H77" s="105"/>
      <c r="I77" s="105">
        <v>293542056</v>
      </c>
      <c r="J77" s="105">
        <f t="shared" si="6"/>
        <v>293542056</v>
      </c>
      <c r="K77" s="105">
        <f t="shared" si="7"/>
        <v>1.7094390208261287E-3</v>
      </c>
    </row>
    <row r="78" spans="1:11" ht="18.75">
      <c r="A78" s="105" t="s">
        <v>69</v>
      </c>
      <c r="B78" s="105"/>
      <c r="C78" s="105">
        <v>265792230</v>
      </c>
      <c r="D78" s="105">
        <v>63459001</v>
      </c>
      <c r="E78" s="105">
        <f t="shared" si="4"/>
        <v>329251231</v>
      </c>
      <c r="F78" s="105">
        <f t="shared" si="5"/>
        <v>1.9563914648035321E-3</v>
      </c>
      <c r="G78" s="105"/>
      <c r="H78" s="105">
        <v>-857624742</v>
      </c>
      <c r="I78" s="105">
        <v>-583584677</v>
      </c>
      <c r="J78" s="105">
        <f t="shared" si="6"/>
        <v>-1441209419</v>
      </c>
      <c r="K78" s="105">
        <f t="shared" si="7"/>
        <v>-8.3928676237818335E-3</v>
      </c>
    </row>
    <row r="79" spans="1:11" ht="18.75">
      <c r="A79" s="105" t="s">
        <v>39</v>
      </c>
      <c r="B79" s="105"/>
      <c r="C79" s="105">
        <v>10249334505</v>
      </c>
      <c r="D79" s="105">
        <v>-215364842</v>
      </c>
      <c r="E79" s="105">
        <f t="shared" si="4"/>
        <v>10033969663</v>
      </c>
      <c r="F79" s="105">
        <f t="shared" si="5"/>
        <v>5.9621258050181057E-2</v>
      </c>
      <c r="G79" s="105">
        <v>3018922760</v>
      </c>
      <c r="H79" s="105">
        <v>856640857</v>
      </c>
      <c r="I79" s="105">
        <v>-2494841801</v>
      </c>
      <c r="J79" s="105">
        <f t="shared" si="6"/>
        <v>1380721816</v>
      </c>
      <c r="K79" s="105">
        <f t="shared" si="7"/>
        <v>8.0406187152150844E-3</v>
      </c>
    </row>
    <row r="80" spans="1:11" ht="18.75">
      <c r="A80" s="105" t="s">
        <v>147</v>
      </c>
      <c r="B80" s="105"/>
      <c r="C80" s="105"/>
      <c r="D80" s="105"/>
      <c r="E80" s="105">
        <f t="shared" si="4"/>
        <v>0</v>
      </c>
      <c r="F80" s="105">
        <f t="shared" si="5"/>
        <v>0</v>
      </c>
      <c r="G80" s="105">
        <v>184034900</v>
      </c>
      <c r="H80" s="105"/>
      <c r="I80" s="105">
        <v>-499660653</v>
      </c>
      <c r="J80" s="105">
        <f t="shared" si="6"/>
        <v>-315625753</v>
      </c>
      <c r="K80" s="105">
        <f t="shared" si="7"/>
        <v>-1.8380431939055081E-3</v>
      </c>
    </row>
    <row r="81" spans="1:11" ht="18.75">
      <c r="A81" s="105" t="s">
        <v>159</v>
      </c>
      <c r="B81" s="105"/>
      <c r="C81" s="105"/>
      <c r="D81" s="105"/>
      <c r="E81" s="105">
        <f t="shared" si="4"/>
        <v>0</v>
      </c>
      <c r="F81" s="105">
        <f t="shared" si="5"/>
        <v>0</v>
      </c>
      <c r="G81" s="105">
        <v>156662494</v>
      </c>
      <c r="H81" s="105"/>
      <c r="I81" s="105">
        <v>-881034374</v>
      </c>
      <c r="J81" s="105">
        <f t="shared" si="6"/>
        <v>-724371880</v>
      </c>
      <c r="K81" s="105">
        <f t="shared" si="7"/>
        <v>-4.2183718889711053E-3</v>
      </c>
    </row>
    <row r="82" spans="1:11" ht="18.75">
      <c r="A82" s="105" t="s">
        <v>26</v>
      </c>
      <c r="B82" s="105"/>
      <c r="C82" s="105">
        <v>1504129969</v>
      </c>
      <c r="D82" s="105"/>
      <c r="E82" s="105">
        <f t="shared" si="4"/>
        <v>1504129969</v>
      </c>
      <c r="F82" s="105">
        <f t="shared" si="5"/>
        <v>8.937451879433676E-3</v>
      </c>
      <c r="G82" s="105">
        <v>809823000</v>
      </c>
      <c r="H82" s="105">
        <v>1119721998</v>
      </c>
      <c r="I82" s="105">
        <v>-178323279</v>
      </c>
      <c r="J82" s="105">
        <f t="shared" si="6"/>
        <v>1751221719</v>
      </c>
      <c r="K82" s="105">
        <f t="shared" si="7"/>
        <v>1.0198220934232368E-2</v>
      </c>
    </row>
    <row r="83" spans="1:11" ht="18.75">
      <c r="A83" s="105" t="s">
        <v>184</v>
      </c>
      <c r="B83" s="105"/>
      <c r="C83" s="105"/>
      <c r="D83" s="105"/>
      <c r="E83" s="105">
        <f t="shared" si="4"/>
        <v>0</v>
      </c>
      <c r="F83" s="105">
        <f t="shared" si="5"/>
        <v>0</v>
      </c>
      <c r="G83" s="105"/>
      <c r="H83" s="105"/>
      <c r="I83" s="105">
        <v>-598956422</v>
      </c>
      <c r="J83" s="105">
        <f t="shared" si="6"/>
        <v>-598956422</v>
      </c>
      <c r="K83" s="105">
        <f t="shared" si="7"/>
        <v>-3.4880163118473271E-3</v>
      </c>
    </row>
    <row r="84" spans="1:11" ht="18.75">
      <c r="A84" s="105" t="s">
        <v>83</v>
      </c>
      <c r="B84" s="105"/>
      <c r="C84" s="105">
        <v>226865470</v>
      </c>
      <c r="D84" s="105"/>
      <c r="E84" s="105">
        <f t="shared" si="4"/>
        <v>226865470</v>
      </c>
      <c r="F84" s="105">
        <f t="shared" si="5"/>
        <v>1.3480212900605427E-3</v>
      </c>
      <c r="G84" s="105"/>
      <c r="H84" s="105">
        <v>1095471751</v>
      </c>
      <c r="I84" s="105">
        <v>72889704</v>
      </c>
      <c r="J84" s="105">
        <f t="shared" si="6"/>
        <v>1168361455</v>
      </c>
      <c r="K84" s="105">
        <f t="shared" si="7"/>
        <v>6.8039404261929374E-3</v>
      </c>
    </row>
    <row r="85" spans="1:11" ht="18.75">
      <c r="A85" s="105" t="s">
        <v>29</v>
      </c>
      <c r="B85" s="105"/>
      <c r="C85" s="105">
        <v>236955922</v>
      </c>
      <c r="D85" s="105"/>
      <c r="E85" s="105">
        <f t="shared" si="4"/>
        <v>236955922</v>
      </c>
      <c r="F85" s="105">
        <f t="shared" si="5"/>
        <v>1.4079781628377616E-3</v>
      </c>
      <c r="G85" s="105">
        <v>383205942</v>
      </c>
      <c r="H85" s="105">
        <v>5021748571</v>
      </c>
      <c r="I85" s="105">
        <v>324933732</v>
      </c>
      <c r="J85" s="105">
        <f t="shared" si="6"/>
        <v>5729888245</v>
      </c>
      <c r="K85" s="105">
        <f t="shared" si="7"/>
        <v>3.3367942857823227E-2</v>
      </c>
    </row>
    <row r="86" spans="1:11" ht="18.75">
      <c r="A86" s="105" t="s">
        <v>84</v>
      </c>
      <c r="B86" s="105"/>
      <c r="C86" s="105">
        <v>846432613</v>
      </c>
      <c r="D86" s="105">
        <v>21610622</v>
      </c>
      <c r="E86" s="105">
        <f t="shared" si="4"/>
        <v>868043235</v>
      </c>
      <c r="F86" s="105">
        <f t="shared" si="5"/>
        <v>5.1578618882504547E-3</v>
      </c>
      <c r="G86" s="105"/>
      <c r="H86" s="105">
        <v>2272162241</v>
      </c>
      <c r="I86" s="105">
        <v>-805977059</v>
      </c>
      <c r="J86" s="105">
        <f t="shared" si="6"/>
        <v>1466185182</v>
      </c>
      <c r="K86" s="105">
        <f t="shared" si="7"/>
        <v>8.538313712253413E-3</v>
      </c>
    </row>
    <row r="87" spans="1:11" ht="18.75">
      <c r="A87" s="105" t="s">
        <v>48</v>
      </c>
      <c r="B87" s="105"/>
      <c r="C87" s="105">
        <v>854215842</v>
      </c>
      <c r="D87" s="105"/>
      <c r="E87" s="105">
        <f t="shared" si="4"/>
        <v>854215842</v>
      </c>
      <c r="F87" s="105">
        <f t="shared" si="5"/>
        <v>5.0757003316678944E-3</v>
      </c>
      <c r="G87" s="105">
        <v>373257980</v>
      </c>
      <c r="H87" s="105">
        <v>10837186276</v>
      </c>
      <c r="I87" s="105">
        <v>-246275177</v>
      </c>
      <c r="J87" s="105">
        <f t="shared" si="6"/>
        <v>10964169079</v>
      </c>
      <c r="K87" s="105">
        <f t="shared" si="7"/>
        <v>6.3849721263033871E-2</v>
      </c>
    </row>
    <row r="88" spans="1:11" ht="18.75">
      <c r="A88" s="105" t="s">
        <v>33</v>
      </c>
      <c r="B88" s="105"/>
      <c r="C88" s="105">
        <v>6184219464</v>
      </c>
      <c r="D88" s="105">
        <v>1194161855</v>
      </c>
      <c r="E88" s="105">
        <f t="shared" si="4"/>
        <v>7378381319</v>
      </c>
      <c r="F88" s="105">
        <f t="shared" si="5"/>
        <v>4.3841908176669588E-2</v>
      </c>
      <c r="G88" s="105"/>
      <c r="H88" s="105">
        <v>1807027778</v>
      </c>
      <c r="I88" s="105">
        <v>1324864955</v>
      </c>
      <c r="J88" s="105">
        <f t="shared" si="6"/>
        <v>3131892733</v>
      </c>
      <c r="K88" s="105">
        <f t="shared" si="7"/>
        <v>1.8238543804544274E-2</v>
      </c>
    </row>
    <row r="89" spans="1:11" ht="18.75">
      <c r="A89" s="105" t="s">
        <v>51</v>
      </c>
      <c r="B89" s="105"/>
      <c r="C89" s="105">
        <v>1720604705</v>
      </c>
      <c r="D89" s="105"/>
      <c r="E89" s="105">
        <f t="shared" si="4"/>
        <v>1720604705</v>
      </c>
      <c r="F89" s="105">
        <f t="shared" si="5"/>
        <v>1.0223732038720302E-2</v>
      </c>
      <c r="G89" s="105">
        <v>1108923320</v>
      </c>
      <c r="H89" s="105">
        <v>41036958925</v>
      </c>
      <c r="I89" s="105">
        <v>-172001380</v>
      </c>
      <c r="J89" s="105">
        <f t="shared" si="6"/>
        <v>41973880865</v>
      </c>
      <c r="K89" s="105">
        <f t="shared" si="7"/>
        <v>0.24443444589806301</v>
      </c>
    </row>
    <row r="90" spans="1:11" ht="18.75">
      <c r="A90" s="105" t="s">
        <v>76</v>
      </c>
      <c r="B90" s="105"/>
      <c r="C90" s="105">
        <v>10597392</v>
      </c>
      <c r="D90" s="105"/>
      <c r="E90" s="105">
        <f t="shared" si="4"/>
        <v>10597392</v>
      </c>
      <c r="F90" s="105">
        <f t="shared" si="5"/>
        <v>6.2969080464811476E-5</v>
      </c>
      <c r="G90" s="105"/>
      <c r="H90" s="105"/>
      <c r="I90" s="105"/>
      <c r="J90" s="105">
        <f t="shared" si="6"/>
        <v>0</v>
      </c>
      <c r="K90" s="105">
        <f t="shared" si="7"/>
        <v>0</v>
      </c>
    </row>
    <row r="91" spans="1:11" ht="18.75">
      <c r="A91" s="105" t="s">
        <v>27</v>
      </c>
      <c r="B91" s="105"/>
      <c r="C91" s="105"/>
      <c r="D91" s="105">
        <v>66904792</v>
      </c>
      <c r="E91" s="105">
        <f t="shared" si="4"/>
        <v>66904792</v>
      </c>
      <c r="F91" s="105">
        <f t="shared" si="5"/>
        <v>3.9754434212959901E-4</v>
      </c>
      <c r="G91" s="105"/>
      <c r="H91" s="105"/>
      <c r="I91" s="105">
        <v>66904792</v>
      </c>
      <c r="J91" s="105">
        <f t="shared" si="6"/>
        <v>66904792</v>
      </c>
      <c r="K91" s="105">
        <f t="shared" si="7"/>
        <v>3.8961934001394269E-4</v>
      </c>
    </row>
    <row r="92" spans="1:11" ht="18.75">
      <c r="A92" s="105" t="s">
        <v>134</v>
      </c>
      <c r="B92" s="105"/>
      <c r="C92" s="105"/>
      <c r="D92" s="105"/>
      <c r="E92" s="105">
        <f t="shared" si="4"/>
        <v>0</v>
      </c>
      <c r="F92" s="105">
        <f t="shared" si="5"/>
        <v>0</v>
      </c>
      <c r="G92" s="105">
        <v>117135</v>
      </c>
      <c r="H92" s="105"/>
      <c r="I92" s="105">
        <v>88545</v>
      </c>
      <c r="J92" s="105">
        <f t="shared" si="6"/>
        <v>205680</v>
      </c>
      <c r="K92" s="105">
        <f t="shared" si="7"/>
        <v>1.1977752782501399E-6</v>
      </c>
    </row>
    <row r="93" spans="1:11" ht="18.75">
      <c r="A93" s="105" t="s">
        <v>62</v>
      </c>
      <c r="B93" s="105"/>
      <c r="C93" s="105">
        <v>2781861050</v>
      </c>
      <c r="D93" s="105">
        <v>211160987</v>
      </c>
      <c r="E93" s="105">
        <f t="shared" si="4"/>
        <v>2993022037</v>
      </c>
      <c r="F93" s="105">
        <f t="shared" si="5"/>
        <v>1.7784361046643077E-2</v>
      </c>
      <c r="G93" s="105">
        <v>2309988213</v>
      </c>
      <c r="H93" s="105">
        <v>395462578</v>
      </c>
      <c r="I93" s="105">
        <v>281522316</v>
      </c>
      <c r="J93" s="105">
        <f t="shared" si="6"/>
        <v>2986973107</v>
      </c>
      <c r="K93" s="105">
        <f t="shared" si="7"/>
        <v>1.739460591385944E-2</v>
      </c>
    </row>
    <row r="94" spans="1:11" ht="18.75">
      <c r="A94" s="105" t="s">
        <v>65</v>
      </c>
      <c r="B94" s="105"/>
      <c r="C94" s="105">
        <v>1777602</v>
      </c>
      <c r="D94" s="105">
        <v>9337371</v>
      </c>
      <c r="E94" s="105">
        <f t="shared" si="4"/>
        <v>11114973</v>
      </c>
      <c r="F94" s="105">
        <f t="shared" si="5"/>
        <v>6.6044516349042008E-5</v>
      </c>
      <c r="G94" s="105">
        <v>211240920</v>
      </c>
      <c r="H94" s="105">
        <v>690063487</v>
      </c>
      <c r="I94" s="105">
        <v>-691631381</v>
      </c>
      <c r="J94" s="105">
        <f t="shared" si="6"/>
        <v>209673026</v>
      </c>
      <c r="K94" s="105">
        <f t="shared" si="7"/>
        <v>1.2210286224168553E-3</v>
      </c>
    </row>
    <row r="95" spans="1:11" ht="18.75">
      <c r="A95" s="105" t="s">
        <v>138</v>
      </c>
      <c r="B95" s="105"/>
      <c r="C95" s="105"/>
      <c r="D95" s="105"/>
      <c r="E95" s="105">
        <f t="shared" si="4"/>
        <v>0</v>
      </c>
      <c r="F95" s="105">
        <f t="shared" si="5"/>
        <v>0</v>
      </c>
      <c r="G95" s="105">
        <v>201360850</v>
      </c>
      <c r="H95" s="105"/>
      <c r="I95" s="105">
        <v>-601815412</v>
      </c>
      <c r="J95" s="105">
        <f t="shared" si="6"/>
        <v>-400454562</v>
      </c>
      <c r="K95" s="105">
        <f t="shared" si="7"/>
        <v>-2.332042855047102E-3</v>
      </c>
    </row>
    <row r="96" spans="1:11" ht="18.75">
      <c r="A96" s="105" t="s">
        <v>189</v>
      </c>
      <c r="B96" s="105"/>
      <c r="C96" s="105"/>
      <c r="D96" s="105"/>
      <c r="E96" s="105">
        <f t="shared" si="4"/>
        <v>0</v>
      </c>
      <c r="F96" s="105">
        <f t="shared" si="5"/>
        <v>0</v>
      </c>
      <c r="G96" s="105"/>
      <c r="H96" s="105"/>
      <c r="I96" s="105">
        <v>-617408263</v>
      </c>
      <c r="J96" s="105">
        <f t="shared" si="6"/>
        <v>-617408263</v>
      </c>
      <c r="K96" s="105">
        <f t="shared" si="7"/>
        <v>-3.595470410388762E-3</v>
      </c>
    </row>
    <row r="97" spans="1:11" ht="18.75">
      <c r="A97" s="105" t="s">
        <v>52</v>
      </c>
      <c r="B97" s="105"/>
      <c r="C97" s="105">
        <v>26318884619</v>
      </c>
      <c r="D97" s="105">
        <v>3063146665</v>
      </c>
      <c r="E97" s="105">
        <f t="shared" si="4"/>
        <v>29382031284</v>
      </c>
      <c r="F97" s="105">
        <f t="shared" si="5"/>
        <v>0.17458630313399789</v>
      </c>
      <c r="G97" s="105">
        <v>2494288400</v>
      </c>
      <c r="H97" s="105">
        <v>38162455</v>
      </c>
      <c r="I97" s="105">
        <v>3138577381</v>
      </c>
      <c r="J97" s="105">
        <f t="shared" si="6"/>
        <v>5671028236</v>
      </c>
      <c r="K97" s="105">
        <f t="shared" si="7"/>
        <v>3.3025172225492512E-2</v>
      </c>
    </row>
    <row r="98" spans="1:11" ht="18.75">
      <c r="A98" s="105" t="s">
        <v>34</v>
      </c>
      <c r="B98" s="105"/>
      <c r="C98" s="105">
        <v>1547122043</v>
      </c>
      <c r="D98" s="105">
        <v>383190196</v>
      </c>
      <c r="E98" s="105">
        <f t="shared" si="4"/>
        <v>1930312239</v>
      </c>
      <c r="F98" s="105">
        <f t="shared" si="5"/>
        <v>1.1469801881425299E-2</v>
      </c>
      <c r="G98" s="105"/>
      <c r="H98" s="105">
        <v>867584453</v>
      </c>
      <c r="I98" s="105">
        <v>466579023</v>
      </c>
      <c r="J98" s="105">
        <f t="shared" si="6"/>
        <v>1334163476</v>
      </c>
      <c r="K98" s="105">
        <f t="shared" si="7"/>
        <v>7.7694867206197678E-3</v>
      </c>
    </row>
    <row r="99" spans="1:11" ht="18.75">
      <c r="A99" s="105" t="s">
        <v>68</v>
      </c>
      <c r="B99" s="105"/>
      <c r="C99" s="105">
        <v>722159154</v>
      </c>
      <c r="D99" s="105">
        <v>736847716</v>
      </c>
      <c r="E99" s="105">
        <f t="shared" si="4"/>
        <v>1459006870</v>
      </c>
      <c r="F99" s="105">
        <f t="shared" si="5"/>
        <v>8.6693330770195864E-3</v>
      </c>
      <c r="G99" s="105">
        <v>289260800</v>
      </c>
      <c r="H99" s="105">
        <v>265792230</v>
      </c>
      <c r="I99" s="105">
        <v>-48140476</v>
      </c>
      <c r="J99" s="105">
        <f t="shared" si="6"/>
        <v>506912554</v>
      </c>
      <c r="K99" s="105">
        <f t="shared" si="7"/>
        <v>2.951999831854527E-3</v>
      </c>
    </row>
    <row r="100" spans="1:11" ht="18.75">
      <c r="A100" s="105" t="s">
        <v>78</v>
      </c>
      <c r="B100" s="105"/>
      <c r="C100" s="106">
        <v>1564778586</v>
      </c>
      <c r="D100" s="106">
        <v>-252723</v>
      </c>
      <c r="E100" s="106">
        <f t="shared" si="4"/>
        <v>1564525863</v>
      </c>
      <c r="F100" s="106">
        <f t="shared" si="5"/>
        <v>9.2963207321693515E-3</v>
      </c>
      <c r="G100" s="106">
        <v>330618000</v>
      </c>
      <c r="H100" s="106">
        <v>318131270</v>
      </c>
      <c r="I100" s="106">
        <v>-111814678</v>
      </c>
      <c r="J100" s="106">
        <f t="shared" si="6"/>
        <v>536934592</v>
      </c>
      <c r="K100" s="106">
        <f t="shared" si="7"/>
        <v>3.1268328487695711E-3</v>
      </c>
    </row>
    <row r="101" spans="1:11" ht="19.5" thickBot="1">
      <c r="A101" s="105" t="s">
        <v>88</v>
      </c>
      <c r="B101" s="105"/>
      <c r="C101" s="107">
        <f>SUM(C10:C100)</f>
        <v>154458923254</v>
      </c>
      <c r="D101" s="107">
        <f t="shared" ref="D101:J101" si="8">SUM(D10:D100)</f>
        <v>12899027423</v>
      </c>
      <c r="E101" s="107">
        <f t="shared" si="8"/>
        <v>168295168387</v>
      </c>
      <c r="F101" s="107">
        <f t="shared" si="8"/>
        <v>0.99999999999999989</v>
      </c>
      <c r="G101" s="107">
        <f t="shared" si="8"/>
        <v>41950118816</v>
      </c>
      <c r="H101" s="107">
        <f t="shared" si="8"/>
        <v>152695210546</v>
      </c>
      <c r="I101" s="107">
        <f t="shared" si="8"/>
        <v>-22926974730</v>
      </c>
      <c r="J101" s="107">
        <f t="shared" si="8"/>
        <v>171718354632</v>
      </c>
      <c r="K101" s="107">
        <f>SUM(K10:K100)</f>
        <v>1</v>
      </c>
    </row>
    <row r="102" spans="1:11" ht="18.75" thickTop="1"/>
  </sheetData>
  <autoFilter ref="A9:K9" xr:uid="{00000000-0001-0000-0900-000000000000}">
    <filterColumn colId="4" showButton="0"/>
    <filterColumn colId="9" showButton="0"/>
    <sortState xmlns:xlrd2="http://schemas.microsoft.com/office/spreadsheetml/2017/richdata2" ref="A11:K147">
      <sortCondition ref="A9"/>
    </sortState>
  </autoFilter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9"/>
  </mergeCells>
  <pageMargins left="0.7" right="0.7" top="0.75" bottom="0.75" header="0.3" footer="0.3"/>
  <pageSetup paperSize="9" scale="69" orientation="landscape" horizontalDpi="4294967295" verticalDpi="4294967295" r:id="rId1"/>
  <headerFooter differentOddEven="1" differentFirst="1"/>
  <rowBreaks count="1" manualBreakCount="1">
    <brk id="64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rightToLeft="1" view="pageBreakPreview" zoomScale="106" zoomScaleNormal="100" zoomScaleSheetLayoutView="106" workbookViewId="0">
      <selection activeCell="F17" sqref="F17"/>
    </sheetView>
  </sheetViews>
  <sheetFormatPr defaultColWidth="9" defaultRowHeight="18"/>
  <cols>
    <col min="1" max="1" width="28.42578125" style="10" customWidth="1"/>
    <col min="2" max="2" width="15.42578125" style="10" customWidth="1"/>
    <col min="3" max="3" width="29.28515625" style="10" customWidth="1"/>
    <col min="4" max="4" width="26" style="10" customWidth="1"/>
    <col min="5" max="5" width="29.28515625" style="10" customWidth="1"/>
    <col min="6" max="6" width="26" style="10" customWidth="1"/>
    <col min="7" max="7" width="13" style="14" customWidth="1"/>
    <col min="8" max="8" width="9" style="14" customWidth="1"/>
    <col min="9" max="16384" width="9" style="14"/>
  </cols>
  <sheetData>
    <row r="1" spans="1:7">
      <c r="A1" s="77" t="s">
        <v>1</v>
      </c>
      <c r="B1" s="77"/>
      <c r="C1" s="77"/>
      <c r="D1" s="77"/>
      <c r="E1" s="77"/>
      <c r="F1" s="77"/>
    </row>
    <row r="2" spans="1:7">
      <c r="A2" s="77" t="s">
        <v>110</v>
      </c>
      <c r="B2" s="77"/>
      <c r="C2" s="77"/>
      <c r="D2" s="77"/>
      <c r="E2" s="77"/>
      <c r="F2" s="77"/>
    </row>
    <row r="3" spans="1:7">
      <c r="A3" s="77" t="s">
        <v>111</v>
      </c>
      <c r="B3" s="77"/>
      <c r="C3" s="77"/>
      <c r="D3" s="77"/>
      <c r="E3" s="77"/>
      <c r="F3" s="77"/>
    </row>
    <row r="4" spans="1:7">
      <c r="A4" s="80" t="s">
        <v>200</v>
      </c>
      <c r="B4" s="81"/>
      <c r="C4" s="81"/>
      <c r="D4" s="81"/>
      <c r="E4" s="81"/>
      <c r="F4" s="81"/>
    </row>
    <row r="5" spans="1:7">
      <c r="A5" s="11"/>
      <c r="B5" s="11"/>
      <c r="C5" s="11"/>
      <c r="D5" s="11"/>
      <c r="E5" s="11"/>
      <c r="F5" s="11"/>
    </row>
    <row r="6" spans="1:7" ht="37.5" customHeight="1">
      <c r="A6" s="87" t="s">
        <v>201</v>
      </c>
      <c r="B6" s="88"/>
      <c r="C6" s="89" t="s">
        <v>125</v>
      </c>
      <c r="D6" s="90"/>
      <c r="E6" s="87" t="s">
        <v>126</v>
      </c>
      <c r="F6" s="88"/>
      <c r="G6" s="15"/>
    </row>
    <row r="7" spans="1:7" ht="59.25" customHeight="1">
      <c r="A7" s="13" t="s">
        <v>202</v>
      </c>
      <c r="B7" s="12" t="s">
        <v>96</v>
      </c>
      <c r="C7" s="12" t="s">
        <v>203</v>
      </c>
      <c r="D7" s="12" t="s">
        <v>204</v>
      </c>
      <c r="E7" s="12" t="s">
        <v>203</v>
      </c>
      <c r="F7" s="12" t="s">
        <v>204</v>
      </c>
      <c r="G7" s="10"/>
    </row>
    <row r="8" spans="1:7" ht="23.1" customHeight="1">
      <c r="A8" s="115" t="s">
        <v>106</v>
      </c>
      <c r="B8" s="115" t="s">
        <v>107</v>
      </c>
      <c r="C8" s="118">
        <v>0</v>
      </c>
      <c r="D8" s="115" t="s">
        <v>105</v>
      </c>
      <c r="E8" s="118">
        <v>33252977</v>
      </c>
      <c r="F8" s="115" t="s">
        <v>105</v>
      </c>
    </row>
    <row r="9" spans="1:7" ht="23.1" customHeight="1" thickBot="1">
      <c r="A9" s="122" t="s">
        <v>88</v>
      </c>
      <c r="B9" s="122"/>
      <c r="C9" s="125">
        <v>0</v>
      </c>
      <c r="D9" s="122"/>
      <c r="E9" s="125">
        <f>E8</f>
        <v>33252977</v>
      </c>
      <c r="F9" s="122"/>
    </row>
    <row r="10" spans="1:7" ht="23.1" customHeight="1" thickTop="1">
      <c r="A10" s="41" t="s">
        <v>89</v>
      </c>
      <c r="B10" s="43"/>
      <c r="C10" s="36"/>
      <c r="D10" s="43"/>
      <c r="E10" s="36"/>
      <c r="F10" s="43"/>
      <c r="G10" s="10"/>
    </row>
  </sheetData>
  <mergeCells count="7">
    <mergeCell ref="A6:B6"/>
    <mergeCell ref="C6:D6"/>
    <mergeCell ref="A4:F4"/>
    <mergeCell ref="E6:F6"/>
    <mergeCell ref="A1:F1"/>
    <mergeCell ref="A2:F2"/>
    <mergeCell ref="A3:F3"/>
  </mergeCells>
  <pageMargins left="0.7" right="0.7" top="0.75" bottom="0.75" header="0.3" footer="0.3"/>
  <pageSetup paperSize="9" scale="57" orientation="portrait" horizontalDpi="4294967295" verticalDpi="4294967295" r:id="rId1"/>
  <headerFooter differentOddEven="1" differentFirst="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rightToLeft="1" tabSelected="1" zoomScaleNormal="100" zoomScaleSheetLayoutView="106" workbookViewId="0">
      <selection activeCell="B28" sqref="B28"/>
    </sheetView>
  </sheetViews>
  <sheetFormatPr defaultColWidth="9" defaultRowHeight="18"/>
  <cols>
    <col min="1" max="1" width="13" style="10" customWidth="1"/>
    <col min="2" max="2" width="29.7109375" style="10" customWidth="1"/>
    <col min="3" max="3" width="30.42578125" style="10" customWidth="1"/>
    <col min="4" max="4" width="9" style="14" customWidth="1"/>
    <col min="5" max="16384" width="9" style="14"/>
  </cols>
  <sheetData>
    <row r="1" spans="1:3">
      <c r="A1" s="77" t="s">
        <v>1</v>
      </c>
      <c r="B1" s="77"/>
      <c r="C1" s="77"/>
    </row>
    <row r="2" spans="1:3">
      <c r="A2" s="77" t="s">
        <v>110</v>
      </c>
      <c r="B2" s="77"/>
      <c r="C2" s="77"/>
    </row>
    <row r="3" spans="1:3">
      <c r="A3" s="77" t="s">
        <v>111</v>
      </c>
      <c r="B3" s="77"/>
      <c r="C3" s="77"/>
    </row>
    <row r="4" spans="1:3">
      <c r="A4" s="80" t="s">
        <v>205</v>
      </c>
      <c r="B4" s="81"/>
      <c r="C4" s="81"/>
    </row>
    <row r="5" spans="1:3">
      <c r="A5" s="42"/>
      <c r="B5" s="18" t="s">
        <v>125</v>
      </c>
      <c r="C5" s="18" t="s">
        <v>126</v>
      </c>
    </row>
    <row r="6" spans="1:3" ht="16.5" customHeight="1">
      <c r="A6" s="91" t="s">
        <v>121</v>
      </c>
      <c r="B6" s="78" t="s">
        <v>99</v>
      </c>
      <c r="C6" s="78" t="s">
        <v>99</v>
      </c>
    </row>
    <row r="7" spans="1:3">
      <c r="A7" s="133"/>
      <c r="B7" s="134"/>
      <c r="C7" s="134"/>
    </row>
    <row r="8" spans="1:3" ht="23.1" customHeight="1">
      <c r="A8" s="135" t="s">
        <v>121</v>
      </c>
      <c r="B8" s="136">
        <v>-647182</v>
      </c>
      <c r="C8" s="136">
        <v>292888489</v>
      </c>
    </row>
    <row r="9" spans="1:3" ht="23.1" customHeight="1">
      <c r="A9" s="135" t="s">
        <v>88</v>
      </c>
      <c r="B9" s="136">
        <v>-647182</v>
      </c>
      <c r="C9" s="136">
        <v>292888489</v>
      </c>
    </row>
    <row r="10" spans="1:3" ht="23.1" customHeight="1">
      <c r="A10" s="19" t="s">
        <v>89</v>
      </c>
      <c r="B10" s="21"/>
      <c r="C10" s="21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horizontalDpi="4294967295" verticalDpi="4294967295"/>
  <headerFooter differentOddEven="1" differentFirs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1</vt:lpstr>
      <vt:lpstr> سهام</vt:lpstr>
      <vt:lpstr>سپرده</vt:lpstr>
      <vt:lpstr>درآمدها</vt:lpstr>
      <vt:lpstr>درآمد سود سهام</vt:lpstr>
      <vt:lpstr>سود سپرده بانکی</vt:lpstr>
      <vt:lpstr>درآمد ناشی ازفروش</vt:lpstr>
      <vt:lpstr>درآمد ناشی از تغییر قیمت اوراق </vt:lpstr>
      <vt:lpstr>درآمد سرمایه گذاری در سهام</vt:lpstr>
      <vt:lpstr>درآمد سپرده بانکی</vt:lpstr>
      <vt:lpstr>سایر درآمدها</vt:lpstr>
      <vt:lpstr>' سهام'!Print_Area</vt:lpstr>
      <vt:lpstr>'درآمد سپرده بانکی'!Print_Area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Mabna</dc:creator>
  <cp:keywords>EPPlus noncommercial use</cp:keywords>
  <dc:description>This workbook has been created with EPPlus licensed to Mabna under The Polyform Noncommercial License: See https://polyformproject.org/licenses/noncommercial/1.0.0</dc:description>
  <cp:lastModifiedBy>Masomeh Deldadeh</cp:lastModifiedBy>
  <cp:lastPrinted>2025-12-23T05:27:49Z</cp:lastPrinted>
  <dcterms:created xsi:type="dcterms:W3CDTF">2017-11-22T14:26:20Z</dcterms:created>
  <dcterms:modified xsi:type="dcterms:W3CDTF">2025-12-23T06:31:18Z</dcterms:modified>
</cp:coreProperties>
</file>