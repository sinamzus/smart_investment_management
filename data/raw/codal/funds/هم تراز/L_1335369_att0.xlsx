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 1404.01.31\پرتفوی مشترک 1404.01.31\"/>
    </mc:Choice>
  </mc:AlternateContent>
  <xr:revisionPtr revIDLastSave="0" documentId="13_ncr:1_{5F9BA11D-D803-4522-8753-9F9548C85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Print_Titles" localSheetId="1">'1'!$1:$10</definedName>
    <definedName name="_xlnm.Print_Titles" localSheetId="10">'11'!$1:$8</definedName>
    <definedName name="_xlnm.Print_Titles" localSheetId="11">'12'!$1:$8</definedName>
  </definedNames>
  <calcPr calcId="191029"/>
</workbook>
</file>

<file path=xl/calcChain.xml><?xml version="1.0" encoding="utf-8"?>
<calcChain xmlns="http://schemas.openxmlformats.org/spreadsheetml/2006/main">
  <c r="K16" i="6" l="1"/>
  <c r="E9" i="16" l="1"/>
  <c r="C9" i="16"/>
  <c r="G15" i="15"/>
  <c r="I13" i="15" s="1"/>
  <c r="C15" i="15"/>
  <c r="E13" i="15" s="1"/>
  <c r="I14" i="15"/>
  <c r="E14" i="15"/>
  <c r="I12" i="15"/>
  <c r="I10" i="15"/>
  <c r="E10" i="15"/>
  <c r="Q9" i="14"/>
  <c r="O9" i="14"/>
  <c r="M9" i="14"/>
  <c r="K9" i="14"/>
  <c r="I9" i="14"/>
  <c r="G9" i="14"/>
  <c r="E9" i="14"/>
  <c r="C9" i="14"/>
  <c r="U87" i="13"/>
  <c r="S87" i="13"/>
  <c r="Q87" i="13"/>
  <c r="O87" i="13"/>
  <c r="M87" i="13"/>
  <c r="K87" i="13"/>
  <c r="I87" i="13"/>
  <c r="G87" i="13"/>
  <c r="E87" i="13"/>
  <c r="C87" i="13"/>
  <c r="Q91" i="12"/>
  <c r="O91" i="12"/>
  <c r="M91" i="12"/>
  <c r="K91" i="12"/>
  <c r="I91" i="12"/>
  <c r="G91" i="12"/>
  <c r="E91" i="12"/>
  <c r="C91" i="12"/>
  <c r="Q11" i="11"/>
  <c r="O11" i="11"/>
  <c r="M11" i="11"/>
  <c r="K11" i="11"/>
  <c r="I11" i="11"/>
  <c r="G11" i="11"/>
  <c r="E11" i="11"/>
  <c r="C11" i="11"/>
  <c r="M15" i="10"/>
  <c r="K15" i="10"/>
  <c r="I15" i="10"/>
  <c r="G15" i="10"/>
  <c r="E15" i="10"/>
  <c r="C15" i="10"/>
  <c r="S9" i="9"/>
  <c r="Q9" i="9"/>
  <c r="O9" i="9"/>
  <c r="M9" i="9"/>
  <c r="K9" i="9"/>
  <c r="I9" i="9"/>
  <c r="E13" i="8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93" i="2"/>
  <c r="U93" i="2"/>
  <c r="S93" i="2"/>
  <c r="Q93" i="2"/>
  <c r="O93" i="2"/>
  <c r="M93" i="2"/>
  <c r="L93" i="2"/>
  <c r="J93" i="2"/>
  <c r="I93" i="2"/>
  <c r="G93" i="2"/>
  <c r="E93" i="2"/>
  <c r="C93" i="2"/>
  <c r="I9" i="15" l="1"/>
  <c r="I15" i="15" s="1"/>
  <c r="E11" i="15"/>
  <c r="I11" i="15"/>
  <c r="G13" i="8"/>
  <c r="I13" i="8"/>
  <c r="E12" i="15"/>
  <c r="E9" i="15"/>
  <c r="E15" i="15" s="1"/>
</calcChain>
</file>

<file path=xl/sharedStrings.xml><?xml version="1.0" encoding="utf-8"?>
<sst xmlns="http://schemas.openxmlformats.org/spreadsheetml/2006/main" count="536" uniqueCount="208">
  <si>
    <t>‫مشترک کاریزما</t>
  </si>
  <si>
    <t>‫صورت وضعیت پورتفوی</t>
  </si>
  <si>
    <t>‫برای ماه منتهی به 1404/01/31</t>
  </si>
  <si>
    <t>‫1- سرمایه گذاری ها</t>
  </si>
  <si>
    <t>‫1-1- سرمایه گذاری در سهام و حق تقدم سهام</t>
  </si>
  <si>
    <t>‫1403/12/30</t>
  </si>
  <si>
    <t>‫تغییرات طی دوره</t>
  </si>
  <si>
    <t>‫1404/01/31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</si>
  <si>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</si>
  <si>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</si>
  <si>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</si>
  <si>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</si>
  <si>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</si>
  <si>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</si>
  <si>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</si>
  <si>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</si>
  <si>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</si>
  <si>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‫آلوميناي ايران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</si>
  <si>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</si>
  <si>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</si>
  <si>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</si>
  <si>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</si>
  <si>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</si>
  <si>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</si>
  <si>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</si>
  <si>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</si>
  <si>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</si>
  <si>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</si>
  <si>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اتكايي ايران معين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</si>
  <si>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</si>
  <si>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</si>
  <si>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</si>
  <si>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</si>
  <si>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</si>
  <si>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</si>
  <si>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</si>
  <si>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</si>
  <si>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</si>
  <si>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</si>
  <si>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</si>
  <si>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</si>
  <si>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</si>
  <si>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</si>
  <si>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</si>
  <si>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</si>
  <si>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</si>
  <si>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</si>
  <si>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</si>
  <si>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‫سبحان_دارو (تقدم)</t>
  </si>
  <si>
    <t>‫سرمايه گذاري پايا تدبيرپارسا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</si>
  <si>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</si>
  <si>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</si>
  <si>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</si>
  <si>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</si>
  <si>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</si>
  <si>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</si>
  <si>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</si>
  <si>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</si>
  <si>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</si>
  <si>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</si>
  <si>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</si>
  <si>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‫صنعتي آما</t>
  </si>
  <si>
    <t>‫صنعتي بارز</t>
  </si>
  <si>
    <t>‫صنعتي بارز (تقدم)</t>
  </si>
  <si>
    <t>‫صنعتي سپاهان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</si>
  <si>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</si>
  <si>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</si>
  <si>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</si>
  <si>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</si>
  <si>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</si>
  <si>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</si>
  <si>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</si>
  <si>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</si>
  <si>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</si>
  <si>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</si>
  <si>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</si>
  <si>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</si>
  <si>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</si>
  <si>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</si>
  <si>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</si>
  <si>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</si>
  <si>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</si>
  <si>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</si>
  <si>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</si>
  <si>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</si>
  <si>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</si>
  <si>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</si>
  <si>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</si>
  <si>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</si>
  <si>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</si>
  <si>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</si>
  <si>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</si>
  <si>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</si>
  <si>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</si>
  <si>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</si>
  <si>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</si>
  <si>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</si>
  <si>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‫چادرملو (تقدم)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</si>
  <si>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</si>
  <si>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</si>
  <si>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</si>
  <si>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</si>
  <si>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</si>
  <si>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</si>
  <si>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</si>
  <si>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</si>
  <si>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محتشم-17550-4/11/08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</si>
  <si>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</si>
  <si>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</si>
  <si>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</si>
  <si>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</si>
  <si>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</si>
  <si>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</si>
  <si>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</si>
  <si>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</si>
  <si>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</si>
  <si>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</si>
  <si>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</si>
  <si>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</si>
  <si>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</si>
  <si>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</si>
  <si>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</si>
  <si>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</si>
  <si>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</si>
  <si>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</si>
  <si>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</si>
  <si>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</si>
  <si>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</si>
  <si>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</si>
  <si>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</si>
  <si>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</si>
  <si>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</si>
  <si>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</si>
  <si>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</si>
  <si>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</si>
  <si>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‫سپرده بانکی نزد بانک آينده</t>
  </si>
  <si>
    <t>‫سپرده بانکی نزد بانک خاورميانه</t>
  </si>
  <si>
    <t>‫سپرده بانکی نزد بانک دي</t>
  </si>
  <si>
    <t>‫سپرده بانکی نزد بانک سامان</t>
  </si>
  <si>
    <t>‫سپرده بانکی نزد بانک سپه</t>
  </si>
  <si>
    <t>‫سپرده بانکی نزد بانک ملت</t>
  </si>
  <si>
    <t>‫سپرده بانکی نزد بانک پاسارگاد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</si>
  <si>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</si>
  <si>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</si>
  <si>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</si>
  <si>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</si>
  <si>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</si>
  <si>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</si>
  <si>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</si>
  <si>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</si>
  <si>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</si>
  <si>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</si>
  <si>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</si>
  <si>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</si>
  <si>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</si>
  <si>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</si>
  <si>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</si>
  <si>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</si>
  <si>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</si>
  <si>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</si>
  <si>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</si>
  <si>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</si>
  <si>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</si>
  <si>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</si>
  <si>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</si>
  <si>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</si>
  <si>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</si>
  <si>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</si>
  <si>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</si>
  <si>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</si>
  <si>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‫تراكتور سازي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</si>
  <si>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</si>
  <si>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</si>
  <si>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</si>
  <si>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</si>
  <si>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</si>
  <si>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</si>
  <si>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</si>
  <si>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</si>
  <si>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‫شيشه قزوين</t>
  </si>
  <si>
    <t>‫پاكديس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</si>
  <si>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</si>
  <si>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</si>
  <si>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</si>
  <si>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</si>
  <si>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</si>
  <si>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</si>
  <si>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</si>
  <si>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</si>
  <si>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</si>
  <si>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</si>
  <si>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</si>
  <si>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فروردین 1404</t>
  </si>
  <si>
    <t>‫%22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</si>
  <si>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</si>
  <si>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</si>
  <si>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</si>
  <si>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</si>
  <si>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</si>
  <si>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</si>
  <si>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</si>
  <si>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‫سپرده بانکی نزد بانک دی</t>
  </si>
  <si>
    <t>‫سپرده بانکی آينده</t>
  </si>
  <si>
    <t>‫سپرده بانکی خاورميانه</t>
  </si>
  <si>
    <t>‫سپرده بانکی دي</t>
  </si>
  <si>
    <t>‫سپرده بانکی سامان</t>
  </si>
  <si>
    <t>‫سپرده بانکی سپه</t>
  </si>
  <si>
    <t>‫سپرده بانکی پاسارگاد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</si>
</sst>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sz val="24"/>
      <color rgb="FFFF0000"/>
      <name val="B Nazanin"/>
      <charset val="178"/>
    </font>
    <font>
      <b/>
      <sz val="12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6"/>
  </cellStyleXfs>
  <cellXfs count="41">
    <xf numFmtId="0" fontId="0" fillId="0" borderId="0" xfId="0"/>
    <xf numFmtId="0" fontId="2" fillId="0" borderId="0" xfId="0" applyFont="1"/>
    <xf numFmtId="37" fontId="3" fillId="0" borderId="0" xfId="0" applyNumberFormat="1" applyFont="1" applyAlignment="1">
      <alignment horizontal="right" vertical="center"/>
    </xf>
    <xf numFmtId="37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7" fontId="4" fillId="0" borderId="0" xfId="0" applyNumberFormat="1" applyFont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37" fontId="4" fillId="0" borderId="3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37" fontId="4" fillId="0" borderId="4" xfId="0" applyNumberFormat="1" applyFont="1" applyBorder="1" applyAlignment="1">
      <alignment horizontal="center" vertical="center"/>
    </xf>
    <xf numFmtId="0" fontId="6" fillId="3" borderId="6" xfId="1" applyFont="1" applyFill="1"/>
    <xf numFmtId="0" fontId="11" fillId="3" borderId="6" xfId="1" applyFont="1" applyFill="1" applyAlignment="1">
      <alignment horizontal="center"/>
    </xf>
    <xf numFmtId="0" fontId="11" fillId="3" borderId="6" xfId="1" applyFont="1" applyFill="1"/>
    <xf numFmtId="37" fontId="3" fillId="0" borderId="1" xfId="0" applyNumberFormat="1" applyFont="1" applyBorder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/>
    </xf>
    <xf numFmtId="3" fontId="2" fillId="0" borderId="0" xfId="0" applyNumberFormat="1" applyFont="1"/>
    <xf numFmtId="37" fontId="2" fillId="0" borderId="0" xfId="0" applyNumberFormat="1" applyFont="1" applyAlignment="1">
      <alignment horizontal="center" vertical="center" wrapText="1"/>
    </xf>
    <xf numFmtId="0" fontId="13" fillId="3" borderId="6" xfId="1" applyFont="1" applyFill="1" applyAlignment="1">
      <alignment horizontal="center" vertical="center" wrapText="1"/>
    </xf>
    <xf numFmtId="0" fontId="7" fillId="3" borderId="6" xfId="1" applyFont="1" applyFill="1" applyAlignment="1">
      <alignment horizontal="center" vertical="center" wrapText="1"/>
    </xf>
    <xf numFmtId="0" fontId="8" fillId="3" borderId="6" xfId="1" applyFont="1" applyFill="1" applyAlignment="1">
      <alignment horizontal="center" vertical="center" wrapText="1"/>
    </xf>
    <xf numFmtId="0" fontId="9" fillId="3" borderId="6" xfId="1" applyFont="1" applyFill="1" applyAlignment="1">
      <alignment horizontal="center" vertical="center" wrapText="1"/>
    </xf>
    <xf numFmtId="0" fontId="10" fillId="3" borderId="6" xfId="1" applyFont="1" applyFill="1" applyAlignment="1">
      <alignment horizontal="center"/>
    </xf>
    <xf numFmtId="0" fontId="14" fillId="3" borderId="6" xfId="1" applyFont="1" applyFill="1" applyAlignment="1">
      <alignment horizontal="center" vertical="center" wrapText="1"/>
    </xf>
    <xf numFmtId="0" fontId="12" fillId="3" borderId="6" xfId="1" applyFont="1" applyFill="1" applyAlignment="1">
      <alignment horizontal="center"/>
    </xf>
    <xf numFmtId="37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/>
    <xf numFmtId="0" fontId="4" fillId="0" borderId="0" xfId="0" applyFont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37" fontId="4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horizontal="right" vertical="center"/>
    </xf>
    <xf numFmtId="37" fontId="4" fillId="0" borderId="0" xfId="0" applyNumberFormat="1" applyFont="1" applyAlignment="1">
      <alignment horizontal="center" vertical="center"/>
    </xf>
    <xf numFmtId="37" fontId="2" fillId="0" borderId="4" xfId="0" applyNumberFormat="1" applyFont="1" applyBorder="1" applyAlignment="1">
      <alignment horizontal="center" vertical="center"/>
    </xf>
    <xf numFmtId="37" fontId="15" fillId="0" borderId="0" xfId="0" applyNumberFormat="1" applyFont="1" applyAlignment="1">
      <alignment horizontal="right" vertical="center"/>
    </xf>
    <xf numFmtId="37" fontId="4" fillId="0" borderId="5" xfId="0" applyNumberFormat="1" applyFont="1" applyBorder="1" applyAlignment="1">
      <alignment horizontal="center" vertical="center"/>
    </xf>
    <xf numFmtId="0" fontId="2" fillId="2" borderId="7" xfId="0" applyFont="1" applyFill="1" applyBorder="1"/>
    <xf numFmtId="0" fontId="2" fillId="2" borderId="8" xfId="0" applyFont="1" applyFill="1" applyBorder="1"/>
  </cellXfs>
  <cellStyles count="2">
    <cellStyle name="Normal" xfId="0" builtinId="0"/>
    <cellStyle name="Normal 2" xfId="1" xr:uid="{A3909421-6B43-4B2A-A298-48CA25467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AT13" sqref="AT13"/>
    </sheetView>
  </sheetViews>
  <sheetFormatPr defaultRowHeight="15" x14ac:dyDescent="0.25"/>
  <sheetData>
    <row r="1" spans="1:11" ht="18" x14ac:dyDescent="0.4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x14ac:dyDescent="0.4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 s="21" t="s">
        <v>190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49.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2"/>
    </row>
    <row r="11" spans="1:1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75">
      <c r="A13" s="13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25.5" x14ac:dyDescent="0.6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5" customHeight="1" x14ac:dyDescent="0.25">
      <c r="A15" s="25" t="s">
        <v>192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28.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8" x14ac:dyDescent="0.4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39.950000000000003" customHeight="1" x14ac:dyDescent="0.65">
      <c r="A22" s="13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39.950000000000003" customHeight="1" x14ac:dyDescent="0.6">
      <c r="A23" s="13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39.950000000000003" customHeight="1" x14ac:dyDescent="0.65">
      <c r="A24" s="13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x14ac:dyDescent="0.25">
      <c r="A25" s="20" t="s">
        <v>191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8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94"/>
  <sheetViews>
    <sheetView rightToLeft="1" view="pageBreakPreview" zoomScale="86" zoomScaleNormal="100" zoomScaleSheetLayoutView="86" workbookViewId="0">
      <selection activeCell="AT13" sqref="AT13"/>
    </sheetView>
  </sheetViews>
  <sheetFormatPr defaultRowHeight="18" x14ac:dyDescent="0.45"/>
  <cols>
    <col min="1" max="1" width="17.5703125" style="1" bestFit="1" customWidth="1"/>
    <col min="2" max="2" width="1.42578125" style="1" customWidth="1"/>
    <col min="3" max="3" width="13.7109375" style="1" bestFit="1" customWidth="1"/>
    <col min="4" max="4" width="1.42578125" style="1" customWidth="1"/>
    <col min="5" max="5" width="19.7109375" style="1" bestFit="1" customWidth="1"/>
    <col min="6" max="6" width="1.42578125" style="1" customWidth="1"/>
    <col min="7" max="7" width="19.7109375" style="1" bestFit="1" customWidth="1"/>
    <col min="8" max="8" width="1.42578125" style="1" customWidth="1"/>
    <col min="9" max="9" width="11.28515625" style="1" bestFit="1" customWidth="1"/>
    <col min="10" max="10" width="15.42578125" style="1" bestFit="1" customWidth="1"/>
    <col min="11" max="11" width="1.42578125" style="1" customWidth="1"/>
    <col min="12" max="12" width="9.85546875" style="1" bestFit="1" customWidth="1"/>
    <col min="13" max="13" width="15.140625" style="1" bestFit="1" customWidth="1"/>
    <col min="14" max="14" width="1.42578125" style="1" customWidth="1"/>
    <col min="15" max="15" width="13.42578125" style="1" bestFit="1" customWidth="1"/>
    <col min="16" max="16" width="1.42578125" style="1" customWidth="1"/>
    <col min="17" max="17" width="14.85546875" style="1" bestFit="1" customWidth="1"/>
    <col min="18" max="18" width="1.42578125" style="1" customWidth="1"/>
    <col min="19" max="19" width="19.7109375" style="1" bestFit="1" customWidth="1"/>
    <col min="20" max="20" width="1.42578125" style="1" customWidth="1"/>
    <col min="21" max="21" width="19.85546875" style="1" bestFit="1" customWidth="1"/>
    <col min="22" max="22" width="1.42578125" style="1" customWidth="1"/>
    <col min="23" max="23" width="17.28515625" style="1" bestFit="1" customWidth="1"/>
    <col min="24" max="16384" width="9.140625" style="1"/>
  </cols>
  <sheetData>
    <row r="1" spans="1:2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5" ht="21" x14ac:dyDescent="0.45">
      <c r="A5" s="34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5" ht="21" x14ac:dyDescent="0.45">
      <c r="A6" s="34" t="s">
        <v>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8" spans="1:25" ht="21" x14ac:dyDescent="0.45">
      <c r="C8" s="27" t="s">
        <v>5</v>
      </c>
      <c r="D8" s="28"/>
      <c r="E8" s="28"/>
      <c r="F8" s="28"/>
      <c r="G8" s="28"/>
      <c r="I8" s="27" t="s">
        <v>6</v>
      </c>
      <c r="J8" s="28"/>
      <c r="K8" s="28"/>
      <c r="L8" s="28"/>
      <c r="M8" s="28"/>
      <c r="O8" s="27" t="s">
        <v>7</v>
      </c>
      <c r="P8" s="28"/>
      <c r="Q8" s="28"/>
      <c r="R8" s="28"/>
      <c r="S8" s="28"/>
      <c r="T8" s="28"/>
      <c r="U8" s="28"/>
      <c r="V8" s="28"/>
      <c r="W8" s="28"/>
    </row>
    <row r="9" spans="1:25" ht="18.75" x14ac:dyDescent="0.45">
      <c r="A9" s="29" t="s">
        <v>8</v>
      </c>
      <c r="C9" s="29" t="s">
        <v>9</v>
      </c>
      <c r="E9" s="29" t="s">
        <v>10</v>
      </c>
      <c r="G9" s="29" t="s">
        <v>11</v>
      </c>
      <c r="I9" s="29" t="s">
        <v>12</v>
      </c>
      <c r="J9" s="31"/>
      <c r="L9" s="29" t="s">
        <v>13</v>
      </c>
      <c r="M9" s="31"/>
      <c r="O9" s="29" t="s">
        <v>9</v>
      </c>
      <c r="Q9" s="32" t="s">
        <v>14</v>
      </c>
      <c r="S9" s="29" t="s">
        <v>10</v>
      </c>
      <c r="U9" s="29" t="s">
        <v>11</v>
      </c>
      <c r="W9" s="32" t="s">
        <v>15</v>
      </c>
      <c r="Y9" s="18"/>
    </row>
    <row r="10" spans="1:25" ht="18.75" x14ac:dyDescent="0.45">
      <c r="A10" s="30"/>
      <c r="C10" s="30"/>
      <c r="E10" s="30"/>
      <c r="G10" s="30"/>
      <c r="I10" s="6" t="s">
        <v>9</v>
      </c>
      <c r="J10" s="6" t="s">
        <v>10</v>
      </c>
      <c r="L10" s="6" t="s">
        <v>9</v>
      </c>
      <c r="M10" s="6" t="s">
        <v>16</v>
      </c>
      <c r="O10" s="30"/>
      <c r="Q10" s="30"/>
      <c r="S10" s="30"/>
      <c r="U10" s="30"/>
      <c r="W10" s="30"/>
    </row>
    <row r="11" spans="1:25" ht="18.75" x14ac:dyDescent="0.45">
      <c r="A11" s="7" t="s">
        <v>17</v>
      </c>
      <c r="C11" s="8">
        <v>75</v>
      </c>
      <c r="E11" s="8">
        <v>4112010</v>
      </c>
      <c r="G11" s="8">
        <v>4784114</v>
      </c>
      <c r="N11" s="4"/>
      <c r="O11" s="8">
        <v>75</v>
      </c>
      <c r="Q11" s="8">
        <v>83950</v>
      </c>
      <c r="S11" s="8">
        <v>4112010</v>
      </c>
      <c r="U11" s="8">
        <v>6258787</v>
      </c>
      <c r="W11" s="9">
        <v>1.9569587865210094E-6</v>
      </c>
    </row>
    <row r="12" spans="1:25" ht="37.5" x14ac:dyDescent="0.45">
      <c r="A12" s="7" t="s">
        <v>18</v>
      </c>
      <c r="C12" s="8">
        <v>50000</v>
      </c>
      <c r="E12" s="8">
        <v>1000908000</v>
      </c>
      <c r="G12" s="8">
        <v>1304690625</v>
      </c>
      <c r="N12" s="4"/>
      <c r="O12" s="8">
        <v>50000</v>
      </c>
      <c r="Q12" s="8">
        <v>28200</v>
      </c>
      <c r="S12" s="8">
        <v>1000908000</v>
      </c>
      <c r="U12" s="8">
        <v>1401610500</v>
      </c>
      <c r="W12" s="9">
        <v>4.3824689724304488E-4</v>
      </c>
    </row>
    <row r="13" spans="1:25" ht="18.75" x14ac:dyDescent="0.45">
      <c r="A13" s="7" t="s">
        <v>19</v>
      </c>
      <c r="C13" s="8">
        <v>245000</v>
      </c>
      <c r="E13" s="8">
        <v>1829159370</v>
      </c>
      <c r="G13" s="8">
        <v>1736456242</v>
      </c>
      <c r="N13" s="4"/>
      <c r="O13" s="8">
        <v>245000</v>
      </c>
      <c r="Q13" s="8">
        <v>7820</v>
      </c>
      <c r="S13" s="8">
        <v>1829159370</v>
      </c>
      <c r="U13" s="8">
        <v>1904500395</v>
      </c>
      <c r="W13" s="9">
        <v>5.9548739746663102E-4</v>
      </c>
    </row>
    <row r="14" spans="1:25" ht="18.75" x14ac:dyDescent="0.45">
      <c r="A14" s="7" t="s">
        <v>20</v>
      </c>
      <c r="C14" s="8">
        <v>6847087</v>
      </c>
      <c r="E14" s="8">
        <v>25563268752</v>
      </c>
      <c r="G14" s="8">
        <v>29294516766</v>
      </c>
      <c r="N14" s="4"/>
      <c r="O14" s="8">
        <v>6847087</v>
      </c>
      <c r="Q14" s="8">
        <v>4613</v>
      </c>
      <c r="S14" s="8">
        <v>25563268752</v>
      </c>
      <c r="U14" s="8">
        <v>31397677938</v>
      </c>
      <c r="W14" s="9">
        <v>9.8172316324434666E-3</v>
      </c>
    </row>
    <row r="15" spans="1:25" ht="18.75" x14ac:dyDescent="0.45">
      <c r="A15" s="7" t="s">
        <v>21</v>
      </c>
      <c r="C15" s="8">
        <v>1895580</v>
      </c>
      <c r="E15" s="8">
        <v>18383781995</v>
      </c>
      <c r="G15" s="8">
        <v>15715072834</v>
      </c>
      <c r="N15" s="4"/>
      <c r="O15" s="8">
        <v>1895580</v>
      </c>
      <c r="Q15" s="8">
        <v>9270</v>
      </c>
      <c r="S15" s="8">
        <v>18383781995</v>
      </c>
      <c r="U15" s="8">
        <v>17467473042</v>
      </c>
      <c r="W15" s="9">
        <v>5.4616213729370821E-3</v>
      </c>
    </row>
    <row r="16" spans="1:25" ht="18.75" x14ac:dyDescent="0.45">
      <c r="A16" s="7" t="s">
        <v>22</v>
      </c>
      <c r="C16" s="8">
        <v>15134677</v>
      </c>
      <c r="E16" s="8">
        <v>59852415985</v>
      </c>
      <c r="G16" s="8">
        <v>47781731134</v>
      </c>
      <c r="N16" s="4"/>
      <c r="O16" s="8">
        <v>15134677</v>
      </c>
      <c r="Q16" s="8">
        <v>3545</v>
      </c>
      <c r="S16" s="8">
        <v>59852415985</v>
      </c>
      <c r="U16" s="8">
        <v>53333198007</v>
      </c>
      <c r="W16" s="9">
        <v>1.6675894299177051E-2</v>
      </c>
    </row>
    <row r="17" spans="1:23" ht="18.75" x14ac:dyDescent="0.45">
      <c r="A17" s="7" t="s">
        <v>23</v>
      </c>
      <c r="C17" s="8">
        <v>2391471</v>
      </c>
      <c r="E17" s="8">
        <v>33153448591</v>
      </c>
      <c r="G17" s="8">
        <v>37536647194</v>
      </c>
      <c r="N17" s="4"/>
      <c r="O17" s="8">
        <v>2391471</v>
      </c>
      <c r="Q17" s="8">
        <v>16400</v>
      </c>
      <c r="S17" s="8">
        <v>33153448591</v>
      </c>
      <c r="U17" s="8">
        <v>38986764660</v>
      </c>
      <c r="W17" s="9">
        <v>1.2190140303450775E-2</v>
      </c>
    </row>
    <row r="18" spans="1:23" ht="18.75" x14ac:dyDescent="0.45">
      <c r="A18" s="7" t="s">
        <v>24</v>
      </c>
      <c r="C18" s="8">
        <v>14800000</v>
      </c>
      <c r="E18" s="8">
        <v>26960996608</v>
      </c>
      <c r="G18" s="8">
        <v>35794150020</v>
      </c>
      <c r="N18" s="4"/>
      <c r="O18" s="8">
        <v>14800000</v>
      </c>
      <c r="Q18" s="8">
        <v>3064</v>
      </c>
      <c r="S18" s="8">
        <v>26960996608</v>
      </c>
      <c r="U18" s="8">
        <v>45077384160</v>
      </c>
      <c r="W18" s="9">
        <v>1.4094517516780003E-2</v>
      </c>
    </row>
    <row r="19" spans="1:23" ht="18.75" x14ac:dyDescent="0.45">
      <c r="A19" s="7" t="s">
        <v>25</v>
      </c>
      <c r="C19" s="8">
        <v>500000</v>
      </c>
      <c r="E19" s="8">
        <v>7186663004</v>
      </c>
      <c r="G19" s="8">
        <v>8827164000</v>
      </c>
      <c r="N19" s="4"/>
      <c r="O19" s="8">
        <v>500000</v>
      </c>
      <c r="Q19" s="8">
        <v>19620</v>
      </c>
      <c r="S19" s="8">
        <v>7186663004</v>
      </c>
      <c r="U19" s="8">
        <v>9751630500</v>
      </c>
      <c r="W19" s="9">
        <v>3.0490794765633124E-3</v>
      </c>
    </row>
    <row r="20" spans="1:23" ht="18.75" x14ac:dyDescent="0.45">
      <c r="A20" s="7" t="s">
        <v>26</v>
      </c>
      <c r="C20" s="8">
        <v>1750000</v>
      </c>
      <c r="E20" s="8">
        <v>4291393050</v>
      </c>
      <c r="G20" s="8">
        <v>4695146662</v>
      </c>
      <c r="N20" s="4"/>
      <c r="O20" s="8">
        <v>1750000</v>
      </c>
      <c r="Q20" s="8">
        <v>2934</v>
      </c>
      <c r="S20" s="8">
        <v>4291393050</v>
      </c>
      <c r="U20" s="8">
        <v>5103949725</v>
      </c>
      <c r="W20" s="9">
        <v>1.5958714141095134E-3</v>
      </c>
    </row>
    <row r="21" spans="1:23" ht="18.75" x14ac:dyDescent="0.45">
      <c r="A21" s="7" t="s">
        <v>27</v>
      </c>
      <c r="C21" s="8">
        <v>23109504</v>
      </c>
      <c r="E21" s="8">
        <v>47166686292</v>
      </c>
      <c r="G21" s="8">
        <v>29587939157</v>
      </c>
      <c r="N21" s="4"/>
      <c r="O21" s="8">
        <v>23109504</v>
      </c>
      <c r="Q21" s="8">
        <v>1566</v>
      </c>
      <c r="S21" s="8">
        <v>47166686292</v>
      </c>
      <c r="U21" s="8">
        <v>35974155839</v>
      </c>
      <c r="W21" s="9">
        <v>1.1248176420895473E-2</v>
      </c>
    </row>
    <row r="22" spans="1:23" ht="18.75" x14ac:dyDescent="0.45">
      <c r="A22" s="7" t="s">
        <v>28</v>
      </c>
      <c r="C22" s="8">
        <v>1562500</v>
      </c>
      <c r="E22" s="8">
        <v>3937321845</v>
      </c>
      <c r="G22" s="8">
        <v>4923653906</v>
      </c>
      <c r="N22" s="4"/>
      <c r="O22" s="8">
        <v>1562500</v>
      </c>
      <c r="Q22" s="8">
        <v>3495</v>
      </c>
      <c r="S22" s="8">
        <v>3937321845</v>
      </c>
      <c r="U22" s="8">
        <v>5428444922</v>
      </c>
      <c r="W22" s="9">
        <v>1.6973325641619142E-3</v>
      </c>
    </row>
    <row r="23" spans="1:23" ht="18.75" x14ac:dyDescent="0.45">
      <c r="A23" s="7" t="s">
        <v>29</v>
      </c>
      <c r="C23" s="8">
        <v>22718165</v>
      </c>
      <c r="E23" s="8">
        <v>79738050544</v>
      </c>
      <c r="G23" s="8">
        <v>79898625407</v>
      </c>
      <c r="N23" s="4"/>
      <c r="O23" s="8">
        <v>22718165</v>
      </c>
      <c r="Q23" s="8">
        <v>4028</v>
      </c>
      <c r="S23" s="8">
        <v>79738050544</v>
      </c>
      <c r="U23" s="8">
        <v>90964291447</v>
      </c>
      <c r="W23" s="9">
        <v>2.8442151715158952E-2</v>
      </c>
    </row>
    <row r="24" spans="1:23" ht="18.75" x14ac:dyDescent="0.45">
      <c r="A24" s="7" t="s">
        <v>30</v>
      </c>
      <c r="C24" s="8">
        <v>22541064</v>
      </c>
      <c r="E24" s="8">
        <v>85773902385</v>
      </c>
      <c r="G24" s="8">
        <v>140043404182</v>
      </c>
      <c r="I24" s="8">
        <v>0</v>
      </c>
      <c r="J24" s="8">
        <v>0</v>
      </c>
      <c r="L24" s="8">
        <v>800000</v>
      </c>
      <c r="M24" s="8">
        <v>5996109629</v>
      </c>
      <c r="O24" s="8">
        <v>21741064</v>
      </c>
      <c r="Q24" s="8">
        <v>7970</v>
      </c>
      <c r="S24" s="8">
        <v>82729719470</v>
      </c>
      <c r="U24" s="8">
        <v>172245286214</v>
      </c>
      <c r="W24" s="9">
        <v>5.3856590149706861E-2</v>
      </c>
    </row>
    <row r="25" spans="1:23" ht="18.75" x14ac:dyDescent="0.45">
      <c r="A25" s="7" t="s">
        <v>31</v>
      </c>
      <c r="C25" s="8">
        <v>4754687</v>
      </c>
      <c r="E25" s="8">
        <v>17193606879</v>
      </c>
      <c r="G25" s="8">
        <v>21854857936</v>
      </c>
      <c r="N25" s="4"/>
      <c r="O25" s="8">
        <v>4754687</v>
      </c>
      <c r="Q25" s="8">
        <v>4974</v>
      </c>
      <c r="S25" s="8">
        <v>17193606879</v>
      </c>
      <c r="U25" s="8">
        <v>23509096750</v>
      </c>
      <c r="W25" s="9">
        <v>7.3506788852352708E-3</v>
      </c>
    </row>
    <row r="26" spans="1:23" ht="18.75" x14ac:dyDescent="0.45">
      <c r="A26" s="7" t="s">
        <v>32</v>
      </c>
      <c r="C26" s="8">
        <v>739629</v>
      </c>
      <c r="E26" s="8">
        <v>28093812443</v>
      </c>
      <c r="G26" s="8">
        <v>18049852493</v>
      </c>
      <c r="N26" s="4"/>
      <c r="O26" s="8">
        <v>12327149</v>
      </c>
      <c r="Q26" s="8">
        <v>1590</v>
      </c>
      <c r="S26" s="8">
        <v>28093812443</v>
      </c>
      <c r="U26" s="8">
        <v>19483545917</v>
      </c>
      <c r="W26" s="9">
        <v>6.0919945629814027E-3</v>
      </c>
    </row>
    <row r="27" spans="1:23" ht="37.5" x14ac:dyDescent="0.45">
      <c r="A27" s="7" t="s">
        <v>33</v>
      </c>
      <c r="C27" s="8">
        <v>842177</v>
      </c>
      <c r="E27" s="8">
        <v>2001916090</v>
      </c>
      <c r="G27" s="8">
        <v>5324376058</v>
      </c>
      <c r="N27" s="4"/>
      <c r="O27" s="8">
        <v>842177</v>
      </c>
      <c r="Q27" s="8">
        <v>6020</v>
      </c>
      <c r="S27" s="8">
        <v>2001916090</v>
      </c>
      <c r="U27" s="8">
        <v>5039739602</v>
      </c>
      <c r="W27" s="9">
        <v>1.5757945902156111E-3</v>
      </c>
    </row>
    <row r="28" spans="1:23" ht="37.5" x14ac:dyDescent="0.45">
      <c r="A28" s="7" t="s">
        <v>34</v>
      </c>
      <c r="C28" s="8">
        <v>286500</v>
      </c>
      <c r="E28" s="8">
        <v>12155017291</v>
      </c>
      <c r="G28" s="8">
        <v>13684415366</v>
      </c>
      <c r="N28" s="4"/>
      <c r="O28" s="8">
        <v>286500</v>
      </c>
      <c r="Q28" s="8">
        <v>53700</v>
      </c>
      <c r="S28" s="8">
        <v>12155017291</v>
      </c>
      <c r="U28" s="8">
        <v>15293508952</v>
      </c>
      <c r="W28" s="9">
        <v>4.7818797348997679E-3</v>
      </c>
    </row>
    <row r="29" spans="1:23" ht="37.5" x14ac:dyDescent="0.45">
      <c r="A29" s="7" t="s">
        <v>35</v>
      </c>
      <c r="C29" s="8">
        <v>250000</v>
      </c>
      <c r="E29" s="8">
        <v>800726400</v>
      </c>
      <c r="G29" s="8">
        <v>810399262</v>
      </c>
      <c r="N29" s="4"/>
      <c r="O29" s="8">
        <v>250000</v>
      </c>
      <c r="Q29" s="8">
        <v>3481</v>
      </c>
      <c r="S29" s="8">
        <v>800726400</v>
      </c>
      <c r="U29" s="8">
        <v>865072012</v>
      </c>
      <c r="W29" s="9">
        <v>2.704853631952658E-4</v>
      </c>
    </row>
    <row r="30" spans="1:23" ht="37.5" x14ac:dyDescent="0.45">
      <c r="A30" s="7" t="s">
        <v>36</v>
      </c>
      <c r="C30" s="8">
        <v>6645110</v>
      </c>
      <c r="E30" s="8">
        <v>67281885372</v>
      </c>
      <c r="G30" s="8">
        <v>75831961916</v>
      </c>
      <c r="N30" s="4"/>
      <c r="O30" s="8">
        <v>6645110</v>
      </c>
      <c r="Q30" s="8">
        <v>13500</v>
      </c>
      <c r="S30" s="8">
        <v>67281885372</v>
      </c>
      <c r="U30" s="8">
        <v>89175216539</v>
      </c>
      <c r="W30" s="9">
        <v>2.7882754844654353E-2</v>
      </c>
    </row>
    <row r="31" spans="1:23" ht="18.75" x14ac:dyDescent="0.45">
      <c r="A31" s="7" t="s">
        <v>37</v>
      </c>
      <c r="C31" s="8">
        <v>1000000</v>
      </c>
      <c r="E31" s="8">
        <v>6555947400</v>
      </c>
      <c r="G31" s="8">
        <v>6391741500</v>
      </c>
      <c r="N31" s="4"/>
      <c r="O31" s="8">
        <v>1000000</v>
      </c>
      <c r="Q31" s="8">
        <v>6810</v>
      </c>
      <c r="S31" s="8">
        <v>6555947400</v>
      </c>
      <c r="U31" s="8">
        <v>6769480500</v>
      </c>
      <c r="W31" s="9">
        <v>2.1166392696632167E-3</v>
      </c>
    </row>
    <row r="32" spans="1:23" ht="18.75" x14ac:dyDescent="0.45">
      <c r="A32" s="7" t="s">
        <v>38</v>
      </c>
      <c r="C32" s="8">
        <v>31806527</v>
      </c>
      <c r="E32" s="8">
        <v>59228648705</v>
      </c>
      <c r="G32" s="8">
        <v>55330236788</v>
      </c>
      <c r="N32" s="4"/>
      <c r="O32" s="8">
        <v>31806527</v>
      </c>
      <c r="Q32" s="8">
        <v>1948</v>
      </c>
      <c r="S32" s="8">
        <v>59228648705</v>
      </c>
      <c r="U32" s="8">
        <v>61590457864</v>
      </c>
      <c r="W32" s="9">
        <v>1.9257723211032234E-2</v>
      </c>
    </row>
    <row r="33" spans="1:23" ht="37.5" x14ac:dyDescent="0.45">
      <c r="A33" s="7" t="s">
        <v>39</v>
      </c>
      <c r="C33" s="8">
        <v>7329302</v>
      </c>
      <c r="E33" s="8">
        <v>54397299345</v>
      </c>
      <c r="G33" s="8">
        <v>48231285364</v>
      </c>
      <c r="N33" s="4"/>
      <c r="O33" s="8">
        <v>7329302</v>
      </c>
      <c r="Q33" s="8">
        <v>7670</v>
      </c>
      <c r="S33" s="8">
        <v>54397299345</v>
      </c>
      <c r="U33" s="8">
        <v>55881262649</v>
      </c>
      <c r="W33" s="9">
        <v>1.7472607382684351E-2</v>
      </c>
    </row>
    <row r="34" spans="1:23" ht="18.75" x14ac:dyDescent="0.45">
      <c r="A34" s="7" t="s">
        <v>40</v>
      </c>
      <c r="C34" s="8">
        <v>3036239</v>
      </c>
      <c r="E34" s="8">
        <v>50434043773</v>
      </c>
      <c r="G34" s="8">
        <v>65252908431</v>
      </c>
      <c r="N34" s="4"/>
      <c r="O34" s="8">
        <v>3036239</v>
      </c>
      <c r="Q34" s="8">
        <v>25170</v>
      </c>
      <c r="S34" s="8">
        <v>50434043773</v>
      </c>
      <c r="U34" s="8">
        <v>75967423923</v>
      </c>
      <c r="W34" s="9">
        <v>2.3753023986194319E-2</v>
      </c>
    </row>
    <row r="35" spans="1:23" ht="18.75" x14ac:dyDescent="0.45">
      <c r="A35" s="7" t="s">
        <v>41</v>
      </c>
      <c r="C35" s="8">
        <v>2773715</v>
      </c>
      <c r="E35" s="8">
        <v>77701541135</v>
      </c>
      <c r="G35" s="8">
        <v>65924924472</v>
      </c>
      <c r="N35" s="4"/>
      <c r="O35" s="8">
        <v>2773715</v>
      </c>
      <c r="Q35" s="8">
        <v>25910</v>
      </c>
      <c r="S35" s="8">
        <v>77701541135</v>
      </c>
      <c r="U35" s="8">
        <v>71439347264</v>
      </c>
      <c r="W35" s="9">
        <v>2.2337212998558734E-2</v>
      </c>
    </row>
    <row r="36" spans="1:23" ht="37.5" x14ac:dyDescent="0.45">
      <c r="A36" s="7" t="s">
        <v>42</v>
      </c>
      <c r="C36" s="8">
        <v>272500</v>
      </c>
      <c r="E36" s="8">
        <v>5103379665</v>
      </c>
      <c r="G36" s="8">
        <v>7367898600</v>
      </c>
      <c r="N36" s="4"/>
      <c r="O36" s="8">
        <v>272500</v>
      </c>
      <c r="Q36" s="8">
        <v>31800</v>
      </c>
      <c r="S36" s="8">
        <v>5103379665</v>
      </c>
      <c r="U36" s="8">
        <v>8613940275</v>
      </c>
      <c r="W36" s="9">
        <v>2.6933535376309258E-3</v>
      </c>
    </row>
    <row r="37" spans="1:23" ht="18.75" x14ac:dyDescent="0.45">
      <c r="A37" s="7" t="s">
        <v>43</v>
      </c>
      <c r="C37" s="8">
        <v>741342</v>
      </c>
      <c r="E37" s="8">
        <v>35385653732</v>
      </c>
      <c r="G37" s="8">
        <v>40236433424</v>
      </c>
      <c r="N37" s="4"/>
      <c r="O37" s="8">
        <v>741342</v>
      </c>
      <c r="Q37" s="8">
        <v>54600</v>
      </c>
      <c r="S37" s="8">
        <v>35385653732</v>
      </c>
      <c r="U37" s="8">
        <v>40236433424</v>
      </c>
      <c r="W37" s="9">
        <v>1.2580878998976067E-2</v>
      </c>
    </row>
    <row r="38" spans="1:23" ht="18.75" x14ac:dyDescent="0.45">
      <c r="A38" s="7" t="s">
        <v>44</v>
      </c>
      <c r="C38" s="8">
        <v>27844387</v>
      </c>
      <c r="E38" s="8">
        <v>73147788635</v>
      </c>
      <c r="G38" s="8">
        <v>64795866893</v>
      </c>
      <c r="N38" s="4"/>
      <c r="O38" s="8">
        <v>27844387</v>
      </c>
      <c r="Q38" s="8">
        <v>2792</v>
      </c>
      <c r="S38" s="8">
        <v>73147788635</v>
      </c>
      <c r="U38" s="8">
        <v>77278966409</v>
      </c>
      <c r="W38" s="9">
        <v>2.41631089742077E-2</v>
      </c>
    </row>
    <row r="39" spans="1:23" ht="37.5" x14ac:dyDescent="0.45">
      <c r="A39" s="7" t="s">
        <v>45</v>
      </c>
      <c r="C39" s="8">
        <v>13167887</v>
      </c>
      <c r="E39" s="8">
        <v>36649310457</v>
      </c>
      <c r="G39" s="8">
        <v>36388915841</v>
      </c>
      <c r="N39" s="4"/>
      <c r="O39" s="8">
        <v>13167887</v>
      </c>
      <c r="Q39" s="8">
        <v>3374</v>
      </c>
      <c r="S39" s="8">
        <v>36649310457</v>
      </c>
      <c r="U39" s="8">
        <v>44164101456</v>
      </c>
      <c r="W39" s="9">
        <v>1.3808957932763089E-2</v>
      </c>
    </row>
    <row r="40" spans="1:23" ht="18.75" x14ac:dyDescent="0.45">
      <c r="A40" s="7" t="s">
        <v>46</v>
      </c>
      <c r="C40" s="8">
        <v>10258397</v>
      </c>
      <c r="E40" s="8">
        <v>27693957457</v>
      </c>
      <c r="G40" s="8">
        <v>20435508514</v>
      </c>
      <c r="N40" s="4"/>
      <c r="O40" s="8">
        <v>10258397</v>
      </c>
      <c r="Q40" s="8">
        <v>2489</v>
      </c>
      <c r="S40" s="8">
        <v>27693957457</v>
      </c>
      <c r="U40" s="8">
        <v>25381227890</v>
      </c>
      <c r="W40" s="9">
        <v>7.9360452643663371E-3</v>
      </c>
    </row>
    <row r="41" spans="1:23" ht="18.75" x14ac:dyDescent="0.45">
      <c r="A41" s="7" t="s">
        <v>47</v>
      </c>
      <c r="C41" s="8">
        <v>5362092</v>
      </c>
      <c r="E41" s="8">
        <v>17817140693</v>
      </c>
      <c r="G41" s="8">
        <v>10569761917</v>
      </c>
      <c r="N41" s="4"/>
      <c r="O41" s="8">
        <v>7958319</v>
      </c>
      <c r="Q41" s="8">
        <v>2307</v>
      </c>
      <c r="S41" s="8">
        <v>26443874760</v>
      </c>
      <c r="U41" s="8">
        <v>18250600873</v>
      </c>
      <c r="W41" s="9">
        <v>5.7064849367306084E-3</v>
      </c>
    </row>
    <row r="42" spans="1:23" ht="18.75" x14ac:dyDescent="0.45">
      <c r="A42" s="7" t="s">
        <v>48</v>
      </c>
      <c r="C42" s="8">
        <v>2596227</v>
      </c>
      <c r="E42" s="8">
        <v>6030507067</v>
      </c>
      <c r="G42" s="8">
        <v>2049138883</v>
      </c>
      <c r="N42" s="4"/>
      <c r="W42" s="9">
        <v>0</v>
      </c>
    </row>
    <row r="43" spans="1:23" ht="37.5" x14ac:dyDescent="0.45">
      <c r="A43" s="7" t="s">
        <v>49</v>
      </c>
      <c r="H43" s="4"/>
      <c r="I43" s="8">
        <v>6500000</v>
      </c>
      <c r="J43" s="8">
        <v>7878647322</v>
      </c>
      <c r="L43" s="8">
        <v>0</v>
      </c>
      <c r="M43" s="8">
        <v>0</v>
      </c>
      <c r="O43" s="8">
        <v>6500000</v>
      </c>
      <c r="Q43" s="8">
        <v>1390</v>
      </c>
      <c r="S43" s="8">
        <v>7878647322</v>
      </c>
      <c r="U43" s="8">
        <v>8981241750</v>
      </c>
      <c r="W43" s="9">
        <v>2.8081990897807873E-3</v>
      </c>
    </row>
    <row r="44" spans="1:23" ht="18.75" x14ac:dyDescent="0.45">
      <c r="A44" s="7" t="s">
        <v>50</v>
      </c>
      <c r="C44" s="8">
        <v>1186353</v>
      </c>
      <c r="E44" s="8">
        <v>26013113139</v>
      </c>
      <c r="G44" s="8">
        <v>56841980423</v>
      </c>
      <c r="N44" s="4"/>
      <c r="O44" s="8">
        <v>1186353</v>
      </c>
      <c r="Q44" s="8">
        <v>55980</v>
      </c>
      <c r="S44" s="8">
        <v>26013113139</v>
      </c>
      <c r="U44" s="8">
        <v>66016889296</v>
      </c>
      <c r="W44" s="9">
        <v>2.0641752398123145E-2</v>
      </c>
    </row>
    <row r="45" spans="1:23" ht="18.75" x14ac:dyDescent="0.45">
      <c r="A45" s="7" t="s">
        <v>51</v>
      </c>
      <c r="C45" s="8">
        <v>100000</v>
      </c>
      <c r="E45" s="8">
        <v>9771059100</v>
      </c>
      <c r="G45" s="8">
        <v>9054801450</v>
      </c>
      <c r="N45" s="4"/>
      <c r="O45" s="8">
        <v>100000</v>
      </c>
      <c r="Q45" s="8">
        <v>114460</v>
      </c>
      <c r="S45" s="8">
        <v>9771059100</v>
      </c>
      <c r="U45" s="8">
        <v>11377896300</v>
      </c>
      <c r="W45" s="9">
        <v>3.5575702027261643E-3</v>
      </c>
    </row>
    <row r="46" spans="1:23" ht="18.75" x14ac:dyDescent="0.45">
      <c r="A46" s="7" t="s">
        <v>52</v>
      </c>
      <c r="C46" s="8">
        <v>8163990</v>
      </c>
      <c r="E46" s="8">
        <v>51211299429</v>
      </c>
      <c r="G46" s="8">
        <v>66140626215</v>
      </c>
      <c r="N46" s="4"/>
      <c r="O46" s="8">
        <v>8163990</v>
      </c>
      <c r="Q46" s="8">
        <v>10490</v>
      </c>
      <c r="S46" s="8">
        <v>51211299429</v>
      </c>
      <c r="U46" s="8">
        <v>85130695582</v>
      </c>
      <c r="W46" s="9">
        <v>2.6618139061425187E-2</v>
      </c>
    </row>
    <row r="47" spans="1:23" ht="18.75" x14ac:dyDescent="0.45">
      <c r="A47" s="7" t="s">
        <v>53</v>
      </c>
      <c r="C47" s="8">
        <v>6003951</v>
      </c>
      <c r="E47" s="8">
        <v>32931113465</v>
      </c>
      <c r="G47" s="8">
        <v>49834699554</v>
      </c>
      <c r="N47" s="4"/>
      <c r="O47" s="8">
        <v>6003951</v>
      </c>
      <c r="Q47" s="8">
        <v>10500</v>
      </c>
      <c r="S47" s="8">
        <v>32931113465</v>
      </c>
      <c r="U47" s="8">
        <v>62666388661</v>
      </c>
      <c r="W47" s="9">
        <v>1.9594138594217138E-2</v>
      </c>
    </row>
    <row r="48" spans="1:23" ht="18.75" x14ac:dyDescent="0.45">
      <c r="A48" s="7" t="s">
        <v>54</v>
      </c>
      <c r="C48" s="8">
        <v>5400000</v>
      </c>
      <c r="E48" s="8">
        <v>47083833086</v>
      </c>
      <c r="G48" s="8">
        <v>65488014000</v>
      </c>
      <c r="N48" s="4"/>
      <c r="O48" s="8">
        <v>5400000</v>
      </c>
      <c r="Q48" s="8">
        <v>14120</v>
      </c>
      <c r="S48" s="8">
        <v>47083833086</v>
      </c>
      <c r="U48" s="8">
        <v>75794324400</v>
      </c>
      <c r="W48" s="9">
        <v>2.3698900298572828E-2</v>
      </c>
    </row>
    <row r="49" spans="1:23" ht="18.75" x14ac:dyDescent="0.45">
      <c r="A49" s="7" t="s">
        <v>55</v>
      </c>
      <c r="C49" s="8">
        <v>200000</v>
      </c>
      <c r="E49" s="8">
        <v>5506104881</v>
      </c>
      <c r="G49" s="8">
        <v>4695892200</v>
      </c>
      <c r="N49" s="4"/>
      <c r="O49" s="8">
        <v>200000</v>
      </c>
      <c r="Q49" s="8">
        <v>28620</v>
      </c>
      <c r="S49" s="8">
        <v>5506104881</v>
      </c>
      <c r="U49" s="8">
        <v>5689942200</v>
      </c>
      <c r="W49" s="9">
        <v>1.7790959147653822E-3</v>
      </c>
    </row>
    <row r="50" spans="1:23" ht="18.75" x14ac:dyDescent="0.45">
      <c r="A50" s="7" t="s">
        <v>56</v>
      </c>
      <c r="C50" s="8">
        <v>31189045</v>
      </c>
      <c r="E50" s="8">
        <v>76055816573</v>
      </c>
      <c r="G50" s="8">
        <v>49016486358</v>
      </c>
      <c r="N50" s="4"/>
      <c r="O50" s="8">
        <v>31189045</v>
      </c>
      <c r="Q50" s="8">
        <v>1786</v>
      </c>
      <c r="S50" s="8">
        <v>76055816573</v>
      </c>
      <c r="U50" s="8">
        <v>55372197745</v>
      </c>
      <c r="W50" s="9">
        <v>1.7313436118860822E-2</v>
      </c>
    </row>
    <row r="51" spans="1:23" ht="18.75" x14ac:dyDescent="0.45">
      <c r="A51" s="7" t="s">
        <v>57</v>
      </c>
      <c r="C51" s="8">
        <v>330974</v>
      </c>
      <c r="E51" s="8">
        <v>10705350134</v>
      </c>
      <c r="G51" s="8">
        <v>9541136436</v>
      </c>
      <c r="N51" s="4"/>
      <c r="O51" s="8">
        <v>330974</v>
      </c>
      <c r="Q51" s="8">
        <v>32160</v>
      </c>
      <c r="S51" s="8">
        <v>10705350134</v>
      </c>
      <c r="U51" s="8">
        <v>10580791303</v>
      </c>
      <c r="W51" s="9">
        <v>3.308336345165753E-3</v>
      </c>
    </row>
    <row r="52" spans="1:23" ht="18.75" x14ac:dyDescent="0.45">
      <c r="A52" s="7" t="s">
        <v>58</v>
      </c>
      <c r="C52" s="8">
        <v>9448213</v>
      </c>
      <c r="E52" s="8">
        <v>15392047456</v>
      </c>
      <c r="G52" s="8">
        <v>7062781092</v>
      </c>
      <c r="N52" s="4"/>
      <c r="O52" s="8">
        <v>9448213</v>
      </c>
      <c r="Q52" s="8">
        <v>769</v>
      </c>
      <c r="S52" s="8">
        <v>15392047456</v>
      </c>
      <c r="U52" s="8">
        <v>7222445026</v>
      </c>
      <c r="W52" s="9">
        <v>2.258269414472111E-3</v>
      </c>
    </row>
    <row r="53" spans="1:23" ht="18.75" x14ac:dyDescent="0.45">
      <c r="A53" s="7" t="s">
        <v>59</v>
      </c>
      <c r="C53" s="8">
        <v>10148510</v>
      </c>
      <c r="E53" s="8">
        <v>49005994690</v>
      </c>
      <c r="G53" s="8">
        <v>38072588903</v>
      </c>
      <c r="N53" s="4"/>
      <c r="O53" s="8">
        <v>10148510</v>
      </c>
      <c r="Q53" s="8">
        <v>4175</v>
      </c>
      <c r="S53" s="8">
        <v>49005994690</v>
      </c>
      <c r="U53" s="8">
        <v>42117927576</v>
      </c>
      <c r="W53" s="9">
        <v>1.3169172946756092E-2</v>
      </c>
    </row>
    <row r="54" spans="1:23" ht="18.75" x14ac:dyDescent="0.45">
      <c r="A54" s="7" t="s">
        <v>60</v>
      </c>
      <c r="C54" s="8">
        <v>249996</v>
      </c>
      <c r="E54" s="8">
        <v>1764072098</v>
      </c>
      <c r="G54" s="8">
        <v>1732104411</v>
      </c>
      <c r="N54" s="4"/>
      <c r="O54" s="8">
        <v>249996</v>
      </c>
      <c r="Q54" s="8">
        <v>7640</v>
      </c>
      <c r="S54" s="8">
        <v>1764072098</v>
      </c>
      <c r="U54" s="8">
        <v>1898605122</v>
      </c>
      <c r="W54" s="9">
        <v>5.9364409998801575E-4</v>
      </c>
    </row>
    <row r="55" spans="1:23" ht="18.75" x14ac:dyDescent="0.45">
      <c r="A55" s="7" t="s">
        <v>61</v>
      </c>
      <c r="C55" s="8">
        <v>22396379</v>
      </c>
      <c r="E55" s="8">
        <v>114693325715</v>
      </c>
      <c r="G55" s="8">
        <v>99382570113</v>
      </c>
      <c r="N55" s="4"/>
      <c r="O55" s="8">
        <v>22396379</v>
      </c>
      <c r="Q55" s="8">
        <v>4700</v>
      </c>
      <c r="S55" s="8">
        <v>114693325715</v>
      </c>
      <c r="U55" s="8">
        <v>104636666561</v>
      </c>
      <c r="W55" s="9">
        <v>3.2717145354014765E-2</v>
      </c>
    </row>
    <row r="56" spans="1:23" ht="18.75" x14ac:dyDescent="0.45">
      <c r="A56" s="7" t="s">
        <v>62</v>
      </c>
      <c r="C56" s="8">
        <v>9664654</v>
      </c>
      <c r="E56" s="8">
        <v>84755187001</v>
      </c>
      <c r="G56" s="8">
        <v>98473280414</v>
      </c>
      <c r="N56" s="4"/>
      <c r="O56" s="8">
        <v>9664654</v>
      </c>
      <c r="Q56" s="8">
        <v>8340</v>
      </c>
      <c r="S56" s="8">
        <v>62868241940</v>
      </c>
      <c r="U56" s="8">
        <v>80123625235</v>
      </c>
      <c r="W56" s="9">
        <v>2.5052559291688585E-2</v>
      </c>
    </row>
    <row r="57" spans="1:23" ht="18.75" x14ac:dyDescent="0.45">
      <c r="A57" s="7" t="s">
        <v>63</v>
      </c>
      <c r="H57" s="4"/>
      <c r="N57" s="4"/>
      <c r="O57" s="8">
        <v>3975855</v>
      </c>
      <c r="Q57" s="8">
        <v>7340</v>
      </c>
      <c r="S57" s="8">
        <v>21886945061</v>
      </c>
      <c r="U57" s="8">
        <v>29009138185</v>
      </c>
      <c r="W57" s="9">
        <v>9.0703978040054516E-3</v>
      </c>
    </row>
    <row r="58" spans="1:23" ht="18.75" x14ac:dyDescent="0.45">
      <c r="A58" s="7" t="s">
        <v>64</v>
      </c>
      <c r="C58" s="8">
        <v>14021442</v>
      </c>
      <c r="E58" s="8">
        <v>48395249821</v>
      </c>
      <c r="G58" s="8">
        <v>51779723571</v>
      </c>
      <c r="N58" s="4"/>
      <c r="O58" s="8">
        <v>14021442</v>
      </c>
      <c r="Q58" s="8">
        <v>3941</v>
      </c>
      <c r="S58" s="8">
        <v>48395249821</v>
      </c>
      <c r="U58" s="8">
        <v>54929714830</v>
      </c>
      <c r="W58" s="9">
        <v>1.7175083299313731E-2</v>
      </c>
    </row>
    <row r="59" spans="1:23" ht="18.75" x14ac:dyDescent="0.45">
      <c r="A59" s="7" t="s">
        <v>65</v>
      </c>
      <c r="C59" s="8">
        <v>200000</v>
      </c>
      <c r="E59" s="8">
        <v>1227137722</v>
      </c>
      <c r="G59" s="8">
        <v>1059657300</v>
      </c>
      <c r="N59" s="4"/>
      <c r="O59" s="8">
        <v>200000</v>
      </c>
      <c r="Q59" s="8">
        <v>6100</v>
      </c>
      <c r="S59" s="8">
        <v>1227137722</v>
      </c>
      <c r="U59" s="8">
        <v>1212741000</v>
      </c>
      <c r="W59" s="9">
        <v>3.7919235080603882E-4</v>
      </c>
    </row>
    <row r="60" spans="1:23" ht="18.75" x14ac:dyDescent="0.45">
      <c r="A60" s="7" t="s">
        <v>66</v>
      </c>
      <c r="C60" s="8">
        <v>8231319</v>
      </c>
      <c r="E60" s="8">
        <v>42556668634</v>
      </c>
      <c r="G60" s="8">
        <v>23663334949</v>
      </c>
      <c r="N60" s="4"/>
      <c r="O60" s="8">
        <v>8231319</v>
      </c>
      <c r="Q60" s="8">
        <v>3153</v>
      </c>
      <c r="S60" s="8">
        <v>42556668634</v>
      </c>
      <c r="U60" s="8">
        <v>25798926382</v>
      </c>
      <c r="W60" s="9">
        <v>8.0666486439087276E-3</v>
      </c>
    </row>
    <row r="61" spans="1:23" ht="18.75" x14ac:dyDescent="0.45">
      <c r="A61" s="7" t="s">
        <v>67</v>
      </c>
      <c r="C61" s="8">
        <v>6256631</v>
      </c>
      <c r="E61" s="8">
        <v>27157213151</v>
      </c>
      <c r="G61" s="8">
        <v>33025035482</v>
      </c>
      <c r="N61" s="4"/>
      <c r="O61" s="8">
        <v>6256631</v>
      </c>
      <c r="Q61" s="8">
        <v>5860</v>
      </c>
      <c r="S61" s="8">
        <v>27157213151</v>
      </c>
      <c r="U61" s="8">
        <v>36445707707</v>
      </c>
      <c r="W61" s="9">
        <v>1.1395618340772759E-2</v>
      </c>
    </row>
    <row r="62" spans="1:23" ht="18.75" x14ac:dyDescent="0.45">
      <c r="A62" s="7" t="s">
        <v>68</v>
      </c>
      <c r="C62" s="8">
        <v>4666666</v>
      </c>
      <c r="E62" s="8">
        <v>19031233707</v>
      </c>
      <c r="G62" s="8">
        <v>15215589826</v>
      </c>
      <c r="N62" s="4"/>
      <c r="O62" s="8">
        <v>4666666</v>
      </c>
      <c r="Q62" s="8">
        <v>3652</v>
      </c>
      <c r="S62" s="8">
        <v>19031233707</v>
      </c>
      <c r="U62" s="8">
        <v>16941260380</v>
      </c>
      <c r="W62" s="9">
        <v>5.2970884542613856E-3</v>
      </c>
    </row>
    <row r="63" spans="1:23" ht="18.75" x14ac:dyDescent="0.45">
      <c r="A63" s="7" t="s">
        <v>69</v>
      </c>
      <c r="C63" s="8">
        <v>17704932</v>
      </c>
      <c r="E63" s="8">
        <v>89451524844</v>
      </c>
      <c r="G63" s="8">
        <v>96973727977</v>
      </c>
      <c r="N63" s="4"/>
      <c r="O63" s="8">
        <v>17704932</v>
      </c>
      <c r="Q63" s="8">
        <v>6650</v>
      </c>
      <c r="S63" s="8">
        <v>89451524844</v>
      </c>
      <c r="U63" s="8">
        <v>117037257903</v>
      </c>
      <c r="W63" s="9">
        <v>3.6594485513503063E-2</v>
      </c>
    </row>
    <row r="64" spans="1:23" ht="18.75" x14ac:dyDescent="0.45">
      <c r="A64" s="7" t="s">
        <v>70</v>
      </c>
      <c r="C64" s="8">
        <v>444699</v>
      </c>
      <c r="E64" s="8">
        <v>5768075770</v>
      </c>
      <c r="G64" s="8">
        <v>5720166350</v>
      </c>
      <c r="N64" s="4"/>
      <c r="O64" s="8">
        <v>444699</v>
      </c>
      <c r="Q64" s="8">
        <v>13460</v>
      </c>
      <c r="S64" s="8">
        <v>5768075770</v>
      </c>
      <c r="U64" s="8">
        <v>5950033931</v>
      </c>
      <c r="W64" s="9">
        <v>1.8604197876311481E-3</v>
      </c>
    </row>
    <row r="65" spans="1:23" ht="18.75" x14ac:dyDescent="0.45">
      <c r="A65" s="7" t="s">
        <v>71</v>
      </c>
      <c r="C65" s="8">
        <v>3682657</v>
      </c>
      <c r="E65" s="8">
        <v>46500232696</v>
      </c>
      <c r="G65" s="8">
        <v>31702053353</v>
      </c>
      <c r="N65" s="4"/>
      <c r="O65" s="8">
        <v>3682657</v>
      </c>
      <c r="Q65" s="8">
        <v>8800</v>
      </c>
      <c r="S65" s="8">
        <v>46500232696</v>
      </c>
      <c r="U65" s="8">
        <v>32214557679</v>
      </c>
      <c r="W65" s="9">
        <v>1.0072648534581365E-2</v>
      </c>
    </row>
    <row r="66" spans="1:23" ht="18.75" x14ac:dyDescent="0.45">
      <c r="A66" s="7" t="s">
        <v>72</v>
      </c>
      <c r="C66" s="8">
        <v>250000</v>
      </c>
      <c r="E66" s="8">
        <v>3403087200</v>
      </c>
      <c r="G66" s="8">
        <v>3484145250</v>
      </c>
      <c r="N66" s="4"/>
      <c r="O66" s="8">
        <v>250000</v>
      </c>
      <c r="Q66" s="8">
        <v>15150</v>
      </c>
      <c r="S66" s="8">
        <v>3403087200</v>
      </c>
      <c r="U66" s="8">
        <v>3764964375</v>
      </c>
      <c r="W66" s="9">
        <v>1.1772057612113706E-3</v>
      </c>
    </row>
    <row r="67" spans="1:23" ht="18.75" x14ac:dyDescent="0.45">
      <c r="A67" s="7" t="s">
        <v>73</v>
      </c>
      <c r="C67" s="8">
        <v>16300000</v>
      </c>
      <c r="E67" s="8">
        <v>84074552777</v>
      </c>
      <c r="G67" s="8">
        <v>148743677700</v>
      </c>
      <c r="N67" s="4"/>
      <c r="O67" s="8">
        <v>16300000</v>
      </c>
      <c r="Q67" s="8">
        <v>10420</v>
      </c>
      <c r="S67" s="8">
        <v>84074552777</v>
      </c>
      <c r="U67" s="8">
        <v>168835416300</v>
      </c>
      <c r="W67" s="9">
        <v>5.2790413127051204E-2</v>
      </c>
    </row>
    <row r="68" spans="1:23" ht="37.5" x14ac:dyDescent="0.45">
      <c r="A68" s="7" t="s">
        <v>74</v>
      </c>
      <c r="C68" s="8">
        <v>7868802</v>
      </c>
      <c r="E68" s="8">
        <v>26463181491</v>
      </c>
      <c r="G68" s="8">
        <v>27032771963</v>
      </c>
      <c r="N68" s="4"/>
      <c r="O68" s="8">
        <v>7868802</v>
      </c>
      <c r="Q68" s="8">
        <v>4010</v>
      </c>
      <c r="S68" s="8">
        <v>26463181491</v>
      </c>
      <c r="U68" s="8">
        <v>31366150339</v>
      </c>
      <c r="W68" s="9">
        <v>9.8073737778973762E-3</v>
      </c>
    </row>
    <row r="69" spans="1:23" ht="18.75" x14ac:dyDescent="0.45">
      <c r="A69" s="7" t="s">
        <v>75</v>
      </c>
      <c r="C69" s="8">
        <v>5155597</v>
      </c>
      <c r="E69" s="8">
        <v>8882657062</v>
      </c>
      <c r="G69" s="8">
        <v>12371559772</v>
      </c>
      <c r="N69" s="4"/>
      <c r="O69" s="8">
        <v>5155597</v>
      </c>
      <c r="Q69" s="8">
        <v>3086</v>
      </c>
      <c r="S69" s="8">
        <v>8882657062</v>
      </c>
      <c r="U69" s="8">
        <v>15815506817</v>
      </c>
      <c r="W69" s="9">
        <v>4.9450947969328675E-3</v>
      </c>
    </row>
    <row r="70" spans="1:23" ht="18.75" x14ac:dyDescent="0.45">
      <c r="A70" s="7" t="s">
        <v>76</v>
      </c>
      <c r="C70" s="8">
        <v>7919952</v>
      </c>
      <c r="E70" s="8">
        <v>28707359622</v>
      </c>
      <c r="G70" s="8">
        <v>40072695974</v>
      </c>
      <c r="I70" s="8">
        <v>0</v>
      </c>
      <c r="J70" s="8">
        <v>0</v>
      </c>
      <c r="L70" s="8">
        <v>1</v>
      </c>
      <c r="M70" s="8">
        <v>1</v>
      </c>
      <c r="O70" s="8">
        <v>7919951</v>
      </c>
      <c r="Q70" s="8">
        <v>6130</v>
      </c>
      <c r="S70" s="8">
        <v>28707355997</v>
      </c>
      <c r="U70" s="8">
        <v>48260431297</v>
      </c>
      <c r="W70" s="9">
        <v>1.5089772997220972E-2</v>
      </c>
    </row>
    <row r="71" spans="1:23" ht="18.75" x14ac:dyDescent="0.45">
      <c r="A71" s="7" t="s">
        <v>77</v>
      </c>
      <c r="C71" s="8">
        <v>1313770</v>
      </c>
      <c r="E71" s="8">
        <v>27105671626</v>
      </c>
      <c r="G71" s="8">
        <v>45525523968</v>
      </c>
      <c r="N71" s="4"/>
      <c r="O71" s="8">
        <v>1313770</v>
      </c>
      <c r="Q71" s="8">
        <v>41560</v>
      </c>
      <c r="S71" s="8">
        <v>27105671626</v>
      </c>
      <c r="U71" s="8">
        <v>54275409527</v>
      </c>
      <c r="W71" s="9">
        <v>1.6970499166354239E-2</v>
      </c>
    </row>
    <row r="72" spans="1:23" ht="37.5" x14ac:dyDescent="0.45">
      <c r="A72" s="7" t="s">
        <v>78</v>
      </c>
      <c r="C72" s="8">
        <v>8971553</v>
      </c>
      <c r="E72" s="8">
        <v>30227577878</v>
      </c>
      <c r="G72" s="8">
        <v>30785530640</v>
      </c>
      <c r="N72" s="4"/>
      <c r="O72" s="8">
        <v>8971553</v>
      </c>
      <c r="Q72" s="8">
        <v>3733</v>
      </c>
      <c r="S72" s="8">
        <v>30227577878</v>
      </c>
      <c r="U72" s="8">
        <v>33291537045</v>
      </c>
      <c r="W72" s="9">
        <v>1.0409391777832098E-2</v>
      </c>
    </row>
    <row r="73" spans="1:23" ht="37.5" x14ac:dyDescent="0.45">
      <c r="A73" s="7" t="s">
        <v>79</v>
      </c>
      <c r="C73" s="8">
        <v>700000</v>
      </c>
      <c r="E73" s="8">
        <v>9143294580</v>
      </c>
      <c r="G73" s="8">
        <v>9581647950</v>
      </c>
      <c r="N73" s="4"/>
      <c r="O73" s="8">
        <v>700000</v>
      </c>
      <c r="Q73" s="8">
        <v>14210</v>
      </c>
      <c r="S73" s="8">
        <v>9143294580</v>
      </c>
      <c r="U73" s="8">
        <v>9887815350</v>
      </c>
      <c r="W73" s="9">
        <v>3.0916609126784168E-3</v>
      </c>
    </row>
    <row r="74" spans="1:23" ht="18.75" x14ac:dyDescent="0.45">
      <c r="A74" s="7" t="s">
        <v>80</v>
      </c>
      <c r="C74" s="8">
        <v>7700000</v>
      </c>
      <c r="E74" s="8">
        <v>48162624616</v>
      </c>
      <c r="G74" s="8">
        <v>41638766400</v>
      </c>
      <c r="N74" s="4"/>
      <c r="O74" s="8">
        <v>7700000</v>
      </c>
      <c r="Q74" s="8">
        <v>5970</v>
      </c>
      <c r="S74" s="8">
        <v>48162624616</v>
      </c>
      <c r="U74" s="8">
        <v>45695484450</v>
      </c>
      <c r="W74" s="9">
        <v>1.4287781290330162E-2</v>
      </c>
    </row>
    <row r="75" spans="1:23" ht="18.75" x14ac:dyDescent="0.45">
      <c r="A75" s="7" t="s">
        <v>81</v>
      </c>
      <c r="C75" s="8">
        <v>11300000</v>
      </c>
      <c r="E75" s="8">
        <v>86113300137</v>
      </c>
      <c r="G75" s="8">
        <v>101207212650</v>
      </c>
      <c r="N75" s="4"/>
      <c r="O75" s="8">
        <v>11300000</v>
      </c>
      <c r="Q75" s="8">
        <v>9960</v>
      </c>
      <c r="S75" s="8">
        <v>86113300137</v>
      </c>
      <c r="U75" s="8">
        <v>111878339400</v>
      </c>
      <c r="W75" s="9">
        <v>3.4981426802063981E-2</v>
      </c>
    </row>
    <row r="76" spans="1:23" ht="18.75" x14ac:dyDescent="0.45">
      <c r="A76" s="7" t="s">
        <v>82</v>
      </c>
      <c r="C76" s="8">
        <v>1999999</v>
      </c>
      <c r="E76" s="8">
        <v>6177984518</v>
      </c>
      <c r="G76" s="8">
        <v>7151192124</v>
      </c>
      <c r="N76" s="4"/>
      <c r="O76" s="8">
        <v>1999999</v>
      </c>
      <c r="Q76" s="8">
        <v>4398</v>
      </c>
      <c r="S76" s="8">
        <v>6177984518</v>
      </c>
      <c r="U76" s="8">
        <v>8743659428</v>
      </c>
      <c r="W76" s="9">
        <v>2.733913319621176E-3</v>
      </c>
    </row>
    <row r="77" spans="1:23" ht="18.75" x14ac:dyDescent="0.45">
      <c r="A77" s="7" t="s">
        <v>83</v>
      </c>
      <c r="C77" s="8">
        <v>18635760</v>
      </c>
      <c r="E77" s="8">
        <v>50117025665</v>
      </c>
      <c r="G77" s="8">
        <v>59261082252</v>
      </c>
      <c r="N77" s="4"/>
      <c r="O77" s="8">
        <v>18635760</v>
      </c>
      <c r="Q77" s="8">
        <v>4001</v>
      </c>
      <c r="S77" s="8">
        <v>50117025665</v>
      </c>
      <c r="U77" s="8">
        <v>74118033789</v>
      </c>
      <c r="W77" s="9">
        <v>2.3174768124086122E-2</v>
      </c>
    </row>
    <row r="78" spans="1:23" ht="18.75" x14ac:dyDescent="0.45">
      <c r="A78" s="7" t="s">
        <v>84</v>
      </c>
      <c r="C78" s="8">
        <v>25703048</v>
      </c>
      <c r="E78" s="8">
        <v>50829222952</v>
      </c>
      <c r="G78" s="8">
        <v>40215880797</v>
      </c>
      <c r="N78" s="4"/>
      <c r="O78" s="8">
        <v>25703048</v>
      </c>
      <c r="Q78" s="8">
        <v>1843</v>
      </c>
      <c r="S78" s="8">
        <v>50829222952</v>
      </c>
      <c r="U78" s="8">
        <v>47088861695</v>
      </c>
      <c r="W78" s="9">
        <v>1.4723453864351485E-2</v>
      </c>
    </row>
    <row r="79" spans="1:23" ht="18.75" x14ac:dyDescent="0.45">
      <c r="A79" s="7" t="s">
        <v>85</v>
      </c>
      <c r="C79" s="8">
        <v>177678</v>
      </c>
      <c r="E79" s="8">
        <v>6687778985</v>
      </c>
      <c r="G79" s="8">
        <v>6411335617</v>
      </c>
      <c r="N79" s="4"/>
      <c r="O79" s="8">
        <v>177678</v>
      </c>
      <c r="Q79" s="8">
        <v>45270</v>
      </c>
      <c r="S79" s="8">
        <v>6687778985</v>
      </c>
      <c r="U79" s="8">
        <v>7995624336</v>
      </c>
      <c r="W79" s="9">
        <v>2.5000223362859945E-3</v>
      </c>
    </row>
    <row r="80" spans="1:23" ht="37.5" x14ac:dyDescent="0.45">
      <c r="A80" s="7" t="s">
        <v>86</v>
      </c>
      <c r="C80" s="8">
        <v>123</v>
      </c>
      <c r="E80" s="8">
        <v>1662161</v>
      </c>
      <c r="G80" s="8">
        <v>2749811</v>
      </c>
      <c r="N80" s="4"/>
      <c r="O80" s="8">
        <v>123</v>
      </c>
      <c r="Q80" s="8">
        <v>28550</v>
      </c>
      <c r="S80" s="8">
        <v>1662161</v>
      </c>
      <c r="U80" s="8">
        <v>3490756</v>
      </c>
      <c r="W80" s="9">
        <v>1.0914679834608419E-6</v>
      </c>
    </row>
    <row r="81" spans="1:23" ht="18.75" x14ac:dyDescent="0.45">
      <c r="A81" s="7" t="s">
        <v>87</v>
      </c>
      <c r="C81" s="8">
        <v>4260000</v>
      </c>
      <c r="E81" s="8">
        <v>15356237176</v>
      </c>
      <c r="G81" s="8">
        <v>14554502361</v>
      </c>
      <c r="N81" s="4"/>
      <c r="O81" s="8">
        <v>4260000</v>
      </c>
      <c r="Q81" s="8">
        <v>3716</v>
      </c>
      <c r="S81" s="8">
        <v>15356237176</v>
      </c>
      <c r="U81" s="8">
        <v>15735970548</v>
      </c>
      <c r="W81" s="9">
        <v>4.9202258885538714E-3</v>
      </c>
    </row>
    <row r="82" spans="1:23" ht="18.75" x14ac:dyDescent="0.45">
      <c r="A82" s="7" t="s">
        <v>88</v>
      </c>
      <c r="C82" s="8">
        <v>3009494</v>
      </c>
      <c r="E82" s="8">
        <v>29761393564</v>
      </c>
      <c r="G82" s="8">
        <v>27103782847</v>
      </c>
      <c r="N82" s="4"/>
      <c r="O82" s="8">
        <v>3009494</v>
      </c>
      <c r="Q82" s="8">
        <v>9600</v>
      </c>
      <c r="S82" s="8">
        <v>29761393564</v>
      </c>
      <c r="U82" s="8">
        <v>28719240103</v>
      </c>
      <c r="W82" s="9">
        <v>8.9797542657662557E-3</v>
      </c>
    </row>
    <row r="83" spans="1:23" ht="18.75" x14ac:dyDescent="0.45">
      <c r="A83" s="7" t="s">
        <v>89</v>
      </c>
      <c r="C83" s="8">
        <v>4613772</v>
      </c>
      <c r="E83" s="8">
        <v>43269803786</v>
      </c>
      <c r="G83" s="8">
        <v>31141113184</v>
      </c>
      <c r="N83" s="4"/>
      <c r="O83" s="8">
        <v>4613772</v>
      </c>
      <c r="Q83" s="8">
        <v>8160</v>
      </c>
      <c r="S83" s="8">
        <v>43269803786</v>
      </c>
      <c r="U83" s="8">
        <v>37424371662</v>
      </c>
      <c r="W83" s="9">
        <v>1.1701620929739065E-2</v>
      </c>
    </row>
    <row r="84" spans="1:23" ht="18.75" x14ac:dyDescent="0.45">
      <c r="A84" s="7" t="s">
        <v>90</v>
      </c>
      <c r="C84" s="8">
        <v>400000</v>
      </c>
      <c r="E84" s="8">
        <v>1251159994</v>
      </c>
      <c r="G84" s="8">
        <v>1047728700</v>
      </c>
      <c r="N84" s="4"/>
      <c r="O84" s="8">
        <v>400000</v>
      </c>
      <c r="Q84" s="8">
        <v>3133</v>
      </c>
      <c r="S84" s="8">
        <v>1251159994</v>
      </c>
      <c r="U84" s="8">
        <v>1245743460</v>
      </c>
      <c r="W84" s="9">
        <v>3.8951135576239989E-4</v>
      </c>
    </row>
    <row r="85" spans="1:23" ht="18.75" x14ac:dyDescent="0.45">
      <c r="A85" s="7" t="s">
        <v>91</v>
      </c>
      <c r="C85" s="8">
        <v>407809</v>
      </c>
      <c r="E85" s="8">
        <v>15540146852</v>
      </c>
      <c r="G85" s="8">
        <v>14630255740</v>
      </c>
      <c r="N85" s="4"/>
      <c r="O85" s="8">
        <v>407809</v>
      </c>
      <c r="Q85" s="8">
        <v>39460</v>
      </c>
      <c r="S85" s="8">
        <v>15540146852</v>
      </c>
      <c r="U85" s="8">
        <v>15996394888</v>
      </c>
      <c r="W85" s="9">
        <v>5.0016537595433995E-3</v>
      </c>
    </row>
    <row r="86" spans="1:23" ht="18.75" x14ac:dyDescent="0.45">
      <c r="A86" s="7" t="s">
        <v>92</v>
      </c>
      <c r="C86" s="8">
        <v>6132725</v>
      </c>
      <c r="E86" s="8">
        <v>94586842051</v>
      </c>
      <c r="G86" s="8">
        <v>114426336323</v>
      </c>
      <c r="N86" s="4"/>
      <c r="O86" s="8">
        <v>6132725</v>
      </c>
      <c r="Q86" s="8">
        <v>22600</v>
      </c>
      <c r="S86" s="8">
        <v>94586842051</v>
      </c>
      <c r="U86" s="8">
        <v>137774917469</v>
      </c>
      <c r="W86" s="9">
        <v>4.3078608571144289E-2</v>
      </c>
    </row>
    <row r="87" spans="1:23" ht="18.75" x14ac:dyDescent="0.45">
      <c r="A87" s="7" t="s">
        <v>93</v>
      </c>
      <c r="C87" s="8">
        <v>50000</v>
      </c>
      <c r="E87" s="8">
        <v>10968169018</v>
      </c>
      <c r="G87" s="8">
        <v>12593619450</v>
      </c>
      <c r="N87" s="4"/>
      <c r="O87" s="8">
        <v>50000</v>
      </c>
      <c r="Q87" s="8">
        <v>299670</v>
      </c>
      <c r="S87" s="8">
        <v>10968169018</v>
      </c>
      <c r="U87" s="8">
        <v>14894348175</v>
      </c>
      <c r="W87" s="9">
        <v>4.6570726133625265E-3</v>
      </c>
    </row>
    <row r="88" spans="1:23" ht="18.75" x14ac:dyDescent="0.45">
      <c r="A88" s="7" t="s">
        <v>94</v>
      </c>
      <c r="C88" s="8">
        <v>1947948</v>
      </c>
      <c r="E88" s="8">
        <v>67434598284</v>
      </c>
      <c r="G88" s="8">
        <v>57897095511</v>
      </c>
      <c r="N88" s="4"/>
      <c r="O88" s="8">
        <v>1947948</v>
      </c>
      <c r="Q88" s="8">
        <v>32700</v>
      </c>
      <c r="S88" s="8">
        <v>67434598284</v>
      </c>
      <c r="U88" s="8">
        <v>63318897097</v>
      </c>
      <c r="W88" s="9">
        <v>1.9798160893923021E-2</v>
      </c>
    </row>
    <row r="89" spans="1:23" ht="37.5" x14ac:dyDescent="0.45">
      <c r="A89" s="7" t="s">
        <v>95</v>
      </c>
      <c r="C89" s="8">
        <v>450000</v>
      </c>
      <c r="E89" s="8">
        <v>2252043000</v>
      </c>
      <c r="G89" s="8">
        <v>8423082675</v>
      </c>
      <c r="N89" s="4"/>
      <c r="O89" s="8">
        <v>450000</v>
      </c>
      <c r="Q89" s="8">
        <v>23300</v>
      </c>
      <c r="S89" s="8">
        <v>2252043000</v>
      </c>
      <c r="U89" s="8">
        <v>10422614250</v>
      </c>
      <c r="W89" s="9">
        <v>3.2588785231158338E-3</v>
      </c>
    </row>
    <row r="90" spans="1:23" ht="18.75" x14ac:dyDescent="0.45">
      <c r="A90" s="7" t="s">
        <v>96</v>
      </c>
      <c r="C90" s="8">
        <v>2800000</v>
      </c>
      <c r="E90" s="8">
        <v>9946421645</v>
      </c>
      <c r="G90" s="8">
        <v>8954004780</v>
      </c>
      <c r="N90" s="4"/>
      <c r="O90" s="8">
        <v>3101480</v>
      </c>
      <c r="Q90" s="8">
        <v>2795</v>
      </c>
      <c r="S90" s="8">
        <v>9075380333</v>
      </c>
      <c r="U90" s="8">
        <v>8617058212</v>
      </c>
      <c r="W90" s="9">
        <v>2.6943284348766652E-3</v>
      </c>
    </row>
    <row r="91" spans="1:23" ht="18.75" x14ac:dyDescent="0.45">
      <c r="A91" s="7" t="s">
        <v>97</v>
      </c>
      <c r="H91" s="4"/>
      <c r="N91" s="4"/>
      <c r="O91" s="8">
        <v>452220</v>
      </c>
      <c r="Q91" s="8">
        <v>1795</v>
      </c>
      <c r="S91" s="8">
        <v>871041312</v>
      </c>
      <c r="U91" s="8">
        <v>806905077</v>
      </c>
      <c r="W91" s="9">
        <v>2.5229808592680363E-4</v>
      </c>
    </row>
    <row r="92" spans="1:23" ht="37.5" x14ac:dyDescent="0.45">
      <c r="A92" s="7" t="s">
        <v>98</v>
      </c>
      <c r="C92" s="8">
        <v>21600000</v>
      </c>
      <c r="E92" s="8">
        <v>27959586333</v>
      </c>
      <c r="G92" s="8">
        <v>28728840240</v>
      </c>
      <c r="N92" s="4"/>
      <c r="O92" s="8">
        <v>21600000</v>
      </c>
      <c r="Q92" s="8">
        <v>1384</v>
      </c>
      <c r="S92" s="8">
        <v>27959586333</v>
      </c>
      <c r="U92" s="8">
        <v>29716528320</v>
      </c>
      <c r="W92" s="9">
        <v>9.2915801737180719E-3</v>
      </c>
    </row>
    <row r="93" spans="1:23" ht="18.75" x14ac:dyDescent="0.45">
      <c r="A93" s="10" t="s">
        <v>99</v>
      </c>
      <c r="C93" s="10">
        <f>SUM(C11:$C$92)</f>
        <v>552610282</v>
      </c>
      <c r="E93" s="10">
        <f>SUM(E11:$E$92)</f>
        <v>2561913327055</v>
      </c>
      <c r="G93" s="10">
        <f>SUM(G11:$G$92)</f>
        <v>2703136850957</v>
      </c>
      <c r="I93" s="10">
        <f>SUM(I11:$I$92)</f>
        <v>6500000</v>
      </c>
      <c r="J93" s="10">
        <f>SUM(J11:$J$92)</f>
        <v>7878647322</v>
      </c>
      <c r="L93" s="10">
        <f>SUM(L11:$L$92)</f>
        <v>800001</v>
      </c>
      <c r="M93" s="10">
        <f>SUM(M11:$M$92)</f>
        <v>5996109630</v>
      </c>
      <c r="O93" s="10">
        <f>SUM(O11:$O$92)</f>
        <v>574627356</v>
      </c>
      <c r="Q93" s="10">
        <f>SUM(Q11:$Q$92)</f>
        <v>1445300</v>
      </c>
      <c r="S93" s="10">
        <f>SUM(S11:$S$92)</f>
        <v>2569344014837</v>
      </c>
      <c r="U93" s="10">
        <f>SUM(U11:$U$92)</f>
        <v>3110824737354</v>
      </c>
      <c r="W93" s="11">
        <f>SUM(W11:$W$92)</f>
        <v>0.97267342746954344</v>
      </c>
    </row>
    <row r="94" spans="1:23" ht="18.75" x14ac:dyDescent="0.45">
      <c r="C94" s="12"/>
      <c r="E94" s="12"/>
      <c r="G94" s="12"/>
      <c r="I94" s="12"/>
      <c r="J94" s="12"/>
      <c r="L94" s="12"/>
      <c r="M94" s="12"/>
      <c r="O94" s="12"/>
      <c r="Q94" s="12"/>
      <c r="S94" s="12"/>
      <c r="U94" s="12"/>
      <c r="W94" s="12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84" zoomScaleNormal="100" zoomScaleSheetLayoutView="84" workbookViewId="0">
      <selection activeCell="AT13" sqref="AT13"/>
    </sheetView>
  </sheetViews>
  <sheetFormatPr defaultRowHeight="18" x14ac:dyDescent="0.45"/>
  <cols>
    <col min="1" max="1" width="17" style="1" customWidth="1"/>
    <col min="2" max="2" width="1.42578125" style="1" customWidth="1"/>
    <col min="3" max="3" width="12.71093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1.42578125" style="1" customWidth="1"/>
    <col min="10" max="10" width="17" style="1" customWidth="1"/>
    <col min="11" max="11" width="1.42578125" style="1" customWidth="1"/>
    <col min="12" max="12" width="11.42578125" style="1" customWidth="1"/>
    <col min="13" max="13" width="17" style="1" customWidth="1"/>
    <col min="14" max="14" width="1.42578125" style="1" customWidth="1"/>
    <col min="15" max="15" width="12.7109375" style="1" customWidth="1"/>
    <col min="16" max="16" width="1.42578125" style="1" customWidth="1"/>
    <col min="17" max="17" width="11.42578125" style="1" customWidth="1"/>
    <col min="18" max="18" width="1.42578125" style="1" customWidth="1"/>
    <col min="19" max="19" width="17" style="1" customWidth="1"/>
    <col min="20" max="20" width="1.42578125" style="1" customWidth="1"/>
    <col min="21" max="21" width="17" style="1" customWidth="1"/>
    <col min="22" max="22" width="1.42578125" style="1" customWidth="1"/>
    <col min="23" max="23" width="8.5703125" style="1" customWidth="1"/>
    <col min="24" max="16384" width="9.140625" style="1"/>
  </cols>
  <sheetData>
    <row r="1" spans="1:24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4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4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4" ht="21" x14ac:dyDescent="0.45">
      <c r="A5" s="34" t="s">
        <v>100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7" spans="1:24" ht="21" x14ac:dyDescent="0.45">
      <c r="A7" s="27" t="s">
        <v>101</v>
      </c>
      <c r="B7" s="28"/>
      <c r="C7" s="28"/>
      <c r="D7" s="28"/>
      <c r="E7" s="28"/>
      <c r="F7" s="28"/>
      <c r="G7" s="28"/>
      <c r="I7" s="27" t="s">
        <v>5</v>
      </c>
      <c r="J7" s="28"/>
      <c r="K7" s="28"/>
      <c r="L7" s="28"/>
      <c r="M7" s="28"/>
      <c r="O7" s="27" t="s">
        <v>7</v>
      </c>
      <c r="P7" s="28"/>
      <c r="Q7" s="28"/>
      <c r="R7" s="28"/>
      <c r="S7" s="28"/>
      <c r="T7" s="28"/>
      <c r="U7" s="28"/>
      <c r="V7" s="28"/>
      <c r="W7" s="28"/>
    </row>
    <row r="8" spans="1:24" x14ac:dyDescent="0.45">
      <c r="A8" s="29"/>
      <c r="B8" s="31"/>
      <c r="C8" s="31"/>
      <c r="D8" s="31"/>
      <c r="E8" s="31"/>
      <c r="F8" s="31"/>
      <c r="G8" s="31"/>
      <c r="I8" s="29" t="s">
        <v>102</v>
      </c>
      <c r="J8" s="29" t="s">
        <v>103</v>
      </c>
      <c r="L8" s="29" t="s">
        <v>104</v>
      </c>
      <c r="M8" s="29" t="s">
        <v>105</v>
      </c>
      <c r="O8" s="29" t="s">
        <v>102</v>
      </c>
      <c r="Q8" s="29" t="s">
        <v>103</v>
      </c>
      <c r="S8" s="32" t="s">
        <v>104</v>
      </c>
      <c r="U8" s="29" t="s">
        <v>105</v>
      </c>
    </row>
    <row r="9" spans="1:24" x14ac:dyDescent="0.45">
      <c r="A9" s="31"/>
      <c r="B9" s="31"/>
      <c r="C9" s="31"/>
      <c r="D9" s="31"/>
      <c r="E9" s="31"/>
      <c r="F9" s="31"/>
      <c r="G9" s="31"/>
      <c r="I9" s="31"/>
      <c r="J9" s="31"/>
      <c r="L9" s="31"/>
      <c r="M9" s="31"/>
      <c r="O9" s="31"/>
      <c r="Q9" s="31"/>
      <c r="S9" s="31"/>
      <c r="U9" s="31"/>
    </row>
    <row r="10" spans="1:24" x14ac:dyDescent="0.45">
      <c r="A10" s="29" t="s">
        <v>106</v>
      </c>
      <c r="B10" s="31"/>
      <c r="C10" s="31"/>
      <c r="D10" s="31"/>
      <c r="E10" s="31"/>
      <c r="F10" s="31"/>
      <c r="G10" s="31"/>
      <c r="I10" s="35">
        <v>123</v>
      </c>
      <c r="J10" s="35">
        <v>17550</v>
      </c>
      <c r="L10" s="29" t="s">
        <v>107</v>
      </c>
      <c r="M10" s="36" t="s">
        <v>193</v>
      </c>
      <c r="O10" s="35">
        <v>123</v>
      </c>
      <c r="Q10" s="35">
        <v>17550</v>
      </c>
      <c r="S10" s="29" t="s">
        <v>107</v>
      </c>
      <c r="U10" s="36" t="s">
        <v>193</v>
      </c>
    </row>
    <row r="11" spans="1:24" x14ac:dyDescent="0.45">
      <c r="A11" s="31"/>
      <c r="B11" s="31"/>
      <c r="C11" s="31"/>
      <c r="D11" s="31"/>
      <c r="E11" s="31"/>
      <c r="F11" s="31"/>
      <c r="G11" s="31"/>
      <c r="I11" s="31"/>
      <c r="J11" s="31"/>
      <c r="L11" s="31"/>
      <c r="M11" s="31"/>
      <c r="O11" s="31"/>
      <c r="Q11" s="31"/>
      <c r="S11" s="31"/>
      <c r="U11" s="31"/>
    </row>
    <row r="13" spans="1:24" ht="21" x14ac:dyDescent="0.45">
      <c r="A13" s="34" t="s">
        <v>108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5" spans="1:24" ht="21" x14ac:dyDescent="0.45">
      <c r="A15" s="27" t="s">
        <v>101</v>
      </c>
      <c r="B15" s="28"/>
      <c r="C15" s="28"/>
      <c r="D15" s="28"/>
      <c r="E15" s="28"/>
      <c r="F15" s="28"/>
      <c r="G15" s="28"/>
      <c r="I15" s="27" t="s">
        <v>5</v>
      </c>
      <c r="J15" s="28"/>
      <c r="K15" s="28"/>
      <c r="L15" s="28"/>
      <c r="M15" s="28"/>
      <c r="N15" s="28"/>
      <c r="O15" s="28"/>
      <c r="Q15" s="27" t="s">
        <v>7</v>
      </c>
      <c r="R15" s="28"/>
      <c r="S15" s="28"/>
      <c r="T15" s="28"/>
      <c r="U15" s="28"/>
      <c r="V15" s="28"/>
      <c r="W15" s="28"/>
      <c r="X15" s="28"/>
    </row>
    <row r="16" spans="1:24" x14ac:dyDescent="0.45">
      <c r="A16" s="29"/>
      <c r="B16" s="31"/>
      <c r="C16" s="31"/>
      <c r="D16" s="31"/>
      <c r="E16" s="31"/>
      <c r="F16" s="31"/>
      <c r="G16" s="31"/>
      <c r="I16" s="29" t="s">
        <v>109</v>
      </c>
      <c r="J16" s="29" t="s">
        <v>110</v>
      </c>
      <c r="L16" s="29" t="s">
        <v>111</v>
      </c>
      <c r="M16" s="29" t="s">
        <v>103</v>
      </c>
      <c r="O16" s="29" t="s">
        <v>104</v>
      </c>
      <c r="Q16" s="29" t="s">
        <v>109</v>
      </c>
      <c r="S16" s="29" t="s">
        <v>110</v>
      </c>
      <c r="U16" s="29" t="s">
        <v>111</v>
      </c>
      <c r="W16" s="29" t="s">
        <v>103</v>
      </c>
      <c r="X16" s="29" t="s">
        <v>104</v>
      </c>
    </row>
    <row r="17" spans="1:24" x14ac:dyDescent="0.45">
      <c r="A17" s="31"/>
      <c r="B17" s="31"/>
      <c r="C17" s="31"/>
      <c r="D17" s="31"/>
      <c r="E17" s="31"/>
      <c r="F17" s="31"/>
      <c r="G17" s="31"/>
      <c r="I17" s="31"/>
      <c r="J17" s="31"/>
      <c r="L17" s="31"/>
      <c r="M17" s="31"/>
      <c r="O17" s="31"/>
      <c r="Q17" s="31"/>
      <c r="S17" s="31"/>
      <c r="U17" s="31"/>
      <c r="W17" s="31"/>
      <c r="X17" s="31"/>
    </row>
    <row r="19" spans="1:24" ht="21" x14ac:dyDescent="0.45">
      <c r="A19" s="34" t="s">
        <v>112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1:24" ht="21" x14ac:dyDescent="0.45">
      <c r="A20" s="27" t="s">
        <v>101</v>
      </c>
      <c r="B20" s="28"/>
      <c r="C20" s="28"/>
      <c r="D20" s="28"/>
      <c r="E20" s="28"/>
      <c r="F20" s="28"/>
      <c r="G20" s="28"/>
      <c r="I20" s="27" t="s">
        <v>5</v>
      </c>
      <c r="J20" s="28"/>
      <c r="K20" s="28"/>
      <c r="L20" s="28"/>
      <c r="M20" s="28"/>
      <c r="O20" s="27" t="s">
        <v>7</v>
      </c>
      <c r="P20" s="28"/>
      <c r="Q20" s="28"/>
      <c r="R20" s="28"/>
      <c r="S20" s="28"/>
      <c r="T20" s="28"/>
      <c r="U20" s="28"/>
      <c r="V20" s="28"/>
      <c r="W20" s="28"/>
    </row>
    <row r="21" spans="1:24" x14ac:dyDescent="0.45">
      <c r="A21" s="29"/>
      <c r="B21" s="31"/>
      <c r="C21" s="31"/>
      <c r="D21" s="31"/>
      <c r="E21" s="31"/>
      <c r="F21" s="31"/>
      <c r="G21" s="31"/>
      <c r="I21" s="29" t="s">
        <v>110</v>
      </c>
      <c r="J21" s="29" t="s">
        <v>111</v>
      </c>
      <c r="L21" s="29" t="s">
        <v>103</v>
      </c>
      <c r="M21" s="29" t="s">
        <v>104</v>
      </c>
      <c r="O21" s="29" t="s">
        <v>110</v>
      </c>
      <c r="Q21" s="29" t="s">
        <v>111</v>
      </c>
      <c r="S21" s="29" t="s">
        <v>103</v>
      </c>
      <c r="U21" s="29" t="s">
        <v>104</v>
      </c>
    </row>
    <row r="22" spans="1:24" x14ac:dyDescent="0.45">
      <c r="A22" s="31"/>
      <c r="B22" s="31"/>
      <c r="C22" s="31"/>
      <c r="D22" s="31"/>
      <c r="E22" s="31"/>
      <c r="F22" s="31"/>
      <c r="G22" s="31"/>
      <c r="I22" s="31"/>
      <c r="J22" s="31"/>
      <c r="L22" s="31"/>
      <c r="M22" s="31"/>
      <c r="O22" s="31"/>
      <c r="Q22" s="31"/>
      <c r="S22" s="31"/>
      <c r="U22" s="31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="AT13" sqref="AT13"/>
    </sheetView>
  </sheetViews>
  <sheetFormatPr defaultRowHeight="18" x14ac:dyDescent="0.45"/>
  <cols>
    <col min="1" max="1" width="17" style="1" customWidth="1"/>
    <col min="2" max="2" width="1.42578125" style="1" customWidth="1"/>
    <col min="3" max="3" width="8.5703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0" width="1.42578125" style="1" customWidth="1"/>
    <col min="11" max="11" width="7.140625" style="1" customWidth="1"/>
    <col min="12" max="12" width="1.42578125" style="1" customWidth="1"/>
    <col min="13" max="13" width="7.140625" style="1" customWidth="1"/>
    <col min="14" max="14" width="1.42578125" style="1" customWidth="1"/>
    <col min="15" max="15" width="11.42578125" style="1" customWidth="1"/>
    <col min="16" max="16" width="1.42578125" style="1" customWidth="1"/>
    <col min="17" max="17" width="18.42578125" style="1" customWidth="1"/>
    <col min="18" max="18" width="1.42578125" style="1" customWidth="1"/>
    <col min="19" max="19" width="18.42578125" style="1" customWidth="1"/>
    <col min="20" max="20" width="1.42578125" style="1" customWidth="1"/>
    <col min="21" max="21" width="11.42578125" style="1" customWidth="1"/>
    <col min="22" max="22" width="18.42578125" style="1" customWidth="1"/>
    <col min="23" max="23" width="1.42578125" style="1" customWidth="1"/>
    <col min="24" max="24" width="11.42578125" style="1" customWidth="1"/>
    <col min="25" max="25" width="18.42578125" style="1" customWidth="1"/>
    <col min="26" max="26" width="1.42578125" style="1" customWidth="1"/>
    <col min="27" max="27" width="11.42578125" style="1" customWidth="1"/>
    <col min="28" max="28" width="1.42578125" style="1" customWidth="1"/>
    <col min="29" max="29" width="11.42578125" style="1" customWidth="1"/>
    <col min="30" max="30" width="1.42578125" style="1" customWidth="1"/>
    <col min="31" max="31" width="18.42578125" style="1" customWidth="1"/>
    <col min="32" max="32" width="1.42578125" style="1" customWidth="1"/>
    <col min="33" max="33" width="18.42578125" style="1" customWidth="1"/>
    <col min="34" max="34" width="1.42578125" style="1" customWidth="1"/>
    <col min="35" max="35" width="8.5703125" style="1" customWidth="1"/>
    <col min="36" max="16384" width="9.140625" style="1"/>
  </cols>
  <sheetData>
    <row r="1" spans="1:3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</row>
    <row r="5" spans="1:35" ht="21" x14ac:dyDescent="0.45">
      <c r="A5" s="34" t="s">
        <v>113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7" spans="1:35" ht="21" x14ac:dyDescent="0.45">
      <c r="C7" s="27" t="s">
        <v>114</v>
      </c>
      <c r="D7" s="28"/>
      <c r="E7" s="28"/>
      <c r="F7" s="28"/>
      <c r="G7" s="28"/>
      <c r="H7" s="28"/>
      <c r="I7" s="28"/>
      <c r="J7" s="28"/>
      <c r="K7" s="28"/>
      <c r="L7" s="28"/>
      <c r="M7" s="28"/>
      <c r="O7" s="27" t="s">
        <v>5</v>
      </c>
      <c r="P7" s="28"/>
      <c r="Q7" s="28"/>
      <c r="R7" s="28"/>
      <c r="S7" s="28"/>
      <c r="U7" s="27" t="s">
        <v>6</v>
      </c>
      <c r="V7" s="28"/>
      <c r="W7" s="28"/>
      <c r="X7" s="28"/>
      <c r="Y7" s="28"/>
      <c r="AA7" s="27" t="s">
        <v>7</v>
      </c>
      <c r="AB7" s="28"/>
      <c r="AC7" s="28"/>
      <c r="AD7" s="28"/>
      <c r="AE7" s="28"/>
      <c r="AF7" s="28"/>
      <c r="AG7" s="28"/>
      <c r="AH7" s="28"/>
      <c r="AI7" s="28"/>
    </row>
    <row r="8" spans="1:35" ht="18.75" x14ac:dyDescent="0.45">
      <c r="A8" s="29" t="s">
        <v>115</v>
      </c>
      <c r="C8" s="32" t="s">
        <v>116</v>
      </c>
      <c r="E8" s="32" t="s">
        <v>117</v>
      </c>
      <c r="G8" s="32" t="s">
        <v>118</v>
      </c>
      <c r="I8" s="32" t="s">
        <v>119</v>
      </c>
      <c r="K8" s="32" t="s">
        <v>120</v>
      </c>
      <c r="M8" s="32" t="s">
        <v>121</v>
      </c>
      <c r="O8" s="29" t="s">
        <v>9</v>
      </c>
      <c r="Q8" s="29" t="s">
        <v>10</v>
      </c>
      <c r="S8" s="29" t="s">
        <v>11</v>
      </c>
      <c r="U8" s="29" t="s">
        <v>12</v>
      </c>
      <c r="V8" s="31"/>
      <c r="X8" s="29" t="s">
        <v>13</v>
      </c>
      <c r="Y8" s="31"/>
      <c r="AA8" s="29" t="s">
        <v>9</v>
      </c>
      <c r="AC8" s="32" t="s">
        <v>122</v>
      </c>
      <c r="AE8" s="29" t="s">
        <v>10</v>
      </c>
      <c r="AG8" s="29" t="s">
        <v>11</v>
      </c>
      <c r="AI8" s="32" t="s">
        <v>15</v>
      </c>
    </row>
    <row r="9" spans="1:35" ht="18.75" x14ac:dyDescent="0.45">
      <c r="A9" s="30"/>
      <c r="C9" s="30"/>
      <c r="E9" s="30"/>
      <c r="G9" s="30"/>
      <c r="I9" s="30"/>
      <c r="K9" s="30"/>
      <c r="M9" s="30"/>
      <c r="O9" s="30"/>
      <c r="Q9" s="30"/>
      <c r="S9" s="30"/>
      <c r="U9" s="6" t="s">
        <v>9</v>
      </c>
      <c r="V9" s="6" t="s">
        <v>10</v>
      </c>
      <c r="X9" s="6" t="s">
        <v>9</v>
      </c>
      <c r="Y9" s="6" t="s">
        <v>16</v>
      </c>
      <c r="AA9" s="30"/>
      <c r="AC9" s="30"/>
      <c r="AE9" s="30"/>
      <c r="AG9" s="30"/>
      <c r="AI9" s="30"/>
    </row>
    <row r="10" spans="1:35" ht="18.75" x14ac:dyDescent="0.45">
      <c r="A10" s="10" t="s">
        <v>99</v>
      </c>
      <c r="O10" s="10">
        <f>SUM($O$9)</f>
        <v>0</v>
      </c>
      <c r="Q10" s="10">
        <f>SUM($Q$9)</f>
        <v>0</v>
      </c>
      <c r="S10" s="10">
        <f>SUM($S$9)</f>
        <v>0</v>
      </c>
      <c r="U10" s="10">
        <f>SUM($U$9)</f>
        <v>0</v>
      </c>
      <c r="V10" s="10">
        <f>SUM($V$9)</f>
        <v>0</v>
      </c>
      <c r="X10" s="10">
        <f>SUM($X$9)</f>
        <v>0</v>
      </c>
      <c r="Y10" s="10">
        <f>SUM($Y$9)</f>
        <v>0</v>
      </c>
      <c r="AA10" s="10">
        <f>SUM($AA$9)</f>
        <v>0</v>
      </c>
      <c r="AC10" s="10">
        <f>SUM($AC$9)</f>
        <v>0</v>
      </c>
      <c r="AE10" s="10">
        <f>SUM($AE$9)</f>
        <v>0</v>
      </c>
      <c r="AG10" s="10">
        <f>SUM($AG$9)</f>
        <v>0</v>
      </c>
      <c r="AI10" s="11">
        <f>SUM($AI$9)</f>
        <v>0</v>
      </c>
    </row>
    <row r="11" spans="1:35" ht="18.75" x14ac:dyDescent="0.45">
      <c r="O11" s="12"/>
      <c r="Q11" s="12"/>
      <c r="S11" s="12"/>
      <c r="U11" s="12"/>
      <c r="V11" s="12"/>
      <c r="X11" s="12"/>
      <c r="Y11" s="12"/>
      <c r="AA11" s="12"/>
      <c r="AC11" s="12"/>
      <c r="AE11" s="12"/>
      <c r="AG11" s="12"/>
      <c r="AI11" s="12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AT13" sqref="AT13"/>
    </sheetView>
  </sheetViews>
  <sheetFormatPr defaultRowHeight="18" x14ac:dyDescent="0.45"/>
  <cols>
    <col min="1" max="1" width="28.42578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4.140625" style="1" customWidth="1"/>
    <col min="8" max="8" width="1.42578125" style="1" customWidth="1"/>
    <col min="9" max="9" width="8.5703125" style="1" customWidth="1"/>
    <col min="10" max="10" width="1.42578125" style="1" customWidth="1"/>
    <col min="11" max="11" width="21.28515625" style="1" customWidth="1"/>
    <col min="12" max="12" width="1.42578125" style="1" customWidth="1"/>
    <col min="13" max="13" width="28.42578125" style="1" customWidth="1"/>
    <col min="14" max="16384" width="9.140625" style="1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45">
      <c r="A5" s="34" t="s">
        <v>123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1" x14ac:dyDescent="0.45">
      <c r="A6" s="34" t="s">
        <v>124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8" spans="1:13" ht="21" x14ac:dyDescent="0.45">
      <c r="C8" s="27" t="s">
        <v>7</v>
      </c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42" x14ac:dyDescent="0.45">
      <c r="A9" s="3" t="s">
        <v>125</v>
      </c>
      <c r="C9" s="3" t="s">
        <v>9</v>
      </c>
      <c r="E9" s="3" t="s">
        <v>126</v>
      </c>
      <c r="G9" s="3" t="s">
        <v>127</v>
      </c>
      <c r="I9" s="3" t="s">
        <v>128</v>
      </c>
      <c r="K9" s="16" t="s">
        <v>129</v>
      </c>
      <c r="M9" s="3" t="s">
        <v>130</v>
      </c>
    </row>
    <row r="10" spans="1:13" ht="18.75" x14ac:dyDescent="0.45">
      <c r="A10" s="10" t="s">
        <v>99</v>
      </c>
      <c r="K10" s="10">
        <f>SUM($K$9)</f>
        <v>0</v>
      </c>
    </row>
    <row r="11" spans="1:13" ht="18.75" x14ac:dyDescent="0.45">
      <c r="K11" s="12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7"/>
  <sheetViews>
    <sheetView rightToLeft="1" view="pageBreakPreview" zoomScale="91" zoomScaleNormal="100" zoomScaleSheetLayoutView="91" workbookViewId="0">
      <selection activeCell="AT13" sqref="AT13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25.7109375" style="1" customWidth="1"/>
    <col min="10" max="10" width="1.42578125" style="1" customWidth="1"/>
    <col min="11" max="11" width="10.7109375" style="1" customWidth="1"/>
    <col min="12" max="16384" width="9.140625" style="1"/>
  </cols>
  <sheetData>
    <row r="1" spans="1:1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5" ht="21" x14ac:dyDescent="0.45">
      <c r="A5" s="37" t="s">
        <v>194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7" spans="1:15" ht="21" x14ac:dyDescent="0.45">
      <c r="C7" s="3" t="s">
        <v>5</v>
      </c>
      <c r="E7" s="27" t="s">
        <v>6</v>
      </c>
      <c r="F7" s="28"/>
      <c r="G7" s="28"/>
      <c r="I7" s="27" t="s">
        <v>7</v>
      </c>
      <c r="J7" s="28"/>
      <c r="K7" s="28"/>
    </row>
    <row r="8" spans="1:15" ht="63" x14ac:dyDescent="0.45">
      <c r="A8" s="3" t="s">
        <v>131</v>
      </c>
      <c r="C8" s="3" t="s">
        <v>132</v>
      </c>
      <c r="E8" s="3" t="s">
        <v>133</v>
      </c>
      <c r="G8" s="3" t="s">
        <v>134</v>
      </c>
      <c r="I8" s="3" t="s">
        <v>132</v>
      </c>
      <c r="K8" s="16" t="s">
        <v>15</v>
      </c>
      <c r="M8" s="18"/>
      <c r="O8" s="18"/>
    </row>
    <row r="9" spans="1:15" ht="18.75" x14ac:dyDescent="0.45">
      <c r="A9" s="7" t="s">
        <v>135</v>
      </c>
      <c r="C9" s="8">
        <v>8470711</v>
      </c>
      <c r="E9" s="8">
        <v>34751</v>
      </c>
      <c r="G9" s="8">
        <v>504000</v>
      </c>
      <c r="I9" s="8">
        <v>8001462</v>
      </c>
      <c r="K9" s="9">
        <v>2.5018476209390045E-6</v>
      </c>
    </row>
    <row r="10" spans="1:15" ht="37.5" x14ac:dyDescent="0.45">
      <c r="A10" s="7" t="s">
        <v>136</v>
      </c>
      <c r="C10" s="8">
        <v>1428069416</v>
      </c>
      <c r="E10" s="8">
        <v>39325461367</v>
      </c>
      <c r="G10" s="8">
        <v>39875884819</v>
      </c>
      <c r="I10" s="8">
        <v>877645964</v>
      </c>
      <c r="K10" s="9">
        <v>2.7441690869245135E-4</v>
      </c>
    </row>
    <row r="11" spans="1:15" ht="18.75" x14ac:dyDescent="0.45">
      <c r="A11" s="7" t="s">
        <v>137</v>
      </c>
      <c r="C11" s="8">
        <v>29971433560</v>
      </c>
      <c r="E11" s="8">
        <v>42532640405</v>
      </c>
      <c r="G11" s="8">
        <v>39118715920</v>
      </c>
      <c r="I11" s="8">
        <v>33385358045</v>
      </c>
      <c r="K11" s="9">
        <v>1.0438727147498807E-2</v>
      </c>
    </row>
    <row r="12" spans="1:15" ht="37.5" x14ac:dyDescent="0.45">
      <c r="A12" s="7" t="s">
        <v>138</v>
      </c>
      <c r="C12" s="8">
        <v>9152276</v>
      </c>
      <c r="E12" s="8">
        <v>711537458</v>
      </c>
      <c r="G12" s="8">
        <v>586263</v>
      </c>
      <c r="I12" s="8">
        <v>720103471</v>
      </c>
      <c r="K12" s="9">
        <v>2.2515749693634356E-4</v>
      </c>
    </row>
    <row r="13" spans="1:15" ht="18.75" x14ac:dyDescent="0.45">
      <c r="A13" s="7" t="s">
        <v>139</v>
      </c>
      <c r="C13" s="8">
        <v>16286448</v>
      </c>
      <c r="E13" s="8">
        <v>64847</v>
      </c>
      <c r="G13" s="8">
        <v>504000</v>
      </c>
      <c r="I13" s="8">
        <v>15847295</v>
      </c>
      <c r="K13" s="9">
        <v>4.9550341292714482E-6</v>
      </c>
    </row>
    <row r="14" spans="1:15" ht="18.75" x14ac:dyDescent="0.45">
      <c r="A14" s="7" t="s">
        <v>140</v>
      </c>
      <c r="C14" s="8">
        <v>10155245</v>
      </c>
      <c r="E14" s="8">
        <v>0</v>
      </c>
      <c r="G14" s="8">
        <v>504000</v>
      </c>
      <c r="I14" s="8">
        <v>9651245</v>
      </c>
      <c r="K14" s="9">
        <v>3.0176915596611544E-6</v>
      </c>
    </row>
    <row r="15" spans="1:15" ht="37.5" x14ac:dyDescent="0.45">
      <c r="A15" s="7" t="s">
        <v>141</v>
      </c>
      <c r="C15" s="8">
        <v>2011605035</v>
      </c>
      <c r="E15" s="8">
        <v>31334731875</v>
      </c>
      <c r="G15" s="8">
        <v>25886907728</v>
      </c>
      <c r="I15" s="8">
        <v>7459429182</v>
      </c>
      <c r="K15" s="9">
        <v>2.3323681537886056E-3</v>
      </c>
    </row>
    <row r="16" spans="1:15" ht="19.5" thickBot="1" x14ac:dyDescent="0.5">
      <c r="A16" s="10" t="s">
        <v>99</v>
      </c>
      <c r="C16" s="10">
        <f>SUM(C9:$C$15)</f>
        <v>33455172691</v>
      </c>
      <c r="E16" s="10">
        <f>SUM(E9:$E$15)</f>
        <v>113904470703</v>
      </c>
      <c r="G16" s="10">
        <f>SUM(G9:$G$15)</f>
        <v>104883606730</v>
      </c>
      <c r="I16" s="10">
        <f>SUM(I9:$I$15)</f>
        <v>42476036664</v>
      </c>
      <c r="K16" s="11">
        <f>SUM(K9:K15)</f>
        <v>1.3281144280226077E-2</v>
      </c>
    </row>
    <row r="17" spans="3:11" ht="19.5" thickTop="1" x14ac:dyDescent="0.45">
      <c r="C17" s="12"/>
      <c r="E17" s="12"/>
      <c r="G17" s="12"/>
      <c r="I17" s="12"/>
      <c r="K17" s="12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4"/>
  <sheetViews>
    <sheetView rightToLeft="1" view="pageBreakPreview" zoomScaleNormal="100" zoomScaleSheetLayoutView="100" workbookViewId="0">
      <selection activeCell="AT13" sqref="AT13"/>
    </sheetView>
  </sheetViews>
  <sheetFormatPr defaultRowHeight="18" x14ac:dyDescent="0.45"/>
  <cols>
    <col min="1" max="1" width="57.570312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9.140625" style="1"/>
  </cols>
  <sheetData>
    <row r="1" spans="1:11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11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</row>
    <row r="3" spans="1:11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11" ht="21" x14ac:dyDescent="0.45">
      <c r="A5" s="34" t="s">
        <v>143</v>
      </c>
      <c r="B5" s="31"/>
      <c r="C5" s="31"/>
      <c r="D5" s="31"/>
      <c r="E5" s="31"/>
      <c r="F5" s="31"/>
      <c r="G5" s="31"/>
      <c r="H5" s="31"/>
      <c r="I5" s="31"/>
    </row>
    <row r="7" spans="1:11" ht="42" x14ac:dyDescent="0.45">
      <c r="A7" s="3" t="s">
        <v>144</v>
      </c>
      <c r="C7" s="3" t="s">
        <v>145</v>
      </c>
      <c r="E7" s="3" t="s">
        <v>132</v>
      </c>
      <c r="G7" s="16" t="s">
        <v>146</v>
      </c>
      <c r="I7" s="16" t="s">
        <v>147</v>
      </c>
    </row>
    <row r="8" spans="1:11" ht="21" x14ac:dyDescent="0.45">
      <c r="A8" s="2" t="s">
        <v>148</v>
      </c>
      <c r="C8" s="4" t="s">
        <v>195</v>
      </c>
      <c r="E8" s="8">
        <v>403245012076</v>
      </c>
      <c r="G8" s="9">
        <v>0.99857682126715241</v>
      </c>
      <c r="I8" s="9">
        <v>0.12608415488542726</v>
      </c>
      <c r="K8" s="18"/>
    </row>
    <row r="9" spans="1:11" ht="21" x14ac:dyDescent="0.45">
      <c r="A9" s="2" t="s">
        <v>196</v>
      </c>
      <c r="C9" s="4" t="s">
        <v>197</v>
      </c>
      <c r="E9" s="8">
        <v>0</v>
      </c>
      <c r="G9" s="9">
        <v>0</v>
      </c>
      <c r="I9" s="9">
        <v>0</v>
      </c>
    </row>
    <row r="10" spans="1:11" ht="21" x14ac:dyDescent="0.45">
      <c r="A10" s="2" t="s">
        <v>149</v>
      </c>
      <c r="C10" s="4" t="s">
        <v>198</v>
      </c>
      <c r="E10" s="8">
        <v>0</v>
      </c>
      <c r="G10" s="9">
        <v>0</v>
      </c>
      <c r="I10" s="9">
        <v>0</v>
      </c>
    </row>
    <row r="11" spans="1:11" ht="21" x14ac:dyDescent="0.45">
      <c r="A11" s="2" t="s">
        <v>150</v>
      </c>
      <c r="C11" s="4" t="s">
        <v>199</v>
      </c>
      <c r="E11" s="8">
        <v>574707637</v>
      </c>
      <c r="G11" s="9">
        <v>1.4231787328475496E-3</v>
      </c>
      <c r="I11" s="9">
        <v>1.7969602734649328E-4</v>
      </c>
    </row>
    <row r="12" spans="1:11" ht="21" x14ac:dyDescent="0.45">
      <c r="A12" s="2" t="s">
        <v>151</v>
      </c>
      <c r="C12" s="4" t="s">
        <v>200</v>
      </c>
      <c r="E12" s="8">
        <v>0</v>
      </c>
      <c r="G12" s="9">
        <v>0</v>
      </c>
      <c r="I12" s="9">
        <v>0</v>
      </c>
    </row>
    <row r="13" spans="1:11" ht="21" x14ac:dyDescent="0.45">
      <c r="A13" s="3" t="s">
        <v>99</v>
      </c>
      <c r="E13" s="10">
        <f>SUM(E8:$E$12)</f>
        <v>403819719713</v>
      </c>
      <c r="G13" s="11">
        <f>SUM(G8:$G$12)</f>
        <v>1</v>
      </c>
      <c r="I13" s="11">
        <f>SUM(I8:$I$12)</f>
        <v>0.12626385091277376</v>
      </c>
    </row>
    <row r="14" spans="1:11" ht="18.75" x14ac:dyDescent="0.45">
      <c r="E14" s="12"/>
      <c r="G14" s="12"/>
      <c r="I14" s="12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0"/>
  <sheetViews>
    <sheetView rightToLeft="1" view="pageBreakPreview" zoomScale="60" zoomScaleNormal="100" workbookViewId="0">
      <selection activeCell="AT13" sqref="AT13"/>
    </sheetView>
  </sheetViews>
  <sheetFormatPr defaultRowHeight="18" x14ac:dyDescent="0.45"/>
  <cols>
    <col min="1" max="1" width="17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2.71093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9.140625" style="1"/>
  </cols>
  <sheetData>
    <row r="1" spans="1:1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21" x14ac:dyDescent="0.45">
      <c r="A5" s="34" t="s">
        <v>152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21" x14ac:dyDescent="0.45">
      <c r="C7" s="27" t="s">
        <v>153</v>
      </c>
      <c r="D7" s="28"/>
      <c r="E7" s="28"/>
      <c r="F7" s="28"/>
      <c r="G7" s="28"/>
      <c r="I7" s="27" t="s">
        <v>154</v>
      </c>
      <c r="J7" s="28"/>
      <c r="K7" s="28"/>
      <c r="L7" s="28"/>
      <c r="M7" s="28"/>
      <c r="O7" s="27" t="s">
        <v>7</v>
      </c>
      <c r="P7" s="28"/>
      <c r="Q7" s="28"/>
      <c r="R7" s="28"/>
      <c r="S7" s="28"/>
    </row>
    <row r="8" spans="1:19" ht="63" x14ac:dyDescent="0.45">
      <c r="A8" s="3" t="s">
        <v>101</v>
      </c>
      <c r="C8" s="16" t="s">
        <v>155</v>
      </c>
      <c r="E8" s="16" t="s">
        <v>156</v>
      </c>
      <c r="G8" s="16" t="s">
        <v>157</v>
      </c>
      <c r="I8" s="16" t="s">
        <v>158</v>
      </c>
      <c r="K8" s="16" t="s">
        <v>159</v>
      </c>
      <c r="M8" s="16" t="s">
        <v>160</v>
      </c>
      <c r="O8" s="16" t="s">
        <v>158</v>
      </c>
      <c r="Q8" s="16" t="s">
        <v>159</v>
      </c>
      <c r="S8" s="16" t="s">
        <v>160</v>
      </c>
    </row>
    <row r="9" spans="1:19" ht="18.75" x14ac:dyDescent="0.45">
      <c r="A9" s="10" t="s">
        <v>99</v>
      </c>
      <c r="I9" s="10">
        <f>SUM($I$8)</f>
        <v>0</v>
      </c>
      <c r="K9" s="10">
        <f>SUM($K$8)</f>
        <v>0</v>
      </c>
      <c r="M9" s="10">
        <f>SUM($M$8)</f>
        <v>0</v>
      </c>
      <c r="O9" s="10">
        <f>SUM($O$8)</f>
        <v>0</v>
      </c>
      <c r="Q9" s="10">
        <f>SUM($Q$8)</f>
        <v>0</v>
      </c>
      <c r="S9" s="10">
        <f>SUM($S$8)</f>
        <v>0</v>
      </c>
    </row>
    <row r="10" spans="1:19" ht="18.75" x14ac:dyDescent="0.45">
      <c r="I10" s="12"/>
      <c r="K10" s="12"/>
      <c r="M10" s="12"/>
      <c r="O10" s="12"/>
      <c r="Q10" s="12"/>
      <c r="S10" s="12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6"/>
  <sheetViews>
    <sheetView rightToLeft="1" view="pageBreakPreview" zoomScale="86" zoomScaleNormal="100" zoomScaleSheetLayoutView="86" workbookViewId="0">
      <selection activeCell="AT13" sqref="AT13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4.1406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6384" width="9.140625" style="1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45">
      <c r="A5" s="34" t="s">
        <v>161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7" spans="1:13" ht="21" x14ac:dyDescent="0.45">
      <c r="C7" s="27" t="s">
        <v>154</v>
      </c>
      <c r="D7" s="28"/>
      <c r="E7" s="28"/>
      <c r="F7" s="28"/>
      <c r="G7" s="28"/>
      <c r="I7" s="27" t="s">
        <v>7</v>
      </c>
      <c r="J7" s="28"/>
      <c r="K7" s="28"/>
      <c r="L7" s="28"/>
      <c r="M7" s="28"/>
    </row>
    <row r="8" spans="1:13" ht="21" x14ac:dyDescent="0.45">
      <c r="A8" s="17" t="s">
        <v>144</v>
      </c>
      <c r="C8" s="16" t="s">
        <v>162</v>
      </c>
      <c r="E8" s="16" t="s">
        <v>159</v>
      </c>
      <c r="G8" s="16" t="s">
        <v>163</v>
      </c>
      <c r="I8" s="16" t="s">
        <v>162</v>
      </c>
      <c r="K8" s="16" t="s">
        <v>159</v>
      </c>
      <c r="M8" s="16" t="s">
        <v>163</v>
      </c>
    </row>
    <row r="9" spans="1:13" ht="18.75" x14ac:dyDescent="0.45">
      <c r="A9" s="5" t="s">
        <v>135</v>
      </c>
      <c r="C9" s="8">
        <v>34751</v>
      </c>
      <c r="E9" s="8">
        <v>0</v>
      </c>
      <c r="G9" s="8">
        <v>34751</v>
      </c>
      <c r="I9" s="8">
        <v>34751</v>
      </c>
      <c r="K9" s="8">
        <v>0</v>
      </c>
      <c r="M9" s="8">
        <v>34751</v>
      </c>
    </row>
    <row r="10" spans="1:13" ht="18.75" x14ac:dyDescent="0.45">
      <c r="A10" s="5" t="s">
        <v>201</v>
      </c>
      <c r="C10" s="8">
        <v>567154353</v>
      </c>
      <c r="E10" s="8">
        <v>0</v>
      </c>
      <c r="G10" s="8">
        <v>567154353</v>
      </c>
      <c r="I10" s="8">
        <v>567154353</v>
      </c>
      <c r="K10" s="8">
        <v>0</v>
      </c>
      <c r="M10" s="8">
        <v>567154353</v>
      </c>
    </row>
    <row r="11" spans="1:13" ht="37.5" x14ac:dyDescent="0.45">
      <c r="A11" s="5" t="s">
        <v>138</v>
      </c>
      <c r="C11" s="8">
        <v>37458</v>
      </c>
      <c r="E11" s="8">
        <v>0</v>
      </c>
      <c r="G11" s="8">
        <v>37458</v>
      </c>
      <c r="I11" s="8">
        <v>37458</v>
      </c>
      <c r="K11" s="8">
        <v>0</v>
      </c>
      <c r="M11" s="8">
        <v>37458</v>
      </c>
    </row>
    <row r="12" spans="1:13" ht="37.5" x14ac:dyDescent="0.45">
      <c r="A12" s="5" t="s">
        <v>141</v>
      </c>
      <c r="C12" s="8">
        <v>5354861</v>
      </c>
      <c r="E12" s="8">
        <v>0</v>
      </c>
      <c r="G12" s="8">
        <v>5354861</v>
      </c>
      <c r="I12" s="8">
        <v>5354861</v>
      </c>
      <c r="K12" s="8">
        <v>0</v>
      </c>
      <c r="M12" s="8">
        <v>5354861</v>
      </c>
    </row>
    <row r="13" spans="1:13" ht="18.75" x14ac:dyDescent="0.45">
      <c r="A13" s="5" t="s">
        <v>139</v>
      </c>
      <c r="C13" s="8">
        <v>64847</v>
      </c>
      <c r="E13" s="8">
        <v>0</v>
      </c>
      <c r="G13" s="8">
        <v>64847</v>
      </c>
      <c r="I13" s="8">
        <v>64847</v>
      </c>
      <c r="K13" s="8">
        <v>0</v>
      </c>
      <c r="M13" s="8">
        <v>64847</v>
      </c>
    </row>
    <row r="14" spans="1:13" ht="37.5" x14ac:dyDescent="0.45">
      <c r="A14" s="5" t="s">
        <v>136</v>
      </c>
      <c r="C14" s="8">
        <v>2061367</v>
      </c>
      <c r="E14" s="8">
        <v>0</v>
      </c>
      <c r="G14" s="8">
        <v>2061367</v>
      </c>
      <c r="I14" s="8">
        <v>2061367</v>
      </c>
      <c r="K14" s="8">
        <v>0</v>
      </c>
      <c r="M14" s="8">
        <v>2061367</v>
      </c>
    </row>
    <row r="15" spans="1:13" ht="19.5" thickBot="1" x14ac:dyDescent="0.5">
      <c r="A15" s="10" t="s">
        <v>99</v>
      </c>
      <c r="C15" s="10">
        <f>SUM(C9:$C$14)</f>
        <v>574707637</v>
      </c>
      <c r="E15" s="10">
        <f>SUM(E9:$E$14)</f>
        <v>0</v>
      </c>
      <c r="G15" s="10">
        <f>SUM(G9:$G$14)</f>
        <v>574707637</v>
      </c>
      <c r="I15" s="10">
        <f>SUM(I9:$I$14)</f>
        <v>574707637</v>
      </c>
      <c r="K15" s="10">
        <f>SUM(K9:$K$14)</f>
        <v>0</v>
      </c>
      <c r="M15" s="10">
        <f>SUM(M9:$M$14)</f>
        <v>574707637</v>
      </c>
    </row>
    <row r="16" spans="1:13" ht="19.5" thickTop="1" x14ac:dyDescent="0.45">
      <c r="C16" s="12"/>
      <c r="E16" s="12"/>
      <c r="G16" s="12"/>
      <c r="I16" s="12"/>
      <c r="K16" s="12"/>
      <c r="M16" s="12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4"/>
  <sheetViews>
    <sheetView rightToLeft="1" view="pageBreakPreview" zoomScale="91" zoomScaleNormal="100" zoomScaleSheetLayoutView="91" workbookViewId="0">
      <selection activeCell="AT13" sqref="AT13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2.71093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2.71093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9.140625" style="1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164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154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144</v>
      </c>
      <c r="C8" s="16" t="s">
        <v>9</v>
      </c>
      <c r="E8" s="16" t="s">
        <v>11</v>
      </c>
      <c r="G8" s="16" t="s">
        <v>165</v>
      </c>
      <c r="I8" s="16" t="s">
        <v>166</v>
      </c>
      <c r="K8" s="16" t="s">
        <v>9</v>
      </c>
      <c r="M8" s="16" t="s">
        <v>11</v>
      </c>
      <c r="O8" s="16" t="s">
        <v>165</v>
      </c>
      <c r="Q8" s="16" t="s">
        <v>166</v>
      </c>
    </row>
    <row r="9" spans="1:17" ht="18.75" x14ac:dyDescent="0.45">
      <c r="A9" s="5" t="s">
        <v>30</v>
      </c>
      <c r="C9" s="8">
        <v>800000</v>
      </c>
      <c r="E9" s="8">
        <v>5996109629</v>
      </c>
      <c r="G9" s="8">
        <v>4934359629</v>
      </c>
      <c r="I9" s="8">
        <v>1061750000</v>
      </c>
      <c r="K9" s="8">
        <v>800000</v>
      </c>
      <c r="M9" s="8">
        <v>5996109629</v>
      </c>
      <c r="O9" s="8">
        <v>4934359629</v>
      </c>
      <c r="Q9" s="8">
        <v>1061750000</v>
      </c>
    </row>
    <row r="10" spans="1:17" ht="18.75" x14ac:dyDescent="0.45">
      <c r="A10" s="5" t="s">
        <v>76</v>
      </c>
      <c r="C10" s="8">
        <v>1</v>
      </c>
      <c r="E10" s="8">
        <v>1</v>
      </c>
      <c r="G10" s="8">
        <v>5060</v>
      </c>
      <c r="I10" s="8">
        <v>-5059</v>
      </c>
      <c r="K10" s="8">
        <v>1</v>
      </c>
      <c r="M10" s="8">
        <v>1</v>
      </c>
      <c r="O10" s="8">
        <v>5060</v>
      </c>
      <c r="Q10" s="8">
        <v>-5059</v>
      </c>
    </row>
    <row r="11" spans="1:17" ht="18.75" x14ac:dyDescent="0.45">
      <c r="A11" s="10" t="s">
        <v>99</v>
      </c>
      <c r="C11" s="10">
        <f>SUM(C9:$C$10)</f>
        <v>800001</v>
      </c>
      <c r="E11" s="10">
        <f>SUM(E9:$E$10)</f>
        <v>5996109630</v>
      </c>
      <c r="G11" s="10">
        <f>SUM(G9:$G$10)</f>
        <v>4934364689</v>
      </c>
      <c r="I11" s="10">
        <f>SUM(I9:$I$10)</f>
        <v>1061744941</v>
      </c>
      <c r="K11" s="10">
        <f>SUM(K9:$K$10)</f>
        <v>800001</v>
      </c>
      <c r="M11" s="10">
        <f>SUM(M9:$M$10)</f>
        <v>5996109630</v>
      </c>
      <c r="O11" s="10">
        <f>SUM(O9:$O$10)</f>
        <v>4934364689</v>
      </c>
      <c r="Q11" s="10">
        <f>SUM(Q9:$Q$10)</f>
        <v>1061744941</v>
      </c>
    </row>
    <row r="12" spans="1:17" ht="18.75" x14ac:dyDescent="0.45">
      <c r="C12" s="12"/>
      <c r="E12" s="12"/>
      <c r="G12" s="12"/>
      <c r="I12" s="12"/>
      <c r="K12" s="12"/>
      <c r="M12" s="12"/>
      <c r="O12" s="12"/>
      <c r="Q12" s="12"/>
    </row>
    <row r="14" spans="1:17" ht="18.75" x14ac:dyDescent="0.45">
      <c r="A14" s="38" t="s">
        <v>167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0"/>
    </row>
  </sheetData>
  <mergeCells count="7">
    <mergeCell ref="A14:Q14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8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4"/>
  <sheetViews>
    <sheetView rightToLeft="1" view="pageBreakPreview" topLeftCell="A58" zoomScale="60" zoomScaleNormal="100" workbookViewId="0">
      <selection activeCell="AT13" sqref="AT13"/>
    </sheetView>
  </sheetViews>
  <sheetFormatPr defaultRowHeight="18" x14ac:dyDescent="0.45"/>
  <cols>
    <col min="1" max="1" width="21.140625" style="1" bestFit="1" customWidth="1"/>
    <col min="2" max="2" width="1.42578125" style="1" customWidth="1"/>
    <col min="3" max="3" width="13.42578125" style="1" bestFit="1" customWidth="1"/>
    <col min="4" max="4" width="1.42578125" style="1" customWidth="1"/>
    <col min="5" max="5" width="19.85546875" style="1" bestFit="1" customWidth="1"/>
    <col min="6" max="6" width="1.42578125" style="1" customWidth="1"/>
    <col min="7" max="7" width="19.7109375" style="1" bestFit="1" customWidth="1"/>
    <col min="8" max="8" width="1.42578125" style="1" customWidth="1"/>
    <col min="9" max="9" width="18" style="1" bestFit="1" customWidth="1"/>
    <col min="10" max="10" width="1.42578125" style="1" customWidth="1"/>
    <col min="11" max="11" width="13.42578125" style="1" bestFit="1" customWidth="1"/>
    <col min="12" max="12" width="1.42578125" style="1" customWidth="1"/>
    <col min="13" max="13" width="19.85546875" style="1" bestFit="1" customWidth="1"/>
    <col min="14" max="14" width="1.42578125" style="1" customWidth="1"/>
    <col min="15" max="15" width="19.7109375" style="1" bestFit="1" customWidth="1"/>
    <col min="16" max="16" width="1.42578125" style="1" customWidth="1"/>
    <col min="17" max="17" width="18" style="1" bestFit="1" customWidth="1"/>
    <col min="18" max="16384" width="9.140625" style="1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168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154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144</v>
      </c>
      <c r="C8" s="16" t="s">
        <v>9</v>
      </c>
      <c r="E8" s="16" t="s">
        <v>11</v>
      </c>
      <c r="G8" s="16" t="s">
        <v>165</v>
      </c>
      <c r="I8" s="16" t="s">
        <v>169</v>
      </c>
      <c r="K8" s="16" t="s">
        <v>9</v>
      </c>
      <c r="M8" s="16" t="s">
        <v>11</v>
      </c>
      <c r="O8" s="16" t="s">
        <v>165</v>
      </c>
      <c r="Q8" s="16" t="s">
        <v>169</v>
      </c>
    </row>
    <row r="9" spans="1:17" ht="18.75" x14ac:dyDescent="0.45">
      <c r="A9" s="5" t="s">
        <v>17</v>
      </c>
      <c r="C9" s="8">
        <v>75</v>
      </c>
      <c r="E9" s="8">
        <v>6258787</v>
      </c>
      <c r="G9" s="8">
        <v>4784114</v>
      </c>
      <c r="I9" s="8">
        <v>1474673</v>
      </c>
      <c r="K9" s="8">
        <v>75</v>
      </c>
      <c r="M9" s="8">
        <v>6258787</v>
      </c>
      <c r="O9" s="8">
        <v>4784114</v>
      </c>
      <c r="Q9" s="8">
        <v>1474673</v>
      </c>
    </row>
    <row r="10" spans="1:17" ht="18.75" x14ac:dyDescent="0.45">
      <c r="A10" s="5" t="s">
        <v>18</v>
      </c>
      <c r="C10" s="8">
        <v>50000</v>
      </c>
      <c r="E10" s="8">
        <v>1401610500</v>
      </c>
      <c r="G10" s="8">
        <v>1304690625</v>
      </c>
      <c r="I10" s="8">
        <v>96919875</v>
      </c>
      <c r="K10" s="8">
        <v>50000</v>
      </c>
      <c r="M10" s="8">
        <v>1401610500</v>
      </c>
      <c r="O10" s="8">
        <v>1304690625</v>
      </c>
      <c r="Q10" s="8">
        <v>96919875</v>
      </c>
    </row>
    <row r="11" spans="1:17" ht="18.75" x14ac:dyDescent="0.45">
      <c r="A11" s="5" t="s">
        <v>19</v>
      </c>
      <c r="C11" s="8">
        <v>245000</v>
      </c>
      <c r="E11" s="8">
        <v>1904500395</v>
      </c>
      <c r="G11" s="8">
        <v>1736456242</v>
      </c>
      <c r="I11" s="8">
        <v>168044153</v>
      </c>
      <c r="K11" s="8">
        <v>245000</v>
      </c>
      <c r="M11" s="8">
        <v>1904500395</v>
      </c>
      <c r="O11" s="8">
        <v>1736456242</v>
      </c>
      <c r="Q11" s="8">
        <v>168044153</v>
      </c>
    </row>
    <row r="12" spans="1:17" ht="18.75" x14ac:dyDescent="0.45">
      <c r="A12" s="5" t="s">
        <v>20</v>
      </c>
      <c r="C12" s="8">
        <v>6847087</v>
      </c>
      <c r="E12" s="8">
        <v>31397677938</v>
      </c>
      <c r="G12" s="8">
        <v>29294516766</v>
      </c>
      <c r="I12" s="8">
        <v>2103161172</v>
      </c>
      <c r="K12" s="8">
        <v>6847087</v>
      </c>
      <c r="M12" s="8">
        <v>31397677938</v>
      </c>
      <c r="O12" s="8">
        <v>29294516766</v>
      </c>
      <c r="Q12" s="8">
        <v>2103161172</v>
      </c>
    </row>
    <row r="13" spans="1:17" ht="18.75" x14ac:dyDescent="0.45">
      <c r="A13" s="5" t="s">
        <v>21</v>
      </c>
      <c r="C13" s="8">
        <v>1895580</v>
      </c>
      <c r="E13" s="8">
        <v>17467473042</v>
      </c>
      <c r="G13" s="8">
        <v>15715072834</v>
      </c>
      <c r="I13" s="8">
        <v>1752400208</v>
      </c>
      <c r="K13" s="8">
        <v>1895580</v>
      </c>
      <c r="M13" s="8">
        <v>17467473042</v>
      </c>
      <c r="O13" s="8">
        <v>15715072834</v>
      </c>
      <c r="Q13" s="8">
        <v>1752400208</v>
      </c>
    </row>
    <row r="14" spans="1:17" ht="18.75" x14ac:dyDescent="0.45">
      <c r="A14" s="5" t="s">
        <v>22</v>
      </c>
      <c r="C14" s="8">
        <v>15134677</v>
      </c>
      <c r="E14" s="8">
        <v>53333198007</v>
      </c>
      <c r="G14" s="8">
        <v>47781731134</v>
      </c>
      <c r="I14" s="8">
        <v>5551466873</v>
      </c>
      <c r="K14" s="8">
        <v>15134677</v>
      </c>
      <c r="M14" s="8">
        <v>53333198007</v>
      </c>
      <c r="O14" s="8">
        <v>47781731134</v>
      </c>
      <c r="Q14" s="8">
        <v>5551466873</v>
      </c>
    </row>
    <row r="15" spans="1:17" ht="18.75" x14ac:dyDescent="0.45">
      <c r="A15" s="5" t="s">
        <v>23</v>
      </c>
      <c r="C15" s="8">
        <v>2391471</v>
      </c>
      <c r="E15" s="8">
        <v>38986764660</v>
      </c>
      <c r="G15" s="8">
        <v>37536647194</v>
      </c>
      <c r="I15" s="8">
        <v>1450117466</v>
      </c>
      <c r="K15" s="8">
        <v>2391471</v>
      </c>
      <c r="M15" s="8">
        <v>38986764660</v>
      </c>
      <c r="O15" s="8">
        <v>37536647194</v>
      </c>
      <c r="Q15" s="8">
        <v>1450117466</v>
      </c>
    </row>
    <row r="16" spans="1:17" ht="18.75" x14ac:dyDescent="0.45">
      <c r="A16" s="5" t="s">
        <v>24</v>
      </c>
      <c r="C16" s="8">
        <v>14800000</v>
      </c>
      <c r="E16" s="8">
        <v>45077384160</v>
      </c>
      <c r="G16" s="8">
        <v>35794150020</v>
      </c>
      <c r="I16" s="8">
        <v>9283234140</v>
      </c>
      <c r="K16" s="8">
        <v>14800000</v>
      </c>
      <c r="M16" s="8">
        <v>45077384160</v>
      </c>
      <c r="O16" s="8">
        <v>35794150020</v>
      </c>
      <c r="Q16" s="8">
        <v>9283234140</v>
      </c>
    </row>
    <row r="17" spans="1:17" ht="18.75" x14ac:dyDescent="0.45">
      <c r="A17" s="5" t="s">
        <v>25</v>
      </c>
      <c r="C17" s="8">
        <v>500000</v>
      </c>
      <c r="E17" s="8">
        <v>9751630500</v>
      </c>
      <c r="G17" s="8">
        <v>8827164000</v>
      </c>
      <c r="I17" s="8">
        <v>924466500</v>
      </c>
      <c r="K17" s="8">
        <v>500000</v>
      </c>
      <c r="M17" s="8">
        <v>9751630500</v>
      </c>
      <c r="O17" s="8">
        <v>8827164000</v>
      </c>
      <c r="Q17" s="8">
        <v>924466500</v>
      </c>
    </row>
    <row r="18" spans="1:17" ht="18.75" x14ac:dyDescent="0.45">
      <c r="A18" s="5" t="s">
        <v>26</v>
      </c>
      <c r="C18" s="8">
        <v>1750000</v>
      </c>
      <c r="E18" s="8">
        <v>5103949725</v>
      </c>
      <c r="G18" s="8">
        <v>4695146662</v>
      </c>
      <c r="I18" s="8">
        <v>408803063</v>
      </c>
      <c r="K18" s="8">
        <v>1750000</v>
      </c>
      <c r="M18" s="8">
        <v>5103949725</v>
      </c>
      <c r="O18" s="8">
        <v>4695146662</v>
      </c>
      <c r="Q18" s="8">
        <v>408803063</v>
      </c>
    </row>
    <row r="19" spans="1:17" ht="18.75" x14ac:dyDescent="0.45">
      <c r="A19" s="5" t="s">
        <v>27</v>
      </c>
      <c r="C19" s="8">
        <v>23109504</v>
      </c>
      <c r="E19" s="8">
        <v>35974155839</v>
      </c>
      <c r="G19" s="8">
        <v>29587939157</v>
      </c>
      <c r="I19" s="8">
        <v>6386216682</v>
      </c>
      <c r="K19" s="8">
        <v>23109504</v>
      </c>
      <c r="M19" s="8">
        <v>35974155839</v>
      </c>
      <c r="O19" s="8">
        <v>29587939157</v>
      </c>
      <c r="Q19" s="8">
        <v>6386216682</v>
      </c>
    </row>
    <row r="20" spans="1:17" ht="18.75" x14ac:dyDescent="0.45">
      <c r="A20" s="5" t="s">
        <v>28</v>
      </c>
      <c r="C20" s="8">
        <v>1562500</v>
      </c>
      <c r="E20" s="8">
        <v>5428444922</v>
      </c>
      <c r="G20" s="8">
        <v>4923653906</v>
      </c>
      <c r="I20" s="8">
        <v>504791016</v>
      </c>
      <c r="K20" s="8">
        <v>1562500</v>
      </c>
      <c r="M20" s="8">
        <v>5428444922</v>
      </c>
      <c r="O20" s="8">
        <v>4923653906</v>
      </c>
      <c r="Q20" s="8">
        <v>504791016</v>
      </c>
    </row>
    <row r="21" spans="1:17" ht="18.75" x14ac:dyDescent="0.45">
      <c r="A21" s="5" t="s">
        <v>29</v>
      </c>
      <c r="C21" s="8">
        <v>22718165</v>
      </c>
      <c r="E21" s="8">
        <v>90964291447</v>
      </c>
      <c r="G21" s="8">
        <v>79898625407</v>
      </c>
      <c r="I21" s="8">
        <v>11065666040</v>
      </c>
      <c r="K21" s="8">
        <v>22718165</v>
      </c>
      <c r="M21" s="8">
        <v>90964291447</v>
      </c>
      <c r="O21" s="8">
        <v>79898625407</v>
      </c>
      <c r="Q21" s="8">
        <v>11065666040</v>
      </c>
    </row>
    <row r="22" spans="1:17" ht="18.75" x14ac:dyDescent="0.45">
      <c r="A22" s="5" t="s">
        <v>30</v>
      </c>
      <c r="C22" s="8">
        <v>21741064</v>
      </c>
      <c r="E22" s="8">
        <v>172245286214</v>
      </c>
      <c r="G22" s="8">
        <v>135073154182</v>
      </c>
      <c r="I22" s="8">
        <v>37172132032</v>
      </c>
      <c r="K22" s="8">
        <v>21741064</v>
      </c>
      <c r="M22" s="8">
        <v>172245286214</v>
      </c>
      <c r="O22" s="8">
        <v>135073154182</v>
      </c>
      <c r="Q22" s="8">
        <v>37172132032</v>
      </c>
    </row>
    <row r="23" spans="1:17" ht="18.75" x14ac:dyDescent="0.45">
      <c r="A23" s="5" t="s">
        <v>170</v>
      </c>
      <c r="C23" s="8">
        <v>4754687</v>
      </c>
      <c r="E23" s="8">
        <v>23509096750</v>
      </c>
      <c r="G23" s="8">
        <v>21854857936</v>
      </c>
      <c r="I23" s="8">
        <v>1654238814</v>
      </c>
      <c r="K23" s="8">
        <v>4754687</v>
      </c>
      <c r="M23" s="8">
        <v>23509096750</v>
      </c>
      <c r="O23" s="8">
        <v>21854857936</v>
      </c>
      <c r="Q23" s="8">
        <v>1654238814</v>
      </c>
    </row>
    <row r="24" spans="1:17" ht="18.75" x14ac:dyDescent="0.45">
      <c r="A24" s="5" t="s">
        <v>32</v>
      </c>
      <c r="C24" s="8">
        <v>12327149</v>
      </c>
      <c r="E24" s="8">
        <v>19483545917</v>
      </c>
      <c r="G24" s="8">
        <v>18049852493</v>
      </c>
      <c r="I24" s="8">
        <v>1433693424</v>
      </c>
      <c r="K24" s="8">
        <v>12327149</v>
      </c>
      <c r="M24" s="8">
        <v>19483545917</v>
      </c>
      <c r="O24" s="8">
        <v>18049852493</v>
      </c>
      <c r="Q24" s="8">
        <v>1433693424</v>
      </c>
    </row>
    <row r="25" spans="1:17" ht="37.5" x14ac:dyDescent="0.45">
      <c r="A25" s="5" t="s">
        <v>33</v>
      </c>
      <c r="C25" s="8">
        <v>842177</v>
      </c>
      <c r="E25" s="8">
        <v>5039739602</v>
      </c>
      <c r="G25" s="8">
        <v>5324376058</v>
      </c>
      <c r="I25" s="8">
        <v>-284636456</v>
      </c>
      <c r="K25" s="8">
        <v>842177</v>
      </c>
      <c r="M25" s="8">
        <v>5039739602</v>
      </c>
      <c r="O25" s="8">
        <v>5324376058</v>
      </c>
      <c r="Q25" s="8">
        <v>-284636456</v>
      </c>
    </row>
    <row r="26" spans="1:17" ht="37.5" x14ac:dyDescent="0.45">
      <c r="A26" s="5" t="s">
        <v>34</v>
      </c>
      <c r="C26" s="8">
        <v>286500</v>
      </c>
      <c r="E26" s="8">
        <v>15293508952</v>
      </c>
      <c r="G26" s="8">
        <v>13684415366</v>
      </c>
      <c r="I26" s="8">
        <v>1609093586</v>
      </c>
      <c r="K26" s="8">
        <v>286500</v>
      </c>
      <c r="M26" s="8">
        <v>15293508952</v>
      </c>
      <c r="O26" s="8">
        <v>13684415366</v>
      </c>
      <c r="Q26" s="8">
        <v>1609093586</v>
      </c>
    </row>
    <row r="27" spans="1:17" ht="37.5" x14ac:dyDescent="0.45">
      <c r="A27" s="5" t="s">
        <v>35</v>
      </c>
      <c r="C27" s="8">
        <v>250000</v>
      </c>
      <c r="E27" s="8">
        <v>865072012</v>
      </c>
      <c r="G27" s="8">
        <v>810399262</v>
      </c>
      <c r="I27" s="8">
        <v>54672750</v>
      </c>
      <c r="K27" s="8">
        <v>250000</v>
      </c>
      <c r="M27" s="8">
        <v>865072012</v>
      </c>
      <c r="O27" s="8">
        <v>810399262</v>
      </c>
      <c r="Q27" s="8">
        <v>54672750</v>
      </c>
    </row>
    <row r="28" spans="1:17" ht="37.5" x14ac:dyDescent="0.45">
      <c r="A28" s="5" t="s">
        <v>36</v>
      </c>
      <c r="C28" s="8">
        <v>6645110</v>
      </c>
      <c r="E28" s="8">
        <v>89175216539</v>
      </c>
      <c r="G28" s="8">
        <v>75831961916</v>
      </c>
      <c r="I28" s="8">
        <v>13343254623</v>
      </c>
      <c r="K28" s="8">
        <v>6645110</v>
      </c>
      <c r="M28" s="8">
        <v>89175216539</v>
      </c>
      <c r="O28" s="8">
        <v>75831961916</v>
      </c>
      <c r="Q28" s="8">
        <v>13343254623</v>
      </c>
    </row>
    <row r="29" spans="1:17" ht="18.75" x14ac:dyDescent="0.45">
      <c r="A29" s="5" t="s">
        <v>37</v>
      </c>
      <c r="C29" s="8">
        <v>1000000</v>
      </c>
      <c r="E29" s="8">
        <v>6769480500</v>
      </c>
      <c r="G29" s="8">
        <v>6391741500</v>
      </c>
      <c r="I29" s="8">
        <v>377739000</v>
      </c>
      <c r="K29" s="8">
        <v>1000000</v>
      </c>
      <c r="M29" s="8">
        <v>6769480500</v>
      </c>
      <c r="O29" s="8">
        <v>6391741500</v>
      </c>
      <c r="Q29" s="8">
        <v>377739000</v>
      </c>
    </row>
    <row r="30" spans="1:17" ht="18.75" x14ac:dyDescent="0.45">
      <c r="A30" s="5" t="s">
        <v>38</v>
      </c>
      <c r="C30" s="8">
        <v>31806527</v>
      </c>
      <c r="E30" s="8">
        <v>61590457864</v>
      </c>
      <c r="G30" s="8">
        <v>55330236788</v>
      </c>
      <c r="I30" s="8">
        <v>6260221076</v>
      </c>
      <c r="K30" s="8">
        <v>31806527</v>
      </c>
      <c r="M30" s="8">
        <v>61590457864</v>
      </c>
      <c r="O30" s="8">
        <v>55330236788</v>
      </c>
      <c r="Q30" s="8">
        <v>6260221076</v>
      </c>
    </row>
    <row r="31" spans="1:17" ht="18.75" x14ac:dyDescent="0.45">
      <c r="A31" s="5" t="s">
        <v>39</v>
      </c>
      <c r="C31" s="8">
        <v>7329302</v>
      </c>
      <c r="E31" s="8">
        <v>55881262649</v>
      </c>
      <c r="G31" s="8">
        <v>48231285364</v>
      </c>
      <c r="I31" s="8">
        <v>7649977285</v>
      </c>
      <c r="K31" s="8">
        <v>7329302</v>
      </c>
      <c r="M31" s="8">
        <v>55881262649</v>
      </c>
      <c r="O31" s="8">
        <v>48231285364</v>
      </c>
      <c r="Q31" s="8">
        <v>7649977285</v>
      </c>
    </row>
    <row r="32" spans="1:17" ht="18.75" x14ac:dyDescent="0.45">
      <c r="A32" s="5" t="s">
        <v>40</v>
      </c>
      <c r="C32" s="8">
        <v>3036239</v>
      </c>
      <c r="E32" s="8">
        <v>75967423923</v>
      </c>
      <c r="G32" s="8">
        <v>65252908431</v>
      </c>
      <c r="I32" s="8">
        <v>10714515492</v>
      </c>
      <c r="K32" s="8">
        <v>3036239</v>
      </c>
      <c r="M32" s="8">
        <v>75967423923</v>
      </c>
      <c r="O32" s="8">
        <v>65252908431</v>
      </c>
      <c r="Q32" s="8">
        <v>10714515492</v>
      </c>
    </row>
    <row r="33" spans="1:17" ht="18.75" x14ac:dyDescent="0.45">
      <c r="A33" s="5" t="s">
        <v>41</v>
      </c>
      <c r="C33" s="8">
        <v>2773715</v>
      </c>
      <c r="E33" s="8">
        <v>71439347264</v>
      </c>
      <c r="G33" s="8">
        <v>65924924472</v>
      </c>
      <c r="I33" s="8">
        <v>5514422792</v>
      </c>
      <c r="K33" s="8">
        <v>2773715</v>
      </c>
      <c r="M33" s="8">
        <v>71439347264</v>
      </c>
      <c r="O33" s="8">
        <v>65924924472</v>
      </c>
      <c r="Q33" s="8">
        <v>5514422792</v>
      </c>
    </row>
    <row r="34" spans="1:17" ht="37.5" x14ac:dyDescent="0.45">
      <c r="A34" s="5" t="s">
        <v>42</v>
      </c>
      <c r="C34" s="8">
        <v>272500</v>
      </c>
      <c r="E34" s="8">
        <v>8613940275</v>
      </c>
      <c r="G34" s="8">
        <v>7367898600</v>
      </c>
      <c r="I34" s="8">
        <v>1246041675</v>
      </c>
      <c r="K34" s="8">
        <v>272500</v>
      </c>
      <c r="M34" s="8">
        <v>8613940275</v>
      </c>
      <c r="O34" s="8">
        <v>7367898600</v>
      </c>
      <c r="Q34" s="8">
        <v>1246041675</v>
      </c>
    </row>
    <row r="35" spans="1:17" ht="18.75" x14ac:dyDescent="0.45">
      <c r="A35" s="5" t="s">
        <v>43</v>
      </c>
      <c r="C35" s="8">
        <v>741342</v>
      </c>
      <c r="E35" s="8">
        <v>40236433424</v>
      </c>
      <c r="G35" s="8">
        <v>40236433424</v>
      </c>
      <c r="I35" s="8">
        <v>0</v>
      </c>
      <c r="K35" s="8">
        <v>741342</v>
      </c>
      <c r="M35" s="8">
        <v>40236433424</v>
      </c>
      <c r="O35" s="8">
        <v>40236433424</v>
      </c>
      <c r="Q35" s="8">
        <v>0</v>
      </c>
    </row>
    <row r="36" spans="1:17" ht="18.75" x14ac:dyDescent="0.45">
      <c r="A36" s="5" t="s">
        <v>44</v>
      </c>
      <c r="C36" s="8">
        <v>27844387</v>
      </c>
      <c r="E36" s="8">
        <v>77278966409</v>
      </c>
      <c r="G36" s="8">
        <v>64795866893</v>
      </c>
      <c r="I36" s="8">
        <v>12483099516</v>
      </c>
      <c r="K36" s="8">
        <v>27844387</v>
      </c>
      <c r="M36" s="8">
        <v>77278966409</v>
      </c>
      <c r="O36" s="8">
        <v>64795866893</v>
      </c>
      <c r="Q36" s="8">
        <v>12483099516</v>
      </c>
    </row>
    <row r="37" spans="1:17" ht="18.75" x14ac:dyDescent="0.45">
      <c r="A37" s="5" t="s">
        <v>45</v>
      </c>
      <c r="C37" s="8">
        <v>13167887</v>
      </c>
      <c r="E37" s="8">
        <v>44164101456</v>
      </c>
      <c r="G37" s="8">
        <v>36388915841</v>
      </c>
      <c r="I37" s="8">
        <v>7775185615</v>
      </c>
      <c r="K37" s="8">
        <v>13167887</v>
      </c>
      <c r="M37" s="8">
        <v>44164101456</v>
      </c>
      <c r="O37" s="8">
        <v>36388915841</v>
      </c>
      <c r="Q37" s="8">
        <v>7775185615</v>
      </c>
    </row>
    <row r="38" spans="1:17" ht="18.75" x14ac:dyDescent="0.45">
      <c r="A38" s="5" t="s">
        <v>46</v>
      </c>
      <c r="C38" s="8">
        <v>10258397</v>
      </c>
      <c r="E38" s="8">
        <v>25381227890</v>
      </c>
      <c r="G38" s="8">
        <v>20435508514</v>
      </c>
      <c r="I38" s="8">
        <v>4945719376</v>
      </c>
      <c r="K38" s="8">
        <v>10258397</v>
      </c>
      <c r="M38" s="8">
        <v>25381227890</v>
      </c>
      <c r="O38" s="8">
        <v>20435508514</v>
      </c>
      <c r="Q38" s="8">
        <v>4945719376</v>
      </c>
    </row>
    <row r="39" spans="1:17" ht="18.75" x14ac:dyDescent="0.45">
      <c r="A39" s="5" t="s">
        <v>47</v>
      </c>
      <c r="C39" s="8">
        <v>7958319</v>
      </c>
      <c r="E39" s="8">
        <v>18250600873</v>
      </c>
      <c r="G39" s="8">
        <v>19196495984</v>
      </c>
      <c r="I39" s="8">
        <v>-945895111</v>
      </c>
      <c r="K39" s="8">
        <v>7958319</v>
      </c>
      <c r="M39" s="8">
        <v>18250600873</v>
      </c>
      <c r="O39" s="8">
        <v>19196495984</v>
      </c>
      <c r="Q39" s="8">
        <v>-945895111</v>
      </c>
    </row>
    <row r="40" spans="1:17" ht="18.75" x14ac:dyDescent="0.45">
      <c r="A40" s="5" t="s">
        <v>48</v>
      </c>
      <c r="C40" s="8">
        <v>0</v>
      </c>
      <c r="E40" s="8">
        <v>0</v>
      </c>
      <c r="G40" s="8">
        <v>-3981368184</v>
      </c>
      <c r="I40" s="8">
        <v>3981368184</v>
      </c>
      <c r="K40" s="8">
        <v>0</v>
      </c>
      <c r="M40" s="8">
        <v>0</v>
      </c>
      <c r="O40" s="8">
        <v>-3981368184</v>
      </c>
      <c r="Q40" s="8">
        <v>3981368184</v>
      </c>
    </row>
    <row r="41" spans="1:17" ht="37.5" x14ac:dyDescent="0.45">
      <c r="A41" s="5" t="s">
        <v>49</v>
      </c>
      <c r="C41" s="8">
        <v>6500000</v>
      </c>
      <c r="E41" s="8">
        <v>8981241750</v>
      </c>
      <c r="G41" s="8">
        <v>7878647322</v>
      </c>
      <c r="I41" s="8">
        <v>1102594428</v>
      </c>
      <c r="K41" s="8">
        <v>6500000</v>
      </c>
      <c r="M41" s="8">
        <v>8981241750</v>
      </c>
      <c r="O41" s="8">
        <v>7878647322</v>
      </c>
      <c r="Q41" s="8">
        <v>1102594428</v>
      </c>
    </row>
    <row r="42" spans="1:17" ht="18.75" x14ac:dyDescent="0.45">
      <c r="A42" s="5" t="s">
        <v>50</v>
      </c>
      <c r="C42" s="8">
        <v>1186353</v>
      </c>
      <c r="E42" s="8">
        <v>66016889296</v>
      </c>
      <c r="G42" s="8">
        <v>56841980423</v>
      </c>
      <c r="I42" s="8">
        <v>9174908873</v>
      </c>
      <c r="K42" s="8">
        <v>1186353</v>
      </c>
      <c r="M42" s="8">
        <v>66016889296</v>
      </c>
      <c r="O42" s="8">
        <v>56841980423</v>
      </c>
      <c r="Q42" s="8">
        <v>9174908873</v>
      </c>
    </row>
    <row r="43" spans="1:17" ht="18.75" x14ac:dyDescent="0.45">
      <c r="A43" s="5" t="s">
        <v>51</v>
      </c>
      <c r="C43" s="8">
        <v>100000</v>
      </c>
      <c r="E43" s="8">
        <v>11377896300</v>
      </c>
      <c r="G43" s="8">
        <v>9054801450</v>
      </c>
      <c r="I43" s="8">
        <v>2323094850</v>
      </c>
      <c r="K43" s="8">
        <v>100000</v>
      </c>
      <c r="M43" s="8">
        <v>11377896300</v>
      </c>
      <c r="O43" s="8">
        <v>9054801450</v>
      </c>
      <c r="Q43" s="8">
        <v>2323094850</v>
      </c>
    </row>
    <row r="44" spans="1:17" ht="18.75" x14ac:dyDescent="0.45">
      <c r="A44" s="5" t="s">
        <v>52</v>
      </c>
      <c r="C44" s="8">
        <v>8163990</v>
      </c>
      <c r="E44" s="8">
        <v>85130695582</v>
      </c>
      <c r="G44" s="8">
        <v>66140626215</v>
      </c>
      <c r="I44" s="8">
        <v>18990069367</v>
      </c>
      <c r="K44" s="8">
        <v>8163990</v>
      </c>
      <c r="M44" s="8">
        <v>85130695582</v>
      </c>
      <c r="O44" s="8">
        <v>66140626215</v>
      </c>
      <c r="Q44" s="8">
        <v>18990069367</v>
      </c>
    </row>
    <row r="45" spans="1:17" ht="18.75" x14ac:dyDescent="0.45">
      <c r="A45" s="5" t="s">
        <v>53</v>
      </c>
      <c r="C45" s="8">
        <v>6003951</v>
      </c>
      <c r="E45" s="8">
        <v>62666388661</v>
      </c>
      <c r="G45" s="8">
        <v>49834699554</v>
      </c>
      <c r="I45" s="8">
        <v>12831689107</v>
      </c>
      <c r="K45" s="8">
        <v>6003951</v>
      </c>
      <c r="M45" s="8">
        <v>62666388661</v>
      </c>
      <c r="O45" s="8">
        <v>49834699554</v>
      </c>
      <c r="Q45" s="8">
        <v>12831689107</v>
      </c>
    </row>
    <row r="46" spans="1:17" ht="18.75" x14ac:dyDescent="0.45">
      <c r="A46" s="5" t="s">
        <v>54</v>
      </c>
      <c r="C46" s="8">
        <v>5400000</v>
      </c>
      <c r="E46" s="8">
        <v>75794324400</v>
      </c>
      <c r="G46" s="8">
        <v>65488014000</v>
      </c>
      <c r="I46" s="8">
        <v>10306310400</v>
      </c>
      <c r="K46" s="8">
        <v>5400000</v>
      </c>
      <c r="M46" s="8">
        <v>75794324400</v>
      </c>
      <c r="O46" s="8">
        <v>65488014000</v>
      </c>
      <c r="Q46" s="8">
        <v>10306310400</v>
      </c>
    </row>
    <row r="47" spans="1:17" ht="18.75" x14ac:dyDescent="0.45">
      <c r="A47" s="5" t="s">
        <v>55</v>
      </c>
      <c r="C47" s="8">
        <v>200000</v>
      </c>
      <c r="E47" s="8">
        <v>5689942200</v>
      </c>
      <c r="G47" s="8">
        <v>4695892200</v>
      </c>
      <c r="I47" s="8">
        <v>994050000</v>
      </c>
      <c r="K47" s="8">
        <v>200000</v>
      </c>
      <c r="M47" s="8">
        <v>5689942200</v>
      </c>
      <c r="O47" s="8">
        <v>4695892200</v>
      </c>
      <c r="Q47" s="8">
        <v>994050000</v>
      </c>
    </row>
    <row r="48" spans="1:17" ht="18.75" x14ac:dyDescent="0.45">
      <c r="A48" s="5" t="s">
        <v>56</v>
      </c>
      <c r="C48" s="8">
        <v>31189045</v>
      </c>
      <c r="E48" s="8">
        <v>55372197745</v>
      </c>
      <c r="G48" s="8">
        <v>49016486358</v>
      </c>
      <c r="I48" s="8">
        <v>6355711387</v>
      </c>
      <c r="K48" s="8">
        <v>31189045</v>
      </c>
      <c r="M48" s="8">
        <v>55372197745</v>
      </c>
      <c r="O48" s="8">
        <v>49016486358</v>
      </c>
      <c r="Q48" s="8">
        <v>6355711387</v>
      </c>
    </row>
    <row r="49" spans="1:17" ht="18.75" x14ac:dyDescent="0.45">
      <c r="A49" s="5" t="s">
        <v>57</v>
      </c>
      <c r="C49" s="8">
        <v>330974</v>
      </c>
      <c r="E49" s="8">
        <v>10580791303</v>
      </c>
      <c r="G49" s="8">
        <v>9541136436</v>
      </c>
      <c r="I49" s="8">
        <v>1039654867</v>
      </c>
      <c r="K49" s="8">
        <v>330974</v>
      </c>
      <c r="M49" s="8">
        <v>10580791303</v>
      </c>
      <c r="O49" s="8">
        <v>9541136436</v>
      </c>
      <c r="Q49" s="8">
        <v>1039654867</v>
      </c>
    </row>
    <row r="50" spans="1:17" ht="18.75" x14ac:dyDescent="0.45">
      <c r="A50" s="5" t="s">
        <v>58</v>
      </c>
      <c r="C50" s="8">
        <v>9448213</v>
      </c>
      <c r="E50" s="8">
        <v>7222445026</v>
      </c>
      <c r="G50" s="8">
        <v>7062781092</v>
      </c>
      <c r="I50" s="8">
        <v>159663934</v>
      </c>
      <c r="K50" s="8">
        <v>9448213</v>
      </c>
      <c r="M50" s="8">
        <v>7222445026</v>
      </c>
      <c r="O50" s="8">
        <v>7062781092</v>
      </c>
      <c r="Q50" s="8">
        <v>159663934</v>
      </c>
    </row>
    <row r="51" spans="1:17" ht="18.75" x14ac:dyDescent="0.45">
      <c r="A51" s="5" t="s">
        <v>59</v>
      </c>
      <c r="C51" s="8">
        <v>10148510</v>
      </c>
      <c r="E51" s="8">
        <v>42117927576</v>
      </c>
      <c r="G51" s="8">
        <v>38072588903</v>
      </c>
      <c r="I51" s="8">
        <v>4045338673</v>
      </c>
      <c r="K51" s="8">
        <v>10148510</v>
      </c>
      <c r="M51" s="8">
        <v>42117927576</v>
      </c>
      <c r="O51" s="8">
        <v>38072588903</v>
      </c>
      <c r="Q51" s="8">
        <v>4045338673</v>
      </c>
    </row>
    <row r="52" spans="1:17" ht="18.75" x14ac:dyDescent="0.45">
      <c r="A52" s="5" t="s">
        <v>60</v>
      </c>
      <c r="C52" s="8">
        <v>249996</v>
      </c>
      <c r="E52" s="8">
        <v>1898605122</v>
      </c>
      <c r="G52" s="8">
        <v>1732104411</v>
      </c>
      <c r="I52" s="8">
        <v>166500711</v>
      </c>
      <c r="K52" s="8">
        <v>249996</v>
      </c>
      <c r="M52" s="8">
        <v>1898605122</v>
      </c>
      <c r="O52" s="8">
        <v>1732104411</v>
      </c>
      <c r="Q52" s="8">
        <v>166500711</v>
      </c>
    </row>
    <row r="53" spans="1:17" ht="18.75" x14ac:dyDescent="0.45">
      <c r="A53" s="5" t="s">
        <v>61</v>
      </c>
      <c r="C53" s="8">
        <v>22396379</v>
      </c>
      <c r="E53" s="8">
        <v>104636666561</v>
      </c>
      <c r="G53" s="8">
        <v>99382570113</v>
      </c>
      <c r="I53" s="8">
        <v>5254096448</v>
      </c>
      <c r="K53" s="8">
        <v>22396379</v>
      </c>
      <c r="M53" s="8">
        <v>104636666561</v>
      </c>
      <c r="O53" s="8">
        <v>99382570113</v>
      </c>
      <c r="Q53" s="8">
        <v>5254096448</v>
      </c>
    </row>
    <row r="54" spans="1:17" ht="18.75" x14ac:dyDescent="0.45">
      <c r="A54" s="5" t="s">
        <v>62</v>
      </c>
      <c r="C54" s="8">
        <v>9664654</v>
      </c>
      <c r="E54" s="8">
        <v>80123625235</v>
      </c>
      <c r="G54" s="8">
        <v>76586335353</v>
      </c>
      <c r="I54" s="8">
        <v>3537289882</v>
      </c>
      <c r="K54" s="8">
        <v>9664654</v>
      </c>
      <c r="M54" s="8">
        <v>80123625235</v>
      </c>
      <c r="O54" s="8">
        <v>76586335353</v>
      </c>
      <c r="Q54" s="8">
        <v>3537289882</v>
      </c>
    </row>
    <row r="55" spans="1:17" ht="18.75" x14ac:dyDescent="0.45">
      <c r="A55" s="5" t="s">
        <v>63</v>
      </c>
      <c r="C55" s="8">
        <v>3975855</v>
      </c>
      <c r="E55" s="8">
        <v>29009138185</v>
      </c>
      <c r="G55" s="8">
        <v>21886945061</v>
      </c>
      <c r="I55" s="8">
        <v>7122193124</v>
      </c>
      <c r="K55" s="8">
        <v>3975855</v>
      </c>
      <c r="M55" s="8">
        <v>29009138185</v>
      </c>
      <c r="O55" s="8">
        <v>21886945061</v>
      </c>
      <c r="Q55" s="8">
        <v>7122193124</v>
      </c>
    </row>
    <row r="56" spans="1:17" ht="18.75" x14ac:dyDescent="0.45">
      <c r="A56" s="5" t="s">
        <v>64</v>
      </c>
      <c r="C56" s="8">
        <v>14021442</v>
      </c>
      <c r="E56" s="8">
        <v>54929714830</v>
      </c>
      <c r="G56" s="8">
        <v>51779723571</v>
      </c>
      <c r="I56" s="8">
        <v>3149991259</v>
      </c>
      <c r="K56" s="8">
        <v>14021442</v>
      </c>
      <c r="M56" s="8">
        <v>54929714830</v>
      </c>
      <c r="O56" s="8">
        <v>51779723571</v>
      </c>
      <c r="Q56" s="8">
        <v>3149991259</v>
      </c>
    </row>
    <row r="57" spans="1:17" ht="18.75" x14ac:dyDescent="0.45">
      <c r="A57" s="5" t="s">
        <v>65</v>
      </c>
      <c r="C57" s="8">
        <v>200000</v>
      </c>
      <c r="E57" s="8">
        <v>1212741000</v>
      </c>
      <c r="G57" s="8">
        <v>1059657300</v>
      </c>
      <c r="I57" s="8">
        <v>153083700</v>
      </c>
      <c r="K57" s="8">
        <v>200000</v>
      </c>
      <c r="M57" s="8">
        <v>1212741000</v>
      </c>
      <c r="O57" s="8">
        <v>1059657300</v>
      </c>
      <c r="Q57" s="8">
        <v>153083700</v>
      </c>
    </row>
    <row r="58" spans="1:17" ht="18.75" x14ac:dyDescent="0.45">
      <c r="A58" s="5" t="s">
        <v>66</v>
      </c>
      <c r="C58" s="8">
        <v>8231319</v>
      </c>
      <c r="E58" s="8">
        <v>25798926382</v>
      </c>
      <c r="G58" s="8">
        <v>23663334949</v>
      </c>
      <c r="I58" s="8">
        <v>2135591433</v>
      </c>
      <c r="K58" s="8">
        <v>8231319</v>
      </c>
      <c r="M58" s="8">
        <v>25798926382</v>
      </c>
      <c r="O58" s="8">
        <v>23663334949</v>
      </c>
      <c r="Q58" s="8">
        <v>2135591433</v>
      </c>
    </row>
    <row r="59" spans="1:17" ht="18.75" x14ac:dyDescent="0.45">
      <c r="A59" s="5" t="s">
        <v>67</v>
      </c>
      <c r="C59" s="8">
        <v>6256631</v>
      </c>
      <c r="E59" s="8">
        <v>36445707707</v>
      </c>
      <c r="G59" s="8">
        <v>33025035482</v>
      </c>
      <c r="I59" s="8">
        <v>3420672225</v>
      </c>
      <c r="K59" s="8">
        <v>6256631</v>
      </c>
      <c r="M59" s="8">
        <v>36445707707</v>
      </c>
      <c r="O59" s="8">
        <v>33025035482</v>
      </c>
      <c r="Q59" s="8">
        <v>3420672225</v>
      </c>
    </row>
    <row r="60" spans="1:17" ht="18.75" x14ac:dyDescent="0.45">
      <c r="A60" s="5" t="s">
        <v>68</v>
      </c>
      <c r="C60" s="8">
        <v>4666666</v>
      </c>
      <c r="E60" s="8">
        <v>16941260380</v>
      </c>
      <c r="G60" s="8">
        <v>15215589826</v>
      </c>
      <c r="I60" s="8">
        <v>1725670554</v>
      </c>
      <c r="K60" s="8">
        <v>4666666</v>
      </c>
      <c r="M60" s="8">
        <v>16941260380</v>
      </c>
      <c r="O60" s="8">
        <v>15215589826</v>
      </c>
      <c r="Q60" s="8">
        <v>1725670554</v>
      </c>
    </row>
    <row r="61" spans="1:17" ht="18.75" x14ac:dyDescent="0.45">
      <c r="A61" s="5" t="s">
        <v>69</v>
      </c>
      <c r="C61" s="8">
        <v>17704932</v>
      </c>
      <c r="E61" s="8">
        <v>117037257903</v>
      </c>
      <c r="G61" s="8">
        <v>96973727977</v>
      </c>
      <c r="I61" s="8">
        <v>20063529926</v>
      </c>
      <c r="K61" s="8">
        <v>17704932</v>
      </c>
      <c r="M61" s="8">
        <v>117037257903</v>
      </c>
      <c r="O61" s="8">
        <v>96973727977</v>
      </c>
      <c r="Q61" s="8">
        <v>20063529926</v>
      </c>
    </row>
    <row r="62" spans="1:17" ht="18.75" x14ac:dyDescent="0.45">
      <c r="A62" s="5" t="s">
        <v>70</v>
      </c>
      <c r="C62" s="8">
        <v>444699</v>
      </c>
      <c r="E62" s="8">
        <v>5950033931</v>
      </c>
      <c r="G62" s="8">
        <v>5720166350</v>
      </c>
      <c r="I62" s="8">
        <v>229867581</v>
      </c>
      <c r="K62" s="8">
        <v>444699</v>
      </c>
      <c r="M62" s="8">
        <v>5950033931</v>
      </c>
      <c r="O62" s="8">
        <v>5720166350</v>
      </c>
      <c r="Q62" s="8">
        <v>229867581</v>
      </c>
    </row>
    <row r="63" spans="1:17" ht="18.75" x14ac:dyDescent="0.45">
      <c r="A63" s="5" t="s">
        <v>71</v>
      </c>
      <c r="C63" s="8">
        <v>3682657</v>
      </c>
      <c r="E63" s="8">
        <v>32214557679</v>
      </c>
      <c r="G63" s="8">
        <v>31702053353</v>
      </c>
      <c r="I63" s="8">
        <v>512504326</v>
      </c>
      <c r="K63" s="8">
        <v>3682657</v>
      </c>
      <c r="M63" s="8">
        <v>32214557679</v>
      </c>
      <c r="O63" s="8">
        <v>31702053353</v>
      </c>
      <c r="Q63" s="8">
        <v>512504326</v>
      </c>
    </row>
    <row r="64" spans="1:17" ht="18.75" x14ac:dyDescent="0.45">
      <c r="A64" s="5" t="s">
        <v>72</v>
      </c>
      <c r="C64" s="8">
        <v>250000</v>
      </c>
      <c r="E64" s="8">
        <v>3764964375</v>
      </c>
      <c r="G64" s="8">
        <v>3484145250</v>
      </c>
      <c r="I64" s="8">
        <v>280819125</v>
      </c>
      <c r="K64" s="8">
        <v>250000</v>
      </c>
      <c r="M64" s="8">
        <v>3764964375</v>
      </c>
      <c r="O64" s="8">
        <v>3484145250</v>
      </c>
      <c r="Q64" s="8">
        <v>280819125</v>
      </c>
    </row>
    <row r="65" spans="1:17" ht="18.75" x14ac:dyDescent="0.45">
      <c r="A65" s="5" t="s">
        <v>73</v>
      </c>
      <c r="C65" s="8">
        <v>16300000</v>
      </c>
      <c r="E65" s="8">
        <v>168835416300</v>
      </c>
      <c r="G65" s="8">
        <v>148743677700</v>
      </c>
      <c r="I65" s="8">
        <v>20091738600</v>
      </c>
      <c r="K65" s="8">
        <v>16300000</v>
      </c>
      <c r="M65" s="8">
        <v>168835416300</v>
      </c>
      <c r="O65" s="8">
        <v>148743677700</v>
      </c>
      <c r="Q65" s="8">
        <v>20091738600</v>
      </c>
    </row>
    <row r="66" spans="1:17" ht="18.75" x14ac:dyDescent="0.45">
      <c r="A66" s="5" t="s">
        <v>74</v>
      </c>
      <c r="C66" s="8">
        <v>7868802</v>
      </c>
      <c r="E66" s="8">
        <v>31366150339</v>
      </c>
      <c r="G66" s="8">
        <v>27032771963</v>
      </c>
      <c r="I66" s="8">
        <v>4333378376</v>
      </c>
      <c r="K66" s="8">
        <v>7868802</v>
      </c>
      <c r="M66" s="8">
        <v>31366150339</v>
      </c>
      <c r="O66" s="8">
        <v>27032771963</v>
      </c>
      <c r="Q66" s="8">
        <v>4333378376</v>
      </c>
    </row>
    <row r="67" spans="1:17" ht="18.75" x14ac:dyDescent="0.45">
      <c r="A67" s="5" t="s">
        <v>75</v>
      </c>
      <c r="C67" s="8">
        <v>5155597</v>
      </c>
      <c r="E67" s="8">
        <v>15815506817</v>
      </c>
      <c r="G67" s="8">
        <v>12371559772</v>
      </c>
      <c r="I67" s="8">
        <v>3443947045</v>
      </c>
      <c r="K67" s="8">
        <v>5155597</v>
      </c>
      <c r="M67" s="8">
        <v>15815506817</v>
      </c>
      <c r="O67" s="8">
        <v>12371559772</v>
      </c>
      <c r="Q67" s="8">
        <v>3443947045</v>
      </c>
    </row>
    <row r="68" spans="1:17" ht="18.75" x14ac:dyDescent="0.45">
      <c r="A68" s="5" t="s">
        <v>76</v>
      </c>
      <c r="C68" s="8">
        <v>7919951</v>
      </c>
      <c r="E68" s="8">
        <v>48260431297</v>
      </c>
      <c r="G68" s="8">
        <v>40072690914</v>
      </c>
      <c r="I68" s="8">
        <v>8187740383</v>
      </c>
      <c r="K68" s="8">
        <v>7919951</v>
      </c>
      <c r="M68" s="8">
        <v>48260431297</v>
      </c>
      <c r="O68" s="8">
        <v>40072690914</v>
      </c>
      <c r="Q68" s="8">
        <v>8187740383</v>
      </c>
    </row>
    <row r="69" spans="1:17" ht="18.75" x14ac:dyDescent="0.45">
      <c r="A69" s="5" t="s">
        <v>77</v>
      </c>
      <c r="C69" s="8">
        <v>1313770</v>
      </c>
      <c r="E69" s="8">
        <v>54275409527</v>
      </c>
      <c r="G69" s="8">
        <v>45525523968</v>
      </c>
      <c r="I69" s="8">
        <v>8749885559</v>
      </c>
      <c r="K69" s="8">
        <v>1313770</v>
      </c>
      <c r="M69" s="8">
        <v>54275409527</v>
      </c>
      <c r="O69" s="8">
        <v>45525523968</v>
      </c>
      <c r="Q69" s="8">
        <v>8749885559</v>
      </c>
    </row>
    <row r="70" spans="1:17" ht="18.75" x14ac:dyDescent="0.45">
      <c r="A70" s="5" t="s">
        <v>78</v>
      </c>
      <c r="C70" s="8">
        <v>8971553</v>
      </c>
      <c r="E70" s="8">
        <v>33291537045</v>
      </c>
      <c r="G70" s="8">
        <v>30785530640</v>
      </c>
      <c r="I70" s="8">
        <v>2506006405</v>
      </c>
      <c r="K70" s="8">
        <v>8971553</v>
      </c>
      <c r="M70" s="8">
        <v>33291537045</v>
      </c>
      <c r="O70" s="8">
        <v>30785530640</v>
      </c>
      <c r="Q70" s="8">
        <v>2506006405</v>
      </c>
    </row>
    <row r="71" spans="1:17" ht="37.5" x14ac:dyDescent="0.45">
      <c r="A71" s="5" t="s">
        <v>79</v>
      </c>
      <c r="C71" s="8">
        <v>700000</v>
      </c>
      <c r="E71" s="8">
        <v>9887815350</v>
      </c>
      <c r="G71" s="8">
        <v>9581647950</v>
      </c>
      <c r="I71" s="8">
        <v>306167400</v>
      </c>
      <c r="K71" s="8">
        <v>700000</v>
      </c>
      <c r="M71" s="8">
        <v>9887815350</v>
      </c>
      <c r="O71" s="8">
        <v>9581647950</v>
      </c>
      <c r="Q71" s="8">
        <v>306167400</v>
      </c>
    </row>
    <row r="72" spans="1:17" ht="18.75" x14ac:dyDescent="0.45">
      <c r="A72" s="5" t="s">
        <v>80</v>
      </c>
      <c r="C72" s="8">
        <v>7700000</v>
      </c>
      <c r="E72" s="8">
        <v>45695484450</v>
      </c>
      <c r="G72" s="8">
        <v>41638766400</v>
      </c>
      <c r="I72" s="8">
        <v>4056718050</v>
      </c>
      <c r="K72" s="8">
        <v>7700000</v>
      </c>
      <c r="M72" s="8">
        <v>45695484450</v>
      </c>
      <c r="O72" s="8">
        <v>41638766400</v>
      </c>
      <c r="Q72" s="8">
        <v>4056718050</v>
      </c>
    </row>
    <row r="73" spans="1:17" ht="18.75" x14ac:dyDescent="0.45">
      <c r="A73" s="5" t="s">
        <v>81</v>
      </c>
      <c r="C73" s="8">
        <v>11300000</v>
      </c>
      <c r="E73" s="8">
        <v>111878339400</v>
      </c>
      <c r="G73" s="8">
        <v>101207212650</v>
      </c>
      <c r="I73" s="8">
        <v>10671126750</v>
      </c>
      <c r="K73" s="8">
        <v>11300000</v>
      </c>
      <c r="M73" s="8">
        <v>111878339400</v>
      </c>
      <c r="O73" s="8">
        <v>101207212650</v>
      </c>
      <c r="Q73" s="8">
        <v>10671126750</v>
      </c>
    </row>
    <row r="74" spans="1:17" ht="18.75" x14ac:dyDescent="0.45">
      <c r="A74" s="5" t="s">
        <v>82</v>
      </c>
      <c r="C74" s="8">
        <v>1999999</v>
      </c>
      <c r="E74" s="8">
        <v>8743659428</v>
      </c>
      <c r="G74" s="8">
        <v>7151192124</v>
      </c>
      <c r="I74" s="8">
        <v>1592467304</v>
      </c>
      <c r="K74" s="8">
        <v>1999999</v>
      </c>
      <c r="M74" s="8">
        <v>8743659428</v>
      </c>
      <c r="O74" s="8">
        <v>7151192124</v>
      </c>
      <c r="Q74" s="8">
        <v>1592467304</v>
      </c>
    </row>
    <row r="75" spans="1:17" ht="18.75" x14ac:dyDescent="0.45">
      <c r="A75" s="5" t="s">
        <v>83</v>
      </c>
      <c r="C75" s="8">
        <v>18635760</v>
      </c>
      <c r="E75" s="8">
        <v>74118033789</v>
      </c>
      <c r="G75" s="8">
        <v>59261082252</v>
      </c>
      <c r="I75" s="8">
        <v>14856951537</v>
      </c>
      <c r="K75" s="8">
        <v>18635760</v>
      </c>
      <c r="M75" s="8">
        <v>74118033789</v>
      </c>
      <c r="O75" s="8">
        <v>59261082252</v>
      </c>
      <c r="Q75" s="8">
        <v>14856951537</v>
      </c>
    </row>
    <row r="76" spans="1:17" ht="18.75" x14ac:dyDescent="0.45">
      <c r="A76" s="5" t="s">
        <v>84</v>
      </c>
      <c r="C76" s="8">
        <v>25703048</v>
      </c>
      <c r="E76" s="8">
        <v>47088861695</v>
      </c>
      <c r="G76" s="8">
        <v>40215880797</v>
      </c>
      <c r="I76" s="8">
        <v>6872980898</v>
      </c>
      <c r="K76" s="8">
        <v>25703048</v>
      </c>
      <c r="M76" s="8">
        <v>47088861695</v>
      </c>
      <c r="O76" s="8">
        <v>40215880797</v>
      </c>
      <c r="Q76" s="8">
        <v>6872980898</v>
      </c>
    </row>
    <row r="77" spans="1:17" ht="18.75" x14ac:dyDescent="0.45">
      <c r="A77" s="5" t="s">
        <v>85</v>
      </c>
      <c r="C77" s="8">
        <v>177678</v>
      </c>
      <c r="E77" s="8">
        <v>7995624336</v>
      </c>
      <c r="G77" s="8">
        <v>6411335617</v>
      </c>
      <c r="I77" s="8">
        <v>1584288719</v>
      </c>
      <c r="K77" s="8">
        <v>177678</v>
      </c>
      <c r="M77" s="8">
        <v>7995624336</v>
      </c>
      <c r="O77" s="8">
        <v>6411335617</v>
      </c>
      <c r="Q77" s="8">
        <v>1584288719</v>
      </c>
    </row>
    <row r="78" spans="1:17" ht="18.75" x14ac:dyDescent="0.45">
      <c r="A78" s="5" t="s">
        <v>86</v>
      </c>
      <c r="C78" s="8">
        <v>123</v>
      </c>
      <c r="E78" s="8">
        <v>3490756</v>
      </c>
      <c r="G78" s="8">
        <v>2749811</v>
      </c>
      <c r="I78" s="8">
        <v>740945</v>
      </c>
      <c r="K78" s="8">
        <v>123</v>
      </c>
      <c r="M78" s="8">
        <v>3490756</v>
      </c>
      <c r="O78" s="8">
        <v>2749811</v>
      </c>
      <c r="Q78" s="8">
        <v>740945</v>
      </c>
    </row>
    <row r="79" spans="1:17" ht="18.75" x14ac:dyDescent="0.45">
      <c r="A79" s="5" t="s">
        <v>87</v>
      </c>
      <c r="C79" s="8">
        <v>4260000</v>
      </c>
      <c r="E79" s="8">
        <v>15735970548</v>
      </c>
      <c r="G79" s="8">
        <v>14554502361</v>
      </c>
      <c r="I79" s="8">
        <v>1181468187</v>
      </c>
      <c r="K79" s="8">
        <v>4260000</v>
      </c>
      <c r="M79" s="8">
        <v>15735970548</v>
      </c>
      <c r="O79" s="8">
        <v>14554502361</v>
      </c>
      <c r="Q79" s="8">
        <v>1181468187</v>
      </c>
    </row>
    <row r="80" spans="1:17" ht="18.75" x14ac:dyDescent="0.45">
      <c r="A80" s="5" t="s">
        <v>88</v>
      </c>
      <c r="C80" s="8">
        <v>3009494</v>
      </c>
      <c r="E80" s="8">
        <v>28719240103</v>
      </c>
      <c r="G80" s="8">
        <v>27103782847</v>
      </c>
      <c r="I80" s="8">
        <v>1615457256</v>
      </c>
      <c r="K80" s="8">
        <v>3009494</v>
      </c>
      <c r="M80" s="8">
        <v>28719240103</v>
      </c>
      <c r="O80" s="8">
        <v>27103782847</v>
      </c>
      <c r="Q80" s="8">
        <v>1615457256</v>
      </c>
    </row>
    <row r="81" spans="1:17" ht="18.75" x14ac:dyDescent="0.45">
      <c r="A81" s="5" t="s">
        <v>89</v>
      </c>
      <c r="C81" s="8">
        <v>4613772</v>
      </c>
      <c r="E81" s="8">
        <v>37424371662</v>
      </c>
      <c r="G81" s="8">
        <v>31141113184</v>
      </c>
      <c r="I81" s="8">
        <v>6283258478</v>
      </c>
      <c r="K81" s="8">
        <v>4613772</v>
      </c>
      <c r="M81" s="8">
        <v>37424371662</v>
      </c>
      <c r="O81" s="8">
        <v>31141113184</v>
      </c>
      <c r="Q81" s="8">
        <v>6283258478</v>
      </c>
    </row>
    <row r="82" spans="1:17" ht="18.75" x14ac:dyDescent="0.45">
      <c r="A82" s="5" t="s">
        <v>90</v>
      </c>
      <c r="C82" s="8">
        <v>400000</v>
      </c>
      <c r="E82" s="8">
        <v>1245743460</v>
      </c>
      <c r="G82" s="8">
        <v>1047728700</v>
      </c>
      <c r="I82" s="8">
        <v>198014760</v>
      </c>
      <c r="K82" s="8">
        <v>400000</v>
      </c>
      <c r="M82" s="8">
        <v>1245743460</v>
      </c>
      <c r="O82" s="8">
        <v>1047728700</v>
      </c>
      <c r="Q82" s="8">
        <v>198014760</v>
      </c>
    </row>
    <row r="83" spans="1:17" ht="18.75" x14ac:dyDescent="0.45">
      <c r="A83" s="5" t="s">
        <v>91</v>
      </c>
      <c r="C83" s="8">
        <v>407809</v>
      </c>
      <c r="E83" s="8">
        <v>15996394888</v>
      </c>
      <c r="G83" s="8">
        <v>14630255740</v>
      </c>
      <c r="I83" s="8">
        <v>1366139148</v>
      </c>
      <c r="K83" s="8">
        <v>407809</v>
      </c>
      <c r="M83" s="8">
        <v>15996394888</v>
      </c>
      <c r="O83" s="8">
        <v>14630255740</v>
      </c>
      <c r="Q83" s="8">
        <v>1366139148</v>
      </c>
    </row>
    <row r="84" spans="1:17" ht="18.75" x14ac:dyDescent="0.45">
      <c r="A84" s="5" t="s">
        <v>92</v>
      </c>
      <c r="C84" s="8">
        <v>6132725</v>
      </c>
      <c r="E84" s="8">
        <v>137774917469</v>
      </c>
      <c r="G84" s="8">
        <v>114426336323</v>
      </c>
      <c r="I84" s="8">
        <v>23348581146</v>
      </c>
      <c r="K84" s="8">
        <v>6132725</v>
      </c>
      <c r="M84" s="8">
        <v>137774917469</v>
      </c>
      <c r="O84" s="8">
        <v>114426336323</v>
      </c>
      <c r="Q84" s="8">
        <v>23348581146</v>
      </c>
    </row>
    <row r="85" spans="1:17" ht="18.75" x14ac:dyDescent="0.45">
      <c r="A85" s="5" t="s">
        <v>93</v>
      </c>
      <c r="C85" s="8">
        <v>50000</v>
      </c>
      <c r="E85" s="8">
        <v>14894348175</v>
      </c>
      <c r="G85" s="8">
        <v>12593619450</v>
      </c>
      <c r="I85" s="8">
        <v>2300728725</v>
      </c>
      <c r="K85" s="8">
        <v>50000</v>
      </c>
      <c r="M85" s="8">
        <v>14894348175</v>
      </c>
      <c r="O85" s="8">
        <v>12593619450</v>
      </c>
      <c r="Q85" s="8">
        <v>2300728725</v>
      </c>
    </row>
    <row r="86" spans="1:17" ht="18.75" x14ac:dyDescent="0.45">
      <c r="A86" s="5" t="s">
        <v>94</v>
      </c>
      <c r="C86" s="8">
        <v>1947948</v>
      </c>
      <c r="E86" s="8">
        <v>63318897097</v>
      </c>
      <c r="G86" s="8">
        <v>57897095511</v>
      </c>
      <c r="I86" s="8">
        <v>5421801586</v>
      </c>
      <c r="K86" s="8">
        <v>1947948</v>
      </c>
      <c r="M86" s="8">
        <v>63318897097</v>
      </c>
      <c r="O86" s="8">
        <v>57897095511</v>
      </c>
      <c r="Q86" s="8">
        <v>5421801586</v>
      </c>
    </row>
    <row r="87" spans="1:17" ht="18.75" x14ac:dyDescent="0.45">
      <c r="A87" s="5" t="s">
        <v>95</v>
      </c>
      <c r="C87" s="8">
        <v>450000</v>
      </c>
      <c r="E87" s="8">
        <v>10422614250</v>
      </c>
      <c r="G87" s="8">
        <v>8423082675</v>
      </c>
      <c r="I87" s="8">
        <v>1999531575</v>
      </c>
      <c r="K87" s="8">
        <v>450000</v>
      </c>
      <c r="M87" s="8">
        <v>10422614250</v>
      </c>
      <c r="O87" s="8">
        <v>8423082675</v>
      </c>
      <c r="Q87" s="8">
        <v>1999531575</v>
      </c>
    </row>
    <row r="88" spans="1:17" ht="18.75" x14ac:dyDescent="0.45">
      <c r="A88" s="5" t="s">
        <v>96</v>
      </c>
      <c r="C88" s="8">
        <v>3101480</v>
      </c>
      <c r="E88" s="8">
        <v>8617058212</v>
      </c>
      <c r="G88" s="8">
        <v>8082963468</v>
      </c>
      <c r="I88" s="8">
        <v>534094744</v>
      </c>
      <c r="K88" s="8">
        <v>3101480</v>
      </c>
      <c r="M88" s="8">
        <v>8617058212</v>
      </c>
      <c r="O88" s="8">
        <v>8082963468</v>
      </c>
      <c r="Q88" s="8">
        <v>534094744</v>
      </c>
    </row>
    <row r="89" spans="1:17" ht="18.75" x14ac:dyDescent="0.45">
      <c r="A89" s="5" t="s">
        <v>97</v>
      </c>
      <c r="C89" s="8">
        <v>452220</v>
      </c>
      <c r="E89" s="8">
        <v>806905077</v>
      </c>
      <c r="G89" s="8">
        <v>871041312</v>
      </c>
      <c r="I89" s="8">
        <v>-64136235</v>
      </c>
      <c r="K89" s="8">
        <v>452220</v>
      </c>
      <c r="M89" s="8">
        <v>806905077</v>
      </c>
      <c r="O89" s="8">
        <v>871041312</v>
      </c>
      <c r="Q89" s="8">
        <v>-64136235</v>
      </c>
    </row>
    <row r="90" spans="1:17" ht="37.5" x14ac:dyDescent="0.45">
      <c r="A90" s="5" t="s">
        <v>98</v>
      </c>
      <c r="C90" s="8">
        <v>21600000</v>
      </c>
      <c r="E90" s="8">
        <v>29716528320</v>
      </c>
      <c r="G90" s="8">
        <v>28728840240</v>
      </c>
      <c r="I90" s="8">
        <v>987688080</v>
      </c>
      <c r="K90" s="8">
        <v>21600000</v>
      </c>
      <c r="M90" s="8">
        <v>29716528320</v>
      </c>
      <c r="O90" s="8">
        <v>28728840240</v>
      </c>
      <c r="Q90" s="8">
        <v>987688080</v>
      </c>
    </row>
    <row r="91" spans="1:17" ht="18.75" x14ac:dyDescent="0.45">
      <c r="A91" s="10" t="s">
        <v>99</v>
      </c>
      <c r="C91" s="10">
        <f>SUM(C9:$C$90)</f>
        <v>574627356</v>
      </c>
      <c r="E91" s="10">
        <f>SUM(E9:$E$90)</f>
        <v>3110824737354</v>
      </c>
      <c r="G91" s="10">
        <f>SUM(G9:$G$90)</f>
        <v>2708641470219</v>
      </c>
      <c r="I91" s="10">
        <f>SUM(I9:$I$90)</f>
        <v>402183267135</v>
      </c>
      <c r="K91" s="10">
        <f>SUM(K9:$K$90)</f>
        <v>574627356</v>
      </c>
      <c r="M91" s="10">
        <f>SUM(M9:$M$90)</f>
        <v>3110824737354</v>
      </c>
      <c r="O91" s="10">
        <f>SUM(O9:$O$90)</f>
        <v>2708641470219</v>
      </c>
      <c r="Q91" s="10">
        <f>SUM(Q9:$Q$90)</f>
        <v>402183267135</v>
      </c>
    </row>
    <row r="92" spans="1:17" ht="18.75" x14ac:dyDescent="0.45">
      <c r="C92" s="12"/>
      <c r="E92" s="12"/>
      <c r="G92" s="12"/>
      <c r="I92" s="12"/>
      <c r="K92" s="12"/>
      <c r="M92" s="12"/>
      <c r="O92" s="12"/>
      <c r="Q92" s="12"/>
    </row>
    <row r="94" spans="1:17" ht="18.75" x14ac:dyDescent="0.45">
      <c r="A94" s="38" t="s">
        <v>167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40"/>
    </row>
  </sheetData>
  <mergeCells count="7">
    <mergeCell ref="A94:Q94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88"/>
  <sheetViews>
    <sheetView rightToLeft="1" view="pageBreakPreview" topLeftCell="A58" zoomScale="68" zoomScaleNormal="100" zoomScaleSheetLayoutView="68" workbookViewId="0">
      <selection activeCell="AT13" sqref="AT13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71093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28.42578125" style="1" customWidth="1"/>
    <col min="20" max="20" width="1.42578125" style="1" customWidth="1"/>
    <col min="21" max="21" width="10.7109375" style="1" customWidth="1"/>
    <col min="22" max="16384" width="9.140625" style="1"/>
  </cols>
  <sheetData>
    <row r="1" spans="1:2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5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5" spans="1:25" ht="21" x14ac:dyDescent="0.45">
      <c r="A5" s="34" t="s">
        <v>171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7" spans="1:25" ht="21" x14ac:dyDescent="0.45">
      <c r="C7" s="27" t="s">
        <v>154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  <c r="R7" s="28"/>
      <c r="S7" s="28"/>
      <c r="T7" s="28"/>
      <c r="U7" s="28"/>
    </row>
    <row r="8" spans="1:25" ht="42" x14ac:dyDescent="0.45">
      <c r="A8" s="3" t="s">
        <v>172</v>
      </c>
      <c r="C8" s="16" t="s">
        <v>152</v>
      </c>
      <c r="E8" s="16" t="s">
        <v>173</v>
      </c>
      <c r="G8" s="16" t="s">
        <v>174</v>
      </c>
      <c r="I8" s="16" t="s">
        <v>175</v>
      </c>
      <c r="K8" s="16" t="s">
        <v>176</v>
      </c>
      <c r="M8" s="16" t="s">
        <v>152</v>
      </c>
      <c r="O8" s="16" t="s">
        <v>173</v>
      </c>
      <c r="Q8" s="16" t="s">
        <v>174</v>
      </c>
      <c r="S8" s="16" t="s">
        <v>175</v>
      </c>
      <c r="U8" s="16" t="s">
        <v>176</v>
      </c>
      <c r="Y8" s="18"/>
    </row>
    <row r="9" spans="1:25" ht="18.75" x14ac:dyDescent="0.45">
      <c r="A9" s="5" t="s">
        <v>17</v>
      </c>
      <c r="C9" s="8">
        <v>0</v>
      </c>
      <c r="E9" s="8">
        <v>1474673</v>
      </c>
      <c r="G9" s="8">
        <v>0</v>
      </c>
      <c r="I9" s="8">
        <v>1474673</v>
      </c>
      <c r="K9" s="9">
        <v>3.651810270801212E-6</v>
      </c>
      <c r="M9" s="8">
        <v>0</v>
      </c>
      <c r="O9" s="8">
        <v>1474673</v>
      </c>
      <c r="Q9" s="8">
        <v>0</v>
      </c>
      <c r="S9" s="8">
        <v>1474673</v>
      </c>
      <c r="U9" s="9">
        <v>3.651810270801212E-6</v>
      </c>
    </row>
    <row r="10" spans="1:25" ht="18.75" x14ac:dyDescent="0.45">
      <c r="A10" s="5" t="s">
        <v>18</v>
      </c>
      <c r="C10" s="8">
        <v>0</v>
      </c>
      <c r="E10" s="8">
        <v>96919875</v>
      </c>
      <c r="G10" s="8">
        <v>0</v>
      </c>
      <c r="I10" s="8">
        <v>96919875</v>
      </c>
      <c r="K10" s="9">
        <v>2.4000778136561095E-4</v>
      </c>
      <c r="M10" s="8">
        <v>0</v>
      </c>
      <c r="O10" s="8">
        <v>96919875</v>
      </c>
      <c r="Q10" s="8">
        <v>0</v>
      </c>
      <c r="S10" s="8">
        <v>96919875</v>
      </c>
      <c r="U10" s="9">
        <v>2.4000778136561095E-4</v>
      </c>
    </row>
    <row r="11" spans="1:25" ht="18.75" x14ac:dyDescent="0.45">
      <c r="A11" s="5" t="s">
        <v>19</v>
      </c>
      <c r="C11" s="8">
        <v>0</v>
      </c>
      <c r="E11" s="8">
        <v>168044153</v>
      </c>
      <c r="G11" s="8">
        <v>0</v>
      </c>
      <c r="I11" s="8">
        <v>168044153</v>
      </c>
      <c r="K11" s="9">
        <v>4.1613656985208945E-4</v>
      </c>
      <c r="M11" s="8">
        <v>0</v>
      </c>
      <c r="O11" s="8">
        <v>168044153</v>
      </c>
      <c r="Q11" s="8">
        <v>0</v>
      </c>
      <c r="S11" s="8">
        <v>168044153</v>
      </c>
      <c r="U11" s="9">
        <v>4.1613656985208945E-4</v>
      </c>
    </row>
    <row r="12" spans="1:25" ht="18.75" x14ac:dyDescent="0.45">
      <c r="A12" s="5" t="s">
        <v>177</v>
      </c>
      <c r="C12" s="8">
        <v>0</v>
      </c>
      <c r="E12" s="8">
        <v>2103161172</v>
      </c>
      <c r="G12" s="8">
        <v>0</v>
      </c>
      <c r="I12" s="8">
        <v>2103161172</v>
      </c>
      <c r="K12" s="9">
        <v>5.2081685696150357E-3</v>
      </c>
      <c r="M12" s="8">
        <v>0</v>
      </c>
      <c r="O12" s="8">
        <v>2103161172</v>
      </c>
      <c r="Q12" s="8">
        <v>0</v>
      </c>
      <c r="S12" s="8">
        <v>2103161172</v>
      </c>
      <c r="U12" s="9">
        <v>5.2081685696150357E-3</v>
      </c>
    </row>
    <row r="13" spans="1:25" ht="18.75" x14ac:dyDescent="0.45">
      <c r="A13" s="5" t="s">
        <v>21</v>
      </c>
      <c r="C13" s="8">
        <v>0</v>
      </c>
      <c r="E13" s="8">
        <v>1752400208</v>
      </c>
      <c r="G13" s="8">
        <v>0</v>
      </c>
      <c r="I13" s="8">
        <v>1752400208</v>
      </c>
      <c r="K13" s="9">
        <v>4.3395607555902762E-3</v>
      </c>
      <c r="M13" s="8">
        <v>0</v>
      </c>
      <c r="O13" s="8">
        <v>1752400208</v>
      </c>
      <c r="Q13" s="8">
        <v>0</v>
      </c>
      <c r="S13" s="8">
        <v>1752400208</v>
      </c>
      <c r="U13" s="9">
        <v>4.3395607555902762E-3</v>
      </c>
    </row>
    <row r="14" spans="1:25" ht="18.75" x14ac:dyDescent="0.45">
      <c r="A14" s="5" t="s">
        <v>22</v>
      </c>
      <c r="C14" s="8">
        <v>0</v>
      </c>
      <c r="E14" s="8">
        <v>5551466873</v>
      </c>
      <c r="G14" s="8">
        <v>0</v>
      </c>
      <c r="I14" s="8">
        <v>5551466873</v>
      </c>
      <c r="K14" s="9">
        <v>1.3747389248215764E-2</v>
      </c>
      <c r="M14" s="8">
        <v>0</v>
      </c>
      <c r="O14" s="8">
        <v>5551466873</v>
      </c>
      <c r="Q14" s="8">
        <v>0</v>
      </c>
      <c r="S14" s="8">
        <v>5551466873</v>
      </c>
      <c r="U14" s="9">
        <v>1.3747389248215764E-2</v>
      </c>
    </row>
    <row r="15" spans="1:25" ht="18.75" x14ac:dyDescent="0.45">
      <c r="A15" s="5" t="s">
        <v>23</v>
      </c>
      <c r="C15" s="8">
        <v>0</v>
      </c>
      <c r="E15" s="8">
        <v>1450117466</v>
      </c>
      <c r="G15" s="8">
        <v>0</v>
      </c>
      <c r="I15" s="8">
        <v>1450117466</v>
      </c>
      <c r="K15" s="9">
        <v>3.591002111116856E-3</v>
      </c>
      <c r="M15" s="8">
        <v>0</v>
      </c>
      <c r="O15" s="8">
        <v>1450117466</v>
      </c>
      <c r="Q15" s="8">
        <v>0</v>
      </c>
      <c r="S15" s="8">
        <v>1450117466</v>
      </c>
      <c r="U15" s="9">
        <v>3.591002111116856E-3</v>
      </c>
    </row>
    <row r="16" spans="1:25" ht="18.75" x14ac:dyDescent="0.45">
      <c r="A16" s="5" t="s">
        <v>24</v>
      </c>
      <c r="C16" s="8">
        <v>0</v>
      </c>
      <c r="E16" s="8">
        <v>9283234140</v>
      </c>
      <c r="G16" s="8">
        <v>0</v>
      </c>
      <c r="I16" s="8">
        <v>9283234140</v>
      </c>
      <c r="K16" s="9">
        <v>2.2988560703765822E-2</v>
      </c>
      <c r="M16" s="8">
        <v>0</v>
      </c>
      <c r="O16" s="8">
        <v>9283234140</v>
      </c>
      <c r="Q16" s="8">
        <v>0</v>
      </c>
      <c r="S16" s="8">
        <v>9283234140</v>
      </c>
      <c r="U16" s="9">
        <v>2.2988560703765822E-2</v>
      </c>
    </row>
    <row r="17" spans="1:21" ht="18.75" x14ac:dyDescent="0.45">
      <c r="A17" s="5" t="s">
        <v>25</v>
      </c>
      <c r="C17" s="8">
        <v>0</v>
      </c>
      <c r="E17" s="8">
        <v>924466500</v>
      </c>
      <c r="G17" s="8">
        <v>0</v>
      </c>
      <c r="I17" s="8">
        <v>924466500</v>
      </c>
      <c r="K17" s="9">
        <v>2.289304991487366E-3</v>
      </c>
      <c r="M17" s="8">
        <v>0</v>
      </c>
      <c r="O17" s="8">
        <v>924466500</v>
      </c>
      <c r="Q17" s="8">
        <v>0</v>
      </c>
      <c r="S17" s="8">
        <v>924466500</v>
      </c>
      <c r="U17" s="9">
        <v>2.289304991487366E-3</v>
      </c>
    </row>
    <row r="18" spans="1:21" ht="18.75" x14ac:dyDescent="0.45">
      <c r="A18" s="5" t="s">
        <v>178</v>
      </c>
      <c r="C18" s="8">
        <v>0</v>
      </c>
      <c r="E18" s="8">
        <v>6386216682</v>
      </c>
      <c r="G18" s="8">
        <v>0</v>
      </c>
      <c r="I18" s="8">
        <v>6386216682</v>
      </c>
      <c r="K18" s="9">
        <v>1.5814524081535119E-2</v>
      </c>
      <c r="M18" s="8">
        <v>0</v>
      </c>
      <c r="O18" s="8">
        <v>6386216682</v>
      </c>
      <c r="Q18" s="8">
        <v>0</v>
      </c>
      <c r="S18" s="8">
        <v>6386216682</v>
      </c>
      <c r="U18" s="9">
        <v>1.5814524081535119E-2</v>
      </c>
    </row>
    <row r="19" spans="1:21" ht="18.75" x14ac:dyDescent="0.45">
      <c r="A19" s="5" t="s">
        <v>26</v>
      </c>
      <c r="C19" s="8">
        <v>0</v>
      </c>
      <c r="E19" s="8">
        <v>408803063</v>
      </c>
      <c r="G19" s="8">
        <v>0</v>
      </c>
      <c r="I19" s="8">
        <v>408803063</v>
      </c>
      <c r="K19" s="9">
        <v>1.0123405149469712E-3</v>
      </c>
      <c r="M19" s="8">
        <v>0</v>
      </c>
      <c r="O19" s="8">
        <v>408803063</v>
      </c>
      <c r="Q19" s="8">
        <v>0</v>
      </c>
      <c r="S19" s="8">
        <v>408803063</v>
      </c>
      <c r="U19" s="9">
        <v>1.0123405149469712E-3</v>
      </c>
    </row>
    <row r="20" spans="1:21" ht="18.75" x14ac:dyDescent="0.45">
      <c r="A20" s="5" t="s">
        <v>28</v>
      </c>
      <c r="C20" s="8">
        <v>0</v>
      </c>
      <c r="E20" s="8">
        <v>504791016</v>
      </c>
      <c r="G20" s="8">
        <v>0</v>
      </c>
      <c r="I20" s="8">
        <v>504791016</v>
      </c>
      <c r="K20" s="9">
        <v>1.2500405288745225E-3</v>
      </c>
      <c r="M20" s="8">
        <v>0</v>
      </c>
      <c r="O20" s="8">
        <v>504791016</v>
      </c>
      <c r="Q20" s="8">
        <v>0</v>
      </c>
      <c r="S20" s="8">
        <v>504791016</v>
      </c>
      <c r="U20" s="9">
        <v>1.2500405288745225E-3</v>
      </c>
    </row>
    <row r="21" spans="1:21" ht="18.75" x14ac:dyDescent="0.45">
      <c r="A21" s="5" t="s">
        <v>29</v>
      </c>
      <c r="C21" s="8">
        <v>0</v>
      </c>
      <c r="E21" s="8">
        <v>11065666040</v>
      </c>
      <c r="G21" s="8">
        <v>0</v>
      </c>
      <c r="I21" s="8">
        <v>11065666040</v>
      </c>
      <c r="K21" s="9">
        <v>2.7402490516967609E-2</v>
      </c>
      <c r="M21" s="8">
        <v>0</v>
      </c>
      <c r="O21" s="8">
        <v>11065666040</v>
      </c>
      <c r="Q21" s="8">
        <v>0</v>
      </c>
      <c r="S21" s="8">
        <v>11065666040</v>
      </c>
      <c r="U21" s="9">
        <v>2.7402490516967609E-2</v>
      </c>
    </row>
    <row r="22" spans="1:21" ht="18.75" x14ac:dyDescent="0.45">
      <c r="A22" s="5" t="s">
        <v>30</v>
      </c>
      <c r="C22" s="8">
        <v>0</v>
      </c>
      <c r="E22" s="8">
        <v>37172132032</v>
      </c>
      <c r="G22" s="8">
        <v>1061750000</v>
      </c>
      <c r="I22" s="8">
        <v>38233882032</v>
      </c>
      <c r="K22" s="9">
        <v>9.4680571962095672E-2</v>
      </c>
      <c r="M22" s="8">
        <v>0</v>
      </c>
      <c r="O22" s="8">
        <v>37172132032</v>
      </c>
      <c r="Q22" s="8">
        <v>1061750000</v>
      </c>
      <c r="S22" s="8">
        <v>38233882032</v>
      </c>
      <c r="U22" s="9">
        <v>9.4680571962095672E-2</v>
      </c>
    </row>
    <row r="23" spans="1:21" ht="18.75" x14ac:dyDescent="0.45">
      <c r="A23" s="5" t="s">
        <v>170</v>
      </c>
      <c r="C23" s="8">
        <v>0</v>
      </c>
      <c r="E23" s="8">
        <v>1654238814</v>
      </c>
      <c r="G23" s="8">
        <v>0</v>
      </c>
      <c r="I23" s="8">
        <v>1654238814</v>
      </c>
      <c r="K23" s="9">
        <v>4.0964785354605498E-3</v>
      </c>
      <c r="M23" s="8">
        <v>0</v>
      </c>
      <c r="O23" s="8">
        <v>1654238814</v>
      </c>
      <c r="Q23" s="8">
        <v>0</v>
      </c>
      <c r="S23" s="8">
        <v>1654238814</v>
      </c>
      <c r="U23" s="9">
        <v>4.0964785354605498E-3</v>
      </c>
    </row>
    <row r="24" spans="1:21" ht="18.75" x14ac:dyDescent="0.45">
      <c r="A24" s="5" t="s">
        <v>32</v>
      </c>
      <c r="C24" s="8">
        <v>0</v>
      </c>
      <c r="E24" s="8">
        <v>1433693424</v>
      </c>
      <c r="G24" s="8">
        <v>0</v>
      </c>
      <c r="I24" s="8">
        <v>1433693424</v>
      </c>
      <c r="K24" s="9">
        <v>3.5503303925299755E-3</v>
      </c>
      <c r="M24" s="8">
        <v>0</v>
      </c>
      <c r="O24" s="8">
        <v>1433693424</v>
      </c>
      <c r="Q24" s="8">
        <v>0</v>
      </c>
      <c r="S24" s="8">
        <v>1433693424</v>
      </c>
      <c r="U24" s="9">
        <v>3.5503303925299755E-3</v>
      </c>
    </row>
    <row r="25" spans="1:21" ht="37.5" x14ac:dyDescent="0.45">
      <c r="A25" s="5" t="s">
        <v>33</v>
      </c>
      <c r="C25" s="8">
        <v>0</v>
      </c>
      <c r="E25" s="8">
        <v>-284636456</v>
      </c>
      <c r="G25" s="8">
        <v>0</v>
      </c>
      <c r="I25" s="8">
        <v>-284636456</v>
      </c>
      <c r="K25" s="9">
        <v>-7.0486021881817676E-4</v>
      </c>
      <c r="M25" s="8">
        <v>0</v>
      </c>
      <c r="O25" s="8">
        <v>-284636456</v>
      </c>
      <c r="Q25" s="8">
        <v>0</v>
      </c>
      <c r="S25" s="8">
        <v>-284636456</v>
      </c>
      <c r="U25" s="9">
        <v>-7.0486021881817676E-4</v>
      </c>
    </row>
    <row r="26" spans="1:21" ht="37.5" x14ac:dyDescent="0.45">
      <c r="A26" s="5" t="s">
        <v>34</v>
      </c>
      <c r="C26" s="8">
        <v>0</v>
      </c>
      <c r="E26" s="8">
        <v>1609093586</v>
      </c>
      <c r="G26" s="8">
        <v>0</v>
      </c>
      <c r="I26" s="8">
        <v>1609093586</v>
      </c>
      <c r="K26" s="9">
        <v>3.9846830341608973E-3</v>
      </c>
      <c r="M26" s="8">
        <v>0</v>
      </c>
      <c r="O26" s="8">
        <v>1609093586</v>
      </c>
      <c r="Q26" s="8">
        <v>0</v>
      </c>
      <c r="S26" s="8">
        <v>1609093586</v>
      </c>
      <c r="U26" s="9">
        <v>3.9846830341608973E-3</v>
      </c>
    </row>
    <row r="27" spans="1:21" ht="37.5" x14ac:dyDescent="0.45">
      <c r="A27" s="5" t="s">
        <v>35</v>
      </c>
      <c r="C27" s="8">
        <v>0</v>
      </c>
      <c r="E27" s="8">
        <v>54672750</v>
      </c>
      <c r="G27" s="8">
        <v>0</v>
      </c>
      <c r="I27" s="8">
        <v>54672750</v>
      </c>
      <c r="K27" s="9">
        <v>1.3538900487290875E-4</v>
      </c>
      <c r="M27" s="8">
        <v>0</v>
      </c>
      <c r="O27" s="8">
        <v>54672750</v>
      </c>
      <c r="Q27" s="8">
        <v>0</v>
      </c>
      <c r="S27" s="8">
        <v>54672750</v>
      </c>
      <c r="U27" s="9">
        <v>1.3538900487290875E-4</v>
      </c>
    </row>
    <row r="28" spans="1:21" ht="37.5" x14ac:dyDescent="0.45">
      <c r="A28" s="5" t="s">
        <v>36</v>
      </c>
      <c r="C28" s="8">
        <v>0</v>
      </c>
      <c r="E28" s="8">
        <v>13343254623</v>
      </c>
      <c r="G28" s="8">
        <v>0</v>
      </c>
      <c r="I28" s="8">
        <v>13343254623</v>
      </c>
      <c r="K28" s="9">
        <v>3.3042602853776498E-2</v>
      </c>
      <c r="M28" s="8">
        <v>0</v>
      </c>
      <c r="O28" s="8">
        <v>13343254623</v>
      </c>
      <c r="Q28" s="8">
        <v>0</v>
      </c>
      <c r="S28" s="8">
        <v>13343254623</v>
      </c>
      <c r="U28" s="9">
        <v>3.3042602853776498E-2</v>
      </c>
    </row>
    <row r="29" spans="1:21" ht="18.75" x14ac:dyDescent="0.45">
      <c r="A29" s="5" t="s">
        <v>37</v>
      </c>
      <c r="C29" s="8">
        <v>0</v>
      </c>
      <c r="E29" s="8">
        <v>377739000</v>
      </c>
      <c r="G29" s="8">
        <v>0</v>
      </c>
      <c r="I29" s="8">
        <v>377739000</v>
      </c>
      <c r="K29" s="9">
        <v>9.3541494275827864E-4</v>
      </c>
      <c r="M29" s="8">
        <v>0</v>
      </c>
      <c r="O29" s="8">
        <v>377739000</v>
      </c>
      <c r="Q29" s="8">
        <v>0</v>
      </c>
      <c r="S29" s="8">
        <v>377739000</v>
      </c>
      <c r="U29" s="9">
        <v>9.3541494275827864E-4</v>
      </c>
    </row>
    <row r="30" spans="1:21" ht="18.75" x14ac:dyDescent="0.45">
      <c r="A30" s="5" t="s">
        <v>38</v>
      </c>
      <c r="C30" s="8">
        <v>0</v>
      </c>
      <c r="E30" s="8">
        <v>6260221076</v>
      </c>
      <c r="G30" s="8">
        <v>0</v>
      </c>
      <c r="I30" s="8">
        <v>6260221076</v>
      </c>
      <c r="K30" s="9">
        <v>1.5502514539035443E-2</v>
      </c>
      <c r="M30" s="8">
        <v>0</v>
      </c>
      <c r="O30" s="8">
        <v>6260221076</v>
      </c>
      <c r="Q30" s="8">
        <v>0</v>
      </c>
      <c r="S30" s="8">
        <v>6260221076</v>
      </c>
      <c r="U30" s="9">
        <v>1.5502514539035443E-2</v>
      </c>
    </row>
    <row r="31" spans="1:21" ht="18.75" x14ac:dyDescent="0.45">
      <c r="A31" s="5" t="s">
        <v>39</v>
      </c>
      <c r="C31" s="8">
        <v>0</v>
      </c>
      <c r="E31" s="8">
        <v>7649977285</v>
      </c>
      <c r="G31" s="8">
        <v>0</v>
      </c>
      <c r="I31" s="8">
        <v>7649977285</v>
      </c>
      <c r="K31" s="9">
        <v>1.8944040896360731E-2</v>
      </c>
      <c r="M31" s="8">
        <v>0</v>
      </c>
      <c r="O31" s="8">
        <v>7649977285</v>
      </c>
      <c r="Q31" s="8">
        <v>0</v>
      </c>
      <c r="S31" s="8">
        <v>7649977285</v>
      </c>
      <c r="U31" s="9">
        <v>1.8944040896360731E-2</v>
      </c>
    </row>
    <row r="32" spans="1:21" ht="18.75" x14ac:dyDescent="0.45">
      <c r="A32" s="5" t="s">
        <v>40</v>
      </c>
      <c r="C32" s="8">
        <v>0</v>
      </c>
      <c r="E32" s="8">
        <v>10714515492</v>
      </c>
      <c r="G32" s="8">
        <v>0</v>
      </c>
      <c r="I32" s="8">
        <v>10714515492</v>
      </c>
      <c r="K32" s="9">
        <v>2.6532917955603919E-2</v>
      </c>
      <c r="M32" s="8">
        <v>0</v>
      </c>
      <c r="O32" s="8">
        <v>10714515492</v>
      </c>
      <c r="Q32" s="8">
        <v>0</v>
      </c>
      <c r="S32" s="8">
        <v>10714515492</v>
      </c>
      <c r="U32" s="9">
        <v>2.6532917955603919E-2</v>
      </c>
    </row>
    <row r="33" spans="1:21" ht="18.75" x14ac:dyDescent="0.45">
      <c r="A33" s="5" t="s">
        <v>41</v>
      </c>
      <c r="C33" s="8">
        <v>0</v>
      </c>
      <c r="E33" s="8">
        <v>5514422792</v>
      </c>
      <c r="G33" s="8">
        <v>0</v>
      </c>
      <c r="I33" s="8">
        <v>5514422792</v>
      </c>
      <c r="K33" s="9">
        <v>1.3655655043094907E-2</v>
      </c>
      <c r="M33" s="8">
        <v>0</v>
      </c>
      <c r="O33" s="8">
        <v>5514422792</v>
      </c>
      <c r="Q33" s="8">
        <v>0</v>
      </c>
      <c r="S33" s="8">
        <v>5514422792</v>
      </c>
      <c r="U33" s="9">
        <v>1.3655655043094907E-2</v>
      </c>
    </row>
    <row r="34" spans="1:21" ht="37.5" x14ac:dyDescent="0.45">
      <c r="A34" s="5" t="s">
        <v>42</v>
      </c>
      <c r="C34" s="8">
        <v>0</v>
      </c>
      <c r="E34" s="8">
        <v>1246041675</v>
      </c>
      <c r="G34" s="8">
        <v>0</v>
      </c>
      <c r="I34" s="8">
        <v>1246041675</v>
      </c>
      <c r="K34" s="9">
        <v>3.085638501967111E-3</v>
      </c>
      <c r="M34" s="8">
        <v>0</v>
      </c>
      <c r="O34" s="8">
        <v>1246041675</v>
      </c>
      <c r="Q34" s="8">
        <v>0</v>
      </c>
      <c r="S34" s="8">
        <v>1246041675</v>
      </c>
      <c r="U34" s="9">
        <v>3.085638501967111E-3</v>
      </c>
    </row>
    <row r="35" spans="1:21" ht="18.75" x14ac:dyDescent="0.45">
      <c r="A35" s="5" t="s">
        <v>44</v>
      </c>
      <c r="C35" s="8">
        <v>0</v>
      </c>
      <c r="E35" s="8">
        <v>12483099516</v>
      </c>
      <c r="G35" s="8">
        <v>0</v>
      </c>
      <c r="I35" s="8">
        <v>12483099516</v>
      </c>
      <c r="K35" s="9">
        <v>3.0912555545509028E-2</v>
      </c>
      <c r="M35" s="8">
        <v>0</v>
      </c>
      <c r="O35" s="8">
        <v>12483099516</v>
      </c>
      <c r="Q35" s="8">
        <v>0</v>
      </c>
      <c r="S35" s="8">
        <v>12483099516</v>
      </c>
      <c r="U35" s="9">
        <v>3.0912555545509028E-2</v>
      </c>
    </row>
    <row r="36" spans="1:21" ht="18.75" x14ac:dyDescent="0.45">
      <c r="A36" s="5" t="s">
        <v>45</v>
      </c>
      <c r="C36" s="8">
        <v>0</v>
      </c>
      <c r="E36" s="8">
        <v>7775185615</v>
      </c>
      <c r="G36" s="8">
        <v>0</v>
      </c>
      <c r="I36" s="8">
        <v>7775185615</v>
      </c>
      <c r="K36" s="9">
        <v>1.9254100865915925E-2</v>
      </c>
      <c r="M36" s="8">
        <v>0</v>
      </c>
      <c r="O36" s="8">
        <v>7775185615</v>
      </c>
      <c r="Q36" s="8">
        <v>0</v>
      </c>
      <c r="S36" s="8">
        <v>7775185615</v>
      </c>
      <c r="U36" s="9">
        <v>1.9254100865915925E-2</v>
      </c>
    </row>
    <row r="37" spans="1:21" ht="18.75" x14ac:dyDescent="0.45">
      <c r="A37" s="5" t="s">
        <v>46</v>
      </c>
      <c r="C37" s="8">
        <v>0</v>
      </c>
      <c r="E37" s="8">
        <v>4945719376</v>
      </c>
      <c r="G37" s="8">
        <v>0</v>
      </c>
      <c r="I37" s="8">
        <v>4945719376</v>
      </c>
      <c r="K37" s="9">
        <v>1.224734487834073E-2</v>
      </c>
      <c r="M37" s="8">
        <v>0</v>
      </c>
      <c r="O37" s="8">
        <v>4945719376</v>
      </c>
      <c r="Q37" s="8">
        <v>0</v>
      </c>
      <c r="S37" s="8">
        <v>4945719376</v>
      </c>
      <c r="U37" s="9">
        <v>1.224734487834073E-2</v>
      </c>
    </row>
    <row r="38" spans="1:21" ht="18.75" x14ac:dyDescent="0.45">
      <c r="A38" s="5" t="s">
        <v>47</v>
      </c>
      <c r="C38" s="8">
        <v>0</v>
      </c>
      <c r="E38" s="8">
        <v>3035473073</v>
      </c>
      <c r="G38" s="8">
        <v>0</v>
      </c>
      <c r="I38" s="8">
        <v>3035473073</v>
      </c>
      <c r="K38" s="9">
        <v>7.5169015400172899E-3</v>
      </c>
      <c r="M38" s="8">
        <v>0</v>
      </c>
      <c r="O38" s="8">
        <v>3035473073</v>
      </c>
      <c r="Q38" s="8">
        <v>0</v>
      </c>
      <c r="S38" s="8">
        <v>3035473073</v>
      </c>
      <c r="U38" s="9">
        <v>7.5169015400172899E-3</v>
      </c>
    </row>
    <row r="39" spans="1:21" ht="37.5" x14ac:dyDescent="0.45">
      <c r="A39" s="5" t="s">
        <v>49</v>
      </c>
      <c r="C39" s="8">
        <v>0</v>
      </c>
      <c r="E39" s="8">
        <v>1102594428</v>
      </c>
      <c r="G39" s="8">
        <v>0</v>
      </c>
      <c r="I39" s="8">
        <v>1102594428</v>
      </c>
      <c r="K39" s="9">
        <v>2.7304125434578293E-3</v>
      </c>
      <c r="M39" s="8">
        <v>0</v>
      </c>
      <c r="O39" s="8">
        <v>1102594428</v>
      </c>
      <c r="Q39" s="8">
        <v>0</v>
      </c>
      <c r="S39" s="8">
        <v>1102594428</v>
      </c>
      <c r="U39" s="9">
        <v>2.7304125434578293E-3</v>
      </c>
    </row>
    <row r="40" spans="1:21" ht="18.75" x14ac:dyDescent="0.45">
      <c r="A40" s="5" t="s">
        <v>50</v>
      </c>
      <c r="C40" s="8">
        <v>0</v>
      </c>
      <c r="E40" s="8">
        <v>9174908873</v>
      </c>
      <c r="G40" s="8">
        <v>0</v>
      </c>
      <c r="I40" s="8">
        <v>9174908873</v>
      </c>
      <c r="K40" s="9">
        <v>2.2720309150629715E-2</v>
      </c>
      <c r="M40" s="8">
        <v>0</v>
      </c>
      <c r="O40" s="8">
        <v>9174908873</v>
      </c>
      <c r="Q40" s="8">
        <v>0</v>
      </c>
      <c r="S40" s="8">
        <v>9174908873</v>
      </c>
      <c r="U40" s="9">
        <v>2.2720309150629715E-2</v>
      </c>
    </row>
    <row r="41" spans="1:21" ht="18.75" x14ac:dyDescent="0.45">
      <c r="A41" s="5" t="s">
        <v>51</v>
      </c>
      <c r="C41" s="8">
        <v>0</v>
      </c>
      <c r="E41" s="8">
        <v>2323094850</v>
      </c>
      <c r="G41" s="8">
        <v>0</v>
      </c>
      <c r="I41" s="8">
        <v>2323094850</v>
      </c>
      <c r="K41" s="9">
        <v>5.7528018979634129E-3</v>
      </c>
      <c r="M41" s="8">
        <v>0</v>
      </c>
      <c r="O41" s="8">
        <v>2323094850</v>
      </c>
      <c r="Q41" s="8">
        <v>0</v>
      </c>
      <c r="S41" s="8">
        <v>2323094850</v>
      </c>
      <c r="U41" s="9">
        <v>5.7528018979634129E-3</v>
      </c>
    </row>
    <row r="42" spans="1:21" ht="18.75" x14ac:dyDescent="0.45">
      <c r="A42" s="5" t="s">
        <v>52</v>
      </c>
      <c r="C42" s="8">
        <v>0</v>
      </c>
      <c r="E42" s="8">
        <v>18990069367</v>
      </c>
      <c r="G42" s="8">
        <v>0</v>
      </c>
      <c r="I42" s="8">
        <v>18990069367</v>
      </c>
      <c r="K42" s="9">
        <v>4.7026107047215257E-2</v>
      </c>
      <c r="M42" s="8">
        <v>0</v>
      </c>
      <c r="O42" s="8">
        <v>18990069367</v>
      </c>
      <c r="Q42" s="8">
        <v>0</v>
      </c>
      <c r="S42" s="8">
        <v>18990069367</v>
      </c>
      <c r="U42" s="9">
        <v>4.7026107047215257E-2</v>
      </c>
    </row>
    <row r="43" spans="1:21" ht="18.75" x14ac:dyDescent="0.45">
      <c r="A43" s="5" t="s">
        <v>53</v>
      </c>
      <c r="C43" s="8">
        <v>0</v>
      </c>
      <c r="E43" s="8">
        <v>12831689107</v>
      </c>
      <c r="G43" s="8">
        <v>0</v>
      </c>
      <c r="I43" s="8">
        <v>12831689107</v>
      </c>
      <c r="K43" s="9">
        <v>3.1775786274428723E-2</v>
      </c>
      <c r="M43" s="8">
        <v>0</v>
      </c>
      <c r="O43" s="8">
        <v>12831689107</v>
      </c>
      <c r="Q43" s="8">
        <v>0</v>
      </c>
      <c r="S43" s="8">
        <v>12831689107</v>
      </c>
      <c r="U43" s="9">
        <v>3.1775786274428723E-2</v>
      </c>
    </row>
    <row r="44" spans="1:21" ht="18.75" x14ac:dyDescent="0.45">
      <c r="A44" s="5" t="s">
        <v>54</v>
      </c>
      <c r="C44" s="8">
        <v>0</v>
      </c>
      <c r="E44" s="8">
        <v>10306310400</v>
      </c>
      <c r="G44" s="8">
        <v>0</v>
      </c>
      <c r="I44" s="8">
        <v>10306310400</v>
      </c>
      <c r="K44" s="9">
        <v>2.5522058227678505E-2</v>
      </c>
      <c r="M44" s="8">
        <v>0</v>
      </c>
      <c r="O44" s="8">
        <v>10306310400</v>
      </c>
      <c r="Q44" s="8">
        <v>0</v>
      </c>
      <c r="S44" s="8">
        <v>10306310400</v>
      </c>
      <c r="U44" s="9">
        <v>2.5522058227678505E-2</v>
      </c>
    </row>
    <row r="45" spans="1:21" ht="18.75" x14ac:dyDescent="0.45">
      <c r="A45" s="5" t="s">
        <v>55</v>
      </c>
      <c r="C45" s="8">
        <v>0</v>
      </c>
      <c r="E45" s="8">
        <v>994050000</v>
      </c>
      <c r="G45" s="8">
        <v>0</v>
      </c>
      <c r="I45" s="8">
        <v>994050000</v>
      </c>
      <c r="K45" s="9">
        <v>2.4616182704165226E-3</v>
      </c>
      <c r="M45" s="8">
        <v>0</v>
      </c>
      <c r="O45" s="8">
        <v>994050000</v>
      </c>
      <c r="Q45" s="8">
        <v>0</v>
      </c>
      <c r="S45" s="8">
        <v>994050000</v>
      </c>
      <c r="U45" s="9">
        <v>2.4616182704165226E-3</v>
      </c>
    </row>
    <row r="46" spans="1:21" ht="18.75" x14ac:dyDescent="0.45">
      <c r="A46" s="5" t="s">
        <v>179</v>
      </c>
      <c r="C46" s="8">
        <v>0</v>
      </c>
      <c r="E46" s="8">
        <v>159663934</v>
      </c>
      <c r="G46" s="8">
        <v>0</v>
      </c>
      <c r="I46" s="8">
        <v>159663934</v>
      </c>
      <c r="K46" s="9">
        <v>3.9538419300938363E-4</v>
      </c>
      <c r="M46" s="8">
        <v>0</v>
      </c>
      <c r="O46" s="8">
        <v>159663934</v>
      </c>
      <c r="Q46" s="8">
        <v>0</v>
      </c>
      <c r="S46" s="8">
        <v>159663934</v>
      </c>
      <c r="U46" s="9">
        <v>3.9538419300938363E-4</v>
      </c>
    </row>
    <row r="47" spans="1:21" ht="18.75" x14ac:dyDescent="0.45">
      <c r="A47" s="5" t="s">
        <v>56</v>
      </c>
      <c r="C47" s="8">
        <v>0</v>
      </c>
      <c r="E47" s="8">
        <v>6355711387</v>
      </c>
      <c r="G47" s="8">
        <v>0</v>
      </c>
      <c r="I47" s="8">
        <v>6355711387</v>
      </c>
      <c r="K47" s="9">
        <v>1.5738982215918251E-2</v>
      </c>
      <c r="M47" s="8">
        <v>0</v>
      </c>
      <c r="O47" s="8">
        <v>6355711387</v>
      </c>
      <c r="Q47" s="8">
        <v>0</v>
      </c>
      <c r="S47" s="8">
        <v>6355711387</v>
      </c>
      <c r="U47" s="9">
        <v>1.5738982215918251E-2</v>
      </c>
    </row>
    <row r="48" spans="1:21" ht="18.75" x14ac:dyDescent="0.45">
      <c r="A48" s="5" t="s">
        <v>57</v>
      </c>
      <c r="C48" s="8">
        <v>0</v>
      </c>
      <c r="E48" s="8">
        <v>1039654867</v>
      </c>
      <c r="G48" s="8">
        <v>0</v>
      </c>
      <c r="I48" s="8">
        <v>1039654867</v>
      </c>
      <c r="K48" s="9">
        <v>2.5745519999342686E-3</v>
      </c>
      <c r="M48" s="8">
        <v>0</v>
      </c>
      <c r="O48" s="8">
        <v>1039654867</v>
      </c>
      <c r="Q48" s="8">
        <v>0</v>
      </c>
      <c r="S48" s="8">
        <v>1039654867</v>
      </c>
      <c r="U48" s="9">
        <v>2.5745519999342686E-3</v>
      </c>
    </row>
    <row r="49" spans="1:21" ht="18.75" x14ac:dyDescent="0.45">
      <c r="A49" s="5" t="s">
        <v>59</v>
      </c>
      <c r="C49" s="8">
        <v>0</v>
      </c>
      <c r="E49" s="8">
        <v>4045338673</v>
      </c>
      <c r="G49" s="8">
        <v>0</v>
      </c>
      <c r="I49" s="8">
        <v>4045338673</v>
      </c>
      <c r="K49" s="9">
        <v>1.0017684812111393E-2</v>
      </c>
      <c r="M49" s="8">
        <v>0</v>
      </c>
      <c r="O49" s="8">
        <v>4045338673</v>
      </c>
      <c r="Q49" s="8">
        <v>0</v>
      </c>
      <c r="S49" s="8">
        <v>4045338673</v>
      </c>
      <c r="U49" s="9">
        <v>1.0017684812111393E-2</v>
      </c>
    </row>
    <row r="50" spans="1:21" ht="18.75" x14ac:dyDescent="0.45">
      <c r="A50" s="5" t="s">
        <v>60</v>
      </c>
      <c r="C50" s="8">
        <v>0</v>
      </c>
      <c r="E50" s="8">
        <v>166500711</v>
      </c>
      <c r="G50" s="8">
        <v>0</v>
      </c>
      <c r="I50" s="8">
        <v>166500711</v>
      </c>
      <c r="K50" s="9">
        <v>4.1231446329152585E-4</v>
      </c>
      <c r="M50" s="8">
        <v>0</v>
      </c>
      <c r="O50" s="8">
        <v>166500711</v>
      </c>
      <c r="Q50" s="8">
        <v>0</v>
      </c>
      <c r="S50" s="8">
        <v>166500711</v>
      </c>
      <c r="U50" s="9">
        <v>4.1231446329152585E-4</v>
      </c>
    </row>
    <row r="51" spans="1:21" ht="18.75" x14ac:dyDescent="0.45">
      <c r="A51" s="5" t="s">
        <v>61</v>
      </c>
      <c r="C51" s="8">
        <v>0</v>
      </c>
      <c r="E51" s="8">
        <v>5254096448</v>
      </c>
      <c r="G51" s="8">
        <v>0</v>
      </c>
      <c r="I51" s="8">
        <v>5254096448</v>
      </c>
      <c r="K51" s="9">
        <v>1.3010995232561093E-2</v>
      </c>
      <c r="M51" s="8">
        <v>0</v>
      </c>
      <c r="O51" s="8">
        <v>5254096448</v>
      </c>
      <c r="Q51" s="8">
        <v>0</v>
      </c>
      <c r="S51" s="8">
        <v>5254096448</v>
      </c>
      <c r="U51" s="9">
        <v>1.3010995232561093E-2</v>
      </c>
    </row>
    <row r="52" spans="1:21" ht="18.75" x14ac:dyDescent="0.45">
      <c r="A52" s="5" t="s">
        <v>62</v>
      </c>
      <c r="C52" s="8">
        <v>0</v>
      </c>
      <c r="E52" s="8">
        <v>10659483006</v>
      </c>
      <c r="G52" s="8">
        <v>0</v>
      </c>
      <c r="I52" s="8">
        <v>10659483006</v>
      </c>
      <c r="K52" s="9">
        <v>2.6396638117563539E-2</v>
      </c>
      <c r="M52" s="8">
        <v>0</v>
      </c>
      <c r="O52" s="8">
        <v>10659483006</v>
      </c>
      <c r="Q52" s="8">
        <v>0</v>
      </c>
      <c r="S52" s="8">
        <v>10659483006</v>
      </c>
      <c r="U52" s="9">
        <v>2.6396638117563539E-2</v>
      </c>
    </row>
    <row r="53" spans="1:21" ht="18.75" x14ac:dyDescent="0.45">
      <c r="A53" s="5" t="s">
        <v>64</v>
      </c>
      <c r="C53" s="8">
        <v>0</v>
      </c>
      <c r="E53" s="8">
        <v>3149991259</v>
      </c>
      <c r="G53" s="8">
        <v>0</v>
      </c>
      <c r="I53" s="8">
        <v>3149991259</v>
      </c>
      <c r="K53" s="9">
        <v>7.8004889440236851E-3</v>
      </c>
      <c r="M53" s="8">
        <v>0</v>
      </c>
      <c r="O53" s="8">
        <v>3149991259</v>
      </c>
      <c r="Q53" s="8">
        <v>0</v>
      </c>
      <c r="S53" s="8">
        <v>3149991259</v>
      </c>
      <c r="U53" s="9">
        <v>7.8004889440236851E-3</v>
      </c>
    </row>
    <row r="54" spans="1:21" ht="18.75" x14ac:dyDescent="0.45">
      <c r="A54" s="5" t="s">
        <v>65</v>
      </c>
      <c r="C54" s="8">
        <v>0</v>
      </c>
      <c r="E54" s="8">
        <v>153083700</v>
      </c>
      <c r="G54" s="8">
        <v>0</v>
      </c>
      <c r="I54" s="8">
        <v>153083700</v>
      </c>
      <c r="K54" s="9">
        <v>3.7908921364414446E-4</v>
      </c>
      <c r="M54" s="8">
        <v>0</v>
      </c>
      <c r="O54" s="8">
        <v>153083700</v>
      </c>
      <c r="Q54" s="8">
        <v>0</v>
      </c>
      <c r="S54" s="8">
        <v>153083700</v>
      </c>
      <c r="U54" s="9">
        <v>3.7908921364414446E-4</v>
      </c>
    </row>
    <row r="55" spans="1:21" ht="18.75" x14ac:dyDescent="0.45">
      <c r="A55" s="5" t="s">
        <v>66</v>
      </c>
      <c r="C55" s="8">
        <v>0</v>
      </c>
      <c r="E55" s="8">
        <v>2135591433</v>
      </c>
      <c r="G55" s="8">
        <v>0</v>
      </c>
      <c r="I55" s="8">
        <v>2135591433</v>
      </c>
      <c r="K55" s="9">
        <v>5.2884773297296947E-3</v>
      </c>
      <c r="M55" s="8">
        <v>0</v>
      </c>
      <c r="O55" s="8">
        <v>2135591433</v>
      </c>
      <c r="Q55" s="8">
        <v>0</v>
      </c>
      <c r="S55" s="8">
        <v>2135591433</v>
      </c>
      <c r="U55" s="9">
        <v>5.2884773297296947E-3</v>
      </c>
    </row>
    <row r="56" spans="1:21" ht="18.75" x14ac:dyDescent="0.45">
      <c r="A56" s="5" t="s">
        <v>67</v>
      </c>
      <c r="C56" s="8">
        <v>0</v>
      </c>
      <c r="E56" s="8">
        <v>3420672225</v>
      </c>
      <c r="G56" s="8">
        <v>0</v>
      </c>
      <c r="I56" s="8">
        <v>3420672225</v>
      </c>
      <c r="K56" s="9">
        <v>8.4707904493399114E-3</v>
      </c>
      <c r="M56" s="8">
        <v>0</v>
      </c>
      <c r="O56" s="8">
        <v>3420672225</v>
      </c>
      <c r="Q56" s="8">
        <v>0</v>
      </c>
      <c r="S56" s="8">
        <v>3420672225</v>
      </c>
      <c r="U56" s="9">
        <v>8.4707904493399114E-3</v>
      </c>
    </row>
    <row r="57" spans="1:21" ht="18.75" x14ac:dyDescent="0.45">
      <c r="A57" s="5" t="s">
        <v>68</v>
      </c>
      <c r="C57" s="8">
        <v>0</v>
      </c>
      <c r="E57" s="8">
        <v>1725670554</v>
      </c>
      <c r="G57" s="8">
        <v>0</v>
      </c>
      <c r="I57" s="8">
        <v>1725670554</v>
      </c>
      <c r="K57" s="9">
        <v>4.2733687082603519E-3</v>
      </c>
      <c r="M57" s="8">
        <v>0</v>
      </c>
      <c r="O57" s="8">
        <v>1725670554</v>
      </c>
      <c r="Q57" s="8">
        <v>0</v>
      </c>
      <c r="S57" s="8">
        <v>1725670554</v>
      </c>
      <c r="U57" s="9">
        <v>4.2733687082603519E-3</v>
      </c>
    </row>
    <row r="58" spans="1:21" ht="18.75" x14ac:dyDescent="0.45">
      <c r="A58" s="5" t="s">
        <v>69</v>
      </c>
      <c r="C58" s="8">
        <v>0</v>
      </c>
      <c r="E58" s="8">
        <v>20063529926</v>
      </c>
      <c r="G58" s="8">
        <v>0</v>
      </c>
      <c r="I58" s="8">
        <v>20063529926</v>
      </c>
      <c r="K58" s="9">
        <v>4.9684373859353412E-2</v>
      </c>
      <c r="M58" s="8">
        <v>0</v>
      </c>
      <c r="O58" s="8">
        <v>20063529926</v>
      </c>
      <c r="Q58" s="8">
        <v>0</v>
      </c>
      <c r="S58" s="8">
        <v>20063529926</v>
      </c>
      <c r="U58" s="9">
        <v>4.9684373859353412E-2</v>
      </c>
    </row>
    <row r="59" spans="1:21" ht="18.75" x14ac:dyDescent="0.45">
      <c r="A59" s="5" t="s">
        <v>70</v>
      </c>
      <c r="C59" s="8">
        <v>0</v>
      </c>
      <c r="E59" s="8">
        <v>229867581</v>
      </c>
      <c r="G59" s="8">
        <v>0</v>
      </c>
      <c r="I59" s="8">
        <v>229867581</v>
      </c>
      <c r="K59" s="9">
        <v>5.6923317455465007E-4</v>
      </c>
      <c r="M59" s="8">
        <v>0</v>
      </c>
      <c r="O59" s="8">
        <v>229867581</v>
      </c>
      <c r="Q59" s="8">
        <v>0</v>
      </c>
      <c r="S59" s="8">
        <v>229867581</v>
      </c>
      <c r="U59" s="9">
        <v>5.6923317455465007E-4</v>
      </c>
    </row>
    <row r="60" spans="1:21" ht="18.75" x14ac:dyDescent="0.45">
      <c r="A60" s="5" t="s">
        <v>71</v>
      </c>
      <c r="C60" s="8">
        <v>0</v>
      </c>
      <c r="E60" s="8">
        <v>512504326</v>
      </c>
      <c r="G60" s="8">
        <v>0</v>
      </c>
      <c r="I60" s="8">
        <v>512504326</v>
      </c>
      <c r="K60" s="9">
        <v>1.2691414039023245E-3</v>
      </c>
      <c r="M60" s="8">
        <v>0</v>
      </c>
      <c r="O60" s="8">
        <v>512504326</v>
      </c>
      <c r="Q60" s="8">
        <v>0</v>
      </c>
      <c r="S60" s="8">
        <v>512504326</v>
      </c>
      <c r="U60" s="9">
        <v>1.2691414039023245E-3</v>
      </c>
    </row>
    <row r="61" spans="1:21" ht="18.75" x14ac:dyDescent="0.45">
      <c r="A61" s="5" t="s">
        <v>72</v>
      </c>
      <c r="C61" s="8">
        <v>0</v>
      </c>
      <c r="E61" s="8">
        <v>280819125</v>
      </c>
      <c r="G61" s="8">
        <v>0</v>
      </c>
      <c r="I61" s="8">
        <v>280819125</v>
      </c>
      <c r="K61" s="9">
        <v>6.9540716139266767E-4</v>
      </c>
      <c r="M61" s="8">
        <v>0</v>
      </c>
      <c r="O61" s="8">
        <v>280819125</v>
      </c>
      <c r="Q61" s="8">
        <v>0</v>
      </c>
      <c r="S61" s="8">
        <v>280819125</v>
      </c>
      <c r="U61" s="9">
        <v>6.9540716139266767E-4</v>
      </c>
    </row>
    <row r="62" spans="1:21" ht="18.75" x14ac:dyDescent="0.45">
      <c r="A62" s="5" t="s">
        <v>73</v>
      </c>
      <c r="C62" s="8">
        <v>0</v>
      </c>
      <c r="E62" s="8">
        <v>20091738600</v>
      </c>
      <c r="G62" s="8">
        <v>0</v>
      </c>
      <c r="I62" s="8">
        <v>20091738600</v>
      </c>
      <c r="K62" s="9">
        <v>4.9754228481658752E-2</v>
      </c>
      <c r="M62" s="8">
        <v>0</v>
      </c>
      <c r="O62" s="8">
        <v>20091738600</v>
      </c>
      <c r="Q62" s="8">
        <v>0</v>
      </c>
      <c r="S62" s="8">
        <v>20091738600</v>
      </c>
      <c r="U62" s="9">
        <v>4.9754228481658752E-2</v>
      </c>
    </row>
    <row r="63" spans="1:21" ht="18.75" x14ac:dyDescent="0.45">
      <c r="A63" s="5" t="s">
        <v>74</v>
      </c>
      <c r="C63" s="8">
        <v>0</v>
      </c>
      <c r="E63" s="8">
        <v>4333378376</v>
      </c>
      <c r="G63" s="8">
        <v>0</v>
      </c>
      <c r="I63" s="8">
        <v>4333378376</v>
      </c>
      <c r="K63" s="9">
        <v>1.073097267037823E-2</v>
      </c>
      <c r="M63" s="8">
        <v>0</v>
      </c>
      <c r="O63" s="8">
        <v>4333378376</v>
      </c>
      <c r="Q63" s="8">
        <v>0</v>
      </c>
      <c r="S63" s="8">
        <v>4333378376</v>
      </c>
      <c r="U63" s="9">
        <v>1.073097267037823E-2</v>
      </c>
    </row>
    <row r="64" spans="1:21" ht="18.75" x14ac:dyDescent="0.45">
      <c r="A64" s="5" t="s">
        <v>75</v>
      </c>
      <c r="C64" s="8">
        <v>0</v>
      </c>
      <c r="E64" s="8">
        <v>3443947045</v>
      </c>
      <c r="G64" s="8">
        <v>0</v>
      </c>
      <c r="I64" s="8">
        <v>3443947045</v>
      </c>
      <c r="K64" s="9">
        <v>8.5284271096212408E-3</v>
      </c>
      <c r="M64" s="8">
        <v>0</v>
      </c>
      <c r="O64" s="8">
        <v>3443947045</v>
      </c>
      <c r="Q64" s="8">
        <v>0</v>
      </c>
      <c r="S64" s="8">
        <v>3443947045</v>
      </c>
      <c r="U64" s="9">
        <v>8.5284271096212408E-3</v>
      </c>
    </row>
    <row r="65" spans="1:21" ht="18.75" x14ac:dyDescent="0.45">
      <c r="A65" s="5" t="s">
        <v>76</v>
      </c>
      <c r="C65" s="8">
        <v>0</v>
      </c>
      <c r="E65" s="8">
        <v>8187740383</v>
      </c>
      <c r="G65" s="8">
        <v>-5059</v>
      </c>
      <c r="I65" s="8">
        <v>8187735324</v>
      </c>
      <c r="K65" s="9">
        <v>2.0275719397307122E-2</v>
      </c>
      <c r="M65" s="8">
        <v>0</v>
      </c>
      <c r="O65" s="8">
        <v>8187740383</v>
      </c>
      <c r="Q65" s="8">
        <v>-5059</v>
      </c>
      <c r="S65" s="8">
        <v>8187735324</v>
      </c>
      <c r="U65" s="9">
        <v>2.0275719397307122E-2</v>
      </c>
    </row>
    <row r="66" spans="1:21" ht="18.75" x14ac:dyDescent="0.45">
      <c r="A66" s="5" t="s">
        <v>77</v>
      </c>
      <c r="C66" s="8">
        <v>0</v>
      </c>
      <c r="E66" s="8">
        <v>8749885559</v>
      </c>
      <c r="G66" s="8">
        <v>0</v>
      </c>
      <c r="I66" s="8">
        <v>8749885559</v>
      </c>
      <c r="K66" s="9">
        <v>2.1667801575462088E-2</v>
      </c>
      <c r="M66" s="8">
        <v>0</v>
      </c>
      <c r="O66" s="8">
        <v>8749885559</v>
      </c>
      <c r="Q66" s="8">
        <v>0</v>
      </c>
      <c r="S66" s="8">
        <v>8749885559</v>
      </c>
      <c r="U66" s="9">
        <v>2.1667801575462088E-2</v>
      </c>
    </row>
    <row r="67" spans="1:21" ht="18.75" x14ac:dyDescent="0.45">
      <c r="A67" s="5" t="s">
        <v>78</v>
      </c>
      <c r="C67" s="8">
        <v>0</v>
      </c>
      <c r="E67" s="8">
        <v>2506006405</v>
      </c>
      <c r="G67" s="8">
        <v>0</v>
      </c>
      <c r="I67" s="8">
        <v>2506006405</v>
      </c>
      <c r="K67" s="9">
        <v>6.2057553969406248E-3</v>
      </c>
      <c r="M67" s="8">
        <v>0</v>
      </c>
      <c r="O67" s="8">
        <v>2506006405</v>
      </c>
      <c r="Q67" s="8">
        <v>0</v>
      </c>
      <c r="S67" s="8">
        <v>2506006405</v>
      </c>
      <c r="U67" s="9">
        <v>6.2057553969406248E-3</v>
      </c>
    </row>
    <row r="68" spans="1:21" ht="37.5" x14ac:dyDescent="0.45">
      <c r="A68" s="5" t="s">
        <v>79</v>
      </c>
      <c r="C68" s="8">
        <v>0</v>
      </c>
      <c r="E68" s="8">
        <v>306167400</v>
      </c>
      <c r="G68" s="8">
        <v>0</v>
      </c>
      <c r="I68" s="8">
        <v>306167400</v>
      </c>
      <c r="K68" s="9">
        <v>7.5817842728828893E-4</v>
      </c>
      <c r="M68" s="8">
        <v>0</v>
      </c>
      <c r="O68" s="8">
        <v>306167400</v>
      </c>
      <c r="Q68" s="8">
        <v>0</v>
      </c>
      <c r="S68" s="8">
        <v>306167400</v>
      </c>
      <c r="U68" s="9">
        <v>7.5817842728828893E-4</v>
      </c>
    </row>
    <row r="69" spans="1:21" ht="18.75" x14ac:dyDescent="0.45">
      <c r="A69" s="5" t="s">
        <v>80</v>
      </c>
      <c r="C69" s="8">
        <v>0</v>
      </c>
      <c r="E69" s="8">
        <v>4056718050</v>
      </c>
      <c r="G69" s="8">
        <v>0</v>
      </c>
      <c r="I69" s="8">
        <v>4056718050</v>
      </c>
      <c r="K69" s="9">
        <v>1.0045864161569829E-2</v>
      </c>
      <c r="M69" s="8">
        <v>0</v>
      </c>
      <c r="O69" s="8">
        <v>4056718050</v>
      </c>
      <c r="Q69" s="8">
        <v>0</v>
      </c>
      <c r="S69" s="8">
        <v>4056718050</v>
      </c>
      <c r="U69" s="9">
        <v>1.0045864161569829E-2</v>
      </c>
    </row>
    <row r="70" spans="1:21" ht="18.75" x14ac:dyDescent="0.45">
      <c r="A70" s="5" t="s">
        <v>81</v>
      </c>
      <c r="C70" s="8">
        <v>0</v>
      </c>
      <c r="E70" s="8">
        <v>10671126750</v>
      </c>
      <c r="G70" s="8">
        <v>0</v>
      </c>
      <c r="I70" s="8">
        <v>10671126750</v>
      </c>
      <c r="K70" s="9">
        <v>2.642547213292137E-2</v>
      </c>
      <c r="M70" s="8">
        <v>0</v>
      </c>
      <c r="O70" s="8">
        <v>10671126750</v>
      </c>
      <c r="Q70" s="8">
        <v>0</v>
      </c>
      <c r="S70" s="8">
        <v>10671126750</v>
      </c>
      <c r="U70" s="9">
        <v>2.642547213292137E-2</v>
      </c>
    </row>
    <row r="71" spans="1:21" ht="18.75" x14ac:dyDescent="0.45">
      <c r="A71" s="5" t="s">
        <v>82</v>
      </c>
      <c r="C71" s="8">
        <v>0</v>
      </c>
      <c r="E71" s="8">
        <v>1592467304</v>
      </c>
      <c r="G71" s="8">
        <v>0</v>
      </c>
      <c r="I71" s="8">
        <v>1592467304</v>
      </c>
      <c r="K71" s="9">
        <v>3.9435104980306253E-3</v>
      </c>
      <c r="M71" s="8">
        <v>0</v>
      </c>
      <c r="O71" s="8">
        <v>1592467304</v>
      </c>
      <c r="Q71" s="8">
        <v>0</v>
      </c>
      <c r="S71" s="8">
        <v>1592467304</v>
      </c>
      <c r="U71" s="9">
        <v>3.9435104980306253E-3</v>
      </c>
    </row>
    <row r="72" spans="1:21" ht="18.75" x14ac:dyDescent="0.45">
      <c r="A72" s="5" t="s">
        <v>83</v>
      </c>
      <c r="C72" s="8">
        <v>0</v>
      </c>
      <c r="E72" s="8">
        <v>14856951537</v>
      </c>
      <c r="G72" s="8">
        <v>0</v>
      </c>
      <c r="I72" s="8">
        <v>14856951537</v>
      </c>
      <c r="K72" s="9">
        <v>3.6791050094232725E-2</v>
      </c>
      <c r="M72" s="8">
        <v>0</v>
      </c>
      <c r="O72" s="8">
        <v>14856951537</v>
      </c>
      <c r="Q72" s="8">
        <v>0</v>
      </c>
      <c r="S72" s="8">
        <v>14856951537</v>
      </c>
      <c r="U72" s="9">
        <v>3.6791050094232725E-2</v>
      </c>
    </row>
    <row r="73" spans="1:21" ht="18.75" x14ac:dyDescent="0.45">
      <c r="A73" s="5" t="s">
        <v>84</v>
      </c>
      <c r="C73" s="8">
        <v>0</v>
      </c>
      <c r="E73" s="8">
        <v>6872980898</v>
      </c>
      <c r="G73" s="8">
        <v>0</v>
      </c>
      <c r="I73" s="8">
        <v>6872980898</v>
      </c>
      <c r="K73" s="9">
        <v>1.7019923897933262E-2</v>
      </c>
      <c r="M73" s="8">
        <v>0</v>
      </c>
      <c r="O73" s="8">
        <v>6872980898</v>
      </c>
      <c r="Q73" s="8">
        <v>0</v>
      </c>
      <c r="S73" s="8">
        <v>6872980898</v>
      </c>
      <c r="U73" s="9">
        <v>1.7019923897933262E-2</v>
      </c>
    </row>
    <row r="74" spans="1:21" ht="18.75" x14ac:dyDescent="0.45">
      <c r="A74" s="5" t="s">
        <v>85</v>
      </c>
      <c r="C74" s="8">
        <v>0</v>
      </c>
      <c r="E74" s="8">
        <v>1584288719</v>
      </c>
      <c r="G74" s="8">
        <v>0</v>
      </c>
      <c r="I74" s="8">
        <v>1584288719</v>
      </c>
      <c r="K74" s="9">
        <v>3.923257438061655E-3</v>
      </c>
      <c r="M74" s="8">
        <v>0</v>
      </c>
      <c r="O74" s="8">
        <v>1584288719</v>
      </c>
      <c r="Q74" s="8">
        <v>0</v>
      </c>
      <c r="S74" s="8">
        <v>1584288719</v>
      </c>
      <c r="U74" s="9">
        <v>3.923257438061655E-3</v>
      </c>
    </row>
    <row r="75" spans="1:21" ht="18.75" x14ac:dyDescent="0.45">
      <c r="A75" s="5" t="s">
        <v>86</v>
      </c>
      <c r="C75" s="8">
        <v>0</v>
      </c>
      <c r="E75" s="8">
        <v>740945</v>
      </c>
      <c r="G75" s="8">
        <v>0</v>
      </c>
      <c r="I75" s="8">
        <v>740945</v>
      </c>
      <c r="K75" s="9">
        <v>1.8348410536429458E-6</v>
      </c>
      <c r="M75" s="8">
        <v>0</v>
      </c>
      <c r="O75" s="8">
        <v>740945</v>
      </c>
      <c r="Q75" s="8">
        <v>0</v>
      </c>
      <c r="S75" s="8">
        <v>740945</v>
      </c>
      <c r="U75" s="9">
        <v>1.8348410536429458E-6</v>
      </c>
    </row>
    <row r="76" spans="1:21" ht="18.75" x14ac:dyDescent="0.45">
      <c r="A76" s="5" t="s">
        <v>87</v>
      </c>
      <c r="C76" s="8">
        <v>0</v>
      </c>
      <c r="E76" s="8">
        <v>1181468187</v>
      </c>
      <c r="G76" s="8">
        <v>0</v>
      </c>
      <c r="I76" s="8">
        <v>1181468187</v>
      </c>
      <c r="K76" s="9">
        <v>2.9257317791208538E-3</v>
      </c>
      <c r="M76" s="8">
        <v>0</v>
      </c>
      <c r="O76" s="8">
        <v>1181468187</v>
      </c>
      <c r="Q76" s="8">
        <v>0</v>
      </c>
      <c r="S76" s="8">
        <v>1181468187</v>
      </c>
      <c r="U76" s="9">
        <v>2.9257317791208538E-3</v>
      </c>
    </row>
    <row r="77" spans="1:21" ht="18.75" x14ac:dyDescent="0.45">
      <c r="A77" s="5" t="s">
        <v>88</v>
      </c>
      <c r="C77" s="8">
        <v>0</v>
      </c>
      <c r="E77" s="8">
        <v>1615457256</v>
      </c>
      <c r="G77" s="8">
        <v>0</v>
      </c>
      <c r="I77" s="8">
        <v>1615457256</v>
      </c>
      <c r="K77" s="9">
        <v>4.0004417247085575E-3</v>
      </c>
      <c r="M77" s="8">
        <v>0</v>
      </c>
      <c r="O77" s="8">
        <v>1615457256</v>
      </c>
      <c r="Q77" s="8">
        <v>0</v>
      </c>
      <c r="S77" s="8">
        <v>1615457256</v>
      </c>
      <c r="U77" s="9">
        <v>4.0004417247085575E-3</v>
      </c>
    </row>
    <row r="78" spans="1:21" ht="18.75" x14ac:dyDescent="0.45">
      <c r="A78" s="5" t="s">
        <v>89</v>
      </c>
      <c r="C78" s="8">
        <v>0</v>
      </c>
      <c r="E78" s="8">
        <v>6283258478</v>
      </c>
      <c r="G78" s="8">
        <v>0</v>
      </c>
      <c r="I78" s="8">
        <v>6283258478</v>
      </c>
      <c r="K78" s="9">
        <v>1.5559563268642737E-2</v>
      </c>
      <c r="M78" s="8">
        <v>0</v>
      </c>
      <c r="O78" s="8">
        <v>6283258478</v>
      </c>
      <c r="Q78" s="8">
        <v>0</v>
      </c>
      <c r="S78" s="8">
        <v>6283258478</v>
      </c>
      <c r="U78" s="9">
        <v>1.5559563268642737E-2</v>
      </c>
    </row>
    <row r="79" spans="1:21" ht="18.75" x14ac:dyDescent="0.45">
      <c r="A79" s="5" t="s">
        <v>90</v>
      </c>
      <c r="C79" s="8">
        <v>0</v>
      </c>
      <c r="E79" s="8">
        <v>198014760</v>
      </c>
      <c r="G79" s="8">
        <v>0</v>
      </c>
      <c r="I79" s="8">
        <v>198014760</v>
      </c>
      <c r="K79" s="9">
        <v>4.903543594669713E-4</v>
      </c>
      <c r="M79" s="8">
        <v>0</v>
      </c>
      <c r="O79" s="8">
        <v>198014760</v>
      </c>
      <c r="Q79" s="8">
        <v>0</v>
      </c>
      <c r="S79" s="8">
        <v>198014760</v>
      </c>
      <c r="U79" s="9">
        <v>4.903543594669713E-4</v>
      </c>
    </row>
    <row r="80" spans="1:21" ht="18.75" x14ac:dyDescent="0.45">
      <c r="A80" s="5" t="s">
        <v>91</v>
      </c>
      <c r="C80" s="8">
        <v>0</v>
      </c>
      <c r="E80" s="8">
        <v>1366139148</v>
      </c>
      <c r="G80" s="8">
        <v>0</v>
      </c>
      <c r="I80" s="8">
        <v>1366139148</v>
      </c>
      <c r="K80" s="9">
        <v>3.3830421876646665E-3</v>
      </c>
      <c r="M80" s="8">
        <v>0</v>
      </c>
      <c r="O80" s="8">
        <v>1366139148</v>
      </c>
      <c r="Q80" s="8">
        <v>0</v>
      </c>
      <c r="S80" s="8">
        <v>1366139148</v>
      </c>
      <c r="U80" s="9">
        <v>3.3830421876646665E-3</v>
      </c>
    </row>
    <row r="81" spans="1:21" ht="18.75" x14ac:dyDescent="0.45">
      <c r="A81" s="5" t="s">
        <v>180</v>
      </c>
      <c r="C81" s="8">
        <v>0</v>
      </c>
      <c r="E81" s="8">
        <v>23348581146</v>
      </c>
      <c r="G81" s="8">
        <v>0</v>
      </c>
      <c r="I81" s="8">
        <v>23348581146</v>
      </c>
      <c r="K81" s="9">
        <v>5.7819318884660076E-2</v>
      </c>
      <c r="M81" s="8">
        <v>0</v>
      </c>
      <c r="O81" s="8">
        <v>23348581146</v>
      </c>
      <c r="Q81" s="8">
        <v>0</v>
      </c>
      <c r="S81" s="8">
        <v>23348581146</v>
      </c>
      <c r="U81" s="9">
        <v>5.7819318884660076E-2</v>
      </c>
    </row>
    <row r="82" spans="1:21" ht="18.75" x14ac:dyDescent="0.45">
      <c r="A82" s="5" t="s">
        <v>181</v>
      </c>
      <c r="C82" s="8">
        <v>0</v>
      </c>
      <c r="E82" s="8">
        <v>2300728725</v>
      </c>
      <c r="G82" s="8">
        <v>0</v>
      </c>
      <c r="I82" s="8">
        <v>2300728725</v>
      </c>
      <c r="K82" s="9">
        <v>5.6974154868790414E-3</v>
      </c>
      <c r="M82" s="8">
        <v>0</v>
      </c>
      <c r="O82" s="8">
        <v>2300728725</v>
      </c>
      <c r="Q82" s="8">
        <v>0</v>
      </c>
      <c r="S82" s="8">
        <v>2300728725</v>
      </c>
      <c r="U82" s="9">
        <v>5.6974154868790414E-3</v>
      </c>
    </row>
    <row r="83" spans="1:21" ht="18.75" x14ac:dyDescent="0.45">
      <c r="A83" s="5" t="s">
        <v>94</v>
      </c>
      <c r="C83" s="8">
        <v>0</v>
      </c>
      <c r="E83" s="8">
        <v>5421801586</v>
      </c>
      <c r="G83" s="8">
        <v>0</v>
      </c>
      <c r="I83" s="8">
        <v>5421801586</v>
      </c>
      <c r="K83" s="9">
        <v>1.3426292281747276E-2</v>
      </c>
      <c r="M83" s="8">
        <v>0</v>
      </c>
      <c r="O83" s="8">
        <v>5421801586</v>
      </c>
      <c r="Q83" s="8">
        <v>0</v>
      </c>
      <c r="S83" s="8">
        <v>5421801586</v>
      </c>
      <c r="U83" s="9">
        <v>1.3426292281747276E-2</v>
      </c>
    </row>
    <row r="84" spans="1:21" ht="18.75" x14ac:dyDescent="0.45">
      <c r="A84" s="5" t="s">
        <v>95</v>
      </c>
      <c r="C84" s="8">
        <v>0</v>
      </c>
      <c r="E84" s="8">
        <v>1999531575</v>
      </c>
      <c r="G84" s="8">
        <v>0</v>
      </c>
      <c r="I84" s="8">
        <v>1999531575</v>
      </c>
      <c r="K84" s="9">
        <v>4.9515451509428354E-3</v>
      </c>
      <c r="M84" s="8">
        <v>0</v>
      </c>
      <c r="O84" s="8">
        <v>1999531575</v>
      </c>
      <c r="Q84" s="8">
        <v>0</v>
      </c>
      <c r="S84" s="8">
        <v>1999531575</v>
      </c>
      <c r="U84" s="9">
        <v>4.9515451509428354E-3</v>
      </c>
    </row>
    <row r="85" spans="1:21" ht="18.75" x14ac:dyDescent="0.45">
      <c r="A85" s="5" t="s">
        <v>96</v>
      </c>
      <c r="C85" s="8">
        <v>0</v>
      </c>
      <c r="E85" s="8">
        <v>469958509</v>
      </c>
      <c r="G85" s="8">
        <v>0</v>
      </c>
      <c r="I85" s="8">
        <v>469958509</v>
      </c>
      <c r="K85" s="9">
        <v>1.1637829607083223E-3</v>
      </c>
      <c r="M85" s="8">
        <v>0</v>
      </c>
      <c r="O85" s="8">
        <v>469958509</v>
      </c>
      <c r="Q85" s="8">
        <v>0</v>
      </c>
      <c r="S85" s="8">
        <v>469958509</v>
      </c>
      <c r="U85" s="9">
        <v>1.1637829607083223E-3</v>
      </c>
    </row>
    <row r="86" spans="1:21" ht="37.5" x14ac:dyDescent="0.45">
      <c r="A86" s="5" t="s">
        <v>98</v>
      </c>
      <c r="C86" s="8">
        <v>0</v>
      </c>
      <c r="E86" s="8">
        <v>987688080</v>
      </c>
      <c r="G86" s="8">
        <v>0</v>
      </c>
      <c r="I86" s="8">
        <v>987688080</v>
      </c>
      <c r="K86" s="9">
        <v>2.4458639134858568E-3</v>
      </c>
      <c r="M86" s="8">
        <v>0</v>
      </c>
      <c r="O86" s="8">
        <v>987688080</v>
      </c>
      <c r="Q86" s="8">
        <v>0</v>
      </c>
      <c r="S86" s="8">
        <v>987688080</v>
      </c>
      <c r="U86" s="9">
        <v>2.4458639134858568E-3</v>
      </c>
    </row>
    <row r="87" spans="1:21" ht="18.75" x14ac:dyDescent="0.45">
      <c r="A87" s="10" t="s">
        <v>99</v>
      </c>
      <c r="C87" s="10">
        <f>SUM(C9:$C$86)</f>
        <v>0</v>
      </c>
      <c r="E87" s="10">
        <f>SUM(E9:$E$86)</f>
        <v>402183267135</v>
      </c>
      <c r="G87" s="10">
        <f>SUM(G9:$G$86)</f>
        <v>1061744941</v>
      </c>
      <c r="I87" s="10">
        <f>SUM(I9:$I$86)</f>
        <v>403245012076</v>
      </c>
      <c r="K87" s="11">
        <f>SUM(K9:$K$86)</f>
        <v>0.99857682126715275</v>
      </c>
      <c r="M87" s="10">
        <f>SUM(M9:$M$86)</f>
        <v>0</v>
      </c>
      <c r="O87" s="10">
        <f>SUM(O9:$O$86)</f>
        <v>402183267135</v>
      </c>
      <c r="Q87" s="10">
        <f>SUM(Q9:$Q$86)</f>
        <v>1061744941</v>
      </c>
      <c r="S87" s="10">
        <f>SUM(S9:$S$86)</f>
        <v>403245012076</v>
      </c>
      <c r="U87" s="11">
        <f>SUM(U9:$U$86)</f>
        <v>0.99857682126715275</v>
      </c>
    </row>
    <row r="88" spans="1:21" ht="18.75" x14ac:dyDescent="0.45">
      <c r="C88" s="12"/>
      <c r="E88" s="12"/>
      <c r="G88" s="12"/>
      <c r="I88" s="12"/>
      <c r="K88" s="12"/>
      <c r="M88" s="12"/>
      <c r="O88" s="12"/>
      <c r="Q88" s="12"/>
      <c r="S88" s="12"/>
      <c r="U88" s="12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="AT13" sqref="AT13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7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9.140625" style="1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182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154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</row>
    <row r="8" spans="1:17" ht="21" x14ac:dyDescent="0.45">
      <c r="C8" s="16" t="s">
        <v>183</v>
      </c>
      <c r="E8" s="16" t="s">
        <v>173</v>
      </c>
      <c r="G8" s="16" t="s">
        <v>174</v>
      </c>
      <c r="I8" s="16" t="s">
        <v>99</v>
      </c>
      <c r="K8" s="16" t="s">
        <v>183</v>
      </c>
      <c r="M8" s="16" t="s">
        <v>173</v>
      </c>
      <c r="O8" s="16" t="s">
        <v>174</v>
      </c>
      <c r="Q8" s="16" t="s">
        <v>99</v>
      </c>
    </row>
    <row r="9" spans="1:17" ht="18.75" x14ac:dyDescent="0.45">
      <c r="A9" s="10" t="s">
        <v>99</v>
      </c>
      <c r="C9" s="10">
        <f>SUM($C$8)</f>
        <v>0</v>
      </c>
      <c r="E9" s="10">
        <f>SUM($E$8)</f>
        <v>0</v>
      </c>
      <c r="G9" s="10">
        <f>SUM($G$8)</f>
        <v>0</v>
      </c>
      <c r="I9" s="10">
        <f>SUM($I$8)</f>
        <v>0</v>
      </c>
      <c r="K9" s="10">
        <f>SUM($K$8)</f>
        <v>0</v>
      </c>
      <c r="M9" s="10">
        <f>SUM($M$8)</f>
        <v>0</v>
      </c>
      <c r="O9" s="10">
        <f>SUM($O$8)</f>
        <v>0</v>
      </c>
      <c r="Q9" s="10">
        <f>SUM($Q$8)</f>
        <v>0</v>
      </c>
    </row>
    <row r="10" spans="1:17" ht="18.75" x14ac:dyDescent="0.45">
      <c r="C10" s="12"/>
      <c r="E10" s="12"/>
      <c r="G10" s="12"/>
      <c r="I10" s="12"/>
      <c r="K10" s="12"/>
      <c r="M10" s="12"/>
      <c r="O10" s="12"/>
      <c r="Q10" s="12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6"/>
  <sheetViews>
    <sheetView rightToLeft="1" view="pageBreakPreview" zoomScale="96" zoomScaleNormal="100" zoomScaleSheetLayoutView="96" workbookViewId="0">
      <selection activeCell="AT13" sqref="AT13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4.140625" style="1" customWidth="1"/>
    <col min="6" max="6" width="1.42578125" style="1" customWidth="1"/>
    <col min="7" max="7" width="17" style="1" customWidth="1"/>
    <col min="8" max="8" width="1.42578125" style="1" customWidth="1"/>
    <col min="9" max="9" width="14.140625" style="1" customWidth="1"/>
    <col min="10" max="16384" width="9.140625" style="1"/>
  </cols>
  <sheetData>
    <row r="1" spans="1: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0.100000000000001" customHeight="1" x14ac:dyDescent="0.45">
      <c r="A2" s="33" t="s">
        <v>142</v>
      </c>
      <c r="B2" s="31"/>
      <c r="C2" s="31"/>
      <c r="D2" s="31"/>
      <c r="E2" s="31"/>
      <c r="F2" s="31"/>
      <c r="G2" s="31"/>
      <c r="H2" s="31"/>
      <c r="I2" s="31"/>
    </row>
    <row r="3" spans="1: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9" ht="21" x14ac:dyDescent="0.45">
      <c r="A5" s="34" t="s">
        <v>184</v>
      </c>
      <c r="B5" s="31"/>
      <c r="C5" s="31"/>
      <c r="D5" s="31"/>
      <c r="E5" s="31"/>
      <c r="F5" s="31"/>
      <c r="G5" s="31"/>
      <c r="H5" s="31"/>
      <c r="I5" s="31"/>
    </row>
    <row r="7" spans="1:9" ht="21" x14ac:dyDescent="0.45">
      <c r="A7" s="27" t="s">
        <v>185</v>
      </c>
      <c r="B7" s="28"/>
      <c r="C7" s="27" t="s">
        <v>154</v>
      </c>
      <c r="D7" s="28"/>
      <c r="E7" s="28"/>
      <c r="G7" s="27" t="s">
        <v>7</v>
      </c>
      <c r="H7" s="28"/>
      <c r="I7" s="28"/>
    </row>
    <row r="8" spans="1:9" ht="42" x14ac:dyDescent="0.45">
      <c r="A8" s="16" t="s">
        <v>186</v>
      </c>
      <c r="C8" s="16" t="s">
        <v>187</v>
      </c>
      <c r="E8" s="16" t="s">
        <v>188</v>
      </c>
      <c r="G8" s="16" t="s">
        <v>187</v>
      </c>
      <c r="I8" s="16" t="s">
        <v>188</v>
      </c>
    </row>
    <row r="9" spans="1:9" ht="18.75" x14ac:dyDescent="0.45">
      <c r="A9" s="19" t="s">
        <v>202</v>
      </c>
      <c r="C9" s="8">
        <v>34751</v>
      </c>
      <c r="E9" s="9">
        <f>C9/C15</f>
        <v>6.0467266767850522E-5</v>
      </c>
      <c r="G9" s="8">
        <v>34751</v>
      </c>
      <c r="I9" s="9">
        <f>G9/G15</f>
        <v>6.0467266767850522E-5</v>
      </c>
    </row>
    <row r="10" spans="1:9" ht="18.75" x14ac:dyDescent="0.45">
      <c r="A10" s="19" t="s">
        <v>203</v>
      </c>
      <c r="C10" s="8">
        <v>2061367</v>
      </c>
      <c r="E10" s="9">
        <f>C10/C15</f>
        <v>3.5868098269242242E-3</v>
      </c>
      <c r="G10" s="8">
        <v>2061367</v>
      </c>
      <c r="I10" s="9">
        <f>G10/G15</f>
        <v>3.5868098269242242E-3</v>
      </c>
    </row>
    <row r="11" spans="1:9" ht="18.75" x14ac:dyDescent="0.45">
      <c r="A11" s="19" t="s">
        <v>204</v>
      </c>
      <c r="C11" s="8">
        <v>567154353</v>
      </c>
      <c r="E11" s="9">
        <f>C11/C15</f>
        <v>0.98685717134467099</v>
      </c>
      <c r="G11" s="8">
        <v>567154353</v>
      </c>
      <c r="I11" s="9">
        <f>G11/G15</f>
        <v>0.98685717134467099</v>
      </c>
    </row>
    <row r="12" spans="1:9" ht="18.75" x14ac:dyDescent="0.45">
      <c r="A12" s="19" t="s">
        <v>205</v>
      </c>
      <c r="C12" s="8">
        <v>37458</v>
      </c>
      <c r="E12" s="9">
        <f>C12/C15</f>
        <v>6.5177487801506277E-5</v>
      </c>
      <c r="G12" s="8">
        <v>37458</v>
      </c>
      <c r="I12" s="9">
        <f>G12/G15</f>
        <v>6.5177487801506277E-5</v>
      </c>
    </row>
    <row r="13" spans="1:9" ht="18.75" x14ac:dyDescent="0.45">
      <c r="A13" s="19" t="s">
        <v>206</v>
      </c>
      <c r="C13" s="8">
        <v>64847</v>
      </c>
      <c r="E13" s="9">
        <f>C13/C15</f>
        <v>1.1283476297357781E-4</v>
      </c>
      <c r="G13" s="8">
        <v>64847</v>
      </c>
      <c r="I13" s="9">
        <f>G13/G15</f>
        <v>1.1283476297357781E-4</v>
      </c>
    </row>
    <row r="14" spans="1:9" ht="18.75" x14ac:dyDescent="0.45">
      <c r="A14" s="19" t="s">
        <v>207</v>
      </c>
      <c r="C14" s="8">
        <v>5354861</v>
      </c>
      <c r="E14" s="9">
        <f>C14/C15</f>
        <v>9.3175393108618117E-3</v>
      </c>
      <c r="G14" s="8">
        <v>5354861</v>
      </c>
      <c r="I14" s="9">
        <f>G14/G15</f>
        <v>9.3175393108618117E-3</v>
      </c>
    </row>
    <row r="15" spans="1:9" ht="19.5" thickBot="1" x14ac:dyDescent="0.5">
      <c r="A15" s="10" t="s">
        <v>99</v>
      </c>
      <c r="C15" s="10">
        <f>SUM(C9:$C$14)</f>
        <v>574707637</v>
      </c>
      <c r="E15" s="11">
        <f>SUM(E9:$E$14)</f>
        <v>0.99999999999999989</v>
      </c>
      <c r="G15" s="10">
        <f>SUM(G9:$G$14)</f>
        <v>574707637</v>
      </c>
      <c r="I15" s="11">
        <f>SUM(I9:$I$14)</f>
        <v>0.99999999999999989</v>
      </c>
    </row>
    <row r="16" spans="1:9" ht="19.5" thickTop="1" x14ac:dyDescent="0.45">
      <c r="C16" s="12"/>
      <c r="E16" s="12"/>
      <c r="G16" s="12"/>
      <c r="I16" s="12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activeCell="AT13" sqref="AT13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16384" width="9.140625" style="1"/>
  </cols>
  <sheetData>
    <row r="1" spans="1:5" ht="20.100000000000001" customHeight="1" x14ac:dyDescent="0.45">
      <c r="A1" s="33" t="s">
        <v>0</v>
      </c>
      <c r="B1" s="31"/>
      <c r="C1" s="31"/>
      <c r="D1" s="31"/>
      <c r="E1" s="31"/>
    </row>
    <row r="2" spans="1:5" ht="20.100000000000001" customHeight="1" x14ac:dyDescent="0.45">
      <c r="A2" s="33" t="s">
        <v>142</v>
      </c>
      <c r="B2" s="31"/>
      <c r="C2" s="31"/>
      <c r="D2" s="31"/>
      <c r="E2" s="31"/>
    </row>
    <row r="3" spans="1:5" ht="20.100000000000001" customHeight="1" x14ac:dyDescent="0.45">
      <c r="A3" s="33" t="s">
        <v>2</v>
      </c>
      <c r="B3" s="31"/>
      <c r="C3" s="31"/>
      <c r="D3" s="31"/>
      <c r="E3" s="31"/>
    </row>
    <row r="5" spans="1:5" ht="21" x14ac:dyDescent="0.45">
      <c r="A5" s="34" t="s">
        <v>189</v>
      </c>
      <c r="B5" s="31"/>
      <c r="C5" s="31"/>
      <c r="D5" s="31"/>
      <c r="E5" s="31"/>
    </row>
    <row r="7" spans="1:5" ht="21" x14ac:dyDescent="0.45">
      <c r="C7" s="3" t="s">
        <v>154</v>
      </c>
      <c r="E7" s="3" t="s">
        <v>7</v>
      </c>
    </row>
    <row r="8" spans="1:5" ht="21" x14ac:dyDescent="0.45">
      <c r="A8" s="16" t="s">
        <v>151</v>
      </c>
      <c r="C8" s="16" t="s">
        <v>132</v>
      </c>
      <c r="E8" s="16" t="s">
        <v>132</v>
      </c>
    </row>
    <row r="9" spans="1:5" ht="18.75" x14ac:dyDescent="0.45">
      <c r="A9" s="10" t="s">
        <v>99</v>
      </c>
      <c r="C9" s="10">
        <f>SUM($C$8)</f>
        <v>0</v>
      </c>
      <c r="E9" s="10">
        <f>SUM($E$8)</f>
        <v>0</v>
      </c>
    </row>
    <row r="10" spans="1:5" ht="18.75" x14ac:dyDescent="0.45">
      <c r="C10" s="12"/>
      <c r="E10" s="12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'11'!Print_Titles</vt:lpstr>
      <vt:lpstr>'12'!Print_Titles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2025-04-21T08:39:55Z</cp:lastPrinted>
  <dcterms:created xsi:type="dcterms:W3CDTF">2025-04-21T07:43:21Z</dcterms:created>
  <dcterms:modified xsi:type="dcterms:W3CDTF">2025-04-21T08:40:12Z</dcterms:modified>
</cp:coreProperties>
</file>