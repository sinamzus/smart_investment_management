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zaei\پرتفو\پرتفوی1403.10.30\مشترک\"/>
    </mc:Choice>
  </mc:AlternateContent>
  <xr:revisionPtr revIDLastSave="0" documentId="13_ncr:1_{E4E42DF5-A467-4ADA-8D8F-6A40D30DDB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7" sheetId="8" r:id="rId7"/>
    <sheet name="8" sheetId="9" r:id="rId8"/>
    <sheet name="9" sheetId="10" r:id="rId9"/>
    <sheet name="Sheet1" sheetId="17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</sheets>
  <definedNames>
    <definedName name="_xlnm.Print_Titles" localSheetId="1">'1'!$1:$10</definedName>
    <definedName name="_xlnm.Print_Titles" localSheetId="10">'10'!$1:$8</definedName>
    <definedName name="_xlnm.Print_Titles" localSheetId="11">'11'!$1:$8</definedName>
    <definedName name="_xlnm.Print_Titles" localSheetId="12">'12'!$1:$8</definedName>
    <definedName name="_xlnm.Print_Titles" localSheetId="7">'8'!$1:$8</definedName>
  </definedNames>
  <calcPr calcId="191029"/>
</workbook>
</file>

<file path=xl/calcChain.xml><?xml version="1.0" encoding="utf-8"?>
<calcChain xmlns="http://schemas.openxmlformats.org/spreadsheetml/2006/main">
  <c r="M10" i="17" l="1"/>
  <c r="K10" i="17"/>
  <c r="I10" i="17"/>
  <c r="G10" i="17"/>
  <c r="E10" i="17"/>
  <c r="C10" i="17"/>
  <c r="G9" i="8"/>
  <c r="G10" i="8"/>
  <c r="G11" i="8"/>
  <c r="G12" i="8"/>
  <c r="G8" i="8"/>
  <c r="E10" i="16" l="1"/>
  <c r="C10" i="16"/>
  <c r="G10" i="15"/>
  <c r="C10" i="15"/>
  <c r="Q10" i="14"/>
  <c r="O10" i="14"/>
  <c r="M10" i="14"/>
  <c r="K10" i="14"/>
  <c r="I10" i="14"/>
  <c r="G10" i="14"/>
  <c r="E10" i="14"/>
  <c r="C10" i="14"/>
  <c r="U110" i="13"/>
  <c r="S110" i="13"/>
  <c r="Q110" i="13"/>
  <c r="O110" i="13"/>
  <c r="M110" i="13"/>
  <c r="K110" i="13"/>
  <c r="I110" i="13"/>
  <c r="G110" i="13"/>
  <c r="E110" i="13"/>
  <c r="C110" i="13"/>
  <c r="Q82" i="12"/>
  <c r="O82" i="12"/>
  <c r="M82" i="12"/>
  <c r="K82" i="12"/>
  <c r="I82" i="12"/>
  <c r="G82" i="12"/>
  <c r="E82" i="12"/>
  <c r="C82" i="12"/>
  <c r="Q87" i="11"/>
  <c r="O87" i="11"/>
  <c r="M87" i="11"/>
  <c r="K87" i="11"/>
  <c r="I87" i="11"/>
  <c r="G87" i="11"/>
  <c r="E87" i="11"/>
  <c r="C87" i="11"/>
  <c r="S10" i="10"/>
  <c r="Q10" i="10"/>
  <c r="O10" i="10"/>
  <c r="M10" i="10"/>
  <c r="K10" i="10"/>
  <c r="I10" i="10"/>
  <c r="S73" i="9"/>
  <c r="Q73" i="9"/>
  <c r="O73" i="9"/>
  <c r="M73" i="9"/>
  <c r="K73" i="9"/>
  <c r="I73" i="9"/>
  <c r="E13" i="8"/>
  <c r="K10" i="6"/>
  <c r="I10" i="6"/>
  <c r="G10" i="6"/>
  <c r="E10" i="6"/>
  <c r="C10" i="6"/>
  <c r="K10" i="5"/>
  <c r="AI10" i="4"/>
  <c r="AG10" i="4"/>
  <c r="AE10" i="4"/>
  <c r="AC10" i="4"/>
  <c r="AA10" i="4"/>
  <c r="Y10" i="4"/>
  <c r="X10" i="4"/>
  <c r="V10" i="4"/>
  <c r="U10" i="4"/>
  <c r="S10" i="4"/>
  <c r="Q10" i="4"/>
  <c r="O10" i="4"/>
  <c r="W85" i="2"/>
  <c r="U85" i="2"/>
  <c r="S85" i="2"/>
  <c r="Q85" i="2"/>
  <c r="O85" i="2"/>
  <c r="M85" i="2"/>
  <c r="L85" i="2"/>
  <c r="J85" i="2"/>
  <c r="I85" i="2"/>
  <c r="G85" i="2"/>
  <c r="E85" i="2"/>
  <c r="C85" i="2"/>
  <c r="G13" i="8" l="1"/>
  <c r="I13" i="8"/>
  <c r="I10" i="15"/>
  <c r="E10" i="15"/>
</calcChain>
</file>

<file path=xl/sharedStrings.xml><?xml version="1.0" encoding="utf-8"?>
<sst xmlns="http://schemas.openxmlformats.org/spreadsheetml/2006/main" count="753" uniqueCount="266">
  <si>
    <t>‫مشترک کاریزما</t>
  </si>
  <si>
    <t>‫صورت وضعیت پورتفوی</t>
  </si>
  <si>
    <t>‫برای ماه منتهی به 1403/10/30</t>
  </si>
  <si>
    <t>‫1- سرمایه گذاری ها</t>
  </si>
  <si>
    <t>‫1-1- سرمایه گذاری در سهام و حق تقدم سهام</t>
  </si>
  <si>
    <t>‫1403/09/30</t>
  </si>
  <si>
    <t>‫تغییرات طی دوره</t>
  </si>
  <si>
    <t>‫1403/10/30</t>
  </si>
  <si>
    <t>‫شرکت</t>
  </si>
  <si>
    <t>‫تعداد</t>
  </si>
  <si>
    <t>‫بهای تمام شده</t>
  </si>
  <si>
    <t>‫خالص ارزش فروش</t>
  </si>
  <si>
    <t>‫خرید طی دوره</t>
  </si>
  <si>
    <t>‫فروش طی دوره</t>
  </si>
  <si>
    <t>‫قیمت بازار هر سهم</t>
  </si>
  <si>
    <t>‫درصد به کل دارایی ها</t>
  </si>
  <si>
    <t>‫مبلغ فروش</t>
  </si>
  <si>
    <t>‫آنتي بيوتيك سازي ايران</t>
  </si>
  <si>
    <t>‫ارتباطات سیار</t>
  </si>
  <si>
    <t>‫افست</t>
  </si>
  <si>
    <t>‫املاح ايران</t>
  </si>
  <si>
    <t>‫املاح ايران (تقدم)</t>
  </si>
  <si>
    <t>‫ايران ترانسفو</t>
  </si>
  <si>
    <t>‫ايران ياسا</t>
  </si>
  <si>
    <t>‫ایرکا پارت صنعت</t>
  </si>
  <si>
    <t>‫بيمه اتكايي ايران معين</t>
  </si>
  <si>
    <t>‫بيمه زندگي كاريزما50%تاديه</t>
  </si>
  <si>
    <t>‫تامين ماسه</t>
  </si>
  <si>
    <t>‫تايدواتر</t>
  </si>
  <si>
    <t xml:space="preserve">‫تراكتور سازي </t>
  </si>
  <si>
    <t>‫توزيع دارو پخش</t>
  </si>
  <si>
    <t>‫توسعه معادن كروميت كاوندگان</t>
  </si>
  <si>
    <t>‫توسعه نيشكر و صنايع جانبي</t>
  </si>
  <si>
    <t>‫توليدات پتروشيمي قائد بصير</t>
  </si>
  <si>
    <t>‫توليدي برنا باطري</t>
  </si>
  <si>
    <t>‫توليدي چدن سازان</t>
  </si>
  <si>
    <t>‫حمل و نقل ريلي پارسيان</t>
  </si>
  <si>
    <t>‫خاك چيني</t>
  </si>
  <si>
    <t>‫داروسازي فارابي</t>
  </si>
  <si>
    <t>‫دارويي ره آورد تامين</t>
  </si>
  <si>
    <t>‫دارويي و نهاده هاي زاگرس دارو</t>
  </si>
  <si>
    <t>‫دانش بنيان پويا نيرو</t>
  </si>
  <si>
    <t>‫دريايي سينا</t>
  </si>
  <si>
    <t>‫رادياتور</t>
  </si>
  <si>
    <t>‫ريخته گري تراكتورسازي</t>
  </si>
  <si>
    <t>‫زامياد</t>
  </si>
  <si>
    <t>‫سبحان_دارو</t>
  </si>
  <si>
    <t>‫سيمان آبيك</t>
  </si>
  <si>
    <t>‫سيمان تهران</t>
  </si>
  <si>
    <t>‫سيمان ساوه</t>
  </si>
  <si>
    <t>‫سيمان سپاهان</t>
  </si>
  <si>
    <t>‫شركت خميرمايه رضوي</t>
  </si>
  <si>
    <t>‫شيشه همدان</t>
  </si>
  <si>
    <t>‫شيشه و گاز</t>
  </si>
  <si>
    <t>‫شیشه قزوین</t>
  </si>
  <si>
    <t>‫صبا فولاد خليج فارس</t>
  </si>
  <si>
    <t>‫صنايع ارتباطي آوا</t>
  </si>
  <si>
    <t>‫صنعتي آما</t>
  </si>
  <si>
    <t>‫صنعتي بارز</t>
  </si>
  <si>
    <t>‫صنعتي سپاهان</t>
  </si>
  <si>
    <t>‫فرآورده هاي دامي ولبني دالاهو</t>
  </si>
  <si>
    <t>‫فولاد سيرجان ايرانيان</t>
  </si>
  <si>
    <t>‫قاسم ايران</t>
  </si>
  <si>
    <t>‫قند هكمتان</t>
  </si>
  <si>
    <t>‫كاشي الوند</t>
  </si>
  <si>
    <t>‫كاشي وسراميك سينا</t>
  </si>
  <si>
    <t>‫كاشي پارس</t>
  </si>
  <si>
    <t>‫كاني كربن طبس</t>
  </si>
  <si>
    <t>‫كربن</t>
  </si>
  <si>
    <t>‫كشت و دام قيام اصفهان</t>
  </si>
  <si>
    <t>‫كشت و دامداري فكا</t>
  </si>
  <si>
    <t>‫كوير تاير</t>
  </si>
  <si>
    <t>‫لاستيك سهند</t>
  </si>
  <si>
    <t>‫مجتمع صنايع لاستيك يزد</t>
  </si>
  <si>
    <t>‫مديريت نيروگاهي ايرانيان مپنا</t>
  </si>
  <si>
    <t>‫ملي شيمي كشاورز</t>
  </si>
  <si>
    <t>‫مهرام</t>
  </si>
  <si>
    <t>‫موتورسازان</t>
  </si>
  <si>
    <t>‫موتوژن</t>
  </si>
  <si>
    <t>‫مگسال</t>
  </si>
  <si>
    <t>‫نساجي بابكان</t>
  </si>
  <si>
    <t>‫نفت اصفهان</t>
  </si>
  <si>
    <t>‫نورد قطعات</t>
  </si>
  <si>
    <t>‫نيروترانس</t>
  </si>
  <si>
    <t>‫نگين طبس</t>
  </si>
  <si>
    <t>‫پارس فولاد سبزوار</t>
  </si>
  <si>
    <t>‫پاکدیس</t>
  </si>
  <si>
    <t>‫پخش هجرت</t>
  </si>
  <si>
    <t>‫پرتو بار فرابر خليج فارس</t>
  </si>
  <si>
    <t>‫پويا زركان آق دره</t>
  </si>
  <si>
    <t>‫گروه انتخاب الكترونيك آرمان</t>
  </si>
  <si>
    <t>‫جمع</t>
  </si>
  <si>
    <t>‫اطلاعات آماری مرتبط با اوراق اختیار فروش تبعی خریداری شده توسط صندوق سرمایه گذاری:</t>
  </si>
  <si>
    <t>‫نام سهام</t>
  </si>
  <si>
    <t>‫تعداد اوراق تبعی</t>
  </si>
  <si>
    <t>‫قیمت اعمال</t>
  </si>
  <si>
    <t>‫تاریخ اعمال</t>
  </si>
  <si>
    <t>‫نرخ سود موثر</t>
  </si>
  <si>
    <t>‫اختيارف ت بپويا-19084-4/09/29</t>
  </si>
  <si>
    <t>‫1404/09/29</t>
  </si>
  <si>
    <t>‫اطلاعات آماری مرتبط با موقعیت‌های اخذ شده در اوراق اختیار معامله توسط صندوق سرمایه گذاری:</t>
  </si>
  <si>
    <t>‫نوع اختیار</t>
  </si>
  <si>
    <t>‫نوع موقعیت</t>
  </si>
  <si>
    <t>‫تعداد اوراق</t>
  </si>
  <si>
    <t>‫اطلاعات آماری مرتبط با قراردادهای آتی توسط صندوق سرمایه گذاری:</t>
  </si>
  <si>
    <t>‫2-1- سرمایه گذاری در اوراق بهادار با درآمد ثابت یا علی الحساب</t>
  </si>
  <si>
    <t>‫اطلاعات اوراق بهادار با درآمد ثابت</t>
  </si>
  <si>
    <t>‫نام اوراق</t>
  </si>
  <si>
    <t>‫دارای مجوز از سازمان</t>
  </si>
  <si>
    <t>‫پذیرفته شده در بورس یا فرابورس</t>
  </si>
  <si>
    <t>‫تاریخ انتشار اوراق</t>
  </si>
  <si>
    <t>‫تاریخ سررسید</t>
  </si>
  <si>
    <t>‫نرخ سود اسمی</t>
  </si>
  <si>
    <t>‫نرخ سود مؤثر</t>
  </si>
  <si>
    <t>‫قیمت بازار هر ورقه</t>
  </si>
  <si>
    <t>‫اوراق بهاداری که ارزش آن‌ها در تاریخ گزارش تعدیل شده</t>
  </si>
  <si>
    <t>‫(بر اساس دستورالعمل نحوه تعیین قیمت خرید و فروش اوراق بهادار در صندوق‌های سرمایه گذاری)</t>
  </si>
  <si>
    <t>‫نام اوراق بهادار</t>
  </si>
  <si>
    <t>‫قیمت پایانی</t>
  </si>
  <si>
    <t>‫قیمت تعدیل شده</t>
  </si>
  <si>
    <t>‫درصد تعدیل</t>
  </si>
  <si>
    <t>‫خالص ارزش فروش تعدیل شده</t>
  </si>
  <si>
    <t>‫دلیل تعدیل</t>
  </si>
  <si>
    <t>‫سپرده‌های بانکی</t>
  </si>
  <si>
    <t>‫نرخ سود علی الحساب</t>
  </si>
  <si>
    <t>‫مبلغ</t>
  </si>
  <si>
    <t>‫افزایش</t>
  </si>
  <si>
    <t>‫کاهش</t>
  </si>
  <si>
    <t>‫صورت وضعیت درآمدها</t>
  </si>
  <si>
    <t>‫2- درآمد حاصل از سرمایه گذاری ها</t>
  </si>
  <si>
    <t>‫شرح</t>
  </si>
  <si>
    <t>‫یادداشت</t>
  </si>
  <si>
    <t>‫درصد از کل درآمدها</t>
  </si>
  <si>
    <t>‫درصد از کل دارایی ها</t>
  </si>
  <si>
    <t>‫درآمد حاصل از سرمایه گذاری در سهام و حق تقدم سهام</t>
  </si>
  <si>
    <t>‫درآمد حاصل از سرمایه گذاری در اوراق بهادار با درآمد ثابت</t>
  </si>
  <si>
    <t>‫درآمد حاصل از سرمایه گذاری در سپرده بانکی و گواهی سپرده</t>
  </si>
  <si>
    <t>‫سایر درآمدها</t>
  </si>
  <si>
    <t>‫درآمد سود سهام</t>
  </si>
  <si>
    <t>‫اطلاعات مجمع</t>
  </si>
  <si>
    <t>‫طی دوره</t>
  </si>
  <si>
    <t>‫تاریخ تشکیل مجمع</t>
  </si>
  <si>
    <t>‫تعداد سهام متعلقه در زمان مجمع</t>
  </si>
  <si>
    <t>‫سود متعلق به هر سهم</t>
  </si>
  <si>
    <t>‫جمع درآمد سود سهام</t>
  </si>
  <si>
    <t>‫هزینه تنزیل</t>
  </si>
  <si>
    <t>‫خالص درآمد سود سهام</t>
  </si>
  <si>
    <t>‫1403/02/24</t>
  </si>
  <si>
    <t>‫1403/10/27</t>
  </si>
  <si>
    <t>‫1403/05/23</t>
  </si>
  <si>
    <t>‫بهمن دیزل</t>
  </si>
  <si>
    <t>‫1403/03/30</t>
  </si>
  <si>
    <t>‫1403/04/23</t>
  </si>
  <si>
    <t>‫1403/04/11</t>
  </si>
  <si>
    <t>‫1403/04/16</t>
  </si>
  <si>
    <t>‫تراكتور سازي</t>
  </si>
  <si>
    <t>‫1403/04/17</t>
  </si>
  <si>
    <t>‫1403/03/19</t>
  </si>
  <si>
    <t>‫1403/04/27</t>
  </si>
  <si>
    <t>‫توليدي و صنعتي گوهرفام</t>
  </si>
  <si>
    <t>‫1403/03/01</t>
  </si>
  <si>
    <t>‫1403/04/28</t>
  </si>
  <si>
    <t>‫1403/09/28</t>
  </si>
  <si>
    <t>‫1403/03/22</t>
  </si>
  <si>
    <t>‫1403/03/07</t>
  </si>
  <si>
    <t>‫1403/02/18</t>
  </si>
  <si>
    <t>‫1403/10/08</t>
  </si>
  <si>
    <t>‫دوده صنعتي پارس</t>
  </si>
  <si>
    <t>‫1403/04/13</t>
  </si>
  <si>
    <t>‫1403/03/09</t>
  </si>
  <si>
    <t>‫1403/02/30</t>
  </si>
  <si>
    <t>‫1403/03/13</t>
  </si>
  <si>
    <t>‫1403/04/31</t>
  </si>
  <si>
    <t>‫سيمان هگمتان</t>
  </si>
  <si>
    <t>‫1403/02/26</t>
  </si>
  <si>
    <t>‫1403/07/28</t>
  </si>
  <si>
    <t>‫شيميايي ايران</t>
  </si>
  <si>
    <t>‫1402/12/28</t>
  </si>
  <si>
    <t>‫ص. معدني كيمياي زنجان گستران</t>
  </si>
  <si>
    <t>‫1403/01/29</t>
  </si>
  <si>
    <t>‫1403/04/30</t>
  </si>
  <si>
    <t>‫صنعتي زر ماكارون</t>
  </si>
  <si>
    <t>‫صنعتي مينو</t>
  </si>
  <si>
    <t>‫1403/03/23</t>
  </si>
  <si>
    <t>‫فرآوري زغال سنگ پروده طبس</t>
  </si>
  <si>
    <t>‫1403/04/03</t>
  </si>
  <si>
    <t>‫فنر خاور</t>
  </si>
  <si>
    <t>‫1403/02/31</t>
  </si>
  <si>
    <t>‫فولاد ارفع</t>
  </si>
  <si>
    <t>‫1403/03/12</t>
  </si>
  <si>
    <t>‫فولاد اميركبير</t>
  </si>
  <si>
    <t>‫1403/03/06</t>
  </si>
  <si>
    <t>‫فولاد شاهرود</t>
  </si>
  <si>
    <t>‫فولاد كاوه</t>
  </si>
  <si>
    <t>‫1403/03/31</t>
  </si>
  <si>
    <t>‫1403/03/02</t>
  </si>
  <si>
    <t>‫1403/03/26</t>
  </si>
  <si>
    <t>‫1403/04/24</t>
  </si>
  <si>
    <t>‫1403/04/02</t>
  </si>
  <si>
    <t>‫1403/04/19</t>
  </si>
  <si>
    <t>‫1403/04/12</t>
  </si>
  <si>
    <t>‫محصولات كاغذي لطيف</t>
  </si>
  <si>
    <t>‫1403/09/25</t>
  </si>
  <si>
    <t>‫نشاسته و گلوكز آردينه</t>
  </si>
  <si>
    <t>‫1403/04/04</t>
  </si>
  <si>
    <t>‫1403/02/17</t>
  </si>
  <si>
    <t>‫تاریخ دریافت سود</t>
  </si>
  <si>
    <t>‫درآمد سود</t>
  </si>
  <si>
    <t>‫خالص درآمد</t>
  </si>
  <si>
    <t>‫صكوك مرابحه پتاير703-بدون ضامن</t>
  </si>
  <si>
    <t>‫1403/12/06</t>
  </si>
  <si>
    <t>‫1407/03/06</t>
  </si>
  <si>
    <t>‫26</t>
  </si>
  <si>
    <t>‫سود(زیان) حاصل از فروش اوراق بهادار</t>
  </si>
  <si>
    <t>‫ارزش دفتری</t>
  </si>
  <si>
    <t>‫سود و زیان ناشی از فروش</t>
  </si>
  <si>
    <t>‫الكتريك خودرو</t>
  </si>
  <si>
    <t>‫ايران خودرو ديزل</t>
  </si>
  <si>
    <t>‫تجهيزات ‌هپكو</t>
  </si>
  <si>
    <t>‫جنرال مكانيك</t>
  </si>
  <si>
    <t>‫ريل سير كوثر</t>
  </si>
  <si>
    <t>‫فروسيليس</t>
  </si>
  <si>
    <t>‫فنرسازي زر</t>
  </si>
  <si>
    <t>‫كالسيمين</t>
  </si>
  <si>
    <t>‫كشتيراني ايران</t>
  </si>
  <si>
    <t>‫مس شهيد باهنر</t>
  </si>
  <si>
    <t>‫پشم شيشه</t>
  </si>
  <si>
    <t>‫گلتاش</t>
  </si>
  <si>
    <t>‫ارزش دفتری برابر است با میانگین موزون خالص ارزش فروش هر سهم/ورقه در ابتدای دوره با خرید طی دوره ضربدر تعداد در پایان دوره</t>
  </si>
  <si>
    <t>‫درآمد ناشی از تغییر قیمت اوراق بهادار</t>
  </si>
  <si>
    <t>‫سود و زیان ناشی از تغییر قیمت</t>
  </si>
  <si>
    <t>‫1-2- درآمد حاصل از سرمایه گذاری در سهام و حق تقدم سهام:</t>
  </si>
  <si>
    <t>‫سهام</t>
  </si>
  <si>
    <t>‫درآمد تغییر ارزش</t>
  </si>
  <si>
    <t>‫درآمد فروش</t>
  </si>
  <si>
    <t>‫جمع مبلغ</t>
  </si>
  <si>
    <t>‫درصد از کل درآمد ها</t>
  </si>
  <si>
    <t>‫ارتباطات سيار</t>
  </si>
  <si>
    <t>‫ايركا پارت صنعت</t>
  </si>
  <si>
    <t>‫شيشه قزوين</t>
  </si>
  <si>
    <t>‫پاكديس</t>
  </si>
  <si>
    <t>‫بهمن ديزل</t>
  </si>
  <si>
    <t>‫2-2- درآمد حاصل از سرمایه گذاری در اوراق بهادار با درآمد ثابت:</t>
  </si>
  <si>
    <t>‫درآمد سود اوراق</t>
  </si>
  <si>
    <t>‫3-2- درآمد حاصل از سرمایه گذاری در سپرده بانکی و گواهی سپرده:</t>
  </si>
  <si>
    <t>‫نام سپرده بانکی</t>
  </si>
  <si>
    <t>‫نام سپرده</t>
  </si>
  <si>
    <t>‫سود سپرده بانکی و گواهی سپرده</t>
  </si>
  <si>
    <t>‫درصد سود به میانگین سپرده</t>
  </si>
  <si>
    <t>‫4-2- سایر درآمدها:</t>
  </si>
  <si>
    <t>‫كاريزما</t>
  </si>
  <si>
    <t>صندوق سرمایه گذاری  مشترک کاریزما</t>
  </si>
  <si>
    <t>در راستای اجرای ابلاغیه 12020093 مورخ 1396/09/05 و ابلاغیه 12020268 مورخ 1402/12/01 سازمان بورس و اوراق بهادار</t>
  </si>
  <si>
    <t>گزارش افشای پرتفوی ماهانه
برای دوره منتهی به 30 دی 1403</t>
  </si>
  <si>
    <t xml:space="preserve">‫سپرده بانکی </t>
  </si>
  <si>
    <t>‫3-1- سرمایه گذاری در  سپرده بانکی و گواهی سپرده بانکی</t>
  </si>
  <si>
    <t>1-2</t>
  </si>
  <si>
    <t>درآمد حاصل از سرمایه گذاری در واحدهای صندوق های سرمایه گذاری</t>
  </si>
  <si>
    <t>2-2</t>
  </si>
  <si>
    <t>3-2</t>
  </si>
  <si>
    <t>4-2</t>
  </si>
  <si>
    <t>5-2</t>
  </si>
  <si>
    <t xml:space="preserve">‫سود اوراق بهادار با درآمد ثابت </t>
  </si>
  <si>
    <t>سپرده بانکی</t>
  </si>
  <si>
    <t>‫سود سپرده بانکی</t>
  </si>
  <si>
    <t>‫%22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</si>
</sst>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indexed="8"/>
      <name val="Calibri"/>
      <family val="2"/>
      <scheme val="minor"/>
    </font>
    <font>
      <sz val="11"/>
      <name val="Calibri"/>
      <family val="2"/>
    </font>
    <font>
      <sz val="11"/>
      <name val="B Nazanin"/>
      <charset val="178"/>
    </font>
    <font>
      <b/>
      <sz val="48"/>
      <color rgb="FFFF0000"/>
      <name val="B Nazanin"/>
      <charset val="178"/>
    </font>
    <font>
      <b/>
      <sz val="24"/>
      <color rgb="FFFF0000"/>
      <name val="B Nazanin"/>
      <charset val="178"/>
    </font>
    <font>
      <b/>
      <sz val="24"/>
      <name val="B Nazanin"/>
      <charset val="178"/>
    </font>
    <font>
      <b/>
      <sz val="18"/>
      <name val="B Nazanin"/>
      <charset val="178"/>
    </font>
    <font>
      <b/>
      <sz val="15"/>
      <name val="B Nazanin"/>
      <charset val="178"/>
    </font>
    <font>
      <b/>
      <sz val="14"/>
      <name val="B Nazanin"/>
      <charset val="178"/>
    </font>
    <font>
      <sz val="22"/>
      <color rgb="FFFF0000"/>
      <name val="B Nazanin"/>
      <charset val="178"/>
    </font>
    <font>
      <sz val="26"/>
      <color rgb="FFFF0000"/>
      <name val="B Nazanin"/>
      <charset val="178"/>
    </font>
    <font>
      <b/>
      <u/>
      <sz val="16"/>
      <name val="B Nazanin"/>
      <charset val="178"/>
    </font>
    <font>
      <sz val="11"/>
      <color indexed="8"/>
      <name val="B Nazanin"/>
      <charset val="178"/>
    </font>
    <font>
      <b/>
      <sz val="12"/>
      <name val="B Nazanin"/>
      <charset val="178"/>
    </font>
    <font>
      <sz val="12"/>
      <name val="B Nazanin"/>
      <charset val="178"/>
    </font>
    <font>
      <b/>
      <sz val="11"/>
      <color indexed="8"/>
      <name val="B Nazanin"/>
      <charset val="178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theme="8" tint="-0.49998474074526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2" borderId="6"/>
  </cellStyleXfs>
  <cellXfs count="46">
    <xf numFmtId="0" fontId="0" fillId="0" borderId="0" xfId="0"/>
    <xf numFmtId="0" fontId="2" fillId="3" borderId="6" xfId="1" applyFont="1" applyFill="1"/>
    <xf numFmtId="0" fontId="7" fillId="3" borderId="6" xfId="1" applyFont="1" applyFill="1" applyAlignment="1">
      <alignment horizontal="center"/>
    </xf>
    <xf numFmtId="0" fontId="7" fillId="3" borderId="6" xfId="1" applyFont="1" applyFill="1"/>
    <xf numFmtId="0" fontId="12" fillId="0" borderId="0" xfId="0" applyFont="1"/>
    <xf numFmtId="37" fontId="13" fillId="0" borderId="0" xfId="0" applyNumberFormat="1" applyFont="1" applyAlignment="1">
      <alignment horizontal="right" vertical="center"/>
    </xf>
    <xf numFmtId="37" fontId="13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37" fontId="14" fillId="0" borderId="0" xfId="0" applyNumberFormat="1" applyFont="1" applyAlignment="1">
      <alignment horizontal="center" vertical="center" wrapText="1"/>
    </xf>
    <xf numFmtId="37" fontId="14" fillId="0" borderId="1" xfId="0" applyNumberFormat="1" applyFont="1" applyBorder="1" applyAlignment="1">
      <alignment horizontal="center" vertical="center"/>
    </xf>
    <xf numFmtId="37" fontId="14" fillId="0" borderId="0" xfId="0" applyNumberFormat="1" applyFont="1" applyAlignment="1">
      <alignment horizontal="right" vertical="center" wrapText="1"/>
    </xf>
    <xf numFmtId="37" fontId="14" fillId="0" borderId="0" xfId="0" applyNumberFormat="1" applyFont="1" applyAlignment="1">
      <alignment horizontal="center" vertical="center"/>
    </xf>
    <xf numFmtId="10" fontId="14" fillId="0" borderId="0" xfId="0" applyNumberFormat="1" applyFont="1" applyAlignment="1">
      <alignment horizontal="center" vertical="center"/>
    </xf>
    <xf numFmtId="37" fontId="14" fillId="0" borderId="3" xfId="0" applyNumberFormat="1" applyFont="1" applyBorder="1" applyAlignment="1">
      <alignment horizontal="center" vertical="center"/>
    </xf>
    <xf numFmtId="10" fontId="14" fillId="0" borderId="3" xfId="0" applyNumberFormat="1" applyFont="1" applyBorder="1" applyAlignment="1">
      <alignment horizontal="center" vertical="center"/>
    </xf>
    <xf numFmtId="37" fontId="14" fillId="0" borderId="4" xfId="0" applyNumberFormat="1" applyFont="1" applyBorder="1" applyAlignment="1">
      <alignment horizontal="center" vertical="center"/>
    </xf>
    <xf numFmtId="37" fontId="13" fillId="0" borderId="1" xfId="0" applyNumberFormat="1" applyFont="1" applyBorder="1" applyAlignment="1">
      <alignment horizontal="center" vertical="center" wrapText="1"/>
    </xf>
    <xf numFmtId="37" fontId="13" fillId="0" borderId="0" xfId="0" applyNumberFormat="1" applyFont="1" applyAlignment="1">
      <alignment horizontal="center" vertical="center"/>
    </xf>
    <xf numFmtId="3" fontId="12" fillId="0" borderId="0" xfId="0" applyNumberFormat="1" applyFont="1"/>
    <xf numFmtId="37" fontId="14" fillId="0" borderId="0" xfId="0" applyNumberFormat="1" applyFont="1" applyAlignment="1">
      <alignment horizontal="right" wrapText="1"/>
    </xf>
    <xf numFmtId="0" fontId="12" fillId="0" borderId="6" xfId="0" applyFont="1" applyBorder="1"/>
    <xf numFmtId="37" fontId="14" fillId="0" borderId="6" xfId="0" applyNumberFormat="1" applyFont="1" applyBorder="1" applyAlignment="1">
      <alignment horizontal="center" vertical="center"/>
    </xf>
    <xf numFmtId="10" fontId="14" fillId="0" borderId="6" xfId="0" applyNumberFormat="1" applyFont="1" applyBorder="1" applyAlignment="1">
      <alignment horizontal="center" vertical="center"/>
    </xf>
    <xf numFmtId="37" fontId="12" fillId="0" borderId="0" xfId="0" applyNumberFormat="1" applyFont="1" applyAlignment="1">
      <alignment horizontal="center" vertical="center" wrapText="1"/>
    </xf>
    <xf numFmtId="0" fontId="9" fillId="3" borderId="6" xfId="1" applyFont="1" applyFill="1" applyAlignment="1">
      <alignment horizontal="center" vertical="center" wrapText="1"/>
    </xf>
    <xf numFmtId="0" fontId="3" fillId="3" borderId="6" xfId="1" applyFont="1" applyFill="1" applyAlignment="1">
      <alignment horizontal="center" vertical="center" wrapText="1"/>
    </xf>
    <xf numFmtId="0" fontId="4" fillId="3" borderId="6" xfId="1" applyFont="1" applyFill="1" applyAlignment="1">
      <alignment horizontal="center" vertical="center" wrapText="1"/>
    </xf>
    <xf numFmtId="0" fontId="5" fillId="3" borderId="6" xfId="1" applyFont="1" applyFill="1" applyAlignment="1">
      <alignment horizontal="center" vertical="center" wrapText="1"/>
    </xf>
    <xf numFmtId="0" fontId="6" fillId="3" borderId="6" xfId="1" applyFont="1" applyFill="1" applyAlignment="1">
      <alignment horizontal="center"/>
    </xf>
    <xf numFmtId="0" fontId="10" fillId="3" borderId="6" xfId="1" applyFont="1" applyFill="1" applyAlignment="1">
      <alignment horizontal="center" vertical="center" wrapText="1"/>
    </xf>
    <xf numFmtId="0" fontId="8" fillId="3" borderId="6" xfId="1" applyFont="1" applyFill="1" applyAlignment="1">
      <alignment horizontal="center"/>
    </xf>
    <xf numFmtId="37" fontId="13" fillId="0" borderId="1" xfId="0" applyNumberFormat="1" applyFont="1" applyBorder="1" applyAlignment="1">
      <alignment horizontal="center" vertical="center"/>
    </xf>
    <xf numFmtId="0" fontId="12" fillId="2" borderId="2" xfId="0" applyFont="1" applyFill="1" applyBorder="1"/>
    <xf numFmtId="0" fontId="14" fillId="0" borderId="0" xfId="0" applyFont="1" applyAlignment="1">
      <alignment horizontal="center" vertical="center"/>
    </xf>
    <xf numFmtId="37" fontId="14" fillId="0" borderId="1" xfId="0" applyNumberFormat="1" applyFont="1" applyBorder="1" applyAlignment="1">
      <alignment horizontal="center" vertical="center"/>
    </xf>
    <xf numFmtId="0" fontId="12" fillId="0" borderId="0" xfId="0" applyFont="1"/>
    <xf numFmtId="37" fontId="14" fillId="0" borderId="0" xfId="0" applyNumberFormat="1" applyFont="1" applyAlignment="1">
      <alignment horizontal="center" vertical="center" wrapText="1"/>
    </xf>
    <xf numFmtId="37" fontId="11" fillId="0" borderId="0" xfId="0" applyNumberFormat="1" applyFont="1" applyAlignment="1">
      <alignment horizontal="center" vertical="center"/>
    </xf>
    <xf numFmtId="37" fontId="13" fillId="0" borderId="0" xfId="0" applyNumberFormat="1" applyFont="1" applyAlignment="1">
      <alignment horizontal="right" vertical="center"/>
    </xf>
    <xf numFmtId="37" fontId="14" fillId="0" borderId="0" xfId="0" applyNumberFormat="1" applyFont="1" applyAlignment="1">
      <alignment horizontal="center" vertical="center"/>
    </xf>
    <xf numFmtId="37" fontId="14" fillId="0" borderId="4" xfId="0" applyNumberFormat="1" applyFont="1" applyBorder="1" applyAlignment="1">
      <alignment horizontal="center" vertical="center"/>
    </xf>
    <xf numFmtId="37" fontId="15" fillId="0" borderId="0" xfId="0" applyNumberFormat="1" applyFont="1" applyAlignment="1">
      <alignment horizontal="right" vertical="center"/>
    </xf>
    <xf numFmtId="0" fontId="15" fillId="0" borderId="0" xfId="0" applyFont="1"/>
    <xf numFmtId="37" fontId="14" fillId="0" borderId="5" xfId="0" applyNumberFormat="1" applyFont="1" applyBorder="1" applyAlignment="1">
      <alignment horizontal="center" vertical="center"/>
    </xf>
    <xf numFmtId="0" fontId="12" fillId="2" borderId="7" xfId="0" applyFont="1" applyFill="1" applyBorder="1"/>
    <xf numFmtId="0" fontId="12" fillId="2" borderId="8" xfId="0" applyFont="1" applyFill="1" applyBorder="1"/>
  </cellXfs>
  <cellStyles count="2">
    <cellStyle name="Normal" xfId="0" builtinId="0"/>
    <cellStyle name="Normal 2" xfId="1" xr:uid="{0E51242A-77BB-411F-BE0B-A38B526D54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2"/>
  <sheetViews>
    <sheetView rightToLeft="1" tabSelected="1" view="pageBreakPreview" zoomScale="60" zoomScaleNormal="100" workbookViewId="0">
      <selection activeCell="N24" sqref="N24"/>
    </sheetView>
  </sheetViews>
  <sheetFormatPr defaultRowHeight="15" x14ac:dyDescent="0.25"/>
  <sheetData>
    <row r="1" spans="1:11" ht="18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8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8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5" t="s">
        <v>251</v>
      </c>
      <c r="B4" s="25"/>
      <c r="C4" s="25"/>
      <c r="D4" s="25"/>
      <c r="E4" s="25"/>
      <c r="F4" s="25"/>
      <c r="G4" s="25"/>
      <c r="H4" s="25"/>
      <c r="I4" s="25"/>
      <c r="J4" s="25"/>
      <c r="K4" s="25"/>
    </row>
    <row r="5" spans="1:11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</row>
    <row r="6" spans="1:11" x14ac:dyDescent="0.25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</row>
    <row r="7" spans="1:11" x14ac:dyDescent="0.25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</row>
    <row r="8" spans="1:11" x14ac:dyDescent="0.25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</row>
    <row r="9" spans="1:11" ht="51.75" customHeight="1" x14ac:dyDescent="0.2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</row>
    <row r="10" spans="1:11" ht="26.25" customHeight="1" x14ac:dyDescent="0.2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6"/>
    </row>
    <row r="11" spans="1:11" x14ac:dyDescent="0.25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</row>
    <row r="12" spans="1:11" x14ac:dyDescent="0.25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</row>
    <row r="13" spans="1:11" ht="30" x14ac:dyDescent="0.75">
      <c r="A13" s="1"/>
      <c r="B13" s="28"/>
      <c r="C13" s="28"/>
      <c r="D13" s="28"/>
      <c r="E13" s="28"/>
      <c r="F13" s="28"/>
      <c r="G13" s="28"/>
      <c r="H13" s="28"/>
      <c r="I13" s="28"/>
      <c r="J13" s="28"/>
      <c r="K13" s="28"/>
    </row>
    <row r="14" spans="1:11" ht="25.5" x14ac:dyDescent="0.6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5" customHeight="1" x14ac:dyDescent="0.25">
      <c r="A15" s="29" t="s">
        <v>253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</row>
    <row r="16" spans="1:11" ht="15" customHeight="1" x14ac:dyDescent="0.2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</row>
    <row r="17" spans="1:11" ht="15" customHeight="1" x14ac:dyDescent="0.25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</row>
    <row r="18" spans="1:11" ht="15" customHeight="1" x14ac:dyDescent="0.25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</row>
    <row r="19" spans="1:11" ht="15" customHeight="1" x14ac:dyDescent="0.25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</row>
    <row r="20" spans="1:11" ht="35.25" customHeight="1" x14ac:dyDescent="0.25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</row>
    <row r="21" spans="1:11" ht="18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39.950000000000003" customHeight="1" x14ac:dyDescent="0.65">
      <c r="A22" s="1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ht="39.950000000000003" customHeight="1" x14ac:dyDescent="0.6">
      <c r="A23" s="1"/>
      <c r="B23" s="30"/>
      <c r="C23" s="30"/>
      <c r="D23" s="30"/>
      <c r="E23" s="30"/>
      <c r="F23" s="30"/>
      <c r="G23" s="30"/>
      <c r="H23" s="30"/>
      <c r="I23" s="30"/>
      <c r="J23" s="30"/>
      <c r="K23" s="30"/>
    </row>
    <row r="24" spans="1:11" ht="39.950000000000003" customHeight="1" x14ac:dyDescent="0.65">
      <c r="A24" s="1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x14ac:dyDescent="0.25">
      <c r="A25" s="24" t="s">
        <v>252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</row>
    <row r="26" spans="1:11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</row>
    <row r="27" spans="1:11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</row>
    <row r="28" spans="1:11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</row>
    <row r="29" spans="1:11" x14ac:dyDescent="0.2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</row>
    <row r="30" spans="1:11" x14ac:dyDescent="0.2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</row>
    <row r="31" spans="1:11" x14ac:dyDescent="0.2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</row>
    <row r="32" spans="1:11" ht="18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</sheetData>
  <mergeCells count="7">
    <mergeCell ref="A25:K31"/>
    <mergeCell ref="A4:K9"/>
    <mergeCell ref="A10:J12"/>
    <mergeCell ref="K10:K12"/>
    <mergeCell ref="B13:K13"/>
    <mergeCell ref="A15:K20"/>
    <mergeCell ref="B23:K23"/>
  </mergeCells>
  <pageMargins left="0.7" right="0.7" top="0.75" bottom="0.75" header="0.3" footer="0.3"/>
  <pageSetup paperSize="9" scale="8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86"/>
  <sheetViews>
    <sheetView rightToLeft="1" view="pageBreakPreview" topLeftCell="A7" zoomScale="82" zoomScaleNormal="100" zoomScaleSheetLayoutView="82" workbookViewId="0">
      <selection activeCell="N24" sqref="N24"/>
    </sheetView>
  </sheetViews>
  <sheetFormatPr defaultRowHeight="18" x14ac:dyDescent="0.45"/>
  <cols>
    <col min="1" max="1" width="17.5703125" style="4" bestFit="1" customWidth="1"/>
    <col min="2" max="2" width="1.42578125" style="4" customWidth="1"/>
    <col min="3" max="3" width="14" style="4" bestFit="1" customWidth="1"/>
    <col min="4" max="4" width="1.42578125" style="4" customWidth="1"/>
    <col min="5" max="5" width="19.85546875" style="4" bestFit="1" customWidth="1"/>
    <col min="6" max="6" width="1.42578125" style="4" customWidth="1"/>
    <col min="7" max="7" width="19.42578125" style="4" bestFit="1" customWidth="1"/>
    <col min="8" max="8" width="1.42578125" style="4" customWidth="1"/>
    <col min="9" max="9" width="12.7109375" style="4" bestFit="1" customWidth="1"/>
    <col min="10" max="10" width="17.5703125" style="4" bestFit="1" customWidth="1"/>
    <col min="11" max="11" width="1.42578125" style="4" customWidth="1"/>
    <col min="12" max="12" width="12.7109375" style="4" bestFit="1" customWidth="1"/>
    <col min="13" max="13" width="18.28515625" style="4" bestFit="1" customWidth="1"/>
    <col min="14" max="14" width="1.42578125" style="4" customWidth="1"/>
    <col min="15" max="15" width="13.42578125" style="4" bestFit="1" customWidth="1"/>
    <col min="16" max="16" width="1.42578125" style="4" customWidth="1"/>
    <col min="17" max="17" width="14.85546875" style="4" bestFit="1" customWidth="1"/>
    <col min="18" max="18" width="1.42578125" style="4" customWidth="1"/>
    <col min="19" max="19" width="19.140625" style="4" bestFit="1" customWidth="1"/>
    <col min="20" max="20" width="1.42578125" style="4" customWidth="1"/>
    <col min="21" max="21" width="19.7109375" style="4" bestFit="1" customWidth="1"/>
    <col min="22" max="22" width="1.42578125" style="4" customWidth="1"/>
    <col min="23" max="23" width="17.28515625" style="4" bestFit="1" customWidth="1"/>
    <col min="24" max="16384" width="9.140625" style="4"/>
  </cols>
  <sheetData>
    <row r="1" spans="1:27" ht="20.100000000000001" customHeight="1" x14ac:dyDescent="0.45">
      <c r="A1" s="37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</row>
    <row r="2" spans="1:27" ht="20.100000000000001" customHeight="1" x14ac:dyDescent="0.45">
      <c r="A2" s="37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</row>
    <row r="3" spans="1:27" ht="20.100000000000001" customHeight="1" x14ac:dyDescent="0.45">
      <c r="A3" s="37" t="s">
        <v>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</row>
    <row r="5" spans="1:27" ht="21" x14ac:dyDescent="0.45">
      <c r="A5" s="38" t="s">
        <v>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</row>
    <row r="6" spans="1:27" ht="21" x14ac:dyDescent="0.45">
      <c r="A6" s="38" t="s">
        <v>4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</row>
    <row r="8" spans="1:27" ht="21" x14ac:dyDescent="0.45">
      <c r="C8" s="31" t="s">
        <v>5</v>
      </c>
      <c r="D8" s="32"/>
      <c r="E8" s="32"/>
      <c r="F8" s="32"/>
      <c r="G8" s="32"/>
      <c r="I8" s="31" t="s">
        <v>6</v>
      </c>
      <c r="J8" s="32"/>
      <c r="K8" s="32"/>
      <c r="L8" s="32"/>
      <c r="M8" s="32"/>
      <c r="O8" s="31" t="s">
        <v>7</v>
      </c>
      <c r="P8" s="32"/>
      <c r="Q8" s="32"/>
      <c r="R8" s="32"/>
      <c r="S8" s="32"/>
      <c r="T8" s="32"/>
      <c r="U8" s="32"/>
      <c r="V8" s="32"/>
      <c r="W8" s="32"/>
    </row>
    <row r="9" spans="1:27" ht="18.75" x14ac:dyDescent="0.45">
      <c r="A9" s="33" t="s">
        <v>8</v>
      </c>
      <c r="C9" s="33" t="s">
        <v>9</v>
      </c>
      <c r="E9" s="33" t="s">
        <v>10</v>
      </c>
      <c r="G9" s="33" t="s">
        <v>11</v>
      </c>
      <c r="I9" s="33" t="s">
        <v>12</v>
      </c>
      <c r="J9" s="35"/>
      <c r="L9" s="33" t="s">
        <v>13</v>
      </c>
      <c r="M9" s="35"/>
      <c r="O9" s="33" t="s">
        <v>9</v>
      </c>
      <c r="Q9" s="36" t="s">
        <v>14</v>
      </c>
      <c r="S9" s="33" t="s">
        <v>10</v>
      </c>
      <c r="U9" s="33" t="s">
        <v>11</v>
      </c>
      <c r="W9" s="36" t="s">
        <v>15</v>
      </c>
    </row>
    <row r="10" spans="1:27" ht="18.75" x14ac:dyDescent="0.45">
      <c r="A10" s="34"/>
      <c r="C10" s="34"/>
      <c r="E10" s="34"/>
      <c r="G10" s="34"/>
      <c r="I10" s="9" t="s">
        <v>9</v>
      </c>
      <c r="J10" s="9" t="s">
        <v>10</v>
      </c>
      <c r="L10" s="9" t="s">
        <v>9</v>
      </c>
      <c r="M10" s="9" t="s">
        <v>16</v>
      </c>
      <c r="O10" s="34"/>
      <c r="Q10" s="34"/>
      <c r="S10" s="34"/>
      <c r="U10" s="34"/>
      <c r="W10" s="34"/>
      <c r="AA10" s="18"/>
    </row>
    <row r="11" spans="1:27" ht="37.5" x14ac:dyDescent="0.45">
      <c r="A11" s="10" t="s">
        <v>17</v>
      </c>
      <c r="C11" s="11">
        <v>50000</v>
      </c>
      <c r="E11" s="11">
        <v>1000908000</v>
      </c>
      <c r="G11" s="11">
        <v>1336997250</v>
      </c>
      <c r="N11" s="7"/>
      <c r="O11" s="11">
        <v>50000</v>
      </c>
      <c r="Q11" s="11">
        <v>34850</v>
      </c>
      <c r="S11" s="11">
        <v>1000908000</v>
      </c>
      <c r="U11" s="11">
        <v>1732132125</v>
      </c>
      <c r="W11" s="12">
        <v>5.1254535904636674E-4</v>
      </c>
    </row>
    <row r="12" spans="1:27" ht="18.75" x14ac:dyDescent="0.45">
      <c r="A12" s="10" t="s">
        <v>18</v>
      </c>
      <c r="C12" s="11">
        <v>9200000</v>
      </c>
      <c r="E12" s="11">
        <v>34347755845</v>
      </c>
      <c r="G12" s="11">
        <v>41190251040</v>
      </c>
      <c r="N12" s="7"/>
      <c r="O12" s="11">
        <v>9200000</v>
      </c>
      <c r="Q12" s="11">
        <v>5040</v>
      </c>
      <c r="S12" s="11">
        <v>34347755845</v>
      </c>
      <c r="U12" s="11">
        <v>46092110400</v>
      </c>
      <c r="W12" s="12">
        <v>1.3638854064999675E-2</v>
      </c>
    </row>
    <row r="13" spans="1:27" ht="18.75" x14ac:dyDescent="0.45">
      <c r="A13" s="10" t="s">
        <v>19</v>
      </c>
      <c r="C13" s="11">
        <v>1895580</v>
      </c>
      <c r="E13" s="11">
        <v>18383781995</v>
      </c>
      <c r="G13" s="11">
        <v>17825490289</v>
      </c>
      <c r="N13" s="7"/>
      <c r="O13" s="11">
        <v>1895580</v>
      </c>
      <c r="Q13" s="11">
        <v>10010</v>
      </c>
      <c r="S13" s="11">
        <v>18383781995</v>
      </c>
      <c r="U13" s="11">
        <v>18861856003</v>
      </c>
      <c r="W13" s="12">
        <v>5.5813044615972947E-3</v>
      </c>
    </row>
    <row r="14" spans="1:27" ht="18.75" x14ac:dyDescent="0.45">
      <c r="A14" s="10" t="s">
        <v>20</v>
      </c>
      <c r="C14" s="11">
        <v>1664464</v>
      </c>
      <c r="E14" s="11">
        <v>23074802770</v>
      </c>
      <c r="G14" s="11">
        <v>28375711532</v>
      </c>
      <c r="N14" s="7"/>
      <c r="O14" s="11">
        <v>2391471</v>
      </c>
      <c r="Q14" s="11">
        <v>19140</v>
      </c>
      <c r="S14" s="11">
        <v>33153448591</v>
      </c>
      <c r="U14" s="11">
        <v>45500407048</v>
      </c>
      <c r="W14" s="12">
        <v>1.3463766493663407E-2</v>
      </c>
    </row>
    <row r="15" spans="1:27" ht="18.75" x14ac:dyDescent="0.45">
      <c r="A15" s="10" t="s">
        <v>21</v>
      </c>
      <c r="C15" s="11">
        <v>727007</v>
      </c>
      <c r="E15" s="11">
        <v>9351638821</v>
      </c>
      <c r="G15" s="11">
        <v>11172653027</v>
      </c>
      <c r="N15" s="7"/>
      <c r="W15" s="12">
        <v>0</v>
      </c>
    </row>
    <row r="16" spans="1:27" ht="18.75" x14ac:dyDescent="0.45">
      <c r="A16" s="10" t="s">
        <v>22</v>
      </c>
      <c r="C16" s="11">
        <v>22000000</v>
      </c>
      <c r="E16" s="11">
        <v>40077157120</v>
      </c>
      <c r="G16" s="11">
        <v>59046570000</v>
      </c>
      <c r="N16" s="7"/>
      <c r="O16" s="11">
        <v>22000000</v>
      </c>
      <c r="Q16" s="11">
        <v>2863</v>
      </c>
      <c r="S16" s="11">
        <v>40077157120</v>
      </c>
      <c r="U16" s="11">
        <v>62611233300</v>
      </c>
      <c r="W16" s="12">
        <v>1.8526933707256502E-2</v>
      </c>
    </row>
    <row r="17" spans="1:23" ht="18.75" x14ac:dyDescent="0.45">
      <c r="A17" s="10" t="s">
        <v>23</v>
      </c>
      <c r="C17" s="11">
        <v>500000</v>
      </c>
      <c r="E17" s="11">
        <v>7186663004</v>
      </c>
      <c r="G17" s="11">
        <v>7152189750</v>
      </c>
      <c r="N17" s="7"/>
      <c r="O17" s="11">
        <v>500000</v>
      </c>
      <c r="Q17" s="11">
        <v>18560</v>
      </c>
      <c r="S17" s="11">
        <v>7186663004</v>
      </c>
      <c r="U17" s="11">
        <v>9224784000</v>
      </c>
      <c r="W17" s="12">
        <v>2.7296533325396177E-3</v>
      </c>
    </row>
    <row r="18" spans="1:23" ht="18.75" x14ac:dyDescent="0.45">
      <c r="A18" s="10" t="s">
        <v>24</v>
      </c>
      <c r="C18" s="11">
        <v>23509504</v>
      </c>
      <c r="E18" s="11">
        <v>47983089557</v>
      </c>
      <c r="G18" s="11">
        <v>45687611892</v>
      </c>
      <c r="I18" s="11">
        <v>0</v>
      </c>
      <c r="J18" s="11">
        <v>0</v>
      </c>
      <c r="L18" s="11">
        <v>400000</v>
      </c>
      <c r="M18" s="11">
        <v>754275162</v>
      </c>
      <c r="O18" s="11">
        <v>23109504</v>
      </c>
      <c r="Q18" s="11">
        <v>1843</v>
      </c>
      <c r="S18" s="11">
        <v>47166686292</v>
      </c>
      <c r="U18" s="11">
        <v>42337400518</v>
      </c>
      <c r="W18" s="12">
        <v>1.2527819232951496E-2</v>
      </c>
    </row>
    <row r="19" spans="1:23" ht="18.75" x14ac:dyDescent="0.45">
      <c r="A19" s="10" t="s">
        <v>25</v>
      </c>
      <c r="C19" s="11">
        <v>1562500</v>
      </c>
      <c r="E19" s="11">
        <v>3937321845</v>
      </c>
      <c r="G19" s="11">
        <v>4654949766</v>
      </c>
      <c r="N19" s="7"/>
      <c r="O19" s="11">
        <v>1562500</v>
      </c>
      <c r="Q19" s="11">
        <v>3069</v>
      </c>
      <c r="S19" s="11">
        <v>3937321845</v>
      </c>
      <c r="U19" s="11">
        <v>4766780391</v>
      </c>
      <c r="W19" s="12">
        <v>1.4105108563818569E-3</v>
      </c>
    </row>
    <row r="20" spans="1:23" ht="37.5" x14ac:dyDescent="0.45">
      <c r="A20" s="10" t="s">
        <v>26</v>
      </c>
      <c r="C20" s="11">
        <v>5317185</v>
      </c>
      <c r="E20" s="11">
        <v>2658592500</v>
      </c>
      <c r="G20" s="11">
        <v>17759440437</v>
      </c>
      <c r="N20" s="7"/>
      <c r="O20" s="11">
        <v>5317185</v>
      </c>
      <c r="Q20" s="11">
        <v>4709</v>
      </c>
      <c r="S20" s="11">
        <v>2658592500</v>
      </c>
      <c r="U20" s="11">
        <v>24889644351</v>
      </c>
      <c r="W20" s="12">
        <v>7.3649530057758551E-3</v>
      </c>
    </row>
    <row r="21" spans="1:23" ht="18.75" x14ac:dyDescent="0.45">
      <c r="A21" s="10" t="s">
        <v>27</v>
      </c>
      <c r="C21" s="11">
        <v>17649580</v>
      </c>
      <c r="E21" s="11">
        <v>86727088578</v>
      </c>
      <c r="G21" s="11">
        <v>97372335744</v>
      </c>
      <c r="N21" s="7"/>
      <c r="O21" s="11">
        <v>17649580</v>
      </c>
      <c r="Q21" s="11">
        <v>5580</v>
      </c>
      <c r="S21" s="11">
        <v>86727088578</v>
      </c>
      <c r="U21" s="11">
        <v>97898672694</v>
      </c>
      <c r="W21" s="12">
        <v>2.89686390673627E-2</v>
      </c>
    </row>
    <row r="22" spans="1:23" ht="18.75" x14ac:dyDescent="0.45">
      <c r="A22" s="10" t="s">
        <v>28</v>
      </c>
      <c r="C22" s="11">
        <v>23094030</v>
      </c>
      <c r="E22" s="11">
        <v>87878064447</v>
      </c>
      <c r="G22" s="11">
        <v>138657987950</v>
      </c>
      <c r="I22" s="11">
        <v>0</v>
      </c>
      <c r="J22" s="11">
        <v>0</v>
      </c>
      <c r="L22" s="11">
        <v>552966</v>
      </c>
      <c r="M22" s="11">
        <v>3680840142</v>
      </c>
      <c r="O22" s="11">
        <v>22541064</v>
      </c>
      <c r="Q22" s="11">
        <v>7140</v>
      </c>
      <c r="S22" s="11">
        <v>85773902385</v>
      </c>
      <c r="U22" s="11">
        <v>159985584938</v>
      </c>
      <c r="W22" s="12">
        <v>4.7340423915000256E-2</v>
      </c>
    </row>
    <row r="23" spans="1:23" ht="18.75" x14ac:dyDescent="0.45">
      <c r="A23" s="10" t="s">
        <v>29</v>
      </c>
      <c r="C23" s="11">
        <v>1700000</v>
      </c>
      <c r="E23" s="11">
        <v>17193606879</v>
      </c>
      <c r="G23" s="11">
        <v>21579831450</v>
      </c>
      <c r="N23" s="7"/>
      <c r="O23" s="11">
        <v>1700000</v>
      </c>
      <c r="Q23" s="11">
        <v>15010</v>
      </c>
      <c r="S23" s="11">
        <v>17193606879</v>
      </c>
      <c r="U23" s="11">
        <v>25365173850</v>
      </c>
      <c r="W23" s="12">
        <v>7.5056642334497218E-3</v>
      </c>
    </row>
    <row r="24" spans="1:23" ht="18.75" x14ac:dyDescent="0.45">
      <c r="A24" s="10" t="s">
        <v>30</v>
      </c>
      <c r="C24" s="11">
        <v>2139629</v>
      </c>
      <c r="E24" s="11">
        <v>81270928834</v>
      </c>
      <c r="G24" s="11">
        <v>52534385724</v>
      </c>
      <c r="N24" s="7"/>
      <c r="O24" s="11">
        <v>2139629</v>
      </c>
      <c r="Q24" s="11">
        <v>31550</v>
      </c>
      <c r="S24" s="11">
        <v>81270928834</v>
      </c>
      <c r="U24" s="11">
        <v>67103638445</v>
      </c>
      <c r="W24" s="12">
        <v>1.9856255746142984E-2</v>
      </c>
    </row>
    <row r="25" spans="1:23" ht="37.5" x14ac:dyDescent="0.45">
      <c r="A25" s="10" t="s">
        <v>31</v>
      </c>
      <c r="C25" s="11">
        <v>842177</v>
      </c>
      <c r="E25" s="11">
        <v>2001916090</v>
      </c>
      <c r="G25" s="11">
        <v>9225569836</v>
      </c>
      <c r="N25" s="7"/>
      <c r="O25" s="11">
        <v>842177</v>
      </c>
      <c r="Q25" s="11">
        <v>8280</v>
      </c>
      <c r="S25" s="11">
        <v>2001916090</v>
      </c>
      <c r="U25" s="11">
        <v>6931734868</v>
      </c>
      <c r="W25" s="12">
        <v>2.0511302142919839E-3</v>
      </c>
    </row>
    <row r="26" spans="1:23" ht="37.5" x14ac:dyDescent="0.45">
      <c r="A26" s="10" t="s">
        <v>32</v>
      </c>
      <c r="H26" s="7"/>
      <c r="I26" s="11">
        <v>571500</v>
      </c>
      <c r="J26" s="11">
        <v>24246395748</v>
      </c>
      <c r="L26" s="11">
        <v>0</v>
      </c>
      <c r="M26" s="11">
        <v>0</v>
      </c>
      <c r="O26" s="11">
        <v>571500</v>
      </c>
      <c r="Q26" s="11">
        <v>47450</v>
      </c>
      <c r="S26" s="11">
        <v>24246395748</v>
      </c>
      <c r="U26" s="11">
        <v>26956324834</v>
      </c>
      <c r="W26" s="12">
        <v>7.9764926654270225E-3</v>
      </c>
    </row>
    <row r="27" spans="1:23" ht="37.5" x14ac:dyDescent="0.45">
      <c r="A27" s="10" t="s">
        <v>33</v>
      </c>
      <c r="C27" s="11">
        <v>4600461</v>
      </c>
      <c r="E27" s="11">
        <v>67281885372</v>
      </c>
      <c r="G27" s="11">
        <v>78154078313</v>
      </c>
      <c r="N27" s="7"/>
      <c r="O27" s="11">
        <v>4600461</v>
      </c>
      <c r="Q27" s="11">
        <v>19700</v>
      </c>
      <c r="S27" s="11">
        <v>67281885372</v>
      </c>
      <c r="U27" s="11">
        <v>90089838664</v>
      </c>
      <c r="W27" s="12">
        <v>2.6657971431867031E-2</v>
      </c>
    </row>
    <row r="28" spans="1:23" ht="18.75" x14ac:dyDescent="0.45">
      <c r="A28" s="10" t="s">
        <v>34</v>
      </c>
      <c r="C28" s="11">
        <v>2000000</v>
      </c>
      <c r="E28" s="11">
        <v>13111894800</v>
      </c>
      <c r="G28" s="11">
        <v>13081698000</v>
      </c>
      <c r="I28" s="11">
        <v>0</v>
      </c>
      <c r="J28" s="11">
        <v>0</v>
      </c>
      <c r="L28" s="11">
        <v>1000000</v>
      </c>
      <c r="M28" s="11">
        <v>7515018087</v>
      </c>
      <c r="O28" s="11">
        <v>1000000</v>
      </c>
      <c r="Q28" s="11">
        <v>7170</v>
      </c>
      <c r="S28" s="11">
        <v>6555947400</v>
      </c>
      <c r="U28" s="11">
        <v>7127338500</v>
      </c>
      <c r="W28" s="12">
        <v>2.1090101718005448E-3</v>
      </c>
    </row>
    <row r="29" spans="1:23" ht="18.75" x14ac:dyDescent="0.45">
      <c r="A29" s="10" t="s">
        <v>35</v>
      </c>
      <c r="C29" s="11">
        <v>33806527</v>
      </c>
      <c r="E29" s="11">
        <v>60050888682</v>
      </c>
      <c r="G29" s="11">
        <v>73259724398</v>
      </c>
      <c r="I29" s="11">
        <v>5200000</v>
      </c>
      <c r="J29" s="11">
        <v>12585268195</v>
      </c>
      <c r="L29" s="11">
        <v>7200000</v>
      </c>
      <c r="M29" s="11">
        <v>16991098026</v>
      </c>
      <c r="O29" s="11">
        <v>31806527</v>
      </c>
      <c r="Q29" s="11">
        <v>2287</v>
      </c>
      <c r="S29" s="11">
        <v>59228648705</v>
      </c>
      <c r="U29" s="11">
        <v>72308715162</v>
      </c>
      <c r="W29" s="12">
        <v>2.1396460373880977E-2</v>
      </c>
    </row>
    <row r="30" spans="1:23" ht="37.5" x14ac:dyDescent="0.45">
      <c r="A30" s="10" t="s">
        <v>36</v>
      </c>
      <c r="C30" s="11">
        <v>3129302</v>
      </c>
      <c r="E30" s="11">
        <v>23045079793</v>
      </c>
      <c r="G30" s="11">
        <v>24729927092</v>
      </c>
      <c r="N30" s="7"/>
      <c r="O30" s="11">
        <v>3129302</v>
      </c>
      <c r="Q30" s="11">
        <v>7270</v>
      </c>
      <c r="S30" s="11">
        <v>23045079793</v>
      </c>
      <c r="U30" s="11">
        <v>22614662888</v>
      </c>
      <c r="W30" s="12">
        <v>6.6917761886337076E-3</v>
      </c>
    </row>
    <row r="31" spans="1:23" ht="18.75" x14ac:dyDescent="0.45">
      <c r="A31" s="10" t="s">
        <v>37</v>
      </c>
      <c r="C31" s="11">
        <v>3929304</v>
      </c>
      <c r="E31" s="11">
        <v>65268475220</v>
      </c>
      <c r="G31" s="11">
        <v>78118492824</v>
      </c>
      <c r="N31" s="7"/>
      <c r="O31" s="11">
        <v>3929304</v>
      </c>
      <c r="Q31" s="11">
        <v>24560</v>
      </c>
      <c r="S31" s="11">
        <v>65268475220</v>
      </c>
      <c r="U31" s="11">
        <v>95929509188</v>
      </c>
      <c r="W31" s="12">
        <v>2.8385955101378424E-2</v>
      </c>
    </row>
    <row r="32" spans="1:23" ht="18.75" x14ac:dyDescent="0.45">
      <c r="A32" s="10" t="s">
        <v>38</v>
      </c>
      <c r="C32" s="11">
        <v>3173715</v>
      </c>
      <c r="E32" s="11">
        <v>88906952093</v>
      </c>
      <c r="G32" s="11">
        <v>92026431814</v>
      </c>
      <c r="N32" s="7"/>
      <c r="O32" s="11">
        <v>3173715</v>
      </c>
      <c r="Q32" s="11">
        <v>34290</v>
      </c>
      <c r="S32" s="11">
        <v>88906952093</v>
      </c>
      <c r="U32" s="11">
        <v>108179168560</v>
      </c>
      <c r="W32" s="12">
        <v>3.2010682089810345E-2</v>
      </c>
    </row>
    <row r="33" spans="1:23" ht="18.75" x14ac:dyDescent="0.45">
      <c r="A33" s="10" t="s">
        <v>39</v>
      </c>
      <c r="C33" s="11">
        <v>200000</v>
      </c>
      <c r="E33" s="11">
        <v>16256251821</v>
      </c>
      <c r="G33" s="11">
        <v>22892971500</v>
      </c>
      <c r="I33" s="11">
        <v>0</v>
      </c>
      <c r="J33" s="11">
        <v>0</v>
      </c>
      <c r="L33" s="11">
        <v>200000</v>
      </c>
      <c r="M33" s="11">
        <v>27475542217</v>
      </c>
      <c r="W33" s="12">
        <v>0</v>
      </c>
    </row>
    <row r="34" spans="1:23" ht="37.5" x14ac:dyDescent="0.45">
      <c r="A34" s="10" t="s">
        <v>40</v>
      </c>
      <c r="H34" s="7"/>
      <c r="I34" s="11">
        <v>545000</v>
      </c>
      <c r="J34" s="11">
        <v>10206759330</v>
      </c>
      <c r="L34" s="11">
        <v>272500</v>
      </c>
      <c r="M34" s="11">
        <v>7509976968</v>
      </c>
      <c r="O34" s="11">
        <v>272500</v>
      </c>
      <c r="Q34" s="11">
        <v>29600</v>
      </c>
      <c r="S34" s="11">
        <v>5103379665</v>
      </c>
      <c r="U34" s="11">
        <v>8018007300</v>
      </c>
      <c r="W34" s="12">
        <v>2.3725629073560943E-3</v>
      </c>
    </row>
    <row r="35" spans="1:23" ht="18.75" x14ac:dyDescent="0.45">
      <c r="A35" s="10" t="s">
        <v>41</v>
      </c>
      <c r="C35" s="11">
        <v>188</v>
      </c>
      <c r="E35" s="11">
        <v>2762587</v>
      </c>
      <c r="G35" s="11">
        <v>2750147</v>
      </c>
      <c r="N35" s="7"/>
      <c r="O35" s="11">
        <v>188</v>
      </c>
      <c r="Q35" s="11">
        <v>25890</v>
      </c>
      <c r="S35" s="11">
        <v>2762587</v>
      </c>
      <c r="U35" s="11">
        <v>4838359</v>
      </c>
      <c r="W35" s="12">
        <v>1.4316912751965847E-6</v>
      </c>
    </row>
    <row r="36" spans="1:23" ht="18.75" x14ac:dyDescent="0.45">
      <c r="A36" s="10" t="s">
        <v>42</v>
      </c>
      <c r="C36" s="11">
        <v>341342</v>
      </c>
      <c r="E36" s="11">
        <v>12685589296</v>
      </c>
      <c r="G36" s="11">
        <v>18679071381</v>
      </c>
      <c r="I36" s="11">
        <v>400000</v>
      </c>
      <c r="J36" s="11">
        <v>22700064436</v>
      </c>
      <c r="L36" s="11">
        <v>0</v>
      </c>
      <c r="M36" s="11">
        <v>0</v>
      </c>
      <c r="O36" s="11">
        <v>741342</v>
      </c>
      <c r="Q36" s="11">
        <v>57050</v>
      </c>
      <c r="S36" s="11">
        <v>35385653732</v>
      </c>
      <c r="U36" s="11">
        <v>42041914411</v>
      </c>
      <c r="W36" s="12">
        <v>1.2440383620725593E-2</v>
      </c>
    </row>
    <row r="37" spans="1:23" ht="18.75" x14ac:dyDescent="0.45">
      <c r="A37" s="10" t="s">
        <v>43</v>
      </c>
      <c r="C37" s="11">
        <v>15048964</v>
      </c>
      <c r="E37" s="11">
        <v>53502858513</v>
      </c>
      <c r="G37" s="11">
        <v>62784696922</v>
      </c>
      <c r="I37" s="11">
        <v>2400000</v>
      </c>
      <c r="J37" s="11">
        <v>10910915852</v>
      </c>
      <c r="L37" s="11">
        <v>0</v>
      </c>
      <c r="M37" s="11">
        <v>0</v>
      </c>
      <c r="O37" s="11">
        <v>17448964</v>
      </c>
      <c r="Q37" s="11">
        <v>3950</v>
      </c>
      <c r="S37" s="11">
        <v>64413774365</v>
      </c>
      <c r="U37" s="11">
        <v>68513313524</v>
      </c>
      <c r="W37" s="12">
        <v>2.0273384675903332E-2</v>
      </c>
    </row>
    <row r="38" spans="1:23" ht="37.5" x14ac:dyDescent="0.45">
      <c r="A38" s="10" t="s">
        <v>44</v>
      </c>
      <c r="C38" s="11">
        <v>6986817</v>
      </c>
      <c r="E38" s="11">
        <v>36649310457</v>
      </c>
      <c r="G38" s="11">
        <v>36254181191</v>
      </c>
      <c r="N38" s="7"/>
      <c r="O38" s="11">
        <v>6986817</v>
      </c>
      <c r="Q38" s="11">
        <v>6530</v>
      </c>
      <c r="S38" s="11">
        <v>36649310457</v>
      </c>
      <c r="U38" s="11">
        <v>45352452716</v>
      </c>
      <c r="W38" s="12">
        <v>1.3419986169331969E-2</v>
      </c>
    </row>
    <row r="39" spans="1:23" ht="18.75" x14ac:dyDescent="0.45">
      <c r="A39" s="10" t="s">
        <v>45</v>
      </c>
      <c r="C39" s="11">
        <v>5641064</v>
      </c>
      <c r="E39" s="11">
        <v>27693957457</v>
      </c>
      <c r="G39" s="11">
        <v>23428133618</v>
      </c>
      <c r="N39" s="7"/>
      <c r="O39" s="11">
        <v>5641064</v>
      </c>
      <c r="Q39" s="11">
        <v>4750</v>
      </c>
      <c r="S39" s="11">
        <v>27693957457</v>
      </c>
      <c r="U39" s="11">
        <v>26635623429</v>
      </c>
      <c r="W39" s="12">
        <v>7.881595737877457E-3</v>
      </c>
    </row>
    <row r="40" spans="1:23" ht="18.75" x14ac:dyDescent="0.45">
      <c r="A40" s="10" t="s">
        <v>46</v>
      </c>
      <c r="C40" s="11">
        <v>5609058</v>
      </c>
      <c r="E40" s="11">
        <v>31621155320</v>
      </c>
      <c r="G40" s="11">
        <v>26094201611</v>
      </c>
      <c r="I40" s="11">
        <v>0</v>
      </c>
      <c r="J40" s="11">
        <v>0</v>
      </c>
      <c r="L40" s="11">
        <v>1609058</v>
      </c>
      <c r="M40" s="11">
        <v>6279574629</v>
      </c>
      <c r="O40" s="11">
        <v>5568010</v>
      </c>
      <c r="Q40" s="11">
        <v>4344</v>
      </c>
      <c r="S40" s="11">
        <v>24531871376</v>
      </c>
      <c r="U40" s="11">
        <v>24043520199</v>
      </c>
      <c r="W40" s="12">
        <v>7.1145812234935752E-3</v>
      </c>
    </row>
    <row r="41" spans="1:23" ht="18.75" x14ac:dyDescent="0.45">
      <c r="A41" s="10" t="s">
        <v>47</v>
      </c>
      <c r="C41" s="11">
        <v>2029694</v>
      </c>
      <c r="E41" s="11">
        <v>44505016348</v>
      </c>
      <c r="G41" s="11">
        <v>78949365759</v>
      </c>
      <c r="I41" s="11">
        <v>0</v>
      </c>
      <c r="J41" s="11">
        <v>0</v>
      </c>
      <c r="L41" s="11">
        <v>429694</v>
      </c>
      <c r="M41" s="11">
        <v>19272564018</v>
      </c>
      <c r="O41" s="11">
        <v>1600000</v>
      </c>
      <c r="Q41" s="11">
        <v>46180</v>
      </c>
      <c r="S41" s="11">
        <v>35083133791</v>
      </c>
      <c r="U41" s="11">
        <v>73448366400</v>
      </c>
      <c r="W41" s="12">
        <v>2.1733688085634403E-2</v>
      </c>
    </row>
    <row r="42" spans="1:23" ht="18.75" x14ac:dyDescent="0.45">
      <c r="A42" s="10" t="s">
        <v>48</v>
      </c>
      <c r="C42" s="11">
        <v>8912202</v>
      </c>
      <c r="E42" s="11">
        <v>55904704096</v>
      </c>
      <c r="G42" s="11">
        <v>63963239154</v>
      </c>
      <c r="I42" s="11">
        <v>0</v>
      </c>
      <c r="J42" s="11">
        <v>0</v>
      </c>
      <c r="L42" s="11">
        <v>600000</v>
      </c>
      <c r="M42" s="11">
        <v>5088152199</v>
      </c>
      <c r="O42" s="11">
        <v>8312202</v>
      </c>
      <c r="Q42" s="11">
        <v>8770</v>
      </c>
      <c r="S42" s="11">
        <v>52141007710</v>
      </c>
      <c r="U42" s="11">
        <v>72464268371</v>
      </c>
      <c r="W42" s="12">
        <v>2.1442489238658092E-2</v>
      </c>
    </row>
    <row r="43" spans="1:23" ht="18.75" x14ac:dyDescent="0.45">
      <c r="A43" s="10" t="s">
        <v>49</v>
      </c>
      <c r="C43" s="11">
        <v>8132226</v>
      </c>
      <c r="E43" s="11">
        <v>43249965209</v>
      </c>
      <c r="G43" s="11">
        <v>63943168509</v>
      </c>
      <c r="I43" s="11">
        <v>0</v>
      </c>
      <c r="J43" s="11">
        <v>0</v>
      </c>
      <c r="L43" s="11">
        <v>200000</v>
      </c>
      <c r="M43" s="11">
        <v>1713742219</v>
      </c>
      <c r="O43" s="11">
        <v>7932226</v>
      </c>
      <c r="Q43" s="11">
        <v>8920</v>
      </c>
      <c r="S43" s="11">
        <v>42186296658</v>
      </c>
      <c r="U43" s="11">
        <v>70334460957</v>
      </c>
      <c r="W43" s="12">
        <v>2.0812270048128245E-2</v>
      </c>
    </row>
    <row r="44" spans="1:23" ht="18.75" x14ac:dyDescent="0.45">
      <c r="A44" s="10" t="s">
        <v>50</v>
      </c>
      <c r="C44" s="11">
        <v>5000000</v>
      </c>
      <c r="E44" s="11">
        <v>43324347573</v>
      </c>
      <c r="G44" s="11">
        <v>42992662500</v>
      </c>
      <c r="I44" s="11">
        <v>400000</v>
      </c>
      <c r="J44" s="11">
        <v>3759485513</v>
      </c>
      <c r="L44" s="11">
        <v>0</v>
      </c>
      <c r="M44" s="11">
        <v>0</v>
      </c>
      <c r="O44" s="11">
        <v>5400000</v>
      </c>
      <c r="Q44" s="11">
        <v>10780</v>
      </c>
      <c r="S44" s="11">
        <v>47083833086</v>
      </c>
      <c r="U44" s="11">
        <v>57865638600</v>
      </c>
      <c r="W44" s="12">
        <v>1.7122691788124592E-2</v>
      </c>
    </row>
    <row r="45" spans="1:23" ht="37.5" x14ac:dyDescent="0.45">
      <c r="A45" s="10" t="s">
        <v>51</v>
      </c>
      <c r="C45" s="11">
        <v>5173603</v>
      </c>
      <c r="E45" s="11">
        <v>22982483343</v>
      </c>
      <c r="G45" s="11">
        <v>33119761200</v>
      </c>
      <c r="I45" s="11">
        <v>0</v>
      </c>
      <c r="J45" s="11">
        <v>0</v>
      </c>
      <c r="L45" s="11">
        <v>5173603</v>
      </c>
      <c r="M45" s="11">
        <v>30518491003</v>
      </c>
      <c r="W45" s="12">
        <v>0</v>
      </c>
    </row>
    <row r="46" spans="1:23" ht="18.75" x14ac:dyDescent="0.45">
      <c r="A46" s="10" t="s">
        <v>52</v>
      </c>
      <c r="C46" s="11">
        <v>18943799</v>
      </c>
      <c r="E46" s="11">
        <v>62787975381</v>
      </c>
      <c r="G46" s="11">
        <v>51277040087</v>
      </c>
      <c r="I46" s="11">
        <v>4306217</v>
      </c>
      <c r="J46" s="11">
        <v>13267841192</v>
      </c>
      <c r="L46" s="11">
        <v>0</v>
      </c>
      <c r="M46" s="11">
        <v>0</v>
      </c>
      <c r="O46" s="11">
        <v>23250016</v>
      </c>
      <c r="Q46" s="11">
        <v>2703</v>
      </c>
      <c r="S46" s="11">
        <v>76055816573</v>
      </c>
      <c r="U46" s="11">
        <v>62470866728</v>
      </c>
      <c r="W46" s="12">
        <v>1.8485398633802538E-2</v>
      </c>
    </row>
    <row r="47" spans="1:23" ht="18.75" x14ac:dyDescent="0.45">
      <c r="A47" s="10" t="s">
        <v>53</v>
      </c>
      <c r="C47" s="11">
        <v>500000</v>
      </c>
      <c r="E47" s="11">
        <v>16172494115</v>
      </c>
      <c r="G47" s="11">
        <v>17579774250</v>
      </c>
      <c r="I47" s="11">
        <v>0</v>
      </c>
      <c r="J47" s="11">
        <v>0</v>
      </c>
      <c r="L47" s="11">
        <v>169026</v>
      </c>
      <c r="M47" s="11">
        <v>6099712686</v>
      </c>
      <c r="O47" s="11">
        <v>330974</v>
      </c>
      <c r="Q47" s="11">
        <v>34170</v>
      </c>
      <c r="S47" s="11">
        <v>10705350134</v>
      </c>
      <c r="U47" s="11">
        <v>11242090760</v>
      </c>
      <c r="W47" s="12">
        <v>3.326583094817921E-3</v>
      </c>
    </row>
    <row r="48" spans="1:23" ht="18.75" x14ac:dyDescent="0.45">
      <c r="A48" s="10" t="s">
        <v>54</v>
      </c>
      <c r="C48" s="11">
        <v>27221426</v>
      </c>
      <c r="E48" s="11">
        <v>44346320390</v>
      </c>
      <c r="G48" s="11">
        <v>34257274480</v>
      </c>
      <c r="I48" s="11">
        <v>0</v>
      </c>
      <c r="J48" s="11">
        <v>0</v>
      </c>
      <c r="L48" s="11">
        <v>17773213</v>
      </c>
      <c r="M48" s="11">
        <v>20725881579</v>
      </c>
      <c r="O48" s="11">
        <v>9448213</v>
      </c>
      <c r="Q48" s="11">
        <v>1121</v>
      </c>
      <c r="S48" s="11">
        <v>15392047456</v>
      </c>
      <c r="U48" s="11">
        <v>10528427665</v>
      </c>
      <c r="W48" s="12">
        <v>3.1154071100385171E-3</v>
      </c>
    </row>
    <row r="49" spans="1:23" ht="18.75" x14ac:dyDescent="0.45">
      <c r="A49" s="10" t="s">
        <v>55</v>
      </c>
      <c r="C49" s="11">
        <v>10748510</v>
      </c>
      <c r="E49" s="11">
        <v>51903326103</v>
      </c>
      <c r="G49" s="11">
        <v>52375695304</v>
      </c>
      <c r="I49" s="11">
        <v>0</v>
      </c>
      <c r="J49" s="11">
        <v>0</v>
      </c>
      <c r="L49" s="11">
        <v>600000</v>
      </c>
      <c r="M49" s="11">
        <v>2866334815</v>
      </c>
      <c r="O49" s="11">
        <v>10148510</v>
      </c>
      <c r="Q49" s="11">
        <v>4800</v>
      </c>
      <c r="S49" s="11">
        <v>49005994690</v>
      </c>
      <c r="U49" s="11">
        <v>48423006554</v>
      </c>
      <c r="W49" s="12">
        <v>1.4328576280129035E-2</v>
      </c>
    </row>
    <row r="50" spans="1:23" ht="18.75" x14ac:dyDescent="0.45">
      <c r="A50" s="10" t="s">
        <v>56</v>
      </c>
      <c r="H50" s="7"/>
      <c r="I50" s="11">
        <v>500000</v>
      </c>
      <c r="J50" s="11">
        <v>3528200648</v>
      </c>
      <c r="L50" s="11">
        <v>250004</v>
      </c>
      <c r="M50" s="11">
        <v>2201857970</v>
      </c>
      <c r="O50" s="11">
        <v>249996</v>
      </c>
      <c r="Q50" s="11">
        <v>10050</v>
      </c>
      <c r="S50" s="11">
        <v>1764072098</v>
      </c>
      <c r="U50" s="11">
        <v>2497510664</v>
      </c>
      <c r="W50" s="12">
        <v>7.3902416653233644E-4</v>
      </c>
    </row>
    <row r="51" spans="1:23" ht="18.75" x14ac:dyDescent="0.45">
      <c r="A51" s="10" t="s">
        <v>57</v>
      </c>
      <c r="C51" s="11">
        <v>16358631</v>
      </c>
      <c r="E51" s="11">
        <v>132514633197</v>
      </c>
      <c r="G51" s="11">
        <v>133180023622</v>
      </c>
      <c r="I51" s="11">
        <v>0</v>
      </c>
      <c r="J51" s="11">
        <v>0</v>
      </c>
      <c r="L51" s="11">
        <v>1800000</v>
      </c>
      <c r="M51" s="11">
        <v>15483322849</v>
      </c>
      <c r="O51" s="11">
        <v>14558631</v>
      </c>
      <c r="Q51" s="11">
        <v>8290</v>
      </c>
      <c r="S51" s="11">
        <v>117933563439</v>
      </c>
      <c r="U51" s="11">
        <v>119972939237</v>
      </c>
      <c r="W51" s="12">
        <v>3.5500509649098566E-2</v>
      </c>
    </row>
    <row r="52" spans="1:23" ht="18.75" x14ac:dyDescent="0.45">
      <c r="A52" s="10" t="s">
        <v>58</v>
      </c>
      <c r="C52" s="11">
        <v>3557472</v>
      </c>
      <c r="E52" s="11">
        <v>83471695499</v>
      </c>
      <c r="G52" s="11">
        <v>93888898854</v>
      </c>
      <c r="N52" s="7"/>
      <c r="O52" s="11">
        <v>3557472</v>
      </c>
      <c r="Q52" s="11">
        <v>30100</v>
      </c>
      <c r="S52" s="11">
        <v>83471695499</v>
      </c>
      <c r="U52" s="11">
        <v>106442781752</v>
      </c>
      <c r="W52" s="12">
        <v>3.1496877751732072E-2</v>
      </c>
    </row>
    <row r="53" spans="1:23" ht="18.75" x14ac:dyDescent="0.45">
      <c r="A53" s="10" t="s">
        <v>59</v>
      </c>
      <c r="C53" s="11">
        <v>14021442</v>
      </c>
      <c r="E53" s="11">
        <v>48395249821</v>
      </c>
      <c r="G53" s="11">
        <v>63543407741</v>
      </c>
      <c r="N53" s="7"/>
      <c r="O53" s="11">
        <v>14021442</v>
      </c>
      <c r="Q53" s="11">
        <v>4431</v>
      </c>
      <c r="S53" s="11">
        <v>48395249821</v>
      </c>
      <c r="U53" s="11">
        <v>61759341895</v>
      </c>
      <c r="W53" s="12">
        <v>1.8274855369962088E-2</v>
      </c>
    </row>
    <row r="54" spans="1:23" ht="37.5" x14ac:dyDescent="0.45">
      <c r="A54" s="10" t="s">
        <v>60</v>
      </c>
      <c r="H54" s="7"/>
      <c r="I54" s="11">
        <v>76</v>
      </c>
      <c r="J54" s="11">
        <v>809388</v>
      </c>
      <c r="L54" s="11">
        <v>0</v>
      </c>
      <c r="M54" s="11">
        <v>0</v>
      </c>
      <c r="O54" s="11">
        <v>76</v>
      </c>
      <c r="Q54" s="11">
        <v>11600</v>
      </c>
      <c r="S54" s="11">
        <v>809388</v>
      </c>
      <c r="U54" s="11">
        <v>876354</v>
      </c>
      <c r="W54" s="12">
        <v>2.5931692455719546E-7</v>
      </c>
    </row>
    <row r="55" spans="1:23" ht="18.75" x14ac:dyDescent="0.45">
      <c r="A55" s="10" t="s">
        <v>61</v>
      </c>
      <c r="H55" s="7"/>
      <c r="I55" s="11">
        <v>5120</v>
      </c>
      <c r="J55" s="11">
        <v>16880928</v>
      </c>
      <c r="L55" s="11">
        <v>5120</v>
      </c>
      <c r="M55" s="11">
        <v>19391134</v>
      </c>
      <c r="W55" s="12">
        <v>0</v>
      </c>
    </row>
    <row r="56" spans="1:23" ht="18.75" x14ac:dyDescent="0.45">
      <c r="A56" s="10" t="s">
        <v>62</v>
      </c>
      <c r="C56" s="11">
        <v>24152607</v>
      </c>
      <c r="E56" s="11">
        <v>149845401619</v>
      </c>
      <c r="G56" s="11">
        <v>107031671690</v>
      </c>
      <c r="I56" s="11">
        <v>0</v>
      </c>
      <c r="J56" s="11">
        <v>0</v>
      </c>
      <c r="L56" s="11">
        <v>11600000</v>
      </c>
      <c r="M56" s="11">
        <v>46165999965</v>
      </c>
      <c r="O56" s="11">
        <v>12552607</v>
      </c>
      <c r="Q56" s="11">
        <v>4004</v>
      </c>
      <c r="S56" s="11">
        <v>77877739545</v>
      </c>
      <c r="U56" s="11">
        <v>49961587629</v>
      </c>
      <c r="W56" s="12">
        <v>1.4783849049524626E-2</v>
      </c>
    </row>
    <row r="57" spans="1:23" ht="18.75" x14ac:dyDescent="0.45">
      <c r="A57" s="10" t="s">
        <v>63</v>
      </c>
      <c r="C57" s="11">
        <v>2373635</v>
      </c>
      <c r="E57" s="11">
        <v>27157213151</v>
      </c>
      <c r="G57" s="11">
        <v>28974805785</v>
      </c>
      <c r="N57" s="7"/>
      <c r="O57" s="11">
        <v>2373635</v>
      </c>
      <c r="Q57" s="11">
        <v>14390</v>
      </c>
      <c r="S57" s="11">
        <v>27157213151</v>
      </c>
      <c r="U57" s="11">
        <v>33953375834</v>
      </c>
      <c r="W57" s="12">
        <v>1.0046950204606223E-2</v>
      </c>
    </row>
    <row r="58" spans="1:23" ht="18.75" x14ac:dyDescent="0.45">
      <c r="A58" s="10" t="s">
        <v>64</v>
      </c>
      <c r="C58" s="11">
        <v>17280723</v>
      </c>
      <c r="E58" s="11">
        <v>86597989190</v>
      </c>
      <c r="G58" s="11">
        <v>91386442354</v>
      </c>
      <c r="N58" s="7"/>
      <c r="O58" s="11">
        <v>17280723</v>
      </c>
      <c r="Q58" s="11">
        <v>6410</v>
      </c>
      <c r="S58" s="11">
        <v>86597989190</v>
      </c>
      <c r="U58" s="11">
        <v>110110356295</v>
      </c>
      <c r="W58" s="12">
        <v>3.2582128861529051E-2</v>
      </c>
    </row>
    <row r="59" spans="1:23" ht="18.75" x14ac:dyDescent="0.45">
      <c r="A59" s="10" t="s">
        <v>65</v>
      </c>
      <c r="C59" s="11">
        <v>272076</v>
      </c>
      <c r="E59" s="11">
        <v>5768075770</v>
      </c>
      <c r="G59" s="11">
        <v>5868920107</v>
      </c>
      <c r="N59" s="7"/>
      <c r="O59" s="11">
        <v>272076</v>
      </c>
      <c r="Q59" s="11">
        <v>22210</v>
      </c>
      <c r="S59" s="11">
        <v>5768075770</v>
      </c>
      <c r="U59" s="11">
        <v>6006853253</v>
      </c>
      <c r="W59" s="12">
        <v>1.7774537593647603E-3</v>
      </c>
    </row>
    <row r="60" spans="1:23" ht="18.75" x14ac:dyDescent="0.45">
      <c r="A60" s="10" t="s">
        <v>66</v>
      </c>
      <c r="C60" s="11">
        <v>3882657</v>
      </c>
      <c r="E60" s="11">
        <v>49025595916</v>
      </c>
      <c r="G60" s="11">
        <v>35392121100</v>
      </c>
      <c r="N60" s="7"/>
      <c r="O60" s="11">
        <v>3882657</v>
      </c>
      <c r="Q60" s="11">
        <v>10150</v>
      </c>
      <c r="S60" s="11">
        <v>49025595916</v>
      </c>
      <c r="U60" s="11">
        <v>39174485187</v>
      </c>
      <c r="W60" s="12">
        <v>1.1591898958416634E-2</v>
      </c>
    </row>
    <row r="61" spans="1:23" ht="18.75" x14ac:dyDescent="0.45">
      <c r="A61" s="10" t="s">
        <v>67</v>
      </c>
      <c r="C61" s="11">
        <v>500000</v>
      </c>
      <c r="E61" s="11">
        <v>6806174400</v>
      </c>
      <c r="G61" s="11">
        <v>9080646750</v>
      </c>
      <c r="I61" s="11">
        <v>0</v>
      </c>
      <c r="J61" s="11">
        <v>0</v>
      </c>
      <c r="L61" s="11">
        <v>250000</v>
      </c>
      <c r="M61" s="11">
        <v>4808719884</v>
      </c>
      <c r="O61" s="11">
        <v>250000</v>
      </c>
      <c r="Q61" s="11">
        <v>17430</v>
      </c>
      <c r="S61" s="11">
        <v>3403087200</v>
      </c>
      <c r="U61" s="11">
        <v>4331572875</v>
      </c>
      <c r="W61" s="12">
        <v>1.2817310772135111E-3</v>
      </c>
    </row>
    <row r="62" spans="1:23" ht="18.75" x14ac:dyDescent="0.45">
      <c r="A62" s="10" t="s">
        <v>68</v>
      </c>
      <c r="C62" s="11">
        <v>19751279</v>
      </c>
      <c r="E62" s="11">
        <v>101876070472</v>
      </c>
      <c r="G62" s="11">
        <v>203405742100</v>
      </c>
      <c r="I62" s="11">
        <v>0</v>
      </c>
      <c r="J62" s="11">
        <v>0</v>
      </c>
      <c r="L62" s="11">
        <v>3451279</v>
      </c>
      <c r="M62" s="11">
        <v>40791478184</v>
      </c>
      <c r="O62" s="11">
        <v>16300000</v>
      </c>
      <c r="Q62" s="11">
        <v>12100</v>
      </c>
      <c r="S62" s="11">
        <v>84074552777</v>
      </c>
      <c r="U62" s="11">
        <v>196056481500</v>
      </c>
      <c r="W62" s="12">
        <v>5.8013957626809137E-2</v>
      </c>
    </row>
    <row r="63" spans="1:23" ht="37.5" x14ac:dyDescent="0.45">
      <c r="A63" s="10" t="s">
        <v>69</v>
      </c>
      <c r="C63" s="11">
        <v>7868802</v>
      </c>
      <c r="E63" s="11">
        <v>26463181491</v>
      </c>
      <c r="G63" s="11">
        <v>32070128775</v>
      </c>
      <c r="N63" s="7"/>
      <c r="O63" s="11">
        <v>7868802</v>
      </c>
      <c r="Q63" s="11">
        <v>4853</v>
      </c>
      <c r="S63" s="11">
        <v>26463181491</v>
      </c>
      <c r="U63" s="11">
        <v>37960081694</v>
      </c>
      <c r="W63" s="12">
        <v>1.1232551732322755E-2</v>
      </c>
    </row>
    <row r="64" spans="1:23" ht="18.75" x14ac:dyDescent="0.45">
      <c r="A64" s="10" t="s">
        <v>70</v>
      </c>
      <c r="C64" s="11">
        <v>5155597</v>
      </c>
      <c r="E64" s="11">
        <v>8882657062</v>
      </c>
      <c r="G64" s="11">
        <v>13816787549</v>
      </c>
      <c r="N64" s="7"/>
      <c r="O64" s="11">
        <v>5155597</v>
      </c>
      <c r="Q64" s="11">
        <v>3175</v>
      </c>
      <c r="S64" s="11">
        <v>8882657062</v>
      </c>
      <c r="U64" s="11">
        <v>16271624803</v>
      </c>
      <c r="W64" s="12">
        <v>4.8148438889564511E-3</v>
      </c>
    </row>
    <row r="65" spans="1:23" ht="18.75" x14ac:dyDescent="0.45">
      <c r="A65" s="10" t="s">
        <v>71</v>
      </c>
      <c r="C65" s="11">
        <v>5666467</v>
      </c>
      <c r="E65" s="11">
        <v>28707359622</v>
      </c>
      <c r="G65" s="11">
        <v>36331247313</v>
      </c>
      <c r="N65" s="7"/>
      <c r="O65" s="11">
        <v>5666467</v>
      </c>
      <c r="Q65" s="11">
        <v>7310</v>
      </c>
      <c r="S65" s="11">
        <v>28707359622</v>
      </c>
      <c r="U65" s="11">
        <v>41175413621</v>
      </c>
      <c r="W65" s="12">
        <v>1.2183982303462045E-2</v>
      </c>
    </row>
    <row r="66" spans="1:23" ht="18.75" x14ac:dyDescent="0.45">
      <c r="A66" s="10" t="s">
        <v>72</v>
      </c>
      <c r="C66" s="11">
        <v>534674</v>
      </c>
      <c r="E66" s="11">
        <v>27105671626</v>
      </c>
      <c r="G66" s="11">
        <v>46117620685</v>
      </c>
      <c r="N66" s="7"/>
      <c r="O66" s="11">
        <v>1313770</v>
      </c>
      <c r="Q66" s="11">
        <v>40217</v>
      </c>
      <c r="S66" s="11">
        <v>27105671626</v>
      </c>
      <c r="U66" s="11">
        <v>52521514556</v>
      </c>
      <c r="W66" s="12">
        <v>1.5541342457212379E-2</v>
      </c>
    </row>
    <row r="67" spans="1:23" ht="37.5" x14ac:dyDescent="0.45">
      <c r="A67" s="10" t="s">
        <v>73</v>
      </c>
      <c r="C67" s="11">
        <v>7539161</v>
      </c>
      <c r="E67" s="11">
        <v>30227577878</v>
      </c>
      <c r="G67" s="11">
        <v>30494318875</v>
      </c>
      <c r="N67" s="7"/>
      <c r="O67" s="11">
        <v>7539161</v>
      </c>
      <c r="Q67" s="11">
        <v>4539</v>
      </c>
      <c r="S67" s="11">
        <v>30227577878</v>
      </c>
      <c r="U67" s="11">
        <v>34016641281</v>
      </c>
      <c r="W67" s="12">
        <v>1.0065670722966128E-2</v>
      </c>
    </row>
    <row r="68" spans="1:23" ht="37.5" x14ac:dyDescent="0.45">
      <c r="A68" s="10" t="s">
        <v>74</v>
      </c>
      <c r="H68" s="7"/>
      <c r="I68" s="11">
        <v>1400000</v>
      </c>
      <c r="J68" s="11">
        <v>18286589160</v>
      </c>
      <c r="L68" s="11">
        <v>0</v>
      </c>
      <c r="M68" s="11">
        <v>0</v>
      </c>
      <c r="O68" s="11">
        <v>1400000</v>
      </c>
      <c r="Q68" s="11">
        <v>17340</v>
      </c>
      <c r="S68" s="11">
        <v>18286589160</v>
      </c>
      <c r="U68" s="11">
        <v>24131557800</v>
      </c>
      <c r="W68" s="12">
        <v>7.1406319289581636E-3</v>
      </c>
    </row>
    <row r="69" spans="1:23" ht="18.75" x14ac:dyDescent="0.45">
      <c r="A69" s="10" t="s">
        <v>75</v>
      </c>
      <c r="C69" s="11">
        <v>3700000</v>
      </c>
      <c r="E69" s="11">
        <v>20535562239</v>
      </c>
      <c r="G69" s="11">
        <v>23097745800</v>
      </c>
      <c r="I69" s="11">
        <v>2600000</v>
      </c>
      <c r="J69" s="11">
        <v>18841091998</v>
      </c>
      <c r="L69" s="11">
        <v>0</v>
      </c>
      <c r="M69" s="11">
        <v>0</v>
      </c>
      <c r="O69" s="11">
        <v>6300000</v>
      </c>
      <c r="Q69" s="11">
        <v>7110</v>
      </c>
      <c r="S69" s="11">
        <v>39376654237</v>
      </c>
      <c r="U69" s="11">
        <v>44526481650</v>
      </c>
      <c r="W69" s="12">
        <v>1.3175577772030937E-2</v>
      </c>
    </row>
    <row r="70" spans="1:23" ht="18.75" x14ac:dyDescent="0.45">
      <c r="A70" s="10" t="s">
        <v>76</v>
      </c>
      <c r="C70" s="11">
        <v>12447027</v>
      </c>
      <c r="E70" s="11">
        <v>94257059223</v>
      </c>
      <c r="G70" s="11">
        <v>105417680453</v>
      </c>
      <c r="N70" s="7"/>
      <c r="O70" s="11">
        <v>12447027</v>
      </c>
      <c r="Q70" s="11">
        <v>9480</v>
      </c>
      <c r="S70" s="11">
        <v>94257059223</v>
      </c>
      <c r="U70" s="11">
        <v>117295728955</v>
      </c>
      <c r="W70" s="12">
        <v>3.4708311591326091E-2</v>
      </c>
    </row>
    <row r="71" spans="1:23" ht="18.75" x14ac:dyDescent="0.45">
      <c r="A71" s="10" t="s">
        <v>77</v>
      </c>
      <c r="C71" s="11">
        <v>11423071</v>
      </c>
      <c r="E71" s="11">
        <v>46399579093</v>
      </c>
      <c r="G71" s="11">
        <v>62453070502</v>
      </c>
      <c r="I71" s="11">
        <v>600000</v>
      </c>
      <c r="J71" s="11">
        <v>3717446572</v>
      </c>
      <c r="L71" s="11">
        <v>0</v>
      </c>
      <c r="M71" s="11">
        <v>0</v>
      </c>
      <c r="O71" s="11">
        <v>12023071</v>
      </c>
      <c r="Q71" s="11">
        <v>6470</v>
      </c>
      <c r="S71" s="11">
        <v>50117025665</v>
      </c>
      <c r="U71" s="11">
        <v>77326423217</v>
      </c>
      <c r="W71" s="12">
        <v>2.2881221807215531E-2</v>
      </c>
    </row>
    <row r="72" spans="1:23" ht="18.75" x14ac:dyDescent="0.45">
      <c r="A72" s="10" t="s">
        <v>78</v>
      </c>
      <c r="C72" s="11">
        <v>25889786</v>
      </c>
      <c r="E72" s="11">
        <v>51198507849</v>
      </c>
      <c r="G72" s="11">
        <v>50750882777</v>
      </c>
      <c r="I72" s="11">
        <v>0</v>
      </c>
      <c r="J72" s="11">
        <v>0</v>
      </c>
      <c r="L72" s="11">
        <v>186738</v>
      </c>
      <c r="M72" s="11">
        <v>348092904</v>
      </c>
      <c r="O72" s="11">
        <v>25703048</v>
      </c>
      <c r="Q72" s="11">
        <v>1778</v>
      </c>
      <c r="S72" s="11">
        <v>50829222952</v>
      </c>
      <c r="U72" s="11">
        <v>45428104229</v>
      </c>
      <c r="W72" s="12">
        <v>1.3442371777989267E-2</v>
      </c>
    </row>
    <row r="73" spans="1:23" ht="18.75" x14ac:dyDescent="0.45">
      <c r="A73" s="10" t="s">
        <v>79</v>
      </c>
      <c r="C73" s="11">
        <v>277678</v>
      </c>
      <c r="E73" s="11">
        <v>10451767203</v>
      </c>
      <c r="G73" s="11">
        <v>10477939972</v>
      </c>
      <c r="I73" s="11">
        <v>0</v>
      </c>
      <c r="J73" s="11">
        <v>0</v>
      </c>
      <c r="L73" s="11">
        <v>100000</v>
      </c>
      <c r="M73" s="11">
        <v>4364873558</v>
      </c>
      <c r="O73" s="11">
        <v>177678</v>
      </c>
      <c r="Q73" s="11">
        <v>41110</v>
      </c>
      <c r="S73" s="11">
        <v>6687778985</v>
      </c>
      <c r="U73" s="11">
        <v>7260881742</v>
      </c>
      <c r="W73" s="12">
        <v>2.1485261925077445E-3</v>
      </c>
    </row>
    <row r="74" spans="1:23" ht="18.75" x14ac:dyDescent="0.45">
      <c r="A74" s="10" t="s">
        <v>80</v>
      </c>
      <c r="H74" s="7"/>
      <c r="I74" s="11">
        <v>450000</v>
      </c>
      <c r="J74" s="11">
        <v>2927655900</v>
      </c>
      <c r="L74" s="11">
        <v>0</v>
      </c>
      <c r="M74" s="11">
        <v>0</v>
      </c>
      <c r="O74" s="11">
        <v>450000</v>
      </c>
      <c r="Q74" s="11">
        <v>9020</v>
      </c>
      <c r="S74" s="11">
        <v>2927655900</v>
      </c>
      <c r="U74" s="11">
        <v>4034848950</v>
      </c>
      <c r="W74" s="12">
        <v>1.1939291893080072E-3</v>
      </c>
    </row>
    <row r="75" spans="1:23" ht="18.75" x14ac:dyDescent="0.45">
      <c r="A75" s="10" t="s">
        <v>81</v>
      </c>
      <c r="C75" s="11">
        <v>400000</v>
      </c>
      <c r="E75" s="11">
        <v>1792461862</v>
      </c>
      <c r="G75" s="11">
        <v>1895454540</v>
      </c>
      <c r="I75" s="11">
        <v>0</v>
      </c>
      <c r="J75" s="11">
        <v>0</v>
      </c>
      <c r="L75" s="11">
        <v>400000</v>
      </c>
      <c r="M75" s="11">
        <v>2063647811</v>
      </c>
      <c r="W75" s="12">
        <v>0</v>
      </c>
    </row>
    <row r="76" spans="1:23" ht="18.75" x14ac:dyDescent="0.45">
      <c r="A76" s="10" t="s">
        <v>82</v>
      </c>
      <c r="C76" s="11">
        <v>4613772</v>
      </c>
      <c r="E76" s="11">
        <v>43269803786</v>
      </c>
      <c r="G76" s="11">
        <v>42698639727</v>
      </c>
      <c r="N76" s="7"/>
      <c r="O76" s="11">
        <v>4613772</v>
      </c>
      <c r="Q76" s="11">
        <v>9990</v>
      </c>
      <c r="S76" s="11">
        <v>43269803786</v>
      </c>
      <c r="U76" s="11">
        <v>45817337365</v>
      </c>
      <c r="W76" s="12">
        <v>1.3557547540025239E-2</v>
      </c>
    </row>
    <row r="77" spans="1:23" ht="18.75" x14ac:dyDescent="0.45">
      <c r="A77" s="10" t="s">
        <v>83</v>
      </c>
      <c r="H77" s="7"/>
      <c r="I77" s="11">
        <v>400000</v>
      </c>
      <c r="J77" s="11">
        <v>1251159994</v>
      </c>
      <c r="L77" s="11">
        <v>0</v>
      </c>
      <c r="M77" s="11">
        <v>0</v>
      </c>
      <c r="O77" s="11">
        <v>400000</v>
      </c>
      <c r="Q77" s="11">
        <v>3007</v>
      </c>
      <c r="S77" s="11">
        <v>1251159994</v>
      </c>
      <c r="U77" s="11">
        <v>1195643340</v>
      </c>
      <c r="W77" s="12">
        <v>3.5379601598907885E-4</v>
      </c>
    </row>
    <row r="78" spans="1:23" ht="18.75" x14ac:dyDescent="0.45">
      <c r="A78" s="10" t="s">
        <v>84</v>
      </c>
      <c r="C78" s="11">
        <v>4436897</v>
      </c>
      <c r="E78" s="11">
        <v>35529188622</v>
      </c>
      <c r="G78" s="11">
        <v>28359498686</v>
      </c>
      <c r="I78" s="11">
        <v>0</v>
      </c>
      <c r="J78" s="11">
        <v>0</v>
      </c>
      <c r="L78" s="11">
        <v>3800000</v>
      </c>
      <c r="M78" s="11">
        <v>25517263679</v>
      </c>
      <c r="O78" s="11">
        <v>636897</v>
      </c>
      <c r="Q78" s="11">
        <v>6420</v>
      </c>
      <c r="S78" s="11">
        <v>5100058362</v>
      </c>
      <c r="U78" s="11">
        <v>4064549911</v>
      </c>
      <c r="W78" s="12">
        <v>1.202717831640801E-3</v>
      </c>
    </row>
    <row r="79" spans="1:23" ht="18.75" x14ac:dyDescent="0.45">
      <c r="A79" s="10" t="s">
        <v>85</v>
      </c>
      <c r="C79" s="11">
        <v>407809</v>
      </c>
      <c r="E79" s="11">
        <v>15540146852</v>
      </c>
      <c r="G79" s="11">
        <v>20135350585</v>
      </c>
      <c r="N79" s="7"/>
      <c r="O79" s="11">
        <v>407809</v>
      </c>
      <c r="Q79" s="11">
        <v>51530</v>
      </c>
      <c r="S79" s="11">
        <v>15540146852</v>
      </c>
      <c r="U79" s="11">
        <v>20889362103</v>
      </c>
      <c r="W79" s="12">
        <v>6.1812522525276194E-3</v>
      </c>
    </row>
    <row r="80" spans="1:23" ht="18.75" x14ac:dyDescent="0.45">
      <c r="A80" s="10" t="s">
        <v>86</v>
      </c>
      <c r="C80" s="11">
        <v>5995429</v>
      </c>
      <c r="E80" s="11">
        <v>88275989453</v>
      </c>
      <c r="G80" s="11">
        <v>122770977667</v>
      </c>
      <c r="I80" s="11">
        <v>0</v>
      </c>
      <c r="J80" s="11">
        <v>0</v>
      </c>
      <c r="L80" s="11">
        <v>400000</v>
      </c>
      <c r="M80" s="11">
        <v>8986212026</v>
      </c>
      <c r="O80" s="11">
        <v>5595429</v>
      </c>
      <c r="Q80" s="11">
        <v>22750</v>
      </c>
      <c r="S80" s="11">
        <v>82386436632</v>
      </c>
      <c r="U80" s="11">
        <v>126538598492</v>
      </c>
      <c r="W80" s="12">
        <v>3.7443316512189385E-2</v>
      </c>
    </row>
    <row r="81" spans="1:23" ht="18.75" x14ac:dyDescent="0.45">
      <c r="A81" s="10" t="s">
        <v>87</v>
      </c>
      <c r="C81" s="11">
        <v>4955016</v>
      </c>
      <c r="E81" s="11">
        <v>171534103296</v>
      </c>
      <c r="G81" s="11">
        <v>146288349548</v>
      </c>
      <c r="I81" s="11">
        <v>0</v>
      </c>
      <c r="J81" s="11">
        <v>0</v>
      </c>
      <c r="L81" s="11">
        <v>555016</v>
      </c>
      <c r="M81" s="11">
        <v>21240975729</v>
      </c>
      <c r="O81" s="11">
        <v>4400000</v>
      </c>
      <c r="Q81" s="11">
        <v>38750</v>
      </c>
      <c r="S81" s="11">
        <v>152320407139</v>
      </c>
      <c r="U81" s="11">
        <v>169485525000</v>
      </c>
      <c r="W81" s="12">
        <v>5.0151497111853967E-2</v>
      </c>
    </row>
    <row r="82" spans="1:23" ht="37.5" x14ac:dyDescent="0.45">
      <c r="A82" s="10" t="s">
        <v>88</v>
      </c>
      <c r="C82" s="11">
        <v>450000</v>
      </c>
      <c r="E82" s="11">
        <v>2252043000</v>
      </c>
      <c r="G82" s="11">
        <v>4960806525</v>
      </c>
      <c r="N82" s="7"/>
      <c r="O82" s="11">
        <v>450000</v>
      </c>
      <c r="Q82" s="11">
        <v>13940</v>
      </c>
      <c r="S82" s="11">
        <v>2252043000</v>
      </c>
      <c r="U82" s="11">
        <v>6235675650</v>
      </c>
      <c r="W82" s="12">
        <v>1.8451632925669203E-3</v>
      </c>
    </row>
    <row r="83" spans="1:23" ht="18.75" x14ac:dyDescent="0.45">
      <c r="A83" s="10" t="s">
        <v>89</v>
      </c>
      <c r="C83" s="11">
        <v>1523606</v>
      </c>
      <c r="E83" s="11">
        <v>36006699765</v>
      </c>
      <c r="G83" s="11">
        <v>57022451493</v>
      </c>
      <c r="I83" s="11">
        <v>0</v>
      </c>
      <c r="J83" s="11">
        <v>0</v>
      </c>
      <c r="L83" s="11">
        <v>1523606</v>
      </c>
      <c r="M83" s="11">
        <v>55551955695</v>
      </c>
      <c r="W83" s="12">
        <v>0</v>
      </c>
    </row>
    <row r="84" spans="1:23" ht="37.5" x14ac:dyDescent="0.45">
      <c r="A84" s="10" t="s">
        <v>90</v>
      </c>
      <c r="C84" s="11">
        <v>21600000</v>
      </c>
      <c r="E84" s="11">
        <v>27959586333</v>
      </c>
      <c r="G84" s="11">
        <v>33967881360</v>
      </c>
      <c r="N84" s="7"/>
      <c r="O84" s="11">
        <v>21600000</v>
      </c>
      <c r="Q84" s="11">
        <v>1896</v>
      </c>
      <c r="S84" s="11">
        <v>27959586333</v>
      </c>
      <c r="U84" s="11">
        <v>40709926080</v>
      </c>
      <c r="W84" s="12">
        <v>1.2046242534428285E-2</v>
      </c>
    </row>
    <row r="85" spans="1:23" ht="18.75" x14ac:dyDescent="0.45">
      <c r="A85" s="13" t="s">
        <v>91</v>
      </c>
      <c r="C85" s="13">
        <f>SUM(C11:$C$84)</f>
        <v>510015172</v>
      </c>
      <c r="E85" s="13">
        <f>SUM(E11:$E$84)</f>
        <v>2802174055544</v>
      </c>
      <c r="G85" s="13">
        <f>SUM(G11:$G$84)</f>
        <v>3182415828676</v>
      </c>
      <c r="I85" s="13">
        <f>SUM(I11:$I$84)</f>
        <v>19777913</v>
      </c>
      <c r="J85" s="13">
        <f>SUM(J11:$J$84)</f>
        <v>146246564854</v>
      </c>
      <c r="L85" s="13">
        <f>SUM(L11:$L$84)</f>
        <v>60501823</v>
      </c>
      <c r="M85" s="13">
        <f>SUM(M11:$M$84)</f>
        <v>384034995138</v>
      </c>
      <c r="O85" s="13">
        <f>SUM(O11:$O$84)</f>
        <v>471638368</v>
      </c>
      <c r="Q85" s="13">
        <f>SUM(Q11:$Q$84)</f>
        <v>1011779</v>
      </c>
      <c r="S85" s="13">
        <f>SUM(S11:$S$84)</f>
        <v>2616265051719</v>
      </c>
      <c r="U85" s="13">
        <f>SUM(U11:$U$84)</f>
        <v>3305047589614</v>
      </c>
      <c r="W85" s="14">
        <f>SUM(W11:$W$84)</f>
        <v>0.97797782226574492</v>
      </c>
    </row>
    <row r="86" spans="1:23" ht="18.75" x14ac:dyDescent="0.45">
      <c r="C86" s="15"/>
      <c r="E86" s="15"/>
      <c r="G86" s="15"/>
      <c r="I86" s="15"/>
      <c r="J86" s="15"/>
      <c r="L86" s="15"/>
      <c r="M86" s="15"/>
      <c r="O86" s="15"/>
      <c r="Q86" s="15"/>
      <c r="S86" s="15"/>
      <c r="U86" s="15"/>
      <c r="W86" s="15"/>
    </row>
  </sheetData>
  <mergeCells count="19">
    <mergeCell ref="A1:W1"/>
    <mergeCell ref="A2:W2"/>
    <mergeCell ref="A3:W3"/>
    <mergeCell ref="A5:W5"/>
    <mergeCell ref="A6:W6"/>
    <mergeCell ref="C8:G8"/>
    <mergeCell ref="I8:M8"/>
    <mergeCell ref="O8:W8"/>
    <mergeCell ref="A9:A10"/>
    <mergeCell ref="C9:C10"/>
    <mergeCell ref="E9:E10"/>
    <mergeCell ref="G9:G10"/>
    <mergeCell ref="I9:J9"/>
    <mergeCell ref="L9:M9"/>
    <mergeCell ref="O9:O10"/>
    <mergeCell ref="Q9:Q10"/>
    <mergeCell ref="S9:S10"/>
    <mergeCell ref="U9:U10"/>
    <mergeCell ref="W9:W10"/>
  </mergeCells>
  <pageMargins left="0.7" right="0.7" top="0.75" bottom="0.75" header="0.3" footer="0.3"/>
  <pageSetup paperSize="9" scale="5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22"/>
  <sheetViews>
    <sheetView rightToLeft="1" view="pageBreakPreview" zoomScale="60" zoomScaleNormal="100" workbookViewId="0">
      <selection activeCell="N24" sqref="N24"/>
    </sheetView>
  </sheetViews>
  <sheetFormatPr defaultRowHeight="18" x14ac:dyDescent="0.45"/>
  <cols>
    <col min="1" max="1" width="17" style="4" customWidth="1"/>
    <col min="2" max="2" width="1.42578125" style="4" customWidth="1"/>
    <col min="3" max="3" width="12.7109375" style="4" customWidth="1"/>
    <col min="4" max="4" width="1.42578125" style="4" customWidth="1"/>
    <col min="5" max="5" width="17" style="4" customWidth="1"/>
    <col min="6" max="6" width="1.42578125" style="4" customWidth="1"/>
    <col min="7" max="7" width="17" style="4" customWidth="1"/>
    <col min="8" max="8" width="1.42578125" style="4" customWidth="1"/>
    <col min="9" max="9" width="11.42578125" style="4" customWidth="1"/>
    <col min="10" max="10" width="17" style="4" customWidth="1"/>
    <col min="11" max="11" width="1.42578125" style="4" customWidth="1"/>
    <col min="12" max="12" width="11.42578125" style="4" customWidth="1"/>
    <col min="13" max="13" width="17" style="4" customWidth="1"/>
    <col min="14" max="14" width="1.42578125" style="4" customWidth="1"/>
    <col min="15" max="15" width="12.7109375" style="4" customWidth="1"/>
    <col min="16" max="16" width="1.42578125" style="4" customWidth="1"/>
    <col min="17" max="17" width="11.42578125" style="4" customWidth="1"/>
    <col min="18" max="18" width="1.42578125" style="4" customWidth="1"/>
    <col min="19" max="19" width="17" style="4" customWidth="1"/>
    <col min="20" max="20" width="1.42578125" style="4" customWidth="1"/>
    <col min="21" max="21" width="17" style="4" customWidth="1"/>
    <col min="22" max="22" width="1.42578125" style="4" customWidth="1"/>
    <col min="23" max="23" width="8.5703125" style="4" customWidth="1"/>
    <col min="24" max="16384" width="9.140625" style="4"/>
  </cols>
  <sheetData>
    <row r="1" spans="1:24" ht="20.100000000000001" customHeight="1" x14ac:dyDescent="0.45">
      <c r="A1" s="37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</row>
    <row r="2" spans="1:24" ht="20.100000000000001" customHeight="1" x14ac:dyDescent="0.45">
      <c r="A2" s="37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</row>
    <row r="3" spans="1:24" ht="20.100000000000001" customHeight="1" x14ac:dyDescent="0.45">
      <c r="A3" s="37" t="s">
        <v>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</row>
    <row r="5" spans="1:24" ht="21" x14ac:dyDescent="0.45">
      <c r="A5" s="38" t="s">
        <v>92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</row>
    <row r="7" spans="1:24" ht="21" x14ac:dyDescent="0.45">
      <c r="A7" s="31" t="s">
        <v>93</v>
      </c>
      <c r="B7" s="32"/>
      <c r="C7" s="32"/>
      <c r="D7" s="32"/>
      <c r="E7" s="32"/>
      <c r="F7" s="32"/>
      <c r="G7" s="32"/>
      <c r="I7" s="31" t="s">
        <v>5</v>
      </c>
      <c r="J7" s="32"/>
      <c r="K7" s="32"/>
      <c r="L7" s="32"/>
      <c r="M7" s="32"/>
      <c r="O7" s="31" t="s">
        <v>7</v>
      </c>
      <c r="P7" s="32"/>
      <c r="Q7" s="32"/>
      <c r="R7" s="32"/>
      <c r="S7" s="32"/>
      <c r="T7" s="32"/>
      <c r="U7" s="32"/>
      <c r="V7" s="32"/>
      <c r="W7" s="32"/>
    </row>
    <row r="8" spans="1:24" x14ac:dyDescent="0.45">
      <c r="A8" s="33"/>
      <c r="B8" s="35"/>
      <c r="C8" s="35"/>
      <c r="D8" s="35"/>
      <c r="E8" s="35"/>
      <c r="F8" s="35"/>
      <c r="G8" s="35"/>
      <c r="I8" s="33" t="s">
        <v>94</v>
      </c>
      <c r="J8" s="33" t="s">
        <v>95</v>
      </c>
      <c r="L8" s="33" t="s">
        <v>96</v>
      </c>
      <c r="M8" s="33" t="s">
        <v>97</v>
      </c>
      <c r="O8" s="33" t="s">
        <v>94</v>
      </c>
      <c r="Q8" s="33" t="s">
        <v>95</v>
      </c>
      <c r="S8" s="36" t="s">
        <v>96</v>
      </c>
      <c r="U8" s="33" t="s">
        <v>97</v>
      </c>
    </row>
    <row r="9" spans="1:24" x14ac:dyDescent="0.45">
      <c r="A9" s="35"/>
      <c r="B9" s="35"/>
      <c r="C9" s="35"/>
      <c r="D9" s="35"/>
      <c r="E9" s="35"/>
      <c r="F9" s="35"/>
      <c r="G9" s="35"/>
      <c r="I9" s="35"/>
      <c r="J9" s="35"/>
      <c r="L9" s="35"/>
      <c r="M9" s="35"/>
      <c r="O9" s="35"/>
      <c r="Q9" s="35"/>
      <c r="S9" s="35"/>
      <c r="U9" s="35"/>
    </row>
    <row r="10" spans="1:24" ht="18" customHeight="1" x14ac:dyDescent="0.45">
      <c r="A10" s="33" t="s">
        <v>98</v>
      </c>
      <c r="B10" s="35"/>
      <c r="C10" s="35"/>
      <c r="D10" s="35"/>
      <c r="E10" s="35"/>
      <c r="F10" s="35"/>
      <c r="G10" s="35"/>
      <c r="I10" s="39">
        <v>188</v>
      </c>
      <c r="J10" s="39">
        <v>19084</v>
      </c>
      <c r="L10" s="33" t="s">
        <v>99</v>
      </c>
      <c r="M10" s="40" t="s">
        <v>265</v>
      </c>
      <c r="O10" s="39">
        <v>188</v>
      </c>
      <c r="Q10" s="39">
        <v>17544</v>
      </c>
      <c r="S10" s="33" t="s">
        <v>99</v>
      </c>
      <c r="U10" s="40" t="s">
        <v>265</v>
      </c>
    </row>
    <row r="11" spans="1:24" x14ac:dyDescent="0.45">
      <c r="A11" s="35"/>
      <c r="B11" s="35"/>
      <c r="C11" s="35"/>
      <c r="D11" s="35"/>
      <c r="E11" s="35"/>
      <c r="F11" s="35"/>
      <c r="G11" s="35"/>
      <c r="I11" s="35"/>
      <c r="J11" s="35"/>
      <c r="L11" s="35"/>
      <c r="M11" s="35"/>
      <c r="O11" s="35"/>
      <c r="Q11" s="35"/>
      <c r="S11" s="35"/>
      <c r="U11" s="35"/>
    </row>
    <row r="13" spans="1:24" ht="21" x14ac:dyDescent="0.45">
      <c r="A13" s="38" t="s">
        <v>100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</row>
    <row r="15" spans="1:24" ht="21" x14ac:dyDescent="0.45">
      <c r="A15" s="31" t="s">
        <v>93</v>
      </c>
      <c r="B15" s="32"/>
      <c r="C15" s="32"/>
      <c r="D15" s="32"/>
      <c r="E15" s="32"/>
      <c r="F15" s="32"/>
      <c r="G15" s="32"/>
      <c r="I15" s="31" t="s">
        <v>5</v>
      </c>
      <c r="J15" s="32"/>
      <c r="K15" s="32"/>
      <c r="L15" s="32"/>
      <c r="M15" s="32"/>
      <c r="N15" s="32"/>
      <c r="O15" s="32"/>
      <c r="Q15" s="31" t="s">
        <v>7</v>
      </c>
      <c r="R15" s="32"/>
      <c r="S15" s="32"/>
      <c r="T15" s="32"/>
      <c r="U15" s="32"/>
      <c r="V15" s="32"/>
      <c r="W15" s="32"/>
      <c r="X15" s="32"/>
    </row>
    <row r="16" spans="1:24" x14ac:dyDescent="0.45">
      <c r="A16" s="33"/>
      <c r="B16" s="35"/>
      <c r="C16" s="35"/>
      <c r="D16" s="35"/>
      <c r="E16" s="35"/>
      <c r="F16" s="35"/>
      <c r="G16" s="35"/>
      <c r="I16" s="33" t="s">
        <v>101</v>
      </c>
      <c r="J16" s="33" t="s">
        <v>102</v>
      </c>
      <c r="L16" s="33" t="s">
        <v>103</v>
      </c>
      <c r="M16" s="33" t="s">
        <v>95</v>
      </c>
      <c r="O16" s="33" t="s">
        <v>96</v>
      </c>
      <c r="Q16" s="33" t="s">
        <v>101</v>
      </c>
      <c r="S16" s="33" t="s">
        <v>102</v>
      </c>
      <c r="U16" s="33" t="s">
        <v>103</v>
      </c>
      <c r="W16" s="33" t="s">
        <v>95</v>
      </c>
      <c r="X16" s="33" t="s">
        <v>96</v>
      </c>
    </row>
    <row r="17" spans="1:24" x14ac:dyDescent="0.45">
      <c r="A17" s="35"/>
      <c r="B17" s="35"/>
      <c r="C17" s="35"/>
      <c r="D17" s="35"/>
      <c r="E17" s="35"/>
      <c r="F17" s="35"/>
      <c r="G17" s="35"/>
      <c r="I17" s="35"/>
      <c r="J17" s="35"/>
      <c r="L17" s="35"/>
      <c r="M17" s="35"/>
      <c r="O17" s="35"/>
      <c r="Q17" s="35"/>
      <c r="S17" s="35"/>
      <c r="U17" s="35"/>
      <c r="W17" s="35"/>
      <c r="X17" s="35"/>
    </row>
    <row r="19" spans="1:24" ht="21" x14ac:dyDescent="0.45">
      <c r="A19" s="38" t="s">
        <v>104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</row>
    <row r="20" spans="1:24" ht="21" x14ac:dyDescent="0.45">
      <c r="A20" s="31" t="s">
        <v>93</v>
      </c>
      <c r="B20" s="32"/>
      <c r="C20" s="32"/>
      <c r="D20" s="32"/>
      <c r="E20" s="32"/>
      <c r="F20" s="32"/>
      <c r="G20" s="32"/>
      <c r="I20" s="31" t="s">
        <v>5</v>
      </c>
      <c r="J20" s="32"/>
      <c r="K20" s="32"/>
      <c r="L20" s="32"/>
      <c r="M20" s="32"/>
      <c r="O20" s="31" t="s">
        <v>7</v>
      </c>
      <c r="P20" s="32"/>
      <c r="Q20" s="32"/>
      <c r="R20" s="32"/>
      <c r="S20" s="32"/>
      <c r="T20" s="32"/>
      <c r="U20" s="32"/>
      <c r="V20" s="32"/>
      <c r="W20" s="32"/>
    </row>
    <row r="21" spans="1:24" x14ac:dyDescent="0.45">
      <c r="A21" s="33"/>
      <c r="B21" s="35"/>
      <c r="C21" s="35"/>
      <c r="D21" s="35"/>
      <c r="E21" s="35"/>
      <c r="F21" s="35"/>
      <c r="G21" s="35"/>
      <c r="I21" s="33" t="s">
        <v>102</v>
      </c>
      <c r="J21" s="33" t="s">
        <v>103</v>
      </c>
      <c r="L21" s="33" t="s">
        <v>95</v>
      </c>
      <c r="M21" s="33" t="s">
        <v>96</v>
      </c>
      <c r="O21" s="33" t="s">
        <v>102</v>
      </c>
      <c r="Q21" s="33" t="s">
        <v>103</v>
      </c>
      <c r="S21" s="33" t="s">
        <v>95</v>
      </c>
      <c r="U21" s="33" t="s">
        <v>96</v>
      </c>
    </row>
    <row r="22" spans="1:24" x14ac:dyDescent="0.45">
      <c r="A22" s="35"/>
      <c r="B22" s="35"/>
      <c r="C22" s="35"/>
      <c r="D22" s="35"/>
      <c r="E22" s="35"/>
      <c r="F22" s="35"/>
      <c r="G22" s="35"/>
      <c r="I22" s="35"/>
      <c r="J22" s="35"/>
      <c r="L22" s="35"/>
      <c r="M22" s="35"/>
      <c r="O22" s="35"/>
      <c r="Q22" s="35"/>
      <c r="S22" s="35"/>
      <c r="U22" s="35"/>
    </row>
  </sheetData>
  <mergeCells count="53">
    <mergeCell ref="S8:S9"/>
    <mergeCell ref="U8:U9"/>
    <mergeCell ref="A1:W1"/>
    <mergeCell ref="A2:W2"/>
    <mergeCell ref="A3:W3"/>
    <mergeCell ref="A5:W5"/>
    <mergeCell ref="A7:G7"/>
    <mergeCell ref="I7:M7"/>
    <mergeCell ref="O7:W7"/>
    <mergeCell ref="O10:O11"/>
    <mergeCell ref="Q10:Q11"/>
    <mergeCell ref="S10:S11"/>
    <mergeCell ref="U10:U11"/>
    <mergeCell ref="A8:G9"/>
    <mergeCell ref="I8:I9"/>
    <mergeCell ref="J8:J9"/>
    <mergeCell ref="A10:G11"/>
    <mergeCell ref="I10:I11"/>
    <mergeCell ref="J10:J11"/>
    <mergeCell ref="L10:L11"/>
    <mergeCell ref="M10:M11"/>
    <mergeCell ref="L8:L9"/>
    <mergeCell ref="M8:M9"/>
    <mergeCell ref="O8:O9"/>
    <mergeCell ref="Q8:Q9"/>
    <mergeCell ref="A13:W13"/>
    <mergeCell ref="A15:G15"/>
    <mergeCell ref="I15:O15"/>
    <mergeCell ref="Q15:X15"/>
    <mergeCell ref="A16:G17"/>
    <mergeCell ref="I16:I17"/>
    <mergeCell ref="J16:J17"/>
    <mergeCell ref="L16:L17"/>
    <mergeCell ref="M16:M17"/>
    <mergeCell ref="O16:O17"/>
    <mergeCell ref="Q16:Q17"/>
    <mergeCell ref="S16:S17"/>
    <mergeCell ref="U16:U17"/>
    <mergeCell ref="W16:W17"/>
    <mergeCell ref="X16:X17"/>
    <mergeCell ref="A19:W19"/>
    <mergeCell ref="A20:G20"/>
    <mergeCell ref="I20:M20"/>
    <mergeCell ref="O20:W20"/>
    <mergeCell ref="A21:G22"/>
    <mergeCell ref="I21:I22"/>
    <mergeCell ref="J21:J22"/>
    <mergeCell ref="L21:L22"/>
    <mergeCell ref="M21:M22"/>
    <mergeCell ref="O21:O22"/>
    <mergeCell ref="Q21:Q22"/>
    <mergeCell ref="S21:S22"/>
    <mergeCell ref="U21:U22"/>
  </mergeCells>
  <pageMargins left="0.7" right="0.7" top="0.75" bottom="0.75" header="0.3" footer="0.3"/>
  <pageSetup paperSize="9" scale="62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I11"/>
  <sheetViews>
    <sheetView rightToLeft="1" view="pageBreakPreview" zoomScale="60" zoomScaleNormal="100" workbookViewId="0">
      <selection activeCell="N24" sqref="N24"/>
    </sheetView>
  </sheetViews>
  <sheetFormatPr defaultRowHeight="18" x14ac:dyDescent="0.45"/>
  <cols>
    <col min="1" max="1" width="17" style="4" customWidth="1"/>
    <col min="2" max="2" width="1.42578125" style="4" customWidth="1"/>
    <col min="3" max="3" width="8.5703125" style="4" customWidth="1"/>
    <col min="4" max="4" width="1.42578125" style="4" customWidth="1"/>
    <col min="5" max="5" width="11.42578125" style="4" customWidth="1"/>
    <col min="6" max="6" width="1.42578125" style="4" customWidth="1"/>
    <col min="7" max="7" width="11.42578125" style="4" customWidth="1"/>
    <col min="8" max="8" width="1.42578125" style="4" customWidth="1"/>
    <col min="9" max="9" width="11.42578125" style="4" customWidth="1"/>
    <col min="10" max="10" width="1.42578125" style="4" customWidth="1"/>
    <col min="11" max="11" width="7.140625" style="4" customWidth="1"/>
    <col min="12" max="12" width="1.42578125" style="4" customWidth="1"/>
    <col min="13" max="13" width="7.140625" style="4" customWidth="1"/>
    <col min="14" max="14" width="1.42578125" style="4" customWidth="1"/>
    <col min="15" max="15" width="11.42578125" style="4" customWidth="1"/>
    <col min="16" max="16" width="1.42578125" style="4" customWidth="1"/>
    <col min="17" max="17" width="18.42578125" style="4" customWidth="1"/>
    <col min="18" max="18" width="1.42578125" style="4" customWidth="1"/>
    <col min="19" max="19" width="18.42578125" style="4" customWidth="1"/>
    <col min="20" max="20" width="1.42578125" style="4" customWidth="1"/>
    <col min="21" max="21" width="11.42578125" style="4" customWidth="1"/>
    <col min="22" max="22" width="18.42578125" style="4" customWidth="1"/>
    <col min="23" max="23" width="1.42578125" style="4" customWidth="1"/>
    <col min="24" max="24" width="11.42578125" style="4" customWidth="1"/>
    <col min="25" max="25" width="18.42578125" style="4" customWidth="1"/>
    <col min="26" max="26" width="1.42578125" style="4" customWidth="1"/>
    <col min="27" max="27" width="11.42578125" style="4" customWidth="1"/>
    <col min="28" max="28" width="1.42578125" style="4" customWidth="1"/>
    <col min="29" max="29" width="11.42578125" style="4" customWidth="1"/>
    <col min="30" max="30" width="1.42578125" style="4" customWidth="1"/>
    <col min="31" max="31" width="18.42578125" style="4" customWidth="1"/>
    <col min="32" max="32" width="1.42578125" style="4" customWidth="1"/>
    <col min="33" max="33" width="18.42578125" style="4" customWidth="1"/>
    <col min="34" max="34" width="1.42578125" style="4" customWidth="1"/>
    <col min="35" max="35" width="8.5703125" style="4" customWidth="1"/>
    <col min="36" max="16384" width="9.140625" style="4"/>
  </cols>
  <sheetData>
    <row r="1" spans="1:35" ht="20.100000000000001" customHeight="1" x14ac:dyDescent="0.45">
      <c r="A1" s="37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</row>
    <row r="2" spans="1:35" ht="20.100000000000001" customHeight="1" x14ac:dyDescent="0.45">
      <c r="A2" s="37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</row>
    <row r="3" spans="1:35" ht="20.100000000000001" customHeight="1" x14ac:dyDescent="0.45">
      <c r="A3" s="37" t="s">
        <v>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</row>
    <row r="5" spans="1:35" ht="21" x14ac:dyDescent="0.45">
      <c r="A5" s="38" t="s">
        <v>105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</row>
    <row r="7" spans="1:35" ht="21" x14ac:dyDescent="0.45">
      <c r="C7" s="31" t="s">
        <v>106</v>
      </c>
      <c r="D7" s="32"/>
      <c r="E7" s="32"/>
      <c r="F7" s="32"/>
      <c r="G7" s="32"/>
      <c r="H7" s="32"/>
      <c r="I7" s="32"/>
      <c r="J7" s="32"/>
      <c r="K7" s="32"/>
      <c r="L7" s="32"/>
      <c r="M7" s="32"/>
      <c r="O7" s="31" t="s">
        <v>5</v>
      </c>
      <c r="P7" s="32"/>
      <c r="Q7" s="32"/>
      <c r="R7" s="32"/>
      <c r="S7" s="32"/>
      <c r="U7" s="31" t="s">
        <v>6</v>
      </c>
      <c r="V7" s="32"/>
      <c r="W7" s="32"/>
      <c r="X7" s="32"/>
      <c r="Y7" s="32"/>
      <c r="AA7" s="31" t="s">
        <v>7</v>
      </c>
      <c r="AB7" s="32"/>
      <c r="AC7" s="32"/>
      <c r="AD7" s="32"/>
      <c r="AE7" s="32"/>
      <c r="AF7" s="32"/>
      <c r="AG7" s="32"/>
      <c r="AH7" s="32"/>
      <c r="AI7" s="32"/>
    </row>
    <row r="8" spans="1:35" ht="18.75" x14ac:dyDescent="0.45">
      <c r="A8" s="33" t="s">
        <v>107</v>
      </c>
      <c r="C8" s="36" t="s">
        <v>108</v>
      </c>
      <c r="E8" s="36" t="s">
        <v>109</v>
      </c>
      <c r="G8" s="36" t="s">
        <v>110</v>
      </c>
      <c r="I8" s="36" t="s">
        <v>111</v>
      </c>
      <c r="K8" s="36" t="s">
        <v>112</v>
      </c>
      <c r="M8" s="36" t="s">
        <v>113</v>
      </c>
      <c r="O8" s="33" t="s">
        <v>9</v>
      </c>
      <c r="Q8" s="33" t="s">
        <v>10</v>
      </c>
      <c r="S8" s="33" t="s">
        <v>11</v>
      </c>
      <c r="U8" s="33" t="s">
        <v>12</v>
      </c>
      <c r="V8" s="35"/>
      <c r="X8" s="33" t="s">
        <v>13</v>
      </c>
      <c r="Y8" s="35"/>
      <c r="AA8" s="33" t="s">
        <v>9</v>
      </c>
      <c r="AC8" s="36" t="s">
        <v>114</v>
      </c>
      <c r="AE8" s="33" t="s">
        <v>10</v>
      </c>
      <c r="AG8" s="33" t="s">
        <v>11</v>
      </c>
      <c r="AI8" s="36" t="s">
        <v>15</v>
      </c>
    </row>
    <row r="9" spans="1:35" ht="18.75" x14ac:dyDescent="0.45">
      <c r="A9" s="34"/>
      <c r="C9" s="34"/>
      <c r="E9" s="34"/>
      <c r="G9" s="34"/>
      <c r="I9" s="34"/>
      <c r="K9" s="34"/>
      <c r="M9" s="34"/>
      <c r="O9" s="34"/>
      <c r="Q9" s="34"/>
      <c r="S9" s="34"/>
      <c r="U9" s="9" t="s">
        <v>9</v>
      </c>
      <c r="V9" s="9" t="s">
        <v>10</v>
      </c>
      <c r="X9" s="9" t="s">
        <v>9</v>
      </c>
      <c r="Y9" s="9" t="s">
        <v>16</v>
      </c>
      <c r="AA9" s="34"/>
      <c r="AC9" s="34"/>
      <c r="AE9" s="34"/>
      <c r="AG9" s="34"/>
      <c r="AI9" s="34"/>
    </row>
    <row r="10" spans="1:35" ht="18.75" x14ac:dyDescent="0.45">
      <c r="A10" s="13" t="s">
        <v>91</v>
      </c>
      <c r="O10" s="13">
        <f>SUM($O$9)</f>
        <v>0</v>
      </c>
      <c r="Q10" s="13">
        <f>SUM($Q$9)</f>
        <v>0</v>
      </c>
      <c r="S10" s="13">
        <f>SUM($S$9)</f>
        <v>0</v>
      </c>
      <c r="U10" s="13">
        <f>SUM($U$9)</f>
        <v>0</v>
      </c>
      <c r="V10" s="13">
        <f>SUM($V$9)</f>
        <v>0</v>
      </c>
      <c r="X10" s="13">
        <f>SUM($X$9)</f>
        <v>0</v>
      </c>
      <c r="Y10" s="13">
        <f>SUM($Y$9)</f>
        <v>0</v>
      </c>
      <c r="AA10" s="13">
        <f>SUM($AA$9)</f>
        <v>0</v>
      </c>
      <c r="AC10" s="13">
        <f>SUM($AC$9)</f>
        <v>0</v>
      </c>
      <c r="AE10" s="13">
        <f>SUM($AE$9)</f>
        <v>0</v>
      </c>
      <c r="AG10" s="13">
        <f>SUM($AG$9)</f>
        <v>0</v>
      </c>
      <c r="AI10" s="14">
        <f>SUM($AI$9)</f>
        <v>0</v>
      </c>
    </row>
    <row r="11" spans="1:35" ht="18.75" x14ac:dyDescent="0.45">
      <c r="O11" s="15"/>
      <c r="Q11" s="15"/>
      <c r="S11" s="15"/>
      <c r="U11" s="15"/>
      <c r="V11" s="15"/>
      <c r="X11" s="15"/>
      <c r="Y11" s="15"/>
      <c r="AA11" s="15"/>
      <c r="AC11" s="15"/>
      <c r="AE11" s="15"/>
      <c r="AG11" s="15"/>
      <c r="AI11" s="15"/>
    </row>
  </sheetData>
  <mergeCells count="25">
    <mergeCell ref="A1:AI1"/>
    <mergeCell ref="A2:AI2"/>
    <mergeCell ref="A3:AI3"/>
    <mergeCell ref="A5:AI5"/>
    <mergeCell ref="C7:M7"/>
    <mergeCell ref="O7:S7"/>
    <mergeCell ref="U7:Y7"/>
    <mergeCell ref="AA7:AI7"/>
    <mergeCell ref="A8:A9"/>
    <mergeCell ref="C8:C9"/>
    <mergeCell ref="E8:E9"/>
    <mergeCell ref="G8:G9"/>
    <mergeCell ref="I8:I9"/>
    <mergeCell ref="K8:K9"/>
    <mergeCell ref="M8:M9"/>
    <mergeCell ref="O8:O9"/>
    <mergeCell ref="Q8:Q9"/>
    <mergeCell ref="S8:S9"/>
    <mergeCell ref="AG8:AG9"/>
    <mergeCell ref="AI8:AI9"/>
    <mergeCell ref="U8:V8"/>
    <mergeCell ref="X8:Y8"/>
    <mergeCell ref="AA8:AA9"/>
    <mergeCell ref="AC8:AC9"/>
    <mergeCell ref="AE8:AE9"/>
  </mergeCells>
  <pageMargins left="0.7" right="0.7" top="0.75" bottom="0.75" header="0.3" footer="0.3"/>
  <pageSetup paperSize="9" scale="48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11"/>
  <sheetViews>
    <sheetView rightToLeft="1" view="pageBreakPreview" zoomScale="60" zoomScaleNormal="100" workbookViewId="0">
      <selection activeCell="N24" sqref="N24"/>
    </sheetView>
  </sheetViews>
  <sheetFormatPr defaultRowHeight="18" x14ac:dyDescent="0.45"/>
  <cols>
    <col min="1" max="1" width="28.42578125" style="4" customWidth="1"/>
    <col min="2" max="2" width="1.42578125" style="4" customWidth="1"/>
    <col min="3" max="3" width="11.42578125" style="4" customWidth="1"/>
    <col min="4" max="4" width="1.42578125" style="4" customWidth="1"/>
    <col min="5" max="5" width="11.42578125" style="4" customWidth="1"/>
    <col min="6" max="6" width="1.42578125" style="4" customWidth="1"/>
    <col min="7" max="7" width="14.140625" style="4" customWidth="1"/>
    <col min="8" max="8" width="1.42578125" style="4" customWidth="1"/>
    <col min="9" max="9" width="8.5703125" style="4" customWidth="1"/>
    <col min="10" max="10" width="1.42578125" style="4" customWidth="1"/>
    <col min="11" max="11" width="21.28515625" style="4" customWidth="1"/>
    <col min="12" max="12" width="1.42578125" style="4" customWidth="1"/>
    <col min="13" max="13" width="28.42578125" style="4" customWidth="1"/>
    <col min="14" max="16384" width="9.140625" style="4"/>
  </cols>
  <sheetData>
    <row r="1" spans="1:13" ht="20.100000000000001" customHeight="1" x14ac:dyDescent="0.45">
      <c r="A1" s="37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ht="20.100000000000001" customHeight="1" x14ac:dyDescent="0.45">
      <c r="A2" s="37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ht="20.100000000000001" customHeight="1" x14ac:dyDescent="0.45">
      <c r="A3" s="37" t="s">
        <v>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5" spans="1:13" ht="21" x14ac:dyDescent="0.45">
      <c r="A5" s="38" t="s">
        <v>115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</row>
    <row r="6" spans="1:13" ht="21" x14ac:dyDescent="0.45">
      <c r="A6" s="38" t="s">
        <v>116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</row>
    <row r="8" spans="1:13" ht="21" x14ac:dyDescent="0.45">
      <c r="C8" s="31" t="s">
        <v>7</v>
      </c>
      <c r="D8" s="32"/>
      <c r="E8" s="32"/>
      <c r="F8" s="32"/>
      <c r="G8" s="32"/>
      <c r="H8" s="32"/>
      <c r="I8" s="32"/>
      <c r="J8" s="32"/>
      <c r="K8" s="32"/>
      <c r="L8" s="32"/>
      <c r="M8" s="32"/>
    </row>
    <row r="9" spans="1:13" ht="42" x14ac:dyDescent="0.45">
      <c r="A9" s="6" t="s">
        <v>117</v>
      </c>
      <c r="C9" s="6" t="s">
        <v>9</v>
      </c>
      <c r="E9" s="6" t="s">
        <v>118</v>
      </c>
      <c r="G9" s="6" t="s">
        <v>119</v>
      </c>
      <c r="I9" s="6" t="s">
        <v>120</v>
      </c>
      <c r="K9" s="16" t="s">
        <v>121</v>
      </c>
      <c r="M9" s="6" t="s">
        <v>122</v>
      </c>
    </row>
    <row r="10" spans="1:13" ht="18.75" x14ac:dyDescent="0.45">
      <c r="A10" s="13" t="s">
        <v>91</v>
      </c>
      <c r="K10" s="13">
        <f>SUM($K$9)</f>
        <v>0</v>
      </c>
    </row>
    <row r="11" spans="1:13" ht="18.75" x14ac:dyDescent="0.45">
      <c r="K11" s="15"/>
    </row>
  </sheetData>
  <mergeCells count="6">
    <mergeCell ref="C8:M8"/>
    <mergeCell ref="A1:M1"/>
    <mergeCell ref="A2:M2"/>
    <mergeCell ref="A3:M3"/>
    <mergeCell ref="A5:M5"/>
    <mergeCell ref="A6:M6"/>
  </mergeCells>
  <pageMargins left="0.7" right="0.7" top="0.75" bottom="0.75" header="0.3" footer="0.3"/>
  <pageSetup paperSize="9" scale="9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17"/>
  <sheetViews>
    <sheetView rightToLeft="1" view="pageBreakPreview" zoomScale="82" zoomScaleNormal="100" zoomScaleSheetLayoutView="82" workbookViewId="0">
      <selection activeCell="N24" sqref="N24"/>
    </sheetView>
  </sheetViews>
  <sheetFormatPr defaultRowHeight="18" x14ac:dyDescent="0.45"/>
  <cols>
    <col min="1" max="1" width="21.5703125" style="4" bestFit="1" customWidth="1"/>
    <col min="2" max="2" width="1.42578125" style="4" customWidth="1"/>
    <col min="3" max="3" width="17" style="4" bestFit="1" customWidth="1"/>
    <col min="4" max="4" width="1.42578125" style="4" customWidth="1"/>
    <col min="5" max="5" width="19.85546875" style="4" bestFit="1" customWidth="1"/>
    <col min="6" max="6" width="1.42578125" style="4" customWidth="1"/>
    <col min="7" max="7" width="19.7109375" style="4" bestFit="1" customWidth="1"/>
    <col min="8" max="8" width="1.42578125" style="4" customWidth="1"/>
    <col min="9" max="9" width="14" style="4" bestFit="1" customWidth="1"/>
    <col min="10" max="10" width="1.42578125" style="4" customWidth="1"/>
    <col min="11" max="11" width="12" style="4" bestFit="1" customWidth="1"/>
    <col min="12" max="16384" width="9.140625" style="4"/>
  </cols>
  <sheetData>
    <row r="1" spans="1:14" ht="20.100000000000001" customHeight="1" x14ac:dyDescent="0.45">
      <c r="A1" s="37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4" ht="20.100000000000001" customHeight="1" x14ac:dyDescent="0.45">
      <c r="A2" s="37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</row>
    <row r="3" spans="1:14" ht="20.100000000000001" customHeight="1" x14ac:dyDescent="0.45">
      <c r="A3" s="37" t="s">
        <v>2</v>
      </c>
      <c r="B3" s="35"/>
      <c r="C3" s="35"/>
      <c r="D3" s="35"/>
      <c r="E3" s="35"/>
      <c r="F3" s="35"/>
      <c r="G3" s="35"/>
      <c r="H3" s="35"/>
      <c r="I3" s="35"/>
      <c r="J3" s="35"/>
      <c r="K3" s="35"/>
    </row>
    <row r="5" spans="1:14" ht="19.5" x14ac:dyDescent="0.5">
      <c r="A5" s="41" t="s">
        <v>255</v>
      </c>
      <c r="B5" s="42"/>
      <c r="C5" s="42"/>
      <c r="D5" s="42"/>
      <c r="E5" s="42"/>
      <c r="F5" s="42"/>
      <c r="G5" s="42"/>
      <c r="H5" s="42"/>
      <c r="I5" s="42"/>
      <c r="J5" s="42"/>
      <c r="K5" s="42"/>
    </row>
    <row r="7" spans="1:14" ht="21" x14ac:dyDescent="0.45">
      <c r="C7" s="6" t="s">
        <v>5</v>
      </c>
      <c r="E7" s="31" t="s">
        <v>6</v>
      </c>
      <c r="F7" s="32"/>
      <c r="G7" s="32"/>
      <c r="I7" s="31" t="s">
        <v>7</v>
      </c>
      <c r="J7" s="32"/>
      <c r="K7" s="32"/>
    </row>
    <row r="8" spans="1:14" ht="63" customHeight="1" x14ac:dyDescent="0.45">
      <c r="A8" s="6" t="s">
        <v>123</v>
      </c>
      <c r="C8" s="6" t="s">
        <v>125</v>
      </c>
      <c r="E8" s="6" t="s">
        <v>126</v>
      </c>
      <c r="G8" s="6" t="s">
        <v>127</v>
      </c>
      <c r="I8" s="6" t="s">
        <v>125</v>
      </c>
      <c r="K8" s="16" t="s">
        <v>15</v>
      </c>
      <c r="N8" s="18"/>
    </row>
    <row r="9" spans="1:14" ht="18.75" x14ac:dyDescent="0.45">
      <c r="A9" s="19" t="s">
        <v>254</v>
      </c>
      <c r="C9" s="11">
        <v>70665348762</v>
      </c>
      <c r="E9" s="11">
        <v>1254794583504</v>
      </c>
      <c r="G9" s="11">
        <v>1324573458433</v>
      </c>
      <c r="I9" s="11">
        <v>886473833</v>
      </c>
      <c r="K9" s="12">
        <v>2.623114267453437E-4</v>
      </c>
    </row>
    <row r="10" spans="1:14" ht="19.5" thickBot="1" x14ac:dyDescent="0.5">
      <c r="A10" s="13" t="s">
        <v>91</v>
      </c>
      <c r="C10" s="13">
        <f>SUM(C9:$C$9)</f>
        <v>70665348762</v>
      </c>
      <c r="E10" s="13">
        <f>SUM(E9:$E$9)</f>
        <v>1254794583504</v>
      </c>
      <c r="G10" s="13">
        <f>SUM(G9:$G$9)</f>
        <v>1324573458433</v>
      </c>
      <c r="I10" s="13">
        <f>SUM(I9:$I$9)</f>
        <v>886473833</v>
      </c>
      <c r="K10" s="14">
        <f>SUM(K9:$K$9)</f>
        <v>2.623114267453437E-4</v>
      </c>
    </row>
    <row r="11" spans="1:14" ht="19.5" thickTop="1" x14ac:dyDescent="0.45">
      <c r="C11" s="15"/>
      <c r="E11" s="15"/>
      <c r="G11" s="15"/>
      <c r="I11" s="15"/>
      <c r="K11" s="15"/>
    </row>
    <row r="15" spans="1:14" x14ac:dyDescent="0.45">
      <c r="C15" s="20"/>
      <c r="D15" s="20"/>
      <c r="E15" s="20"/>
      <c r="F15" s="20"/>
      <c r="G15" s="20"/>
      <c r="H15" s="20"/>
      <c r="I15" s="20"/>
      <c r="J15" s="20"/>
      <c r="K15" s="20"/>
    </row>
    <row r="16" spans="1:14" ht="18.75" x14ac:dyDescent="0.45">
      <c r="C16" s="21"/>
      <c r="D16" s="20"/>
      <c r="E16" s="21"/>
      <c r="F16" s="20"/>
      <c r="G16" s="21"/>
      <c r="H16" s="20"/>
      <c r="I16" s="21"/>
      <c r="J16" s="20"/>
      <c r="K16" s="22"/>
    </row>
    <row r="17" spans="3:11" x14ac:dyDescent="0.45">
      <c r="C17" s="20"/>
      <c r="D17" s="20"/>
      <c r="E17" s="20"/>
      <c r="F17" s="20"/>
      <c r="G17" s="20"/>
      <c r="H17" s="20"/>
      <c r="I17" s="20"/>
      <c r="J17" s="20"/>
      <c r="K17" s="20"/>
    </row>
  </sheetData>
  <mergeCells count="6">
    <mergeCell ref="A1:K1"/>
    <mergeCell ref="A2:K2"/>
    <mergeCell ref="A3:K3"/>
    <mergeCell ref="A5:K5"/>
    <mergeCell ref="E7:G7"/>
    <mergeCell ref="I7:K7"/>
  </mergeCells>
  <pageMargins left="0.7" right="0.7" top="0.75" bottom="0.75" header="0.3" footer="0.3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14"/>
  <sheetViews>
    <sheetView rightToLeft="1" view="pageBreakPreview" zoomScale="60" zoomScaleNormal="100" workbookViewId="0">
      <selection activeCell="N24" sqref="N24"/>
    </sheetView>
  </sheetViews>
  <sheetFormatPr defaultRowHeight="18" x14ac:dyDescent="0.45"/>
  <cols>
    <col min="1" max="1" width="57.5703125" style="4" bestFit="1" customWidth="1"/>
    <col min="2" max="2" width="1.42578125" style="4" customWidth="1"/>
    <col min="3" max="3" width="11.42578125" style="4" customWidth="1"/>
    <col min="4" max="4" width="1.42578125" style="4" customWidth="1"/>
    <col min="5" max="5" width="21.28515625" style="4" customWidth="1"/>
    <col min="6" max="6" width="1.42578125" style="4" customWidth="1"/>
    <col min="7" max="7" width="11.42578125" style="4" customWidth="1"/>
    <col min="8" max="8" width="1.42578125" style="4" customWidth="1"/>
    <col min="9" max="9" width="11.42578125" style="4" customWidth="1"/>
    <col min="10" max="16384" width="9.140625" style="4"/>
  </cols>
  <sheetData>
    <row r="1" spans="1:14" ht="20.100000000000001" customHeight="1" x14ac:dyDescent="0.45">
      <c r="A1" s="37" t="s">
        <v>0</v>
      </c>
      <c r="B1" s="35"/>
      <c r="C1" s="35"/>
      <c r="D1" s="35"/>
      <c r="E1" s="35"/>
      <c r="F1" s="35"/>
      <c r="G1" s="35"/>
      <c r="H1" s="35"/>
      <c r="I1" s="35"/>
    </row>
    <row r="2" spans="1:14" ht="20.100000000000001" customHeight="1" x14ac:dyDescent="0.45">
      <c r="A2" s="37" t="s">
        <v>128</v>
      </c>
      <c r="B2" s="35"/>
      <c r="C2" s="35"/>
      <c r="D2" s="35"/>
      <c r="E2" s="35"/>
      <c r="F2" s="35"/>
      <c r="G2" s="35"/>
      <c r="H2" s="35"/>
      <c r="I2" s="35"/>
    </row>
    <row r="3" spans="1:14" ht="20.100000000000001" customHeight="1" x14ac:dyDescent="0.45">
      <c r="A3" s="37" t="s">
        <v>2</v>
      </c>
      <c r="B3" s="35"/>
      <c r="C3" s="35"/>
      <c r="D3" s="35"/>
      <c r="E3" s="35"/>
      <c r="F3" s="35"/>
      <c r="G3" s="35"/>
      <c r="H3" s="35"/>
      <c r="I3" s="35"/>
    </row>
    <row r="5" spans="1:14" ht="21" x14ac:dyDescent="0.45">
      <c r="A5" s="38" t="s">
        <v>129</v>
      </c>
      <c r="B5" s="35"/>
      <c r="C5" s="35"/>
      <c r="D5" s="35"/>
      <c r="E5" s="35"/>
      <c r="F5" s="35"/>
      <c r="G5" s="35"/>
      <c r="H5" s="35"/>
      <c r="I5" s="35"/>
    </row>
    <row r="6" spans="1:14" x14ac:dyDescent="0.45">
      <c r="N6" s="18"/>
    </row>
    <row r="7" spans="1:14" ht="42" x14ac:dyDescent="0.45">
      <c r="A7" s="6" t="s">
        <v>130</v>
      </c>
      <c r="C7" s="6" t="s">
        <v>131</v>
      </c>
      <c r="E7" s="6" t="s">
        <v>125</v>
      </c>
      <c r="G7" s="16" t="s">
        <v>132</v>
      </c>
      <c r="I7" s="16" t="s">
        <v>133</v>
      </c>
    </row>
    <row r="8" spans="1:14" ht="21" x14ac:dyDescent="0.45">
      <c r="A8" s="5" t="s">
        <v>134</v>
      </c>
      <c r="C8" s="7" t="s">
        <v>256</v>
      </c>
      <c r="E8" s="11">
        <v>985394235986</v>
      </c>
      <c r="G8" s="12">
        <f>E8/$E$13</f>
        <v>0.99655571596842574</v>
      </c>
      <c r="I8" s="12">
        <v>0.291582400208451</v>
      </c>
    </row>
    <row r="9" spans="1:14" ht="21" x14ac:dyDescent="0.45">
      <c r="A9" s="5" t="s">
        <v>257</v>
      </c>
      <c r="C9" s="7" t="s">
        <v>258</v>
      </c>
      <c r="E9" s="11">
        <v>0</v>
      </c>
      <c r="G9" s="12">
        <f t="shared" ref="G9:G12" si="0">E9/$E$13</f>
        <v>0</v>
      </c>
      <c r="I9" s="12">
        <v>0</v>
      </c>
    </row>
    <row r="10" spans="1:14" ht="21" x14ac:dyDescent="0.45">
      <c r="A10" s="5" t="s">
        <v>135</v>
      </c>
      <c r="C10" s="7" t="s">
        <v>259</v>
      </c>
      <c r="E10" s="11">
        <v>2788210513</v>
      </c>
      <c r="G10" s="12">
        <f t="shared" si="0"/>
        <v>2.8197923456220455E-3</v>
      </c>
      <c r="I10" s="12">
        <v>8.2504350439343037E-4</v>
      </c>
    </row>
    <row r="11" spans="1:14" ht="21" x14ac:dyDescent="0.45">
      <c r="A11" s="5" t="s">
        <v>136</v>
      </c>
      <c r="C11" s="7" t="s">
        <v>260</v>
      </c>
      <c r="E11" s="11">
        <v>299150380</v>
      </c>
      <c r="G11" s="12">
        <f t="shared" si="0"/>
        <v>3.0253883190703196E-4</v>
      </c>
      <c r="I11" s="12">
        <v>8.8519886394900185E-5</v>
      </c>
    </row>
    <row r="12" spans="1:14" ht="21" x14ac:dyDescent="0.45">
      <c r="A12" s="5" t="s">
        <v>137</v>
      </c>
      <c r="C12" s="7" t="s">
        <v>261</v>
      </c>
      <c r="E12" s="11">
        <v>318346964</v>
      </c>
      <c r="G12" s="12">
        <f t="shared" si="0"/>
        <v>3.2195285404521283E-4</v>
      </c>
      <c r="I12" s="12">
        <v>9.4200238313056395E-5</v>
      </c>
    </row>
    <row r="13" spans="1:14" ht="21" x14ac:dyDescent="0.45">
      <c r="A13" s="6" t="s">
        <v>91</v>
      </c>
      <c r="E13" s="13">
        <f>SUM(E8:$E$12)</f>
        <v>988799943843</v>
      </c>
      <c r="G13" s="14">
        <f>SUM(G8:$G$12)</f>
        <v>1</v>
      </c>
      <c r="I13" s="14">
        <f>SUM(I8:$I$12)</f>
        <v>0.29259016383755243</v>
      </c>
    </row>
    <row r="14" spans="1:14" ht="18.75" x14ac:dyDescent="0.45">
      <c r="E14" s="15"/>
      <c r="G14" s="15"/>
      <c r="I14" s="15"/>
    </row>
  </sheetData>
  <mergeCells count="4">
    <mergeCell ref="A1:I1"/>
    <mergeCell ref="A2:I2"/>
    <mergeCell ref="A3:I3"/>
    <mergeCell ref="A5:I5"/>
  </mergeCells>
  <pageMargins left="0.7" right="0.7" top="0.75" bottom="0.75" header="0.3" footer="0.3"/>
  <pageSetup paperSize="9" scale="73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S74"/>
  <sheetViews>
    <sheetView rightToLeft="1" view="pageBreakPreview" zoomScale="60" zoomScaleNormal="100" workbookViewId="0">
      <selection activeCell="N24" sqref="N24"/>
    </sheetView>
  </sheetViews>
  <sheetFormatPr defaultRowHeight="18" x14ac:dyDescent="0.45"/>
  <cols>
    <col min="1" max="1" width="17.5703125" style="4" bestFit="1" customWidth="1"/>
    <col min="2" max="2" width="1.42578125" style="4" customWidth="1"/>
    <col min="3" max="3" width="12.5703125" style="4" bestFit="1" customWidth="1"/>
    <col min="4" max="4" width="1.42578125" style="4" customWidth="1"/>
    <col min="5" max="5" width="17.5703125" style="4" bestFit="1" customWidth="1"/>
    <col min="6" max="6" width="1.42578125" style="4" customWidth="1"/>
    <col min="7" max="7" width="10.5703125" style="4" bestFit="1" customWidth="1"/>
    <col min="8" max="8" width="1.42578125" style="4" customWidth="1"/>
    <col min="9" max="9" width="15.5703125" style="4" bestFit="1" customWidth="1"/>
    <col min="10" max="10" width="1.42578125" style="4" customWidth="1"/>
    <col min="11" max="11" width="14.7109375" style="4" bestFit="1" customWidth="1"/>
    <col min="12" max="12" width="1.42578125" style="4" customWidth="1"/>
    <col min="13" max="13" width="16.140625" style="4" bestFit="1" customWidth="1"/>
    <col min="14" max="14" width="1.42578125" style="4" customWidth="1"/>
    <col min="15" max="15" width="18.28515625" style="4" bestFit="1" customWidth="1"/>
    <col min="16" max="16" width="1.42578125" style="4" customWidth="1"/>
    <col min="17" max="17" width="14.7109375" style="4" bestFit="1" customWidth="1"/>
    <col min="18" max="18" width="1.42578125" style="4" customWidth="1"/>
    <col min="19" max="19" width="18.28515625" style="4" bestFit="1" customWidth="1"/>
    <col min="20" max="16384" width="9.140625" style="4"/>
  </cols>
  <sheetData>
    <row r="1" spans="1:19" ht="20.100000000000001" customHeight="1" x14ac:dyDescent="0.45">
      <c r="A1" s="37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</row>
    <row r="2" spans="1:19" ht="20.100000000000001" customHeight="1" x14ac:dyDescent="0.45">
      <c r="A2" s="37" t="s">
        <v>128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</row>
    <row r="3" spans="1:19" ht="20.100000000000001" customHeight="1" x14ac:dyDescent="0.45">
      <c r="A3" s="37" t="s">
        <v>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</row>
    <row r="5" spans="1:19" ht="21" x14ac:dyDescent="0.45">
      <c r="A5" s="38" t="s">
        <v>138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</row>
    <row r="7" spans="1:19" ht="21" x14ac:dyDescent="0.45">
      <c r="C7" s="31" t="s">
        <v>139</v>
      </c>
      <c r="D7" s="32"/>
      <c r="E7" s="32"/>
      <c r="F7" s="32"/>
      <c r="G7" s="32"/>
      <c r="I7" s="31" t="s">
        <v>140</v>
      </c>
      <c r="J7" s="32"/>
      <c r="K7" s="32"/>
      <c r="L7" s="32"/>
      <c r="M7" s="32"/>
      <c r="O7" s="31" t="s">
        <v>7</v>
      </c>
      <c r="P7" s="32"/>
      <c r="Q7" s="32"/>
      <c r="R7" s="32"/>
      <c r="S7" s="32"/>
    </row>
    <row r="8" spans="1:19" ht="42" x14ac:dyDescent="0.45">
      <c r="A8" s="6" t="s">
        <v>93</v>
      </c>
      <c r="C8" s="16" t="s">
        <v>141</v>
      </c>
      <c r="E8" s="16" t="s">
        <v>142</v>
      </c>
      <c r="G8" s="16" t="s">
        <v>143</v>
      </c>
      <c r="I8" s="16" t="s">
        <v>144</v>
      </c>
      <c r="K8" s="16" t="s">
        <v>145</v>
      </c>
      <c r="M8" s="16" t="s">
        <v>146</v>
      </c>
      <c r="O8" s="16" t="s">
        <v>144</v>
      </c>
      <c r="Q8" s="16" t="s">
        <v>145</v>
      </c>
      <c r="S8" s="16" t="s">
        <v>146</v>
      </c>
    </row>
    <row r="9" spans="1:19" ht="37.5" x14ac:dyDescent="0.45">
      <c r="A9" s="8" t="s">
        <v>17</v>
      </c>
      <c r="C9" s="7" t="s">
        <v>147</v>
      </c>
      <c r="E9" s="11">
        <v>50000</v>
      </c>
      <c r="G9" s="11">
        <v>1920</v>
      </c>
      <c r="N9" s="7"/>
      <c r="O9" s="11">
        <v>96000000</v>
      </c>
      <c r="Q9" s="11">
        <v>0</v>
      </c>
      <c r="S9" s="11">
        <v>96000000</v>
      </c>
    </row>
    <row r="10" spans="1:19" ht="18.75" x14ac:dyDescent="0.45">
      <c r="A10" s="8" t="s">
        <v>19</v>
      </c>
      <c r="C10" s="7" t="s">
        <v>148</v>
      </c>
      <c r="E10" s="11">
        <v>1895580</v>
      </c>
      <c r="G10" s="11">
        <v>750</v>
      </c>
      <c r="I10" s="11">
        <v>1421685000</v>
      </c>
      <c r="K10" s="11">
        <v>-72101060</v>
      </c>
      <c r="M10" s="11">
        <v>1349583940</v>
      </c>
      <c r="O10" s="11">
        <v>1421685000</v>
      </c>
      <c r="Q10" s="11">
        <v>-58058411</v>
      </c>
      <c r="S10" s="11">
        <v>1363626589</v>
      </c>
    </row>
    <row r="11" spans="1:19" ht="18.75" x14ac:dyDescent="0.45">
      <c r="A11" s="8" t="s">
        <v>24</v>
      </c>
      <c r="C11" s="7" t="s">
        <v>149</v>
      </c>
      <c r="E11" s="11">
        <v>3093440</v>
      </c>
      <c r="G11" s="11">
        <v>70</v>
      </c>
      <c r="N11" s="7"/>
      <c r="O11" s="11">
        <v>216540800</v>
      </c>
      <c r="Q11" s="11">
        <v>0</v>
      </c>
      <c r="S11" s="11">
        <v>216540800</v>
      </c>
    </row>
    <row r="12" spans="1:19" ht="18.75" x14ac:dyDescent="0.45">
      <c r="A12" s="8" t="s">
        <v>150</v>
      </c>
      <c r="C12" s="7" t="s">
        <v>151</v>
      </c>
      <c r="E12" s="11">
        <v>2580626</v>
      </c>
      <c r="G12" s="11">
        <v>310</v>
      </c>
      <c r="N12" s="7"/>
      <c r="O12" s="11">
        <v>799994060</v>
      </c>
      <c r="Q12" s="11">
        <v>0</v>
      </c>
      <c r="S12" s="11">
        <v>799994060</v>
      </c>
    </row>
    <row r="13" spans="1:19" ht="18.75" x14ac:dyDescent="0.45">
      <c r="A13" s="8" t="s">
        <v>25</v>
      </c>
      <c r="C13" s="7" t="s">
        <v>152</v>
      </c>
      <c r="E13" s="11">
        <v>1621954</v>
      </c>
      <c r="G13" s="11">
        <v>320</v>
      </c>
      <c r="N13" s="7"/>
      <c r="O13" s="11">
        <v>519025280</v>
      </c>
      <c r="Q13" s="11">
        <v>0</v>
      </c>
      <c r="S13" s="11">
        <v>519025280</v>
      </c>
    </row>
    <row r="14" spans="1:19" ht="37.5" x14ac:dyDescent="0.45">
      <c r="A14" s="8" t="s">
        <v>26</v>
      </c>
      <c r="C14" s="7" t="s">
        <v>153</v>
      </c>
      <c r="E14" s="11">
        <v>5417185</v>
      </c>
      <c r="G14" s="11">
        <v>20</v>
      </c>
      <c r="N14" s="7"/>
      <c r="O14" s="11">
        <v>108343700</v>
      </c>
      <c r="Q14" s="11">
        <v>0</v>
      </c>
      <c r="S14" s="11">
        <v>108343700</v>
      </c>
    </row>
    <row r="15" spans="1:19" ht="18.75" x14ac:dyDescent="0.45">
      <c r="A15" s="8" t="s">
        <v>28</v>
      </c>
      <c r="C15" s="7" t="s">
        <v>154</v>
      </c>
      <c r="E15" s="11">
        <v>16400000</v>
      </c>
      <c r="G15" s="11">
        <v>630</v>
      </c>
      <c r="N15" s="7"/>
      <c r="O15" s="11">
        <v>10332000000</v>
      </c>
      <c r="Q15" s="11">
        <v>0</v>
      </c>
      <c r="S15" s="11">
        <v>10332000000</v>
      </c>
    </row>
    <row r="16" spans="1:19" ht="18.75" x14ac:dyDescent="0.45">
      <c r="A16" s="8" t="s">
        <v>155</v>
      </c>
      <c r="C16" s="7" t="s">
        <v>156</v>
      </c>
      <c r="E16" s="11">
        <v>1032456</v>
      </c>
      <c r="G16" s="11">
        <v>500</v>
      </c>
      <c r="N16" s="7"/>
      <c r="O16" s="11">
        <v>516228000</v>
      </c>
      <c r="Q16" s="11">
        <v>0</v>
      </c>
      <c r="S16" s="11">
        <v>516228000</v>
      </c>
    </row>
    <row r="17" spans="1:19" ht="18.75" x14ac:dyDescent="0.45">
      <c r="A17" s="8" t="s">
        <v>30</v>
      </c>
      <c r="C17" s="7" t="s">
        <v>157</v>
      </c>
      <c r="E17" s="11">
        <v>2339629</v>
      </c>
      <c r="G17" s="11">
        <v>1950</v>
      </c>
      <c r="N17" s="7"/>
      <c r="O17" s="11">
        <v>4562276550</v>
      </c>
      <c r="Q17" s="11">
        <v>0</v>
      </c>
      <c r="S17" s="11">
        <v>4562276550</v>
      </c>
    </row>
    <row r="18" spans="1:19" ht="37.5" x14ac:dyDescent="0.45">
      <c r="A18" s="8" t="s">
        <v>31</v>
      </c>
      <c r="C18" s="7" t="s">
        <v>158</v>
      </c>
      <c r="E18" s="11">
        <v>442500</v>
      </c>
      <c r="G18" s="11">
        <v>69</v>
      </c>
      <c r="N18" s="7"/>
      <c r="O18" s="11">
        <v>30532500</v>
      </c>
      <c r="Q18" s="11">
        <v>0</v>
      </c>
      <c r="S18" s="11">
        <v>30532500</v>
      </c>
    </row>
    <row r="19" spans="1:19" ht="37.5" x14ac:dyDescent="0.45">
      <c r="A19" s="8" t="s">
        <v>159</v>
      </c>
      <c r="C19" s="7" t="s">
        <v>160</v>
      </c>
      <c r="E19" s="11">
        <v>500000</v>
      </c>
      <c r="G19" s="11">
        <v>3000</v>
      </c>
      <c r="N19" s="7"/>
      <c r="O19" s="11">
        <v>1500000000</v>
      </c>
      <c r="Q19" s="11">
        <v>0</v>
      </c>
      <c r="S19" s="11">
        <v>1500000000</v>
      </c>
    </row>
    <row r="20" spans="1:19" ht="18.75" x14ac:dyDescent="0.45">
      <c r="A20" s="8" t="s">
        <v>35</v>
      </c>
      <c r="C20" s="7" t="s">
        <v>161</v>
      </c>
      <c r="E20" s="11">
        <v>4224582</v>
      </c>
      <c r="G20" s="11">
        <v>120</v>
      </c>
      <c r="N20" s="7"/>
      <c r="O20" s="11">
        <v>506949840</v>
      </c>
      <c r="Q20" s="11">
        <v>0</v>
      </c>
      <c r="S20" s="11">
        <v>506949840</v>
      </c>
    </row>
    <row r="21" spans="1:19" ht="37.5" x14ac:dyDescent="0.45">
      <c r="A21" s="8" t="s">
        <v>36</v>
      </c>
      <c r="C21" s="7" t="s">
        <v>162</v>
      </c>
      <c r="E21" s="11">
        <v>3129302</v>
      </c>
      <c r="G21" s="11">
        <v>957</v>
      </c>
      <c r="I21" s="11">
        <v>2994742014</v>
      </c>
      <c r="K21" s="11">
        <v>-170243732</v>
      </c>
      <c r="M21" s="11">
        <v>2824498282</v>
      </c>
      <c r="O21" s="11">
        <v>2994742014</v>
      </c>
      <c r="Q21" s="11">
        <v>-170243732</v>
      </c>
      <c r="S21" s="11">
        <v>2824498282</v>
      </c>
    </row>
    <row r="22" spans="1:19" ht="18.75" x14ac:dyDescent="0.45">
      <c r="A22" s="8" t="s">
        <v>37</v>
      </c>
      <c r="C22" s="7" t="s">
        <v>163</v>
      </c>
      <c r="E22" s="11">
        <v>3200000</v>
      </c>
      <c r="G22" s="11">
        <v>1830</v>
      </c>
      <c r="N22" s="7"/>
      <c r="O22" s="11">
        <v>5856000000</v>
      </c>
      <c r="Q22" s="11">
        <v>0</v>
      </c>
      <c r="S22" s="11">
        <v>5856000000</v>
      </c>
    </row>
    <row r="23" spans="1:19" ht="18.75" x14ac:dyDescent="0.45">
      <c r="A23" s="8" t="s">
        <v>38</v>
      </c>
      <c r="C23" s="7" t="s">
        <v>164</v>
      </c>
      <c r="E23" s="11">
        <v>3273715</v>
      </c>
      <c r="G23" s="11">
        <v>3500</v>
      </c>
      <c r="N23" s="7"/>
      <c r="O23" s="11">
        <v>11458002500</v>
      </c>
      <c r="Q23" s="11">
        <v>-23495562</v>
      </c>
      <c r="S23" s="11">
        <v>11434506938</v>
      </c>
    </row>
    <row r="24" spans="1:19" ht="18.75" x14ac:dyDescent="0.45">
      <c r="A24" s="8" t="s">
        <v>39</v>
      </c>
      <c r="C24" s="7" t="s">
        <v>165</v>
      </c>
      <c r="E24" s="11">
        <v>628197</v>
      </c>
      <c r="G24" s="11">
        <v>8700</v>
      </c>
      <c r="N24" s="7"/>
      <c r="O24" s="11">
        <v>5465313900</v>
      </c>
      <c r="Q24" s="11">
        <v>0</v>
      </c>
      <c r="S24" s="11">
        <v>5465313900</v>
      </c>
    </row>
    <row r="25" spans="1:19" ht="18.75" x14ac:dyDescent="0.45">
      <c r="A25" s="8" t="s">
        <v>41</v>
      </c>
      <c r="C25" s="7" t="s">
        <v>166</v>
      </c>
      <c r="E25" s="11">
        <v>188</v>
      </c>
      <c r="G25" s="11">
        <v>1540</v>
      </c>
      <c r="I25" s="11">
        <v>289520</v>
      </c>
      <c r="K25" s="11">
        <v>-1578</v>
      </c>
      <c r="M25" s="11">
        <v>287942</v>
      </c>
      <c r="O25" s="11">
        <v>289520</v>
      </c>
      <c r="Q25" s="11">
        <v>-1578</v>
      </c>
      <c r="S25" s="11">
        <v>287942</v>
      </c>
    </row>
    <row r="26" spans="1:19" ht="18.75" x14ac:dyDescent="0.45">
      <c r="A26" s="8" t="s">
        <v>42</v>
      </c>
      <c r="C26" s="7" t="s">
        <v>161</v>
      </c>
      <c r="E26" s="11">
        <v>1800000</v>
      </c>
      <c r="G26" s="11">
        <v>4150</v>
      </c>
      <c r="N26" s="7"/>
      <c r="O26" s="11">
        <v>7470000000</v>
      </c>
      <c r="Q26" s="11">
        <v>0</v>
      </c>
      <c r="S26" s="11">
        <v>7470000000</v>
      </c>
    </row>
    <row r="27" spans="1:19" ht="18.75" x14ac:dyDescent="0.45">
      <c r="A27" s="8" t="s">
        <v>167</v>
      </c>
      <c r="C27" s="7" t="s">
        <v>165</v>
      </c>
      <c r="E27" s="11">
        <v>3260353</v>
      </c>
      <c r="G27" s="11">
        <v>700</v>
      </c>
      <c r="N27" s="7"/>
      <c r="O27" s="11">
        <v>2282247100</v>
      </c>
      <c r="Q27" s="11">
        <v>0</v>
      </c>
      <c r="S27" s="11">
        <v>2282247100</v>
      </c>
    </row>
    <row r="28" spans="1:19" ht="18.75" x14ac:dyDescent="0.45">
      <c r="A28" s="8" t="s">
        <v>43</v>
      </c>
      <c r="C28" s="7" t="s">
        <v>168</v>
      </c>
      <c r="E28" s="11">
        <v>6818560</v>
      </c>
      <c r="G28" s="11">
        <v>52</v>
      </c>
      <c r="N28" s="7"/>
      <c r="O28" s="11">
        <v>354565120</v>
      </c>
      <c r="Q28" s="11">
        <v>0</v>
      </c>
      <c r="S28" s="11">
        <v>354565120</v>
      </c>
    </row>
    <row r="29" spans="1:19" ht="37.5" x14ac:dyDescent="0.45">
      <c r="A29" s="8" t="s">
        <v>44</v>
      </c>
      <c r="C29" s="7" t="s">
        <v>169</v>
      </c>
      <c r="E29" s="11">
        <v>6186817</v>
      </c>
      <c r="G29" s="11">
        <v>210</v>
      </c>
      <c r="N29" s="7"/>
      <c r="O29" s="11">
        <v>1299231570</v>
      </c>
      <c r="Q29" s="11">
        <v>0</v>
      </c>
      <c r="S29" s="11">
        <v>1299231570</v>
      </c>
    </row>
    <row r="30" spans="1:19" ht="18.75" x14ac:dyDescent="0.45">
      <c r="A30" s="8" t="s">
        <v>45</v>
      </c>
      <c r="C30" s="7" t="s">
        <v>152</v>
      </c>
      <c r="E30" s="11">
        <v>6441064</v>
      </c>
      <c r="G30" s="11">
        <v>103</v>
      </c>
      <c r="N30" s="7"/>
      <c r="O30" s="11">
        <v>663429592</v>
      </c>
      <c r="Q30" s="11">
        <v>0</v>
      </c>
      <c r="S30" s="11">
        <v>663429592</v>
      </c>
    </row>
    <row r="31" spans="1:19" ht="18.75" x14ac:dyDescent="0.45">
      <c r="A31" s="8" t="s">
        <v>46</v>
      </c>
      <c r="C31" s="7" t="s">
        <v>170</v>
      </c>
      <c r="E31" s="11">
        <v>8429307</v>
      </c>
      <c r="G31" s="11">
        <v>590</v>
      </c>
      <c r="N31" s="7"/>
      <c r="O31" s="11">
        <v>4973291130</v>
      </c>
      <c r="Q31" s="11">
        <v>0</v>
      </c>
      <c r="S31" s="11">
        <v>4973291130</v>
      </c>
    </row>
    <row r="32" spans="1:19" ht="18.75" x14ac:dyDescent="0.45">
      <c r="A32" s="8" t="s">
        <v>47</v>
      </c>
      <c r="C32" s="7" t="s">
        <v>171</v>
      </c>
      <c r="E32" s="11">
        <v>2029694</v>
      </c>
      <c r="G32" s="11">
        <v>4070</v>
      </c>
      <c r="N32" s="7"/>
      <c r="O32" s="11">
        <v>8260854580</v>
      </c>
      <c r="Q32" s="11">
        <v>0</v>
      </c>
      <c r="S32" s="11">
        <v>8260854580</v>
      </c>
    </row>
    <row r="33" spans="1:19" ht="18.75" x14ac:dyDescent="0.45">
      <c r="A33" s="8" t="s">
        <v>48</v>
      </c>
      <c r="C33" s="7" t="s">
        <v>172</v>
      </c>
      <c r="E33" s="11">
        <v>16712202</v>
      </c>
      <c r="G33" s="11">
        <v>680</v>
      </c>
      <c r="N33" s="7"/>
      <c r="O33" s="11">
        <v>11364297360</v>
      </c>
      <c r="Q33" s="11">
        <v>0</v>
      </c>
      <c r="S33" s="11">
        <v>11364297360</v>
      </c>
    </row>
    <row r="34" spans="1:19" ht="18.75" x14ac:dyDescent="0.45">
      <c r="A34" s="8" t="s">
        <v>49</v>
      </c>
      <c r="C34" s="7" t="s">
        <v>170</v>
      </c>
      <c r="E34" s="11">
        <v>697177</v>
      </c>
      <c r="G34" s="11">
        <v>22200</v>
      </c>
      <c r="N34" s="7"/>
      <c r="O34" s="11">
        <v>15477329400</v>
      </c>
      <c r="Q34" s="11">
        <v>0</v>
      </c>
      <c r="S34" s="11">
        <v>15477329400</v>
      </c>
    </row>
    <row r="35" spans="1:19" ht="18.75" x14ac:dyDescent="0.45">
      <c r="A35" s="8" t="s">
        <v>173</v>
      </c>
      <c r="C35" s="7" t="s">
        <v>174</v>
      </c>
      <c r="E35" s="11">
        <v>783101</v>
      </c>
      <c r="G35" s="11">
        <v>7500</v>
      </c>
      <c r="N35" s="7"/>
      <c r="O35" s="11">
        <v>5873257500</v>
      </c>
      <c r="Q35" s="11">
        <v>0</v>
      </c>
      <c r="S35" s="11">
        <v>5873257500</v>
      </c>
    </row>
    <row r="36" spans="1:19" ht="37.5" x14ac:dyDescent="0.45">
      <c r="A36" s="8" t="s">
        <v>51</v>
      </c>
      <c r="C36" s="7" t="s">
        <v>161</v>
      </c>
      <c r="E36" s="11">
        <v>4428885</v>
      </c>
      <c r="G36" s="11">
        <v>400</v>
      </c>
      <c r="N36" s="7"/>
      <c r="O36" s="11">
        <v>1771554000</v>
      </c>
      <c r="Q36" s="11">
        <v>0</v>
      </c>
      <c r="S36" s="11">
        <v>1771554000</v>
      </c>
    </row>
    <row r="37" spans="1:19" ht="18.75" x14ac:dyDescent="0.45">
      <c r="A37" s="8" t="s">
        <v>52</v>
      </c>
      <c r="C37" s="7" t="s">
        <v>175</v>
      </c>
      <c r="E37" s="11">
        <v>17343799</v>
      </c>
      <c r="G37" s="11">
        <v>125</v>
      </c>
      <c r="N37" s="7"/>
      <c r="O37" s="11">
        <v>2167974875</v>
      </c>
      <c r="Q37" s="11">
        <v>-22035287</v>
      </c>
      <c r="S37" s="11">
        <v>2145939588</v>
      </c>
    </row>
    <row r="38" spans="1:19" ht="18.75" x14ac:dyDescent="0.45">
      <c r="A38" s="8" t="s">
        <v>176</v>
      </c>
      <c r="C38" s="7" t="s">
        <v>177</v>
      </c>
      <c r="E38" s="11">
        <v>6310177</v>
      </c>
      <c r="G38" s="11">
        <v>470</v>
      </c>
      <c r="N38" s="7"/>
      <c r="O38" s="11">
        <v>2965783190</v>
      </c>
      <c r="Q38" s="11">
        <v>0</v>
      </c>
      <c r="S38" s="11">
        <v>2965783190</v>
      </c>
    </row>
    <row r="39" spans="1:19" ht="18.75" x14ac:dyDescent="0.45">
      <c r="A39" s="8" t="s">
        <v>54</v>
      </c>
      <c r="C39" s="7" t="s">
        <v>158</v>
      </c>
      <c r="E39" s="11">
        <v>40821426</v>
      </c>
      <c r="G39" s="11">
        <v>45</v>
      </c>
      <c r="N39" s="7"/>
      <c r="O39" s="11">
        <v>1836964170</v>
      </c>
      <c r="Q39" s="11">
        <v>0</v>
      </c>
      <c r="S39" s="11">
        <v>1836964170</v>
      </c>
    </row>
    <row r="40" spans="1:19" ht="37.5" x14ac:dyDescent="0.45">
      <c r="A40" s="8" t="s">
        <v>178</v>
      </c>
      <c r="C40" s="7" t="s">
        <v>156</v>
      </c>
      <c r="E40" s="11">
        <v>8440622</v>
      </c>
      <c r="G40" s="11">
        <v>150</v>
      </c>
      <c r="N40" s="7"/>
      <c r="O40" s="11">
        <v>1266093300</v>
      </c>
      <c r="Q40" s="11">
        <v>0</v>
      </c>
      <c r="S40" s="11">
        <v>1266093300</v>
      </c>
    </row>
    <row r="41" spans="1:19" ht="18.75" x14ac:dyDescent="0.45">
      <c r="A41" s="8" t="s">
        <v>55</v>
      </c>
      <c r="C41" s="7" t="s">
        <v>179</v>
      </c>
      <c r="E41" s="11">
        <v>10646044</v>
      </c>
      <c r="G41" s="11">
        <v>700</v>
      </c>
      <c r="N41" s="7"/>
      <c r="O41" s="11">
        <v>7452230800</v>
      </c>
      <c r="Q41" s="11">
        <v>0</v>
      </c>
      <c r="S41" s="11">
        <v>7452230800</v>
      </c>
    </row>
    <row r="42" spans="1:19" ht="18.75" x14ac:dyDescent="0.45">
      <c r="A42" s="8" t="s">
        <v>57</v>
      </c>
      <c r="C42" s="7" t="s">
        <v>180</v>
      </c>
      <c r="E42" s="11">
        <v>14731919</v>
      </c>
      <c r="G42" s="11">
        <v>630</v>
      </c>
      <c r="N42" s="7"/>
      <c r="O42" s="11">
        <v>9281108970</v>
      </c>
      <c r="Q42" s="11">
        <v>0</v>
      </c>
      <c r="S42" s="11">
        <v>9281108970</v>
      </c>
    </row>
    <row r="43" spans="1:19" ht="18.75" x14ac:dyDescent="0.45">
      <c r="A43" s="8" t="s">
        <v>181</v>
      </c>
      <c r="C43" s="7" t="s">
        <v>180</v>
      </c>
      <c r="E43" s="11">
        <v>12268462</v>
      </c>
      <c r="G43" s="11">
        <v>34</v>
      </c>
      <c r="N43" s="7"/>
      <c r="O43" s="11">
        <v>417127708</v>
      </c>
      <c r="Q43" s="11">
        <v>0</v>
      </c>
      <c r="S43" s="11">
        <v>417127708</v>
      </c>
    </row>
    <row r="44" spans="1:19" ht="18.75" x14ac:dyDescent="0.45">
      <c r="A44" s="8" t="s">
        <v>59</v>
      </c>
      <c r="C44" s="7" t="s">
        <v>172</v>
      </c>
      <c r="E44" s="11">
        <v>5208577</v>
      </c>
      <c r="G44" s="11">
        <v>1000</v>
      </c>
      <c r="N44" s="7"/>
      <c r="O44" s="11">
        <v>5208577000</v>
      </c>
      <c r="Q44" s="11">
        <v>0</v>
      </c>
      <c r="S44" s="11">
        <v>5208577000</v>
      </c>
    </row>
    <row r="45" spans="1:19" ht="18.75" x14ac:dyDescent="0.45">
      <c r="A45" s="8" t="s">
        <v>182</v>
      </c>
      <c r="C45" s="7" t="s">
        <v>183</v>
      </c>
      <c r="E45" s="11">
        <v>2372939</v>
      </c>
      <c r="G45" s="11">
        <v>930</v>
      </c>
      <c r="N45" s="7"/>
      <c r="O45" s="11">
        <v>2206833270</v>
      </c>
      <c r="Q45" s="11">
        <v>0</v>
      </c>
      <c r="S45" s="11">
        <v>2206833270</v>
      </c>
    </row>
    <row r="46" spans="1:19" ht="37.5" x14ac:dyDescent="0.45">
      <c r="A46" s="8" t="s">
        <v>184</v>
      </c>
      <c r="C46" s="7" t="s">
        <v>185</v>
      </c>
      <c r="E46" s="11">
        <v>2393112</v>
      </c>
      <c r="G46" s="11">
        <v>1100</v>
      </c>
      <c r="N46" s="7"/>
      <c r="O46" s="11">
        <v>2632423200</v>
      </c>
      <c r="Q46" s="11">
        <v>0</v>
      </c>
      <c r="S46" s="11">
        <v>2632423200</v>
      </c>
    </row>
    <row r="47" spans="1:19" ht="18.75" x14ac:dyDescent="0.45">
      <c r="A47" s="8" t="s">
        <v>186</v>
      </c>
      <c r="C47" s="7" t="s">
        <v>187</v>
      </c>
      <c r="E47" s="11">
        <v>6226087</v>
      </c>
      <c r="G47" s="11">
        <v>250</v>
      </c>
      <c r="N47" s="7"/>
      <c r="O47" s="11">
        <v>1556521750</v>
      </c>
      <c r="Q47" s="11">
        <v>0</v>
      </c>
      <c r="S47" s="11">
        <v>1556521750</v>
      </c>
    </row>
    <row r="48" spans="1:19" ht="18.75" x14ac:dyDescent="0.45">
      <c r="A48" s="8" t="s">
        <v>188</v>
      </c>
      <c r="C48" s="7" t="s">
        <v>189</v>
      </c>
      <c r="E48" s="11">
        <v>1163735</v>
      </c>
      <c r="G48" s="11">
        <v>3920</v>
      </c>
      <c r="N48" s="7"/>
      <c r="O48" s="11">
        <v>4561841200</v>
      </c>
      <c r="Q48" s="11">
        <v>0</v>
      </c>
      <c r="S48" s="11">
        <v>4561841200</v>
      </c>
    </row>
    <row r="49" spans="1:19" ht="18.75" x14ac:dyDescent="0.45">
      <c r="A49" s="8" t="s">
        <v>190</v>
      </c>
      <c r="C49" s="7" t="s">
        <v>191</v>
      </c>
      <c r="E49" s="11">
        <v>8489353</v>
      </c>
      <c r="G49" s="11">
        <v>850</v>
      </c>
      <c r="N49" s="7"/>
      <c r="O49" s="11">
        <v>7215950050</v>
      </c>
      <c r="Q49" s="11">
        <v>0</v>
      </c>
      <c r="S49" s="11">
        <v>7215950050</v>
      </c>
    </row>
    <row r="50" spans="1:19" ht="18.75" x14ac:dyDescent="0.45">
      <c r="A50" s="8" t="s">
        <v>192</v>
      </c>
      <c r="C50" s="7" t="s">
        <v>189</v>
      </c>
      <c r="E50" s="11">
        <v>1000000</v>
      </c>
      <c r="G50" s="11">
        <v>500</v>
      </c>
      <c r="N50" s="7"/>
      <c r="O50" s="11">
        <v>500000000</v>
      </c>
      <c r="Q50" s="11">
        <v>0</v>
      </c>
      <c r="S50" s="11">
        <v>500000000</v>
      </c>
    </row>
    <row r="51" spans="1:19" ht="18.75" x14ac:dyDescent="0.45">
      <c r="A51" s="8" t="s">
        <v>193</v>
      </c>
      <c r="C51" s="7" t="s">
        <v>194</v>
      </c>
      <c r="E51" s="11">
        <v>6310411</v>
      </c>
      <c r="G51" s="11">
        <v>1630</v>
      </c>
      <c r="N51" s="7"/>
      <c r="O51" s="11">
        <v>10285969930</v>
      </c>
      <c r="Q51" s="11">
        <v>0</v>
      </c>
      <c r="S51" s="11">
        <v>10285969930</v>
      </c>
    </row>
    <row r="52" spans="1:19" ht="18.75" x14ac:dyDescent="0.45">
      <c r="A52" s="8" t="s">
        <v>62</v>
      </c>
      <c r="C52" s="7" t="s">
        <v>195</v>
      </c>
      <c r="E52" s="11">
        <v>23813083</v>
      </c>
      <c r="G52" s="11">
        <v>420</v>
      </c>
      <c r="N52" s="7"/>
      <c r="O52" s="11">
        <v>10001494860</v>
      </c>
      <c r="Q52" s="11">
        <v>0</v>
      </c>
      <c r="S52" s="11">
        <v>10001494860</v>
      </c>
    </row>
    <row r="53" spans="1:19" ht="18.75" x14ac:dyDescent="0.45">
      <c r="A53" s="8" t="s">
        <v>63</v>
      </c>
      <c r="C53" s="7" t="s">
        <v>154</v>
      </c>
      <c r="E53" s="11">
        <v>2828124</v>
      </c>
      <c r="G53" s="11">
        <v>187</v>
      </c>
      <c r="N53" s="7"/>
      <c r="O53" s="11">
        <v>528859188</v>
      </c>
      <c r="Q53" s="11">
        <v>0</v>
      </c>
      <c r="S53" s="11">
        <v>528859188</v>
      </c>
    </row>
    <row r="54" spans="1:19" ht="18.75" x14ac:dyDescent="0.45">
      <c r="A54" s="8" t="s">
        <v>64</v>
      </c>
      <c r="C54" s="7" t="s">
        <v>196</v>
      </c>
      <c r="E54" s="11">
        <v>15875158</v>
      </c>
      <c r="G54" s="11">
        <v>682</v>
      </c>
      <c r="N54" s="7"/>
      <c r="O54" s="11">
        <v>10826857756</v>
      </c>
      <c r="Q54" s="11">
        <v>-160722585</v>
      </c>
      <c r="S54" s="11">
        <v>10666135171</v>
      </c>
    </row>
    <row r="55" spans="1:19" ht="18.75" x14ac:dyDescent="0.45">
      <c r="A55" s="8" t="s">
        <v>65</v>
      </c>
      <c r="C55" s="7" t="s">
        <v>197</v>
      </c>
      <c r="E55" s="11">
        <v>407076</v>
      </c>
      <c r="G55" s="11">
        <v>2150</v>
      </c>
      <c r="N55" s="7"/>
      <c r="O55" s="11">
        <v>875213400</v>
      </c>
      <c r="Q55" s="11">
        <v>0</v>
      </c>
      <c r="S55" s="11">
        <v>875213400</v>
      </c>
    </row>
    <row r="56" spans="1:19" ht="18.75" x14ac:dyDescent="0.45">
      <c r="A56" s="8" t="s">
        <v>66</v>
      </c>
      <c r="C56" s="7" t="s">
        <v>195</v>
      </c>
      <c r="E56" s="11">
        <v>3882657</v>
      </c>
      <c r="G56" s="11">
        <v>1110</v>
      </c>
      <c r="N56" s="7"/>
      <c r="O56" s="11">
        <v>4309749270</v>
      </c>
      <c r="Q56" s="11">
        <v>0</v>
      </c>
      <c r="S56" s="11">
        <v>4309749270</v>
      </c>
    </row>
    <row r="57" spans="1:19" ht="18.75" x14ac:dyDescent="0.45">
      <c r="A57" s="8" t="s">
        <v>68</v>
      </c>
      <c r="C57" s="7" t="s">
        <v>180</v>
      </c>
      <c r="E57" s="11">
        <v>22083031</v>
      </c>
      <c r="G57" s="11">
        <v>960</v>
      </c>
      <c r="N57" s="7"/>
      <c r="O57" s="11">
        <v>21199709760</v>
      </c>
      <c r="Q57" s="11">
        <v>0</v>
      </c>
      <c r="S57" s="11">
        <v>21199709760</v>
      </c>
    </row>
    <row r="58" spans="1:19" ht="37.5" x14ac:dyDescent="0.45">
      <c r="A58" s="8" t="s">
        <v>69</v>
      </c>
      <c r="C58" s="7" t="s">
        <v>152</v>
      </c>
      <c r="E58" s="11">
        <v>8068802</v>
      </c>
      <c r="G58" s="11">
        <v>450</v>
      </c>
      <c r="N58" s="7"/>
      <c r="O58" s="11">
        <v>3630960900</v>
      </c>
      <c r="Q58" s="11">
        <v>0</v>
      </c>
      <c r="S58" s="11">
        <v>3630960900</v>
      </c>
    </row>
    <row r="59" spans="1:19" ht="18.75" x14ac:dyDescent="0.45">
      <c r="A59" s="8" t="s">
        <v>70</v>
      </c>
      <c r="C59" s="7" t="s">
        <v>198</v>
      </c>
      <c r="E59" s="11">
        <v>612298</v>
      </c>
      <c r="G59" s="11">
        <v>1603</v>
      </c>
      <c r="N59" s="7"/>
      <c r="O59" s="11">
        <v>981513694</v>
      </c>
      <c r="Q59" s="11">
        <v>0</v>
      </c>
      <c r="S59" s="11">
        <v>981513694</v>
      </c>
    </row>
    <row r="60" spans="1:19" ht="18.75" x14ac:dyDescent="0.45">
      <c r="A60" s="8" t="s">
        <v>72</v>
      </c>
      <c r="C60" s="7" t="s">
        <v>199</v>
      </c>
      <c r="E60" s="11">
        <v>524142</v>
      </c>
      <c r="G60" s="11">
        <v>6500</v>
      </c>
      <c r="N60" s="7"/>
      <c r="O60" s="11">
        <v>3406923000</v>
      </c>
      <c r="Q60" s="11">
        <v>0</v>
      </c>
      <c r="S60" s="11">
        <v>3406923000</v>
      </c>
    </row>
    <row r="61" spans="1:19" ht="37.5" x14ac:dyDescent="0.45">
      <c r="A61" s="8" t="s">
        <v>73</v>
      </c>
      <c r="C61" s="7" t="s">
        <v>200</v>
      </c>
      <c r="E61" s="11">
        <v>7539161</v>
      </c>
      <c r="G61" s="11">
        <v>488</v>
      </c>
      <c r="N61" s="7"/>
      <c r="O61" s="11">
        <v>3679110568</v>
      </c>
      <c r="Q61" s="11">
        <v>0</v>
      </c>
      <c r="S61" s="11">
        <v>3679110568</v>
      </c>
    </row>
    <row r="62" spans="1:19" ht="37.5" x14ac:dyDescent="0.45">
      <c r="A62" s="8" t="s">
        <v>201</v>
      </c>
      <c r="C62" s="7" t="s">
        <v>164</v>
      </c>
      <c r="E62" s="11">
        <v>336632</v>
      </c>
      <c r="G62" s="11">
        <v>9000</v>
      </c>
      <c r="N62" s="7"/>
      <c r="O62" s="11">
        <v>3029688000</v>
      </c>
      <c r="Q62" s="11">
        <v>0</v>
      </c>
      <c r="S62" s="11">
        <v>3029688000</v>
      </c>
    </row>
    <row r="63" spans="1:19" ht="18.75" x14ac:dyDescent="0.45">
      <c r="A63" s="8" t="s">
        <v>76</v>
      </c>
      <c r="C63" s="7" t="s">
        <v>172</v>
      </c>
      <c r="E63" s="11">
        <v>12890068</v>
      </c>
      <c r="G63" s="11">
        <v>750</v>
      </c>
      <c r="N63" s="7"/>
      <c r="O63" s="11">
        <v>9667551000</v>
      </c>
      <c r="Q63" s="11">
        <v>0</v>
      </c>
      <c r="S63" s="11">
        <v>9667551000</v>
      </c>
    </row>
    <row r="64" spans="1:19" ht="18.75" x14ac:dyDescent="0.45">
      <c r="A64" s="8" t="s">
        <v>77</v>
      </c>
      <c r="C64" s="7" t="s">
        <v>169</v>
      </c>
      <c r="E64" s="11">
        <v>7338094</v>
      </c>
      <c r="G64" s="11">
        <v>160</v>
      </c>
      <c r="N64" s="7"/>
      <c r="O64" s="11">
        <v>1174095040</v>
      </c>
      <c r="Q64" s="11">
        <v>0</v>
      </c>
      <c r="S64" s="11">
        <v>1174095040</v>
      </c>
    </row>
    <row r="65" spans="1:19" ht="18.75" x14ac:dyDescent="0.45">
      <c r="A65" s="8" t="s">
        <v>78</v>
      </c>
      <c r="C65" s="7" t="s">
        <v>202</v>
      </c>
      <c r="E65" s="11">
        <v>25889786</v>
      </c>
      <c r="G65" s="11">
        <v>323</v>
      </c>
      <c r="N65" s="7"/>
      <c r="O65" s="11">
        <v>8362400878</v>
      </c>
      <c r="Q65" s="11">
        <v>-233835444</v>
      </c>
      <c r="S65" s="11">
        <v>8128565434</v>
      </c>
    </row>
    <row r="66" spans="1:19" ht="18.75" x14ac:dyDescent="0.45">
      <c r="A66" s="8" t="s">
        <v>79</v>
      </c>
      <c r="C66" s="7" t="s">
        <v>153</v>
      </c>
      <c r="E66" s="11">
        <v>564486</v>
      </c>
      <c r="G66" s="11">
        <v>2950</v>
      </c>
      <c r="N66" s="7"/>
      <c r="O66" s="11">
        <v>1665233700</v>
      </c>
      <c r="Q66" s="11">
        <v>0</v>
      </c>
      <c r="S66" s="11">
        <v>1665233700</v>
      </c>
    </row>
    <row r="67" spans="1:19" ht="18.75" x14ac:dyDescent="0.45">
      <c r="A67" s="8" t="s">
        <v>203</v>
      </c>
      <c r="C67" s="7" t="s">
        <v>169</v>
      </c>
      <c r="E67" s="11">
        <v>996335</v>
      </c>
      <c r="G67" s="11">
        <v>1350</v>
      </c>
      <c r="N67" s="7"/>
      <c r="O67" s="11">
        <v>1345052250</v>
      </c>
      <c r="Q67" s="11">
        <v>0</v>
      </c>
      <c r="S67" s="11">
        <v>1345052250</v>
      </c>
    </row>
    <row r="68" spans="1:19" ht="18.75" x14ac:dyDescent="0.45">
      <c r="A68" s="8" t="s">
        <v>82</v>
      </c>
      <c r="C68" s="7" t="s">
        <v>169</v>
      </c>
      <c r="E68" s="11">
        <v>6013772</v>
      </c>
      <c r="G68" s="11">
        <v>1700</v>
      </c>
      <c r="N68" s="7"/>
      <c r="O68" s="11">
        <v>10223412400</v>
      </c>
      <c r="Q68" s="11">
        <v>0</v>
      </c>
      <c r="S68" s="11">
        <v>10223412400</v>
      </c>
    </row>
    <row r="69" spans="1:19" ht="18.75" x14ac:dyDescent="0.45">
      <c r="A69" s="8" t="s">
        <v>84</v>
      </c>
      <c r="C69" s="7" t="s">
        <v>204</v>
      </c>
      <c r="E69" s="11">
        <v>6377671</v>
      </c>
      <c r="G69" s="11">
        <v>480</v>
      </c>
      <c r="N69" s="7"/>
      <c r="O69" s="11">
        <v>3061282080</v>
      </c>
      <c r="Q69" s="11">
        <v>0</v>
      </c>
      <c r="S69" s="11">
        <v>3061282080</v>
      </c>
    </row>
    <row r="70" spans="1:19" ht="18.75" x14ac:dyDescent="0.45">
      <c r="A70" s="8" t="s">
        <v>86</v>
      </c>
      <c r="C70" s="7" t="s">
        <v>185</v>
      </c>
      <c r="E70" s="11">
        <v>5637509</v>
      </c>
      <c r="G70" s="11">
        <v>1930</v>
      </c>
      <c r="N70" s="7"/>
      <c r="O70" s="11">
        <v>10880392370</v>
      </c>
      <c r="Q70" s="11">
        <v>0</v>
      </c>
      <c r="S70" s="11">
        <v>10880392370</v>
      </c>
    </row>
    <row r="71" spans="1:19" ht="18.75" x14ac:dyDescent="0.45">
      <c r="A71" s="8" t="s">
        <v>87</v>
      </c>
      <c r="C71" s="7" t="s">
        <v>205</v>
      </c>
      <c r="E71" s="11">
        <v>4994975</v>
      </c>
      <c r="G71" s="11">
        <v>3100</v>
      </c>
      <c r="N71" s="7"/>
      <c r="O71" s="11">
        <v>15484422500</v>
      </c>
      <c r="Q71" s="11">
        <v>0</v>
      </c>
      <c r="S71" s="11">
        <v>15484422500</v>
      </c>
    </row>
    <row r="72" spans="1:19" ht="37.5" x14ac:dyDescent="0.45">
      <c r="A72" s="8" t="s">
        <v>88</v>
      </c>
      <c r="C72" s="7" t="s">
        <v>180</v>
      </c>
      <c r="E72" s="11">
        <v>450000</v>
      </c>
      <c r="G72" s="11">
        <v>40</v>
      </c>
      <c r="N72" s="7"/>
      <c r="O72" s="11">
        <v>18000000</v>
      </c>
      <c r="Q72" s="11">
        <v>0</v>
      </c>
      <c r="S72" s="11">
        <v>18000000</v>
      </c>
    </row>
    <row r="73" spans="1:19" ht="18.75" x14ac:dyDescent="0.45">
      <c r="A73" s="13" t="s">
        <v>91</v>
      </c>
      <c r="I73" s="13">
        <f>SUM(I9:$I$72)</f>
        <v>4416716534</v>
      </c>
      <c r="K73" s="13">
        <f>SUM(K9:$K$72)</f>
        <v>-242346370</v>
      </c>
      <c r="M73" s="13">
        <f>SUM(M9:$M$72)</f>
        <v>4174370164</v>
      </c>
      <c r="O73" s="13">
        <f>SUM(O9:$O$72)</f>
        <v>290081303043</v>
      </c>
      <c r="Q73" s="13">
        <f>SUM(Q9:$Q$72)</f>
        <v>-668392599</v>
      </c>
      <c r="S73" s="13">
        <f>SUM(S9:$S$72)</f>
        <v>289412910444</v>
      </c>
    </row>
    <row r="74" spans="1:19" ht="18.75" x14ac:dyDescent="0.45">
      <c r="I74" s="15"/>
      <c r="K74" s="15"/>
      <c r="M74" s="15"/>
      <c r="O74" s="15"/>
      <c r="Q74" s="15"/>
      <c r="S74" s="15"/>
    </row>
  </sheetData>
  <mergeCells count="7">
    <mergeCell ref="A1:S1"/>
    <mergeCell ref="A2:S2"/>
    <mergeCell ref="A3:S3"/>
    <mergeCell ref="A5:S5"/>
    <mergeCell ref="C7:G7"/>
    <mergeCell ref="I7:M7"/>
    <mergeCell ref="O7:S7"/>
  </mergeCells>
  <pageMargins left="0.7" right="0.7" top="0.75" bottom="0.75" header="0.3" footer="0.3"/>
  <pageSetup paperSize="9" scale="77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S11"/>
  <sheetViews>
    <sheetView rightToLeft="1" workbookViewId="0">
      <selection activeCell="N24" sqref="N24"/>
    </sheetView>
  </sheetViews>
  <sheetFormatPr defaultRowHeight="18" x14ac:dyDescent="0.45"/>
  <cols>
    <col min="1" max="1" width="21.28515625" style="4" customWidth="1"/>
    <col min="2" max="2" width="1.42578125" style="4" customWidth="1"/>
    <col min="3" max="3" width="11.42578125" style="4" customWidth="1"/>
    <col min="4" max="4" width="1.42578125" style="4" customWidth="1"/>
    <col min="5" max="5" width="11.42578125" style="4" customWidth="1"/>
    <col min="6" max="6" width="1.42578125" style="4" customWidth="1"/>
    <col min="7" max="7" width="11.42578125" style="4" customWidth="1"/>
    <col min="8" max="8" width="1.42578125" style="4" customWidth="1"/>
    <col min="9" max="9" width="18.42578125" style="4" customWidth="1"/>
    <col min="10" max="10" width="1.42578125" style="4" customWidth="1"/>
    <col min="11" max="11" width="14.140625" style="4" customWidth="1"/>
    <col min="12" max="12" width="1.42578125" style="4" customWidth="1"/>
    <col min="13" max="13" width="18.42578125" style="4" customWidth="1"/>
    <col min="14" max="14" width="1.42578125" style="4" customWidth="1"/>
    <col min="15" max="15" width="18.42578125" style="4" customWidth="1"/>
    <col min="16" max="16" width="1.42578125" style="4" customWidth="1"/>
    <col min="17" max="17" width="14.140625" style="4" customWidth="1"/>
    <col min="18" max="18" width="1.42578125" style="4" customWidth="1"/>
    <col min="19" max="19" width="18.42578125" style="4" customWidth="1"/>
    <col min="20" max="16384" width="9.140625" style="4"/>
  </cols>
  <sheetData>
    <row r="1" spans="1:19" ht="20.100000000000001" customHeight="1" x14ac:dyDescent="0.45">
      <c r="A1" s="37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</row>
    <row r="2" spans="1:19" ht="20.100000000000001" customHeight="1" x14ac:dyDescent="0.45">
      <c r="A2" s="37" t="s">
        <v>128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</row>
    <row r="3" spans="1:19" ht="20.100000000000001" customHeight="1" x14ac:dyDescent="0.45">
      <c r="A3" s="37" t="s">
        <v>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</row>
    <row r="5" spans="1:19" ht="19.5" x14ac:dyDescent="0.5">
      <c r="A5" s="41" t="s">
        <v>262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</row>
    <row r="7" spans="1:19" ht="21" x14ac:dyDescent="0.45">
      <c r="I7" s="31" t="s">
        <v>140</v>
      </c>
      <c r="J7" s="32"/>
      <c r="K7" s="32"/>
      <c r="L7" s="32"/>
      <c r="M7" s="32"/>
      <c r="O7" s="31" t="s">
        <v>7</v>
      </c>
      <c r="P7" s="32"/>
      <c r="Q7" s="32"/>
      <c r="R7" s="32"/>
      <c r="S7" s="32"/>
    </row>
    <row r="8" spans="1:19" ht="42" x14ac:dyDescent="0.45">
      <c r="A8" s="17" t="s">
        <v>130</v>
      </c>
      <c r="C8" s="16" t="s">
        <v>206</v>
      </c>
      <c r="E8" s="16" t="s">
        <v>111</v>
      </c>
      <c r="G8" s="16" t="s">
        <v>124</v>
      </c>
      <c r="I8" s="16" t="s">
        <v>207</v>
      </c>
      <c r="K8" s="16" t="s">
        <v>145</v>
      </c>
      <c r="M8" s="16" t="s">
        <v>208</v>
      </c>
      <c r="O8" s="16" t="s">
        <v>207</v>
      </c>
      <c r="Q8" s="16" t="s">
        <v>145</v>
      </c>
      <c r="S8" s="16" t="s">
        <v>208</v>
      </c>
    </row>
    <row r="9" spans="1:19" ht="37.5" x14ac:dyDescent="0.45">
      <c r="A9" s="8" t="s">
        <v>209</v>
      </c>
      <c r="C9" s="7" t="s">
        <v>210</v>
      </c>
      <c r="E9" s="7" t="s">
        <v>211</v>
      </c>
      <c r="G9" s="7" t="s">
        <v>212</v>
      </c>
      <c r="N9" s="7"/>
      <c r="O9" s="11">
        <v>2812519762</v>
      </c>
      <c r="Q9" s="11">
        <v>0</v>
      </c>
      <c r="S9" s="11">
        <v>2812519762</v>
      </c>
    </row>
    <row r="10" spans="1:19" ht="18.75" x14ac:dyDescent="0.45">
      <c r="A10" s="13" t="s">
        <v>91</v>
      </c>
      <c r="I10" s="13">
        <f>SUM(I9:$I$9)</f>
        <v>0</v>
      </c>
      <c r="K10" s="13">
        <f>SUM(K9:$K$9)</f>
        <v>0</v>
      </c>
      <c r="M10" s="13">
        <f>SUM(M9:$M$9)</f>
        <v>0</v>
      </c>
      <c r="O10" s="13">
        <f>SUM(O9:$O$9)</f>
        <v>2812519762</v>
      </c>
      <c r="Q10" s="13">
        <f>SUM(Q9:$Q$9)</f>
        <v>0</v>
      </c>
      <c r="S10" s="13">
        <f>SUM(S9:$S$9)</f>
        <v>2812519762</v>
      </c>
    </row>
    <row r="11" spans="1:19" ht="18.75" x14ac:dyDescent="0.45">
      <c r="I11" s="15"/>
      <c r="K11" s="15"/>
      <c r="M11" s="15"/>
      <c r="O11" s="15"/>
      <c r="Q11" s="15"/>
      <c r="S11" s="15"/>
    </row>
  </sheetData>
  <mergeCells count="6">
    <mergeCell ref="A1:S1"/>
    <mergeCell ref="A2:S2"/>
    <mergeCell ref="A3:S3"/>
    <mergeCell ref="A5:S5"/>
    <mergeCell ref="I7:M7"/>
    <mergeCell ref="O7:S7"/>
  </mergeCells>
  <pageMargins left="0.7" right="0.7" top="0.75" bottom="0.75" header="0.3" footer="0.3"/>
  <pageSetup paperSize="9" scale="76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2CDDD-E268-4EC1-8FCB-9AAF7D97747A}">
  <dimension ref="A1:M16"/>
  <sheetViews>
    <sheetView rightToLeft="1" view="pageBreakPreview" zoomScale="60" zoomScaleNormal="100" workbookViewId="0">
      <selection activeCell="N24" sqref="N24"/>
    </sheetView>
  </sheetViews>
  <sheetFormatPr defaultRowHeight="18" x14ac:dyDescent="0.45"/>
  <cols>
    <col min="1" max="1" width="21.28515625" style="4" customWidth="1"/>
    <col min="2" max="2" width="1.42578125" style="4" customWidth="1"/>
    <col min="3" max="3" width="18.42578125" style="4" customWidth="1"/>
    <col min="4" max="4" width="1.42578125" style="4" customWidth="1"/>
    <col min="5" max="5" width="14.140625" style="4" customWidth="1"/>
    <col min="6" max="6" width="1.42578125" style="4" customWidth="1"/>
    <col min="7" max="7" width="18.42578125" style="4" customWidth="1"/>
    <col min="8" max="8" width="1.42578125" style="4" customWidth="1"/>
    <col min="9" max="9" width="18.42578125" style="4" customWidth="1"/>
    <col min="10" max="10" width="1.42578125" style="4" customWidth="1"/>
    <col min="11" max="11" width="14.140625" style="4" customWidth="1"/>
    <col min="12" max="12" width="1.42578125" style="4" customWidth="1"/>
    <col min="13" max="13" width="18.42578125" style="4" customWidth="1"/>
    <col min="14" max="16384" width="9.140625" style="4"/>
  </cols>
  <sheetData>
    <row r="1" spans="1:13" ht="20.100000000000001" customHeight="1" x14ac:dyDescent="0.45">
      <c r="A1" s="37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ht="20.100000000000001" customHeight="1" x14ac:dyDescent="0.45">
      <c r="A2" s="37" t="s">
        <v>128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ht="20.100000000000001" customHeight="1" x14ac:dyDescent="0.45">
      <c r="A3" s="37" t="s">
        <v>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5" spans="1:13" ht="19.5" x14ac:dyDescent="0.5">
      <c r="A5" s="41" t="s">
        <v>264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7" spans="1:13" ht="21" x14ac:dyDescent="0.45">
      <c r="C7" s="31" t="s">
        <v>140</v>
      </c>
      <c r="D7" s="32"/>
      <c r="E7" s="32"/>
      <c r="F7" s="32"/>
      <c r="G7" s="32"/>
      <c r="I7" s="31" t="s">
        <v>7</v>
      </c>
      <c r="J7" s="32"/>
      <c r="K7" s="32"/>
      <c r="L7" s="32"/>
      <c r="M7" s="32"/>
    </row>
    <row r="8" spans="1:13" ht="21" x14ac:dyDescent="0.45">
      <c r="A8" s="17" t="s">
        <v>130</v>
      </c>
      <c r="C8" s="16" t="s">
        <v>207</v>
      </c>
      <c r="E8" s="16" t="s">
        <v>145</v>
      </c>
      <c r="G8" s="16" t="s">
        <v>208</v>
      </c>
      <c r="I8" s="16" t="s">
        <v>207</v>
      </c>
      <c r="K8" s="16" t="s">
        <v>145</v>
      </c>
      <c r="M8" s="16" t="s">
        <v>208</v>
      </c>
    </row>
    <row r="9" spans="1:13" ht="18.75" x14ac:dyDescent="0.45">
      <c r="A9" s="23" t="s">
        <v>263</v>
      </c>
      <c r="C9" s="11">
        <v>226882</v>
      </c>
      <c r="E9" s="11">
        <v>0</v>
      </c>
      <c r="G9" s="11">
        <v>226882</v>
      </c>
      <c r="I9" s="11">
        <v>299150380</v>
      </c>
      <c r="K9" s="11">
        <v>0</v>
      </c>
      <c r="M9" s="11">
        <v>299150380</v>
      </c>
    </row>
    <row r="10" spans="1:13" ht="19.5" thickBot="1" x14ac:dyDescent="0.5">
      <c r="A10" s="13" t="s">
        <v>91</v>
      </c>
      <c r="C10" s="13">
        <f>SUM(C9:$C$9)</f>
        <v>226882</v>
      </c>
      <c r="E10" s="13">
        <f>SUM(E9:$E$9)</f>
        <v>0</v>
      </c>
      <c r="G10" s="13">
        <f>SUM(G9:$G$9)</f>
        <v>226882</v>
      </c>
      <c r="I10" s="13">
        <f>SUM(I9:$I$9)</f>
        <v>299150380</v>
      </c>
      <c r="K10" s="13">
        <f>SUM(K9:$K$9)</f>
        <v>0</v>
      </c>
      <c r="M10" s="13">
        <f>SUM(M9:$M$9)</f>
        <v>299150380</v>
      </c>
    </row>
    <row r="11" spans="1:13" ht="19.5" thickTop="1" x14ac:dyDescent="0.45">
      <c r="C11" s="15"/>
      <c r="E11" s="15"/>
      <c r="G11" s="15"/>
      <c r="I11" s="15"/>
      <c r="K11" s="15"/>
      <c r="M11" s="15"/>
    </row>
    <row r="13" spans="1:13" x14ac:dyDescent="0.45"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</row>
    <row r="14" spans="1:13" ht="18.75" x14ac:dyDescent="0.45">
      <c r="C14" s="21"/>
      <c r="D14" s="20"/>
      <c r="E14" s="21"/>
      <c r="F14" s="20"/>
      <c r="G14" s="21"/>
      <c r="H14" s="20"/>
      <c r="I14" s="21"/>
      <c r="J14" s="20"/>
      <c r="K14" s="21"/>
      <c r="L14" s="20"/>
      <c r="M14" s="21"/>
    </row>
    <row r="15" spans="1:13" x14ac:dyDescent="0.45"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</row>
    <row r="16" spans="1:13" x14ac:dyDescent="0.45"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</row>
  </sheetData>
  <mergeCells count="6">
    <mergeCell ref="A1:M1"/>
    <mergeCell ref="A2:M2"/>
    <mergeCell ref="A3:M3"/>
    <mergeCell ref="A5:M5"/>
    <mergeCell ref="C7:G7"/>
    <mergeCell ref="I7:M7"/>
  </mergeCells>
  <pageMargins left="0.7" right="0.7" top="0.75" bottom="0.75" header="0.3" footer="0.3"/>
  <pageSetup scale="5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Q90"/>
  <sheetViews>
    <sheetView rightToLeft="1" view="pageBreakPreview" topLeftCell="A49" zoomScale="60" zoomScaleNormal="100" workbookViewId="0">
      <selection activeCell="N24" sqref="N24"/>
    </sheetView>
  </sheetViews>
  <sheetFormatPr defaultRowHeight="18" x14ac:dyDescent="0.45"/>
  <cols>
    <col min="1" max="1" width="21.140625" style="4" bestFit="1" customWidth="1"/>
    <col min="2" max="2" width="1.42578125" style="4" customWidth="1"/>
    <col min="3" max="3" width="12.7109375" style="4" customWidth="1"/>
    <col min="4" max="4" width="1.42578125" style="4" customWidth="1"/>
    <col min="5" max="5" width="18.28515625" style="4" bestFit="1" customWidth="1"/>
    <col min="6" max="6" width="1.42578125" style="4" customWidth="1"/>
    <col min="7" max="7" width="17.7109375" style="4" bestFit="1" customWidth="1"/>
    <col min="8" max="8" width="1.42578125" style="4" customWidth="1"/>
    <col min="9" max="9" width="17" style="4" customWidth="1"/>
    <col min="10" max="10" width="1.42578125" style="4" customWidth="1"/>
    <col min="11" max="11" width="14" style="4" bestFit="1" customWidth="1"/>
    <col min="12" max="12" width="1.42578125" style="4" customWidth="1"/>
    <col min="13" max="13" width="19.140625" style="4" bestFit="1" customWidth="1"/>
    <col min="14" max="14" width="1.42578125" style="4" customWidth="1"/>
    <col min="15" max="15" width="19" style="4" bestFit="1" customWidth="1"/>
    <col min="16" max="16" width="1.42578125" style="4" customWidth="1"/>
    <col min="17" max="17" width="17.7109375" style="4" bestFit="1" customWidth="1"/>
    <col min="18" max="16384" width="9.140625" style="4"/>
  </cols>
  <sheetData>
    <row r="1" spans="1:17" ht="20.100000000000001" customHeight="1" x14ac:dyDescent="0.45">
      <c r="A1" s="37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</row>
    <row r="2" spans="1:17" ht="20.100000000000001" customHeight="1" x14ac:dyDescent="0.45">
      <c r="A2" s="37" t="s">
        <v>128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</row>
    <row r="3" spans="1:17" ht="20.100000000000001" customHeight="1" x14ac:dyDescent="0.45">
      <c r="A3" s="37" t="s">
        <v>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</row>
    <row r="5" spans="1:17" ht="21" x14ac:dyDescent="0.45">
      <c r="A5" s="38" t="s">
        <v>213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</row>
    <row r="7" spans="1:17" ht="21" x14ac:dyDescent="0.45">
      <c r="C7" s="31" t="s">
        <v>140</v>
      </c>
      <c r="D7" s="32"/>
      <c r="E7" s="32"/>
      <c r="F7" s="32"/>
      <c r="G7" s="32"/>
      <c r="H7" s="32"/>
      <c r="I7" s="32"/>
      <c r="K7" s="31" t="s">
        <v>7</v>
      </c>
      <c r="L7" s="32"/>
      <c r="M7" s="32"/>
      <c r="N7" s="32"/>
      <c r="O7" s="32"/>
      <c r="P7" s="32"/>
      <c r="Q7" s="32"/>
    </row>
    <row r="8" spans="1:17" ht="42" x14ac:dyDescent="0.45">
      <c r="A8" s="17" t="s">
        <v>130</v>
      </c>
      <c r="C8" s="16" t="s">
        <v>9</v>
      </c>
      <c r="E8" s="16" t="s">
        <v>11</v>
      </c>
      <c r="G8" s="16" t="s">
        <v>214</v>
      </c>
      <c r="I8" s="16" t="s">
        <v>215</v>
      </c>
      <c r="K8" s="16" t="s">
        <v>9</v>
      </c>
      <c r="M8" s="16" t="s">
        <v>11</v>
      </c>
      <c r="O8" s="16" t="s">
        <v>214</v>
      </c>
      <c r="Q8" s="16" t="s">
        <v>215</v>
      </c>
    </row>
    <row r="9" spans="1:17" ht="18.75" x14ac:dyDescent="0.45">
      <c r="A9" s="8" t="s">
        <v>19</v>
      </c>
      <c r="J9" s="7"/>
      <c r="K9" s="11">
        <v>281966</v>
      </c>
      <c r="M9" s="11">
        <v>2242685769</v>
      </c>
      <c r="O9" s="11">
        <v>2610074708</v>
      </c>
      <c r="Q9" s="11">
        <v>-367388939</v>
      </c>
    </row>
    <row r="10" spans="1:17" ht="18.75" x14ac:dyDescent="0.45">
      <c r="A10" s="8" t="s">
        <v>216</v>
      </c>
      <c r="J10" s="7"/>
      <c r="K10" s="11">
        <v>1950000</v>
      </c>
      <c r="M10" s="11">
        <v>12231288304</v>
      </c>
      <c r="O10" s="11">
        <v>10341560933</v>
      </c>
      <c r="Q10" s="11">
        <v>1889727371</v>
      </c>
    </row>
    <row r="11" spans="1:17" ht="18.75" x14ac:dyDescent="0.45">
      <c r="A11" s="8" t="s">
        <v>217</v>
      </c>
      <c r="J11" s="7"/>
      <c r="K11" s="11">
        <v>433913</v>
      </c>
      <c r="M11" s="11">
        <v>1102004664</v>
      </c>
      <c r="O11" s="11">
        <v>1310689440</v>
      </c>
      <c r="Q11" s="11">
        <v>-208684776</v>
      </c>
    </row>
    <row r="12" spans="1:17" ht="18.75" x14ac:dyDescent="0.45">
      <c r="A12" s="8" t="s">
        <v>24</v>
      </c>
      <c r="C12" s="11">
        <v>400000</v>
      </c>
      <c r="E12" s="11">
        <v>754275162</v>
      </c>
      <c r="G12" s="11">
        <v>811888477</v>
      </c>
      <c r="I12" s="11">
        <v>-57613315</v>
      </c>
      <c r="K12" s="11">
        <v>400000</v>
      </c>
      <c r="M12" s="11">
        <v>754275162</v>
      </c>
      <c r="O12" s="11">
        <v>811888477</v>
      </c>
      <c r="Q12" s="11">
        <v>-57613315</v>
      </c>
    </row>
    <row r="13" spans="1:17" ht="18.75" x14ac:dyDescent="0.45">
      <c r="A13" s="8" t="s">
        <v>150</v>
      </c>
      <c r="J13" s="7"/>
      <c r="K13" s="11">
        <v>2736107</v>
      </c>
      <c r="M13" s="11">
        <v>7700395419</v>
      </c>
      <c r="O13" s="11">
        <v>10457881070</v>
      </c>
      <c r="Q13" s="11">
        <v>-2757485651</v>
      </c>
    </row>
    <row r="14" spans="1:17" ht="18.75" x14ac:dyDescent="0.45">
      <c r="A14" s="8" t="s">
        <v>25</v>
      </c>
      <c r="J14" s="7"/>
      <c r="K14" s="11">
        <v>1562500</v>
      </c>
      <c r="M14" s="11">
        <v>5095247839</v>
      </c>
      <c r="O14" s="11">
        <v>3906823843</v>
      </c>
      <c r="Q14" s="11">
        <v>1188423996</v>
      </c>
    </row>
    <row r="15" spans="1:17" ht="37.5" x14ac:dyDescent="0.45">
      <c r="A15" s="8" t="s">
        <v>26</v>
      </c>
      <c r="J15" s="7"/>
      <c r="K15" s="11">
        <v>1532815</v>
      </c>
      <c r="M15" s="11">
        <v>4711072683</v>
      </c>
      <c r="O15" s="11">
        <v>4847624585</v>
      </c>
      <c r="Q15" s="11">
        <v>-136551902</v>
      </c>
    </row>
    <row r="16" spans="1:17" ht="18.75" x14ac:dyDescent="0.45">
      <c r="A16" s="8" t="s">
        <v>28</v>
      </c>
      <c r="C16" s="11">
        <v>552966</v>
      </c>
      <c r="E16" s="11">
        <v>3680840142</v>
      </c>
      <c r="G16" s="11">
        <v>2173694514</v>
      </c>
      <c r="I16" s="11">
        <v>1507145628</v>
      </c>
      <c r="K16" s="11">
        <v>1451298</v>
      </c>
      <c r="M16" s="11">
        <v>9759162530</v>
      </c>
      <c r="O16" s="11">
        <v>7106733230</v>
      </c>
      <c r="Q16" s="11">
        <v>2652429300</v>
      </c>
    </row>
    <row r="17" spans="1:17" ht="18.75" x14ac:dyDescent="0.45">
      <c r="A17" s="8" t="s">
        <v>218</v>
      </c>
      <c r="J17" s="7"/>
      <c r="K17" s="11">
        <v>9600000</v>
      </c>
      <c r="M17" s="11">
        <v>19247729584</v>
      </c>
      <c r="O17" s="11">
        <v>15514041705</v>
      </c>
      <c r="Q17" s="11">
        <v>3733687879</v>
      </c>
    </row>
    <row r="18" spans="1:17" ht="18.75" x14ac:dyDescent="0.45">
      <c r="A18" s="8" t="s">
        <v>155</v>
      </c>
      <c r="J18" s="7"/>
      <c r="K18" s="11">
        <v>1145363</v>
      </c>
      <c r="M18" s="11">
        <v>15324857452</v>
      </c>
      <c r="O18" s="11">
        <v>11492342740</v>
      </c>
      <c r="Q18" s="11">
        <v>3832514712</v>
      </c>
    </row>
    <row r="19" spans="1:17" ht="18.75" x14ac:dyDescent="0.45">
      <c r="A19" s="8" t="s">
        <v>30</v>
      </c>
      <c r="J19" s="7"/>
      <c r="K19" s="11">
        <v>800000</v>
      </c>
      <c r="M19" s="11">
        <v>16630693691</v>
      </c>
      <c r="O19" s="11">
        <v>18310261191</v>
      </c>
      <c r="Q19" s="11">
        <v>-1679567500</v>
      </c>
    </row>
    <row r="20" spans="1:17" ht="37.5" x14ac:dyDescent="0.45">
      <c r="A20" s="8" t="s">
        <v>33</v>
      </c>
      <c r="J20" s="7"/>
      <c r="K20" s="11">
        <v>100000</v>
      </c>
      <c r="M20" s="11">
        <v>1308169802</v>
      </c>
      <c r="O20" s="11">
        <v>1317267379</v>
      </c>
      <c r="Q20" s="11">
        <v>-9097577</v>
      </c>
    </row>
    <row r="21" spans="1:17" ht="18.75" x14ac:dyDescent="0.45">
      <c r="A21" s="8" t="s">
        <v>34</v>
      </c>
      <c r="C21" s="11">
        <v>1000000</v>
      </c>
      <c r="E21" s="11">
        <v>7515018087</v>
      </c>
      <c r="G21" s="11">
        <v>6510965487</v>
      </c>
      <c r="I21" s="11">
        <v>1004052600</v>
      </c>
      <c r="K21" s="11">
        <v>1000000</v>
      </c>
      <c r="M21" s="11">
        <v>7515018087</v>
      </c>
      <c r="O21" s="11">
        <v>6510965487</v>
      </c>
      <c r="Q21" s="11">
        <v>1004052600</v>
      </c>
    </row>
    <row r="22" spans="1:17" ht="18.75" x14ac:dyDescent="0.45">
      <c r="A22" s="8" t="s">
        <v>159</v>
      </c>
      <c r="J22" s="7"/>
      <c r="K22" s="11">
        <v>1820134</v>
      </c>
      <c r="M22" s="11">
        <v>16630074164</v>
      </c>
      <c r="O22" s="11">
        <v>19822639912</v>
      </c>
      <c r="Q22" s="11">
        <v>-3192565748</v>
      </c>
    </row>
    <row r="23" spans="1:17" ht="18.75" x14ac:dyDescent="0.45">
      <c r="A23" s="8" t="s">
        <v>35</v>
      </c>
      <c r="C23" s="11">
        <v>7200000</v>
      </c>
      <c r="E23" s="11">
        <v>16991098026</v>
      </c>
      <c r="G23" s="11">
        <v>13313356791</v>
      </c>
      <c r="I23" s="11">
        <v>3677741235</v>
      </c>
      <c r="K23" s="11">
        <v>7200000</v>
      </c>
      <c r="M23" s="11">
        <v>16991098026</v>
      </c>
      <c r="O23" s="11">
        <v>13313356791</v>
      </c>
      <c r="Q23" s="11">
        <v>3677741235</v>
      </c>
    </row>
    <row r="24" spans="1:17" ht="18.75" x14ac:dyDescent="0.45">
      <c r="A24" s="8" t="s">
        <v>219</v>
      </c>
      <c r="J24" s="7"/>
      <c r="K24" s="11">
        <v>1800000</v>
      </c>
      <c r="M24" s="11">
        <v>25551061283</v>
      </c>
      <c r="O24" s="11">
        <v>19320727281</v>
      </c>
      <c r="Q24" s="11">
        <v>6230334002</v>
      </c>
    </row>
    <row r="25" spans="1:17" ht="18.75" x14ac:dyDescent="0.45">
      <c r="A25" s="8" t="s">
        <v>36</v>
      </c>
      <c r="J25" s="7"/>
      <c r="K25" s="11">
        <v>400000</v>
      </c>
      <c r="M25" s="11">
        <v>3033840616</v>
      </c>
      <c r="O25" s="11">
        <v>2927555640</v>
      </c>
      <c r="Q25" s="11">
        <v>106284976</v>
      </c>
    </row>
    <row r="26" spans="1:17" ht="18.75" x14ac:dyDescent="0.45">
      <c r="A26" s="8" t="s">
        <v>37</v>
      </c>
      <c r="J26" s="7"/>
      <c r="K26" s="11">
        <v>1200000</v>
      </c>
      <c r="M26" s="11">
        <v>16675660699</v>
      </c>
      <c r="O26" s="11">
        <v>18962088919</v>
      </c>
      <c r="Q26" s="11">
        <v>-2286428220</v>
      </c>
    </row>
    <row r="27" spans="1:17" ht="18.75" x14ac:dyDescent="0.45">
      <c r="A27" s="8" t="s">
        <v>38</v>
      </c>
      <c r="J27" s="7"/>
      <c r="K27" s="11">
        <v>100000</v>
      </c>
      <c r="M27" s="11">
        <v>3015957648</v>
      </c>
      <c r="O27" s="11">
        <v>2962109548</v>
      </c>
      <c r="Q27" s="11">
        <v>53848100</v>
      </c>
    </row>
    <row r="28" spans="1:17" ht="18.75" x14ac:dyDescent="0.45">
      <c r="A28" s="8" t="s">
        <v>39</v>
      </c>
      <c r="C28" s="11">
        <v>200000</v>
      </c>
      <c r="E28" s="11">
        <v>27475542217</v>
      </c>
      <c r="G28" s="11">
        <v>20312183314</v>
      </c>
      <c r="I28" s="11">
        <v>7163358903</v>
      </c>
      <c r="K28" s="11">
        <v>823279</v>
      </c>
      <c r="M28" s="11">
        <v>99723042717</v>
      </c>
      <c r="O28" s="11">
        <v>83910713763</v>
      </c>
      <c r="Q28" s="11">
        <v>15812328954</v>
      </c>
    </row>
    <row r="29" spans="1:17" ht="37.5" x14ac:dyDescent="0.45">
      <c r="A29" s="8" t="s">
        <v>40</v>
      </c>
      <c r="C29" s="11">
        <v>272500</v>
      </c>
      <c r="E29" s="11">
        <v>7509976968</v>
      </c>
      <c r="G29" s="11">
        <v>5058427983</v>
      </c>
      <c r="I29" s="11">
        <v>2451548985</v>
      </c>
      <c r="K29" s="11">
        <v>272500</v>
      </c>
      <c r="M29" s="11">
        <v>7509976968</v>
      </c>
      <c r="O29" s="11">
        <v>5058427983</v>
      </c>
      <c r="Q29" s="11">
        <v>2451548985</v>
      </c>
    </row>
    <row r="30" spans="1:17" ht="18.75" x14ac:dyDescent="0.45">
      <c r="A30" s="8" t="s">
        <v>42</v>
      </c>
      <c r="J30" s="7"/>
      <c r="K30" s="11">
        <v>1592280</v>
      </c>
      <c r="M30" s="11">
        <v>91839161439</v>
      </c>
      <c r="O30" s="11">
        <v>58594958367</v>
      </c>
      <c r="Q30" s="11">
        <v>33244203072</v>
      </c>
    </row>
    <row r="31" spans="1:17" ht="18.75" x14ac:dyDescent="0.45">
      <c r="A31" s="8" t="s">
        <v>167</v>
      </c>
      <c r="J31" s="7"/>
      <c r="K31" s="11">
        <v>3260353</v>
      </c>
      <c r="M31" s="11">
        <v>21457616564</v>
      </c>
      <c r="O31" s="11">
        <v>14112314709</v>
      </c>
      <c r="Q31" s="11">
        <v>7345301855</v>
      </c>
    </row>
    <row r="32" spans="1:17" ht="18.75" x14ac:dyDescent="0.45">
      <c r="A32" s="8" t="s">
        <v>220</v>
      </c>
      <c r="J32" s="7"/>
      <c r="K32" s="11">
        <v>1200000</v>
      </c>
      <c r="M32" s="11">
        <v>16592732407</v>
      </c>
      <c r="O32" s="11">
        <v>15224881285</v>
      </c>
      <c r="Q32" s="11">
        <v>1367851122</v>
      </c>
    </row>
    <row r="33" spans="1:17" ht="18.75" x14ac:dyDescent="0.45">
      <c r="A33" s="8" t="s">
        <v>45</v>
      </c>
      <c r="J33" s="7"/>
      <c r="K33" s="11">
        <v>10000000</v>
      </c>
      <c r="M33" s="11">
        <v>40918606663</v>
      </c>
      <c r="O33" s="11">
        <v>44218934306</v>
      </c>
      <c r="Q33" s="11">
        <v>-3300327643</v>
      </c>
    </row>
    <row r="34" spans="1:17" ht="18.75" x14ac:dyDescent="0.45">
      <c r="A34" s="8" t="s">
        <v>46</v>
      </c>
      <c r="C34" s="11">
        <v>1609058</v>
      </c>
      <c r="E34" s="11">
        <v>6279574629</v>
      </c>
      <c r="G34" s="11">
        <v>8775172359</v>
      </c>
      <c r="I34" s="11">
        <v>-2495597730</v>
      </c>
      <c r="K34" s="11">
        <v>4649281</v>
      </c>
      <c r="M34" s="11">
        <v>19101169181</v>
      </c>
      <c r="O34" s="11">
        <v>30004469888</v>
      </c>
      <c r="Q34" s="11">
        <v>-10903300707</v>
      </c>
    </row>
    <row r="35" spans="1:17" ht="18.75" x14ac:dyDescent="0.45">
      <c r="A35" s="8" t="s">
        <v>47</v>
      </c>
      <c r="C35" s="11">
        <v>429694</v>
      </c>
      <c r="E35" s="11">
        <v>19272564018</v>
      </c>
      <c r="G35" s="11">
        <v>12023884652</v>
      </c>
      <c r="I35" s="11">
        <v>7248679366</v>
      </c>
      <c r="K35" s="11">
        <v>847527</v>
      </c>
      <c r="M35" s="11">
        <v>29375726770</v>
      </c>
      <c r="O35" s="11">
        <v>23767569791</v>
      </c>
      <c r="Q35" s="11">
        <v>5608156979</v>
      </c>
    </row>
    <row r="36" spans="1:17" ht="18.75" x14ac:dyDescent="0.45">
      <c r="A36" s="8" t="s">
        <v>48</v>
      </c>
      <c r="C36" s="11">
        <v>600000</v>
      </c>
      <c r="E36" s="11">
        <v>5088152199</v>
      </c>
      <c r="G36" s="11">
        <v>3230336246</v>
      </c>
      <c r="I36" s="11">
        <v>1857815953</v>
      </c>
      <c r="K36" s="11">
        <v>8400000</v>
      </c>
      <c r="M36" s="11">
        <v>57524290006</v>
      </c>
      <c r="O36" s="11">
        <v>45306768840</v>
      </c>
      <c r="Q36" s="11">
        <v>12217521166</v>
      </c>
    </row>
    <row r="37" spans="1:17" ht="18.75" x14ac:dyDescent="0.45">
      <c r="A37" s="8" t="s">
        <v>49</v>
      </c>
      <c r="C37" s="11">
        <v>200000</v>
      </c>
      <c r="E37" s="11">
        <v>1713742219</v>
      </c>
      <c r="G37" s="11">
        <v>1111940938</v>
      </c>
      <c r="I37" s="11">
        <v>601801281</v>
      </c>
      <c r="K37" s="11">
        <v>800102</v>
      </c>
      <c r="M37" s="11">
        <v>57472207613</v>
      </c>
      <c r="O37" s="11">
        <v>58548221080</v>
      </c>
      <c r="Q37" s="11">
        <v>-1076013467</v>
      </c>
    </row>
    <row r="38" spans="1:17" ht="18.75" x14ac:dyDescent="0.45">
      <c r="A38" s="8" t="s">
        <v>173</v>
      </c>
      <c r="J38" s="7"/>
      <c r="K38" s="11">
        <v>783101</v>
      </c>
      <c r="M38" s="11">
        <v>47742123864</v>
      </c>
      <c r="O38" s="11">
        <v>54096161251</v>
      </c>
      <c r="Q38" s="11">
        <v>-6354037387</v>
      </c>
    </row>
    <row r="39" spans="1:17" ht="18.75" x14ac:dyDescent="0.45">
      <c r="A39" s="8" t="s">
        <v>51</v>
      </c>
      <c r="C39" s="11">
        <v>5173603</v>
      </c>
      <c r="E39" s="11">
        <v>30518491003</v>
      </c>
      <c r="G39" s="11">
        <v>35253640004</v>
      </c>
      <c r="I39" s="11">
        <v>-4735149001</v>
      </c>
      <c r="K39" s="11">
        <v>7949358</v>
      </c>
      <c r="M39" s="11">
        <v>61611905997</v>
      </c>
      <c r="O39" s="11">
        <v>72141670083</v>
      </c>
      <c r="Q39" s="11">
        <v>-10529764086</v>
      </c>
    </row>
    <row r="40" spans="1:17" ht="18.75" x14ac:dyDescent="0.45">
      <c r="A40" s="8" t="s">
        <v>53</v>
      </c>
      <c r="C40" s="11">
        <v>169026</v>
      </c>
      <c r="E40" s="11">
        <v>6099712686</v>
      </c>
      <c r="G40" s="11">
        <v>5430633527</v>
      </c>
      <c r="I40" s="11">
        <v>669079159</v>
      </c>
      <c r="K40" s="11">
        <v>469026</v>
      </c>
      <c r="M40" s="11">
        <v>17196292884</v>
      </c>
      <c r="O40" s="11">
        <v>15067710194</v>
      </c>
      <c r="Q40" s="11">
        <v>2128582690</v>
      </c>
    </row>
    <row r="41" spans="1:17" ht="18.75" x14ac:dyDescent="0.45">
      <c r="A41" s="8" t="s">
        <v>176</v>
      </c>
      <c r="J41" s="7"/>
      <c r="K41" s="11">
        <v>6310177</v>
      </c>
      <c r="M41" s="11">
        <v>28065801767</v>
      </c>
      <c r="O41" s="11">
        <v>32487328927</v>
      </c>
      <c r="Q41" s="11">
        <v>-4421527160</v>
      </c>
    </row>
    <row r="42" spans="1:17" ht="18.75" x14ac:dyDescent="0.45">
      <c r="A42" s="8" t="s">
        <v>54</v>
      </c>
      <c r="C42" s="11">
        <v>17773213</v>
      </c>
      <c r="E42" s="11">
        <v>20725881579</v>
      </c>
      <c r="G42" s="11">
        <v>28087777127</v>
      </c>
      <c r="I42" s="11">
        <v>-7361895548</v>
      </c>
      <c r="K42" s="11">
        <v>31773213</v>
      </c>
      <c r="M42" s="11">
        <v>46635859507</v>
      </c>
      <c r="O42" s="11">
        <v>60812694175</v>
      </c>
      <c r="Q42" s="11">
        <v>-14176834668</v>
      </c>
    </row>
    <row r="43" spans="1:17" ht="37.5" x14ac:dyDescent="0.45">
      <c r="A43" s="8" t="s">
        <v>178</v>
      </c>
      <c r="J43" s="7"/>
      <c r="K43" s="11">
        <v>8640622</v>
      </c>
      <c r="M43" s="11">
        <v>18405977767</v>
      </c>
      <c r="O43" s="11">
        <v>27478372743</v>
      </c>
      <c r="Q43" s="11">
        <v>-9072394976</v>
      </c>
    </row>
    <row r="44" spans="1:17" ht="18.75" x14ac:dyDescent="0.45">
      <c r="A44" s="8" t="s">
        <v>55</v>
      </c>
      <c r="C44" s="11">
        <v>600000</v>
      </c>
      <c r="E44" s="11">
        <v>2866334815</v>
      </c>
      <c r="G44" s="11">
        <v>2808379831</v>
      </c>
      <c r="I44" s="11">
        <v>57954984</v>
      </c>
      <c r="K44" s="11">
        <v>600000</v>
      </c>
      <c r="M44" s="11">
        <v>2866334815</v>
      </c>
      <c r="O44" s="11">
        <v>2808379831</v>
      </c>
      <c r="Q44" s="11">
        <v>57954984</v>
      </c>
    </row>
    <row r="45" spans="1:17" ht="37.5" x14ac:dyDescent="0.45">
      <c r="A45" s="8" t="s">
        <v>209</v>
      </c>
      <c r="J45" s="7"/>
      <c r="K45" s="11">
        <v>134120</v>
      </c>
      <c r="M45" s="11">
        <v>134098190751</v>
      </c>
      <c r="O45" s="11">
        <v>134122500000</v>
      </c>
      <c r="Q45" s="11">
        <v>-24309249</v>
      </c>
    </row>
    <row r="46" spans="1:17" ht="18.75" x14ac:dyDescent="0.45">
      <c r="A46" s="8" t="s">
        <v>56</v>
      </c>
      <c r="C46" s="11">
        <v>250004</v>
      </c>
      <c r="E46" s="11">
        <v>2201857970</v>
      </c>
      <c r="G46" s="11">
        <v>1750949160</v>
      </c>
      <c r="I46" s="11">
        <v>450908810</v>
      </c>
      <c r="K46" s="11">
        <v>250004</v>
      </c>
      <c r="M46" s="11">
        <v>2201857970</v>
      </c>
      <c r="O46" s="11">
        <v>1750949160</v>
      </c>
      <c r="Q46" s="11">
        <v>450908810</v>
      </c>
    </row>
    <row r="47" spans="1:17" ht="18.75" x14ac:dyDescent="0.45">
      <c r="A47" s="8" t="s">
        <v>57</v>
      </c>
      <c r="C47" s="11">
        <v>1800000</v>
      </c>
      <c r="E47" s="11">
        <v>15483322849</v>
      </c>
      <c r="G47" s="11">
        <v>13182587776</v>
      </c>
      <c r="I47" s="11">
        <v>2300735073</v>
      </c>
      <c r="K47" s="11">
        <v>1800000</v>
      </c>
      <c r="M47" s="11">
        <v>15483322849</v>
      </c>
      <c r="O47" s="11">
        <v>13182587776</v>
      </c>
      <c r="Q47" s="11">
        <v>2300735073</v>
      </c>
    </row>
    <row r="48" spans="1:17" ht="18.75" x14ac:dyDescent="0.45">
      <c r="A48" s="8" t="s">
        <v>181</v>
      </c>
      <c r="J48" s="7"/>
      <c r="K48" s="11">
        <v>18187595</v>
      </c>
      <c r="M48" s="11">
        <v>32664728642</v>
      </c>
      <c r="O48" s="11">
        <v>44135119491</v>
      </c>
      <c r="Q48" s="11">
        <v>-11470390849</v>
      </c>
    </row>
    <row r="49" spans="1:17" ht="18.75" x14ac:dyDescent="0.45">
      <c r="A49" s="8" t="s">
        <v>182</v>
      </c>
      <c r="J49" s="7"/>
      <c r="K49" s="11">
        <v>2488715</v>
      </c>
      <c r="M49" s="11">
        <v>21077688982</v>
      </c>
      <c r="O49" s="11">
        <v>24998637417</v>
      </c>
      <c r="Q49" s="11">
        <v>-3920948435</v>
      </c>
    </row>
    <row r="50" spans="1:17" ht="37.5" x14ac:dyDescent="0.45">
      <c r="A50" s="8" t="s">
        <v>184</v>
      </c>
      <c r="J50" s="7"/>
      <c r="K50" s="11">
        <v>2522410</v>
      </c>
      <c r="M50" s="11">
        <v>18703622554</v>
      </c>
      <c r="O50" s="11">
        <v>32455747251</v>
      </c>
      <c r="Q50" s="11">
        <v>-13752124697</v>
      </c>
    </row>
    <row r="51" spans="1:17" ht="18.75" x14ac:dyDescent="0.45">
      <c r="A51" s="8" t="s">
        <v>221</v>
      </c>
      <c r="J51" s="7"/>
      <c r="K51" s="11">
        <v>11591982</v>
      </c>
      <c r="M51" s="11">
        <v>34364341410</v>
      </c>
      <c r="O51" s="11">
        <v>35469547725</v>
      </c>
      <c r="Q51" s="11">
        <v>-1105206315</v>
      </c>
    </row>
    <row r="52" spans="1:17" ht="18.75" x14ac:dyDescent="0.45">
      <c r="A52" s="8" t="s">
        <v>186</v>
      </c>
      <c r="J52" s="7"/>
      <c r="K52" s="11">
        <v>7066087</v>
      </c>
      <c r="M52" s="11">
        <v>41113888809</v>
      </c>
      <c r="O52" s="11">
        <v>44500680605</v>
      </c>
      <c r="Q52" s="11">
        <v>-3386791796</v>
      </c>
    </row>
    <row r="53" spans="1:17" ht="18.75" x14ac:dyDescent="0.45">
      <c r="A53" s="8" t="s">
        <v>222</v>
      </c>
      <c r="J53" s="7"/>
      <c r="K53" s="11">
        <v>162355</v>
      </c>
      <c r="M53" s="11">
        <v>678807354</v>
      </c>
      <c r="O53" s="11">
        <v>742845169</v>
      </c>
      <c r="Q53" s="11">
        <v>-64037815</v>
      </c>
    </row>
    <row r="54" spans="1:17" ht="18.75" x14ac:dyDescent="0.45">
      <c r="A54" s="8" t="s">
        <v>188</v>
      </c>
      <c r="J54" s="7"/>
      <c r="K54" s="11">
        <v>1724034</v>
      </c>
      <c r="M54" s="11">
        <v>34157336538</v>
      </c>
      <c r="O54" s="11">
        <v>43496836639</v>
      </c>
      <c r="Q54" s="11">
        <v>-9339500101</v>
      </c>
    </row>
    <row r="55" spans="1:17" ht="18.75" x14ac:dyDescent="0.45">
      <c r="A55" s="8" t="s">
        <v>190</v>
      </c>
      <c r="J55" s="7"/>
      <c r="K55" s="11">
        <v>8867344</v>
      </c>
      <c r="M55" s="11">
        <v>30637268222</v>
      </c>
      <c r="O55" s="11">
        <v>45493791227</v>
      </c>
      <c r="Q55" s="11">
        <v>-14856523005</v>
      </c>
    </row>
    <row r="56" spans="1:17" ht="18.75" x14ac:dyDescent="0.45">
      <c r="A56" s="8" t="s">
        <v>61</v>
      </c>
      <c r="C56" s="11">
        <v>5120</v>
      </c>
      <c r="E56" s="11">
        <v>19391134</v>
      </c>
      <c r="G56" s="11">
        <v>16769983</v>
      </c>
      <c r="I56" s="11">
        <v>2621151</v>
      </c>
      <c r="K56" s="11">
        <v>5120</v>
      </c>
      <c r="M56" s="11">
        <v>19391134</v>
      </c>
      <c r="O56" s="11">
        <v>16769983</v>
      </c>
      <c r="Q56" s="11">
        <v>2621151</v>
      </c>
    </row>
    <row r="57" spans="1:17" ht="18.75" x14ac:dyDescent="0.45">
      <c r="A57" s="8" t="s">
        <v>192</v>
      </c>
      <c r="J57" s="7"/>
      <c r="K57" s="11">
        <v>1000000</v>
      </c>
      <c r="M57" s="11">
        <v>3500610195</v>
      </c>
      <c r="O57" s="11">
        <v>4507955320</v>
      </c>
      <c r="Q57" s="11">
        <v>-1007345125</v>
      </c>
    </row>
    <row r="58" spans="1:17" ht="18.75" x14ac:dyDescent="0.45">
      <c r="A58" s="8" t="s">
        <v>193</v>
      </c>
      <c r="J58" s="7"/>
      <c r="K58" s="11">
        <v>7000000</v>
      </c>
      <c r="M58" s="11">
        <v>51474411028</v>
      </c>
      <c r="O58" s="11">
        <v>77416664348</v>
      </c>
      <c r="Q58" s="11">
        <v>-25942253320</v>
      </c>
    </row>
    <row r="59" spans="1:17" ht="18.75" x14ac:dyDescent="0.45">
      <c r="A59" s="8" t="s">
        <v>62</v>
      </c>
      <c r="C59" s="11">
        <v>11600000</v>
      </c>
      <c r="E59" s="11">
        <v>46165999965</v>
      </c>
      <c r="G59" s="11">
        <v>50709181451</v>
      </c>
      <c r="I59" s="11">
        <v>-4543181486</v>
      </c>
      <c r="K59" s="11">
        <v>19534088</v>
      </c>
      <c r="M59" s="11">
        <v>75965096849</v>
      </c>
      <c r="O59" s="11">
        <v>86431894733</v>
      </c>
      <c r="Q59" s="11">
        <v>-10466797884</v>
      </c>
    </row>
    <row r="60" spans="1:17" ht="18.75" x14ac:dyDescent="0.45">
      <c r="A60" s="8" t="s">
        <v>63</v>
      </c>
      <c r="J60" s="7"/>
      <c r="K60" s="11">
        <v>454489</v>
      </c>
      <c r="M60" s="11">
        <v>5203807892</v>
      </c>
      <c r="O60" s="11">
        <v>5146305770</v>
      </c>
      <c r="Q60" s="11">
        <v>57502122</v>
      </c>
    </row>
    <row r="61" spans="1:17" ht="18.75" x14ac:dyDescent="0.45">
      <c r="A61" s="8" t="s">
        <v>64</v>
      </c>
      <c r="J61" s="7"/>
      <c r="K61" s="11">
        <v>400000</v>
      </c>
      <c r="M61" s="11">
        <v>2127267007</v>
      </c>
      <c r="O61" s="11">
        <v>1908828593</v>
      </c>
      <c r="Q61" s="11">
        <v>218438414</v>
      </c>
    </row>
    <row r="62" spans="1:17" ht="18.75" x14ac:dyDescent="0.45">
      <c r="A62" s="8" t="s">
        <v>65</v>
      </c>
      <c r="J62" s="7"/>
      <c r="K62" s="11">
        <v>135000</v>
      </c>
      <c r="M62" s="11">
        <v>2564649014</v>
      </c>
      <c r="O62" s="11">
        <v>2626521588</v>
      </c>
      <c r="Q62" s="11">
        <v>-61872574</v>
      </c>
    </row>
    <row r="63" spans="1:17" ht="18.75" x14ac:dyDescent="0.45">
      <c r="A63" s="8" t="s">
        <v>223</v>
      </c>
      <c r="J63" s="7"/>
      <c r="K63" s="11">
        <v>2314570</v>
      </c>
      <c r="M63" s="11">
        <v>8184392109</v>
      </c>
      <c r="O63" s="11">
        <v>9895062325</v>
      </c>
      <c r="Q63" s="11">
        <v>-1710670216</v>
      </c>
    </row>
    <row r="64" spans="1:17" ht="18.75" x14ac:dyDescent="0.45">
      <c r="A64" s="8" t="s">
        <v>67</v>
      </c>
      <c r="C64" s="11">
        <v>250000</v>
      </c>
      <c r="E64" s="11">
        <v>4808719884</v>
      </c>
      <c r="G64" s="11">
        <v>3374304134</v>
      </c>
      <c r="I64" s="11">
        <v>1434415750</v>
      </c>
      <c r="K64" s="11">
        <v>250000</v>
      </c>
      <c r="M64" s="11">
        <v>4808719884</v>
      </c>
      <c r="O64" s="11">
        <v>3374304134</v>
      </c>
      <c r="Q64" s="11">
        <v>1434415750</v>
      </c>
    </row>
    <row r="65" spans="1:17" ht="18.75" x14ac:dyDescent="0.45">
      <c r="A65" s="8" t="s">
        <v>68</v>
      </c>
      <c r="C65" s="11">
        <v>3451279</v>
      </c>
      <c r="E65" s="11">
        <v>40791478184</v>
      </c>
      <c r="G65" s="11">
        <v>22380479411</v>
      </c>
      <c r="I65" s="11">
        <v>18410998773</v>
      </c>
      <c r="K65" s="11">
        <v>6852594</v>
      </c>
      <c r="M65" s="11">
        <v>71365872368</v>
      </c>
      <c r="O65" s="11">
        <v>44490354443</v>
      </c>
      <c r="Q65" s="11">
        <v>26875517925</v>
      </c>
    </row>
    <row r="66" spans="1:17" ht="18.75" x14ac:dyDescent="0.45">
      <c r="A66" s="8" t="s">
        <v>69</v>
      </c>
      <c r="J66" s="7"/>
      <c r="K66" s="11">
        <v>858143</v>
      </c>
      <c r="M66" s="11">
        <v>3008702001</v>
      </c>
      <c r="O66" s="11">
        <v>3174908838</v>
      </c>
      <c r="Q66" s="11">
        <v>-166206837</v>
      </c>
    </row>
    <row r="67" spans="1:17" ht="18.75" x14ac:dyDescent="0.45">
      <c r="A67" s="8" t="s">
        <v>70</v>
      </c>
      <c r="J67" s="7"/>
      <c r="K67" s="11">
        <v>38296</v>
      </c>
      <c r="M67" s="11">
        <v>591214081</v>
      </c>
      <c r="O67" s="11">
        <v>631437796</v>
      </c>
      <c r="Q67" s="11">
        <v>-40223715</v>
      </c>
    </row>
    <row r="68" spans="1:17" ht="18.75" x14ac:dyDescent="0.45">
      <c r="A68" s="8" t="s">
        <v>224</v>
      </c>
      <c r="J68" s="7"/>
      <c r="K68" s="11">
        <v>1321759</v>
      </c>
      <c r="M68" s="11">
        <v>10867433600</v>
      </c>
      <c r="O68" s="11">
        <v>11085824944</v>
      </c>
      <c r="Q68" s="11">
        <v>-218391344</v>
      </c>
    </row>
    <row r="69" spans="1:17" ht="18.75" x14ac:dyDescent="0.45">
      <c r="A69" s="8" t="s">
        <v>201</v>
      </c>
      <c r="J69" s="7"/>
      <c r="K69" s="11">
        <v>339909</v>
      </c>
      <c r="M69" s="11">
        <v>23090542752</v>
      </c>
      <c r="O69" s="11">
        <v>25355328754</v>
      </c>
      <c r="Q69" s="11">
        <v>-2264786002</v>
      </c>
    </row>
    <row r="70" spans="1:17" ht="18.75" x14ac:dyDescent="0.45">
      <c r="A70" s="8" t="s">
        <v>225</v>
      </c>
      <c r="J70" s="7"/>
      <c r="K70" s="11">
        <v>305861</v>
      </c>
      <c r="M70" s="11">
        <v>2015792683</v>
      </c>
      <c r="O70" s="11">
        <v>1576825953</v>
      </c>
      <c r="Q70" s="11">
        <v>438966730</v>
      </c>
    </row>
    <row r="71" spans="1:17" ht="18.75" x14ac:dyDescent="0.45">
      <c r="A71" s="8" t="s">
        <v>75</v>
      </c>
      <c r="J71" s="7"/>
      <c r="K71" s="11">
        <v>2000000</v>
      </c>
      <c r="M71" s="11">
        <v>13446216654</v>
      </c>
      <c r="O71" s="11">
        <v>15168243234</v>
      </c>
      <c r="Q71" s="11">
        <v>-1722026580</v>
      </c>
    </row>
    <row r="72" spans="1:17" ht="18.75" x14ac:dyDescent="0.45">
      <c r="A72" s="8" t="s">
        <v>76</v>
      </c>
      <c r="J72" s="7"/>
      <c r="K72" s="11">
        <v>600000</v>
      </c>
      <c r="M72" s="11">
        <v>4437439221</v>
      </c>
      <c r="O72" s="11">
        <v>3946278339</v>
      </c>
      <c r="Q72" s="11">
        <v>491160882</v>
      </c>
    </row>
    <row r="73" spans="1:17" ht="18.75" x14ac:dyDescent="0.45">
      <c r="A73" s="8" t="s">
        <v>77</v>
      </c>
      <c r="J73" s="7"/>
      <c r="K73" s="11">
        <v>8200000</v>
      </c>
      <c r="M73" s="11">
        <v>46040221307</v>
      </c>
      <c r="O73" s="11">
        <v>29091553424</v>
      </c>
      <c r="Q73" s="11">
        <v>16948667883</v>
      </c>
    </row>
    <row r="74" spans="1:17" ht="18.75" x14ac:dyDescent="0.45">
      <c r="A74" s="8" t="s">
        <v>78</v>
      </c>
      <c r="C74" s="11">
        <v>186738</v>
      </c>
      <c r="E74" s="11">
        <v>348092904</v>
      </c>
      <c r="G74" s="11">
        <v>366926568</v>
      </c>
      <c r="I74" s="11">
        <v>-18833664</v>
      </c>
      <c r="K74" s="11">
        <v>777733</v>
      </c>
      <c r="M74" s="11">
        <v>1564664910</v>
      </c>
      <c r="O74" s="11">
        <v>6232606550</v>
      </c>
      <c r="Q74" s="11">
        <v>-4667941640</v>
      </c>
    </row>
    <row r="75" spans="1:17" ht="18.75" x14ac:dyDescent="0.45">
      <c r="A75" s="8" t="s">
        <v>79</v>
      </c>
      <c r="C75" s="11">
        <v>100000</v>
      </c>
      <c r="E75" s="11">
        <v>4364873558</v>
      </c>
      <c r="G75" s="11">
        <v>3926216358</v>
      </c>
      <c r="I75" s="11">
        <v>438657200</v>
      </c>
      <c r="K75" s="11">
        <v>486808</v>
      </c>
      <c r="M75" s="11">
        <v>18830297937</v>
      </c>
      <c r="O75" s="11">
        <v>19127610134</v>
      </c>
      <c r="Q75" s="11">
        <v>-297312197</v>
      </c>
    </row>
    <row r="76" spans="1:17" ht="18.75" x14ac:dyDescent="0.45">
      <c r="A76" s="8" t="s">
        <v>203</v>
      </c>
      <c r="J76" s="7"/>
      <c r="K76" s="11">
        <v>1056335</v>
      </c>
      <c r="M76" s="11">
        <v>12282594884</v>
      </c>
      <c r="O76" s="11">
        <v>15393714997</v>
      </c>
      <c r="Q76" s="11">
        <v>-3111120113</v>
      </c>
    </row>
    <row r="77" spans="1:17" ht="18.75" x14ac:dyDescent="0.45">
      <c r="A77" s="8" t="s">
        <v>81</v>
      </c>
      <c r="C77" s="11">
        <v>400000</v>
      </c>
      <c r="E77" s="11">
        <v>2063647811</v>
      </c>
      <c r="G77" s="11">
        <v>1780109673</v>
      </c>
      <c r="I77" s="11">
        <v>283538138</v>
      </c>
      <c r="K77" s="11">
        <v>400000</v>
      </c>
      <c r="M77" s="11">
        <v>2063647811</v>
      </c>
      <c r="O77" s="11">
        <v>1780109673</v>
      </c>
      <c r="Q77" s="11">
        <v>283538138</v>
      </c>
    </row>
    <row r="78" spans="1:17" ht="18.75" x14ac:dyDescent="0.45">
      <c r="A78" s="8" t="s">
        <v>82</v>
      </c>
      <c r="J78" s="7"/>
      <c r="K78" s="11">
        <v>1600000</v>
      </c>
      <c r="M78" s="11">
        <v>11594599273</v>
      </c>
      <c r="O78" s="11">
        <v>19668456073</v>
      </c>
      <c r="Q78" s="11">
        <v>-8073856800</v>
      </c>
    </row>
    <row r="79" spans="1:17" ht="18.75" x14ac:dyDescent="0.45">
      <c r="A79" s="8" t="s">
        <v>84</v>
      </c>
      <c r="C79" s="11">
        <v>3800000</v>
      </c>
      <c r="E79" s="11">
        <v>25517263679</v>
      </c>
      <c r="G79" s="11">
        <v>29791960304</v>
      </c>
      <c r="I79" s="11">
        <v>-4274696625</v>
      </c>
      <c r="K79" s="11">
        <v>5850000</v>
      </c>
      <c r="M79" s="11">
        <v>36481088582</v>
      </c>
      <c r="O79" s="11">
        <v>45880711018</v>
      </c>
      <c r="Q79" s="11">
        <v>-9399622436</v>
      </c>
    </row>
    <row r="80" spans="1:17" ht="18.75" x14ac:dyDescent="0.45">
      <c r="A80" s="8" t="s">
        <v>85</v>
      </c>
      <c r="J80" s="7"/>
      <c r="K80" s="11">
        <v>761810</v>
      </c>
      <c r="M80" s="11">
        <v>28600817933</v>
      </c>
      <c r="O80" s="11">
        <v>29726112353</v>
      </c>
      <c r="Q80" s="11">
        <v>-1125294420</v>
      </c>
    </row>
    <row r="81" spans="1:17" ht="18.75" x14ac:dyDescent="0.45">
      <c r="A81" s="8" t="s">
        <v>86</v>
      </c>
      <c r="C81" s="11">
        <v>400000</v>
      </c>
      <c r="E81" s="11">
        <v>8986212026</v>
      </c>
      <c r="G81" s="11">
        <v>6713016700</v>
      </c>
      <c r="I81" s="11">
        <v>2273195326</v>
      </c>
      <c r="K81" s="11">
        <v>544296</v>
      </c>
      <c r="M81" s="11">
        <v>11337151665</v>
      </c>
      <c r="O81" s="11">
        <v>9132316983</v>
      </c>
      <c r="Q81" s="11">
        <v>2204834682</v>
      </c>
    </row>
    <row r="82" spans="1:17" ht="18.75" x14ac:dyDescent="0.45">
      <c r="A82" s="8" t="s">
        <v>87</v>
      </c>
      <c r="C82" s="11">
        <v>555016</v>
      </c>
      <c r="E82" s="11">
        <v>21240975729</v>
      </c>
      <c r="G82" s="11">
        <v>15049685098</v>
      </c>
      <c r="I82" s="11">
        <v>6191290631</v>
      </c>
      <c r="K82" s="11">
        <v>1217170</v>
      </c>
      <c r="M82" s="11">
        <v>38727831494</v>
      </c>
      <c r="O82" s="11">
        <v>33072088407</v>
      </c>
      <c r="Q82" s="11">
        <v>5655743087</v>
      </c>
    </row>
    <row r="83" spans="1:17" ht="18.75" x14ac:dyDescent="0.45">
      <c r="A83" s="8" t="s">
        <v>226</v>
      </c>
      <c r="J83" s="7"/>
      <c r="K83" s="11">
        <v>499494</v>
      </c>
      <c r="M83" s="11">
        <v>3872871706</v>
      </c>
      <c r="O83" s="11">
        <v>4281452809</v>
      </c>
      <c r="Q83" s="11">
        <v>-408581103</v>
      </c>
    </row>
    <row r="84" spans="1:17" ht="18.75" x14ac:dyDescent="0.45">
      <c r="A84" s="8" t="s">
        <v>89</v>
      </c>
      <c r="C84" s="11">
        <v>1523606</v>
      </c>
      <c r="E84" s="11">
        <v>55551955695</v>
      </c>
      <c r="G84" s="11">
        <v>38246206736</v>
      </c>
      <c r="I84" s="11">
        <v>17305748959</v>
      </c>
      <c r="K84" s="11">
        <v>3236368</v>
      </c>
      <c r="M84" s="11">
        <v>116879939719</v>
      </c>
      <c r="O84" s="11">
        <v>85882028645</v>
      </c>
      <c r="Q84" s="11">
        <v>30997911074</v>
      </c>
    </row>
    <row r="85" spans="1:17" ht="37.5" x14ac:dyDescent="0.45">
      <c r="A85" s="8" t="s">
        <v>90</v>
      </c>
      <c r="J85" s="7"/>
      <c r="K85" s="11">
        <v>13521106</v>
      </c>
      <c r="M85" s="11">
        <v>37916819394</v>
      </c>
      <c r="O85" s="11">
        <v>44689301262</v>
      </c>
      <c r="Q85" s="11">
        <v>-6772481868</v>
      </c>
    </row>
    <row r="86" spans="1:17" ht="18.75" x14ac:dyDescent="0.45">
      <c r="A86" s="8" t="s">
        <v>227</v>
      </c>
      <c r="J86" s="7"/>
      <c r="K86" s="11">
        <v>13950860</v>
      </c>
      <c r="M86" s="11">
        <v>72756700741</v>
      </c>
      <c r="O86" s="11">
        <v>82771622288</v>
      </c>
      <c r="Q86" s="11">
        <v>-10014921547</v>
      </c>
    </row>
    <row r="87" spans="1:17" ht="18.75" x14ac:dyDescent="0.45">
      <c r="A87" s="13" t="s">
        <v>91</v>
      </c>
      <c r="C87" s="13">
        <f>SUM(C9:$C$86)</f>
        <v>60501823</v>
      </c>
      <c r="E87" s="13">
        <f>SUM(E9:$E$86)</f>
        <v>384034995138</v>
      </c>
      <c r="G87" s="13">
        <f>SUM(G9:$G$86)</f>
        <v>332190674602</v>
      </c>
      <c r="I87" s="13">
        <f>SUM(I9:$I$86)</f>
        <v>51844320536</v>
      </c>
      <c r="K87" s="13">
        <f>SUM(K9:$K$86)</f>
        <v>274191370</v>
      </c>
      <c r="M87" s="13">
        <f>SUM(M9:$M$86)</f>
        <v>1936360980260</v>
      </c>
      <c r="O87" s="13">
        <f>SUM(O9:$O$86)</f>
        <v>1959318646266</v>
      </c>
      <c r="Q87" s="13">
        <f>SUM(Q9:$Q$86)</f>
        <v>-22957666006</v>
      </c>
    </row>
    <row r="88" spans="1:17" ht="18.75" x14ac:dyDescent="0.45">
      <c r="C88" s="15"/>
      <c r="E88" s="15"/>
      <c r="G88" s="15"/>
      <c r="I88" s="15"/>
      <c r="K88" s="15"/>
      <c r="M88" s="15"/>
      <c r="O88" s="15"/>
      <c r="Q88" s="15"/>
    </row>
    <row r="90" spans="1:17" ht="18.75" x14ac:dyDescent="0.45">
      <c r="A90" s="43" t="s">
        <v>228</v>
      </c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5"/>
    </row>
  </sheetData>
  <mergeCells count="7">
    <mergeCell ref="A90:Q90"/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78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85"/>
  <sheetViews>
    <sheetView rightToLeft="1" view="pageBreakPreview" zoomScale="60" zoomScaleNormal="100" workbookViewId="0">
      <selection activeCell="N24" sqref="N24"/>
    </sheetView>
  </sheetViews>
  <sheetFormatPr defaultRowHeight="18" x14ac:dyDescent="0.45"/>
  <cols>
    <col min="1" max="1" width="21.140625" style="4" bestFit="1" customWidth="1"/>
    <col min="2" max="2" width="1.42578125" style="4" customWidth="1"/>
    <col min="3" max="3" width="13.42578125" style="4" bestFit="1" customWidth="1"/>
    <col min="4" max="4" width="1.42578125" style="4" customWidth="1"/>
    <col min="5" max="5" width="19.7109375" style="4" bestFit="1" customWidth="1"/>
    <col min="6" max="6" width="1.42578125" style="4" customWidth="1"/>
    <col min="7" max="7" width="19.7109375" style="4" bestFit="1" customWidth="1"/>
    <col min="8" max="8" width="1.42578125" style="4" customWidth="1"/>
    <col min="9" max="9" width="19" style="4" bestFit="1" customWidth="1"/>
    <col min="10" max="10" width="1.42578125" style="4" customWidth="1"/>
    <col min="11" max="11" width="13.42578125" style="4" bestFit="1" customWidth="1"/>
    <col min="12" max="12" width="1.42578125" style="4" customWidth="1"/>
    <col min="13" max="13" width="19.7109375" style="4" bestFit="1" customWidth="1"/>
    <col min="14" max="14" width="1.42578125" style="4" customWidth="1"/>
    <col min="15" max="15" width="19.85546875" style="4" bestFit="1" customWidth="1"/>
    <col min="16" max="16" width="1.42578125" style="4" customWidth="1"/>
    <col min="17" max="17" width="18.7109375" style="4" bestFit="1" customWidth="1"/>
    <col min="18" max="16384" width="9.140625" style="4"/>
  </cols>
  <sheetData>
    <row r="1" spans="1:17" ht="20.100000000000001" customHeight="1" x14ac:dyDescent="0.45">
      <c r="A1" s="37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</row>
    <row r="2" spans="1:17" ht="20.100000000000001" customHeight="1" x14ac:dyDescent="0.45">
      <c r="A2" s="37" t="s">
        <v>128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</row>
    <row r="3" spans="1:17" ht="20.100000000000001" customHeight="1" x14ac:dyDescent="0.45">
      <c r="A3" s="37" t="s">
        <v>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</row>
    <row r="5" spans="1:17" ht="21" x14ac:dyDescent="0.45">
      <c r="A5" s="38" t="s">
        <v>229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</row>
    <row r="7" spans="1:17" ht="21" x14ac:dyDescent="0.45">
      <c r="C7" s="31" t="s">
        <v>140</v>
      </c>
      <c r="D7" s="32"/>
      <c r="E7" s="32"/>
      <c r="F7" s="32"/>
      <c r="G7" s="32"/>
      <c r="H7" s="32"/>
      <c r="I7" s="32"/>
      <c r="K7" s="31" t="s">
        <v>7</v>
      </c>
      <c r="L7" s="32"/>
      <c r="M7" s="32"/>
      <c r="N7" s="32"/>
      <c r="O7" s="32"/>
      <c r="P7" s="32"/>
      <c r="Q7" s="32"/>
    </row>
    <row r="8" spans="1:17" ht="42" x14ac:dyDescent="0.45">
      <c r="A8" s="17" t="s">
        <v>130</v>
      </c>
      <c r="C8" s="16" t="s">
        <v>9</v>
      </c>
      <c r="E8" s="16" t="s">
        <v>11</v>
      </c>
      <c r="G8" s="16" t="s">
        <v>214</v>
      </c>
      <c r="I8" s="16" t="s">
        <v>230</v>
      </c>
      <c r="K8" s="16" t="s">
        <v>9</v>
      </c>
      <c r="M8" s="16" t="s">
        <v>11</v>
      </c>
      <c r="O8" s="16" t="s">
        <v>214</v>
      </c>
      <c r="Q8" s="16" t="s">
        <v>230</v>
      </c>
    </row>
    <row r="9" spans="1:17" ht="18.75" x14ac:dyDescent="0.45">
      <c r="A9" s="8" t="s">
        <v>17</v>
      </c>
      <c r="C9" s="11">
        <v>50000</v>
      </c>
      <c r="E9" s="11">
        <v>1732132125</v>
      </c>
      <c r="G9" s="11">
        <v>2127267000</v>
      </c>
      <c r="I9" s="11">
        <v>-395134875</v>
      </c>
      <c r="K9" s="11">
        <v>50000</v>
      </c>
      <c r="M9" s="11">
        <v>1732132125</v>
      </c>
      <c r="O9" s="11">
        <v>2276374500</v>
      </c>
      <c r="Q9" s="11">
        <v>-544242375</v>
      </c>
    </row>
    <row r="10" spans="1:17" ht="18.75" x14ac:dyDescent="0.45">
      <c r="A10" s="8" t="s">
        <v>18</v>
      </c>
      <c r="C10" s="11">
        <v>9200000</v>
      </c>
      <c r="E10" s="11">
        <v>46092110400</v>
      </c>
      <c r="G10" s="11">
        <v>50993969760</v>
      </c>
      <c r="I10" s="11">
        <v>-4901859360</v>
      </c>
      <c r="K10" s="11">
        <v>9200000</v>
      </c>
      <c r="M10" s="11">
        <v>46092110400</v>
      </c>
      <c r="O10" s="11">
        <v>57836464955</v>
      </c>
      <c r="Q10" s="11">
        <v>-11744354555</v>
      </c>
    </row>
    <row r="11" spans="1:17" ht="18.75" x14ac:dyDescent="0.45">
      <c r="A11" s="8" t="s">
        <v>19</v>
      </c>
      <c r="C11" s="11">
        <v>1895580</v>
      </c>
      <c r="E11" s="11">
        <v>18861856003</v>
      </c>
      <c r="G11" s="11">
        <v>19898221717</v>
      </c>
      <c r="I11" s="11">
        <v>-1036365714</v>
      </c>
      <c r="K11" s="11">
        <v>1895580</v>
      </c>
      <c r="M11" s="11">
        <v>18861856003</v>
      </c>
      <c r="O11" s="11">
        <v>20086651847</v>
      </c>
      <c r="Q11" s="11">
        <v>-1224795844</v>
      </c>
    </row>
    <row r="12" spans="1:17" ht="18.75" x14ac:dyDescent="0.45">
      <c r="A12" s="8" t="s">
        <v>20</v>
      </c>
      <c r="C12" s="11">
        <v>2391471</v>
      </c>
      <c r="E12" s="11">
        <v>45500407048</v>
      </c>
      <c r="G12" s="11">
        <v>52546456743</v>
      </c>
      <c r="I12" s="11">
        <v>-7046049695</v>
      </c>
      <c r="K12" s="11">
        <v>2391471</v>
      </c>
      <c r="M12" s="11">
        <v>45500407048</v>
      </c>
      <c r="O12" s="11">
        <v>57847365505</v>
      </c>
      <c r="Q12" s="11">
        <v>-12346958457</v>
      </c>
    </row>
    <row r="13" spans="1:17" ht="18.75" x14ac:dyDescent="0.45">
      <c r="A13" s="8" t="s">
        <v>21</v>
      </c>
      <c r="C13" s="11">
        <v>0</v>
      </c>
      <c r="E13" s="11">
        <v>0</v>
      </c>
      <c r="G13" s="11">
        <v>-1821014206</v>
      </c>
      <c r="I13" s="11">
        <v>1821014206</v>
      </c>
    </row>
    <row r="14" spans="1:17" ht="18.75" x14ac:dyDescent="0.45">
      <c r="A14" s="8" t="s">
        <v>22</v>
      </c>
      <c r="C14" s="11">
        <v>22000000</v>
      </c>
      <c r="E14" s="11">
        <v>62611233300</v>
      </c>
      <c r="G14" s="11">
        <v>66175896600</v>
      </c>
      <c r="I14" s="11">
        <v>-3564663300</v>
      </c>
      <c r="K14" s="11">
        <v>22000000</v>
      </c>
      <c r="M14" s="11">
        <v>62611233300</v>
      </c>
      <c r="O14" s="11">
        <v>85145309480</v>
      </c>
      <c r="Q14" s="11">
        <v>-22534076180</v>
      </c>
    </row>
    <row r="15" spans="1:17" ht="18.75" x14ac:dyDescent="0.45">
      <c r="A15" s="8" t="s">
        <v>23</v>
      </c>
      <c r="C15" s="11">
        <v>500000</v>
      </c>
      <c r="E15" s="11">
        <v>9224784000</v>
      </c>
      <c r="G15" s="11">
        <v>11297378250</v>
      </c>
      <c r="I15" s="11">
        <v>-2072594250</v>
      </c>
      <c r="K15" s="11">
        <v>500000</v>
      </c>
      <c r="M15" s="11">
        <v>9224784000</v>
      </c>
      <c r="O15" s="11">
        <v>11262904996</v>
      </c>
      <c r="Q15" s="11">
        <v>-2038120996</v>
      </c>
    </row>
    <row r="16" spans="1:17" ht="18.75" x14ac:dyDescent="0.45">
      <c r="A16" s="8" t="s">
        <v>24</v>
      </c>
      <c r="C16" s="11">
        <v>23109504</v>
      </c>
      <c r="E16" s="11">
        <v>42337400518</v>
      </c>
      <c r="G16" s="11">
        <v>39803592409</v>
      </c>
      <c r="I16" s="11">
        <v>2533808109</v>
      </c>
      <c r="K16" s="11">
        <v>23109504</v>
      </c>
      <c r="M16" s="11">
        <v>42337400518</v>
      </c>
      <c r="O16" s="11">
        <v>37508114744</v>
      </c>
      <c r="Q16" s="11">
        <v>4829285774</v>
      </c>
    </row>
    <row r="17" spans="1:17" ht="18.75" x14ac:dyDescent="0.45">
      <c r="A17" s="8" t="s">
        <v>25</v>
      </c>
      <c r="C17" s="11">
        <v>1562500</v>
      </c>
      <c r="E17" s="11">
        <v>4766780391</v>
      </c>
      <c r="G17" s="11">
        <v>4878611016</v>
      </c>
      <c r="I17" s="11">
        <v>-111830625</v>
      </c>
      <c r="K17" s="11">
        <v>1562500</v>
      </c>
      <c r="M17" s="11">
        <v>4766780391</v>
      </c>
      <c r="O17" s="11">
        <v>5596238937</v>
      </c>
      <c r="Q17" s="11">
        <v>-829458546</v>
      </c>
    </row>
    <row r="18" spans="1:17" ht="37.5" x14ac:dyDescent="0.45">
      <c r="A18" s="8" t="s">
        <v>26</v>
      </c>
      <c r="C18" s="11">
        <v>5317185</v>
      </c>
      <c r="E18" s="11">
        <v>24889644351</v>
      </c>
      <c r="G18" s="11">
        <v>32019848265</v>
      </c>
      <c r="I18" s="11">
        <v>-7130203914</v>
      </c>
      <c r="K18" s="11">
        <v>5317185</v>
      </c>
      <c r="M18" s="11">
        <v>24889644351</v>
      </c>
      <c r="O18" s="11">
        <v>32865535904</v>
      </c>
      <c r="Q18" s="11">
        <v>-7975891553</v>
      </c>
    </row>
    <row r="19" spans="1:17" ht="18.75" x14ac:dyDescent="0.45">
      <c r="A19" s="8" t="s">
        <v>27</v>
      </c>
      <c r="C19" s="11">
        <v>17649580</v>
      </c>
      <c r="E19" s="11">
        <v>97898672694</v>
      </c>
      <c r="G19" s="11">
        <v>98425009644</v>
      </c>
      <c r="I19" s="11">
        <v>-526336950</v>
      </c>
      <c r="K19" s="11">
        <v>17649580</v>
      </c>
      <c r="M19" s="11">
        <v>97898672694</v>
      </c>
      <c r="O19" s="11">
        <v>109070256810</v>
      </c>
      <c r="Q19" s="11">
        <v>-11171584116</v>
      </c>
    </row>
    <row r="20" spans="1:17" ht="18.75" x14ac:dyDescent="0.45">
      <c r="A20" s="8" t="s">
        <v>28</v>
      </c>
      <c r="C20" s="11">
        <v>22541064</v>
      </c>
      <c r="E20" s="11">
        <v>159985584938</v>
      </c>
      <c r="G20" s="11">
        <v>183508908498</v>
      </c>
      <c r="I20" s="11">
        <v>-23523323560</v>
      </c>
      <c r="K20" s="11">
        <v>22541064</v>
      </c>
      <c r="M20" s="11">
        <v>159985584938</v>
      </c>
      <c r="O20" s="11">
        <v>230464738769</v>
      </c>
      <c r="Q20" s="11">
        <v>-70479153831</v>
      </c>
    </row>
    <row r="21" spans="1:17" ht="18.75" x14ac:dyDescent="0.45">
      <c r="A21" s="8" t="s">
        <v>155</v>
      </c>
      <c r="C21" s="11">
        <v>1700000</v>
      </c>
      <c r="E21" s="11">
        <v>25365173850</v>
      </c>
      <c r="G21" s="11">
        <v>29150516250</v>
      </c>
      <c r="I21" s="11">
        <v>-3785342400</v>
      </c>
      <c r="K21" s="11">
        <v>1700000</v>
      </c>
      <c r="M21" s="11">
        <v>25365173850</v>
      </c>
      <c r="O21" s="11">
        <v>33536740821</v>
      </c>
      <c r="Q21" s="11">
        <v>-8171566971</v>
      </c>
    </row>
    <row r="22" spans="1:17" ht="18.75" x14ac:dyDescent="0.45">
      <c r="A22" s="8" t="s">
        <v>30</v>
      </c>
      <c r="C22" s="11">
        <v>2139629</v>
      </c>
      <c r="E22" s="11">
        <v>67103638445</v>
      </c>
      <c r="G22" s="11">
        <v>81672891166</v>
      </c>
      <c r="I22" s="11">
        <v>-14569252721</v>
      </c>
      <c r="K22" s="11">
        <v>2139629</v>
      </c>
      <c r="M22" s="11">
        <v>67103638445</v>
      </c>
      <c r="O22" s="11">
        <v>84969583388</v>
      </c>
      <c r="Q22" s="11">
        <v>-17865944943</v>
      </c>
    </row>
    <row r="23" spans="1:17" ht="37.5" x14ac:dyDescent="0.45">
      <c r="A23" s="8" t="s">
        <v>31</v>
      </c>
      <c r="C23" s="11">
        <v>842177</v>
      </c>
      <c r="E23" s="11">
        <v>6931734868</v>
      </c>
      <c r="G23" s="11">
        <v>4637899900</v>
      </c>
      <c r="I23" s="11">
        <v>2293834968</v>
      </c>
      <c r="K23" s="11">
        <v>842177</v>
      </c>
      <c r="M23" s="11">
        <v>6931734868</v>
      </c>
      <c r="O23" s="11">
        <v>2009050717</v>
      </c>
      <c r="Q23" s="11">
        <v>4922684151</v>
      </c>
    </row>
    <row r="24" spans="1:17" ht="37.5" x14ac:dyDescent="0.45">
      <c r="A24" s="8" t="s">
        <v>32</v>
      </c>
      <c r="C24" s="11">
        <v>571500</v>
      </c>
      <c r="E24" s="11">
        <v>26956324834</v>
      </c>
      <c r="G24" s="11">
        <v>29666253920</v>
      </c>
      <c r="I24" s="11">
        <v>-2709929086</v>
      </c>
      <c r="K24" s="11">
        <v>571500</v>
      </c>
      <c r="M24" s="11">
        <v>26956324834</v>
      </c>
      <c r="O24" s="11">
        <v>29666253920</v>
      </c>
      <c r="Q24" s="11">
        <v>-2709929086</v>
      </c>
    </row>
    <row r="25" spans="1:17" ht="37.5" x14ac:dyDescent="0.45">
      <c r="A25" s="8" t="s">
        <v>33</v>
      </c>
      <c r="C25" s="11">
        <v>4600461</v>
      </c>
      <c r="E25" s="11">
        <v>90089838664</v>
      </c>
      <c r="G25" s="11">
        <v>102025599015</v>
      </c>
      <c r="I25" s="11">
        <v>-11935760351</v>
      </c>
      <c r="K25" s="11">
        <v>4600461</v>
      </c>
      <c r="M25" s="11">
        <v>90089838664</v>
      </c>
      <c r="O25" s="11">
        <v>112897791956</v>
      </c>
      <c r="Q25" s="11">
        <v>-22807953292</v>
      </c>
    </row>
    <row r="26" spans="1:17" ht="18.75" x14ac:dyDescent="0.45">
      <c r="A26" s="8" t="s">
        <v>34</v>
      </c>
      <c r="C26" s="11">
        <v>1000000</v>
      </c>
      <c r="E26" s="11">
        <v>7127338500</v>
      </c>
      <c r="G26" s="11">
        <v>7728926400</v>
      </c>
      <c r="I26" s="11">
        <v>-601587900</v>
      </c>
      <c r="K26" s="11">
        <v>1000000</v>
      </c>
      <c r="M26" s="11">
        <v>7127338500</v>
      </c>
      <c r="O26" s="11">
        <v>7698729600</v>
      </c>
      <c r="Q26" s="11">
        <v>-571391100</v>
      </c>
    </row>
    <row r="27" spans="1:17" ht="18.75" x14ac:dyDescent="0.45">
      <c r="A27" s="8" t="s">
        <v>35</v>
      </c>
      <c r="C27" s="11">
        <v>31806527</v>
      </c>
      <c r="E27" s="11">
        <v>72308715162</v>
      </c>
      <c r="G27" s="11">
        <v>72187496496</v>
      </c>
      <c r="I27" s="11">
        <v>121218666</v>
      </c>
      <c r="K27" s="11">
        <v>31806527</v>
      </c>
      <c r="M27" s="11">
        <v>72308715162</v>
      </c>
      <c r="O27" s="11">
        <v>85355426322</v>
      </c>
      <c r="Q27" s="11">
        <v>-13046711160</v>
      </c>
    </row>
    <row r="28" spans="1:17" ht="18.75" x14ac:dyDescent="0.45">
      <c r="A28" s="8" t="s">
        <v>36</v>
      </c>
      <c r="C28" s="11">
        <v>3129302</v>
      </c>
      <c r="E28" s="11">
        <v>22614662888</v>
      </c>
      <c r="G28" s="11">
        <v>20499398684</v>
      </c>
      <c r="I28" s="11">
        <v>2115264204</v>
      </c>
      <c r="K28" s="11">
        <v>3129302</v>
      </c>
      <c r="M28" s="11">
        <v>22614662888</v>
      </c>
      <c r="O28" s="11">
        <v>22184245983</v>
      </c>
      <c r="Q28" s="11">
        <v>430416905</v>
      </c>
    </row>
    <row r="29" spans="1:17" ht="18.75" x14ac:dyDescent="0.45">
      <c r="A29" s="8" t="s">
        <v>37</v>
      </c>
      <c r="C29" s="11">
        <v>3929304</v>
      </c>
      <c r="E29" s="11">
        <v>95929509188</v>
      </c>
      <c r="G29" s="11">
        <v>113740525552</v>
      </c>
      <c r="I29" s="11">
        <v>-17811016364</v>
      </c>
      <c r="K29" s="11">
        <v>3929304</v>
      </c>
      <c r="M29" s="11">
        <v>95929509188</v>
      </c>
      <c r="O29" s="11">
        <v>130110284660</v>
      </c>
      <c r="Q29" s="11">
        <v>-34180775472</v>
      </c>
    </row>
    <row r="30" spans="1:17" ht="18.75" x14ac:dyDescent="0.45">
      <c r="A30" s="8" t="s">
        <v>38</v>
      </c>
      <c r="C30" s="11">
        <v>3173715</v>
      </c>
      <c r="E30" s="11">
        <v>108179168560</v>
      </c>
      <c r="G30" s="11">
        <v>124331905306</v>
      </c>
      <c r="I30" s="11">
        <v>-16152736746</v>
      </c>
      <c r="K30" s="11">
        <v>3173715</v>
      </c>
      <c r="M30" s="11">
        <v>108179168560</v>
      </c>
      <c r="O30" s="11">
        <v>121776491875</v>
      </c>
      <c r="Q30" s="11">
        <v>-13597323315</v>
      </c>
    </row>
    <row r="31" spans="1:17" ht="18.75" x14ac:dyDescent="0.45">
      <c r="A31" s="8" t="s">
        <v>39</v>
      </c>
      <c r="C31" s="11">
        <v>0</v>
      </c>
      <c r="E31" s="11">
        <v>0</v>
      </c>
      <c r="G31" s="11">
        <v>-2416330403</v>
      </c>
      <c r="I31" s="11">
        <v>2416330403</v>
      </c>
    </row>
    <row r="32" spans="1:17" ht="37.5" x14ac:dyDescent="0.45">
      <c r="A32" s="8" t="s">
        <v>40</v>
      </c>
      <c r="C32" s="11">
        <v>272500</v>
      </c>
      <c r="E32" s="11">
        <v>8018007300</v>
      </c>
      <c r="G32" s="11">
        <v>10932634935</v>
      </c>
      <c r="I32" s="11">
        <v>-2914627635</v>
      </c>
      <c r="K32" s="11">
        <v>272500</v>
      </c>
      <c r="M32" s="11">
        <v>8018007300</v>
      </c>
      <c r="O32" s="11">
        <v>10932634935</v>
      </c>
      <c r="Q32" s="11">
        <v>-2914627635</v>
      </c>
    </row>
    <row r="33" spans="1:17" ht="18.75" x14ac:dyDescent="0.45">
      <c r="A33" s="8" t="s">
        <v>41</v>
      </c>
      <c r="C33" s="11">
        <v>188</v>
      </c>
      <c r="E33" s="11">
        <v>4838359</v>
      </c>
      <c r="G33" s="11">
        <v>6926571</v>
      </c>
      <c r="I33" s="11">
        <v>-2088212</v>
      </c>
      <c r="K33" s="11">
        <v>188</v>
      </c>
      <c r="M33" s="11">
        <v>4838359</v>
      </c>
      <c r="O33" s="11">
        <v>6914131</v>
      </c>
      <c r="Q33" s="11">
        <v>-2075772</v>
      </c>
    </row>
    <row r="34" spans="1:17" ht="18.75" x14ac:dyDescent="0.45">
      <c r="A34" s="8" t="s">
        <v>42</v>
      </c>
      <c r="C34" s="11">
        <v>741342</v>
      </c>
      <c r="E34" s="11">
        <v>42041914411</v>
      </c>
      <c r="G34" s="11">
        <v>42704693005</v>
      </c>
      <c r="I34" s="11">
        <v>-662778594</v>
      </c>
      <c r="K34" s="11">
        <v>741342</v>
      </c>
      <c r="M34" s="11">
        <v>42041914411</v>
      </c>
      <c r="O34" s="11">
        <v>48698175090</v>
      </c>
      <c r="Q34" s="11">
        <v>-6656260679</v>
      </c>
    </row>
    <row r="35" spans="1:17" ht="18.75" x14ac:dyDescent="0.45">
      <c r="A35" s="8" t="s">
        <v>43</v>
      </c>
      <c r="C35" s="11">
        <v>17448964</v>
      </c>
      <c r="E35" s="11">
        <v>68513313524</v>
      </c>
      <c r="G35" s="11">
        <v>63331014274</v>
      </c>
      <c r="I35" s="11">
        <v>5182299250</v>
      </c>
      <c r="K35" s="11">
        <v>17448964</v>
      </c>
      <c r="M35" s="11">
        <v>68513313524</v>
      </c>
      <c r="O35" s="11">
        <v>72612852683</v>
      </c>
      <c r="Q35" s="11">
        <v>-4099539159</v>
      </c>
    </row>
    <row r="36" spans="1:17" ht="18.75" x14ac:dyDescent="0.45">
      <c r="A36" s="8" t="s">
        <v>44</v>
      </c>
      <c r="C36" s="11">
        <v>6986817</v>
      </c>
      <c r="E36" s="11">
        <v>45352452716</v>
      </c>
      <c r="G36" s="11">
        <v>54450724241</v>
      </c>
      <c r="I36" s="11">
        <v>-9098271525</v>
      </c>
      <c r="K36" s="11">
        <v>6986817</v>
      </c>
      <c r="M36" s="11">
        <v>45352452716</v>
      </c>
      <c r="O36" s="11">
        <v>60453606282</v>
      </c>
      <c r="Q36" s="11">
        <v>-15101153566</v>
      </c>
    </row>
    <row r="37" spans="1:17" ht="18.75" x14ac:dyDescent="0.45">
      <c r="A37" s="8" t="s">
        <v>45</v>
      </c>
      <c r="C37" s="11">
        <v>5641064</v>
      </c>
      <c r="E37" s="11">
        <v>26635623429</v>
      </c>
      <c r="G37" s="11">
        <v>29843113240</v>
      </c>
      <c r="I37" s="11">
        <v>-3207489811</v>
      </c>
      <c r="K37" s="11">
        <v>5641064</v>
      </c>
      <c r="M37" s="11">
        <v>26635623429</v>
      </c>
      <c r="O37" s="11">
        <v>28188900838</v>
      </c>
      <c r="Q37" s="11">
        <v>-1553277409</v>
      </c>
    </row>
    <row r="38" spans="1:17" ht="18.75" x14ac:dyDescent="0.45">
      <c r="A38" s="8" t="s">
        <v>46</v>
      </c>
      <c r="C38" s="11">
        <v>5568010</v>
      </c>
      <c r="E38" s="11">
        <v>24043520199</v>
      </c>
      <c r="G38" s="11">
        <v>30805598225</v>
      </c>
      <c r="I38" s="11">
        <v>-6762078026</v>
      </c>
      <c r="K38" s="11">
        <v>5568010</v>
      </c>
      <c r="M38" s="11">
        <v>24043520199</v>
      </c>
      <c r="O38" s="11">
        <v>17591226899</v>
      </c>
      <c r="Q38" s="11">
        <v>6452293300</v>
      </c>
    </row>
    <row r="39" spans="1:17" ht="18.75" x14ac:dyDescent="0.45">
      <c r="A39" s="8" t="s">
        <v>47</v>
      </c>
      <c r="C39" s="11">
        <v>1600000</v>
      </c>
      <c r="E39" s="11">
        <v>73448366400</v>
      </c>
      <c r="G39" s="11">
        <v>80086609695</v>
      </c>
      <c r="I39" s="11">
        <v>-6638243295</v>
      </c>
      <c r="K39" s="11">
        <v>1600000</v>
      </c>
      <c r="M39" s="11">
        <v>73448366400</v>
      </c>
      <c r="O39" s="11">
        <v>101695291199</v>
      </c>
      <c r="Q39" s="11">
        <v>-28246924799</v>
      </c>
    </row>
    <row r="40" spans="1:17" ht="18.75" x14ac:dyDescent="0.45">
      <c r="A40" s="8" t="s">
        <v>48</v>
      </c>
      <c r="C40" s="11">
        <v>8312202</v>
      </c>
      <c r="E40" s="11">
        <v>72464268371</v>
      </c>
      <c r="G40" s="11">
        <v>84226089495</v>
      </c>
      <c r="I40" s="11">
        <v>-11761821124</v>
      </c>
      <c r="K40" s="11">
        <v>8312202</v>
      </c>
      <c r="M40" s="11">
        <v>72464268371</v>
      </c>
      <c r="O40" s="11">
        <v>99754601727</v>
      </c>
      <c r="Q40" s="11">
        <v>-27290333356</v>
      </c>
    </row>
    <row r="41" spans="1:17" ht="18.75" x14ac:dyDescent="0.45">
      <c r="A41" s="8" t="s">
        <v>49</v>
      </c>
      <c r="C41" s="11">
        <v>7932226</v>
      </c>
      <c r="E41" s="11">
        <v>70334460957</v>
      </c>
      <c r="G41" s="11">
        <v>77847952124</v>
      </c>
      <c r="I41" s="11">
        <v>-7513491167</v>
      </c>
      <c r="K41" s="11">
        <v>7932226</v>
      </c>
      <c r="M41" s="11">
        <v>70334460957</v>
      </c>
      <c r="O41" s="11">
        <v>96161252621</v>
      </c>
      <c r="Q41" s="11">
        <v>-25826791664</v>
      </c>
    </row>
    <row r="42" spans="1:17" ht="18.75" x14ac:dyDescent="0.45">
      <c r="A42" s="8" t="s">
        <v>50</v>
      </c>
      <c r="C42" s="11">
        <v>5400000</v>
      </c>
      <c r="E42" s="11">
        <v>57865638600</v>
      </c>
      <c r="G42" s="11">
        <v>68979129187</v>
      </c>
      <c r="I42" s="11">
        <v>-11113490587</v>
      </c>
      <c r="K42" s="11">
        <v>5400000</v>
      </c>
      <c r="M42" s="11">
        <v>57865638600</v>
      </c>
      <c r="O42" s="11">
        <v>68647444114</v>
      </c>
      <c r="Q42" s="11">
        <v>-10781805514</v>
      </c>
    </row>
    <row r="43" spans="1:17" ht="18.75" x14ac:dyDescent="0.45">
      <c r="A43" s="8" t="s">
        <v>51</v>
      </c>
      <c r="C43" s="11">
        <v>0</v>
      </c>
      <c r="E43" s="11">
        <v>0</v>
      </c>
      <c r="G43" s="11">
        <v>2316550161</v>
      </c>
      <c r="I43" s="11">
        <v>-2316550161</v>
      </c>
    </row>
    <row r="44" spans="1:17" ht="18.75" x14ac:dyDescent="0.45">
      <c r="A44" s="8" t="s">
        <v>52</v>
      </c>
      <c r="C44" s="11">
        <v>23250016</v>
      </c>
      <c r="E44" s="11">
        <v>62470866728</v>
      </c>
      <c r="G44" s="11">
        <v>60396852177</v>
      </c>
      <c r="I44" s="11">
        <v>2074014551</v>
      </c>
      <c r="K44" s="11">
        <v>23250016</v>
      </c>
      <c r="M44" s="11">
        <v>62470866728</v>
      </c>
      <c r="O44" s="11">
        <v>53263657543</v>
      </c>
      <c r="Q44" s="11">
        <v>9207209185</v>
      </c>
    </row>
    <row r="45" spans="1:17" ht="18.75" x14ac:dyDescent="0.45">
      <c r="A45" s="8" t="s">
        <v>53</v>
      </c>
      <c r="C45" s="11">
        <v>330974</v>
      </c>
      <c r="E45" s="11">
        <v>11242090760</v>
      </c>
      <c r="G45" s="11">
        <v>10371551251</v>
      </c>
      <c r="I45" s="11">
        <v>870539509</v>
      </c>
      <c r="K45" s="11">
        <v>330974</v>
      </c>
      <c r="M45" s="11">
        <v>11242090760</v>
      </c>
      <c r="O45" s="11">
        <v>11778831386</v>
      </c>
      <c r="Q45" s="11">
        <v>-536740626</v>
      </c>
    </row>
    <row r="46" spans="1:17" ht="18.75" x14ac:dyDescent="0.45">
      <c r="A46" s="8" t="s">
        <v>54</v>
      </c>
      <c r="C46" s="11">
        <v>9448213</v>
      </c>
      <c r="E46" s="11">
        <v>10528427665</v>
      </c>
      <c r="G46" s="11">
        <v>15011414363</v>
      </c>
      <c r="I46" s="11">
        <v>-4482986698</v>
      </c>
      <c r="K46" s="11">
        <v>9448213</v>
      </c>
      <c r="M46" s="11">
        <v>10528427665</v>
      </c>
      <c r="O46" s="11">
        <v>6059487541</v>
      </c>
      <c r="Q46" s="11">
        <v>4468940124</v>
      </c>
    </row>
    <row r="47" spans="1:17" ht="18.75" x14ac:dyDescent="0.45">
      <c r="A47" s="8" t="s">
        <v>55</v>
      </c>
      <c r="C47" s="11">
        <v>10148510</v>
      </c>
      <c r="E47" s="11">
        <v>48423006554</v>
      </c>
      <c r="G47" s="11">
        <v>47295854383</v>
      </c>
      <c r="I47" s="11">
        <v>1127152171</v>
      </c>
      <c r="K47" s="11">
        <v>10148510</v>
      </c>
      <c r="M47" s="11">
        <v>48423006554</v>
      </c>
      <c r="O47" s="11">
        <v>49054369389</v>
      </c>
      <c r="Q47" s="11">
        <v>-631362835</v>
      </c>
    </row>
    <row r="48" spans="1:17" ht="18.75" x14ac:dyDescent="0.45">
      <c r="A48" s="8" t="s">
        <v>56</v>
      </c>
      <c r="C48" s="11">
        <v>249996</v>
      </c>
      <c r="E48" s="11">
        <v>2497510664</v>
      </c>
      <c r="G48" s="11">
        <v>3230949230</v>
      </c>
      <c r="I48" s="11">
        <v>-733438566</v>
      </c>
      <c r="K48" s="11">
        <v>249996</v>
      </c>
      <c r="M48" s="11">
        <v>2497510664</v>
      </c>
      <c r="O48" s="11">
        <v>3230949230</v>
      </c>
      <c r="Q48" s="11">
        <v>-733438566</v>
      </c>
    </row>
    <row r="49" spans="1:17" ht="18.75" x14ac:dyDescent="0.45">
      <c r="A49" s="8" t="s">
        <v>57</v>
      </c>
      <c r="C49" s="11">
        <v>14558631</v>
      </c>
      <c r="E49" s="11">
        <v>119972939237</v>
      </c>
      <c r="G49" s="11">
        <v>120041119779</v>
      </c>
      <c r="I49" s="11">
        <v>-68180542</v>
      </c>
      <c r="K49" s="11">
        <v>14558631</v>
      </c>
      <c r="M49" s="11">
        <v>119972939237</v>
      </c>
      <c r="O49" s="11">
        <v>132573832091</v>
      </c>
      <c r="Q49" s="11">
        <v>-12600892854</v>
      </c>
    </row>
    <row r="50" spans="1:17" ht="18.75" x14ac:dyDescent="0.45">
      <c r="A50" s="8" t="s">
        <v>58</v>
      </c>
      <c r="C50" s="11">
        <v>3557472</v>
      </c>
      <c r="E50" s="11">
        <v>106442781752</v>
      </c>
      <c r="G50" s="11">
        <v>118996664650</v>
      </c>
      <c r="I50" s="11">
        <v>-12553882898</v>
      </c>
      <c r="K50" s="11">
        <v>3557472</v>
      </c>
      <c r="M50" s="11">
        <v>106442781752</v>
      </c>
      <c r="O50" s="11">
        <v>129413868005</v>
      </c>
      <c r="Q50" s="11">
        <v>-22971086253</v>
      </c>
    </row>
    <row r="51" spans="1:17" ht="18.75" x14ac:dyDescent="0.45">
      <c r="A51" s="8" t="s">
        <v>59</v>
      </c>
      <c r="C51" s="11">
        <v>14021442</v>
      </c>
      <c r="E51" s="11">
        <v>61759341895</v>
      </c>
      <c r="G51" s="11">
        <v>59975276049</v>
      </c>
      <c r="I51" s="11">
        <v>1784065846</v>
      </c>
      <c r="K51" s="11">
        <v>14021442</v>
      </c>
      <c r="M51" s="11">
        <v>61759341895</v>
      </c>
      <c r="O51" s="11">
        <v>74692710008</v>
      </c>
      <c r="Q51" s="11">
        <v>-12933368113</v>
      </c>
    </row>
    <row r="52" spans="1:17" ht="37.5" x14ac:dyDescent="0.45">
      <c r="A52" s="8" t="s">
        <v>60</v>
      </c>
      <c r="C52" s="11">
        <v>76</v>
      </c>
      <c r="E52" s="11">
        <v>876354</v>
      </c>
      <c r="G52" s="11">
        <v>943320</v>
      </c>
      <c r="I52" s="11">
        <v>-66966</v>
      </c>
      <c r="K52" s="11">
        <v>76</v>
      </c>
      <c r="M52" s="11">
        <v>876354</v>
      </c>
      <c r="O52" s="11">
        <v>943320</v>
      </c>
      <c r="Q52" s="11">
        <v>-66966</v>
      </c>
    </row>
    <row r="53" spans="1:17" ht="18.75" x14ac:dyDescent="0.45">
      <c r="A53" s="8" t="s">
        <v>62</v>
      </c>
      <c r="C53" s="11">
        <v>12552607</v>
      </c>
      <c r="E53" s="11">
        <v>49961587629</v>
      </c>
      <c r="G53" s="11">
        <v>43877016031</v>
      </c>
      <c r="I53" s="11">
        <v>6084571598</v>
      </c>
      <c r="K53" s="11">
        <v>12552607</v>
      </c>
      <c r="M53" s="11">
        <v>49961587629</v>
      </c>
      <c r="O53" s="11">
        <v>44750666582</v>
      </c>
      <c r="Q53" s="11">
        <v>5210921047</v>
      </c>
    </row>
    <row r="54" spans="1:17" ht="18.75" x14ac:dyDescent="0.45">
      <c r="A54" s="8" t="s">
        <v>63</v>
      </c>
      <c r="C54" s="11">
        <v>2373635</v>
      </c>
      <c r="E54" s="11">
        <v>33953375834</v>
      </c>
      <c r="G54" s="11">
        <v>38931945883</v>
      </c>
      <c r="I54" s="11">
        <v>-4978570049</v>
      </c>
      <c r="K54" s="11">
        <v>2373635</v>
      </c>
      <c r="M54" s="11">
        <v>33953375834</v>
      </c>
      <c r="O54" s="11">
        <v>40866745617</v>
      </c>
      <c r="Q54" s="11">
        <v>-6913369783</v>
      </c>
    </row>
    <row r="55" spans="1:17" ht="18.75" x14ac:dyDescent="0.45">
      <c r="A55" s="8" t="s">
        <v>64</v>
      </c>
      <c r="C55" s="11">
        <v>17280723</v>
      </c>
      <c r="E55" s="11">
        <v>110110356295</v>
      </c>
      <c r="G55" s="11">
        <v>128834270236</v>
      </c>
      <c r="I55" s="11">
        <v>-18723913941</v>
      </c>
      <c r="K55" s="11">
        <v>17280723</v>
      </c>
      <c r="M55" s="11">
        <v>110110356295</v>
      </c>
      <c r="O55" s="11">
        <v>137205778838</v>
      </c>
      <c r="Q55" s="11">
        <v>-27095422543</v>
      </c>
    </row>
    <row r="56" spans="1:17" ht="18.75" x14ac:dyDescent="0.45">
      <c r="A56" s="8" t="s">
        <v>65</v>
      </c>
      <c r="C56" s="11">
        <v>272076</v>
      </c>
      <c r="E56" s="11">
        <v>6006853253</v>
      </c>
      <c r="G56" s="11">
        <v>6144786399</v>
      </c>
      <c r="I56" s="11">
        <v>-137933146</v>
      </c>
      <c r="K56" s="11">
        <v>272076</v>
      </c>
      <c r="M56" s="11">
        <v>6006853253</v>
      </c>
      <c r="O56" s="11">
        <v>6689335227</v>
      </c>
      <c r="Q56" s="11">
        <v>-682481974</v>
      </c>
    </row>
    <row r="57" spans="1:17" ht="18.75" x14ac:dyDescent="0.45">
      <c r="A57" s="8" t="s">
        <v>66</v>
      </c>
      <c r="C57" s="11">
        <v>3882657</v>
      </c>
      <c r="E57" s="11">
        <v>39174485187</v>
      </c>
      <c r="G57" s="11">
        <v>42956849274</v>
      </c>
      <c r="I57" s="11">
        <v>-3782364087</v>
      </c>
      <c r="K57" s="11">
        <v>3882657</v>
      </c>
      <c r="M57" s="11">
        <v>39174485187</v>
      </c>
      <c r="O57" s="11">
        <v>35971054378</v>
      </c>
      <c r="Q57" s="11">
        <v>3203430809</v>
      </c>
    </row>
    <row r="58" spans="1:17" ht="18.75" x14ac:dyDescent="0.45">
      <c r="A58" s="8" t="s">
        <v>67</v>
      </c>
      <c r="C58" s="11">
        <v>250000</v>
      </c>
      <c r="E58" s="11">
        <v>4331572875</v>
      </c>
      <c r="G58" s="11">
        <v>2985586200</v>
      </c>
      <c r="I58" s="11">
        <v>1345986675</v>
      </c>
      <c r="K58" s="11">
        <v>250000</v>
      </c>
      <c r="M58" s="11">
        <v>4331572875</v>
      </c>
      <c r="O58" s="11">
        <v>5260058550</v>
      </c>
      <c r="Q58" s="11">
        <v>-928485675</v>
      </c>
    </row>
    <row r="59" spans="1:17" ht="18.75" x14ac:dyDescent="0.45">
      <c r="A59" s="8" t="s">
        <v>68</v>
      </c>
      <c r="C59" s="11">
        <v>16300000</v>
      </c>
      <c r="E59" s="11">
        <v>196056481500</v>
      </c>
      <c r="G59" s="11">
        <v>211331861787</v>
      </c>
      <c r="I59" s="11">
        <v>-15275380287</v>
      </c>
      <c r="K59" s="11">
        <v>16300000</v>
      </c>
      <c r="M59" s="11">
        <v>196056481500</v>
      </c>
      <c r="O59" s="11">
        <v>285259345420</v>
      </c>
      <c r="Q59" s="11">
        <v>-89202863920</v>
      </c>
    </row>
    <row r="60" spans="1:17" ht="18.75" x14ac:dyDescent="0.45">
      <c r="A60" s="8" t="s">
        <v>69</v>
      </c>
      <c r="C60" s="11">
        <v>7868802</v>
      </c>
      <c r="E60" s="11">
        <v>37960081694</v>
      </c>
      <c r="G60" s="11">
        <v>43850034613</v>
      </c>
      <c r="I60" s="11">
        <v>-5889952919</v>
      </c>
      <c r="K60" s="11">
        <v>7868802</v>
      </c>
      <c r="M60" s="11">
        <v>37960081694</v>
      </c>
      <c r="O60" s="11">
        <v>46642482410</v>
      </c>
      <c r="Q60" s="11">
        <v>-8682400716</v>
      </c>
    </row>
    <row r="61" spans="1:17" ht="18.75" x14ac:dyDescent="0.45">
      <c r="A61" s="8" t="s">
        <v>70</v>
      </c>
      <c r="C61" s="11">
        <v>5155597</v>
      </c>
      <c r="E61" s="11">
        <v>16271624803</v>
      </c>
      <c r="G61" s="11">
        <v>18726462057</v>
      </c>
      <c r="I61" s="11">
        <v>-2454837254</v>
      </c>
      <c r="K61" s="11">
        <v>5155597</v>
      </c>
      <c r="M61" s="11">
        <v>16271624803</v>
      </c>
      <c r="O61" s="11">
        <v>21827175718</v>
      </c>
      <c r="Q61" s="11">
        <v>-5555550915</v>
      </c>
    </row>
    <row r="62" spans="1:17" ht="18.75" x14ac:dyDescent="0.45">
      <c r="A62" s="8" t="s">
        <v>71</v>
      </c>
      <c r="C62" s="11">
        <v>5666467</v>
      </c>
      <c r="E62" s="11">
        <v>41175413621</v>
      </c>
      <c r="G62" s="11">
        <v>46019579929</v>
      </c>
      <c r="I62" s="11">
        <v>-4844166308</v>
      </c>
      <c r="K62" s="11">
        <v>5666467</v>
      </c>
      <c r="M62" s="11">
        <v>41175413621</v>
      </c>
      <c r="O62" s="11">
        <v>53618175477</v>
      </c>
      <c r="Q62" s="11">
        <v>-12442761856</v>
      </c>
    </row>
    <row r="63" spans="1:17" ht="18.75" x14ac:dyDescent="0.45">
      <c r="A63" s="8" t="s">
        <v>72</v>
      </c>
      <c r="C63" s="11">
        <v>1313770</v>
      </c>
      <c r="E63" s="11">
        <v>52521514556</v>
      </c>
      <c r="G63" s="11">
        <v>58925408427</v>
      </c>
      <c r="I63" s="11">
        <v>-6403893871</v>
      </c>
      <c r="K63" s="11">
        <v>1313770</v>
      </c>
      <c r="M63" s="11">
        <v>52521514556</v>
      </c>
      <c r="O63" s="11">
        <v>70716680815</v>
      </c>
      <c r="Q63" s="11">
        <v>-18195166259</v>
      </c>
    </row>
    <row r="64" spans="1:17" ht="18.75" x14ac:dyDescent="0.45">
      <c r="A64" s="8" t="s">
        <v>73</v>
      </c>
      <c r="C64" s="11">
        <v>7539161</v>
      </c>
      <c r="E64" s="11">
        <v>34016641281</v>
      </c>
      <c r="G64" s="11">
        <v>37538963687</v>
      </c>
      <c r="I64" s="11">
        <v>-3522322406</v>
      </c>
      <c r="K64" s="11">
        <v>7539161</v>
      </c>
      <c r="M64" s="11">
        <v>34016641281</v>
      </c>
      <c r="O64" s="11">
        <v>37029351084</v>
      </c>
      <c r="Q64" s="11">
        <v>-3012709803</v>
      </c>
    </row>
    <row r="65" spans="1:17" ht="37.5" x14ac:dyDescent="0.45">
      <c r="A65" s="8" t="s">
        <v>74</v>
      </c>
      <c r="C65" s="11">
        <v>1400000</v>
      </c>
      <c r="E65" s="11">
        <v>24131557800</v>
      </c>
      <c r="G65" s="11">
        <v>29976526440</v>
      </c>
      <c r="I65" s="11">
        <v>-5844968640</v>
      </c>
      <c r="K65" s="11">
        <v>1400000</v>
      </c>
      <c r="M65" s="11">
        <v>24131557800</v>
      </c>
      <c r="O65" s="11">
        <v>29976526440</v>
      </c>
      <c r="Q65" s="11">
        <v>-5844968640</v>
      </c>
    </row>
    <row r="66" spans="1:17" ht="18.75" x14ac:dyDescent="0.45">
      <c r="A66" s="8" t="s">
        <v>75</v>
      </c>
      <c r="C66" s="11">
        <v>6300000</v>
      </c>
      <c r="E66" s="11">
        <v>44526481650</v>
      </c>
      <c r="G66" s="11">
        <v>47114125502</v>
      </c>
      <c r="I66" s="11">
        <v>-2587643852</v>
      </c>
      <c r="K66" s="11">
        <v>6300000</v>
      </c>
      <c r="M66" s="11">
        <v>44526481650</v>
      </c>
      <c r="O66" s="11">
        <v>42001726352</v>
      </c>
      <c r="Q66" s="11">
        <v>2524755298</v>
      </c>
    </row>
    <row r="67" spans="1:17" ht="18.75" x14ac:dyDescent="0.45">
      <c r="A67" s="8" t="s">
        <v>76</v>
      </c>
      <c r="C67" s="11">
        <v>12447027</v>
      </c>
      <c r="E67" s="11">
        <v>117295728955</v>
      </c>
      <c r="G67" s="11">
        <v>129173777457</v>
      </c>
      <c r="I67" s="11">
        <v>-11878048502</v>
      </c>
      <c r="K67" s="11">
        <v>12447027</v>
      </c>
      <c r="M67" s="11">
        <v>117295728955</v>
      </c>
      <c r="O67" s="11">
        <v>152174731636</v>
      </c>
      <c r="Q67" s="11">
        <v>-34879002681</v>
      </c>
    </row>
    <row r="68" spans="1:17" ht="18.75" x14ac:dyDescent="0.45">
      <c r="A68" s="8" t="s">
        <v>77</v>
      </c>
      <c r="C68" s="11">
        <v>12023071</v>
      </c>
      <c r="E68" s="11">
        <v>77326423217</v>
      </c>
      <c r="G68" s="11">
        <v>88482329360</v>
      </c>
      <c r="I68" s="11">
        <v>-11155906143</v>
      </c>
      <c r="K68" s="11">
        <v>12023071</v>
      </c>
      <c r="M68" s="11">
        <v>77326423217</v>
      </c>
      <c r="O68" s="11">
        <v>110025298005</v>
      </c>
      <c r="Q68" s="11">
        <v>-32698874788</v>
      </c>
    </row>
    <row r="69" spans="1:17" ht="18.75" x14ac:dyDescent="0.45">
      <c r="A69" s="8" t="s">
        <v>78</v>
      </c>
      <c r="C69" s="11">
        <v>25703048</v>
      </c>
      <c r="E69" s="11">
        <v>45428104229</v>
      </c>
      <c r="G69" s="11">
        <v>40474335768</v>
      </c>
      <c r="I69" s="11">
        <v>4953768461</v>
      </c>
      <c r="K69" s="11">
        <v>25703048</v>
      </c>
      <c r="M69" s="11">
        <v>45428104229</v>
      </c>
      <c r="O69" s="11">
        <v>40064810968</v>
      </c>
      <c r="Q69" s="11">
        <v>5363293261</v>
      </c>
    </row>
    <row r="70" spans="1:17" ht="18.75" x14ac:dyDescent="0.45">
      <c r="A70" s="8" t="s">
        <v>79</v>
      </c>
      <c r="C70" s="11">
        <v>177678</v>
      </c>
      <c r="E70" s="11">
        <v>7260881742</v>
      </c>
      <c r="G70" s="11">
        <v>7996166312</v>
      </c>
      <c r="I70" s="11">
        <v>-735284570</v>
      </c>
      <c r="K70" s="11">
        <v>177678</v>
      </c>
      <c r="M70" s="11">
        <v>7260881742</v>
      </c>
      <c r="O70" s="11">
        <v>7499319843</v>
      </c>
      <c r="Q70" s="11">
        <v>-238438101</v>
      </c>
    </row>
    <row r="71" spans="1:17" ht="18.75" x14ac:dyDescent="0.45">
      <c r="A71" s="8" t="s">
        <v>80</v>
      </c>
      <c r="C71" s="11">
        <v>450000</v>
      </c>
      <c r="E71" s="11">
        <v>4034848950</v>
      </c>
      <c r="G71" s="11">
        <v>5142042000</v>
      </c>
      <c r="I71" s="11">
        <v>-1107193050</v>
      </c>
      <c r="K71" s="11">
        <v>450000</v>
      </c>
      <c r="M71" s="11">
        <v>4034848950</v>
      </c>
      <c r="O71" s="11">
        <v>5142042000</v>
      </c>
      <c r="Q71" s="11">
        <v>-1107193050</v>
      </c>
    </row>
    <row r="72" spans="1:17" ht="18.75" x14ac:dyDescent="0.45">
      <c r="A72" s="8" t="s">
        <v>81</v>
      </c>
      <c r="C72" s="11">
        <v>0</v>
      </c>
      <c r="E72" s="11">
        <v>0</v>
      </c>
      <c r="G72" s="11">
        <v>-102992678</v>
      </c>
      <c r="I72" s="11">
        <v>102992678</v>
      </c>
    </row>
    <row r="73" spans="1:17" ht="18.75" x14ac:dyDescent="0.45">
      <c r="A73" s="8" t="s">
        <v>82</v>
      </c>
      <c r="C73" s="11">
        <v>4613772</v>
      </c>
      <c r="E73" s="11">
        <v>45817337365</v>
      </c>
      <c r="G73" s="11">
        <v>48936035003</v>
      </c>
      <c r="I73" s="11">
        <v>-3118697638</v>
      </c>
      <c r="K73" s="11">
        <v>4613772</v>
      </c>
      <c r="M73" s="11">
        <v>45817337365</v>
      </c>
      <c r="O73" s="11">
        <v>34718442828</v>
      </c>
      <c r="Q73" s="11">
        <v>11098894537</v>
      </c>
    </row>
    <row r="74" spans="1:17" ht="18.75" x14ac:dyDescent="0.45">
      <c r="A74" s="8" t="s">
        <v>83</v>
      </c>
      <c r="C74" s="11">
        <v>400000</v>
      </c>
      <c r="E74" s="11">
        <v>1195643340</v>
      </c>
      <c r="G74" s="11">
        <v>1140126686</v>
      </c>
      <c r="I74" s="11">
        <v>55516654</v>
      </c>
      <c r="K74" s="11">
        <v>400000</v>
      </c>
      <c r="M74" s="11">
        <v>1195643340</v>
      </c>
      <c r="O74" s="11">
        <v>1140126686</v>
      </c>
      <c r="Q74" s="11">
        <v>55516654</v>
      </c>
    </row>
    <row r="75" spans="1:17" ht="18.75" x14ac:dyDescent="0.45">
      <c r="A75" s="8" t="s">
        <v>84</v>
      </c>
      <c r="C75" s="11">
        <v>636897</v>
      </c>
      <c r="E75" s="11">
        <v>4064549911</v>
      </c>
      <c r="G75" s="11">
        <v>9714297761</v>
      </c>
      <c r="I75" s="11">
        <v>-5649747850</v>
      </c>
      <c r="K75" s="11">
        <v>636897</v>
      </c>
      <c r="M75" s="11">
        <v>4064549911</v>
      </c>
      <c r="O75" s="11">
        <v>3110234705</v>
      </c>
      <c r="Q75" s="11">
        <v>954315206</v>
      </c>
    </row>
    <row r="76" spans="1:17" ht="18.75" x14ac:dyDescent="0.45">
      <c r="A76" s="8" t="s">
        <v>85</v>
      </c>
      <c r="C76" s="11">
        <v>407809</v>
      </c>
      <c r="E76" s="11">
        <v>20889362103</v>
      </c>
      <c r="G76" s="11">
        <v>21643373621</v>
      </c>
      <c r="I76" s="11">
        <v>-754011518</v>
      </c>
      <c r="K76" s="11">
        <v>407809</v>
      </c>
      <c r="M76" s="11">
        <v>20889362103</v>
      </c>
      <c r="O76" s="11">
        <v>25774221667</v>
      </c>
      <c r="Q76" s="11">
        <v>-4884859564</v>
      </c>
    </row>
    <row r="77" spans="1:17" ht="18.75" x14ac:dyDescent="0.45">
      <c r="A77" s="8" t="s">
        <v>86</v>
      </c>
      <c r="C77" s="11">
        <v>5595429</v>
      </c>
      <c r="E77" s="11">
        <v>126538598492</v>
      </c>
      <c r="G77" s="11">
        <v>137073023991</v>
      </c>
      <c r="I77" s="11">
        <v>-10534425499</v>
      </c>
      <c r="K77" s="11">
        <v>5595429</v>
      </c>
      <c r="M77" s="11">
        <v>126538598492</v>
      </c>
      <c r="O77" s="11">
        <v>158419259209</v>
      </c>
      <c r="Q77" s="11">
        <v>-31880660717</v>
      </c>
    </row>
    <row r="78" spans="1:17" ht="18.75" x14ac:dyDescent="0.45">
      <c r="A78" s="8" t="s">
        <v>87</v>
      </c>
      <c r="C78" s="11">
        <v>4400000</v>
      </c>
      <c r="E78" s="11">
        <v>169485525000</v>
      </c>
      <c r="G78" s="11">
        <v>207859525821</v>
      </c>
      <c r="I78" s="11">
        <v>-38374000821</v>
      </c>
      <c r="K78" s="11">
        <v>4400000</v>
      </c>
      <c r="M78" s="11">
        <v>169485525000</v>
      </c>
      <c r="O78" s="11">
        <v>218653740913</v>
      </c>
      <c r="Q78" s="11">
        <v>-49168215913</v>
      </c>
    </row>
    <row r="79" spans="1:17" ht="18.75" x14ac:dyDescent="0.45">
      <c r="A79" s="8" t="s">
        <v>88</v>
      </c>
      <c r="C79" s="11">
        <v>450000</v>
      </c>
      <c r="E79" s="11">
        <v>6235675650</v>
      </c>
      <c r="G79" s="11">
        <v>7510544775</v>
      </c>
      <c r="I79" s="11">
        <v>-1274869125</v>
      </c>
      <c r="K79" s="11">
        <v>450000</v>
      </c>
      <c r="M79" s="11">
        <v>6235675650</v>
      </c>
      <c r="O79" s="11">
        <v>10320177398</v>
      </c>
      <c r="Q79" s="11">
        <v>-4084501748</v>
      </c>
    </row>
    <row r="80" spans="1:17" ht="18.75" x14ac:dyDescent="0.45">
      <c r="A80" s="8" t="s">
        <v>89</v>
      </c>
      <c r="C80" s="11">
        <v>0</v>
      </c>
      <c r="E80" s="11">
        <v>0</v>
      </c>
      <c r="G80" s="11">
        <v>-18443733052</v>
      </c>
      <c r="I80" s="11">
        <v>18443733052</v>
      </c>
    </row>
    <row r="81" spans="1:17" ht="37.5" x14ac:dyDescent="0.45">
      <c r="A81" s="8" t="s">
        <v>90</v>
      </c>
      <c r="C81" s="11">
        <v>21600000</v>
      </c>
      <c r="E81" s="11">
        <v>40709926080</v>
      </c>
      <c r="G81" s="11">
        <v>47451970800</v>
      </c>
      <c r="I81" s="11">
        <v>-6742044720</v>
      </c>
      <c r="K81" s="11">
        <v>21600000</v>
      </c>
      <c r="M81" s="11">
        <v>40709926080</v>
      </c>
      <c r="O81" s="11">
        <v>53460265827</v>
      </c>
      <c r="Q81" s="11">
        <v>-12750339747</v>
      </c>
    </row>
    <row r="82" spans="1:17" ht="18.75" x14ac:dyDescent="0.45">
      <c r="A82" s="13" t="s">
        <v>91</v>
      </c>
      <c r="C82" s="13">
        <f>SUM(C9:$C$81)</f>
        <v>471638368</v>
      </c>
      <c r="E82" s="13">
        <f>SUM(E9:$E$81)</f>
        <v>3305047589614</v>
      </c>
      <c r="G82" s="13">
        <f>SUM(G9:$G$81)</f>
        <v>3615195128427</v>
      </c>
      <c r="I82" s="13">
        <f>SUM(I9:$I$81)</f>
        <v>-310147538813</v>
      </c>
      <c r="K82" s="13">
        <f>SUM(K9:$K$81)</f>
        <v>471638368</v>
      </c>
      <c r="M82" s="13">
        <f>SUM(M9:$M$81)</f>
        <v>3305047589614</v>
      </c>
      <c r="O82" s="13">
        <f>SUM(O9:$O$81)</f>
        <v>4023293879314</v>
      </c>
      <c r="Q82" s="13">
        <f>SUM(Q9:$Q$81)</f>
        <v>-718246289700</v>
      </c>
    </row>
    <row r="83" spans="1:17" ht="18.75" x14ac:dyDescent="0.45">
      <c r="C83" s="15"/>
      <c r="E83" s="15"/>
      <c r="G83" s="15"/>
      <c r="I83" s="15"/>
      <c r="K83" s="15"/>
      <c r="M83" s="15"/>
      <c r="O83" s="15"/>
      <c r="Q83" s="15"/>
    </row>
    <row r="85" spans="1:17" ht="18.75" x14ac:dyDescent="0.45">
      <c r="A85" s="43" t="s">
        <v>228</v>
      </c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5"/>
    </row>
  </sheetData>
  <mergeCells count="7">
    <mergeCell ref="A85:Q85"/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74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A111"/>
  <sheetViews>
    <sheetView rightToLeft="1" view="pageBreakPreview" topLeftCell="A79" zoomScale="60" zoomScaleNormal="100" workbookViewId="0">
      <selection activeCell="N24" sqref="N24"/>
    </sheetView>
  </sheetViews>
  <sheetFormatPr defaultRowHeight="18" x14ac:dyDescent="0.45"/>
  <cols>
    <col min="1" max="1" width="21.140625" style="4" bestFit="1" customWidth="1"/>
    <col min="2" max="2" width="1.42578125" style="4" customWidth="1"/>
    <col min="3" max="3" width="15.5703125" style="4" bestFit="1" customWidth="1"/>
    <col min="4" max="4" width="1.42578125" style="4" customWidth="1"/>
    <col min="5" max="5" width="19" style="4" bestFit="1" customWidth="1"/>
    <col min="6" max="6" width="1.42578125" style="4" customWidth="1"/>
    <col min="7" max="7" width="17" style="4" customWidth="1"/>
    <col min="8" max="8" width="1.42578125" style="4" customWidth="1"/>
    <col min="9" max="9" width="18.7109375" style="4" bestFit="1" customWidth="1"/>
    <col min="10" max="10" width="1.42578125" style="4" customWidth="1"/>
    <col min="11" max="11" width="11.5703125" style="4" bestFit="1" customWidth="1"/>
    <col min="12" max="12" width="1.42578125" style="4" customWidth="1"/>
    <col min="13" max="13" width="18.28515625" style="4" bestFit="1" customWidth="1"/>
    <col min="14" max="14" width="1.42578125" style="4" customWidth="1"/>
    <col min="15" max="15" width="18.7109375" style="4" bestFit="1" customWidth="1"/>
    <col min="16" max="16" width="1.42578125" style="4" customWidth="1"/>
    <col min="17" max="17" width="17.7109375" style="4" bestFit="1" customWidth="1"/>
    <col min="18" max="18" width="1.42578125" style="4" customWidth="1"/>
    <col min="19" max="19" width="19" style="4" bestFit="1" customWidth="1"/>
    <col min="20" max="20" width="1.42578125" style="4" customWidth="1"/>
    <col min="21" max="21" width="11.5703125" style="4" bestFit="1" customWidth="1"/>
    <col min="22" max="16384" width="9.140625" style="4"/>
  </cols>
  <sheetData>
    <row r="1" spans="1:27" ht="20.100000000000001" customHeight="1" x14ac:dyDescent="0.45">
      <c r="A1" s="37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</row>
    <row r="2" spans="1:27" ht="20.100000000000001" customHeight="1" x14ac:dyDescent="0.45">
      <c r="A2" s="37" t="s">
        <v>128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</row>
    <row r="3" spans="1:27" ht="20.100000000000001" customHeight="1" x14ac:dyDescent="0.45">
      <c r="A3" s="37" t="s">
        <v>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</row>
    <row r="5" spans="1:27" ht="21" x14ac:dyDescent="0.45">
      <c r="A5" s="38" t="s">
        <v>231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</row>
    <row r="7" spans="1:27" ht="21" x14ac:dyDescent="0.45">
      <c r="C7" s="31" t="s">
        <v>140</v>
      </c>
      <c r="D7" s="32"/>
      <c r="E7" s="32"/>
      <c r="F7" s="32"/>
      <c r="G7" s="32"/>
      <c r="H7" s="32"/>
      <c r="I7" s="32"/>
      <c r="J7" s="32"/>
      <c r="K7" s="32"/>
      <c r="M7" s="31" t="s">
        <v>7</v>
      </c>
      <c r="N7" s="32"/>
      <c r="O7" s="32"/>
      <c r="P7" s="32"/>
      <c r="Q7" s="32"/>
      <c r="R7" s="32"/>
      <c r="S7" s="32"/>
      <c r="T7" s="32"/>
      <c r="U7" s="32"/>
      <c r="AA7" s="18"/>
    </row>
    <row r="8" spans="1:27" ht="42" x14ac:dyDescent="0.45">
      <c r="A8" s="6" t="s">
        <v>232</v>
      </c>
      <c r="C8" s="16" t="s">
        <v>138</v>
      </c>
      <c r="E8" s="16" t="s">
        <v>233</v>
      </c>
      <c r="G8" s="16" t="s">
        <v>234</v>
      </c>
      <c r="I8" s="16" t="s">
        <v>235</v>
      </c>
      <c r="K8" s="16" t="s">
        <v>236</v>
      </c>
      <c r="M8" s="16" t="s">
        <v>138</v>
      </c>
      <c r="O8" s="16" t="s">
        <v>233</v>
      </c>
      <c r="Q8" s="16" t="s">
        <v>234</v>
      </c>
      <c r="S8" s="16" t="s">
        <v>235</v>
      </c>
      <c r="U8" s="16" t="s">
        <v>236</v>
      </c>
    </row>
    <row r="9" spans="1:27" ht="18.75" x14ac:dyDescent="0.45">
      <c r="A9" s="8" t="s">
        <v>17</v>
      </c>
      <c r="C9" s="11">
        <v>0</v>
      </c>
      <c r="E9" s="11">
        <v>-395134875</v>
      </c>
      <c r="G9" s="11">
        <v>0</v>
      </c>
      <c r="I9" s="11">
        <v>-395134875</v>
      </c>
      <c r="K9" s="12">
        <v>-1.0783989530082434E-3</v>
      </c>
      <c r="M9" s="11">
        <v>96000000</v>
      </c>
      <c r="O9" s="11">
        <v>-544242375</v>
      </c>
      <c r="Q9" s="11">
        <v>0</v>
      </c>
      <c r="S9" s="11">
        <v>-448242375</v>
      </c>
      <c r="U9" s="12">
        <v>-4.5331957975027067E-4</v>
      </c>
    </row>
    <row r="10" spans="1:27" ht="18.75" x14ac:dyDescent="0.45">
      <c r="A10" s="8" t="s">
        <v>237</v>
      </c>
      <c r="C10" s="11">
        <v>0</v>
      </c>
      <c r="E10" s="11">
        <v>-4901859360</v>
      </c>
      <c r="G10" s="11">
        <v>0</v>
      </c>
      <c r="I10" s="11">
        <v>-4901859360</v>
      </c>
      <c r="K10" s="12">
        <v>-1.3378115514652201E-2</v>
      </c>
      <c r="M10" s="11">
        <v>0</v>
      </c>
      <c r="O10" s="11">
        <v>-11744354555</v>
      </c>
      <c r="Q10" s="11">
        <v>0</v>
      </c>
      <c r="S10" s="11">
        <v>-11744354555</v>
      </c>
      <c r="U10" s="12">
        <v>-1.1877381899269958E-2</v>
      </c>
    </row>
    <row r="11" spans="1:27" ht="18.75" x14ac:dyDescent="0.45">
      <c r="A11" s="8" t="s">
        <v>19</v>
      </c>
      <c r="C11" s="11">
        <v>1421685000</v>
      </c>
      <c r="E11" s="11">
        <v>-1036365714</v>
      </c>
      <c r="G11" s="11">
        <v>0</v>
      </c>
      <c r="I11" s="11">
        <v>385319286</v>
      </c>
      <c r="K11" s="12">
        <v>1.0516103257053276E-3</v>
      </c>
      <c r="M11" s="11">
        <v>1421685000</v>
      </c>
      <c r="O11" s="11">
        <v>-1224795844</v>
      </c>
      <c r="Q11" s="11">
        <v>-367388939</v>
      </c>
      <c r="S11" s="11">
        <v>-170499783</v>
      </c>
      <c r="U11" s="12">
        <v>-1.7243102010842314E-4</v>
      </c>
    </row>
    <row r="12" spans="1:27" ht="18.75" x14ac:dyDescent="0.45">
      <c r="A12" s="8" t="s">
        <v>20</v>
      </c>
      <c r="C12" s="11">
        <v>0</v>
      </c>
      <c r="E12" s="11">
        <v>-5225035489</v>
      </c>
      <c r="G12" s="11">
        <v>0</v>
      </c>
      <c r="I12" s="11">
        <v>-5225035489</v>
      </c>
      <c r="K12" s="12">
        <v>-1.4260125231336553E-2</v>
      </c>
      <c r="M12" s="11">
        <v>0</v>
      </c>
      <c r="O12" s="11">
        <v>-12346958457</v>
      </c>
      <c r="Q12" s="11">
        <v>0</v>
      </c>
      <c r="S12" s="11">
        <v>-12346958457</v>
      </c>
      <c r="U12" s="12">
        <v>-1.2486811446421794E-2</v>
      </c>
    </row>
    <row r="13" spans="1:27" ht="18.75" x14ac:dyDescent="0.45">
      <c r="A13" s="8" t="s">
        <v>22</v>
      </c>
      <c r="C13" s="11">
        <v>0</v>
      </c>
      <c r="E13" s="11">
        <v>-3564663300</v>
      </c>
      <c r="G13" s="11">
        <v>0</v>
      </c>
      <c r="I13" s="11">
        <v>-3564663300</v>
      </c>
      <c r="K13" s="12">
        <v>-9.7286506804718509E-3</v>
      </c>
      <c r="M13" s="11">
        <v>0</v>
      </c>
      <c r="O13" s="11">
        <v>-22534076180</v>
      </c>
      <c r="Q13" s="11">
        <v>0</v>
      </c>
      <c r="S13" s="11">
        <v>-22534076180</v>
      </c>
      <c r="U13" s="12">
        <v>-2.2789317819356513E-2</v>
      </c>
    </row>
    <row r="14" spans="1:27" ht="18.75" x14ac:dyDescent="0.45">
      <c r="A14" s="8" t="s">
        <v>23</v>
      </c>
      <c r="C14" s="11">
        <v>0</v>
      </c>
      <c r="E14" s="11">
        <v>-2072594250</v>
      </c>
      <c r="G14" s="11">
        <v>0</v>
      </c>
      <c r="I14" s="11">
        <v>-2072594250</v>
      </c>
      <c r="K14" s="12">
        <v>-5.6565077157790878E-3</v>
      </c>
      <c r="M14" s="11">
        <v>0</v>
      </c>
      <c r="O14" s="11">
        <v>-2038120996</v>
      </c>
      <c r="Q14" s="11">
        <v>0</v>
      </c>
      <c r="S14" s="11">
        <v>-2038120996</v>
      </c>
      <c r="U14" s="12">
        <v>-2.0612066259619545E-3</v>
      </c>
    </row>
    <row r="15" spans="1:27" ht="18.75" x14ac:dyDescent="0.45">
      <c r="A15" s="8" t="s">
        <v>238</v>
      </c>
      <c r="C15" s="11">
        <v>0</v>
      </c>
      <c r="E15" s="11">
        <v>2533808109</v>
      </c>
      <c r="G15" s="11">
        <v>-57613315</v>
      </c>
      <c r="I15" s="11">
        <v>2476194794</v>
      </c>
      <c r="K15" s="12">
        <v>6.7580111051803839E-3</v>
      </c>
      <c r="M15" s="11">
        <v>216540800</v>
      </c>
      <c r="O15" s="11">
        <v>4829285774</v>
      </c>
      <c r="Q15" s="11">
        <v>-57613315</v>
      </c>
      <c r="S15" s="11">
        <v>4988213259</v>
      </c>
      <c r="U15" s="12">
        <v>5.0447143429369172E-3</v>
      </c>
    </row>
    <row r="16" spans="1:27" ht="18.75" x14ac:dyDescent="0.45">
      <c r="A16" s="8" t="s">
        <v>25</v>
      </c>
      <c r="C16" s="11">
        <v>0</v>
      </c>
      <c r="E16" s="11">
        <v>-111830625</v>
      </c>
      <c r="G16" s="11">
        <v>0</v>
      </c>
      <c r="I16" s="11">
        <v>-111830625</v>
      </c>
      <c r="K16" s="12">
        <v>-3.0520725085138962E-4</v>
      </c>
      <c r="M16" s="11">
        <v>519025280</v>
      </c>
      <c r="O16" s="11">
        <v>-829458546</v>
      </c>
      <c r="Q16" s="11">
        <v>1188423996</v>
      </c>
      <c r="S16" s="11">
        <v>877990730</v>
      </c>
      <c r="U16" s="12">
        <v>8.8793565924737345E-4</v>
      </c>
    </row>
    <row r="17" spans="1:21" ht="37.5" x14ac:dyDescent="0.45">
      <c r="A17" s="8" t="s">
        <v>26</v>
      </c>
      <c r="C17" s="11">
        <v>0</v>
      </c>
      <c r="E17" s="11">
        <v>-7130203914</v>
      </c>
      <c r="G17" s="11">
        <v>0</v>
      </c>
      <c r="I17" s="11">
        <v>-7130203914</v>
      </c>
      <c r="K17" s="12">
        <v>-1.9459695719323381E-2</v>
      </c>
      <c r="M17" s="11">
        <v>108343700</v>
      </c>
      <c r="O17" s="11">
        <v>-7975891553</v>
      </c>
      <c r="Q17" s="11">
        <v>-136551902</v>
      </c>
      <c r="S17" s="11">
        <v>-8004099755</v>
      </c>
      <c r="U17" s="12">
        <v>-8.0947615388122212E-3</v>
      </c>
    </row>
    <row r="18" spans="1:21" ht="18.75" x14ac:dyDescent="0.45">
      <c r="A18" s="8" t="s">
        <v>27</v>
      </c>
      <c r="C18" s="11">
        <v>0</v>
      </c>
      <c r="E18" s="11">
        <v>-526336950</v>
      </c>
      <c r="G18" s="11">
        <v>0</v>
      </c>
      <c r="I18" s="11">
        <v>-526336950</v>
      </c>
      <c r="K18" s="12">
        <v>-1.4364746108769878E-3</v>
      </c>
      <c r="M18" s="11">
        <v>0</v>
      </c>
      <c r="O18" s="11">
        <v>-11171584116</v>
      </c>
      <c r="Q18" s="11">
        <v>0</v>
      </c>
      <c r="S18" s="11">
        <v>-11171584116</v>
      </c>
      <c r="U18" s="12">
        <v>-1.1298123736315467E-2</v>
      </c>
    </row>
    <row r="19" spans="1:21" ht="18.75" x14ac:dyDescent="0.45">
      <c r="A19" s="8" t="s">
        <v>28</v>
      </c>
      <c r="C19" s="11">
        <v>0</v>
      </c>
      <c r="E19" s="11">
        <v>-23523323560</v>
      </c>
      <c r="G19" s="11">
        <v>1507145628</v>
      </c>
      <c r="I19" s="11">
        <v>-22016177932</v>
      </c>
      <c r="K19" s="12">
        <v>-6.0086377420145443E-2</v>
      </c>
      <c r="M19" s="11">
        <v>10332000000</v>
      </c>
      <c r="O19" s="11">
        <v>-70479153831</v>
      </c>
      <c r="Q19" s="11">
        <v>2652429300</v>
      </c>
      <c r="S19" s="11">
        <v>-57494724531</v>
      </c>
      <c r="U19" s="12">
        <v>-5.8145962577167094E-2</v>
      </c>
    </row>
    <row r="20" spans="1:21" ht="18.75" x14ac:dyDescent="0.45">
      <c r="A20" s="8" t="s">
        <v>155</v>
      </c>
      <c r="C20" s="11">
        <v>0</v>
      </c>
      <c r="E20" s="11">
        <v>-3785342400</v>
      </c>
      <c r="G20" s="11">
        <v>0</v>
      </c>
      <c r="I20" s="11">
        <v>-3785342400</v>
      </c>
      <c r="K20" s="12">
        <v>-1.0330926322151927E-2</v>
      </c>
      <c r="M20" s="11">
        <v>516228000</v>
      </c>
      <c r="O20" s="11">
        <v>-8171566971</v>
      </c>
      <c r="Q20" s="11">
        <v>3832514712</v>
      </c>
      <c r="S20" s="11">
        <v>-3822824259</v>
      </c>
      <c r="U20" s="12">
        <v>-3.866125076972073E-3</v>
      </c>
    </row>
    <row r="21" spans="1:21" ht="18.75" x14ac:dyDescent="0.45">
      <c r="A21" s="8" t="s">
        <v>30</v>
      </c>
      <c r="C21" s="11">
        <v>0</v>
      </c>
      <c r="E21" s="11">
        <v>-14569252721</v>
      </c>
      <c r="G21" s="11">
        <v>0</v>
      </c>
      <c r="I21" s="11">
        <v>-14569252721</v>
      </c>
      <c r="K21" s="12">
        <v>-3.9762288460209697E-2</v>
      </c>
      <c r="M21" s="11">
        <v>4562276550</v>
      </c>
      <c r="O21" s="11">
        <v>-17865944943</v>
      </c>
      <c r="Q21" s="11">
        <v>-1679567500</v>
      </c>
      <c r="S21" s="11">
        <v>-14983235893</v>
      </c>
      <c r="U21" s="12">
        <v>-1.5152949781496967E-2</v>
      </c>
    </row>
    <row r="22" spans="1:21" ht="37.5" x14ac:dyDescent="0.45">
      <c r="A22" s="8" t="s">
        <v>31</v>
      </c>
      <c r="C22" s="11">
        <v>0</v>
      </c>
      <c r="E22" s="11">
        <v>2293834968</v>
      </c>
      <c r="G22" s="11">
        <v>0</v>
      </c>
      <c r="I22" s="11">
        <v>2293834968</v>
      </c>
      <c r="K22" s="12">
        <v>6.2603161208306338E-3</v>
      </c>
      <c r="M22" s="11">
        <v>30532500</v>
      </c>
      <c r="O22" s="11">
        <v>4922684151</v>
      </c>
      <c r="Q22" s="11">
        <v>0</v>
      </c>
      <c r="S22" s="11">
        <v>4953216651</v>
      </c>
      <c r="U22" s="12">
        <v>5.0093213312181004E-3</v>
      </c>
    </row>
    <row r="23" spans="1:21" ht="37.5" x14ac:dyDescent="0.45">
      <c r="A23" s="8" t="s">
        <v>32</v>
      </c>
      <c r="C23" s="11">
        <v>0</v>
      </c>
      <c r="E23" s="11">
        <v>-2709929086</v>
      </c>
      <c r="G23" s="11">
        <v>0</v>
      </c>
      <c r="I23" s="11">
        <v>-2709929086</v>
      </c>
      <c r="K23" s="12">
        <v>-7.3959168728626803E-3</v>
      </c>
      <c r="M23" s="11">
        <v>0</v>
      </c>
      <c r="O23" s="11">
        <v>-2709929086</v>
      </c>
      <c r="Q23" s="11">
        <v>0</v>
      </c>
      <c r="S23" s="11">
        <v>-2709929086</v>
      </c>
      <c r="U23" s="12">
        <v>-2.7406242312957474E-3</v>
      </c>
    </row>
    <row r="24" spans="1:21" ht="37.5" x14ac:dyDescent="0.45">
      <c r="A24" s="8" t="s">
        <v>33</v>
      </c>
      <c r="C24" s="11">
        <v>0</v>
      </c>
      <c r="E24" s="11">
        <v>-11935760351</v>
      </c>
      <c r="G24" s="11">
        <v>0</v>
      </c>
      <c r="I24" s="11">
        <v>-11935760351</v>
      </c>
      <c r="K24" s="12">
        <v>-3.2574982063721163E-2</v>
      </c>
      <c r="M24" s="11">
        <v>0</v>
      </c>
      <c r="O24" s="11">
        <v>-22807953292</v>
      </c>
      <c r="Q24" s="11">
        <v>-9097577</v>
      </c>
      <c r="S24" s="11">
        <v>-22817050869</v>
      </c>
      <c r="U24" s="12">
        <v>-2.3075497739533501E-2</v>
      </c>
    </row>
    <row r="25" spans="1:21" ht="18.75" x14ac:dyDescent="0.45">
      <c r="A25" s="8" t="s">
        <v>34</v>
      </c>
      <c r="C25" s="11">
        <v>0</v>
      </c>
      <c r="E25" s="11">
        <v>-601587900</v>
      </c>
      <c r="G25" s="11">
        <v>1004052600</v>
      </c>
      <c r="I25" s="11">
        <v>402464700</v>
      </c>
      <c r="K25" s="12">
        <v>1.0984034530051967E-3</v>
      </c>
      <c r="M25" s="11">
        <v>0</v>
      </c>
      <c r="O25" s="11">
        <v>-571391100</v>
      </c>
      <c r="Q25" s="11">
        <v>1004052600</v>
      </c>
      <c r="S25" s="11">
        <v>432661500</v>
      </c>
      <c r="U25" s="12">
        <v>4.3756222145244911E-4</v>
      </c>
    </row>
    <row r="26" spans="1:21" ht="18.75" x14ac:dyDescent="0.45">
      <c r="A26" s="8" t="s">
        <v>35</v>
      </c>
      <c r="C26" s="11">
        <v>0</v>
      </c>
      <c r="E26" s="11">
        <v>121218666</v>
      </c>
      <c r="G26" s="11">
        <v>3677741235</v>
      </c>
      <c r="I26" s="11">
        <v>3798959901</v>
      </c>
      <c r="K26" s="12">
        <v>1.0368091097397314E-2</v>
      </c>
      <c r="M26" s="11">
        <v>506949840</v>
      </c>
      <c r="O26" s="11">
        <v>-13046711160</v>
      </c>
      <c r="Q26" s="11">
        <v>3677741235</v>
      </c>
      <c r="S26" s="11">
        <v>-8862020085</v>
      </c>
      <c r="U26" s="12">
        <v>-8.9623994622789905E-3</v>
      </c>
    </row>
    <row r="27" spans="1:21" ht="18.75" x14ac:dyDescent="0.45">
      <c r="A27" s="8" t="s">
        <v>36</v>
      </c>
      <c r="C27" s="11">
        <v>2994742014</v>
      </c>
      <c r="E27" s="11">
        <v>2115264204</v>
      </c>
      <c r="G27" s="11">
        <v>0</v>
      </c>
      <c r="I27" s="11">
        <v>5110006218</v>
      </c>
      <c r="K27" s="12">
        <v>1.3946188261303975E-2</v>
      </c>
      <c r="M27" s="11">
        <v>2994742014</v>
      </c>
      <c r="O27" s="11">
        <v>430416905</v>
      </c>
      <c r="Q27" s="11">
        <v>106284976</v>
      </c>
      <c r="S27" s="11">
        <v>3531443895</v>
      </c>
      <c r="U27" s="12">
        <v>3.5714442714012903E-3</v>
      </c>
    </row>
    <row r="28" spans="1:21" ht="18.75" x14ac:dyDescent="0.45">
      <c r="A28" s="8" t="s">
        <v>37</v>
      </c>
      <c r="C28" s="11">
        <v>0</v>
      </c>
      <c r="E28" s="11">
        <v>-17811016364</v>
      </c>
      <c r="G28" s="11">
        <v>0</v>
      </c>
      <c r="I28" s="11">
        <v>-17811016364</v>
      </c>
      <c r="K28" s="12">
        <v>-4.860968396917708E-2</v>
      </c>
      <c r="M28" s="11">
        <v>5856000000</v>
      </c>
      <c r="O28" s="11">
        <v>-34180775472</v>
      </c>
      <c r="Q28" s="11">
        <v>-2286428220</v>
      </c>
      <c r="S28" s="11">
        <v>-30611203692</v>
      </c>
      <c r="U28" s="12">
        <v>-3.0957934294604285E-2</v>
      </c>
    </row>
    <row r="29" spans="1:21" ht="18.75" x14ac:dyDescent="0.45">
      <c r="A29" s="8" t="s">
        <v>38</v>
      </c>
      <c r="C29" s="11">
        <v>0</v>
      </c>
      <c r="E29" s="11">
        <v>-16152736746</v>
      </c>
      <c r="G29" s="11">
        <v>0</v>
      </c>
      <c r="I29" s="11">
        <v>-16152736746</v>
      </c>
      <c r="K29" s="12">
        <v>-4.4083920446415112E-2</v>
      </c>
      <c r="M29" s="11">
        <v>11458002500</v>
      </c>
      <c r="O29" s="11">
        <v>-13597323315</v>
      </c>
      <c r="Q29" s="11">
        <v>53848100</v>
      </c>
      <c r="S29" s="11">
        <v>-2085472715</v>
      </c>
      <c r="U29" s="12">
        <v>-2.1090946940133808E-3</v>
      </c>
    </row>
    <row r="30" spans="1:21" ht="18.75" x14ac:dyDescent="0.45">
      <c r="A30" s="8" t="s">
        <v>39</v>
      </c>
      <c r="C30" s="11">
        <v>0</v>
      </c>
      <c r="E30" s="11">
        <v>2416330403</v>
      </c>
      <c r="G30" s="11">
        <v>7163358903</v>
      </c>
      <c r="I30" s="11">
        <v>9579689306</v>
      </c>
      <c r="K30" s="12">
        <v>2.6144811737345799E-2</v>
      </c>
      <c r="M30" s="11">
        <v>5465313900</v>
      </c>
      <c r="O30" s="11">
        <v>0</v>
      </c>
      <c r="Q30" s="11">
        <v>15812328954</v>
      </c>
      <c r="S30" s="11">
        <v>21277642854</v>
      </c>
      <c r="U30" s="12">
        <v>2.1518652975751409E-2</v>
      </c>
    </row>
    <row r="31" spans="1:21" ht="37.5" x14ac:dyDescent="0.45">
      <c r="A31" s="8" t="s">
        <v>40</v>
      </c>
      <c r="C31" s="11">
        <v>0</v>
      </c>
      <c r="E31" s="11">
        <v>-2914627635</v>
      </c>
      <c r="G31" s="11">
        <v>2451548985</v>
      </c>
      <c r="I31" s="11">
        <v>-463078650</v>
      </c>
      <c r="K31" s="12">
        <v>-1.2638305624641986E-3</v>
      </c>
      <c r="M31" s="11">
        <v>0</v>
      </c>
      <c r="O31" s="11">
        <v>-2914627635</v>
      </c>
      <c r="Q31" s="11">
        <v>2451548985</v>
      </c>
      <c r="S31" s="11">
        <v>-463078650</v>
      </c>
      <c r="U31" s="12">
        <v>-4.6832390402474258E-4</v>
      </c>
    </row>
    <row r="32" spans="1:21" ht="18.75" x14ac:dyDescent="0.45">
      <c r="A32" s="8" t="s">
        <v>41</v>
      </c>
      <c r="C32" s="11">
        <v>289520</v>
      </c>
      <c r="E32" s="11">
        <v>-2088212</v>
      </c>
      <c r="G32" s="11">
        <v>0</v>
      </c>
      <c r="I32" s="11">
        <v>-1798692</v>
      </c>
      <c r="K32" s="12">
        <v>-4.9089758771212066E-6</v>
      </c>
      <c r="M32" s="11">
        <v>289520</v>
      </c>
      <c r="O32" s="11">
        <v>-2075772</v>
      </c>
      <c r="Q32" s="11">
        <v>0</v>
      </c>
      <c r="S32" s="11">
        <v>-1786252</v>
      </c>
      <c r="U32" s="12">
        <v>-1.8064847304275516E-6</v>
      </c>
    </row>
    <row r="33" spans="1:21" ht="18.75" x14ac:dyDescent="0.45">
      <c r="A33" s="8" t="s">
        <v>42</v>
      </c>
      <c r="C33" s="11">
        <v>0</v>
      </c>
      <c r="E33" s="11">
        <v>-662778594</v>
      </c>
      <c r="G33" s="11">
        <v>0</v>
      </c>
      <c r="I33" s="11">
        <v>-662778594</v>
      </c>
      <c r="K33" s="12">
        <v>-1.8088500587195085E-3</v>
      </c>
      <c r="M33" s="11">
        <v>7470000000</v>
      </c>
      <c r="O33" s="11">
        <v>-6656260679</v>
      </c>
      <c r="Q33" s="11">
        <v>33244203072</v>
      </c>
      <c r="S33" s="11">
        <v>34057942393</v>
      </c>
      <c r="U33" s="12">
        <v>3.4443713923195431E-2</v>
      </c>
    </row>
    <row r="34" spans="1:21" ht="18.75" x14ac:dyDescent="0.45">
      <c r="A34" s="8" t="s">
        <v>43</v>
      </c>
      <c r="C34" s="11">
        <v>0</v>
      </c>
      <c r="E34" s="11">
        <v>5182299250</v>
      </c>
      <c r="G34" s="11">
        <v>0</v>
      </c>
      <c r="I34" s="11">
        <v>5182299250</v>
      </c>
      <c r="K34" s="12">
        <v>1.4143489828315977E-2</v>
      </c>
      <c r="M34" s="11">
        <v>354565120</v>
      </c>
      <c r="O34" s="11">
        <v>-4099539159</v>
      </c>
      <c r="Q34" s="11">
        <v>0</v>
      </c>
      <c r="S34" s="11">
        <v>-3744974039</v>
      </c>
      <c r="U34" s="12">
        <v>-3.7873930538922245E-3</v>
      </c>
    </row>
    <row r="35" spans="1:21" ht="18.75" x14ac:dyDescent="0.45">
      <c r="A35" s="8" t="s">
        <v>44</v>
      </c>
      <c r="C35" s="11">
        <v>0</v>
      </c>
      <c r="E35" s="11">
        <v>-9098271525</v>
      </c>
      <c r="G35" s="11">
        <v>0</v>
      </c>
      <c r="I35" s="11">
        <v>-9098271525</v>
      </c>
      <c r="K35" s="12">
        <v>-2.4830930164655079E-2</v>
      </c>
      <c r="M35" s="11">
        <v>1299231570</v>
      </c>
      <c r="O35" s="11">
        <v>-15101153566</v>
      </c>
      <c r="Q35" s="11">
        <v>0</v>
      </c>
      <c r="S35" s="11">
        <v>-13801921996</v>
      </c>
      <c r="U35" s="12">
        <v>-1.3958255238525221E-2</v>
      </c>
    </row>
    <row r="36" spans="1:21" ht="18.75" x14ac:dyDescent="0.45">
      <c r="A36" s="8" t="s">
        <v>45</v>
      </c>
      <c r="C36" s="11">
        <v>0</v>
      </c>
      <c r="E36" s="11">
        <v>-3207489811</v>
      </c>
      <c r="G36" s="11">
        <v>0</v>
      </c>
      <c r="I36" s="11">
        <v>-3207489811</v>
      </c>
      <c r="K36" s="12">
        <v>-8.7538556397154486E-3</v>
      </c>
      <c r="M36" s="11">
        <v>663429592</v>
      </c>
      <c r="O36" s="11">
        <v>-1553277409</v>
      </c>
      <c r="Q36" s="11">
        <v>-3300327643</v>
      </c>
      <c r="S36" s="11">
        <v>-4190175460</v>
      </c>
      <c r="U36" s="12">
        <v>-4.2376372350050508E-3</v>
      </c>
    </row>
    <row r="37" spans="1:21" ht="18.75" x14ac:dyDescent="0.45">
      <c r="A37" s="8" t="s">
        <v>46</v>
      </c>
      <c r="C37" s="11">
        <v>0</v>
      </c>
      <c r="E37" s="11">
        <v>-6762078026</v>
      </c>
      <c r="G37" s="11">
        <v>-2495597730</v>
      </c>
      <c r="I37" s="11">
        <v>-9257675756</v>
      </c>
      <c r="K37" s="12">
        <v>-2.5265974922006565E-2</v>
      </c>
      <c r="M37" s="11">
        <v>4973291130</v>
      </c>
      <c r="O37" s="11">
        <v>6452293300</v>
      </c>
      <c r="Q37" s="11">
        <v>-10903300707</v>
      </c>
      <c r="S37" s="11">
        <v>522283723</v>
      </c>
      <c r="U37" s="12">
        <v>5.2819958804824457E-4</v>
      </c>
    </row>
    <row r="38" spans="1:21" ht="18.75" x14ac:dyDescent="0.45">
      <c r="A38" s="8" t="s">
        <v>47</v>
      </c>
      <c r="C38" s="11">
        <v>0</v>
      </c>
      <c r="E38" s="11">
        <v>-6638243295</v>
      </c>
      <c r="G38" s="11">
        <v>7248679366</v>
      </c>
      <c r="I38" s="11">
        <v>610436071</v>
      </c>
      <c r="K38" s="12">
        <v>1.6659972619345882E-3</v>
      </c>
      <c r="M38" s="11">
        <v>8260854580</v>
      </c>
      <c r="O38" s="11">
        <v>-28246924799</v>
      </c>
      <c r="Q38" s="11">
        <v>5608156979</v>
      </c>
      <c r="S38" s="11">
        <v>-14377913240</v>
      </c>
      <c r="U38" s="12">
        <v>-1.4540770688274737E-2</v>
      </c>
    </row>
    <row r="39" spans="1:21" ht="18.75" x14ac:dyDescent="0.45">
      <c r="A39" s="8" t="s">
        <v>48</v>
      </c>
      <c r="C39" s="11">
        <v>0</v>
      </c>
      <c r="E39" s="11">
        <v>-11761821124</v>
      </c>
      <c r="G39" s="11">
        <v>1857815953</v>
      </c>
      <c r="I39" s="11">
        <v>-9904005171</v>
      </c>
      <c r="K39" s="12">
        <v>-2.7029932012441648E-2</v>
      </c>
      <c r="M39" s="11">
        <v>11364297360</v>
      </c>
      <c r="O39" s="11">
        <v>-27290333356</v>
      </c>
      <c r="Q39" s="11">
        <v>12217521166</v>
      </c>
      <c r="S39" s="11">
        <v>-3708514830</v>
      </c>
      <c r="U39" s="12">
        <v>-3.7505208744114085E-3</v>
      </c>
    </row>
    <row r="40" spans="1:21" ht="18.75" x14ac:dyDescent="0.45">
      <c r="A40" s="8" t="s">
        <v>49</v>
      </c>
      <c r="C40" s="11">
        <v>0</v>
      </c>
      <c r="E40" s="11">
        <v>-7513491167</v>
      </c>
      <c r="G40" s="11">
        <v>601801281</v>
      </c>
      <c r="I40" s="11">
        <v>-6911689886</v>
      </c>
      <c r="K40" s="12">
        <v>-1.8863328974897661E-2</v>
      </c>
      <c r="M40" s="11">
        <v>15477329400</v>
      </c>
      <c r="O40" s="11">
        <v>-25826791664</v>
      </c>
      <c r="Q40" s="11">
        <v>-1076013467</v>
      </c>
      <c r="S40" s="11">
        <v>-11425475731</v>
      </c>
      <c r="U40" s="12">
        <v>-1.155489116088999E-2</v>
      </c>
    </row>
    <row r="41" spans="1:21" ht="18.75" x14ac:dyDescent="0.45">
      <c r="A41" s="8" t="s">
        <v>50</v>
      </c>
      <c r="C41" s="11">
        <v>0</v>
      </c>
      <c r="E41" s="11">
        <v>-11113490587</v>
      </c>
      <c r="G41" s="11">
        <v>0</v>
      </c>
      <c r="I41" s="11">
        <v>-11113490587</v>
      </c>
      <c r="K41" s="12">
        <v>-3.0330849974423969E-2</v>
      </c>
      <c r="M41" s="11">
        <v>0</v>
      </c>
      <c r="O41" s="11">
        <v>-10781805514</v>
      </c>
      <c r="Q41" s="11">
        <v>0</v>
      </c>
      <c r="S41" s="11">
        <v>-10781805514</v>
      </c>
      <c r="U41" s="12">
        <v>-1.090393014394418E-2</v>
      </c>
    </row>
    <row r="42" spans="1:21" ht="18.75" x14ac:dyDescent="0.45">
      <c r="A42" s="8" t="s">
        <v>51</v>
      </c>
      <c r="C42" s="11">
        <v>0</v>
      </c>
      <c r="E42" s="11">
        <v>-2316550161</v>
      </c>
      <c r="G42" s="11">
        <v>-4735149001</v>
      </c>
      <c r="I42" s="11">
        <v>-7051699162</v>
      </c>
      <c r="K42" s="12">
        <v>-1.9245441175573044E-2</v>
      </c>
      <c r="M42" s="11">
        <v>1771554000</v>
      </c>
      <c r="O42" s="11">
        <v>0</v>
      </c>
      <c r="Q42" s="11">
        <v>-10529764086</v>
      </c>
      <c r="S42" s="11">
        <v>-8758210086</v>
      </c>
      <c r="U42" s="12">
        <v>-8.8574136159039005E-3</v>
      </c>
    </row>
    <row r="43" spans="1:21" ht="18.75" x14ac:dyDescent="0.45">
      <c r="A43" s="8" t="s">
        <v>239</v>
      </c>
      <c r="C43" s="11">
        <v>0</v>
      </c>
      <c r="E43" s="11">
        <v>-4482986698</v>
      </c>
      <c r="G43" s="11">
        <v>-7361895548</v>
      </c>
      <c r="I43" s="11">
        <v>-11844882246</v>
      </c>
      <c r="K43" s="12">
        <v>-3.2326958263535537E-2</v>
      </c>
      <c r="M43" s="11">
        <v>1836964170</v>
      </c>
      <c r="O43" s="11">
        <v>4468940124</v>
      </c>
      <c r="Q43" s="11">
        <v>-14176834668</v>
      </c>
      <c r="S43" s="11">
        <v>-7870930374</v>
      </c>
      <c r="U43" s="12">
        <v>-7.9600837591165281E-3</v>
      </c>
    </row>
    <row r="44" spans="1:21" ht="18.75" x14ac:dyDescent="0.45">
      <c r="A44" s="8" t="s">
        <v>52</v>
      </c>
      <c r="C44" s="11">
        <v>0</v>
      </c>
      <c r="E44" s="11">
        <v>2074014551</v>
      </c>
      <c r="G44" s="11">
        <v>0</v>
      </c>
      <c r="I44" s="11">
        <v>2074014551</v>
      </c>
      <c r="K44" s="12">
        <v>5.660383989953461E-3</v>
      </c>
      <c r="M44" s="11">
        <v>2167974875</v>
      </c>
      <c r="O44" s="11">
        <v>9207209185</v>
      </c>
      <c r="Q44" s="11">
        <v>0</v>
      </c>
      <c r="S44" s="11">
        <v>11375184060</v>
      </c>
      <c r="U44" s="12">
        <v>1.150402984024252E-2</v>
      </c>
    </row>
    <row r="45" spans="1:21" ht="18.75" x14ac:dyDescent="0.45">
      <c r="A45" s="8" t="s">
        <v>53</v>
      </c>
      <c r="C45" s="11">
        <v>0</v>
      </c>
      <c r="E45" s="11">
        <v>870539509</v>
      </c>
      <c r="G45" s="11">
        <v>669079159</v>
      </c>
      <c r="I45" s="11">
        <v>1539618668</v>
      </c>
      <c r="K45" s="12">
        <v>4.2019150033343585E-3</v>
      </c>
      <c r="M45" s="11">
        <v>0</v>
      </c>
      <c r="O45" s="11">
        <v>-536740626</v>
      </c>
      <c r="Q45" s="11">
        <v>2128582690</v>
      </c>
      <c r="S45" s="11">
        <v>1591842064</v>
      </c>
      <c r="U45" s="12">
        <v>1.6098727289700879E-3</v>
      </c>
    </row>
    <row r="46" spans="1:21" ht="18.75" x14ac:dyDescent="0.45">
      <c r="A46" s="8" t="s">
        <v>55</v>
      </c>
      <c r="C46" s="11">
        <v>0</v>
      </c>
      <c r="E46" s="11">
        <v>1127152171</v>
      </c>
      <c r="G46" s="11">
        <v>57954984</v>
      </c>
      <c r="I46" s="11">
        <v>1185107155</v>
      </c>
      <c r="K46" s="12">
        <v>3.2343850062705247E-3</v>
      </c>
      <c r="M46" s="11">
        <v>7452230800</v>
      </c>
      <c r="O46" s="11">
        <v>-631362835</v>
      </c>
      <c r="Q46" s="11">
        <v>57954984</v>
      </c>
      <c r="S46" s="11">
        <v>6878822949</v>
      </c>
      <c r="U46" s="12">
        <v>6.9567388143907585E-3</v>
      </c>
    </row>
    <row r="47" spans="1:21" ht="18.75" x14ac:dyDescent="0.45">
      <c r="A47" s="8" t="s">
        <v>56</v>
      </c>
      <c r="C47" s="11">
        <v>0</v>
      </c>
      <c r="E47" s="11">
        <v>-733438566</v>
      </c>
      <c r="G47" s="11">
        <v>450908810</v>
      </c>
      <c r="I47" s="11">
        <v>-282529756</v>
      </c>
      <c r="K47" s="12">
        <v>-7.7107795930205978E-4</v>
      </c>
      <c r="M47" s="11">
        <v>0</v>
      </c>
      <c r="O47" s="11">
        <v>-733438566</v>
      </c>
      <c r="Q47" s="11">
        <v>450908810</v>
      </c>
      <c r="S47" s="11">
        <v>-282529756</v>
      </c>
      <c r="U47" s="12">
        <v>-2.8572994745725797E-4</v>
      </c>
    </row>
    <row r="48" spans="1:21" ht="18.75" x14ac:dyDescent="0.45">
      <c r="A48" s="8" t="s">
        <v>57</v>
      </c>
      <c r="C48" s="11">
        <v>0</v>
      </c>
      <c r="E48" s="11">
        <v>-68180542</v>
      </c>
      <c r="G48" s="11">
        <v>2300735073</v>
      </c>
      <c r="I48" s="11">
        <v>2232554531</v>
      </c>
      <c r="K48" s="12">
        <v>6.0930700403608005E-3</v>
      </c>
      <c r="M48" s="11">
        <v>9281108970</v>
      </c>
      <c r="O48" s="11">
        <v>-12600892854</v>
      </c>
      <c r="Q48" s="11">
        <v>2300735073</v>
      </c>
      <c r="S48" s="11">
        <v>-1019048811</v>
      </c>
      <c r="U48" s="12">
        <v>-1.0305914936032832E-3</v>
      </c>
    </row>
    <row r="49" spans="1:21" ht="18.75" x14ac:dyDescent="0.45">
      <c r="A49" s="8" t="s">
        <v>58</v>
      </c>
      <c r="C49" s="11">
        <v>0</v>
      </c>
      <c r="E49" s="11">
        <v>-12553882898</v>
      </c>
      <c r="G49" s="11">
        <v>0</v>
      </c>
      <c r="I49" s="11">
        <v>-12553882898</v>
      </c>
      <c r="K49" s="12">
        <v>-3.4261957194720645E-2</v>
      </c>
      <c r="M49" s="11">
        <v>0</v>
      </c>
      <c r="O49" s="11">
        <v>-22971086253</v>
      </c>
      <c r="Q49" s="11">
        <v>0</v>
      </c>
      <c r="S49" s="11">
        <v>-22971086253</v>
      </c>
      <c r="U49" s="12">
        <v>-2.3231277869739959E-2</v>
      </c>
    </row>
    <row r="50" spans="1:21" ht="18.75" x14ac:dyDescent="0.45">
      <c r="A50" s="8" t="s">
        <v>59</v>
      </c>
      <c r="C50" s="11">
        <v>0</v>
      </c>
      <c r="E50" s="11">
        <v>1784065846</v>
      </c>
      <c r="G50" s="11">
        <v>0</v>
      </c>
      <c r="I50" s="11">
        <v>1784065846</v>
      </c>
      <c r="K50" s="12">
        <v>4.8690582941436538E-3</v>
      </c>
      <c r="M50" s="11">
        <v>5208577000</v>
      </c>
      <c r="O50" s="11">
        <v>-12933368113</v>
      </c>
      <c r="Q50" s="11">
        <v>0</v>
      </c>
      <c r="S50" s="11">
        <v>-7724791113</v>
      </c>
      <c r="U50" s="12">
        <v>-7.8122891906500045E-3</v>
      </c>
    </row>
    <row r="51" spans="1:21" ht="37.5" x14ac:dyDescent="0.45">
      <c r="A51" s="8" t="s">
        <v>60</v>
      </c>
      <c r="C51" s="11">
        <v>0</v>
      </c>
      <c r="E51" s="11">
        <v>-66966</v>
      </c>
      <c r="G51" s="11">
        <v>0</v>
      </c>
      <c r="I51" s="11">
        <v>-66966</v>
      </c>
      <c r="K51" s="12">
        <v>-1.8276307371539914E-7</v>
      </c>
      <c r="M51" s="11">
        <v>0</v>
      </c>
      <c r="O51" s="11">
        <v>-66966</v>
      </c>
      <c r="Q51" s="11">
        <v>0</v>
      </c>
      <c r="S51" s="11">
        <v>-66966</v>
      </c>
      <c r="U51" s="12">
        <v>-6.772451840939096E-8</v>
      </c>
    </row>
    <row r="52" spans="1:21" ht="18.75" x14ac:dyDescent="0.45">
      <c r="A52" s="8" t="s">
        <v>61</v>
      </c>
      <c r="C52" s="11">
        <v>0</v>
      </c>
      <c r="E52" s="11">
        <v>0</v>
      </c>
      <c r="G52" s="11">
        <v>2621151</v>
      </c>
      <c r="I52" s="11">
        <v>2621151</v>
      </c>
      <c r="K52" s="12">
        <v>7.1536244278020515E-6</v>
      </c>
      <c r="M52" s="11">
        <v>0</v>
      </c>
      <c r="O52" s="11">
        <v>0</v>
      </c>
      <c r="Q52" s="11">
        <v>2621151</v>
      </c>
      <c r="S52" s="11">
        <v>2621151</v>
      </c>
      <c r="U52" s="12">
        <v>2.650840563170766E-6</v>
      </c>
    </row>
    <row r="53" spans="1:21" ht="18.75" x14ac:dyDescent="0.45">
      <c r="A53" s="8" t="s">
        <v>62</v>
      </c>
      <c r="C53" s="11">
        <v>0</v>
      </c>
      <c r="E53" s="11">
        <v>6084571598</v>
      </c>
      <c r="G53" s="11">
        <v>-4543181486</v>
      </c>
      <c r="I53" s="11">
        <v>1541390112</v>
      </c>
      <c r="K53" s="12">
        <v>4.2067496141869505E-3</v>
      </c>
      <c r="M53" s="11">
        <v>10001494860</v>
      </c>
      <c r="O53" s="11">
        <v>5210921047</v>
      </c>
      <c r="Q53" s="11">
        <v>-10466797884</v>
      </c>
      <c r="S53" s="11">
        <v>4745618023</v>
      </c>
      <c r="U53" s="12">
        <v>4.7993712505241615E-3</v>
      </c>
    </row>
    <row r="54" spans="1:21" ht="18.75" x14ac:dyDescent="0.45">
      <c r="A54" s="8" t="s">
        <v>63</v>
      </c>
      <c r="C54" s="11">
        <v>0</v>
      </c>
      <c r="E54" s="11">
        <v>-4978570049</v>
      </c>
      <c r="G54" s="11">
        <v>0</v>
      </c>
      <c r="I54" s="11">
        <v>-4978570049</v>
      </c>
      <c r="K54" s="12">
        <v>-1.3587473715955341E-2</v>
      </c>
      <c r="M54" s="11">
        <v>528859188</v>
      </c>
      <c r="O54" s="11">
        <v>-6913369783</v>
      </c>
      <c r="Q54" s="11">
        <v>57502122</v>
      </c>
      <c r="S54" s="11">
        <v>-6327008473</v>
      </c>
      <c r="U54" s="12">
        <v>-6.3986739809166011E-3</v>
      </c>
    </row>
    <row r="55" spans="1:21" ht="18.75" x14ac:dyDescent="0.45">
      <c r="A55" s="8" t="s">
        <v>64</v>
      </c>
      <c r="C55" s="11">
        <v>0</v>
      </c>
      <c r="E55" s="11">
        <v>-18723913941</v>
      </c>
      <c r="G55" s="11">
        <v>0</v>
      </c>
      <c r="I55" s="11">
        <v>-18723913941</v>
      </c>
      <c r="K55" s="12">
        <v>-5.1101156763727458E-2</v>
      </c>
      <c r="M55" s="11">
        <v>10826857756</v>
      </c>
      <c r="O55" s="11">
        <v>-27095422543</v>
      </c>
      <c r="Q55" s="11">
        <v>218438414</v>
      </c>
      <c r="S55" s="11">
        <v>-16050126373</v>
      </c>
      <c r="U55" s="12">
        <v>-1.6231924842775285E-2</v>
      </c>
    </row>
    <row r="56" spans="1:21" ht="18.75" x14ac:dyDescent="0.45">
      <c r="A56" s="8" t="s">
        <v>65</v>
      </c>
      <c r="C56" s="11">
        <v>0</v>
      </c>
      <c r="E56" s="11">
        <v>-137933146</v>
      </c>
      <c r="G56" s="11">
        <v>0</v>
      </c>
      <c r="I56" s="11">
        <v>-137933146</v>
      </c>
      <c r="K56" s="12">
        <v>-3.7644604321887098E-4</v>
      </c>
      <c r="M56" s="11">
        <v>875213400</v>
      </c>
      <c r="O56" s="11">
        <v>-682481974</v>
      </c>
      <c r="Q56" s="11">
        <v>-61872574</v>
      </c>
      <c r="S56" s="11">
        <v>130858852</v>
      </c>
      <c r="U56" s="12">
        <v>1.3234107952253034E-4</v>
      </c>
    </row>
    <row r="57" spans="1:21" ht="18.75" x14ac:dyDescent="0.45">
      <c r="A57" s="8" t="s">
        <v>66</v>
      </c>
      <c r="C57" s="11">
        <v>0</v>
      </c>
      <c r="E57" s="11">
        <v>-3782364087</v>
      </c>
      <c r="G57" s="11">
        <v>0</v>
      </c>
      <c r="I57" s="11">
        <v>-3782364087</v>
      </c>
      <c r="K57" s="12">
        <v>-1.0322797934039056E-2</v>
      </c>
      <c r="M57" s="11">
        <v>4309749270</v>
      </c>
      <c r="O57" s="11">
        <v>3203430809</v>
      </c>
      <c r="Q57" s="11">
        <v>0</v>
      </c>
      <c r="S57" s="11">
        <v>7513180079</v>
      </c>
      <c r="U57" s="12">
        <v>7.5982812557612057E-3</v>
      </c>
    </row>
    <row r="58" spans="1:21" ht="18.75" x14ac:dyDescent="0.45">
      <c r="A58" s="8" t="s">
        <v>67</v>
      </c>
      <c r="C58" s="11">
        <v>0</v>
      </c>
      <c r="E58" s="11">
        <v>1345986675</v>
      </c>
      <c r="G58" s="11">
        <v>1434415750</v>
      </c>
      <c r="I58" s="11">
        <v>2780402425</v>
      </c>
      <c r="K58" s="12">
        <v>7.5882521482356653E-3</v>
      </c>
      <c r="M58" s="11">
        <v>0</v>
      </c>
      <c r="O58" s="11">
        <v>-928485675</v>
      </c>
      <c r="Q58" s="11">
        <v>1434415750</v>
      </c>
      <c r="S58" s="11">
        <v>505930075</v>
      </c>
      <c r="U58" s="12">
        <v>5.1166070361380474E-4</v>
      </c>
    </row>
    <row r="59" spans="1:21" ht="18.75" x14ac:dyDescent="0.45">
      <c r="A59" s="8" t="s">
        <v>68</v>
      </c>
      <c r="C59" s="11">
        <v>0</v>
      </c>
      <c r="E59" s="11">
        <v>-15275380287</v>
      </c>
      <c r="G59" s="11">
        <v>18410998773</v>
      </c>
      <c r="I59" s="11">
        <v>3135618486</v>
      </c>
      <c r="K59" s="12">
        <v>8.5577049920883171E-3</v>
      </c>
      <c r="M59" s="11">
        <v>21199709760</v>
      </c>
      <c r="O59" s="11">
        <v>-89202863920</v>
      </c>
      <c r="Q59" s="11">
        <v>26875517925</v>
      </c>
      <c r="S59" s="11">
        <v>-41127636235</v>
      </c>
      <c r="U59" s="12">
        <v>-4.1593485609592813E-2</v>
      </c>
    </row>
    <row r="60" spans="1:21" ht="18.75" x14ac:dyDescent="0.45">
      <c r="A60" s="8" t="s">
        <v>69</v>
      </c>
      <c r="C60" s="11">
        <v>0</v>
      </c>
      <c r="E60" s="11">
        <v>-5889952919</v>
      </c>
      <c r="G60" s="11">
        <v>0</v>
      </c>
      <c r="I60" s="11">
        <v>-5889952919</v>
      </c>
      <c r="K60" s="12">
        <v>-1.6074812584228226E-2</v>
      </c>
      <c r="M60" s="11">
        <v>3630960900</v>
      </c>
      <c r="O60" s="11">
        <v>-8682400716</v>
      </c>
      <c r="Q60" s="11">
        <v>-166206837</v>
      </c>
      <c r="S60" s="11">
        <v>-5217646653</v>
      </c>
      <c r="U60" s="12">
        <v>-5.2767465102409525E-3</v>
      </c>
    </row>
    <row r="61" spans="1:21" ht="18.75" x14ac:dyDescent="0.45">
      <c r="A61" s="8" t="s">
        <v>70</v>
      </c>
      <c r="C61" s="11">
        <v>0</v>
      </c>
      <c r="E61" s="11">
        <v>-2454837254</v>
      </c>
      <c r="G61" s="11">
        <v>0</v>
      </c>
      <c r="I61" s="11">
        <v>-2454837254</v>
      </c>
      <c r="K61" s="12">
        <v>-6.6997222771572147E-3</v>
      </c>
      <c r="M61" s="11">
        <v>981513694</v>
      </c>
      <c r="O61" s="11">
        <v>-5555550915</v>
      </c>
      <c r="Q61" s="11">
        <v>-40223715</v>
      </c>
      <c r="S61" s="11">
        <v>-4614260936</v>
      </c>
      <c r="U61" s="12">
        <v>-4.6665262925345034E-3</v>
      </c>
    </row>
    <row r="62" spans="1:21" ht="18.75" x14ac:dyDescent="0.45">
      <c r="A62" s="8" t="s">
        <v>71</v>
      </c>
      <c r="C62" s="11">
        <v>0</v>
      </c>
      <c r="E62" s="11">
        <v>-4844166308</v>
      </c>
      <c r="G62" s="11">
        <v>0</v>
      </c>
      <c r="I62" s="11">
        <v>-4844166308</v>
      </c>
      <c r="K62" s="12">
        <v>-1.3220660096745466E-2</v>
      </c>
      <c r="M62" s="11">
        <v>0</v>
      </c>
      <c r="O62" s="11">
        <v>-12442761856</v>
      </c>
      <c r="Q62" s="11">
        <v>0</v>
      </c>
      <c r="S62" s="11">
        <v>-12442761856</v>
      </c>
      <c r="U62" s="12">
        <v>-1.2583700002693002E-2</v>
      </c>
    </row>
    <row r="63" spans="1:21" ht="18.75" x14ac:dyDescent="0.45">
      <c r="A63" s="8" t="s">
        <v>72</v>
      </c>
      <c r="C63" s="11">
        <v>0</v>
      </c>
      <c r="E63" s="11">
        <v>-6403893871</v>
      </c>
      <c r="G63" s="11">
        <v>0</v>
      </c>
      <c r="I63" s="11">
        <v>-6403893871</v>
      </c>
      <c r="K63" s="12">
        <v>-1.7477456136116325E-2</v>
      </c>
      <c r="M63" s="11">
        <v>3406923000</v>
      </c>
      <c r="O63" s="11">
        <v>-18195166259</v>
      </c>
      <c r="Q63" s="11">
        <v>0</v>
      </c>
      <c r="S63" s="11">
        <v>-14788243259</v>
      </c>
      <c r="U63" s="12">
        <v>-1.4955748481866876E-2</v>
      </c>
    </row>
    <row r="64" spans="1:21" ht="18.75" x14ac:dyDescent="0.45">
      <c r="A64" s="8" t="s">
        <v>73</v>
      </c>
      <c r="C64" s="11">
        <v>0</v>
      </c>
      <c r="E64" s="11">
        <v>-3522322406</v>
      </c>
      <c r="G64" s="11">
        <v>0</v>
      </c>
      <c r="I64" s="11">
        <v>-3522322406</v>
      </c>
      <c r="K64" s="12">
        <v>-9.6130942498757598E-3</v>
      </c>
      <c r="M64" s="11">
        <v>3679110568</v>
      </c>
      <c r="O64" s="11">
        <v>-3012709803</v>
      </c>
      <c r="Q64" s="11">
        <v>0</v>
      </c>
      <c r="S64" s="11">
        <v>666400765</v>
      </c>
      <c r="U64" s="12">
        <v>6.7394903200541641E-4</v>
      </c>
    </row>
    <row r="65" spans="1:21" ht="37.5" x14ac:dyDescent="0.45">
      <c r="A65" s="8" t="s">
        <v>74</v>
      </c>
      <c r="C65" s="11">
        <v>0</v>
      </c>
      <c r="E65" s="11">
        <v>-5844968640</v>
      </c>
      <c r="G65" s="11">
        <v>0</v>
      </c>
      <c r="I65" s="11">
        <v>-5844968640</v>
      </c>
      <c r="K65" s="12">
        <v>-1.5952041848348659E-2</v>
      </c>
      <c r="M65" s="11">
        <v>0</v>
      </c>
      <c r="O65" s="11">
        <v>-5844968640</v>
      </c>
      <c r="Q65" s="11">
        <v>0</v>
      </c>
      <c r="S65" s="11">
        <v>-5844968640</v>
      </c>
      <c r="U65" s="12">
        <v>-5.9111741221215671E-3</v>
      </c>
    </row>
    <row r="66" spans="1:21" ht="18.75" x14ac:dyDescent="0.45">
      <c r="A66" s="8" t="s">
        <v>75</v>
      </c>
      <c r="C66" s="11">
        <v>0</v>
      </c>
      <c r="E66" s="11">
        <v>-2587643852</v>
      </c>
      <c r="G66" s="11">
        <v>0</v>
      </c>
      <c r="I66" s="11">
        <v>-2587643852</v>
      </c>
      <c r="K66" s="12">
        <v>-7.0621769864151274E-3</v>
      </c>
      <c r="M66" s="11">
        <v>0</v>
      </c>
      <c r="O66" s="11">
        <v>2524755298</v>
      </c>
      <c r="Q66" s="11">
        <v>-1722026580</v>
      </c>
      <c r="S66" s="11">
        <v>802728718</v>
      </c>
      <c r="U66" s="12">
        <v>8.1182116058802682E-4</v>
      </c>
    </row>
    <row r="67" spans="1:21" ht="18.75" x14ac:dyDescent="0.45">
      <c r="A67" s="8" t="s">
        <v>76</v>
      </c>
      <c r="C67" s="11">
        <v>0</v>
      </c>
      <c r="E67" s="11">
        <v>-11878048502</v>
      </c>
      <c r="G67" s="11">
        <v>0</v>
      </c>
      <c r="I67" s="11">
        <v>-11878048502</v>
      </c>
      <c r="K67" s="12">
        <v>-3.2417475345191772E-2</v>
      </c>
      <c r="M67" s="11">
        <v>9667551000</v>
      </c>
      <c r="O67" s="11">
        <v>-34879002681</v>
      </c>
      <c r="Q67" s="11">
        <v>491160882</v>
      </c>
      <c r="S67" s="11">
        <v>-24720290799</v>
      </c>
      <c r="U67" s="12">
        <v>-2.5000295512683651E-2</v>
      </c>
    </row>
    <row r="68" spans="1:21" ht="18.75" x14ac:dyDescent="0.45">
      <c r="A68" s="8" t="s">
        <v>77</v>
      </c>
      <c r="C68" s="11">
        <v>0</v>
      </c>
      <c r="E68" s="11">
        <v>-11155906143</v>
      </c>
      <c r="G68" s="11">
        <v>0</v>
      </c>
      <c r="I68" s="11">
        <v>-11155906143</v>
      </c>
      <c r="K68" s="12">
        <v>-3.0446610171955667E-2</v>
      </c>
      <c r="M68" s="11">
        <v>1174095040</v>
      </c>
      <c r="O68" s="11">
        <v>-32698874788</v>
      </c>
      <c r="Q68" s="11">
        <v>16948667883</v>
      </c>
      <c r="S68" s="11">
        <v>-14576111865</v>
      </c>
      <c r="U68" s="12">
        <v>-1.4741214292902883E-2</v>
      </c>
    </row>
    <row r="69" spans="1:21" ht="18.75" x14ac:dyDescent="0.45">
      <c r="A69" s="8" t="s">
        <v>78</v>
      </c>
      <c r="C69" s="11">
        <v>0</v>
      </c>
      <c r="E69" s="11">
        <v>4953768461</v>
      </c>
      <c r="G69" s="11">
        <v>-18833664</v>
      </c>
      <c r="I69" s="11">
        <v>4934934797</v>
      </c>
      <c r="K69" s="12">
        <v>1.3468384733817151E-2</v>
      </c>
      <c r="M69" s="11">
        <v>8362400878</v>
      </c>
      <c r="O69" s="11">
        <v>5363293261</v>
      </c>
      <c r="Q69" s="11">
        <v>-4667941640</v>
      </c>
      <c r="S69" s="11">
        <v>9057752499</v>
      </c>
      <c r="U69" s="12">
        <v>9.1603489213366845E-3</v>
      </c>
    </row>
    <row r="70" spans="1:21" ht="18.75" x14ac:dyDescent="0.45">
      <c r="A70" s="8" t="s">
        <v>79</v>
      </c>
      <c r="C70" s="11">
        <v>0</v>
      </c>
      <c r="E70" s="11">
        <v>-735284570</v>
      </c>
      <c r="G70" s="11">
        <v>438657200</v>
      </c>
      <c r="I70" s="11">
        <v>-296627370</v>
      </c>
      <c r="K70" s="12">
        <v>-8.0955305512222587E-4</v>
      </c>
      <c r="M70" s="11">
        <v>1665233700</v>
      </c>
      <c r="O70" s="11">
        <v>-238438101</v>
      </c>
      <c r="Q70" s="11">
        <v>-297312197</v>
      </c>
      <c r="S70" s="11">
        <v>1129483402</v>
      </c>
      <c r="U70" s="12">
        <v>1.1422769681905822E-3</v>
      </c>
    </row>
    <row r="71" spans="1:21" ht="18.75" x14ac:dyDescent="0.45">
      <c r="A71" s="8" t="s">
        <v>80</v>
      </c>
      <c r="C71" s="11">
        <v>0</v>
      </c>
      <c r="E71" s="11">
        <v>-1107193050</v>
      </c>
      <c r="G71" s="11">
        <v>0</v>
      </c>
      <c r="I71" s="11">
        <v>-1107193050</v>
      </c>
      <c r="K71" s="12">
        <v>-3.0217424516071978E-3</v>
      </c>
      <c r="M71" s="11">
        <v>0</v>
      </c>
      <c r="O71" s="11">
        <v>-1107193050</v>
      </c>
      <c r="Q71" s="11">
        <v>0</v>
      </c>
      <c r="S71" s="11">
        <v>-1107193050</v>
      </c>
      <c r="U71" s="12">
        <v>-1.119734135195095E-3</v>
      </c>
    </row>
    <row r="72" spans="1:21" ht="18.75" x14ac:dyDescent="0.45">
      <c r="A72" s="8" t="s">
        <v>81</v>
      </c>
      <c r="C72" s="11">
        <v>0</v>
      </c>
      <c r="E72" s="11">
        <v>102992678</v>
      </c>
      <c r="G72" s="11">
        <v>283538138</v>
      </c>
      <c r="I72" s="11">
        <v>386530816</v>
      </c>
      <c r="K72" s="12">
        <v>1.0549168237296745E-3</v>
      </c>
      <c r="M72" s="11">
        <v>0</v>
      </c>
      <c r="O72" s="11">
        <v>0</v>
      </c>
      <c r="Q72" s="11">
        <v>283538138</v>
      </c>
      <c r="S72" s="11">
        <v>283538138</v>
      </c>
      <c r="U72" s="12">
        <v>2.8674975131776477E-4</v>
      </c>
    </row>
    <row r="73" spans="1:21" ht="18.75" x14ac:dyDescent="0.45">
      <c r="A73" s="8" t="s">
        <v>82</v>
      </c>
      <c r="C73" s="11">
        <v>0</v>
      </c>
      <c r="E73" s="11">
        <v>-3118697638</v>
      </c>
      <c r="G73" s="11">
        <v>0</v>
      </c>
      <c r="I73" s="11">
        <v>-3118697638</v>
      </c>
      <c r="K73" s="12">
        <v>-8.5115247485266429E-3</v>
      </c>
      <c r="M73" s="11">
        <v>10223412400</v>
      </c>
      <c r="O73" s="11">
        <v>11098894537</v>
      </c>
      <c r="Q73" s="11">
        <v>-8073856800</v>
      </c>
      <c r="S73" s="11">
        <v>13248450137</v>
      </c>
      <c r="U73" s="12">
        <v>1.3398514249009268E-2</v>
      </c>
    </row>
    <row r="74" spans="1:21" ht="18.75" x14ac:dyDescent="0.45">
      <c r="A74" s="8" t="s">
        <v>83</v>
      </c>
      <c r="C74" s="11">
        <v>0</v>
      </c>
      <c r="E74" s="11">
        <v>55516654</v>
      </c>
      <c r="G74" s="11">
        <v>0</v>
      </c>
      <c r="I74" s="11">
        <v>55516654</v>
      </c>
      <c r="K74" s="12">
        <v>1.5151560982340753E-4</v>
      </c>
      <c r="M74" s="11">
        <v>0</v>
      </c>
      <c r="O74" s="11">
        <v>55516654</v>
      </c>
      <c r="Q74" s="11">
        <v>0</v>
      </c>
      <c r="S74" s="11">
        <v>55516654</v>
      </c>
      <c r="U74" s="12">
        <v>5.6145486602914733E-5</v>
      </c>
    </row>
    <row r="75" spans="1:21" ht="18.75" x14ac:dyDescent="0.45">
      <c r="A75" s="8" t="s">
        <v>84</v>
      </c>
      <c r="C75" s="11">
        <v>0</v>
      </c>
      <c r="E75" s="11">
        <v>-5649747850</v>
      </c>
      <c r="G75" s="11">
        <v>-4274696625</v>
      </c>
      <c r="I75" s="11">
        <v>-9924444475</v>
      </c>
      <c r="K75" s="12">
        <v>-2.7085714798088745E-2</v>
      </c>
      <c r="M75" s="11">
        <v>3061282080</v>
      </c>
      <c r="O75" s="11">
        <v>954315206</v>
      </c>
      <c r="Q75" s="11">
        <v>-9399622436</v>
      </c>
      <c r="S75" s="11">
        <v>-5384025150</v>
      </c>
      <c r="U75" s="12">
        <v>-5.4450095628796541E-3</v>
      </c>
    </row>
    <row r="76" spans="1:21" ht="18.75" x14ac:dyDescent="0.45">
      <c r="A76" s="8" t="s">
        <v>85</v>
      </c>
      <c r="C76" s="11">
        <v>0</v>
      </c>
      <c r="E76" s="11">
        <v>-754011518</v>
      </c>
      <c r="G76" s="11">
        <v>0</v>
      </c>
      <c r="I76" s="11">
        <v>-754011518</v>
      </c>
      <c r="K76" s="12">
        <v>-2.0578422280932715E-3</v>
      </c>
      <c r="M76" s="11">
        <v>0</v>
      </c>
      <c r="O76" s="11">
        <v>-4884859564</v>
      </c>
      <c r="Q76" s="11">
        <v>-1125294420</v>
      </c>
      <c r="S76" s="11">
        <v>-6010153984</v>
      </c>
      <c r="U76" s="12">
        <v>-6.0782305070137448E-3</v>
      </c>
    </row>
    <row r="77" spans="1:21" ht="18.75" x14ac:dyDescent="0.45">
      <c r="A77" s="8" t="s">
        <v>240</v>
      </c>
      <c r="C77" s="11">
        <v>0</v>
      </c>
      <c r="E77" s="11">
        <v>-10534425499</v>
      </c>
      <c r="G77" s="11">
        <v>2273195326</v>
      </c>
      <c r="I77" s="11">
        <v>-8261230173</v>
      </c>
      <c r="K77" s="12">
        <v>-2.2546483575066133E-2</v>
      </c>
      <c r="M77" s="11">
        <v>10880392370</v>
      </c>
      <c r="O77" s="11">
        <v>-31880660717</v>
      </c>
      <c r="Q77" s="11">
        <v>2204834682</v>
      </c>
      <c r="S77" s="11">
        <v>-18795433665</v>
      </c>
      <c r="U77" s="12">
        <v>-1.9008328006119211E-2</v>
      </c>
    </row>
    <row r="78" spans="1:21" ht="18.75" x14ac:dyDescent="0.45">
      <c r="A78" s="8" t="s">
        <v>87</v>
      </c>
      <c r="C78" s="11">
        <v>0</v>
      </c>
      <c r="E78" s="11">
        <v>-38374000821</v>
      </c>
      <c r="G78" s="11">
        <v>6191290631</v>
      </c>
      <c r="I78" s="11">
        <v>-32182710190</v>
      </c>
      <c r="K78" s="12">
        <v>-8.7832796267005603E-2</v>
      </c>
      <c r="M78" s="11">
        <v>15484422500</v>
      </c>
      <c r="O78" s="11">
        <v>-49168215913</v>
      </c>
      <c r="Q78" s="11">
        <v>5655743087</v>
      </c>
      <c r="S78" s="11">
        <v>-28028050326</v>
      </c>
      <c r="U78" s="12">
        <v>-2.8345521761528585E-2</v>
      </c>
    </row>
    <row r="79" spans="1:21" ht="18.75" x14ac:dyDescent="0.45">
      <c r="A79" s="8" t="s">
        <v>88</v>
      </c>
      <c r="C79" s="11">
        <v>0</v>
      </c>
      <c r="E79" s="11">
        <v>-1274869125</v>
      </c>
      <c r="G79" s="11">
        <v>0</v>
      </c>
      <c r="I79" s="11">
        <v>-1274869125</v>
      </c>
      <c r="K79" s="12">
        <v>-3.4793626597058418E-3</v>
      </c>
      <c r="M79" s="11">
        <v>18000000</v>
      </c>
      <c r="O79" s="11">
        <v>-4084501748</v>
      </c>
      <c r="Q79" s="11">
        <v>0</v>
      </c>
      <c r="S79" s="11">
        <v>-4066501748</v>
      </c>
      <c r="U79" s="12">
        <v>-4.1125626809761151E-3</v>
      </c>
    </row>
    <row r="80" spans="1:21" ht="18.75" x14ac:dyDescent="0.45">
      <c r="A80" s="8" t="s">
        <v>89</v>
      </c>
      <c r="C80" s="11">
        <v>0</v>
      </c>
      <c r="E80" s="11">
        <v>18443733052</v>
      </c>
      <c r="G80" s="11">
        <v>17305748959</v>
      </c>
      <c r="I80" s="11">
        <v>35749482011</v>
      </c>
      <c r="K80" s="12">
        <v>9.7567201506193121E-2</v>
      </c>
      <c r="M80" s="11">
        <v>0</v>
      </c>
      <c r="O80" s="11">
        <v>0</v>
      </c>
      <c r="Q80" s="11">
        <v>30997911074</v>
      </c>
      <c r="S80" s="11">
        <v>30997911074</v>
      </c>
      <c r="U80" s="12">
        <v>3.1349021879517616E-2</v>
      </c>
    </row>
    <row r="81" spans="1:21" ht="37.5" x14ac:dyDescent="0.45">
      <c r="A81" s="8" t="s">
        <v>90</v>
      </c>
      <c r="C81" s="11">
        <v>0</v>
      </c>
      <c r="E81" s="11">
        <v>-6742044720</v>
      </c>
      <c r="G81" s="11">
        <v>0</v>
      </c>
      <c r="I81" s="11">
        <v>-6742044720</v>
      </c>
      <c r="K81" s="12">
        <v>-1.8400334739328578E-2</v>
      </c>
      <c r="M81" s="11">
        <v>0</v>
      </c>
      <c r="O81" s="11">
        <v>-12750339747</v>
      </c>
      <c r="Q81" s="11">
        <v>-6772481868</v>
      </c>
      <c r="S81" s="11">
        <v>-19522821615</v>
      </c>
      <c r="U81" s="12">
        <v>-1.9743955019985115E-2</v>
      </c>
    </row>
    <row r="82" spans="1:21" ht="18.75" x14ac:dyDescent="0.45">
      <c r="A82" s="8" t="s">
        <v>216</v>
      </c>
      <c r="L82" s="7"/>
      <c r="M82" s="11">
        <v>0</v>
      </c>
      <c r="O82" s="11">
        <v>0</v>
      </c>
      <c r="Q82" s="11">
        <v>1889727371</v>
      </c>
      <c r="S82" s="11">
        <v>1889727371</v>
      </c>
      <c r="U82" s="12">
        <v>1.9111321584986333E-3</v>
      </c>
    </row>
    <row r="83" spans="1:21" ht="18.75" x14ac:dyDescent="0.45">
      <c r="A83" s="8" t="s">
        <v>217</v>
      </c>
      <c r="L83" s="7"/>
      <c r="M83" s="11">
        <v>0</v>
      </c>
      <c r="O83" s="11">
        <v>0</v>
      </c>
      <c r="Q83" s="11">
        <v>-208684776</v>
      </c>
      <c r="S83" s="11">
        <v>-208684776</v>
      </c>
      <c r="U83" s="12">
        <v>-2.1104853140357238E-4</v>
      </c>
    </row>
    <row r="84" spans="1:21" ht="18.75" x14ac:dyDescent="0.45">
      <c r="A84" s="8" t="s">
        <v>241</v>
      </c>
      <c r="L84" s="7"/>
      <c r="M84" s="11">
        <v>799994060</v>
      </c>
      <c r="O84" s="11">
        <v>0</v>
      </c>
      <c r="Q84" s="11">
        <v>-2757485651</v>
      </c>
      <c r="S84" s="11">
        <v>-1957491591</v>
      </c>
      <c r="U84" s="12">
        <v>-1.9796639382807322E-3</v>
      </c>
    </row>
    <row r="85" spans="1:21" ht="18.75" x14ac:dyDescent="0.45">
      <c r="A85" s="8" t="s">
        <v>218</v>
      </c>
      <c r="L85" s="7"/>
      <c r="M85" s="11">
        <v>0</v>
      </c>
      <c r="O85" s="11">
        <v>0</v>
      </c>
      <c r="Q85" s="11">
        <v>3733687879</v>
      </c>
      <c r="S85" s="11">
        <v>3733687879</v>
      </c>
      <c r="U85" s="12">
        <v>3.7759790564802346E-3</v>
      </c>
    </row>
    <row r="86" spans="1:21" ht="18.75" x14ac:dyDescent="0.45">
      <c r="A86" s="8" t="s">
        <v>159</v>
      </c>
      <c r="L86" s="7"/>
      <c r="M86" s="11">
        <v>1500000000</v>
      </c>
      <c r="O86" s="11">
        <v>0</v>
      </c>
      <c r="Q86" s="11">
        <v>-3192565748</v>
      </c>
      <c r="S86" s="11">
        <v>-1692565748</v>
      </c>
      <c r="U86" s="12">
        <v>-1.7117373019073946E-3</v>
      </c>
    </row>
    <row r="87" spans="1:21" ht="18.75" x14ac:dyDescent="0.45">
      <c r="A87" s="8" t="s">
        <v>219</v>
      </c>
      <c r="L87" s="7"/>
      <c r="M87" s="11">
        <v>0</v>
      </c>
      <c r="O87" s="11">
        <v>0</v>
      </c>
      <c r="Q87" s="11">
        <v>6230334002</v>
      </c>
      <c r="S87" s="11">
        <v>6230334002</v>
      </c>
      <c r="U87" s="12">
        <v>6.3009044860840345E-3</v>
      </c>
    </row>
    <row r="88" spans="1:21" ht="18.75" x14ac:dyDescent="0.45">
      <c r="A88" s="8" t="s">
        <v>167</v>
      </c>
      <c r="L88" s="7"/>
      <c r="M88" s="11">
        <v>2282247100</v>
      </c>
      <c r="O88" s="11">
        <v>0</v>
      </c>
      <c r="Q88" s="11">
        <v>7345301855</v>
      </c>
      <c r="S88" s="11">
        <v>9627548955</v>
      </c>
      <c r="U88" s="12">
        <v>9.7365994152287753E-3</v>
      </c>
    </row>
    <row r="89" spans="1:21" ht="18.75" x14ac:dyDescent="0.45">
      <c r="A89" s="8" t="s">
        <v>220</v>
      </c>
      <c r="L89" s="7"/>
      <c r="M89" s="11">
        <v>0</v>
      </c>
      <c r="O89" s="11">
        <v>0</v>
      </c>
      <c r="Q89" s="11">
        <v>1367851122</v>
      </c>
      <c r="S89" s="11">
        <v>1367851122</v>
      </c>
      <c r="U89" s="12">
        <v>1.383344659875087E-3</v>
      </c>
    </row>
    <row r="90" spans="1:21" ht="18.75" x14ac:dyDescent="0.45">
      <c r="A90" s="8" t="s">
        <v>173</v>
      </c>
      <c r="L90" s="7"/>
      <c r="M90" s="11">
        <v>5873257500</v>
      </c>
      <c r="O90" s="11">
        <v>0</v>
      </c>
      <c r="Q90" s="11">
        <v>-6354037387</v>
      </c>
      <c r="S90" s="11">
        <v>-480779887</v>
      </c>
      <c r="U90" s="12">
        <v>-4.8622564148965752E-4</v>
      </c>
    </row>
    <row r="91" spans="1:21" ht="18.75" x14ac:dyDescent="0.45">
      <c r="A91" s="8" t="s">
        <v>176</v>
      </c>
      <c r="L91" s="7"/>
      <c r="M91" s="11">
        <v>2965783190</v>
      </c>
      <c r="O91" s="11">
        <v>0</v>
      </c>
      <c r="Q91" s="11">
        <v>-4421527160</v>
      </c>
      <c r="S91" s="11">
        <v>-1455743970</v>
      </c>
      <c r="U91" s="12">
        <v>-1.472233062981586E-3</v>
      </c>
    </row>
    <row r="92" spans="1:21" ht="37.5" x14ac:dyDescent="0.45">
      <c r="A92" s="8" t="s">
        <v>178</v>
      </c>
      <c r="L92" s="7"/>
      <c r="M92" s="11">
        <v>1266093300</v>
      </c>
      <c r="O92" s="11">
        <v>0</v>
      </c>
      <c r="Q92" s="11">
        <v>-9072394976</v>
      </c>
      <c r="S92" s="11">
        <v>-7806301676</v>
      </c>
      <c r="U92" s="12">
        <v>-7.8947230171358823E-3</v>
      </c>
    </row>
    <row r="93" spans="1:21" ht="18.75" x14ac:dyDescent="0.45">
      <c r="A93" s="8" t="s">
        <v>181</v>
      </c>
      <c r="L93" s="7"/>
      <c r="M93" s="11">
        <v>417127708</v>
      </c>
      <c r="O93" s="11">
        <v>0</v>
      </c>
      <c r="Q93" s="11">
        <v>-11470390849</v>
      </c>
      <c r="S93" s="11">
        <v>-11053263141</v>
      </c>
      <c r="U93" s="12">
        <v>-1.1178462549301094E-2</v>
      </c>
    </row>
    <row r="94" spans="1:21" ht="18.75" x14ac:dyDescent="0.45">
      <c r="A94" s="8" t="s">
        <v>182</v>
      </c>
      <c r="L94" s="7"/>
      <c r="M94" s="11">
        <v>2206833270</v>
      </c>
      <c r="O94" s="11">
        <v>0</v>
      </c>
      <c r="Q94" s="11">
        <v>-3920948435</v>
      </c>
      <c r="S94" s="11">
        <v>-1714115165</v>
      </c>
      <c r="U94" s="12">
        <v>-1.7335308073926877E-3</v>
      </c>
    </row>
    <row r="95" spans="1:21" ht="37.5" x14ac:dyDescent="0.45">
      <c r="A95" s="8" t="s">
        <v>184</v>
      </c>
      <c r="L95" s="7"/>
      <c r="M95" s="11">
        <v>2632423200</v>
      </c>
      <c r="O95" s="11">
        <v>0</v>
      </c>
      <c r="Q95" s="11">
        <v>-13752124697</v>
      </c>
      <c r="S95" s="11">
        <v>-11119701497</v>
      </c>
      <c r="U95" s="12">
        <v>-1.1245653447130017E-2</v>
      </c>
    </row>
    <row r="96" spans="1:21" ht="18.75" x14ac:dyDescent="0.45">
      <c r="A96" s="8" t="s">
        <v>221</v>
      </c>
      <c r="L96" s="7"/>
      <c r="M96" s="11">
        <v>0</v>
      </c>
      <c r="O96" s="11">
        <v>0</v>
      </c>
      <c r="Q96" s="11">
        <v>-1105206315</v>
      </c>
      <c r="S96" s="11">
        <v>-1105206315</v>
      </c>
      <c r="U96" s="12">
        <v>-1.1177248966101102E-3</v>
      </c>
    </row>
    <row r="97" spans="1:21" ht="18.75" x14ac:dyDescent="0.45">
      <c r="A97" s="8" t="s">
        <v>186</v>
      </c>
      <c r="L97" s="7"/>
      <c r="M97" s="11">
        <v>1556521750</v>
      </c>
      <c r="O97" s="11">
        <v>0</v>
      </c>
      <c r="Q97" s="11">
        <v>-3386791796</v>
      </c>
      <c r="S97" s="11">
        <v>-1830270046</v>
      </c>
      <c r="U97" s="12">
        <v>-1.8510013652373418E-3</v>
      </c>
    </row>
    <row r="98" spans="1:21" ht="18.75" x14ac:dyDescent="0.45">
      <c r="A98" s="8" t="s">
        <v>222</v>
      </c>
      <c r="L98" s="7"/>
      <c r="M98" s="11">
        <v>0</v>
      </c>
      <c r="O98" s="11">
        <v>0</v>
      </c>
      <c r="Q98" s="11">
        <v>-64037815</v>
      </c>
      <c r="S98" s="11">
        <v>-64037815</v>
      </c>
      <c r="U98" s="12">
        <v>-6.4763166097193687E-5</v>
      </c>
    </row>
    <row r="99" spans="1:21" ht="18.75" x14ac:dyDescent="0.45">
      <c r="A99" s="8" t="s">
        <v>188</v>
      </c>
      <c r="L99" s="7"/>
      <c r="M99" s="11">
        <v>4561841200</v>
      </c>
      <c r="O99" s="11">
        <v>0</v>
      </c>
      <c r="Q99" s="11">
        <v>-9339500101</v>
      </c>
      <c r="S99" s="11">
        <v>-4777658901</v>
      </c>
      <c r="U99" s="12">
        <v>-4.8317750529308168E-3</v>
      </c>
    </row>
    <row r="100" spans="1:21" ht="18.75" x14ac:dyDescent="0.45">
      <c r="A100" s="8" t="s">
        <v>190</v>
      </c>
      <c r="L100" s="7"/>
      <c r="M100" s="11">
        <v>7215950050</v>
      </c>
      <c r="O100" s="11">
        <v>0</v>
      </c>
      <c r="Q100" s="11">
        <v>-14856523005</v>
      </c>
      <c r="S100" s="11">
        <v>-7640572955</v>
      </c>
      <c r="U100" s="12">
        <v>-7.7271171004568316E-3</v>
      </c>
    </row>
    <row r="101" spans="1:21" ht="18.75" x14ac:dyDescent="0.45">
      <c r="A101" s="8" t="s">
        <v>192</v>
      </c>
      <c r="L101" s="7"/>
      <c r="M101" s="11">
        <v>500000000</v>
      </c>
      <c r="O101" s="11">
        <v>0</v>
      </c>
      <c r="Q101" s="11">
        <v>-1007345125</v>
      </c>
      <c r="S101" s="11">
        <v>-507345125</v>
      </c>
      <c r="U101" s="12">
        <v>-5.1309178176951373E-4</v>
      </c>
    </row>
    <row r="102" spans="1:21" ht="18.75" x14ac:dyDescent="0.45">
      <c r="A102" s="8" t="s">
        <v>193</v>
      </c>
      <c r="L102" s="7"/>
      <c r="M102" s="11">
        <v>10285969930</v>
      </c>
      <c r="O102" s="11">
        <v>0</v>
      </c>
      <c r="Q102" s="11">
        <v>-25942253320</v>
      </c>
      <c r="S102" s="11">
        <v>-15656283390</v>
      </c>
      <c r="U102" s="12">
        <v>-1.5833620832492561E-2</v>
      </c>
    </row>
    <row r="103" spans="1:21" ht="18.75" x14ac:dyDescent="0.45">
      <c r="A103" s="8" t="s">
        <v>223</v>
      </c>
      <c r="L103" s="7"/>
      <c r="M103" s="11">
        <v>0</v>
      </c>
      <c r="O103" s="11">
        <v>0</v>
      </c>
      <c r="Q103" s="11">
        <v>-1710670216</v>
      </c>
      <c r="S103" s="11">
        <v>-1710670216</v>
      </c>
      <c r="U103" s="12">
        <v>-1.7300468377368934E-3</v>
      </c>
    </row>
    <row r="104" spans="1:21" ht="18.75" x14ac:dyDescent="0.45">
      <c r="A104" s="8" t="s">
        <v>224</v>
      </c>
      <c r="L104" s="7"/>
      <c r="M104" s="11">
        <v>0</v>
      </c>
      <c r="O104" s="11">
        <v>0</v>
      </c>
      <c r="Q104" s="11">
        <v>-218391344</v>
      </c>
      <c r="S104" s="11">
        <v>-218391344</v>
      </c>
      <c r="U104" s="12">
        <v>-2.2086504490606627E-4</v>
      </c>
    </row>
    <row r="105" spans="1:21" ht="18.75" x14ac:dyDescent="0.45">
      <c r="A105" s="8" t="s">
        <v>201</v>
      </c>
      <c r="L105" s="7"/>
      <c r="M105" s="11">
        <v>3029688000</v>
      </c>
      <c r="O105" s="11">
        <v>0</v>
      </c>
      <c r="Q105" s="11">
        <v>-2264786002</v>
      </c>
      <c r="S105" s="11">
        <v>764901998</v>
      </c>
      <c r="U105" s="12">
        <v>7.735659804218697E-4</v>
      </c>
    </row>
    <row r="106" spans="1:21" ht="18.75" x14ac:dyDescent="0.45">
      <c r="A106" s="8" t="s">
        <v>225</v>
      </c>
      <c r="L106" s="7"/>
      <c r="M106" s="11">
        <v>0</v>
      </c>
      <c r="O106" s="11">
        <v>0</v>
      </c>
      <c r="Q106" s="11">
        <v>438966730</v>
      </c>
      <c r="S106" s="11">
        <v>438966730</v>
      </c>
      <c r="U106" s="12">
        <v>4.4393887027738179E-4</v>
      </c>
    </row>
    <row r="107" spans="1:21" ht="18.75" x14ac:dyDescent="0.45">
      <c r="A107" s="8" t="s">
        <v>203</v>
      </c>
      <c r="L107" s="7"/>
      <c r="M107" s="11">
        <v>1345052250</v>
      </c>
      <c r="O107" s="11">
        <v>0</v>
      </c>
      <c r="Q107" s="11">
        <v>-3111120113</v>
      </c>
      <c r="S107" s="11">
        <v>-1766067863</v>
      </c>
      <c r="U107" s="12">
        <v>-1.7860719693572446E-3</v>
      </c>
    </row>
    <row r="108" spans="1:21" ht="18.75" x14ac:dyDescent="0.45">
      <c r="A108" s="8" t="s">
        <v>226</v>
      </c>
      <c r="L108" s="7"/>
      <c r="M108" s="11">
        <v>0</v>
      </c>
      <c r="O108" s="11">
        <v>0</v>
      </c>
      <c r="Q108" s="11">
        <v>-408581103</v>
      </c>
      <c r="S108" s="11">
        <v>-408581103</v>
      </c>
      <c r="U108" s="12">
        <v>-4.1320906776353317E-4</v>
      </c>
    </row>
    <row r="109" spans="1:21" ht="18.75" x14ac:dyDescent="0.45">
      <c r="A109" s="8" t="s">
        <v>227</v>
      </c>
      <c r="L109" s="7"/>
      <c r="M109" s="11">
        <v>0</v>
      </c>
      <c r="O109" s="11">
        <v>0</v>
      </c>
      <c r="Q109" s="11">
        <v>-10014921547</v>
      </c>
      <c r="S109" s="11">
        <v>-10014921547</v>
      </c>
      <c r="U109" s="12">
        <v>-1.0128359744921418E-2</v>
      </c>
    </row>
    <row r="110" spans="1:21" ht="18.75" x14ac:dyDescent="0.45">
      <c r="A110" s="13" t="s">
        <v>91</v>
      </c>
      <c r="C110" s="13">
        <f>SUM(C9:$C$109)</f>
        <v>4416716534</v>
      </c>
      <c r="E110" s="13">
        <f>SUM(E9:$E$109)</f>
        <v>-310147538813</v>
      </c>
      <c r="G110" s="13">
        <f>SUM(G9:$G$109)</f>
        <v>51844320536</v>
      </c>
      <c r="I110" s="13">
        <f>SUM(I9:$I$109)</f>
        <v>-253886501743</v>
      </c>
      <c r="K110" s="14">
        <f>SUM(K9:$K$109)</f>
        <v>-0.69290501797032411</v>
      </c>
      <c r="M110" s="13">
        <f>SUM(M9:$M$109)</f>
        <v>290081303043</v>
      </c>
      <c r="O110" s="13">
        <f>SUM(O9:$O$109)</f>
        <v>-718246289700</v>
      </c>
      <c r="Q110" s="13">
        <f>SUM(Q9:$Q$109)</f>
        <v>-22933356757</v>
      </c>
      <c r="S110" s="13">
        <f>SUM(S9:$S$109)</f>
        <v>-451098343414</v>
      </c>
      <c r="U110" s="14">
        <f>SUM(U9:$U$109)</f>
        <v>-0.4562078974851001</v>
      </c>
    </row>
    <row r="111" spans="1:21" ht="18.75" x14ac:dyDescent="0.45">
      <c r="C111" s="15"/>
      <c r="E111" s="15"/>
      <c r="G111" s="15"/>
      <c r="I111" s="15"/>
      <c r="K111" s="15"/>
      <c r="M111" s="15"/>
      <c r="O111" s="15"/>
      <c r="Q111" s="15"/>
      <c r="S111" s="15"/>
      <c r="U111" s="15"/>
    </row>
  </sheetData>
  <mergeCells count="6">
    <mergeCell ref="A1:U1"/>
    <mergeCell ref="A2:U2"/>
    <mergeCell ref="A3:U3"/>
    <mergeCell ref="A5:U5"/>
    <mergeCell ref="C7:K7"/>
    <mergeCell ref="M7:U7"/>
  </mergeCells>
  <pageMargins left="0.7" right="0.7" top="0.75" bottom="0.75" header="0.3" footer="0.3"/>
  <pageSetup paperSize="9" scale="64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Q11"/>
  <sheetViews>
    <sheetView rightToLeft="1" view="pageBreakPreview" zoomScale="60" zoomScaleNormal="100" workbookViewId="0">
      <selection activeCell="N24" sqref="N24"/>
    </sheetView>
  </sheetViews>
  <sheetFormatPr defaultRowHeight="18" x14ac:dyDescent="0.45"/>
  <cols>
    <col min="1" max="1" width="21.28515625" style="4" customWidth="1"/>
    <col min="2" max="2" width="1.42578125" style="4" customWidth="1"/>
    <col min="3" max="3" width="17" style="4" customWidth="1"/>
    <col min="4" max="4" width="1.42578125" style="4" customWidth="1"/>
    <col min="5" max="5" width="17" style="4" customWidth="1"/>
    <col min="6" max="6" width="1.42578125" style="4" customWidth="1"/>
    <col min="7" max="7" width="17" style="4" customWidth="1"/>
    <col min="8" max="8" width="1.42578125" style="4" customWidth="1"/>
    <col min="9" max="9" width="17" style="4" customWidth="1"/>
    <col min="10" max="10" width="1.42578125" style="4" customWidth="1"/>
    <col min="11" max="11" width="17" style="4" customWidth="1"/>
    <col min="12" max="12" width="1.42578125" style="4" customWidth="1"/>
    <col min="13" max="13" width="17" style="4" customWidth="1"/>
    <col min="14" max="14" width="1.42578125" style="4" customWidth="1"/>
    <col min="15" max="15" width="17" style="4" customWidth="1"/>
    <col min="16" max="16" width="1.42578125" style="4" customWidth="1"/>
    <col min="17" max="17" width="17" style="4" customWidth="1"/>
    <col min="18" max="16384" width="9.140625" style="4"/>
  </cols>
  <sheetData>
    <row r="1" spans="1:17" ht="20.100000000000001" customHeight="1" x14ac:dyDescent="0.45">
      <c r="A1" s="37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</row>
    <row r="2" spans="1:17" ht="20.100000000000001" customHeight="1" x14ac:dyDescent="0.45">
      <c r="A2" s="37" t="s">
        <v>128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</row>
    <row r="3" spans="1:17" ht="20.100000000000001" customHeight="1" x14ac:dyDescent="0.45">
      <c r="A3" s="37" t="s">
        <v>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</row>
    <row r="5" spans="1:17" ht="21" x14ac:dyDescent="0.45">
      <c r="A5" s="38" t="s">
        <v>242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</row>
    <row r="7" spans="1:17" ht="21" x14ac:dyDescent="0.45">
      <c r="C7" s="31" t="s">
        <v>140</v>
      </c>
      <c r="D7" s="32"/>
      <c r="E7" s="32"/>
      <c r="F7" s="32"/>
      <c r="G7" s="32"/>
      <c r="H7" s="32"/>
      <c r="I7" s="32"/>
      <c r="J7" s="32"/>
      <c r="K7" s="32"/>
      <c r="M7" s="31" t="s">
        <v>7</v>
      </c>
      <c r="N7" s="32"/>
      <c r="O7" s="32"/>
      <c r="P7" s="32"/>
      <c r="Q7" s="32"/>
    </row>
    <row r="8" spans="1:17" ht="21" x14ac:dyDescent="0.45">
      <c r="C8" s="16" t="s">
        <v>243</v>
      </c>
      <c r="E8" s="16" t="s">
        <v>233</v>
      </c>
      <c r="G8" s="16" t="s">
        <v>234</v>
      </c>
      <c r="I8" s="16" t="s">
        <v>91</v>
      </c>
      <c r="K8" s="16" t="s">
        <v>243</v>
      </c>
      <c r="M8" s="16" t="s">
        <v>233</v>
      </c>
      <c r="O8" s="16" t="s">
        <v>234</v>
      </c>
      <c r="Q8" s="16" t="s">
        <v>91</v>
      </c>
    </row>
    <row r="9" spans="1:17" ht="37.5" x14ac:dyDescent="0.45">
      <c r="A9" s="8" t="s">
        <v>209</v>
      </c>
      <c r="J9" s="7"/>
      <c r="K9" s="11">
        <v>2812519762</v>
      </c>
      <c r="M9" s="11">
        <v>0</v>
      </c>
      <c r="O9" s="11">
        <v>-24309249</v>
      </c>
      <c r="Q9" s="11">
        <v>2788210513</v>
      </c>
    </row>
    <row r="10" spans="1:17" ht="18.75" x14ac:dyDescent="0.45">
      <c r="A10" s="13" t="s">
        <v>91</v>
      </c>
      <c r="C10" s="13">
        <f>SUM(C9:$C$9)</f>
        <v>0</v>
      </c>
      <c r="E10" s="13">
        <f>SUM(E9:$E$9)</f>
        <v>0</v>
      </c>
      <c r="G10" s="13">
        <f>SUM(G9:$G$9)</f>
        <v>0</v>
      </c>
      <c r="I10" s="13">
        <f>SUM(I9:$I$9)</f>
        <v>0</v>
      </c>
      <c r="K10" s="13">
        <f>SUM(K9:$K$9)</f>
        <v>2812519762</v>
      </c>
      <c r="M10" s="13">
        <f>SUM(M9:$M$9)</f>
        <v>0</v>
      </c>
      <c r="O10" s="13">
        <f>SUM(O9:$O$9)</f>
        <v>-24309249</v>
      </c>
      <c r="Q10" s="13">
        <f>SUM(Q9:$Q$9)</f>
        <v>2788210513</v>
      </c>
    </row>
    <row r="11" spans="1:17" ht="18.75" x14ac:dyDescent="0.45">
      <c r="C11" s="15"/>
      <c r="E11" s="15"/>
      <c r="G11" s="15"/>
      <c r="I11" s="15"/>
      <c r="K11" s="15"/>
      <c r="M11" s="15"/>
      <c r="O11" s="15"/>
      <c r="Q11" s="15"/>
    </row>
  </sheetData>
  <mergeCells count="6">
    <mergeCell ref="A1:Q1"/>
    <mergeCell ref="A2:Q2"/>
    <mergeCell ref="A3:Q3"/>
    <mergeCell ref="A5:Q5"/>
    <mergeCell ref="C7:K7"/>
    <mergeCell ref="M7:Q7"/>
  </mergeCells>
  <pageMargins left="0.7" right="0.7" top="0.75" bottom="0.75" header="0.3" footer="0.3"/>
  <pageSetup paperSize="9" scale="77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I17"/>
  <sheetViews>
    <sheetView rightToLeft="1" view="pageBreakPreview" zoomScale="60" zoomScaleNormal="100" workbookViewId="0">
      <selection activeCell="N24" sqref="N24"/>
    </sheetView>
  </sheetViews>
  <sheetFormatPr defaultRowHeight="18" x14ac:dyDescent="0.45"/>
  <cols>
    <col min="1" max="1" width="25.5703125" style="4" customWidth="1"/>
    <col min="2" max="2" width="1.42578125" style="4" customWidth="1"/>
    <col min="3" max="3" width="17" style="4" customWidth="1"/>
    <col min="4" max="4" width="1.42578125" style="4" customWidth="1"/>
    <col min="5" max="5" width="14.140625" style="4" customWidth="1"/>
    <col min="6" max="6" width="1.42578125" style="4" customWidth="1"/>
    <col min="7" max="7" width="17" style="4" customWidth="1"/>
    <col min="8" max="8" width="1.42578125" style="4" customWidth="1"/>
    <col min="9" max="9" width="14.140625" style="4" customWidth="1"/>
    <col min="10" max="16384" width="9.140625" style="4"/>
  </cols>
  <sheetData>
    <row r="1" spans="1:9" ht="20.100000000000001" customHeight="1" x14ac:dyDescent="0.45">
      <c r="A1" s="37" t="s">
        <v>0</v>
      </c>
      <c r="B1" s="35"/>
      <c r="C1" s="35"/>
      <c r="D1" s="35"/>
      <c r="E1" s="35"/>
      <c r="F1" s="35"/>
      <c r="G1" s="35"/>
      <c r="H1" s="35"/>
      <c r="I1" s="35"/>
    </row>
    <row r="2" spans="1:9" ht="20.100000000000001" customHeight="1" x14ac:dyDescent="0.45">
      <c r="A2" s="37" t="s">
        <v>128</v>
      </c>
      <c r="B2" s="35"/>
      <c r="C2" s="35"/>
      <c r="D2" s="35"/>
      <c r="E2" s="35"/>
      <c r="F2" s="35"/>
      <c r="G2" s="35"/>
      <c r="H2" s="35"/>
      <c r="I2" s="35"/>
    </row>
    <row r="3" spans="1:9" ht="20.100000000000001" customHeight="1" x14ac:dyDescent="0.45">
      <c r="A3" s="37" t="s">
        <v>2</v>
      </c>
      <c r="B3" s="35"/>
      <c r="C3" s="35"/>
      <c r="D3" s="35"/>
      <c r="E3" s="35"/>
      <c r="F3" s="35"/>
      <c r="G3" s="35"/>
      <c r="H3" s="35"/>
      <c r="I3" s="35"/>
    </row>
    <row r="5" spans="1:9" ht="21" x14ac:dyDescent="0.45">
      <c r="A5" s="38" t="s">
        <v>244</v>
      </c>
      <c r="B5" s="35"/>
      <c r="C5" s="35"/>
      <c r="D5" s="35"/>
      <c r="E5" s="35"/>
      <c r="F5" s="35"/>
      <c r="G5" s="35"/>
      <c r="H5" s="35"/>
      <c r="I5" s="35"/>
    </row>
    <row r="7" spans="1:9" ht="21" x14ac:dyDescent="0.45">
      <c r="A7" s="31" t="s">
        <v>245</v>
      </c>
      <c r="B7" s="32"/>
      <c r="C7" s="31" t="s">
        <v>140</v>
      </c>
      <c r="D7" s="32"/>
      <c r="E7" s="32"/>
      <c r="G7" s="31" t="s">
        <v>7</v>
      </c>
      <c r="H7" s="32"/>
      <c r="I7" s="32"/>
    </row>
    <row r="8" spans="1:9" ht="42" x14ac:dyDescent="0.45">
      <c r="A8" s="16" t="s">
        <v>246</v>
      </c>
      <c r="C8" s="16" t="s">
        <v>247</v>
      </c>
      <c r="E8" s="16" t="s">
        <v>248</v>
      </c>
      <c r="G8" s="16" t="s">
        <v>247</v>
      </c>
      <c r="I8" s="16" t="s">
        <v>248</v>
      </c>
    </row>
    <row r="9" spans="1:9" ht="18.75" x14ac:dyDescent="0.45">
      <c r="A9" s="23" t="s">
        <v>254</v>
      </c>
      <c r="C9" s="11">
        <v>226882</v>
      </c>
      <c r="E9" s="12">
        <v>1</v>
      </c>
      <c r="G9" s="11">
        <v>299150380</v>
      </c>
      <c r="I9" s="12">
        <v>1</v>
      </c>
    </row>
    <row r="10" spans="1:9" ht="19.5" thickBot="1" x14ac:dyDescent="0.5">
      <c r="A10" s="13" t="s">
        <v>91</v>
      </c>
      <c r="C10" s="13">
        <f>SUM(C9:$C$9)</f>
        <v>226882</v>
      </c>
      <c r="E10" s="14">
        <f>SUM(E9:$E$9)</f>
        <v>1</v>
      </c>
      <c r="G10" s="13">
        <f>SUM(G9:$G$9)</f>
        <v>299150380</v>
      </c>
      <c r="I10" s="14">
        <f>SUM(I9:$I$9)</f>
        <v>1</v>
      </c>
    </row>
    <row r="11" spans="1:9" ht="19.5" thickTop="1" x14ac:dyDescent="0.45">
      <c r="C11" s="15"/>
      <c r="E11" s="15"/>
      <c r="G11" s="15"/>
      <c r="I11" s="15"/>
    </row>
    <row r="14" spans="1:9" x14ac:dyDescent="0.45">
      <c r="C14" s="20"/>
      <c r="D14" s="20"/>
      <c r="E14" s="20"/>
      <c r="F14" s="20"/>
      <c r="G14" s="20"/>
      <c r="H14" s="20"/>
      <c r="I14" s="20"/>
    </row>
    <row r="15" spans="1:9" ht="18.75" x14ac:dyDescent="0.45">
      <c r="C15" s="21"/>
      <c r="D15" s="20"/>
      <c r="E15" s="22"/>
      <c r="F15" s="20"/>
      <c r="G15" s="21"/>
      <c r="H15" s="20"/>
      <c r="I15" s="22"/>
    </row>
    <row r="16" spans="1:9" x14ac:dyDescent="0.45">
      <c r="C16" s="20"/>
      <c r="D16" s="20"/>
      <c r="E16" s="20"/>
      <c r="F16" s="20"/>
      <c r="G16" s="20"/>
      <c r="H16" s="20"/>
      <c r="I16" s="20"/>
    </row>
    <row r="17" spans="3:9" x14ac:dyDescent="0.45">
      <c r="C17" s="20"/>
      <c r="D17" s="20"/>
      <c r="E17" s="20"/>
      <c r="F17" s="20"/>
      <c r="G17" s="20"/>
      <c r="H17" s="20"/>
      <c r="I17" s="20"/>
    </row>
  </sheetData>
  <mergeCells count="7">
    <mergeCell ref="A1:I1"/>
    <mergeCell ref="A2:I2"/>
    <mergeCell ref="A3:I3"/>
    <mergeCell ref="A5:I5"/>
    <mergeCell ref="A7:B7"/>
    <mergeCell ref="C7:E7"/>
    <mergeCell ref="G7:I7"/>
  </mergeCells>
  <pageMargins left="0.7" right="0.7" top="0.75" bottom="0.75" header="0.3" footer="0.3"/>
  <pageSetup paperSize="9" scale="93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E11"/>
  <sheetViews>
    <sheetView rightToLeft="1" view="pageBreakPreview" zoomScale="60" zoomScaleNormal="100" workbookViewId="0">
      <selection activeCell="N24" sqref="N24"/>
    </sheetView>
  </sheetViews>
  <sheetFormatPr defaultRowHeight="18" x14ac:dyDescent="0.45"/>
  <cols>
    <col min="1" max="1" width="25.5703125" style="4" customWidth="1"/>
    <col min="2" max="2" width="1.42578125" style="4" customWidth="1"/>
    <col min="3" max="3" width="18.42578125" style="4" customWidth="1"/>
    <col min="4" max="4" width="1.42578125" style="4" customWidth="1"/>
    <col min="5" max="5" width="18.42578125" style="4" customWidth="1"/>
    <col min="6" max="16384" width="9.140625" style="4"/>
  </cols>
  <sheetData>
    <row r="1" spans="1:5" ht="20.100000000000001" customHeight="1" x14ac:dyDescent="0.45">
      <c r="A1" s="37" t="s">
        <v>0</v>
      </c>
      <c r="B1" s="35"/>
      <c r="C1" s="35"/>
      <c r="D1" s="35"/>
      <c r="E1" s="35"/>
    </row>
    <row r="2" spans="1:5" ht="20.100000000000001" customHeight="1" x14ac:dyDescent="0.45">
      <c r="A2" s="37" t="s">
        <v>128</v>
      </c>
      <c r="B2" s="35"/>
      <c r="C2" s="35"/>
      <c r="D2" s="35"/>
      <c r="E2" s="35"/>
    </row>
    <row r="3" spans="1:5" ht="20.100000000000001" customHeight="1" x14ac:dyDescent="0.45">
      <c r="A3" s="37" t="s">
        <v>2</v>
      </c>
      <c r="B3" s="35"/>
      <c r="C3" s="35"/>
      <c r="D3" s="35"/>
      <c r="E3" s="35"/>
    </row>
    <row r="5" spans="1:5" ht="21" x14ac:dyDescent="0.45">
      <c r="A5" s="38" t="s">
        <v>249</v>
      </c>
      <c r="B5" s="35"/>
      <c r="C5" s="35"/>
      <c r="D5" s="35"/>
      <c r="E5" s="35"/>
    </row>
    <row r="7" spans="1:5" ht="21" x14ac:dyDescent="0.45">
      <c r="C7" s="6" t="s">
        <v>140</v>
      </c>
      <c r="E7" s="6" t="s">
        <v>7</v>
      </c>
    </row>
    <row r="8" spans="1:5" ht="21" x14ac:dyDescent="0.45">
      <c r="A8" s="16" t="s">
        <v>137</v>
      </c>
      <c r="C8" s="16" t="s">
        <v>125</v>
      </c>
      <c r="E8" s="16" t="s">
        <v>125</v>
      </c>
    </row>
    <row r="9" spans="1:5" ht="18.75" x14ac:dyDescent="0.45">
      <c r="A9" s="8" t="s">
        <v>250</v>
      </c>
      <c r="C9" s="11">
        <v>5309</v>
      </c>
      <c r="E9" s="11">
        <v>318346964</v>
      </c>
    </row>
    <row r="10" spans="1:5" ht="18.75" x14ac:dyDescent="0.45">
      <c r="A10" s="13" t="s">
        <v>91</v>
      </c>
      <c r="C10" s="13">
        <f>SUM(C9:$C$9)</f>
        <v>5309</v>
      </c>
      <c r="E10" s="13">
        <f>SUM(E9:$E$9)</f>
        <v>318346964</v>
      </c>
    </row>
    <row r="11" spans="1:5" ht="18.75" x14ac:dyDescent="0.45">
      <c r="C11" s="15"/>
      <c r="E11" s="15"/>
    </row>
  </sheetData>
  <mergeCells count="4">
    <mergeCell ref="A1:E1"/>
    <mergeCell ref="A2:E2"/>
    <mergeCell ref="A3:E3"/>
    <mergeCell ref="A5:E5"/>
  </mergeCells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0</vt:lpstr>
      <vt:lpstr>1</vt:lpstr>
      <vt:lpstr>2</vt:lpstr>
      <vt:lpstr>3</vt:lpstr>
      <vt:lpstr>4</vt:lpstr>
      <vt:lpstr>5</vt:lpstr>
      <vt:lpstr>7</vt:lpstr>
      <vt:lpstr>8</vt:lpstr>
      <vt:lpstr>9</vt:lpstr>
      <vt:lpstr>Sheet1</vt:lpstr>
      <vt:lpstr>10</vt:lpstr>
      <vt:lpstr>11</vt:lpstr>
      <vt:lpstr>12</vt:lpstr>
      <vt:lpstr>13</vt:lpstr>
      <vt:lpstr>14</vt:lpstr>
      <vt:lpstr>15</vt:lpstr>
      <vt:lpstr>'1'!Print_Titles</vt:lpstr>
      <vt:lpstr>'10'!Print_Titles</vt:lpstr>
      <vt:lpstr>'11'!Print_Titles</vt:lpstr>
      <vt:lpstr>'12'!Print_Titles</vt:lpstr>
      <vt:lpstr>'8'!Print_Titles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Fatemeh Rezaei</cp:lastModifiedBy>
  <cp:lastPrinted>2025-01-20T12:01:50Z</cp:lastPrinted>
  <dcterms:created xsi:type="dcterms:W3CDTF">2025-01-20T08:02:02Z</dcterms:created>
  <dcterms:modified xsi:type="dcterms:W3CDTF">2025-01-20T12:02:56Z</dcterms:modified>
</cp:coreProperties>
</file>