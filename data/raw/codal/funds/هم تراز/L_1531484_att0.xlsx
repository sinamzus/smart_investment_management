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.langari.AM\Desktop\پرتفو\New folder\"/>
    </mc:Choice>
  </mc:AlternateContent>
  <xr:revisionPtr revIDLastSave="0" documentId="13_ncr:1_{2FCEC603-0A50-481A-BFC1-5991FC3A9C2B}" xr6:coauthVersionLast="47" xr6:coauthVersionMax="47" xr10:uidLastSave="{00000000-0000-0000-0000-000000000000}"/>
  <bookViews>
    <workbookView xWindow="-120" yWindow="-120" windowWidth="29040" windowHeight="15720" tabRatio="897" xr2:uid="{00000000-000D-0000-FFFF-FFFF00000000}"/>
  </bookViews>
  <sheets>
    <sheet name="1" sheetId="29" r:id="rId1"/>
    <sheet name=" سهام" sheetId="21" r:id="rId2"/>
    <sheet name="تعدیل قیمت" sheetId="4" r:id="rId3"/>
    <sheet name="سپرده" sheetId="2" r:id="rId4"/>
    <sheet name="درآمدها" sheetId="11" r:id="rId5"/>
    <sheet name="درآمد سرمایه گذاری در سهام " sheetId="5" r:id="rId6"/>
    <sheet name="درآمد سپرده بانکی" sheetId="7" r:id="rId7"/>
    <sheet name="درآمد سود سهام" sheetId="12" r:id="rId8"/>
    <sheet name="سود  سپرده بانکی" sheetId="22" r:id="rId9"/>
    <sheet name="درآمد ناشی ازفروش" sheetId="15" r:id="rId10"/>
    <sheet name="درآمد ناشی از تغییر قیمت اوراق " sheetId="14" r:id="rId11"/>
  </sheets>
  <definedNames>
    <definedName name="_xlnm.Print_Area" localSheetId="1">' سهام'!$A$1:$N$227</definedName>
    <definedName name="_xlnm.Print_Area" localSheetId="2">'تعدیل قیمت'!$A$1:$G$23</definedName>
    <definedName name="_xlnm.Print_Area" localSheetId="10">'درآمد ناشی از تغییر قیمت اوراق '!$A$1:$I$223</definedName>
    <definedName name="_xlnm.Print_Area" localSheetId="3">سپرده!$A$1:$O$16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2" i="14" l="1"/>
  <c r="H222" i="14"/>
  <c r="G222" i="14"/>
  <c r="E222" i="14"/>
  <c r="D222" i="14"/>
  <c r="C222" i="14"/>
  <c r="I40" i="15"/>
  <c r="H40" i="15"/>
  <c r="G40" i="15"/>
  <c r="F40" i="15"/>
  <c r="E40" i="15"/>
  <c r="D40" i="15"/>
  <c r="C40" i="15"/>
  <c r="B40" i="15"/>
  <c r="G15" i="22"/>
  <c r="F15" i="22"/>
  <c r="E15" i="22"/>
  <c r="D15" i="22"/>
  <c r="C15" i="22"/>
  <c r="B15" i="22"/>
  <c r="J23" i="12"/>
  <c r="I23" i="12"/>
  <c r="H23" i="12"/>
  <c r="G23" i="12"/>
  <c r="F23" i="12"/>
  <c r="E23" i="12"/>
  <c r="D15" i="7"/>
  <c r="B15" i="7"/>
  <c r="E14" i="7"/>
  <c r="E13" i="7"/>
  <c r="E12" i="7"/>
  <c r="E11" i="7"/>
  <c r="E10" i="7"/>
  <c r="E9" i="7"/>
  <c r="E15" i="7" s="1"/>
  <c r="K207" i="5"/>
  <c r="J207" i="5"/>
  <c r="I207" i="5"/>
  <c r="H207" i="5"/>
  <c r="G207" i="5"/>
  <c r="F207" i="5"/>
  <c r="E207" i="5"/>
  <c r="D207" i="5"/>
  <c r="C207" i="5"/>
  <c r="B207" i="5"/>
  <c r="C9" i="11"/>
  <c r="E8" i="11"/>
  <c r="D8" i="11"/>
  <c r="E7" i="11"/>
  <c r="E9" i="11" s="1"/>
  <c r="D7" i="11"/>
  <c r="D9" i="11" s="1"/>
  <c r="F15" i="2"/>
  <c r="E15" i="2"/>
  <c r="D15" i="2"/>
  <c r="C15" i="2"/>
  <c r="B15" i="2"/>
  <c r="N226" i="21"/>
  <c r="M226" i="21"/>
  <c r="L226" i="21"/>
  <c r="I226" i="21"/>
  <c r="G226" i="21"/>
  <c r="D226" i="21"/>
  <c r="C226" i="21"/>
  <c r="C13" i="7" l="1"/>
  <c r="C12" i="7"/>
  <c r="C11" i="7"/>
  <c r="C10" i="7"/>
  <c r="C9" i="7"/>
  <c r="C15" i="7" l="1"/>
</calcChain>
</file>

<file path=xl/sharedStrings.xml><?xml version="1.0" encoding="utf-8"?>
<sst xmlns="http://schemas.openxmlformats.org/spreadsheetml/2006/main" count="908" uniqueCount="338">
  <si>
    <t>بهای تمام شده</t>
  </si>
  <si>
    <t>شرکت</t>
  </si>
  <si>
    <t>جمع</t>
  </si>
  <si>
    <t>تعداد</t>
  </si>
  <si>
    <t>خرید طی دوره</t>
  </si>
  <si>
    <t>فروش طی دوره</t>
  </si>
  <si>
    <t>مبلغ</t>
  </si>
  <si>
    <t>تغییرات طی دوره</t>
  </si>
  <si>
    <t>سپرده های بانکی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</si>
  <si>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</si>
  <si>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</si>
  <si>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</si>
  <si>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</si>
  <si>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</si>
  <si>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</si>
  <si>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نام سپرده</t>
  </si>
  <si>
    <t>سود سپرده بانکی و گواهی سپرده</t>
  </si>
  <si>
    <t>درصد سود به میانگین سپرده</t>
  </si>
  <si>
    <t>درصد از کل درآمدها</t>
  </si>
  <si>
    <t>نام سپرده بانکی</t>
  </si>
  <si>
    <t>خالص ارزش فروش</t>
  </si>
  <si>
    <t>درصد به کل دارایی‌ها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</si>
  <si>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</si>
  <si>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</si>
  <si>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</si>
  <si>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</si>
  <si>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</si>
  <si>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قیمت بازار هر سهم</t>
  </si>
  <si>
    <t>نام سهام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</si>
  <si>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</si>
  <si>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</si>
  <si>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</si>
  <si>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</si>
  <si>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</si>
  <si>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</si>
  <si>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افزایش</t>
  </si>
  <si>
    <t>شرح</t>
  </si>
  <si>
    <t>یادداشت</t>
  </si>
  <si>
    <t>تاریخ تشکیل مجمع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</si>
  <si>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</si>
  <si>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</si>
  <si>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</si>
  <si>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</si>
  <si>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</si>
  <si>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</si>
  <si>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</si>
  <si>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</si>
  <si>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</si>
  <si>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</si>
  <si>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خالص بهای فروش</t>
  </si>
  <si>
    <t>سود و زیان ناشی از فروش</t>
  </si>
  <si>
    <t>درآمد حاصل از سرمایه گذاری در سهام و حق تقدم سهام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</si>
  <si>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</si>
  <si>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</si>
  <si>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</si>
  <si>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</si>
  <si>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2-2</t>
  </si>
  <si>
    <t xml:space="preserve">صورت وضعیت درآمدها </t>
  </si>
  <si>
    <t xml:space="preserve">درآمد سود </t>
  </si>
  <si>
    <t>یادداشت ...</t>
  </si>
  <si>
    <t>درصد از کل دارایی ها</t>
  </si>
  <si>
    <t>سود سپرده بانکی</t>
  </si>
  <si>
    <t xml:space="preserve">افزایش سرمایه </t>
  </si>
  <si>
    <t>طی دوره</t>
  </si>
  <si>
    <t>کاهش</t>
  </si>
  <si>
    <t>شاخصی هم ‏وزن تراز</t>
  </si>
  <si>
    <t>شاخصی هم ‏وزن تراز</t>
  </si>
  <si>
    <t>برای ماه منتهی به 1405/02/31</t>
  </si>
  <si>
    <t>1405/02/31</t>
  </si>
  <si>
    <t>سپه</t>
  </si>
  <si>
    <t>ملت</t>
  </si>
  <si>
    <t>پاسارگاد</t>
  </si>
  <si>
    <t>دي</t>
  </si>
  <si>
    <t>خاورميانه</t>
  </si>
  <si>
    <t>سامان</t>
  </si>
  <si>
    <t>1405/01/31</t>
  </si>
  <si>
    <t>لامپ پارس شهاب</t>
  </si>
  <si>
    <t>عمران فارس</t>
  </si>
  <si>
    <t>داروسازي زاگرس</t>
  </si>
  <si>
    <t>چادرملو</t>
  </si>
  <si>
    <t>نفت بندر عباس</t>
  </si>
  <si>
    <t>نفت و گاز پارسيان</t>
  </si>
  <si>
    <t>آلومينيوم ايران</t>
  </si>
  <si>
    <t>بانك تجارت</t>
  </si>
  <si>
    <t>حفاري شمال</t>
  </si>
  <si>
    <t>پاكديس</t>
  </si>
  <si>
    <t>پتروشيمي نوري</t>
  </si>
  <si>
    <t>ايمن خودرو شرق</t>
  </si>
  <si>
    <t>پخش هجرت</t>
  </si>
  <si>
    <t>پتروشيمي خراسان</t>
  </si>
  <si>
    <t>نخريسي و نساجي خسروي خراسان</t>
  </si>
  <si>
    <t>صنايع غذايي رضوي</t>
  </si>
  <si>
    <t>توليدي و صنعتي گوهرفام</t>
  </si>
  <si>
    <t>نيان باتري خاوران</t>
  </si>
  <si>
    <t>صنعتي بارز</t>
  </si>
  <si>
    <t>بيمه البرز</t>
  </si>
  <si>
    <t>پتروشيمي كرمانشاه</t>
  </si>
  <si>
    <t>سيمان اروميه</t>
  </si>
  <si>
    <t>تايدواتر</t>
  </si>
  <si>
    <t>فنرسازي زر</t>
  </si>
  <si>
    <t>صنعتي سپاهان</t>
  </si>
  <si>
    <t>سيمان فارس نو</t>
  </si>
  <si>
    <t>دارو ابوريحان</t>
  </si>
  <si>
    <t>فن آوران</t>
  </si>
  <si>
    <t>كارت اعتباري ايران كيش</t>
  </si>
  <si>
    <t>بيمه پارسيان</t>
  </si>
  <si>
    <t>سرمايه گذاري ملي ايران</t>
  </si>
  <si>
    <t>پارس سوييچ</t>
  </si>
  <si>
    <t>قاسم ايران</t>
  </si>
  <si>
    <t>صنعتي پارس خزر</t>
  </si>
  <si>
    <t>سيمان تهران</t>
  </si>
  <si>
    <t>پتروشيمي فجر</t>
  </si>
  <si>
    <t>حمل و نقل ريلي پارسيان</t>
  </si>
  <si>
    <t>شير و گوشت زاگرس شهركرد</t>
  </si>
  <si>
    <t>كشاورزي و دامپروري بينالود</t>
  </si>
  <si>
    <t>سيمرغ</t>
  </si>
  <si>
    <t>كشت و دامداري فكا</t>
  </si>
  <si>
    <t>صنايع چوب خزر كاسپين</t>
  </si>
  <si>
    <t>صنعت غذايي كورش</t>
  </si>
  <si>
    <t>توسعه سامانه ي نرم افزاري نگين</t>
  </si>
  <si>
    <t>سيمان فارس و خوزستان</t>
  </si>
  <si>
    <t>پارس فنر</t>
  </si>
  <si>
    <t>مهرمام ميهن</t>
  </si>
  <si>
    <t>املاح ايران</t>
  </si>
  <si>
    <t>نفت تبريز</t>
  </si>
  <si>
    <t>خاك چيني</t>
  </si>
  <si>
    <t>كاشي پارس</t>
  </si>
  <si>
    <t>قند قزوين</t>
  </si>
  <si>
    <t>توليدات پتروشيمي قائد بصير</t>
  </si>
  <si>
    <t>بهمن ديزل</t>
  </si>
  <si>
    <t>آريان كيميا تك</t>
  </si>
  <si>
    <t>دارويي و نهاده هاي زاگرس دارو</t>
  </si>
  <si>
    <t>كاني كربن طبس</t>
  </si>
  <si>
    <t>اخشان خراسان</t>
  </si>
  <si>
    <t>افست</t>
  </si>
  <si>
    <t>گلتاش</t>
  </si>
  <si>
    <t>پارس مينو</t>
  </si>
  <si>
    <t>داروسازي فارابي</t>
  </si>
  <si>
    <t>صنعتي آما</t>
  </si>
  <si>
    <t>پگاه خراسان</t>
  </si>
  <si>
    <t>شيشه همدان</t>
  </si>
  <si>
    <t>مهرام</t>
  </si>
  <si>
    <t>صندوق بازنشستگي</t>
  </si>
  <si>
    <t>سيمان شمال</t>
  </si>
  <si>
    <t>كاشي حافظ</t>
  </si>
  <si>
    <t>پتروشيمي پرديس</t>
  </si>
  <si>
    <t>سرمايه گذاري اميد</t>
  </si>
  <si>
    <t>دريايي سينا</t>
  </si>
  <si>
    <t>غذايي مينو</t>
  </si>
  <si>
    <t>موتوژن</t>
  </si>
  <si>
    <t>كوير تاير</t>
  </si>
  <si>
    <t>كشتيراني ايران</t>
  </si>
  <si>
    <t>توكا رنگ فولاد سپاهان</t>
  </si>
  <si>
    <t>انتقال داده هاي آسياتك</t>
  </si>
  <si>
    <t>توزيع دارو پخش</t>
  </si>
  <si>
    <t>توليد ژلاتين كپسول ايران</t>
  </si>
  <si>
    <t>سيمان ساوه</t>
  </si>
  <si>
    <t>سبحان_دارو</t>
  </si>
  <si>
    <t>نيان الكترونيك</t>
  </si>
  <si>
    <t>س. و توسعه صنايع لاستيك</t>
  </si>
  <si>
    <t>گروه مالي نماد غدير(سهامي عام)</t>
  </si>
  <si>
    <t>كارخانجات توليدي نيروترانسفو</t>
  </si>
  <si>
    <t>مجتمع كاشي و سنگ پرسپوليس يزد</t>
  </si>
  <si>
    <t>سيمان هگمتان</t>
  </si>
  <si>
    <t>شهد ايران</t>
  </si>
  <si>
    <t>تجارت الكترونيك پارسيان</t>
  </si>
  <si>
    <t>مگسال</t>
  </si>
  <si>
    <t>داروسازي اكسير</t>
  </si>
  <si>
    <t>سيمان صوفيان</t>
  </si>
  <si>
    <t>قند پيرانشهر</t>
  </si>
  <si>
    <t>قند لرستان</t>
  </si>
  <si>
    <t>مپنا</t>
  </si>
  <si>
    <t>سيمان بجنورد</t>
  </si>
  <si>
    <t>سايپا</t>
  </si>
  <si>
    <t>سنگ آهن گهرزمين</t>
  </si>
  <si>
    <t>سرمايه گذاري صدرتامين</t>
  </si>
  <si>
    <t>فروشگاههاي زنجيره اي افق كوروش</t>
  </si>
  <si>
    <t>توسعه و عمران اميد</t>
  </si>
  <si>
    <t>بهار رز عاليس چناران</t>
  </si>
  <si>
    <t>آهن و فولاد غدير ايرانيان</t>
  </si>
  <si>
    <t>بيمه اتكايي ايران معين</t>
  </si>
  <si>
    <t>صنايع ارتباطي آوا</t>
  </si>
  <si>
    <t>شركت سرمايه گذاري خوارزمي</t>
  </si>
  <si>
    <t>شركت شيرين دارو</t>
  </si>
  <si>
    <t>پتروشيمي تامين</t>
  </si>
  <si>
    <t>فولاد مباركه</t>
  </si>
  <si>
    <t>سيمان خزر</t>
  </si>
  <si>
    <t>فولاد آلياژي ايران</t>
  </si>
  <si>
    <t>ايركا پارت صنعت</t>
  </si>
  <si>
    <t>نسوز آذر</t>
  </si>
  <si>
    <t>سالمين</t>
  </si>
  <si>
    <t>بانك سينا</t>
  </si>
  <si>
    <t>سينا دارو</t>
  </si>
  <si>
    <t>اقتصاد نوين</t>
  </si>
  <si>
    <t>ايران خودرو</t>
  </si>
  <si>
    <t>قند هكمتان</t>
  </si>
  <si>
    <t>قند اصفهان</t>
  </si>
  <si>
    <t>پگاه آذربايجان</t>
  </si>
  <si>
    <t>كاشي و سراميك سعدي</t>
  </si>
  <si>
    <t>بانك خاورميانه</t>
  </si>
  <si>
    <t>فولاد كاوه</t>
  </si>
  <si>
    <t>ريل سير كوثر</t>
  </si>
  <si>
    <t>شير پاستوريزه پگاه گلپايگان</t>
  </si>
  <si>
    <t>كشاورزي مكانيزه اصفهان كشت</t>
  </si>
  <si>
    <t>دارويي ره آورد تامين</t>
  </si>
  <si>
    <t>گروه انتخاب الكترونيك آرمان</t>
  </si>
  <si>
    <t>ملي شيمي كشاورز</t>
  </si>
  <si>
    <t>توليد انرژي برق شمس پاسارگاد</t>
  </si>
  <si>
    <t>سرمايه گذاري پايا تدبيرپارسا</t>
  </si>
  <si>
    <t>صنايع الكترونيك ماديران</t>
  </si>
  <si>
    <t>بيمه آسيا</t>
  </si>
  <si>
    <t>نفت اصفهان</t>
  </si>
  <si>
    <t>شركت پالايش نفت لاوان</t>
  </si>
  <si>
    <t>بانك ملت</t>
  </si>
  <si>
    <t>قند چهار محال</t>
  </si>
  <si>
    <t>شركت پخش البرز</t>
  </si>
  <si>
    <t>نگين طبس</t>
  </si>
  <si>
    <t>كاشي الوند</t>
  </si>
  <si>
    <t>سيمان قاين</t>
  </si>
  <si>
    <t>تامين ماسه</t>
  </si>
  <si>
    <t>رادياتور</t>
  </si>
  <si>
    <t>سيمان سپاهان</t>
  </si>
  <si>
    <t>سرمايه گذاري غدير</t>
  </si>
  <si>
    <t>ارتباطات سيار</t>
  </si>
  <si>
    <t>صنعتي بهشهر</t>
  </si>
  <si>
    <t>فرآوري زغال سنگ پروده طبس</t>
  </si>
  <si>
    <t>شيشه و گاز</t>
  </si>
  <si>
    <t>تامين سرمايه لوتوس پارسيان</t>
  </si>
  <si>
    <t>تامين سرمايه نوين</t>
  </si>
  <si>
    <t>پديده شيمي قرن</t>
  </si>
  <si>
    <t>سرمايه گذاري تامين اجتماعي</t>
  </si>
  <si>
    <t>سپيد ماكيان</t>
  </si>
  <si>
    <t>نفت بهران</t>
  </si>
  <si>
    <t>توليدي برنا باطري</t>
  </si>
  <si>
    <t>نشاسته و گلوكز آردينه</t>
  </si>
  <si>
    <t>آترا زيست آراي</t>
  </si>
  <si>
    <t>شركت سرمايه گذاري مسكن تهران</t>
  </si>
  <si>
    <t>سيمان غرب</t>
  </si>
  <si>
    <t>داده پردازي</t>
  </si>
  <si>
    <t>كاشي وسراميك سينا</t>
  </si>
  <si>
    <t>ملي مس</t>
  </si>
  <si>
    <t>پمپ سازي ايران</t>
  </si>
  <si>
    <t>پگاه اصفهان</t>
  </si>
  <si>
    <t>سيمان مازندران</t>
  </si>
  <si>
    <t>كربن</t>
  </si>
  <si>
    <t>فولاد خوزستان</t>
  </si>
  <si>
    <t>ايران ترانسفو</t>
  </si>
  <si>
    <t>بانك صادرات</t>
  </si>
  <si>
    <t>نفت سپاهان</t>
  </si>
  <si>
    <t>كارخانجات داروپخش</t>
  </si>
  <si>
    <t>پشم شيشه</t>
  </si>
  <si>
    <t>صنعتي صبانور</t>
  </si>
  <si>
    <t>توليد مواد اوليه داروپخش</t>
  </si>
  <si>
    <t>سيمان بهبهان</t>
  </si>
  <si>
    <t>كشت و دام قيام اصفهان</t>
  </si>
  <si>
    <t>پارس فولاد سبزوار</t>
  </si>
  <si>
    <t>آنتي بيوتيك سازي ايران</t>
  </si>
  <si>
    <t>مديريت نيروگاهي ايرانيان مپنا</t>
  </si>
  <si>
    <t>توسعه معادن كروميت كاوندگان</t>
  </si>
  <si>
    <t>كيميا كالاي رازي</t>
  </si>
  <si>
    <t>تراكتور سازي</t>
  </si>
  <si>
    <t>ريخته گري تراكتورسازي</t>
  </si>
  <si>
    <t>گل گهر</t>
  </si>
  <si>
    <t>توليدي چدن سازان</t>
  </si>
  <si>
    <t>عطرين نخ قم</t>
  </si>
  <si>
    <t>نساجي هديه البرز مشهد</t>
  </si>
  <si>
    <t>موتورسازان</t>
  </si>
  <si>
    <t>توسعه نيشكر و صنايع جانبي</t>
  </si>
  <si>
    <t>كشت و صنعت شهداب</t>
  </si>
  <si>
    <t>غلتك سازان سپاهان</t>
  </si>
  <si>
    <t>صنعتي زر ماكارون</t>
  </si>
  <si>
    <t>نيروترانس</t>
  </si>
  <si>
    <t>شیرین دارو</t>
  </si>
  <si>
    <t>صنعتی صبانور</t>
  </si>
  <si>
    <t>بهمن دیزل</t>
  </si>
  <si>
    <t>آلوميناي ايران</t>
  </si>
  <si>
    <t>آنتي بيوتيك سازي ايران (تقدم)</t>
  </si>
  <si>
    <t>ارتباطات سیار</t>
  </si>
  <si>
    <t>البرز دارو</t>
  </si>
  <si>
    <t>ایرکا پارت صنعت</t>
  </si>
  <si>
    <t>بيمه ايران - معين</t>
  </si>
  <si>
    <t>تامين سرمايه لوتوس پارسيان (تقدم)</t>
  </si>
  <si>
    <t>تجارت الکترونیک پارسیان</t>
  </si>
  <si>
    <t xml:space="preserve">تراكتور سازي </t>
  </si>
  <si>
    <t>توليد برق عسلويه مپنا</t>
  </si>
  <si>
    <t>داده پردازي (تقدم)</t>
  </si>
  <si>
    <t>داروسازي‌ اكسير</t>
  </si>
  <si>
    <t>دارويي‌ رازك‌</t>
  </si>
  <si>
    <t>سرمايه گذاري سپه</t>
  </si>
  <si>
    <t>سرمايه گذاري صدرتامين (تقدم)</t>
  </si>
  <si>
    <t>سرمايه گذاري كشاورزي كوثر</t>
  </si>
  <si>
    <t>سرمایه گذاری مسکن تهران</t>
  </si>
  <si>
    <t>سيمان خاش</t>
  </si>
  <si>
    <t>سيمان شمال (تقدم)</t>
  </si>
  <si>
    <t>شرکت سرمایه گذاری خوارزمی</t>
  </si>
  <si>
    <t>شيميايي ايران</t>
  </si>
  <si>
    <t>فجر انرژي خليج فارس</t>
  </si>
  <si>
    <t>فولاد ارفع</t>
  </si>
  <si>
    <t>كاشي سعدي</t>
  </si>
  <si>
    <t>كاني كربن طبس (تقدم)</t>
  </si>
  <si>
    <t>مجتمع صنايع لاستيك يزد</t>
  </si>
  <si>
    <t>منگنز ايران</t>
  </si>
  <si>
    <t>مواداوليه داروپخش</t>
  </si>
  <si>
    <t>نفت لاوان</t>
  </si>
  <si>
    <t>نفت و گاز پارسیان</t>
  </si>
  <si>
    <t>نورد قطعات</t>
  </si>
  <si>
    <t>پارس خزر</t>
  </si>
  <si>
    <t>پارس شهاب</t>
  </si>
  <si>
    <t>پاکدیس</t>
  </si>
  <si>
    <t xml:space="preserve">پتروشيمي كرمانشاه </t>
  </si>
  <si>
    <t>پتروشيمی پردیس</t>
  </si>
  <si>
    <t>پتروشیمی تامین</t>
  </si>
  <si>
    <t>پخش البرز</t>
  </si>
  <si>
    <t>پرتو بار فرابر خليج فارس</t>
  </si>
  <si>
    <t>پمپ ايران</t>
  </si>
  <si>
    <t>کارت اعتباری ایران کیش</t>
  </si>
  <si>
    <t>کارخانجات توليدي نيروترانسفو</t>
  </si>
  <si>
    <t>گل گهر (تقدم)</t>
  </si>
  <si>
    <t>1405/01/30</t>
  </si>
  <si>
    <t>1405/01/26</t>
  </si>
  <si>
    <t>1405/02/05</t>
  </si>
  <si>
    <t>1405/01/16</t>
  </si>
  <si>
    <t>1405/02/02</t>
  </si>
  <si>
    <t>1405/02/23</t>
  </si>
  <si>
    <t>1404/12/10</t>
  </si>
  <si>
    <t>1405/02/14</t>
  </si>
  <si>
    <t>1405/02/27</t>
  </si>
  <si>
    <t>1404/12/17</t>
  </si>
  <si>
    <t>1405/01/29</t>
  </si>
  <si>
    <t>1404/12/27</t>
  </si>
  <si>
    <t>-</t>
  </si>
  <si>
    <t>صندوق سرمایه‌گذاری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</si>
  <si>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</si>
  <si>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31 اردیبهشت 1405</t>
  </si>
  <si>
    <t>2-2-درآمد حاصل از سرمایه­گذاری در سپرده بانکی و گواهی سپرده:</t>
  </si>
  <si>
    <t>1-2- سرمایه‌گذاری در  سپرده‌ بانکی</t>
  </si>
  <si>
    <t>2-1</t>
  </si>
  <si>
    <t>2-1-درآمد حاصل از سرمایه­گذاری در سهام و حق تقدم سهام: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</si>
</sst>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0"/>
    <numFmt numFmtId="165" formatCode="0.00%;[Red]\(0.00%\);0%"/>
  </numFmts>
  <fonts count="19" x14ac:knownFonts="1">
    <font>
      <sz val="11"/>
      <color theme="1"/>
      <name val="Calibri"/>
      <family val="2"/>
      <charset val="178"/>
      <scheme val="minor"/>
    </font>
    <font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1"/>
      <name val="Calibri"/>
      <family val="2"/>
    </font>
    <font>
      <b/>
      <sz val="36"/>
      <color rgb="FFFF0000"/>
      <name val="B Roya"/>
      <charset val="178"/>
    </font>
    <font>
      <b/>
      <sz val="15"/>
      <name val="B Nazanin"/>
      <charset val="178"/>
    </font>
    <font>
      <b/>
      <sz val="24"/>
      <color rgb="FFFF0000"/>
      <name val="B Roya"/>
      <charset val="178"/>
    </font>
    <font>
      <sz val="16"/>
      <color rgb="FFFF0000"/>
      <name val="B Homa"/>
      <charset val="178"/>
    </font>
    <font>
      <b/>
      <sz val="12"/>
      <color rgb="FF0062AC"/>
      <name val="B Nazanin"/>
      <charset val="178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b/>
      <sz val="14"/>
      <color rgb="FF0062AC"/>
      <name val="B Nazanin"/>
      <charset val="178"/>
    </font>
    <font>
      <sz val="14"/>
      <color indexed="8"/>
      <name val="B Nazanin"/>
      <charset val="178"/>
    </font>
    <font>
      <sz val="12"/>
      <color theme="1"/>
      <name val="B Nazanin"/>
      <charset val="178"/>
    </font>
    <font>
      <sz val="12"/>
      <color indexed="8"/>
      <name val="B Nazanin"/>
      <charset val="178"/>
    </font>
    <font>
      <sz val="14"/>
      <color theme="1"/>
      <name val="Calibri"/>
      <family val="2"/>
      <charset val="178"/>
      <scheme val="minor"/>
    </font>
    <font>
      <b/>
      <sz val="12"/>
      <color rgb="FF000000"/>
      <name val="B Nazanin"/>
      <charset val="178"/>
    </font>
    <font>
      <sz val="12"/>
      <color rgb="FF000000"/>
      <name val="B Nazanin"/>
      <charset val="178"/>
    </font>
    <font>
      <b/>
      <sz val="11"/>
      <color rgb="FF000000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00">
    <xf numFmtId="0" fontId="0" fillId="0" borderId="0" xfId="0"/>
    <xf numFmtId="0" fontId="3" fillId="2" borderId="0" xfId="1" applyFill="1"/>
    <xf numFmtId="0" fontId="5" fillId="2" borderId="0" xfId="1" applyFont="1" applyFill="1" applyAlignment="1">
      <alignment horizontal="center"/>
    </xf>
    <xf numFmtId="0" fontId="5" fillId="2" borderId="0" xfId="1" applyFont="1" applyFill="1"/>
    <xf numFmtId="0" fontId="2" fillId="0" borderId="0" xfId="0" applyFont="1" applyAlignment="1">
      <alignment horizontal="center"/>
    </xf>
    <xf numFmtId="0" fontId="13" fillId="0" borderId="0" xfId="0" applyFont="1"/>
    <xf numFmtId="0" fontId="8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 readingOrder="2"/>
    </xf>
    <xf numFmtId="164" fontId="14" fillId="0" borderId="0" xfId="0" applyNumberFormat="1" applyFont="1"/>
    <xf numFmtId="165" fontId="14" fillId="0" borderId="0" xfId="0" applyNumberFormat="1" applyFont="1"/>
    <xf numFmtId="164" fontId="14" fillId="0" borderId="4" xfId="0" applyNumberFormat="1" applyFont="1" applyBorder="1"/>
    <xf numFmtId="164" fontId="14" fillId="0" borderId="5" xfId="0" applyNumberFormat="1" applyFont="1" applyBorder="1"/>
    <xf numFmtId="164" fontId="14" fillId="0" borderId="7" xfId="0" applyNumberFormat="1" applyFont="1" applyBorder="1"/>
    <xf numFmtId="165" fontId="14" fillId="0" borderId="5" xfId="0" applyNumberFormat="1" applyFont="1" applyBorder="1"/>
    <xf numFmtId="0" fontId="13" fillId="0" borderId="6" xfId="0" applyFont="1" applyBorder="1"/>
    <xf numFmtId="3" fontId="13" fillId="0" borderId="0" xfId="0" applyNumberFormat="1" applyFont="1"/>
    <xf numFmtId="164" fontId="13" fillId="0" borderId="0" xfId="0" applyNumberFormat="1" applyFont="1"/>
    <xf numFmtId="0" fontId="10" fillId="0" borderId="0" xfId="0" applyFont="1"/>
    <xf numFmtId="164" fontId="12" fillId="0" borderId="0" xfId="0" applyNumberFormat="1" applyFont="1"/>
    <xf numFmtId="165" fontId="12" fillId="0" borderId="0" xfId="0" applyNumberFormat="1" applyFont="1"/>
    <xf numFmtId="0" fontId="13" fillId="0" borderId="0" xfId="0" applyFont="1" applyAlignment="1">
      <alignment vertical="center" wrapText="1" readingOrder="2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 readingOrder="2"/>
    </xf>
    <xf numFmtId="164" fontId="14" fillId="0" borderId="0" xfId="0" applyNumberFormat="1" applyFont="1" applyAlignment="1">
      <alignment horizontal="center"/>
    </xf>
    <xf numFmtId="0" fontId="13" fillId="0" borderId="1" xfId="0" applyFont="1" applyBorder="1"/>
    <xf numFmtId="165" fontId="14" fillId="0" borderId="4" xfId="0" applyNumberFormat="1" applyFont="1" applyBorder="1"/>
    <xf numFmtId="3" fontId="13" fillId="0" borderId="6" xfId="0" applyNumberFormat="1" applyFont="1" applyBorder="1"/>
    <xf numFmtId="165" fontId="14" fillId="0" borderId="7" xfId="0" applyNumberFormat="1" applyFont="1" applyBorder="1"/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center" readingOrder="2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0" borderId="0" xfId="0" applyFont="1" applyAlignment="1">
      <alignment horizontal="right" vertical="center" readingOrder="2"/>
    </xf>
    <xf numFmtId="49" fontId="10" fillId="0" borderId="0" xfId="0" applyNumberFormat="1" applyFont="1" applyAlignment="1">
      <alignment horizontal="center" vertical="center" readingOrder="2"/>
    </xf>
    <xf numFmtId="0" fontId="10" fillId="0" borderId="0" xfId="0" applyFont="1" applyAlignment="1">
      <alignment horizontal="right" vertical="center"/>
    </xf>
    <xf numFmtId="3" fontId="10" fillId="0" borderId="0" xfId="0" applyNumberFormat="1" applyFont="1"/>
    <xf numFmtId="165" fontId="12" fillId="0" borderId="5" xfId="0" applyNumberFormat="1" applyFont="1" applyBorder="1"/>
    <xf numFmtId="164" fontId="12" fillId="0" borderId="5" xfId="0" applyNumberFormat="1" applyFont="1" applyBorder="1"/>
    <xf numFmtId="165" fontId="12" fillId="0" borderId="7" xfId="0" applyNumberFormat="1" applyFont="1" applyBorder="1"/>
    <xf numFmtId="0" fontId="10" fillId="0" borderId="6" xfId="0" applyFont="1" applyBorder="1"/>
    <xf numFmtId="3" fontId="10" fillId="0" borderId="6" xfId="0" applyNumberFormat="1" applyFont="1" applyBorder="1"/>
    <xf numFmtId="0" fontId="10" fillId="0" borderId="1" xfId="0" applyFont="1" applyBorder="1" applyAlignment="1">
      <alignment horizontal="center" wrapText="1"/>
    </xf>
    <xf numFmtId="49" fontId="15" fillId="0" borderId="0" xfId="0" applyNumberFormat="1" applyFont="1" applyAlignment="1">
      <alignment horizontal="center" vertical="center" readingOrder="2"/>
    </xf>
    <xf numFmtId="0" fontId="16" fillId="0" borderId="1" xfId="0" applyFont="1" applyBorder="1" applyAlignment="1">
      <alignment horizontal="center" vertical="center" wrapText="1" readingOrder="2"/>
    </xf>
    <xf numFmtId="0" fontId="16" fillId="0" borderId="2" xfId="0" applyFont="1" applyBorder="1" applyAlignment="1">
      <alignment horizontal="center" vertical="center" wrapText="1" readingOrder="2"/>
    </xf>
    <xf numFmtId="0" fontId="16" fillId="0" borderId="0" xfId="0" applyFont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 readingOrder="2"/>
    </xf>
    <xf numFmtId="0" fontId="16" fillId="0" borderId="3" xfId="0" applyFont="1" applyBorder="1" applyAlignment="1">
      <alignment horizontal="center" vertical="center" wrapText="1" readingOrder="2"/>
    </xf>
    <xf numFmtId="0" fontId="18" fillId="0" borderId="3" xfId="0" applyFont="1" applyBorder="1" applyAlignment="1">
      <alignment horizontal="center" vertical="center" wrapText="1" readingOrder="2"/>
    </xf>
    <xf numFmtId="0" fontId="16" fillId="0" borderId="0" xfId="0" applyFont="1" applyAlignment="1">
      <alignment vertical="center" wrapText="1" readingOrder="2"/>
    </xf>
    <xf numFmtId="0" fontId="13" fillId="0" borderId="0" xfId="0" applyFont="1" applyAlignment="1">
      <alignment vertical="center" wrapText="1"/>
    </xf>
    <xf numFmtId="0" fontId="16" fillId="0" borderId="1" xfId="0" applyFont="1" applyBorder="1" applyAlignment="1">
      <alignment vertical="center" wrapText="1" readingOrder="2"/>
    </xf>
    <xf numFmtId="0" fontId="13" fillId="0" borderId="4" xfId="0" applyFont="1" applyBorder="1"/>
    <xf numFmtId="0" fontId="8" fillId="0" borderId="0" xfId="0" applyFont="1" applyAlignment="1">
      <alignment vertical="center" readingOrder="2"/>
    </xf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13" fillId="0" borderId="3" xfId="0" applyFont="1" applyBorder="1"/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 wrapText="1"/>
    </xf>
    <xf numFmtId="0" fontId="3" fillId="2" borderId="0" xfId="1" applyFill="1" applyAlignment="1">
      <alignment horizontal="center"/>
    </xf>
    <xf numFmtId="0" fontId="7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readingOrder="2"/>
    </xf>
    <xf numFmtId="0" fontId="13" fillId="0" borderId="2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right" vertical="center" readingOrder="2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3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9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 readingOrder="2"/>
    </xf>
    <xf numFmtId="0" fontId="18" fillId="0" borderId="0" xfId="0" applyFont="1" applyAlignment="1">
      <alignment horizontal="center" vertical="center" wrapText="1" readingOrder="2"/>
    </xf>
    <xf numFmtId="0" fontId="16" fillId="0" borderId="2" xfId="0" applyFont="1" applyBorder="1" applyAlignment="1">
      <alignment horizontal="center" vertical="center" wrapText="1" readingOrder="2"/>
    </xf>
    <xf numFmtId="0" fontId="16" fillId="0" borderId="0" xfId="0" applyFont="1" applyAlignment="1">
      <alignment horizontal="center" vertical="center" wrapText="1" readingOrder="2"/>
    </xf>
    <xf numFmtId="0" fontId="18" fillId="0" borderId="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F87A75B7-004A-4BE1-B5AE-466B8E55F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0986-5D1C-42F3-BBFC-BACBF38E4C9C}">
  <dimension ref="A1:K34"/>
  <sheetViews>
    <sheetView rightToLeft="1" tabSelected="1" view="pageBreakPreview" zoomScale="60" zoomScaleNormal="100" workbookViewId="0">
      <selection activeCell="V17" sqref="V17"/>
    </sheetView>
  </sheetViews>
  <sheetFormatPr defaultRowHeight="15" x14ac:dyDescent="0.25"/>
  <cols>
    <col min="5" max="5" width="8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70" t="s">
        <v>331</v>
      </c>
      <c r="B4" s="70"/>
      <c r="C4" s="70"/>
      <c r="D4" s="70"/>
      <c r="E4" s="70"/>
      <c r="F4" s="70"/>
      <c r="G4" s="70"/>
      <c r="H4" s="70"/>
      <c r="I4" s="70"/>
      <c r="J4" s="70"/>
      <c r="K4" s="70"/>
    </row>
    <row r="5" spans="1:11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</row>
    <row r="6" spans="1:11" x14ac:dyDescent="0.25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</row>
    <row r="7" spans="1:11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</row>
    <row r="8" spans="1:11" x14ac:dyDescent="0.25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</row>
    <row r="9" spans="1:11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</row>
    <row r="10" spans="1:11" x14ac:dyDescent="0.25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</row>
    <row r="11" spans="1:11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</row>
    <row r="12" spans="1:11" ht="15" customHeight="1" x14ac:dyDescent="0.25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</row>
    <row r="13" spans="1:11" ht="15" customHeight="1" x14ac:dyDescent="0.25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</row>
    <row r="14" spans="1:11" ht="15" customHeight="1" x14ac:dyDescent="0.25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</row>
    <row r="15" spans="1:11" x14ac:dyDescent="0.2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</row>
    <row r="16" spans="1:11" x14ac:dyDescent="0.25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</row>
    <row r="17" spans="1:11" x14ac:dyDescent="0.25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</row>
    <row r="18" spans="1:11" ht="25.5" x14ac:dyDescent="0.6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" customHeight="1" x14ac:dyDescent="0.25">
      <c r="A19" s="71" t="s">
        <v>333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</row>
    <row r="20" spans="1:11" ht="15" customHeight="1" x14ac:dyDescent="0.25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</row>
    <row r="21" spans="1:11" ht="15" customHeight="1" x14ac:dyDescent="0.2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</row>
    <row r="22" spans="1:11" ht="15" customHeight="1" x14ac:dyDescent="0.25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</row>
    <row r="23" spans="1:11" ht="15" customHeight="1" x14ac:dyDescent="0.25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</row>
    <row r="24" spans="1:11" ht="77.25" customHeight="1" x14ac:dyDescent="0.2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</row>
    <row r="27" spans="1:11" ht="25.5" x14ac:dyDescent="0.65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5">
      <c r="A28" s="69" t="s">
        <v>332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</row>
    <row r="29" spans="1:11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</row>
    <row r="30" spans="1:11" x14ac:dyDescent="0.25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</row>
    <row r="31" spans="1:11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</row>
    <row r="32" spans="1:11" x14ac:dyDescent="0.25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</row>
    <row r="33" spans="1:11" x14ac:dyDescent="0.2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</row>
    <row r="34" spans="1:11" x14ac:dyDescent="0.25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</row>
  </sheetData>
  <mergeCells count="5">
    <mergeCell ref="A26:K26"/>
    <mergeCell ref="A28:K34"/>
    <mergeCell ref="A4:K16"/>
    <mergeCell ref="A17:K17"/>
    <mergeCell ref="A19:K24"/>
  </mergeCells>
  <pageMargins left="0.7" right="0.7" top="0.75" bottom="0.75" header="0.3" footer="0.3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0"/>
  <sheetViews>
    <sheetView rightToLeft="1" tabSelected="1" view="pageBreakPreview" topLeftCell="A199" zoomScaleNormal="100" zoomScaleSheetLayoutView="100" workbookViewId="0">
      <selection activeCell="V17" sqref="V17"/>
    </sheetView>
  </sheetViews>
  <sheetFormatPr defaultColWidth="9.140625" defaultRowHeight="18.75" x14ac:dyDescent="0.45"/>
  <cols>
    <col min="1" max="1" width="27.5703125" style="5" bestFit="1" customWidth="1"/>
    <col min="2" max="2" width="11" style="5" bestFit="1" customWidth="1"/>
    <col min="3" max="4" width="17.85546875" style="5" bestFit="1" customWidth="1"/>
    <col min="5" max="5" width="11.7109375" style="5" bestFit="1" customWidth="1"/>
    <col min="6" max="6" width="9.85546875" style="5" bestFit="1" customWidth="1"/>
    <col min="7" max="7" width="15" style="5" bestFit="1" customWidth="1"/>
    <col min="8" max="8" width="11" style="5" bestFit="1" customWidth="1"/>
    <col min="9" max="9" width="16.140625" style="5" bestFit="1" customWidth="1"/>
    <col min="10" max="10" width="11" style="5" bestFit="1" customWidth="1"/>
    <col min="11" max="11" width="9.42578125" style="5" customWidth="1"/>
    <col min="12" max="12" width="17.42578125" style="5" bestFit="1" customWidth="1"/>
    <col min="13" max="13" width="17.5703125" style="5" bestFit="1" customWidth="1"/>
    <col min="14" max="14" width="8.140625" style="5" customWidth="1"/>
    <col min="15" max="16384" width="9.140625" style="5"/>
  </cols>
  <sheetData>
    <row r="1" spans="1:14" ht="21" x14ac:dyDescent="0.55000000000000004">
      <c r="A1" s="81" t="s">
        <v>66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ht="21" x14ac:dyDescent="0.55000000000000004">
      <c r="A2" s="81" t="s">
        <v>55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4" ht="21" x14ac:dyDescent="0.55000000000000004">
      <c r="A3" s="81" t="s">
        <v>67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</row>
    <row r="4" spans="1:14" ht="21" x14ac:dyDescent="0.45">
      <c r="A4" s="82" t="s">
        <v>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</row>
    <row r="5" spans="1:14" ht="21" x14ac:dyDescent="0.45">
      <c r="A5" s="82" t="s">
        <v>25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</row>
    <row r="7" spans="1:14" ht="18.75" customHeight="1" thickBot="1" x14ac:dyDescent="0.5">
      <c r="A7" s="7"/>
      <c r="B7" s="72" t="s">
        <v>75</v>
      </c>
      <c r="C7" s="72"/>
      <c r="D7" s="72"/>
      <c r="E7" s="9"/>
      <c r="F7" s="73" t="s">
        <v>7</v>
      </c>
      <c r="G7" s="73"/>
      <c r="H7" s="73"/>
      <c r="I7" s="73"/>
      <c r="J7" s="72" t="s">
        <v>68</v>
      </c>
      <c r="K7" s="72"/>
      <c r="L7" s="72"/>
      <c r="M7" s="72"/>
      <c r="N7" s="72"/>
    </row>
    <row r="8" spans="1:14" ht="24" customHeight="1" x14ac:dyDescent="0.45">
      <c r="A8" s="74" t="s">
        <v>1</v>
      </c>
      <c r="B8" s="76" t="s">
        <v>3</v>
      </c>
      <c r="C8" s="76" t="s">
        <v>0</v>
      </c>
      <c r="D8" s="78" t="s">
        <v>20</v>
      </c>
      <c r="E8" s="79" t="s">
        <v>4</v>
      </c>
      <c r="F8" s="79"/>
      <c r="G8" s="79"/>
      <c r="H8" s="79" t="s">
        <v>5</v>
      </c>
      <c r="I8" s="79"/>
      <c r="J8" s="80" t="s">
        <v>3</v>
      </c>
      <c r="K8" s="78" t="s">
        <v>27</v>
      </c>
      <c r="L8" s="80" t="s">
        <v>0</v>
      </c>
      <c r="M8" s="78" t="s">
        <v>20</v>
      </c>
      <c r="N8" s="78" t="s">
        <v>22</v>
      </c>
    </row>
    <row r="9" spans="1:14" ht="48" customHeight="1" thickBot="1" x14ac:dyDescent="0.5">
      <c r="A9" s="75"/>
      <c r="B9" s="77"/>
      <c r="C9" s="77"/>
      <c r="D9" s="75"/>
      <c r="E9" s="12" t="s">
        <v>62</v>
      </c>
      <c r="F9" s="10" t="s">
        <v>3</v>
      </c>
      <c r="G9" s="10" t="s">
        <v>0</v>
      </c>
      <c r="H9" s="10" t="s">
        <v>3</v>
      </c>
      <c r="I9" s="10" t="s">
        <v>54</v>
      </c>
      <c r="J9" s="77"/>
      <c r="K9" s="75"/>
      <c r="L9" s="77"/>
      <c r="M9" s="75"/>
      <c r="N9" s="75"/>
    </row>
    <row r="10" spans="1:14" x14ac:dyDescent="0.45">
      <c r="A10" s="13" t="s">
        <v>235</v>
      </c>
      <c r="B10" s="13">
        <v>7827544</v>
      </c>
      <c r="C10" s="13">
        <v>34464954868</v>
      </c>
      <c r="D10" s="13">
        <v>30283677594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7827544</v>
      </c>
      <c r="K10" s="13">
        <v>4171</v>
      </c>
      <c r="L10" s="13">
        <v>34464954868</v>
      </c>
      <c r="M10" s="13">
        <v>32396311681</v>
      </c>
      <c r="N10" s="14">
        <v>7.5192819448265556E-3</v>
      </c>
    </row>
    <row r="11" spans="1:14" x14ac:dyDescent="0.45">
      <c r="A11" s="13" t="s">
        <v>130</v>
      </c>
      <c r="B11" s="13">
        <v>6742935</v>
      </c>
      <c r="C11" s="13">
        <v>45881772879</v>
      </c>
      <c r="D11" s="13">
        <v>48441479694</v>
      </c>
      <c r="E11" s="13">
        <v>0</v>
      </c>
      <c r="F11" s="13">
        <v>0</v>
      </c>
      <c r="G11" s="13">
        <v>0</v>
      </c>
      <c r="H11" s="13">
        <v>1400000</v>
      </c>
      <c r="I11" s="13">
        <v>10446618605</v>
      </c>
      <c r="J11" s="13">
        <v>5342935</v>
      </c>
      <c r="K11" s="13">
        <v>7520</v>
      </c>
      <c r="L11" s="13">
        <v>36355582573</v>
      </c>
      <c r="M11" s="13">
        <v>39868288526</v>
      </c>
      <c r="N11" s="14">
        <v>9.253550374393545E-3</v>
      </c>
    </row>
    <row r="12" spans="1:14" x14ac:dyDescent="0.45">
      <c r="A12" s="13" t="s">
        <v>275</v>
      </c>
      <c r="B12" s="13">
        <v>158909</v>
      </c>
      <c r="C12" s="13">
        <v>18355763158</v>
      </c>
      <c r="D12" s="13">
        <v>17472590990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158909</v>
      </c>
      <c r="K12" s="13">
        <v>110810</v>
      </c>
      <c r="L12" s="13">
        <v>18355763158</v>
      </c>
      <c r="M12" s="13">
        <v>17472590990</v>
      </c>
      <c r="N12" s="14">
        <v>4.0554412259683108E-3</v>
      </c>
    </row>
    <row r="13" spans="1:14" x14ac:dyDescent="0.45">
      <c r="A13" s="13" t="s">
        <v>82</v>
      </c>
      <c r="B13" s="13">
        <v>2862943</v>
      </c>
      <c r="C13" s="13">
        <v>16474768843</v>
      </c>
      <c r="D13" s="13">
        <v>15823325350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2862943</v>
      </c>
      <c r="K13" s="13">
        <v>5900</v>
      </c>
      <c r="L13" s="13">
        <v>16474768843</v>
      </c>
      <c r="M13" s="13">
        <v>16760793459</v>
      </c>
      <c r="N13" s="14">
        <v>3.8902308657296973E-3</v>
      </c>
    </row>
    <row r="14" spans="1:14" x14ac:dyDescent="0.45">
      <c r="A14" s="13" t="s">
        <v>256</v>
      </c>
      <c r="B14" s="13">
        <v>88610</v>
      </c>
      <c r="C14" s="13">
        <v>808821735</v>
      </c>
      <c r="D14" s="13">
        <v>987925802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88610</v>
      </c>
      <c r="K14" s="13">
        <v>13260</v>
      </c>
      <c r="L14" s="13">
        <v>808821735</v>
      </c>
      <c r="M14" s="13">
        <v>1165886093</v>
      </c>
      <c r="N14" s="14">
        <v>2.7060568916432493E-4</v>
      </c>
    </row>
    <row r="15" spans="1:14" x14ac:dyDescent="0.45">
      <c r="A15" s="13" t="s">
        <v>276</v>
      </c>
      <c r="B15" s="13">
        <v>23633</v>
      </c>
      <c r="C15" s="13">
        <v>192086265</v>
      </c>
      <c r="D15" s="13">
        <v>240037444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23633</v>
      </c>
      <c r="K15" s="13">
        <v>12260</v>
      </c>
      <c r="L15" s="13">
        <v>192086265</v>
      </c>
      <c r="M15" s="13">
        <v>287500885</v>
      </c>
      <c r="N15" s="14">
        <v>6.6729825141484319E-5</v>
      </c>
    </row>
    <row r="16" spans="1:14" x14ac:dyDescent="0.45">
      <c r="A16" s="13" t="s">
        <v>179</v>
      </c>
      <c r="B16" s="13">
        <v>3814542</v>
      </c>
      <c r="C16" s="13">
        <v>16572695909</v>
      </c>
      <c r="D16" s="13">
        <v>15851812812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3814542</v>
      </c>
      <c r="K16" s="13">
        <v>4019</v>
      </c>
      <c r="L16" s="13">
        <v>16572695909</v>
      </c>
      <c r="M16" s="13">
        <v>15212138418</v>
      </c>
      <c r="N16" s="14">
        <v>3.5307833458015124E-3</v>
      </c>
    </row>
    <row r="17" spans="1:14" x14ac:dyDescent="0.45">
      <c r="A17" s="13" t="s">
        <v>133</v>
      </c>
      <c r="B17" s="13">
        <v>245000</v>
      </c>
      <c r="C17" s="13">
        <v>1829159370</v>
      </c>
      <c r="D17" s="13">
        <v>2525872898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245000</v>
      </c>
      <c r="K17" s="13">
        <v>10580</v>
      </c>
      <c r="L17" s="13">
        <v>1829159370</v>
      </c>
      <c r="M17" s="13">
        <v>2572063067</v>
      </c>
      <c r="N17" s="14">
        <v>5.9698361872444271E-4</v>
      </c>
    </row>
    <row r="18" spans="1:14" x14ac:dyDescent="0.45">
      <c r="A18" s="13" t="s">
        <v>277</v>
      </c>
      <c r="B18" s="13">
        <v>2124125</v>
      </c>
      <c r="C18" s="13">
        <v>8803931592</v>
      </c>
      <c r="D18" s="13">
        <v>7929188143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2124125</v>
      </c>
      <c r="K18" s="13">
        <v>3933</v>
      </c>
      <c r="L18" s="13">
        <v>8803931592</v>
      </c>
      <c r="M18" s="13">
        <v>8289605786</v>
      </c>
      <c r="N18" s="14">
        <v>1.9240425802223762E-3</v>
      </c>
    </row>
    <row r="19" spans="1:14" x14ac:dyDescent="0.45">
      <c r="A19" s="13" t="s">
        <v>134</v>
      </c>
      <c r="B19" s="13">
        <v>2398170</v>
      </c>
      <c r="C19" s="13">
        <v>23678086677</v>
      </c>
      <c r="D19" s="13">
        <v>25842805104</v>
      </c>
      <c r="E19" s="13">
        <v>0</v>
      </c>
      <c r="F19" s="13">
        <v>600000</v>
      </c>
      <c r="G19" s="13">
        <v>6166383565</v>
      </c>
      <c r="H19" s="13">
        <v>400000</v>
      </c>
      <c r="I19" s="13">
        <v>4068307029</v>
      </c>
      <c r="J19" s="13">
        <v>2598170</v>
      </c>
      <c r="K19" s="13">
        <v>10400</v>
      </c>
      <c r="L19" s="13">
        <v>25862778711</v>
      </c>
      <c r="M19" s="13">
        <v>26812095917</v>
      </c>
      <c r="N19" s="14">
        <v>6.2231685729180128E-3</v>
      </c>
    </row>
    <row r="20" spans="1:14" x14ac:dyDescent="0.45">
      <c r="A20" s="13" t="s">
        <v>193</v>
      </c>
      <c r="B20" s="13">
        <v>8948358</v>
      </c>
      <c r="C20" s="13">
        <v>14347988206</v>
      </c>
      <c r="D20" s="13">
        <v>17971474878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8948358</v>
      </c>
      <c r="K20" s="13">
        <v>2146</v>
      </c>
      <c r="L20" s="13">
        <v>14347988206</v>
      </c>
      <c r="M20" s="13">
        <v>19054735715</v>
      </c>
      <c r="N20" s="14">
        <v>4.4226618028641758E-3</v>
      </c>
    </row>
    <row r="21" spans="1:14" x14ac:dyDescent="0.45">
      <c r="A21" s="13" t="s">
        <v>278</v>
      </c>
      <c r="B21" s="13">
        <v>8421427</v>
      </c>
      <c r="C21" s="13">
        <v>38251154824</v>
      </c>
      <c r="D21" s="13">
        <v>28737416701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8421427</v>
      </c>
      <c r="K21" s="13">
        <v>3439</v>
      </c>
      <c r="L21" s="13">
        <v>38251154824</v>
      </c>
      <c r="M21" s="13">
        <v>28737416701</v>
      </c>
      <c r="N21" s="14">
        <v>6.6700413512664532E-3</v>
      </c>
    </row>
    <row r="22" spans="1:14" x14ac:dyDescent="0.45">
      <c r="A22" s="13" t="s">
        <v>123</v>
      </c>
      <c r="B22" s="13">
        <v>1705609</v>
      </c>
      <c r="C22" s="13">
        <v>26938667383</v>
      </c>
      <c r="D22" s="13">
        <v>29515885764</v>
      </c>
      <c r="E22" s="13">
        <v>0</v>
      </c>
      <c r="F22" s="13">
        <v>0</v>
      </c>
      <c r="G22" s="13">
        <v>0</v>
      </c>
      <c r="H22" s="13">
        <v>200000</v>
      </c>
      <c r="I22" s="13">
        <v>3884737074</v>
      </c>
      <c r="J22" s="13">
        <v>1505609</v>
      </c>
      <c r="K22" s="13">
        <v>19840</v>
      </c>
      <c r="L22" s="13">
        <v>23779834687</v>
      </c>
      <c r="M22" s="13">
        <v>29640377546</v>
      </c>
      <c r="N22" s="14">
        <v>6.8796212949819545E-3</v>
      </c>
    </row>
    <row r="23" spans="1:14" x14ac:dyDescent="0.45">
      <c r="A23" s="13" t="s">
        <v>153</v>
      </c>
      <c r="B23" s="13">
        <v>8803637</v>
      </c>
      <c r="C23" s="13">
        <v>24145454769</v>
      </c>
      <c r="D23" s="13">
        <v>19331849353</v>
      </c>
      <c r="E23" s="13">
        <v>0</v>
      </c>
      <c r="F23" s="13">
        <v>0</v>
      </c>
      <c r="G23" s="13">
        <v>0</v>
      </c>
      <c r="H23" s="13">
        <v>1600000</v>
      </c>
      <c r="I23" s="13">
        <v>3308625113</v>
      </c>
      <c r="J23" s="13">
        <v>7203637</v>
      </c>
      <c r="K23" s="13">
        <v>2092</v>
      </c>
      <c r="L23" s="13">
        <v>19757185735</v>
      </c>
      <c r="M23" s="13">
        <v>14953517437</v>
      </c>
      <c r="N23" s="14">
        <v>3.4707566337444378E-3</v>
      </c>
    </row>
    <row r="24" spans="1:14" x14ac:dyDescent="0.45">
      <c r="A24" s="13" t="s">
        <v>246</v>
      </c>
      <c r="B24" s="13">
        <v>22471939</v>
      </c>
      <c r="C24" s="13">
        <v>42819311974</v>
      </c>
      <c r="D24" s="13">
        <v>51486615175</v>
      </c>
      <c r="E24" s="13">
        <v>0</v>
      </c>
      <c r="F24" s="13">
        <v>0</v>
      </c>
      <c r="G24" s="13">
        <v>0</v>
      </c>
      <c r="H24" s="13">
        <v>4400000</v>
      </c>
      <c r="I24" s="13">
        <v>10237940328</v>
      </c>
      <c r="J24" s="13">
        <v>18071939</v>
      </c>
      <c r="K24" s="13">
        <v>2363</v>
      </c>
      <c r="L24" s="13">
        <v>34435301467</v>
      </c>
      <c r="M24" s="13">
        <v>42373890000</v>
      </c>
      <c r="N24" s="14">
        <v>9.8351080563264734E-3</v>
      </c>
    </row>
    <row r="25" spans="1:14" x14ac:dyDescent="0.45">
      <c r="A25" s="13" t="s">
        <v>194</v>
      </c>
      <c r="B25" s="13">
        <v>63507736</v>
      </c>
      <c r="C25" s="13">
        <v>33657865436</v>
      </c>
      <c r="D25" s="13">
        <v>29932990070</v>
      </c>
      <c r="E25" s="13">
        <v>0</v>
      </c>
      <c r="F25" s="13">
        <v>4400000</v>
      </c>
      <c r="G25" s="13">
        <v>2016084213</v>
      </c>
      <c r="H25" s="13">
        <v>29200000</v>
      </c>
      <c r="I25" s="13">
        <v>13239328445</v>
      </c>
      <c r="J25" s="13">
        <v>38707736</v>
      </c>
      <c r="K25" s="13">
        <v>461</v>
      </c>
      <c r="L25" s="13">
        <v>20248050973</v>
      </c>
      <c r="M25" s="13">
        <v>17706330118</v>
      </c>
      <c r="N25" s="14">
        <v>4.1096927846727754E-3</v>
      </c>
    </row>
    <row r="26" spans="1:14" x14ac:dyDescent="0.45">
      <c r="A26" s="13" t="s">
        <v>87</v>
      </c>
      <c r="B26" s="13">
        <v>1750000</v>
      </c>
      <c r="C26" s="13">
        <v>4291393050</v>
      </c>
      <c r="D26" s="13">
        <v>4554767367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1750000</v>
      </c>
      <c r="K26" s="13">
        <v>2653</v>
      </c>
      <c r="L26" s="13">
        <v>4291393050</v>
      </c>
      <c r="M26" s="13">
        <v>4606861542</v>
      </c>
      <c r="N26" s="14">
        <v>1.0692665003402993E-3</v>
      </c>
    </row>
    <row r="27" spans="1:14" x14ac:dyDescent="0.45">
      <c r="A27" s="13" t="s">
        <v>279</v>
      </c>
      <c r="B27" s="13">
        <v>9109504</v>
      </c>
      <c r="C27" s="13">
        <v>18425777349</v>
      </c>
      <c r="D27" s="13">
        <v>14462540055</v>
      </c>
      <c r="E27" s="13">
        <v>3643801</v>
      </c>
      <c r="F27" s="13">
        <v>0</v>
      </c>
      <c r="G27" s="13">
        <v>0</v>
      </c>
      <c r="H27" s="13">
        <v>0</v>
      </c>
      <c r="I27" s="13">
        <v>0</v>
      </c>
      <c r="J27" s="13">
        <v>12753305</v>
      </c>
      <c r="K27" s="13">
        <v>1179</v>
      </c>
      <c r="L27" s="13">
        <v>18425777349</v>
      </c>
      <c r="M27" s="13">
        <v>14919917182</v>
      </c>
      <c r="N27" s="14">
        <v>3.4629579129131635E-3</v>
      </c>
    </row>
    <row r="28" spans="1:14" x14ac:dyDescent="0.45">
      <c r="A28" s="13" t="s">
        <v>83</v>
      </c>
      <c r="B28" s="13">
        <v>36217997</v>
      </c>
      <c r="C28" s="13">
        <v>17509466015</v>
      </c>
      <c r="D28" s="13">
        <v>13512699988</v>
      </c>
      <c r="E28" s="13">
        <v>0</v>
      </c>
      <c r="F28" s="13">
        <v>0</v>
      </c>
      <c r="G28" s="13">
        <v>0</v>
      </c>
      <c r="H28" s="13">
        <v>1</v>
      </c>
      <c r="I28" s="13">
        <v>1</v>
      </c>
      <c r="J28" s="13">
        <v>36217996</v>
      </c>
      <c r="K28" s="13">
        <v>387</v>
      </c>
      <c r="L28" s="13">
        <v>17509465532</v>
      </c>
      <c r="M28" s="13">
        <v>13908017955</v>
      </c>
      <c r="N28" s="14">
        <v>3.2280930411806362E-3</v>
      </c>
    </row>
    <row r="29" spans="1:14" x14ac:dyDescent="0.45">
      <c r="A29" s="13" t="s">
        <v>199</v>
      </c>
      <c r="B29" s="13">
        <v>5600000</v>
      </c>
      <c r="C29" s="13">
        <v>15821717016</v>
      </c>
      <c r="D29" s="13">
        <v>14614152560</v>
      </c>
      <c r="E29" s="13">
        <v>0</v>
      </c>
      <c r="F29" s="13">
        <v>0</v>
      </c>
      <c r="G29" s="13">
        <v>0</v>
      </c>
      <c r="H29" s="13">
        <v>400000</v>
      </c>
      <c r="I29" s="13">
        <v>1048545363</v>
      </c>
      <c r="J29" s="13">
        <v>5200000</v>
      </c>
      <c r="K29" s="13">
        <v>2741</v>
      </c>
      <c r="L29" s="13">
        <v>14691594372</v>
      </c>
      <c r="M29" s="13">
        <v>14143022764</v>
      </c>
      <c r="N29" s="14">
        <v>3.282638368274074E-3</v>
      </c>
    </row>
    <row r="30" spans="1:14" x14ac:dyDescent="0.45">
      <c r="A30" s="13" t="s">
        <v>191</v>
      </c>
      <c r="B30" s="13">
        <v>7875143</v>
      </c>
      <c r="C30" s="13">
        <v>19725792207</v>
      </c>
      <c r="D30" s="13">
        <v>14339182045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7875143</v>
      </c>
      <c r="K30" s="13">
        <v>1968</v>
      </c>
      <c r="L30" s="13">
        <v>19725792207</v>
      </c>
      <c r="M30" s="13">
        <v>15378479709</v>
      </c>
      <c r="N30" s="14">
        <v>3.5693916626497852E-3</v>
      </c>
    </row>
    <row r="31" spans="1:14" x14ac:dyDescent="0.45">
      <c r="A31" s="13" t="s">
        <v>247</v>
      </c>
      <c r="B31" s="13">
        <v>45323085</v>
      </c>
      <c r="C31" s="13">
        <v>27296589533</v>
      </c>
      <c r="D31" s="13">
        <v>21901723188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45323085</v>
      </c>
      <c r="K31" s="13">
        <v>501</v>
      </c>
      <c r="L31" s="13">
        <v>27296589533</v>
      </c>
      <c r="M31" s="13">
        <v>22531341514</v>
      </c>
      <c r="N31" s="14">
        <v>5.229592526062264E-3</v>
      </c>
    </row>
    <row r="32" spans="1:14" x14ac:dyDescent="0.45">
      <c r="A32" s="13" t="s">
        <v>213</v>
      </c>
      <c r="B32" s="13">
        <v>24896139</v>
      </c>
      <c r="C32" s="13">
        <v>23868058509</v>
      </c>
      <c r="D32" s="13">
        <v>21566322981</v>
      </c>
      <c r="E32" s="13">
        <v>0</v>
      </c>
      <c r="F32" s="13">
        <v>0</v>
      </c>
      <c r="G32" s="13">
        <v>0</v>
      </c>
      <c r="H32" s="13">
        <v>2400000</v>
      </c>
      <c r="I32" s="13">
        <v>2208793057</v>
      </c>
      <c r="J32" s="13">
        <v>22496139</v>
      </c>
      <c r="K32" s="13">
        <v>941</v>
      </c>
      <c r="L32" s="13">
        <v>21567165972</v>
      </c>
      <c r="M32" s="13">
        <v>21005231459</v>
      </c>
      <c r="N32" s="14">
        <v>4.8753777655866195E-3</v>
      </c>
    </row>
    <row r="33" spans="1:14" x14ac:dyDescent="0.45">
      <c r="A33" s="13" t="s">
        <v>178</v>
      </c>
      <c r="B33" s="13">
        <v>8503160</v>
      </c>
      <c r="C33" s="13">
        <v>27256905650</v>
      </c>
      <c r="D33" s="13">
        <v>25135105678</v>
      </c>
      <c r="E33" s="13">
        <v>0</v>
      </c>
      <c r="F33" s="13">
        <v>0</v>
      </c>
      <c r="G33" s="13">
        <v>0</v>
      </c>
      <c r="H33" s="13">
        <v>1</v>
      </c>
      <c r="I33" s="13">
        <v>1</v>
      </c>
      <c r="J33" s="13">
        <v>8503159</v>
      </c>
      <c r="K33" s="13">
        <v>2979</v>
      </c>
      <c r="L33" s="13">
        <v>27256902444</v>
      </c>
      <c r="M33" s="13">
        <v>25135102722</v>
      </c>
      <c r="N33" s="14">
        <v>5.8339333792044035E-3</v>
      </c>
    </row>
    <row r="34" spans="1:14" x14ac:dyDescent="0.45">
      <c r="A34" s="13" t="s">
        <v>274</v>
      </c>
      <c r="B34" s="13">
        <v>22445192</v>
      </c>
      <c r="C34" s="13">
        <v>30293640914</v>
      </c>
      <c r="D34" s="13">
        <v>34075686719</v>
      </c>
      <c r="E34" s="13">
        <v>0</v>
      </c>
      <c r="F34" s="13">
        <v>0</v>
      </c>
      <c r="G34" s="13">
        <v>0</v>
      </c>
      <c r="H34" s="13">
        <v>11200000</v>
      </c>
      <c r="I34" s="13">
        <v>16330794757</v>
      </c>
      <c r="J34" s="13">
        <v>11245192</v>
      </c>
      <c r="K34" s="13">
        <v>1519</v>
      </c>
      <c r="L34" s="13">
        <v>15177317639</v>
      </c>
      <c r="M34" s="13">
        <v>16949407065</v>
      </c>
      <c r="N34" s="14">
        <v>3.9340086542665386E-3</v>
      </c>
    </row>
    <row r="35" spans="1:14" x14ac:dyDescent="0.45">
      <c r="A35" s="13" t="s">
        <v>210</v>
      </c>
      <c r="B35" s="13">
        <v>9210264</v>
      </c>
      <c r="C35" s="13">
        <v>15031859870</v>
      </c>
      <c r="D35" s="13">
        <v>17537872757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9210264</v>
      </c>
      <c r="K35" s="13">
        <v>1925</v>
      </c>
      <c r="L35" s="13">
        <v>15031859870</v>
      </c>
      <c r="M35" s="13">
        <v>17592707169</v>
      </c>
      <c r="N35" s="14">
        <v>4.0833205544835369E-3</v>
      </c>
    </row>
    <row r="36" spans="1:14" x14ac:dyDescent="0.45">
      <c r="A36" s="13" t="s">
        <v>95</v>
      </c>
      <c r="B36" s="13">
        <v>7041661</v>
      </c>
      <c r="C36" s="13">
        <v>16060551276</v>
      </c>
      <c r="D36" s="13">
        <v>14673180817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7041661</v>
      </c>
      <c r="K36" s="13">
        <v>2027</v>
      </c>
      <c r="L36" s="13">
        <v>16060551276</v>
      </c>
      <c r="M36" s="13">
        <v>14163113103</v>
      </c>
      <c r="N36" s="14">
        <v>3.2873013967322411E-3</v>
      </c>
    </row>
    <row r="37" spans="1:14" x14ac:dyDescent="0.45">
      <c r="A37" s="13" t="s">
        <v>280</v>
      </c>
      <c r="B37" s="13">
        <v>2875000</v>
      </c>
      <c r="C37" s="13">
        <v>4907321845</v>
      </c>
      <c r="D37" s="13">
        <v>5668466409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2875000</v>
      </c>
      <c r="K37" s="13">
        <v>1867</v>
      </c>
      <c r="L37" s="13">
        <v>4907321845</v>
      </c>
      <c r="M37" s="13">
        <v>5326133259</v>
      </c>
      <c r="N37" s="14">
        <v>1.2362116417600384E-3</v>
      </c>
    </row>
    <row r="38" spans="1:14" x14ac:dyDescent="0.45">
      <c r="A38" s="13" t="s">
        <v>105</v>
      </c>
      <c r="B38" s="13">
        <v>10263245</v>
      </c>
      <c r="C38" s="13">
        <v>14354875783</v>
      </c>
      <c r="D38" s="13">
        <v>12729887645</v>
      </c>
      <c r="E38" s="13">
        <v>0</v>
      </c>
      <c r="F38" s="13">
        <v>0</v>
      </c>
      <c r="G38" s="13">
        <v>0</v>
      </c>
      <c r="H38" s="13">
        <v>400000</v>
      </c>
      <c r="I38" s="13">
        <v>491372117</v>
      </c>
      <c r="J38" s="13">
        <v>9863245</v>
      </c>
      <c r="K38" s="13">
        <v>1238</v>
      </c>
      <c r="L38" s="13">
        <v>13795408450</v>
      </c>
      <c r="M38" s="13">
        <v>12116308620</v>
      </c>
      <c r="N38" s="14">
        <v>2.8122318843396229E-3</v>
      </c>
    </row>
    <row r="39" spans="1:14" x14ac:dyDescent="0.45">
      <c r="A39" s="13" t="s">
        <v>227</v>
      </c>
      <c r="B39" s="13">
        <v>3665469</v>
      </c>
      <c r="C39" s="13">
        <v>8097151442</v>
      </c>
      <c r="D39" s="13">
        <v>10354923130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3665469</v>
      </c>
      <c r="K39" s="13">
        <v>1942</v>
      </c>
      <c r="L39" s="13">
        <v>7054403067</v>
      </c>
      <c r="M39" s="13">
        <v>7063316024</v>
      </c>
      <c r="N39" s="14">
        <v>1.6394170167530588E-3</v>
      </c>
    </row>
    <row r="40" spans="1:14" x14ac:dyDescent="0.45">
      <c r="A40" s="13" t="s">
        <v>281</v>
      </c>
      <c r="B40" s="13">
        <v>0</v>
      </c>
      <c r="C40" s="13">
        <v>0</v>
      </c>
      <c r="D40" s="13">
        <v>0</v>
      </c>
      <c r="E40" s="13">
        <v>1127836</v>
      </c>
      <c r="F40" s="13">
        <v>0</v>
      </c>
      <c r="G40" s="13">
        <v>0</v>
      </c>
      <c r="H40" s="13">
        <v>0</v>
      </c>
      <c r="I40" s="13">
        <v>0</v>
      </c>
      <c r="J40" s="13">
        <v>1127836</v>
      </c>
      <c r="K40" s="13">
        <v>942</v>
      </c>
      <c r="L40" s="13">
        <v>1042748375</v>
      </c>
      <c r="M40" s="13">
        <v>1054208994</v>
      </c>
      <c r="N40" s="14">
        <v>2.4468509664657238E-4</v>
      </c>
    </row>
    <row r="41" spans="1:14" x14ac:dyDescent="0.45">
      <c r="A41" s="13" t="s">
        <v>228</v>
      </c>
      <c r="B41" s="13">
        <v>8417878</v>
      </c>
      <c r="C41" s="13">
        <v>13185272310</v>
      </c>
      <c r="D41" s="13">
        <v>12721326284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8417878</v>
      </c>
      <c r="K41" s="13">
        <v>1624</v>
      </c>
      <c r="L41" s="13">
        <v>13185272310</v>
      </c>
      <c r="M41" s="13">
        <v>13564959872</v>
      </c>
      <c r="N41" s="14">
        <v>3.1484682223145558E-3</v>
      </c>
    </row>
    <row r="42" spans="1:14" x14ac:dyDescent="0.45">
      <c r="A42" s="13" t="s">
        <v>219</v>
      </c>
      <c r="B42" s="13">
        <v>4264408</v>
      </c>
      <c r="C42" s="13">
        <v>15931326710</v>
      </c>
      <c r="D42" s="13">
        <v>11416436252</v>
      </c>
      <c r="E42" s="13">
        <v>1827603</v>
      </c>
      <c r="F42" s="13">
        <v>0</v>
      </c>
      <c r="G42" s="13">
        <v>0</v>
      </c>
      <c r="H42" s="13">
        <v>0</v>
      </c>
      <c r="I42" s="13">
        <v>0</v>
      </c>
      <c r="J42" s="13">
        <v>6092011</v>
      </c>
      <c r="K42" s="13">
        <v>1889</v>
      </c>
      <c r="L42" s="13">
        <v>15931326710</v>
      </c>
      <c r="M42" s="13">
        <v>11418853417</v>
      </c>
      <c r="N42" s="14">
        <v>2.6503504218174864E-3</v>
      </c>
    </row>
    <row r="43" spans="1:14" x14ac:dyDescent="0.45">
      <c r="A43" s="13" t="s">
        <v>98</v>
      </c>
      <c r="B43" s="13">
        <v>4238696</v>
      </c>
      <c r="C43" s="13">
        <v>14423816899</v>
      </c>
      <c r="D43" s="13">
        <v>25904328289</v>
      </c>
      <c r="E43" s="13">
        <v>0</v>
      </c>
      <c r="F43" s="13">
        <v>0</v>
      </c>
      <c r="G43" s="13">
        <v>0</v>
      </c>
      <c r="H43" s="13">
        <v>1</v>
      </c>
      <c r="I43" s="13">
        <v>1</v>
      </c>
      <c r="J43" s="13">
        <v>4238695</v>
      </c>
      <c r="K43" s="13">
        <v>6159</v>
      </c>
      <c r="L43" s="13">
        <v>14423813496</v>
      </c>
      <c r="M43" s="13">
        <v>25904322178</v>
      </c>
      <c r="N43" s="14">
        <v>6.0124715419453897E-3</v>
      </c>
    </row>
    <row r="44" spans="1:14" x14ac:dyDescent="0.45">
      <c r="A44" s="13" t="s">
        <v>282</v>
      </c>
      <c r="B44" s="13">
        <v>5516183</v>
      </c>
      <c r="C44" s="13">
        <v>10525602537</v>
      </c>
      <c r="D44" s="13">
        <v>24795149362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5516183</v>
      </c>
      <c r="K44" s="13">
        <v>4260</v>
      </c>
      <c r="L44" s="13">
        <v>10525602537</v>
      </c>
      <c r="M44" s="13">
        <v>23317292777</v>
      </c>
      <c r="N44" s="14">
        <v>5.4120141918241587E-3</v>
      </c>
    </row>
    <row r="45" spans="1:14" x14ac:dyDescent="0.45">
      <c r="A45" s="13" t="s">
        <v>283</v>
      </c>
      <c r="B45" s="13">
        <v>6728056</v>
      </c>
      <c r="C45" s="13">
        <v>17155336279</v>
      </c>
      <c r="D45" s="13">
        <v>11135648276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6728056</v>
      </c>
      <c r="K45" s="13">
        <v>1668</v>
      </c>
      <c r="L45" s="13">
        <v>17155336279</v>
      </c>
      <c r="M45" s="13">
        <v>11135648276</v>
      </c>
      <c r="N45" s="14">
        <v>2.5846176518536674E-3</v>
      </c>
    </row>
    <row r="46" spans="1:14" x14ac:dyDescent="0.45">
      <c r="A46" s="13" t="s">
        <v>154</v>
      </c>
      <c r="B46" s="13">
        <v>11800000</v>
      </c>
      <c r="C46" s="13">
        <v>29761393766</v>
      </c>
      <c r="D46" s="13">
        <v>26110592780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11800000</v>
      </c>
      <c r="K46" s="13">
        <v>2261</v>
      </c>
      <c r="L46" s="13">
        <v>29761393766</v>
      </c>
      <c r="M46" s="13">
        <v>26473565146</v>
      </c>
      <c r="N46" s="14">
        <v>6.1445945568629253E-3</v>
      </c>
    </row>
    <row r="47" spans="1:14" x14ac:dyDescent="0.45">
      <c r="A47" s="13" t="s">
        <v>119</v>
      </c>
      <c r="B47" s="13">
        <v>7357161</v>
      </c>
      <c r="C47" s="13">
        <v>29325140888</v>
      </c>
      <c r="D47" s="13">
        <v>29639177991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7357161</v>
      </c>
      <c r="K47" s="13">
        <v>3060</v>
      </c>
      <c r="L47" s="13">
        <v>29325140888</v>
      </c>
      <c r="M47" s="13">
        <v>22338887845</v>
      </c>
      <c r="N47" s="14">
        <v>5.18492344728636E-3</v>
      </c>
    </row>
    <row r="48" spans="1:14" x14ac:dyDescent="0.45">
      <c r="A48" s="13" t="s">
        <v>258</v>
      </c>
      <c r="B48" s="13">
        <v>842177</v>
      </c>
      <c r="C48" s="13">
        <v>2001916090</v>
      </c>
      <c r="D48" s="13">
        <v>2619815957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842177</v>
      </c>
      <c r="K48" s="13">
        <v>3200</v>
      </c>
      <c r="L48" s="13">
        <v>2001916090</v>
      </c>
      <c r="M48" s="13">
        <v>2674134310</v>
      </c>
      <c r="N48" s="14">
        <v>6.2067466300545066E-4</v>
      </c>
    </row>
    <row r="49" spans="1:14" x14ac:dyDescent="0.45">
      <c r="A49" s="13" t="s">
        <v>267</v>
      </c>
      <c r="B49" s="13">
        <v>285750</v>
      </c>
      <c r="C49" s="13">
        <v>12123197874</v>
      </c>
      <c r="D49" s="13">
        <v>13822631184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285750</v>
      </c>
      <c r="K49" s="13">
        <v>48750</v>
      </c>
      <c r="L49" s="13">
        <v>12123197874</v>
      </c>
      <c r="M49" s="13">
        <v>13822631184</v>
      </c>
      <c r="N49" s="14">
        <v>3.2082745133238401E-3</v>
      </c>
    </row>
    <row r="50" spans="1:14" x14ac:dyDescent="0.45">
      <c r="A50" s="13" t="s">
        <v>177</v>
      </c>
      <c r="B50" s="13">
        <v>11278863</v>
      </c>
      <c r="C50" s="13">
        <v>13153897968</v>
      </c>
      <c r="D50" s="13">
        <v>14403688800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11278863</v>
      </c>
      <c r="K50" s="13">
        <v>1309</v>
      </c>
      <c r="L50" s="13">
        <v>13153897968</v>
      </c>
      <c r="M50" s="13">
        <v>14649905702</v>
      </c>
      <c r="N50" s="14">
        <v>3.4002874315802335E-3</v>
      </c>
    </row>
    <row r="51" spans="1:14" x14ac:dyDescent="0.45">
      <c r="A51" s="13" t="s">
        <v>152</v>
      </c>
      <c r="B51" s="13">
        <v>1648155</v>
      </c>
      <c r="C51" s="13">
        <v>11910020869</v>
      </c>
      <c r="D51" s="13">
        <v>13410401047</v>
      </c>
      <c r="E51" s="13">
        <v>587461</v>
      </c>
      <c r="F51" s="13">
        <v>0</v>
      </c>
      <c r="G51" s="13">
        <v>0</v>
      </c>
      <c r="H51" s="13">
        <v>0</v>
      </c>
      <c r="I51" s="13">
        <v>0</v>
      </c>
      <c r="J51" s="13">
        <v>2235616</v>
      </c>
      <c r="K51" s="13">
        <v>6160</v>
      </c>
      <c r="L51" s="13">
        <v>11910020869</v>
      </c>
      <c r="M51" s="13">
        <v>13664941680</v>
      </c>
      <c r="N51" s="14">
        <v>3.1716743024112117E-3</v>
      </c>
    </row>
    <row r="52" spans="1:14" x14ac:dyDescent="0.45">
      <c r="A52" s="13" t="s">
        <v>207</v>
      </c>
      <c r="B52" s="13">
        <v>250000</v>
      </c>
      <c r="C52" s="13">
        <v>800726400</v>
      </c>
      <c r="D52" s="13">
        <v>1200646700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250000</v>
      </c>
      <c r="K52" s="13">
        <v>4326</v>
      </c>
      <c r="L52" s="13">
        <v>800726400</v>
      </c>
      <c r="M52" s="13">
        <v>1073140005</v>
      </c>
      <c r="N52" s="14">
        <v>2.4907904156879938E-4</v>
      </c>
    </row>
    <row r="53" spans="1:14" x14ac:dyDescent="0.45">
      <c r="A53" s="13" t="s">
        <v>284</v>
      </c>
      <c r="B53" s="13">
        <v>3860139</v>
      </c>
      <c r="C53" s="13">
        <v>16072935194</v>
      </c>
      <c r="D53" s="13">
        <v>17048665859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3860139</v>
      </c>
      <c r="K53" s="13">
        <v>4451</v>
      </c>
      <c r="L53" s="13">
        <v>16072935194</v>
      </c>
      <c r="M53" s="13">
        <v>17048665859</v>
      </c>
      <c r="N53" s="14">
        <v>3.9570469206265694E-3</v>
      </c>
    </row>
    <row r="54" spans="1:14" x14ac:dyDescent="0.45">
      <c r="A54" s="13" t="s">
        <v>155</v>
      </c>
      <c r="B54" s="13">
        <v>189400</v>
      </c>
      <c r="C54" s="13">
        <v>27382794088</v>
      </c>
      <c r="D54" s="13">
        <v>23736308969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189400</v>
      </c>
      <c r="K54" s="13">
        <v>129850</v>
      </c>
      <c r="L54" s="13">
        <v>27382794088</v>
      </c>
      <c r="M54" s="13">
        <v>24403481549</v>
      </c>
      <c r="N54" s="14">
        <v>5.6641218916881212E-3</v>
      </c>
    </row>
    <row r="55" spans="1:14" x14ac:dyDescent="0.45">
      <c r="A55" s="13" t="s">
        <v>128</v>
      </c>
      <c r="B55" s="13">
        <v>3735701</v>
      </c>
      <c r="C55" s="13">
        <v>27192110695</v>
      </c>
      <c r="D55" s="13">
        <v>37516766020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3735701</v>
      </c>
      <c r="K55" s="13">
        <v>9700</v>
      </c>
      <c r="L55" s="13">
        <v>27192110695</v>
      </c>
      <c r="M55" s="13">
        <v>35956193103</v>
      </c>
      <c r="N55" s="14">
        <v>8.3455411920441026E-3</v>
      </c>
    </row>
    <row r="56" spans="1:14" x14ac:dyDescent="0.45">
      <c r="A56" s="13" t="s">
        <v>233</v>
      </c>
      <c r="B56" s="13">
        <v>3283236</v>
      </c>
      <c r="C56" s="13">
        <v>23186514787</v>
      </c>
      <c r="D56" s="13">
        <v>17462111299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3283236</v>
      </c>
      <c r="K56" s="13">
        <v>5520</v>
      </c>
      <c r="L56" s="13">
        <v>23186514787</v>
      </c>
      <c r="M56" s="13">
        <v>17983368353</v>
      </c>
      <c r="N56" s="14">
        <v>4.1739941970981862E-3</v>
      </c>
    </row>
    <row r="57" spans="1:14" x14ac:dyDescent="0.45">
      <c r="A57" s="13" t="s">
        <v>92</v>
      </c>
      <c r="B57" s="13">
        <v>9760615</v>
      </c>
      <c r="C57" s="13">
        <v>23853455812</v>
      </c>
      <c r="D57" s="13">
        <v>16058004310</v>
      </c>
      <c r="E57" s="13">
        <v>0</v>
      </c>
      <c r="F57" s="13">
        <v>0</v>
      </c>
      <c r="G57" s="13">
        <v>0</v>
      </c>
      <c r="H57" s="13">
        <v>2400000</v>
      </c>
      <c r="I57" s="13">
        <v>3942891022</v>
      </c>
      <c r="J57" s="13">
        <v>7360615</v>
      </c>
      <c r="K57" s="13">
        <v>1666</v>
      </c>
      <c r="L57" s="13">
        <v>17988221506</v>
      </c>
      <c r="M57" s="13">
        <v>12167993265</v>
      </c>
      <c r="N57" s="14">
        <v>2.8242280467978692E-3</v>
      </c>
    </row>
    <row r="58" spans="1:14" x14ac:dyDescent="0.45">
      <c r="A58" s="13" t="s">
        <v>263</v>
      </c>
      <c r="B58" s="13">
        <v>24127841</v>
      </c>
      <c r="C58" s="13">
        <v>38704404778</v>
      </c>
      <c r="D58" s="13">
        <v>35074052536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24127841</v>
      </c>
      <c r="K58" s="13">
        <v>1465</v>
      </c>
      <c r="L58" s="13">
        <v>38704404778</v>
      </c>
      <c r="M58" s="13">
        <v>35074052536</v>
      </c>
      <c r="N58" s="14">
        <v>8.1407936978368425E-3</v>
      </c>
    </row>
    <row r="59" spans="1:14" x14ac:dyDescent="0.45">
      <c r="A59" s="13" t="s">
        <v>84</v>
      </c>
      <c r="B59" s="13">
        <v>3641112</v>
      </c>
      <c r="C59" s="13">
        <v>16857149000</v>
      </c>
      <c r="D59" s="13">
        <v>11619299313</v>
      </c>
      <c r="E59" s="13">
        <v>0</v>
      </c>
      <c r="F59" s="13">
        <v>8400000</v>
      </c>
      <c r="G59" s="13">
        <v>28278856356</v>
      </c>
      <c r="H59" s="13">
        <v>0</v>
      </c>
      <c r="I59" s="13">
        <v>0</v>
      </c>
      <c r="J59" s="13">
        <v>12041112</v>
      </c>
      <c r="K59" s="13">
        <v>3376</v>
      </c>
      <c r="L59" s="13">
        <v>45136005356</v>
      </c>
      <c r="M59" s="13">
        <v>40336563474</v>
      </c>
      <c r="N59" s="14">
        <v>9.3622384064257855E-3</v>
      </c>
    </row>
    <row r="60" spans="1:14" x14ac:dyDescent="0.45">
      <c r="A60" s="13" t="s">
        <v>112</v>
      </c>
      <c r="B60" s="13">
        <v>4607801</v>
      </c>
      <c r="C60" s="13">
        <v>33501938983</v>
      </c>
      <c r="D60" s="13">
        <v>35205806777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4607801</v>
      </c>
      <c r="K60" s="13">
        <v>8200</v>
      </c>
      <c r="L60" s="13">
        <v>33501938983</v>
      </c>
      <c r="M60" s="13">
        <v>37491898126</v>
      </c>
      <c r="N60" s="14">
        <v>8.7019829736187538E-3</v>
      </c>
    </row>
    <row r="61" spans="1:14" x14ac:dyDescent="0.45">
      <c r="A61" s="13" t="s">
        <v>125</v>
      </c>
      <c r="B61" s="13">
        <v>1111278</v>
      </c>
      <c r="C61" s="13">
        <v>23804121310</v>
      </c>
      <c r="D61" s="13">
        <v>26354238923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1111278</v>
      </c>
      <c r="K61" s="13">
        <v>24240</v>
      </c>
      <c r="L61" s="13">
        <v>23804121310</v>
      </c>
      <c r="M61" s="13">
        <v>26729152782</v>
      </c>
      <c r="N61" s="14">
        <v>6.2039172203691793E-3</v>
      </c>
    </row>
    <row r="62" spans="1:14" x14ac:dyDescent="0.45">
      <c r="A62" s="13" t="s">
        <v>238</v>
      </c>
      <c r="B62" s="13">
        <v>5580504</v>
      </c>
      <c r="C62" s="13">
        <v>20174684246</v>
      </c>
      <c r="D62" s="13">
        <v>29680285534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5580504</v>
      </c>
      <c r="K62" s="13">
        <v>3180</v>
      </c>
      <c r="L62" s="13">
        <v>12877594123</v>
      </c>
      <c r="M62" s="13">
        <v>17608826119</v>
      </c>
      <c r="N62" s="14">
        <v>4.0870618115407611E-3</v>
      </c>
    </row>
    <row r="63" spans="1:14" x14ac:dyDescent="0.45">
      <c r="A63" s="13" t="s">
        <v>285</v>
      </c>
      <c r="B63" s="13">
        <v>0</v>
      </c>
      <c r="C63" s="13">
        <v>0</v>
      </c>
      <c r="D63" s="13">
        <v>0</v>
      </c>
      <c r="E63" s="13">
        <v>5580504</v>
      </c>
      <c r="F63" s="13">
        <v>0</v>
      </c>
      <c r="G63" s="13">
        <v>0</v>
      </c>
      <c r="H63" s="13">
        <v>0</v>
      </c>
      <c r="I63" s="13">
        <v>0</v>
      </c>
      <c r="J63" s="13">
        <v>5580504</v>
      </c>
      <c r="K63" s="13">
        <v>2180</v>
      </c>
      <c r="L63" s="13">
        <v>7297090123</v>
      </c>
      <c r="M63" s="13">
        <v>12071459415</v>
      </c>
      <c r="N63" s="14">
        <v>2.8018222481835998E-3</v>
      </c>
    </row>
    <row r="64" spans="1:14" x14ac:dyDescent="0.45">
      <c r="A64" s="13" t="s">
        <v>102</v>
      </c>
      <c r="B64" s="13">
        <v>940025</v>
      </c>
      <c r="C64" s="13">
        <v>30456047518</v>
      </c>
      <c r="D64" s="13">
        <v>23020482415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940025</v>
      </c>
      <c r="K64" s="13">
        <v>26990</v>
      </c>
      <c r="L64" s="13">
        <v>30456047518</v>
      </c>
      <c r="M64" s="13">
        <v>25175154796</v>
      </c>
      <c r="N64" s="14">
        <v>5.8432295867432904E-3</v>
      </c>
    </row>
    <row r="65" spans="1:14" x14ac:dyDescent="0.45">
      <c r="A65" s="13" t="s">
        <v>78</v>
      </c>
      <c r="B65" s="13">
        <v>5599143</v>
      </c>
      <c r="C65" s="13">
        <v>30405322174</v>
      </c>
      <c r="D65" s="13">
        <v>27390397809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5599143</v>
      </c>
      <c r="K65" s="13">
        <v>5079</v>
      </c>
      <c r="L65" s="13">
        <v>30405322174</v>
      </c>
      <c r="M65" s="13">
        <v>28218221191</v>
      </c>
      <c r="N65" s="14">
        <v>6.5495345027517301E-3</v>
      </c>
    </row>
    <row r="66" spans="1:14" x14ac:dyDescent="0.45">
      <c r="A66" s="13" t="s">
        <v>137</v>
      </c>
      <c r="B66" s="13">
        <v>4929408</v>
      </c>
      <c r="C66" s="13">
        <v>24000019455</v>
      </c>
      <c r="D66" s="13">
        <v>30277169755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4929408</v>
      </c>
      <c r="K66" s="13">
        <v>6560</v>
      </c>
      <c r="L66" s="13">
        <v>24000019455</v>
      </c>
      <c r="M66" s="13">
        <v>32086952116</v>
      </c>
      <c r="N66" s="14">
        <v>7.4474786539313097E-3</v>
      </c>
    </row>
    <row r="67" spans="1:14" x14ac:dyDescent="0.45">
      <c r="A67" s="13" t="s">
        <v>286</v>
      </c>
      <c r="B67" s="13">
        <v>2428938</v>
      </c>
      <c r="C67" s="13">
        <v>16382419946</v>
      </c>
      <c r="D67" s="13">
        <v>19088485489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2428938</v>
      </c>
      <c r="K67" s="13">
        <v>8480</v>
      </c>
      <c r="L67" s="13">
        <v>16382419946</v>
      </c>
      <c r="M67" s="13">
        <v>20438176383</v>
      </c>
      <c r="N67" s="14">
        <v>4.7437625670209826E-3</v>
      </c>
    </row>
    <row r="68" spans="1:14" x14ac:dyDescent="0.45">
      <c r="A68" s="13" t="s">
        <v>204</v>
      </c>
      <c r="B68" s="13">
        <v>2649593</v>
      </c>
      <c r="C68" s="13">
        <v>28510491782</v>
      </c>
      <c r="D68" s="13">
        <v>24450738309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2649593</v>
      </c>
      <c r="K68" s="13">
        <v>9600</v>
      </c>
      <c r="L68" s="13">
        <v>28510491782</v>
      </c>
      <c r="M68" s="13">
        <v>25239471803</v>
      </c>
      <c r="N68" s="14">
        <v>5.8581577586365131E-3</v>
      </c>
    </row>
    <row r="69" spans="1:14" x14ac:dyDescent="0.45">
      <c r="A69" s="13" t="s">
        <v>131</v>
      </c>
      <c r="B69" s="13">
        <v>1133693</v>
      </c>
      <c r="C69" s="13">
        <v>6202567203</v>
      </c>
      <c r="D69" s="13">
        <v>9595649088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1133693</v>
      </c>
      <c r="K69" s="13">
        <v>8770</v>
      </c>
      <c r="L69" s="13">
        <v>6202567203</v>
      </c>
      <c r="M69" s="13">
        <v>9865632181</v>
      </c>
      <c r="N69" s="14">
        <v>2.2898430742163823E-3</v>
      </c>
    </row>
    <row r="70" spans="1:14" x14ac:dyDescent="0.45">
      <c r="A70" s="13" t="s">
        <v>287</v>
      </c>
      <c r="B70" s="13">
        <v>16854222</v>
      </c>
      <c r="C70" s="13">
        <v>30516050656</v>
      </c>
      <c r="D70" s="13">
        <v>24333331047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16854222</v>
      </c>
      <c r="K70" s="13">
        <v>1455</v>
      </c>
      <c r="L70" s="13">
        <v>30516050656</v>
      </c>
      <c r="M70" s="13">
        <v>24333331047</v>
      </c>
      <c r="N70" s="14">
        <v>5.6478397479582075E-3</v>
      </c>
    </row>
    <row r="71" spans="1:14" x14ac:dyDescent="0.45">
      <c r="A71" s="13" t="s">
        <v>147</v>
      </c>
      <c r="B71" s="13">
        <v>1125246</v>
      </c>
      <c r="C71" s="13">
        <v>14898426822</v>
      </c>
      <c r="D71" s="13">
        <v>14224819589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1125246</v>
      </c>
      <c r="K71" s="13">
        <v>11990</v>
      </c>
      <c r="L71" s="13">
        <v>14898426822</v>
      </c>
      <c r="M71" s="13">
        <v>13387408703</v>
      </c>
      <c r="N71" s="14">
        <v>3.1072580588709332E-3</v>
      </c>
    </row>
    <row r="72" spans="1:14" x14ac:dyDescent="0.45">
      <c r="A72" s="13" t="s">
        <v>220</v>
      </c>
      <c r="B72" s="13">
        <v>18020136</v>
      </c>
      <c r="C72" s="13">
        <v>44373241040</v>
      </c>
      <c r="D72" s="13">
        <v>27500732456</v>
      </c>
      <c r="E72" s="13">
        <v>0</v>
      </c>
      <c r="F72" s="13">
        <v>0</v>
      </c>
      <c r="G72" s="13">
        <v>0</v>
      </c>
      <c r="H72" s="13">
        <v>2400000</v>
      </c>
      <c r="I72" s="13">
        <v>3574868280</v>
      </c>
      <c r="J72" s="13">
        <v>15620136</v>
      </c>
      <c r="K72" s="13">
        <v>1536</v>
      </c>
      <c r="L72" s="13">
        <v>38463420021</v>
      </c>
      <c r="M72" s="13">
        <v>23807066648</v>
      </c>
      <c r="N72" s="14">
        <v>5.5256921889221423E-3</v>
      </c>
    </row>
    <row r="73" spans="1:14" x14ac:dyDescent="0.45">
      <c r="A73" s="13" t="s">
        <v>261</v>
      </c>
      <c r="B73" s="13">
        <v>18378584</v>
      </c>
      <c r="C73" s="13">
        <v>38653346793</v>
      </c>
      <c r="D73" s="13">
        <v>22412680064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18378584</v>
      </c>
      <c r="K73" s="13">
        <v>1229</v>
      </c>
      <c r="L73" s="13">
        <v>38653346793</v>
      </c>
      <c r="M73" s="13">
        <v>22412680064</v>
      </c>
      <c r="N73" s="14">
        <v>5.2020508445487102E-3</v>
      </c>
    </row>
    <row r="74" spans="1:14" x14ac:dyDescent="0.45">
      <c r="A74" s="13" t="s">
        <v>201</v>
      </c>
      <c r="B74" s="13">
        <v>9169674</v>
      </c>
      <c r="C74" s="13">
        <v>33344299669</v>
      </c>
      <c r="D74" s="13">
        <v>29243518838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9169674</v>
      </c>
      <c r="K74" s="13">
        <v>3304</v>
      </c>
      <c r="L74" s="13">
        <v>33344299669</v>
      </c>
      <c r="M74" s="13">
        <v>30062410156</v>
      </c>
      <c r="N74" s="14">
        <v>6.9775763404744378E-3</v>
      </c>
    </row>
    <row r="75" spans="1:14" x14ac:dyDescent="0.45">
      <c r="A75" s="13" t="s">
        <v>159</v>
      </c>
      <c r="B75" s="13">
        <v>562500</v>
      </c>
      <c r="C75" s="13">
        <v>4931974167</v>
      </c>
      <c r="D75" s="13">
        <v>4632660562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562500</v>
      </c>
      <c r="K75" s="13">
        <v>8130</v>
      </c>
      <c r="L75" s="13">
        <v>4931974167</v>
      </c>
      <c r="M75" s="13">
        <v>4537774744</v>
      </c>
      <c r="N75" s="14">
        <v>1.0532312455266487E-3</v>
      </c>
    </row>
    <row r="76" spans="1:14" x14ac:dyDescent="0.45">
      <c r="A76" s="13" t="s">
        <v>190</v>
      </c>
      <c r="B76" s="13">
        <v>3973870</v>
      </c>
      <c r="C76" s="13">
        <v>21132612639</v>
      </c>
      <c r="D76" s="13">
        <v>19163718647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3973870</v>
      </c>
      <c r="K76" s="13">
        <v>5039</v>
      </c>
      <c r="L76" s="13">
        <v>21132612639</v>
      </c>
      <c r="M76" s="13">
        <v>19869542852</v>
      </c>
      <c r="N76" s="14">
        <v>4.6117810042747859E-3</v>
      </c>
    </row>
    <row r="77" spans="1:14" x14ac:dyDescent="0.45">
      <c r="A77" s="13" t="s">
        <v>173</v>
      </c>
      <c r="B77" s="13">
        <v>25600000</v>
      </c>
      <c r="C77" s="13">
        <v>10028365723</v>
      </c>
      <c r="D77" s="13">
        <v>12802664448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25600000</v>
      </c>
      <c r="K77" s="13">
        <v>492</v>
      </c>
      <c r="L77" s="13">
        <v>10028365723</v>
      </c>
      <c r="M77" s="13">
        <v>12497839104</v>
      </c>
      <c r="N77" s="14">
        <v>2.9007862638625445E-3</v>
      </c>
    </row>
    <row r="78" spans="1:14" x14ac:dyDescent="0.45">
      <c r="A78" s="13" t="s">
        <v>157</v>
      </c>
      <c r="B78" s="13">
        <v>11440020</v>
      </c>
      <c r="C78" s="13">
        <v>31646768610</v>
      </c>
      <c r="D78" s="13">
        <v>33736921454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11440020</v>
      </c>
      <c r="K78" s="13">
        <v>2812</v>
      </c>
      <c r="L78" s="13">
        <v>31646768610</v>
      </c>
      <c r="M78" s="13">
        <v>31920667271</v>
      </c>
      <c r="N78" s="14">
        <v>7.4088834383703945E-3</v>
      </c>
    </row>
    <row r="79" spans="1:14" x14ac:dyDescent="0.45">
      <c r="A79" s="13" t="s">
        <v>146</v>
      </c>
      <c r="B79" s="13">
        <v>7640317</v>
      </c>
      <c r="C79" s="13">
        <v>29107496818</v>
      </c>
      <c r="D79" s="13">
        <v>41090414835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7640317</v>
      </c>
      <c r="K79" s="13">
        <v>5370</v>
      </c>
      <c r="L79" s="13">
        <v>29107496818</v>
      </c>
      <c r="M79" s="13">
        <v>40711351967</v>
      </c>
      <c r="N79" s="14">
        <v>9.4492279494420815E-3</v>
      </c>
    </row>
    <row r="80" spans="1:14" x14ac:dyDescent="0.45">
      <c r="A80" s="13" t="s">
        <v>230</v>
      </c>
      <c r="B80" s="13">
        <v>12459071</v>
      </c>
      <c r="C80" s="13">
        <v>20282791106</v>
      </c>
      <c r="D80" s="13">
        <v>20262567543</v>
      </c>
      <c r="E80" s="13">
        <v>0</v>
      </c>
      <c r="F80" s="13">
        <v>0</v>
      </c>
      <c r="G80" s="13">
        <v>0</v>
      </c>
      <c r="H80" s="13">
        <v>4400000</v>
      </c>
      <c r="I80" s="13">
        <v>6720481070</v>
      </c>
      <c r="J80" s="13">
        <v>8059071</v>
      </c>
      <c r="K80" s="13">
        <v>1600</v>
      </c>
      <c r="L80" s="13">
        <v>13119794694</v>
      </c>
      <c r="M80" s="13">
        <v>12794839010</v>
      </c>
      <c r="N80" s="14">
        <v>2.9697208405140814E-3</v>
      </c>
    </row>
    <row r="81" spans="1:14" x14ac:dyDescent="0.45">
      <c r="A81" s="13" t="s">
        <v>288</v>
      </c>
      <c r="B81" s="13">
        <v>3380920</v>
      </c>
      <c r="C81" s="13">
        <v>16767735799</v>
      </c>
      <c r="D81" s="13">
        <v>15801039650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3380920</v>
      </c>
      <c r="K81" s="13">
        <v>4710</v>
      </c>
      <c r="L81" s="13">
        <v>16767735799</v>
      </c>
      <c r="M81" s="13">
        <v>15801039650</v>
      </c>
      <c r="N81" s="14">
        <v>3.6674691032626233E-3</v>
      </c>
    </row>
    <row r="82" spans="1:14" x14ac:dyDescent="0.45">
      <c r="A82" s="13" t="s">
        <v>175</v>
      </c>
      <c r="B82" s="13">
        <v>926418</v>
      </c>
      <c r="C82" s="13">
        <v>6899311545</v>
      </c>
      <c r="D82" s="13">
        <v>9125462143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926418</v>
      </c>
      <c r="K82" s="13">
        <v>10000</v>
      </c>
      <c r="L82" s="13">
        <v>6899311545</v>
      </c>
      <c r="M82" s="13">
        <v>9192567889</v>
      </c>
      <c r="N82" s="14">
        <v>2.1336228159234837E-3</v>
      </c>
    </row>
    <row r="83" spans="1:14" x14ac:dyDescent="0.45">
      <c r="A83" s="13" t="s">
        <v>289</v>
      </c>
      <c r="B83" s="13">
        <v>310965</v>
      </c>
      <c r="C83" s="13">
        <v>2004884233</v>
      </c>
      <c r="D83" s="13">
        <v>2754526194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310965</v>
      </c>
      <c r="K83" s="13">
        <v>9000</v>
      </c>
      <c r="L83" s="13">
        <v>2004884233</v>
      </c>
      <c r="M83" s="13">
        <v>2777051165</v>
      </c>
      <c r="N83" s="14">
        <v>6.4456197638976069E-4</v>
      </c>
    </row>
    <row r="84" spans="1:14" x14ac:dyDescent="0.45">
      <c r="A84" s="13" t="s">
        <v>222</v>
      </c>
      <c r="B84" s="13">
        <v>860136</v>
      </c>
      <c r="C84" s="13">
        <v>8232282439</v>
      </c>
      <c r="D84" s="13">
        <v>11590355480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860136</v>
      </c>
      <c r="K84" s="13">
        <v>10864</v>
      </c>
      <c r="L84" s="13">
        <v>8232282439</v>
      </c>
      <c r="M84" s="13">
        <v>9272284384</v>
      </c>
      <c r="N84" s="14">
        <v>2.1521252555672505E-3</v>
      </c>
    </row>
    <row r="85" spans="1:14" x14ac:dyDescent="0.45">
      <c r="A85" s="13" t="s">
        <v>290</v>
      </c>
      <c r="B85" s="13">
        <v>517391</v>
      </c>
      <c r="C85" s="13">
        <v>17064920422</v>
      </c>
      <c r="D85" s="13">
        <v>16228307451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517391</v>
      </c>
      <c r="K85" s="13">
        <v>31610</v>
      </c>
      <c r="L85" s="13">
        <v>17064920422</v>
      </c>
      <c r="M85" s="13">
        <v>16228307451</v>
      </c>
      <c r="N85" s="14">
        <v>3.7666392524234389E-3</v>
      </c>
    </row>
    <row r="86" spans="1:14" x14ac:dyDescent="0.45">
      <c r="A86" s="13" t="s">
        <v>106</v>
      </c>
      <c r="B86" s="13">
        <v>3534630</v>
      </c>
      <c r="C86" s="13">
        <v>13881762462</v>
      </c>
      <c r="D86" s="13">
        <v>18308144159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3534630</v>
      </c>
      <c r="K86" s="13">
        <v>4740</v>
      </c>
      <c r="L86" s="13">
        <v>13881762462</v>
      </c>
      <c r="M86" s="13">
        <v>16624636650</v>
      </c>
      <c r="N86" s="14">
        <v>3.8586284584661771E-3</v>
      </c>
    </row>
    <row r="87" spans="1:14" x14ac:dyDescent="0.45">
      <c r="A87" s="13" t="s">
        <v>208</v>
      </c>
      <c r="B87" s="13">
        <v>3250000</v>
      </c>
      <c r="C87" s="13">
        <v>3939323661</v>
      </c>
      <c r="D87" s="13">
        <v>3537690617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3250000</v>
      </c>
      <c r="K87" s="13">
        <v>1084</v>
      </c>
      <c r="L87" s="13">
        <v>3939323661</v>
      </c>
      <c r="M87" s="13">
        <v>3495767210</v>
      </c>
      <c r="N87" s="14">
        <v>8.1137814465730943E-4</v>
      </c>
    </row>
    <row r="88" spans="1:14" x14ac:dyDescent="0.45">
      <c r="A88" s="13" t="s">
        <v>291</v>
      </c>
      <c r="B88" s="13">
        <v>4215293</v>
      </c>
      <c r="C88" s="13">
        <v>21878273592</v>
      </c>
      <c r="D88" s="13">
        <v>15685157944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4215293</v>
      </c>
      <c r="K88" s="13">
        <v>3900</v>
      </c>
      <c r="L88" s="13">
        <v>21878273592</v>
      </c>
      <c r="M88" s="13">
        <v>16312564262</v>
      </c>
      <c r="N88" s="14">
        <v>3.7861955131459376E-3</v>
      </c>
    </row>
    <row r="89" spans="1:14" x14ac:dyDescent="0.45">
      <c r="A89" s="13" t="s">
        <v>174</v>
      </c>
      <c r="B89" s="13">
        <v>2874653</v>
      </c>
      <c r="C89" s="13">
        <v>19251319867</v>
      </c>
      <c r="D89" s="13">
        <v>19510634417</v>
      </c>
      <c r="E89" s="13">
        <v>191643</v>
      </c>
      <c r="F89" s="13">
        <v>0</v>
      </c>
      <c r="G89" s="13">
        <v>0</v>
      </c>
      <c r="H89" s="13">
        <v>0</v>
      </c>
      <c r="I89" s="13">
        <v>0</v>
      </c>
      <c r="J89" s="13">
        <v>3066296</v>
      </c>
      <c r="K89" s="13">
        <v>5719</v>
      </c>
      <c r="L89" s="13">
        <v>19251319867</v>
      </c>
      <c r="M89" s="13">
        <v>17400592409</v>
      </c>
      <c r="N89" s="14">
        <v>4.0387301375117831E-3</v>
      </c>
    </row>
    <row r="90" spans="1:14" x14ac:dyDescent="0.45">
      <c r="A90" s="13" t="s">
        <v>97</v>
      </c>
      <c r="B90" s="13">
        <v>84882</v>
      </c>
      <c r="C90" s="13">
        <v>8293870385</v>
      </c>
      <c r="D90" s="13">
        <v>10580452802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84882</v>
      </c>
      <c r="K90" s="13">
        <v>133040</v>
      </c>
      <c r="L90" s="13">
        <v>8293870385</v>
      </c>
      <c r="M90" s="13">
        <v>11205408699</v>
      </c>
      <c r="N90" s="14">
        <v>2.600809257067634E-3</v>
      </c>
    </row>
    <row r="91" spans="1:14" x14ac:dyDescent="0.45">
      <c r="A91" s="13" t="s">
        <v>172</v>
      </c>
      <c r="B91" s="13">
        <v>612681</v>
      </c>
      <c r="C91" s="13">
        <v>22539494006</v>
      </c>
      <c r="D91" s="13">
        <v>18524083415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612681</v>
      </c>
      <c r="K91" s="13">
        <v>32260</v>
      </c>
      <c r="L91" s="13">
        <v>22539494006</v>
      </c>
      <c r="M91" s="13">
        <v>19612304922</v>
      </c>
      <c r="N91" s="14">
        <v>4.5520753025387458E-3</v>
      </c>
    </row>
    <row r="92" spans="1:14" x14ac:dyDescent="0.45">
      <c r="A92" s="13" t="s">
        <v>253</v>
      </c>
      <c r="B92" s="13">
        <v>3983350</v>
      </c>
      <c r="C92" s="13">
        <v>16626478656</v>
      </c>
      <c r="D92" s="13">
        <v>14442649506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3983350</v>
      </c>
      <c r="K92" s="13">
        <v>3874</v>
      </c>
      <c r="L92" s="13">
        <v>16626478656</v>
      </c>
      <c r="M92" s="13">
        <v>15312212421</v>
      </c>
      <c r="N92" s="14">
        <v>3.5540108246365719E-3</v>
      </c>
    </row>
    <row r="93" spans="1:14" x14ac:dyDescent="0.45">
      <c r="A93" s="13" t="s">
        <v>110</v>
      </c>
      <c r="B93" s="13">
        <v>2830564</v>
      </c>
      <c r="C93" s="13">
        <v>20539903713</v>
      </c>
      <c r="D93" s="13">
        <v>22357122573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2830564</v>
      </c>
      <c r="K93" s="13">
        <v>8290</v>
      </c>
      <c r="L93" s="13">
        <v>20539903713</v>
      </c>
      <c r="M93" s="13">
        <v>23283988207</v>
      </c>
      <c r="N93" s="14">
        <v>5.4042841003758757E-3</v>
      </c>
    </row>
    <row r="94" spans="1:14" x14ac:dyDescent="0.45">
      <c r="A94" s="13" t="s">
        <v>292</v>
      </c>
      <c r="B94" s="13">
        <v>2001235</v>
      </c>
      <c r="C94" s="13">
        <v>13210275397</v>
      </c>
      <c r="D94" s="13">
        <v>17593881918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2001235</v>
      </c>
      <c r="K94" s="13">
        <v>8860</v>
      </c>
      <c r="L94" s="13">
        <v>13210275397</v>
      </c>
      <c r="M94" s="13">
        <v>17593881918</v>
      </c>
      <c r="N94" s="14">
        <v>4.0835932172802276E-3</v>
      </c>
    </row>
    <row r="95" spans="1:14" x14ac:dyDescent="0.45">
      <c r="A95" s="13" t="s">
        <v>186</v>
      </c>
      <c r="B95" s="13">
        <v>5476907</v>
      </c>
      <c r="C95" s="13">
        <v>24541931735</v>
      </c>
      <c r="D95" s="13">
        <v>22221958811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5476907</v>
      </c>
      <c r="K95" s="13">
        <v>3394</v>
      </c>
      <c r="L95" s="13">
        <v>24541931735</v>
      </c>
      <c r="M95" s="13">
        <v>18444932307</v>
      </c>
      <c r="N95" s="14">
        <v>4.2811245871212707E-3</v>
      </c>
    </row>
    <row r="96" spans="1:14" x14ac:dyDescent="0.45">
      <c r="A96" s="13" t="s">
        <v>156</v>
      </c>
      <c r="B96" s="13">
        <v>2800000</v>
      </c>
      <c r="C96" s="13">
        <v>19839248766</v>
      </c>
      <c r="D96" s="13">
        <v>21337774080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2800000</v>
      </c>
      <c r="K96" s="13">
        <v>8080</v>
      </c>
      <c r="L96" s="13">
        <v>19839248766</v>
      </c>
      <c r="M96" s="13">
        <v>22449116480</v>
      </c>
      <c r="N96" s="14">
        <v>5.2105078469278938E-3</v>
      </c>
    </row>
    <row r="97" spans="1:14" x14ac:dyDescent="0.45">
      <c r="A97" s="13" t="s">
        <v>221</v>
      </c>
      <c r="B97" s="13">
        <v>2913758</v>
      </c>
      <c r="C97" s="13">
        <v>28454642525</v>
      </c>
      <c r="D97" s="13">
        <v>27871502032</v>
      </c>
      <c r="E97" s="13">
        <v>0</v>
      </c>
      <c r="F97" s="13">
        <v>0</v>
      </c>
      <c r="G97" s="13">
        <v>0</v>
      </c>
      <c r="H97" s="13">
        <v>400000</v>
      </c>
      <c r="I97" s="13">
        <v>4048461610</v>
      </c>
      <c r="J97" s="13">
        <v>2513758</v>
      </c>
      <c r="K97" s="13">
        <v>10200</v>
      </c>
      <c r="L97" s="13">
        <v>24548396018</v>
      </c>
      <c r="M97" s="13">
        <v>25442131837</v>
      </c>
      <c r="N97" s="14">
        <v>5.905195765604691E-3</v>
      </c>
    </row>
    <row r="98" spans="1:14" x14ac:dyDescent="0.45">
      <c r="A98" s="13" t="s">
        <v>143</v>
      </c>
      <c r="B98" s="13">
        <v>1209154</v>
      </c>
      <c r="C98" s="13">
        <v>13559690174</v>
      </c>
      <c r="D98" s="13">
        <v>9220518636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1209154</v>
      </c>
      <c r="K98" s="13">
        <v>11140</v>
      </c>
      <c r="L98" s="13">
        <v>13559690174</v>
      </c>
      <c r="M98" s="13">
        <v>13365852649</v>
      </c>
      <c r="N98" s="14">
        <v>3.1022548335272603E-3</v>
      </c>
    </row>
    <row r="99" spans="1:14" x14ac:dyDescent="0.45">
      <c r="A99" s="13" t="s">
        <v>293</v>
      </c>
      <c r="B99" s="13">
        <v>1813731</v>
      </c>
      <c r="C99" s="13">
        <v>18525804260</v>
      </c>
      <c r="D99" s="13">
        <v>20570695123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1813731</v>
      </c>
      <c r="K99" s="13">
        <v>6880</v>
      </c>
      <c r="L99" s="13">
        <v>18525804260</v>
      </c>
      <c r="M99" s="13">
        <v>12382010712</v>
      </c>
      <c r="N99" s="14">
        <v>2.8739021436812126E-3</v>
      </c>
    </row>
    <row r="100" spans="1:14" x14ac:dyDescent="0.45">
      <c r="A100" s="13" t="s">
        <v>168</v>
      </c>
      <c r="B100" s="13">
        <v>104452</v>
      </c>
      <c r="C100" s="13">
        <v>12026316222</v>
      </c>
      <c r="D100" s="13">
        <v>13160789535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104452</v>
      </c>
      <c r="K100" s="13">
        <v>133940</v>
      </c>
      <c r="L100" s="13">
        <v>12026316222</v>
      </c>
      <c r="M100" s="13">
        <v>13882155854</v>
      </c>
      <c r="N100" s="14">
        <v>3.2220903693018299E-3</v>
      </c>
    </row>
    <row r="101" spans="1:14" x14ac:dyDescent="0.45">
      <c r="A101" s="13" t="s">
        <v>237</v>
      </c>
      <c r="B101" s="13">
        <v>144247</v>
      </c>
      <c r="C101" s="13">
        <v>1152844494</v>
      </c>
      <c r="D101" s="13">
        <v>913181973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144247</v>
      </c>
      <c r="K101" s="13">
        <v>6650</v>
      </c>
      <c r="L101" s="13">
        <v>1152844494</v>
      </c>
      <c r="M101" s="13">
        <v>951827605</v>
      </c>
      <c r="N101" s="14">
        <v>2.2092206654072667E-4</v>
      </c>
    </row>
    <row r="102" spans="1:14" x14ac:dyDescent="0.45">
      <c r="A102" s="13" t="s">
        <v>101</v>
      </c>
      <c r="B102" s="13">
        <v>336344</v>
      </c>
      <c r="C102" s="13">
        <v>11436721532</v>
      </c>
      <c r="D102" s="13">
        <v>10663122745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336344</v>
      </c>
      <c r="K102" s="13">
        <v>33310</v>
      </c>
      <c r="L102" s="13">
        <v>11436721532</v>
      </c>
      <c r="M102" s="13">
        <v>11117014668</v>
      </c>
      <c r="N102" s="14">
        <v>2.5802927350674289E-3</v>
      </c>
    </row>
    <row r="103" spans="1:14" x14ac:dyDescent="0.45">
      <c r="A103" s="13" t="s">
        <v>120</v>
      </c>
      <c r="B103" s="13">
        <v>1824791</v>
      </c>
      <c r="C103" s="13">
        <v>33970430990</v>
      </c>
      <c r="D103" s="13">
        <v>28427760239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1824791</v>
      </c>
      <c r="K103" s="13">
        <v>16650</v>
      </c>
      <c r="L103" s="13">
        <v>33970430990</v>
      </c>
      <c r="M103" s="13">
        <v>30147911337</v>
      </c>
      <c r="N103" s="14">
        <v>6.9974214232383413E-3</v>
      </c>
    </row>
    <row r="104" spans="1:14" x14ac:dyDescent="0.45">
      <c r="A104" s="13" t="s">
        <v>218</v>
      </c>
      <c r="B104" s="13">
        <v>1504289</v>
      </c>
      <c r="C104" s="13">
        <v>9141298952</v>
      </c>
      <c r="D104" s="13">
        <v>16150590354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1504289</v>
      </c>
      <c r="K104" s="13">
        <v>11530</v>
      </c>
      <c r="L104" s="13">
        <v>9141298952</v>
      </c>
      <c r="M104" s="13">
        <v>17210379555</v>
      </c>
      <c r="N104" s="14">
        <v>3.9945811586761786E-3</v>
      </c>
    </row>
    <row r="105" spans="1:14" x14ac:dyDescent="0.45">
      <c r="A105" s="13" t="s">
        <v>243</v>
      </c>
      <c r="B105" s="13">
        <v>512506</v>
      </c>
      <c r="C105" s="13">
        <v>23243757956</v>
      </c>
      <c r="D105" s="13">
        <v>17890589481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512506</v>
      </c>
      <c r="K105" s="13">
        <v>37260</v>
      </c>
      <c r="L105" s="13">
        <v>23243757956</v>
      </c>
      <c r="M105" s="13">
        <v>18948361684</v>
      </c>
      <c r="N105" s="14">
        <v>4.3979720684717942E-3</v>
      </c>
    </row>
    <row r="106" spans="1:14" x14ac:dyDescent="0.45">
      <c r="A106" s="13" t="s">
        <v>163</v>
      </c>
      <c r="B106" s="13">
        <v>21110</v>
      </c>
      <c r="C106" s="13">
        <v>2674296095</v>
      </c>
      <c r="D106" s="13">
        <v>2291372607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21110</v>
      </c>
      <c r="K106" s="13">
        <v>112440</v>
      </c>
      <c r="L106" s="13">
        <v>2674296095</v>
      </c>
      <c r="M106" s="13">
        <v>2355260407</v>
      </c>
      <c r="N106" s="14">
        <v>5.4666306547811563E-4</v>
      </c>
    </row>
    <row r="107" spans="1:14" x14ac:dyDescent="0.45">
      <c r="A107" s="13" t="s">
        <v>115</v>
      </c>
      <c r="B107" s="13">
        <v>6761644</v>
      </c>
      <c r="C107" s="13">
        <v>10818188004</v>
      </c>
      <c r="D107" s="13">
        <v>13606615526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6761644</v>
      </c>
      <c r="K107" s="13">
        <v>2144</v>
      </c>
      <c r="L107" s="13">
        <v>10818188004</v>
      </c>
      <c r="M107" s="13">
        <v>14384903199</v>
      </c>
      <c r="N107" s="14">
        <v>3.3387795489619046E-3</v>
      </c>
    </row>
    <row r="108" spans="1:14" x14ac:dyDescent="0.45">
      <c r="A108" s="13" t="s">
        <v>192</v>
      </c>
      <c r="B108" s="13">
        <v>520570</v>
      </c>
      <c r="C108" s="13">
        <v>20486605262</v>
      </c>
      <c r="D108" s="13">
        <v>20982098272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520570</v>
      </c>
      <c r="K108" s="13">
        <v>43080</v>
      </c>
      <c r="L108" s="13">
        <v>20486605262</v>
      </c>
      <c r="M108" s="13">
        <v>22252801417</v>
      </c>
      <c r="N108" s="14">
        <v>5.164942526923298E-3</v>
      </c>
    </row>
    <row r="109" spans="1:14" x14ac:dyDescent="0.45">
      <c r="A109" s="13" t="s">
        <v>231</v>
      </c>
      <c r="B109" s="13">
        <v>1155746</v>
      </c>
      <c r="C109" s="13">
        <v>7943307049</v>
      </c>
      <c r="D109" s="13">
        <v>15745729905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1155746</v>
      </c>
      <c r="K109" s="13">
        <v>14770</v>
      </c>
      <c r="L109" s="13">
        <v>7943307049</v>
      </c>
      <c r="M109" s="13">
        <v>16938414472</v>
      </c>
      <c r="N109" s="14">
        <v>3.9314572401770078E-3</v>
      </c>
    </row>
    <row r="110" spans="1:14" x14ac:dyDescent="0.45">
      <c r="A110" s="13" t="s">
        <v>294</v>
      </c>
      <c r="B110" s="13">
        <v>3019851</v>
      </c>
      <c r="C110" s="13">
        <v>5526073732</v>
      </c>
      <c r="D110" s="13">
        <v>8764784589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3019851</v>
      </c>
      <c r="K110" s="13">
        <v>2924</v>
      </c>
      <c r="L110" s="13">
        <v>5526073732</v>
      </c>
      <c r="M110" s="13">
        <v>8761788081</v>
      </c>
      <c r="N110" s="14">
        <v>2.0336375193136238E-3</v>
      </c>
    </row>
    <row r="111" spans="1:14" x14ac:dyDescent="0.45">
      <c r="A111" s="13" t="s">
        <v>164</v>
      </c>
      <c r="B111" s="13">
        <v>3863965</v>
      </c>
      <c r="C111" s="13">
        <v>23148828819</v>
      </c>
      <c r="D111" s="13">
        <v>25343378199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3863965</v>
      </c>
      <c r="K111" s="13">
        <v>6880</v>
      </c>
      <c r="L111" s="13">
        <v>23148828819</v>
      </c>
      <c r="M111" s="13">
        <v>26378584268</v>
      </c>
      <c r="N111" s="14">
        <v>6.1225492077478273E-3</v>
      </c>
    </row>
    <row r="112" spans="1:14" x14ac:dyDescent="0.45">
      <c r="A112" s="13" t="s">
        <v>113</v>
      </c>
      <c r="B112" s="13">
        <v>1467107</v>
      </c>
      <c r="C112" s="13">
        <v>23716554717</v>
      </c>
      <c r="D112" s="13">
        <v>24748026469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1467107</v>
      </c>
      <c r="K112" s="13">
        <v>23700</v>
      </c>
      <c r="L112" s="13">
        <v>23716554717</v>
      </c>
      <c r="M112" s="13">
        <v>34501660430</v>
      </c>
      <c r="N112" s="14">
        <v>8.0079397584628953E-3</v>
      </c>
    </row>
    <row r="113" spans="1:14" x14ac:dyDescent="0.45">
      <c r="A113" s="13" t="s">
        <v>202</v>
      </c>
      <c r="B113" s="13">
        <v>2277911</v>
      </c>
      <c r="C113" s="13">
        <v>22635075434</v>
      </c>
      <c r="D113" s="13">
        <v>21111227666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2277911</v>
      </c>
      <c r="K113" s="13">
        <v>9790</v>
      </c>
      <c r="L113" s="13">
        <v>22635075434</v>
      </c>
      <c r="M113" s="13">
        <v>22128363903</v>
      </c>
      <c r="N113" s="14">
        <v>5.1360602034818898E-3</v>
      </c>
    </row>
    <row r="114" spans="1:14" x14ac:dyDescent="0.45">
      <c r="A114" s="13" t="s">
        <v>140</v>
      </c>
      <c r="B114" s="13">
        <v>22585402</v>
      </c>
      <c r="C114" s="13">
        <v>48349228681</v>
      </c>
      <c r="D114" s="13">
        <v>42401265466</v>
      </c>
      <c r="E114" s="13">
        <v>0</v>
      </c>
      <c r="F114" s="13">
        <v>0</v>
      </c>
      <c r="G114" s="13">
        <v>0</v>
      </c>
      <c r="H114" s="13">
        <v>800000</v>
      </c>
      <c r="I114" s="13">
        <v>1583662932</v>
      </c>
      <c r="J114" s="13">
        <v>21785402</v>
      </c>
      <c r="K114" s="13">
        <v>1995</v>
      </c>
      <c r="L114" s="13">
        <v>46636645352</v>
      </c>
      <c r="M114" s="13">
        <v>43125916681</v>
      </c>
      <c r="N114" s="14">
        <v>1.0009655723979256E-2</v>
      </c>
    </row>
    <row r="115" spans="1:14" x14ac:dyDescent="0.45">
      <c r="A115" s="13" t="s">
        <v>226</v>
      </c>
      <c r="B115" s="13">
        <v>835696</v>
      </c>
      <c r="C115" s="13">
        <v>26487272105</v>
      </c>
      <c r="D115" s="13">
        <v>20614808698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835696</v>
      </c>
      <c r="K115" s="13">
        <v>25940</v>
      </c>
      <c r="L115" s="13">
        <v>26487272105</v>
      </c>
      <c r="M115" s="13">
        <v>21510383654</v>
      </c>
      <c r="N115" s="14">
        <v>4.9926251182067227E-3</v>
      </c>
    </row>
    <row r="116" spans="1:14" x14ac:dyDescent="0.45">
      <c r="A116" s="13" t="s">
        <v>295</v>
      </c>
      <c r="B116" s="13">
        <v>200000</v>
      </c>
      <c r="C116" s="13">
        <v>1501990667</v>
      </c>
      <c r="D116" s="13">
        <v>1210569400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200000</v>
      </c>
      <c r="K116" s="13">
        <v>6100</v>
      </c>
      <c r="L116" s="13">
        <v>1501990667</v>
      </c>
      <c r="M116" s="13">
        <v>1210569400</v>
      </c>
      <c r="N116" s="14">
        <v>2.8097681989268169E-4</v>
      </c>
    </row>
    <row r="117" spans="1:14" x14ac:dyDescent="0.45">
      <c r="A117" s="13" t="s">
        <v>272</v>
      </c>
      <c r="B117" s="13">
        <v>2478</v>
      </c>
      <c r="C117" s="13">
        <v>634181829</v>
      </c>
      <c r="D117" s="13">
        <v>664134051</v>
      </c>
      <c r="E117" s="13">
        <v>0</v>
      </c>
      <c r="F117" s="13">
        <v>0</v>
      </c>
      <c r="G117" s="13">
        <v>0</v>
      </c>
      <c r="H117" s="13">
        <v>2478</v>
      </c>
      <c r="I117" s="13">
        <v>691257663</v>
      </c>
      <c r="J117" s="13">
        <v>0</v>
      </c>
      <c r="K117" s="13">
        <v>0</v>
      </c>
      <c r="L117" s="13">
        <v>0</v>
      </c>
      <c r="M117" s="13">
        <v>0</v>
      </c>
      <c r="N117" s="14">
        <v>0</v>
      </c>
    </row>
    <row r="118" spans="1:14" x14ac:dyDescent="0.45">
      <c r="A118" s="13" t="s">
        <v>181</v>
      </c>
      <c r="B118" s="13">
        <v>249996</v>
      </c>
      <c r="C118" s="13">
        <v>1764072098</v>
      </c>
      <c r="D118" s="13">
        <v>1478458644</v>
      </c>
      <c r="E118" s="13">
        <v>474992</v>
      </c>
      <c r="F118" s="13">
        <v>0</v>
      </c>
      <c r="G118" s="13">
        <v>0</v>
      </c>
      <c r="H118" s="13">
        <v>0</v>
      </c>
      <c r="I118" s="13">
        <v>0</v>
      </c>
      <c r="J118" s="13">
        <v>724988</v>
      </c>
      <c r="K118" s="13">
        <v>2055</v>
      </c>
      <c r="L118" s="13">
        <v>1764072098</v>
      </c>
      <c r="M118" s="13">
        <v>1478333797</v>
      </c>
      <c r="N118" s="14">
        <v>3.4312574646355113E-4</v>
      </c>
    </row>
    <row r="119" spans="1:14" x14ac:dyDescent="0.45">
      <c r="A119" s="13" t="s">
        <v>209</v>
      </c>
      <c r="B119" s="13">
        <v>13572652</v>
      </c>
      <c r="C119" s="13">
        <v>40423078437</v>
      </c>
      <c r="D119" s="13">
        <v>35298934484</v>
      </c>
      <c r="E119" s="13">
        <v>0</v>
      </c>
      <c r="F119" s="13">
        <v>0</v>
      </c>
      <c r="G119" s="13">
        <v>0</v>
      </c>
      <c r="H119" s="13">
        <v>1200000</v>
      </c>
      <c r="I119" s="13">
        <v>3268537398</v>
      </c>
      <c r="J119" s="13">
        <v>12372652</v>
      </c>
      <c r="K119" s="13">
        <v>2745</v>
      </c>
      <c r="L119" s="13">
        <v>36849149471</v>
      </c>
      <c r="M119" s="13">
        <v>33700396293</v>
      </c>
      <c r="N119" s="14">
        <v>7.8219639283218772E-3</v>
      </c>
    </row>
    <row r="120" spans="1:14" x14ac:dyDescent="0.45">
      <c r="A120" s="13" t="s">
        <v>91</v>
      </c>
      <c r="B120" s="13">
        <v>1875000</v>
      </c>
      <c r="C120" s="13">
        <v>5911612875</v>
      </c>
      <c r="D120" s="13">
        <v>6586192125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1875000</v>
      </c>
      <c r="K120" s="13">
        <v>3847</v>
      </c>
      <c r="L120" s="13">
        <v>5911612875</v>
      </c>
      <c r="M120" s="13">
        <v>7157367544</v>
      </c>
      <c r="N120" s="14">
        <v>1.6612466590649106E-3</v>
      </c>
    </row>
    <row r="121" spans="1:14" x14ac:dyDescent="0.45">
      <c r="A121" s="13" t="s">
        <v>117</v>
      </c>
      <c r="B121" s="13">
        <v>23792</v>
      </c>
      <c r="C121" s="13">
        <v>1265552380</v>
      </c>
      <c r="D121" s="13">
        <v>1431830527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23792</v>
      </c>
      <c r="K121" s="13">
        <v>64500</v>
      </c>
      <c r="L121" s="13">
        <v>1265552380</v>
      </c>
      <c r="M121" s="13">
        <v>1522721666</v>
      </c>
      <c r="N121" s="14">
        <v>3.5342830513836399E-4</v>
      </c>
    </row>
    <row r="122" spans="1:14" x14ac:dyDescent="0.45">
      <c r="A122" s="13" t="s">
        <v>142</v>
      </c>
      <c r="B122" s="13">
        <v>943421</v>
      </c>
      <c r="C122" s="13">
        <v>12470037471</v>
      </c>
      <c r="D122" s="13">
        <v>15904820763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943421</v>
      </c>
      <c r="K122" s="13">
        <v>15940</v>
      </c>
      <c r="L122" s="13">
        <v>12470037471</v>
      </c>
      <c r="M122" s="13">
        <v>14921885989</v>
      </c>
      <c r="N122" s="14">
        <v>3.463414878973798E-3</v>
      </c>
    </row>
    <row r="123" spans="1:14" x14ac:dyDescent="0.45">
      <c r="A123" s="13" t="s">
        <v>118</v>
      </c>
      <c r="B123" s="13">
        <v>3733986</v>
      </c>
      <c r="C123" s="13">
        <v>14066948730</v>
      </c>
      <c r="D123" s="13">
        <v>31975205347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3733986</v>
      </c>
      <c r="K123" s="13">
        <v>9140</v>
      </c>
      <c r="L123" s="13">
        <v>14066948730</v>
      </c>
      <c r="M123" s="13">
        <v>33864817714</v>
      </c>
      <c r="N123" s="14">
        <v>7.8601266375352575E-3</v>
      </c>
    </row>
    <row r="124" spans="1:14" x14ac:dyDescent="0.45">
      <c r="A124" s="13" t="s">
        <v>138</v>
      </c>
      <c r="B124" s="13">
        <v>7083396</v>
      </c>
      <c r="C124" s="13">
        <v>24659993871</v>
      </c>
      <c r="D124" s="13">
        <v>19504479743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7083396</v>
      </c>
      <c r="K124" s="13">
        <v>2910</v>
      </c>
      <c r="L124" s="13">
        <v>24659993871</v>
      </c>
      <c r="M124" s="13">
        <v>20453346325</v>
      </c>
      <c r="N124" s="14">
        <v>4.7472835564505165E-3</v>
      </c>
    </row>
    <row r="125" spans="1:14" x14ac:dyDescent="0.45">
      <c r="A125" s="13" t="s">
        <v>94</v>
      </c>
      <c r="B125" s="13">
        <v>3429795</v>
      </c>
      <c r="C125" s="13">
        <v>22700128568</v>
      </c>
      <c r="D125" s="13">
        <v>23006190948</v>
      </c>
      <c r="E125" s="13">
        <v>0</v>
      </c>
      <c r="F125" s="13">
        <v>200000</v>
      </c>
      <c r="G125" s="13">
        <v>1271377947</v>
      </c>
      <c r="H125" s="13">
        <v>176343</v>
      </c>
      <c r="I125" s="13">
        <v>1125120558</v>
      </c>
      <c r="J125" s="13">
        <v>3453452</v>
      </c>
      <c r="K125" s="13">
        <v>6350</v>
      </c>
      <c r="L125" s="13">
        <v>22806920809</v>
      </c>
      <c r="M125" s="13">
        <v>21759905782</v>
      </c>
      <c r="N125" s="14">
        <v>5.0505399589571131E-3</v>
      </c>
    </row>
    <row r="126" spans="1:14" x14ac:dyDescent="0.45">
      <c r="A126" s="13" t="s">
        <v>224</v>
      </c>
      <c r="B126" s="13">
        <v>6157463</v>
      </c>
      <c r="C126" s="13">
        <v>15675856896</v>
      </c>
      <c r="D126" s="13">
        <v>25624777211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6157463</v>
      </c>
      <c r="K126" s="13">
        <v>3744</v>
      </c>
      <c r="L126" s="13">
        <v>15675856896</v>
      </c>
      <c r="M126" s="13">
        <v>22875337596</v>
      </c>
      <c r="N126" s="14">
        <v>5.3094350573338316E-3</v>
      </c>
    </row>
    <row r="127" spans="1:14" x14ac:dyDescent="0.45">
      <c r="A127" s="13" t="s">
        <v>270</v>
      </c>
      <c r="B127" s="13">
        <v>16239055</v>
      </c>
      <c r="C127" s="13">
        <v>25741988551</v>
      </c>
      <c r="D127" s="13">
        <v>34756877965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16239055</v>
      </c>
      <c r="K127" s="13">
        <v>2157</v>
      </c>
      <c r="L127" s="13">
        <v>25741988551</v>
      </c>
      <c r="M127" s="13">
        <v>34756877965</v>
      </c>
      <c r="N127" s="14">
        <v>8.0671765204074399E-3</v>
      </c>
    </row>
    <row r="128" spans="1:14" x14ac:dyDescent="0.45">
      <c r="A128" s="13" t="s">
        <v>100</v>
      </c>
      <c r="B128" s="13">
        <v>5065914</v>
      </c>
      <c r="C128" s="13">
        <v>17485089878</v>
      </c>
      <c r="D128" s="13">
        <v>13697905971</v>
      </c>
      <c r="E128" s="13">
        <v>1428847</v>
      </c>
      <c r="F128" s="13">
        <v>0</v>
      </c>
      <c r="G128" s="13">
        <v>0</v>
      </c>
      <c r="H128" s="13">
        <v>0</v>
      </c>
      <c r="I128" s="13">
        <v>0</v>
      </c>
      <c r="J128" s="13">
        <v>6494761</v>
      </c>
      <c r="K128" s="13">
        <v>2193</v>
      </c>
      <c r="L128" s="13">
        <v>17485089878</v>
      </c>
      <c r="M128" s="13">
        <v>14132912399</v>
      </c>
      <c r="N128" s="14">
        <v>3.2802917219722145E-3</v>
      </c>
    </row>
    <row r="129" spans="1:14" x14ac:dyDescent="0.45">
      <c r="A129" s="13" t="s">
        <v>273</v>
      </c>
      <c r="B129" s="13">
        <v>7380289</v>
      </c>
      <c r="C129" s="13">
        <v>21960051981</v>
      </c>
      <c r="D129" s="13">
        <v>21530323736</v>
      </c>
      <c r="E129" s="13">
        <v>0</v>
      </c>
      <c r="F129" s="13">
        <v>0</v>
      </c>
      <c r="G129" s="13">
        <v>0</v>
      </c>
      <c r="H129" s="13">
        <v>2400000</v>
      </c>
      <c r="I129" s="13">
        <v>6503734732</v>
      </c>
      <c r="J129" s="13">
        <v>4980289</v>
      </c>
      <c r="K129" s="13">
        <v>2899</v>
      </c>
      <c r="L129" s="13">
        <v>14818851311</v>
      </c>
      <c r="M129" s="13">
        <v>14326253170</v>
      </c>
      <c r="N129" s="14">
        <v>3.3251666998059342E-3</v>
      </c>
    </row>
    <row r="130" spans="1:14" x14ac:dyDescent="0.45">
      <c r="A130" s="13" t="s">
        <v>264</v>
      </c>
      <c r="B130" s="13">
        <v>6518463</v>
      </c>
      <c r="C130" s="13">
        <v>16130979435</v>
      </c>
      <c r="D130" s="13">
        <v>15730359083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6518463</v>
      </c>
      <c r="K130" s="13">
        <v>2432</v>
      </c>
      <c r="L130" s="13">
        <v>16130979435</v>
      </c>
      <c r="M130" s="13">
        <v>15730359083</v>
      </c>
      <c r="N130" s="14">
        <v>3.6510639298426842E-3</v>
      </c>
    </row>
    <row r="131" spans="1:14" x14ac:dyDescent="0.45">
      <c r="A131" s="13" t="s">
        <v>77</v>
      </c>
      <c r="B131" s="13">
        <v>2038313</v>
      </c>
      <c r="C131" s="13">
        <v>35612740710</v>
      </c>
      <c r="D131" s="13">
        <v>25443765054</v>
      </c>
      <c r="E131" s="13">
        <v>0</v>
      </c>
      <c r="F131" s="13">
        <v>300000</v>
      </c>
      <c r="G131" s="13">
        <v>4012661313</v>
      </c>
      <c r="H131" s="13">
        <v>0</v>
      </c>
      <c r="I131" s="13">
        <v>0</v>
      </c>
      <c r="J131" s="13">
        <v>2338313</v>
      </c>
      <c r="K131" s="13">
        <v>13340</v>
      </c>
      <c r="L131" s="13">
        <v>39625402023</v>
      </c>
      <c r="M131" s="13">
        <v>30951972792</v>
      </c>
      <c r="N131" s="14">
        <v>7.1840465193494631E-3</v>
      </c>
    </row>
    <row r="132" spans="1:14" x14ac:dyDescent="0.45">
      <c r="A132" s="13" t="s">
        <v>148</v>
      </c>
      <c r="B132" s="13">
        <v>7043843</v>
      </c>
      <c r="C132" s="13">
        <v>17962732742</v>
      </c>
      <c r="D132" s="13">
        <v>23889749012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7043843</v>
      </c>
      <c r="K132" s="13">
        <v>3546</v>
      </c>
      <c r="L132" s="13">
        <v>17962732742</v>
      </c>
      <c r="M132" s="13">
        <v>24784391456</v>
      </c>
      <c r="N132" s="14">
        <v>5.7525322334120044E-3</v>
      </c>
    </row>
    <row r="133" spans="1:14" x14ac:dyDescent="0.45">
      <c r="A133" s="13" t="s">
        <v>269</v>
      </c>
      <c r="B133" s="13">
        <v>3904663</v>
      </c>
      <c r="C133" s="13">
        <v>9704409400</v>
      </c>
      <c r="D133" s="13">
        <v>15029107745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3904663</v>
      </c>
      <c r="K133" s="13">
        <v>3879</v>
      </c>
      <c r="L133" s="13">
        <v>9704409400</v>
      </c>
      <c r="M133" s="13">
        <v>15029107745</v>
      </c>
      <c r="N133" s="14">
        <v>3.4883013729031746E-3</v>
      </c>
    </row>
    <row r="134" spans="1:14" x14ac:dyDescent="0.45">
      <c r="A134" s="13" t="s">
        <v>296</v>
      </c>
      <c r="B134" s="13">
        <v>1200163</v>
      </c>
      <c r="C134" s="13">
        <v>16198919272</v>
      </c>
      <c r="D134" s="13">
        <v>15219519757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1200163</v>
      </c>
      <c r="K134" s="13">
        <v>6390</v>
      </c>
      <c r="L134" s="13">
        <v>16198919272</v>
      </c>
      <c r="M134" s="13">
        <v>7609759879</v>
      </c>
      <c r="N134" s="14">
        <v>1.7662482885725825E-3</v>
      </c>
    </row>
    <row r="135" spans="1:14" x14ac:dyDescent="0.45">
      <c r="A135" s="13" t="s">
        <v>225</v>
      </c>
      <c r="B135" s="13">
        <v>2116099</v>
      </c>
      <c r="C135" s="13">
        <v>19380542164</v>
      </c>
      <c r="D135" s="13">
        <v>20766443976</v>
      </c>
      <c r="E135" s="13">
        <v>0</v>
      </c>
      <c r="F135" s="13">
        <v>600000</v>
      </c>
      <c r="G135" s="13">
        <v>6009386892</v>
      </c>
      <c r="H135" s="13">
        <v>0</v>
      </c>
      <c r="I135" s="13">
        <v>0</v>
      </c>
      <c r="J135" s="13">
        <v>2716099</v>
      </c>
      <c r="K135" s="13">
        <v>9990</v>
      </c>
      <c r="L135" s="13">
        <v>25389929056</v>
      </c>
      <c r="M135" s="13">
        <v>26924084512</v>
      </c>
      <c r="N135" s="14">
        <v>6.2491614645996865E-3</v>
      </c>
    </row>
    <row r="136" spans="1:14" x14ac:dyDescent="0.45">
      <c r="A136" s="13" t="s">
        <v>176</v>
      </c>
      <c r="B136" s="13">
        <v>204021</v>
      </c>
      <c r="C136" s="13">
        <v>5210406001</v>
      </c>
      <c r="D136" s="13">
        <v>6577402885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204021</v>
      </c>
      <c r="K136" s="13">
        <v>34730</v>
      </c>
      <c r="L136" s="13">
        <v>5210406001</v>
      </c>
      <c r="M136" s="13">
        <v>7030877261</v>
      </c>
      <c r="N136" s="14">
        <v>1.6318878817286708E-3</v>
      </c>
    </row>
    <row r="137" spans="1:14" x14ac:dyDescent="0.45">
      <c r="A137" s="13" t="s">
        <v>103</v>
      </c>
      <c r="B137" s="13">
        <v>4967900</v>
      </c>
      <c r="C137" s="13">
        <v>27318914165</v>
      </c>
      <c r="D137" s="13">
        <v>20260237327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4967900</v>
      </c>
      <c r="K137" s="13">
        <v>3288</v>
      </c>
      <c r="L137" s="13">
        <v>27318914165</v>
      </c>
      <c r="M137" s="13">
        <v>16208189861</v>
      </c>
      <c r="N137" s="14">
        <v>3.7619698989257338E-3</v>
      </c>
    </row>
    <row r="138" spans="1:14" x14ac:dyDescent="0.45">
      <c r="A138" s="13" t="s">
        <v>99</v>
      </c>
      <c r="B138" s="13">
        <v>25021276</v>
      </c>
      <c r="C138" s="13">
        <v>39331346955</v>
      </c>
      <c r="D138" s="13">
        <v>25572697383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25021276</v>
      </c>
      <c r="K138" s="13">
        <v>1082</v>
      </c>
      <c r="L138" s="13">
        <v>39331346955</v>
      </c>
      <c r="M138" s="13">
        <v>26863746183</v>
      </c>
      <c r="N138" s="14">
        <v>6.2351567559063579E-3</v>
      </c>
    </row>
    <row r="139" spans="1:14" x14ac:dyDescent="0.45">
      <c r="A139" s="13" t="s">
        <v>187</v>
      </c>
      <c r="B139" s="13">
        <v>3915801</v>
      </c>
      <c r="C139" s="13">
        <v>13026834643</v>
      </c>
      <c r="D139" s="13">
        <v>12433701946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3915801</v>
      </c>
      <c r="K139" s="13">
        <v>3214</v>
      </c>
      <c r="L139" s="13">
        <v>13026834643</v>
      </c>
      <c r="M139" s="13">
        <v>12488099392</v>
      </c>
      <c r="N139" s="14">
        <v>2.8985256472432654E-3</v>
      </c>
    </row>
    <row r="140" spans="1:14" x14ac:dyDescent="0.45">
      <c r="A140" s="13" t="s">
        <v>297</v>
      </c>
      <c r="B140" s="13">
        <v>1440400</v>
      </c>
      <c r="C140" s="13">
        <v>8499361036</v>
      </c>
      <c r="D140" s="13">
        <v>9470314581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1440400</v>
      </c>
      <c r="K140" s="13">
        <v>6626</v>
      </c>
      <c r="L140" s="13">
        <v>8499361036</v>
      </c>
      <c r="M140" s="13">
        <v>9470314581</v>
      </c>
      <c r="N140" s="14">
        <v>2.1980886633617817E-3</v>
      </c>
    </row>
    <row r="141" spans="1:14" x14ac:dyDescent="0.45">
      <c r="A141" s="13" t="s">
        <v>245</v>
      </c>
      <c r="B141" s="13">
        <v>8858150</v>
      </c>
      <c r="C141" s="13">
        <v>11344964033</v>
      </c>
      <c r="D141" s="13">
        <v>17579353001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8858150</v>
      </c>
      <c r="K141" s="13">
        <v>800</v>
      </c>
      <c r="L141" s="13">
        <v>11344964033</v>
      </c>
      <c r="M141" s="13">
        <v>7031741200</v>
      </c>
      <c r="N141" s="14">
        <v>1.632088404584115E-3</v>
      </c>
    </row>
    <row r="142" spans="1:14" x14ac:dyDescent="0.45">
      <c r="A142" s="13" t="s">
        <v>200</v>
      </c>
      <c r="B142" s="13">
        <v>5800000</v>
      </c>
      <c r="C142" s="13">
        <v>21338456733</v>
      </c>
      <c r="D142" s="13">
        <v>24419169338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5800000</v>
      </c>
      <c r="K142" s="13">
        <v>4143</v>
      </c>
      <c r="L142" s="13">
        <v>21338456733</v>
      </c>
      <c r="M142" s="13">
        <v>23843652738</v>
      </c>
      <c r="N142" s="14">
        <v>5.5341839310895126E-3</v>
      </c>
    </row>
    <row r="143" spans="1:14" x14ac:dyDescent="0.45">
      <c r="A143" s="13" t="s">
        <v>185</v>
      </c>
      <c r="B143" s="13">
        <v>5729478</v>
      </c>
      <c r="C143" s="13">
        <v>11625693660</v>
      </c>
      <c r="D143" s="13">
        <v>14838343643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5729478</v>
      </c>
      <c r="K143" s="13">
        <v>1305</v>
      </c>
      <c r="L143" s="13">
        <v>11625693660</v>
      </c>
      <c r="M143" s="13">
        <v>7419171821</v>
      </c>
      <c r="N143" s="14">
        <v>1.7220122237535296E-3</v>
      </c>
    </row>
    <row r="144" spans="1:14" x14ac:dyDescent="0.45">
      <c r="A144" s="13" t="s">
        <v>108</v>
      </c>
      <c r="B144" s="13">
        <v>23989450</v>
      </c>
      <c r="C144" s="13">
        <v>25066741703</v>
      </c>
      <c r="D144" s="13">
        <v>26589080903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23989450</v>
      </c>
      <c r="K144" s="13">
        <v>1350</v>
      </c>
      <c r="L144" s="13">
        <v>25066741703</v>
      </c>
      <c r="M144" s="13">
        <v>32135415595</v>
      </c>
      <c r="N144" s="14">
        <v>7.4587271740164498E-3</v>
      </c>
    </row>
    <row r="145" spans="1:14" x14ac:dyDescent="0.45">
      <c r="A145" s="13" t="s">
        <v>196</v>
      </c>
      <c r="B145" s="13">
        <v>19209541</v>
      </c>
      <c r="C145" s="13">
        <v>21405614361</v>
      </c>
      <c r="D145" s="13">
        <v>21691476320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19209541</v>
      </c>
      <c r="K145" s="13">
        <v>1187</v>
      </c>
      <c r="L145" s="13">
        <v>21405614361</v>
      </c>
      <c r="M145" s="13">
        <v>22625467831</v>
      </c>
      <c r="N145" s="14">
        <v>5.2514395289840884E-3</v>
      </c>
    </row>
    <row r="146" spans="1:14" x14ac:dyDescent="0.45">
      <c r="A146" s="13" t="s">
        <v>127</v>
      </c>
      <c r="B146" s="13">
        <v>1447708</v>
      </c>
      <c r="C146" s="13">
        <v>7589659743</v>
      </c>
      <c r="D146" s="13">
        <v>10400384652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1447708</v>
      </c>
      <c r="K146" s="13">
        <v>7740</v>
      </c>
      <c r="L146" s="13">
        <v>7589659743</v>
      </c>
      <c r="M146" s="13">
        <v>11118643261</v>
      </c>
      <c r="N146" s="14">
        <v>2.5806707364294653E-3</v>
      </c>
    </row>
    <row r="147" spans="1:14" x14ac:dyDescent="0.45">
      <c r="A147" s="13" t="s">
        <v>170</v>
      </c>
      <c r="B147" s="13">
        <v>2867583</v>
      </c>
      <c r="C147" s="13">
        <v>27113143892</v>
      </c>
      <c r="D147" s="13">
        <v>36392878102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2867583</v>
      </c>
      <c r="K147" s="13">
        <v>13940</v>
      </c>
      <c r="L147" s="13">
        <v>27113143892</v>
      </c>
      <c r="M147" s="13">
        <v>39665107173</v>
      </c>
      <c r="N147" s="14">
        <v>9.2063913677083997E-3</v>
      </c>
    </row>
    <row r="148" spans="1:14" x14ac:dyDescent="0.45">
      <c r="A148" s="13" t="s">
        <v>195</v>
      </c>
      <c r="B148" s="13">
        <v>5309272</v>
      </c>
      <c r="C148" s="13">
        <v>25391680341</v>
      </c>
      <c r="D148" s="13">
        <v>25550921938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5309272</v>
      </c>
      <c r="K148" s="13">
        <v>5176</v>
      </c>
      <c r="L148" s="13">
        <v>25391680341</v>
      </c>
      <c r="M148" s="13">
        <v>27268365351</v>
      </c>
      <c r="N148" s="14">
        <v>6.3290700888323859E-3</v>
      </c>
    </row>
    <row r="149" spans="1:14" x14ac:dyDescent="0.45">
      <c r="A149" s="13" t="s">
        <v>169</v>
      </c>
      <c r="B149" s="13">
        <v>241083</v>
      </c>
      <c r="C149" s="13">
        <v>1966102194</v>
      </c>
      <c r="D149" s="13">
        <v>2545294718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241083</v>
      </c>
      <c r="K149" s="13">
        <v>11360</v>
      </c>
      <c r="L149" s="13">
        <v>1966102194</v>
      </c>
      <c r="M149" s="13">
        <v>2717532707</v>
      </c>
      <c r="N149" s="14">
        <v>6.3074756223576334E-4</v>
      </c>
    </row>
    <row r="150" spans="1:14" x14ac:dyDescent="0.45">
      <c r="A150" s="13" t="s">
        <v>214</v>
      </c>
      <c r="B150" s="13">
        <v>5849737</v>
      </c>
      <c r="C150" s="13">
        <v>21810287212</v>
      </c>
      <c r="D150" s="13">
        <v>18319060490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5849737</v>
      </c>
      <c r="K150" s="13">
        <v>3326</v>
      </c>
      <c r="L150" s="13">
        <v>21810287212</v>
      </c>
      <c r="M150" s="13">
        <v>19305828641</v>
      </c>
      <c r="N150" s="14">
        <v>4.4809412305822638E-3</v>
      </c>
    </row>
    <row r="151" spans="1:14" x14ac:dyDescent="0.45">
      <c r="A151" s="13" t="s">
        <v>249</v>
      </c>
      <c r="B151" s="13">
        <v>10684873</v>
      </c>
      <c r="C151" s="13">
        <v>20039466760</v>
      </c>
      <c r="D151" s="13">
        <v>25519685389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10684873</v>
      </c>
      <c r="K151" s="13">
        <v>2553</v>
      </c>
      <c r="L151" s="13">
        <v>20039466760</v>
      </c>
      <c r="M151" s="13">
        <v>27067618113</v>
      </c>
      <c r="N151" s="14">
        <v>6.282476047602301E-3</v>
      </c>
    </row>
    <row r="152" spans="1:14" x14ac:dyDescent="0.45">
      <c r="A152" s="13" t="s">
        <v>217</v>
      </c>
      <c r="B152" s="13">
        <v>14665640</v>
      </c>
      <c r="C152" s="13">
        <v>58088272889</v>
      </c>
      <c r="D152" s="13">
        <v>51544156643</v>
      </c>
      <c r="E152" s="13">
        <v>0</v>
      </c>
      <c r="F152" s="13">
        <v>0</v>
      </c>
      <c r="G152" s="13">
        <v>0</v>
      </c>
      <c r="H152" s="13">
        <v>400000</v>
      </c>
      <c r="I152" s="13">
        <v>1497533890</v>
      </c>
      <c r="J152" s="13">
        <v>14265640</v>
      </c>
      <c r="K152" s="13">
        <v>3773</v>
      </c>
      <c r="L152" s="13">
        <v>56503936361</v>
      </c>
      <c r="M152" s="13">
        <v>53408198192</v>
      </c>
      <c r="N152" s="14">
        <v>1.2396204368114897E-2</v>
      </c>
    </row>
    <row r="153" spans="1:14" x14ac:dyDescent="0.45">
      <c r="A153" s="13" t="s">
        <v>144</v>
      </c>
      <c r="B153" s="13">
        <v>21893355</v>
      </c>
      <c r="C153" s="13">
        <v>31647249596</v>
      </c>
      <c r="D153" s="13">
        <v>26612046223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21893355</v>
      </c>
      <c r="K153" s="13">
        <v>1278</v>
      </c>
      <c r="L153" s="13">
        <v>31647249596</v>
      </c>
      <c r="M153" s="13">
        <v>27763424550</v>
      </c>
      <c r="N153" s="14">
        <v>6.4439748265480747E-3</v>
      </c>
    </row>
    <row r="154" spans="1:14" x14ac:dyDescent="0.45">
      <c r="A154" s="13" t="s">
        <v>298</v>
      </c>
      <c r="B154" s="13">
        <v>3340260</v>
      </c>
      <c r="C154" s="13">
        <v>27629910504</v>
      </c>
      <c r="D154" s="13">
        <v>24858298426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3340260</v>
      </c>
      <c r="K154" s="13">
        <v>7560</v>
      </c>
      <c r="L154" s="13">
        <v>27629910504</v>
      </c>
      <c r="M154" s="13">
        <v>25057164814</v>
      </c>
      <c r="N154" s="14">
        <v>5.8158437549838274E-3</v>
      </c>
    </row>
    <row r="155" spans="1:14" x14ac:dyDescent="0.45">
      <c r="A155" s="13" t="s">
        <v>239</v>
      </c>
      <c r="B155" s="13">
        <v>862852</v>
      </c>
      <c r="C155" s="13">
        <v>7777212626</v>
      </c>
      <c r="D155" s="13">
        <v>11130368003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862852</v>
      </c>
      <c r="K155" s="13">
        <v>13840</v>
      </c>
      <c r="L155" s="13">
        <v>7777212626</v>
      </c>
      <c r="M155" s="13">
        <v>11849561012</v>
      </c>
      <c r="N155" s="14">
        <v>2.7503189575715913E-3</v>
      </c>
    </row>
    <row r="156" spans="1:14" x14ac:dyDescent="0.45">
      <c r="A156" s="13" t="s">
        <v>126</v>
      </c>
      <c r="B156" s="13">
        <v>3484284</v>
      </c>
      <c r="C156" s="13">
        <v>27100051986</v>
      </c>
      <c r="D156" s="13">
        <v>27797097897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3484284</v>
      </c>
      <c r="K156" s="13">
        <v>7800</v>
      </c>
      <c r="L156" s="13">
        <v>27100051986</v>
      </c>
      <c r="M156" s="13">
        <v>26967333781</v>
      </c>
      <c r="N156" s="14">
        <v>6.2591997507700651E-3</v>
      </c>
    </row>
    <row r="157" spans="1:14" x14ac:dyDescent="0.45">
      <c r="A157" s="13" t="s">
        <v>132</v>
      </c>
      <c r="B157" s="13">
        <v>881085</v>
      </c>
      <c r="C157" s="13">
        <v>4430853957</v>
      </c>
      <c r="D157" s="13">
        <v>4196516222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881085</v>
      </c>
      <c r="K157" s="13">
        <v>4974</v>
      </c>
      <c r="L157" s="13">
        <v>4430853957</v>
      </c>
      <c r="M157" s="13">
        <v>4348639935</v>
      </c>
      <c r="N157" s="14">
        <v>1.0093324841967902E-3</v>
      </c>
    </row>
    <row r="158" spans="1:14" x14ac:dyDescent="0.45">
      <c r="A158" s="13" t="s">
        <v>299</v>
      </c>
      <c r="B158" s="13">
        <v>1321627</v>
      </c>
      <c r="C158" s="13">
        <v>5324651420</v>
      </c>
      <c r="D158" s="13">
        <v>4983361129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1321627</v>
      </c>
      <c r="K158" s="13">
        <v>3974</v>
      </c>
      <c r="L158" s="13">
        <v>5324651420</v>
      </c>
      <c r="M158" s="13">
        <v>5211546612</v>
      </c>
      <c r="N158" s="14">
        <v>1.2096157343496701E-3</v>
      </c>
    </row>
    <row r="159" spans="1:14" x14ac:dyDescent="0.45">
      <c r="A159" s="13" t="s">
        <v>244</v>
      </c>
      <c r="B159" s="13">
        <v>4568835</v>
      </c>
      <c r="C159" s="13">
        <v>29586333386</v>
      </c>
      <c r="D159" s="13">
        <v>28153146193</v>
      </c>
      <c r="E159" s="13">
        <v>0</v>
      </c>
      <c r="F159" s="13">
        <v>600000</v>
      </c>
      <c r="G159" s="13">
        <v>3591542432</v>
      </c>
      <c r="H159" s="13">
        <v>0</v>
      </c>
      <c r="I159" s="13">
        <v>0</v>
      </c>
      <c r="J159" s="13">
        <v>5168835</v>
      </c>
      <c r="K159" s="13">
        <v>5970</v>
      </c>
      <c r="L159" s="13">
        <v>33177875818</v>
      </c>
      <c r="M159" s="13">
        <v>30619413036</v>
      </c>
      <c r="N159" s="14">
        <v>7.1068583939390851E-3</v>
      </c>
    </row>
    <row r="160" spans="1:14" x14ac:dyDescent="0.45">
      <c r="A160" s="13" t="s">
        <v>203</v>
      </c>
      <c r="B160" s="13">
        <v>1764830</v>
      </c>
      <c r="C160" s="13">
        <v>16756051992</v>
      </c>
      <c r="D160" s="13">
        <v>18965364568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1764830</v>
      </c>
      <c r="K160" s="13">
        <v>14200</v>
      </c>
      <c r="L160" s="13">
        <v>16756051992</v>
      </c>
      <c r="M160" s="13">
        <v>24866867670</v>
      </c>
      <c r="N160" s="14">
        <v>5.7716752121842324E-3</v>
      </c>
    </row>
    <row r="161" spans="1:14" x14ac:dyDescent="0.45">
      <c r="A161" s="13" t="s">
        <v>114</v>
      </c>
      <c r="B161" s="13">
        <v>3600000</v>
      </c>
      <c r="C161" s="13">
        <v>19417906724</v>
      </c>
      <c r="D161" s="13">
        <v>22647570480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3600000</v>
      </c>
      <c r="K161" s="13">
        <v>6730</v>
      </c>
      <c r="L161" s="13">
        <v>19417906724</v>
      </c>
      <c r="M161" s="13">
        <v>24040717560</v>
      </c>
      <c r="N161" s="14">
        <v>5.5799232724261403E-3</v>
      </c>
    </row>
    <row r="162" spans="1:14" x14ac:dyDescent="0.45">
      <c r="A162" s="13" t="s">
        <v>254</v>
      </c>
      <c r="B162" s="13">
        <v>6741110</v>
      </c>
      <c r="C162" s="13">
        <v>29833055813</v>
      </c>
      <c r="D162" s="13">
        <v>36388166635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6741110</v>
      </c>
      <c r="K162" s="13">
        <v>5660</v>
      </c>
      <c r="L162" s="13">
        <v>29833055813</v>
      </c>
      <c r="M162" s="13">
        <v>37859746904</v>
      </c>
      <c r="N162" s="14">
        <v>8.7873617877898789E-3</v>
      </c>
    </row>
    <row r="163" spans="1:14" x14ac:dyDescent="0.45">
      <c r="A163" s="13" t="s">
        <v>116</v>
      </c>
      <c r="B163" s="13">
        <v>2141672</v>
      </c>
      <c r="C163" s="13">
        <v>4306799190</v>
      </c>
      <c r="D163" s="13">
        <v>11326872946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2141672</v>
      </c>
      <c r="K163" s="13">
        <v>5640</v>
      </c>
      <c r="L163" s="13">
        <v>4306799190</v>
      </c>
      <c r="M163" s="13">
        <v>11985659177</v>
      </c>
      <c r="N163" s="14">
        <v>2.7819077533853048E-3</v>
      </c>
    </row>
    <row r="164" spans="1:14" x14ac:dyDescent="0.45">
      <c r="A164" s="13" t="s">
        <v>268</v>
      </c>
      <c r="B164" s="13">
        <v>12516623</v>
      </c>
      <c r="C164" s="13">
        <v>13725153662</v>
      </c>
      <c r="D164" s="13">
        <v>13773635280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12516623</v>
      </c>
      <c r="K164" s="13">
        <v>1109</v>
      </c>
      <c r="L164" s="13">
        <v>13725153662</v>
      </c>
      <c r="M164" s="13">
        <v>13773635280</v>
      </c>
      <c r="N164" s="14">
        <v>3.1969024157855355E-3</v>
      </c>
    </row>
    <row r="165" spans="1:14" x14ac:dyDescent="0.45">
      <c r="A165" s="13" t="s">
        <v>151</v>
      </c>
      <c r="B165" s="13">
        <v>2451893</v>
      </c>
      <c r="C165" s="13">
        <v>14817650768</v>
      </c>
      <c r="D165" s="13">
        <v>13989404236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2451893</v>
      </c>
      <c r="K165" s="13">
        <v>4025</v>
      </c>
      <c r="L165" s="13">
        <v>14817650768</v>
      </c>
      <c r="M165" s="13">
        <v>9792582965</v>
      </c>
      <c r="N165" s="14">
        <v>2.2728881301980271E-3</v>
      </c>
    </row>
    <row r="166" spans="1:14" x14ac:dyDescent="0.45">
      <c r="A166" s="13" t="s">
        <v>150</v>
      </c>
      <c r="B166" s="13">
        <v>3667933</v>
      </c>
      <c r="C166" s="13">
        <v>16912333411</v>
      </c>
      <c r="D166" s="13">
        <v>22601791042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3667933</v>
      </c>
      <c r="K166" s="13">
        <v>5530</v>
      </c>
      <c r="L166" s="13">
        <v>16912333411</v>
      </c>
      <c r="M166" s="13">
        <v>20126876725</v>
      </c>
      <c r="N166" s="14">
        <v>4.6715089746713666E-3</v>
      </c>
    </row>
    <row r="167" spans="1:14" x14ac:dyDescent="0.45">
      <c r="A167" s="13" t="s">
        <v>259</v>
      </c>
      <c r="B167" s="13">
        <v>802500</v>
      </c>
      <c r="C167" s="13">
        <v>7375699925</v>
      </c>
      <c r="D167" s="13">
        <v>10046875148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802500</v>
      </c>
      <c r="K167" s="13">
        <v>12617</v>
      </c>
      <c r="L167" s="13">
        <v>7375699925</v>
      </c>
      <c r="M167" s="13">
        <v>10046875148</v>
      </c>
      <c r="N167" s="14">
        <v>2.3319101151440436E-3</v>
      </c>
    </row>
    <row r="168" spans="1:14" x14ac:dyDescent="0.45">
      <c r="A168" s="13" t="s">
        <v>300</v>
      </c>
      <c r="B168" s="13">
        <v>5118151</v>
      </c>
      <c r="C168" s="13">
        <v>18613367797</v>
      </c>
      <c r="D168" s="13">
        <v>20040107036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5118151</v>
      </c>
      <c r="K168" s="13">
        <v>3946</v>
      </c>
      <c r="L168" s="13">
        <v>18613367797</v>
      </c>
      <c r="M168" s="13">
        <v>20040107036</v>
      </c>
      <c r="N168" s="14">
        <v>4.6513694673632382E-3</v>
      </c>
    </row>
    <row r="169" spans="1:14" x14ac:dyDescent="0.45">
      <c r="A169" s="13" t="s">
        <v>162</v>
      </c>
      <c r="B169" s="13">
        <v>1256499</v>
      </c>
      <c r="C169" s="13">
        <v>8314819804</v>
      </c>
      <c r="D169" s="13">
        <v>7630331928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1256499</v>
      </c>
      <c r="K169" s="13">
        <v>6150</v>
      </c>
      <c r="L169" s="13">
        <v>8314819804</v>
      </c>
      <c r="M169" s="13">
        <v>7667735516</v>
      </c>
      <c r="N169" s="14">
        <v>1.7797046093052167E-3</v>
      </c>
    </row>
    <row r="170" spans="1:14" x14ac:dyDescent="0.45">
      <c r="A170" s="13" t="s">
        <v>257</v>
      </c>
      <c r="B170" s="13">
        <v>700000</v>
      </c>
      <c r="C170" s="13">
        <v>9143294580</v>
      </c>
      <c r="D170" s="13">
        <v>12044173260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700000</v>
      </c>
      <c r="K170" s="13">
        <v>17320</v>
      </c>
      <c r="L170" s="13">
        <v>9143294580</v>
      </c>
      <c r="M170" s="13">
        <v>12030281480</v>
      </c>
      <c r="N170" s="14">
        <v>2.7922647249007154E-3</v>
      </c>
    </row>
    <row r="171" spans="1:14" x14ac:dyDescent="0.45">
      <c r="A171" s="13" t="s">
        <v>206</v>
      </c>
      <c r="B171" s="13">
        <v>7979362</v>
      </c>
      <c r="C171" s="13">
        <v>38034069803</v>
      </c>
      <c r="D171" s="13">
        <v>26247114278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7979362</v>
      </c>
      <c r="K171" s="13">
        <v>3342</v>
      </c>
      <c r="L171" s="13">
        <v>38034069803</v>
      </c>
      <c r="M171" s="13">
        <v>26460891679</v>
      </c>
      <c r="N171" s="14">
        <v>6.1416530068331004E-3</v>
      </c>
    </row>
    <row r="172" spans="1:14" x14ac:dyDescent="0.45">
      <c r="A172" s="13" t="s">
        <v>240</v>
      </c>
      <c r="B172" s="13">
        <v>1293618</v>
      </c>
      <c r="C172" s="13">
        <v>9058195859</v>
      </c>
      <c r="D172" s="13">
        <v>17585571160</v>
      </c>
      <c r="E172" s="13">
        <v>0</v>
      </c>
      <c r="F172" s="13">
        <v>0</v>
      </c>
      <c r="G172" s="13">
        <v>0</v>
      </c>
      <c r="H172" s="13">
        <v>400000</v>
      </c>
      <c r="I172" s="13">
        <v>5596402840</v>
      </c>
      <c r="J172" s="13">
        <v>893618</v>
      </c>
      <c r="K172" s="13">
        <v>14230</v>
      </c>
      <c r="L172" s="13">
        <v>6257308469</v>
      </c>
      <c r="M172" s="13">
        <v>12617888037</v>
      </c>
      <c r="N172" s="14">
        <v>2.9286499843777414E-3</v>
      </c>
    </row>
    <row r="173" spans="1:14" x14ac:dyDescent="0.45">
      <c r="A173" s="13" t="s">
        <v>301</v>
      </c>
      <c r="B173" s="13">
        <v>8154486</v>
      </c>
      <c r="C173" s="13">
        <v>41564406435</v>
      </c>
      <c r="D173" s="13">
        <v>39971772007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8154486</v>
      </c>
      <c r="K173" s="13">
        <v>4940</v>
      </c>
      <c r="L173" s="13">
        <v>41564406435</v>
      </c>
      <c r="M173" s="13">
        <v>39971772007</v>
      </c>
      <c r="N173" s="14">
        <v>9.277569203386583E-3</v>
      </c>
    </row>
    <row r="174" spans="1:14" x14ac:dyDescent="0.45">
      <c r="A174" s="13" t="s">
        <v>141</v>
      </c>
      <c r="B174" s="13">
        <v>2470314</v>
      </c>
      <c r="C174" s="13">
        <v>12048248970</v>
      </c>
      <c r="D174" s="13">
        <v>19364625935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2470314</v>
      </c>
      <c r="K174" s="13">
        <v>8660</v>
      </c>
      <c r="L174" s="13">
        <v>12048248970</v>
      </c>
      <c r="M174" s="13">
        <v>21227551974</v>
      </c>
      <c r="N174" s="14">
        <v>4.9269790296707795E-3</v>
      </c>
    </row>
    <row r="175" spans="1:14" x14ac:dyDescent="0.45">
      <c r="A175" s="13" t="s">
        <v>122</v>
      </c>
      <c r="B175" s="13">
        <v>1483336</v>
      </c>
      <c r="C175" s="13">
        <v>3088990714</v>
      </c>
      <c r="D175" s="13">
        <v>4854226642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1483336</v>
      </c>
      <c r="K175" s="13">
        <v>3120</v>
      </c>
      <c r="L175" s="13">
        <v>3088990714</v>
      </c>
      <c r="M175" s="13">
        <v>4592233816</v>
      </c>
      <c r="N175" s="14">
        <v>1.06587136088465E-3</v>
      </c>
    </row>
    <row r="176" spans="1:14" x14ac:dyDescent="0.45">
      <c r="A176" s="13" t="s">
        <v>302</v>
      </c>
      <c r="B176" s="13">
        <v>1086071</v>
      </c>
      <c r="C176" s="13">
        <v>14201676419</v>
      </c>
      <c r="D176" s="13">
        <v>20411177212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1086071</v>
      </c>
      <c r="K176" s="13">
        <v>20070</v>
      </c>
      <c r="L176" s="13">
        <v>14201676419</v>
      </c>
      <c r="M176" s="13">
        <v>21628950720</v>
      </c>
      <c r="N176" s="14">
        <v>5.0201448929083521E-3</v>
      </c>
    </row>
    <row r="177" spans="1:14" x14ac:dyDescent="0.45">
      <c r="A177" s="13" t="s">
        <v>266</v>
      </c>
      <c r="B177" s="13">
        <v>12640871</v>
      </c>
      <c r="C177" s="13">
        <v>25390508864</v>
      </c>
      <c r="D177" s="13">
        <v>17736024093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12640871</v>
      </c>
      <c r="K177" s="13">
        <v>1414</v>
      </c>
      <c r="L177" s="13">
        <v>25390508864</v>
      </c>
      <c r="M177" s="13">
        <v>17736024093</v>
      </c>
      <c r="N177" s="14">
        <v>4.1165848460989708E-3</v>
      </c>
    </row>
    <row r="178" spans="1:14" x14ac:dyDescent="0.45">
      <c r="A178" s="13" t="s">
        <v>149</v>
      </c>
      <c r="B178" s="13">
        <v>15001572</v>
      </c>
      <c r="C178" s="13">
        <v>31538227521</v>
      </c>
      <c r="D178" s="13">
        <v>29205566523</v>
      </c>
      <c r="E178" s="13">
        <v>0</v>
      </c>
      <c r="F178" s="13">
        <v>0</v>
      </c>
      <c r="G178" s="13">
        <v>0</v>
      </c>
      <c r="H178" s="13">
        <v>1420608</v>
      </c>
      <c r="I178" s="13">
        <v>2800465644</v>
      </c>
      <c r="J178" s="13">
        <v>13580964</v>
      </c>
      <c r="K178" s="13">
        <v>1998</v>
      </c>
      <c r="L178" s="13">
        <v>28551643294</v>
      </c>
      <c r="M178" s="13">
        <v>26925014330</v>
      </c>
      <c r="N178" s="14">
        <v>6.2493772781703249E-3</v>
      </c>
    </row>
    <row r="179" spans="1:14" x14ac:dyDescent="0.45">
      <c r="A179" s="13" t="s">
        <v>171</v>
      </c>
      <c r="B179" s="13">
        <v>1145414</v>
      </c>
      <c r="C179" s="13">
        <v>14519339942</v>
      </c>
      <c r="D179" s="13">
        <v>14218364972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1145414</v>
      </c>
      <c r="K179" s="13">
        <v>12470</v>
      </c>
      <c r="L179" s="13">
        <v>14519339942</v>
      </c>
      <c r="M179" s="13">
        <v>14172902574</v>
      </c>
      <c r="N179" s="14">
        <v>3.2895735625659483E-3</v>
      </c>
    </row>
    <row r="180" spans="1:14" x14ac:dyDescent="0.45">
      <c r="A180" s="13" t="s">
        <v>166</v>
      </c>
      <c r="B180" s="13">
        <v>594875</v>
      </c>
      <c r="C180" s="13">
        <v>36899261714</v>
      </c>
      <c r="D180" s="13">
        <v>30104107429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594875</v>
      </c>
      <c r="K180" s="13">
        <v>52790</v>
      </c>
      <c r="L180" s="13">
        <v>36899261714</v>
      </c>
      <c r="M180" s="13">
        <v>31160702572</v>
      </c>
      <c r="N180" s="14">
        <v>7.2324933327261257E-3</v>
      </c>
    </row>
    <row r="181" spans="1:14" x14ac:dyDescent="0.45">
      <c r="A181" s="13" t="s">
        <v>90</v>
      </c>
      <c r="B181" s="13">
        <v>795841</v>
      </c>
      <c r="C181" s="13">
        <v>15363300834</v>
      </c>
      <c r="D181" s="13">
        <v>14530280343</v>
      </c>
      <c r="E181" s="13">
        <v>0</v>
      </c>
      <c r="F181" s="13">
        <v>0</v>
      </c>
      <c r="G181" s="13">
        <v>0</v>
      </c>
      <c r="H181" s="13">
        <v>289906</v>
      </c>
      <c r="I181" s="13">
        <v>5155809959</v>
      </c>
      <c r="J181" s="13">
        <v>505935</v>
      </c>
      <c r="K181" s="13">
        <v>18280</v>
      </c>
      <c r="L181" s="13">
        <v>9766814737</v>
      </c>
      <c r="M181" s="13">
        <v>9177000958</v>
      </c>
      <c r="N181" s="14">
        <v>2.1300096841460996E-3</v>
      </c>
    </row>
    <row r="182" spans="1:14" x14ac:dyDescent="0.45">
      <c r="A182" s="13" t="s">
        <v>265</v>
      </c>
      <c r="B182" s="13">
        <v>2357608</v>
      </c>
      <c r="C182" s="13">
        <v>19397371500</v>
      </c>
      <c r="D182" s="13">
        <v>21454487822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2357608</v>
      </c>
      <c r="K182" s="13">
        <v>9171</v>
      </c>
      <c r="L182" s="13">
        <v>19397371500</v>
      </c>
      <c r="M182" s="13">
        <v>21454487822</v>
      </c>
      <c r="N182" s="14">
        <v>4.9796515265063089E-3</v>
      </c>
    </row>
    <row r="183" spans="1:14" x14ac:dyDescent="0.45">
      <c r="A183" s="13" t="s">
        <v>189</v>
      </c>
      <c r="B183" s="13">
        <v>10190676</v>
      </c>
      <c r="C183" s="13">
        <v>35726047499</v>
      </c>
      <c r="D183" s="13">
        <v>31458127354</v>
      </c>
      <c r="E183" s="13">
        <v>3396891</v>
      </c>
      <c r="F183" s="13">
        <v>0</v>
      </c>
      <c r="G183" s="13">
        <v>0</v>
      </c>
      <c r="H183" s="13">
        <v>0</v>
      </c>
      <c r="I183" s="13">
        <v>0</v>
      </c>
      <c r="J183" s="13">
        <v>13587567</v>
      </c>
      <c r="K183" s="13">
        <v>2333</v>
      </c>
      <c r="L183" s="13">
        <v>35726047499</v>
      </c>
      <c r="M183" s="13">
        <v>31454754405</v>
      </c>
      <c r="N183" s="14">
        <v>7.3007436527160029E-3</v>
      </c>
    </row>
    <row r="184" spans="1:14" x14ac:dyDescent="0.45">
      <c r="A184" s="13" t="s">
        <v>234</v>
      </c>
      <c r="B184" s="13">
        <v>1842980</v>
      </c>
      <c r="C184" s="13">
        <v>33172875317</v>
      </c>
      <c r="D184" s="13">
        <v>27906477248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1842980</v>
      </c>
      <c r="K184" s="13">
        <v>15580</v>
      </c>
      <c r="L184" s="13">
        <v>33172875317</v>
      </c>
      <c r="M184" s="13">
        <v>28491672052</v>
      </c>
      <c r="N184" s="14">
        <v>6.6130032748194E-3</v>
      </c>
    </row>
    <row r="185" spans="1:14" x14ac:dyDescent="0.45">
      <c r="A185" s="13" t="s">
        <v>211</v>
      </c>
      <c r="B185" s="13">
        <v>3052977</v>
      </c>
      <c r="C185" s="13">
        <v>9377372255</v>
      </c>
      <c r="D185" s="13">
        <v>18630671550</v>
      </c>
      <c r="E185" s="13">
        <v>581910</v>
      </c>
      <c r="F185" s="13">
        <v>0</v>
      </c>
      <c r="G185" s="13">
        <v>0</v>
      </c>
      <c r="H185" s="13">
        <v>2400000</v>
      </c>
      <c r="I185" s="13">
        <v>11915241864</v>
      </c>
      <c r="J185" s="13">
        <v>1234887</v>
      </c>
      <c r="K185" s="13">
        <v>5180</v>
      </c>
      <c r="L185" s="13">
        <v>3185792321</v>
      </c>
      <c r="M185" s="13">
        <v>6347268056</v>
      </c>
      <c r="N185" s="14">
        <v>1.4732201172285404E-3</v>
      </c>
    </row>
    <row r="186" spans="1:14" x14ac:dyDescent="0.45">
      <c r="A186" s="13" t="s">
        <v>80</v>
      </c>
      <c r="B186" s="13">
        <v>4665617</v>
      </c>
      <c r="C186" s="13">
        <v>14386160455</v>
      </c>
      <c r="D186" s="13">
        <v>32129089357</v>
      </c>
      <c r="E186" s="13">
        <v>0</v>
      </c>
      <c r="F186" s="13">
        <v>0</v>
      </c>
      <c r="G186" s="13">
        <v>0</v>
      </c>
      <c r="H186" s="13">
        <v>1000000</v>
      </c>
      <c r="I186" s="13">
        <v>6677977201</v>
      </c>
      <c r="J186" s="13">
        <v>3665617</v>
      </c>
      <c r="K186" s="13">
        <v>6940</v>
      </c>
      <c r="L186" s="13">
        <v>11302718232</v>
      </c>
      <c r="M186" s="13">
        <v>25242735557</v>
      </c>
      <c r="N186" s="14">
        <v>5.8589152858132551E-3</v>
      </c>
    </row>
    <row r="187" spans="1:14" x14ac:dyDescent="0.45">
      <c r="A187" s="13" t="s">
        <v>232</v>
      </c>
      <c r="B187" s="13">
        <v>1726440</v>
      </c>
      <c r="C187" s="13">
        <v>30613372268</v>
      </c>
      <c r="D187" s="13">
        <v>34655904138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1726440</v>
      </c>
      <c r="K187" s="13">
        <v>21050</v>
      </c>
      <c r="L187" s="13">
        <v>30613372268</v>
      </c>
      <c r="M187" s="13">
        <v>36060641726</v>
      </c>
      <c r="N187" s="14">
        <v>8.3697840334150397E-3</v>
      </c>
    </row>
    <row r="188" spans="1:14" x14ac:dyDescent="0.45">
      <c r="A188" s="13" t="s">
        <v>124</v>
      </c>
      <c r="B188" s="13">
        <v>835048</v>
      </c>
      <c r="C188" s="13">
        <v>15698688691</v>
      </c>
      <c r="D188" s="13">
        <v>21460560745</v>
      </c>
      <c r="E188" s="13">
        <v>0</v>
      </c>
      <c r="F188" s="13">
        <v>0</v>
      </c>
      <c r="G188" s="13">
        <v>0</v>
      </c>
      <c r="H188" s="13">
        <v>200000</v>
      </c>
      <c r="I188" s="13">
        <v>4985164492</v>
      </c>
      <c r="J188" s="13">
        <v>635048</v>
      </c>
      <c r="K188" s="13">
        <v>25890</v>
      </c>
      <c r="L188" s="13">
        <v>11938739876</v>
      </c>
      <c r="M188" s="13">
        <v>16314300754</v>
      </c>
      <c r="N188" s="14">
        <v>3.7865985581922845E-3</v>
      </c>
    </row>
    <row r="189" spans="1:14" x14ac:dyDescent="0.45">
      <c r="A189" s="13" t="s">
        <v>248</v>
      </c>
      <c r="B189" s="13">
        <v>3490646</v>
      </c>
      <c r="C189" s="13">
        <v>25343143786</v>
      </c>
      <c r="D189" s="13">
        <v>27709306451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3490646</v>
      </c>
      <c r="K189" s="13">
        <v>8240</v>
      </c>
      <c r="L189" s="13">
        <v>25343143786</v>
      </c>
      <c r="M189" s="13">
        <v>28540585645</v>
      </c>
      <c r="N189" s="14">
        <v>6.6243562677256018E-3</v>
      </c>
    </row>
    <row r="190" spans="1:14" x14ac:dyDescent="0.45">
      <c r="A190" s="13" t="s">
        <v>303</v>
      </c>
      <c r="B190" s="13">
        <v>275726</v>
      </c>
      <c r="C190" s="13">
        <v>7715656489</v>
      </c>
      <c r="D190" s="13">
        <v>6374755066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275726</v>
      </c>
      <c r="K190" s="13">
        <v>15145</v>
      </c>
      <c r="L190" s="13">
        <v>7715656489</v>
      </c>
      <c r="M190" s="13">
        <v>4143590793</v>
      </c>
      <c r="N190" s="14">
        <v>9.6173995803440515E-4</v>
      </c>
    </row>
    <row r="191" spans="1:14" x14ac:dyDescent="0.45">
      <c r="A191" s="13" t="s">
        <v>304</v>
      </c>
      <c r="B191" s="13">
        <v>487887</v>
      </c>
      <c r="C191" s="13">
        <v>9859579712</v>
      </c>
      <c r="D191" s="13">
        <v>13075963261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487887</v>
      </c>
      <c r="K191" s="13">
        <v>21608</v>
      </c>
      <c r="L191" s="13">
        <v>9859579712</v>
      </c>
      <c r="M191" s="13">
        <v>10460770608</v>
      </c>
      <c r="N191" s="14">
        <v>2.4279765035054367E-3</v>
      </c>
    </row>
    <row r="192" spans="1:14" x14ac:dyDescent="0.45">
      <c r="A192" s="13" t="s">
        <v>305</v>
      </c>
      <c r="B192" s="13">
        <v>1667558</v>
      </c>
      <c r="C192" s="13">
        <v>14118247862</v>
      </c>
      <c r="D192" s="13">
        <v>11781234570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1667558</v>
      </c>
      <c r="K192" s="13">
        <v>7120</v>
      </c>
      <c r="L192" s="13">
        <v>14118247862</v>
      </c>
      <c r="M192" s="13">
        <v>11781234570</v>
      </c>
      <c r="N192" s="14">
        <v>2.7344601836857309E-3</v>
      </c>
    </row>
    <row r="193" spans="1:14" x14ac:dyDescent="0.45">
      <c r="A193" s="13" t="s">
        <v>158</v>
      </c>
      <c r="B193" s="13">
        <v>5116431</v>
      </c>
      <c r="C193" s="13">
        <v>37383815268</v>
      </c>
      <c r="D193" s="13">
        <v>23607496596</v>
      </c>
      <c r="E193" s="13">
        <v>0</v>
      </c>
      <c r="F193" s="13">
        <v>0</v>
      </c>
      <c r="G193" s="13">
        <v>0</v>
      </c>
      <c r="H193" s="13">
        <v>600000</v>
      </c>
      <c r="I193" s="13">
        <v>2783317368</v>
      </c>
      <c r="J193" s="13">
        <v>4516431</v>
      </c>
      <c r="K193" s="13">
        <v>4675</v>
      </c>
      <c r="L193" s="13">
        <v>32999843480</v>
      </c>
      <c r="M193" s="13">
        <v>20951101271</v>
      </c>
      <c r="N193" s="14">
        <v>4.8628139851999404E-3</v>
      </c>
    </row>
    <row r="194" spans="1:14" x14ac:dyDescent="0.45">
      <c r="A194" s="13" t="s">
        <v>93</v>
      </c>
      <c r="B194" s="13">
        <v>828772</v>
      </c>
      <c r="C194" s="13">
        <v>16660714616</v>
      </c>
      <c r="D194" s="13">
        <v>12730219371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828772</v>
      </c>
      <c r="K194" s="13">
        <v>15640</v>
      </c>
      <c r="L194" s="13">
        <v>16660714616</v>
      </c>
      <c r="M194" s="13">
        <v>12861797866</v>
      </c>
      <c r="N194" s="14">
        <v>2.985262193552191E-3</v>
      </c>
    </row>
    <row r="195" spans="1:14" x14ac:dyDescent="0.45">
      <c r="A195" s="13" t="s">
        <v>271</v>
      </c>
      <c r="B195" s="13">
        <v>6856686</v>
      </c>
      <c r="C195" s="13">
        <v>14222585282</v>
      </c>
      <c r="D195" s="13">
        <v>14593901788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6856686</v>
      </c>
      <c r="K195" s="13">
        <v>2145</v>
      </c>
      <c r="L195" s="13">
        <v>14222585282</v>
      </c>
      <c r="M195" s="13">
        <v>14593901788</v>
      </c>
      <c r="N195" s="14">
        <v>3.3872887537206549E-3</v>
      </c>
    </row>
    <row r="196" spans="1:14" x14ac:dyDescent="0.45">
      <c r="A196" s="13" t="s">
        <v>216</v>
      </c>
      <c r="B196" s="13">
        <v>2723567</v>
      </c>
      <c r="C196" s="13">
        <v>19009668439</v>
      </c>
      <c r="D196" s="13">
        <v>22268713935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2723567</v>
      </c>
      <c r="K196" s="13">
        <v>8240</v>
      </c>
      <c r="L196" s="13">
        <v>19009668439</v>
      </c>
      <c r="M196" s="13">
        <v>22268713935</v>
      </c>
      <c r="N196" s="14">
        <v>5.1686358704888342E-3</v>
      </c>
    </row>
    <row r="197" spans="1:14" x14ac:dyDescent="0.45">
      <c r="A197" s="13" t="s">
        <v>306</v>
      </c>
      <c r="B197" s="13">
        <v>3014987</v>
      </c>
      <c r="C197" s="13">
        <v>14987389690</v>
      </c>
      <c r="D197" s="13">
        <v>14796854970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3014987</v>
      </c>
      <c r="K197" s="13">
        <v>5067</v>
      </c>
      <c r="L197" s="13">
        <v>14987389690</v>
      </c>
      <c r="M197" s="13">
        <v>15158848390</v>
      </c>
      <c r="N197" s="14">
        <v>3.5184145690924434E-3</v>
      </c>
    </row>
    <row r="198" spans="1:14" x14ac:dyDescent="0.45">
      <c r="A198" s="13" t="s">
        <v>107</v>
      </c>
      <c r="B198" s="13">
        <v>4173330</v>
      </c>
      <c r="C198" s="13">
        <v>11616275685</v>
      </c>
      <c r="D198" s="13">
        <v>12899433546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4173330</v>
      </c>
      <c r="K198" s="13">
        <v>3213</v>
      </c>
      <c r="L198" s="13">
        <v>11616275685</v>
      </c>
      <c r="M198" s="13">
        <v>13305258421</v>
      </c>
      <c r="N198" s="14">
        <v>3.0881907299018982E-3</v>
      </c>
    </row>
    <row r="199" spans="1:14" x14ac:dyDescent="0.45">
      <c r="A199" s="13" t="s">
        <v>307</v>
      </c>
      <c r="B199" s="13">
        <v>2586957</v>
      </c>
      <c r="C199" s="13">
        <v>14869302601</v>
      </c>
      <c r="D199" s="13">
        <v>17018943622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2586957</v>
      </c>
      <c r="K199" s="13">
        <v>6820</v>
      </c>
      <c r="L199" s="13">
        <v>14869302601</v>
      </c>
      <c r="M199" s="13">
        <v>17506665989</v>
      </c>
      <c r="N199" s="14">
        <v>4.0633501363181567E-3</v>
      </c>
    </row>
    <row r="200" spans="1:14" x14ac:dyDescent="0.45">
      <c r="A200" s="13" t="s">
        <v>121</v>
      </c>
      <c r="B200" s="13">
        <v>7969322</v>
      </c>
      <c r="C200" s="13">
        <v>26169954207</v>
      </c>
      <c r="D200" s="13">
        <v>19848375044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7969322</v>
      </c>
      <c r="K200" s="13">
        <v>2520</v>
      </c>
      <c r="L200" s="13">
        <v>26169954207</v>
      </c>
      <c r="M200" s="13">
        <v>19927452235</v>
      </c>
      <c r="N200" s="14">
        <v>4.6252219472535912E-3</v>
      </c>
    </row>
    <row r="201" spans="1:14" x14ac:dyDescent="0.45">
      <c r="A201" s="13" t="s">
        <v>255</v>
      </c>
      <c r="B201" s="13">
        <v>206895</v>
      </c>
      <c r="C201" s="13">
        <v>9467110869</v>
      </c>
      <c r="D201" s="13">
        <v>8076332903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206895</v>
      </c>
      <c r="K201" s="13">
        <v>32540</v>
      </c>
      <c r="L201" s="13">
        <v>9467110869</v>
      </c>
      <c r="M201" s="13">
        <v>6680322132</v>
      </c>
      <c r="N201" s="14">
        <v>1.55052297580631E-3</v>
      </c>
    </row>
    <row r="202" spans="1:14" x14ac:dyDescent="0.45">
      <c r="A202" s="13" t="s">
        <v>136</v>
      </c>
      <c r="B202" s="13">
        <v>21351892</v>
      </c>
      <c r="C202" s="13">
        <v>10573465274</v>
      </c>
      <c r="D202" s="13">
        <v>20720731354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21351892</v>
      </c>
      <c r="K202" s="13">
        <v>999</v>
      </c>
      <c r="L202" s="13">
        <v>10573465274</v>
      </c>
      <c r="M202" s="13">
        <v>21165655033</v>
      </c>
      <c r="N202" s="14">
        <v>4.9126125624172163E-3</v>
      </c>
    </row>
    <row r="203" spans="1:14" x14ac:dyDescent="0.45">
      <c r="A203" s="13" t="s">
        <v>308</v>
      </c>
      <c r="B203" s="13">
        <v>1032048</v>
      </c>
      <c r="C203" s="13">
        <v>24868059520</v>
      </c>
      <c r="D203" s="13">
        <v>26625826993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1032048</v>
      </c>
      <c r="K203" s="13">
        <v>26900</v>
      </c>
      <c r="L203" s="13">
        <v>24868059520</v>
      </c>
      <c r="M203" s="13">
        <v>27547490235</v>
      </c>
      <c r="N203" s="14">
        <v>6.3938558188031203E-3</v>
      </c>
    </row>
    <row r="204" spans="1:14" x14ac:dyDescent="0.45">
      <c r="A204" s="13" t="s">
        <v>89</v>
      </c>
      <c r="B204" s="13">
        <v>938593</v>
      </c>
      <c r="C204" s="13">
        <v>36753852071</v>
      </c>
      <c r="D204" s="13">
        <v>33304635298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938593</v>
      </c>
      <c r="K204" s="13">
        <v>37930</v>
      </c>
      <c r="L204" s="13">
        <v>36753852071</v>
      </c>
      <c r="M204" s="13">
        <v>35325638055</v>
      </c>
      <c r="N204" s="14">
        <v>8.1991874578803969E-3</v>
      </c>
    </row>
    <row r="205" spans="1:14" x14ac:dyDescent="0.45">
      <c r="A205" s="13" t="s">
        <v>309</v>
      </c>
      <c r="B205" s="13">
        <v>795993</v>
      </c>
      <c r="C205" s="13">
        <v>24623887954</v>
      </c>
      <c r="D205" s="13">
        <v>28299966272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795993</v>
      </c>
      <c r="K205" s="13">
        <v>37930</v>
      </c>
      <c r="L205" s="13">
        <v>24623887954</v>
      </c>
      <c r="M205" s="13">
        <v>29958630218</v>
      </c>
      <c r="N205" s="14">
        <v>6.9534887029148737E-3</v>
      </c>
    </row>
    <row r="206" spans="1:14" x14ac:dyDescent="0.45">
      <c r="A206" s="13" t="s">
        <v>86</v>
      </c>
      <c r="B206" s="13">
        <v>392921</v>
      </c>
      <c r="C206" s="13">
        <v>15618857021</v>
      </c>
      <c r="D206" s="13">
        <v>17778697663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392921</v>
      </c>
      <c r="K206" s="13">
        <v>36480</v>
      </c>
      <c r="L206" s="13">
        <v>15618857021</v>
      </c>
      <c r="M206" s="13">
        <v>14222958130</v>
      </c>
      <c r="N206" s="14">
        <v>3.3011916085390583E-3</v>
      </c>
    </row>
    <row r="207" spans="1:14" x14ac:dyDescent="0.45">
      <c r="A207" s="13" t="s">
        <v>310</v>
      </c>
      <c r="B207" s="13">
        <v>1881856</v>
      </c>
      <c r="C207" s="13">
        <v>13238121345</v>
      </c>
      <c r="D207" s="13">
        <v>24334774187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1881856</v>
      </c>
      <c r="K207" s="13">
        <v>9774</v>
      </c>
      <c r="L207" s="13">
        <v>13238121345</v>
      </c>
      <c r="M207" s="13">
        <v>18251080640</v>
      </c>
      <c r="N207" s="14">
        <v>4.2361310287804144E-3</v>
      </c>
    </row>
    <row r="208" spans="1:14" x14ac:dyDescent="0.45">
      <c r="A208" s="13" t="s">
        <v>311</v>
      </c>
      <c r="B208" s="13">
        <v>1036013</v>
      </c>
      <c r="C208" s="13">
        <v>19148983815</v>
      </c>
      <c r="D208" s="13">
        <v>19501247632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1036013</v>
      </c>
      <c r="K208" s="13">
        <v>15176</v>
      </c>
      <c r="L208" s="13">
        <v>19148983815</v>
      </c>
      <c r="M208" s="13">
        <v>15600998106</v>
      </c>
      <c r="N208" s="14">
        <v>3.6210388557447676E-3</v>
      </c>
    </row>
    <row r="209" spans="1:14" x14ac:dyDescent="0.45">
      <c r="A209" s="13" t="s">
        <v>312</v>
      </c>
      <c r="B209" s="13">
        <v>5391749</v>
      </c>
      <c r="C209" s="13">
        <v>26565928068</v>
      </c>
      <c r="D209" s="13">
        <v>31244413357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5391749</v>
      </c>
      <c r="K209" s="13">
        <v>6190</v>
      </c>
      <c r="L209" s="13">
        <v>26565928068</v>
      </c>
      <c r="M209" s="13">
        <v>33116938130</v>
      </c>
      <c r="N209" s="14">
        <v>7.6865415236417609E-3</v>
      </c>
    </row>
    <row r="210" spans="1:14" x14ac:dyDescent="0.45">
      <c r="A210" s="13" t="s">
        <v>88</v>
      </c>
      <c r="B210" s="13">
        <v>14595002</v>
      </c>
      <c r="C210" s="13">
        <v>39223501330</v>
      </c>
      <c r="D210" s="13">
        <v>38986035652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14595002</v>
      </c>
      <c r="K210" s="13">
        <v>2867</v>
      </c>
      <c r="L210" s="13">
        <v>39223501330</v>
      </c>
      <c r="M210" s="13">
        <v>41520417613</v>
      </c>
      <c r="N210" s="14">
        <v>9.6370145334227254E-3</v>
      </c>
    </row>
    <row r="211" spans="1:14" x14ac:dyDescent="0.45">
      <c r="A211" s="13" t="s">
        <v>229</v>
      </c>
      <c r="B211" s="13">
        <v>4368712</v>
      </c>
      <c r="C211" s="13">
        <v>38790727008</v>
      </c>
      <c r="D211" s="13">
        <v>43392767981</v>
      </c>
      <c r="E211" s="13">
        <v>0</v>
      </c>
      <c r="F211" s="13">
        <v>1000000</v>
      </c>
      <c r="G211" s="13">
        <v>10517945310</v>
      </c>
      <c r="H211" s="13">
        <v>200000</v>
      </c>
      <c r="I211" s="13">
        <v>2081782486</v>
      </c>
      <c r="J211" s="13">
        <v>5168712</v>
      </c>
      <c r="K211" s="13">
        <v>10490</v>
      </c>
      <c r="L211" s="13">
        <v>47471782117</v>
      </c>
      <c r="M211" s="13">
        <v>53800669912</v>
      </c>
      <c r="N211" s="14">
        <v>1.2487298241612288E-2</v>
      </c>
    </row>
    <row r="212" spans="1:14" x14ac:dyDescent="0.45">
      <c r="A212" s="13" t="s">
        <v>313</v>
      </c>
      <c r="B212" s="13">
        <v>450000</v>
      </c>
      <c r="C212" s="13">
        <v>2252043000</v>
      </c>
      <c r="D212" s="13">
        <v>4728662685</v>
      </c>
      <c r="E212" s="13">
        <v>450000</v>
      </c>
      <c r="F212" s="13">
        <v>0</v>
      </c>
      <c r="G212" s="13">
        <v>0</v>
      </c>
      <c r="H212" s="13">
        <v>0</v>
      </c>
      <c r="I212" s="13">
        <v>0</v>
      </c>
      <c r="J212" s="13">
        <v>900000</v>
      </c>
      <c r="K212" s="13">
        <v>5295</v>
      </c>
      <c r="L212" s="13">
        <v>2252043000</v>
      </c>
      <c r="M212" s="13">
        <v>4728662685</v>
      </c>
      <c r="N212" s="14">
        <v>1.0975369140971921E-3</v>
      </c>
    </row>
    <row r="213" spans="1:14" x14ac:dyDescent="0.45">
      <c r="A213" s="13" t="s">
        <v>250</v>
      </c>
      <c r="B213" s="13">
        <v>1405716</v>
      </c>
      <c r="C213" s="13">
        <v>7977806216</v>
      </c>
      <c r="D213" s="13">
        <v>13251073246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1405716</v>
      </c>
      <c r="K213" s="13">
        <v>10070</v>
      </c>
      <c r="L213" s="13">
        <v>7977806216</v>
      </c>
      <c r="M213" s="13">
        <v>14046137640</v>
      </c>
      <c r="N213" s="14">
        <v>3.2601510379017483E-3</v>
      </c>
    </row>
    <row r="214" spans="1:14" x14ac:dyDescent="0.45">
      <c r="A214" s="13" t="s">
        <v>314</v>
      </c>
      <c r="B214" s="13">
        <v>5658733</v>
      </c>
      <c r="C214" s="13">
        <v>21329982959</v>
      </c>
      <c r="D214" s="13">
        <v>20500332119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5658733</v>
      </c>
      <c r="K214" s="13">
        <v>3753</v>
      </c>
      <c r="L214" s="13">
        <v>21329982959</v>
      </c>
      <c r="M214" s="13">
        <v>21073061200</v>
      </c>
      <c r="N214" s="14">
        <v>4.8911212536677847E-3</v>
      </c>
    </row>
    <row r="215" spans="1:14" x14ac:dyDescent="0.45">
      <c r="A215" s="13" t="s">
        <v>197</v>
      </c>
      <c r="B215" s="13">
        <v>2024465</v>
      </c>
      <c r="C215" s="13">
        <v>16984113641</v>
      </c>
      <c r="D215" s="13">
        <v>15407617842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2024465</v>
      </c>
      <c r="K215" s="13">
        <v>7900</v>
      </c>
      <c r="L215" s="13">
        <v>16984113641</v>
      </c>
      <c r="M215" s="13">
        <v>15869645496</v>
      </c>
      <c r="N215" s="14">
        <v>3.6833927276621226E-3</v>
      </c>
    </row>
    <row r="216" spans="1:14" x14ac:dyDescent="0.45">
      <c r="A216" s="13" t="s">
        <v>242</v>
      </c>
      <c r="B216" s="13">
        <v>2192838</v>
      </c>
      <c r="C216" s="13">
        <v>16347830069</v>
      </c>
      <c r="D216" s="13">
        <v>20061681480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2192838</v>
      </c>
      <c r="K216" s="13">
        <v>9410</v>
      </c>
      <c r="L216" s="13">
        <v>16347830069</v>
      </c>
      <c r="M216" s="13">
        <v>20475100079</v>
      </c>
      <c r="N216" s="14">
        <v>4.7523326685622608E-3</v>
      </c>
    </row>
    <row r="217" spans="1:14" x14ac:dyDescent="0.45">
      <c r="A217" s="13" t="s">
        <v>139</v>
      </c>
      <c r="B217" s="13">
        <v>6511043</v>
      </c>
      <c r="C217" s="13">
        <v>26993462798</v>
      </c>
      <c r="D217" s="13">
        <v>26314482573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6511043</v>
      </c>
      <c r="K217" s="13">
        <v>4195</v>
      </c>
      <c r="L217" s="13">
        <v>26993462798</v>
      </c>
      <c r="M217" s="13">
        <v>27102689515</v>
      </c>
      <c r="N217" s="14">
        <v>6.2906162261027144E-3</v>
      </c>
    </row>
    <row r="218" spans="1:14" x14ac:dyDescent="0.45">
      <c r="A218" s="13" t="s">
        <v>79</v>
      </c>
      <c r="B218" s="13">
        <v>13112263</v>
      </c>
      <c r="C218" s="13">
        <v>35430001353</v>
      </c>
      <c r="D218" s="13">
        <v>32332099439</v>
      </c>
      <c r="E218" s="13">
        <v>1209720</v>
      </c>
      <c r="F218" s="13">
        <v>0</v>
      </c>
      <c r="G218" s="13">
        <v>0</v>
      </c>
      <c r="H218" s="13">
        <v>0</v>
      </c>
      <c r="I218" s="13">
        <v>0</v>
      </c>
      <c r="J218" s="13">
        <v>14321983</v>
      </c>
      <c r="K218" s="13">
        <v>2275</v>
      </c>
      <c r="L218" s="13">
        <v>35430001353</v>
      </c>
      <c r="M218" s="13">
        <v>32330648512</v>
      </c>
      <c r="N218" s="14">
        <v>7.5040413246607925E-3</v>
      </c>
    </row>
    <row r="219" spans="1:14" x14ac:dyDescent="0.45">
      <c r="A219" s="13" t="s">
        <v>315</v>
      </c>
      <c r="B219" s="13">
        <v>9752234</v>
      </c>
      <c r="C219" s="13">
        <v>13415884464</v>
      </c>
      <c r="D219" s="13">
        <v>13286313994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9752234</v>
      </c>
      <c r="K219" s="13">
        <v>1378</v>
      </c>
      <c r="L219" s="13">
        <v>13415884464</v>
      </c>
      <c r="M219" s="13">
        <v>13334698241</v>
      </c>
      <c r="N219" s="14">
        <v>3.0950238011837371E-3</v>
      </c>
    </row>
    <row r="220" spans="1:14" x14ac:dyDescent="0.45">
      <c r="A220" s="13" t="s">
        <v>316</v>
      </c>
      <c r="B220" s="13">
        <v>1500000</v>
      </c>
      <c r="C220" s="13">
        <v>12197164260</v>
      </c>
      <c r="D220" s="13">
        <v>13112848050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1500000</v>
      </c>
      <c r="K220" s="13">
        <v>9080</v>
      </c>
      <c r="L220" s="13">
        <v>12197164260</v>
      </c>
      <c r="M220" s="13">
        <v>13514717400</v>
      </c>
      <c r="N220" s="14">
        <v>3.1368067925723973E-3</v>
      </c>
    </row>
    <row r="221" spans="1:14" x14ac:dyDescent="0.45">
      <c r="A221" s="13" t="s">
        <v>205</v>
      </c>
      <c r="B221" s="13">
        <v>26913216</v>
      </c>
      <c r="C221" s="13">
        <v>34261064503</v>
      </c>
      <c r="D221" s="13">
        <v>26838702725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26913216</v>
      </c>
      <c r="K221" s="13">
        <v>1000</v>
      </c>
      <c r="L221" s="13">
        <v>34261064503</v>
      </c>
      <c r="M221" s="13">
        <v>26705176840</v>
      </c>
      <c r="N221" s="14">
        <v>6.1983523317001854E-3</v>
      </c>
    </row>
    <row r="222" spans="1:14" x14ac:dyDescent="0.45">
      <c r="A222" s="13" t="s">
        <v>160</v>
      </c>
      <c r="B222" s="13">
        <v>5200000</v>
      </c>
      <c r="C222" s="13">
        <v>17798536615</v>
      </c>
      <c r="D222" s="13">
        <v>15035668856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5200000</v>
      </c>
      <c r="K222" s="13">
        <v>2332</v>
      </c>
      <c r="L222" s="13">
        <v>17798536615</v>
      </c>
      <c r="M222" s="13">
        <v>12032662928</v>
      </c>
      <c r="N222" s="14">
        <v>2.7928174661857501E-3</v>
      </c>
    </row>
    <row r="223" spans="1:14" x14ac:dyDescent="0.45">
      <c r="A223" s="13" t="s">
        <v>262</v>
      </c>
      <c r="B223" s="13">
        <v>11242355</v>
      </c>
      <c r="C223" s="13">
        <v>22867039430</v>
      </c>
      <c r="D223" s="13">
        <v>21206513484</v>
      </c>
      <c r="E223" s="13">
        <v>0</v>
      </c>
      <c r="F223" s="13">
        <v>0</v>
      </c>
      <c r="G223" s="13">
        <v>0</v>
      </c>
      <c r="H223" s="13">
        <v>0</v>
      </c>
      <c r="I223" s="13">
        <v>0</v>
      </c>
      <c r="J223" s="13">
        <v>11242355</v>
      </c>
      <c r="K223" s="13">
        <v>1901</v>
      </c>
      <c r="L223" s="13">
        <v>22867039430</v>
      </c>
      <c r="M223" s="13">
        <v>21206513484</v>
      </c>
      <c r="N223" s="14">
        <v>4.9220959324972145E-3</v>
      </c>
    </row>
    <row r="224" spans="1:14" x14ac:dyDescent="0.45">
      <c r="A224" s="13" t="s">
        <v>317</v>
      </c>
      <c r="B224" s="13">
        <v>1175423</v>
      </c>
      <c r="C224" s="13">
        <v>1215396725</v>
      </c>
      <c r="D224" s="13">
        <v>1050869619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1175423</v>
      </c>
      <c r="K224" s="13">
        <v>901</v>
      </c>
      <c r="L224" s="13">
        <v>1215396725</v>
      </c>
      <c r="M224" s="13">
        <v>1050869619</v>
      </c>
      <c r="N224" s="14">
        <v>2.4391001760696579E-4</v>
      </c>
    </row>
    <row r="225" spans="1:14" x14ac:dyDescent="0.45">
      <c r="A225" s="13" t="s">
        <v>135</v>
      </c>
      <c r="B225" s="13">
        <v>8112972</v>
      </c>
      <c r="C225" s="13">
        <v>29111876861</v>
      </c>
      <c r="D225" s="13">
        <v>22621227021</v>
      </c>
      <c r="E225" s="13">
        <v>0</v>
      </c>
      <c r="F225" s="13">
        <v>0</v>
      </c>
      <c r="G225" s="13">
        <v>0</v>
      </c>
      <c r="H225" s="13">
        <v>0</v>
      </c>
      <c r="I225" s="15">
        <v>0</v>
      </c>
      <c r="J225" s="13">
        <v>8112972</v>
      </c>
      <c r="K225" s="13">
        <v>2894</v>
      </c>
      <c r="L225" s="15">
        <v>29111876861</v>
      </c>
      <c r="M225" s="15">
        <v>23297448754</v>
      </c>
      <c r="N225" s="14">
        <v>5.4074083340547342E-3</v>
      </c>
    </row>
    <row r="226" spans="1:14" ht="19.5" thickBot="1" x14ac:dyDescent="0.5">
      <c r="A226" s="13" t="s">
        <v>2</v>
      </c>
      <c r="B226" s="13"/>
      <c r="C226" s="16">
        <f t="shared" ref="C226:I226" si="0">SUM(C10:C225)</f>
        <v>4094090934915</v>
      </c>
      <c r="D226" s="16">
        <f t="shared" si="0"/>
        <v>4140022893502</v>
      </c>
      <c r="E226" s="13"/>
      <c r="F226" s="13"/>
      <c r="G226" s="16">
        <f t="shared" si="0"/>
        <v>61864238028</v>
      </c>
      <c r="H226" s="13"/>
      <c r="I226" s="17">
        <f t="shared" si="0"/>
        <v>140217772900</v>
      </c>
      <c r="J226" s="13"/>
      <c r="L226" s="17">
        <f>SUM(L10:L225)</f>
        <v>4022688561365</v>
      </c>
      <c r="M226" s="17">
        <f>SUM(M10:M225)</f>
        <v>4083659632315</v>
      </c>
      <c r="N226" s="18">
        <f>SUM(N10:N225)</f>
        <v>0.94782975433873207</v>
      </c>
    </row>
    <row r="227" spans="1:14" ht="5.25" customHeight="1" thickTop="1" x14ac:dyDescent="0.45">
      <c r="C227" s="19"/>
      <c r="D227" s="19"/>
      <c r="G227" s="19"/>
      <c r="M227" s="20"/>
      <c r="N227" s="19"/>
    </row>
    <row r="228" spans="1:14" x14ac:dyDescent="0.45">
      <c r="M228" s="21"/>
    </row>
    <row r="230" spans="1:14" x14ac:dyDescent="0.45">
      <c r="M230" s="20"/>
    </row>
  </sheetData>
  <mergeCells count="19">
    <mergeCell ref="A1:N1"/>
    <mergeCell ref="A2:N2"/>
    <mergeCell ref="A3:N3"/>
    <mergeCell ref="A4:N4"/>
    <mergeCell ref="A5:N5"/>
    <mergeCell ref="B7:D7"/>
    <mergeCell ref="F7:I7"/>
    <mergeCell ref="J7:N7"/>
    <mergeCell ref="A8:A9"/>
    <mergeCell ref="B8:B9"/>
    <mergeCell ref="C8:C9"/>
    <mergeCell ref="M8:M9"/>
    <mergeCell ref="N8:N9"/>
    <mergeCell ref="H8:I8"/>
    <mergeCell ref="J8:J9"/>
    <mergeCell ref="K8:K9"/>
    <mergeCell ref="L8:L9"/>
    <mergeCell ref="E8:G8"/>
    <mergeCell ref="D8:D9"/>
  </mergeCells>
  <pageMargins left="0.70866141732283472" right="0.70866141732283472" top="0.74803149606299213" bottom="0.74803149606299213" header="0.31496062992125984" footer="0.31496062992125984"/>
  <pageSetup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rightToLeft="1" tabSelected="1" view="pageBreakPreview" topLeftCell="A16" zoomScale="145" zoomScaleNormal="100" zoomScaleSheetLayoutView="145" workbookViewId="0">
      <selection activeCell="V17" sqref="V17"/>
    </sheetView>
  </sheetViews>
  <sheetFormatPr defaultColWidth="9.140625" defaultRowHeight="18.75" x14ac:dyDescent="0.45"/>
  <cols>
    <col min="1" max="1" width="24.7109375" style="5" bestFit="1" customWidth="1"/>
    <col min="2" max="2" width="12" style="5" customWidth="1"/>
    <col min="3" max="3" width="12.140625" style="5" customWidth="1"/>
    <col min="4" max="4" width="13.5703125" style="5" customWidth="1"/>
    <col min="5" max="5" width="9.5703125" style="5" bestFit="1" customWidth="1"/>
    <col min="6" max="6" width="17.5703125" style="5" customWidth="1"/>
    <col min="7" max="7" width="10.85546875" style="5" customWidth="1"/>
    <col min="8" max="16384" width="9.140625" style="5"/>
  </cols>
  <sheetData>
    <row r="1" spans="1:7" ht="21" x14ac:dyDescent="0.55000000000000004">
      <c r="A1" s="81" t="s">
        <v>65</v>
      </c>
      <c r="B1" s="81"/>
      <c r="C1" s="81"/>
      <c r="D1" s="81"/>
      <c r="E1" s="81"/>
      <c r="F1" s="81"/>
      <c r="G1" s="81"/>
    </row>
    <row r="2" spans="1:7" ht="21" x14ac:dyDescent="0.55000000000000004">
      <c r="A2" s="81" t="s">
        <v>55</v>
      </c>
      <c r="B2" s="81"/>
      <c r="C2" s="81"/>
      <c r="D2" s="81"/>
      <c r="E2" s="81"/>
      <c r="F2" s="81"/>
      <c r="G2" s="81"/>
    </row>
    <row r="3" spans="1:7" ht="21" x14ac:dyDescent="0.55000000000000004">
      <c r="A3" s="81" t="s">
        <v>67</v>
      </c>
      <c r="B3" s="81"/>
      <c r="C3" s="81"/>
      <c r="D3" s="81"/>
      <c r="E3" s="81"/>
      <c r="F3" s="81"/>
      <c r="G3" s="81"/>
    </row>
    <row r="4" spans="1:7" ht="25.5" customHeight="1" x14ac:dyDescent="0.45">
      <c r="A4" s="82" t="s">
        <v>30</v>
      </c>
      <c r="B4" s="82"/>
      <c r="C4" s="82"/>
      <c r="D4" s="82"/>
      <c r="E4" s="82"/>
      <c r="F4" s="82"/>
      <c r="G4" s="82"/>
    </row>
    <row r="5" spans="1:7" ht="21" x14ac:dyDescent="0.45">
      <c r="A5" s="82" t="s">
        <v>29</v>
      </c>
      <c r="B5" s="82"/>
      <c r="C5" s="82"/>
      <c r="D5" s="82"/>
      <c r="E5" s="82"/>
      <c r="F5" s="82"/>
      <c r="G5" s="82"/>
    </row>
    <row r="6" spans="1:7" ht="19.5" customHeight="1" thickBot="1" x14ac:dyDescent="0.5">
      <c r="B6" s="72" t="s">
        <v>68</v>
      </c>
      <c r="C6" s="72"/>
      <c r="D6" s="72"/>
      <c r="E6" s="72"/>
      <c r="F6" s="72"/>
      <c r="G6" s="72"/>
    </row>
    <row r="7" spans="1:7" ht="31.5" customHeight="1" x14ac:dyDescent="0.45">
      <c r="A7" s="76" t="s">
        <v>10</v>
      </c>
      <c r="B7" s="83" t="s">
        <v>3</v>
      </c>
      <c r="C7" s="74" t="s">
        <v>34</v>
      </c>
      <c r="D7" s="74" t="s">
        <v>33</v>
      </c>
      <c r="E7" s="74" t="s">
        <v>31</v>
      </c>
      <c r="F7" s="74" t="s">
        <v>32</v>
      </c>
      <c r="G7" s="25" t="s">
        <v>9</v>
      </c>
    </row>
    <row r="8" spans="1:7" ht="18" customHeight="1" thickBot="1" x14ac:dyDescent="0.5">
      <c r="A8" s="77"/>
      <c r="B8" s="84"/>
      <c r="C8" s="75"/>
      <c r="D8" s="75"/>
      <c r="E8" s="75"/>
      <c r="F8" s="75"/>
      <c r="G8" s="27"/>
    </row>
    <row r="9" spans="1:7" x14ac:dyDescent="0.45">
      <c r="A9" s="13" t="s">
        <v>245</v>
      </c>
      <c r="B9" s="13">
        <v>8858150</v>
      </c>
      <c r="C9" s="13">
        <v>2000</v>
      </c>
      <c r="D9" s="13">
        <v>800</v>
      </c>
      <c r="E9" s="14">
        <v>-0.6</v>
      </c>
      <c r="F9" s="13">
        <v>7031741200</v>
      </c>
      <c r="G9" s="28" t="s">
        <v>330</v>
      </c>
    </row>
    <row r="10" spans="1:7" x14ac:dyDescent="0.45">
      <c r="A10" s="13" t="s">
        <v>185</v>
      </c>
      <c r="B10" s="13">
        <v>5729478</v>
      </c>
      <c r="C10" s="13">
        <v>2610</v>
      </c>
      <c r="D10" s="13">
        <v>1305</v>
      </c>
      <c r="E10" s="14">
        <v>-0.5</v>
      </c>
      <c r="F10" s="13">
        <v>7419171821</v>
      </c>
      <c r="G10" s="28" t="s">
        <v>330</v>
      </c>
    </row>
    <row r="11" spans="1:7" x14ac:dyDescent="0.45">
      <c r="A11" s="13" t="s">
        <v>160</v>
      </c>
      <c r="B11" s="13">
        <v>5200000</v>
      </c>
      <c r="C11" s="13">
        <v>2914</v>
      </c>
      <c r="D11" s="13">
        <v>2332</v>
      </c>
      <c r="E11" s="14">
        <v>-0.19972546328071381</v>
      </c>
      <c r="F11" s="13">
        <v>12032662928</v>
      </c>
      <c r="G11" s="28" t="s">
        <v>330</v>
      </c>
    </row>
    <row r="12" spans="1:7" x14ac:dyDescent="0.45">
      <c r="A12" s="13" t="s">
        <v>103</v>
      </c>
      <c r="B12" s="13">
        <v>4967900</v>
      </c>
      <c r="C12" s="13">
        <v>4110</v>
      </c>
      <c r="D12" s="13">
        <v>3288</v>
      </c>
      <c r="E12" s="14">
        <v>-0.2</v>
      </c>
      <c r="F12" s="13">
        <v>16208189861</v>
      </c>
      <c r="G12" s="28" t="s">
        <v>330</v>
      </c>
    </row>
    <row r="13" spans="1:7" x14ac:dyDescent="0.45">
      <c r="A13" s="13" t="s">
        <v>151</v>
      </c>
      <c r="B13" s="13">
        <v>2451893</v>
      </c>
      <c r="C13" s="13">
        <v>5750</v>
      </c>
      <c r="D13" s="13">
        <v>4025</v>
      </c>
      <c r="E13" s="14">
        <v>-0.3</v>
      </c>
      <c r="F13" s="13">
        <v>9792582965</v>
      </c>
      <c r="G13" s="28" t="s">
        <v>330</v>
      </c>
    </row>
    <row r="14" spans="1:7" x14ac:dyDescent="0.45">
      <c r="A14" s="13" t="s">
        <v>296</v>
      </c>
      <c r="B14" s="13">
        <v>1200163</v>
      </c>
      <c r="C14" s="13">
        <v>12780</v>
      </c>
      <c r="D14" s="13">
        <v>6390</v>
      </c>
      <c r="E14" s="14">
        <v>-0.5</v>
      </c>
      <c r="F14" s="13">
        <v>7609759879</v>
      </c>
      <c r="G14" s="28" t="s">
        <v>330</v>
      </c>
    </row>
    <row r="15" spans="1:7" x14ac:dyDescent="0.45">
      <c r="A15" s="13" t="s">
        <v>310</v>
      </c>
      <c r="B15" s="13">
        <v>1881856</v>
      </c>
      <c r="C15" s="13">
        <v>13032</v>
      </c>
      <c r="D15" s="13">
        <v>9774</v>
      </c>
      <c r="E15" s="14">
        <v>-0.25</v>
      </c>
      <c r="F15" s="13">
        <v>18251080640</v>
      </c>
      <c r="G15" s="28" t="s">
        <v>330</v>
      </c>
    </row>
    <row r="16" spans="1:7" x14ac:dyDescent="0.45">
      <c r="A16" s="13" t="s">
        <v>222</v>
      </c>
      <c r="B16" s="13">
        <v>860136</v>
      </c>
      <c r="C16" s="13">
        <v>13580</v>
      </c>
      <c r="D16" s="13">
        <v>10864</v>
      </c>
      <c r="E16" s="14">
        <v>-0.2</v>
      </c>
      <c r="F16" s="13">
        <v>9272284384</v>
      </c>
      <c r="G16" s="28" t="s">
        <v>330</v>
      </c>
    </row>
    <row r="17" spans="1:7" x14ac:dyDescent="0.45">
      <c r="A17" s="13" t="s">
        <v>303</v>
      </c>
      <c r="B17" s="13">
        <v>275726</v>
      </c>
      <c r="C17" s="13">
        <v>23300</v>
      </c>
      <c r="D17" s="13">
        <v>15145</v>
      </c>
      <c r="E17" s="14">
        <v>-0.35</v>
      </c>
      <c r="F17" s="13">
        <v>4143590793</v>
      </c>
      <c r="G17" s="28" t="s">
        <v>330</v>
      </c>
    </row>
    <row r="18" spans="1:7" x14ac:dyDescent="0.45">
      <c r="A18" s="13" t="s">
        <v>311</v>
      </c>
      <c r="B18" s="13">
        <v>1036013</v>
      </c>
      <c r="C18" s="13">
        <v>18970</v>
      </c>
      <c r="D18" s="13">
        <v>15176</v>
      </c>
      <c r="E18" s="14">
        <v>-0.2</v>
      </c>
      <c r="F18" s="13">
        <v>15600998106</v>
      </c>
      <c r="G18" s="28" t="s">
        <v>330</v>
      </c>
    </row>
    <row r="19" spans="1:7" x14ac:dyDescent="0.45">
      <c r="A19" s="13" t="s">
        <v>304</v>
      </c>
      <c r="B19" s="13">
        <v>487887</v>
      </c>
      <c r="C19" s="13">
        <v>27010</v>
      </c>
      <c r="D19" s="13">
        <v>21608</v>
      </c>
      <c r="E19" s="14">
        <v>-0.2</v>
      </c>
      <c r="F19" s="13">
        <v>10460770608</v>
      </c>
      <c r="G19" s="28" t="s">
        <v>330</v>
      </c>
    </row>
    <row r="20" spans="1:7" x14ac:dyDescent="0.45">
      <c r="A20" s="13" t="s">
        <v>86</v>
      </c>
      <c r="B20" s="13">
        <v>392921</v>
      </c>
      <c r="C20" s="13">
        <v>45600</v>
      </c>
      <c r="D20" s="13">
        <v>36480</v>
      </c>
      <c r="E20" s="14">
        <v>-0.2</v>
      </c>
      <c r="F20" s="13">
        <v>14222958130</v>
      </c>
      <c r="G20" s="28" t="s">
        <v>330</v>
      </c>
    </row>
  </sheetData>
  <mergeCells count="12">
    <mergeCell ref="A1:G1"/>
    <mergeCell ref="A2:G2"/>
    <mergeCell ref="A3:G3"/>
    <mergeCell ref="A4:G4"/>
    <mergeCell ref="D7:D8"/>
    <mergeCell ref="A7:A8"/>
    <mergeCell ref="A5:G5"/>
    <mergeCell ref="C7:C8"/>
    <mergeCell ref="F7:F8"/>
    <mergeCell ref="E7:E8"/>
    <mergeCell ref="B7:B8"/>
    <mergeCell ref="B6:G6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rightToLeft="1" tabSelected="1" view="pageBreakPreview" zoomScale="90" zoomScaleNormal="100" zoomScaleSheetLayoutView="90" workbookViewId="0">
      <selection activeCell="V17" sqref="V17"/>
    </sheetView>
  </sheetViews>
  <sheetFormatPr defaultColWidth="9.140625" defaultRowHeight="18.75" x14ac:dyDescent="0.45"/>
  <cols>
    <col min="1" max="1" width="13.28515625" style="5" bestFit="1" customWidth="1"/>
    <col min="2" max="2" width="15" style="5" bestFit="1" customWidth="1"/>
    <col min="3" max="3" width="14.85546875" style="5" bestFit="1" customWidth="1"/>
    <col min="4" max="4" width="13.7109375" style="5" bestFit="1" customWidth="1"/>
    <col min="5" max="5" width="17.42578125" style="5" customWidth="1"/>
    <col min="6" max="6" width="11.5703125" style="5" customWidth="1"/>
    <col min="7" max="7" width="4.28515625" style="5" customWidth="1"/>
    <col min="8" max="8" width="0.42578125" style="5" customWidth="1"/>
    <col min="9" max="9" width="5.28515625" style="5" customWidth="1"/>
    <col min="10" max="10" width="4.28515625" style="5" customWidth="1"/>
    <col min="11" max="11" width="0.42578125" style="5" customWidth="1"/>
    <col min="12" max="12" width="10.5703125" style="5" customWidth="1"/>
    <col min="13" max="13" width="0.5703125" style="5" customWidth="1"/>
    <col min="14" max="14" width="11.5703125" style="5" customWidth="1"/>
    <col min="15" max="16384" width="9.140625" style="5"/>
  </cols>
  <sheetData>
    <row r="1" spans="1:14" ht="21" x14ac:dyDescent="0.55000000000000004">
      <c r="A1" s="81" t="s">
        <v>66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ht="21" x14ac:dyDescent="0.55000000000000004">
      <c r="A2" s="81" t="s">
        <v>55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4" ht="21" x14ac:dyDescent="0.55000000000000004">
      <c r="A3" s="81" t="s">
        <v>67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</row>
    <row r="4" spans="1:14" ht="21" x14ac:dyDescent="0.45">
      <c r="A4" s="85" t="s">
        <v>335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</row>
    <row r="5" spans="1:14" ht="19.5" thickBot="1" x14ac:dyDescent="0.5">
      <c r="B5" s="29"/>
      <c r="C5" s="29"/>
      <c r="D5" s="29"/>
      <c r="E5" s="29"/>
      <c r="F5" s="29"/>
    </row>
    <row r="6" spans="1:14" ht="18.75" customHeight="1" thickBot="1" x14ac:dyDescent="0.5">
      <c r="A6" s="7"/>
      <c r="B6" s="8" t="s">
        <v>75</v>
      </c>
      <c r="C6" s="73" t="s">
        <v>7</v>
      </c>
      <c r="D6" s="73"/>
      <c r="E6" s="72" t="s">
        <v>68</v>
      </c>
      <c r="F6" s="72"/>
    </row>
    <row r="7" spans="1:14" ht="24" customHeight="1" x14ac:dyDescent="0.45">
      <c r="A7" s="74" t="s">
        <v>8</v>
      </c>
      <c r="B7" s="76" t="s">
        <v>6</v>
      </c>
      <c r="C7" s="86" t="s">
        <v>35</v>
      </c>
      <c r="D7" s="86" t="s">
        <v>64</v>
      </c>
      <c r="E7" s="80" t="s">
        <v>6</v>
      </c>
      <c r="F7" s="78" t="s">
        <v>21</v>
      </c>
    </row>
    <row r="8" spans="1:14" ht="29.25" customHeight="1" thickBot="1" x14ac:dyDescent="0.5">
      <c r="A8" s="75"/>
      <c r="B8" s="77"/>
      <c r="C8" s="84"/>
      <c r="D8" s="84"/>
      <c r="E8" s="77"/>
      <c r="F8" s="75"/>
    </row>
    <row r="9" spans="1:14" x14ac:dyDescent="0.45">
      <c r="A9" s="13" t="s">
        <v>74</v>
      </c>
      <c r="B9" s="13">
        <v>36812</v>
      </c>
      <c r="C9" s="13">
        <v>0</v>
      </c>
      <c r="D9" s="13">
        <v>27000</v>
      </c>
      <c r="E9" s="13">
        <v>9812</v>
      </c>
      <c r="F9" s="14">
        <v>2.2773948827609493E-9</v>
      </c>
    </row>
    <row r="10" spans="1:14" x14ac:dyDescent="0.45">
      <c r="A10" s="13" t="s">
        <v>69</v>
      </c>
      <c r="B10" s="13">
        <v>15382659</v>
      </c>
      <c r="C10" s="13">
        <v>65065</v>
      </c>
      <c r="D10" s="13">
        <v>18000</v>
      </c>
      <c r="E10" s="13">
        <v>15429724</v>
      </c>
      <c r="F10" s="14">
        <v>3.5812856176124952E-6</v>
      </c>
    </row>
    <row r="11" spans="1:14" x14ac:dyDescent="0.45">
      <c r="A11" s="13" t="s">
        <v>70</v>
      </c>
      <c r="B11" s="13">
        <v>7398689</v>
      </c>
      <c r="C11" s="13">
        <v>31419</v>
      </c>
      <c r="D11" s="13">
        <v>0</v>
      </c>
      <c r="E11" s="13">
        <v>7430108</v>
      </c>
      <c r="F11" s="14">
        <v>1.7245505439829993E-6</v>
      </c>
    </row>
    <row r="12" spans="1:14" x14ac:dyDescent="0.45">
      <c r="A12" s="13" t="s">
        <v>71</v>
      </c>
      <c r="B12" s="13">
        <v>73231693</v>
      </c>
      <c r="C12" s="13">
        <v>1628760605</v>
      </c>
      <c r="D12" s="13">
        <v>1697588000</v>
      </c>
      <c r="E12" s="13">
        <v>4404298</v>
      </c>
      <c r="F12" s="14">
        <v>1.0222508894572241E-6</v>
      </c>
    </row>
    <row r="13" spans="1:14" x14ac:dyDescent="0.45">
      <c r="A13" s="13" t="s">
        <v>72</v>
      </c>
      <c r="B13" s="13">
        <v>47062321985</v>
      </c>
      <c r="C13" s="13">
        <v>26369375913</v>
      </c>
      <c r="D13" s="13">
        <v>120000</v>
      </c>
      <c r="E13" s="13">
        <v>73431577898</v>
      </c>
      <c r="F13" s="14">
        <v>1.7043691371582473E-2</v>
      </c>
    </row>
    <row r="14" spans="1:14" x14ac:dyDescent="0.45">
      <c r="A14" s="13" t="s">
        <v>73</v>
      </c>
      <c r="B14" s="15">
        <v>346865444</v>
      </c>
      <c r="C14" s="13">
        <v>1464785</v>
      </c>
      <c r="D14" s="15">
        <v>1932000</v>
      </c>
      <c r="E14" s="15">
        <v>346398229</v>
      </c>
      <c r="F14" s="30">
        <v>8.0400076857119386E-5</v>
      </c>
    </row>
    <row r="15" spans="1:14" ht="19.5" thickBot="1" x14ac:dyDescent="0.5">
      <c r="A15" s="13" t="s">
        <v>2</v>
      </c>
      <c r="B15" s="17">
        <f>SUM(B9:B14)</f>
        <v>47505237282</v>
      </c>
      <c r="C15" s="17">
        <f>SUM(C9:C14)</f>
        <v>27999697787</v>
      </c>
      <c r="D15" s="17">
        <f>SUM(D9:D14)</f>
        <v>1699685000</v>
      </c>
      <c r="E15" s="13">
        <f>SUM(E9:E14)</f>
        <v>73805250069</v>
      </c>
      <c r="F15" s="32">
        <f>SUM(F9:F14)</f>
        <v>1.7130421812885526E-2</v>
      </c>
    </row>
    <row r="16" spans="1:14" ht="19.5" thickTop="1" x14ac:dyDescent="0.45">
      <c r="E16" s="19"/>
    </row>
  </sheetData>
  <mergeCells count="12">
    <mergeCell ref="A1:N1"/>
    <mergeCell ref="A2:N2"/>
    <mergeCell ref="A3:N3"/>
    <mergeCell ref="F7:F8"/>
    <mergeCell ref="A4:N4"/>
    <mergeCell ref="E6:F6"/>
    <mergeCell ref="E7:E8"/>
    <mergeCell ref="A7:A8"/>
    <mergeCell ref="B7:B8"/>
    <mergeCell ref="C6:D6"/>
    <mergeCell ref="C7:C8"/>
    <mergeCell ref="D7:D8"/>
  </mergeCells>
  <pageMargins left="0.7" right="0.7" top="0.75" bottom="0.75" header="0.3" footer="0.3"/>
  <pageSetup scale="8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"/>
  <sheetViews>
    <sheetView rightToLeft="1" tabSelected="1" view="pageBreakPreview" zoomScaleNormal="100" zoomScaleSheetLayoutView="100" workbookViewId="0">
      <selection activeCell="V17" sqref="V17"/>
    </sheetView>
  </sheetViews>
  <sheetFormatPr defaultRowHeight="22.5" x14ac:dyDescent="0.55000000000000004"/>
  <cols>
    <col min="1" max="1" width="60.140625" style="39" customWidth="1"/>
    <col min="2" max="2" width="9.140625" style="22"/>
    <col min="3" max="3" width="24.5703125" style="22" customWidth="1"/>
    <col min="4" max="4" width="13.140625" style="22" customWidth="1"/>
    <col min="5" max="5" width="13.28515625" style="22" customWidth="1"/>
    <col min="6" max="16384" width="9.140625" style="22"/>
  </cols>
  <sheetData>
    <row r="1" spans="1:19" ht="24" x14ac:dyDescent="0.55000000000000004">
      <c r="A1" s="88" t="s">
        <v>66</v>
      </c>
      <c r="B1" s="88"/>
      <c r="C1" s="88"/>
      <c r="D1" s="88"/>
      <c r="E1" s="88"/>
    </row>
    <row r="2" spans="1:19" ht="24" x14ac:dyDescent="0.55000000000000004">
      <c r="A2" s="88" t="s">
        <v>57</v>
      </c>
      <c r="B2" s="88"/>
      <c r="C2" s="88"/>
      <c r="D2" s="88"/>
      <c r="E2" s="88"/>
    </row>
    <row r="3" spans="1:19" ht="24" x14ac:dyDescent="0.55000000000000004">
      <c r="A3" s="88" t="s">
        <v>67</v>
      </c>
      <c r="B3" s="88"/>
      <c r="C3" s="88"/>
      <c r="D3" s="88"/>
      <c r="E3" s="88"/>
    </row>
    <row r="4" spans="1:19" ht="24" x14ac:dyDescent="0.55000000000000004">
      <c r="A4" s="33"/>
      <c r="B4" s="33"/>
      <c r="C4" s="33"/>
      <c r="D4" s="33"/>
      <c r="E4" s="33"/>
    </row>
    <row r="5" spans="1:19" ht="35.25" customHeight="1" x14ac:dyDescent="0.55000000000000004">
      <c r="A5" s="87" t="s">
        <v>26</v>
      </c>
      <c r="B5" s="87"/>
      <c r="C5" s="87"/>
      <c r="D5" s="87"/>
      <c r="E5" s="87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</row>
    <row r="6" spans="1:19" ht="65.25" customHeight="1" thickBot="1" x14ac:dyDescent="0.6">
      <c r="A6" s="35" t="s">
        <v>36</v>
      </c>
      <c r="B6" s="36" t="s">
        <v>37</v>
      </c>
      <c r="C6" s="36" t="s">
        <v>6</v>
      </c>
      <c r="D6" s="46" t="s">
        <v>18</v>
      </c>
      <c r="E6" s="46" t="s">
        <v>60</v>
      </c>
    </row>
    <row r="7" spans="1:19" ht="35.25" customHeight="1" x14ac:dyDescent="0.55000000000000004">
      <c r="A7" s="37" t="s">
        <v>51</v>
      </c>
      <c r="B7" s="47" t="s">
        <v>336</v>
      </c>
      <c r="C7" s="23">
        <v>51885800212</v>
      </c>
      <c r="D7" s="24">
        <f t="shared" ref="D7:D8" si="0">C7/54127538023</f>
        <v>0.95858415341101533</v>
      </c>
      <c r="E7" s="24">
        <f t="shared" ref="E7:E8" si="1">C7/4308431565502</f>
        <v>1.2042851191476332E-2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</row>
    <row r="8" spans="1:19" ht="35.25" customHeight="1" x14ac:dyDescent="0.55000000000000004">
      <c r="A8" s="37" t="s">
        <v>52</v>
      </c>
      <c r="B8" s="38" t="s">
        <v>56</v>
      </c>
      <c r="C8" s="23">
        <v>2241737811</v>
      </c>
      <c r="D8" s="24">
        <f t="shared" si="0"/>
        <v>4.1415846588984624E-2</v>
      </c>
      <c r="E8" s="24">
        <f t="shared" si="1"/>
        <v>5.2031412752375991E-4</v>
      </c>
      <c r="F8" s="34"/>
      <c r="G8" s="34"/>
      <c r="H8" s="34"/>
      <c r="I8" s="34"/>
      <c r="J8" s="34"/>
      <c r="K8" s="34"/>
      <c r="L8" s="34"/>
      <c r="M8" s="34"/>
      <c r="N8" s="34"/>
      <c r="O8" s="34"/>
    </row>
    <row r="9" spans="1:19" ht="35.25" customHeight="1" thickBot="1" x14ac:dyDescent="0.6">
      <c r="A9" s="23" t="s">
        <v>2</v>
      </c>
      <c r="C9" s="42">
        <f>SUM(C7:C8)</f>
        <v>54127538023</v>
      </c>
      <c r="D9" s="41">
        <f>SUM(D7:D8)</f>
        <v>1</v>
      </c>
      <c r="E9" s="43">
        <f>SUM(E7:E8)</f>
        <v>1.2563165319000091E-2</v>
      </c>
    </row>
    <row r="10" spans="1:19" ht="35.25" customHeight="1" thickTop="1" x14ac:dyDescent="0.55000000000000004">
      <c r="C10" s="45"/>
      <c r="D10" s="44"/>
    </row>
    <row r="15" spans="1:19" x14ac:dyDescent="0.55000000000000004">
      <c r="C15" s="40"/>
    </row>
  </sheetData>
  <mergeCells count="4">
    <mergeCell ref="A5:E5"/>
    <mergeCell ref="A3:E3"/>
    <mergeCell ref="A2:E2"/>
    <mergeCell ref="A1:E1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8"/>
  <sheetViews>
    <sheetView rightToLeft="1" tabSelected="1" view="pageBreakPreview" topLeftCell="A214" zoomScale="110" zoomScaleNormal="100" zoomScaleSheetLayoutView="110" workbookViewId="0">
      <selection activeCell="V17" sqref="V17"/>
    </sheetView>
  </sheetViews>
  <sheetFormatPr defaultColWidth="9.140625" defaultRowHeight="18.75" x14ac:dyDescent="0.45"/>
  <cols>
    <col min="1" max="1" width="27.5703125" style="5" bestFit="1" customWidth="1"/>
    <col min="2" max="2" width="14.7109375" style="5" bestFit="1" customWidth="1"/>
    <col min="3" max="3" width="16.28515625" style="5" bestFit="1" customWidth="1"/>
    <col min="4" max="4" width="13.7109375" style="5" bestFit="1" customWidth="1"/>
    <col min="5" max="5" width="16.28515625" style="5" bestFit="1" customWidth="1"/>
    <col min="6" max="6" width="10.42578125" style="5" bestFit="1" customWidth="1"/>
    <col min="7" max="7" width="14.85546875" style="5" bestFit="1" customWidth="1"/>
    <col min="8" max="8" width="16.28515625" style="5" bestFit="1" customWidth="1"/>
    <col min="9" max="9" width="13.7109375" style="5" bestFit="1" customWidth="1"/>
    <col min="10" max="10" width="16.28515625" style="5" bestFit="1" customWidth="1"/>
    <col min="11" max="11" width="10.7109375" style="5" bestFit="1" customWidth="1"/>
    <col min="12" max="16384" width="9.140625" style="5"/>
  </cols>
  <sheetData>
    <row r="1" spans="1:11" ht="21" x14ac:dyDescent="0.55000000000000004">
      <c r="A1" s="81" t="s">
        <v>66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 ht="21" x14ac:dyDescent="0.55000000000000004">
      <c r="A2" s="81" t="s">
        <v>57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1" ht="21" x14ac:dyDescent="0.55000000000000004">
      <c r="A3" s="81" t="s">
        <v>67</v>
      </c>
      <c r="B3" s="81"/>
      <c r="C3" s="81"/>
      <c r="D3" s="81"/>
      <c r="E3" s="81"/>
      <c r="F3" s="81"/>
      <c r="G3" s="81"/>
      <c r="H3" s="81"/>
      <c r="I3" s="81"/>
      <c r="J3" s="81"/>
      <c r="K3" s="81"/>
    </row>
    <row r="5" spans="1:11" ht="21" x14ac:dyDescent="0.45">
      <c r="A5" s="82" t="s">
        <v>337</v>
      </c>
      <c r="B5" s="82"/>
      <c r="C5" s="82"/>
      <c r="D5" s="82"/>
      <c r="E5" s="82"/>
      <c r="F5" s="82"/>
      <c r="G5" s="82"/>
      <c r="H5" s="82"/>
      <c r="I5" s="82"/>
      <c r="J5" s="82"/>
      <c r="K5" s="82"/>
    </row>
    <row r="7" spans="1:11" ht="19.5" customHeight="1" thickBot="1" x14ac:dyDescent="0.5">
      <c r="A7" s="29"/>
      <c r="B7" s="89" t="s">
        <v>63</v>
      </c>
      <c r="C7" s="89"/>
      <c r="D7" s="89"/>
      <c r="E7" s="89"/>
      <c r="F7" s="89"/>
      <c r="G7" s="89" t="s">
        <v>68</v>
      </c>
      <c r="H7" s="89"/>
      <c r="I7" s="89"/>
      <c r="J7" s="89"/>
      <c r="K7" s="89"/>
    </row>
    <row r="8" spans="1:11" ht="19.5" customHeight="1" x14ac:dyDescent="0.45">
      <c r="A8" s="90" t="s">
        <v>23</v>
      </c>
      <c r="B8" s="92" t="s">
        <v>11</v>
      </c>
      <c r="C8" s="92" t="s">
        <v>12</v>
      </c>
      <c r="D8" s="92" t="s">
        <v>13</v>
      </c>
      <c r="E8" s="92" t="s">
        <v>2</v>
      </c>
      <c r="F8" s="92"/>
      <c r="G8" s="94" t="s">
        <v>11</v>
      </c>
      <c r="H8" s="94" t="s">
        <v>12</v>
      </c>
      <c r="I8" s="94" t="s">
        <v>13</v>
      </c>
      <c r="J8" s="94" t="s">
        <v>2</v>
      </c>
      <c r="K8" s="94"/>
    </row>
    <row r="9" spans="1:11" ht="18.75" customHeight="1" thickBot="1" x14ac:dyDescent="0.5">
      <c r="A9" s="90"/>
      <c r="B9" s="93"/>
      <c r="C9" s="93"/>
      <c r="D9" s="93"/>
      <c r="E9" s="96"/>
      <c r="F9" s="96"/>
      <c r="G9" s="95"/>
      <c r="H9" s="95"/>
      <c r="I9" s="95"/>
      <c r="J9" s="89"/>
      <c r="K9" s="89"/>
    </row>
    <row r="10" spans="1:11" ht="60" customHeight="1" thickBot="1" x14ac:dyDescent="0.5">
      <c r="A10" s="91"/>
      <c r="B10" s="52" t="s">
        <v>59</v>
      </c>
      <c r="C10" s="52" t="s">
        <v>59</v>
      </c>
      <c r="D10" s="52" t="s">
        <v>59</v>
      </c>
      <c r="E10" s="53" t="s">
        <v>6</v>
      </c>
      <c r="F10" s="54" t="s">
        <v>14</v>
      </c>
      <c r="G10" s="52" t="s">
        <v>59</v>
      </c>
      <c r="H10" s="52" t="s">
        <v>59</v>
      </c>
      <c r="I10" s="52" t="s">
        <v>59</v>
      </c>
      <c r="J10" s="53" t="s">
        <v>6</v>
      </c>
      <c r="K10" s="53" t="s">
        <v>14</v>
      </c>
    </row>
    <row r="11" spans="1:11" x14ac:dyDescent="0.45">
      <c r="A11" s="13" t="s">
        <v>76</v>
      </c>
      <c r="B11" s="13">
        <v>0</v>
      </c>
      <c r="C11" s="13">
        <v>487722367</v>
      </c>
      <c r="D11" s="13">
        <v>0</v>
      </c>
      <c r="E11" s="13">
        <v>487722367</v>
      </c>
      <c r="F11" s="14">
        <v>9.2080008682280286E-3</v>
      </c>
      <c r="G11" s="13">
        <v>0</v>
      </c>
      <c r="H11" s="13">
        <v>487722367</v>
      </c>
      <c r="I11" s="13">
        <v>0</v>
      </c>
      <c r="J11" s="13">
        <v>487722367</v>
      </c>
      <c r="K11" s="14">
        <v>9.0106142790524826E-3</v>
      </c>
    </row>
    <row r="12" spans="1:11" x14ac:dyDescent="0.45">
      <c r="A12" s="13" t="s">
        <v>77</v>
      </c>
      <c r="B12" s="13">
        <v>0</v>
      </c>
      <c r="C12" s="13">
        <v>1495546425</v>
      </c>
      <c r="D12" s="13">
        <v>0</v>
      </c>
      <c r="E12" s="13">
        <v>1495546425</v>
      </c>
      <c r="F12" s="14">
        <v>2.8235311135269964E-2</v>
      </c>
      <c r="G12" s="13">
        <v>0</v>
      </c>
      <c r="H12" s="13">
        <v>1495546425</v>
      </c>
      <c r="I12" s="13">
        <v>0</v>
      </c>
      <c r="J12" s="13">
        <v>1495546425</v>
      </c>
      <c r="K12" s="14">
        <v>2.7630047100322741E-2</v>
      </c>
    </row>
    <row r="13" spans="1:11" x14ac:dyDescent="0.45">
      <c r="A13" s="13" t="s">
        <v>78</v>
      </c>
      <c r="B13" s="13">
        <v>0</v>
      </c>
      <c r="C13" s="13">
        <v>827823382</v>
      </c>
      <c r="D13" s="13">
        <v>0</v>
      </c>
      <c r="E13" s="13">
        <v>827823382</v>
      </c>
      <c r="F13" s="14">
        <v>1.5628970365009858E-2</v>
      </c>
      <c r="G13" s="13">
        <v>0</v>
      </c>
      <c r="H13" s="13">
        <v>827823382</v>
      </c>
      <c r="I13" s="13">
        <v>0</v>
      </c>
      <c r="J13" s="13">
        <v>827823382</v>
      </c>
      <c r="K13" s="14">
        <v>1.529394116629209E-2</v>
      </c>
    </row>
    <row r="14" spans="1:11" x14ac:dyDescent="0.45">
      <c r="A14" s="13" t="s">
        <v>79</v>
      </c>
      <c r="B14" s="13">
        <v>0</v>
      </c>
      <c r="C14" s="13">
        <v>-1450927</v>
      </c>
      <c r="D14" s="13">
        <v>0</v>
      </c>
      <c r="E14" s="13">
        <v>-1450927</v>
      </c>
      <c r="F14" s="14">
        <v>-2.7392914452364019E-5</v>
      </c>
      <c r="G14" s="13">
        <v>0</v>
      </c>
      <c r="H14" s="13">
        <v>-1450927</v>
      </c>
      <c r="I14" s="13">
        <v>0</v>
      </c>
      <c r="J14" s="13">
        <v>-1450927</v>
      </c>
      <c r="K14" s="14">
        <v>-2.6805708387909104E-5</v>
      </c>
    </row>
    <row r="15" spans="1:11" x14ac:dyDescent="0.45">
      <c r="A15" s="13" t="s">
        <v>80</v>
      </c>
      <c r="B15" s="13">
        <v>0</v>
      </c>
      <c r="C15" s="13">
        <v>0</v>
      </c>
      <c r="D15" s="13">
        <v>-156353800</v>
      </c>
      <c r="E15" s="13">
        <v>-156353800</v>
      </c>
      <c r="F15" s="14">
        <v>-2.9518964549574401E-3</v>
      </c>
      <c r="G15" s="13">
        <v>0</v>
      </c>
      <c r="H15" s="13">
        <v>0</v>
      </c>
      <c r="I15" s="13">
        <v>-156353800</v>
      </c>
      <c r="J15" s="13">
        <v>-156353800</v>
      </c>
      <c r="K15" s="14">
        <v>-2.88861835787842E-3</v>
      </c>
    </row>
    <row r="16" spans="1:11" x14ac:dyDescent="0.45">
      <c r="A16" s="13" t="s">
        <v>81</v>
      </c>
      <c r="B16" s="13">
        <v>0</v>
      </c>
      <c r="C16" s="13">
        <v>-2615192653</v>
      </c>
      <c r="D16" s="13">
        <v>0</v>
      </c>
      <c r="E16" s="13">
        <v>-2615192653</v>
      </c>
      <c r="F16" s="14">
        <v>-4.9373778708425652E-2</v>
      </c>
      <c r="G16" s="13">
        <v>0</v>
      </c>
      <c r="H16" s="13">
        <v>-2615192653</v>
      </c>
      <c r="I16" s="13">
        <v>0</v>
      </c>
      <c r="J16" s="13">
        <v>-2615192653</v>
      </c>
      <c r="K16" s="14">
        <v>-4.8315381569520977E-2</v>
      </c>
    </row>
    <row r="17" spans="1:11" x14ac:dyDescent="0.45">
      <c r="A17" s="13" t="s">
        <v>82</v>
      </c>
      <c r="B17" s="13">
        <v>0</v>
      </c>
      <c r="C17" s="13">
        <v>937468109</v>
      </c>
      <c r="D17" s="13">
        <v>0</v>
      </c>
      <c r="E17" s="13">
        <v>937468109</v>
      </c>
      <c r="F17" s="14">
        <v>1.7699018428671096E-2</v>
      </c>
      <c r="G17" s="13">
        <v>0</v>
      </c>
      <c r="H17" s="13">
        <v>937468109</v>
      </c>
      <c r="I17" s="13">
        <v>0</v>
      </c>
      <c r="J17" s="13">
        <v>937468109</v>
      </c>
      <c r="K17" s="14">
        <v>1.7319614806822526E-2</v>
      </c>
    </row>
    <row r="18" spans="1:11" x14ac:dyDescent="0.45">
      <c r="A18" s="13" t="s">
        <v>83</v>
      </c>
      <c r="B18" s="13">
        <v>0</v>
      </c>
      <c r="C18" s="13">
        <v>395318340</v>
      </c>
      <c r="D18" s="13">
        <v>-372</v>
      </c>
      <c r="E18" s="13">
        <v>395317968</v>
      </c>
      <c r="F18" s="14">
        <v>7.4634432186501303E-3</v>
      </c>
      <c r="G18" s="13">
        <v>0</v>
      </c>
      <c r="H18" s="13">
        <v>397381972</v>
      </c>
      <c r="I18" s="13">
        <v>-372</v>
      </c>
      <c r="J18" s="13">
        <v>397381600</v>
      </c>
      <c r="K18" s="14">
        <v>7.3415790651912465E-3</v>
      </c>
    </row>
    <row r="19" spans="1:11" x14ac:dyDescent="0.45">
      <c r="A19" s="13" t="s">
        <v>84</v>
      </c>
      <c r="B19" s="13">
        <v>0</v>
      </c>
      <c r="C19" s="13">
        <v>438407805</v>
      </c>
      <c r="D19" s="13">
        <v>0</v>
      </c>
      <c r="E19" s="13">
        <v>438407805</v>
      </c>
      <c r="F19" s="14">
        <v>8.276961899264185E-3</v>
      </c>
      <c r="G19" s="13">
        <v>0</v>
      </c>
      <c r="H19" s="13">
        <v>438407805</v>
      </c>
      <c r="I19" s="13">
        <v>0</v>
      </c>
      <c r="J19" s="13">
        <v>438407805</v>
      </c>
      <c r="K19" s="14">
        <v>8.099533454001006E-3</v>
      </c>
    </row>
    <row r="20" spans="1:11" x14ac:dyDescent="0.45">
      <c r="A20" s="13" t="s">
        <v>85</v>
      </c>
      <c r="B20" s="13">
        <v>0</v>
      </c>
      <c r="C20" s="13">
        <v>921663242</v>
      </c>
      <c r="D20" s="13">
        <v>0</v>
      </c>
      <c r="E20" s="13">
        <v>921663242</v>
      </c>
      <c r="F20" s="14">
        <v>1.7400628937220466E-2</v>
      </c>
      <c r="G20" s="13">
        <v>0</v>
      </c>
      <c r="H20" s="13">
        <v>921663242</v>
      </c>
      <c r="I20" s="13">
        <v>0</v>
      </c>
      <c r="J20" s="13">
        <v>921663242</v>
      </c>
      <c r="K20" s="14">
        <v>1.7027621718326901E-2</v>
      </c>
    </row>
    <row r="21" spans="1:11" x14ac:dyDescent="0.45">
      <c r="A21" s="13" t="s">
        <v>86</v>
      </c>
      <c r="B21" s="13">
        <v>0</v>
      </c>
      <c r="C21" s="13">
        <v>-3555739533</v>
      </c>
      <c r="D21" s="13">
        <v>0</v>
      </c>
      <c r="E21" s="13">
        <v>-3555739533</v>
      </c>
      <c r="F21" s="14">
        <v>-6.7130923087348846E-2</v>
      </c>
      <c r="G21" s="13">
        <v>0</v>
      </c>
      <c r="H21" s="13">
        <v>-3555739533</v>
      </c>
      <c r="I21" s="13">
        <v>0</v>
      </c>
      <c r="J21" s="13">
        <v>-3555739533</v>
      </c>
      <c r="K21" s="14">
        <v>-6.5691876314217121E-2</v>
      </c>
    </row>
    <row r="22" spans="1:11" x14ac:dyDescent="0.45">
      <c r="A22" s="13" t="s">
        <v>87</v>
      </c>
      <c r="B22" s="13">
        <v>0</v>
      </c>
      <c r="C22" s="13">
        <v>52094175</v>
      </c>
      <c r="D22" s="13">
        <v>0</v>
      </c>
      <c r="E22" s="13">
        <v>52094175</v>
      </c>
      <c r="F22" s="14">
        <v>9.8351693726940123E-4</v>
      </c>
      <c r="G22" s="13">
        <v>0</v>
      </c>
      <c r="H22" s="13">
        <v>52094175</v>
      </c>
      <c r="I22" s="13">
        <v>0</v>
      </c>
      <c r="J22" s="13">
        <v>52094175</v>
      </c>
      <c r="K22" s="14">
        <v>9.6243385350104084E-4</v>
      </c>
    </row>
    <row r="23" spans="1:11" x14ac:dyDescent="0.45">
      <c r="A23" s="13" t="s">
        <v>88</v>
      </c>
      <c r="B23" s="13">
        <v>0</v>
      </c>
      <c r="C23" s="13">
        <v>2534381961</v>
      </c>
      <c r="D23" s="13">
        <v>0</v>
      </c>
      <c r="E23" s="13">
        <v>2534381961</v>
      </c>
      <c r="F23" s="14">
        <v>4.7848105554095806E-2</v>
      </c>
      <c r="G23" s="13">
        <v>0</v>
      </c>
      <c r="H23" s="13">
        <v>2534381961</v>
      </c>
      <c r="I23" s="13">
        <v>0</v>
      </c>
      <c r="J23" s="13">
        <v>2534381961</v>
      </c>
      <c r="K23" s="14">
        <v>4.6822413388229192E-2</v>
      </c>
    </row>
    <row r="24" spans="1:11" x14ac:dyDescent="0.45">
      <c r="A24" s="13" t="s">
        <v>89</v>
      </c>
      <c r="B24" s="13">
        <v>0</v>
      </c>
      <c r="C24" s="13">
        <v>2021002757</v>
      </c>
      <c r="D24" s="13">
        <v>0</v>
      </c>
      <c r="E24" s="13">
        <v>2021002757</v>
      </c>
      <c r="F24" s="14">
        <v>3.8155713988707103E-2</v>
      </c>
      <c r="G24" s="13">
        <v>0</v>
      </c>
      <c r="H24" s="13">
        <v>2021002757</v>
      </c>
      <c r="I24" s="13">
        <v>0</v>
      </c>
      <c r="J24" s="13">
        <v>2021002757</v>
      </c>
      <c r="K24" s="14">
        <v>3.7337792015244273E-2</v>
      </c>
    </row>
    <row r="25" spans="1:11" x14ac:dyDescent="0.45">
      <c r="A25" s="13" t="s">
        <v>90</v>
      </c>
      <c r="B25" s="13">
        <v>0</v>
      </c>
      <c r="C25" s="13">
        <v>-60242895</v>
      </c>
      <c r="D25" s="13">
        <v>-97061730</v>
      </c>
      <c r="E25" s="13">
        <v>-157304625</v>
      </c>
      <c r="F25" s="14">
        <v>-2.9698476460815757E-3</v>
      </c>
      <c r="G25" s="13">
        <v>0</v>
      </c>
      <c r="H25" s="13">
        <v>-60242895</v>
      </c>
      <c r="I25" s="13">
        <v>-97061730</v>
      </c>
      <c r="J25" s="13">
        <v>-157304625</v>
      </c>
      <c r="K25" s="14">
        <v>-2.9061847397004784E-3</v>
      </c>
    </row>
    <row r="26" spans="1:11" x14ac:dyDescent="0.45">
      <c r="A26" s="13" t="s">
        <v>91</v>
      </c>
      <c r="B26" s="13">
        <v>0</v>
      </c>
      <c r="C26" s="13">
        <v>571175419</v>
      </c>
      <c r="D26" s="13">
        <v>0</v>
      </c>
      <c r="E26" s="13">
        <v>571175419</v>
      </c>
      <c r="F26" s="14">
        <v>1.0783560709780832E-2</v>
      </c>
      <c r="G26" s="13">
        <v>0</v>
      </c>
      <c r="H26" s="13">
        <v>571175419</v>
      </c>
      <c r="I26" s="13">
        <v>0</v>
      </c>
      <c r="J26" s="13">
        <v>571175419</v>
      </c>
      <c r="K26" s="14">
        <v>1.0552399755505133E-2</v>
      </c>
    </row>
    <row r="27" spans="1:11" x14ac:dyDescent="0.45">
      <c r="A27" s="13" t="s">
        <v>92</v>
      </c>
      <c r="B27" s="13">
        <v>0</v>
      </c>
      <c r="C27" s="13">
        <v>58429739</v>
      </c>
      <c r="D27" s="13">
        <v>25166163</v>
      </c>
      <c r="E27" s="13">
        <v>83595902</v>
      </c>
      <c r="F27" s="14">
        <v>1.5782567917298432E-3</v>
      </c>
      <c r="G27" s="13">
        <v>0</v>
      </c>
      <c r="H27" s="13">
        <v>58429739</v>
      </c>
      <c r="I27" s="13">
        <v>25166163</v>
      </c>
      <c r="J27" s="13">
        <v>83595902</v>
      </c>
      <c r="K27" s="14">
        <v>1.5444246136685218E-3</v>
      </c>
    </row>
    <row r="28" spans="1:11" x14ac:dyDescent="0.45">
      <c r="A28" s="13" t="s">
        <v>93</v>
      </c>
      <c r="B28" s="13">
        <v>0</v>
      </c>
      <c r="C28" s="13">
        <v>131578495</v>
      </c>
      <c r="D28" s="13">
        <v>0</v>
      </c>
      <c r="E28" s="13">
        <v>131578495</v>
      </c>
      <c r="F28" s="14">
        <v>2.4841487251293874E-3</v>
      </c>
      <c r="G28" s="13">
        <v>0</v>
      </c>
      <c r="H28" s="13">
        <v>131578495</v>
      </c>
      <c r="I28" s="13">
        <v>0</v>
      </c>
      <c r="J28" s="13">
        <v>131578495</v>
      </c>
      <c r="K28" s="14">
        <v>2.4308974656133326E-3</v>
      </c>
    </row>
    <row r="29" spans="1:11" x14ac:dyDescent="0.45">
      <c r="A29" s="13" t="s">
        <v>94</v>
      </c>
      <c r="B29" s="13">
        <v>0</v>
      </c>
      <c r="C29" s="13">
        <v>-1338208259</v>
      </c>
      <c r="D29" s="13">
        <v>-45569364</v>
      </c>
      <c r="E29" s="13">
        <v>-1383777623</v>
      </c>
      <c r="F29" s="14">
        <v>-2.6125161395393861E-2</v>
      </c>
      <c r="G29" s="13">
        <v>0</v>
      </c>
      <c r="H29" s="13">
        <v>-1338208259</v>
      </c>
      <c r="I29" s="13">
        <v>-45569364</v>
      </c>
      <c r="J29" s="13">
        <v>-1383777623</v>
      </c>
      <c r="K29" s="14">
        <v>-2.5565131420017699E-2</v>
      </c>
    </row>
    <row r="30" spans="1:11" x14ac:dyDescent="0.45">
      <c r="A30" s="13" t="s">
        <v>95</v>
      </c>
      <c r="B30" s="13">
        <v>0</v>
      </c>
      <c r="C30" s="13">
        <v>-510067714</v>
      </c>
      <c r="D30" s="13">
        <v>0</v>
      </c>
      <c r="E30" s="13">
        <v>-510067714</v>
      </c>
      <c r="F30" s="14">
        <v>-9.6298719746168333E-3</v>
      </c>
      <c r="G30" s="13">
        <v>0</v>
      </c>
      <c r="H30" s="13">
        <v>-510067714</v>
      </c>
      <c r="I30" s="13">
        <v>0</v>
      </c>
      <c r="J30" s="13">
        <v>-510067714</v>
      </c>
      <c r="K30" s="14">
        <v>-9.4234419785222973E-3</v>
      </c>
    </row>
    <row r="31" spans="1:11" x14ac:dyDescent="0.45">
      <c r="A31" s="13" t="s">
        <v>96</v>
      </c>
      <c r="B31" s="13">
        <v>0</v>
      </c>
      <c r="C31" s="13">
        <v>1658663946</v>
      </c>
      <c r="D31" s="13">
        <v>0</v>
      </c>
      <c r="E31" s="13">
        <v>1658663946</v>
      </c>
      <c r="F31" s="14">
        <v>3.1314903904881869E-2</v>
      </c>
      <c r="G31" s="13">
        <v>0</v>
      </c>
      <c r="H31" s="13">
        <v>1658663946</v>
      </c>
      <c r="I31" s="13">
        <v>0</v>
      </c>
      <c r="J31" s="13">
        <v>1658663946</v>
      </c>
      <c r="K31" s="14">
        <v>3.0643624420811394E-2</v>
      </c>
    </row>
    <row r="32" spans="1:11" x14ac:dyDescent="0.45">
      <c r="A32" s="13" t="s">
        <v>97</v>
      </c>
      <c r="B32" s="13">
        <v>0</v>
      </c>
      <c r="C32" s="13">
        <v>624955897</v>
      </c>
      <c r="D32" s="13">
        <v>0</v>
      </c>
      <c r="E32" s="13">
        <v>624955897</v>
      </c>
      <c r="F32" s="14">
        <v>1.1798914365106872E-2</v>
      </c>
      <c r="G32" s="13">
        <v>0</v>
      </c>
      <c r="H32" s="13">
        <v>624955897</v>
      </c>
      <c r="I32" s="13">
        <v>0</v>
      </c>
      <c r="J32" s="13">
        <v>624955897</v>
      </c>
      <c r="K32" s="14">
        <v>1.1545987861750562E-2</v>
      </c>
    </row>
    <row r="33" spans="1:11" x14ac:dyDescent="0.45">
      <c r="A33" s="13" t="s">
        <v>98</v>
      </c>
      <c r="B33" s="13">
        <v>0</v>
      </c>
      <c r="C33" s="13">
        <v>1</v>
      </c>
      <c r="D33" s="13">
        <v>-6111</v>
      </c>
      <c r="E33" s="13">
        <v>-6110</v>
      </c>
      <c r="F33" s="14">
        <v>-1.1535432678828374E-7</v>
      </c>
      <c r="G33" s="13">
        <v>0</v>
      </c>
      <c r="H33" s="13">
        <v>1529430</v>
      </c>
      <c r="I33" s="13">
        <v>-6111</v>
      </c>
      <c r="J33" s="13">
        <v>1523319</v>
      </c>
      <c r="K33" s="14">
        <v>2.8143142208919751E-5</v>
      </c>
    </row>
    <row r="34" spans="1:11" x14ac:dyDescent="0.45">
      <c r="A34" s="13" t="s">
        <v>99</v>
      </c>
      <c r="B34" s="13">
        <v>0</v>
      </c>
      <c r="C34" s="13">
        <v>1291048800</v>
      </c>
      <c r="D34" s="13">
        <v>0</v>
      </c>
      <c r="E34" s="13">
        <v>1291048800</v>
      </c>
      <c r="F34" s="14">
        <v>2.4374478752016624E-2</v>
      </c>
      <c r="G34" s="13">
        <v>0</v>
      </c>
      <c r="H34" s="13">
        <v>1288979203</v>
      </c>
      <c r="I34" s="13">
        <v>0</v>
      </c>
      <c r="J34" s="13">
        <v>1288979203</v>
      </c>
      <c r="K34" s="14">
        <v>2.3813741582931112E-2</v>
      </c>
    </row>
    <row r="35" spans="1:11" x14ac:dyDescent="0.45">
      <c r="A35" s="13" t="s">
        <v>100</v>
      </c>
      <c r="B35" s="13">
        <v>0</v>
      </c>
      <c r="C35" s="13">
        <v>435006428</v>
      </c>
      <c r="D35" s="13">
        <v>0</v>
      </c>
      <c r="E35" s="13">
        <v>435006428</v>
      </c>
      <c r="F35" s="14">
        <v>8.2127452783168613E-3</v>
      </c>
      <c r="G35" s="13">
        <v>0</v>
      </c>
      <c r="H35" s="13">
        <v>435006428</v>
      </c>
      <c r="I35" s="13">
        <v>0</v>
      </c>
      <c r="J35" s="13">
        <v>435006428</v>
      </c>
      <c r="K35" s="14">
        <v>8.0366934076173211E-3</v>
      </c>
    </row>
    <row r="36" spans="1:11" x14ac:dyDescent="0.45">
      <c r="A36" s="13" t="s">
        <v>101</v>
      </c>
      <c r="B36" s="13">
        <v>0</v>
      </c>
      <c r="C36" s="13">
        <v>453891923</v>
      </c>
      <c r="D36" s="13">
        <v>0</v>
      </c>
      <c r="E36" s="13">
        <v>453891923</v>
      </c>
      <c r="F36" s="14">
        <v>8.5692957794279087E-3</v>
      </c>
      <c r="G36" s="13">
        <v>0</v>
      </c>
      <c r="H36" s="13">
        <v>453891923</v>
      </c>
      <c r="I36" s="13">
        <v>0</v>
      </c>
      <c r="J36" s="13">
        <v>453891923</v>
      </c>
      <c r="K36" s="14">
        <v>8.3856007418466206E-3</v>
      </c>
    </row>
    <row r="37" spans="1:11" x14ac:dyDescent="0.45">
      <c r="A37" s="13" t="s">
        <v>102</v>
      </c>
      <c r="B37" s="13">
        <v>0</v>
      </c>
      <c r="C37" s="13">
        <v>2154672381</v>
      </c>
      <c r="D37" s="13">
        <v>0</v>
      </c>
      <c r="E37" s="13">
        <v>2154672381</v>
      </c>
      <c r="F37" s="14">
        <v>4.0679342382907269E-2</v>
      </c>
      <c r="G37" s="13">
        <v>0</v>
      </c>
      <c r="H37" s="13">
        <v>2154672381</v>
      </c>
      <c r="I37" s="13">
        <v>0</v>
      </c>
      <c r="J37" s="13">
        <v>2154672381</v>
      </c>
      <c r="K37" s="14">
        <v>3.9807322847095532E-2</v>
      </c>
    </row>
    <row r="38" spans="1:11" x14ac:dyDescent="0.45">
      <c r="A38" s="13" t="s">
        <v>103</v>
      </c>
      <c r="B38" s="13">
        <v>0</v>
      </c>
      <c r="C38" s="13">
        <v>-4052047466</v>
      </c>
      <c r="D38" s="13">
        <v>0</v>
      </c>
      <c r="E38" s="13">
        <v>-4052047466</v>
      </c>
      <c r="F38" s="14">
        <v>-7.6501015966383146E-2</v>
      </c>
      <c r="G38" s="13">
        <v>0</v>
      </c>
      <c r="H38" s="13">
        <v>-4052047466</v>
      </c>
      <c r="I38" s="13">
        <v>0</v>
      </c>
      <c r="J38" s="13">
        <v>-4052047466</v>
      </c>
      <c r="K38" s="14">
        <v>-7.4861107931385951E-2</v>
      </c>
    </row>
    <row r="39" spans="1:11" x14ac:dyDescent="0.45">
      <c r="A39" s="13" t="s">
        <v>104</v>
      </c>
      <c r="B39" s="13">
        <v>0</v>
      </c>
      <c r="C39" s="13">
        <v>48384247</v>
      </c>
      <c r="D39" s="13">
        <v>0</v>
      </c>
      <c r="E39" s="13">
        <v>48384247</v>
      </c>
      <c r="F39" s="14">
        <v>9.1347499833764926E-4</v>
      </c>
      <c r="G39" s="13">
        <v>0</v>
      </c>
      <c r="H39" s="13">
        <v>48384247</v>
      </c>
      <c r="I39" s="13">
        <v>0</v>
      </c>
      <c r="J39" s="13">
        <v>48384247</v>
      </c>
      <c r="K39" s="14">
        <v>8.9389336310549455E-4</v>
      </c>
    </row>
    <row r="40" spans="1:11" x14ac:dyDescent="0.45">
      <c r="A40" s="13" t="s">
        <v>105</v>
      </c>
      <c r="B40" s="13">
        <v>0</v>
      </c>
      <c r="C40" s="13">
        <v>-117444025</v>
      </c>
      <c r="D40" s="13">
        <v>-935000</v>
      </c>
      <c r="E40" s="13">
        <v>-118379025</v>
      </c>
      <c r="F40" s="14">
        <v>-2.2349480744236353E-3</v>
      </c>
      <c r="G40" s="13">
        <v>0</v>
      </c>
      <c r="H40" s="13">
        <v>-117444025</v>
      </c>
      <c r="I40" s="13">
        <v>-935000</v>
      </c>
      <c r="J40" s="13">
        <v>-118379025</v>
      </c>
      <c r="K40" s="14">
        <v>-2.1870387851318511E-3</v>
      </c>
    </row>
    <row r="41" spans="1:11" x14ac:dyDescent="0.45">
      <c r="A41" s="13" t="s">
        <v>106</v>
      </c>
      <c r="B41" s="13">
        <v>1696622400</v>
      </c>
      <c r="C41" s="13">
        <v>-1683507509</v>
      </c>
      <c r="D41" s="13">
        <v>0</v>
      </c>
      <c r="E41" s="13">
        <v>13114891</v>
      </c>
      <c r="F41" s="14">
        <v>2.4760383342172198E-4</v>
      </c>
      <c r="G41" s="13">
        <v>1696622400</v>
      </c>
      <c r="H41" s="13">
        <v>-1683507509</v>
      </c>
      <c r="I41" s="13">
        <v>0</v>
      </c>
      <c r="J41" s="13">
        <v>13114891</v>
      </c>
      <c r="K41" s="14">
        <v>2.422960932460514E-4</v>
      </c>
    </row>
    <row r="42" spans="1:11" x14ac:dyDescent="0.45">
      <c r="A42" s="13" t="s">
        <v>107</v>
      </c>
      <c r="B42" s="13">
        <v>0</v>
      </c>
      <c r="C42" s="13">
        <v>405824875</v>
      </c>
      <c r="D42" s="13">
        <v>0</v>
      </c>
      <c r="E42" s="13">
        <v>405824875</v>
      </c>
      <c r="F42" s="14">
        <v>7.6618093698141406E-3</v>
      </c>
      <c r="G42" s="13">
        <v>0</v>
      </c>
      <c r="H42" s="13">
        <v>405824875</v>
      </c>
      <c r="I42" s="13">
        <v>0</v>
      </c>
      <c r="J42" s="13">
        <v>405824875</v>
      </c>
      <c r="K42" s="14">
        <v>7.497567593552028E-3</v>
      </c>
    </row>
    <row r="43" spans="1:11" x14ac:dyDescent="0.45">
      <c r="A43" s="13" t="s">
        <v>108</v>
      </c>
      <c r="B43" s="13">
        <v>0</v>
      </c>
      <c r="C43" s="13">
        <v>5546334692</v>
      </c>
      <c r="D43" s="13">
        <v>0</v>
      </c>
      <c r="E43" s="13">
        <v>5546334692</v>
      </c>
      <c r="F43" s="14">
        <v>0.1047125539342329</v>
      </c>
      <c r="G43" s="13">
        <v>0</v>
      </c>
      <c r="H43" s="13">
        <v>5536628277</v>
      </c>
      <c r="I43" s="13">
        <v>0</v>
      </c>
      <c r="J43" s="13">
        <v>5536628277</v>
      </c>
      <c r="K43" s="14">
        <v>0.10228856658227024</v>
      </c>
    </row>
    <row r="44" spans="1:11" x14ac:dyDescent="0.45">
      <c r="A44" s="13" t="s">
        <v>109</v>
      </c>
      <c r="B44" s="13">
        <v>0</v>
      </c>
      <c r="C44" s="13">
        <v>361993420</v>
      </c>
      <c r="D44" s="13">
        <v>0</v>
      </c>
      <c r="E44" s="13">
        <v>361993420</v>
      </c>
      <c r="F44" s="14">
        <v>6.8342892415529368E-3</v>
      </c>
      <c r="G44" s="13">
        <v>0</v>
      </c>
      <c r="H44" s="13">
        <v>361993420</v>
      </c>
      <c r="I44" s="13">
        <v>0</v>
      </c>
      <c r="J44" s="13">
        <v>361993420</v>
      </c>
      <c r="K44" s="14">
        <v>6.6877865356850504E-3</v>
      </c>
    </row>
    <row r="45" spans="1:11" x14ac:dyDescent="0.45">
      <c r="A45" s="13" t="s">
        <v>110</v>
      </c>
      <c r="B45" s="13">
        <v>0</v>
      </c>
      <c r="C45" s="13">
        <v>926865634</v>
      </c>
      <c r="D45" s="13">
        <v>0</v>
      </c>
      <c r="E45" s="13">
        <v>926865634</v>
      </c>
      <c r="F45" s="14">
        <v>1.7498847992351192E-2</v>
      </c>
      <c r="G45" s="13">
        <v>0</v>
      </c>
      <c r="H45" s="13">
        <v>926865634</v>
      </c>
      <c r="I45" s="13">
        <v>0</v>
      </c>
      <c r="J45" s="13">
        <v>926865634</v>
      </c>
      <c r="K45" s="14">
        <v>1.7123735308377672E-2</v>
      </c>
    </row>
    <row r="46" spans="1:11" x14ac:dyDescent="0.45">
      <c r="A46" s="13" t="s">
        <v>111</v>
      </c>
      <c r="B46" s="13">
        <v>0</v>
      </c>
      <c r="C46" s="13">
        <v>-7609759878</v>
      </c>
      <c r="D46" s="13">
        <v>0</v>
      </c>
      <c r="E46" s="13">
        <v>-7609759878</v>
      </c>
      <c r="F46" s="14">
        <v>-0.14366918621066813</v>
      </c>
      <c r="G46" s="13">
        <v>0</v>
      </c>
      <c r="H46" s="13">
        <v>-7609759878</v>
      </c>
      <c r="I46" s="13">
        <v>0</v>
      </c>
      <c r="J46" s="13">
        <v>-7609759878</v>
      </c>
      <c r="K46" s="14">
        <v>-0.14058943295677781</v>
      </c>
    </row>
    <row r="47" spans="1:11" x14ac:dyDescent="0.45">
      <c r="A47" s="13" t="s">
        <v>112</v>
      </c>
      <c r="B47" s="13">
        <v>0</v>
      </c>
      <c r="C47" s="13">
        <v>2286091349</v>
      </c>
      <c r="D47" s="13">
        <v>0</v>
      </c>
      <c r="E47" s="13">
        <v>2286091349</v>
      </c>
      <c r="F47" s="14">
        <v>4.3160479302850149E-2</v>
      </c>
      <c r="G47" s="13">
        <v>0</v>
      </c>
      <c r="H47" s="13">
        <v>2286091349</v>
      </c>
      <c r="I47" s="13">
        <v>0</v>
      </c>
      <c r="J47" s="13">
        <v>2286091349</v>
      </c>
      <c r="K47" s="14">
        <v>4.223527306984827E-2</v>
      </c>
    </row>
    <row r="48" spans="1:11" x14ac:dyDescent="0.45">
      <c r="A48" s="13" t="s">
        <v>113</v>
      </c>
      <c r="B48" s="13">
        <v>0</v>
      </c>
      <c r="C48" s="13">
        <v>9753633961</v>
      </c>
      <c r="D48" s="13">
        <v>0</v>
      </c>
      <c r="E48" s="13">
        <v>9753633961</v>
      </c>
      <c r="F48" s="14">
        <v>0.1841446610982809</v>
      </c>
      <c r="G48" s="13">
        <v>0</v>
      </c>
      <c r="H48" s="13">
        <v>9753633961</v>
      </c>
      <c r="I48" s="13">
        <v>0</v>
      </c>
      <c r="J48" s="13">
        <v>9753633961</v>
      </c>
      <c r="K48" s="14">
        <v>0.18019725849816895</v>
      </c>
    </row>
    <row r="49" spans="1:11" x14ac:dyDescent="0.45">
      <c r="A49" s="13" t="s">
        <v>114</v>
      </c>
      <c r="B49" s="13">
        <v>0</v>
      </c>
      <c r="C49" s="13">
        <v>1393147080</v>
      </c>
      <c r="D49" s="13">
        <v>0</v>
      </c>
      <c r="E49" s="13">
        <v>1393147080</v>
      </c>
      <c r="F49" s="14">
        <v>2.6302052950975985E-2</v>
      </c>
      <c r="G49" s="13">
        <v>0</v>
      </c>
      <c r="H49" s="13">
        <v>1393147080</v>
      </c>
      <c r="I49" s="13">
        <v>0</v>
      </c>
      <c r="J49" s="13">
        <v>1393147080</v>
      </c>
      <c r="K49" s="14">
        <v>2.5738231053627835E-2</v>
      </c>
    </row>
    <row r="50" spans="1:11" x14ac:dyDescent="0.45">
      <c r="A50" s="13" t="s">
        <v>115</v>
      </c>
      <c r="B50" s="13">
        <v>0</v>
      </c>
      <c r="C50" s="13">
        <v>778287673</v>
      </c>
      <c r="D50" s="13">
        <v>0</v>
      </c>
      <c r="E50" s="13">
        <v>778287673</v>
      </c>
      <c r="F50" s="14">
        <v>1.4693756230202113E-2</v>
      </c>
      <c r="G50" s="13">
        <v>0</v>
      </c>
      <c r="H50" s="13">
        <v>778287673</v>
      </c>
      <c r="I50" s="13">
        <v>0</v>
      </c>
      <c r="J50" s="13">
        <v>778287673</v>
      </c>
      <c r="K50" s="14">
        <v>1.4378774676012203E-2</v>
      </c>
    </row>
    <row r="51" spans="1:11" x14ac:dyDescent="0.45">
      <c r="A51" s="13" t="s">
        <v>116</v>
      </c>
      <c r="B51" s="13">
        <v>0</v>
      </c>
      <c r="C51" s="13">
        <v>658786231</v>
      </c>
      <c r="D51" s="13">
        <v>0</v>
      </c>
      <c r="E51" s="13">
        <v>658786231</v>
      </c>
      <c r="F51" s="14">
        <v>1.2437617377151518E-2</v>
      </c>
      <c r="G51" s="13">
        <v>0</v>
      </c>
      <c r="H51" s="13">
        <v>658786231</v>
      </c>
      <c r="I51" s="13">
        <v>0</v>
      </c>
      <c r="J51" s="13">
        <v>658786231</v>
      </c>
      <c r="K51" s="14">
        <v>1.2170999366719155E-2</v>
      </c>
    </row>
    <row r="52" spans="1:11" x14ac:dyDescent="0.45">
      <c r="A52" s="13" t="s">
        <v>117</v>
      </c>
      <c r="B52" s="13">
        <v>0</v>
      </c>
      <c r="C52" s="13">
        <v>90891139</v>
      </c>
      <c r="D52" s="13">
        <v>0</v>
      </c>
      <c r="E52" s="13">
        <v>90891139</v>
      </c>
      <c r="F52" s="14">
        <v>1.7159879133167464E-3</v>
      </c>
      <c r="G52" s="13">
        <v>0</v>
      </c>
      <c r="H52" s="13">
        <v>90891139</v>
      </c>
      <c r="I52" s="13">
        <v>0</v>
      </c>
      <c r="J52" s="13">
        <v>90891139</v>
      </c>
      <c r="K52" s="14">
        <v>1.6792032728586016E-3</v>
      </c>
    </row>
    <row r="53" spans="1:11" x14ac:dyDescent="0.45">
      <c r="A53" s="13" t="s">
        <v>118</v>
      </c>
      <c r="B53" s="13">
        <v>0</v>
      </c>
      <c r="C53" s="13">
        <v>1889612367</v>
      </c>
      <c r="D53" s="13">
        <v>0</v>
      </c>
      <c r="E53" s="13">
        <v>1889612367</v>
      </c>
      <c r="F53" s="14">
        <v>3.5675116609836389E-2</v>
      </c>
      <c r="G53" s="13">
        <v>0</v>
      </c>
      <c r="H53" s="13">
        <v>1889612367</v>
      </c>
      <c r="I53" s="13">
        <v>0</v>
      </c>
      <c r="J53" s="13">
        <v>1889612367</v>
      </c>
      <c r="K53" s="14">
        <v>3.4910369767733783E-2</v>
      </c>
    </row>
    <row r="54" spans="1:11" x14ac:dyDescent="0.45">
      <c r="A54" s="13" t="s">
        <v>119</v>
      </c>
      <c r="B54" s="13">
        <v>7357161000</v>
      </c>
      <c r="C54" s="13">
        <v>-7300290146</v>
      </c>
      <c r="D54" s="13">
        <v>0</v>
      </c>
      <c r="E54" s="13">
        <v>56870854</v>
      </c>
      <c r="F54" s="14">
        <v>1.0736987032806504E-3</v>
      </c>
      <c r="G54" s="13">
        <v>7357161000</v>
      </c>
      <c r="H54" s="13">
        <v>-7300290146</v>
      </c>
      <c r="I54" s="13">
        <v>0</v>
      </c>
      <c r="J54" s="13">
        <v>56870854</v>
      </c>
      <c r="K54" s="14">
        <v>1.0506824451508271E-3</v>
      </c>
    </row>
    <row r="55" spans="1:11" x14ac:dyDescent="0.45">
      <c r="A55" s="13" t="s">
        <v>120</v>
      </c>
      <c r="B55" s="13">
        <v>0</v>
      </c>
      <c r="C55" s="13">
        <v>1720151098</v>
      </c>
      <c r="D55" s="13">
        <v>0</v>
      </c>
      <c r="E55" s="13">
        <v>1720151098</v>
      </c>
      <c r="F55" s="14">
        <v>3.2475756445812944E-2</v>
      </c>
      <c r="G55" s="13">
        <v>0</v>
      </c>
      <c r="H55" s="13">
        <v>1720151098</v>
      </c>
      <c r="I55" s="13">
        <v>0</v>
      </c>
      <c r="J55" s="13">
        <v>1720151098</v>
      </c>
      <c r="K55" s="14">
        <v>3.1779592437200258E-2</v>
      </c>
    </row>
    <row r="56" spans="1:11" x14ac:dyDescent="0.45">
      <c r="A56" s="13" t="s">
        <v>121</v>
      </c>
      <c r="B56" s="13">
        <v>0</v>
      </c>
      <c r="C56" s="13">
        <v>79077191</v>
      </c>
      <c r="D56" s="13">
        <v>0</v>
      </c>
      <c r="E56" s="13">
        <v>79077191</v>
      </c>
      <c r="F56" s="14">
        <v>1.4929453571380573E-3</v>
      </c>
      <c r="G56" s="13">
        <v>0</v>
      </c>
      <c r="H56" s="13">
        <v>79077191</v>
      </c>
      <c r="I56" s="13">
        <v>0</v>
      </c>
      <c r="J56" s="13">
        <v>79077191</v>
      </c>
      <c r="K56" s="14">
        <v>1.4609419509603104E-3</v>
      </c>
    </row>
    <row r="57" spans="1:11" x14ac:dyDescent="0.45">
      <c r="A57" s="13" t="s">
        <v>122</v>
      </c>
      <c r="B57" s="13">
        <v>0</v>
      </c>
      <c r="C57" s="13">
        <v>-261992826</v>
      </c>
      <c r="D57" s="13">
        <v>0</v>
      </c>
      <c r="E57" s="13">
        <v>-261992826</v>
      </c>
      <c r="F57" s="14">
        <v>-4.9463185051702059E-3</v>
      </c>
      <c r="G57" s="13">
        <v>0</v>
      </c>
      <c r="H57" s="13">
        <v>-261992826</v>
      </c>
      <c r="I57" s="13">
        <v>0</v>
      </c>
      <c r="J57" s="13">
        <v>-261992826</v>
      </c>
      <c r="K57" s="14">
        <v>-4.8402871360724627E-3</v>
      </c>
    </row>
    <row r="58" spans="1:11" x14ac:dyDescent="0.45">
      <c r="A58" s="13" t="s">
        <v>123</v>
      </c>
      <c r="B58" s="13">
        <v>0</v>
      </c>
      <c r="C58" s="13">
        <v>3585529542</v>
      </c>
      <c r="D58" s="13">
        <v>453962240</v>
      </c>
      <c r="E58" s="13">
        <v>4039491782</v>
      </c>
      <c r="F58" s="14">
        <v>7.6263969734765083E-2</v>
      </c>
      <c r="G58" s="13">
        <v>0</v>
      </c>
      <c r="H58" s="13">
        <v>3585529542</v>
      </c>
      <c r="I58" s="13">
        <v>453962240</v>
      </c>
      <c r="J58" s="13">
        <v>4039491782</v>
      </c>
      <c r="K58" s="14">
        <v>7.4629143122739661E-2</v>
      </c>
    </row>
    <row r="59" spans="1:11" x14ac:dyDescent="0.45">
      <c r="A59" s="13" t="s">
        <v>124</v>
      </c>
      <c r="B59" s="13">
        <v>0</v>
      </c>
      <c r="C59" s="13">
        <v>-6301391</v>
      </c>
      <c r="D59" s="13">
        <v>-115958600</v>
      </c>
      <c r="E59" s="13">
        <v>-122259991</v>
      </c>
      <c r="F59" s="14">
        <v>-2.3082191415624599E-3</v>
      </c>
      <c r="G59" s="13">
        <v>0</v>
      </c>
      <c r="H59" s="13">
        <v>-6301391</v>
      </c>
      <c r="I59" s="13">
        <v>-115958600</v>
      </c>
      <c r="J59" s="13">
        <v>-122259991</v>
      </c>
      <c r="K59" s="14">
        <v>-2.2587391827806579E-3</v>
      </c>
    </row>
    <row r="60" spans="1:11" x14ac:dyDescent="0.45">
      <c r="A60" s="13" t="s">
        <v>125</v>
      </c>
      <c r="B60" s="13">
        <v>0</v>
      </c>
      <c r="C60" s="13">
        <v>374913859</v>
      </c>
      <c r="D60" s="13">
        <v>0</v>
      </c>
      <c r="E60" s="13">
        <v>374913859</v>
      </c>
      <c r="F60" s="14">
        <v>7.0782218999251283E-3</v>
      </c>
      <c r="G60" s="13">
        <v>0</v>
      </c>
      <c r="H60" s="13">
        <v>374913859</v>
      </c>
      <c r="I60" s="13">
        <v>0</v>
      </c>
      <c r="J60" s="13">
        <v>374913859</v>
      </c>
      <c r="K60" s="14">
        <v>6.926490150737887E-3</v>
      </c>
    </row>
    <row r="61" spans="1:11" x14ac:dyDescent="0.45">
      <c r="A61" s="13" t="s">
        <v>126</v>
      </c>
      <c r="B61" s="13">
        <v>0</v>
      </c>
      <c r="C61" s="13">
        <v>-829764116</v>
      </c>
      <c r="D61" s="13">
        <v>0</v>
      </c>
      <c r="E61" s="13">
        <v>-829764116</v>
      </c>
      <c r="F61" s="14">
        <v>-1.5665610637357674E-2</v>
      </c>
      <c r="G61" s="13">
        <v>0</v>
      </c>
      <c r="H61" s="13">
        <v>-829764116</v>
      </c>
      <c r="I61" s="13">
        <v>0</v>
      </c>
      <c r="J61" s="13">
        <v>-829764116</v>
      </c>
      <c r="K61" s="14">
        <v>-1.532979600231244E-2</v>
      </c>
    </row>
    <row r="62" spans="1:11" x14ac:dyDescent="0.45">
      <c r="A62" s="13" t="s">
        <v>127</v>
      </c>
      <c r="B62" s="13">
        <v>0</v>
      </c>
      <c r="C62" s="13">
        <v>718258609</v>
      </c>
      <c r="D62" s="13">
        <v>0</v>
      </c>
      <c r="E62" s="13">
        <v>718258609</v>
      </c>
      <c r="F62" s="14">
        <v>1.3560431800504764E-2</v>
      </c>
      <c r="G62" s="13">
        <v>0</v>
      </c>
      <c r="H62" s="13">
        <v>718258609</v>
      </c>
      <c r="I62" s="13">
        <v>0</v>
      </c>
      <c r="J62" s="13">
        <v>718258609</v>
      </c>
      <c r="K62" s="14">
        <v>1.3269744666657403E-2</v>
      </c>
    </row>
    <row r="63" spans="1:11" x14ac:dyDescent="0.45">
      <c r="A63" s="13" t="s">
        <v>128</v>
      </c>
      <c r="B63" s="13">
        <v>0</v>
      </c>
      <c r="C63" s="13">
        <v>-1560572917</v>
      </c>
      <c r="D63" s="13">
        <v>0</v>
      </c>
      <c r="E63" s="13">
        <v>-1560572917</v>
      </c>
      <c r="F63" s="14">
        <v>-2.9462984982743568E-2</v>
      </c>
      <c r="G63" s="13">
        <v>0</v>
      </c>
      <c r="H63" s="13">
        <v>-1560572917</v>
      </c>
      <c r="I63" s="13">
        <v>0</v>
      </c>
      <c r="J63" s="13">
        <v>-1560572917</v>
      </c>
      <c r="K63" s="14">
        <v>-2.8831404013551803E-2</v>
      </c>
    </row>
    <row r="64" spans="1:11" x14ac:dyDescent="0.45">
      <c r="A64" s="13" t="s">
        <v>129</v>
      </c>
      <c r="B64" s="13">
        <v>0</v>
      </c>
      <c r="C64" s="13">
        <v>-122740934</v>
      </c>
      <c r="D64" s="13">
        <v>-545523643</v>
      </c>
      <c r="E64" s="13">
        <v>-668264577</v>
      </c>
      <c r="F64" s="14">
        <v>-1.2616564712977446E-2</v>
      </c>
      <c r="G64" s="13">
        <v>0</v>
      </c>
      <c r="H64" s="13">
        <v>-122740934</v>
      </c>
      <c r="I64" s="13">
        <v>-545523643</v>
      </c>
      <c r="J64" s="13">
        <v>-668264577</v>
      </c>
      <c r="K64" s="14">
        <v>-1.2346110712000967E-2</v>
      </c>
    </row>
    <row r="65" spans="1:11" x14ac:dyDescent="0.45">
      <c r="A65" s="13" t="s">
        <v>130</v>
      </c>
      <c r="B65" s="13">
        <v>0</v>
      </c>
      <c r="C65" s="13">
        <v>1484457552</v>
      </c>
      <c r="D65" s="13">
        <v>470351280</v>
      </c>
      <c r="E65" s="13">
        <v>1954808832</v>
      </c>
      <c r="F65" s="14">
        <v>3.6905999478748161E-2</v>
      </c>
      <c r="G65" s="13">
        <v>0</v>
      </c>
      <c r="H65" s="13">
        <v>1484457552</v>
      </c>
      <c r="I65" s="13">
        <v>470351280</v>
      </c>
      <c r="J65" s="13">
        <v>1954808832</v>
      </c>
      <c r="K65" s="14">
        <v>3.611486691246437E-2</v>
      </c>
    </row>
    <row r="66" spans="1:11" x14ac:dyDescent="0.45">
      <c r="A66" s="13" t="s">
        <v>131</v>
      </c>
      <c r="B66" s="13">
        <v>0</v>
      </c>
      <c r="C66" s="13">
        <v>269983093</v>
      </c>
      <c r="D66" s="13">
        <v>0</v>
      </c>
      <c r="E66" s="13">
        <v>269983093</v>
      </c>
      <c r="F66" s="14">
        <v>5.0971715118221933E-3</v>
      </c>
      <c r="G66" s="13">
        <v>0</v>
      </c>
      <c r="H66" s="13">
        <v>269983093</v>
      </c>
      <c r="I66" s="13">
        <v>0</v>
      </c>
      <c r="J66" s="13">
        <v>269983093</v>
      </c>
      <c r="K66" s="14">
        <v>4.9879063940665132E-3</v>
      </c>
    </row>
    <row r="67" spans="1:11" x14ac:dyDescent="0.45">
      <c r="A67" s="13" t="s">
        <v>132</v>
      </c>
      <c r="B67" s="13">
        <v>0</v>
      </c>
      <c r="C67" s="13">
        <v>380309196</v>
      </c>
      <c r="D67" s="13">
        <v>0</v>
      </c>
      <c r="E67" s="13">
        <v>380309196</v>
      </c>
      <c r="F67" s="14">
        <v>7.1800836785553927E-3</v>
      </c>
      <c r="G67" s="13">
        <v>0</v>
      </c>
      <c r="H67" s="13">
        <v>1154041582</v>
      </c>
      <c r="I67" s="13">
        <v>0</v>
      </c>
      <c r="J67" s="13">
        <v>1154041582</v>
      </c>
      <c r="K67" s="14">
        <v>2.1320784653268764E-2</v>
      </c>
    </row>
    <row r="68" spans="1:11" x14ac:dyDescent="0.45">
      <c r="A68" s="13" t="s">
        <v>133</v>
      </c>
      <c r="B68" s="13">
        <v>0</v>
      </c>
      <c r="C68" s="13">
        <v>46190169</v>
      </c>
      <c r="D68" s="13">
        <v>0</v>
      </c>
      <c r="E68" s="13">
        <v>46190169</v>
      </c>
      <c r="F68" s="14">
        <v>8.7205169381866668E-4</v>
      </c>
      <c r="G68" s="13">
        <v>0</v>
      </c>
      <c r="H68" s="13">
        <v>46190169</v>
      </c>
      <c r="I68" s="13">
        <v>0</v>
      </c>
      <c r="J68" s="13">
        <v>46190169</v>
      </c>
      <c r="K68" s="14">
        <v>8.5335802600836497E-4</v>
      </c>
    </row>
    <row r="69" spans="1:11" x14ac:dyDescent="0.45">
      <c r="A69" s="13" t="s">
        <v>134</v>
      </c>
      <c r="B69" s="13">
        <v>0</v>
      </c>
      <c r="C69" s="13">
        <v>-926595926</v>
      </c>
      <c r="D69" s="13">
        <v>-170496826</v>
      </c>
      <c r="E69" s="13">
        <v>-1097092752</v>
      </c>
      <c r="F69" s="14">
        <v>-2.0712667075493539E-2</v>
      </c>
      <c r="G69" s="13">
        <v>0</v>
      </c>
      <c r="H69" s="13">
        <v>-926595926</v>
      </c>
      <c r="I69" s="13">
        <v>-170496826</v>
      </c>
      <c r="J69" s="13">
        <v>-1097092752</v>
      </c>
      <c r="K69" s="14">
        <v>-2.0268661610543248E-2</v>
      </c>
    </row>
    <row r="70" spans="1:11" x14ac:dyDescent="0.45">
      <c r="A70" s="13" t="s">
        <v>135</v>
      </c>
      <c r="B70" s="13">
        <v>0</v>
      </c>
      <c r="C70" s="13">
        <v>676221733</v>
      </c>
      <c r="D70" s="13">
        <v>0</v>
      </c>
      <c r="E70" s="13">
        <v>676221733</v>
      </c>
      <c r="F70" s="14">
        <v>1.2766792597352137E-2</v>
      </c>
      <c r="G70" s="13">
        <v>324518880</v>
      </c>
      <c r="H70" s="13">
        <v>354211384</v>
      </c>
      <c r="I70" s="13">
        <v>0</v>
      </c>
      <c r="J70" s="13">
        <v>678730264</v>
      </c>
      <c r="K70" s="14">
        <v>1.2539463067978306E-2</v>
      </c>
    </row>
    <row r="71" spans="1:11" x14ac:dyDescent="0.45">
      <c r="A71" s="13" t="s">
        <v>136</v>
      </c>
      <c r="B71" s="13">
        <v>0</v>
      </c>
      <c r="C71" s="13">
        <v>444923679</v>
      </c>
      <c r="D71" s="13">
        <v>0</v>
      </c>
      <c r="E71" s="13">
        <v>444923679</v>
      </c>
      <c r="F71" s="14">
        <v>8.3999789628823977E-3</v>
      </c>
      <c r="G71" s="13">
        <v>0</v>
      </c>
      <c r="H71" s="13">
        <v>442408430</v>
      </c>
      <c r="I71" s="13">
        <v>0</v>
      </c>
      <c r="J71" s="13">
        <v>442408430</v>
      </c>
      <c r="K71" s="14">
        <v>8.1734445378249202E-3</v>
      </c>
    </row>
    <row r="72" spans="1:11" x14ac:dyDescent="0.45">
      <c r="A72" s="13" t="s">
        <v>137</v>
      </c>
      <c r="B72" s="13">
        <v>0</v>
      </c>
      <c r="C72" s="13">
        <v>1809782361</v>
      </c>
      <c r="D72" s="13">
        <v>0</v>
      </c>
      <c r="E72" s="13">
        <v>1809782361</v>
      </c>
      <c r="F72" s="14">
        <v>3.416795841022352E-2</v>
      </c>
      <c r="G72" s="13">
        <v>0</v>
      </c>
      <c r="H72" s="13">
        <v>1809782361</v>
      </c>
      <c r="I72" s="13">
        <v>0</v>
      </c>
      <c r="J72" s="13">
        <v>1809782361</v>
      </c>
      <c r="K72" s="14">
        <v>3.3435519646782812E-2</v>
      </c>
    </row>
    <row r="73" spans="1:11" x14ac:dyDescent="0.45">
      <c r="A73" s="13" t="s">
        <v>138</v>
      </c>
      <c r="B73" s="13">
        <v>0</v>
      </c>
      <c r="C73" s="13">
        <v>948866582</v>
      </c>
      <c r="D73" s="13">
        <v>0</v>
      </c>
      <c r="E73" s="13">
        <v>948866582</v>
      </c>
      <c r="F73" s="14">
        <v>1.7914216985026158E-2</v>
      </c>
      <c r="G73" s="13">
        <v>0</v>
      </c>
      <c r="H73" s="13">
        <v>948866582</v>
      </c>
      <c r="I73" s="13">
        <v>0</v>
      </c>
      <c r="J73" s="13">
        <v>948866582</v>
      </c>
      <c r="K73" s="14">
        <v>1.7530200276184838E-2</v>
      </c>
    </row>
    <row r="74" spans="1:11" x14ac:dyDescent="0.45">
      <c r="A74" s="13" t="s">
        <v>139</v>
      </c>
      <c r="B74" s="13">
        <v>0</v>
      </c>
      <c r="C74" s="13">
        <v>788206942</v>
      </c>
      <c r="D74" s="13">
        <v>0</v>
      </c>
      <c r="E74" s="13">
        <v>788206942</v>
      </c>
      <c r="F74" s="14">
        <v>1.4881028013790803E-2</v>
      </c>
      <c r="G74" s="13">
        <v>0</v>
      </c>
      <c r="H74" s="13">
        <v>788206942</v>
      </c>
      <c r="I74" s="13">
        <v>0</v>
      </c>
      <c r="J74" s="13">
        <v>788206942</v>
      </c>
      <c r="K74" s="14">
        <v>1.456203202268452E-2</v>
      </c>
    </row>
    <row r="75" spans="1:11" x14ac:dyDescent="0.45">
      <c r="A75" s="13" t="s">
        <v>140</v>
      </c>
      <c r="B75" s="13">
        <v>0</v>
      </c>
      <c r="C75" s="13">
        <v>2226551087</v>
      </c>
      <c r="D75" s="13">
        <v>94100128</v>
      </c>
      <c r="E75" s="13">
        <v>2320651215</v>
      </c>
      <c r="F75" s="14">
        <v>4.3812955583754122E-2</v>
      </c>
      <c r="G75" s="13">
        <v>0</v>
      </c>
      <c r="H75" s="13">
        <v>2226551087</v>
      </c>
      <c r="I75" s="13">
        <v>94100128</v>
      </c>
      <c r="J75" s="13">
        <v>2320651215</v>
      </c>
      <c r="K75" s="14">
        <v>4.2873762594077408E-2</v>
      </c>
    </row>
    <row r="76" spans="1:11" x14ac:dyDescent="0.45">
      <c r="A76" s="13" t="s">
        <v>141</v>
      </c>
      <c r="B76" s="13">
        <v>0</v>
      </c>
      <c r="C76" s="13">
        <v>1862926039</v>
      </c>
      <c r="D76" s="13">
        <v>0</v>
      </c>
      <c r="E76" s="13">
        <v>1862926039</v>
      </c>
      <c r="F76" s="14">
        <v>3.5171289539314081E-2</v>
      </c>
      <c r="G76" s="13">
        <v>0</v>
      </c>
      <c r="H76" s="13">
        <v>1862926039</v>
      </c>
      <c r="I76" s="13">
        <v>0</v>
      </c>
      <c r="J76" s="13">
        <v>1862926039</v>
      </c>
      <c r="K76" s="14">
        <v>3.4417342946734451E-2</v>
      </c>
    </row>
    <row r="77" spans="1:11" x14ac:dyDescent="0.45">
      <c r="A77" s="13" t="s">
        <v>142</v>
      </c>
      <c r="B77" s="13">
        <v>0</v>
      </c>
      <c r="C77" s="13">
        <v>-982934774</v>
      </c>
      <c r="D77" s="13">
        <v>0</v>
      </c>
      <c r="E77" s="13">
        <v>-982934774</v>
      </c>
      <c r="F77" s="14">
        <v>-1.8557410659830412E-2</v>
      </c>
      <c r="G77" s="13">
        <v>0</v>
      </c>
      <c r="H77" s="13">
        <v>-982934774</v>
      </c>
      <c r="I77" s="13">
        <v>0</v>
      </c>
      <c r="J77" s="13">
        <v>-982934774</v>
      </c>
      <c r="K77" s="14">
        <v>-1.8159606180172632E-2</v>
      </c>
    </row>
    <row r="78" spans="1:11" x14ac:dyDescent="0.45">
      <c r="A78" s="13" t="s">
        <v>143</v>
      </c>
      <c r="B78" s="13">
        <v>0</v>
      </c>
      <c r="C78" s="13">
        <v>-4043350398</v>
      </c>
      <c r="D78" s="13">
        <v>0</v>
      </c>
      <c r="E78" s="13">
        <v>-4043350398</v>
      </c>
      <c r="F78" s="14">
        <v>-7.6336818842950752E-2</v>
      </c>
      <c r="G78" s="13">
        <v>4876820845</v>
      </c>
      <c r="H78" s="13">
        <v>-9736435750</v>
      </c>
      <c r="I78" s="13">
        <v>0</v>
      </c>
      <c r="J78" s="13">
        <v>-4859614905</v>
      </c>
      <c r="K78" s="14">
        <v>-8.9780822895270812E-2</v>
      </c>
    </row>
    <row r="79" spans="1:11" x14ac:dyDescent="0.45">
      <c r="A79" s="13" t="s">
        <v>144</v>
      </c>
      <c r="B79" s="13">
        <v>0</v>
      </c>
      <c r="C79" s="13">
        <v>1151378327</v>
      </c>
      <c r="D79" s="13">
        <v>0</v>
      </c>
      <c r="E79" s="13">
        <v>1151378327</v>
      </c>
      <c r="F79" s="14">
        <v>2.1737556757725925E-2</v>
      </c>
      <c r="G79" s="13">
        <v>0</v>
      </c>
      <c r="H79" s="13">
        <v>1151378327</v>
      </c>
      <c r="I79" s="13">
        <v>0</v>
      </c>
      <c r="J79" s="13">
        <v>1151378327</v>
      </c>
      <c r="K79" s="14">
        <v>2.1271581325401381E-2</v>
      </c>
    </row>
    <row r="80" spans="1:11" x14ac:dyDescent="0.45">
      <c r="A80" s="13" t="s">
        <v>145</v>
      </c>
      <c r="B80" s="13">
        <v>0</v>
      </c>
      <c r="C80" s="13">
        <v>-6083693547</v>
      </c>
      <c r="D80" s="13">
        <v>0</v>
      </c>
      <c r="E80" s="13">
        <v>-6083693547</v>
      </c>
      <c r="F80" s="14">
        <v>-0.11485767160399525</v>
      </c>
      <c r="G80" s="13">
        <v>0</v>
      </c>
      <c r="H80" s="13">
        <v>-6083702207</v>
      </c>
      <c r="I80" s="13">
        <v>0</v>
      </c>
      <c r="J80" s="13">
        <v>-6083702207</v>
      </c>
      <c r="K80" s="14">
        <v>-0.11239569411811967</v>
      </c>
    </row>
    <row r="81" spans="1:11" x14ac:dyDescent="0.45">
      <c r="A81" s="13" t="s">
        <v>146</v>
      </c>
      <c r="B81" s="13">
        <v>0</v>
      </c>
      <c r="C81" s="13">
        <v>-379062868</v>
      </c>
      <c r="D81" s="13">
        <v>0</v>
      </c>
      <c r="E81" s="13">
        <v>-379062868</v>
      </c>
      <c r="F81" s="14">
        <v>-7.156553510405248E-3</v>
      </c>
      <c r="G81" s="13">
        <v>0</v>
      </c>
      <c r="H81" s="13">
        <v>-379062868</v>
      </c>
      <c r="I81" s="13">
        <v>0</v>
      </c>
      <c r="J81" s="13">
        <v>-379062868</v>
      </c>
      <c r="K81" s="14">
        <v>-7.0031426117871413E-3</v>
      </c>
    </row>
    <row r="82" spans="1:11" x14ac:dyDescent="0.45">
      <c r="A82" s="13" t="s">
        <v>147</v>
      </c>
      <c r="B82" s="13">
        <v>0</v>
      </c>
      <c r="C82" s="13">
        <v>-837410886</v>
      </c>
      <c r="D82" s="13">
        <v>0</v>
      </c>
      <c r="E82" s="13">
        <v>-837410886</v>
      </c>
      <c r="F82" s="14">
        <v>-1.5809978559690706E-2</v>
      </c>
      <c r="G82" s="13">
        <v>0</v>
      </c>
      <c r="H82" s="13">
        <v>-837410886</v>
      </c>
      <c r="I82" s="13">
        <v>0</v>
      </c>
      <c r="J82" s="13">
        <v>-837410886</v>
      </c>
      <c r="K82" s="14">
        <v>-1.5471069192989443E-2</v>
      </c>
    </row>
    <row r="83" spans="1:11" x14ac:dyDescent="0.45">
      <c r="A83" s="13" t="s">
        <v>148</v>
      </c>
      <c r="B83" s="13">
        <v>0</v>
      </c>
      <c r="C83" s="13">
        <v>894642444</v>
      </c>
      <c r="D83" s="13">
        <v>0</v>
      </c>
      <c r="E83" s="13">
        <v>894642444</v>
      </c>
      <c r="F83" s="14">
        <v>1.6890487208485242E-2</v>
      </c>
      <c r="G83" s="13">
        <v>0</v>
      </c>
      <c r="H83" s="13">
        <v>894642444</v>
      </c>
      <c r="I83" s="13">
        <v>0</v>
      </c>
      <c r="J83" s="13">
        <v>894642444</v>
      </c>
      <c r="K83" s="14">
        <v>1.6528415602790697E-2</v>
      </c>
    </row>
    <row r="84" spans="1:11" x14ac:dyDescent="0.45">
      <c r="A84" s="13" t="s">
        <v>149</v>
      </c>
      <c r="B84" s="13">
        <v>0</v>
      </c>
      <c r="C84" s="13">
        <v>485135392</v>
      </c>
      <c r="D84" s="13">
        <v>56594256</v>
      </c>
      <c r="E84" s="13">
        <v>541729648</v>
      </c>
      <c r="F84" s="14">
        <v>1.0227636472388531E-2</v>
      </c>
      <c r="G84" s="13">
        <v>0</v>
      </c>
      <c r="H84" s="13">
        <v>485135392</v>
      </c>
      <c r="I84" s="13">
        <v>56594256</v>
      </c>
      <c r="J84" s="13">
        <v>541729648</v>
      </c>
      <c r="K84" s="14">
        <v>1.0008392544471669E-2</v>
      </c>
    </row>
    <row r="85" spans="1:11" x14ac:dyDescent="0.45">
      <c r="A85" s="13" t="s">
        <v>150</v>
      </c>
      <c r="B85" s="13">
        <v>2127401140</v>
      </c>
      <c r="C85" s="13">
        <v>-2474914317</v>
      </c>
      <c r="D85" s="13">
        <v>0</v>
      </c>
      <c r="E85" s="13">
        <v>-347513177</v>
      </c>
      <c r="F85" s="14">
        <v>-6.5609081150397198E-3</v>
      </c>
      <c r="G85" s="13">
        <v>2127401140</v>
      </c>
      <c r="H85" s="13">
        <v>-2474914317</v>
      </c>
      <c r="I85" s="13">
        <v>0</v>
      </c>
      <c r="J85" s="13">
        <v>-347513177</v>
      </c>
      <c r="K85" s="14">
        <v>-6.4202657222712381E-3</v>
      </c>
    </row>
    <row r="86" spans="1:11" x14ac:dyDescent="0.45">
      <c r="A86" s="13" t="s">
        <v>151</v>
      </c>
      <c r="B86" s="13">
        <v>0</v>
      </c>
      <c r="C86" s="13">
        <v>-4196821271</v>
      </c>
      <c r="D86" s="13">
        <v>0</v>
      </c>
      <c r="E86" s="13">
        <v>-4196821271</v>
      </c>
      <c r="F86" s="14">
        <v>-7.9234286803102183E-2</v>
      </c>
      <c r="G86" s="13">
        <v>0</v>
      </c>
      <c r="H86" s="13">
        <v>-4196821271</v>
      </c>
      <c r="I86" s="13">
        <v>0</v>
      </c>
      <c r="J86" s="13">
        <v>-4196821271</v>
      </c>
      <c r="K86" s="14">
        <v>-7.7535787221962263E-2</v>
      </c>
    </row>
    <row r="87" spans="1:11" x14ac:dyDescent="0.45">
      <c r="A87" s="13" t="s">
        <v>152</v>
      </c>
      <c r="B87" s="13">
        <v>0</v>
      </c>
      <c r="C87" s="13">
        <v>254540633</v>
      </c>
      <c r="D87" s="13">
        <v>0</v>
      </c>
      <c r="E87" s="13">
        <v>254540633</v>
      </c>
      <c r="F87" s="14">
        <v>4.8056241178361051E-3</v>
      </c>
      <c r="G87" s="13">
        <v>0</v>
      </c>
      <c r="H87" s="13">
        <v>254540633</v>
      </c>
      <c r="I87" s="13">
        <v>0</v>
      </c>
      <c r="J87" s="13">
        <v>254540633</v>
      </c>
      <c r="K87" s="14">
        <v>4.7026087329492062E-3</v>
      </c>
    </row>
    <row r="88" spans="1:11" x14ac:dyDescent="0.45">
      <c r="A88" s="13" t="s">
        <v>153</v>
      </c>
      <c r="B88" s="13">
        <v>0</v>
      </c>
      <c r="C88" s="13">
        <v>-864902300</v>
      </c>
      <c r="D88" s="13">
        <v>-179029616</v>
      </c>
      <c r="E88" s="13">
        <v>-1043931916</v>
      </c>
      <c r="F88" s="14">
        <v>-1.9709012010308211E-2</v>
      </c>
      <c r="G88" s="13">
        <v>0</v>
      </c>
      <c r="H88" s="13">
        <v>-864902300</v>
      </c>
      <c r="I88" s="13">
        <v>-179029616</v>
      </c>
      <c r="J88" s="13">
        <v>-1043931916</v>
      </c>
      <c r="K88" s="14">
        <v>-1.9286521318527549E-2</v>
      </c>
    </row>
    <row r="89" spans="1:11" x14ac:dyDescent="0.45">
      <c r="A89" s="13" t="s">
        <v>154</v>
      </c>
      <c r="B89" s="13">
        <v>0</v>
      </c>
      <c r="C89" s="13">
        <v>362972366</v>
      </c>
      <c r="D89" s="13">
        <v>0</v>
      </c>
      <c r="E89" s="13">
        <v>362972366</v>
      </c>
      <c r="F89" s="14">
        <v>6.8527713457742275E-3</v>
      </c>
      <c r="G89" s="13">
        <v>0</v>
      </c>
      <c r="H89" s="13">
        <v>362972366</v>
      </c>
      <c r="I89" s="13">
        <v>0</v>
      </c>
      <c r="J89" s="13">
        <v>362972366</v>
      </c>
      <c r="K89" s="14">
        <v>6.7058724497272518E-3</v>
      </c>
    </row>
    <row r="90" spans="1:11" x14ac:dyDescent="0.45">
      <c r="A90" s="13" t="s">
        <v>155</v>
      </c>
      <c r="B90" s="13">
        <v>0</v>
      </c>
      <c r="C90" s="13">
        <v>667172580</v>
      </c>
      <c r="D90" s="13">
        <v>0</v>
      </c>
      <c r="E90" s="13">
        <v>667172580</v>
      </c>
      <c r="F90" s="14">
        <v>1.2595948251637051E-2</v>
      </c>
      <c r="G90" s="13">
        <v>0</v>
      </c>
      <c r="H90" s="13">
        <v>667172580</v>
      </c>
      <c r="I90" s="13">
        <v>0</v>
      </c>
      <c r="J90" s="13">
        <v>667172580</v>
      </c>
      <c r="K90" s="14">
        <v>1.2325936193818818E-2</v>
      </c>
    </row>
    <row r="91" spans="1:11" x14ac:dyDescent="0.45">
      <c r="A91" s="13" t="s">
        <v>156</v>
      </c>
      <c r="B91" s="13">
        <v>0</v>
      </c>
      <c r="C91" s="13">
        <v>1111342400</v>
      </c>
      <c r="D91" s="13">
        <v>0</v>
      </c>
      <c r="E91" s="13">
        <v>1111342400</v>
      </c>
      <c r="F91" s="14">
        <v>2.0981694661747225E-2</v>
      </c>
      <c r="G91" s="13">
        <v>0</v>
      </c>
      <c r="H91" s="13">
        <v>1111342400</v>
      </c>
      <c r="I91" s="13">
        <v>0</v>
      </c>
      <c r="J91" s="13">
        <v>1111342400</v>
      </c>
      <c r="K91" s="14">
        <v>2.0531922208022205E-2</v>
      </c>
    </row>
    <row r="92" spans="1:11" x14ac:dyDescent="0.45">
      <c r="A92" s="13" t="s">
        <v>157</v>
      </c>
      <c r="B92" s="13">
        <v>1830403200</v>
      </c>
      <c r="C92" s="13">
        <v>-1816254183</v>
      </c>
      <c r="D92" s="13">
        <v>0</v>
      </c>
      <c r="E92" s="13">
        <v>14149017</v>
      </c>
      <c r="F92" s="14">
        <v>2.6712771370719835E-4</v>
      </c>
      <c r="G92" s="13">
        <v>1830403200</v>
      </c>
      <c r="H92" s="13">
        <v>-1816254183</v>
      </c>
      <c r="I92" s="13">
        <v>0</v>
      </c>
      <c r="J92" s="13">
        <v>14149017</v>
      </c>
      <c r="K92" s="14">
        <v>2.6140145140146159E-4</v>
      </c>
    </row>
    <row r="93" spans="1:11" x14ac:dyDescent="0.45">
      <c r="A93" s="13" t="s">
        <v>158</v>
      </c>
      <c r="B93" s="13">
        <v>0</v>
      </c>
      <c r="C93" s="13">
        <v>112037975</v>
      </c>
      <c r="D93" s="13">
        <v>36566700</v>
      </c>
      <c r="E93" s="13">
        <v>148604675</v>
      </c>
      <c r="F93" s="14">
        <v>2.8055961116557606E-3</v>
      </c>
      <c r="G93" s="13">
        <v>0</v>
      </c>
      <c r="H93" s="13">
        <v>112037975</v>
      </c>
      <c r="I93" s="13">
        <v>36566700</v>
      </c>
      <c r="J93" s="13">
        <v>148604675</v>
      </c>
      <c r="K93" s="14">
        <v>2.7454541704234644E-3</v>
      </c>
    </row>
    <row r="94" spans="1:11" x14ac:dyDescent="0.45">
      <c r="A94" s="13" t="s">
        <v>159</v>
      </c>
      <c r="B94" s="13">
        <v>0</v>
      </c>
      <c r="C94" s="13">
        <v>-94885818</v>
      </c>
      <c r="D94" s="13">
        <v>0</v>
      </c>
      <c r="E94" s="13">
        <v>-94885818</v>
      </c>
      <c r="F94" s="14">
        <v>-1.7914058358667129E-3</v>
      </c>
      <c r="G94" s="13">
        <v>0</v>
      </c>
      <c r="H94" s="13">
        <v>-94885818</v>
      </c>
      <c r="I94" s="13">
        <v>0</v>
      </c>
      <c r="J94" s="13">
        <v>-94885818</v>
      </c>
      <c r="K94" s="14">
        <v>-1.7530045050207325E-3</v>
      </c>
    </row>
    <row r="95" spans="1:11" x14ac:dyDescent="0.45">
      <c r="A95" s="13" t="s">
        <v>160</v>
      </c>
      <c r="B95" s="13">
        <v>0</v>
      </c>
      <c r="C95" s="13">
        <v>-3003005928</v>
      </c>
      <c r="D95" s="13">
        <v>0</v>
      </c>
      <c r="E95" s="13">
        <v>-3003005928</v>
      </c>
      <c r="F95" s="14">
        <v>-5.6695536360992678E-2</v>
      </c>
      <c r="G95" s="13">
        <v>0</v>
      </c>
      <c r="H95" s="13">
        <v>-3003005928</v>
      </c>
      <c r="I95" s="13">
        <v>0</v>
      </c>
      <c r="J95" s="13">
        <v>-3003005928</v>
      </c>
      <c r="K95" s="14">
        <v>-5.5480186937820003E-2</v>
      </c>
    </row>
    <row r="96" spans="1:11" x14ac:dyDescent="0.45">
      <c r="A96" s="13" t="s">
        <v>161</v>
      </c>
      <c r="B96" s="13">
        <v>0</v>
      </c>
      <c r="C96" s="13">
        <v>401869350</v>
      </c>
      <c r="D96" s="13">
        <v>0</v>
      </c>
      <c r="E96" s="13">
        <v>401869350</v>
      </c>
      <c r="F96" s="14">
        <v>7.5871306589353803E-3</v>
      </c>
      <c r="G96" s="13">
        <v>0</v>
      </c>
      <c r="H96" s="13">
        <v>401869350</v>
      </c>
      <c r="I96" s="13">
        <v>0</v>
      </c>
      <c r="J96" s="13">
        <v>401869350</v>
      </c>
      <c r="K96" s="14">
        <v>7.4244897270080296E-3</v>
      </c>
    </row>
    <row r="97" spans="1:11" x14ac:dyDescent="0.45">
      <c r="A97" s="13" t="s">
        <v>162</v>
      </c>
      <c r="B97" s="13">
        <v>0</v>
      </c>
      <c r="C97" s="13">
        <v>37403588</v>
      </c>
      <c r="D97" s="13">
        <v>0</v>
      </c>
      <c r="E97" s="13">
        <v>37403588</v>
      </c>
      <c r="F97" s="14">
        <v>7.0616460117943177E-4</v>
      </c>
      <c r="G97" s="13">
        <v>0</v>
      </c>
      <c r="H97" s="13">
        <v>37403588</v>
      </c>
      <c r="I97" s="13">
        <v>0</v>
      </c>
      <c r="J97" s="13">
        <v>37403588</v>
      </c>
      <c r="K97" s="14">
        <v>6.9102695903342913E-4</v>
      </c>
    </row>
    <row r="98" spans="1:11" x14ac:dyDescent="0.45">
      <c r="A98" s="13" t="s">
        <v>163</v>
      </c>
      <c r="B98" s="13">
        <v>0</v>
      </c>
      <c r="C98" s="13">
        <v>63887800</v>
      </c>
      <c r="D98" s="13">
        <v>0</v>
      </c>
      <c r="E98" s="13">
        <v>63887800</v>
      </c>
      <c r="F98" s="14">
        <v>1.206175803434454E-3</v>
      </c>
      <c r="G98" s="13">
        <v>0</v>
      </c>
      <c r="H98" s="13">
        <v>63887800</v>
      </c>
      <c r="I98" s="13">
        <v>0</v>
      </c>
      <c r="J98" s="13">
        <v>63887800</v>
      </c>
      <c r="K98" s="14">
        <v>1.1803197103266113E-3</v>
      </c>
    </row>
    <row r="99" spans="1:11" x14ac:dyDescent="0.45">
      <c r="A99" s="13" t="s">
        <v>164</v>
      </c>
      <c r="B99" s="13">
        <v>0</v>
      </c>
      <c r="C99" s="13">
        <v>1035206069</v>
      </c>
      <c r="D99" s="13">
        <v>0</v>
      </c>
      <c r="E99" s="13">
        <v>1035206069</v>
      </c>
      <c r="F99" s="14">
        <v>1.9544271551005007E-2</v>
      </c>
      <c r="G99" s="13">
        <v>0</v>
      </c>
      <c r="H99" s="13">
        <v>1035206069</v>
      </c>
      <c r="I99" s="13">
        <v>0</v>
      </c>
      <c r="J99" s="13">
        <v>1035206069</v>
      </c>
      <c r="K99" s="14">
        <v>1.9125312305172976E-2</v>
      </c>
    </row>
    <row r="100" spans="1:11" x14ac:dyDescent="0.45">
      <c r="A100" s="13" t="s">
        <v>165</v>
      </c>
      <c r="B100" s="13">
        <v>1489369410</v>
      </c>
      <c r="C100" s="13">
        <v>-1477856585</v>
      </c>
      <c r="D100" s="13">
        <v>0</v>
      </c>
      <c r="E100" s="13">
        <v>11512825</v>
      </c>
      <c r="F100" s="14">
        <v>2.1735747582754872E-4</v>
      </c>
      <c r="G100" s="13">
        <v>1489369410</v>
      </c>
      <c r="H100" s="13">
        <v>-1477856585</v>
      </c>
      <c r="I100" s="13">
        <v>0</v>
      </c>
      <c r="J100" s="13">
        <v>11512825</v>
      </c>
      <c r="K100" s="14">
        <v>2.1269810932667848E-4</v>
      </c>
    </row>
    <row r="101" spans="1:11" x14ac:dyDescent="0.45">
      <c r="A101" s="13" t="s">
        <v>166</v>
      </c>
      <c r="B101" s="13">
        <v>0</v>
      </c>
      <c r="C101" s="13">
        <v>1056595143</v>
      </c>
      <c r="D101" s="13">
        <v>0</v>
      </c>
      <c r="E101" s="13">
        <v>1056595143</v>
      </c>
      <c r="F101" s="14">
        <v>1.9948088610234924E-2</v>
      </c>
      <c r="G101" s="13">
        <v>0</v>
      </c>
      <c r="H101" s="13">
        <v>1056595143</v>
      </c>
      <c r="I101" s="13">
        <v>0</v>
      </c>
      <c r="J101" s="13">
        <v>1056595143</v>
      </c>
      <c r="K101" s="14">
        <v>1.9520472971651309E-2</v>
      </c>
    </row>
    <row r="102" spans="1:11" x14ac:dyDescent="0.45">
      <c r="A102" s="13" t="s">
        <v>167</v>
      </c>
      <c r="B102" s="13">
        <v>0</v>
      </c>
      <c r="C102" s="13">
        <v>1349690894</v>
      </c>
      <c r="D102" s="13">
        <v>0</v>
      </c>
      <c r="E102" s="13">
        <v>1349690894</v>
      </c>
      <c r="F102" s="14">
        <v>2.5481617749533031E-2</v>
      </c>
      <c r="G102" s="13">
        <v>0</v>
      </c>
      <c r="H102" s="13">
        <v>1349690894</v>
      </c>
      <c r="I102" s="13">
        <v>0</v>
      </c>
      <c r="J102" s="13">
        <v>1349690894</v>
      </c>
      <c r="K102" s="14">
        <v>2.4935383047100464E-2</v>
      </c>
    </row>
    <row r="103" spans="1:11" x14ac:dyDescent="0.45">
      <c r="A103" s="13" t="s">
        <v>168</v>
      </c>
      <c r="B103" s="13">
        <v>0</v>
      </c>
      <c r="C103" s="13">
        <v>721366319</v>
      </c>
      <c r="D103" s="13">
        <v>0</v>
      </c>
      <c r="E103" s="13">
        <v>721366319</v>
      </c>
      <c r="F103" s="14">
        <v>1.3619104107362901E-2</v>
      </c>
      <c r="G103" s="13">
        <v>0</v>
      </c>
      <c r="H103" s="13">
        <v>721366319</v>
      </c>
      <c r="I103" s="13">
        <v>0</v>
      </c>
      <c r="J103" s="13">
        <v>721366319</v>
      </c>
      <c r="K103" s="14">
        <v>1.3327159249206482E-2</v>
      </c>
    </row>
    <row r="104" spans="1:11" x14ac:dyDescent="0.45">
      <c r="A104" s="13" t="s">
        <v>169</v>
      </c>
      <c r="B104" s="13">
        <v>0</v>
      </c>
      <c r="C104" s="13">
        <v>172237989</v>
      </c>
      <c r="D104" s="13">
        <v>0</v>
      </c>
      <c r="E104" s="13">
        <v>172237989</v>
      </c>
      <c r="F104" s="14">
        <v>3.2517835136600358E-3</v>
      </c>
      <c r="G104" s="13">
        <v>0</v>
      </c>
      <c r="H104" s="13">
        <v>172237989</v>
      </c>
      <c r="I104" s="13">
        <v>0</v>
      </c>
      <c r="J104" s="13">
        <v>172237989</v>
      </c>
      <c r="K104" s="14">
        <v>3.1820769111429422E-3</v>
      </c>
    </row>
    <row r="105" spans="1:11" x14ac:dyDescent="0.45">
      <c r="A105" s="13" t="s">
        <v>170</v>
      </c>
      <c r="B105" s="13">
        <v>0</v>
      </c>
      <c r="C105" s="13">
        <v>3272229071</v>
      </c>
      <c r="D105" s="13">
        <v>0</v>
      </c>
      <c r="E105" s="13">
        <v>3272229071</v>
      </c>
      <c r="F105" s="14">
        <v>6.1778360324428169E-2</v>
      </c>
      <c r="G105" s="13">
        <v>0</v>
      </c>
      <c r="H105" s="13">
        <v>3272229071</v>
      </c>
      <c r="I105" s="13">
        <v>0</v>
      </c>
      <c r="J105" s="13">
        <v>3272229071</v>
      </c>
      <c r="K105" s="14">
        <v>6.0454053343596686E-2</v>
      </c>
    </row>
    <row r="106" spans="1:11" x14ac:dyDescent="0.45">
      <c r="A106" s="13" t="s">
        <v>171</v>
      </c>
      <c r="B106" s="13">
        <v>0</v>
      </c>
      <c r="C106" s="13">
        <v>-45462398</v>
      </c>
      <c r="D106" s="13">
        <v>0</v>
      </c>
      <c r="E106" s="13">
        <v>-45462398</v>
      </c>
      <c r="F106" s="14">
        <v>-8.5831167192651665E-4</v>
      </c>
      <c r="G106" s="13">
        <v>0</v>
      </c>
      <c r="H106" s="13">
        <v>-45462398</v>
      </c>
      <c r="I106" s="13">
        <v>0</v>
      </c>
      <c r="J106" s="13">
        <v>-45462398</v>
      </c>
      <c r="K106" s="14">
        <v>-8.3991254101899128E-4</v>
      </c>
    </row>
    <row r="107" spans="1:11" x14ac:dyDescent="0.45">
      <c r="A107" s="13" t="s">
        <v>172</v>
      </c>
      <c r="B107" s="13">
        <v>0</v>
      </c>
      <c r="C107" s="13">
        <v>1088221507</v>
      </c>
      <c r="D107" s="13">
        <v>0</v>
      </c>
      <c r="E107" s="13">
        <v>1088221507</v>
      </c>
      <c r="F107" s="14">
        <v>2.054518156080468E-2</v>
      </c>
      <c r="G107" s="13">
        <v>0</v>
      </c>
      <c r="H107" s="13">
        <v>1088221507</v>
      </c>
      <c r="I107" s="13">
        <v>0</v>
      </c>
      <c r="J107" s="13">
        <v>1088221507</v>
      </c>
      <c r="K107" s="14">
        <v>2.0104766385967719E-2</v>
      </c>
    </row>
    <row r="108" spans="1:11" x14ac:dyDescent="0.45">
      <c r="A108" s="13" t="s">
        <v>173</v>
      </c>
      <c r="B108" s="13">
        <v>0</v>
      </c>
      <c r="C108" s="13">
        <v>-304825344</v>
      </c>
      <c r="D108" s="13">
        <v>0</v>
      </c>
      <c r="E108" s="13">
        <v>-304825344</v>
      </c>
      <c r="F108" s="14">
        <v>-5.7549791072220961E-3</v>
      </c>
      <c r="G108" s="13">
        <v>0</v>
      </c>
      <c r="H108" s="13">
        <v>-304825344</v>
      </c>
      <c r="I108" s="13">
        <v>0</v>
      </c>
      <c r="J108" s="13">
        <v>-304825344</v>
      </c>
      <c r="K108" s="14">
        <v>-5.6316129484860903E-3</v>
      </c>
    </row>
    <row r="109" spans="1:11" x14ac:dyDescent="0.45">
      <c r="A109" s="13" t="s">
        <v>174</v>
      </c>
      <c r="B109" s="13">
        <v>2127243220</v>
      </c>
      <c r="C109" s="13">
        <v>-2110042008</v>
      </c>
      <c r="D109" s="13">
        <v>0</v>
      </c>
      <c r="E109" s="13">
        <v>17201212</v>
      </c>
      <c r="F109" s="14">
        <v>3.2475191983675084E-4</v>
      </c>
      <c r="G109" s="13">
        <v>2127243220</v>
      </c>
      <c r="H109" s="13">
        <v>-2110042008</v>
      </c>
      <c r="I109" s="13">
        <v>0</v>
      </c>
      <c r="J109" s="13">
        <v>17201212</v>
      </c>
      <c r="K109" s="14">
        <v>3.1779040075110789E-4</v>
      </c>
    </row>
    <row r="110" spans="1:11" x14ac:dyDescent="0.45">
      <c r="A110" s="13" t="s">
        <v>175</v>
      </c>
      <c r="B110" s="13">
        <v>0</v>
      </c>
      <c r="C110" s="13">
        <v>89630717</v>
      </c>
      <c r="D110" s="13">
        <v>0</v>
      </c>
      <c r="E110" s="13">
        <v>89630717</v>
      </c>
      <c r="F110" s="14">
        <v>1.692191656151584E-3</v>
      </c>
      <c r="G110" s="13">
        <v>0</v>
      </c>
      <c r="H110" s="13">
        <v>89020720</v>
      </c>
      <c r="I110" s="13">
        <v>0</v>
      </c>
      <c r="J110" s="13">
        <v>89020720</v>
      </c>
      <c r="K110" s="14">
        <v>1.6446474983246625E-3</v>
      </c>
    </row>
    <row r="111" spans="1:11" x14ac:dyDescent="0.45">
      <c r="A111" s="13" t="s">
        <v>176</v>
      </c>
      <c r="B111" s="13">
        <v>0</v>
      </c>
      <c r="C111" s="13">
        <v>453474376</v>
      </c>
      <c r="D111" s="13">
        <v>0</v>
      </c>
      <c r="E111" s="13">
        <v>453474376</v>
      </c>
      <c r="F111" s="14">
        <v>8.5614126610829878E-3</v>
      </c>
      <c r="G111" s="13">
        <v>0</v>
      </c>
      <c r="H111" s="13">
        <v>453474376</v>
      </c>
      <c r="I111" s="13">
        <v>0</v>
      </c>
      <c r="J111" s="13">
        <v>453474376</v>
      </c>
      <c r="K111" s="14">
        <v>8.3778866093504687E-3</v>
      </c>
    </row>
    <row r="112" spans="1:11" x14ac:dyDescent="0.45">
      <c r="A112" s="13" t="s">
        <v>177</v>
      </c>
      <c r="B112" s="13">
        <v>1804618080</v>
      </c>
      <c r="C112" s="13">
        <v>246216902</v>
      </c>
      <c r="D112" s="13">
        <v>0</v>
      </c>
      <c r="E112" s="13">
        <v>2050834982</v>
      </c>
      <c r="F112" s="14">
        <v>3.8718934321190182E-2</v>
      </c>
      <c r="G112" s="13">
        <v>1804618080</v>
      </c>
      <c r="H112" s="13">
        <v>246216902</v>
      </c>
      <c r="I112" s="13">
        <v>0</v>
      </c>
      <c r="J112" s="13">
        <v>2050834982</v>
      </c>
      <c r="K112" s="14">
        <v>3.7888938919197736E-2</v>
      </c>
    </row>
    <row r="113" spans="1:11" x14ac:dyDescent="0.45">
      <c r="A113" s="13" t="s">
        <v>178</v>
      </c>
      <c r="B113" s="13">
        <v>0</v>
      </c>
      <c r="C113" s="13">
        <v>0</v>
      </c>
      <c r="D113" s="13">
        <v>-2955</v>
      </c>
      <c r="E113" s="13">
        <v>-2955</v>
      </c>
      <c r="F113" s="14">
        <v>-5.5789203872238702E-8</v>
      </c>
      <c r="G113" s="13">
        <v>0</v>
      </c>
      <c r="H113" s="13">
        <v>4218716</v>
      </c>
      <c r="I113" s="13">
        <v>-2955</v>
      </c>
      <c r="J113" s="13">
        <v>4215761</v>
      </c>
      <c r="K113" s="14">
        <v>7.7885696523064273E-5</v>
      </c>
    </row>
    <row r="114" spans="1:11" x14ac:dyDescent="0.45">
      <c r="A114" s="13" t="s">
        <v>179</v>
      </c>
      <c r="B114" s="13">
        <v>0</v>
      </c>
      <c r="C114" s="13">
        <v>-639674394</v>
      </c>
      <c r="D114" s="13">
        <v>0</v>
      </c>
      <c r="E114" s="13">
        <v>-639674394</v>
      </c>
      <c r="F114" s="14">
        <v>-1.2076793630699405E-2</v>
      </c>
      <c r="G114" s="13">
        <v>0</v>
      </c>
      <c r="H114" s="13">
        <v>-639674394</v>
      </c>
      <c r="I114" s="13">
        <v>0</v>
      </c>
      <c r="J114" s="13">
        <v>-639674394</v>
      </c>
      <c r="K114" s="14">
        <v>-1.1817910390237739E-2</v>
      </c>
    </row>
    <row r="115" spans="1:11" x14ac:dyDescent="0.45">
      <c r="A115" s="13" t="s">
        <v>180</v>
      </c>
      <c r="B115" s="13">
        <v>0</v>
      </c>
      <c r="C115" s="13">
        <v>-342333150</v>
      </c>
      <c r="D115" s="13">
        <v>0</v>
      </c>
      <c r="E115" s="13">
        <v>-342333150</v>
      </c>
      <c r="F115" s="14">
        <v>-6.4631113020560647E-3</v>
      </c>
      <c r="G115" s="13">
        <v>0</v>
      </c>
      <c r="H115" s="13">
        <v>-342333150</v>
      </c>
      <c r="I115" s="13">
        <v>0</v>
      </c>
      <c r="J115" s="13">
        <v>-342333150</v>
      </c>
      <c r="K115" s="14">
        <v>-6.3245653230068399E-3</v>
      </c>
    </row>
    <row r="116" spans="1:11" x14ac:dyDescent="0.45">
      <c r="A116" s="13" t="s">
        <v>181</v>
      </c>
      <c r="B116" s="13">
        <v>0</v>
      </c>
      <c r="C116" s="13">
        <v>-124847</v>
      </c>
      <c r="D116" s="13">
        <v>0</v>
      </c>
      <c r="E116" s="13">
        <v>-124847</v>
      </c>
      <c r="F116" s="14">
        <v>-2.3570608243104516E-6</v>
      </c>
      <c r="G116" s="13">
        <v>0</v>
      </c>
      <c r="H116" s="13">
        <v>-124847</v>
      </c>
      <c r="I116" s="13">
        <v>0</v>
      </c>
      <c r="J116" s="13">
        <v>-124847</v>
      </c>
      <c r="K116" s="14">
        <v>-2.3065338746231119E-6</v>
      </c>
    </row>
    <row r="117" spans="1:11" x14ac:dyDescent="0.45">
      <c r="A117" s="13" t="s">
        <v>182</v>
      </c>
      <c r="B117" s="13">
        <v>0</v>
      </c>
      <c r="C117" s="13">
        <v>-2996508</v>
      </c>
      <c r="D117" s="13">
        <v>0</v>
      </c>
      <c r="E117" s="13">
        <v>-2996508</v>
      </c>
      <c r="F117" s="14">
        <v>-5.6572858110590268E-5</v>
      </c>
      <c r="G117" s="13">
        <v>0</v>
      </c>
      <c r="H117" s="13">
        <v>-2996508</v>
      </c>
      <c r="I117" s="13">
        <v>0</v>
      </c>
      <c r="J117" s="13">
        <v>-2996508</v>
      </c>
      <c r="K117" s="14">
        <v>-5.5360138470120642E-5</v>
      </c>
    </row>
    <row r="118" spans="1:11" x14ac:dyDescent="0.45">
      <c r="A118" s="13" t="s">
        <v>183</v>
      </c>
      <c r="B118" s="13">
        <v>0</v>
      </c>
      <c r="C118" s="13">
        <v>0</v>
      </c>
      <c r="D118" s="13">
        <v>32508649</v>
      </c>
      <c r="E118" s="13">
        <v>32508649</v>
      </c>
      <c r="F118" s="14">
        <v>6.1375013423757997E-4</v>
      </c>
      <c r="G118" s="13">
        <v>0</v>
      </c>
      <c r="H118" s="13">
        <v>0</v>
      </c>
      <c r="I118" s="13">
        <v>32508649</v>
      </c>
      <c r="J118" s="13">
        <v>32508649</v>
      </c>
      <c r="K118" s="14">
        <v>6.0059352757160962E-4</v>
      </c>
    </row>
    <row r="119" spans="1:11" x14ac:dyDescent="0.45">
      <c r="A119" s="13" t="s">
        <v>184</v>
      </c>
      <c r="B119" s="13">
        <v>0</v>
      </c>
      <c r="C119" s="13">
        <v>-3900249526</v>
      </c>
      <c r="D119" s="13">
        <v>0</v>
      </c>
      <c r="E119" s="13">
        <v>-3900249526</v>
      </c>
      <c r="F119" s="14">
        <v>-7.3635132304100293E-2</v>
      </c>
      <c r="G119" s="13">
        <v>0</v>
      </c>
      <c r="H119" s="13">
        <v>-3900249526</v>
      </c>
      <c r="I119" s="13">
        <v>0</v>
      </c>
      <c r="J119" s="13">
        <v>-3900249526</v>
      </c>
      <c r="K119" s="14">
        <v>-7.2056658559690942E-2</v>
      </c>
    </row>
    <row r="120" spans="1:11" x14ac:dyDescent="0.45">
      <c r="A120" s="13" t="s">
        <v>185</v>
      </c>
      <c r="B120" s="13">
        <v>0</v>
      </c>
      <c r="C120" s="13">
        <v>-7419171822</v>
      </c>
      <c r="D120" s="13">
        <v>0</v>
      </c>
      <c r="E120" s="13">
        <v>-7419171822</v>
      </c>
      <c r="F120" s="14">
        <v>-0.14007096085980597</v>
      </c>
      <c r="G120" s="13">
        <v>0</v>
      </c>
      <c r="H120" s="13">
        <v>-7419613155</v>
      </c>
      <c r="I120" s="13">
        <v>0</v>
      </c>
      <c r="J120" s="13">
        <v>-7419613155</v>
      </c>
      <c r="K120" s="14">
        <v>-0.13707649425782567</v>
      </c>
    </row>
    <row r="121" spans="1:11" x14ac:dyDescent="0.45">
      <c r="A121" s="13" t="s">
        <v>186</v>
      </c>
      <c r="B121" s="13">
        <v>3806450365</v>
      </c>
      <c r="C121" s="13">
        <v>-3777026504</v>
      </c>
      <c r="D121" s="13">
        <v>0</v>
      </c>
      <c r="E121" s="13">
        <v>29423861</v>
      </c>
      <c r="F121" s="14">
        <v>5.555105854610535E-4</v>
      </c>
      <c r="G121" s="13">
        <v>3806450365</v>
      </c>
      <c r="H121" s="13">
        <v>-3777026504</v>
      </c>
      <c r="I121" s="13">
        <v>0</v>
      </c>
      <c r="J121" s="13">
        <v>29423861</v>
      </c>
      <c r="K121" s="14">
        <v>5.4360242631942997E-4</v>
      </c>
    </row>
    <row r="122" spans="1:11" x14ac:dyDescent="0.45">
      <c r="A122" s="13" t="s">
        <v>187</v>
      </c>
      <c r="B122" s="13">
        <v>0</v>
      </c>
      <c r="C122" s="13">
        <v>54397446</v>
      </c>
      <c r="D122" s="13">
        <v>0</v>
      </c>
      <c r="E122" s="13">
        <v>54397446</v>
      </c>
      <c r="F122" s="14">
        <v>1.0270017614291355E-3</v>
      </c>
      <c r="G122" s="13">
        <v>0</v>
      </c>
      <c r="H122" s="13">
        <v>54397446</v>
      </c>
      <c r="I122" s="13">
        <v>0</v>
      </c>
      <c r="J122" s="13">
        <v>54397446</v>
      </c>
      <c r="K122" s="14">
        <v>1.0049865186346609E-3</v>
      </c>
    </row>
    <row r="123" spans="1:11" x14ac:dyDescent="0.45">
      <c r="A123" s="13" t="s">
        <v>188</v>
      </c>
      <c r="B123" s="13">
        <v>0</v>
      </c>
      <c r="C123" s="13">
        <v>457377127</v>
      </c>
      <c r="D123" s="13">
        <v>0</v>
      </c>
      <c r="E123" s="13">
        <v>457377127</v>
      </c>
      <c r="F123" s="14">
        <v>8.6350950202036588E-3</v>
      </c>
      <c r="G123" s="13">
        <v>0</v>
      </c>
      <c r="H123" s="13">
        <v>457377127</v>
      </c>
      <c r="I123" s="13">
        <v>0</v>
      </c>
      <c r="J123" s="13">
        <v>457377127</v>
      </c>
      <c r="K123" s="14">
        <v>8.4499894823527773E-3</v>
      </c>
    </row>
    <row r="124" spans="1:11" x14ac:dyDescent="0.45">
      <c r="A124" s="13" t="s">
        <v>189</v>
      </c>
      <c r="B124" s="13">
        <v>0</v>
      </c>
      <c r="C124" s="13">
        <v>-3372949</v>
      </c>
      <c r="D124" s="13">
        <v>0</v>
      </c>
      <c r="E124" s="13">
        <v>-3372949</v>
      </c>
      <c r="F124" s="14">
        <v>-6.3679911814437781E-5</v>
      </c>
      <c r="G124" s="13">
        <v>0</v>
      </c>
      <c r="H124" s="13">
        <v>-3372949</v>
      </c>
      <c r="I124" s="13">
        <v>0</v>
      </c>
      <c r="J124" s="13">
        <v>-3372949</v>
      </c>
      <c r="K124" s="14">
        <v>-6.2314842374075076E-5</v>
      </c>
    </row>
    <row r="125" spans="1:11" x14ac:dyDescent="0.45">
      <c r="A125" s="13" t="s">
        <v>190</v>
      </c>
      <c r="B125" s="13">
        <v>0</v>
      </c>
      <c r="C125" s="13">
        <v>705824205</v>
      </c>
      <c r="D125" s="13">
        <v>0</v>
      </c>
      <c r="E125" s="13">
        <v>705824205</v>
      </c>
      <c r="F125" s="14">
        <v>1.3325675286194856E-2</v>
      </c>
      <c r="G125" s="13">
        <v>0</v>
      </c>
      <c r="H125" s="13">
        <v>705824205</v>
      </c>
      <c r="I125" s="13">
        <v>0</v>
      </c>
      <c r="J125" s="13">
        <v>705824205</v>
      </c>
      <c r="K125" s="14">
        <v>1.3040020491973597E-2</v>
      </c>
    </row>
    <row r="126" spans="1:11" x14ac:dyDescent="0.45">
      <c r="A126" s="13" t="s">
        <v>191</v>
      </c>
      <c r="B126" s="13">
        <v>0</v>
      </c>
      <c r="C126" s="13">
        <v>1039297664</v>
      </c>
      <c r="D126" s="13">
        <v>0</v>
      </c>
      <c r="E126" s="13">
        <v>1039297664</v>
      </c>
      <c r="F126" s="14">
        <v>1.9621519208405224E-2</v>
      </c>
      <c r="G126" s="13">
        <v>0</v>
      </c>
      <c r="H126" s="13">
        <v>1038947080</v>
      </c>
      <c r="I126" s="13">
        <v>0</v>
      </c>
      <c r="J126" s="13">
        <v>1038947080</v>
      </c>
      <c r="K126" s="14">
        <v>1.919442705039583E-2</v>
      </c>
    </row>
    <row r="127" spans="1:11" x14ac:dyDescent="0.45">
      <c r="A127" s="13" t="s">
        <v>192</v>
      </c>
      <c r="B127" s="13">
        <v>0</v>
      </c>
      <c r="C127" s="13">
        <v>1270703145</v>
      </c>
      <c r="D127" s="13">
        <v>0</v>
      </c>
      <c r="E127" s="13">
        <v>1270703145</v>
      </c>
      <c r="F127" s="14">
        <v>2.3990361021150555E-2</v>
      </c>
      <c r="G127" s="13">
        <v>0</v>
      </c>
      <c r="H127" s="13">
        <v>1270703145</v>
      </c>
      <c r="I127" s="13">
        <v>0</v>
      </c>
      <c r="J127" s="13">
        <v>1270703145</v>
      </c>
      <c r="K127" s="14">
        <v>2.3476093526737719E-2</v>
      </c>
    </row>
    <row r="128" spans="1:11" x14ac:dyDescent="0.45">
      <c r="A128" s="13" t="s">
        <v>193</v>
      </c>
      <c r="B128" s="13">
        <v>0</v>
      </c>
      <c r="C128" s="13">
        <v>1083260837</v>
      </c>
      <c r="D128" s="13">
        <v>0</v>
      </c>
      <c r="E128" s="13">
        <v>1083260837</v>
      </c>
      <c r="F128" s="14">
        <v>2.0451526119189486E-2</v>
      </c>
      <c r="G128" s="13">
        <v>0</v>
      </c>
      <c r="H128" s="13">
        <v>1083260837</v>
      </c>
      <c r="I128" s="13">
        <v>0</v>
      </c>
      <c r="J128" s="13">
        <v>1083260837</v>
      </c>
      <c r="K128" s="14">
        <v>2.0013118581888912E-2</v>
      </c>
    </row>
    <row r="129" spans="1:11" x14ac:dyDescent="0.45">
      <c r="A129" s="13" t="s">
        <v>194</v>
      </c>
      <c r="B129" s="13">
        <v>0</v>
      </c>
      <c r="C129" s="13">
        <v>-489018145</v>
      </c>
      <c r="D129" s="13">
        <v>-411260760</v>
      </c>
      <c r="E129" s="13">
        <v>-900278905</v>
      </c>
      <c r="F129" s="14">
        <v>-1.6996901310633101E-2</v>
      </c>
      <c r="G129" s="13">
        <v>0</v>
      </c>
      <c r="H129" s="13">
        <v>-489018145</v>
      </c>
      <c r="I129" s="13">
        <v>-411260760</v>
      </c>
      <c r="J129" s="13">
        <v>-900278905</v>
      </c>
      <c r="K129" s="14">
        <v>-1.6632548567375286E-2</v>
      </c>
    </row>
    <row r="130" spans="1:11" x14ac:dyDescent="0.45">
      <c r="A130" s="13" t="s">
        <v>195</v>
      </c>
      <c r="B130" s="13">
        <v>0</v>
      </c>
      <c r="C130" s="13">
        <v>1717443413</v>
      </c>
      <c r="D130" s="13">
        <v>0</v>
      </c>
      <c r="E130" s="13">
        <v>1717443413</v>
      </c>
      <c r="F130" s="14">
        <v>3.2424636449032297E-2</v>
      </c>
      <c r="G130" s="13">
        <v>0</v>
      </c>
      <c r="H130" s="13">
        <v>1717443413</v>
      </c>
      <c r="I130" s="13">
        <v>0</v>
      </c>
      <c r="J130" s="13">
        <v>1717443413</v>
      </c>
      <c r="K130" s="14">
        <v>3.1729568270225404E-2</v>
      </c>
    </row>
    <row r="131" spans="1:11" x14ac:dyDescent="0.45">
      <c r="A131" s="13" t="s">
        <v>196</v>
      </c>
      <c r="B131" s="13">
        <v>0</v>
      </c>
      <c r="C131" s="13">
        <v>933991511</v>
      </c>
      <c r="D131" s="13">
        <v>0</v>
      </c>
      <c r="E131" s="13">
        <v>933991511</v>
      </c>
      <c r="F131" s="14">
        <v>1.76333816656918E-2</v>
      </c>
      <c r="G131" s="13">
        <v>0</v>
      </c>
      <c r="H131" s="13">
        <v>933991511</v>
      </c>
      <c r="I131" s="13">
        <v>0</v>
      </c>
      <c r="J131" s="13">
        <v>933991511</v>
      </c>
      <c r="K131" s="14">
        <v>1.7255385061170272E-2</v>
      </c>
    </row>
    <row r="132" spans="1:11" x14ac:dyDescent="0.45">
      <c r="A132" s="13" t="s">
        <v>197</v>
      </c>
      <c r="B132" s="13">
        <v>0</v>
      </c>
      <c r="C132" s="13">
        <v>462027654</v>
      </c>
      <c r="D132" s="13">
        <v>0</v>
      </c>
      <c r="E132" s="13">
        <v>462027654</v>
      </c>
      <c r="F132" s="14">
        <v>8.7228950875188355E-3</v>
      </c>
      <c r="G132" s="13">
        <v>0</v>
      </c>
      <c r="H132" s="13">
        <v>462027654</v>
      </c>
      <c r="I132" s="13">
        <v>0</v>
      </c>
      <c r="J132" s="13">
        <v>462027654</v>
      </c>
      <c r="K132" s="14">
        <v>8.5359074304039856E-3</v>
      </c>
    </row>
    <row r="133" spans="1:11" x14ac:dyDescent="0.45">
      <c r="A133" s="13" t="s">
        <v>198</v>
      </c>
      <c r="B133" s="13">
        <v>0</v>
      </c>
      <c r="C133" s="13">
        <v>198866388</v>
      </c>
      <c r="D133" s="13">
        <v>0</v>
      </c>
      <c r="E133" s="13">
        <v>198866388</v>
      </c>
      <c r="F133" s="14">
        <v>3.7545169081109049E-3</v>
      </c>
      <c r="G133" s="13">
        <v>0</v>
      </c>
      <c r="H133" s="13">
        <v>198866388</v>
      </c>
      <c r="I133" s="13">
        <v>0</v>
      </c>
      <c r="J133" s="13">
        <v>198866388</v>
      </c>
      <c r="K133" s="14">
        <v>3.6740335005722453E-3</v>
      </c>
    </row>
    <row r="134" spans="1:11" x14ac:dyDescent="0.45">
      <c r="A134" s="13" t="s">
        <v>199</v>
      </c>
      <c r="B134" s="13">
        <v>0</v>
      </c>
      <c r="C134" s="13">
        <v>572738244</v>
      </c>
      <c r="D134" s="13">
        <v>12845705</v>
      </c>
      <c r="E134" s="13">
        <v>585583949</v>
      </c>
      <c r="F134" s="14">
        <v>1.1055587923882108E-2</v>
      </c>
      <c r="G134" s="13">
        <v>0</v>
      </c>
      <c r="H134" s="13">
        <v>572738244</v>
      </c>
      <c r="I134" s="13">
        <v>12845705</v>
      </c>
      <c r="J134" s="13">
        <v>585583949</v>
      </c>
      <c r="K134" s="14">
        <v>1.0818595679544345E-2</v>
      </c>
    </row>
    <row r="135" spans="1:11" x14ac:dyDescent="0.45">
      <c r="A135" s="13" t="s">
        <v>200</v>
      </c>
      <c r="B135" s="13">
        <v>0</v>
      </c>
      <c r="C135" s="13">
        <v>-575516600</v>
      </c>
      <c r="D135" s="13">
        <v>0</v>
      </c>
      <c r="E135" s="13">
        <v>-575516600</v>
      </c>
      <c r="F135" s="14">
        <v>-1.0865520449833384E-2</v>
      </c>
      <c r="G135" s="13">
        <v>0</v>
      </c>
      <c r="H135" s="13">
        <v>-575516600</v>
      </c>
      <c r="I135" s="13">
        <v>0</v>
      </c>
      <c r="J135" s="13">
        <v>-575516600</v>
      </c>
      <c r="K135" s="14">
        <v>-1.0632602572011499E-2</v>
      </c>
    </row>
    <row r="136" spans="1:11" x14ac:dyDescent="0.45">
      <c r="A136" s="13" t="s">
        <v>201</v>
      </c>
      <c r="B136" s="13">
        <v>0</v>
      </c>
      <c r="C136" s="13">
        <v>818891318</v>
      </c>
      <c r="D136" s="13">
        <v>0</v>
      </c>
      <c r="E136" s="13">
        <v>818891318</v>
      </c>
      <c r="F136" s="14">
        <v>1.5460336612219374E-2</v>
      </c>
      <c r="G136" s="13">
        <v>0</v>
      </c>
      <c r="H136" s="13">
        <v>818891318</v>
      </c>
      <c r="I136" s="13">
        <v>0</v>
      </c>
      <c r="J136" s="13">
        <v>818891318</v>
      </c>
      <c r="K136" s="14">
        <v>1.5128922317731037E-2</v>
      </c>
    </row>
    <row r="137" spans="1:11" x14ac:dyDescent="0.45">
      <c r="A137" s="13" t="s">
        <v>202</v>
      </c>
      <c r="B137" s="13">
        <v>0</v>
      </c>
      <c r="C137" s="13">
        <v>1017136237</v>
      </c>
      <c r="D137" s="13">
        <v>0</v>
      </c>
      <c r="E137" s="13">
        <v>1017136237</v>
      </c>
      <c r="F137" s="14">
        <v>1.9203120437169104E-2</v>
      </c>
      <c r="G137" s="13">
        <v>0</v>
      </c>
      <c r="H137" s="13">
        <v>1017136237</v>
      </c>
      <c r="I137" s="13">
        <v>0</v>
      </c>
      <c r="J137" s="13">
        <v>1017136237</v>
      </c>
      <c r="K137" s="14">
        <v>1.8791474250460016E-2</v>
      </c>
    </row>
    <row r="138" spans="1:11" x14ac:dyDescent="0.45">
      <c r="A138" s="13" t="s">
        <v>203</v>
      </c>
      <c r="B138" s="13">
        <v>0</v>
      </c>
      <c r="C138" s="13">
        <v>5901503102</v>
      </c>
      <c r="D138" s="13">
        <v>0</v>
      </c>
      <c r="E138" s="13">
        <v>5901503102</v>
      </c>
      <c r="F138" s="14">
        <v>0.11141798974962</v>
      </c>
      <c r="G138" s="13">
        <v>0</v>
      </c>
      <c r="H138" s="13">
        <v>5901503102</v>
      </c>
      <c r="I138" s="13">
        <v>0</v>
      </c>
      <c r="J138" s="13">
        <v>5901503102</v>
      </c>
      <c r="K138" s="14">
        <v>0.10902958674182298</v>
      </c>
    </row>
    <row r="139" spans="1:11" x14ac:dyDescent="0.45">
      <c r="A139" s="13" t="s">
        <v>204</v>
      </c>
      <c r="B139" s="13">
        <v>0</v>
      </c>
      <c r="C139" s="13">
        <v>788733494</v>
      </c>
      <c r="D139" s="13">
        <v>0</v>
      </c>
      <c r="E139" s="13">
        <v>788733494</v>
      </c>
      <c r="F139" s="14">
        <v>1.4890969102412575E-2</v>
      </c>
      <c r="G139" s="13">
        <v>0</v>
      </c>
      <c r="H139" s="13">
        <v>788733494</v>
      </c>
      <c r="I139" s="13">
        <v>0</v>
      </c>
      <c r="J139" s="13">
        <v>788733494</v>
      </c>
      <c r="K139" s="14">
        <v>1.4571760009938924E-2</v>
      </c>
    </row>
    <row r="140" spans="1:11" x14ac:dyDescent="0.45">
      <c r="A140" s="13" t="s">
        <v>205</v>
      </c>
      <c r="B140" s="13">
        <v>0</v>
      </c>
      <c r="C140" s="13">
        <v>-133525885</v>
      </c>
      <c r="D140" s="13">
        <v>0</v>
      </c>
      <c r="E140" s="13">
        <v>-133525885</v>
      </c>
      <c r="F140" s="14">
        <v>-2.5209146600629778E-3</v>
      </c>
      <c r="G140" s="13">
        <v>0</v>
      </c>
      <c r="H140" s="13">
        <v>-133525885</v>
      </c>
      <c r="I140" s="13">
        <v>0</v>
      </c>
      <c r="J140" s="13">
        <v>-133525885</v>
      </c>
      <c r="K140" s="14">
        <v>-2.4668752704632875E-3</v>
      </c>
    </row>
    <row r="141" spans="1:11" x14ac:dyDescent="0.45">
      <c r="A141" s="13" t="s">
        <v>206</v>
      </c>
      <c r="B141" s="13">
        <v>0</v>
      </c>
      <c r="C141" s="13">
        <v>213777401</v>
      </c>
      <c r="D141" s="13">
        <v>0</v>
      </c>
      <c r="E141" s="13">
        <v>213777401</v>
      </c>
      <c r="F141" s="14">
        <v>4.036030797856624E-3</v>
      </c>
      <c r="G141" s="13">
        <v>0</v>
      </c>
      <c r="H141" s="13">
        <v>213777401</v>
      </c>
      <c r="I141" s="13">
        <v>0</v>
      </c>
      <c r="J141" s="13">
        <v>213777401</v>
      </c>
      <c r="K141" s="14">
        <v>3.9495127398767186E-3</v>
      </c>
    </row>
    <row r="142" spans="1:11" x14ac:dyDescent="0.45">
      <c r="A142" s="13" t="s">
        <v>207</v>
      </c>
      <c r="B142" s="13">
        <v>187500000</v>
      </c>
      <c r="C142" s="13">
        <v>-127506695</v>
      </c>
      <c r="D142" s="13">
        <v>0</v>
      </c>
      <c r="E142" s="13">
        <v>59993305</v>
      </c>
      <c r="F142" s="14">
        <v>1.1326493142519111E-3</v>
      </c>
      <c r="G142" s="13">
        <v>187500000</v>
      </c>
      <c r="H142" s="13">
        <v>-127506695</v>
      </c>
      <c r="I142" s="13">
        <v>0</v>
      </c>
      <c r="J142" s="13">
        <v>59993305</v>
      </c>
      <c r="K142" s="14">
        <v>1.1083693659687146E-3</v>
      </c>
    </row>
    <row r="143" spans="1:11" x14ac:dyDescent="0.45">
      <c r="A143" s="13" t="s">
        <v>208</v>
      </c>
      <c r="B143" s="13">
        <v>0</v>
      </c>
      <c r="C143" s="13">
        <v>-41923407</v>
      </c>
      <c r="D143" s="13">
        <v>0</v>
      </c>
      <c r="E143" s="13">
        <v>-41923407</v>
      </c>
      <c r="F143" s="14">
        <v>-7.9149695436272051E-4</v>
      </c>
      <c r="G143" s="13">
        <v>0</v>
      </c>
      <c r="H143" s="13">
        <v>-41923407</v>
      </c>
      <c r="I143" s="13">
        <v>0</v>
      </c>
      <c r="J143" s="13">
        <v>-41923407</v>
      </c>
      <c r="K143" s="14">
        <v>-7.7453009191339546E-4</v>
      </c>
    </row>
    <row r="144" spans="1:11" x14ac:dyDescent="0.45">
      <c r="A144" s="13" t="s">
        <v>209</v>
      </c>
      <c r="B144" s="13">
        <v>0</v>
      </c>
      <c r="C144" s="13">
        <v>1522349413</v>
      </c>
      <c r="D144" s="13">
        <v>173112396</v>
      </c>
      <c r="E144" s="13">
        <v>1695461809</v>
      </c>
      <c r="F144" s="14">
        <v>3.2009632663247252E-2</v>
      </c>
      <c r="G144" s="13">
        <v>0</v>
      </c>
      <c r="H144" s="13">
        <v>1522349413</v>
      </c>
      <c r="I144" s="13">
        <v>173112396</v>
      </c>
      <c r="J144" s="13">
        <v>1695461809</v>
      </c>
      <c r="K144" s="14">
        <v>3.1323460680579271E-2</v>
      </c>
    </row>
    <row r="145" spans="1:11" x14ac:dyDescent="0.45">
      <c r="A145" s="13" t="s">
        <v>210</v>
      </c>
      <c r="B145" s="13">
        <v>0</v>
      </c>
      <c r="C145" s="13">
        <v>54834412</v>
      </c>
      <c r="D145" s="13">
        <v>0</v>
      </c>
      <c r="E145" s="13">
        <v>54834412</v>
      </c>
      <c r="F145" s="14">
        <v>1.0352515026336149E-3</v>
      </c>
      <c r="G145" s="13">
        <v>0</v>
      </c>
      <c r="H145" s="13">
        <v>54834412</v>
      </c>
      <c r="I145" s="13">
        <v>0</v>
      </c>
      <c r="J145" s="13">
        <v>54834412</v>
      </c>
      <c r="K145" s="14">
        <v>1.0130594149081681E-3</v>
      </c>
    </row>
    <row r="146" spans="1:11" x14ac:dyDescent="0.45">
      <c r="A146" s="13" t="s">
        <v>211</v>
      </c>
      <c r="B146" s="13">
        <v>0</v>
      </c>
      <c r="C146" s="13">
        <v>17834954</v>
      </c>
      <c r="D146" s="13">
        <v>-293174328</v>
      </c>
      <c r="E146" s="13">
        <v>-275339374</v>
      </c>
      <c r="F146" s="14">
        <v>-5.1982959289815838E-3</v>
      </c>
      <c r="G146" s="13">
        <v>0</v>
      </c>
      <c r="H146" s="13">
        <v>17834954</v>
      </c>
      <c r="I146" s="13">
        <v>-293174328</v>
      </c>
      <c r="J146" s="13">
        <v>-275339374</v>
      </c>
      <c r="K146" s="14">
        <v>-5.086863065580447E-3</v>
      </c>
    </row>
    <row r="147" spans="1:11" x14ac:dyDescent="0.45">
      <c r="A147" s="13" t="s">
        <v>212</v>
      </c>
      <c r="B147" s="13">
        <v>0</v>
      </c>
      <c r="C147" s="13">
        <v>-2231164273</v>
      </c>
      <c r="D147" s="13">
        <v>0</v>
      </c>
      <c r="E147" s="13">
        <v>-2231164273</v>
      </c>
      <c r="F147" s="14">
        <v>-4.212347834140516E-2</v>
      </c>
      <c r="G147" s="13">
        <v>0</v>
      </c>
      <c r="H147" s="13">
        <v>-2231164273</v>
      </c>
      <c r="I147" s="13">
        <v>0</v>
      </c>
      <c r="J147" s="13">
        <v>-2231164273</v>
      </c>
      <c r="K147" s="14">
        <v>-4.1220501698265466E-2</v>
      </c>
    </row>
    <row r="148" spans="1:11" x14ac:dyDescent="0.45">
      <c r="A148" s="13" t="s">
        <v>213</v>
      </c>
      <c r="B148" s="13">
        <v>0</v>
      </c>
      <c r="C148" s="13">
        <v>1517320214</v>
      </c>
      <c r="D148" s="13">
        <v>147588264</v>
      </c>
      <c r="E148" s="13">
        <v>1664908478</v>
      </c>
      <c r="F148" s="14">
        <v>3.143279814137416E-2</v>
      </c>
      <c r="G148" s="13">
        <v>0</v>
      </c>
      <c r="H148" s="13">
        <v>1523465080</v>
      </c>
      <c r="I148" s="13">
        <v>147588264</v>
      </c>
      <c r="J148" s="13">
        <v>1671053344</v>
      </c>
      <c r="K148" s="14">
        <v>3.0872517114854402E-2</v>
      </c>
    </row>
    <row r="149" spans="1:11" x14ac:dyDescent="0.45">
      <c r="A149" s="13" t="s">
        <v>214</v>
      </c>
      <c r="B149" s="13">
        <v>0</v>
      </c>
      <c r="C149" s="13">
        <v>986768151</v>
      </c>
      <c r="D149" s="13">
        <v>0</v>
      </c>
      <c r="E149" s="13">
        <v>986768151</v>
      </c>
      <c r="F149" s="14">
        <v>1.8629783265912359E-2</v>
      </c>
      <c r="G149" s="13">
        <v>0</v>
      </c>
      <c r="H149" s="13">
        <v>986768151</v>
      </c>
      <c r="I149" s="13">
        <v>0</v>
      </c>
      <c r="J149" s="13">
        <v>986768151</v>
      </c>
      <c r="K149" s="14">
        <v>1.8230427376554614E-2</v>
      </c>
    </row>
    <row r="150" spans="1:11" x14ac:dyDescent="0.45">
      <c r="A150" s="13" t="s">
        <v>215</v>
      </c>
      <c r="B150" s="13">
        <v>0</v>
      </c>
      <c r="C150" s="13">
        <v>1872524773</v>
      </c>
      <c r="D150" s="13">
        <v>0</v>
      </c>
      <c r="E150" s="13">
        <v>1872524773</v>
      </c>
      <c r="F150" s="14">
        <v>3.5352509751849233E-2</v>
      </c>
      <c r="G150" s="13">
        <v>0</v>
      </c>
      <c r="H150" s="13">
        <v>1872524773</v>
      </c>
      <c r="I150" s="13">
        <v>0</v>
      </c>
      <c r="J150" s="13">
        <v>1872524773</v>
      </c>
      <c r="K150" s="14">
        <v>3.4594678446381998E-2</v>
      </c>
    </row>
    <row r="151" spans="1:11" x14ac:dyDescent="0.45">
      <c r="A151" s="13" t="s">
        <v>216</v>
      </c>
      <c r="B151" s="13">
        <v>0</v>
      </c>
      <c r="C151" s="13">
        <v>0</v>
      </c>
      <c r="D151" s="13">
        <v>0</v>
      </c>
      <c r="E151" s="13">
        <v>0</v>
      </c>
      <c r="F151" s="14">
        <v>0</v>
      </c>
      <c r="G151" s="13">
        <v>0</v>
      </c>
      <c r="H151" s="13">
        <v>0</v>
      </c>
      <c r="I151" s="13">
        <v>0</v>
      </c>
      <c r="J151" s="13">
        <v>0</v>
      </c>
      <c r="K151" s="14">
        <v>0</v>
      </c>
    </row>
    <row r="152" spans="1:11" x14ac:dyDescent="0.45">
      <c r="A152" s="13" t="s">
        <v>217</v>
      </c>
      <c r="B152" s="13">
        <v>0</v>
      </c>
      <c r="C152" s="13">
        <v>3269889685</v>
      </c>
      <c r="D152" s="13">
        <v>103351864</v>
      </c>
      <c r="E152" s="13">
        <v>3373241549</v>
      </c>
      <c r="F152" s="14">
        <v>6.3685435021139519E-2</v>
      </c>
      <c r="G152" s="13">
        <v>0</v>
      </c>
      <c r="H152" s="13">
        <v>3269889685</v>
      </c>
      <c r="I152" s="13">
        <v>103351864</v>
      </c>
      <c r="J152" s="13">
        <v>3373241549</v>
      </c>
      <c r="K152" s="14">
        <v>6.2320247182989078E-2</v>
      </c>
    </row>
    <row r="153" spans="1:11" x14ac:dyDescent="0.45">
      <c r="A153" s="13" t="s">
        <v>218</v>
      </c>
      <c r="B153" s="13">
        <v>0</v>
      </c>
      <c r="C153" s="13">
        <v>1059789201</v>
      </c>
      <c r="D153" s="13">
        <v>0</v>
      </c>
      <c r="E153" s="13">
        <v>1059789201</v>
      </c>
      <c r="F153" s="14">
        <v>2.0008391132381034E-2</v>
      </c>
      <c r="G153" s="13">
        <v>0</v>
      </c>
      <c r="H153" s="13">
        <v>1059789201</v>
      </c>
      <c r="I153" s="13">
        <v>0</v>
      </c>
      <c r="J153" s="13">
        <v>1059789201</v>
      </c>
      <c r="K153" s="14">
        <v>1.9579482823506068E-2</v>
      </c>
    </row>
    <row r="154" spans="1:11" x14ac:dyDescent="0.45">
      <c r="A154" s="13" t="s">
        <v>219</v>
      </c>
      <c r="B154" s="13">
        <v>0</v>
      </c>
      <c r="C154" s="13">
        <v>2417165</v>
      </c>
      <c r="D154" s="13">
        <v>0</v>
      </c>
      <c r="E154" s="13">
        <v>2417165</v>
      </c>
      <c r="F154" s="14">
        <v>4.5635096777610779E-5</v>
      </c>
      <c r="G154" s="13">
        <v>0</v>
      </c>
      <c r="H154" s="13">
        <v>2417165</v>
      </c>
      <c r="I154" s="13">
        <v>0</v>
      </c>
      <c r="J154" s="13">
        <v>2417165</v>
      </c>
      <c r="K154" s="14">
        <v>4.4656843600994609E-5</v>
      </c>
    </row>
    <row r="155" spans="1:11" x14ac:dyDescent="0.45">
      <c r="A155" s="13" t="s">
        <v>220</v>
      </c>
      <c r="B155" s="13">
        <v>0</v>
      </c>
      <c r="C155" s="13">
        <v>-30998784</v>
      </c>
      <c r="D155" s="13">
        <v>-59949824</v>
      </c>
      <c r="E155" s="13">
        <v>-90948608</v>
      </c>
      <c r="F155" s="14">
        <v>-1.7170729047743889E-3</v>
      </c>
      <c r="G155" s="13">
        <v>0</v>
      </c>
      <c r="H155" s="13">
        <v>-30998784</v>
      </c>
      <c r="I155" s="13">
        <v>-59949824</v>
      </c>
      <c r="J155" s="13">
        <v>-90948608</v>
      </c>
      <c r="K155" s="14">
        <v>-1.6802650059818702E-3</v>
      </c>
    </row>
    <row r="156" spans="1:11" x14ac:dyDescent="0.45">
      <c r="A156" s="13" t="s">
        <v>221</v>
      </c>
      <c r="B156" s="13">
        <v>0</v>
      </c>
      <c r="C156" s="13">
        <v>1396822925</v>
      </c>
      <c r="D156" s="13">
        <v>253806880</v>
      </c>
      <c r="E156" s="13">
        <v>1650629805</v>
      </c>
      <c r="F156" s="14">
        <v>3.116322257486924E-2</v>
      </c>
      <c r="G156" s="13">
        <v>0</v>
      </c>
      <c r="H156" s="13">
        <v>1396822925</v>
      </c>
      <c r="I156" s="13">
        <v>253806880</v>
      </c>
      <c r="J156" s="13">
        <v>1650629805</v>
      </c>
      <c r="K156" s="14">
        <v>3.0495194595745526E-2</v>
      </c>
    </row>
    <row r="157" spans="1:11" x14ac:dyDescent="0.45">
      <c r="A157" s="13" t="s">
        <v>222</v>
      </c>
      <c r="B157" s="13">
        <v>0</v>
      </c>
      <c r="C157" s="13">
        <v>-2318071096</v>
      </c>
      <c r="D157" s="13">
        <v>0</v>
      </c>
      <c r="E157" s="13">
        <v>-2318071096</v>
      </c>
      <c r="F157" s="14">
        <v>-4.3764243981417192E-2</v>
      </c>
      <c r="G157" s="13">
        <v>0</v>
      </c>
      <c r="H157" s="13">
        <v>-2318071096</v>
      </c>
      <c r="I157" s="13">
        <v>0</v>
      </c>
      <c r="J157" s="13">
        <v>-2318071096</v>
      </c>
      <c r="K157" s="14">
        <v>-4.2826095194187473E-2</v>
      </c>
    </row>
    <row r="158" spans="1:11" x14ac:dyDescent="0.45">
      <c r="A158" s="13" t="s">
        <v>223</v>
      </c>
      <c r="B158" s="13">
        <v>0</v>
      </c>
      <c r="C158" s="13">
        <v>360417643</v>
      </c>
      <c r="D158" s="13">
        <v>0</v>
      </c>
      <c r="E158" s="13">
        <v>360417643</v>
      </c>
      <c r="F158" s="14">
        <v>6.8045392096374767E-3</v>
      </c>
      <c r="G158" s="13">
        <v>0</v>
      </c>
      <c r="H158" s="13">
        <v>360417643</v>
      </c>
      <c r="I158" s="13">
        <v>0</v>
      </c>
      <c r="J158" s="13">
        <v>360417643</v>
      </c>
      <c r="K158" s="14">
        <v>6.6586742379978652E-3</v>
      </c>
    </row>
    <row r="159" spans="1:11" x14ac:dyDescent="0.45">
      <c r="A159" s="13" t="s">
        <v>224</v>
      </c>
      <c r="B159" s="13">
        <v>2770858350</v>
      </c>
      <c r="C159" s="13">
        <v>-2749439615</v>
      </c>
      <c r="D159" s="13">
        <v>0</v>
      </c>
      <c r="E159" s="13">
        <v>21418735</v>
      </c>
      <c r="F159" s="14">
        <v>4.0437704690370714E-4</v>
      </c>
      <c r="G159" s="13">
        <v>2770858350</v>
      </c>
      <c r="H159" s="13">
        <v>-2749439615</v>
      </c>
      <c r="I159" s="13">
        <v>0</v>
      </c>
      <c r="J159" s="13">
        <v>21418735</v>
      </c>
      <c r="K159" s="14">
        <v>3.9570865002023001E-4</v>
      </c>
    </row>
    <row r="160" spans="1:11" x14ac:dyDescent="0.45">
      <c r="A160" s="13" t="s">
        <v>225</v>
      </c>
      <c r="B160" s="13">
        <v>0</v>
      </c>
      <c r="C160" s="13">
        <v>148253644</v>
      </c>
      <c r="D160" s="13">
        <v>0</v>
      </c>
      <c r="E160" s="13">
        <v>148253644</v>
      </c>
      <c r="F160" s="14">
        <v>2.7989687884664291E-3</v>
      </c>
      <c r="G160" s="13">
        <v>0</v>
      </c>
      <c r="H160" s="13">
        <v>148253644</v>
      </c>
      <c r="I160" s="13">
        <v>0</v>
      </c>
      <c r="J160" s="13">
        <v>148253644</v>
      </c>
      <c r="K160" s="14">
        <v>2.7389689133284377E-3</v>
      </c>
    </row>
    <row r="161" spans="1:11" x14ac:dyDescent="0.45">
      <c r="A161" s="13" t="s">
        <v>226</v>
      </c>
      <c r="B161" s="13">
        <v>0</v>
      </c>
      <c r="C161" s="13">
        <v>895574956</v>
      </c>
      <c r="D161" s="13">
        <v>0</v>
      </c>
      <c r="E161" s="13">
        <v>895574956</v>
      </c>
      <c r="F161" s="14">
        <v>1.6908092657582134E-2</v>
      </c>
      <c r="G161" s="13">
        <v>0</v>
      </c>
      <c r="H161" s="13">
        <v>895574956</v>
      </c>
      <c r="I161" s="13">
        <v>0</v>
      </c>
      <c r="J161" s="13">
        <v>895574956</v>
      </c>
      <c r="K161" s="14">
        <v>1.654564365405739E-2</v>
      </c>
    </row>
    <row r="162" spans="1:11" x14ac:dyDescent="0.45">
      <c r="A162" s="13" t="s">
        <v>227</v>
      </c>
      <c r="B162" s="13">
        <v>2254263435</v>
      </c>
      <c r="C162" s="13">
        <v>-2237398112</v>
      </c>
      <c r="D162" s="13">
        <v>0</v>
      </c>
      <c r="E162" s="13">
        <v>16865323</v>
      </c>
      <c r="F162" s="14">
        <v>3.1841047147822553E-4</v>
      </c>
      <c r="G162" s="13">
        <v>2254263435</v>
      </c>
      <c r="H162" s="13">
        <v>-2237398112</v>
      </c>
      <c r="I162" s="13">
        <v>0</v>
      </c>
      <c r="J162" s="13">
        <v>16865323</v>
      </c>
      <c r="K162" s="14">
        <v>3.1158489035347492E-4</v>
      </c>
    </row>
    <row r="163" spans="1:11" x14ac:dyDescent="0.45">
      <c r="A163" s="13" t="s">
        <v>228</v>
      </c>
      <c r="B163" s="13">
        <v>0</v>
      </c>
      <c r="C163" s="13">
        <v>843633588</v>
      </c>
      <c r="D163" s="13">
        <v>0</v>
      </c>
      <c r="E163" s="13">
        <v>843633588</v>
      </c>
      <c r="F163" s="14">
        <v>1.5927460654619367E-2</v>
      </c>
      <c r="G163" s="13">
        <v>0</v>
      </c>
      <c r="H163" s="13">
        <v>843633588</v>
      </c>
      <c r="I163" s="13">
        <v>0</v>
      </c>
      <c r="J163" s="13">
        <v>843633588</v>
      </c>
      <c r="K163" s="14">
        <v>1.558603289219475E-2</v>
      </c>
    </row>
    <row r="164" spans="1:11" x14ac:dyDescent="0.45">
      <c r="A164" s="13" t="s">
        <v>229</v>
      </c>
      <c r="B164" s="13">
        <v>0</v>
      </c>
      <c r="C164" s="13">
        <v>1898286116</v>
      </c>
      <c r="D164" s="13">
        <v>89670505</v>
      </c>
      <c r="E164" s="13">
        <v>1987956621</v>
      </c>
      <c r="F164" s="14">
        <v>3.7531816317474029E-2</v>
      </c>
      <c r="G164" s="13">
        <v>0</v>
      </c>
      <c r="H164" s="13">
        <v>1898286116</v>
      </c>
      <c r="I164" s="13">
        <v>89670505</v>
      </c>
      <c r="J164" s="13">
        <v>1987956621</v>
      </c>
      <c r="K164" s="14">
        <v>3.6727268477558923E-2</v>
      </c>
    </row>
    <row r="165" spans="1:11" x14ac:dyDescent="0.45">
      <c r="A165" s="13" t="s">
        <v>230</v>
      </c>
      <c r="B165" s="13">
        <v>0</v>
      </c>
      <c r="C165" s="13">
        <v>-311874201</v>
      </c>
      <c r="D165" s="13">
        <v>-383019332</v>
      </c>
      <c r="E165" s="13">
        <v>-694893533</v>
      </c>
      <c r="F165" s="14">
        <v>-1.3119308623362852E-2</v>
      </c>
      <c r="G165" s="13">
        <v>0</v>
      </c>
      <c r="H165" s="13">
        <v>-311874201</v>
      </c>
      <c r="I165" s="13">
        <v>-383019332</v>
      </c>
      <c r="J165" s="13">
        <v>-694893533</v>
      </c>
      <c r="K165" s="14">
        <v>-1.2838077591940802E-2</v>
      </c>
    </row>
    <row r="166" spans="1:11" x14ac:dyDescent="0.45">
      <c r="A166" s="13" t="s">
        <v>231</v>
      </c>
      <c r="B166" s="13">
        <v>0</v>
      </c>
      <c r="C166" s="13">
        <v>1192684567</v>
      </c>
      <c r="D166" s="13">
        <v>0</v>
      </c>
      <c r="E166" s="13">
        <v>1192684567</v>
      </c>
      <c r="F166" s="14">
        <v>2.2517401848946104E-2</v>
      </c>
      <c r="G166" s="13">
        <v>0</v>
      </c>
      <c r="H166" s="13">
        <v>1192684567</v>
      </c>
      <c r="I166" s="13">
        <v>0</v>
      </c>
      <c r="J166" s="13">
        <v>1192684567</v>
      </c>
      <c r="K166" s="14">
        <v>2.2034709328423576E-2</v>
      </c>
    </row>
    <row r="167" spans="1:11" x14ac:dyDescent="0.45">
      <c r="A167" s="13" t="s">
        <v>232</v>
      </c>
      <c r="B167" s="13">
        <v>0</v>
      </c>
      <c r="C167" s="13">
        <v>1404737588</v>
      </c>
      <c r="D167" s="13">
        <v>0</v>
      </c>
      <c r="E167" s="13">
        <v>1404737588</v>
      </c>
      <c r="F167" s="14">
        <v>2.6520877050398933E-2</v>
      </c>
      <c r="G167" s="13">
        <v>0</v>
      </c>
      <c r="H167" s="13">
        <v>1404737588</v>
      </c>
      <c r="I167" s="13">
        <v>0</v>
      </c>
      <c r="J167" s="13">
        <v>1404737588</v>
      </c>
      <c r="K167" s="14">
        <v>2.595236434738812E-2</v>
      </c>
    </row>
    <row r="168" spans="1:11" x14ac:dyDescent="0.45">
      <c r="A168" s="13" t="s">
        <v>233</v>
      </c>
      <c r="B168" s="13">
        <v>0</v>
      </c>
      <c r="C168" s="13">
        <v>521257054</v>
      </c>
      <c r="D168" s="13">
        <v>0</v>
      </c>
      <c r="E168" s="13">
        <v>521257054</v>
      </c>
      <c r="F168" s="14">
        <v>9.8411221845849522E-3</v>
      </c>
      <c r="G168" s="13">
        <v>0</v>
      </c>
      <c r="H168" s="13">
        <v>521257054</v>
      </c>
      <c r="I168" s="13">
        <v>0</v>
      </c>
      <c r="J168" s="13">
        <v>521257054</v>
      </c>
      <c r="K168" s="14">
        <v>9.630163739915645E-3</v>
      </c>
    </row>
    <row r="169" spans="1:11" x14ac:dyDescent="0.45">
      <c r="A169" s="13" t="s">
        <v>234</v>
      </c>
      <c r="B169" s="13">
        <v>0</v>
      </c>
      <c r="C169" s="13">
        <v>585194804</v>
      </c>
      <c r="D169" s="13">
        <v>0</v>
      </c>
      <c r="E169" s="13">
        <v>585194804</v>
      </c>
      <c r="F169" s="14">
        <v>1.1048241023800597E-2</v>
      </c>
      <c r="G169" s="13">
        <v>0</v>
      </c>
      <c r="H169" s="13">
        <v>585194804</v>
      </c>
      <c r="I169" s="13">
        <v>0</v>
      </c>
      <c r="J169" s="13">
        <v>585194804</v>
      </c>
      <c r="K169" s="14">
        <v>1.0811406270710811E-2</v>
      </c>
    </row>
    <row r="170" spans="1:11" x14ac:dyDescent="0.45">
      <c r="A170" s="13" t="s">
        <v>235</v>
      </c>
      <c r="B170" s="13">
        <v>0</v>
      </c>
      <c r="C170" s="13">
        <v>2112634087</v>
      </c>
      <c r="D170" s="13">
        <v>0</v>
      </c>
      <c r="E170" s="13">
        <v>2112634087</v>
      </c>
      <c r="F170" s="14">
        <v>3.988567640848862E-2</v>
      </c>
      <c r="G170" s="13">
        <v>0</v>
      </c>
      <c r="H170" s="13">
        <v>2109874193</v>
      </c>
      <c r="I170" s="13">
        <v>0</v>
      </c>
      <c r="J170" s="13">
        <v>2109874193</v>
      </c>
      <c r="K170" s="14">
        <v>3.8979681508947761E-2</v>
      </c>
    </row>
    <row r="171" spans="1:11" x14ac:dyDescent="0.45">
      <c r="A171" s="13" t="s">
        <v>236</v>
      </c>
      <c r="B171" s="13">
        <v>0</v>
      </c>
      <c r="C171" s="13">
        <v>627406318</v>
      </c>
      <c r="D171" s="13">
        <v>0</v>
      </c>
      <c r="E171" s="13">
        <v>627406318</v>
      </c>
      <c r="F171" s="14">
        <v>1.1845177321703088E-2</v>
      </c>
      <c r="G171" s="13">
        <v>0</v>
      </c>
      <c r="H171" s="13">
        <v>627406318</v>
      </c>
      <c r="I171" s="13">
        <v>0</v>
      </c>
      <c r="J171" s="13">
        <v>627406318</v>
      </c>
      <c r="K171" s="14">
        <v>1.159125910610235E-2</v>
      </c>
    </row>
    <row r="172" spans="1:11" x14ac:dyDescent="0.45">
      <c r="A172" s="13" t="s">
        <v>237</v>
      </c>
      <c r="B172" s="13">
        <v>0</v>
      </c>
      <c r="C172" s="13">
        <v>38645632</v>
      </c>
      <c r="D172" s="13">
        <v>0</v>
      </c>
      <c r="E172" s="13">
        <v>38645632</v>
      </c>
      <c r="F172" s="14">
        <v>7.2961388914365881E-4</v>
      </c>
      <c r="G172" s="13">
        <v>0</v>
      </c>
      <c r="H172" s="13">
        <v>38645632</v>
      </c>
      <c r="I172" s="13">
        <v>0</v>
      </c>
      <c r="J172" s="13">
        <v>38645632</v>
      </c>
      <c r="K172" s="14">
        <v>7.1397357817343558E-4</v>
      </c>
    </row>
    <row r="173" spans="1:11" x14ac:dyDescent="0.45">
      <c r="A173" s="13" t="s">
        <v>238</v>
      </c>
      <c r="B173" s="13">
        <v>0</v>
      </c>
      <c r="C173" s="13">
        <v>0</v>
      </c>
      <c r="D173" s="13">
        <v>0</v>
      </c>
      <c r="E173" s="13">
        <v>0</v>
      </c>
      <c r="F173" s="14">
        <v>0</v>
      </c>
      <c r="G173" s="13">
        <v>0</v>
      </c>
      <c r="H173" s="13">
        <v>0</v>
      </c>
      <c r="I173" s="13">
        <v>0</v>
      </c>
      <c r="J173" s="13">
        <v>0</v>
      </c>
      <c r="K173" s="14">
        <v>0</v>
      </c>
    </row>
    <row r="174" spans="1:11" x14ac:dyDescent="0.45">
      <c r="A174" s="13" t="s">
        <v>239</v>
      </c>
      <c r="B174" s="13">
        <v>0</v>
      </c>
      <c r="C174" s="13">
        <v>719193009</v>
      </c>
      <c r="D174" s="13">
        <v>0</v>
      </c>
      <c r="E174" s="13">
        <v>719193009</v>
      </c>
      <c r="F174" s="14">
        <v>1.3578072894277428E-2</v>
      </c>
      <c r="G174" s="13">
        <v>0</v>
      </c>
      <c r="H174" s="13">
        <v>719193009</v>
      </c>
      <c r="I174" s="13">
        <v>0</v>
      </c>
      <c r="J174" s="13">
        <v>719193009</v>
      </c>
      <c r="K174" s="14">
        <v>1.3287007598505566E-2</v>
      </c>
    </row>
    <row r="175" spans="1:11" x14ac:dyDescent="0.45">
      <c r="A175" s="13" t="s">
        <v>240</v>
      </c>
      <c r="B175" s="13">
        <v>0</v>
      </c>
      <c r="C175" s="13">
        <v>469956477</v>
      </c>
      <c r="D175" s="13">
        <v>202360400</v>
      </c>
      <c r="E175" s="13">
        <v>672316877</v>
      </c>
      <c r="F175" s="14">
        <v>1.2693070496683528E-2</v>
      </c>
      <c r="G175" s="13">
        <v>0</v>
      </c>
      <c r="H175" s="13">
        <v>469956477</v>
      </c>
      <c r="I175" s="13">
        <v>202360400</v>
      </c>
      <c r="J175" s="13">
        <v>672316877</v>
      </c>
      <c r="K175" s="14">
        <v>1.2420976485468775E-2</v>
      </c>
    </row>
    <row r="176" spans="1:11" x14ac:dyDescent="0.45">
      <c r="A176" s="13" t="s">
        <v>241</v>
      </c>
      <c r="B176" s="13">
        <v>0</v>
      </c>
      <c r="C176" s="13">
        <v>572729081</v>
      </c>
      <c r="D176" s="13">
        <v>0</v>
      </c>
      <c r="E176" s="13">
        <v>572729081</v>
      </c>
      <c r="F176" s="14">
        <v>1.0812893219448024E-2</v>
      </c>
      <c r="G176" s="13">
        <v>0</v>
      </c>
      <c r="H176" s="13">
        <v>572729081</v>
      </c>
      <c r="I176" s="13">
        <v>0</v>
      </c>
      <c r="J176" s="13">
        <v>572729081</v>
      </c>
      <c r="K176" s="14">
        <v>1.0581103481127011E-2</v>
      </c>
    </row>
    <row r="177" spans="1:11" x14ac:dyDescent="0.45">
      <c r="A177" s="13" t="s">
        <v>242</v>
      </c>
      <c r="B177" s="13">
        <v>0</v>
      </c>
      <c r="C177" s="13">
        <v>413418599</v>
      </c>
      <c r="D177" s="13">
        <v>0</v>
      </c>
      <c r="E177" s="13">
        <v>413418599</v>
      </c>
      <c r="F177" s="14">
        <v>7.8051758051391872E-3</v>
      </c>
      <c r="G177" s="13">
        <v>0</v>
      </c>
      <c r="H177" s="13">
        <v>413418599</v>
      </c>
      <c r="I177" s="13">
        <v>0</v>
      </c>
      <c r="J177" s="13">
        <v>413418599</v>
      </c>
      <c r="K177" s="14">
        <v>7.6378607655188235E-3</v>
      </c>
    </row>
    <row r="178" spans="1:11" x14ac:dyDescent="0.45">
      <c r="A178" s="13" t="s">
        <v>243</v>
      </c>
      <c r="B178" s="13">
        <v>0</v>
      </c>
      <c r="C178" s="13">
        <v>1057772203</v>
      </c>
      <c r="D178" s="13">
        <v>0</v>
      </c>
      <c r="E178" s="13">
        <v>1057772203</v>
      </c>
      <c r="F178" s="14">
        <v>1.9970311026583438E-2</v>
      </c>
      <c r="G178" s="13">
        <v>0</v>
      </c>
      <c r="H178" s="13">
        <v>1057772203</v>
      </c>
      <c r="I178" s="13">
        <v>0</v>
      </c>
      <c r="J178" s="13">
        <v>1057772203</v>
      </c>
      <c r="K178" s="14">
        <v>1.9542219018912867E-2</v>
      </c>
    </row>
    <row r="179" spans="1:11" x14ac:dyDescent="0.45">
      <c r="A179" s="13" t="s">
        <v>244</v>
      </c>
      <c r="B179" s="13">
        <v>0</v>
      </c>
      <c r="C179" s="13">
        <v>-1125275589</v>
      </c>
      <c r="D179" s="13">
        <v>0</v>
      </c>
      <c r="E179" s="13">
        <v>-1125275589</v>
      </c>
      <c r="F179" s="14">
        <v>-2.1244747630177491E-2</v>
      </c>
      <c r="G179" s="13">
        <v>0</v>
      </c>
      <c r="H179" s="13">
        <v>-1125275589</v>
      </c>
      <c r="I179" s="13">
        <v>0</v>
      </c>
      <c r="J179" s="13">
        <v>-1125275589</v>
      </c>
      <c r="K179" s="14">
        <v>-2.0789336262104611E-2</v>
      </c>
    </row>
    <row r="180" spans="1:11" x14ac:dyDescent="0.45">
      <c r="A180" s="13" t="s">
        <v>245</v>
      </c>
      <c r="B180" s="13">
        <v>0</v>
      </c>
      <c r="C180" s="13">
        <v>-10547611801</v>
      </c>
      <c r="D180" s="13">
        <v>0</v>
      </c>
      <c r="E180" s="13">
        <v>-10547611801</v>
      </c>
      <c r="F180" s="14">
        <v>-0.19913464133036202</v>
      </c>
      <c r="G180" s="13">
        <v>0</v>
      </c>
      <c r="H180" s="13">
        <v>-10547611801</v>
      </c>
      <c r="I180" s="13">
        <v>0</v>
      </c>
      <c r="J180" s="13">
        <v>-10547611801</v>
      </c>
      <c r="K180" s="14">
        <v>-0.1948659071934527</v>
      </c>
    </row>
    <row r="181" spans="1:11" x14ac:dyDescent="0.45">
      <c r="A181" s="13" t="s">
        <v>246</v>
      </c>
      <c r="B181" s="13">
        <v>0</v>
      </c>
      <c r="C181" s="13">
        <v>968341117</v>
      </c>
      <c r="D181" s="13">
        <v>236629705</v>
      </c>
      <c r="E181" s="13">
        <v>1204970822</v>
      </c>
      <c r="F181" s="14">
        <v>2.2749361370103909E-2</v>
      </c>
      <c r="G181" s="13">
        <v>0</v>
      </c>
      <c r="H181" s="13">
        <v>968341117</v>
      </c>
      <c r="I181" s="13">
        <v>236629705</v>
      </c>
      <c r="J181" s="13">
        <v>1204970822</v>
      </c>
      <c r="K181" s="14">
        <v>2.2261696467479844E-2</v>
      </c>
    </row>
    <row r="182" spans="1:11" x14ac:dyDescent="0.45">
      <c r="A182" s="13" t="s">
        <v>247</v>
      </c>
      <c r="B182" s="13">
        <v>0</v>
      </c>
      <c r="C182" s="13">
        <v>629618326</v>
      </c>
      <c r="D182" s="13">
        <v>0</v>
      </c>
      <c r="E182" s="13">
        <v>629618326</v>
      </c>
      <c r="F182" s="14">
        <v>1.1886939137364348E-2</v>
      </c>
      <c r="G182" s="13">
        <v>0</v>
      </c>
      <c r="H182" s="13">
        <v>629618326</v>
      </c>
      <c r="I182" s="13">
        <v>0</v>
      </c>
      <c r="J182" s="13">
        <v>629618326</v>
      </c>
      <c r="K182" s="14">
        <v>1.1632125697874179E-2</v>
      </c>
    </row>
    <row r="183" spans="1:11" x14ac:dyDescent="0.45">
      <c r="A183" s="13" t="s">
        <v>248</v>
      </c>
      <c r="B183" s="13">
        <v>0</v>
      </c>
      <c r="C183" s="13">
        <v>831279194</v>
      </c>
      <c r="D183" s="13">
        <v>0</v>
      </c>
      <c r="E183" s="13">
        <v>831279194</v>
      </c>
      <c r="F183" s="14">
        <v>1.5694214696722931E-2</v>
      </c>
      <c r="G183" s="13">
        <v>0</v>
      </c>
      <c r="H183" s="13">
        <v>831279194</v>
      </c>
      <c r="I183" s="13">
        <v>0</v>
      </c>
      <c r="J183" s="13">
        <v>831279194</v>
      </c>
      <c r="K183" s="14">
        <v>1.5357786893000212E-2</v>
      </c>
    </row>
    <row r="184" spans="1:11" x14ac:dyDescent="0.45">
      <c r="A184" s="13" t="s">
        <v>249</v>
      </c>
      <c r="B184" s="13">
        <v>0</v>
      </c>
      <c r="C184" s="13">
        <v>1547932724</v>
      </c>
      <c r="D184" s="13">
        <v>0</v>
      </c>
      <c r="E184" s="13">
        <v>1547932724</v>
      </c>
      <c r="F184" s="14">
        <v>2.9224343255413128E-2</v>
      </c>
      <c r="G184" s="13">
        <v>0</v>
      </c>
      <c r="H184" s="13">
        <v>1547932724</v>
      </c>
      <c r="I184" s="13">
        <v>0</v>
      </c>
      <c r="J184" s="13">
        <v>1547932724</v>
      </c>
      <c r="K184" s="14">
        <v>2.8597877910911979E-2</v>
      </c>
    </row>
    <row r="185" spans="1:11" x14ac:dyDescent="0.45">
      <c r="A185" s="13" t="s">
        <v>250</v>
      </c>
      <c r="B185" s="13">
        <v>0</v>
      </c>
      <c r="C185" s="13">
        <v>795064394</v>
      </c>
      <c r="D185" s="13">
        <v>0</v>
      </c>
      <c r="E185" s="13">
        <v>795064394</v>
      </c>
      <c r="F185" s="14">
        <v>1.5010493931784743E-2</v>
      </c>
      <c r="G185" s="13">
        <v>0</v>
      </c>
      <c r="H185" s="13">
        <v>795064394</v>
      </c>
      <c r="I185" s="13">
        <v>0</v>
      </c>
      <c r="J185" s="13">
        <v>795064394</v>
      </c>
      <c r="K185" s="14">
        <v>1.4688722654670888E-2</v>
      </c>
    </row>
    <row r="186" spans="1:11" x14ac:dyDescent="0.45">
      <c r="A186" s="13" t="s">
        <v>251</v>
      </c>
      <c r="B186" s="13">
        <v>0</v>
      </c>
      <c r="C186" s="13">
        <v>-202613446</v>
      </c>
      <c r="D186" s="13">
        <v>-447057120</v>
      </c>
      <c r="E186" s="13">
        <v>-649670566</v>
      </c>
      <c r="F186" s="14">
        <v>-1.2265517311799224E-2</v>
      </c>
      <c r="G186" s="13">
        <v>0</v>
      </c>
      <c r="H186" s="13">
        <v>-202613446</v>
      </c>
      <c r="I186" s="13">
        <v>-447057120</v>
      </c>
      <c r="J186" s="13">
        <v>-649670566</v>
      </c>
      <c r="K186" s="14">
        <v>-1.2002588510933944E-2</v>
      </c>
    </row>
    <row r="187" spans="1:11" x14ac:dyDescent="0.45">
      <c r="A187" s="13" t="s">
        <v>252</v>
      </c>
      <c r="B187" s="13">
        <v>0</v>
      </c>
      <c r="C187" s="13">
        <v>1217773508</v>
      </c>
      <c r="D187" s="13">
        <v>0</v>
      </c>
      <c r="E187" s="13">
        <v>1217773508</v>
      </c>
      <c r="F187" s="14">
        <v>2.2991070899500272E-2</v>
      </c>
      <c r="G187" s="13">
        <v>0</v>
      </c>
      <c r="H187" s="13">
        <v>1217773508</v>
      </c>
      <c r="I187" s="13">
        <v>0</v>
      </c>
      <c r="J187" s="13">
        <v>1217773508</v>
      </c>
      <c r="K187" s="14">
        <v>2.2498224609486965E-2</v>
      </c>
    </row>
    <row r="188" spans="1:11" x14ac:dyDescent="0.45">
      <c r="A188" s="13" t="s">
        <v>253</v>
      </c>
      <c r="B188" s="13">
        <v>0</v>
      </c>
      <c r="C188" s="13">
        <v>869562915</v>
      </c>
      <c r="D188" s="13">
        <v>0</v>
      </c>
      <c r="E188" s="13">
        <v>869562915</v>
      </c>
      <c r="F188" s="14">
        <v>1.6416995852681276E-2</v>
      </c>
      <c r="G188" s="13">
        <v>0</v>
      </c>
      <c r="H188" s="13">
        <v>869562915</v>
      </c>
      <c r="I188" s="13">
        <v>0</v>
      </c>
      <c r="J188" s="13">
        <v>869562915</v>
      </c>
      <c r="K188" s="14">
        <v>1.6065074207337923E-2</v>
      </c>
    </row>
    <row r="189" spans="1:11" x14ac:dyDescent="0.45">
      <c r="A189" s="13" t="s">
        <v>254</v>
      </c>
      <c r="B189" s="13">
        <v>0</v>
      </c>
      <c r="C189" s="13">
        <v>1471580269</v>
      </c>
      <c r="D189" s="13">
        <v>0</v>
      </c>
      <c r="E189" s="13">
        <v>1471580269</v>
      </c>
      <c r="F189" s="14">
        <v>2.7782839811033796E-2</v>
      </c>
      <c r="G189" s="13">
        <v>0</v>
      </c>
      <c r="H189" s="13">
        <v>1471580269</v>
      </c>
      <c r="I189" s="13">
        <v>0</v>
      </c>
      <c r="J189" s="13">
        <v>1471580269</v>
      </c>
      <c r="K189" s="14">
        <v>2.7187275142177954E-2</v>
      </c>
    </row>
    <row r="190" spans="1:11" x14ac:dyDescent="0.45">
      <c r="A190" s="13" t="s">
        <v>255</v>
      </c>
      <c r="B190" s="13">
        <v>1406886000</v>
      </c>
      <c r="C190" s="13">
        <v>-1396010771</v>
      </c>
      <c r="D190" s="13">
        <v>0</v>
      </c>
      <c r="E190" s="13">
        <v>10875229</v>
      </c>
      <c r="F190" s="14">
        <v>2.0531992143427499E-4</v>
      </c>
      <c r="G190" s="13">
        <v>1406886000</v>
      </c>
      <c r="H190" s="13">
        <v>-1396010771</v>
      </c>
      <c r="I190" s="13">
        <v>0</v>
      </c>
      <c r="J190" s="13">
        <v>10875229</v>
      </c>
      <c r="K190" s="14">
        <v>2.0091859702502769E-4</v>
      </c>
    </row>
    <row r="191" spans="1:11" x14ac:dyDescent="0.45">
      <c r="A191" s="13" t="s">
        <v>256</v>
      </c>
      <c r="B191" s="13">
        <v>0</v>
      </c>
      <c r="C191" s="13">
        <v>225423732</v>
      </c>
      <c r="D191" s="13">
        <v>0</v>
      </c>
      <c r="E191" s="13">
        <v>225423732</v>
      </c>
      <c r="F191" s="14">
        <v>4.2559088129234856E-3</v>
      </c>
      <c r="G191" s="13">
        <v>0</v>
      </c>
      <c r="H191" s="13">
        <v>225452853</v>
      </c>
      <c r="I191" s="13">
        <v>0</v>
      </c>
      <c r="J191" s="13">
        <v>225452853</v>
      </c>
      <c r="K191" s="14">
        <v>4.1652153642051859E-3</v>
      </c>
    </row>
    <row r="192" spans="1:11" x14ac:dyDescent="0.45">
      <c r="A192" s="13" t="s">
        <v>257</v>
      </c>
      <c r="B192" s="13">
        <v>0</v>
      </c>
      <c r="C192" s="13">
        <v>-13891780</v>
      </c>
      <c r="D192" s="13">
        <v>0</v>
      </c>
      <c r="E192" s="13">
        <v>-13891780</v>
      </c>
      <c r="F192" s="14">
        <v>-2.6227118327184031E-4</v>
      </c>
      <c r="G192" s="13">
        <v>0</v>
      </c>
      <c r="H192" s="13">
        <v>-13891780</v>
      </c>
      <c r="I192" s="13">
        <v>0</v>
      </c>
      <c r="J192" s="13">
        <v>-13891780</v>
      </c>
      <c r="K192" s="14">
        <v>-2.5664902760027755E-4</v>
      </c>
    </row>
    <row r="193" spans="1:11" x14ac:dyDescent="0.45">
      <c r="A193" s="13" t="s">
        <v>258</v>
      </c>
      <c r="B193" s="13">
        <v>0</v>
      </c>
      <c r="C193" s="13">
        <v>54318353</v>
      </c>
      <c r="D193" s="13">
        <v>0</v>
      </c>
      <c r="E193" s="13">
        <v>54318353</v>
      </c>
      <c r="F193" s="14">
        <v>1.0255085176044767E-3</v>
      </c>
      <c r="G193" s="13">
        <v>0</v>
      </c>
      <c r="H193" s="13">
        <v>54318353</v>
      </c>
      <c r="I193" s="13">
        <v>0</v>
      </c>
      <c r="J193" s="13">
        <v>54318353</v>
      </c>
      <c r="K193" s="14">
        <v>1.0035252846142552E-3</v>
      </c>
    </row>
    <row r="194" spans="1:11" x14ac:dyDescent="0.45">
      <c r="A194" s="13" t="s">
        <v>259</v>
      </c>
      <c r="B194" s="13">
        <v>0</v>
      </c>
      <c r="C194" s="13">
        <v>0</v>
      </c>
      <c r="D194" s="13">
        <v>0</v>
      </c>
      <c r="E194" s="13">
        <v>0</v>
      </c>
      <c r="F194" s="14">
        <v>0</v>
      </c>
      <c r="G194" s="13">
        <v>0</v>
      </c>
      <c r="H194" s="13">
        <v>265432</v>
      </c>
      <c r="I194" s="13">
        <v>0</v>
      </c>
      <c r="J194" s="13">
        <v>265432</v>
      </c>
      <c r="K194" s="14">
        <v>4.9038254776563459E-6</v>
      </c>
    </row>
    <row r="195" spans="1:11" x14ac:dyDescent="0.45">
      <c r="A195" s="13" t="s">
        <v>260</v>
      </c>
      <c r="B195" s="13">
        <v>0</v>
      </c>
      <c r="C195" s="13">
        <v>0</v>
      </c>
      <c r="D195" s="13">
        <v>0</v>
      </c>
      <c r="E195" s="13">
        <v>0</v>
      </c>
      <c r="F195" s="14">
        <v>0</v>
      </c>
      <c r="G195" s="13">
        <v>0</v>
      </c>
      <c r="H195" s="13">
        <v>-671560</v>
      </c>
      <c r="I195" s="13">
        <v>0</v>
      </c>
      <c r="J195" s="13">
        <v>-671560</v>
      </c>
      <c r="K195" s="14">
        <v>-1.2406993270498265E-5</v>
      </c>
    </row>
    <row r="196" spans="1:11" x14ac:dyDescent="0.45">
      <c r="A196" s="13" t="s">
        <v>261</v>
      </c>
      <c r="B196" s="13">
        <v>0</v>
      </c>
      <c r="C196" s="13">
        <v>0</v>
      </c>
      <c r="D196" s="13">
        <v>0</v>
      </c>
      <c r="E196" s="13">
        <v>0</v>
      </c>
      <c r="F196" s="14">
        <v>0</v>
      </c>
      <c r="G196" s="13">
        <v>0</v>
      </c>
      <c r="H196" s="13">
        <v>-6181331</v>
      </c>
      <c r="I196" s="13">
        <v>-1218</v>
      </c>
      <c r="J196" s="13">
        <v>-6182549</v>
      </c>
      <c r="K196" s="14">
        <v>-1.1422187717780359E-4</v>
      </c>
    </row>
    <row r="197" spans="1:11" x14ac:dyDescent="0.45">
      <c r="A197" s="13" t="s">
        <v>262</v>
      </c>
      <c r="B197" s="13">
        <v>0</v>
      </c>
      <c r="C197" s="13">
        <v>0</v>
      </c>
      <c r="D197" s="13">
        <v>0</v>
      </c>
      <c r="E197" s="13">
        <v>0</v>
      </c>
      <c r="F197" s="14">
        <v>0</v>
      </c>
      <c r="G197" s="13">
        <v>0</v>
      </c>
      <c r="H197" s="13">
        <v>2257169</v>
      </c>
      <c r="I197" s="13">
        <v>0</v>
      </c>
      <c r="J197" s="13">
        <v>2257169</v>
      </c>
      <c r="K197" s="14">
        <v>4.1700936019681486E-5</v>
      </c>
    </row>
    <row r="198" spans="1:11" x14ac:dyDescent="0.45">
      <c r="A198" s="13" t="s">
        <v>263</v>
      </c>
      <c r="B198" s="13">
        <v>0</v>
      </c>
      <c r="C198" s="13">
        <v>0</v>
      </c>
      <c r="D198" s="13">
        <v>0</v>
      </c>
      <c r="E198" s="13">
        <v>0</v>
      </c>
      <c r="F198" s="14">
        <v>0</v>
      </c>
      <c r="G198" s="13">
        <v>0</v>
      </c>
      <c r="H198" s="13">
        <v>-9576790</v>
      </c>
      <c r="I198" s="13">
        <v>0</v>
      </c>
      <c r="J198" s="13">
        <v>-9576790</v>
      </c>
      <c r="K198" s="14">
        <v>-1.7693008678744279E-4</v>
      </c>
    </row>
    <row r="199" spans="1:11" x14ac:dyDescent="0.45">
      <c r="A199" s="13" t="s">
        <v>264</v>
      </c>
      <c r="B199" s="13">
        <v>0</v>
      </c>
      <c r="C199" s="13">
        <v>0</v>
      </c>
      <c r="D199" s="13">
        <v>0</v>
      </c>
      <c r="E199" s="13">
        <v>0</v>
      </c>
      <c r="F199" s="14">
        <v>0</v>
      </c>
      <c r="G199" s="13">
        <v>0</v>
      </c>
      <c r="H199" s="13">
        <v>-1990319</v>
      </c>
      <c r="I199" s="13">
        <v>0</v>
      </c>
      <c r="J199" s="13">
        <v>-1990319</v>
      </c>
      <c r="K199" s="14">
        <v>-3.6770913156151106E-5</v>
      </c>
    </row>
    <row r="200" spans="1:11" x14ac:dyDescent="0.45">
      <c r="A200" s="13" t="s">
        <v>265</v>
      </c>
      <c r="B200" s="13">
        <v>0</v>
      </c>
      <c r="C200" s="13">
        <v>0</v>
      </c>
      <c r="D200" s="13">
        <v>0</v>
      </c>
      <c r="E200" s="13">
        <v>0</v>
      </c>
      <c r="F200" s="14">
        <v>0</v>
      </c>
      <c r="G200" s="13">
        <v>0</v>
      </c>
      <c r="H200" s="13">
        <v>-264482</v>
      </c>
      <c r="I200" s="13">
        <v>0</v>
      </c>
      <c r="J200" s="13">
        <v>-264482</v>
      </c>
      <c r="K200" s="14">
        <v>-4.8862743376137979E-6</v>
      </c>
    </row>
    <row r="201" spans="1:11" x14ac:dyDescent="0.45">
      <c r="A201" s="13" t="s">
        <v>266</v>
      </c>
      <c r="B201" s="13">
        <v>0</v>
      </c>
      <c r="C201" s="13">
        <v>0</v>
      </c>
      <c r="D201" s="13">
        <v>0</v>
      </c>
      <c r="E201" s="13">
        <v>0</v>
      </c>
      <c r="F201" s="14">
        <v>0</v>
      </c>
      <c r="G201" s="13">
        <v>0</v>
      </c>
      <c r="H201" s="13">
        <v>-2428480</v>
      </c>
      <c r="I201" s="13">
        <v>0</v>
      </c>
      <c r="J201" s="13">
        <v>-2428480</v>
      </c>
      <c r="K201" s="14">
        <v>-4.486588691634348E-5</v>
      </c>
    </row>
    <row r="202" spans="1:11" x14ac:dyDescent="0.45">
      <c r="A202" s="13" t="s">
        <v>267</v>
      </c>
      <c r="B202" s="13">
        <v>0</v>
      </c>
      <c r="C202" s="13">
        <v>0</v>
      </c>
      <c r="D202" s="13">
        <v>0</v>
      </c>
      <c r="E202" s="13">
        <v>0</v>
      </c>
      <c r="F202" s="14">
        <v>0</v>
      </c>
      <c r="G202" s="13">
        <v>1143000000</v>
      </c>
      <c r="H202" s="13">
        <v>-1134164610</v>
      </c>
      <c r="I202" s="13">
        <v>0</v>
      </c>
      <c r="J202" s="13">
        <v>8835390</v>
      </c>
      <c r="K202" s="14">
        <v>1.6323280760055343E-4</v>
      </c>
    </row>
    <row r="203" spans="1:11" x14ac:dyDescent="0.45">
      <c r="A203" s="13" t="s">
        <v>268</v>
      </c>
      <c r="B203" s="13">
        <v>0</v>
      </c>
      <c r="C203" s="13">
        <v>0</v>
      </c>
      <c r="D203" s="13">
        <v>0</v>
      </c>
      <c r="E203" s="13">
        <v>0</v>
      </c>
      <c r="F203" s="14">
        <v>0</v>
      </c>
      <c r="G203" s="13">
        <v>0</v>
      </c>
      <c r="H203" s="13">
        <v>5206524</v>
      </c>
      <c r="I203" s="13">
        <v>-1100</v>
      </c>
      <c r="J203" s="13">
        <v>5205424</v>
      </c>
      <c r="K203" s="14">
        <v>9.6169605899830491E-5</v>
      </c>
    </row>
    <row r="204" spans="1:11" x14ac:dyDescent="0.45">
      <c r="A204" s="13" t="s">
        <v>269</v>
      </c>
      <c r="B204" s="13">
        <v>0</v>
      </c>
      <c r="C204" s="13">
        <v>0</v>
      </c>
      <c r="D204" s="13">
        <v>0</v>
      </c>
      <c r="E204" s="13">
        <v>0</v>
      </c>
      <c r="F204" s="14">
        <v>0</v>
      </c>
      <c r="G204" s="13">
        <v>0</v>
      </c>
      <c r="H204" s="13">
        <v>1660491</v>
      </c>
      <c r="I204" s="13">
        <v>0</v>
      </c>
      <c r="J204" s="13">
        <v>1660491</v>
      </c>
      <c r="K204" s="14">
        <v>3.0677379031989603E-5</v>
      </c>
    </row>
    <row r="205" spans="1:11" x14ac:dyDescent="0.45">
      <c r="A205" s="13" t="s">
        <v>270</v>
      </c>
      <c r="B205" s="13">
        <v>0</v>
      </c>
      <c r="C205" s="13">
        <v>0</v>
      </c>
      <c r="D205" s="13">
        <v>0</v>
      </c>
      <c r="E205" s="13">
        <v>0</v>
      </c>
      <c r="F205" s="14">
        <v>0</v>
      </c>
      <c r="G205" s="13">
        <v>0</v>
      </c>
      <c r="H205" s="13">
        <v>-6183336</v>
      </c>
      <c r="I205" s="13">
        <v>0</v>
      </c>
      <c r="J205" s="13">
        <v>-6183336</v>
      </c>
      <c r="K205" s="14">
        <v>-1.1423641691171253E-4</v>
      </c>
    </row>
    <row r="206" spans="1:11" x14ac:dyDescent="0.45">
      <c r="A206" s="13" t="s">
        <v>271</v>
      </c>
      <c r="B206" s="15">
        <v>0</v>
      </c>
      <c r="C206" s="13">
        <v>0</v>
      </c>
      <c r="D206" s="15">
        <v>0</v>
      </c>
      <c r="E206" s="15">
        <v>0</v>
      </c>
      <c r="F206" s="30">
        <v>0</v>
      </c>
      <c r="G206" s="15">
        <v>0</v>
      </c>
      <c r="H206" s="13">
        <v>-2002148</v>
      </c>
      <c r="I206" s="15">
        <v>0</v>
      </c>
      <c r="J206" s="13">
        <v>-2002148</v>
      </c>
      <c r="K206" s="14">
        <v>-3.6989452562007212E-5</v>
      </c>
    </row>
    <row r="207" spans="1:11" ht="19.5" thickBot="1" x14ac:dyDescent="0.5">
      <c r="A207" s="13" t="s">
        <v>2</v>
      </c>
      <c r="B207" s="13">
        <f t="shared" ref="B207:K207" si="0">SUM(B11:B206)</f>
        <v>28858776600</v>
      </c>
      <c r="C207" s="17">
        <f t="shared" si="0"/>
        <v>23599383171</v>
      </c>
      <c r="D207" s="13">
        <f t="shared" si="0"/>
        <v>-516784246</v>
      </c>
      <c r="E207" s="13">
        <f t="shared" si="0"/>
        <v>51941375525</v>
      </c>
      <c r="F207" s="32">
        <f t="shared" si="0"/>
        <v>0.98063214503172047</v>
      </c>
      <c r="G207" s="13">
        <f t="shared" si="0"/>
        <v>35203116325</v>
      </c>
      <c r="H207" s="16">
        <f t="shared" si="0"/>
        <v>17199470451</v>
      </c>
      <c r="I207" s="13">
        <f t="shared" si="0"/>
        <v>-516786564</v>
      </c>
      <c r="J207" s="17">
        <f t="shared" si="0"/>
        <v>51885800212</v>
      </c>
      <c r="K207" s="18">
        <f t="shared" si="0"/>
        <v>0.95858415341101577</v>
      </c>
    </row>
    <row r="208" spans="1:11" ht="19.5" thickTop="1" x14ac:dyDescent="0.45">
      <c r="B208" s="19"/>
      <c r="D208" s="19"/>
      <c r="E208" s="19"/>
      <c r="G208" s="19"/>
      <c r="H208" s="19"/>
      <c r="I208" s="19"/>
      <c r="K208" s="19"/>
    </row>
  </sheetData>
  <mergeCells count="15">
    <mergeCell ref="G7:K7"/>
    <mergeCell ref="B7:F7"/>
    <mergeCell ref="A8:A10"/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</mergeCells>
  <pageMargins left="0.70866141732283472" right="0.70866141732283472" top="0.74803149606299213" bottom="0.74803149606299213" header="0.31496062992125984" footer="0.31496062992125984"/>
  <pageSetup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rightToLeft="1" tabSelected="1" view="pageBreakPreview" zoomScaleNormal="100" zoomScaleSheetLayoutView="100" workbookViewId="0">
      <selection activeCell="V17" sqref="V17"/>
    </sheetView>
  </sheetViews>
  <sheetFormatPr defaultColWidth="9.140625" defaultRowHeight="18.75" x14ac:dyDescent="0.45"/>
  <cols>
    <col min="1" max="1" width="23.7109375" style="5" customWidth="1"/>
    <col min="2" max="2" width="15.7109375" style="5" customWidth="1"/>
    <col min="3" max="3" width="12.5703125" style="5" customWidth="1"/>
    <col min="4" max="4" width="22.42578125" style="5" customWidth="1"/>
    <col min="5" max="5" width="10.28515625" style="5" customWidth="1"/>
    <col min="6" max="16384" width="9.140625" style="5"/>
  </cols>
  <sheetData>
    <row r="1" spans="1:6" ht="21" x14ac:dyDescent="0.55000000000000004">
      <c r="A1" s="81" t="s">
        <v>66</v>
      </c>
      <c r="B1" s="81"/>
      <c r="C1" s="81"/>
      <c r="D1" s="81"/>
      <c r="E1" s="81"/>
    </row>
    <row r="2" spans="1:6" ht="21" x14ac:dyDescent="0.55000000000000004">
      <c r="A2" s="81" t="s">
        <v>57</v>
      </c>
      <c r="B2" s="81"/>
      <c r="C2" s="81"/>
      <c r="D2" s="81"/>
      <c r="E2" s="81"/>
    </row>
    <row r="3" spans="1:6" ht="21" x14ac:dyDescent="0.55000000000000004">
      <c r="A3" s="81" t="s">
        <v>67</v>
      </c>
      <c r="B3" s="81"/>
      <c r="C3" s="81"/>
      <c r="D3" s="81"/>
      <c r="E3" s="81"/>
    </row>
    <row r="4" spans="1:6" ht="21" x14ac:dyDescent="0.45">
      <c r="A4" s="82" t="s">
        <v>334</v>
      </c>
      <c r="B4" s="82"/>
      <c r="C4" s="82"/>
      <c r="D4" s="82"/>
      <c r="E4" s="82"/>
    </row>
    <row r="5" spans="1:6" ht="19.5" thickBot="1" x14ac:dyDescent="0.5">
      <c r="A5" s="29"/>
      <c r="B5" s="29"/>
      <c r="C5" s="29"/>
      <c r="D5" s="29"/>
      <c r="E5" s="29"/>
    </row>
    <row r="6" spans="1:6" ht="37.5" customHeight="1" thickBot="1" x14ac:dyDescent="0.5">
      <c r="A6" s="53" t="s">
        <v>19</v>
      </c>
      <c r="B6" s="97" t="s">
        <v>63</v>
      </c>
      <c r="C6" s="97"/>
      <c r="D6" s="98" t="s">
        <v>68</v>
      </c>
      <c r="E6" s="98"/>
      <c r="F6" s="55"/>
    </row>
    <row r="7" spans="1:6" ht="75" customHeight="1" x14ac:dyDescent="0.45">
      <c r="A7" s="49" t="s">
        <v>15</v>
      </c>
      <c r="B7" s="50" t="s">
        <v>16</v>
      </c>
      <c r="C7" s="50" t="s">
        <v>17</v>
      </c>
      <c r="D7" s="50" t="s">
        <v>16</v>
      </c>
      <c r="E7" s="50" t="s">
        <v>17</v>
      </c>
      <c r="F7" s="56"/>
    </row>
    <row r="8" spans="1:6" ht="22.5" customHeight="1" thickBot="1" x14ac:dyDescent="0.5">
      <c r="A8" s="48"/>
      <c r="B8" s="57" t="s">
        <v>59</v>
      </c>
      <c r="C8" s="48"/>
      <c r="D8" s="57" t="s">
        <v>59</v>
      </c>
      <c r="E8" s="48"/>
      <c r="F8" s="56"/>
    </row>
    <row r="9" spans="1:6" x14ac:dyDescent="0.45">
      <c r="A9" s="13" t="s">
        <v>69</v>
      </c>
      <c r="B9" s="13">
        <v>65065</v>
      </c>
      <c r="C9" s="14">
        <f>B9/B15</f>
        <v>6.3424724366129763E-5</v>
      </c>
      <c r="D9" s="13">
        <v>190954</v>
      </c>
      <c r="E9" s="14">
        <f>D9/D15</f>
        <v>8.5181237102308039E-5</v>
      </c>
    </row>
    <row r="10" spans="1:6" x14ac:dyDescent="0.45">
      <c r="A10" s="13" t="s">
        <v>70</v>
      </c>
      <c r="B10" s="13">
        <v>31419</v>
      </c>
      <c r="C10" s="14">
        <f>B10/B15</f>
        <v>3.0626933295311315E-5</v>
      </c>
      <c r="D10" s="13">
        <v>31419</v>
      </c>
      <c r="E10" s="14">
        <f>D10/D15</f>
        <v>1.4015465968334868E-5</v>
      </c>
    </row>
    <row r="11" spans="1:6" x14ac:dyDescent="0.45">
      <c r="A11" s="13" t="s">
        <v>71</v>
      </c>
      <c r="B11" s="13">
        <v>6805</v>
      </c>
      <c r="C11" s="14">
        <f>B11/B15</f>
        <v>6.6334473113273343E-6</v>
      </c>
      <c r="D11" s="13">
        <v>6816895</v>
      </c>
      <c r="E11" s="14">
        <f>D11/D15</f>
        <v>3.0408975423219108E-3</v>
      </c>
    </row>
    <row r="12" spans="1:6" x14ac:dyDescent="0.45">
      <c r="A12" s="13" t="s">
        <v>72</v>
      </c>
      <c r="B12" s="13">
        <v>1024293696</v>
      </c>
      <c r="C12" s="14">
        <f>B12/B15</f>
        <v>0.99847145683184979</v>
      </c>
      <c r="D12" s="13">
        <v>2231763896</v>
      </c>
      <c r="E12" s="14">
        <f>D12/D15</f>
        <v>0.9955508110934923</v>
      </c>
    </row>
    <row r="13" spans="1:6" x14ac:dyDescent="0.45">
      <c r="A13" s="13" t="s">
        <v>73</v>
      </c>
      <c r="B13" s="13">
        <v>1464785</v>
      </c>
      <c r="C13" s="14">
        <f>B13/B15</f>
        <v>1.4278580631774591E-3</v>
      </c>
      <c r="D13" s="13">
        <v>2931546</v>
      </c>
      <c r="E13" s="14">
        <f>D13/D15</f>
        <v>1.3077113592924092E-3</v>
      </c>
    </row>
    <row r="14" spans="1:6" x14ac:dyDescent="0.45">
      <c r="A14" s="13" t="s">
        <v>74</v>
      </c>
      <c r="B14" s="58"/>
      <c r="C14" s="58"/>
      <c r="D14" s="15">
        <v>3101</v>
      </c>
      <c r="E14" s="30">
        <f>D14/D15</f>
        <v>1.383301822712576E-6</v>
      </c>
    </row>
    <row r="15" spans="1:6" ht="19.5" thickBot="1" x14ac:dyDescent="0.5">
      <c r="A15" s="13" t="s">
        <v>2</v>
      </c>
      <c r="B15" s="13">
        <f>SUM(B9:B14)</f>
        <v>1025861770</v>
      </c>
      <c r="C15" s="14">
        <f>SUM(C9:C14)</f>
        <v>1</v>
      </c>
      <c r="D15" s="17">
        <f>SUM(D9:D14)</f>
        <v>2241737811</v>
      </c>
      <c r="E15" s="32">
        <f>SUM(E9:E14)</f>
        <v>1</v>
      </c>
    </row>
    <row r="16" spans="1:6" ht="19.5" thickTop="1" x14ac:dyDescent="0.45">
      <c r="B16" s="19"/>
      <c r="C16" s="19"/>
      <c r="D16" s="20"/>
    </row>
  </sheetData>
  <mergeCells count="6">
    <mergeCell ref="B6:C6"/>
    <mergeCell ref="A4:E4"/>
    <mergeCell ref="D6:E6"/>
    <mergeCell ref="A1:E1"/>
    <mergeCell ref="A2:E2"/>
    <mergeCell ref="A3:E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4"/>
  <sheetViews>
    <sheetView rightToLeft="1" tabSelected="1" view="pageBreakPreview" zoomScale="98" zoomScaleNormal="100" zoomScaleSheetLayoutView="98" workbookViewId="0">
      <selection activeCell="V17" sqref="V17"/>
    </sheetView>
  </sheetViews>
  <sheetFormatPr defaultColWidth="9.140625" defaultRowHeight="18.75" x14ac:dyDescent="0.45"/>
  <cols>
    <col min="1" max="1" width="24.28515625" style="5" bestFit="1" customWidth="1"/>
    <col min="2" max="2" width="11" style="5" bestFit="1" customWidth="1"/>
    <col min="3" max="3" width="11.28515625" style="5" bestFit="1" customWidth="1"/>
    <col min="4" max="4" width="6.85546875" style="5" customWidth="1"/>
    <col min="5" max="5" width="14.7109375" style="5" customWidth="1"/>
    <col min="6" max="6" width="16.42578125" style="5" customWidth="1"/>
    <col min="7" max="7" width="15.42578125" style="5" customWidth="1"/>
    <col min="8" max="8" width="16" style="5" customWidth="1"/>
    <col min="9" max="9" width="15.28515625" style="5" customWidth="1"/>
    <col min="10" max="10" width="15" style="5" customWidth="1"/>
    <col min="11" max="16384" width="9.140625" style="5"/>
  </cols>
  <sheetData>
    <row r="1" spans="1:13" ht="21" x14ac:dyDescent="0.55000000000000004">
      <c r="A1" s="81" t="s">
        <v>66</v>
      </c>
      <c r="B1" s="81"/>
      <c r="C1" s="81"/>
      <c r="D1" s="81"/>
      <c r="E1" s="81"/>
      <c r="F1" s="81"/>
      <c r="G1" s="81"/>
      <c r="H1" s="81"/>
      <c r="I1" s="81"/>
      <c r="J1" s="81"/>
    </row>
    <row r="2" spans="1:13" ht="21" x14ac:dyDescent="0.55000000000000004">
      <c r="A2" s="81" t="s">
        <v>57</v>
      </c>
      <c r="B2" s="81"/>
      <c r="C2" s="81"/>
      <c r="D2" s="81"/>
      <c r="E2" s="81"/>
      <c r="F2" s="81"/>
      <c r="G2" s="81"/>
      <c r="H2" s="81"/>
      <c r="I2" s="81"/>
      <c r="J2" s="81"/>
    </row>
    <row r="3" spans="1:13" ht="21" x14ac:dyDescent="0.55000000000000004">
      <c r="A3" s="81" t="s">
        <v>67</v>
      </c>
      <c r="B3" s="81"/>
      <c r="C3" s="81"/>
      <c r="D3" s="81"/>
      <c r="E3" s="81"/>
      <c r="F3" s="81"/>
      <c r="G3" s="81"/>
      <c r="H3" s="81"/>
      <c r="I3" s="81"/>
      <c r="J3" s="81"/>
    </row>
    <row r="4" spans="1:13" ht="21" x14ac:dyDescent="0.45">
      <c r="A4" s="82" t="s">
        <v>11</v>
      </c>
      <c r="B4" s="82"/>
      <c r="C4" s="82"/>
      <c r="D4" s="82"/>
      <c r="E4" s="82"/>
      <c r="F4" s="82"/>
      <c r="G4" s="82"/>
      <c r="H4" s="82"/>
      <c r="I4" s="82"/>
      <c r="J4" s="82"/>
      <c r="K4" s="59"/>
      <c r="L4" s="59"/>
      <c r="M4" s="59"/>
    </row>
    <row r="5" spans="1:13" ht="16.5" customHeight="1" thickBot="1" x14ac:dyDescent="0.6">
      <c r="B5" s="99" t="s">
        <v>44</v>
      </c>
      <c r="C5" s="99"/>
      <c r="D5" s="99"/>
      <c r="E5" s="89" t="s">
        <v>63</v>
      </c>
      <c r="F5" s="89"/>
      <c r="G5" s="89"/>
      <c r="H5" s="89" t="s">
        <v>68</v>
      </c>
      <c r="I5" s="89"/>
      <c r="J5" s="89"/>
      <c r="K5" s="55"/>
      <c r="L5" s="55"/>
      <c r="M5" s="55"/>
    </row>
    <row r="6" spans="1:13" ht="81" customHeight="1" thickBot="1" x14ac:dyDescent="0.5">
      <c r="A6" s="60" t="s">
        <v>28</v>
      </c>
      <c r="B6" s="61" t="s">
        <v>38</v>
      </c>
      <c r="C6" s="62" t="s">
        <v>43</v>
      </c>
      <c r="D6" s="62" t="s">
        <v>39</v>
      </c>
      <c r="E6" s="62" t="s">
        <v>40</v>
      </c>
      <c r="F6" s="51" t="s">
        <v>41</v>
      </c>
      <c r="G6" s="62" t="s">
        <v>42</v>
      </c>
      <c r="H6" s="62" t="s">
        <v>40</v>
      </c>
      <c r="I6" s="63" t="s">
        <v>41</v>
      </c>
      <c r="J6" s="62" t="s">
        <v>42</v>
      </c>
    </row>
    <row r="7" spans="1:13" x14ac:dyDescent="0.45">
      <c r="A7" s="13" t="s">
        <v>227</v>
      </c>
      <c r="B7" s="13" t="s">
        <v>318</v>
      </c>
      <c r="C7" s="13">
        <v>3665469</v>
      </c>
      <c r="D7" s="13">
        <v>615</v>
      </c>
      <c r="E7" s="13">
        <v>2254263435</v>
      </c>
      <c r="F7" s="13">
        <v>0</v>
      </c>
      <c r="G7" s="13">
        <v>2254263435</v>
      </c>
      <c r="H7" s="13">
        <v>2254263435</v>
      </c>
      <c r="I7" s="13">
        <v>0</v>
      </c>
      <c r="J7" s="13">
        <v>2254263435</v>
      </c>
    </row>
    <row r="8" spans="1:13" x14ac:dyDescent="0.45">
      <c r="A8" s="13" t="s">
        <v>282</v>
      </c>
      <c r="B8" s="13" t="s">
        <v>319</v>
      </c>
      <c r="C8" s="13">
        <v>5516183</v>
      </c>
      <c r="D8" s="13">
        <v>270</v>
      </c>
      <c r="E8" s="13">
        <v>1489369410</v>
      </c>
      <c r="F8" s="13">
        <v>-84666995</v>
      </c>
      <c r="G8" s="13">
        <v>1404702415</v>
      </c>
      <c r="H8" s="13">
        <v>1489369410</v>
      </c>
      <c r="I8" s="13">
        <v>-84666995</v>
      </c>
      <c r="J8" s="13">
        <v>1404702415</v>
      </c>
    </row>
    <row r="9" spans="1:13" x14ac:dyDescent="0.45">
      <c r="A9" s="13" t="s">
        <v>119</v>
      </c>
      <c r="B9" s="13" t="s">
        <v>320</v>
      </c>
      <c r="C9" s="13">
        <v>7357161</v>
      </c>
      <c r="D9" s="13">
        <v>1000</v>
      </c>
      <c r="E9" s="13">
        <v>7357161000</v>
      </c>
      <c r="F9" s="13">
        <v>-462773927</v>
      </c>
      <c r="G9" s="13">
        <v>6894387073</v>
      </c>
      <c r="H9" s="13">
        <v>7357161000</v>
      </c>
      <c r="I9" s="13">
        <v>-462773927</v>
      </c>
      <c r="J9" s="13">
        <v>6894387073</v>
      </c>
    </row>
    <row r="10" spans="1:13" x14ac:dyDescent="0.45">
      <c r="A10" s="13" t="s">
        <v>267</v>
      </c>
      <c r="B10" s="13" t="s">
        <v>321</v>
      </c>
      <c r="C10" s="13">
        <v>285750</v>
      </c>
      <c r="D10" s="13">
        <v>4000</v>
      </c>
      <c r="H10" s="13">
        <v>1143000000</v>
      </c>
      <c r="I10" s="13">
        <v>-57967490</v>
      </c>
      <c r="J10" s="13">
        <v>1085032510</v>
      </c>
    </row>
    <row r="11" spans="1:13" x14ac:dyDescent="0.45">
      <c r="A11" s="13" t="s">
        <v>177</v>
      </c>
      <c r="B11" s="13" t="s">
        <v>318</v>
      </c>
      <c r="C11" s="13">
        <v>11278863</v>
      </c>
      <c r="D11" s="13">
        <v>160</v>
      </c>
      <c r="E11" s="13">
        <v>1804618080</v>
      </c>
      <c r="F11" s="13">
        <v>-103686901</v>
      </c>
      <c r="G11" s="13">
        <v>1700931179</v>
      </c>
      <c r="H11" s="13">
        <v>1804618080</v>
      </c>
      <c r="I11" s="13">
        <v>-103686901</v>
      </c>
      <c r="J11" s="13">
        <v>1700931179</v>
      </c>
    </row>
    <row r="12" spans="1:13" x14ac:dyDescent="0.45">
      <c r="A12" s="13" t="s">
        <v>207</v>
      </c>
      <c r="B12" s="13" t="s">
        <v>322</v>
      </c>
      <c r="C12" s="13">
        <v>250000</v>
      </c>
      <c r="D12" s="13">
        <v>750</v>
      </c>
      <c r="E12" s="13">
        <v>187500000</v>
      </c>
      <c r="F12" s="13">
        <v>0</v>
      </c>
      <c r="G12" s="13">
        <v>187500000</v>
      </c>
      <c r="H12" s="13">
        <v>187500000</v>
      </c>
      <c r="I12" s="13">
        <v>0</v>
      </c>
      <c r="J12" s="13">
        <v>187500000</v>
      </c>
    </row>
    <row r="13" spans="1:13" x14ac:dyDescent="0.45">
      <c r="A13" s="13" t="s">
        <v>157</v>
      </c>
      <c r="B13" s="13" t="s">
        <v>323</v>
      </c>
      <c r="C13" s="13">
        <v>11440020</v>
      </c>
      <c r="D13" s="13">
        <v>160</v>
      </c>
      <c r="E13" s="13">
        <v>1830403200</v>
      </c>
      <c r="F13" s="13">
        <v>-133648488</v>
      </c>
      <c r="G13" s="13">
        <v>1696754712</v>
      </c>
      <c r="H13" s="13">
        <v>1830403200</v>
      </c>
      <c r="I13" s="13">
        <v>-133648488</v>
      </c>
      <c r="J13" s="13">
        <v>1696754712</v>
      </c>
    </row>
    <row r="14" spans="1:13" x14ac:dyDescent="0.45">
      <c r="A14" s="13" t="s">
        <v>222</v>
      </c>
      <c r="B14" s="13" t="s">
        <v>324</v>
      </c>
      <c r="C14" s="13">
        <v>860136</v>
      </c>
      <c r="D14" s="13">
        <v>1500</v>
      </c>
      <c r="H14" s="13">
        <v>0</v>
      </c>
      <c r="I14" s="13">
        <v>0</v>
      </c>
      <c r="J14" s="13">
        <v>0</v>
      </c>
    </row>
    <row r="15" spans="1:13" x14ac:dyDescent="0.45">
      <c r="A15" s="13" t="s">
        <v>106</v>
      </c>
      <c r="B15" s="13" t="s">
        <v>318</v>
      </c>
      <c r="C15" s="13">
        <v>3534630</v>
      </c>
      <c r="D15" s="13">
        <v>480</v>
      </c>
      <c r="E15" s="13">
        <v>1696622400</v>
      </c>
      <c r="F15" s="13">
        <v>0</v>
      </c>
      <c r="G15" s="13">
        <v>1696622400</v>
      </c>
      <c r="H15" s="13">
        <v>1696622400</v>
      </c>
      <c r="I15" s="13">
        <v>0</v>
      </c>
      <c r="J15" s="13">
        <v>1696622400</v>
      </c>
    </row>
    <row r="16" spans="1:13" x14ac:dyDescent="0.45">
      <c r="A16" s="13" t="s">
        <v>174</v>
      </c>
      <c r="B16" s="13" t="s">
        <v>325</v>
      </c>
      <c r="C16" s="13">
        <v>2874653</v>
      </c>
      <c r="D16" s="13">
        <v>740</v>
      </c>
      <c r="E16" s="13">
        <v>2127243220</v>
      </c>
      <c r="F16" s="13">
        <v>-106569764</v>
      </c>
      <c r="G16" s="13">
        <v>2020673456</v>
      </c>
      <c r="H16" s="13">
        <v>2127243220</v>
      </c>
      <c r="I16" s="13">
        <v>-106569764</v>
      </c>
      <c r="J16" s="13">
        <v>2020673456</v>
      </c>
    </row>
    <row r="17" spans="1:10" x14ac:dyDescent="0.45">
      <c r="A17" s="13" t="s">
        <v>186</v>
      </c>
      <c r="B17" s="13" t="s">
        <v>326</v>
      </c>
      <c r="C17" s="13">
        <v>5476907</v>
      </c>
      <c r="D17" s="13">
        <v>695</v>
      </c>
      <c r="E17" s="13">
        <v>3806450365</v>
      </c>
      <c r="F17" s="13">
        <v>-529671159</v>
      </c>
      <c r="G17" s="13">
        <v>3276779206</v>
      </c>
      <c r="H17" s="13">
        <v>3806450365</v>
      </c>
      <c r="I17" s="13">
        <v>-529671159</v>
      </c>
      <c r="J17" s="13">
        <v>3276779206</v>
      </c>
    </row>
    <row r="18" spans="1:10" x14ac:dyDescent="0.45">
      <c r="A18" s="13" t="s">
        <v>143</v>
      </c>
      <c r="B18" s="13" t="s">
        <v>327</v>
      </c>
      <c r="C18" s="13">
        <v>1027781</v>
      </c>
      <c r="D18" s="13">
        <v>4745</v>
      </c>
      <c r="H18" s="13">
        <v>4876820845</v>
      </c>
      <c r="I18" s="13">
        <v>-49594788</v>
      </c>
      <c r="J18" s="13">
        <v>4827226057</v>
      </c>
    </row>
    <row r="19" spans="1:10" x14ac:dyDescent="0.45">
      <c r="A19" s="13" t="s">
        <v>224</v>
      </c>
      <c r="B19" s="13" t="s">
        <v>326</v>
      </c>
      <c r="C19" s="13">
        <v>6157463</v>
      </c>
      <c r="D19" s="13">
        <v>450</v>
      </c>
      <c r="E19" s="13">
        <v>2770858350</v>
      </c>
      <c r="F19" s="13">
        <v>-385567553</v>
      </c>
      <c r="G19" s="13">
        <v>2385290797</v>
      </c>
      <c r="H19" s="13">
        <v>2770858350</v>
      </c>
      <c r="I19" s="13">
        <v>-385567553</v>
      </c>
      <c r="J19" s="13">
        <v>2385290797</v>
      </c>
    </row>
    <row r="20" spans="1:10" x14ac:dyDescent="0.45">
      <c r="A20" s="13" t="s">
        <v>150</v>
      </c>
      <c r="B20" s="13" t="s">
        <v>75</v>
      </c>
      <c r="C20" s="13">
        <v>3667933</v>
      </c>
      <c r="D20" s="13">
        <v>580</v>
      </c>
      <c r="E20" s="13">
        <v>2127401140</v>
      </c>
      <c r="F20" s="13">
        <v>-127397493</v>
      </c>
      <c r="G20" s="13">
        <v>2000003647</v>
      </c>
      <c r="H20" s="13">
        <v>2127401140</v>
      </c>
      <c r="I20" s="13">
        <v>-127397493</v>
      </c>
      <c r="J20" s="13">
        <v>2000003647</v>
      </c>
    </row>
    <row r="21" spans="1:10" x14ac:dyDescent="0.45">
      <c r="A21" s="13" t="s">
        <v>255</v>
      </c>
      <c r="B21" s="13" t="s">
        <v>328</v>
      </c>
      <c r="C21" s="13">
        <v>206895</v>
      </c>
      <c r="D21" s="13">
        <v>6800</v>
      </c>
      <c r="E21" s="13">
        <v>1406886000</v>
      </c>
      <c r="F21" s="13">
        <v>-84250095</v>
      </c>
      <c r="G21" s="13">
        <v>1322635905</v>
      </c>
      <c r="H21" s="13">
        <v>1406886000</v>
      </c>
      <c r="I21" s="13">
        <v>-84250095</v>
      </c>
      <c r="J21" s="13">
        <v>1322635905</v>
      </c>
    </row>
    <row r="22" spans="1:10" x14ac:dyDescent="0.45">
      <c r="A22" s="13" t="s">
        <v>135</v>
      </c>
      <c r="B22" s="13" t="s">
        <v>329</v>
      </c>
      <c r="C22" s="13">
        <v>8112972</v>
      </c>
      <c r="D22" s="13">
        <v>40</v>
      </c>
      <c r="H22" s="15">
        <v>324518880</v>
      </c>
      <c r="I22" s="13">
        <v>-9912263</v>
      </c>
      <c r="J22" s="15">
        <v>314606617</v>
      </c>
    </row>
    <row r="23" spans="1:10" ht="19.5" thickBot="1" x14ac:dyDescent="0.5">
      <c r="A23" s="13" t="s">
        <v>2</v>
      </c>
      <c r="B23" s="13"/>
      <c r="C23" s="13"/>
      <c r="D23" s="13"/>
      <c r="E23" s="17">
        <f t="shared" ref="E23:J23" si="0">SUM(E7:E22)</f>
        <v>28858776600</v>
      </c>
      <c r="F23" s="17">
        <f t="shared" si="0"/>
        <v>-2018232375</v>
      </c>
      <c r="G23" s="16">
        <f t="shared" si="0"/>
        <v>26840544225</v>
      </c>
      <c r="H23" s="17">
        <f t="shared" si="0"/>
        <v>35203116325</v>
      </c>
      <c r="I23" s="17">
        <f t="shared" si="0"/>
        <v>-2135706916</v>
      </c>
      <c r="J23" s="17">
        <f t="shared" si="0"/>
        <v>33067409409</v>
      </c>
    </row>
    <row r="24" spans="1:10" ht="19.5" thickTop="1" x14ac:dyDescent="0.45">
      <c r="G24" s="19"/>
      <c r="H24" s="20"/>
    </row>
  </sheetData>
  <mergeCells count="7">
    <mergeCell ref="B5:D5"/>
    <mergeCell ref="E5:G5"/>
    <mergeCell ref="H5:J5"/>
    <mergeCell ref="A1:J1"/>
    <mergeCell ref="A2:J2"/>
    <mergeCell ref="A3:J3"/>
    <mergeCell ref="A4:J4"/>
  </mergeCells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rightToLeft="1" tabSelected="1" view="pageBreakPreview" topLeftCell="A4" zoomScale="60" zoomScaleNormal="100" workbookViewId="0">
      <selection activeCell="V17" sqref="V17"/>
    </sheetView>
  </sheetViews>
  <sheetFormatPr defaultRowHeight="18.75" x14ac:dyDescent="0.45"/>
  <cols>
    <col min="1" max="1" width="11.7109375" style="5" customWidth="1"/>
    <col min="2" max="2" width="15.28515625" style="5" customWidth="1"/>
    <col min="3" max="3" width="9" style="5" bestFit="1" customWidth="1"/>
    <col min="4" max="4" width="14.7109375" style="5" bestFit="1" customWidth="1"/>
    <col min="5" max="5" width="14.85546875" style="5" bestFit="1" customWidth="1"/>
    <col min="6" max="6" width="11.42578125" style="5" customWidth="1"/>
    <col min="7" max="7" width="14.85546875" style="5" bestFit="1" customWidth="1"/>
    <col min="8" max="16384" width="9.140625" style="5"/>
  </cols>
  <sheetData>
    <row r="1" spans="1:7" ht="21" x14ac:dyDescent="0.55000000000000004">
      <c r="A1" s="81" t="s">
        <v>66</v>
      </c>
      <c r="B1" s="81"/>
      <c r="C1" s="81"/>
      <c r="D1" s="81"/>
      <c r="E1" s="81"/>
      <c r="F1" s="81"/>
      <c r="G1" s="81"/>
    </row>
    <row r="2" spans="1:7" ht="21" x14ac:dyDescent="0.55000000000000004">
      <c r="A2" s="81" t="s">
        <v>57</v>
      </c>
      <c r="B2" s="81"/>
      <c r="C2" s="81"/>
      <c r="D2" s="81"/>
      <c r="E2" s="81"/>
      <c r="F2" s="81"/>
      <c r="G2" s="81"/>
    </row>
    <row r="3" spans="1:7" ht="21" x14ac:dyDescent="0.55000000000000004">
      <c r="A3" s="81" t="s">
        <v>67</v>
      </c>
      <c r="B3" s="81"/>
      <c r="C3" s="81"/>
      <c r="D3" s="81"/>
      <c r="E3" s="81"/>
      <c r="F3" s="81"/>
      <c r="G3" s="81"/>
    </row>
    <row r="4" spans="1:7" ht="21" x14ac:dyDescent="0.55000000000000004">
      <c r="A4" s="4"/>
      <c r="B4" s="4"/>
      <c r="C4" s="4"/>
      <c r="D4" s="4"/>
      <c r="E4" s="4"/>
      <c r="F4" s="4"/>
      <c r="G4" s="4"/>
    </row>
    <row r="5" spans="1:7" ht="27.75" customHeight="1" x14ac:dyDescent="0.45">
      <c r="A5" s="82" t="s">
        <v>61</v>
      </c>
      <c r="B5" s="82"/>
      <c r="C5" s="82"/>
      <c r="D5" s="82"/>
      <c r="E5" s="82"/>
      <c r="F5" s="82"/>
      <c r="G5" s="82"/>
    </row>
    <row r="6" spans="1:7" ht="27.75" customHeight="1" x14ac:dyDescent="0.45">
      <c r="A6" s="6"/>
      <c r="B6" s="6"/>
      <c r="C6" s="6"/>
      <c r="D6" s="6"/>
      <c r="E6" s="6"/>
      <c r="F6" s="6"/>
      <c r="G6" s="6"/>
    </row>
    <row r="7" spans="1:7" ht="30" customHeight="1" thickBot="1" x14ac:dyDescent="0.5">
      <c r="A7" s="11"/>
      <c r="B7" s="89" t="s">
        <v>63</v>
      </c>
      <c r="C7" s="89"/>
      <c r="D7" s="89"/>
      <c r="E7" s="89" t="s">
        <v>68</v>
      </c>
      <c r="F7" s="89"/>
      <c r="G7" s="89"/>
    </row>
    <row r="8" spans="1:7" ht="38.25" customHeight="1" thickBot="1" x14ac:dyDescent="0.5">
      <c r="A8" s="64" t="s">
        <v>36</v>
      </c>
      <c r="B8" s="65" t="s">
        <v>58</v>
      </c>
      <c r="C8" s="65" t="s">
        <v>41</v>
      </c>
      <c r="D8" s="65" t="s">
        <v>45</v>
      </c>
      <c r="E8" s="65" t="s">
        <v>58</v>
      </c>
      <c r="F8" s="65" t="s">
        <v>41</v>
      </c>
      <c r="G8" s="65" t="s">
        <v>45</v>
      </c>
    </row>
    <row r="9" spans="1:7" ht="26.25" customHeight="1" x14ac:dyDescent="0.45">
      <c r="A9" s="13" t="s">
        <v>71</v>
      </c>
      <c r="B9" s="13">
        <v>6805</v>
      </c>
      <c r="C9" s="13">
        <v>0</v>
      </c>
      <c r="D9" s="13">
        <v>6805</v>
      </c>
      <c r="E9" s="13">
        <v>6816895</v>
      </c>
      <c r="F9" s="13">
        <v>0</v>
      </c>
      <c r="G9" s="13">
        <v>6816895</v>
      </c>
    </row>
    <row r="10" spans="1:7" ht="26.25" customHeight="1" x14ac:dyDescent="0.45">
      <c r="A10" s="13" t="s">
        <v>69</v>
      </c>
      <c r="B10" s="13">
        <v>65065</v>
      </c>
      <c r="C10" s="13">
        <v>0</v>
      </c>
      <c r="D10" s="13">
        <v>65065</v>
      </c>
      <c r="E10" s="13">
        <v>190954</v>
      </c>
      <c r="F10" s="13">
        <v>0</v>
      </c>
      <c r="G10" s="13">
        <v>190954</v>
      </c>
    </row>
    <row r="11" spans="1:7" ht="26.25" customHeight="1" x14ac:dyDescent="0.45">
      <c r="A11" s="13" t="s">
        <v>70</v>
      </c>
      <c r="B11" s="13">
        <v>31419</v>
      </c>
      <c r="C11" s="13">
        <v>0</v>
      </c>
      <c r="D11" s="13">
        <v>31419</v>
      </c>
      <c r="E11" s="13">
        <v>31419</v>
      </c>
      <c r="F11" s="13">
        <v>0</v>
      </c>
      <c r="G11" s="13">
        <v>31419</v>
      </c>
    </row>
    <row r="12" spans="1:7" ht="26.25" customHeight="1" x14ac:dyDescent="0.45">
      <c r="A12" s="13" t="s">
        <v>73</v>
      </c>
      <c r="B12" s="13">
        <v>1464785</v>
      </c>
      <c r="C12" s="13">
        <v>0</v>
      </c>
      <c r="D12" s="13">
        <v>1464785</v>
      </c>
      <c r="E12" s="13">
        <v>2931546</v>
      </c>
      <c r="F12" s="13">
        <v>0</v>
      </c>
      <c r="G12" s="13">
        <v>2931546</v>
      </c>
    </row>
    <row r="13" spans="1:7" ht="26.25" customHeight="1" x14ac:dyDescent="0.45">
      <c r="A13" s="13" t="s">
        <v>72</v>
      </c>
      <c r="B13" s="13">
        <v>1024293696</v>
      </c>
      <c r="C13" s="13">
        <v>0</v>
      </c>
      <c r="D13" s="13">
        <v>1024293696</v>
      </c>
      <c r="E13" s="13">
        <v>2231763896</v>
      </c>
      <c r="F13" s="13">
        <v>0</v>
      </c>
      <c r="G13" s="13">
        <v>2231763896</v>
      </c>
    </row>
    <row r="14" spans="1:7" ht="26.25" customHeight="1" x14ac:dyDescent="0.45">
      <c r="A14" s="13" t="s">
        <v>74</v>
      </c>
      <c r="C14" s="58"/>
      <c r="E14" s="13">
        <v>3101</v>
      </c>
      <c r="F14" s="13">
        <v>0</v>
      </c>
      <c r="G14" s="15">
        <v>3101</v>
      </c>
    </row>
    <row r="15" spans="1:7" ht="26.25" customHeight="1" thickBot="1" x14ac:dyDescent="0.5">
      <c r="A15" s="13" t="s">
        <v>2</v>
      </c>
      <c r="B15" s="16">
        <f t="shared" ref="B15:G15" si="0">SUM(B9:B14)</f>
        <v>1025861770</v>
      </c>
      <c r="C15" s="13">
        <f t="shared" si="0"/>
        <v>0</v>
      </c>
      <c r="D15" s="16">
        <f t="shared" si="0"/>
        <v>1025861770</v>
      </c>
      <c r="E15" s="17">
        <f t="shared" si="0"/>
        <v>2241737811</v>
      </c>
      <c r="F15" s="17">
        <f t="shared" si="0"/>
        <v>0</v>
      </c>
      <c r="G15" s="13">
        <f t="shared" si="0"/>
        <v>2241737811</v>
      </c>
    </row>
    <row r="16" spans="1:7" ht="26.25" customHeight="1" thickTop="1" x14ac:dyDescent="0.45">
      <c r="B16" s="19"/>
      <c r="C16" s="19"/>
      <c r="D16" s="19"/>
      <c r="G16" s="31"/>
    </row>
  </sheetData>
  <mergeCells count="6">
    <mergeCell ref="A1:G1"/>
    <mergeCell ref="A2:G2"/>
    <mergeCell ref="A3:G3"/>
    <mergeCell ref="A5:G5"/>
    <mergeCell ref="B7:D7"/>
    <mergeCell ref="E7:G7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1"/>
  <sheetViews>
    <sheetView rightToLeft="1" tabSelected="1" view="pageBreakPreview" zoomScale="60" zoomScaleNormal="100" workbookViewId="0">
      <selection activeCell="V17" sqref="V17"/>
    </sheetView>
  </sheetViews>
  <sheetFormatPr defaultRowHeight="18.75" x14ac:dyDescent="0.45"/>
  <cols>
    <col min="1" max="1" width="26" style="5" bestFit="1" customWidth="1"/>
    <col min="2" max="2" width="16.5703125" style="5" customWidth="1"/>
    <col min="3" max="3" width="17.5703125" style="5" bestFit="1" customWidth="1"/>
    <col min="4" max="4" width="17.28515625" style="5" bestFit="1" customWidth="1"/>
    <col min="5" max="5" width="19.5703125" style="5" bestFit="1" customWidth="1"/>
    <col min="6" max="6" width="12" style="5" bestFit="1" customWidth="1"/>
    <col min="7" max="7" width="17.5703125" style="5" bestFit="1" customWidth="1"/>
    <col min="8" max="8" width="17" style="5" bestFit="1" customWidth="1"/>
    <col min="9" max="9" width="19.5703125" style="5" bestFit="1" customWidth="1"/>
    <col min="10" max="16384" width="9.140625" style="5"/>
  </cols>
  <sheetData>
    <row r="1" spans="1:9" ht="21" x14ac:dyDescent="0.55000000000000004">
      <c r="A1" s="81" t="s">
        <v>66</v>
      </c>
      <c r="B1" s="81"/>
      <c r="C1" s="81"/>
      <c r="D1" s="81"/>
      <c r="E1" s="81"/>
      <c r="F1" s="81"/>
      <c r="G1" s="81"/>
      <c r="H1" s="81"/>
      <c r="I1" s="81"/>
    </row>
    <row r="2" spans="1:9" ht="21" x14ac:dyDescent="0.55000000000000004">
      <c r="A2" s="81" t="s">
        <v>57</v>
      </c>
      <c r="B2" s="81"/>
      <c r="C2" s="81"/>
      <c r="D2" s="81"/>
      <c r="E2" s="81"/>
      <c r="F2" s="81"/>
      <c r="G2" s="81"/>
      <c r="H2" s="81"/>
      <c r="I2" s="81"/>
    </row>
    <row r="3" spans="1:9" ht="21" x14ac:dyDescent="0.55000000000000004">
      <c r="A3" s="81" t="s">
        <v>67</v>
      </c>
      <c r="B3" s="81"/>
      <c r="C3" s="81"/>
      <c r="D3" s="81"/>
      <c r="E3" s="81"/>
      <c r="F3" s="81"/>
      <c r="G3" s="81"/>
      <c r="H3" s="81"/>
      <c r="I3" s="81"/>
    </row>
    <row r="4" spans="1:9" ht="21" x14ac:dyDescent="0.45">
      <c r="A4" s="82" t="s">
        <v>53</v>
      </c>
      <c r="B4" s="82"/>
      <c r="C4" s="82"/>
      <c r="D4" s="82"/>
      <c r="E4" s="82"/>
      <c r="F4" s="82"/>
      <c r="G4" s="82"/>
      <c r="H4" s="82"/>
      <c r="I4" s="82"/>
    </row>
    <row r="5" spans="1:9" ht="16.5" customHeight="1" thickBot="1" x14ac:dyDescent="0.5">
      <c r="B5" s="89" t="s">
        <v>63</v>
      </c>
      <c r="C5" s="89"/>
      <c r="D5" s="89"/>
      <c r="E5" s="89"/>
      <c r="F5" s="89" t="s">
        <v>68</v>
      </c>
      <c r="G5" s="89"/>
      <c r="H5" s="89"/>
      <c r="I5" s="89"/>
    </row>
    <row r="6" spans="1:9" ht="22.5" customHeight="1" thickBot="1" x14ac:dyDescent="0.5">
      <c r="A6" s="66" t="s">
        <v>36</v>
      </c>
      <c r="B6" s="26" t="s">
        <v>3</v>
      </c>
      <c r="C6" s="51" t="s">
        <v>49</v>
      </c>
      <c r="D6" s="26" t="s">
        <v>47</v>
      </c>
      <c r="E6" s="67" t="s">
        <v>50</v>
      </c>
      <c r="F6" s="26" t="s">
        <v>3</v>
      </c>
      <c r="G6" s="51" t="s">
        <v>20</v>
      </c>
      <c r="H6" s="26" t="s">
        <v>47</v>
      </c>
      <c r="I6" s="67" t="s">
        <v>50</v>
      </c>
    </row>
    <row r="7" spans="1:9" ht="22.5" customHeight="1" x14ac:dyDescent="0.45">
      <c r="A7" s="13" t="s">
        <v>90</v>
      </c>
      <c r="B7" s="13">
        <v>289906</v>
      </c>
      <c r="C7" s="13">
        <v>5155809959</v>
      </c>
      <c r="D7" s="13">
        <v>5252871689</v>
      </c>
      <c r="E7" s="13">
        <v>-97061730</v>
      </c>
      <c r="F7" s="13">
        <v>289906</v>
      </c>
      <c r="G7" s="13">
        <v>5155809959</v>
      </c>
      <c r="H7" s="13">
        <v>5252871689</v>
      </c>
      <c r="I7" s="13">
        <v>-97061730</v>
      </c>
    </row>
    <row r="8" spans="1:9" ht="22.5" customHeight="1" x14ac:dyDescent="0.45">
      <c r="A8" s="13" t="s">
        <v>149</v>
      </c>
      <c r="B8" s="13">
        <v>1420608</v>
      </c>
      <c r="C8" s="13">
        <v>2800465644</v>
      </c>
      <c r="D8" s="13">
        <v>2743871388</v>
      </c>
      <c r="E8" s="13">
        <v>56594256</v>
      </c>
      <c r="F8" s="13">
        <v>1420608</v>
      </c>
      <c r="G8" s="13">
        <v>2800465644</v>
      </c>
      <c r="H8" s="13">
        <v>2743871388</v>
      </c>
      <c r="I8" s="13">
        <v>56594256</v>
      </c>
    </row>
    <row r="9" spans="1:9" ht="22.5" customHeight="1" x14ac:dyDescent="0.45">
      <c r="A9" s="13" t="s">
        <v>213</v>
      </c>
      <c r="B9" s="13">
        <v>2400000</v>
      </c>
      <c r="C9" s="13">
        <v>2208793057</v>
      </c>
      <c r="D9" s="13">
        <v>2061204793</v>
      </c>
      <c r="E9" s="13">
        <v>147588264</v>
      </c>
      <c r="F9" s="13">
        <v>2400000</v>
      </c>
      <c r="G9" s="13">
        <v>2208793057</v>
      </c>
      <c r="H9" s="13">
        <v>2061204793</v>
      </c>
      <c r="I9" s="13">
        <v>147588264</v>
      </c>
    </row>
    <row r="10" spans="1:9" ht="22.5" customHeight="1" x14ac:dyDescent="0.45">
      <c r="A10" s="13" t="s">
        <v>211</v>
      </c>
      <c r="B10" s="13">
        <v>2400000</v>
      </c>
      <c r="C10" s="13">
        <v>11915241864</v>
      </c>
      <c r="D10" s="13">
        <v>12208416192</v>
      </c>
      <c r="E10" s="13">
        <v>-293174328</v>
      </c>
      <c r="F10" s="13">
        <v>2400000</v>
      </c>
      <c r="G10" s="13">
        <v>11915241864</v>
      </c>
      <c r="H10" s="13">
        <v>12208416192</v>
      </c>
      <c r="I10" s="13">
        <v>-293174328</v>
      </c>
    </row>
    <row r="11" spans="1:9" ht="22.5" customHeight="1" x14ac:dyDescent="0.45">
      <c r="A11" s="13" t="s">
        <v>246</v>
      </c>
      <c r="B11" s="13">
        <v>4400000</v>
      </c>
      <c r="C11" s="13">
        <v>10237940328</v>
      </c>
      <c r="D11" s="13">
        <v>10001310623</v>
      </c>
      <c r="E11" s="13">
        <v>236629705</v>
      </c>
      <c r="F11" s="13">
        <v>4400000</v>
      </c>
      <c r="G11" s="13">
        <v>10237940328</v>
      </c>
      <c r="H11" s="13">
        <v>10001310623</v>
      </c>
      <c r="I11" s="13">
        <v>236629705</v>
      </c>
    </row>
    <row r="12" spans="1:9" ht="22.5" customHeight="1" x14ac:dyDescent="0.45">
      <c r="A12" s="13" t="s">
        <v>80</v>
      </c>
      <c r="B12" s="13">
        <v>1000000</v>
      </c>
      <c r="C12" s="13">
        <v>6677977201</v>
      </c>
      <c r="D12" s="13">
        <v>6834331001</v>
      </c>
      <c r="E12" s="13">
        <v>-156353800</v>
      </c>
      <c r="F12" s="13">
        <v>1000000</v>
      </c>
      <c r="G12" s="13">
        <v>6677977201</v>
      </c>
      <c r="H12" s="13">
        <v>6834331001</v>
      </c>
      <c r="I12" s="13">
        <v>-156353800</v>
      </c>
    </row>
    <row r="13" spans="1:9" ht="22.5" customHeight="1" x14ac:dyDescent="0.45">
      <c r="A13" s="13" t="s">
        <v>194</v>
      </c>
      <c r="B13" s="13">
        <v>29200000</v>
      </c>
      <c r="C13" s="13">
        <v>13239328445</v>
      </c>
      <c r="D13" s="13">
        <v>13650589205</v>
      </c>
      <c r="E13" s="13">
        <v>-411260760</v>
      </c>
      <c r="F13" s="13">
        <v>29200000</v>
      </c>
      <c r="G13" s="13">
        <v>13239328445</v>
      </c>
      <c r="H13" s="13">
        <v>13650589205</v>
      </c>
      <c r="I13" s="13">
        <v>-411260760</v>
      </c>
    </row>
    <row r="14" spans="1:9" ht="22.5" customHeight="1" x14ac:dyDescent="0.45">
      <c r="A14" s="13" t="s">
        <v>123</v>
      </c>
      <c r="B14" s="13">
        <v>200000</v>
      </c>
      <c r="C14" s="13">
        <v>3884737074</v>
      </c>
      <c r="D14" s="13">
        <v>3430774834</v>
      </c>
      <c r="E14" s="13">
        <v>453962240</v>
      </c>
      <c r="F14" s="13">
        <v>200000</v>
      </c>
      <c r="G14" s="13">
        <v>3884737074</v>
      </c>
      <c r="H14" s="13">
        <v>3430774834</v>
      </c>
      <c r="I14" s="13">
        <v>453962240</v>
      </c>
    </row>
    <row r="15" spans="1:9" ht="22.5" customHeight="1" x14ac:dyDescent="0.45">
      <c r="A15" s="13" t="s">
        <v>240</v>
      </c>
      <c r="B15" s="13">
        <v>400000</v>
      </c>
      <c r="C15" s="13">
        <v>5596402840</v>
      </c>
      <c r="D15" s="13">
        <v>5394042440</v>
      </c>
      <c r="E15" s="13">
        <v>202360400</v>
      </c>
      <c r="F15" s="13">
        <v>400000</v>
      </c>
      <c r="G15" s="13">
        <v>5596402840</v>
      </c>
      <c r="H15" s="13">
        <v>5394042440</v>
      </c>
      <c r="I15" s="13">
        <v>202360400</v>
      </c>
    </row>
    <row r="16" spans="1:9" ht="22.5" customHeight="1" x14ac:dyDescent="0.45">
      <c r="A16" s="13" t="s">
        <v>92</v>
      </c>
      <c r="B16" s="13">
        <v>2400000</v>
      </c>
      <c r="C16" s="13">
        <v>3942891022</v>
      </c>
      <c r="D16" s="13">
        <v>3917724859</v>
      </c>
      <c r="E16" s="13">
        <v>25166163</v>
      </c>
      <c r="F16" s="13">
        <v>2400000</v>
      </c>
      <c r="G16" s="13">
        <v>3942891022</v>
      </c>
      <c r="H16" s="13">
        <v>3917724859</v>
      </c>
      <c r="I16" s="13">
        <v>25166163</v>
      </c>
    </row>
    <row r="17" spans="1:9" ht="22.5" customHeight="1" x14ac:dyDescent="0.45">
      <c r="A17" s="13" t="s">
        <v>199</v>
      </c>
      <c r="B17" s="13">
        <v>400000</v>
      </c>
      <c r="C17" s="13">
        <v>1048545363</v>
      </c>
      <c r="D17" s="13">
        <v>1035699658</v>
      </c>
      <c r="E17" s="13">
        <v>12845705</v>
      </c>
      <c r="F17" s="13">
        <v>400000</v>
      </c>
      <c r="G17" s="13">
        <v>1048545363</v>
      </c>
      <c r="H17" s="13">
        <v>1035699658</v>
      </c>
      <c r="I17" s="13">
        <v>12845705</v>
      </c>
    </row>
    <row r="18" spans="1:9" ht="22.5" customHeight="1" x14ac:dyDescent="0.45">
      <c r="A18" s="13" t="s">
        <v>124</v>
      </c>
      <c r="B18" s="13">
        <v>200000</v>
      </c>
      <c r="C18" s="13">
        <v>4985164492</v>
      </c>
      <c r="D18" s="13">
        <v>5101123092</v>
      </c>
      <c r="E18" s="13">
        <v>-115958600</v>
      </c>
      <c r="F18" s="13">
        <v>200000</v>
      </c>
      <c r="G18" s="13">
        <v>4985164492</v>
      </c>
      <c r="H18" s="13">
        <v>5101123092</v>
      </c>
      <c r="I18" s="13">
        <v>-115958600</v>
      </c>
    </row>
    <row r="19" spans="1:9" ht="22.5" customHeight="1" x14ac:dyDescent="0.45">
      <c r="A19" s="13" t="s">
        <v>272</v>
      </c>
      <c r="B19" s="13">
        <v>2478</v>
      </c>
      <c r="C19" s="13">
        <v>691257663</v>
      </c>
      <c r="D19" s="13">
        <v>658749014</v>
      </c>
      <c r="E19" s="13">
        <v>32508649</v>
      </c>
      <c r="F19" s="13">
        <v>2478</v>
      </c>
      <c r="G19" s="13">
        <v>691257663</v>
      </c>
      <c r="H19" s="13">
        <v>658749014</v>
      </c>
      <c r="I19" s="13">
        <v>32508649</v>
      </c>
    </row>
    <row r="20" spans="1:9" ht="22.5" customHeight="1" x14ac:dyDescent="0.45">
      <c r="A20" s="13" t="s">
        <v>273</v>
      </c>
      <c r="B20" s="13">
        <v>2400000</v>
      </c>
      <c r="C20" s="13">
        <v>6503734732</v>
      </c>
      <c r="D20" s="13">
        <v>6950791852</v>
      </c>
      <c r="E20" s="13">
        <v>-447057120</v>
      </c>
      <c r="F20" s="13">
        <v>2400000</v>
      </c>
      <c r="G20" s="13">
        <v>6503734732</v>
      </c>
      <c r="H20" s="13">
        <v>6950791852</v>
      </c>
      <c r="I20" s="13">
        <v>-447057120</v>
      </c>
    </row>
    <row r="21" spans="1:9" ht="22.5" customHeight="1" x14ac:dyDescent="0.45">
      <c r="A21" s="13" t="s">
        <v>220</v>
      </c>
      <c r="B21" s="13">
        <v>2400000</v>
      </c>
      <c r="C21" s="13">
        <v>3574868280</v>
      </c>
      <c r="D21" s="13">
        <v>3634818104</v>
      </c>
      <c r="E21" s="13">
        <v>-59949824</v>
      </c>
      <c r="F21" s="13">
        <v>2400000</v>
      </c>
      <c r="G21" s="13">
        <v>3574868280</v>
      </c>
      <c r="H21" s="13">
        <v>3634818104</v>
      </c>
      <c r="I21" s="13">
        <v>-59949824</v>
      </c>
    </row>
    <row r="22" spans="1:9" ht="22.5" customHeight="1" x14ac:dyDescent="0.45">
      <c r="A22" s="13" t="s">
        <v>229</v>
      </c>
      <c r="B22" s="13">
        <v>200000</v>
      </c>
      <c r="C22" s="13">
        <v>2081782486</v>
      </c>
      <c r="D22" s="13">
        <v>1992111981</v>
      </c>
      <c r="E22" s="13">
        <v>89670505</v>
      </c>
      <c r="F22" s="13">
        <v>200000</v>
      </c>
      <c r="G22" s="13">
        <v>2081782486</v>
      </c>
      <c r="H22" s="13">
        <v>1992111981</v>
      </c>
      <c r="I22" s="13">
        <v>89670505</v>
      </c>
    </row>
    <row r="23" spans="1:9" ht="22.5" customHeight="1" x14ac:dyDescent="0.45">
      <c r="A23" s="13" t="s">
        <v>130</v>
      </c>
      <c r="B23" s="13">
        <v>1400000</v>
      </c>
      <c r="C23" s="13">
        <v>10446618605</v>
      </c>
      <c r="D23" s="13">
        <v>9976267325</v>
      </c>
      <c r="E23" s="13">
        <v>470351280</v>
      </c>
      <c r="F23" s="13">
        <v>1400000</v>
      </c>
      <c r="G23" s="13">
        <v>10446618605</v>
      </c>
      <c r="H23" s="13">
        <v>9976267325</v>
      </c>
      <c r="I23" s="13">
        <v>470351280</v>
      </c>
    </row>
    <row r="24" spans="1:9" ht="22.5" customHeight="1" x14ac:dyDescent="0.45">
      <c r="A24" s="13" t="s">
        <v>140</v>
      </c>
      <c r="B24" s="13">
        <v>800000</v>
      </c>
      <c r="C24" s="13">
        <v>1583662932</v>
      </c>
      <c r="D24" s="13">
        <v>1489562804</v>
      </c>
      <c r="E24" s="13">
        <v>94100128</v>
      </c>
      <c r="F24" s="13">
        <v>800000</v>
      </c>
      <c r="G24" s="13">
        <v>1583662932</v>
      </c>
      <c r="H24" s="13">
        <v>1489562804</v>
      </c>
      <c r="I24" s="13">
        <v>94100128</v>
      </c>
    </row>
    <row r="25" spans="1:9" ht="22.5" customHeight="1" x14ac:dyDescent="0.45">
      <c r="A25" s="13" t="s">
        <v>274</v>
      </c>
      <c r="B25" s="13">
        <v>11200000</v>
      </c>
      <c r="C25" s="13">
        <v>16330794757</v>
      </c>
      <c r="D25" s="13">
        <v>16876318400</v>
      </c>
      <c r="E25" s="13">
        <v>-545523643</v>
      </c>
      <c r="F25" s="13">
        <v>11200000</v>
      </c>
      <c r="G25" s="13">
        <v>16330794757</v>
      </c>
      <c r="H25" s="13">
        <v>16876318400</v>
      </c>
      <c r="I25" s="13">
        <v>-545523643</v>
      </c>
    </row>
    <row r="26" spans="1:9" ht="22.5" customHeight="1" x14ac:dyDescent="0.45">
      <c r="A26" s="13" t="s">
        <v>158</v>
      </c>
      <c r="B26" s="13">
        <v>600000</v>
      </c>
      <c r="C26" s="13">
        <v>2783317368</v>
      </c>
      <c r="D26" s="13">
        <v>2746750668</v>
      </c>
      <c r="E26" s="13">
        <v>36566700</v>
      </c>
      <c r="F26" s="13">
        <v>600000</v>
      </c>
      <c r="G26" s="13">
        <v>2783317368</v>
      </c>
      <c r="H26" s="13">
        <v>2746750668</v>
      </c>
      <c r="I26" s="13">
        <v>36566700</v>
      </c>
    </row>
    <row r="27" spans="1:9" ht="22.5" customHeight="1" x14ac:dyDescent="0.45">
      <c r="A27" s="13" t="s">
        <v>209</v>
      </c>
      <c r="B27" s="13">
        <v>1200000</v>
      </c>
      <c r="C27" s="13">
        <v>3268537398</v>
      </c>
      <c r="D27" s="13">
        <v>3095425002</v>
      </c>
      <c r="E27" s="13">
        <v>173112396</v>
      </c>
      <c r="F27" s="13">
        <v>1200000</v>
      </c>
      <c r="G27" s="13">
        <v>3268537398</v>
      </c>
      <c r="H27" s="13">
        <v>3095425002</v>
      </c>
      <c r="I27" s="13">
        <v>173112396</v>
      </c>
    </row>
    <row r="28" spans="1:9" ht="22.5" customHeight="1" x14ac:dyDescent="0.45">
      <c r="A28" s="13" t="s">
        <v>217</v>
      </c>
      <c r="B28" s="13">
        <v>400000</v>
      </c>
      <c r="C28" s="13">
        <v>1497533890</v>
      </c>
      <c r="D28" s="13">
        <v>1394182026</v>
      </c>
      <c r="E28" s="13">
        <v>103351864</v>
      </c>
      <c r="F28" s="13">
        <v>400000</v>
      </c>
      <c r="G28" s="13">
        <v>1497533890</v>
      </c>
      <c r="H28" s="13">
        <v>1394182026</v>
      </c>
      <c r="I28" s="13">
        <v>103351864</v>
      </c>
    </row>
    <row r="29" spans="1:9" ht="22.5" customHeight="1" x14ac:dyDescent="0.45">
      <c r="A29" s="13" t="s">
        <v>221</v>
      </c>
      <c r="B29" s="13">
        <v>400000</v>
      </c>
      <c r="C29" s="13">
        <v>4048461610</v>
      </c>
      <c r="D29" s="13">
        <v>3794654730</v>
      </c>
      <c r="E29" s="13">
        <v>253806880</v>
      </c>
      <c r="F29" s="13">
        <v>400000</v>
      </c>
      <c r="G29" s="13">
        <v>4048461610</v>
      </c>
      <c r="H29" s="13">
        <v>3794654730</v>
      </c>
      <c r="I29" s="13">
        <v>253806880</v>
      </c>
    </row>
    <row r="30" spans="1:9" ht="22.5" customHeight="1" x14ac:dyDescent="0.45">
      <c r="A30" s="13" t="s">
        <v>134</v>
      </c>
      <c r="B30" s="13">
        <v>400000</v>
      </c>
      <c r="C30" s="13">
        <v>4068307029</v>
      </c>
      <c r="D30" s="13">
        <v>4238803855</v>
      </c>
      <c r="E30" s="13">
        <v>-170496826</v>
      </c>
      <c r="F30" s="13">
        <v>400000</v>
      </c>
      <c r="G30" s="13">
        <v>4068307029</v>
      </c>
      <c r="H30" s="13">
        <v>4238803855</v>
      </c>
      <c r="I30" s="13">
        <v>-170496826</v>
      </c>
    </row>
    <row r="31" spans="1:9" ht="22.5" customHeight="1" x14ac:dyDescent="0.45">
      <c r="A31" s="13" t="s">
        <v>94</v>
      </c>
      <c r="B31" s="13">
        <v>176343</v>
      </c>
      <c r="C31" s="13">
        <v>1125120558</v>
      </c>
      <c r="D31" s="13">
        <v>1170689922</v>
      </c>
      <c r="E31" s="13">
        <v>-45569364</v>
      </c>
      <c r="F31" s="13">
        <v>176343</v>
      </c>
      <c r="G31" s="13">
        <v>1125120558</v>
      </c>
      <c r="H31" s="13">
        <v>1170689922</v>
      </c>
      <c r="I31" s="13">
        <v>-45569364</v>
      </c>
    </row>
    <row r="32" spans="1:9" ht="22.5" customHeight="1" x14ac:dyDescent="0.45">
      <c r="A32" s="13" t="s">
        <v>230</v>
      </c>
      <c r="B32" s="13">
        <v>4400000</v>
      </c>
      <c r="C32" s="13">
        <v>6720481070</v>
      </c>
      <c r="D32" s="13">
        <v>7103500402</v>
      </c>
      <c r="E32" s="13">
        <v>-383019332</v>
      </c>
      <c r="F32" s="13">
        <v>4400000</v>
      </c>
      <c r="G32" s="13">
        <v>6720481070</v>
      </c>
      <c r="H32" s="13">
        <v>7103500402</v>
      </c>
      <c r="I32" s="13">
        <v>-383019332</v>
      </c>
    </row>
    <row r="33" spans="1:9" ht="22.5" customHeight="1" x14ac:dyDescent="0.45">
      <c r="A33" s="13" t="s">
        <v>105</v>
      </c>
      <c r="B33" s="13">
        <v>400000</v>
      </c>
      <c r="C33" s="13">
        <v>491372117</v>
      </c>
      <c r="D33" s="13">
        <v>492307117</v>
      </c>
      <c r="E33" s="13">
        <v>-935000</v>
      </c>
      <c r="F33" s="13">
        <v>400000</v>
      </c>
      <c r="G33" s="13">
        <v>491372117</v>
      </c>
      <c r="H33" s="13">
        <v>492307117</v>
      </c>
      <c r="I33" s="13">
        <v>-935000</v>
      </c>
    </row>
    <row r="34" spans="1:9" ht="22.5" customHeight="1" x14ac:dyDescent="0.45">
      <c r="A34" s="13" t="s">
        <v>153</v>
      </c>
      <c r="B34" s="13">
        <v>1600000</v>
      </c>
      <c r="C34" s="13">
        <v>3308625113</v>
      </c>
      <c r="D34" s="13">
        <v>3487654729</v>
      </c>
      <c r="E34" s="13">
        <v>-179029616</v>
      </c>
      <c r="F34" s="13">
        <v>1600000</v>
      </c>
      <c r="G34" s="13">
        <v>3308625113</v>
      </c>
      <c r="H34" s="13">
        <v>3487654729</v>
      </c>
      <c r="I34" s="13">
        <v>-179029616</v>
      </c>
    </row>
    <row r="35" spans="1:9" ht="22.5" customHeight="1" x14ac:dyDescent="0.45">
      <c r="A35" s="13" t="s">
        <v>261</v>
      </c>
      <c r="B35" s="13">
        <v>0</v>
      </c>
      <c r="C35" s="13">
        <v>0</v>
      </c>
      <c r="D35" s="13">
        <v>0</v>
      </c>
      <c r="E35" s="13">
        <v>0</v>
      </c>
      <c r="F35" s="13">
        <v>1</v>
      </c>
      <c r="G35" s="13">
        <v>1</v>
      </c>
      <c r="H35" s="13">
        <v>1219</v>
      </c>
      <c r="I35" s="13">
        <v>-1218</v>
      </c>
    </row>
    <row r="36" spans="1:9" ht="22.5" customHeight="1" x14ac:dyDescent="0.45">
      <c r="A36" s="13" t="s">
        <v>98</v>
      </c>
      <c r="B36" s="13">
        <v>1</v>
      </c>
      <c r="C36" s="13">
        <v>1</v>
      </c>
      <c r="D36" s="13">
        <v>6112</v>
      </c>
      <c r="E36" s="13">
        <v>-6111</v>
      </c>
      <c r="F36" s="13">
        <v>1</v>
      </c>
      <c r="G36" s="13">
        <v>1</v>
      </c>
      <c r="H36" s="13">
        <v>6112</v>
      </c>
      <c r="I36" s="13">
        <v>-6111</v>
      </c>
    </row>
    <row r="37" spans="1:9" ht="22.5" customHeight="1" x14ac:dyDescent="0.45">
      <c r="A37" s="13" t="s">
        <v>83</v>
      </c>
      <c r="B37" s="13">
        <v>1</v>
      </c>
      <c r="C37" s="13">
        <v>1</v>
      </c>
      <c r="D37" s="13">
        <v>373</v>
      </c>
      <c r="E37" s="13">
        <v>-372</v>
      </c>
      <c r="F37" s="13">
        <v>1</v>
      </c>
      <c r="G37" s="13">
        <v>1</v>
      </c>
      <c r="H37" s="13">
        <v>373</v>
      </c>
      <c r="I37" s="13">
        <v>-372</v>
      </c>
    </row>
    <row r="38" spans="1:9" ht="22.5" customHeight="1" x14ac:dyDescent="0.45">
      <c r="A38" s="13" t="s">
        <v>268</v>
      </c>
      <c r="B38" s="13">
        <v>0</v>
      </c>
      <c r="C38" s="13">
        <v>0</v>
      </c>
      <c r="D38" s="13">
        <v>0</v>
      </c>
      <c r="E38" s="13">
        <v>0</v>
      </c>
      <c r="F38" s="13">
        <v>1</v>
      </c>
      <c r="G38" s="13">
        <v>1</v>
      </c>
      <c r="H38" s="13">
        <v>1101</v>
      </c>
      <c r="I38" s="13">
        <v>-1100</v>
      </c>
    </row>
    <row r="39" spans="1:9" ht="22.5" customHeight="1" x14ac:dyDescent="0.45">
      <c r="A39" s="13" t="s">
        <v>178</v>
      </c>
      <c r="B39" s="15">
        <v>1</v>
      </c>
      <c r="C39" s="15">
        <v>1</v>
      </c>
      <c r="D39" s="13">
        <v>2956</v>
      </c>
      <c r="E39" s="15">
        <v>-2955</v>
      </c>
      <c r="F39" s="15">
        <v>1</v>
      </c>
      <c r="G39" s="13">
        <v>1</v>
      </c>
      <c r="H39" s="13">
        <v>2956</v>
      </c>
      <c r="I39" s="15">
        <v>-2955</v>
      </c>
    </row>
    <row r="40" spans="1:9" ht="22.5" customHeight="1" thickBot="1" x14ac:dyDescent="0.5">
      <c r="A40" s="13" t="s">
        <v>2</v>
      </c>
      <c r="B40" s="13">
        <f t="shared" ref="B40:I40" si="0">SUM(B7:B39)</f>
        <v>72689338</v>
      </c>
      <c r="C40" s="17">
        <f t="shared" si="0"/>
        <v>140217772900</v>
      </c>
      <c r="D40" s="17">
        <f t="shared" si="0"/>
        <v>140734557146</v>
      </c>
      <c r="E40" s="13">
        <f t="shared" si="0"/>
        <v>-516784246</v>
      </c>
      <c r="F40" s="13">
        <f t="shared" si="0"/>
        <v>72689340</v>
      </c>
      <c r="G40" s="16">
        <f t="shared" si="0"/>
        <v>140217772902</v>
      </c>
      <c r="H40" s="16">
        <f t="shared" si="0"/>
        <v>140734559466</v>
      </c>
      <c r="I40" s="13">
        <f t="shared" si="0"/>
        <v>-516786564</v>
      </c>
    </row>
    <row r="41" spans="1:9" ht="19.5" thickTop="1" x14ac:dyDescent="0.45">
      <c r="B41" s="19"/>
      <c r="E41" s="19"/>
      <c r="F41" s="19"/>
      <c r="G41" s="19"/>
      <c r="H41" s="19"/>
      <c r="I41" s="31"/>
    </row>
  </sheetData>
  <mergeCells count="7">
    <mergeCell ref="A1:I1"/>
    <mergeCell ref="A2:I2"/>
    <mergeCell ref="A3:I3"/>
    <mergeCell ref="B5:E5"/>
    <mergeCell ref="F5:I5"/>
    <mergeCell ref="A4:E4"/>
    <mergeCell ref="F4:I4"/>
  </mergeCells>
  <pageMargins left="0.70866141732283472" right="0.70866141732283472" top="0.74803149606299213" bottom="0.74803149606299213" header="0.31496062992125984" footer="0.31496062992125984"/>
  <pageSetup scale="74" orientation="landscape" r:id="rId1"/>
  <rowBreaks count="1" manualBreakCount="1">
    <brk id="31" max="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23"/>
  <sheetViews>
    <sheetView rightToLeft="1" tabSelected="1" view="pageBreakPreview" topLeftCell="A205" zoomScaleNormal="100" zoomScaleSheetLayoutView="100" workbookViewId="0">
      <selection activeCell="V17" sqref="V17"/>
    </sheetView>
  </sheetViews>
  <sheetFormatPr defaultRowHeight="18.75" x14ac:dyDescent="0.45"/>
  <cols>
    <col min="1" max="1" width="27.5703125" style="5" bestFit="1" customWidth="1"/>
    <col min="2" max="2" width="11" style="5" bestFit="1" customWidth="1"/>
    <col min="3" max="4" width="17.5703125" style="5" bestFit="1" customWidth="1"/>
    <col min="5" max="5" width="16.28515625" style="5" bestFit="1" customWidth="1"/>
    <col min="6" max="6" width="12" style="5" customWidth="1"/>
    <col min="7" max="7" width="17.5703125" style="5" bestFit="1" customWidth="1"/>
    <col min="8" max="8" width="17" style="5" bestFit="1" customWidth="1"/>
    <col min="9" max="9" width="16.28515625" style="5" bestFit="1" customWidth="1"/>
    <col min="10" max="16384" width="9.140625" style="5"/>
  </cols>
  <sheetData>
    <row r="1" spans="1:9" ht="21" x14ac:dyDescent="0.55000000000000004">
      <c r="A1" s="81" t="s">
        <v>66</v>
      </c>
      <c r="B1" s="81"/>
      <c r="C1" s="81"/>
      <c r="D1" s="81"/>
      <c r="E1" s="81"/>
      <c r="F1" s="81"/>
      <c r="G1" s="81"/>
      <c r="H1" s="81"/>
      <c r="I1" s="81"/>
    </row>
    <row r="2" spans="1:9" ht="21" x14ac:dyDescent="0.55000000000000004">
      <c r="A2" s="81" t="s">
        <v>57</v>
      </c>
      <c r="B2" s="81"/>
      <c r="C2" s="81"/>
      <c r="D2" s="81"/>
      <c r="E2" s="81"/>
      <c r="F2" s="81"/>
      <c r="G2" s="81"/>
      <c r="H2" s="81"/>
      <c r="I2" s="81"/>
    </row>
    <row r="3" spans="1:9" ht="21" x14ac:dyDescent="0.55000000000000004">
      <c r="A3" s="81" t="s">
        <v>67</v>
      </c>
      <c r="B3" s="81"/>
      <c r="C3" s="81"/>
      <c r="D3" s="81"/>
      <c r="E3" s="81"/>
      <c r="F3" s="81"/>
      <c r="G3" s="81"/>
      <c r="H3" s="81"/>
      <c r="I3" s="81"/>
    </row>
    <row r="4" spans="1:9" ht="21" x14ac:dyDescent="0.45">
      <c r="A4" s="82" t="s">
        <v>46</v>
      </c>
      <c r="B4" s="82"/>
      <c r="C4" s="82"/>
      <c r="D4" s="82"/>
    </row>
    <row r="5" spans="1:9" ht="16.5" customHeight="1" thickBot="1" x14ac:dyDescent="0.5">
      <c r="B5" s="73" t="s">
        <v>63</v>
      </c>
      <c r="C5" s="73"/>
      <c r="D5" s="73"/>
      <c r="E5" s="73"/>
      <c r="F5" s="89" t="s">
        <v>68</v>
      </c>
      <c r="G5" s="89"/>
      <c r="H5" s="89"/>
      <c r="I5" s="89"/>
    </row>
    <row r="6" spans="1:9" ht="53.25" customHeight="1" thickBot="1" x14ac:dyDescent="0.5">
      <c r="A6" s="66" t="s">
        <v>36</v>
      </c>
      <c r="B6" s="26" t="s">
        <v>3</v>
      </c>
      <c r="C6" s="51" t="s">
        <v>20</v>
      </c>
      <c r="D6" s="26" t="s">
        <v>47</v>
      </c>
      <c r="E6" s="67" t="s">
        <v>48</v>
      </c>
      <c r="F6" s="26" t="s">
        <v>3</v>
      </c>
      <c r="G6" s="51" t="s">
        <v>20</v>
      </c>
      <c r="H6" s="26" t="s">
        <v>47</v>
      </c>
      <c r="I6" s="67" t="s">
        <v>48</v>
      </c>
    </row>
    <row r="7" spans="1:9" x14ac:dyDescent="0.45">
      <c r="A7" s="13" t="s">
        <v>235</v>
      </c>
      <c r="B7" s="13">
        <v>7827544</v>
      </c>
      <c r="C7" s="13">
        <v>32396311681</v>
      </c>
      <c r="D7" s="13">
        <v>30283677594</v>
      </c>
      <c r="E7" s="13">
        <v>2112634087</v>
      </c>
      <c r="F7" s="13">
        <v>7827544</v>
      </c>
      <c r="G7" s="13">
        <v>32396311681</v>
      </c>
      <c r="H7" s="13">
        <v>30286437488</v>
      </c>
      <c r="I7" s="13">
        <v>2109874193</v>
      </c>
    </row>
    <row r="8" spans="1:9" x14ac:dyDescent="0.45">
      <c r="A8" s="13" t="s">
        <v>130</v>
      </c>
      <c r="B8" s="13">
        <v>5342935</v>
      </c>
      <c r="C8" s="13">
        <v>39868288526</v>
      </c>
      <c r="D8" s="13">
        <v>38383830974</v>
      </c>
      <c r="E8" s="13">
        <v>1484457552</v>
      </c>
      <c r="F8" s="13">
        <v>5342935</v>
      </c>
      <c r="G8" s="13">
        <v>39868288526</v>
      </c>
      <c r="H8" s="13">
        <v>38383830974</v>
      </c>
      <c r="I8" s="13">
        <v>1484457552</v>
      </c>
    </row>
    <row r="9" spans="1:9" x14ac:dyDescent="0.45">
      <c r="A9" s="13" t="s">
        <v>275</v>
      </c>
      <c r="B9" s="13">
        <v>158909</v>
      </c>
      <c r="C9" s="13">
        <v>17472590990</v>
      </c>
      <c r="D9" s="13">
        <v>17472590990</v>
      </c>
      <c r="E9" s="13">
        <v>0</v>
      </c>
      <c r="F9" s="13">
        <v>158909</v>
      </c>
      <c r="G9" s="13">
        <v>17472590990</v>
      </c>
      <c r="H9" s="13">
        <v>17472590990</v>
      </c>
      <c r="I9" s="13">
        <v>0</v>
      </c>
    </row>
    <row r="10" spans="1:9" x14ac:dyDescent="0.45">
      <c r="A10" s="13" t="s">
        <v>82</v>
      </c>
      <c r="B10" s="13">
        <v>2862943</v>
      </c>
      <c r="C10" s="13">
        <v>16760793459</v>
      </c>
      <c r="D10" s="13">
        <v>15823325350</v>
      </c>
      <c r="E10" s="13">
        <v>937468109</v>
      </c>
      <c r="F10" s="13">
        <v>2862943</v>
      </c>
      <c r="G10" s="13">
        <v>16760793459</v>
      </c>
      <c r="H10" s="13">
        <v>15823325350</v>
      </c>
      <c r="I10" s="13">
        <v>937468109</v>
      </c>
    </row>
    <row r="11" spans="1:9" x14ac:dyDescent="0.45">
      <c r="A11" s="13" t="s">
        <v>256</v>
      </c>
      <c r="B11" s="13">
        <v>88610</v>
      </c>
      <c r="C11" s="13">
        <v>1165886093</v>
      </c>
      <c r="D11" s="13">
        <v>987925802</v>
      </c>
      <c r="E11" s="13">
        <v>177960291</v>
      </c>
      <c r="F11" s="13">
        <v>88610</v>
      </c>
      <c r="G11" s="13">
        <v>1165886093</v>
      </c>
      <c r="H11" s="13">
        <v>1035847860</v>
      </c>
      <c r="I11" s="13">
        <v>130038233</v>
      </c>
    </row>
    <row r="12" spans="1:9" x14ac:dyDescent="0.45">
      <c r="A12" s="13" t="s">
        <v>276</v>
      </c>
      <c r="B12" s="13">
        <v>23633</v>
      </c>
      <c r="C12" s="13">
        <v>287500885</v>
      </c>
      <c r="D12" s="13">
        <v>240037444</v>
      </c>
      <c r="E12" s="13">
        <v>47463441</v>
      </c>
      <c r="F12" s="13">
        <v>23633</v>
      </c>
      <c r="G12" s="13">
        <v>287500885</v>
      </c>
      <c r="H12" s="13">
        <v>192086265</v>
      </c>
      <c r="I12" s="13">
        <v>95414620</v>
      </c>
    </row>
    <row r="13" spans="1:9" x14ac:dyDescent="0.45">
      <c r="A13" s="13" t="s">
        <v>179</v>
      </c>
      <c r="B13" s="13">
        <v>3814542</v>
      </c>
      <c r="C13" s="13">
        <v>15212138418</v>
      </c>
      <c r="D13" s="13">
        <v>15851812812</v>
      </c>
      <c r="E13" s="13">
        <v>-639674394</v>
      </c>
      <c r="F13" s="13">
        <v>3814542</v>
      </c>
      <c r="G13" s="13">
        <v>15212138418</v>
      </c>
      <c r="H13" s="13">
        <v>15851812812</v>
      </c>
      <c r="I13" s="13">
        <v>-639674394</v>
      </c>
    </row>
    <row r="14" spans="1:9" x14ac:dyDescent="0.45">
      <c r="A14" s="13" t="s">
        <v>133</v>
      </c>
      <c r="B14" s="13">
        <v>245000</v>
      </c>
      <c r="C14" s="13">
        <v>2572063067</v>
      </c>
      <c r="D14" s="13">
        <v>2525872898</v>
      </c>
      <c r="E14" s="13">
        <v>46190169</v>
      </c>
      <c r="F14" s="13">
        <v>245000</v>
      </c>
      <c r="G14" s="13">
        <v>2572063067</v>
      </c>
      <c r="H14" s="13">
        <v>2525872898</v>
      </c>
      <c r="I14" s="13">
        <v>46190169</v>
      </c>
    </row>
    <row r="15" spans="1:9" x14ac:dyDescent="0.45">
      <c r="A15" s="13" t="s">
        <v>277</v>
      </c>
      <c r="B15" s="13">
        <v>2124125</v>
      </c>
      <c r="C15" s="13">
        <v>8289605786</v>
      </c>
      <c r="D15" s="13">
        <v>7929188143</v>
      </c>
      <c r="E15" s="13">
        <v>360417643</v>
      </c>
      <c r="F15" s="13">
        <v>2124125</v>
      </c>
      <c r="G15" s="13">
        <v>8289605786</v>
      </c>
      <c r="H15" s="13">
        <v>7929188143</v>
      </c>
      <c r="I15" s="13">
        <v>360417643</v>
      </c>
    </row>
    <row r="16" spans="1:9" x14ac:dyDescent="0.45">
      <c r="A16" s="13" t="s">
        <v>134</v>
      </c>
      <c r="B16" s="13">
        <v>2598170</v>
      </c>
      <c r="C16" s="13">
        <v>26812095917</v>
      </c>
      <c r="D16" s="13">
        <v>27738691843</v>
      </c>
      <c r="E16" s="13">
        <v>-926595926</v>
      </c>
      <c r="F16" s="13">
        <v>2598170</v>
      </c>
      <c r="G16" s="13">
        <v>26812095917</v>
      </c>
      <c r="H16" s="13">
        <v>27738691843</v>
      </c>
      <c r="I16" s="13">
        <v>-926595926</v>
      </c>
    </row>
    <row r="17" spans="1:9" x14ac:dyDescent="0.45">
      <c r="A17" s="13" t="s">
        <v>193</v>
      </c>
      <c r="B17" s="13">
        <v>8948358</v>
      </c>
      <c r="C17" s="13">
        <v>19054735715</v>
      </c>
      <c r="D17" s="13">
        <v>17971474878</v>
      </c>
      <c r="E17" s="13">
        <v>1083260837</v>
      </c>
      <c r="F17" s="13">
        <v>8948358</v>
      </c>
      <c r="G17" s="13">
        <v>19054735715</v>
      </c>
      <c r="H17" s="13">
        <v>17971474878</v>
      </c>
      <c r="I17" s="13">
        <v>1083260837</v>
      </c>
    </row>
    <row r="18" spans="1:9" x14ac:dyDescent="0.45">
      <c r="A18" s="13" t="s">
        <v>278</v>
      </c>
      <c r="B18" s="13">
        <v>8421427</v>
      </c>
      <c r="C18" s="13">
        <v>28737416701</v>
      </c>
      <c r="D18" s="13">
        <v>28737416701</v>
      </c>
      <c r="E18" s="13">
        <v>0</v>
      </c>
      <c r="F18" s="13">
        <v>8421427</v>
      </c>
      <c r="G18" s="13">
        <v>28737416701</v>
      </c>
      <c r="H18" s="13">
        <v>28737416701</v>
      </c>
      <c r="I18" s="13">
        <v>0</v>
      </c>
    </row>
    <row r="19" spans="1:9" x14ac:dyDescent="0.45">
      <c r="A19" s="13" t="s">
        <v>123</v>
      </c>
      <c r="B19" s="13">
        <v>1505609</v>
      </c>
      <c r="C19" s="13">
        <v>29640377546</v>
      </c>
      <c r="D19" s="13">
        <v>26054848004</v>
      </c>
      <c r="E19" s="13">
        <v>3585529542</v>
      </c>
      <c r="F19" s="13">
        <v>1505609</v>
      </c>
      <c r="G19" s="13">
        <v>29640377546</v>
      </c>
      <c r="H19" s="13">
        <v>26054848004</v>
      </c>
      <c r="I19" s="13">
        <v>3585529542</v>
      </c>
    </row>
    <row r="20" spans="1:9" x14ac:dyDescent="0.45">
      <c r="A20" s="13" t="s">
        <v>153</v>
      </c>
      <c r="B20" s="13">
        <v>7203637</v>
      </c>
      <c r="C20" s="13">
        <v>14953517437</v>
      </c>
      <c r="D20" s="13">
        <v>15818419737</v>
      </c>
      <c r="E20" s="13">
        <v>-864902300</v>
      </c>
      <c r="F20" s="13">
        <v>7203637</v>
      </c>
      <c r="G20" s="13">
        <v>14953517437</v>
      </c>
      <c r="H20" s="13">
        <v>15818419737</v>
      </c>
      <c r="I20" s="13">
        <v>-864902300</v>
      </c>
    </row>
    <row r="21" spans="1:9" x14ac:dyDescent="0.45">
      <c r="A21" s="13" t="s">
        <v>246</v>
      </c>
      <c r="B21" s="13">
        <v>18071939</v>
      </c>
      <c r="C21" s="13">
        <v>42373890000</v>
      </c>
      <c r="D21" s="13">
        <v>41405548883</v>
      </c>
      <c r="E21" s="13">
        <v>968341117</v>
      </c>
      <c r="F21" s="13">
        <v>18071939</v>
      </c>
      <c r="G21" s="13">
        <v>42373890000</v>
      </c>
      <c r="H21" s="13">
        <v>41405548883</v>
      </c>
      <c r="I21" s="13">
        <v>968341117</v>
      </c>
    </row>
    <row r="22" spans="1:9" x14ac:dyDescent="0.45">
      <c r="A22" s="13" t="s">
        <v>194</v>
      </c>
      <c r="B22" s="13">
        <v>38707736</v>
      </c>
      <c r="C22" s="13">
        <v>17706330118</v>
      </c>
      <c r="D22" s="13">
        <v>18195348263</v>
      </c>
      <c r="E22" s="13">
        <v>-489018145</v>
      </c>
      <c r="F22" s="13">
        <v>38707736</v>
      </c>
      <c r="G22" s="13">
        <v>17706330118</v>
      </c>
      <c r="H22" s="13">
        <v>18195348263</v>
      </c>
      <c r="I22" s="13">
        <v>-489018145</v>
      </c>
    </row>
    <row r="23" spans="1:9" x14ac:dyDescent="0.45">
      <c r="A23" s="13" t="s">
        <v>87</v>
      </c>
      <c r="B23" s="13">
        <v>1750000</v>
      </c>
      <c r="C23" s="13">
        <v>4606861542</v>
      </c>
      <c r="D23" s="13">
        <v>4554767367</v>
      </c>
      <c r="E23" s="13">
        <v>52094175</v>
      </c>
      <c r="F23" s="13">
        <v>1750000</v>
      </c>
      <c r="G23" s="13">
        <v>4606861542</v>
      </c>
      <c r="H23" s="13">
        <v>4554767367</v>
      </c>
      <c r="I23" s="13">
        <v>52094175</v>
      </c>
    </row>
    <row r="24" spans="1:9" x14ac:dyDescent="0.45">
      <c r="A24" s="13" t="s">
        <v>279</v>
      </c>
      <c r="B24" s="13">
        <v>12753305</v>
      </c>
      <c r="C24" s="13">
        <v>14919917182</v>
      </c>
      <c r="D24" s="13">
        <v>14462540055</v>
      </c>
      <c r="E24" s="13">
        <v>457377127</v>
      </c>
      <c r="F24" s="13">
        <v>12753305</v>
      </c>
      <c r="G24" s="13">
        <v>14919917182</v>
      </c>
      <c r="H24" s="13">
        <v>14462540055</v>
      </c>
      <c r="I24" s="13">
        <v>457377127</v>
      </c>
    </row>
    <row r="25" spans="1:9" x14ac:dyDescent="0.45">
      <c r="A25" s="13" t="s">
        <v>83</v>
      </c>
      <c r="B25" s="13">
        <v>36217996</v>
      </c>
      <c r="C25" s="13">
        <v>13908017955</v>
      </c>
      <c r="D25" s="13">
        <v>13512699615</v>
      </c>
      <c r="E25" s="13">
        <v>395318340</v>
      </c>
      <c r="F25" s="13">
        <v>36217996</v>
      </c>
      <c r="G25" s="13">
        <v>13908017955</v>
      </c>
      <c r="H25" s="13">
        <v>13510635983</v>
      </c>
      <c r="I25" s="13">
        <v>397381972</v>
      </c>
    </row>
    <row r="26" spans="1:9" x14ac:dyDescent="0.45">
      <c r="A26" s="13" t="s">
        <v>199</v>
      </c>
      <c r="B26" s="13">
        <v>5200000</v>
      </c>
      <c r="C26" s="13">
        <v>14143022764</v>
      </c>
      <c r="D26" s="13">
        <v>13570284520</v>
      </c>
      <c r="E26" s="13">
        <v>572738244</v>
      </c>
      <c r="F26" s="13">
        <v>5200000</v>
      </c>
      <c r="G26" s="13">
        <v>14143022764</v>
      </c>
      <c r="H26" s="13">
        <v>13570284520</v>
      </c>
      <c r="I26" s="13">
        <v>572738244</v>
      </c>
    </row>
    <row r="27" spans="1:9" x14ac:dyDescent="0.45">
      <c r="A27" s="13" t="s">
        <v>191</v>
      </c>
      <c r="B27" s="13">
        <v>7875143</v>
      </c>
      <c r="C27" s="13">
        <v>15378479709</v>
      </c>
      <c r="D27" s="13">
        <v>14339182045</v>
      </c>
      <c r="E27" s="13">
        <v>1039297664</v>
      </c>
      <c r="F27" s="13">
        <v>7875143</v>
      </c>
      <c r="G27" s="13">
        <v>15378479709</v>
      </c>
      <c r="H27" s="13">
        <v>14339532629</v>
      </c>
      <c r="I27" s="13">
        <v>1038947080</v>
      </c>
    </row>
    <row r="28" spans="1:9" x14ac:dyDescent="0.45">
      <c r="A28" s="13" t="s">
        <v>247</v>
      </c>
      <c r="B28" s="13">
        <v>45323085</v>
      </c>
      <c r="C28" s="13">
        <v>22531341514</v>
      </c>
      <c r="D28" s="13">
        <v>21901723188</v>
      </c>
      <c r="E28" s="13">
        <v>629618326</v>
      </c>
      <c r="F28" s="13">
        <v>45323085</v>
      </c>
      <c r="G28" s="13">
        <v>22531341514</v>
      </c>
      <c r="H28" s="13">
        <v>21901723188</v>
      </c>
      <c r="I28" s="13">
        <v>629618326</v>
      </c>
    </row>
    <row r="29" spans="1:9" x14ac:dyDescent="0.45">
      <c r="A29" s="13" t="s">
        <v>213</v>
      </c>
      <c r="B29" s="13">
        <v>22496139</v>
      </c>
      <c r="C29" s="13">
        <v>21005231459</v>
      </c>
      <c r="D29" s="13">
        <v>19487911245</v>
      </c>
      <c r="E29" s="13">
        <v>1517320214</v>
      </c>
      <c r="F29" s="13">
        <v>22496139</v>
      </c>
      <c r="G29" s="13">
        <v>21005231459</v>
      </c>
      <c r="H29" s="13">
        <v>19481766379</v>
      </c>
      <c r="I29" s="13">
        <v>1523465080</v>
      </c>
    </row>
    <row r="30" spans="1:9" x14ac:dyDescent="0.45">
      <c r="A30" s="13" t="s">
        <v>178</v>
      </c>
      <c r="B30" s="13">
        <v>8503159</v>
      </c>
      <c r="C30" s="13">
        <v>25135102722</v>
      </c>
      <c r="D30" s="13">
        <v>25135102722</v>
      </c>
      <c r="E30" s="13">
        <v>0</v>
      </c>
      <c r="F30" s="13">
        <v>8503159</v>
      </c>
      <c r="G30" s="13">
        <v>25135102722</v>
      </c>
      <c r="H30" s="13">
        <v>25130884006</v>
      </c>
      <c r="I30" s="13">
        <v>4218716</v>
      </c>
    </row>
    <row r="31" spans="1:9" x14ac:dyDescent="0.45">
      <c r="A31" s="13" t="s">
        <v>274</v>
      </c>
      <c r="B31" s="13">
        <v>11245192</v>
      </c>
      <c r="C31" s="13">
        <v>16949407065</v>
      </c>
      <c r="D31" s="13">
        <v>17072147999</v>
      </c>
      <c r="E31" s="13">
        <v>-122740934</v>
      </c>
      <c r="F31" s="13">
        <v>11245192</v>
      </c>
      <c r="G31" s="13">
        <v>16949407065</v>
      </c>
      <c r="H31" s="13">
        <v>17072147999</v>
      </c>
      <c r="I31" s="13">
        <v>-122740934</v>
      </c>
    </row>
    <row r="32" spans="1:9" x14ac:dyDescent="0.45">
      <c r="A32" s="13" t="s">
        <v>210</v>
      </c>
      <c r="B32" s="13">
        <v>9210264</v>
      </c>
      <c r="C32" s="13">
        <v>17592707169</v>
      </c>
      <c r="D32" s="13">
        <v>17537872757</v>
      </c>
      <c r="E32" s="13">
        <v>54834412</v>
      </c>
      <c r="F32" s="13">
        <v>9210264</v>
      </c>
      <c r="G32" s="13">
        <v>17592707169</v>
      </c>
      <c r="H32" s="13">
        <v>17537872757</v>
      </c>
      <c r="I32" s="13">
        <v>54834412</v>
      </c>
    </row>
    <row r="33" spans="1:9" x14ac:dyDescent="0.45">
      <c r="A33" s="13" t="s">
        <v>95</v>
      </c>
      <c r="B33" s="13">
        <v>7041661</v>
      </c>
      <c r="C33" s="13">
        <v>14163113103</v>
      </c>
      <c r="D33" s="13">
        <v>14673180817</v>
      </c>
      <c r="E33" s="13">
        <v>-510067714</v>
      </c>
      <c r="F33" s="13">
        <v>7041661</v>
      </c>
      <c r="G33" s="13">
        <v>14163113103</v>
      </c>
      <c r="H33" s="13">
        <v>14673180817</v>
      </c>
      <c r="I33" s="13">
        <v>-510067714</v>
      </c>
    </row>
    <row r="34" spans="1:9" x14ac:dyDescent="0.45">
      <c r="A34" s="13" t="s">
        <v>280</v>
      </c>
      <c r="B34" s="13">
        <v>2875000</v>
      </c>
      <c r="C34" s="13">
        <v>5326133259</v>
      </c>
      <c r="D34" s="13">
        <v>5668466409</v>
      </c>
      <c r="E34" s="13">
        <v>-342333150</v>
      </c>
      <c r="F34" s="13">
        <v>2875000</v>
      </c>
      <c r="G34" s="13">
        <v>5326133259</v>
      </c>
      <c r="H34" s="13">
        <v>5668466409</v>
      </c>
      <c r="I34" s="13">
        <v>-342333150</v>
      </c>
    </row>
    <row r="35" spans="1:9" x14ac:dyDescent="0.45">
      <c r="A35" s="13" t="s">
        <v>105</v>
      </c>
      <c r="B35" s="13">
        <v>9863245</v>
      </c>
      <c r="C35" s="13">
        <v>12116308620</v>
      </c>
      <c r="D35" s="13">
        <v>12233752645</v>
      </c>
      <c r="E35" s="13">
        <v>-117444025</v>
      </c>
      <c r="F35" s="13">
        <v>9863245</v>
      </c>
      <c r="G35" s="13">
        <v>12116308620</v>
      </c>
      <c r="H35" s="13">
        <v>12233752645</v>
      </c>
      <c r="I35" s="13">
        <v>-117444025</v>
      </c>
    </row>
    <row r="36" spans="1:9" x14ac:dyDescent="0.45">
      <c r="A36" s="13" t="s">
        <v>227</v>
      </c>
      <c r="B36" s="13">
        <v>3665469</v>
      </c>
      <c r="C36" s="13">
        <v>7063316024</v>
      </c>
      <c r="D36" s="13">
        <v>9312174755</v>
      </c>
      <c r="E36" s="13">
        <v>-2248858731</v>
      </c>
      <c r="F36" s="13">
        <v>3665469</v>
      </c>
      <c r="G36" s="13">
        <v>7063316024</v>
      </c>
      <c r="H36" s="13">
        <v>9312174755</v>
      </c>
      <c r="I36" s="13">
        <v>-2248858731</v>
      </c>
    </row>
    <row r="37" spans="1:9" x14ac:dyDescent="0.45">
      <c r="A37" s="13" t="s">
        <v>281</v>
      </c>
      <c r="B37" s="13">
        <v>1127836</v>
      </c>
      <c r="C37" s="13">
        <v>1054208994</v>
      </c>
      <c r="D37" s="13">
        <v>1042748375</v>
      </c>
      <c r="E37" s="13">
        <v>11460619</v>
      </c>
      <c r="F37" s="13">
        <v>1127836</v>
      </c>
      <c r="G37" s="13">
        <v>1054208994</v>
      </c>
      <c r="H37" s="13">
        <v>1042748375</v>
      </c>
      <c r="I37" s="13">
        <v>11460619</v>
      </c>
    </row>
    <row r="38" spans="1:9" x14ac:dyDescent="0.45">
      <c r="A38" s="13" t="s">
        <v>228</v>
      </c>
      <c r="B38" s="13">
        <v>8417878</v>
      </c>
      <c r="C38" s="13">
        <v>13564959872</v>
      </c>
      <c r="D38" s="13">
        <v>12721326284</v>
      </c>
      <c r="E38" s="13">
        <v>843633588</v>
      </c>
      <c r="F38" s="13">
        <v>8417878</v>
      </c>
      <c r="G38" s="13">
        <v>13564959872</v>
      </c>
      <c r="H38" s="13">
        <v>12721326284</v>
      </c>
      <c r="I38" s="13">
        <v>843633588</v>
      </c>
    </row>
    <row r="39" spans="1:9" x14ac:dyDescent="0.45">
      <c r="A39" s="13" t="s">
        <v>219</v>
      </c>
      <c r="B39" s="13">
        <v>6092011</v>
      </c>
      <c r="C39" s="13">
        <v>11418853417</v>
      </c>
      <c r="D39" s="13">
        <v>11416436252</v>
      </c>
      <c r="E39" s="13">
        <v>2417165</v>
      </c>
      <c r="F39" s="13">
        <v>6092011</v>
      </c>
      <c r="G39" s="13">
        <v>11418853417</v>
      </c>
      <c r="H39" s="13">
        <v>11416436252</v>
      </c>
      <c r="I39" s="13">
        <v>2417165</v>
      </c>
    </row>
    <row r="40" spans="1:9" x14ac:dyDescent="0.45">
      <c r="A40" s="13" t="s">
        <v>98</v>
      </c>
      <c r="B40" s="13">
        <v>4238695</v>
      </c>
      <c r="C40" s="13">
        <v>25904322178</v>
      </c>
      <c r="D40" s="13">
        <v>25904322177</v>
      </c>
      <c r="E40" s="13">
        <v>1</v>
      </c>
      <c r="F40" s="13">
        <v>4238695</v>
      </c>
      <c r="G40" s="13">
        <v>25904322178</v>
      </c>
      <c r="H40" s="13">
        <v>25902792748</v>
      </c>
      <c r="I40" s="13">
        <v>1529430</v>
      </c>
    </row>
    <row r="41" spans="1:9" x14ac:dyDescent="0.45">
      <c r="A41" s="13" t="s">
        <v>282</v>
      </c>
      <c r="B41" s="13">
        <v>5516183</v>
      </c>
      <c r="C41" s="13">
        <v>23317292777</v>
      </c>
      <c r="D41" s="13">
        <v>24795149362</v>
      </c>
      <c r="E41" s="13">
        <v>-1477856585</v>
      </c>
      <c r="F41" s="13">
        <v>5516183</v>
      </c>
      <c r="G41" s="13">
        <v>23317292777</v>
      </c>
      <c r="H41" s="13">
        <v>24795149362</v>
      </c>
      <c r="I41" s="13">
        <v>-1477856585</v>
      </c>
    </row>
    <row r="42" spans="1:9" x14ac:dyDescent="0.45">
      <c r="A42" s="13" t="s">
        <v>283</v>
      </c>
      <c r="B42" s="13">
        <v>6728056</v>
      </c>
      <c r="C42" s="13">
        <v>11135648276</v>
      </c>
      <c r="D42" s="13">
        <v>11135648276</v>
      </c>
      <c r="E42" s="13">
        <v>0</v>
      </c>
      <c r="F42" s="13">
        <v>6728056</v>
      </c>
      <c r="G42" s="13">
        <v>11135648276</v>
      </c>
      <c r="H42" s="13">
        <v>11136319836</v>
      </c>
      <c r="I42" s="13">
        <v>-671560</v>
      </c>
    </row>
    <row r="43" spans="1:9" x14ac:dyDescent="0.45">
      <c r="A43" s="13" t="s">
        <v>154</v>
      </c>
      <c r="B43" s="13">
        <v>11800000</v>
      </c>
      <c r="C43" s="13">
        <v>26473565146</v>
      </c>
      <c r="D43" s="13">
        <v>26110592780</v>
      </c>
      <c r="E43" s="13">
        <v>362972366</v>
      </c>
      <c r="F43" s="13">
        <v>11800000</v>
      </c>
      <c r="G43" s="13">
        <v>26473565146</v>
      </c>
      <c r="H43" s="13">
        <v>26110592780</v>
      </c>
      <c r="I43" s="13">
        <v>362972366</v>
      </c>
    </row>
    <row r="44" spans="1:9" x14ac:dyDescent="0.45">
      <c r="A44" s="13" t="s">
        <v>119</v>
      </c>
      <c r="B44" s="13">
        <v>7357161</v>
      </c>
      <c r="C44" s="13">
        <v>22338887845</v>
      </c>
      <c r="D44" s="13">
        <v>29639177991</v>
      </c>
      <c r="E44" s="13">
        <v>-7300290146</v>
      </c>
      <c r="F44" s="13">
        <v>7357161</v>
      </c>
      <c r="G44" s="13">
        <v>22338887845</v>
      </c>
      <c r="H44" s="13">
        <v>29639177991</v>
      </c>
      <c r="I44" s="13">
        <v>-7300290146</v>
      </c>
    </row>
    <row r="45" spans="1:9" x14ac:dyDescent="0.45">
      <c r="A45" s="13" t="s">
        <v>258</v>
      </c>
      <c r="B45" s="13">
        <v>842177</v>
      </c>
      <c r="C45" s="13">
        <v>2674134310</v>
      </c>
      <c r="D45" s="13">
        <v>2619815957</v>
      </c>
      <c r="E45" s="13">
        <v>54318353</v>
      </c>
      <c r="F45" s="13">
        <v>842177</v>
      </c>
      <c r="G45" s="13">
        <v>2674134310</v>
      </c>
      <c r="H45" s="13">
        <v>2619815957</v>
      </c>
      <c r="I45" s="13">
        <v>54318353</v>
      </c>
    </row>
    <row r="46" spans="1:9" x14ac:dyDescent="0.45">
      <c r="A46" s="13" t="s">
        <v>267</v>
      </c>
      <c r="B46" s="13">
        <v>285750</v>
      </c>
      <c r="C46" s="13">
        <v>13822631184</v>
      </c>
      <c r="D46" s="13">
        <v>13822631184</v>
      </c>
      <c r="E46" s="13">
        <v>0</v>
      </c>
      <c r="F46" s="13">
        <v>285750</v>
      </c>
      <c r="G46" s="13">
        <v>13822631184</v>
      </c>
      <c r="H46" s="13">
        <v>14956795794</v>
      </c>
      <c r="I46" s="13">
        <v>-1134164610</v>
      </c>
    </row>
    <row r="47" spans="1:9" x14ac:dyDescent="0.45">
      <c r="A47" s="13" t="s">
        <v>177</v>
      </c>
      <c r="B47" s="13">
        <v>11278863</v>
      </c>
      <c r="C47" s="13">
        <v>14649905702</v>
      </c>
      <c r="D47" s="13">
        <v>14403688800</v>
      </c>
      <c r="E47" s="13">
        <v>246216902</v>
      </c>
      <c r="F47" s="13">
        <v>11278863</v>
      </c>
      <c r="G47" s="13">
        <v>14649905702</v>
      </c>
      <c r="H47" s="13">
        <v>14403688800</v>
      </c>
      <c r="I47" s="13">
        <v>246216902</v>
      </c>
    </row>
    <row r="48" spans="1:9" x14ac:dyDescent="0.45">
      <c r="A48" s="13" t="s">
        <v>152</v>
      </c>
      <c r="B48" s="13">
        <v>2235616</v>
      </c>
      <c r="C48" s="13">
        <v>13664941680</v>
      </c>
      <c r="D48" s="13">
        <v>13410401047</v>
      </c>
      <c r="E48" s="13">
        <v>254540633</v>
      </c>
      <c r="F48" s="13">
        <v>2235616</v>
      </c>
      <c r="G48" s="13">
        <v>13664941680</v>
      </c>
      <c r="H48" s="13">
        <v>13410401047</v>
      </c>
      <c r="I48" s="13">
        <v>254540633</v>
      </c>
    </row>
    <row r="49" spans="1:9" x14ac:dyDescent="0.45">
      <c r="A49" s="13" t="s">
        <v>207</v>
      </c>
      <c r="B49" s="13">
        <v>250000</v>
      </c>
      <c r="C49" s="13">
        <v>1073140005</v>
      </c>
      <c r="D49" s="13">
        <v>1200646700</v>
      </c>
      <c r="E49" s="13">
        <v>-127506695</v>
      </c>
      <c r="F49" s="13">
        <v>250000</v>
      </c>
      <c r="G49" s="13">
        <v>1073140005</v>
      </c>
      <c r="H49" s="13">
        <v>1200646700</v>
      </c>
      <c r="I49" s="13">
        <v>-127506695</v>
      </c>
    </row>
    <row r="50" spans="1:9" x14ac:dyDescent="0.45">
      <c r="A50" s="13" t="s">
        <v>284</v>
      </c>
      <c r="B50" s="13">
        <v>3860139</v>
      </c>
      <c r="C50" s="13">
        <v>17048665859</v>
      </c>
      <c r="D50" s="13">
        <v>17048665859</v>
      </c>
      <c r="E50" s="13">
        <v>0</v>
      </c>
      <c r="F50" s="13">
        <v>3860139</v>
      </c>
      <c r="G50" s="13">
        <v>17048665859</v>
      </c>
      <c r="H50" s="13">
        <v>17048665859</v>
      </c>
      <c r="I50" s="13">
        <v>0</v>
      </c>
    </row>
    <row r="51" spans="1:9" x14ac:dyDescent="0.45">
      <c r="A51" s="13" t="s">
        <v>155</v>
      </c>
      <c r="B51" s="13">
        <v>189400</v>
      </c>
      <c r="C51" s="13">
        <v>24403481549</v>
      </c>
      <c r="D51" s="13">
        <v>23736308969</v>
      </c>
      <c r="E51" s="13">
        <v>667172580</v>
      </c>
      <c r="F51" s="13">
        <v>189400</v>
      </c>
      <c r="G51" s="13">
        <v>24403481549</v>
      </c>
      <c r="H51" s="13">
        <v>23736308969</v>
      </c>
      <c r="I51" s="13">
        <v>667172580</v>
      </c>
    </row>
    <row r="52" spans="1:9" x14ac:dyDescent="0.45">
      <c r="A52" s="13" t="s">
        <v>128</v>
      </c>
      <c r="B52" s="13">
        <v>3735701</v>
      </c>
      <c r="C52" s="13">
        <v>35956193103</v>
      </c>
      <c r="D52" s="13">
        <v>37516766020</v>
      </c>
      <c r="E52" s="13">
        <v>-1560572917</v>
      </c>
      <c r="F52" s="13">
        <v>3735701</v>
      </c>
      <c r="G52" s="13">
        <v>35956193103</v>
      </c>
      <c r="H52" s="13">
        <v>37516766020</v>
      </c>
      <c r="I52" s="13">
        <v>-1560572917</v>
      </c>
    </row>
    <row r="53" spans="1:9" x14ac:dyDescent="0.45">
      <c r="A53" s="13" t="s">
        <v>233</v>
      </c>
      <c r="B53" s="13">
        <v>3283236</v>
      </c>
      <c r="C53" s="13">
        <v>17983368353</v>
      </c>
      <c r="D53" s="13">
        <v>17462111299</v>
      </c>
      <c r="E53" s="13">
        <v>521257054</v>
      </c>
      <c r="F53" s="13">
        <v>3283236</v>
      </c>
      <c r="G53" s="13">
        <v>17983368353</v>
      </c>
      <c r="H53" s="13">
        <v>17462111299</v>
      </c>
      <c r="I53" s="13">
        <v>521257054</v>
      </c>
    </row>
    <row r="54" spans="1:9" x14ac:dyDescent="0.45">
      <c r="A54" s="13" t="s">
        <v>92</v>
      </c>
      <c r="B54" s="13">
        <v>7360615</v>
      </c>
      <c r="C54" s="13">
        <v>12167993265</v>
      </c>
      <c r="D54" s="13">
        <v>12109563526</v>
      </c>
      <c r="E54" s="13">
        <v>58429739</v>
      </c>
      <c r="F54" s="13">
        <v>7360615</v>
      </c>
      <c r="G54" s="13">
        <v>12167993265</v>
      </c>
      <c r="H54" s="13">
        <v>12109563526</v>
      </c>
      <c r="I54" s="13">
        <v>58429739</v>
      </c>
    </row>
    <row r="55" spans="1:9" x14ac:dyDescent="0.45">
      <c r="A55" s="13" t="s">
        <v>263</v>
      </c>
      <c r="B55" s="13">
        <v>24127841</v>
      </c>
      <c r="C55" s="13">
        <v>35074052536</v>
      </c>
      <c r="D55" s="13">
        <v>35074052536</v>
      </c>
      <c r="E55" s="13">
        <v>0</v>
      </c>
      <c r="F55" s="13">
        <v>24127841</v>
      </c>
      <c r="G55" s="13">
        <v>35074052536</v>
      </c>
      <c r="H55" s="13">
        <v>35083629326</v>
      </c>
      <c r="I55" s="13">
        <v>-9576790</v>
      </c>
    </row>
    <row r="56" spans="1:9" x14ac:dyDescent="0.45">
      <c r="A56" s="13" t="s">
        <v>84</v>
      </c>
      <c r="B56" s="13">
        <v>12041112</v>
      </c>
      <c r="C56" s="13">
        <v>40336563474</v>
      </c>
      <c r="D56" s="13">
        <v>39898155669</v>
      </c>
      <c r="E56" s="13">
        <v>438407805</v>
      </c>
      <c r="F56" s="13">
        <v>12041112</v>
      </c>
      <c r="G56" s="13">
        <v>40336563474</v>
      </c>
      <c r="H56" s="13">
        <v>39898155669</v>
      </c>
      <c r="I56" s="13">
        <v>438407805</v>
      </c>
    </row>
    <row r="57" spans="1:9" x14ac:dyDescent="0.45">
      <c r="A57" s="13" t="s">
        <v>112</v>
      </c>
      <c r="B57" s="13">
        <v>4607801</v>
      </c>
      <c r="C57" s="13">
        <v>37491898126</v>
      </c>
      <c r="D57" s="13">
        <v>35205806777</v>
      </c>
      <c r="E57" s="13">
        <v>2286091349</v>
      </c>
      <c r="F57" s="13">
        <v>4607801</v>
      </c>
      <c r="G57" s="13">
        <v>37491898126</v>
      </c>
      <c r="H57" s="13">
        <v>35205806777</v>
      </c>
      <c r="I57" s="13">
        <v>2286091349</v>
      </c>
    </row>
    <row r="58" spans="1:9" x14ac:dyDescent="0.45">
      <c r="A58" s="13" t="s">
        <v>125</v>
      </c>
      <c r="B58" s="13">
        <v>1111278</v>
      </c>
      <c r="C58" s="13">
        <v>26729152782</v>
      </c>
      <c r="D58" s="13">
        <v>26354238923</v>
      </c>
      <c r="E58" s="13">
        <v>374913859</v>
      </c>
      <c r="F58" s="13">
        <v>1111278</v>
      </c>
      <c r="G58" s="13">
        <v>26729152782</v>
      </c>
      <c r="H58" s="13">
        <v>26354238923</v>
      </c>
      <c r="I58" s="13">
        <v>374913859</v>
      </c>
    </row>
    <row r="59" spans="1:9" x14ac:dyDescent="0.45">
      <c r="A59" s="13" t="s">
        <v>238</v>
      </c>
      <c r="B59" s="13">
        <v>5580504</v>
      </c>
      <c r="C59" s="13">
        <v>17608826119</v>
      </c>
      <c r="D59" s="13">
        <v>22383195411</v>
      </c>
      <c r="E59" s="13">
        <v>-4774369292</v>
      </c>
      <c r="F59" s="13">
        <v>5580504</v>
      </c>
      <c r="G59" s="13">
        <v>17608826119</v>
      </c>
      <c r="H59" s="13">
        <v>22383195411</v>
      </c>
      <c r="I59" s="13">
        <v>-4774369292</v>
      </c>
    </row>
    <row r="60" spans="1:9" x14ac:dyDescent="0.45">
      <c r="A60" s="13" t="s">
        <v>285</v>
      </c>
      <c r="B60" s="13">
        <v>5580504</v>
      </c>
      <c r="C60" s="13">
        <v>12071459415</v>
      </c>
      <c r="D60" s="13">
        <v>7297090123</v>
      </c>
      <c r="E60" s="13">
        <v>4774369292</v>
      </c>
      <c r="F60" s="13">
        <v>5580504</v>
      </c>
      <c r="G60" s="13">
        <v>12071459415</v>
      </c>
      <c r="H60" s="13">
        <v>7297090123</v>
      </c>
      <c r="I60" s="13">
        <v>4774369292</v>
      </c>
    </row>
    <row r="61" spans="1:9" x14ac:dyDescent="0.45">
      <c r="A61" s="13" t="s">
        <v>102</v>
      </c>
      <c r="B61" s="13">
        <v>940025</v>
      </c>
      <c r="C61" s="13">
        <v>25175154796</v>
      </c>
      <c r="D61" s="13">
        <v>23020482415</v>
      </c>
      <c r="E61" s="13">
        <v>2154672381</v>
      </c>
      <c r="F61" s="13">
        <v>940025</v>
      </c>
      <c r="G61" s="13">
        <v>25175154796</v>
      </c>
      <c r="H61" s="13">
        <v>23020482415</v>
      </c>
      <c r="I61" s="13">
        <v>2154672381</v>
      </c>
    </row>
    <row r="62" spans="1:9" x14ac:dyDescent="0.45">
      <c r="A62" s="13" t="s">
        <v>78</v>
      </c>
      <c r="B62" s="13">
        <v>5599143</v>
      </c>
      <c r="C62" s="13">
        <v>28218221191</v>
      </c>
      <c r="D62" s="13">
        <v>27390397809</v>
      </c>
      <c r="E62" s="13">
        <v>827823382</v>
      </c>
      <c r="F62" s="13">
        <v>5599143</v>
      </c>
      <c r="G62" s="13">
        <v>28218221191</v>
      </c>
      <c r="H62" s="13">
        <v>27390397809</v>
      </c>
      <c r="I62" s="13">
        <v>827823382</v>
      </c>
    </row>
    <row r="63" spans="1:9" x14ac:dyDescent="0.45">
      <c r="A63" s="13" t="s">
        <v>137</v>
      </c>
      <c r="B63" s="13">
        <v>4929408</v>
      </c>
      <c r="C63" s="13">
        <v>32086952116</v>
      </c>
      <c r="D63" s="13">
        <v>30277169755</v>
      </c>
      <c r="E63" s="13">
        <v>1809782361</v>
      </c>
      <c r="F63" s="13">
        <v>4929408</v>
      </c>
      <c r="G63" s="13">
        <v>32086952116</v>
      </c>
      <c r="H63" s="13">
        <v>30277169755</v>
      </c>
      <c r="I63" s="13">
        <v>1809782361</v>
      </c>
    </row>
    <row r="64" spans="1:9" x14ac:dyDescent="0.45">
      <c r="A64" s="13" t="s">
        <v>286</v>
      </c>
      <c r="B64" s="13">
        <v>2428938</v>
      </c>
      <c r="C64" s="13">
        <v>20438176383</v>
      </c>
      <c r="D64" s="13">
        <v>19088485489</v>
      </c>
      <c r="E64" s="13">
        <v>1349690894</v>
      </c>
      <c r="F64" s="13">
        <v>2428938</v>
      </c>
      <c r="G64" s="13">
        <v>20438176383</v>
      </c>
      <c r="H64" s="13">
        <v>19088485489</v>
      </c>
      <c r="I64" s="13">
        <v>1349690894</v>
      </c>
    </row>
    <row r="65" spans="1:9" x14ac:dyDescent="0.45">
      <c r="A65" s="13" t="s">
        <v>204</v>
      </c>
      <c r="B65" s="13">
        <v>2649593</v>
      </c>
      <c r="C65" s="13">
        <v>25239471803</v>
      </c>
      <c r="D65" s="13">
        <v>24450738309</v>
      </c>
      <c r="E65" s="13">
        <v>788733494</v>
      </c>
      <c r="F65" s="13">
        <v>2649593</v>
      </c>
      <c r="G65" s="13">
        <v>25239471803</v>
      </c>
      <c r="H65" s="13">
        <v>24450738309</v>
      </c>
      <c r="I65" s="13">
        <v>788733494</v>
      </c>
    </row>
    <row r="66" spans="1:9" x14ac:dyDescent="0.45">
      <c r="A66" s="13" t="s">
        <v>131</v>
      </c>
      <c r="B66" s="13">
        <v>1133693</v>
      </c>
      <c r="C66" s="13">
        <v>9865632181</v>
      </c>
      <c r="D66" s="13">
        <v>9595649088</v>
      </c>
      <c r="E66" s="13">
        <v>269983093</v>
      </c>
      <c r="F66" s="13">
        <v>1133693</v>
      </c>
      <c r="G66" s="13">
        <v>9865632181</v>
      </c>
      <c r="H66" s="13">
        <v>9595649088</v>
      </c>
      <c r="I66" s="13">
        <v>269983093</v>
      </c>
    </row>
    <row r="67" spans="1:9" x14ac:dyDescent="0.45">
      <c r="A67" s="13" t="s">
        <v>287</v>
      </c>
      <c r="B67" s="13">
        <v>16854222</v>
      </c>
      <c r="C67" s="13">
        <v>24333331047</v>
      </c>
      <c r="D67" s="13">
        <v>24333331047</v>
      </c>
      <c r="E67" s="13">
        <v>0</v>
      </c>
      <c r="F67" s="13">
        <v>16854222</v>
      </c>
      <c r="G67" s="13">
        <v>24333331047</v>
      </c>
      <c r="H67" s="13">
        <v>24333331047</v>
      </c>
      <c r="I67" s="13">
        <v>0</v>
      </c>
    </row>
    <row r="68" spans="1:9" x14ac:dyDescent="0.45">
      <c r="A68" s="13" t="s">
        <v>147</v>
      </c>
      <c r="B68" s="13">
        <v>1125246</v>
      </c>
      <c r="C68" s="13">
        <v>13387408703</v>
      </c>
      <c r="D68" s="13">
        <v>14224819589</v>
      </c>
      <c r="E68" s="13">
        <v>-837410886</v>
      </c>
      <c r="F68" s="13">
        <v>1125246</v>
      </c>
      <c r="G68" s="13">
        <v>13387408703</v>
      </c>
      <c r="H68" s="13">
        <v>14224819589</v>
      </c>
      <c r="I68" s="13">
        <v>-837410886</v>
      </c>
    </row>
    <row r="69" spans="1:9" x14ac:dyDescent="0.45">
      <c r="A69" s="13" t="s">
        <v>220</v>
      </c>
      <c r="B69" s="13">
        <v>15620136</v>
      </c>
      <c r="C69" s="13">
        <v>23807066648</v>
      </c>
      <c r="D69" s="13">
        <v>23838065432</v>
      </c>
      <c r="E69" s="13">
        <v>-30998784</v>
      </c>
      <c r="F69" s="13">
        <v>15620136</v>
      </c>
      <c r="G69" s="13">
        <v>23807066648</v>
      </c>
      <c r="H69" s="13">
        <v>23838065432</v>
      </c>
      <c r="I69" s="13">
        <v>-30998784</v>
      </c>
    </row>
    <row r="70" spans="1:9" x14ac:dyDescent="0.45">
      <c r="A70" s="13" t="s">
        <v>261</v>
      </c>
      <c r="B70" s="13">
        <v>18378584</v>
      </c>
      <c r="C70" s="13">
        <v>22412680064</v>
      </c>
      <c r="D70" s="13">
        <v>22412680064</v>
      </c>
      <c r="E70" s="13">
        <v>0</v>
      </c>
      <c r="F70" s="13">
        <v>18378584</v>
      </c>
      <c r="G70" s="13">
        <v>22412680064</v>
      </c>
      <c r="H70" s="13">
        <v>22418861395</v>
      </c>
      <c r="I70" s="13">
        <v>-6181331</v>
      </c>
    </row>
    <row r="71" spans="1:9" x14ac:dyDescent="0.45">
      <c r="A71" s="13" t="s">
        <v>201</v>
      </c>
      <c r="B71" s="13">
        <v>9169674</v>
      </c>
      <c r="C71" s="13">
        <v>30062410156</v>
      </c>
      <c r="D71" s="13">
        <v>29243518838</v>
      </c>
      <c r="E71" s="13">
        <v>818891318</v>
      </c>
      <c r="F71" s="13">
        <v>9169674</v>
      </c>
      <c r="G71" s="13">
        <v>30062410156</v>
      </c>
      <c r="H71" s="13">
        <v>29243518838</v>
      </c>
      <c r="I71" s="13">
        <v>818891318</v>
      </c>
    </row>
    <row r="72" spans="1:9" x14ac:dyDescent="0.45">
      <c r="A72" s="13" t="s">
        <v>159</v>
      </c>
      <c r="B72" s="13">
        <v>562500</v>
      </c>
      <c r="C72" s="13">
        <v>4537774744</v>
      </c>
      <c r="D72" s="13">
        <v>4632660562</v>
      </c>
      <c r="E72" s="13">
        <v>-94885818</v>
      </c>
      <c r="F72" s="13">
        <v>562500</v>
      </c>
      <c r="G72" s="13">
        <v>4537774744</v>
      </c>
      <c r="H72" s="13">
        <v>4632660562</v>
      </c>
      <c r="I72" s="13">
        <v>-94885818</v>
      </c>
    </row>
    <row r="73" spans="1:9" x14ac:dyDescent="0.45">
      <c r="A73" s="13" t="s">
        <v>190</v>
      </c>
      <c r="B73" s="13">
        <v>3973870</v>
      </c>
      <c r="C73" s="13">
        <v>19869542852</v>
      </c>
      <c r="D73" s="13">
        <v>19163718647</v>
      </c>
      <c r="E73" s="13">
        <v>705824205</v>
      </c>
      <c r="F73" s="13">
        <v>3973870</v>
      </c>
      <c r="G73" s="13">
        <v>19869542852</v>
      </c>
      <c r="H73" s="13">
        <v>19163718647</v>
      </c>
      <c r="I73" s="13">
        <v>705824205</v>
      </c>
    </row>
    <row r="74" spans="1:9" x14ac:dyDescent="0.45">
      <c r="A74" s="13" t="s">
        <v>173</v>
      </c>
      <c r="B74" s="13">
        <v>25600000</v>
      </c>
      <c r="C74" s="13">
        <v>12497839104</v>
      </c>
      <c r="D74" s="13">
        <v>12802664448</v>
      </c>
      <c r="E74" s="13">
        <v>-304825344</v>
      </c>
      <c r="F74" s="13">
        <v>25600000</v>
      </c>
      <c r="G74" s="13">
        <v>12497839104</v>
      </c>
      <c r="H74" s="13">
        <v>12802664448</v>
      </c>
      <c r="I74" s="13">
        <v>-304825344</v>
      </c>
    </row>
    <row r="75" spans="1:9" x14ac:dyDescent="0.45">
      <c r="A75" s="13" t="s">
        <v>157</v>
      </c>
      <c r="B75" s="13">
        <v>11440020</v>
      </c>
      <c r="C75" s="13">
        <v>31920667271</v>
      </c>
      <c r="D75" s="13">
        <v>33736921454</v>
      </c>
      <c r="E75" s="13">
        <v>-1816254183</v>
      </c>
      <c r="F75" s="13">
        <v>11440020</v>
      </c>
      <c r="G75" s="13">
        <v>31920667271</v>
      </c>
      <c r="H75" s="13">
        <v>33736921454</v>
      </c>
      <c r="I75" s="13">
        <v>-1816254183</v>
      </c>
    </row>
    <row r="76" spans="1:9" x14ac:dyDescent="0.45">
      <c r="A76" s="13" t="s">
        <v>146</v>
      </c>
      <c r="B76" s="13">
        <v>7640317</v>
      </c>
      <c r="C76" s="13">
        <v>40711351967</v>
      </c>
      <c r="D76" s="13">
        <v>41090414835</v>
      </c>
      <c r="E76" s="13">
        <v>-379062868</v>
      </c>
      <c r="F76" s="13">
        <v>7640317</v>
      </c>
      <c r="G76" s="13">
        <v>40711351967</v>
      </c>
      <c r="H76" s="13">
        <v>41090414835</v>
      </c>
      <c r="I76" s="13">
        <v>-379062868</v>
      </c>
    </row>
    <row r="77" spans="1:9" x14ac:dyDescent="0.45">
      <c r="A77" s="13" t="s">
        <v>230</v>
      </c>
      <c r="B77" s="13">
        <v>8059071</v>
      </c>
      <c r="C77" s="13">
        <v>12794839010</v>
      </c>
      <c r="D77" s="13">
        <v>13106713211</v>
      </c>
      <c r="E77" s="13">
        <v>-311874201</v>
      </c>
      <c r="F77" s="13">
        <v>8059071</v>
      </c>
      <c r="G77" s="13">
        <v>12794839010</v>
      </c>
      <c r="H77" s="13">
        <v>13106713211</v>
      </c>
      <c r="I77" s="13">
        <v>-311874201</v>
      </c>
    </row>
    <row r="78" spans="1:9" x14ac:dyDescent="0.45">
      <c r="A78" s="13" t="s">
        <v>288</v>
      </c>
      <c r="B78" s="13">
        <v>3380920</v>
      </c>
      <c r="C78" s="13">
        <v>15801039650</v>
      </c>
      <c r="D78" s="13">
        <v>15801039650</v>
      </c>
      <c r="E78" s="13">
        <v>0</v>
      </c>
      <c r="F78" s="13">
        <v>3380920</v>
      </c>
      <c r="G78" s="13">
        <v>15801039650</v>
      </c>
      <c r="H78" s="13">
        <v>15801039650</v>
      </c>
      <c r="I78" s="13">
        <v>0</v>
      </c>
    </row>
    <row r="79" spans="1:9" x14ac:dyDescent="0.45">
      <c r="A79" s="13" t="s">
        <v>175</v>
      </c>
      <c r="B79" s="13">
        <v>926418</v>
      </c>
      <c r="C79" s="13">
        <v>9192567889</v>
      </c>
      <c r="D79" s="13">
        <v>9125462143</v>
      </c>
      <c r="E79" s="13">
        <v>67105746</v>
      </c>
      <c r="F79" s="13">
        <v>926418</v>
      </c>
      <c r="G79" s="13">
        <v>9192567889</v>
      </c>
      <c r="H79" s="13">
        <v>9875714101</v>
      </c>
      <c r="I79" s="13">
        <v>-683146212</v>
      </c>
    </row>
    <row r="80" spans="1:9" x14ac:dyDescent="0.45">
      <c r="A80" s="13" t="s">
        <v>289</v>
      </c>
      <c r="B80" s="13">
        <v>310965</v>
      </c>
      <c r="C80" s="13">
        <v>2777051165</v>
      </c>
      <c r="D80" s="13">
        <v>2754526194</v>
      </c>
      <c r="E80" s="13">
        <v>22524971</v>
      </c>
      <c r="F80" s="13">
        <v>310965</v>
      </c>
      <c r="G80" s="13">
        <v>2777051165</v>
      </c>
      <c r="H80" s="13">
        <v>2004884233</v>
      </c>
      <c r="I80" s="13">
        <v>772166932</v>
      </c>
    </row>
    <row r="81" spans="1:9" x14ac:dyDescent="0.45">
      <c r="A81" s="13" t="s">
        <v>222</v>
      </c>
      <c r="B81" s="13">
        <v>860136</v>
      </c>
      <c r="C81" s="13">
        <v>9272284384</v>
      </c>
      <c r="D81" s="13">
        <v>11590355480</v>
      </c>
      <c r="E81" s="13">
        <v>-2318071096</v>
      </c>
      <c r="F81" s="13">
        <v>860136</v>
      </c>
      <c r="G81" s="13">
        <v>9272284384</v>
      </c>
      <c r="H81" s="13">
        <v>11590355480</v>
      </c>
      <c r="I81" s="13">
        <v>-2318071096</v>
      </c>
    </row>
    <row r="82" spans="1:9" x14ac:dyDescent="0.45">
      <c r="A82" s="13" t="s">
        <v>290</v>
      </c>
      <c r="B82" s="13">
        <v>517391</v>
      </c>
      <c r="C82" s="13">
        <v>16228307451</v>
      </c>
      <c r="D82" s="13">
        <v>16228307451</v>
      </c>
      <c r="E82" s="13">
        <v>0</v>
      </c>
      <c r="F82" s="13">
        <v>517391</v>
      </c>
      <c r="G82" s="13">
        <v>16228307451</v>
      </c>
      <c r="H82" s="13">
        <v>16228307451</v>
      </c>
      <c r="I82" s="13">
        <v>0</v>
      </c>
    </row>
    <row r="83" spans="1:9" x14ac:dyDescent="0.45">
      <c r="A83" s="13" t="s">
        <v>106</v>
      </c>
      <c r="B83" s="13">
        <v>3534630</v>
      </c>
      <c r="C83" s="13">
        <v>16624636650</v>
      </c>
      <c r="D83" s="13">
        <v>18308144159</v>
      </c>
      <c r="E83" s="13">
        <v>-1683507509</v>
      </c>
      <c r="F83" s="13">
        <v>3534630</v>
      </c>
      <c r="G83" s="13">
        <v>16624636650</v>
      </c>
      <c r="H83" s="13">
        <v>18308144159</v>
      </c>
      <c r="I83" s="13">
        <v>-1683507509</v>
      </c>
    </row>
    <row r="84" spans="1:9" x14ac:dyDescent="0.45">
      <c r="A84" s="13" t="s">
        <v>208</v>
      </c>
      <c r="B84" s="13">
        <v>3250000</v>
      </c>
      <c r="C84" s="13">
        <v>3495767210</v>
      </c>
      <c r="D84" s="13">
        <v>3537690617</v>
      </c>
      <c r="E84" s="13">
        <v>-41923407</v>
      </c>
      <c r="F84" s="13">
        <v>3250000</v>
      </c>
      <c r="G84" s="13">
        <v>3495767210</v>
      </c>
      <c r="H84" s="13">
        <v>3537690617</v>
      </c>
      <c r="I84" s="13">
        <v>-41923407</v>
      </c>
    </row>
    <row r="85" spans="1:9" x14ac:dyDescent="0.45">
      <c r="A85" s="13" t="s">
        <v>291</v>
      </c>
      <c r="B85" s="13">
        <v>4215293</v>
      </c>
      <c r="C85" s="13">
        <v>16312564262</v>
      </c>
      <c r="D85" s="13">
        <v>15685157944</v>
      </c>
      <c r="E85" s="13">
        <v>627406318</v>
      </c>
      <c r="F85" s="13">
        <v>4215293</v>
      </c>
      <c r="G85" s="13">
        <v>16312564262</v>
      </c>
      <c r="H85" s="13">
        <v>15685157944</v>
      </c>
      <c r="I85" s="13">
        <v>627406318</v>
      </c>
    </row>
    <row r="86" spans="1:9" x14ac:dyDescent="0.45">
      <c r="A86" s="13" t="s">
        <v>174</v>
      </c>
      <c r="B86" s="13">
        <v>3066296</v>
      </c>
      <c r="C86" s="13">
        <v>17400592409</v>
      </c>
      <c r="D86" s="13">
        <v>19510634417</v>
      </c>
      <c r="E86" s="13">
        <v>-2110042008</v>
      </c>
      <c r="F86" s="13">
        <v>3066296</v>
      </c>
      <c r="G86" s="13">
        <v>17400592409</v>
      </c>
      <c r="H86" s="13">
        <v>19510634417</v>
      </c>
      <c r="I86" s="13">
        <v>-2110042008</v>
      </c>
    </row>
    <row r="87" spans="1:9" x14ac:dyDescent="0.45">
      <c r="A87" s="13" t="s">
        <v>97</v>
      </c>
      <c r="B87" s="13">
        <v>84882</v>
      </c>
      <c r="C87" s="13">
        <v>11205408699</v>
      </c>
      <c r="D87" s="13">
        <v>10580452802</v>
      </c>
      <c r="E87" s="13">
        <v>624955897</v>
      </c>
      <c r="F87" s="13">
        <v>84882</v>
      </c>
      <c r="G87" s="13">
        <v>11205408699</v>
      </c>
      <c r="H87" s="13">
        <v>10580452802</v>
      </c>
      <c r="I87" s="13">
        <v>624955897</v>
      </c>
    </row>
    <row r="88" spans="1:9" x14ac:dyDescent="0.45">
      <c r="A88" s="13" t="s">
        <v>172</v>
      </c>
      <c r="B88" s="13">
        <v>612681</v>
      </c>
      <c r="C88" s="13">
        <v>19612304922</v>
      </c>
      <c r="D88" s="13">
        <v>18524083415</v>
      </c>
      <c r="E88" s="13">
        <v>1088221507</v>
      </c>
      <c r="F88" s="13">
        <v>612681</v>
      </c>
      <c r="G88" s="13">
        <v>19612304922</v>
      </c>
      <c r="H88" s="13">
        <v>18524083415</v>
      </c>
      <c r="I88" s="13">
        <v>1088221507</v>
      </c>
    </row>
    <row r="89" spans="1:9" x14ac:dyDescent="0.45">
      <c r="A89" s="13" t="s">
        <v>253</v>
      </c>
      <c r="B89" s="13">
        <v>3983350</v>
      </c>
      <c r="C89" s="13">
        <v>15312212421</v>
      </c>
      <c r="D89" s="13">
        <v>14442649506</v>
      </c>
      <c r="E89" s="13">
        <v>869562915</v>
      </c>
      <c r="F89" s="13">
        <v>3983350</v>
      </c>
      <c r="G89" s="13">
        <v>15312212421</v>
      </c>
      <c r="H89" s="13">
        <v>14442649506</v>
      </c>
      <c r="I89" s="13">
        <v>869562915</v>
      </c>
    </row>
    <row r="90" spans="1:9" x14ac:dyDescent="0.45">
      <c r="A90" s="13" t="s">
        <v>110</v>
      </c>
      <c r="B90" s="13">
        <v>2830564</v>
      </c>
      <c r="C90" s="13">
        <v>23283988207</v>
      </c>
      <c r="D90" s="13">
        <v>22357122573</v>
      </c>
      <c r="E90" s="13">
        <v>926865634</v>
      </c>
      <c r="F90" s="13">
        <v>2830564</v>
      </c>
      <c r="G90" s="13">
        <v>23283988207</v>
      </c>
      <c r="H90" s="13">
        <v>22357122573</v>
      </c>
      <c r="I90" s="13">
        <v>926865634</v>
      </c>
    </row>
    <row r="91" spans="1:9" x14ac:dyDescent="0.45">
      <c r="A91" s="13" t="s">
        <v>292</v>
      </c>
      <c r="B91" s="13">
        <v>2001235</v>
      </c>
      <c r="C91" s="13">
        <v>17593881918</v>
      </c>
      <c r="D91" s="13">
        <v>17593881918</v>
      </c>
      <c r="E91" s="13">
        <v>0</v>
      </c>
      <c r="F91" s="13">
        <v>2001235</v>
      </c>
      <c r="G91" s="13">
        <v>17593881918</v>
      </c>
      <c r="H91" s="13">
        <v>17593881918</v>
      </c>
      <c r="I91" s="13">
        <v>0</v>
      </c>
    </row>
    <row r="92" spans="1:9" x14ac:dyDescent="0.45">
      <c r="A92" s="13" t="s">
        <v>186</v>
      </c>
      <c r="B92" s="13">
        <v>5476907</v>
      </c>
      <c r="C92" s="13">
        <v>18444932307</v>
      </c>
      <c r="D92" s="13">
        <v>22221958811</v>
      </c>
      <c r="E92" s="13">
        <v>-3777026504</v>
      </c>
      <c r="F92" s="13">
        <v>5476907</v>
      </c>
      <c r="G92" s="13">
        <v>18444932307</v>
      </c>
      <c r="H92" s="13">
        <v>22221958811</v>
      </c>
      <c r="I92" s="13">
        <v>-3777026504</v>
      </c>
    </row>
    <row r="93" spans="1:9" x14ac:dyDescent="0.45">
      <c r="A93" s="13" t="s">
        <v>156</v>
      </c>
      <c r="B93" s="13">
        <v>2800000</v>
      </c>
      <c r="C93" s="13">
        <v>22449116480</v>
      </c>
      <c r="D93" s="13">
        <v>21337774080</v>
      </c>
      <c r="E93" s="13">
        <v>1111342400</v>
      </c>
      <c r="F93" s="13">
        <v>2800000</v>
      </c>
      <c r="G93" s="13">
        <v>22449116480</v>
      </c>
      <c r="H93" s="13">
        <v>21337774080</v>
      </c>
      <c r="I93" s="13">
        <v>1111342400</v>
      </c>
    </row>
    <row r="94" spans="1:9" x14ac:dyDescent="0.45">
      <c r="A94" s="13" t="s">
        <v>221</v>
      </c>
      <c r="B94" s="13">
        <v>2513758</v>
      </c>
      <c r="C94" s="13">
        <v>25442131837</v>
      </c>
      <c r="D94" s="13">
        <v>24045308912</v>
      </c>
      <c r="E94" s="13">
        <v>1396822925</v>
      </c>
      <c r="F94" s="13">
        <v>2513758</v>
      </c>
      <c r="G94" s="13">
        <v>25442131837</v>
      </c>
      <c r="H94" s="13">
        <v>24045308912</v>
      </c>
      <c r="I94" s="13">
        <v>1396822925</v>
      </c>
    </row>
    <row r="95" spans="1:9" x14ac:dyDescent="0.45">
      <c r="A95" s="13" t="s">
        <v>143</v>
      </c>
      <c r="B95" s="13">
        <v>1209154</v>
      </c>
      <c r="C95" s="13">
        <v>13365852649</v>
      </c>
      <c r="D95" s="13">
        <v>9220518636</v>
      </c>
      <c r="E95" s="13">
        <v>4145334013</v>
      </c>
      <c r="F95" s="13">
        <v>1209154</v>
      </c>
      <c r="G95" s="13">
        <v>13365852649</v>
      </c>
      <c r="H95" s="13">
        <v>14913603988</v>
      </c>
      <c r="I95" s="13">
        <v>-1547751339</v>
      </c>
    </row>
    <row r="96" spans="1:9" x14ac:dyDescent="0.45">
      <c r="A96" s="13" t="s">
        <v>293</v>
      </c>
      <c r="B96" s="13">
        <v>1813731</v>
      </c>
      <c r="C96" s="13">
        <v>12382010712</v>
      </c>
      <c r="D96" s="13">
        <v>20570695123</v>
      </c>
      <c r="E96" s="13">
        <v>-8188684411</v>
      </c>
      <c r="F96" s="13">
        <v>1813731</v>
      </c>
      <c r="G96" s="13">
        <v>12382010712</v>
      </c>
      <c r="H96" s="13">
        <v>20570695123</v>
      </c>
      <c r="I96" s="13">
        <v>-8188684411</v>
      </c>
    </row>
    <row r="97" spans="1:9" x14ac:dyDescent="0.45">
      <c r="A97" s="13" t="s">
        <v>168</v>
      </c>
      <c r="B97" s="13">
        <v>104452</v>
      </c>
      <c r="C97" s="13">
        <v>13882155854</v>
      </c>
      <c r="D97" s="13">
        <v>13160789535</v>
      </c>
      <c r="E97" s="13">
        <v>721366319</v>
      </c>
      <c r="F97" s="13">
        <v>104452</v>
      </c>
      <c r="G97" s="13">
        <v>13882155854</v>
      </c>
      <c r="H97" s="13">
        <v>13160789535</v>
      </c>
      <c r="I97" s="13">
        <v>721366319</v>
      </c>
    </row>
    <row r="98" spans="1:9" x14ac:dyDescent="0.45">
      <c r="A98" s="13" t="s">
        <v>237</v>
      </c>
      <c r="B98" s="13">
        <v>144247</v>
      </c>
      <c r="C98" s="13">
        <v>951827605</v>
      </c>
      <c r="D98" s="13">
        <v>913181973</v>
      </c>
      <c r="E98" s="13">
        <v>38645632</v>
      </c>
      <c r="F98" s="13">
        <v>144247</v>
      </c>
      <c r="G98" s="13">
        <v>951827605</v>
      </c>
      <c r="H98" s="13">
        <v>913181973</v>
      </c>
      <c r="I98" s="13">
        <v>38645632</v>
      </c>
    </row>
    <row r="99" spans="1:9" x14ac:dyDescent="0.45">
      <c r="A99" s="13" t="s">
        <v>101</v>
      </c>
      <c r="B99" s="13">
        <v>336344</v>
      </c>
      <c r="C99" s="13">
        <v>11117014668</v>
      </c>
      <c r="D99" s="13">
        <v>10663122745</v>
      </c>
      <c r="E99" s="13">
        <v>453891923</v>
      </c>
      <c r="F99" s="13">
        <v>336344</v>
      </c>
      <c r="G99" s="13">
        <v>11117014668</v>
      </c>
      <c r="H99" s="13">
        <v>10663122745</v>
      </c>
      <c r="I99" s="13">
        <v>453891923</v>
      </c>
    </row>
    <row r="100" spans="1:9" x14ac:dyDescent="0.45">
      <c r="A100" s="13" t="s">
        <v>120</v>
      </c>
      <c r="B100" s="13">
        <v>1824791</v>
      </c>
      <c r="C100" s="13">
        <v>30147911337</v>
      </c>
      <c r="D100" s="13">
        <v>28427760239</v>
      </c>
      <c r="E100" s="13">
        <v>1720151098</v>
      </c>
      <c r="F100" s="13">
        <v>1824791</v>
      </c>
      <c r="G100" s="13">
        <v>30147911337</v>
      </c>
      <c r="H100" s="13">
        <v>28427760239</v>
      </c>
      <c r="I100" s="13">
        <v>1720151098</v>
      </c>
    </row>
    <row r="101" spans="1:9" x14ac:dyDescent="0.45">
      <c r="A101" s="13" t="s">
        <v>218</v>
      </c>
      <c r="B101" s="13">
        <v>1504289</v>
      </c>
      <c r="C101" s="13">
        <v>17210379555</v>
      </c>
      <c r="D101" s="13">
        <v>16150590354</v>
      </c>
      <c r="E101" s="13">
        <v>1059789201</v>
      </c>
      <c r="F101" s="13">
        <v>1504289</v>
      </c>
      <c r="G101" s="13">
        <v>17210379555</v>
      </c>
      <c r="H101" s="13">
        <v>16150590354</v>
      </c>
      <c r="I101" s="13">
        <v>1059789201</v>
      </c>
    </row>
    <row r="102" spans="1:9" x14ac:dyDescent="0.45">
      <c r="A102" s="13" t="s">
        <v>243</v>
      </c>
      <c r="B102" s="13">
        <v>512506</v>
      </c>
      <c r="C102" s="13">
        <v>18948361684</v>
      </c>
      <c r="D102" s="13">
        <v>17890589481</v>
      </c>
      <c r="E102" s="13">
        <v>1057772203</v>
      </c>
      <c r="F102" s="13">
        <v>512506</v>
      </c>
      <c r="G102" s="13">
        <v>18948361684</v>
      </c>
      <c r="H102" s="13">
        <v>17890589481</v>
      </c>
      <c r="I102" s="13">
        <v>1057772203</v>
      </c>
    </row>
    <row r="103" spans="1:9" x14ac:dyDescent="0.45">
      <c r="A103" s="13" t="s">
        <v>163</v>
      </c>
      <c r="B103" s="13">
        <v>21110</v>
      </c>
      <c r="C103" s="13">
        <v>2355260407</v>
      </c>
      <c r="D103" s="13">
        <v>2291372607</v>
      </c>
      <c r="E103" s="13">
        <v>63887800</v>
      </c>
      <c r="F103" s="13">
        <v>21110</v>
      </c>
      <c r="G103" s="13">
        <v>2355260407</v>
      </c>
      <c r="H103" s="13">
        <v>2291372607</v>
      </c>
      <c r="I103" s="13">
        <v>63887800</v>
      </c>
    </row>
    <row r="104" spans="1:9" x14ac:dyDescent="0.45">
      <c r="A104" s="13" t="s">
        <v>115</v>
      </c>
      <c r="B104" s="13">
        <v>6761644</v>
      </c>
      <c r="C104" s="13">
        <v>14384903199</v>
      </c>
      <c r="D104" s="13">
        <v>13606615526</v>
      </c>
      <c r="E104" s="13">
        <v>778287673</v>
      </c>
      <c r="F104" s="13">
        <v>6761644</v>
      </c>
      <c r="G104" s="13">
        <v>14384903199</v>
      </c>
      <c r="H104" s="13">
        <v>13606615526</v>
      </c>
      <c r="I104" s="13">
        <v>778287673</v>
      </c>
    </row>
    <row r="105" spans="1:9" x14ac:dyDescent="0.45">
      <c r="A105" s="13" t="s">
        <v>192</v>
      </c>
      <c r="B105" s="13">
        <v>520570</v>
      </c>
      <c r="C105" s="13">
        <v>22252801417</v>
      </c>
      <c r="D105" s="13">
        <v>20982098272</v>
      </c>
      <c r="E105" s="13">
        <v>1270703145</v>
      </c>
      <c r="F105" s="13">
        <v>520570</v>
      </c>
      <c r="G105" s="13">
        <v>22252801417</v>
      </c>
      <c r="H105" s="13">
        <v>20982098272</v>
      </c>
      <c r="I105" s="13">
        <v>1270703145</v>
      </c>
    </row>
    <row r="106" spans="1:9" x14ac:dyDescent="0.45">
      <c r="A106" s="13" t="s">
        <v>231</v>
      </c>
      <c r="B106" s="13">
        <v>1155746</v>
      </c>
      <c r="C106" s="13">
        <v>16938414472</v>
      </c>
      <c r="D106" s="13">
        <v>15745729905</v>
      </c>
      <c r="E106" s="13">
        <v>1192684567</v>
      </c>
      <c r="F106" s="13">
        <v>1155746</v>
      </c>
      <c r="G106" s="13">
        <v>16938414472</v>
      </c>
      <c r="H106" s="13">
        <v>15745729905</v>
      </c>
      <c r="I106" s="13">
        <v>1192684567</v>
      </c>
    </row>
    <row r="107" spans="1:9" x14ac:dyDescent="0.45">
      <c r="A107" s="13" t="s">
        <v>294</v>
      </c>
      <c r="B107" s="13">
        <v>3019851</v>
      </c>
      <c r="C107" s="13">
        <v>8761788081</v>
      </c>
      <c r="D107" s="13">
        <v>8764784589</v>
      </c>
      <c r="E107" s="13">
        <v>-2996508</v>
      </c>
      <c r="F107" s="13">
        <v>3019851</v>
      </c>
      <c r="G107" s="13">
        <v>8761788081</v>
      </c>
      <c r="H107" s="13">
        <v>8764784589</v>
      </c>
      <c r="I107" s="13">
        <v>-2996508</v>
      </c>
    </row>
    <row r="108" spans="1:9" x14ac:dyDescent="0.45">
      <c r="A108" s="13" t="s">
        <v>164</v>
      </c>
      <c r="B108" s="13">
        <v>3863965</v>
      </c>
      <c r="C108" s="13">
        <v>26378584268</v>
      </c>
      <c r="D108" s="13">
        <v>25343378199</v>
      </c>
      <c r="E108" s="13">
        <v>1035206069</v>
      </c>
      <c r="F108" s="13">
        <v>3863965</v>
      </c>
      <c r="G108" s="13">
        <v>26378584268</v>
      </c>
      <c r="H108" s="13">
        <v>25343378199</v>
      </c>
      <c r="I108" s="13">
        <v>1035206069</v>
      </c>
    </row>
    <row r="109" spans="1:9" x14ac:dyDescent="0.45">
      <c r="A109" s="13" t="s">
        <v>113</v>
      </c>
      <c r="B109" s="13">
        <v>1467107</v>
      </c>
      <c r="C109" s="13">
        <v>34501660430</v>
      </c>
      <c r="D109" s="13">
        <v>24748026469</v>
      </c>
      <c r="E109" s="13">
        <v>9753633961</v>
      </c>
      <c r="F109" s="13">
        <v>1467107</v>
      </c>
      <c r="G109" s="13">
        <v>34501660430</v>
      </c>
      <c r="H109" s="13">
        <v>24748026469</v>
      </c>
      <c r="I109" s="13">
        <v>9753633961</v>
      </c>
    </row>
    <row r="110" spans="1:9" x14ac:dyDescent="0.45">
      <c r="A110" s="13" t="s">
        <v>202</v>
      </c>
      <c r="B110" s="13">
        <v>2277911</v>
      </c>
      <c r="C110" s="13">
        <v>22128363903</v>
      </c>
      <c r="D110" s="13">
        <v>21111227666</v>
      </c>
      <c r="E110" s="13">
        <v>1017136237</v>
      </c>
      <c r="F110" s="13">
        <v>2277911</v>
      </c>
      <c r="G110" s="13">
        <v>22128363903</v>
      </c>
      <c r="H110" s="13">
        <v>21111227666</v>
      </c>
      <c r="I110" s="13">
        <v>1017136237</v>
      </c>
    </row>
    <row r="111" spans="1:9" x14ac:dyDescent="0.45">
      <c r="A111" s="13" t="s">
        <v>140</v>
      </c>
      <c r="B111" s="13">
        <v>21785402</v>
      </c>
      <c r="C111" s="13">
        <v>43125916681</v>
      </c>
      <c r="D111" s="13">
        <v>40899365594</v>
      </c>
      <c r="E111" s="13">
        <v>2226551087</v>
      </c>
      <c r="F111" s="13">
        <v>21785402</v>
      </c>
      <c r="G111" s="13">
        <v>43125916681</v>
      </c>
      <c r="H111" s="13">
        <v>40899365594</v>
      </c>
      <c r="I111" s="13">
        <v>2226551087</v>
      </c>
    </row>
    <row r="112" spans="1:9" x14ac:dyDescent="0.45">
      <c r="A112" s="13" t="s">
        <v>226</v>
      </c>
      <c r="B112" s="13">
        <v>835696</v>
      </c>
      <c r="C112" s="13">
        <v>21510383654</v>
      </c>
      <c r="D112" s="13">
        <v>20614808698</v>
      </c>
      <c r="E112" s="13">
        <v>895574956</v>
      </c>
      <c r="F112" s="13">
        <v>835696</v>
      </c>
      <c r="G112" s="13">
        <v>21510383654</v>
      </c>
      <c r="H112" s="13">
        <v>20614808698</v>
      </c>
      <c r="I112" s="13">
        <v>895574956</v>
      </c>
    </row>
    <row r="113" spans="1:9" x14ac:dyDescent="0.45">
      <c r="A113" s="13" t="s">
        <v>295</v>
      </c>
      <c r="B113" s="13">
        <v>200000</v>
      </c>
      <c r="C113" s="13">
        <v>1210569400</v>
      </c>
      <c r="D113" s="13">
        <v>1210569400</v>
      </c>
      <c r="E113" s="13">
        <v>0</v>
      </c>
      <c r="F113" s="13">
        <v>200000</v>
      </c>
      <c r="G113" s="13">
        <v>1210569400</v>
      </c>
      <c r="H113" s="13">
        <v>1210569400</v>
      </c>
      <c r="I113" s="13">
        <v>0</v>
      </c>
    </row>
    <row r="114" spans="1:9" x14ac:dyDescent="0.45">
      <c r="A114" s="13" t="s">
        <v>181</v>
      </c>
      <c r="B114" s="13">
        <v>724988</v>
      </c>
      <c r="C114" s="13">
        <v>1478333797</v>
      </c>
      <c r="D114" s="13">
        <v>1478458644</v>
      </c>
      <c r="E114" s="13">
        <v>-124847</v>
      </c>
      <c r="F114" s="13">
        <v>724988</v>
      </c>
      <c r="G114" s="13">
        <v>1478333797</v>
      </c>
      <c r="H114" s="13">
        <v>1478458644</v>
      </c>
      <c r="I114" s="13">
        <v>-124847</v>
      </c>
    </row>
    <row r="115" spans="1:9" x14ac:dyDescent="0.45">
      <c r="A115" s="13" t="s">
        <v>209</v>
      </c>
      <c r="B115" s="13">
        <v>12372652</v>
      </c>
      <c r="C115" s="13">
        <v>33700396293</v>
      </c>
      <c r="D115" s="13">
        <v>32178046880</v>
      </c>
      <c r="E115" s="13">
        <v>1522349413</v>
      </c>
      <c r="F115" s="13">
        <v>12372652</v>
      </c>
      <c r="G115" s="13">
        <v>33700396293</v>
      </c>
      <c r="H115" s="13">
        <v>32178046880</v>
      </c>
      <c r="I115" s="13">
        <v>1522349413</v>
      </c>
    </row>
    <row r="116" spans="1:9" x14ac:dyDescent="0.45">
      <c r="A116" s="13" t="s">
        <v>91</v>
      </c>
      <c r="B116" s="13">
        <v>1875000</v>
      </c>
      <c r="C116" s="13">
        <v>7157367544</v>
      </c>
      <c r="D116" s="13">
        <v>6586192125</v>
      </c>
      <c r="E116" s="13">
        <v>571175419</v>
      </c>
      <c r="F116" s="13">
        <v>1875000</v>
      </c>
      <c r="G116" s="13">
        <v>7157367544</v>
      </c>
      <c r="H116" s="13">
        <v>6586192125</v>
      </c>
      <c r="I116" s="13">
        <v>571175419</v>
      </c>
    </row>
    <row r="117" spans="1:9" x14ac:dyDescent="0.45">
      <c r="A117" s="13" t="s">
        <v>117</v>
      </c>
      <c r="B117" s="13">
        <v>23792</v>
      </c>
      <c r="C117" s="13">
        <v>1522721666</v>
      </c>
      <c r="D117" s="13">
        <v>1431830527</v>
      </c>
      <c r="E117" s="13">
        <v>90891139</v>
      </c>
      <c r="F117" s="13">
        <v>23792</v>
      </c>
      <c r="G117" s="13">
        <v>1522721666</v>
      </c>
      <c r="H117" s="13">
        <v>1431830527</v>
      </c>
      <c r="I117" s="13">
        <v>90891139</v>
      </c>
    </row>
    <row r="118" spans="1:9" x14ac:dyDescent="0.45">
      <c r="A118" s="13" t="s">
        <v>142</v>
      </c>
      <c r="B118" s="13">
        <v>943421</v>
      </c>
      <c r="C118" s="13">
        <v>14921885989</v>
      </c>
      <c r="D118" s="13">
        <v>15904820763</v>
      </c>
      <c r="E118" s="13">
        <v>-982934774</v>
      </c>
      <c r="F118" s="13">
        <v>943421</v>
      </c>
      <c r="G118" s="13">
        <v>14921885989</v>
      </c>
      <c r="H118" s="13">
        <v>15904820763</v>
      </c>
      <c r="I118" s="13">
        <v>-982934774</v>
      </c>
    </row>
    <row r="119" spans="1:9" x14ac:dyDescent="0.45">
      <c r="A119" s="13" t="s">
        <v>118</v>
      </c>
      <c r="B119" s="13">
        <v>3733986</v>
      </c>
      <c r="C119" s="13">
        <v>33864817714</v>
      </c>
      <c r="D119" s="13">
        <v>31975205347</v>
      </c>
      <c r="E119" s="13">
        <v>1889612367</v>
      </c>
      <c r="F119" s="13">
        <v>3733986</v>
      </c>
      <c r="G119" s="13">
        <v>33864817714</v>
      </c>
      <c r="H119" s="13">
        <v>31975205347</v>
      </c>
      <c r="I119" s="13">
        <v>1889612367</v>
      </c>
    </row>
    <row r="120" spans="1:9" x14ac:dyDescent="0.45">
      <c r="A120" s="13" t="s">
        <v>138</v>
      </c>
      <c r="B120" s="13">
        <v>7083396</v>
      </c>
      <c r="C120" s="13">
        <v>20453346325</v>
      </c>
      <c r="D120" s="13">
        <v>19504479743</v>
      </c>
      <c r="E120" s="13">
        <v>948866582</v>
      </c>
      <c r="F120" s="13">
        <v>7083396</v>
      </c>
      <c r="G120" s="13">
        <v>20453346325</v>
      </c>
      <c r="H120" s="13">
        <v>19504479743</v>
      </c>
      <c r="I120" s="13">
        <v>948866582</v>
      </c>
    </row>
    <row r="121" spans="1:9" x14ac:dyDescent="0.45">
      <c r="A121" s="13" t="s">
        <v>94</v>
      </c>
      <c r="B121" s="13">
        <v>3453452</v>
      </c>
      <c r="C121" s="13">
        <v>21759905782</v>
      </c>
      <c r="D121" s="13">
        <v>23098114041</v>
      </c>
      <c r="E121" s="13">
        <v>-1338208259</v>
      </c>
      <c r="F121" s="13">
        <v>3453452</v>
      </c>
      <c r="G121" s="13">
        <v>21759905782</v>
      </c>
      <c r="H121" s="13">
        <v>23098114041</v>
      </c>
      <c r="I121" s="13">
        <v>-1338208259</v>
      </c>
    </row>
    <row r="122" spans="1:9" x14ac:dyDescent="0.45">
      <c r="A122" s="13" t="s">
        <v>224</v>
      </c>
      <c r="B122" s="13">
        <v>6157463</v>
      </c>
      <c r="C122" s="13">
        <v>22875337596</v>
      </c>
      <c r="D122" s="13">
        <v>25624777211</v>
      </c>
      <c r="E122" s="13">
        <v>-2749439615</v>
      </c>
      <c r="F122" s="13">
        <v>6157463</v>
      </c>
      <c r="G122" s="13">
        <v>22875337596</v>
      </c>
      <c r="H122" s="13">
        <v>25624777211</v>
      </c>
      <c r="I122" s="13">
        <v>-2749439615</v>
      </c>
    </row>
    <row r="123" spans="1:9" x14ac:dyDescent="0.45">
      <c r="A123" s="13" t="s">
        <v>270</v>
      </c>
      <c r="B123" s="13">
        <v>16239055</v>
      </c>
      <c r="C123" s="13">
        <v>34756877965</v>
      </c>
      <c r="D123" s="13">
        <v>34756877965</v>
      </c>
      <c r="E123" s="13">
        <v>0</v>
      </c>
      <c r="F123" s="13">
        <v>16239055</v>
      </c>
      <c r="G123" s="13">
        <v>34756877965</v>
      </c>
      <c r="H123" s="13">
        <v>34763061301</v>
      </c>
      <c r="I123" s="13">
        <v>-6183336</v>
      </c>
    </row>
    <row r="124" spans="1:9" x14ac:dyDescent="0.45">
      <c r="A124" s="13" t="s">
        <v>100</v>
      </c>
      <c r="B124" s="13">
        <v>6494761</v>
      </c>
      <c r="C124" s="13">
        <v>14132912399</v>
      </c>
      <c r="D124" s="13">
        <v>13697905971</v>
      </c>
      <c r="E124" s="13">
        <v>435006428</v>
      </c>
      <c r="F124" s="13">
        <v>6494761</v>
      </c>
      <c r="G124" s="13">
        <v>14132912399</v>
      </c>
      <c r="H124" s="13">
        <v>13697905971</v>
      </c>
      <c r="I124" s="13">
        <v>435006428</v>
      </c>
    </row>
    <row r="125" spans="1:9" x14ac:dyDescent="0.45">
      <c r="A125" s="13" t="s">
        <v>273</v>
      </c>
      <c r="B125" s="13">
        <v>4980289</v>
      </c>
      <c r="C125" s="13">
        <v>14326253170</v>
      </c>
      <c r="D125" s="13">
        <v>14528866616</v>
      </c>
      <c r="E125" s="13">
        <v>-202613446</v>
      </c>
      <c r="F125" s="13">
        <v>4980289</v>
      </c>
      <c r="G125" s="13">
        <v>14326253170</v>
      </c>
      <c r="H125" s="13">
        <v>14528866616</v>
      </c>
      <c r="I125" s="13">
        <v>-202613446</v>
      </c>
    </row>
    <row r="126" spans="1:9" x14ac:dyDescent="0.45">
      <c r="A126" s="13" t="s">
        <v>264</v>
      </c>
      <c r="B126" s="13">
        <v>6518463</v>
      </c>
      <c r="C126" s="13">
        <v>15730359083</v>
      </c>
      <c r="D126" s="13">
        <v>15730359083</v>
      </c>
      <c r="E126" s="13">
        <v>0</v>
      </c>
      <c r="F126" s="13">
        <v>6518463</v>
      </c>
      <c r="G126" s="13">
        <v>15730359083</v>
      </c>
      <c r="H126" s="13">
        <v>15732349402</v>
      </c>
      <c r="I126" s="13">
        <v>-1990319</v>
      </c>
    </row>
    <row r="127" spans="1:9" x14ac:dyDescent="0.45">
      <c r="A127" s="13" t="s">
        <v>77</v>
      </c>
      <c r="B127" s="13">
        <v>2338313</v>
      </c>
      <c r="C127" s="13">
        <v>30951972792</v>
      </c>
      <c r="D127" s="13">
        <v>29456426367</v>
      </c>
      <c r="E127" s="13">
        <v>1495546425</v>
      </c>
      <c r="F127" s="13">
        <v>2338313</v>
      </c>
      <c r="G127" s="13">
        <v>30951972792</v>
      </c>
      <c r="H127" s="13">
        <v>29456426367</v>
      </c>
      <c r="I127" s="13">
        <v>1495546425</v>
      </c>
    </row>
    <row r="128" spans="1:9" x14ac:dyDescent="0.45">
      <c r="A128" s="13" t="s">
        <v>148</v>
      </c>
      <c r="B128" s="13">
        <v>7043843</v>
      </c>
      <c r="C128" s="13">
        <v>24784391456</v>
      </c>
      <c r="D128" s="13">
        <v>23889749012</v>
      </c>
      <c r="E128" s="13">
        <v>894642444</v>
      </c>
      <c r="F128" s="13">
        <v>7043843</v>
      </c>
      <c r="G128" s="13">
        <v>24784391456</v>
      </c>
      <c r="H128" s="13">
        <v>23889749012</v>
      </c>
      <c r="I128" s="13">
        <v>894642444</v>
      </c>
    </row>
    <row r="129" spans="1:9" x14ac:dyDescent="0.45">
      <c r="A129" s="13" t="s">
        <v>269</v>
      </c>
      <c r="B129" s="13">
        <v>3904663</v>
      </c>
      <c r="C129" s="13">
        <v>15029107745</v>
      </c>
      <c r="D129" s="13">
        <v>15029107745</v>
      </c>
      <c r="E129" s="13">
        <v>0</v>
      </c>
      <c r="F129" s="13">
        <v>3904663</v>
      </c>
      <c r="G129" s="13">
        <v>15029107745</v>
      </c>
      <c r="H129" s="13">
        <v>15027447254</v>
      </c>
      <c r="I129" s="13">
        <v>1660491</v>
      </c>
    </row>
    <row r="130" spans="1:9" x14ac:dyDescent="0.45">
      <c r="A130" s="13" t="s">
        <v>296</v>
      </c>
      <c r="B130" s="13">
        <v>1200163</v>
      </c>
      <c r="C130" s="13">
        <v>7609759879</v>
      </c>
      <c r="D130" s="13">
        <v>15219519757</v>
      </c>
      <c r="E130" s="13">
        <v>-7609759878</v>
      </c>
      <c r="F130" s="13">
        <v>1200163</v>
      </c>
      <c r="G130" s="13">
        <v>7609759879</v>
      </c>
      <c r="H130" s="13">
        <v>15219519757</v>
      </c>
      <c r="I130" s="13">
        <v>-7609759878</v>
      </c>
    </row>
    <row r="131" spans="1:9" x14ac:dyDescent="0.45">
      <c r="A131" s="13" t="s">
        <v>225</v>
      </c>
      <c r="B131" s="13">
        <v>2716099</v>
      </c>
      <c r="C131" s="13">
        <v>26924084512</v>
      </c>
      <c r="D131" s="13">
        <v>26775830868</v>
      </c>
      <c r="E131" s="13">
        <v>148253644</v>
      </c>
      <c r="F131" s="13">
        <v>2716099</v>
      </c>
      <c r="G131" s="13">
        <v>26924084512</v>
      </c>
      <c r="H131" s="13">
        <v>26775830868</v>
      </c>
      <c r="I131" s="13">
        <v>148253644</v>
      </c>
    </row>
    <row r="132" spans="1:9" x14ac:dyDescent="0.45">
      <c r="A132" s="13" t="s">
        <v>176</v>
      </c>
      <c r="B132" s="13">
        <v>204021</v>
      </c>
      <c r="C132" s="13">
        <v>7030877261</v>
      </c>
      <c r="D132" s="13">
        <v>6577402885</v>
      </c>
      <c r="E132" s="13">
        <v>453474376</v>
      </c>
      <c r="F132" s="13">
        <v>204021</v>
      </c>
      <c r="G132" s="13">
        <v>7030877261</v>
      </c>
      <c r="H132" s="13">
        <v>6577402885</v>
      </c>
      <c r="I132" s="13">
        <v>453474376</v>
      </c>
    </row>
    <row r="133" spans="1:9" x14ac:dyDescent="0.45">
      <c r="A133" s="13" t="s">
        <v>103</v>
      </c>
      <c r="B133" s="13">
        <v>4967900</v>
      </c>
      <c r="C133" s="13">
        <v>16208189861</v>
      </c>
      <c r="D133" s="13">
        <v>20260237327</v>
      </c>
      <c r="E133" s="13">
        <v>-4052047466</v>
      </c>
      <c r="F133" s="13">
        <v>4967900</v>
      </c>
      <c r="G133" s="13">
        <v>16208189861</v>
      </c>
      <c r="H133" s="13">
        <v>20260237327</v>
      </c>
      <c r="I133" s="13">
        <v>-4052047466</v>
      </c>
    </row>
    <row r="134" spans="1:9" x14ac:dyDescent="0.45">
      <c r="A134" s="13" t="s">
        <v>99</v>
      </c>
      <c r="B134" s="13">
        <v>25021276</v>
      </c>
      <c r="C134" s="13">
        <v>26863746183</v>
      </c>
      <c r="D134" s="13">
        <v>25572697383</v>
      </c>
      <c r="E134" s="13">
        <v>1291048800</v>
      </c>
      <c r="F134" s="13">
        <v>25021276</v>
      </c>
      <c r="G134" s="13">
        <v>26863746183</v>
      </c>
      <c r="H134" s="13">
        <v>25574766980</v>
      </c>
      <c r="I134" s="13">
        <v>1288979203</v>
      </c>
    </row>
    <row r="135" spans="1:9" x14ac:dyDescent="0.45">
      <c r="A135" s="13" t="s">
        <v>187</v>
      </c>
      <c r="B135" s="13">
        <v>3915801</v>
      </c>
      <c r="C135" s="13">
        <v>12488099392</v>
      </c>
      <c r="D135" s="13">
        <v>12433701946</v>
      </c>
      <c r="E135" s="13">
        <v>54397446</v>
      </c>
      <c r="F135" s="13">
        <v>3915801</v>
      </c>
      <c r="G135" s="13">
        <v>12488099392</v>
      </c>
      <c r="H135" s="13">
        <v>12433701946</v>
      </c>
      <c r="I135" s="13">
        <v>54397446</v>
      </c>
    </row>
    <row r="136" spans="1:9" x14ac:dyDescent="0.45">
      <c r="A136" s="13" t="s">
        <v>297</v>
      </c>
      <c r="B136" s="13">
        <v>1440400</v>
      </c>
      <c r="C136" s="13">
        <v>9470314581</v>
      </c>
      <c r="D136" s="13">
        <v>9470314581</v>
      </c>
      <c r="E136" s="13">
        <v>0</v>
      </c>
      <c r="F136" s="13">
        <v>1440400</v>
      </c>
      <c r="G136" s="13">
        <v>9470314581</v>
      </c>
      <c r="H136" s="13">
        <v>9470314581</v>
      </c>
      <c r="I136" s="13">
        <v>0</v>
      </c>
    </row>
    <row r="137" spans="1:9" x14ac:dyDescent="0.45">
      <c r="A137" s="13" t="s">
        <v>245</v>
      </c>
      <c r="B137" s="13">
        <v>8858150</v>
      </c>
      <c r="C137" s="13">
        <v>7031741200</v>
      </c>
      <c r="D137" s="13">
        <v>17579353001</v>
      </c>
      <c r="E137" s="13">
        <v>-10547611801</v>
      </c>
      <c r="F137" s="13">
        <v>8858150</v>
      </c>
      <c r="G137" s="13">
        <v>7031741200</v>
      </c>
      <c r="H137" s="13">
        <v>17579353001</v>
      </c>
      <c r="I137" s="13">
        <v>-10547611801</v>
      </c>
    </row>
    <row r="138" spans="1:9" x14ac:dyDescent="0.45">
      <c r="A138" s="13" t="s">
        <v>200</v>
      </c>
      <c r="B138" s="13">
        <v>5800000</v>
      </c>
      <c r="C138" s="13">
        <v>23843652738</v>
      </c>
      <c r="D138" s="13">
        <v>24419169338</v>
      </c>
      <c r="E138" s="13">
        <v>-575516600</v>
      </c>
      <c r="F138" s="13">
        <v>5800000</v>
      </c>
      <c r="G138" s="13">
        <v>23843652738</v>
      </c>
      <c r="H138" s="13">
        <v>24419169338</v>
      </c>
      <c r="I138" s="13">
        <v>-575516600</v>
      </c>
    </row>
    <row r="139" spans="1:9" x14ac:dyDescent="0.45">
      <c r="A139" s="13" t="s">
        <v>185</v>
      </c>
      <c r="B139" s="13">
        <v>5729478</v>
      </c>
      <c r="C139" s="13">
        <v>7419171821</v>
      </c>
      <c r="D139" s="13">
        <v>14838343643</v>
      </c>
      <c r="E139" s="13">
        <v>-7419171822</v>
      </c>
      <c r="F139" s="13">
        <v>5729478</v>
      </c>
      <c r="G139" s="13">
        <v>7419171821</v>
      </c>
      <c r="H139" s="13">
        <v>14838784976</v>
      </c>
      <c r="I139" s="13">
        <v>-7419613155</v>
      </c>
    </row>
    <row r="140" spans="1:9" x14ac:dyDescent="0.45">
      <c r="A140" s="13" t="s">
        <v>108</v>
      </c>
      <c r="B140" s="13">
        <v>23989450</v>
      </c>
      <c r="C140" s="13">
        <v>32135415595</v>
      </c>
      <c r="D140" s="13">
        <v>26589080903</v>
      </c>
      <c r="E140" s="13">
        <v>5546334692</v>
      </c>
      <c r="F140" s="13">
        <v>23989450</v>
      </c>
      <c r="G140" s="13">
        <v>32135415595</v>
      </c>
      <c r="H140" s="13">
        <v>26598787318</v>
      </c>
      <c r="I140" s="13">
        <v>5536628277</v>
      </c>
    </row>
    <row r="141" spans="1:9" x14ac:dyDescent="0.45">
      <c r="A141" s="13" t="s">
        <v>196</v>
      </c>
      <c r="B141" s="13">
        <v>19209541</v>
      </c>
      <c r="C141" s="13">
        <v>22625467831</v>
      </c>
      <c r="D141" s="13">
        <v>21691476320</v>
      </c>
      <c r="E141" s="13">
        <v>933991511</v>
      </c>
      <c r="F141" s="13">
        <v>19209541</v>
      </c>
      <c r="G141" s="13">
        <v>22625467831</v>
      </c>
      <c r="H141" s="13">
        <v>21691476320</v>
      </c>
      <c r="I141" s="13">
        <v>933991511</v>
      </c>
    </row>
    <row r="142" spans="1:9" x14ac:dyDescent="0.45">
      <c r="A142" s="13" t="s">
        <v>127</v>
      </c>
      <c r="B142" s="13">
        <v>1447708</v>
      </c>
      <c r="C142" s="13">
        <v>11118643261</v>
      </c>
      <c r="D142" s="13">
        <v>10400384652</v>
      </c>
      <c r="E142" s="13">
        <v>718258609</v>
      </c>
      <c r="F142" s="13">
        <v>1447708</v>
      </c>
      <c r="G142" s="13">
        <v>11118643261</v>
      </c>
      <c r="H142" s="13">
        <v>10400384652</v>
      </c>
      <c r="I142" s="13">
        <v>718258609</v>
      </c>
    </row>
    <row r="143" spans="1:9" x14ac:dyDescent="0.45">
      <c r="A143" s="13" t="s">
        <v>170</v>
      </c>
      <c r="B143" s="13">
        <v>2867583</v>
      </c>
      <c r="C143" s="13">
        <v>39665107173</v>
      </c>
      <c r="D143" s="13">
        <v>36392878102</v>
      </c>
      <c r="E143" s="13">
        <v>3272229071</v>
      </c>
      <c r="F143" s="13">
        <v>2867583</v>
      </c>
      <c r="G143" s="13">
        <v>39665107173</v>
      </c>
      <c r="H143" s="13">
        <v>36392878102</v>
      </c>
      <c r="I143" s="13">
        <v>3272229071</v>
      </c>
    </row>
    <row r="144" spans="1:9" x14ac:dyDescent="0.45">
      <c r="A144" s="13" t="s">
        <v>195</v>
      </c>
      <c r="B144" s="13">
        <v>5309272</v>
      </c>
      <c r="C144" s="13">
        <v>27268365351</v>
      </c>
      <c r="D144" s="13">
        <v>25550921938</v>
      </c>
      <c r="E144" s="13">
        <v>1717443413</v>
      </c>
      <c r="F144" s="13">
        <v>5309272</v>
      </c>
      <c r="G144" s="13">
        <v>27268365351</v>
      </c>
      <c r="H144" s="13">
        <v>25550921938</v>
      </c>
      <c r="I144" s="13">
        <v>1717443413</v>
      </c>
    </row>
    <row r="145" spans="1:9" x14ac:dyDescent="0.45">
      <c r="A145" s="13" t="s">
        <v>169</v>
      </c>
      <c r="B145" s="13">
        <v>241083</v>
      </c>
      <c r="C145" s="13">
        <v>2717532707</v>
      </c>
      <c r="D145" s="13">
        <v>2545294718</v>
      </c>
      <c r="E145" s="13">
        <v>172237989</v>
      </c>
      <c r="F145" s="13">
        <v>241083</v>
      </c>
      <c r="G145" s="13">
        <v>2717532707</v>
      </c>
      <c r="H145" s="13">
        <v>2545294718</v>
      </c>
      <c r="I145" s="13">
        <v>172237989</v>
      </c>
    </row>
    <row r="146" spans="1:9" x14ac:dyDescent="0.45">
      <c r="A146" s="13" t="s">
        <v>214</v>
      </c>
      <c r="B146" s="13">
        <v>5849737</v>
      </c>
      <c r="C146" s="13">
        <v>19305828641</v>
      </c>
      <c r="D146" s="13">
        <v>18319060490</v>
      </c>
      <c r="E146" s="13">
        <v>986768151</v>
      </c>
      <c r="F146" s="13">
        <v>5849737</v>
      </c>
      <c r="G146" s="13">
        <v>19305828641</v>
      </c>
      <c r="H146" s="13">
        <v>18319060490</v>
      </c>
      <c r="I146" s="13">
        <v>986768151</v>
      </c>
    </row>
    <row r="147" spans="1:9" x14ac:dyDescent="0.45">
      <c r="A147" s="13" t="s">
        <v>249</v>
      </c>
      <c r="B147" s="13">
        <v>10684873</v>
      </c>
      <c r="C147" s="13">
        <v>27067618113</v>
      </c>
      <c r="D147" s="13">
        <v>25519685389</v>
      </c>
      <c r="E147" s="13">
        <v>1547932724</v>
      </c>
      <c r="F147" s="13">
        <v>10684873</v>
      </c>
      <c r="G147" s="13">
        <v>27067618113</v>
      </c>
      <c r="H147" s="13">
        <v>25519685389</v>
      </c>
      <c r="I147" s="13">
        <v>1547932724</v>
      </c>
    </row>
    <row r="148" spans="1:9" x14ac:dyDescent="0.45">
      <c r="A148" s="13" t="s">
        <v>217</v>
      </c>
      <c r="B148" s="13">
        <v>14265640</v>
      </c>
      <c r="C148" s="13">
        <v>53408198192</v>
      </c>
      <c r="D148" s="13">
        <v>50138308507</v>
      </c>
      <c r="E148" s="13">
        <v>3269889685</v>
      </c>
      <c r="F148" s="13">
        <v>14265640</v>
      </c>
      <c r="G148" s="13">
        <v>53408198192</v>
      </c>
      <c r="H148" s="13">
        <v>50138308507</v>
      </c>
      <c r="I148" s="13">
        <v>3269889685</v>
      </c>
    </row>
    <row r="149" spans="1:9" x14ac:dyDescent="0.45">
      <c r="A149" s="13" t="s">
        <v>144</v>
      </c>
      <c r="B149" s="13">
        <v>21893355</v>
      </c>
      <c r="C149" s="13">
        <v>27763424550</v>
      </c>
      <c r="D149" s="13">
        <v>26612046223</v>
      </c>
      <c r="E149" s="13">
        <v>1151378327</v>
      </c>
      <c r="F149" s="13">
        <v>21893355</v>
      </c>
      <c r="G149" s="13">
        <v>27763424550</v>
      </c>
      <c r="H149" s="13">
        <v>26612046223</v>
      </c>
      <c r="I149" s="13">
        <v>1151378327</v>
      </c>
    </row>
    <row r="150" spans="1:9" x14ac:dyDescent="0.45">
      <c r="A150" s="13" t="s">
        <v>298</v>
      </c>
      <c r="B150" s="13">
        <v>3340260</v>
      </c>
      <c r="C150" s="13">
        <v>25057164814</v>
      </c>
      <c r="D150" s="13">
        <v>24858298426</v>
      </c>
      <c r="E150" s="13">
        <v>198866388</v>
      </c>
      <c r="F150" s="13">
        <v>3340260</v>
      </c>
      <c r="G150" s="13">
        <v>25057164814</v>
      </c>
      <c r="H150" s="13">
        <v>24858298426</v>
      </c>
      <c r="I150" s="13">
        <v>198866388</v>
      </c>
    </row>
    <row r="151" spans="1:9" x14ac:dyDescent="0.45">
      <c r="A151" s="13" t="s">
        <v>239</v>
      </c>
      <c r="B151" s="13">
        <v>862852</v>
      </c>
      <c r="C151" s="13">
        <v>11849561012</v>
      </c>
      <c r="D151" s="13">
        <v>11130368003</v>
      </c>
      <c r="E151" s="13">
        <v>719193009</v>
      </c>
      <c r="F151" s="13">
        <v>862852</v>
      </c>
      <c r="G151" s="13">
        <v>11849561012</v>
      </c>
      <c r="H151" s="13">
        <v>11130368003</v>
      </c>
      <c r="I151" s="13">
        <v>719193009</v>
      </c>
    </row>
    <row r="152" spans="1:9" x14ac:dyDescent="0.45">
      <c r="A152" s="13" t="s">
        <v>126</v>
      </c>
      <c r="B152" s="13">
        <v>3484284</v>
      </c>
      <c r="C152" s="13">
        <v>26967333781</v>
      </c>
      <c r="D152" s="13">
        <v>27797097897</v>
      </c>
      <c r="E152" s="13">
        <v>-829764116</v>
      </c>
      <c r="F152" s="13">
        <v>3484284</v>
      </c>
      <c r="G152" s="13">
        <v>26967333781</v>
      </c>
      <c r="H152" s="13">
        <v>27797097897</v>
      </c>
      <c r="I152" s="13">
        <v>-829764116</v>
      </c>
    </row>
    <row r="153" spans="1:9" x14ac:dyDescent="0.45">
      <c r="A153" s="13" t="s">
        <v>132</v>
      </c>
      <c r="B153" s="13">
        <v>881085</v>
      </c>
      <c r="C153" s="13">
        <v>4348639935</v>
      </c>
      <c r="D153" s="13">
        <v>4196516222</v>
      </c>
      <c r="E153" s="13">
        <v>152123713</v>
      </c>
      <c r="F153" s="13">
        <v>881085</v>
      </c>
      <c r="G153" s="13">
        <v>4348639935</v>
      </c>
      <c r="H153" s="13">
        <v>4196516222</v>
      </c>
      <c r="I153" s="13">
        <v>152123713</v>
      </c>
    </row>
    <row r="154" spans="1:9" x14ac:dyDescent="0.45">
      <c r="A154" s="13" t="s">
        <v>299</v>
      </c>
      <c r="B154" s="13">
        <v>1321627</v>
      </c>
      <c r="C154" s="13">
        <v>5211546612</v>
      </c>
      <c r="D154" s="13">
        <v>4983361129</v>
      </c>
      <c r="E154" s="13">
        <v>228185483</v>
      </c>
      <c r="F154" s="13">
        <v>1321627</v>
      </c>
      <c r="G154" s="13">
        <v>5211546612</v>
      </c>
      <c r="H154" s="13">
        <v>4209628743</v>
      </c>
      <c r="I154" s="13">
        <v>1001917869</v>
      </c>
    </row>
    <row r="155" spans="1:9" x14ac:dyDescent="0.45">
      <c r="A155" s="13" t="s">
        <v>244</v>
      </c>
      <c r="B155" s="13">
        <v>5168835</v>
      </c>
      <c r="C155" s="13">
        <v>30619413036</v>
      </c>
      <c r="D155" s="13">
        <v>31744688625</v>
      </c>
      <c r="E155" s="13">
        <v>-1125275589</v>
      </c>
      <c r="F155" s="13">
        <v>5168835</v>
      </c>
      <c r="G155" s="13">
        <v>30619413036</v>
      </c>
      <c r="H155" s="13">
        <v>31744688625</v>
      </c>
      <c r="I155" s="13">
        <v>-1125275589</v>
      </c>
    </row>
    <row r="156" spans="1:9" x14ac:dyDescent="0.45">
      <c r="A156" s="13" t="s">
        <v>203</v>
      </c>
      <c r="B156" s="13">
        <v>1764830</v>
      </c>
      <c r="C156" s="13">
        <v>24866867670</v>
      </c>
      <c r="D156" s="13">
        <v>18965364568</v>
      </c>
      <c r="E156" s="13">
        <v>5901503102</v>
      </c>
      <c r="F156" s="13">
        <v>1764830</v>
      </c>
      <c r="G156" s="13">
        <v>24866867670</v>
      </c>
      <c r="H156" s="13">
        <v>18965364568</v>
      </c>
      <c r="I156" s="13">
        <v>5901503102</v>
      </c>
    </row>
    <row r="157" spans="1:9" x14ac:dyDescent="0.45">
      <c r="A157" s="13" t="s">
        <v>114</v>
      </c>
      <c r="B157" s="13">
        <v>3600000</v>
      </c>
      <c r="C157" s="13">
        <v>24040717560</v>
      </c>
      <c r="D157" s="13">
        <v>22647570480</v>
      </c>
      <c r="E157" s="13">
        <v>1393147080</v>
      </c>
      <c r="F157" s="13">
        <v>3600000</v>
      </c>
      <c r="G157" s="13">
        <v>24040717560</v>
      </c>
      <c r="H157" s="13">
        <v>22647570480</v>
      </c>
      <c r="I157" s="13">
        <v>1393147080</v>
      </c>
    </row>
    <row r="158" spans="1:9" x14ac:dyDescent="0.45">
      <c r="A158" s="13" t="s">
        <v>254</v>
      </c>
      <c r="B158" s="13">
        <v>6741110</v>
      </c>
      <c r="C158" s="13">
        <v>37859746904</v>
      </c>
      <c r="D158" s="13">
        <v>36388166635</v>
      </c>
      <c r="E158" s="13">
        <v>1471580269</v>
      </c>
      <c r="F158" s="13">
        <v>6741110</v>
      </c>
      <c r="G158" s="13">
        <v>37859746904</v>
      </c>
      <c r="H158" s="13">
        <v>36388166635</v>
      </c>
      <c r="I158" s="13">
        <v>1471580269</v>
      </c>
    </row>
    <row r="159" spans="1:9" x14ac:dyDescent="0.45">
      <c r="A159" s="13" t="s">
        <v>116</v>
      </c>
      <c r="B159" s="13">
        <v>2141672</v>
      </c>
      <c r="C159" s="13">
        <v>11985659177</v>
      </c>
      <c r="D159" s="13">
        <v>11326872946</v>
      </c>
      <c r="E159" s="13">
        <v>658786231</v>
      </c>
      <c r="F159" s="13">
        <v>2141672</v>
      </c>
      <c r="G159" s="13">
        <v>11985659177</v>
      </c>
      <c r="H159" s="13">
        <v>11326872946</v>
      </c>
      <c r="I159" s="13">
        <v>658786231</v>
      </c>
    </row>
    <row r="160" spans="1:9" x14ac:dyDescent="0.45">
      <c r="A160" s="13" t="s">
        <v>268</v>
      </c>
      <c r="B160" s="13">
        <v>12516623</v>
      </c>
      <c r="C160" s="13">
        <v>13773635280</v>
      </c>
      <c r="D160" s="13">
        <v>13773635280</v>
      </c>
      <c r="E160" s="13">
        <v>0</v>
      </c>
      <c r="F160" s="13">
        <v>12516623</v>
      </c>
      <c r="G160" s="13">
        <v>13773635280</v>
      </c>
      <c r="H160" s="13">
        <v>13768428756</v>
      </c>
      <c r="I160" s="13">
        <v>5206524</v>
      </c>
    </row>
    <row r="161" spans="1:9" x14ac:dyDescent="0.45">
      <c r="A161" s="13" t="s">
        <v>151</v>
      </c>
      <c r="B161" s="13">
        <v>2451893</v>
      </c>
      <c r="C161" s="13">
        <v>9792582965</v>
      </c>
      <c r="D161" s="13">
        <v>13989404236</v>
      </c>
      <c r="E161" s="13">
        <v>-4196821271</v>
      </c>
      <c r="F161" s="13">
        <v>2451893</v>
      </c>
      <c r="G161" s="13">
        <v>9792582965</v>
      </c>
      <c r="H161" s="13">
        <v>13989404236</v>
      </c>
      <c r="I161" s="13">
        <v>-4196821271</v>
      </c>
    </row>
    <row r="162" spans="1:9" x14ac:dyDescent="0.45">
      <c r="A162" s="13" t="s">
        <v>150</v>
      </c>
      <c r="B162" s="13">
        <v>3667933</v>
      </c>
      <c r="C162" s="13">
        <v>20126876725</v>
      </c>
      <c r="D162" s="13">
        <v>22601791042</v>
      </c>
      <c r="E162" s="13">
        <v>-2474914317</v>
      </c>
      <c r="F162" s="13">
        <v>3667933</v>
      </c>
      <c r="G162" s="13">
        <v>20126876725</v>
      </c>
      <c r="H162" s="13">
        <v>22601791042</v>
      </c>
      <c r="I162" s="13">
        <v>-2474914317</v>
      </c>
    </row>
    <row r="163" spans="1:9" x14ac:dyDescent="0.45">
      <c r="A163" s="13" t="s">
        <v>259</v>
      </c>
      <c r="B163" s="13">
        <v>802500</v>
      </c>
      <c r="C163" s="13">
        <v>10046875148</v>
      </c>
      <c r="D163" s="13">
        <v>10046875148</v>
      </c>
      <c r="E163" s="13">
        <v>0</v>
      </c>
      <c r="F163" s="13">
        <v>802500</v>
      </c>
      <c r="G163" s="13">
        <v>10046875148</v>
      </c>
      <c r="H163" s="13">
        <v>10046609716</v>
      </c>
      <c r="I163" s="13">
        <v>265432</v>
      </c>
    </row>
    <row r="164" spans="1:9" x14ac:dyDescent="0.45">
      <c r="A164" s="13" t="s">
        <v>300</v>
      </c>
      <c r="B164" s="13">
        <v>5118151</v>
      </c>
      <c r="C164" s="13">
        <v>20040107036</v>
      </c>
      <c r="D164" s="13">
        <v>20040107036</v>
      </c>
      <c r="E164" s="13">
        <v>0</v>
      </c>
      <c r="F164" s="13">
        <v>5118151</v>
      </c>
      <c r="G164" s="13">
        <v>20040107036</v>
      </c>
      <c r="H164" s="13">
        <v>20040107036</v>
      </c>
      <c r="I164" s="13">
        <v>0</v>
      </c>
    </row>
    <row r="165" spans="1:9" x14ac:dyDescent="0.45">
      <c r="A165" s="13" t="s">
        <v>162</v>
      </c>
      <c r="B165" s="13">
        <v>1256499</v>
      </c>
      <c r="C165" s="13">
        <v>7667735516</v>
      </c>
      <c r="D165" s="13">
        <v>7630331928</v>
      </c>
      <c r="E165" s="13">
        <v>37403588</v>
      </c>
      <c r="F165" s="13">
        <v>1256499</v>
      </c>
      <c r="G165" s="13">
        <v>7667735516</v>
      </c>
      <c r="H165" s="13">
        <v>7630331928</v>
      </c>
      <c r="I165" s="13">
        <v>37403588</v>
      </c>
    </row>
    <row r="166" spans="1:9" x14ac:dyDescent="0.45">
      <c r="A166" s="13" t="s">
        <v>257</v>
      </c>
      <c r="B166" s="13">
        <v>700000</v>
      </c>
      <c r="C166" s="13">
        <v>12030281480</v>
      </c>
      <c r="D166" s="13">
        <v>12044173260</v>
      </c>
      <c r="E166" s="13">
        <v>-13891780</v>
      </c>
      <c r="F166" s="13">
        <v>700000</v>
      </c>
      <c r="G166" s="13">
        <v>12030281480</v>
      </c>
      <c r="H166" s="13">
        <v>12044173260</v>
      </c>
      <c r="I166" s="13">
        <v>-13891780</v>
      </c>
    </row>
    <row r="167" spans="1:9" x14ac:dyDescent="0.45">
      <c r="A167" s="13" t="s">
        <v>206</v>
      </c>
      <c r="B167" s="13">
        <v>7979362</v>
      </c>
      <c r="C167" s="13">
        <v>26460891679</v>
      </c>
      <c r="D167" s="13">
        <v>26247114278</v>
      </c>
      <c r="E167" s="13">
        <v>213777401</v>
      </c>
      <c r="F167" s="13">
        <v>7979362</v>
      </c>
      <c r="G167" s="13">
        <v>26460891679</v>
      </c>
      <c r="H167" s="13">
        <v>26247114278</v>
      </c>
      <c r="I167" s="13">
        <v>213777401</v>
      </c>
    </row>
    <row r="168" spans="1:9" x14ac:dyDescent="0.45">
      <c r="A168" s="13" t="s">
        <v>240</v>
      </c>
      <c r="B168" s="13">
        <v>893618</v>
      </c>
      <c r="C168" s="13">
        <v>12617888037</v>
      </c>
      <c r="D168" s="13">
        <v>12147931560</v>
      </c>
      <c r="E168" s="13">
        <v>469956477</v>
      </c>
      <c r="F168" s="13">
        <v>893618</v>
      </c>
      <c r="G168" s="13">
        <v>12617888037</v>
      </c>
      <c r="H168" s="13">
        <v>12147931560</v>
      </c>
      <c r="I168" s="13">
        <v>469956477</v>
      </c>
    </row>
    <row r="169" spans="1:9" x14ac:dyDescent="0.45">
      <c r="A169" s="13" t="s">
        <v>301</v>
      </c>
      <c r="B169" s="13">
        <v>8154486</v>
      </c>
      <c r="C169" s="13">
        <v>39971772007</v>
      </c>
      <c r="D169" s="13">
        <v>39971772007</v>
      </c>
      <c r="E169" s="13">
        <v>0</v>
      </c>
      <c r="F169" s="13">
        <v>8154486</v>
      </c>
      <c r="G169" s="13">
        <v>39971772007</v>
      </c>
      <c r="H169" s="13">
        <v>39971772007</v>
      </c>
      <c r="I169" s="13">
        <v>0</v>
      </c>
    </row>
    <row r="170" spans="1:9" x14ac:dyDescent="0.45">
      <c r="A170" s="13" t="s">
        <v>141</v>
      </c>
      <c r="B170" s="13">
        <v>2470314</v>
      </c>
      <c r="C170" s="13">
        <v>21227551974</v>
      </c>
      <c r="D170" s="13">
        <v>19364625935</v>
      </c>
      <c r="E170" s="13">
        <v>1862926039</v>
      </c>
      <c r="F170" s="13">
        <v>2470314</v>
      </c>
      <c r="G170" s="13">
        <v>21227551974</v>
      </c>
      <c r="H170" s="13">
        <v>19364625935</v>
      </c>
      <c r="I170" s="13">
        <v>1862926039</v>
      </c>
    </row>
    <row r="171" spans="1:9" x14ac:dyDescent="0.45">
      <c r="A171" s="13" t="s">
        <v>122</v>
      </c>
      <c r="B171" s="13">
        <v>1483336</v>
      </c>
      <c r="C171" s="13">
        <v>4592233816</v>
      </c>
      <c r="D171" s="13">
        <v>4854226642</v>
      </c>
      <c r="E171" s="13">
        <v>-261992826</v>
      </c>
      <c r="F171" s="13">
        <v>1483336</v>
      </c>
      <c r="G171" s="13">
        <v>4592233816</v>
      </c>
      <c r="H171" s="13">
        <v>4854226642</v>
      </c>
      <c r="I171" s="13">
        <v>-261992826</v>
      </c>
    </row>
    <row r="172" spans="1:9" x14ac:dyDescent="0.45">
      <c r="A172" s="13" t="s">
        <v>302</v>
      </c>
      <c r="B172" s="13">
        <v>1086071</v>
      </c>
      <c r="C172" s="13">
        <v>21628950720</v>
      </c>
      <c r="D172" s="13">
        <v>20411177212</v>
      </c>
      <c r="E172" s="13">
        <v>1217773508</v>
      </c>
      <c r="F172" s="13">
        <v>1086071</v>
      </c>
      <c r="G172" s="13">
        <v>21628950720</v>
      </c>
      <c r="H172" s="13">
        <v>20411177212</v>
      </c>
      <c r="I172" s="13">
        <v>1217773508</v>
      </c>
    </row>
    <row r="173" spans="1:9" x14ac:dyDescent="0.45">
      <c r="A173" s="13" t="s">
        <v>266</v>
      </c>
      <c r="B173" s="13">
        <v>12640871</v>
      </c>
      <c r="C173" s="13">
        <v>17736024093</v>
      </c>
      <c r="D173" s="13">
        <v>17736024093</v>
      </c>
      <c r="E173" s="13">
        <v>0</v>
      </c>
      <c r="F173" s="13">
        <v>12640871</v>
      </c>
      <c r="G173" s="13">
        <v>17736024093</v>
      </c>
      <c r="H173" s="13">
        <v>17738452573</v>
      </c>
      <c r="I173" s="13">
        <v>-2428480</v>
      </c>
    </row>
    <row r="174" spans="1:9" x14ac:dyDescent="0.45">
      <c r="A174" s="13" t="s">
        <v>149</v>
      </c>
      <c r="B174" s="13">
        <v>13580964</v>
      </c>
      <c r="C174" s="13">
        <v>26925014330</v>
      </c>
      <c r="D174" s="13">
        <v>26439878938</v>
      </c>
      <c r="E174" s="13">
        <v>485135392</v>
      </c>
      <c r="F174" s="13">
        <v>13580964</v>
      </c>
      <c r="G174" s="13">
        <v>26925014330</v>
      </c>
      <c r="H174" s="13">
        <v>26439878938</v>
      </c>
      <c r="I174" s="13">
        <v>485135392</v>
      </c>
    </row>
    <row r="175" spans="1:9" x14ac:dyDescent="0.45">
      <c r="A175" s="13" t="s">
        <v>171</v>
      </c>
      <c r="B175" s="13">
        <v>1145414</v>
      </c>
      <c r="C175" s="13">
        <v>14172902574</v>
      </c>
      <c r="D175" s="13">
        <v>14218364972</v>
      </c>
      <c r="E175" s="13">
        <v>-45462398</v>
      </c>
      <c r="F175" s="13">
        <v>1145414</v>
      </c>
      <c r="G175" s="13">
        <v>14172902574</v>
      </c>
      <c r="H175" s="13">
        <v>14218364972</v>
      </c>
      <c r="I175" s="13">
        <v>-45462398</v>
      </c>
    </row>
    <row r="176" spans="1:9" x14ac:dyDescent="0.45">
      <c r="A176" s="13" t="s">
        <v>166</v>
      </c>
      <c r="B176" s="13">
        <v>594875</v>
      </c>
      <c r="C176" s="13">
        <v>31160702572</v>
      </c>
      <c r="D176" s="13">
        <v>30104107429</v>
      </c>
      <c r="E176" s="13">
        <v>1056595143</v>
      </c>
      <c r="F176" s="13">
        <v>594875</v>
      </c>
      <c r="G176" s="13">
        <v>31160702572</v>
      </c>
      <c r="H176" s="13">
        <v>30104107429</v>
      </c>
      <c r="I176" s="13">
        <v>1056595143</v>
      </c>
    </row>
    <row r="177" spans="1:9" x14ac:dyDescent="0.45">
      <c r="A177" s="13" t="s">
        <v>90</v>
      </c>
      <c r="B177" s="13">
        <v>505935</v>
      </c>
      <c r="C177" s="13">
        <v>9177000958</v>
      </c>
      <c r="D177" s="13">
        <v>9237243853</v>
      </c>
      <c r="E177" s="13">
        <v>-60242895</v>
      </c>
      <c r="F177" s="13">
        <v>505935</v>
      </c>
      <c r="G177" s="13">
        <v>9177000958</v>
      </c>
      <c r="H177" s="13">
        <v>9237243853</v>
      </c>
      <c r="I177" s="13">
        <v>-60242895</v>
      </c>
    </row>
    <row r="178" spans="1:9" x14ac:dyDescent="0.45">
      <c r="A178" s="13" t="s">
        <v>265</v>
      </c>
      <c r="B178" s="13">
        <v>2357608</v>
      </c>
      <c r="C178" s="13">
        <v>21454487822</v>
      </c>
      <c r="D178" s="13">
        <v>21454487822</v>
      </c>
      <c r="E178" s="13">
        <v>0</v>
      </c>
      <c r="F178" s="13">
        <v>2357608</v>
      </c>
      <c r="G178" s="13">
        <v>21454487822</v>
      </c>
      <c r="H178" s="13">
        <v>21454752304</v>
      </c>
      <c r="I178" s="13">
        <v>-264482</v>
      </c>
    </row>
    <row r="179" spans="1:9" x14ac:dyDescent="0.45">
      <c r="A179" s="13" t="s">
        <v>189</v>
      </c>
      <c r="B179" s="13">
        <v>13587567</v>
      </c>
      <c r="C179" s="13">
        <v>31454754405</v>
      </c>
      <c r="D179" s="13">
        <v>31458127354</v>
      </c>
      <c r="E179" s="13">
        <v>-3372949</v>
      </c>
      <c r="F179" s="13">
        <v>13587567</v>
      </c>
      <c r="G179" s="13">
        <v>31454754405</v>
      </c>
      <c r="H179" s="13">
        <v>31458127354</v>
      </c>
      <c r="I179" s="13">
        <v>-3372949</v>
      </c>
    </row>
    <row r="180" spans="1:9" x14ac:dyDescent="0.45">
      <c r="A180" s="13" t="s">
        <v>234</v>
      </c>
      <c r="B180" s="13">
        <v>1842980</v>
      </c>
      <c r="C180" s="13">
        <v>28491672052</v>
      </c>
      <c r="D180" s="13">
        <v>27906477248</v>
      </c>
      <c r="E180" s="13">
        <v>585194804</v>
      </c>
      <c r="F180" s="13">
        <v>1842980</v>
      </c>
      <c r="G180" s="13">
        <v>28491672052</v>
      </c>
      <c r="H180" s="13">
        <v>27906477248</v>
      </c>
      <c r="I180" s="13">
        <v>585194804</v>
      </c>
    </row>
    <row r="181" spans="1:9" x14ac:dyDescent="0.45">
      <c r="A181" s="13" t="s">
        <v>211</v>
      </c>
      <c r="B181" s="13">
        <v>1234887</v>
      </c>
      <c r="C181" s="13">
        <v>6347268056</v>
      </c>
      <c r="D181" s="13">
        <v>6329433102</v>
      </c>
      <c r="E181" s="13">
        <v>17834954</v>
      </c>
      <c r="F181" s="13">
        <v>1234887</v>
      </c>
      <c r="G181" s="13">
        <v>6347268056</v>
      </c>
      <c r="H181" s="13">
        <v>6329433102</v>
      </c>
      <c r="I181" s="13">
        <v>17834954</v>
      </c>
    </row>
    <row r="182" spans="1:9" x14ac:dyDescent="0.45">
      <c r="A182" s="13" t="s">
        <v>80</v>
      </c>
      <c r="B182" s="13">
        <v>3665617</v>
      </c>
      <c r="C182" s="13">
        <v>25242735557</v>
      </c>
      <c r="D182" s="13">
        <v>25242735557</v>
      </c>
      <c r="E182" s="13">
        <v>0</v>
      </c>
      <c r="F182" s="13">
        <v>3665617</v>
      </c>
      <c r="G182" s="13">
        <v>25242735557</v>
      </c>
      <c r="H182" s="13">
        <v>25242735557</v>
      </c>
      <c r="I182" s="13">
        <v>0</v>
      </c>
    </row>
    <row r="183" spans="1:9" x14ac:dyDescent="0.45">
      <c r="A183" s="13" t="s">
        <v>232</v>
      </c>
      <c r="B183" s="13">
        <v>1726440</v>
      </c>
      <c r="C183" s="13">
        <v>36060641726</v>
      </c>
      <c r="D183" s="13">
        <v>34655904138</v>
      </c>
      <c r="E183" s="13">
        <v>1404737588</v>
      </c>
      <c r="F183" s="13">
        <v>1726440</v>
      </c>
      <c r="G183" s="13">
        <v>36060641726</v>
      </c>
      <c r="H183" s="13">
        <v>34655904138</v>
      </c>
      <c r="I183" s="13">
        <v>1404737588</v>
      </c>
    </row>
    <row r="184" spans="1:9" x14ac:dyDescent="0.45">
      <c r="A184" s="13" t="s">
        <v>124</v>
      </c>
      <c r="B184" s="13">
        <v>635048</v>
      </c>
      <c r="C184" s="13">
        <v>16314300754</v>
      </c>
      <c r="D184" s="13">
        <v>16320602145</v>
      </c>
      <c r="E184" s="13">
        <v>-6301391</v>
      </c>
      <c r="F184" s="13">
        <v>635048</v>
      </c>
      <c r="G184" s="13">
        <v>16314300754</v>
      </c>
      <c r="H184" s="13">
        <v>16320602145</v>
      </c>
      <c r="I184" s="13">
        <v>-6301391</v>
      </c>
    </row>
    <row r="185" spans="1:9" x14ac:dyDescent="0.45">
      <c r="A185" s="13" t="s">
        <v>248</v>
      </c>
      <c r="B185" s="13">
        <v>3490646</v>
      </c>
      <c r="C185" s="13">
        <v>28540585645</v>
      </c>
      <c r="D185" s="13">
        <v>27709306451</v>
      </c>
      <c r="E185" s="13">
        <v>831279194</v>
      </c>
      <c r="F185" s="13">
        <v>3490646</v>
      </c>
      <c r="G185" s="13">
        <v>28540585645</v>
      </c>
      <c r="H185" s="13">
        <v>27709306451</v>
      </c>
      <c r="I185" s="13">
        <v>831279194</v>
      </c>
    </row>
    <row r="186" spans="1:9" x14ac:dyDescent="0.45">
      <c r="A186" s="13" t="s">
        <v>303</v>
      </c>
      <c r="B186" s="13">
        <v>275726</v>
      </c>
      <c r="C186" s="13">
        <v>4143590793</v>
      </c>
      <c r="D186" s="13">
        <v>6374755066</v>
      </c>
      <c r="E186" s="13">
        <v>-2231164273</v>
      </c>
      <c r="F186" s="13">
        <v>275726</v>
      </c>
      <c r="G186" s="13">
        <v>4143590793</v>
      </c>
      <c r="H186" s="13">
        <v>6374755066</v>
      </c>
      <c r="I186" s="13">
        <v>-2231164273</v>
      </c>
    </row>
    <row r="187" spans="1:9" x14ac:dyDescent="0.45">
      <c r="A187" s="13" t="s">
        <v>304</v>
      </c>
      <c r="B187" s="13">
        <v>487887</v>
      </c>
      <c r="C187" s="13">
        <v>10460770608</v>
      </c>
      <c r="D187" s="13">
        <v>13075963261</v>
      </c>
      <c r="E187" s="13">
        <v>-2615192653</v>
      </c>
      <c r="F187" s="13">
        <v>487887</v>
      </c>
      <c r="G187" s="13">
        <v>10460770608</v>
      </c>
      <c r="H187" s="13">
        <v>13075963261</v>
      </c>
      <c r="I187" s="13">
        <v>-2615192653</v>
      </c>
    </row>
    <row r="188" spans="1:9" x14ac:dyDescent="0.45">
      <c r="A188" s="13" t="s">
        <v>305</v>
      </c>
      <c r="B188" s="13">
        <v>1667558</v>
      </c>
      <c r="C188" s="13">
        <v>11781234570</v>
      </c>
      <c r="D188" s="13">
        <v>11781234570</v>
      </c>
      <c r="E188" s="13">
        <v>0</v>
      </c>
      <c r="F188" s="13">
        <v>1667558</v>
      </c>
      <c r="G188" s="13">
        <v>11781234570</v>
      </c>
      <c r="H188" s="13">
        <v>11781234570</v>
      </c>
      <c r="I188" s="13">
        <v>0</v>
      </c>
    </row>
    <row r="189" spans="1:9" x14ac:dyDescent="0.45">
      <c r="A189" s="13" t="s">
        <v>158</v>
      </c>
      <c r="B189" s="13">
        <v>4516431</v>
      </c>
      <c r="C189" s="13">
        <v>20951101271</v>
      </c>
      <c r="D189" s="13">
        <v>20839063296</v>
      </c>
      <c r="E189" s="13">
        <v>112037975</v>
      </c>
      <c r="F189" s="13">
        <v>4516431</v>
      </c>
      <c r="G189" s="13">
        <v>20951101271</v>
      </c>
      <c r="H189" s="13">
        <v>20839063296</v>
      </c>
      <c r="I189" s="13">
        <v>112037975</v>
      </c>
    </row>
    <row r="190" spans="1:9" x14ac:dyDescent="0.45">
      <c r="A190" s="13" t="s">
        <v>93</v>
      </c>
      <c r="B190" s="13">
        <v>828772</v>
      </c>
      <c r="C190" s="13">
        <v>12861797866</v>
      </c>
      <c r="D190" s="13">
        <v>12730219371</v>
      </c>
      <c r="E190" s="13">
        <v>131578495</v>
      </c>
      <c r="F190" s="13">
        <v>828772</v>
      </c>
      <c r="G190" s="13">
        <v>12861797866</v>
      </c>
      <c r="H190" s="13">
        <v>12730219371</v>
      </c>
      <c r="I190" s="13">
        <v>131578495</v>
      </c>
    </row>
    <row r="191" spans="1:9" x14ac:dyDescent="0.45">
      <c r="A191" s="13" t="s">
        <v>271</v>
      </c>
      <c r="B191" s="13">
        <v>6856686</v>
      </c>
      <c r="C191" s="13">
        <v>14593901788</v>
      </c>
      <c r="D191" s="13">
        <v>14593901788</v>
      </c>
      <c r="E191" s="13">
        <v>0</v>
      </c>
      <c r="F191" s="13">
        <v>6856686</v>
      </c>
      <c r="G191" s="13">
        <v>14593901788</v>
      </c>
      <c r="H191" s="13">
        <v>14595903936</v>
      </c>
      <c r="I191" s="13">
        <v>-2002148</v>
      </c>
    </row>
    <row r="192" spans="1:9" x14ac:dyDescent="0.45">
      <c r="A192" s="13" t="s">
        <v>216</v>
      </c>
      <c r="B192" s="13">
        <v>2723567</v>
      </c>
      <c r="C192" s="13">
        <v>22268713935</v>
      </c>
      <c r="D192" s="13">
        <v>22268713935</v>
      </c>
      <c r="E192" s="13">
        <v>0</v>
      </c>
      <c r="F192" s="13">
        <v>2723567</v>
      </c>
      <c r="G192" s="13">
        <v>22268713935</v>
      </c>
      <c r="H192" s="13">
        <v>22268713935</v>
      </c>
      <c r="I192" s="13">
        <v>0</v>
      </c>
    </row>
    <row r="193" spans="1:9" x14ac:dyDescent="0.45">
      <c r="A193" s="13" t="s">
        <v>306</v>
      </c>
      <c r="B193" s="13">
        <v>3014987</v>
      </c>
      <c r="C193" s="13">
        <v>15158848390</v>
      </c>
      <c r="D193" s="13">
        <v>14796854970</v>
      </c>
      <c r="E193" s="13">
        <v>361993420</v>
      </c>
      <c r="F193" s="13">
        <v>3014987</v>
      </c>
      <c r="G193" s="13">
        <v>15158848390</v>
      </c>
      <c r="H193" s="13">
        <v>14796854970</v>
      </c>
      <c r="I193" s="13">
        <v>361993420</v>
      </c>
    </row>
    <row r="194" spans="1:9" x14ac:dyDescent="0.45">
      <c r="A194" s="13" t="s">
        <v>107</v>
      </c>
      <c r="B194" s="13">
        <v>4173330</v>
      </c>
      <c r="C194" s="13">
        <v>13305258421</v>
      </c>
      <c r="D194" s="13">
        <v>12899433546</v>
      </c>
      <c r="E194" s="13">
        <v>405824875</v>
      </c>
      <c r="F194" s="13">
        <v>4173330</v>
      </c>
      <c r="G194" s="13">
        <v>13305258421</v>
      </c>
      <c r="H194" s="13">
        <v>12899433546</v>
      </c>
      <c r="I194" s="13">
        <v>405824875</v>
      </c>
    </row>
    <row r="195" spans="1:9" x14ac:dyDescent="0.45">
      <c r="A195" s="13" t="s">
        <v>307</v>
      </c>
      <c r="B195" s="13">
        <v>2586957</v>
      </c>
      <c r="C195" s="13">
        <v>17506665989</v>
      </c>
      <c r="D195" s="13">
        <v>17018943622</v>
      </c>
      <c r="E195" s="13">
        <v>487722367</v>
      </c>
      <c r="F195" s="13">
        <v>2586957</v>
      </c>
      <c r="G195" s="13">
        <v>17506665989</v>
      </c>
      <c r="H195" s="13">
        <v>17018943622</v>
      </c>
      <c r="I195" s="13">
        <v>487722367</v>
      </c>
    </row>
    <row r="196" spans="1:9" x14ac:dyDescent="0.45">
      <c r="A196" s="13" t="s">
        <v>121</v>
      </c>
      <c r="B196" s="13">
        <v>7969322</v>
      </c>
      <c r="C196" s="13">
        <v>19927452235</v>
      </c>
      <c r="D196" s="13">
        <v>19848375044</v>
      </c>
      <c r="E196" s="13">
        <v>79077191</v>
      </c>
      <c r="F196" s="13">
        <v>7969322</v>
      </c>
      <c r="G196" s="13">
        <v>19927452235</v>
      </c>
      <c r="H196" s="13">
        <v>19848375044</v>
      </c>
      <c r="I196" s="13">
        <v>79077191</v>
      </c>
    </row>
    <row r="197" spans="1:9" x14ac:dyDescent="0.45">
      <c r="A197" s="13" t="s">
        <v>255</v>
      </c>
      <c r="B197" s="13">
        <v>206895</v>
      </c>
      <c r="C197" s="13">
        <v>6680322132</v>
      </c>
      <c r="D197" s="13">
        <v>8076332903</v>
      </c>
      <c r="E197" s="13">
        <v>-1396010771</v>
      </c>
      <c r="F197" s="13">
        <v>206895</v>
      </c>
      <c r="G197" s="13">
        <v>6680322132</v>
      </c>
      <c r="H197" s="13">
        <v>8076332903</v>
      </c>
      <c r="I197" s="13">
        <v>-1396010771</v>
      </c>
    </row>
    <row r="198" spans="1:9" x14ac:dyDescent="0.45">
      <c r="A198" s="13" t="s">
        <v>136</v>
      </c>
      <c r="B198" s="13">
        <v>21351892</v>
      </c>
      <c r="C198" s="13">
        <v>21165655033</v>
      </c>
      <c r="D198" s="13">
        <v>20720731354</v>
      </c>
      <c r="E198" s="13">
        <v>444923679</v>
      </c>
      <c r="F198" s="13">
        <v>21351892</v>
      </c>
      <c r="G198" s="13">
        <v>21165655033</v>
      </c>
      <c r="H198" s="13">
        <v>20723246603</v>
      </c>
      <c r="I198" s="13">
        <v>442408430</v>
      </c>
    </row>
    <row r="199" spans="1:9" x14ac:dyDescent="0.45">
      <c r="A199" s="13" t="s">
        <v>308</v>
      </c>
      <c r="B199" s="13">
        <v>1032048</v>
      </c>
      <c r="C199" s="13">
        <v>27547490235</v>
      </c>
      <c r="D199" s="13">
        <v>26625826993</v>
      </c>
      <c r="E199" s="13">
        <v>921663242</v>
      </c>
      <c r="F199" s="13">
        <v>1032048</v>
      </c>
      <c r="G199" s="13">
        <v>27547490235</v>
      </c>
      <c r="H199" s="13">
        <v>26625826993</v>
      </c>
      <c r="I199" s="13">
        <v>921663242</v>
      </c>
    </row>
    <row r="200" spans="1:9" x14ac:dyDescent="0.45">
      <c r="A200" s="13" t="s">
        <v>89</v>
      </c>
      <c r="B200" s="13">
        <v>938593</v>
      </c>
      <c r="C200" s="13">
        <v>35325638055</v>
      </c>
      <c r="D200" s="13">
        <v>33304635298</v>
      </c>
      <c r="E200" s="13">
        <v>2021002757</v>
      </c>
      <c r="F200" s="13">
        <v>938593</v>
      </c>
      <c r="G200" s="13">
        <v>35325638055</v>
      </c>
      <c r="H200" s="13">
        <v>33304635298</v>
      </c>
      <c r="I200" s="13">
        <v>2021002757</v>
      </c>
    </row>
    <row r="201" spans="1:9" x14ac:dyDescent="0.45">
      <c r="A201" s="13" t="s">
        <v>309</v>
      </c>
      <c r="B201" s="13">
        <v>795993</v>
      </c>
      <c r="C201" s="13">
        <v>29958630218</v>
      </c>
      <c r="D201" s="13">
        <v>28299966272</v>
      </c>
      <c r="E201" s="13">
        <v>1658663946</v>
      </c>
      <c r="F201" s="13">
        <v>795993</v>
      </c>
      <c r="G201" s="13">
        <v>29958630218</v>
      </c>
      <c r="H201" s="13">
        <v>28299966272</v>
      </c>
      <c r="I201" s="13">
        <v>1658663946</v>
      </c>
    </row>
    <row r="202" spans="1:9" x14ac:dyDescent="0.45">
      <c r="A202" s="13" t="s">
        <v>86</v>
      </c>
      <c r="B202" s="13">
        <v>392921</v>
      </c>
      <c r="C202" s="13">
        <v>14222958130</v>
      </c>
      <c r="D202" s="13">
        <v>17778697663</v>
      </c>
      <c r="E202" s="13">
        <v>-3555739533</v>
      </c>
      <c r="F202" s="13">
        <v>392921</v>
      </c>
      <c r="G202" s="13">
        <v>14222958130</v>
      </c>
      <c r="H202" s="13">
        <v>17778697663</v>
      </c>
      <c r="I202" s="13">
        <v>-3555739533</v>
      </c>
    </row>
    <row r="203" spans="1:9" x14ac:dyDescent="0.45">
      <c r="A203" s="13" t="s">
        <v>310</v>
      </c>
      <c r="B203" s="13">
        <v>1881856</v>
      </c>
      <c r="C203" s="13">
        <v>18251080640</v>
      </c>
      <c r="D203" s="13">
        <v>24334774187</v>
      </c>
      <c r="E203" s="13">
        <v>-6083693547</v>
      </c>
      <c r="F203" s="13">
        <v>1881856</v>
      </c>
      <c r="G203" s="13">
        <v>18251080640</v>
      </c>
      <c r="H203" s="13">
        <v>24334782847</v>
      </c>
      <c r="I203" s="13">
        <v>-6083702207</v>
      </c>
    </row>
    <row r="204" spans="1:9" x14ac:dyDescent="0.45">
      <c r="A204" s="13" t="s">
        <v>311</v>
      </c>
      <c r="B204" s="13">
        <v>1036013</v>
      </c>
      <c r="C204" s="13">
        <v>15600998106</v>
      </c>
      <c r="D204" s="13">
        <v>19501247632</v>
      </c>
      <c r="E204" s="13">
        <v>-3900249526</v>
      </c>
      <c r="F204" s="13">
        <v>1036013</v>
      </c>
      <c r="G204" s="13">
        <v>15600998106</v>
      </c>
      <c r="H204" s="13">
        <v>19501247632</v>
      </c>
      <c r="I204" s="13">
        <v>-3900249526</v>
      </c>
    </row>
    <row r="205" spans="1:9" x14ac:dyDescent="0.45">
      <c r="A205" s="13" t="s">
        <v>312</v>
      </c>
      <c r="B205" s="13">
        <v>5391749</v>
      </c>
      <c r="C205" s="13">
        <v>33116938130</v>
      </c>
      <c r="D205" s="13">
        <v>31244413357</v>
      </c>
      <c r="E205" s="13">
        <v>1872524773</v>
      </c>
      <c r="F205" s="13">
        <v>5391749</v>
      </c>
      <c r="G205" s="13">
        <v>33116938130</v>
      </c>
      <c r="H205" s="13">
        <v>31244413357</v>
      </c>
      <c r="I205" s="13">
        <v>1872524773</v>
      </c>
    </row>
    <row r="206" spans="1:9" x14ac:dyDescent="0.45">
      <c r="A206" s="13" t="s">
        <v>88</v>
      </c>
      <c r="B206" s="13">
        <v>14595002</v>
      </c>
      <c r="C206" s="13">
        <v>41520417613</v>
      </c>
      <c r="D206" s="13">
        <v>38986035652</v>
      </c>
      <c r="E206" s="13">
        <v>2534381961</v>
      </c>
      <c r="F206" s="13">
        <v>14595002</v>
      </c>
      <c r="G206" s="13">
        <v>41520417613</v>
      </c>
      <c r="H206" s="13">
        <v>38986035652</v>
      </c>
      <c r="I206" s="13">
        <v>2534381961</v>
      </c>
    </row>
    <row r="207" spans="1:9" x14ac:dyDescent="0.45">
      <c r="A207" s="13" t="s">
        <v>229</v>
      </c>
      <c r="B207" s="13">
        <v>5168712</v>
      </c>
      <c r="C207" s="13">
        <v>53800669912</v>
      </c>
      <c r="D207" s="13">
        <v>51902383796</v>
      </c>
      <c r="E207" s="13">
        <v>1898286116</v>
      </c>
      <c r="F207" s="13">
        <v>5168712</v>
      </c>
      <c r="G207" s="13">
        <v>53800669912</v>
      </c>
      <c r="H207" s="13">
        <v>51902383796</v>
      </c>
      <c r="I207" s="13">
        <v>1898286116</v>
      </c>
    </row>
    <row r="208" spans="1:9" x14ac:dyDescent="0.45">
      <c r="A208" s="13" t="s">
        <v>313</v>
      </c>
      <c r="B208" s="13">
        <v>900000</v>
      </c>
      <c r="C208" s="13">
        <v>4728662685</v>
      </c>
      <c r="D208" s="13">
        <v>4728662685</v>
      </c>
      <c r="E208" s="13">
        <v>0</v>
      </c>
      <c r="F208" s="13">
        <v>900000</v>
      </c>
      <c r="G208" s="13">
        <v>4728662685</v>
      </c>
      <c r="H208" s="13">
        <v>4728662685</v>
      </c>
      <c r="I208" s="13">
        <v>0</v>
      </c>
    </row>
    <row r="209" spans="1:9" x14ac:dyDescent="0.45">
      <c r="A209" s="13" t="s">
        <v>250</v>
      </c>
      <c r="B209" s="13">
        <v>1405716</v>
      </c>
      <c r="C209" s="13">
        <v>14046137640</v>
      </c>
      <c r="D209" s="13">
        <v>13251073246</v>
      </c>
      <c r="E209" s="13">
        <v>795064394</v>
      </c>
      <c r="F209" s="13">
        <v>1405716</v>
      </c>
      <c r="G209" s="13">
        <v>14046137640</v>
      </c>
      <c r="H209" s="13">
        <v>13251073246</v>
      </c>
      <c r="I209" s="13">
        <v>795064394</v>
      </c>
    </row>
    <row r="210" spans="1:9" x14ac:dyDescent="0.45">
      <c r="A210" s="13" t="s">
        <v>314</v>
      </c>
      <c r="B210" s="13">
        <v>5658733</v>
      </c>
      <c r="C210" s="13">
        <v>21073061200</v>
      </c>
      <c r="D210" s="13">
        <v>20500332119</v>
      </c>
      <c r="E210" s="13">
        <v>572729081</v>
      </c>
      <c r="F210" s="13">
        <v>5658733</v>
      </c>
      <c r="G210" s="13">
        <v>21073061200</v>
      </c>
      <c r="H210" s="13">
        <v>20500332119</v>
      </c>
      <c r="I210" s="13">
        <v>572729081</v>
      </c>
    </row>
    <row r="211" spans="1:9" x14ac:dyDescent="0.45">
      <c r="A211" s="13" t="s">
        <v>197</v>
      </c>
      <c r="B211" s="13">
        <v>2024465</v>
      </c>
      <c r="C211" s="13">
        <v>15869645496</v>
      </c>
      <c r="D211" s="13">
        <v>15407617842</v>
      </c>
      <c r="E211" s="13">
        <v>462027654</v>
      </c>
      <c r="F211" s="13">
        <v>2024465</v>
      </c>
      <c r="G211" s="13">
        <v>15869645496</v>
      </c>
      <c r="H211" s="13">
        <v>15407617842</v>
      </c>
      <c r="I211" s="13">
        <v>462027654</v>
      </c>
    </row>
    <row r="212" spans="1:9" x14ac:dyDescent="0.45">
      <c r="A212" s="13" t="s">
        <v>242</v>
      </c>
      <c r="B212" s="13">
        <v>2192838</v>
      </c>
      <c r="C212" s="13">
        <v>20475100079</v>
      </c>
      <c r="D212" s="13">
        <v>20061681480</v>
      </c>
      <c r="E212" s="13">
        <v>413418599</v>
      </c>
      <c r="F212" s="13">
        <v>2192838</v>
      </c>
      <c r="G212" s="13">
        <v>20475100079</v>
      </c>
      <c r="H212" s="13">
        <v>20061681480</v>
      </c>
      <c r="I212" s="13">
        <v>413418599</v>
      </c>
    </row>
    <row r="213" spans="1:9" x14ac:dyDescent="0.45">
      <c r="A213" s="13" t="s">
        <v>139</v>
      </c>
      <c r="B213" s="13">
        <v>6511043</v>
      </c>
      <c r="C213" s="13">
        <v>27102689515</v>
      </c>
      <c r="D213" s="13">
        <v>26314482573</v>
      </c>
      <c r="E213" s="13">
        <v>788206942</v>
      </c>
      <c r="F213" s="13">
        <v>6511043</v>
      </c>
      <c r="G213" s="13">
        <v>27102689515</v>
      </c>
      <c r="H213" s="13">
        <v>26314482573</v>
      </c>
      <c r="I213" s="13">
        <v>788206942</v>
      </c>
    </row>
    <row r="214" spans="1:9" x14ac:dyDescent="0.45">
      <c r="A214" s="13" t="s">
        <v>79</v>
      </c>
      <c r="B214" s="13">
        <v>14321983</v>
      </c>
      <c r="C214" s="13">
        <v>32330648512</v>
      </c>
      <c r="D214" s="13">
        <v>32332099439</v>
      </c>
      <c r="E214" s="13">
        <v>-1450927</v>
      </c>
      <c r="F214" s="13">
        <v>14321983</v>
      </c>
      <c r="G214" s="13">
        <v>32330648512</v>
      </c>
      <c r="H214" s="13">
        <v>32332099439</v>
      </c>
      <c r="I214" s="13">
        <v>-1450927</v>
      </c>
    </row>
    <row r="215" spans="1:9" x14ac:dyDescent="0.45">
      <c r="A215" s="13" t="s">
        <v>315</v>
      </c>
      <c r="B215" s="13">
        <v>9752234</v>
      </c>
      <c r="C215" s="13">
        <v>13334698241</v>
      </c>
      <c r="D215" s="13">
        <v>13286313994</v>
      </c>
      <c r="E215" s="13">
        <v>48384247</v>
      </c>
      <c r="F215" s="13">
        <v>9752234</v>
      </c>
      <c r="G215" s="13">
        <v>13334698241</v>
      </c>
      <c r="H215" s="13">
        <v>13286313994</v>
      </c>
      <c r="I215" s="13">
        <v>48384247</v>
      </c>
    </row>
    <row r="216" spans="1:9" x14ac:dyDescent="0.45">
      <c r="A216" s="13" t="s">
        <v>316</v>
      </c>
      <c r="B216" s="13">
        <v>1500000</v>
      </c>
      <c r="C216" s="13">
        <v>13514717400</v>
      </c>
      <c r="D216" s="13">
        <v>13112848050</v>
      </c>
      <c r="E216" s="13">
        <v>401869350</v>
      </c>
      <c r="F216" s="13">
        <v>1500000</v>
      </c>
      <c r="G216" s="13">
        <v>13514717400</v>
      </c>
      <c r="H216" s="13">
        <v>13112848050</v>
      </c>
      <c r="I216" s="13">
        <v>401869350</v>
      </c>
    </row>
    <row r="217" spans="1:9" x14ac:dyDescent="0.45">
      <c r="A217" s="13" t="s">
        <v>205</v>
      </c>
      <c r="B217" s="13">
        <v>26913216</v>
      </c>
      <c r="C217" s="13">
        <v>26705176840</v>
      </c>
      <c r="D217" s="13">
        <v>26838702725</v>
      </c>
      <c r="E217" s="13">
        <v>-133525885</v>
      </c>
      <c r="F217" s="13">
        <v>26913216</v>
      </c>
      <c r="G217" s="13">
        <v>26705176840</v>
      </c>
      <c r="H217" s="13">
        <v>26838702725</v>
      </c>
      <c r="I217" s="13">
        <v>-133525885</v>
      </c>
    </row>
    <row r="218" spans="1:9" x14ac:dyDescent="0.45">
      <c r="A218" s="13" t="s">
        <v>160</v>
      </c>
      <c r="B218" s="13">
        <v>5200000</v>
      </c>
      <c r="C218" s="13">
        <v>12032662928</v>
      </c>
      <c r="D218" s="13">
        <v>15035668856</v>
      </c>
      <c r="E218" s="13">
        <v>-3003005928</v>
      </c>
      <c r="F218" s="13">
        <v>5200000</v>
      </c>
      <c r="G218" s="13">
        <v>12032662928</v>
      </c>
      <c r="H218" s="13">
        <v>15035668856</v>
      </c>
      <c r="I218" s="13">
        <v>-3003005928</v>
      </c>
    </row>
    <row r="219" spans="1:9" x14ac:dyDescent="0.45">
      <c r="A219" s="13" t="s">
        <v>262</v>
      </c>
      <c r="B219" s="13">
        <v>11242355</v>
      </c>
      <c r="C219" s="13">
        <v>21206513484</v>
      </c>
      <c r="D219" s="13">
        <v>21206513484</v>
      </c>
      <c r="E219" s="13">
        <v>0</v>
      </c>
      <c r="F219" s="13">
        <v>11242355</v>
      </c>
      <c r="G219" s="13">
        <v>21206513484</v>
      </c>
      <c r="H219" s="13">
        <v>21039729209</v>
      </c>
      <c r="I219" s="13">
        <v>166784275</v>
      </c>
    </row>
    <row r="220" spans="1:9" x14ac:dyDescent="0.45">
      <c r="A220" s="13" t="s">
        <v>317</v>
      </c>
      <c r="B220" s="13">
        <v>1175423</v>
      </c>
      <c r="C220" s="13">
        <v>1050869619</v>
      </c>
      <c r="D220" s="13">
        <v>1050869619</v>
      </c>
      <c r="E220" s="13">
        <v>0</v>
      </c>
      <c r="F220" s="13">
        <v>1175423</v>
      </c>
      <c r="G220" s="13">
        <v>1050869619</v>
      </c>
      <c r="H220" s="13">
        <v>1215396725</v>
      </c>
      <c r="I220" s="13">
        <v>-164527106</v>
      </c>
    </row>
    <row r="221" spans="1:9" x14ac:dyDescent="0.45">
      <c r="A221" s="13" t="s">
        <v>135</v>
      </c>
      <c r="B221" s="13">
        <v>8112972</v>
      </c>
      <c r="C221" s="15">
        <v>23297448754</v>
      </c>
      <c r="D221" s="15">
        <v>22621227021</v>
      </c>
      <c r="E221" s="15">
        <v>676221733</v>
      </c>
      <c r="F221" s="13">
        <v>8112972</v>
      </c>
      <c r="G221" s="15">
        <v>23297448754</v>
      </c>
      <c r="H221" s="13">
        <v>22943237370</v>
      </c>
      <c r="I221" s="13">
        <v>354211384</v>
      </c>
    </row>
    <row r="222" spans="1:9" ht="19.5" thickBot="1" x14ac:dyDescent="0.5">
      <c r="A222" s="13" t="s">
        <v>2</v>
      </c>
      <c r="B222" s="13"/>
      <c r="C222" s="13">
        <f t="shared" ref="C222:I222" si="0">SUM(C7:C221)</f>
        <v>4083659632315</v>
      </c>
      <c r="D222" s="13">
        <f t="shared" si="0"/>
        <v>4060060249144</v>
      </c>
      <c r="E222" s="17">
        <f t="shared" si="0"/>
        <v>23599383171</v>
      </c>
      <c r="F222" s="13"/>
      <c r="G222" s="13">
        <f t="shared" si="0"/>
        <v>4083659632315</v>
      </c>
      <c r="H222" s="16">
        <f t="shared" si="0"/>
        <v>4066460161864</v>
      </c>
      <c r="I222" s="16">
        <f t="shared" si="0"/>
        <v>17199470451</v>
      </c>
    </row>
    <row r="223" spans="1:9" ht="19.5" thickTop="1" x14ac:dyDescent="0.45">
      <c r="C223" s="19"/>
      <c r="D223" s="19"/>
      <c r="G223" s="19"/>
      <c r="H223" s="19"/>
      <c r="I223" s="19"/>
    </row>
  </sheetData>
  <mergeCells count="6">
    <mergeCell ref="B5:E5"/>
    <mergeCell ref="F5:I5"/>
    <mergeCell ref="A4:D4"/>
    <mergeCell ref="A1:I1"/>
    <mergeCell ref="A2:I2"/>
    <mergeCell ref="A3:I3"/>
  </mergeCells>
  <pageMargins left="0.70866141732283472" right="0.70866141732283472" top="0.74803149606299213" bottom="0.74803149606299213" header="0.31496062992125984" footer="0.31496062992125984"/>
  <pageSetup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1</vt:lpstr>
      <vt:lpstr> سهام</vt:lpstr>
      <vt:lpstr>تعدیل قیمت</vt:lpstr>
      <vt:lpstr>سپرده</vt:lpstr>
      <vt:lpstr>درآمدها</vt:lpstr>
      <vt:lpstr>درآمد سرمایه گذاری در سهام </vt:lpstr>
      <vt:lpstr>درآمد سپرده بانکی</vt:lpstr>
      <vt:lpstr>درآمد سود سهام</vt:lpstr>
      <vt:lpstr>سود  سپرده بانکی</vt:lpstr>
      <vt:lpstr>درآمد ناشی ازفروش</vt:lpstr>
      <vt:lpstr>درآمد ناشی از تغییر قیمت اوراق </vt:lpstr>
      <vt:lpstr>' سهام'!Print_Area</vt:lpstr>
      <vt:lpstr>'تعدیل قیمت'!Print_Area</vt:lpstr>
      <vt:lpstr>'درآمد ناشی از تغییر قیمت اوراق '!Print_Area</vt:lpstr>
      <vt:lpstr>سپرده!Print_Area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Mostafa Langari</cp:lastModifiedBy>
  <cp:lastPrinted>2026-05-23T10:54:02Z</cp:lastPrinted>
  <dcterms:created xsi:type="dcterms:W3CDTF">2017-11-22T14:26:20Z</dcterms:created>
  <dcterms:modified xsi:type="dcterms:W3CDTF">2026-05-23T10:55:14Z</dcterms:modified>
</cp:coreProperties>
</file>