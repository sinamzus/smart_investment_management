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1404.06.31\پرتفوی مشترک1404.06.31\"/>
    </mc:Choice>
  </mc:AlternateContent>
  <xr:revisionPtr revIDLastSave="0" documentId="13_ncr:1_{8EBBF213-B1A9-4A07-9483-268E1B0E2392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'11'!$A$8:$Q$163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E9" i="16" l="1"/>
  <c r="C9" i="16"/>
  <c r="G16" i="15"/>
  <c r="I12" i="15" s="1"/>
  <c r="C16" i="15"/>
  <c r="E11" i="15" s="1"/>
  <c r="I13" i="15"/>
  <c r="E12" i="15"/>
  <c r="E10" i="15"/>
  <c r="E9" i="15"/>
  <c r="Q9" i="14"/>
  <c r="O9" i="14"/>
  <c r="M9" i="14"/>
  <c r="K9" i="14"/>
  <c r="I9" i="14"/>
  <c r="G9" i="14"/>
  <c r="E9" i="14"/>
  <c r="C9" i="14"/>
  <c r="U170" i="13"/>
  <c r="S170" i="13"/>
  <c r="Q170" i="13"/>
  <c r="O170" i="13"/>
  <c r="M170" i="13"/>
  <c r="K170" i="13"/>
  <c r="I170" i="13"/>
  <c r="G170" i="13"/>
  <c r="E170" i="13"/>
  <c r="C170" i="13"/>
  <c r="Q163" i="12"/>
  <c r="O163" i="12"/>
  <c r="M163" i="12"/>
  <c r="K163" i="12"/>
  <c r="I163" i="12"/>
  <c r="G163" i="12"/>
  <c r="E163" i="12"/>
  <c r="C163" i="12"/>
  <c r="Q78" i="11"/>
  <c r="O78" i="11"/>
  <c r="M78" i="11"/>
  <c r="K78" i="11"/>
  <c r="I78" i="11"/>
  <c r="G78" i="11"/>
  <c r="E78" i="11"/>
  <c r="C78" i="11"/>
  <c r="M16" i="10"/>
  <c r="K16" i="10"/>
  <c r="I16" i="10"/>
  <c r="G16" i="10"/>
  <c r="E16" i="10"/>
  <c r="C16" i="10"/>
  <c r="S74" i="9"/>
  <c r="Q74" i="9"/>
  <c r="O74" i="9"/>
  <c r="M74" i="9"/>
  <c r="K74" i="9"/>
  <c r="I74" i="9"/>
  <c r="E13" i="8"/>
  <c r="I13" i="8"/>
  <c r="G13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164" i="2"/>
  <c r="U164" i="2"/>
  <c r="S164" i="2"/>
  <c r="Q164" i="2"/>
  <c r="O164" i="2"/>
  <c r="M164" i="2"/>
  <c r="L164" i="2"/>
  <c r="J164" i="2"/>
  <c r="I164" i="2"/>
  <c r="G164" i="2"/>
  <c r="E164" i="2"/>
  <c r="C164" i="2"/>
  <c r="E13" i="15" l="1"/>
  <c r="E14" i="15"/>
  <c r="E16" i="15"/>
  <c r="I14" i="15"/>
  <c r="I15" i="15"/>
  <c r="I9" i="15"/>
  <c r="I10" i="15"/>
  <c r="I11" i="15"/>
  <c r="I16" i="15" l="1"/>
</calcChain>
</file>

<file path=xl/sharedStrings.xml><?xml version="1.0" encoding="utf-8"?>
<sst xmlns="http://schemas.openxmlformats.org/spreadsheetml/2006/main" count="961" uniqueCount="341">
  <si>
    <t>‫شاخصی هم ‏وزن تراز</t>
  </si>
  <si>
    <t>‫صورت وضعیت پورتفوی</t>
  </si>
  <si>
    <t>‫برای ماه منتهی به 1404/06/31</t>
  </si>
  <si>
    <t>‫1- سرمایه گذاری ها</t>
  </si>
  <si>
    <t>‫1-1- سرمایه گذاری در سهام و حق تقدم سهام</t>
  </si>
  <si>
    <t>‫1404/05/31</t>
  </si>
  <si>
    <t>‫تغییرات طی دوره</t>
  </si>
  <si>
    <t>‫1404/06/31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</si>
  <si>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</si>
  <si>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</si>
  <si>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</si>
  <si>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</si>
  <si>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</si>
  <si>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</si>
  <si>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</si>
  <si>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</si>
  <si>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</si>
  <si>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‫آنتي بيوتيك سازي ايران</t>
  </si>
  <si>
    <t>‫اخشان خراسان</t>
  </si>
  <si>
    <t>‫ارتباطات سیار</t>
  </si>
  <si>
    <t>‫افست</t>
  </si>
  <si>
    <t>‫اقتصاد نوين</t>
  </si>
  <si>
    <t>‫البرز دارو</t>
  </si>
  <si>
    <t>‫الكتريك خودرو</t>
  </si>
  <si>
    <t>‫املاح ايران</t>
  </si>
  <si>
    <t>‫ايران ترانسفو</t>
  </si>
  <si>
    <t>‫ايران خودرو</t>
  </si>
  <si>
    <t>‫ايمن خودرو شرق</t>
  </si>
  <si>
    <t>‫ایرکا پارت صنعت</t>
  </si>
  <si>
    <t>‫بانك تجارت</t>
  </si>
  <si>
    <t>‫بانك صادرات</t>
  </si>
  <si>
    <t>‫بانك ملت</t>
  </si>
  <si>
    <t>‫بهمن دیزل</t>
  </si>
  <si>
    <t>‫بيمه آسيا</t>
  </si>
  <si>
    <t>‫بيمه البرز</t>
  </si>
  <si>
    <t>‫بيمه ايران - معين</t>
  </si>
  <si>
    <t>‫بيمه پارسيان</t>
  </si>
  <si>
    <t>‫تامين سرمايه لوتوس پارسيان</t>
  </si>
  <si>
    <t>‫تامين سرمايه نوين</t>
  </si>
  <si>
    <t>‫تامين ماسه</t>
  </si>
  <si>
    <t>‫تايدواتر</t>
  </si>
  <si>
    <t>‫تجارت الکترونیک پارسیان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</si>
  <si>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</si>
  <si>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</si>
  <si>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</si>
  <si>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</si>
  <si>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</si>
  <si>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</si>
  <si>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</si>
  <si>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</si>
  <si>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چدن سازان</t>
  </si>
  <si>
    <t>‫حفاري شمال</t>
  </si>
  <si>
    <t>‫حمل و نقل ريلي پارسيان</t>
  </si>
  <si>
    <t>‫خاك چيني</t>
  </si>
  <si>
    <t>‫داده پردازي</t>
  </si>
  <si>
    <t>‫دارو ابوريحان</t>
  </si>
  <si>
    <t>‫داروسازي زاگرس</t>
  </si>
  <si>
    <t>‫داروسازي فارابي</t>
  </si>
  <si>
    <t>‫داروسازي‌ اكسير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</si>
  <si>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</si>
  <si>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</si>
  <si>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</si>
  <si>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</si>
  <si>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‫سايپا</t>
  </si>
  <si>
    <t>‫سبحان_دارو</t>
  </si>
  <si>
    <t>‫سرمايه گذاري اميد</t>
  </si>
  <si>
    <t>‫سرمايه گذاري تامين اجتماعي</t>
  </si>
  <si>
    <t>‫سرمايه گذاري صدرتامين</t>
  </si>
  <si>
    <t>‫سرمايه گذاري غدير</t>
  </si>
  <si>
    <t>‫سرمايه گذاري كشاورزي كوثر</t>
  </si>
  <si>
    <t>‫سرمايه گذاري ملي ايران</t>
  </si>
  <si>
    <t>‫سرمايه گذاري پايا تدبيرپارسا</t>
  </si>
  <si>
    <t>‫سرمایه گذاری مسکن تهران</t>
  </si>
  <si>
    <t>‫سيمان اروميه</t>
  </si>
  <si>
    <t>‫سيمان بهبهان</t>
  </si>
  <si>
    <t>‫سيمان تهران</t>
  </si>
  <si>
    <t>‫سيمان خاش</t>
  </si>
  <si>
    <t>‫سيمان خزر</t>
  </si>
  <si>
    <t>‫سيمان ساوه</t>
  </si>
  <si>
    <t>‫سيمان سپاهان</t>
  </si>
  <si>
    <t>‫سيمان شمال</t>
  </si>
  <si>
    <t>‫سيمان صوفيان</t>
  </si>
  <si>
    <t>‫سيمان فارس نو</t>
  </si>
  <si>
    <t>‫سيمان قاين</t>
  </si>
  <si>
    <t>‫سيمان مازندران</t>
  </si>
  <si>
    <t>‫سيمرغ</t>
  </si>
  <si>
    <t>‫سينا دارو</t>
  </si>
  <si>
    <t>‫سپيد ماكيان</t>
  </si>
  <si>
    <t>‫شهد ايران</t>
  </si>
  <si>
    <t>‫شيشه همدان</t>
  </si>
  <si>
    <t>‫شيشه و گاز</t>
  </si>
  <si>
    <t>‫شیشه قزوین</t>
  </si>
  <si>
    <t>‫صنايع ارتباطي آوا</t>
  </si>
  <si>
    <t>‫صنايع غذايي رضوي</t>
  </si>
  <si>
    <t>‫صندوق بازنشستگي</t>
  </si>
  <si>
    <t>‫صنعت غذايي كورش</t>
  </si>
  <si>
    <t>‫صنعتي آما</t>
  </si>
  <si>
    <t>‫صنعتي بارز</t>
  </si>
  <si>
    <t>‫صنعتي بهشهر</t>
  </si>
  <si>
    <t>‫صنعتي زر ماكارون</t>
  </si>
  <si>
    <t>‫صنعتي سپاهان</t>
  </si>
  <si>
    <t>‫غذايي مينو</t>
  </si>
  <si>
    <t>‫غلتك سازان سپاهان</t>
  </si>
  <si>
    <t>‫فجر انرژي خليج فارس</t>
  </si>
  <si>
    <t>‫فروشگاههاي زنجيره اي افق كوروش</t>
  </si>
  <si>
    <t>‫فن آوران</t>
  </si>
  <si>
    <t>‫فولاد آلياژي ايران</t>
  </si>
  <si>
    <t>‫فولاد خوزستان</t>
  </si>
  <si>
    <t>‫فولاد كاوه</t>
  </si>
  <si>
    <t>‫فولاد مباركه</t>
  </si>
  <si>
    <t>‫قاسم ايران</t>
  </si>
  <si>
    <t>‫قند اصفهان</t>
  </si>
  <si>
    <t>‫قند قزوين</t>
  </si>
  <si>
    <t>‫قند لرستان</t>
  </si>
  <si>
    <t>‫قند هكمتان</t>
  </si>
  <si>
    <t>‫قند پيرانشهر</t>
  </si>
  <si>
    <t>‫قند چهار محال</t>
  </si>
  <si>
    <t>‫كارخانجات داروپخش</t>
  </si>
  <si>
    <t>‫كاشي الوند</t>
  </si>
  <si>
    <t>‫كاشي الوند (تقدم)</t>
  </si>
  <si>
    <t>‫كاشي حافظ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</si>
  <si>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</si>
  <si>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</si>
  <si>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</si>
  <si>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</si>
  <si>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</si>
  <si>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</si>
  <si>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‫كشتيراني ايران</t>
  </si>
  <si>
    <t>‫كوير تاير</t>
  </si>
  <si>
    <t>‫مجتمع صنايع لاستيك يزد</t>
  </si>
  <si>
    <t>‫مديريت نيروگاهي ايرانيان مپنا</t>
  </si>
  <si>
    <t>‫ملي شيمي كشاورز</t>
  </si>
  <si>
    <t>‫ملي مس</t>
  </si>
  <si>
    <t>‫مهرام</t>
  </si>
  <si>
    <t>‫مهرمام ميهن</t>
  </si>
  <si>
    <t>‫مواداوليه داروپخش</t>
  </si>
  <si>
    <t>‫موتورسازان</t>
  </si>
  <si>
    <t>‫موتوژن</t>
  </si>
  <si>
    <t>‫مپنا</t>
  </si>
  <si>
    <t>‫نساجي هديه البرز مشهد</t>
  </si>
  <si>
    <t>‫نسوز آذر</t>
  </si>
  <si>
    <t>‫نفت اصفهان</t>
  </si>
  <si>
    <t>‫نفت بندر عباس</t>
  </si>
  <si>
    <t>‫نفت بهران</t>
  </si>
  <si>
    <t>‫نفت تبريز</t>
  </si>
  <si>
    <t>‫نفت و گاز پارسیان</t>
  </si>
  <si>
    <t>‫نورد قطعات</t>
  </si>
  <si>
    <t>‫نيروترانس</t>
  </si>
  <si>
    <t>‫نگين طبس</t>
  </si>
  <si>
    <t>‫همكاران سيستم</t>
  </si>
  <si>
    <t>‫پارس خزر</t>
  </si>
  <si>
    <t>‫پارس فولاد سبزوار</t>
  </si>
  <si>
    <t>‫پارس مينو</t>
  </si>
  <si>
    <t>‫پاکدیس</t>
  </si>
  <si>
    <t>‫پتروشيمي جم</t>
  </si>
  <si>
    <t>‫پتروشيمي نوري</t>
  </si>
  <si>
    <t>‫پتروشيمی پردیس</t>
  </si>
  <si>
    <t>‫پخش هجرت</t>
  </si>
  <si>
    <t>‫پديده شيمي قرن</t>
  </si>
  <si>
    <t>‫پرتو بار فرابر خليج فارس</t>
  </si>
  <si>
    <t>‫پست بانك ايران</t>
  </si>
  <si>
    <t>‫پشم شيشه</t>
  </si>
  <si>
    <t>‫پلي پروپيلن جم - جم پيلن</t>
  </si>
  <si>
    <t>‫پگاه آذربايجان</t>
  </si>
  <si>
    <t>‫پگاه اصفهان</t>
  </si>
  <si>
    <t>‫پگاه خراسان</t>
  </si>
  <si>
    <t>‫چادرملو</t>
  </si>
  <si>
    <t>‫کارت اعتباری ایران کیش</t>
  </si>
  <si>
    <t>‫گروه انتخاب الكترونيك آرمان</t>
  </si>
  <si>
    <t>‫گل گهر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</si>
  <si>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</si>
  <si>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</si>
  <si>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</si>
  <si>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</si>
  <si>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</si>
  <si>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</si>
  <si>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</si>
  <si>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محتشم-17150-4/11/08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</si>
  <si>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</si>
  <si>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</si>
  <si>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</si>
  <si>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</si>
  <si>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</si>
  <si>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</si>
  <si>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</si>
  <si>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</si>
  <si>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</si>
  <si>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</si>
  <si>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</si>
  <si>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</si>
  <si>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</si>
  <si>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</si>
  <si>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</si>
  <si>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</si>
  <si>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</si>
  <si>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</si>
  <si>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</si>
  <si>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</si>
  <si>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</si>
  <si>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</si>
  <si>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</si>
  <si>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</si>
  <si>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</si>
  <si>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</si>
  <si>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</si>
  <si>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</si>
  <si>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</si>
  <si>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</si>
  <si>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</si>
  <si>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</si>
  <si>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</si>
  <si>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</si>
  <si>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</si>
  <si>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</si>
  <si>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</si>
  <si>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</si>
  <si>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</si>
  <si>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</si>
  <si>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</si>
  <si>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</si>
  <si>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</si>
  <si>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</si>
  <si>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</si>
  <si>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</si>
  <si>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</si>
  <si>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</si>
  <si>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‫1404/05/14</t>
  </si>
  <si>
    <t>‫1404/03/21</t>
  </si>
  <si>
    <t>‫1404/03/26</t>
  </si>
  <si>
    <t>‫1404/03/12</t>
  </si>
  <si>
    <t>‫1404/04/05</t>
  </si>
  <si>
    <t>‫ايران ياسا</t>
  </si>
  <si>
    <t>‫1404/03/13</t>
  </si>
  <si>
    <t>‫1404/02/31</t>
  </si>
  <si>
    <t>‫1404/05/28</t>
  </si>
  <si>
    <t>‫1404/03/06</t>
  </si>
  <si>
    <t>‫1404/04/28</t>
  </si>
  <si>
    <t>‫تراكتور سازي</t>
  </si>
  <si>
    <t>‫1404/05/04</t>
  </si>
  <si>
    <t>‫1404/04/30</t>
  </si>
  <si>
    <t>‫1404/03/01</t>
  </si>
  <si>
    <t>‫1404/04/29</t>
  </si>
  <si>
    <t>‫1404/04/25</t>
  </si>
  <si>
    <t>‫1404/04/04</t>
  </si>
  <si>
    <t>‫1404/05/15</t>
  </si>
  <si>
    <t>‫1404/05/13</t>
  </si>
  <si>
    <t>‫1404/04/22</t>
  </si>
  <si>
    <t>‫زامياد</t>
  </si>
  <si>
    <t>‫سيمان آبيك</t>
  </si>
  <si>
    <t>‫1404/03/17</t>
  </si>
  <si>
    <t>‫1404/02/13</t>
  </si>
  <si>
    <t>‫1404/02/30</t>
  </si>
  <si>
    <t>‫1404/06/03</t>
  </si>
  <si>
    <t>‫صبا فولاد خليج فارس</t>
  </si>
  <si>
    <t>‫1404/01/31</t>
  </si>
  <si>
    <t>‫1404/04/31</t>
  </si>
  <si>
    <t>‫1404/04/19</t>
  </si>
  <si>
    <t>‫صنعتي مينو</t>
  </si>
  <si>
    <t>‫1404/03/25</t>
  </si>
  <si>
    <t>‫1404/05/08</t>
  </si>
  <si>
    <t>‫1404/03/03</t>
  </si>
  <si>
    <t>‫1404/03/28</t>
  </si>
  <si>
    <t>‫1404/04/26</t>
  </si>
  <si>
    <t>‫لاستيك سهند</t>
  </si>
  <si>
    <t>‫1404/02/20</t>
  </si>
  <si>
    <t>‫ليزينگ اقتصاد نوين</t>
  </si>
  <si>
    <t>‫1404/03/11</t>
  </si>
  <si>
    <t>‫1404/05/05</t>
  </si>
  <si>
    <t>‫1404/05/09</t>
  </si>
  <si>
    <t>‫مگسال</t>
  </si>
  <si>
    <t>‫1404/05/12</t>
  </si>
  <si>
    <t>‫1404/03/10</t>
  </si>
  <si>
    <t>‫1404/04/01</t>
  </si>
  <si>
    <t>‫1404/06/23</t>
  </si>
  <si>
    <t>‫1404/02/15</t>
  </si>
  <si>
    <t>‫1404/04/23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</si>
  <si>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</si>
  <si>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</si>
  <si>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</si>
  <si>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</si>
  <si>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</si>
  <si>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</si>
  <si>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‫آلوميناي ايران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</si>
  <si>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</si>
  <si>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</si>
  <si>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</si>
  <si>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</si>
  <si>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</si>
  <si>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</si>
  <si>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</si>
  <si>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</si>
  <si>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</si>
  <si>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</si>
  <si>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</si>
  <si>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</si>
  <si>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‫بهمن ديزل</t>
  </si>
  <si>
    <t>‫بيمه اتكايي ايران معين</t>
  </si>
  <si>
    <t>‫تجارت الكترونيك پارسيان</t>
  </si>
  <si>
    <t>‫توليد مواد اوليه داروپخش</t>
  </si>
  <si>
    <t>‫داروسازي اكسير</t>
  </si>
  <si>
    <t>‫شركت سرمايه گذاري مسكن تهران</t>
  </si>
  <si>
    <t>‫شيشه قزوين</t>
  </si>
  <si>
    <t>‫صنعتي پارس خزر</t>
  </si>
  <si>
    <t>‫كارت اعتباري ايران كيش</t>
  </si>
  <si>
    <t>‫نفت و گاز پارسيان</t>
  </si>
  <si>
    <t>‫پاكديس</t>
  </si>
  <si>
    <t>‫پتروشيمي فجر</t>
  </si>
  <si>
    <t>‫پتروشيمي پرديس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</si>
  <si>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</si>
  <si>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</si>
  <si>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</si>
  <si>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</si>
  <si>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</si>
  <si>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</si>
  <si>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</si>
  <si>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</si>
  <si>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</si>
  <si>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</si>
  <si>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شهریور 1404</t>
  </si>
  <si>
    <t>‫%22</t>
  </si>
  <si>
    <t>‫ بانک آينده</t>
  </si>
  <si>
    <t>‫ بانک دي</t>
  </si>
  <si>
    <t>‫ بانک خاورميانه</t>
  </si>
  <si>
    <t>‫ بانک پاسارگاد</t>
  </si>
  <si>
    <t>‫ بانک ملت</t>
  </si>
  <si>
    <t>‫ بانک سپه</t>
  </si>
  <si>
    <t>‫ بانک سامان</t>
  </si>
  <si>
    <t>‫3-1- سرمایه گذاری در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</si>
  <si>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</si>
  <si>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</si>
  <si>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</si>
  <si>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</si>
  <si>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</si>
  <si>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</si>
  <si>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‫بانک آينده</t>
  </si>
  <si>
    <t>‫بانک دي</t>
  </si>
  <si>
    <t>‫بانک پاسارگاد</t>
  </si>
  <si>
    <t>‫بانک سپه</t>
  </si>
  <si>
    <t>‫بانک خاورميانه</t>
  </si>
  <si>
    <t>‫بانک ملت</t>
  </si>
  <si>
    <t>‫بانک سامان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</si>
</sst>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2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6">
    <xf numFmtId="0" fontId="0" fillId="0" borderId="0" xfId="0"/>
    <xf numFmtId="0" fontId="2" fillId="3" borderId="6" xfId="1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8" fillId="3" borderId="6" xfId="1" applyFont="1" applyFill="1" applyAlignment="1">
      <alignment horizontal="center" vertical="center" wrapText="1"/>
    </xf>
    <xf numFmtId="0" fontId="7" fillId="3" borderId="6" xfId="1" applyFont="1" applyFill="1"/>
    <xf numFmtId="0" fontId="9" fillId="3" borderId="6" xfId="1" applyFont="1" applyFill="1" applyAlignment="1">
      <alignment horizontal="center"/>
    </xf>
    <xf numFmtId="37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/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3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37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/>
    </xf>
    <xf numFmtId="37" fontId="13" fillId="0" borderId="5" xfId="0" applyNumberFormat="1" applyFont="1" applyBorder="1" applyAlignment="1">
      <alignment horizontal="center" vertical="center"/>
    </xf>
    <xf numFmtId="0" fontId="11" fillId="2" borderId="7" xfId="0" applyFont="1" applyFill="1" applyBorder="1"/>
    <xf numFmtId="0" fontId="11" fillId="2" borderId="8" xfId="0" applyFont="1" applyFill="1" applyBorder="1"/>
    <xf numFmtId="37" fontId="12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37" fontId="11" fillId="0" borderId="4" xfId="0" applyNumberFormat="1" applyFont="1" applyBorder="1" applyAlignment="1">
      <alignment horizontal="center" vertical="center"/>
    </xf>
    <xf numFmtId="37" fontId="11" fillId="0" borderId="0" xfId="0" applyNumberFormat="1" applyFont="1" applyAlignment="1">
      <alignment horizontal="right" vertical="center" wrapText="1"/>
    </xf>
    <xf numFmtId="37" fontId="11" fillId="0" borderId="0" xfId="0" applyNumberFormat="1" applyFont="1" applyFill="1" applyAlignment="1">
      <alignment horizontal="right" vertical="center" wrapText="1"/>
    </xf>
    <xf numFmtId="0" fontId="11" fillId="0" borderId="0" xfId="0" applyFont="1" applyFill="1"/>
    <xf numFmtId="37" fontId="13" fillId="0" borderId="0" xfId="0" applyNumberFormat="1" applyFont="1" applyFill="1" applyAlignment="1">
      <alignment horizontal="center" vertical="center"/>
    </xf>
    <xf numFmtId="37" fontId="14" fillId="0" borderId="0" xfId="0" applyNumberFormat="1" applyFont="1" applyAlignment="1">
      <alignment horizontal="right" vertical="center"/>
    </xf>
    <xf numFmtId="0" fontId="14" fillId="0" borderId="0" xfId="0" applyFont="1"/>
    <xf numFmtId="37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0446BFCB-CB57-4624-A3E1-63A90ADD73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6384" width="9.140625" style="12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45">
      <c r="A4" s="2" t="s">
        <v>316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60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4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45">
      <c r="A15" s="7" t="s">
        <v>318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39.950000000000003" customHeight="1" x14ac:dyDescent="0.6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39.950000000000003" customHeight="1" x14ac:dyDescent="0.6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45">
      <c r="A25" s="7" t="s">
        <v>317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65"/>
  <sheetViews>
    <sheetView rightToLeft="1" view="pageBreakPreview" topLeftCell="A157" zoomScale="80" zoomScaleNormal="100" zoomScaleSheetLayoutView="80" workbookViewId="0">
      <selection sqref="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12.7109375" style="12" customWidth="1"/>
    <col min="4" max="4" width="1.42578125" style="12" customWidth="1"/>
    <col min="5" max="5" width="18.5703125" style="12" bestFit="1" customWidth="1"/>
    <col min="6" max="6" width="1.42578125" style="12" customWidth="1"/>
    <col min="7" max="7" width="18.5703125" style="12" bestFit="1" customWidth="1"/>
    <col min="8" max="8" width="1.42578125" style="12" customWidth="1"/>
    <col min="9" max="9" width="12.7109375" style="12" bestFit="1" customWidth="1"/>
    <col min="10" max="10" width="16.85546875" style="12" bestFit="1" customWidth="1"/>
    <col min="11" max="11" width="1.42578125" style="12" customWidth="1"/>
    <col min="12" max="12" width="11.7109375" style="12" bestFit="1" customWidth="1"/>
    <col min="13" max="13" width="16.85546875" style="12" bestFit="1" customWidth="1"/>
    <col min="14" max="14" width="1.42578125" style="12" customWidth="1"/>
    <col min="15" max="15" width="12.7109375" style="12" customWidth="1"/>
    <col min="16" max="16" width="1.42578125" style="12" customWidth="1"/>
    <col min="17" max="17" width="15" style="12" bestFit="1" customWidth="1"/>
    <col min="18" max="18" width="1.42578125" style="12" customWidth="1"/>
    <col min="19" max="19" width="18.42578125" style="12" bestFit="1" customWidth="1"/>
    <col min="20" max="20" width="1.42578125" style="12" customWidth="1"/>
    <col min="21" max="21" width="18.5703125" style="12" bestFit="1" customWidth="1"/>
    <col min="22" max="22" width="1.42578125" style="12" customWidth="1"/>
    <col min="23" max="23" width="16.7109375" style="12" bestFit="1" customWidth="1"/>
    <col min="24" max="16384" width="9.140625" style="12"/>
  </cols>
  <sheetData>
    <row r="1" spans="1:28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8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8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8" ht="21" x14ac:dyDescent="0.45">
      <c r="A5" s="13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8" ht="21" x14ac:dyDescent="0.45">
      <c r="A6" s="13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8" x14ac:dyDescent="0.45">
      <c r="AB7" s="36"/>
    </row>
    <row r="8" spans="1:28" ht="21" x14ac:dyDescent="0.45">
      <c r="C8" s="14" t="s">
        <v>5</v>
      </c>
      <c r="D8" s="15"/>
      <c r="E8" s="15"/>
      <c r="F8" s="15"/>
      <c r="G8" s="15"/>
      <c r="I8" s="14" t="s">
        <v>6</v>
      </c>
      <c r="J8" s="15"/>
      <c r="K8" s="15"/>
      <c r="L8" s="15"/>
      <c r="M8" s="15"/>
      <c r="O8" s="14" t="s">
        <v>7</v>
      </c>
      <c r="P8" s="15"/>
      <c r="Q8" s="15"/>
      <c r="R8" s="15"/>
      <c r="S8" s="15"/>
      <c r="T8" s="15"/>
      <c r="U8" s="15"/>
      <c r="V8" s="15"/>
      <c r="W8" s="15"/>
    </row>
    <row r="9" spans="1:28" ht="18.75" x14ac:dyDescent="0.45">
      <c r="A9" s="16" t="s">
        <v>8</v>
      </c>
      <c r="C9" s="16" t="s">
        <v>9</v>
      </c>
      <c r="E9" s="16" t="s">
        <v>10</v>
      </c>
      <c r="G9" s="16" t="s">
        <v>11</v>
      </c>
      <c r="I9" s="16" t="s">
        <v>12</v>
      </c>
      <c r="J9" s="11"/>
      <c r="L9" s="16" t="s">
        <v>13</v>
      </c>
      <c r="M9" s="11"/>
      <c r="O9" s="16" t="s">
        <v>9</v>
      </c>
      <c r="Q9" s="17" t="s">
        <v>14</v>
      </c>
      <c r="S9" s="16" t="s">
        <v>10</v>
      </c>
      <c r="U9" s="16" t="s">
        <v>11</v>
      </c>
      <c r="W9" s="17" t="s">
        <v>15</v>
      </c>
    </row>
    <row r="10" spans="1:28" ht="18.75" x14ac:dyDescent="0.45">
      <c r="A10" s="18"/>
      <c r="C10" s="18"/>
      <c r="E10" s="18"/>
      <c r="G10" s="18"/>
      <c r="I10" s="19" t="s">
        <v>9</v>
      </c>
      <c r="J10" s="19" t="s">
        <v>10</v>
      </c>
      <c r="L10" s="19" t="s">
        <v>9</v>
      </c>
      <c r="M10" s="19" t="s">
        <v>16</v>
      </c>
      <c r="O10" s="18"/>
      <c r="Q10" s="18"/>
      <c r="S10" s="18"/>
      <c r="U10" s="18"/>
      <c r="W10" s="18"/>
    </row>
    <row r="11" spans="1:28" ht="37.5" x14ac:dyDescent="0.45">
      <c r="A11" s="20" t="s">
        <v>17</v>
      </c>
      <c r="C11" s="21">
        <v>50000</v>
      </c>
      <c r="E11" s="21">
        <v>1000908000</v>
      </c>
      <c r="G11" s="21">
        <v>1391670000</v>
      </c>
      <c r="N11" s="22"/>
      <c r="O11" s="21">
        <v>50000</v>
      </c>
      <c r="Q11" s="21">
        <v>27700</v>
      </c>
      <c r="S11" s="21">
        <v>1000908000</v>
      </c>
      <c r="U11" s="21">
        <v>1401610500</v>
      </c>
      <c r="W11" s="23">
        <v>6.1624895765330096E-4</v>
      </c>
    </row>
    <row r="12" spans="1:28" ht="18.75" x14ac:dyDescent="0.45">
      <c r="A12" s="20" t="s">
        <v>18</v>
      </c>
      <c r="C12" s="21">
        <v>245000</v>
      </c>
      <c r="E12" s="21">
        <v>1829159370</v>
      </c>
      <c r="G12" s="21">
        <v>1590330892</v>
      </c>
      <c r="N12" s="22"/>
      <c r="O12" s="21">
        <v>245000</v>
      </c>
      <c r="Q12" s="21">
        <v>6880</v>
      </c>
      <c r="S12" s="21">
        <v>1829159370</v>
      </c>
      <c r="U12" s="21">
        <v>1682876947</v>
      </c>
      <c r="W12" s="23">
        <v>7.3991395216254404E-4</v>
      </c>
    </row>
    <row r="13" spans="1:28" ht="18.75" x14ac:dyDescent="0.45">
      <c r="A13" s="20" t="s">
        <v>19</v>
      </c>
      <c r="H13" s="22"/>
      <c r="I13" s="21">
        <v>2124125</v>
      </c>
      <c r="J13" s="21">
        <v>8803931592</v>
      </c>
      <c r="L13" s="21">
        <v>0</v>
      </c>
      <c r="M13" s="21">
        <v>0</v>
      </c>
      <c r="O13" s="21">
        <v>2124125</v>
      </c>
      <c r="Q13" s="21">
        <v>4142</v>
      </c>
      <c r="S13" s="21">
        <v>8803931592</v>
      </c>
      <c r="U13" s="21">
        <v>8570523526</v>
      </c>
      <c r="W13" s="23">
        <v>3.7682196226702025E-3</v>
      </c>
    </row>
    <row r="14" spans="1:28" ht="18.75" x14ac:dyDescent="0.45">
      <c r="A14" s="20" t="s">
        <v>20</v>
      </c>
      <c r="C14" s="21">
        <v>1198170</v>
      </c>
      <c r="E14" s="21">
        <v>11620135300</v>
      </c>
      <c r="G14" s="21">
        <v>10659815952</v>
      </c>
      <c r="N14" s="22"/>
      <c r="O14" s="21">
        <v>1198170</v>
      </c>
      <c r="Q14" s="21">
        <v>9130</v>
      </c>
      <c r="S14" s="21">
        <v>11620135300</v>
      </c>
      <c r="U14" s="21">
        <v>10981396992</v>
      </c>
      <c r="W14" s="23">
        <v>4.8282132945615735E-3</v>
      </c>
    </row>
    <row r="15" spans="1:28" ht="18.75" x14ac:dyDescent="0.45">
      <c r="A15" s="20" t="s">
        <v>21</v>
      </c>
      <c r="H15" s="22"/>
      <c r="I15" s="21">
        <v>3000000</v>
      </c>
      <c r="J15" s="21">
        <v>10167426528</v>
      </c>
      <c r="L15" s="21">
        <v>0</v>
      </c>
      <c r="M15" s="21">
        <v>0</v>
      </c>
      <c r="O15" s="21">
        <v>3000000</v>
      </c>
      <c r="Q15" s="21">
        <v>3535</v>
      </c>
      <c r="S15" s="21">
        <v>10167426528</v>
      </c>
      <c r="U15" s="21">
        <v>10622418300</v>
      </c>
      <c r="W15" s="23">
        <v>4.6703803982150174E-3</v>
      </c>
    </row>
    <row r="16" spans="1:28" ht="18.75" x14ac:dyDescent="0.45">
      <c r="A16" s="20" t="s">
        <v>22</v>
      </c>
      <c r="H16" s="22"/>
      <c r="I16" s="21">
        <v>2800000</v>
      </c>
      <c r="J16" s="21">
        <v>10433055504</v>
      </c>
      <c r="L16" s="21">
        <v>0</v>
      </c>
      <c r="M16" s="21">
        <v>0</v>
      </c>
      <c r="O16" s="21">
        <v>2800000</v>
      </c>
      <c r="Q16" s="21">
        <v>3918</v>
      </c>
      <c r="S16" s="21">
        <v>10433055504</v>
      </c>
      <c r="U16" s="21">
        <v>10743692400</v>
      </c>
      <c r="W16" s="23">
        <v>4.723701230011969E-3</v>
      </c>
    </row>
    <row r="17" spans="1:23" ht="18.75" x14ac:dyDescent="0.45">
      <c r="A17" s="20" t="s">
        <v>23</v>
      </c>
      <c r="C17" s="21">
        <v>16399059</v>
      </c>
      <c r="E17" s="21">
        <v>64680405486</v>
      </c>
      <c r="G17" s="21">
        <v>35618743849</v>
      </c>
      <c r="I17" s="21">
        <v>0</v>
      </c>
      <c r="J17" s="21">
        <v>0</v>
      </c>
      <c r="L17" s="21">
        <v>3598429</v>
      </c>
      <c r="M17" s="21">
        <v>7871648503</v>
      </c>
      <c r="O17" s="21">
        <v>12800630</v>
      </c>
      <c r="Q17" s="21">
        <v>2174</v>
      </c>
      <c r="S17" s="21">
        <v>50487649254</v>
      </c>
      <c r="U17" s="21">
        <v>27128562048</v>
      </c>
      <c r="W17" s="23">
        <v>1.1927670408228891E-2</v>
      </c>
    </row>
    <row r="18" spans="1:23" ht="18.75" x14ac:dyDescent="0.45">
      <c r="A18" s="20" t="s">
        <v>24</v>
      </c>
      <c r="C18" s="21">
        <v>1169902</v>
      </c>
      <c r="E18" s="21">
        <v>16218589234</v>
      </c>
      <c r="G18" s="21">
        <v>14897275275</v>
      </c>
      <c r="N18" s="22"/>
      <c r="O18" s="21">
        <v>1169902</v>
      </c>
      <c r="Q18" s="21">
        <v>13290</v>
      </c>
      <c r="S18" s="21">
        <v>16218589234</v>
      </c>
      <c r="U18" s="21">
        <v>15513634049</v>
      </c>
      <c r="W18" s="23">
        <v>6.820911238971889E-3</v>
      </c>
    </row>
    <row r="19" spans="1:23" ht="18.75" x14ac:dyDescent="0.45">
      <c r="A19" s="20" t="s">
        <v>25</v>
      </c>
      <c r="C19" s="21">
        <v>8265950</v>
      </c>
      <c r="E19" s="21">
        <v>15057989859</v>
      </c>
      <c r="G19" s="21">
        <v>23138417555</v>
      </c>
      <c r="N19" s="22"/>
      <c r="O19" s="21">
        <v>8265950</v>
      </c>
      <c r="Q19" s="21">
        <v>3131</v>
      </c>
      <c r="S19" s="21">
        <v>15057989859</v>
      </c>
      <c r="U19" s="21">
        <v>25636314904</v>
      </c>
      <c r="W19" s="23">
        <v>1.1271571051773501E-2</v>
      </c>
    </row>
    <row r="20" spans="1:23" ht="18.75" x14ac:dyDescent="0.45">
      <c r="A20" s="20" t="s">
        <v>26</v>
      </c>
      <c r="H20" s="22"/>
      <c r="I20" s="21">
        <v>18400000</v>
      </c>
      <c r="J20" s="21">
        <v>7201076124</v>
      </c>
      <c r="L20" s="21">
        <v>0</v>
      </c>
      <c r="M20" s="21">
        <v>0</v>
      </c>
      <c r="O20" s="21">
        <v>18400000</v>
      </c>
      <c r="Q20" s="21">
        <v>402</v>
      </c>
      <c r="S20" s="21">
        <v>7201076124</v>
      </c>
      <c r="U20" s="21">
        <v>7352789040</v>
      </c>
      <c r="W20" s="23">
        <v>3.2328158084893167E-3</v>
      </c>
    </row>
    <row r="21" spans="1:23" ht="18.75" x14ac:dyDescent="0.45">
      <c r="A21" s="20" t="s">
        <v>27</v>
      </c>
      <c r="C21" s="21">
        <v>1750000</v>
      </c>
      <c r="E21" s="21">
        <v>4291393050</v>
      </c>
      <c r="G21" s="21">
        <v>6126827175</v>
      </c>
      <c r="N21" s="22"/>
      <c r="O21" s="21">
        <v>1750000</v>
      </c>
      <c r="Q21" s="21">
        <v>3449</v>
      </c>
      <c r="S21" s="21">
        <v>4291393050</v>
      </c>
      <c r="U21" s="21">
        <v>5933732962</v>
      </c>
      <c r="W21" s="23">
        <v>2.6088965178453884E-3</v>
      </c>
    </row>
    <row r="22" spans="1:23" ht="18.75" x14ac:dyDescent="0.45">
      <c r="A22" s="20" t="s">
        <v>28</v>
      </c>
      <c r="C22" s="21">
        <v>13509504</v>
      </c>
      <c r="E22" s="21">
        <v>27573007933</v>
      </c>
      <c r="G22" s="21">
        <v>17847303738</v>
      </c>
      <c r="N22" s="22"/>
      <c r="O22" s="21">
        <v>13509504</v>
      </c>
      <c r="Q22" s="21">
        <v>1354</v>
      </c>
      <c r="S22" s="21">
        <v>27573007933</v>
      </c>
      <c r="U22" s="21">
        <v>17981594962</v>
      </c>
      <c r="W22" s="23">
        <v>7.9060046655446345E-3</v>
      </c>
    </row>
    <row r="23" spans="1:23" ht="18.75" x14ac:dyDescent="0.45">
      <c r="A23" s="20" t="s">
        <v>29</v>
      </c>
      <c r="H23" s="22"/>
      <c r="I23" s="21">
        <v>18400000</v>
      </c>
      <c r="J23" s="21">
        <v>7016905339</v>
      </c>
      <c r="L23" s="21">
        <v>0</v>
      </c>
      <c r="M23" s="21">
        <v>0</v>
      </c>
      <c r="O23" s="21">
        <v>18400000</v>
      </c>
      <c r="Q23" s="21">
        <v>391</v>
      </c>
      <c r="S23" s="21">
        <v>7016905339</v>
      </c>
      <c r="U23" s="21">
        <v>7169883840</v>
      </c>
      <c r="W23" s="23">
        <v>3.1523975047955525E-3</v>
      </c>
    </row>
    <row r="24" spans="1:23" ht="18.75" x14ac:dyDescent="0.45">
      <c r="A24" s="20" t="s">
        <v>30</v>
      </c>
      <c r="H24" s="22"/>
      <c r="I24" s="21">
        <v>15200000</v>
      </c>
      <c r="J24" s="21">
        <v>7013702472</v>
      </c>
      <c r="L24" s="21">
        <v>0</v>
      </c>
      <c r="M24" s="21">
        <v>0</v>
      </c>
      <c r="O24" s="21">
        <v>15200000</v>
      </c>
      <c r="Q24" s="21">
        <v>465</v>
      </c>
      <c r="S24" s="21">
        <v>7013702472</v>
      </c>
      <c r="U24" s="21">
        <v>7010835840</v>
      </c>
      <c r="W24" s="23">
        <v>3.0824685450618447E-3</v>
      </c>
    </row>
    <row r="25" spans="1:23" ht="18.75" x14ac:dyDescent="0.45">
      <c r="A25" s="20" t="s">
        <v>31</v>
      </c>
      <c r="H25" s="22"/>
      <c r="I25" s="21">
        <v>18336792</v>
      </c>
      <c r="J25" s="21">
        <v>17643374595</v>
      </c>
      <c r="L25" s="21">
        <v>0</v>
      </c>
      <c r="M25" s="21">
        <v>0</v>
      </c>
      <c r="O25" s="21">
        <v>18336792</v>
      </c>
      <c r="Q25" s="21">
        <v>1009</v>
      </c>
      <c r="S25" s="21">
        <v>17643374595</v>
      </c>
      <c r="U25" s="21">
        <v>18391737280</v>
      </c>
      <c r="W25" s="23">
        <v>8.0863327780673414E-3</v>
      </c>
    </row>
    <row r="26" spans="1:23" ht="18.75" x14ac:dyDescent="0.45">
      <c r="A26" s="20" t="s">
        <v>32</v>
      </c>
      <c r="H26" s="22"/>
      <c r="I26" s="21">
        <v>8000000</v>
      </c>
      <c r="J26" s="21">
        <v>9768862019</v>
      </c>
      <c r="L26" s="21">
        <v>0</v>
      </c>
      <c r="M26" s="21">
        <v>0</v>
      </c>
      <c r="O26" s="21">
        <v>8000000</v>
      </c>
      <c r="Q26" s="21">
        <v>1248</v>
      </c>
      <c r="S26" s="21">
        <v>9768862019</v>
      </c>
      <c r="U26" s="21">
        <v>10020024000</v>
      </c>
      <c r="W26" s="23">
        <v>4.4055244632235984E-3</v>
      </c>
    </row>
    <row r="27" spans="1:23" ht="18.75" x14ac:dyDescent="0.45">
      <c r="A27" s="20" t="s">
        <v>33</v>
      </c>
      <c r="H27" s="22"/>
      <c r="I27" s="21">
        <v>4000000</v>
      </c>
      <c r="J27" s="21">
        <v>5016651080</v>
      </c>
      <c r="L27" s="21">
        <v>0</v>
      </c>
      <c r="M27" s="21">
        <v>0</v>
      </c>
      <c r="O27" s="21">
        <v>4000000</v>
      </c>
      <c r="Q27" s="21">
        <v>1255</v>
      </c>
      <c r="S27" s="21">
        <v>5016651080</v>
      </c>
      <c r="U27" s="21">
        <v>5049774000</v>
      </c>
      <c r="W27" s="23">
        <v>2.2202444715452262E-3</v>
      </c>
    </row>
    <row r="28" spans="1:23" ht="18.75" x14ac:dyDescent="0.45">
      <c r="A28" s="20" t="s">
        <v>34</v>
      </c>
      <c r="H28" s="22"/>
      <c r="I28" s="21">
        <v>3304414</v>
      </c>
      <c r="J28" s="21">
        <v>6820601441</v>
      </c>
      <c r="L28" s="21">
        <v>0</v>
      </c>
      <c r="M28" s="21">
        <v>0</v>
      </c>
      <c r="O28" s="21">
        <v>3304414</v>
      </c>
      <c r="Q28" s="21">
        <v>2051</v>
      </c>
      <c r="S28" s="21">
        <v>6820601441</v>
      </c>
      <c r="U28" s="21">
        <v>6737027863</v>
      </c>
      <c r="W28" s="23">
        <v>2.9620828313251047E-3</v>
      </c>
    </row>
    <row r="29" spans="1:23" ht="18.75" x14ac:dyDescent="0.45">
      <c r="A29" s="20" t="s">
        <v>35</v>
      </c>
      <c r="C29" s="21">
        <v>2875000</v>
      </c>
      <c r="E29" s="21">
        <v>4907321845</v>
      </c>
      <c r="G29" s="21">
        <v>5507161256</v>
      </c>
      <c r="N29" s="22"/>
      <c r="O29" s="21">
        <v>2875000</v>
      </c>
      <c r="Q29" s="21">
        <v>1840</v>
      </c>
      <c r="S29" s="21">
        <v>4907321845</v>
      </c>
      <c r="U29" s="21">
        <v>5355692887</v>
      </c>
      <c r="W29" s="23">
        <v>2.3547484548131939E-3</v>
      </c>
    </row>
    <row r="30" spans="1:23" ht="18.75" x14ac:dyDescent="0.45">
      <c r="A30" s="20" t="s">
        <v>36</v>
      </c>
      <c r="H30" s="22"/>
      <c r="I30" s="21">
        <v>1927734</v>
      </c>
      <c r="J30" s="21">
        <v>7892221133</v>
      </c>
      <c r="L30" s="21">
        <v>0</v>
      </c>
      <c r="M30" s="21">
        <v>0</v>
      </c>
      <c r="O30" s="21">
        <v>1927734</v>
      </c>
      <c r="Q30" s="21">
        <v>4101</v>
      </c>
      <c r="S30" s="21">
        <v>7892221133</v>
      </c>
      <c r="U30" s="21">
        <v>7910337721</v>
      </c>
      <c r="W30" s="23">
        <v>3.477954378375332E-3</v>
      </c>
    </row>
    <row r="31" spans="1:23" ht="37.5" x14ac:dyDescent="0.45">
      <c r="A31" s="20" t="s">
        <v>37</v>
      </c>
      <c r="H31" s="22"/>
      <c r="I31" s="21">
        <v>2669494</v>
      </c>
      <c r="J31" s="21">
        <v>5779340893</v>
      </c>
      <c r="L31" s="21">
        <v>0</v>
      </c>
      <c r="M31" s="21">
        <v>0</v>
      </c>
      <c r="O31" s="21">
        <v>2669494</v>
      </c>
      <c r="Q31" s="21">
        <v>2167</v>
      </c>
      <c r="S31" s="21">
        <v>5779340893</v>
      </c>
      <c r="U31" s="21">
        <v>5829982292</v>
      </c>
      <c r="W31" s="23">
        <v>2.5632802483872676E-3</v>
      </c>
    </row>
    <row r="32" spans="1:23" ht="18.75" x14ac:dyDescent="0.45">
      <c r="A32" s="20" t="s">
        <v>38</v>
      </c>
      <c r="H32" s="22"/>
      <c r="I32" s="21">
        <v>5466157</v>
      </c>
      <c r="J32" s="21">
        <v>7519555410</v>
      </c>
      <c r="L32" s="21">
        <v>0</v>
      </c>
      <c r="M32" s="21">
        <v>0</v>
      </c>
      <c r="O32" s="21">
        <v>5466157</v>
      </c>
      <c r="Q32" s="21">
        <v>1408</v>
      </c>
      <c r="S32" s="21">
        <v>7519555410</v>
      </c>
      <c r="U32" s="21">
        <v>7721193013</v>
      </c>
      <c r="W32" s="23">
        <v>3.394792737426839E-3</v>
      </c>
    </row>
    <row r="33" spans="1:23" ht="18.75" x14ac:dyDescent="0.45">
      <c r="A33" s="20" t="s">
        <v>39</v>
      </c>
      <c r="C33" s="21">
        <v>15000000</v>
      </c>
      <c r="E33" s="21">
        <v>52648211603</v>
      </c>
      <c r="G33" s="21">
        <v>57525673500</v>
      </c>
      <c r="I33" s="21">
        <v>0</v>
      </c>
      <c r="J33" s="21">
        <v>0</v>
      </c>
      <c r="L33" s="21">
        <v>6600000</v>
      </c>
      <c r="M33" s="21">
        <v>22910304291</v>
      </c>
      <c r="O33" s="21">
        <v>8400000</v>
      </c>
      <c r="Q33" s="21">
        <v>3117</v>
      </c>
      <c r="S33" s="21">
        <v>29482998498</v>
      </c>
      <c r="U33" s="21">
        <v>25751461680</v>
      </c>
      <c r="W33" s="23">
        <v>1.1322197870484647E-2</v>
      </c>
    </row>
    <row r="34" spans="1:23" ht="18.75" x14ac:dyDescent="0.45">
      <c r="A34" s="20" t="s">
        <v>40</v>
      </c>
      <c r="C34" s="21">
        <v>14618173</v>
      </c>
      <c r="E34" s="21">
        <v>55625490613</v>
      </c>
      <c r="G34" s="21">
        <v>104333979171</v>
      </c>
      <c r="I34" s="21">
        <v>0</v>
      </c>
      <c r="J34" s="21">
        <v>0</v>
      </c>
      <c r="L34" s="21">
        <v>7522355</v>
      </c>
      <c r="M34" s="21">
        <v>53337112143</v>
      </c>
      <c r="O34" s="21">
        <v>7095818</v>
      </c>
      <c r="Q34" s="21">
        <v>6720</v>
      </c>
      <c r="S34" s="21">
        <v>27001209901</v>
      </c>
      <c r="U34" s="21">
        <v>47047497879</v>
      </c>
      <c r="W34" s="23">
        <v>2.0685469699413379E-2</v>
      </c>
    </row>
    <row r="35" spans="1:23" ht="37.5" x14ac:dyDescent="0.45">
      <c r="A35" s="20" t="s">
        <v>41</v>
      </c>
      <c r="H35" s="22"/>
      <c r="I35" s="21">
        <v>4000000</v>
      </c>
      <c r="J35" s="21">
        <v>7346811356</v>
      </c>
      <c r="L35" s="21">
        <v>0</v>
      </c>
      <c r="M35" s="21">
        <v>0</v>
      </c>
      <c r="O35" s="21">
        <v>4000000</v>
      </c>
      <c r="Q35" s="21">
        <v>1853</v>
      </c>
      <c r="S35" s="21">
        <v>7346811356</v>
      </c>
      <c r="U35" s="21">
        <v>7399708200</v>
      </c>
      <c r="W35" s="23">
        <v>3.2534448516107605E-3</v>
      </c>
    </row>
    <row r="36" spans="1:23" ht="18.75" x14ac:dyDescent="0.45">
      <c r="A36" s="20" t="s">
        <v>42</v>
      </c>
      <c r="C36" s="21">
        <v>2339606</v>
      </c>
      <c r="E36" s="21">
        <v>8460339412</v>
      </c>
      <c r="G36" s="21">
        <v>8705040244</v>
      </c>
      <c r="I36" s="21">
        <v>0</v>
      </c>
      <c r="J36" s="21">
        <v>0</v>
      </c>
      <c r="L36" s="21">
        <v>423039</v>
      </c>
      <c r="M36" s="21">
        <v>1577056363</v>
      </c>
      <c r="O36" s="21">
        <v>1916567</v>
      </c>
      <c r="Q36" s="21">
        <v>3145</v>
      </c>
      <c r="S36" s="21">
        <v>6930571783</v>
      </c>
      <c r="U36" s="21">
        <v>5976497668</v>
      </c>
      <c r="W36" s="23">
        <v>2.6276989636724209E-3</v>
      </c>
    </row>
    <row r="37" spans="1:23" ht="18.75" x14ac:dyDescent="0.45">
      <c r="A37" s="20" t="s">
        <v>43</v>
      </c>
      <c r="C37" s="21">
        <v>7765783</v>
      </c>
      <c r="E37" s="21">
        <v>17698370570</v>
      </c>
      <c r="G37" s="21">
        <v>12266407203</v>
      </c>
      <c r="N37" s="22"/>
      <c r="O37" s="21">
        <v>7765783</v>
      </c>
      <c r="Q37" s="21">
        <v>1582</v>
      </c>
      <c r="S37" s="21">
        <v>17698370570</v>
      </c>
      <c r="U37" s="21">
        <v>12413079159</v>
      </c>
      <c r="W37" s="23">
        <v>5.4576839236019307E-3</v>
      </c>
    </row>
    <row r="38" spans="1:23" ht="37.5" x14ac:dyDescent="0.45">
      <c r="A38" s="20" t="s">
        <v>44</v>
      </c>
      <c r="C38" s="21">
        <v>842177</v>
      </c>
      <c r="E38" s="21">
        <v>2001916090</v>
      </c>
      <c r="G38" s="21">
        <v>3132675347</v>
      </c>
      <c r="N38" s="22"/>
      <c r="O38" s="21">
        <v>842177</v>
      </c>
      <c r="Q38" s="21">
        <v>3698</v>
      </c>
      <c r="S38" s="21">
        <v>2001916090</v>
      </c>
      <c r="U38" s="21">
        <v>3072399392</v>
      </c>
      <c r="W38" s="23">
        <v>1.3508481299295599E-3</v>
      </c>
    </row>
    <row r="39" spans="1:23" ht="37.5" x14ac:dyDescent="0.45">
      <c r="A39" s="20" t="s">
        <v>45</v>
      </c>
      <c r="C39" s="21">
        <v>285750</v>
      </c>
      <c r="E39" s="21">
        <v>12123197874</v>
      </c>
      <c r="G39" s="21">
        <v>12256748331</v>
      </c>
      <c r="N39" s="22"/>
      <c r="O39" s="21">
        <v>285750</v>
      </c>
      <c r="Q39" s="21">
        <v>45200</v>
      </c>
      <c r="S39" s="21">
        <v>12123197874</v>
      </c>
      <c r="U39" s="21">
        <v>12768037948</v>
      </c>
      <c r="W39" s="23">
        <v>5.6137493809676735E-3</v>
      </c>
    </row>
    <row r="40" spans="1:23" ht="37.5" x14ac:dyDescent="0.45">
      <c r="A40" s="20" t="s">
        <v>46</v>
      </c>
      <c r="C40" s="21">
        <v>250000</v>
      </c>
      <c r="E40" s="21">
        <v>800726400</v>
      </c>
      <c r="G40" s="21">
        <v>865320525</v>
      </c>
      <c r="N40" s="22"/>
      <c r="O40" s="21">
        <v>250000</v>
      </c>
      <c r="Q40" s="21">
        <v>3517</v>
      </c>
      <c r="S40" s="21">
        <v>800726400</v>
      </c>
      <c r="U40" s="21">
        <v>883958962</v>
      </c>
      <c r="W40" s="23">
        <v>3.8865204630016245E-4</v>
      </c>
    </row>
    <row r="41" spans="1:23" ht="37.5" x14ac:dyDescent="0.45">
      <c r="A41" s="20" t="s">
        <v>47</v>
      </c>
      <c r="C41" s="21">
        <v>75000</v>
      </c>
      <c r="E41" s="21">
        <v>9447320338</v>
      </c>
      <c r="G41" s="21">
        <v>8566225875</v>
      </c>
      <c r="I41" s="21">
        <v>33610</v>
      </c>
      <c r="J41" s="21">
        <v>3946758914</v>
      </c>
      <c r="L41" s="21">
        <v>0</v>
      </c>
      <c r="M41" s="21">
        <v>0</v>
      </c>
      <c r="O41" s="21">
        <v>108610</v>
      </c>
      <c r="Q41" s="21">
        <v>121850</v>
      </c>
      <c r="S41" s="21">
        <v>13394079252</v>
      </c>
      <c r="U41" s="21">
        <v>13155385435</v>
      </c>
      <c r="W41" s="23">
        <v>5.7840552434832411E-3</v>
      </c>
    </row>
    <row r="42" spans="1:23" ht="37.5" x14ac:dyDescent="0.45">
      <c r="A42" s="20" t="s">
        <v>48</v>
      </c>
      <c r="C42" s="21">
        <v>6145110</v>
      </c>
      <c r="E42" s="21">
        <v>62219374340</v>
      </c>
      <c r="G42" s="21">
        <v>58825303715</v>
      </c>
      <c r="I42" s="21">
        <v>0</v>
      </c>
      <c r="J42" s="21">
        <v>0</v>
      </c>
      <c r="L42" s="21">
        <v>1112697</v>
      </c>
      <c r="M42" s="21">
        <v>10800612360</v>
      </c>
      <c r="O42" s="21">
        <v>5032413</v>
      </c>
      <c r="Q42" s="21">
        <v>9490</v>
      </c>
      <c r="S42" s="21">
        <v>50953292663</v>
      </c>
      <c r="U42" s="21">
        <v>47423416952</v>
      </c>
      <c r="W42" s="23">
        <v>2.0850750807751429E-2</v>
      </c>
    </row>
    <row r="43" spans="1:23" ht="18.75" x14ac:dyDescent="0.45">
      <c r="A43" s="20" t="s">
        <v>49</v>
      </c>
      <c r="C43" s="21">
        <v>1000000</v>
      </c>
      <c r="E43" s="21">
        <v>6555947400</v>
      </c>
      <c r="G43" s="21">
        <v>5596501500</v>
      </c>
      <c r="N43" s="22"/>
      <c r="O43" s="21">
        <v>1000000</v>
      </c>
      <c r="Q43" s="21">
        <v>5860</v>
      </c>
      <c r="S43" s="21">
        <v>6555947400</v>
      </c>
      <c r="U43" s="21">
        <v>5835073500</v>
      </c>
      <c r="W43" s="23">
        <v>2.5655187102304089E-3</v>
      </c>
    </row>
    <row r="44" spans="1:23" ht="18.75" x14ac:dyDescent="0.45">
      <c r="A44" s="20" t="s">
        <v>50</v>
      </c>
      <c r="C44" s="21">
        <v>31767861</v>
      </c>
      <c r="E44" s="21">
        <v>59156646662</v>
      </c>
      <c r="G44" s="21">
        <v>36378826246</v>
      </c>
      <c r="I44" s="21">
        <v>0</v>
      </c>
      <c r="J44" s="21">
        <v>0</v>
      </c>
      <c r="L44" s="21">
        <v>57479</v>
      </c>
      <c r="M44" s="21">
        <v>66507471</v>
      </c>
      <c r="O44" s="21">
        <v>31710382</v>
      </c>
      <c r="Q44" s="21">
        <v>1227</v>
      </c>
      <c r="S44" s="21">
        <v>59049611917</v>
      </c>
      <c r="U44" s="21">
        <v>38677132314</v>
      </c>
      <c r="W44" s="23">
        <v>1.7005253937182479E-2</v>
      </c>
    </row>
    <row r="45" spans="1:23" ht="18.75" x14ac:dyDescent="0.45">
      <c r="A45" s="20" t="s">
        <v>51</v>
      </c>
      <c r="H45" s="22"/>
      <c r="I45" s="21">
        <v>2503659</v>
      </c>
      <c r="J45" s="21">
        <v>9971862043</v>
      </c>
      <c r="L45" s="21">
        <v>0</v>
      </c>
      <c r="M45" s="21">
        <v>0</v>
      </c>
      <c r="O45" s="21">
        <v>2503659</v>
      </c>
      <c r="Q45" s="21">
        <v>3987</v>
      </c>
      <c r="S45" s="21">
        <v>9971862043</v>
      </c>
      <c r="U45" s="21">
        <v>9915228720</v>
      </c>
      <c r="W45" s="23">
        <v>4.3594489079484449E-3</v>
      </c>
    </row>
    <row r="46" spans="1:23" ht="37.5" x14ac:dyDescent="0.45">
      <c r="A46" s="20" t="s">
        <v>52</v>
      </c>
      <c r="C46" s="21">
        <v>5491479</v>
      </c>
      <c r="E46" s="21">
        <v>40757172649</v>
      </c>
      <c r="G46" s="21">
        <v>28658724675</v>
      </c>
      <c r="N46" s="22"/>
      <c r="O46" s="21">
        <v>5491479</v>
      </c>
      <c r="Q46" s="21">
        <v>4970</v>
      </c>
      <c r="S46" s="21">
        <v>40757172649</v>
      </c>
      <c r="U46" s="21">
        <v>26529790842</v>
      </c>
      <c r="W46" s="23">
        <v>1.1664407446392982E-2</v>
      </c>
    </row>
    <row r="47" spans="1:23" ht="18.75" x14ac:dyDescent="0.45">
      <c r="A47" s="20" t="s">
        <v>53</v>
      </c>
      <c r="H47" s="22"/>
      <c r="I47" s="21">
        <v>21409</v>
      </c>
      <c r="J47" s="21">
        <v>367795397</v>
      </c>
      <c r="L47" s="21">
        <v>0</v>
      </c>
      <c r="M47" s="21">
        <v>0</v>
      </c>
      <c r="O47" s="21">
        <v>21409</v>
      </c>
      <c r="Q47" s="21">
        <v>17010</v>
      </c>
      <c r="S47" s="21">
        <v>367795397</v>
      </c>
      <c r="U47" s="21">
        <v>365405354</v>
      </c>
      <c r="W47" s="23">
        <v>1.6065851998357279E-4</v>
      </c>
    </row>
    <row r="48" spans="1:23" ht="18.75" x14ac:dyDescent="0.45">
      <c r="A48" s="20" t="s">
        <v>54</v>
      </c>
      <c r="H48" s="22"/>
      <c r="I48" s="21">
        <v>3200000</v>
      </c>
      <c r="J48" s="21">
        <v>9929205711</v>
      </c>
      <c r="L48" s="21">
        <v>0</v>
      </c>
      <c r="M48" s="21">
        <v>0</v>
      </c>
      <c r="O48" s="21">
        <v>3200000</v>
      </c>
      <c r="Q48" s="21">
        <v>3027</v>
      </c>
      <c r="S48" s="21">
        <v>9929205711</v>
      </c>
      <c r="U48" s="21">
        <v>9609680160</v>
      </c>
      <c r="W48" s="23">
        <v>4.2251077471106317E-3</v>
      </c>
    </row>
    <row r="49" spans="1:23" ht="18.75" x14ac:dyDescent="0.45">
      <c r="A49" s="20" t="s">
        <v>55</v>
      </c>
      <c r="H49" s="22"/>
      <c r="I49" s="21">
        <v>40025</v>
      </c>
      <c r="J49" s="21">
        <v>688267606</v>
      </c>
      <c r="L49" s="21">
        <v>0</v>
      </c>
      <c r="M49" s="21">
        <v>0</v>
      </c>
      <c r="O49" s="21">
        <v>40025</v>
      </c>
      <c r="Q49" s="21">
        <v>18090</v>
      </c>
      <c r="S49" s="21">
        <v>688267606</v>
      </c>
      <c r="U49" s="21">
        <v>725712167</v>
      </c>
      <c r="W49" s="23">
        <v>3.1907535400888356E-4</v>
      </c>
    </row>
    <row r="50" spans="1:23" ht="18.75" x14ac:dyDescent="0.45">
      <c r="A50" s="20" t="s">
        <v>56</v>
      </c>
      <c r="H50" s="22"/>
      <c r="I50" s="21">
        <v>2005523</v>
      </c>
      <c r="J50" s="21">
        <v>7792169939</v>
      </c>
      <c r="L50" s="21">
        <v>0</v>
      </c>
      <c r="M50" s="21">
        <v>0</v>
      </c>
      <c r="O50" s="21">
        <v>2005523</v>
      </c>
      <c r="Q50" s="21">
        <v>3812</v>
      </c>
      <c r="S50" s="21">
        <v>7792169939</v>
      </c>
      <c r="U50" s="21">
        <v>7775001539</v>
      </c>
      <c r="W50" s="23">
        <v>3.4184508422001412E-3</v>
      </c>
    </row>
    <row r="51" spans="1:23" ht="18.75" x14ac:dyDescent="0.45">
      <c r="A51" s="20" t="s">
        <v>57</v>
      </c>
      <c r="C51" s="21">
        <v>15959262</v>
      </c>
      <c r="E51" s="21">
        <v>77701541135</v>
      </c>
      <c r="G51" s="21">
        <v>77576448472</v>
      </c>
      <c r="I51" s="21">
        <v>0</v>
      </c>
      <c r="J51" s="21">
        <v>0</v>
      </c>
      <c r="L51" s="21">
        <v>6587347</v>
      </c>
      <c r="M51" s="21">
        <v>29240323884</v>
      </c>
      <c r="O51" s="21">
        <v>9371915</v>
      </c>
      <c r="Q51" s="21">
        <v>4297</v>
      </c>
      <c r="S51" s="21">
        <v>45629443196</v>
      </c>
      <c r="U51" s="21">
        <v>40124667119</v>
      </c>
      <c r="W51" s="23">
        <v>1.7641694528022892E-2</v>
      </c>
    </row>
    <row r="52" spans="1:23" ht="18.75" x14ac:dyDescent="0.45">
      <c r="A52" s="20" t="s">
        <v>58</v>
      </c>
      <c r="H52" s="22"/>
      <c r="I52" s="21">
        <v>1331989</v>
      </c>
      <c r="J52" s="21">
        <v>8130355363</v>
      </c>
      <c r="L52" s="21">
        <v>0</v>
      </c>
      <c r="M52" s="21">
        <v>0</v>
      </c>
      <c r="O52" s="21">
        <v>1331989</v>
      </c>
      <c r="Q52" s="21">
        <v>5770</v>
      </c>
      <c r="S52" s="21">
        <v>8130355363</v>
      </c>
      <c r="U52" s="21">
        <v>7679569260</v>
      </c>
      <c r="W52" s="23">
        <v>3.3764919367408647E-3</v>
      </c>
    </row>
    <row r="53" spans="1:23" ht="37.5" x14ac:dyDescent="0.45">
      <c r="A53" s="20" t="s">
        <v>59</v>
      </c>
      <c r="C53" s="21">
        <v>122374</v>
      </c>
      <c r="E53" s="21">
        <v>2291820122</v>
      </c>
      <c r="G53" s="21">
        <v>3558141835</v>
      </c>
      <c r="I53" s="21">
        <v>150000</v>
      </c>
      <c r="J53" s="21">
        <v>4457858795</v>
      </c>
      <c r="L53" s="21">
        <v>0</v>
      </c>
      <c r="M53" s="21">
        <v>0</v>
      </c>
      <c r="O53" s="21">
        <v>272374</v>
      </c>
      <c r="Q53" s="21">
        <v>27550</v>
      </c>
      <c r="S53" s="21">
        <v>6749678917</v>
      </c>
      <c r="U53" s="21">
        <v>7459255473</v>
      </c>
      <c r="W53" s="23">
        <v>3.2796261230248563E-3</v>
      </c>
    </row>
    <row r="54" spans="1:23" ht="18.75" x14ac:dyDescent="0.45">
      <c r="A54" s="20" t="s">
        <v>60</v>
      </c>
      <c r="C54" s="21">
        <v>2572602</v>
      </c>
      <c r="E54" s="21">
        <v>34061638644</v>
      </c>
      <c r="G54" s="21">
        <v>25240501829</v>
      </c>
      <c r="N54" s="22"/>
      <c r="O54" s="21">
        <v>2572602</v>
      </c>
      <c r="Q54" s="21">
        <v>8970</v>
      </c>
      <c r="S54" s="21">
        <v>34061638644</v>
      </c>
      <c r="U54" s="21">
        <v>23143519914</v>
      </c>
      <c r="W54" s="23">
        <v>1.0175558775730429E-2</v>
      </c>
    </row>
    <row r="55" spans="1:23" ht="18.75" x14ac:dyDescent="0.45">
      <c r="A55" s="20" t="s">
        <v>61</v>
      </c>
      <c r="C55" s="21">
        <v>25899343</v>
      </c>
      <c r="E55" s="21">
        <v>68038117253</v>
      </c>
      <c r="G55" s="21">
        <v>44256070842</v>
      </c>
      <c r="I55" s="21">
        <v>0</v>
      </c>
      <c r="J55" s="21">
        <v>0</v>
      </c>
      <c r="L55" s="21">
        <v>1200000</v>
      </c>
      <c r="M55" s="21">
        <v>2099433644</v>
      </c>
      <c r="O55" s="21">
        <v>24699343</v>
      </c>
      <c r="Q55" s="21">
        <v>1518</v>
      </c>
      <c r="S55" s="21">
        <v>64885692085</v>
      </c>
      <c r="U55" s="21">
        <v>37196858592</v>
      </c>
      <c r="W55" s="23">
        <v>1.635441895968761E-2</v>
      </c>
    </row>
    <row r="56" spans="1:23" ht="37.5" x14ac:dyDescent="0.45">
      <c r="A56" s="20" t="s">
        <v>62</v>
      </c>
      <c r="C56" s="21">
        <v>11884188</v>
      </c>
      <c r="E56" s="21">
        <v>34618398907</v>
      </c>
      <c r="G56" s="21">
        <v>25221773569</v>
      </c>
      <c r="N56" s="22"/>
      <c r="O56" s="21">
        <v>11884188</v>
      </c>
      <c r="Q56" s="21">
        <v>2072</v>
      </c>
      <c r="S56" s="21">
        <v>34618398907</v>
      </c>
      <c r="U56" s="21">
        <v>24536591898</v>
      </c>
      <c r="W56" s="23">
        <v>1.0788053586575535E-2</v>
      </c>
    </row>
    <row r="57" spans="1:23" ht="18.75" x14ac:dyDescent="0.45">
      <c r="A57" s="20" t="s">
        <v>63</v>
      </c>
      <c r="H57" s="22"/>
      <c r="I57" s="21">
        <v>29200000</v>
      </c>
      <c r="J57" s="21">
        <v>11438604653</v>
      </c>
      <c r="L57" s="21">
        <v>0</v>
      </c>
      <c r="M57" s="21">
        <v>0</v>
      </c>
      <c r="O57" s="21">
        <v>29200000</v>
      </c>
      <c r="Q57" s="21">
        <v>397</v>
      </c>
      <c r="S57" s="21">
        <v>11438604653</v>
      </c>
      <c r="U57" s="21">
        <v>11523425220</v>
      </c>
      <c r="W57" s="23">
        <v>5.0665279551064726E-3</v>
      </c>
    </row>
    <row r="58" spans="1:23" ht="18.75" x14ac:dyDescent="0.45">
      <c r="A58" s="20" t="s">
        <v>64</v>
      </c>
      <c r="C58" s="21">
        <v>2596227</v>
      </c>
      <c r="E58" s="21">
        <v>8626734067</v>
      </c>
      <c r="G58" s="21">
        <v>5288017092</v>
      </c>
      <c r="I58" s="21">
        <v>6443793</v>
      </c>
      <c r="J58" s="21">
        <v>14562990351</v>
      </c>
      <c r="L58" s="21">
        <v>0</v>
      </c>
      <c r="M58" s="21">
        <v>0</v>
      </c>
      <c r="O58" s="21">
        <v>9040020</v>
      </c>
      <c r="Q58" s="21">
        <v>2262</v>
      </c>
      <c r="S58" s="21">
        <v>23189724418</v>
      </c>
      <c r="U58" s="21">
        <v>20371787674</v>
      </c>
      <c r="W58" s="23">
        <v>8.9569055879910042E-3</v>
      </c>
    </row>
    <row r="59" spans="1:23" ht="18.75" x14ac:dyDescent="0.45">
      <c r="A59" s="20" t="s">
        <v>65</v>
      </c>
      <c r="H59" s="22"/>
      <c r="I59" s="21">
        <v>600000</v>
      </c>
      <c r="J59" s="21">
        <v>7116598034</v>
      </c>
      <c r="L59" s="21">
        <v>0</v>
      </c>
      <c r="M59" s="21">
        <v>0</v>
      </c>
      <c r="O59" s="21">
        <v>600000</v>
      </c>
      <c r="Q59" s="21">
        <v>12100</v>
      </c>
      <c r="S59" s="21">
        <v>7116598034</v>
      </c>
      <c r="U59" s="21">
        <v>7216803000</v>
      </c>
      <c r="W59" s="23">
        <v>3.1730265479169963E-3</v>
      </c>
    </row>
    <row r="60" spans="1:23" ht="37.5" x14ac:dyDescent="0.45">
      <c r="A60" s="20" t="s">
        <v>66</v>
      </c>
      <c r="H60" s="22"/>
      <c r="I60" s="21">
        <v>8400000</v>
      </c>
      <c r="J60" s="21">
        <v>9754243420</v>
      </c>
      <c r="L60" s="21">
        <v>0</v>
      </c>
      <c r="M60" s="21">
        <v>0</v>
      </c>
      <c r="O60" s="21">
        <v>8400000</v>
      </c>
      <c r="Q60" s="21">
        <v>1169</v>
      </c>
      <c r="S60" s="21">
        <v>9754243420</v>
      </c>
      <c r="U60" s="21">
        <v>9761173380</v>
      </c>
      <c r="W60" s="23">
        <v>4.2917150812569888E-3</v>
      </c>
    </row>
    <row r="61" spans="1:23" ht="37.5" x14ac:dyDescent="0.45">
      <c r="A61" s="20" t="s">
        <v>67</v>
      </c>
      <c r="H61" s="22"/>
      <c r="I61" s="21">
        <v>1069126</v>
      </c>
      <c r="J61" s="21">
        <v>9972254577</v>
      </c>
      <c r="L61" s="21">
        <v>0</v>
      </c>
      <c r="M61" s="21">
        <v>0</v>
      </c>
      <c r="O61" s="21">
        <v>1069126</v>
      </c>
      <c r="Q61" s="21">
        <v>9310</v>
      </c>
      <c r="S61" s="21">
        <v>9972254577</v>
      </c>
      <c r="U61" s="21">
        <v>9904967007</v>
      </c>
      <c r="W61" s="23">
        <v>4.3549371195878497E-3</v>
      </c>
    </row>
    <row r="62" spans="1:23" ht="18.75" x14ac:dyDescent="0.45">
      <c r="A62" s="20" t="s">
        <v>68</v>
      </c>
      <c r="H62" s="22"/>
      <c r="I62" s="21">
        <v>1416771</v>
      </c>
      <c r="J62" s="21">
        <v>11816351684</v>
      </c>
      <c r="L62" s="21">
        <v>0</v>
      </c>
      <c r="M62" s="21">
        <v>0</v>
      </c>
      <c r="O62" s="21">
        <v>1416771</v>
      </c>
      <c r="Q62" s="21">
        <v>8430</v>
      </c>
      <c r="S62" s="21">
        <v>11816351684</v>
      </c>
      <c r="U62" s="21">
        <v>11956816895</v>
      </c>
      <c r="W62" s="23">
        <v>5.2570781600131625E-3</v>
      </c>
    </row>
    <row r="63" spans="1:23" ht="37.5" x14ac:dyDescent="0.45">
      <c r="A63" s="20" t="s">
        <v>69</v>
      </c>
      <c r="H63" s="22"/>
      <c r="I63" s="21">
        <v>17391</v>
      </c>
      <c r="J63" s="21">
        <v>436020453</v>
      </c>
      <c r="L63" s="21">
        <v>0</v>
      </c>
      <c r="M63" s="21">
        <v>0</v>
      </c>
      <c r="O63" s="21">
        <v>17391</v>
      </c>
      <c r="Q63" s="21">
        <v>24900</v>
      </c>
      <c r="S63" s="21">
        <v>436020453</v>
      </c>
      <c r="U63" s="21">
        <v>433225340</v>
      </c>
      <c r="W63" s="23">
        <v>1.9047707205674966E-4</v>
      </c>
    </row>
    <row r="64" spans="1:23" ht="37.5" x14ac:dyDescent="0.45">
      <c r="A64" s="20" t="s">
        <v>70</v>
      </c>
      <c r="H64" s="22"/>
      <c r="I64" s="21">
        <v>211739</v>
      </c>
      <c r="J64" s="21">
        <v>955225462</v>
      </c>
      <c r="L64" s="21">
        <v>0</v>
      </c>
      <c r="M64" s="21">
        <v>0</v>
      </c>
      <c r="O64" s="21">
        <v>211739</v>
      </c>
      <c r="Q64" s="21">
        <v>4503</v>
      </c>
      <c r="S64" s="21">
        <v>955225462</v>
      </c>
      <c r="U64" s="21">
        <v>952839125</v>
      </c>
      <c r="W64" s="23">
        <v>4.18936728565128E-4</v>
      </c>
    </row>
    <row r="65" spans="1:23" ht="37.5" x14ac:dyDescent="0.45">
      <c r="A65" s="20" t="s">
        <v>71</v>
      </c>
      <c r="C65" s="21">
        <v>3250000</v>
      </c>
      <c r="E65" s="21">
        <v>3939323661</v>
      </c>
      <c r="G65" s="21">
        <v>3534344775</v>
      </c>
      <c r="N65" s="22"/>
      <c r="O65" s="21">
        <v>3250000</v>
      </c>
      <c r="Q65" s="21">
        <v>984</v>
      </c>
      <c r="S65" s="21">
        <v>3939323661</v>
      </c>
      <c r="U65" s="21">
        <v>3178971900</v>
      </c>
      <c r="W65" s="23">
        <v>1.3977050826774868E-3</v>
      </c>
    </row>
    <row r="66" spans="1:23" ht="37.5" x14ac:dyDescent="0.45">
      <c r="A66" s="20" t="s">
        <v>72</v>
      </c>
      <c r="H66" s="22"/>
      <c r="I66" s="21">
        <v>2000000</v>
      </c>
      <c r="J66" s="21">
        <v>8387608972</v>
      </c>
      <c r="L66" s="21">
        <v>0</v>
      </c>
      <c r="M66" s="21">
        <v>0</v>
      </c>
      <c r="O66" s="21">
        <v>2000000</v>
      </c>
      <c r="Q66" s="21">
        <v>4250</v>
      </c>
      <c r="S66" s="21">
        <v>8387608972</v>
      </c>
      <c r="U66" s="21">
        <v>8682032700</v>
      </c>
      <c r="W66" s="23">
        <v>3.8172470894637807E-3</v>
      </c>
    </row>
    <row r="67" spans="1:23" ht="18.75" x14ac:dyDescent="0.45">
      <c r="A67" s="20" t="s">
        <v>73</v>
      </c>
      <c r="C67" s="21">
        <v>84882</v>
      </c>
      <c r="E67" s="21">
        <v>8293870385</v>
      </c>
      <c r="G67" s="21">
        <v>8965894930</v>
      </c>
      <c r="N67" s="22"/>
      <c r="O67" s="21">
        <v>84882</v>
      </c>
      <c r="Q67" s="21">
        <v>118680</v>
      </c>
      <c r="S67" s="21">
        <v>8293870385</v>
      </c>
      <c r="U67" s="21">
        <v>10013856675</v>
      </c>
      <c r="W67" s="23">
        <v>4.4028128628162393E-3</v>
      </c>
    </row>
    <row r="68" spans="1:23" ht="18.75" x14ac:dyDescent="0.45">
      <c r="A68" s="20" t="s">
        <v>74</v>
      </c>
      <c r="H68" s="22"/>
      <c r="I68" s="21">
        <v>1249725</v>
      </c>
      <c r="J68" s="21">
        <v>3974645671</v>
      </c>
      <c r="L68" s="21">
        <v>0</v>
      </c>
      <c r="M68" s="21">
        <v>0</v>
      </c>
      <c r="O68" s="21">
        <v>1249725</v>
      </c>
      <c r="Q68" s="21">
        <v>3420</v>
      </c>
      <c r="S68" s="21">
        <v>3974645671</v>
      </c>
      <c r="U68" s="21">
        <v>4304531857</v>
      </c>
      <c r="W68" s="23">
        <v>1.8925823330102607E-3</v>
      </c>
    </row>
    <row r="69" spans="1:23" ht="18.75" x14ac:dyDescent="0.45">
      <c r="A69" s="20" t="s">
        <v>75</v>
      </c>
      <c r="C69" s="21">
        <v>5530564</v>
      </c>
      <c r="E69" s="21">
        <v>34692272898</v>
      </c>
      <c r="G69" s="21">
        <v>40627686296</v>
      </c>
      <c r="I69" s="21">
        <v>0</v>
      </c>
      <c r="J69" s="21">
        <v>0</v>
      </c>
      <c r="L69" s="21">
        <v>600000</v>
      </c>
      <c r="M69" s="21">
        <v>4562423208</v>
      </c>
      <c r="O69" s="21">
        <v>4930564</v>
      </c>
      <c r="Q69" s="21">
        <v>7720</v>
      </c>
      <c r="S69" s="21">
        <v>30928576512</v>
      </c>
      <c r="U69" s="21">
        <v>37935498096</v>
      </c>
      <c r="W69" s="23">
        <v>1.6679178102417744E-2</v>
      </c>
    </row>
    <row r="70" spans="1:23" ht="18.75" x14ac:dyDescent="0.45">
      <c r="A70" s="20" t="s">
        <v>76</v>
      </c>
      <c r="H70" s="22"/>
      <c r="I70" s="21">
        <v>1553755</v>
      </c>
      <c r="J70" s="21">
        <v>9139821160</v>
      </c>
      <c r="L70" s="21">
        <v>0</v>
      </c>
      <c r="M70" s="21">
        <v>0</v>
      </c>
      <c r="O70" s="21">
        <v>1553755</v>
      </c>
      <c r="Q70" s="21">
        <v>6610</v>
      </c>
      <c r="S70" s="21">
        <v>9139821160</v>
      </c>
      <c r="U70" s="21">
        <v>10255547447</v>
      </c>
      <c r="W70" s="23">
        <v>4.5090775392862149E-3</v>
      </c>
    </row>
    <row r="71" spans="1:23" ht="18.75" x14ac:dyDescent="0.45">
      <c r="A71" s="20" t="s">
        <v>77</v>
      </c>
      <c r="H71" s="22"/>
      <c r="I71" s="21">
        <v>1500000</v>
      </c>
      <c r="J71" s="21">
        <v>6692141085</v>
      </c>
      <c r="L71" s="21">
        <v>0</v>
      </c>
      <c r="M71" s="21">
        <v>0</v>
      </c>
      <c r="O71" s="21">
        <v>1500000</v>
      </c>
      <c r="Q71" s="21">
        <v>4368</v>
      </c>
      <c r="S71" s="21">
        <v>6692141085</v>
      </c>
      <c r="U71" s="21">
        <v>6557747850</v>
      </c>
      <c r="W71" s="23">
        <v>2.8832584210204443E-3</v>
      </c>
    </row>
    <row r="72" spans="1:23" ht="18.75" x14ac:dyDescent="0.45">
      <c r="A72" s="20" t="s">
        <v>78</v>
      </c>
      <c r="C72" s="21">
        <v>5499792</v>
      </c>
      <c r="E72" s="21">
        <v>30165848186</v>
      </c>
      <c r="G72" s="21">
        <v>43736545901</v>
      </c>
      <c r="I72" s="21">
        <v>0</v>
      </c>
      <c r="J72" s="21">
        <v>0</v>
      </c>
      <c r="L72" s="21">
        <v>2499792</v>
      </c>
      <c r="M72" s="21">
        <v>20024615571</v>
      </c>
      <c r="O72" s="21">
        <v>3000000</v>
      </c>
      <c r="Q72" s="21">
        <v>8030</v>
      </c>
      <c r="S72" s="21">
        <v>16454721298</v>
      </c>
      <c r="U72" s="21">
        <v>24513273000</v>
      </c>
      <c r="W72" s="23">
        <v>1.0777800918957732E-2</v>
      </c>
    </row>
    <row r="73" spans="1:23" ht="18.75" x14ac:dyDescent="0.45">
      <c r="A73" s="20" t="s">
        <v>79</v>
      </c>
      <c r="C73" s="21">
        <v>3000000</v>
      </c>
      <c r="E73" s="21">
        <v>26157685048</v>
      </c>
      <c r="G73" s="21">
        <v>48251187000</v>
      </c>
      <c r="I73" s="21">
        <v>0</v>
      </c>
      <c r="J73" s="21">
        <v>0</v>
      </c>
      <c r="L73" s="21">
        <v>1300000</v>
      </c>
      <c r="M73" s="21">
        <v>21203202265</v>
      </c>
      <c r="O73" s="21">
        <v>1700000</v>
      </c>
      <c r="Q73" s="21">
        <v>16540</v>
      </c>
      <c r="S73" s="21">
        <v>14822688194</v>
      </c>
      <c r="U73" s="21">
        <v>27950697900</v>
      </c>
      <c r="W73" s="23">
        <v>1.2289140561202495E-2</v>
      </c>
    </row>
    <row r="74" spans="1:23" ht="18.75" x14ac:dyDescent="0.45">
      <c r="A74" s="20" t="s">
        <v>80</v>
      </c>
      <c r="H74" s="22"/>
      <c r="I74" s="21">
        <v>327781</v>
      </c>
      <c r="J74" s="21">
        <v>8490452900</v>
      </c>
      <c r="L74" s="21">
        <v>0</v>
      </c>
      <c r="M74" s="21">
        <v>0</v>
      </c>
      <c r="O74" s="21">
        <v>327781</v>
      </c>
      <c r="Q74" s="21">
        <v>26380</v>
      </c>
      <c r="S74" s="21">
        <v>8490452900</v>
      </c>
      <c r="U74" s="21">
        <v>8634513631</v>
      </c>
      <c r="W74" s="23">
        <v>3.7963542831242836E-3</v>
      </c>
    </row>
    <row r="75" spans="1:23" ht="18.75" x14ac:dyDescent="0.45">
      <c r="A75" s="20" t="s">
        <v>81</v>
      </c>
      <c r="H75" s="22"/>
      <c r="I75" s="21">
        <v>104452</v>
      </c>
      <c r="J75" s="21">
        <v>12026316222</v>
      </c>
      <c r="L75" s="21">
        <v>0</v>
      </c>
      <c r="M75" s="21">
        <v>0</v>
      </c>
      <c r="O75" s="21">
        <v>104452</v>
      </c>
      <c r="Q75" s="21">
        <v>115090</v>
      </c>
      <c r="S75" s="21">
        <v>12026316222</v>
      </c>
      <c r="U75" s="21">
        <v>11961274821</v>
      </c>
      <c r="W75" s="23">
        <v>5.2590381854630257E-3</v>
      </c>
    </row>
    <row r="76" spans="1:23" ht="18.75" x14ac:dyDescent="0.45">
      <c r="A76" s="20" t="s">
        <v>82</v>
      </c>
      <c r="H76" s="22"/>
      <c r="I76" s="21">
        <v>261325</v>
      </c>
      <c r="J76" s="21">
        <v>7340478709</v>
      </c>
      <c r="L76" s="21">
        <v>0</v>
      </c>
      <c r="M76" s="21">
        <v>0</v>
      </c>
      <c r="O76" s="21">
        <v>261325</v>
      </c>
      <c r="Q76" s="21">
        <v>29000</v>
      </c>
      <c r="S76" s="21">
        <v>7340478709</v>
      </c>
      <c r="U76" s="21">
        <v>7624252912</v>
      </c>
      <c r="W76" s="23">
        <v>3.3521708847822876E-3</v>
      </c>
    </row>
    <row r="77" spans="1:23" ht="18.75" x14ac:dyDescent="0.45">
      <c r="A77" s="20" t="s">
        <v>83</v>
      </c>
      <c r="H77" s="22"/>
      <c r="I77" s="21">
        <v>819652</v>
      </c>
      <c r="J77" s="21">
        <v>4880445216</v>
      </c>
      <c r="L77" s="21">
        <v>0</v>
      </c>
      <c r="M77" s="21">
        <v>0</v>
      </c>
      <c r="O77" s="21">
        <v>819652</v>
      </c>
      <c r="Q77" s="21">
        <v>6510</v>
      </c>
      <c r="S77" s="21">
        <v>4880445216</v>
      </c>
      <c r="U77" s="21">
        <v>5328628962</v>
      </c>
      <c r="W77" s="23">
        <v>2.3428492035081723E-3</v>
      </c>
    </row>
    <row r="78" spans="1:23" ht="18.75" x14ac:dyDescent="0.45">
      <c r="A78" s="20" t="s">
        <v>84</v>
      </c>
      <c r="H78" s="22"/>
      <c r="I78" s="21">
        <v>278934</v>
      </c>
      <c r="J78" s="21">
        <v>11285913979</v>
      </c>
      <c r="L78" s="21">
        <v>0</v>
      </c>
      <c r="M78" s="21">
        <v>0</v>
      </c>
      <c r="O78" s="21">
        <v>278934</v>
      </c>
      <c r="Q78" s="21">
        <v>39680</v>
      </c>
      <c r="S78" s="21">
        <v>11285913979</v>
      </c>
      <c r="U78" s="21">
        <v>10921836359</v>
      </c>
      <c r="W78" s="23">
        <v>4.8020261491289297E-3</v>
      </c>
    </row>
    <row r="79" spans="1:23" ht="18.75" x14ac:dyDescent="0.45">
      <c r="A79" s="20" t="s">
        <v>85</v>
      </c>
      <c r="H79" s="22"/>
      <c r="I79" s="21">
        <v>5277521</v>
      </c>
      <c r="J79" s="21">
        <v>8258667895</v>
      </c>
      <c r="L79" s="21">
        <v>0</v>
      </c>
      <c r="M79" s="21">
        <v>0</v>
      </c>
      <c r="O79" s="21">
        <v>5277521</v>
      </c>
      <c r="Q79" s="21">
        <v>1540</v>
      </c>
      <c r="S79" s="21">
        <v>8258667895</v>
      </c>
      <c r="U79" s="21">
        <v>8189192930</v>
      </c>
      <c r="W79" s="23">
        <v>3.6005592189372738E-3</v>
      </c>
    </row>
    <row r="80" spans="1:23" ht="18.75" x14ac:dyDescent="0.45">
      <c r="A80" s="20" t="s">
        <v>86</v>
      </c>
      <c r="H80" s="22"/>
      <c r="I80" s="21">
        <v>335481</v>
      </c>
      <c r="J80" s="21">
        <v>9884457964</v>
      </c>
      <c r="L80" s="21">
        <v>0</v>
      </c>
      <c r="M80" s="21">
        <v>0</v>
      </c>
      <c r="O80" s="21">
        <v>335481</v>
      </c>
      <c r="Q80" s="21">
        <v>29160</v>
      </c>
      <c r="S80" s="21">
        <v>9884457964</v>
      </c>
      <c r="U80" s="21">
        <v>9734423882</v>
      </c>
      <c r="W80" s="23">
        <v>4.2799540747146935E-3</v>
      </c>
    </row>
    <row r="81" spans="1:23" ht="18.75" x14ac:dyDescent="0.45">
      <c r="A81" s="20" t="s">
        <v>87</v>
      </c>
      <c r="H81" s="22"/>
      <c r="I81" s="21">
        <v>1002361</v>
      </c>
      <c r="J81" s="21">
        <v>6895025548</v>
      </c>
      <c r="L81" s="21">
        <v>0</v>
      </c>
      <c r="M81" s="21">
        <v>0</v>
      </c>
      <c r="O81" s="21">
        <v>1002361</v>
      </c>
      <c r="Q81" s="21">
        <v>6880</v>
      </c>
      <c r="S81" s="21">
        <v>6895025548</v>
      </c>
      <c r="U81" s="21">
        <v>6875138969</v>
      </c>
      <c r="W81" s="23">
        <v>3.0228064240156879E-3</v>
      </c>
    </row>
    <row r="82" spans="1:23" ht="18.75" x14ac:dyDescent="0.45">
      <c r="A82" s="20" t="s">
        <v>88</v>
      </c>
      <c r="H82" s="22"/>
      <c r="I82" s="21">
        <v>200523</v>
      </c>
      <c r="J82" s="21">
        <v>1119515342</v>
      </c>
      <c r="L82" s="21">
        <v>0</v>
      </c>
      <c r="M82" s="21">
        <v>0</v>
      </c>
      <c r="O82" s="21">
        <v>200523</v>
      </c>
      <c r="Q82" s="21">
        <v>5630</v>
      </c>
      <c r="S82" s="21">
        <v>1119515342</v>
      </c>
      <c r="U82" s="21">
        <v>1100300983</v>
      </c>
      <c r="W82" s="23">
        <v>4.8377158552868465E-4</v>
      </c>
    </row>
    <row r="83" spans="1:23" ht="18.75" x14ac:dyDescent="0.45">
      <c r="A83" s="20" t="s">
        <v>89</v>
      </c>
      <c r="C83" s="21">
        <v>17819540</v>
      </c>
      <c r="E83" s="21">
        <v>43453708366</v>
      </c>
      <c r="G83" s="21">
        <v>22797292180</v>
      </c>
      <c r="I83" s="21">
        <v>0</v>
      </c>
      <c r="J83" s="21">
        <v>0</v>
      </c>
      <c r="L83" s="21">
        <v>1346489</v>
      </c>
      <c r="M83" s="21">
        <v>1779345667</v>
      </c>
      <c r="O83" s="21">
        <v>16473051</v>
      </c>
      <c r="Q83" s="21">
        <v>1313</v>
      </c>
      <c r="S83" s="21">
        <v>40170237506</v>
      </c>
      <c r="U83" s="21">
        <v>21615047977</v>
      </c>
      <c r="W83" s="23">
        <v>9.5035323903840205E-3</v>
      </c>
    </row>
    <row r="84" spans="1:23" ht="18.75" x14ac:dyDescent="0.45">
      <c r="A84" s="20" t="s">
        <v>90</v>
      </c>
      <c r="C84" s="21">
        <v>324775</v>
      </c>
      <c r="E84" s="21">
        <v>10504843552</v>
      </c>
      <c r="G84" s="21">
        <v>7796648518</v>
      </c>
      <c r="I84" s="21">
        <v>95177</v>
      </c>
      <c r="J84" s="21">
        <v>2322884676</v>
      </c>
      <c r="L84" s="21">
        <v>0</v>
      </c>
      <c r="M84" s="21">
        <v>0</v>
      </c>
      <c r="O84" s="21">
        <v>419952</v>
      </c>
      <c r="Q84" s="21">
        <v>24020</v>
      </c>
      <c r="S84" s="21">
        <v>12827728228</v>
      </c>
      <c r="U84" s="21">
        <v>10094020446</v>
      </c>
      <c r="W84" s="23">
        <v>4.4380586321082841E-3</v>
      </c>
    </row>
    <row r="85" spans="1:23" ht="18.75" x14ac:dyDescent="0.45">
      <c r="A85" s="20" t="s">
        <v>91</v>
      </c>
      <c r="C85" s="21">
        <v>9448213</v>
      </c>
      <c r="E85" s="21">
        <v>15392047456</v>
      </c>
      <c r="G85" s="21">
        <v>5898173571</v>
      </c>
      <c r="N85" s="22"/>
      <c r="O85" s="21">
        <v>9448213</v>
      </c>
      <c r="Q85" s="21">
        <v>514</v>
      </c>
      <c r="S85" s="21">
        <v>15392047456</v>
      </c>
      <c r="U85" s="21">
        <v>4836878008</v>
      </c>
      <c r="W85" s="23">
        <v>2.1266400549412087E-3</v>
      </c>
    </row>
    <row r="86" spans="1:23" ht="18.75" x14ac:dyDescent="0.45">
      <c r="A86" s="20" t="s">
        <v>92</v>
      </c>
      <c r="C86" s="21">
        <v>249996</v>
      </c>
      <c r="E86" s="21">
        <v>1764072098</v>
      </c>
      <c r="G86" s="21">
        <v>1491051143</v>
      </c>
      <c r="N86" s="22"/>
      <c r="O86" s="21">
        <v>249996</v>
      </c>
      <c r="Q86" s="21">
        <v>6360</v>
      </c>
      <c r="S86" s="21">
        <v>1764072098</v>
      </c>
      <c r="U86" s="21">
        <v>1580514211</v>
      </c>
      <c r="W86" s="23">
        <v>6.949079184873254E-4</v>
      </c>
    </row>
    <row r="87" spans="1:23" ht="18.75" x14ac:dyDescent="0.45">
      <c r="A87" s="20" t="s">
        <v>93</v>
      </c>
      <c r="C87" s="21">
        <v>1875000</v>
      </c>
      <c r="E87" s="21">
        <v>5911612875</v>
      </c>
      <c r="G87" s="21">
        <v>6091041375</v>
      </c>
      <c r="N87" s="22"/>
      <c r="O87" s="21">
        <v>1875000</v>
      </c>
      <c r="Q87" s="21">
        <v>3039</v>
      </c>
      <c r="S87" s="21">
        <v>5911612875</v>
      </c>
      <c r="U87" s="21">
        <v>5682859594</v>
      </c>
      <c r="W87" s="23">
        <v>2.4985945105951766E-3</v>
      </c>
    </row>
    <row r="88" spans="1:23" ht="18.75" x14ac:dyDescent="0.45">
      <c r="A88" s="20" t="s">
        <v>94</v>
      </c>
      <c r="H88" s="22"/>
      <c r="I88" s="21">
        <v>603478</v>
      </c>
      <c r="J88" s="21">
        <v>7977806829</v>
      </c>
      <c r="L88" s="21">
        <v>0</v>
      </c>
      <c r="M88" s="21">
        <v>0</v>
      </c>
      <c r="O88" s="21">
        <v>603478</v>
      </c>
      <c r="Q88" s="21">
        <v>12980</v>
      </c>
      <c r="S88" s="21">
        <v>7977806829</v>
      </c>
      <c r="U88" s="21">
        <v>7924511311</v>
      </c>
      <c r="W88" s="23">
        <v>3.4841861097041891E-3</v>
      </c>
    </row>
    <row r="89" spans="1:23" ht="18.75" x14ac:dyDescent="0.45">
      <c r="A89" s="20" t="s">
        <v>95</v>
      </c>
      <c r="H89" s="22"/>
      <c r="I89" s="21">
        <v>1623605</v>
      </c>
      <c r="J89" s="21">
        <v>5951239319</v>
      </c>
      <c r="L89" s="21">
        <v>0</v>
      </c>
      <c r="M89" s="21">
        <v>0</v>
      </c>
      <c r="O89" s="21">
        <v>1623605</v>
      </c>
      <c r="Q89" s="21">
        <v>3641</v>
      </c>
      <c r="S89" s="21">
        <v>5951239319</v>
      </c>
      <c r="U89" s="21">
        <v>5894125498</v>
      </c>
      <c r="W89" s="23">
        <v>2.5914822230714194E-3</v>
      </c>
    </row>
    <row r="90" spans="1:23" ht="18.75" x14ac:dyDescent="0.45">
      <c r="A90" s="20" t="s">
        <v>96</v>
      </c>
      <c r="C90" s="21">
        <v>21605748</v>
      </c>
      <c r="E90" s="21">
        <v>110644452511</v>
      </c>
      <c r="G90" s="21">
        <v>66149756902</v>
      </c>
      <c r="I90" s="21">
        <v>0</v>
      </c>
      <c r="J90" s="21">
        <v>0</v>
      </c>
      <c r="L90" s="21">
        <v>8253598</v>
      </c>
      <c r="M90" s="21">
        <v>25866258013</v>
      </c>
      <c r="O90" s="21">
        <v>13352150</v>
      </c>
      <c r="Q90" s="21">
        <v>2925</v>
      </c>
      <c r="S90" s="21">
        <v>68377235845</v>
      </c>
      <c r="U90" s="21">
        <v>38822661269</v>
      </c>
      <c r="W90" s="23">
        <v>1.7069238950727345E-2</v>
      </c>
    </row>
    <row r="91" spans="1:23" ht="18.75" x14ac:dyDescent="0.45">
      <c r="A91" s="20" t="s">
        <v>97</v>
      </c>
      <c r="C91" s="21">
        <v>10840509</v>
      </c>
      <c r="E91" s="21">
        <v>70517138282</v>
      </c>
      <c r="G91" s="21">
        <v>69181971177</v>
      </c>
      <c r="I91" s="21">
        <v>0</v>
      </c>
      <c r="J91" s="21">
        <v>0</v>
      </c>
      <c r="L91" s="21">
        <v>2200000</v>
      </c>
      <c r="M91" s="21">
        <v>13650199255</v>
      </c>
      <c r="O91" s="21">
        <v>8640509</v>
      </c>
      <c r="Q91" s="21">
        <v>6240</v>
      </c>
      <c r="S91" s="21">
        <v>56206213931</v>
      </c>
      <c r="U91" s="21">
        <v>54111317220</v>
      </c>
      <c r="W91" s="23">
        <v>2.3791233608817939E-2</v>
      </c>
    </row>
    <row r="92" spans="1:23" ht="18.75" x14ac:dyDescent="0.45">
      <c r="A92" s="20" t="s">
        <v>98</v>
      </c>
      <c r="H92" s="22"/>
      <c r="I92" s="21">
        <v>3701328</v>
      </c>
      <c r="J92" s="21">
        <v>7036740533</v>
      </c>
      <c r="L92" s="21">
        <v>0</v>
      </c>
      <c r="M92" s="21">
        <v>0</v>
      </c>
      <c r="O92" s="21">
        <v>3701328</v>
      </c>
      <c r="Q92" s="21">
        <v>1982</v>
      </c>
      <c r="S92" s="21">
        <v>7036740533</v>
      </c>
      <c r="U92" s="21">
        <v>7332855061</v>
      </c>
      <c r="W92" s="23">
        <v>3.2240513951372245E-3</v>
      </c>
    </row>
    <row r="93" spans="1:23" ht="18.75" x14ac:dyDescent="0.45">
      <c r="A93" s="20" t="s">
        <v>99</v>
      </c>
      <c r="H93" s="22"/>
      <c r="I93" s="21">
        <v>5200000</v>
      </c>
      <c r="J93" s="21">
        <v>9098288015</v>
      </c>
      <c r="L93" s="21">
        <v>0</v>
      </c>
      <c r="M93" s="21">
        <v>0</v>
      </c>
      <c r="O93" s="21">
        <v>5200000</v>
      </c>
      <c r="Q93" s="21">
        <v>1929</v>
      </c>
      <c r="S93" s="21">
        <v>9098288015</v>
      </c>
      <c r="U93" s="21">
        <v>9800537760</v>
      </c>
      <c r="W93" s="23">
        <v>4.3090224987910814E-3</v>
      </c>
    </row>
    <row r="94" spans="1:23" ht="18.75" x14ac:dyDescent="0.45">
      <c r="A94" s="20" t="s">
        <v>100</v>
      </c>
      <c r="C94" s="21">
        <v>12692909</v>
      </c>
      <c r="E94" s="21">
        <v>43809795170</v>
      </c>
      <c r="G94" s="21">
        <v>27909658255</v>
      </c>
      <c r="I94" s="21">
        <v>0</v>
      </c>
      <c r="J94" s="21">
        <v>0</v>
      </c>
      <c r="L94" s="21">
        <v>251232</v>
      </c>
      <c r="M94" s="21">
        <v>548799574</v>
      </c>
      <c r="O94" s="21">
        <v>12441677</v>
      </c>
      <c r="Q94" s="21">
        <v>2167</v>
      </c>
      <c r="S94" s="21">
        <v>42942663572</v>
      </c>
      <c r="U94" s="21">
        <v>27023313113</v>
      </c>
      <c r="W94" s="23">
        <v>1.1881395393531249E-2</v>
      </c>
    </row>
    <row r="95" spans="1:23" ht="18.75" x14ac:dyDescent="0.45">
      <c r="A95" s="20" t="s">
        <v>101</v>
      </c>
      <c r="H95" s="22"/>
      <c r="I95" s="21">
        <v>2638196</v>
      </c>
      <c r="J95" s="21">
        <v>7056018619</v>
      </c>
      <c r="L95" s="21">
        <v>0</v>
      </c>
      <c r="M95" s="21">
        <v>0</v>
      </c>
      <c r="O95" s="21">
        <v>2638196</v>
      </c>
      <c r="Q95" s="21">
        <v>2697</v>
      </c>
      <c r="S95" s="21">
        <v>7056018619</v>
      </c>
      <c r="U95" s="21">
        <v>7109594067</v>
      </c>
      <c r="W95" s="23">
        <v>3.1258897768865479E-3</v>
      </c>
    </row>
    <row r="96" spans="1:23" ht="18.75" x14ac:dyDescent="0.45">
      <c r="A96" s="20" t="s">
        <v>102</v>
      </c>
      <c r="H96" s="22"/>
      <c r="I96" s="21">
        <v>3389045</v>
      </c>
      <c r="J96" s="21">
        <v>11156912950</v>
      </c>
      <c r="L96" s="21">
        <v>0</v>
      </c>
      <c r="M96" s="21">
        <v>0</v>
      </c>
      <c r="O96" s="21">
        <v>3389045</v>
      </c>
      <c r="Q96" s="21">
        <v>3289</v>
      </c>
      <c r="S96" s="21">
        <v>11156912950</v>
      </c>
      <c r="U96" s="21">
        <v>11080246919</v>
      </c>
      <c r="W96" s="23">
        <v>4.8716748443129879E-3</v>
      </c>
    </row>
    <row r="97" spans="1:23" ht="18.75" x14ac:dyDescent="0.45">
      <c r="A97" s="20" t="s">
        <v>103</v>
      </c>
      <c r="H97" s="22"/>
      <c r="I97" s="21">
        <v>58118</v>
      </c>
      <c r="J97" s="21">
        <v>663160038</v>
      </c>
      <c r="L97" s="21">
        <v>0</v>
      </c>
      <c r="M97" s="21">
        <v>0</v>
      </c>
      <c r="O97" s="21">
        <v>58118</v>
      </c>
      <c r="Q97" s="21">
        <v>11290</v>
      </c>
      <c r="S97" s="21">
        <v>663160038</v>
      </c>
      <c r="U97" s="21">
        <v>666113442</v>
      </c>
      <c r="W97" s="23">
        <v>2.9287146058862469E-4</v>
      </c>
    </row>
    <row r="98" spans="1:23" ht="37.5" x14ac:dyDescent="0.45">
      <c r="A98" s="20" t="s">
        <v>104</v>
      </c>
      <c r="H98" s="22"/>
      <c r="I98" s="21">
        <v>118610</v>
      </c>
      <c r="J98" s="21">
        <v>2536380928</v>
      </c>
      <c r="L98" s="21">
        <v>0</v>
      </c>
      <c r="M98" s="21">
        <v>0</v>
      </c>
      <c r="O98" s="21">
        <v>118610</v>
      </c>
      <c r="Q98" s="21">
        <v>21800</v>
      </c>
      <c r="S98" s="21">
        <v>2536380928</v>
      </c>
      <c r="U98" s="21">
        <v>2577387353</v>
      </c>
      <c r="W98" s="23">
        <v>1.1332051734451549E-3</v>
      </c>
    </row>
    <row r="99" spans="1:23" ht="18.75" x14ac:dyDescent="0.45">
      <c r="A99" s="20" t="s">
        <v>105</v>
      </c>
      <c r="H99" s="22"/>
      <c r="I99" s="21">
        <v>2496750</v>
      </c>
      <c r="J99" s="21">
        <v>9885767644</v>
      </c>
      <c r="L99" s="21">
        <v>0</v>
      </c>
      <c r="M99" s="21">
        <v>0</v>
      </c>
      <c r="O99" s="21">
        <v>2496750</v>
      </c>
      <c r="Q99" s="21">
        <v>4007</v>
      </c>
      <c r="S99" s="21">
        <v>9885767644</v>
      </c>
      <c r="U99" s="21">
        <v>9992106603</v>
      </c>
      <c r="W99" s="23">
        <v>4.3932499641372667E-3</v>
      </c>
    </row>
    <row r="100" spans="1:23" ht="18.75" x14ac:dyDescent="0.45">
      <c r="A100" s="20" t="s">
        <v>106</v>
      </c>
      <c r="H100" s="22"/>
      <c r="I100" s="21">
        <v>2078949</v>
      </c>
      <c r="J100" s="21">
        <v>6928163028</v>
      </c>
      <c r="L100" s="21">
        <v>0</v>
      </c>
      <c r="M100" s="21">
        <v>0</v>
      </c>
      <c r="O100" s="21">
        <v>2078949</v>
      </c>
      <c r="Q100" s="21">
        <v>3346</v>
      </c>
      <c r="S100" s="21">
        <v>6928163028</v>
      </c>
      <c r="U100" s="21">
        <v>6937506554</v>
      </c>
      <c r="W100" s="23">
        <v>3.0502277077800459E-3</v>
      </c>
    </row>
    <row r="101" spans="1:23" ht="18.75" x14ac:dyDescent="0.45">
      <c r="A101" s="20" t="s">
        <v>107</v>
      </c>
      <c r="H101" s="22"/>
      <c r="I101" s="21">
        <v>5278075</v>
      </c>
      <c r="J101" s="21">
        <v>5983357092</v>
      </c>
      <c r="L101" s="21">
        <v>0</v>
      </c>
      <c r="M101" s="21">
        <v>0</v>
      </c>
      <c r="O101" s="21">
        <v>5278075</v>
      </c>
      <c r="Q101" s="21">
        <v>1143</v>
      </c>
      <c r="S101" s="21">
        <v>5983357092</v>
      </c>
      <c r="U101" s="21">
        <v>5928737613</v>
      </c>
      <c r="W101" s="23">
        <v>2.6067002025250024E-3</v>
      </c>
    </row>
    <row r="102" spans="1:23" ht="18.75" x14ac:dyDescent="0.45">
      <c r="A102" s="20" t="s">
        <v>108</v>
      </c>
      <c r="H102" s="22"/>
      <c r="I102" s="21">
        <v>3000000</v>
      </c>
      <c r="J102" s="21">
        <v>7822145005</v>
      </c>
      <c r="L102" s="21">
        <v>0</v>
      </c>
      <c r="M102" s="21">
        <v>0</v>
      </c>
      <c r="O102" s="21">
        <v>3000000</v>
      </c>
      <c r="Q102" s="21">
        <v>2781</v>
      </c>
      <c r="S102" s="21">
        <v>7822145005</v>
      </c>
      <c r="U102" s="21">
        <v>8290377000</v>
      </c>
      <c r="W102" s="23">
        <v>3.6450470261195247E-3</v>
      </c>
    </row>
    <row r="103" spans="1:23" ht="18.75" x14ac:dyDescent="0.45">
      <c r="A103" s="20" t="s">
        <v>109</v>
      </c>
      <c r="H103" s="22"/>
      <c r="I103" s="21">
        <v>7097743</v>
      </c>
      <c r="J103" s="21">
        <v>16614082522</v>
      </c>
      <c r="L103" s="21">
        <v>0</v>
      </c>
      <c r="M103" s="21">
        <v>0</v>
      </c>
      <c r="O103" s="21">
        <v>7097743</v>
      </c>
      <c r="Q103" s="21">
        <v>2228</v>
      </c>
      <c r="S103" s="21">
        <v>16614082522</v>
      </c>
      <c r="U103" s="21">
        <v>15733790487</v>
      </c>
      <c r="W103" s="23">
        <v>6.9177078707309712E-3</v>
      </c>
    </row>
    <row r="104" spans="1:23" ht="18.75" x14ac:dyDescent="0.45">
      <c r="A104" s="20" t="s">
        <v>110</v>
      </c>
      <c r="C104" s="21">
        <v>8231319</v>
      </c>
      <c r="E104" s="21">
        <v>42556668634</v>
      </c>
      <c r="G104" s="21">
        <v>28695475680</v>
      </c>
      <c r="N104" s="22"/>
      <c r="O104" s="21">
        <v>8231319</v>
      </c>
      <c r="Q104" s="21">
        <v>3690</v>
      </c>
      <c r="S104" s="21">
        <v>42556668634</v>
      </c>
      <c r="U104" s="21">
        <v>30168297358</v>
      </c>
      <c r="W104" s="23">
        <v>1.3264157054361632E-2</v>
      </c>
    </row>
    <row r="105" spans="1:23" ht="18.75" x14ac:dyDescent="0.45">
      <c r="A105" s="20" t="s">
        <v>111</v>
      </c>
      <c r="H105" s="22"/>
      <c r="I105" s="21">
        <v>6643838</v>
      </c>
      <c r="J105" s="21">
        <v>6352584520</v>
      </c>
      <c r="L105" s="21">
        <v>0</v>
      </c>
      <c r="M105" s="21">
        <v>0</v>
      </c>
      <c r="O105" s="21">
        <v>6643838</v>
      </c>
      <c r="Q105" s="21">
        <v>1014</v>
      </c>
      <c r="S105" s="21">
        <v>6352584520</v>
      </c>
      <c r="U105" s="21">
        <v>6703371771</v>
      </c>
      <c r="W105" s="23">
        <v>2.9472851884609257E-3</v>
      </c>
    </row>
    <row r="106" spans="1:23" ht="18.75" x14ac:dyDescent="0.45">
      <c r="A106" s="20" t="s">
        <v>112</v>
      </c>
      <c r="H106" s="22"/>
      <c r="I106" s="21">
        <v>1447708</v>
      </c>
      <c r="J106" s="21">
        <v>7589659743</v>
      </c>
      <c r="L106" s="21">
        <v>0</v>
      </c>
      <c r="M106" s="21">
        <v>0</v>
      </c>
      <c r="O106" s="21">
        <v>1447708</v>
      </c>
      <c r="Q106" s="21">
        <v>5390</v>
      </c>
      <c r="S106" s="21">
        <v>7589659743</v>
      </c>
      <c r="U106" s="21">
        <v>7871844932</v>
      </c>
      <c r="W106" s="23">
        <v>3.4610301750403693E-3</v>
      </c>
    </row>
    <row r="107" spans="1:23" ht="18.75" x14ac:dyDescent="0.45">
      <c r="A107" s="20" t="s">
        <v>113</v>
      </c>
      <c r="H107" s="22"/>
      <c r="I107" s="21">
        <v>775942</v>
      </c>
      <c r="J107" s="21">
        <v>5705521970</v>
      </c>
      <c r="L107" s="21">
        <v>0</v>
      </c>
      <c r="M107" s="21">
        <v>0</v>
      </c>
      <c r="O107" s="21">
        <v>775942</v>
      </c>
      <c r="Q107" s="21">
        <v>7320</v>
      </c>
      <c r="S107" s="21">
        <v>5705521970</v>
      </c>
      <c r="U107" s="21">
        <v>5607533805</v>
      </c>
      <c r="W107" s="23">
        <v>2.4654758667524957E-3</v>
      </c>
    </row>
    <row r="108" spans="1:23" ht="18.75" x14ac:dyDescent="0.45">
      <c r="A108" s="20" t="s">
        <v>114</v>
      </c>
      <c r="C108" s="21">
        <v>6256631</v>
      </c>
      <c r="E108" s="21">
        <v>27157213151</v>
      </c>
      <c r="G108" s="21">
        <v>27116601639</v>
      </c>
      <c r="I108" s="21">
        <v>0</v>
      </c>
      <c r="J108" s="21">
        <v>0</v>
      </c>
      <c r="L108" s="21">
        <v>1631890</v>
      </c>
      <c r="M108" s="21">
        <v>7286559450</v>
      </c>
      <c r="O108" s="21">
        <v>4624741</v>
      </c>
      <c r="Q108" s="21">
        <v>4480</v>
      </c>
      <c r="S108" s="21">
        <v>20073914716</v>
      </c>
      <c r="U108" s="21">
        <v>21101257201</v>
      </c>
      <c r="W108" s="23">
        <v>9.2776329481624609E-3</v>
      </c>
    </row>
    <row r="109" spans="1:23" ht="18.75" x14ac:dyDescent="0.45">
      <c r="A109" s="20" t="s">
        <v>115</v>
      </c>
      <c r="H109" s="22"/>
      <c r="I109" s="21">
        <v>16546</v>
      </c>
      <c r="J109" s="21">
        <v>132876977</v>
      </c>
      <c r="L109" s="21">
        <v>0</v>
      </c>
      <c r="M109" s="21">
        <v>0</v>
      </c>
      <c r="O109" s="21">
        <v>16546</v>
      </c>
      <c r="Q109" s="21">
        <v>7920</v>
      </c>
      <c r="S109" s="21">
        <v>132876977</v>
      </c>
      <c r="U109" s="21">
        <v>133060690</v>
      </c>
      <c r="W109" s="23">
        <v>5.8503065949583717E-5</v>
      </c>
    </row>
    <row r="110" spans="1:23" ht="18.75" x14ac:dyDescent="0.45">
      <c r="A110" s="20" t="s">
        <v>116</v>
      </c>
      <c r="C110" s="21">
        <v>3129644</v>
      </c>
      <c r="E110" s="21">
        <v>12763070334</v>
      </c>
      <c r="G110" s="21">
        <v>8468203567</v>
      </c>
      <c r="N110" s="22"/>
      <c r="O110" s="21">
        <v>3129644</v>
      </c>
      <c r="Q110" s="21">
        <v>2817</v>
      </c>
      <c r="S110" s="21">
        <v>12763070334</v>
      </c>
      <c r="U110" s="21">
        <v>8754417648</v>
      </c>
      <c r="W110" s="23">
        <v>3.8490727277240449E-3</v>
      </c>
    </row>
    <row r="111" spans="1:23" ht="18.75" x14ac:dyDescent="0.45">
      <c r="A111" s="20" t="s">
        <v>117</v>
      </c>
      <c r="H111" s="22"/>
      <c r="I111" s="21">
        <v>7197090</v>
      </c>
      <c r="J111" s="21">
        <v>9968218012</v>
      </c>
      <c r="L111" s="21">
        <v>0</v>
      </c>
      <c r="M111" s="21">
        <v>0</v>
      </c>
      <c r="O111" s="21">
        <v>7197090</v>
      </c>
      <c r="Q111" s="21">
        <v>1367</v>
      </c>
      <c r="S111" s="21">
        <v>9968218012</v>
      </c>
      <c r="U111" s="21">
        <v>9894351696</v>
      </c>
      <c r="W111" s="23">
        <v>4.3502698640707745E-3</v>
      </c>
    </row>
    <row r="112" spans="1:23" ht="18.75" x14ac:dyDescent="0.45">
      <c r="A112" s="20" t="s">
        <v>118</v>
      </c>
      <c r="C112" s="21">
        <v>16300000</v>
      </c>
      <c r="E112" s="21">
        <v>63812582630</v>
      </c>
      <c r="G112" s="21">
        <v>57941981640</v>
      </c>
      <c r="I112" s="21">
        <v>0</v>
      </c>
      <c r="J112" s="21">
        <v>0</v>
      </c>
      <c r="L112" s="21">
        <v>4210521</v>
      </c>
      <c r="M112" s="21">
        <v>14942630535</v>
      </c>
      <c r="O112" s="21">
        <v>12089479</v>
      </c>
      <c r="Q112" s="21">
        <v>3279</v>
      </c>
      <c r="S112" s="21">
        <v>47328888198</v>
      </c>
      <c r="U112" s="21">
        <v>38852728158</v>
      </c>
      <c r="W112" s="23">
        <v>1.7082458521361359E-2</v>
      </c>
    </row>
    <row r="113" spans="1:23" ht="18.75" x14ac:dyDescent="0.45">
      <c r="A113" s="20" t="s">
        <v>119</v>
      </c>
      <c r="C113" s="21">
        <v>6360714</v>
      </c>
      <c r="E113" s="21">
        <v>18540733099</v>
      </c>
      <c r="G113" s="21">
        <v>16287707328</v>
      </c>
      <c r="N113" s="22"/>
      <c r="O113" s="21">
        <v>6360714</v>
      </c>
      <c r="Q113" s="21">
        <v>2279</v>
      </c>
      <c r="S113" s="21">
        <v>18540733099</v>
      </c>
      <c r="U113" s="21">
        <v>14118963690</v>
      </c>
      <c r="W113" s="23">
        <v>6.2077136673186336E-3</v>
      </c>
    </row>
    <row r="114" spans="1:23" ht="18.75" x14ac:dyDescent="0.45">
      <c r="A114" s="20" t="s">
        <v>120</v>
      </c>
      <c r="H114" s="22"/>
      <c r="I114" s="21">
        <v>5000000</v>
      </c>
      <c r="J114" s="21">
        <v>5830405490</v>
      </c>
      <c r="L114" s="21">
        <v>0</v>
      </c>
      <c r="M114" s="21">
        <v>0</v>
      </c>
      <c r="O114" s="21">
        <v>5000000</v>
      </c>
      <c r="Q114" s="21">
        <v>1225</v>
      </c>
      <c r="S114" s="21">
        <v>5830405490</v>
      </c>
      <c r="U114" s="21">
        <v>6113407500</v>
      </c>
      <c r="W114" s="23">
        <v>2.687894389764398E-3</v>
      </c>
    </row>
    <row r="115" spans="1:23" ht="18.75" x14ac:dyDescent="0.45">
      <c r="A115" s="20" t="s">
        <v>121</v>
      </c>
      <c r="H115" s="22"/>
      <c r="I115" s="21">
        <v>631164</v>
      </c>
      <c r="J115" s="21">
        <v>5327436849</v>
      </c>
      <c r="L115" s="21">
        <v>0</v>
      </c>
      <c r="M115" s="21">
        <v>0</v>
      </c>
      <c r="O115" s="21">
        <v>631164</v>
      </c>
      <c r="Q115" s="21">
        <v>8810</v>
      </c>
      <c r="S115" s="21">
        <v>5327436849</v>
      </c>
      <c r="U115" s="21">
        <v>5646677168</v>
      </c>
      <c r="W115" s="23">
        <v>2.482686109289773E-3</v>
      </c>
    </row>
    <row r="116" spans="1:23" ht="18.75" x14ac:dyDescent="0.45">
      <c r="A116" s="20" t="s">
        <v>122</v>
      </c>
      <c r="C116" s="21">
        <v>5888987</v>
      </c>
      <c r="E116" s="21">
        <v>46657419727</v>
      </c>
      <c r="G116" s="21">
        <v>24012892757</v>
      </c>
      <c r="I116" s="21">
        <v>0</v>
      </c>
      <c r="J116" s="21">
        <v>0</v>
      </c>
      <c r="L116" s="21">
        <v>400000</v>
      </c>
      <c r="M116" s="21">
        <v>2038597747</v>
      </c>
      <c r="O116" s="21">
        <v>5488987</v>
      </c>
      <c r="Q116" s="21">
        <v>5230</v>
      </c>
      <c r="S116" s="21">
        <v>43488289299</v>
      </c>
      <c r="U116" s="21">
        <v>28154650041</v>
      </c>
      <c r="W116" s="23">
        <v>1.2378812616529141E-2</v>
      </c>
    </row>
    <row r="117" spans="1:23" ht="18.75" x14ac:dyDescent="0.45">
      <c r="A117" s="20" t="s">
        <v>123</v>
      </c>
      <c r="C117" s="21">
        <v>250000</v>
      </c>
      <c r="E117" s="21">
        <v>3403087200</v>
      </c>
      <c r="G117" s="21">
        <v>2606896125</v>
      </c>
      <c r="N117" s="22"/>
      <c r="O117" s="21">
        <v>250000</v>
      </c>
      <c r="Q117" s="21">
        <v>10040</v>
      </c>
      <c r="S117" s="21">
        <v>3403087200</v>
      </c>
      <c r="U117" s="21">
        <v>2472699375</v>
      </c>
      <c r="W117" s="23">
        <v>1.0871767958599901E-3</v>
      </c>
    </row>
    <row r="118" spans="1:23" ht="18.75" x14ac:dyDescent="0.45">
      <c r="A118" s="20" t="s">
        <v>124</v>
      </c>
      <c r="C118" s="21">
        <v>15800000</v>
      </c>
      <c r="E118" s="21">
        <v>81495578765</v>
      </c>
      <c r="G118" s="21">
        <v>92665341000</v>
      </c>
      <c r="I118" s="21">
        <v>0</v>
      </c>
      <c r="J118" s="21">
        <v>0</v>
      </c>
      <c r="L118" s="21">
        <v>8506662</v>
      </c>
      <c r="M118" s="21">
        <v>49936449191</v>
      </c>
      <c r="O118" s="21">
        <v>7293338</v>
      </c>
      <c r="Q118" s="21">
        <v>5890</v>
      </c>
      <c r="S118" s="21">
        <v>37618658319</v>
      </c>
      <c r="U118" s="21">
        <v>42847160996</v>
      </c>
      <c r="W118" s="23">
        <v>1.8838698983910419E-2</v>
      </c>
    </row>
    <row r="119" spans="1:23" ht="37.5" x14ac:dyDescent="0.45">
      <c r="A119" s="20" t="s">
        <v>125</v>
      </c>
      <c r="C119" s="21">
        <v>6622978</v>
      </c>
      <c r="E119" s="21">
        <v>22273411991</v>
      </c>
      <c r="G119" s="21">
        <v>21126680240</v>
      </c>
      <c r="I119" s="21">
        <v>0</v>
      </c>
      <c r="J119" s="21">
        <v>0</v>
      </c>
      <c r="L119" s="21">
        <v>400000</v>
      </c>
      <c r="M119" s="21">
        <v>1400417648</v>
      </c>
      <c r="O119" s="21">
        <v>6222978</v>
      </c>
      <c r="Q119" s="21">
        <v>3655</v>
      </c>
      <c r="S119" s="21">
        <v>20928191639</v>
      </c>
      <c r="U119" s="21">
        <v>23061226375</v>
      </c>
      <c r="W119" s="23">
        <v>1.0139376606982156E-2</v>
      </c>
    </row>
    <row r="120" spans="1:23" ht="18.75" x14ac:dyDescent="0.45">
      <c r="A120" s="20" t="s">
        <v>126</v>
      </c>
      <c r="C120" s="21">
        <v>4645601</v>
      </c>
      <c r="E120" s="21">
        <v>8003977140</v>
      </c>
      <c r="G120" s="21">
        <v>14186372119</v>
      </c>
      <c r="N120" s="22"/>
      <c r="O120" s="21">
        <v>4645601</v>
      </c>
      <c r="Q120" s="21">
        <v>3372</v>
      </c>
      <c r="S120" s="21">
        <v>8003977140</v>
      </c>
      <c r="U120" s="21">
        <v>15659501255</v>
      </c>
      <c r="W120" s="23">
        <v>6.8850449720263282E-3</v>
      </c>
    </row>
    <row r="121" spans="1:23" ht="18.75" x14ac:dyDescent="0.45">
      <c r="A121" s="20" t="s">
        <v>127</v>
      </c>
      <c r="H121" s="22"/>
      <c r="I121" s="21">
        <v>1651893</v>
      </c>
      <c r="J121" s="21">
        <v>9972257764</v>
      </c>
      <c r="L121" s="21">
        <v>0</v>
      </c>
      <c r="M121" s="21">
        <v>0</v>
      </c>
      <c r="O121" s="21">
        <v>1651893</v>
      </c>
      <c r="Q121" s="21">
        <v>5980</v>
      </c>
      <c r="S121" s="21">
        <v>9972257764</v>
      </c>
      <c r="U121" s="21">
        <v>9737440923</v>
      </c>
      <c r="W121" s="23">
        <v>4.2812805833070938E-3</v>
      </c>
    </row>
    <row r="122" spans="1:23" ht="18.75" x14ac:dyDescent="0.45">
      <c r="A122" s="20" t="s">
        <v>128</v>
      </c>
      <c r="C122" s="21">
        <v>10319951</v>
      </c>
      <c r="E122" s="21">
        <v>46097666842</v>
      </c>
      <c r="G122" s="21">
        <v>59704745237</v>
      </c>
      <c r="I122" s="21">
        <v>0</v>
      </c>
      <c r="J122" s="21">
        <v>0</v>
      </c>
      <c r="L122" s="21">
        <v>5701325</v>
      </c>
      <c r="M122" s="21">
        <v>32451979398</v>
      </c>
      <c r="O122" s="21">
        <v>4618626</v>
      </c>
      <c r="Q122" s="21">
        <v>5650</v>
      </c>
      <c r="S122" s="21">
        <v>20630706736</v>
      </c>
      <c r="U122" s="21">
        <v>25848147337</v>
      </c>
      <c r="W122" s="23">
        <v>1.1364707851214868E-2</v>
      </c>
    </row>
    <row r="123" spans="1:23" ht="37.5" x14ac:dyDescent="0.45">
      <c r="A123" s="20" t="s">
        <v>129</v>
      </c>
      <c r="C123" s="21">
        <v>8036726</v>
      </c>
      <c r="E123" s="21">
        <v>27077893989</v>
      </c>
      <c r="G123" s="21">
        <v>26563117372</v>
      </c>
      <c r="N123" s="22"/>
      <c r="O123" s="21">
        <v>8036726</v>
      </c>
      <c r="Q123" s="21">
        <v>3496</v>
      </c>
      <c r="S123" s="21">
        <v>27077893989</v>
      </c>
      <c r="U123" s="21">
        <v>27625642067</v>
      </c>
      <c r="W123" s="23">
        <v>1.2146222597713082E-2</v>
      </c>
    </row>
    <row r="124" spans="1:23" ht="37.5" x14ac:dyDescent="0.45">
      <c r="A124" s="20" t="s">
        <v>130</v>
      </c>
      <c r="C124" s="21">
        <v>700000</v>
      </c>
      <c r="E124" s="21">
        <v>9143294580</v>
      </c>
      <c r="G124" s="21">
        <v>10013065650</v>
      </c>
      <c r="N124" s="22"/>
      <c r="O124" s="21">
        <v>700000</v>
      </c>
      <c r="Q124" s="21">
        <v>14210</v>
      </c>
      <c r="S124" s="21">
        <v>9143294580</v>
      </c>
      <c r="U124" s="21">
        <v>9950440500</v>
      </c>
      <c r="W124" s="23">
        <v>4.3749305433401012E-3</v>
      </c>
    </row>
    <row r="125" spans="1:23" ht="18.75" x14ac:dyDescent="0.45">
      <c r="A125" s="20" t="s">
        <v>131</v>
      </c>
      <c r="C125" s="21">
        <v>7700000</v>
      </c>
      <c r="E125" s="21">
        <v>48162624616</v>
      </c>
      <c r="G125" s="21">
        <v>32270043960</v>
      </c>
      <c r="I125" s="21">
        <v>0</v>
      </c>
      <c r="J125" s="21">
        <v>0</v>
      </c>
      <c r="L125" s="21">
        <v>118112</v>
      </c>
      <c r="M125" s="21">
        <v>494645112</v>
      </c>
      <c r="O125" s="21">
        <v>7581888</v>
      </c>
      <c r="Q125" s="21">
        <v>4137</v>
      </c>
      <c r="S125" s="21">
        <v>47423847484</v>
      </c>
      <c r="U125" s="21">
        <v>30742508351</v>
      </c>
      <c r="W125" s="23">
        <v>1.3516621577072696E-2</v>
      </c>
    </row>
    <row r="126" spans="1:23" ht="18.75" x14ac:dyDescent="0.45">
      <c r="A126" s="20" t="s">
        <v>132</v>
      </c>
      <c r="H126" s="22"/>
      <c r="I126" s="21">
        <v>1493618</v>
      </c>
      <c r="J126" s="21">
        <v>8708469847</v>
      </c>
      <c r="L126" s="21">
        <v>0</v>
      </c>
      <c r="M126" s="21">
        <v>0</v>
      </c>
      <c r="O126" s="21">
        <v>1493618</v>
      </c>
      <c r="Q126" s="21">
        <v>5860</v>
      </c>
      <c r="S126" s="21">
        <v>8708469847</v>
      </c>
      <c r="U126" s="21">
        <v>8715370811</v>
      </c>
      <c r="W126" s="23">
        <v>3.8319049249707776E-3</v>
      </c>
    </row>
    <row r="127" spans="1:23" ht="18.75" x14ac:dyDescent="0.45">
      <c r="A127" s="20" t="s">
        <v>133</v>
      </c>
      <c r="C127" s="21">
        <v>10015480</v>
      </c>
      <c r="E127" s="21">
        <v>76324427898</v>
      </c>
      <c r="G127" s="21">
        <v>96970348088</v>
      </c>
      <c r="I127" s="21">
        <v>0</v>
      </c>
      <c r="J127" s="21">
        <v>0</v>
      </c>
      <c r="L127" s="21">
        <v>6213180</v>
      </c>
      <c r="M127" s="21">
        <v>61297679650</v>
      </c>
      <c r="O127" s="21">
        <v>3802300</v>
      </c>
      <c r="Q127" s="21">
        <v>10120</v>
      </c>
      <c r="S127" s="21">
        <v>28975982399</v>
      </c>
      <c r="U127" s="21">
        <v>38590495176</v>
      </c>
      <c r="W127" s="23">
        <v>1.6967162009370464E-2</v>
      </c>
    </row>
    <row r="128" spans="1:23" ht="18.75" x14ac:dyDescent="0.45">
      <c r="A128" s="20" t="s">
        <v>134</v>
      </c>
      <c r="C128" s="21">
        <v>999999</v>
      </c>
      <c r="E128" s="21">
        <v>3088990714</v>
      </c>
      <c r="G128" s="21">
        <v>4319142931</v>
      </c>
      <c r="N128" s="22"/>
      <c r="O128" s="21">
        <v>999999</v>
      </c>
      <c r="Q128" s="21">
        <v>4387</v>
      </c>
      <c r="S128" s="21">
        <v>3088990714</v>
      </c>
      <c r="U128" s="21">
        <v>4351946548</v>
      </c>
      <c r="W128" s="23">
        <v>1.9134292472608341E-3</v>
      </c>
    </row>
    <row r="129" spans="1:23" ht="18.75" x14ac:dyDescent="0.45">
      <c r="A129" s="20" t="s">
        <v>135</v>
      </c>
      <c r="H129" s="22"/>
      <c r="I129" s="21">
        <v>100000</v>
      </c>
      <c r="J129" s="21">
        <v>4634296634</v>
      </c>
      <c r="L129" s="21">
        <v>0</v>
      </c>
      <c r="M129" s="21">
        <v>0</v>
      </c>
      <c r="O129" s="21">
        <v>100000</v>
      </c>
      <c r="Q129" s="21">
        <v>46430</v>
      </c>
      <c r="S129" s="21">
        <v>4634296634</v>
      </c>
      <c r="U129" s="21">
        <v>4567659750</v>
      </c>
      <c r="W129" s="23">
        <v>2.0082723123524241E-3</v>
      </c>
    </row>
    <row r="130" spans="1:23" ht="18.75" x14ac:dyDescent="0.45">
      <c r="A130" s="20" t="s">
        <v>136</v>
      </c>
      <c r="C130" s="21">
        <v>13413474</v>
      </c>
      <c r="E130" s="21">
        <v>36072766591</v>
      </c>
      <c r="G130" s="21">
        <v>44147760940</v>
      </c>
      <c r="I130" s="21">
        <v>0</v>
      </c>
      <c r="J130" s="21">
        <v>0</v>
      </c>
      <c r="L130" s="21">
        <v>4548724</v>
      </c>
      <c r="M130" s="21">
        <v>14161210311</v>
      </c>
      <c r="O130" s="21">
        <v>8864750</v>
      </c>
      <c r="Q130" s="21">
        <v>2852</v>
      </c>
      <c r="S130" s="21">
        <v>23839913332</v>
      </c>
      <c r="U130" s="21">
        <v>25202333549</v>
      </c>
      <c r="W130" s="23">
        <v>1.1080761581054128E-2</v>
      </c>
    </row>
    <row r="131" spans="1:23" ht="18.75" x14ac:dyDescent="0.45">
      <c r="A131" s="20" t="s">
        <v>137</v>
      </c>
      <c r="C131" s="21">
        <v>6903048</v>
      </c>
      <c r="E131" s="21">
        <v>13651165646</v>
      </c>
      <c r="G131" s="21">
        <v>11150709155</v>
      </c>
      <c r="N131" s="22"/>
      <c r="O131" s="21">
        <v>6903048</v>
      </c>
      <c r="Q131" s="21">
        <v>1621</v>
      </c>
      <c r="S131" s="21">
        <v>13651165646</v>
      </c>
      <c r="U131" s="21">
        <v>11164433104</v>
      </c>
      <c r="W131" s="23">
        <v>4.9086891566023569E-3</v>
      </c>
    </row>
    <row r="132" spans="1:23" ht="18.75" x14ac:dyDescent="0.45">
      <c r="A132" s="20" t="s">
        <v>138</v>
      </c>
      <c r="H132" s="22"/>
      <c r="I132" s="21">
        <v>845414</v>
      </c>
      <c r="J132" s="21">
        <v>9972258712</v>
      </c>
      <c r="L132" s="21">
        <v>0</v>
      </c>
      <c r="M132" s="21">
        <v>0</v>
      </c>
      <c r="O132" s="21">
        <v>845414</v>
      </c>
      <c r="Q132" s="21">
        <v>11750</v>
      </c>
      <c r="S132" s="21">
        <v>9972258712</v>
      </c>
      <c r="U132" s="21">
        <v>9840894142</v>
      </c>
      <c r="W132" s="23">
        <v>4.3267660718751579E-3</v>
      </c>
    </row>
    <row r="133" spans="1:23" ht="37.5" x14ac:dyDescent="0.45">
      <c r="A133" s="20" t="s">
        <v>139</v>
      </c>
      <c r="C133" s="21">
        <v>123</v>
      </c>
      <c r="E133" s="21">
        <v>1662161</v>
      </c>
      <c r="G133" s="21">
        <v>5010549</v>
      </c>
      <c r="N133" s="22"/>
      <c r="O133" s="21">
        <v>123</v>
      </c>
      <c r="Q133" s="21">
        <v>32670</v>
      </c>
      <c r="S133" s="21">
        <v>1662161</v>
      </c>
      <c r="U133" s="21">
        <v>3994500</v>
      </c>
      <c r="W133" s="23">
        <v>1.7562699918030799E-6</v>
      </c>
    </row>
    <row r="134" spans="1:23" ht="18.75" x14ac:dyDescent="0.45">
      <c r="A134" s="20" t="s">
        <v>140</v>
      </c>
      <c r="H134" s="22"/>
      <c r="I134" s="21">
        <v>1746933</v>
      </c>
      <c r="J134" s="21">
        <v>4812020940</v>
      </c>
      <c r="L134" s="21">
        <v>0</v>
      </c>
      <c r="M134" s="21">
        <v>0</v>
      </c>
      <c r="O134" s="21">
        <v>1746933</v>
      </c>
      <c r="Q134" s="21">
        <v>2751</v>
      </c>
      <c r="S134" s="21">
        <v>4812020940</v>
      </c>
      <c r="U134" s="21">
        <v>4778954636</v>
      </c>
      <c r="W134" s="23">
        <v>2.101172767403933E-3</v>
      </c>
    </row>
    <row r="135" spans="1:23" ht="18.75" x14ac:dyDescent="0.45">
      <c r="A135" s="20" t="s">
        <v>141</v>
      </c>
      <c r="H135" s="22"/>
      <c r="I135" s="21">
        <v>3052977</v>
      </c>
      <c r="J135" s="21">
        <v>9377372255</v>
      </c>
      <c r="L135" s="21">
        <v>0</v>
      </c>
      <c r="M135" s="21">
        <v>0</v>
      </c>
      <c r="O135" s="21">
        <v>3052977</v>
      </c>
      <c r="Q135" s="21">
        <v>3476</v>
      </c>
      <c r="S135" s="21">
        <v>9377372255</v>
      </c>
      <c r="U135" s="21">
        <v>10549005771</v>
      </c>
      <c r="W135" s="23">
        <v>4.6381029613130082E-3</v>
      </c>
    </row>
    <row r="136" spans="1:23" ht="18.75" x14ac:dyDescent="0.45">
      <c r="A136" s="20" t="s">
        <v>142</v>
      </c>
      <c r="H136" s="22"/>
      <c r="I136" s="21">
        <v>1726432</v>
      </c>
      <c r="J136" s="21">
        <v>16236225789</v>
      </c>
      <c r="L136" s="21">
        <v>0</v>
      </c>
      <c r="M136" s="21">
        <v>0</v>
      </c>
      <c r="O136" s="21">
        <v>1726432</v>
      </c>
      <c r="Q136" s="21">
        <v>10200</v>
      </c>
      <c r="S136" s="21">
        <v>16236225789</v>
      </c>
      <c r="U136" s="21">
        <v>17504829242</v>
      </c>
      <c r="W136" s="23">
        <v>7.696384105485456E-3</v>
      </c>
    </row>
    <row r="137" spans="1:23" ht="18.75" x14ac:dyDescent="0.45">
      <c r="A137" s="20" t="s">
        <v>143</v>
      </c>
      <c r="H137" s="22"/>
      <c r="I137" s="21">
        <v>1234515</v>
      </c>
      <c r="J137" s="21">
        <v>16207137106</v>
      </c>
      <c r="L137" s="21">
        <v>0</v>
      </c>
      <c r="M137" s="21">
        <v>0</v>
      </c>
      <c r="O137" s="21">
        <v>1234515</v>
      </c>
      <c r="Q137" s="21">
        <v>14340</v>
      </c>
      <c r="S137" s="21">
        <v>16207137106</v>
      </c>
      <c r="U137" s="21">
        <v>17634427666</v>
      </c>
      <c r="W137" s="23">
        <v>7.7533649098555073E-3</v>
      </c>
    </row>
    <row r="138" spans="1:23" ht="18.75" x14ac:dyDescent="0.45">
      <c r="A138" s="20" t="s">
        <v>144</v>
      </c>
      <c r="H138" s="22"/>
      <c r="I138" s="21">
        <v>635048</v>
      </c>
      <c r="J138" s="21">
        <v>10210310730</v>
      </c>
      <c r="L138" s="21">
        <v>0</v>
      </c>
      <c r="M138" s="21">
        <v>0</v>
      </c>
      <c r="O138" s="21">
        <v>635048</v>
      </c>
      <c r="Q138" s="21">
        <v>17440</v>
      </c>
      <c r="S138" s="21">
        <v>10210310730</v>
      </c>
      <c r="U138" s="21">
        <v>11110342573</v>
      </c>
      <c r="W138" s="23">
        <v>4.8849070621134359E-3</v>
      </c>
    </row>
    <row r="139" spans="1:23" ht="18.75" x14ac:dyDescent="0.45">
      <c r="A139" s="20" t="s">
        <v>145</v>
      </c>
      <c r="H139" s="22"/>
      <c r="I139" s="21">
        <v>200000</v>
      </c>
      <c r="J139" s="21">
        <v>10970170868</v>
      </c>
      <c r="L139" s="21">
        <v>0</v>
      </c>
      <c r="M139" s="21">
        <v>0</v>
      </c>
      <c r="O139" s="21">
        <v>200000</v>
      </c>
      <c r="Q139" s="21">
        <v>56360</v>
      </c>
      <c r="S139" s="21">
        <v>10970170868</v>
      </c>
      <c r="U139" s="21">
        <v>11153241000</v>
      </c>
      <c r="W139" s="23">
        <v>4.9037683013262671E-3</v>
      </c>
    </row>
    <row r="140" spans="1:23" ht="18.75" x14ac:dyDescent="0.45">
      <c r="A140" s="20" t="s">
        <v>146</v>
      </c>
      <c r="C140" s="21">
        <v>1467558</v>
      </c>
      <c r="E140" s="21">
        <v>13763347366</v>
      </c>
      <c r="G140" s="21">
        <v>8650838357</v>
      </c>
      <c r="N140" s="22"/>
      <c r="O140" s="21">
        <v>1467558</v>
      </c>
      <c r="Q140" s="21">
        <v>6320</v>
      </c>
      <c r="S140" s="21">
        <v>13763347366</v>
      </c>
      <c r="U140" s="21">
        <v>9205192249</v>
      </c>
      <c r="W140" s="23">
        <v>4.0472657192882726E-3</v>
      </c>
    </row>
    <row r="141" spans="1:23" ht="18.75" x14ac:dyDescent="0.45">
      <c r="A141" s="20" t="s">
        <v>147</v>
      </c>
      <c r="H141" s="22"/>
      <c r="I141" s="21">
        <v>2100000</v>
      </c>
      <c r="J141" s="21">
        <v>6008882859</v>
      </c>
      <c r="L141" s="21">
        <v>0</v>
      </c>
      <c r="M141" s="21">
        <v>0</v>
      </c>
      <c r="O141" s="21">
        <v>2100000</v>
      </c>
      <c r="Q141" s="21">
        <v>2900</v>
      </c>
      <c r="S141" s="21">
        <v>6008882859</v>
      </c>
      <c r="U141" s="21">
        <v>6183189810</v>
      </c>
      <c r="W141" s="23">
        <v>2.7185757208475622E-3</v>
      </c>
    </row>
    <row r="142" spans="1:23" ht="18.75" x14ac:dyDescent="0.45">
      <c r="A142" s="20" t="s">
        <v>148</v>
      </c>
      <c r="C142" s="21">
        <v>6744759</v>
      </c>
      <c r="E142" s="21">
        <v>47076364301</v>
      </c>
      <c r="G142" s="21">
        <v>32343123947</v>
      </c>
      <c r="N142" s="22"/>
      <c r="O142" s="21">
        <v>6744759</v>
      </c>
      <c r="Q142" s="21">
        <v>4607</v>
      </c>
      <c r="S142" s="21">
        <v>47076364301</v>
      </c>
      <c r="U142" s="21">
        <v>31572091764</v>
      </c>
      <c r="W142" s="23">
        <v>1.3881366214436442E-2</v>
      </c>
    </row>
    <row r="143" spans="1:23" ht="18.75" x14ac:dyDescent="0.45">
      <c r="A143" s="20" t="s">
        <v>149</v>
      </c>
      <c r="H143" s="22"/>
      <c r="I143" s="21">
        <v>300000</v>
      </c>
      <c r="J143" s="21">
        <v>8687054089</v>
      </c>
      <c r="L143" s="21">
        <v>0</v>
      </c>
      <c r="M143" s="21">
        <v>0</v>
      </c>
      <c r="O143" s="21">
        <v>300000</v>
      </c>
      <c r="Q143" s="21">
        <v>28720</v>
      </c>
      <c r="S143" s="21">
        <v>8687054089</v>
      </c>
      <c r="U143" s="21">
        <v>8588592000</v>
      </c>
      <c r="W143" s="23">
        <v>3.776163825620227E-3</v>
      </c>
    </row>
    <row r="144" spans="1:23" ht="18.75" x14ac:dyDescent="0.45">
      <c r="A144" s="20" t="s">
        <v>150</v>
      </c>
      <c r="H144" s="22"/>
      <c r="I144" s="21">
        <v>1318090</v>
      </c>
      <c r="J144" s="21">
        <v>6367972688</v>
      </c>
      <c r="L144" s="21">
        <v>0</v>
      </c>
      <c r="M144" s="21">
        <v>0</v>
      </c>
      <c r="O144" s="21">
        <v>1318090</v>
      </c>
      <c r="Q144" s="21">
        <v>4782</v>
      </c>
      <c r="S144" s="21">
        <v>6367972688</v>
      </c>
      <c r="U144" s="21">
        <v>6231536466</v>
      </c>
      <c r="W144" s="23">
        <v>2.7398323940574323E-3</v>
      </c>
    </row>
    <row r="145" spans="1:23" ht="18.75" x14ac:dyDescent="0.45">
      <c r="A145" s="20" t="s">
        <v>151</v>
      </c>
      <c r="C145" s="21">
        <v>307809</v>
      </c>
      <c r="E145" s="21">
        <v>11729503425</v>
      </c>
      <c r="G145" s="21">
        <v>9488363405</v>
      </c>
      <c r="N145" s="22"/>
      <c r="O145" s="21">
        <v>307809</v>
      </c>
      <c r="Q145" s="21">
        <v>33890</v>
      </c>
      <c r="S145" s="21">
        <v>11729503425</v>
      </c>
      <c r="U145" s="21">
        <v>10540926131</v>
      </c>
      <c r="W145" s="23">
        <v>4.6345505694550607E-3</v>
      </c>
    </row>
    <row r="146" spans="1:23" ht="18.75" x14ac:dyDescent="0.45">
      <c r="A146" s="20" t="s">
        <v>152</v>
      </c>
      <c r="H146" s="22"/>
      <c r="I146" s="21">
        <v>3134015</v>
      </c>
      <c r="J146" s="21">
        <v>12077545462</v>
      </c>
      <c r="L146" s="21">
        <v>0</v>
      </c>
      <c r="M146" s="21">
        <v>0</v>
      </c>
      <c r="O146" s="21">
        <v>3134015</v>
      </c>
      <c r="Q146" s="21">
        <v>4037</v>
      </c>
      <c r="S146" s="21">
        <v>12077545462</v>
      </c>
      <c r="U146" s="21">
        <v>12617238824</v>
      </c>
      <c r="W146" s="23">
        <v>5.5474472214304621E-3</v>
      </c>
    </row>
    <row r="147" spans="1:23" ht="18.75" x14ac:dyDescent="0.45">
      <c r="A147" s="20" t="s">
        <v>153</v>
      </c>
      <c r="C147" s="21">
        <v>2853956</v>
      </c>
      <c r="E147" s="21">
        <v>44017412389</v>
      </c>
      <c r="G147" s="21">
        <v>67520004091</v>
      </c>
      <c r="I147" s="21">
        <v>0</v>
      </c>
      <c r="J147" s="21">
        <v>0</v>
      </c>
      <c r="L147" s="21">
        <v>1191494</v>
      </c>
      <c r="M147" s="21">
        <v>27654372019</v>
      </c>
      <c r="O147" s="21">
        <v>1662462</v>
      </c>
      <c r="Q147" s="21">
        <v>22950</v>
      </c>
      <c r="S147" s="21">
        <v>25640645979</v>
      </c>
      <c r="U147" s="21">
        <v>38009118075</v>
      </c>
      <c r="W147" s="23">
        <v>1.6711546749285905E-2</v>
      </c>
    </row>
    <row r="148" spans="1:23" ht="18.75" x14ac:dyDescent="0.45">
      <c r="A148" s="20" t="s">
        <v>154</v>
      </c>
      <c r="H148" s="22"/>
      <c r="I148" s="21">
        <v>124464</v>
      </c>
      <c r="J148" s="21">
        <v>4370508622</v>
      </c>
      <c r="L148" s="21">
        <v>0</v>
      </c>
      <c r="M148" s="21">
        <v>0</v>
      </c>
      <c r="O148" s="21">
        <v>124464</v>
      </c>
      <c r="Q148" s="21">
        <v>35950</v>
      </c>
      <c r="S148" s="21">
        <v>4370508622</v>
      </c>
      <c r="U148" s="21">
        <v>4379809748</v>
      </c>
      <c r="W148" s="23">
        <v>1.9256799174412341E-3</v>
      </c>
    </row>
    <row r="149" spans="1:23" ht="18.75" x14ac:dyDescent="0.45">
      <c r="A149" s="20" t="s">
        <v>155</v>
      </c>
      <c r="H149" s="22"/>
      <c r="I149" s="21">
        <v>606059</v>
      </c>
      <c r="J149" s="21">
        <v>19941131559</v>
      </c>
      <c r="L149" s="21">
        <v>0</v>
      </c>
      <c r="M149" s="21">
        <v>0</v>
      </c>
      <c r="O149" s="21">
        <v>606059</v>
      </c>
      <c r="Q149" s="21">
        <v>34640</v>
      </c>
      <c r="S149" s="21">
        <v>19941131559</v>
      </c>
      <c r="U149" s="21">
        <v>20941264506</v>
      </c>
      <c r="W149" s="23">
        <v>9.2072886324442976E-3</v>
      </c>
    </row>
    <row r="150" spans="1:23" ht="18.75" x14ac:dyDescent="0.45">
      <c r="A150" s="20" t="s">
        <v>156</v>
      </c>
      <c r="H150" s="22"/>
      <c r="I150" s="21">
        <v>65229</v>
      </c>
      <c r="J150" s="21">
        <v>17862878658</v>
      </c>
      <c r="L150" s="21">
        <v>0</v>
      </c>
      <c r="M150" s="21">
        <v>0</v>
      </c>
      <c r="O150" s="21">
        <v>65229</v>
      </c>
      <c r="Q150" s="21">
        <v>250640</v>
      </c>
      <c r="S150" s="21">
        <v>17862878658</v>
      </c>
      <c r="U150" s="21">
        <v>16352871815</v>
      </c>
      <c r="W150" s="23">
        <v>7.189900625481754E-3</v>
      </c>
    </row>
    <row r="151" spans="1:23" ht="18.75" x14ac:dyDescent="0.45">
      <c r="A151" s="20" t="s">
        <v>157</v>
      </c>
      <c r="C151" s="21">
        <v>25140703</v>
      </c>
      <c r="E151" s="21">
        <v>67434598284</v>
      </c>
      <c r="G151" s="21">
        <v>56279992820</v>
      </c>
      <c r="I151" s="21">
        <v>0</v>
      </c>
      <c r="J151" s="21">
        <v>0</v>
      </c>
      <c r="L151" s="21">
        <v>1356250</v>
      </c>
      <c r="M151" s="21">
        <v>2548309346</v>
      </c>
      <c r="O151" s="21">
        <v>23784453</v>
      </c>
      <c r="Q151" s="21">
        <v>1767</v>
      </c>
      <c r="S151" s="21">
        <v>63796745599</v>
      </c>
      <c r="U151" s="21">
        <v>41564280617</v>
      </c>
      <c r="W151" s="23">
        <v>1.8274652341599574E-2</v>
      </c>
    </row>
    <row r="152" spans="1:23" ht="18.75" x14ac:dyDescent="0.45">
      <c r="A152" s="20" t="s">
        <v>158</v>
      </c>
      <c r="H152" s="22"/>
      <c r="I152" s="21">
        <v>877997</v>
      </c>
      <c r="J152" s="21">
        <v>10785744988</v>
      </c>
      <c r="L152" s="21">
        <v>0</v>
      </c>
      <c r="M152" s="21">
        <v>0</v>
      </c>
      <c r="O152" s="21">
        <v>877997</v>
      </c>
      <c r="Q152" s="21">
        <v>11850</v>
      </c>
      <c r="S152" s="21">
        <v>10785744988</v>
      </c>
      <c r="U152" s="21">
        <v>10298720431</v>
      </c>
      <c r="W152" s="23">
        <v>4.5280594935372589E-3</v>
      </c>
    </row>
    <row r="153" spans="1:23" ht="37.5" x14ac:dyDescent="0.45">
      <c r="A153" s="20" t="s">
        <v>159</v>
      </c>
      <c r="C153" s="21">
        <v>450000</v>
      </c>
      <c r="E153" s="21">
        <v>2252043000</v>
      </c>
      <c r="G153" s="21">
        <v>8628851025</v>
      </c>
      <c r="N153" s="22"/>
      <c r="O153" s="21">
        <v>450000</v>
      </c>
      <c r="Q153" s="21">
        <v>16410</v>
      </c>
      <c r="S153" s="21">
        <v>2252043000</v>
      </c>
      <c r="U153" s="21">
        <v>7340562225</v>
      </c>
      <c r="W153" s="23">
        <v>3.2274400197097879E-3</v>
      </c>
    </row>
    <row r="154" spans="1:23" ht="18.75" x14ac:dyDescent="0.45">
      <c r="A154" s="20" t="s">
        <v>160</v>
      </c>
      <c r="H154" s="22"/>
      <c r="I154" s="21">
        <v>1800000</v>
      </c>
      <c r="J154" s="21">
        <v>10359604746</v>
      </c>
      <c r="L154" s="21">
        <v>0</v>
      </c>
      <c r="M154" s="21">
        <v>0</v>
      </c>
      <c r="O154" s="21">
        <v>1800000</v>
      </c>
      <c r="Q154" s="21">
        <v>5750</v>
      </c>
      <c r="S154" s="21">
        <v>10359604746</v>
      </c>
      <c r="U154" s="21">
        <v>10270524600</v>
      </c>
      <c r="W154" s="23">
        <v>4.5156625748041879E-3</v>
      </c>
    </row>
    <row r="155" spans="1:23" ht="18.75" x14ac:dyDescent="0.45">
      <c r="A155" s="20" t="s">
        <v>161</v>
      </c>
      <c r="H155" s="22"/>
      <c r="I155" s="21">
        <v>1405716</v>
      </c>
      <c r="J155" s="21">
        <v>7977806216</v>
      </c>
      <c r="L155" s="21">
        <v>0</v>
      </c>
      <c r="M155" s="21">
        <v>0</v>
      </c>
      <c r="O155" s="21">
        <v>1405716</v>
      </c>
      <c r="Q155" s="21">
        <v>5670</v>
      </c>
      <c r="S155" s="21">
        <v>7977806216</v>
      </c>
      <c r="U155" s="21">
        <v>7922985782</v>
      </c>
      <c r="W155" s="23">
        <v>3.4835153772459779E-3</v>
      </c>
    </row>
    <row r="156" spans="1:23" ht="37.5" x14ac:dyDescent="0.45">
      <c r="A156" s="20" t="s">
        <v>162</v>
      </c>
      <c r="H156" s="22"/>
      <c r="I156" s="21">
        <v>50984</v>
      </c>
      <c r="J156" s="21">
        <v>6084973707</v>
      </c>
      <c r="L156" s="21">
        <v>0</v>
      </c>
      <c r="M156" s="21">
        <v>0</v>
      </c>
      <c r="O156" s="21">
        <v>50984</v>
      </c>
      <c r="Q156" s="21">
        <v>131970</v>
      </c>
      <c r="S156" s="21">
        <v>6084973707</v>
      </c>
      <c r="U156" s="21">
        <v>6766372941</v>
      </c>
      <c r="W156" s="23">
        <v>2.9749850418391917E-3</v>
      </c>
    </row>
    <row r="157" spans="1:23" ht="18.75" x14ac:dyDescent="0.45">
      <c r="A157" s="20" t="s">
        <v>163</v>
      </c>
      <c r="H157" s="22"/>
      <c r="I157" s="21">
        <v>840604</v>
      </c>
      <c r="J157" s="21">
        <v>6130805191</v>
      </c>
      <c r="L157" s="21">
        <v>0</v>
      </c>
      <c r="M157" s="21">
        <v>0</v>
      </c>
      <c r="O157" s="21">
        <v>840604</v>
      </c>
      <c r="Q157" s="21">
        <v>7490</v>
      </c>
      <c r="S157" s="21">
        <v>6130805191</v>
      </c>
      <c r="U157" s="21">
        <v>6233593950</v>
      </c>
      <c r="W157" s="23">
        <v>2.7407370122594136E-3</v>
      </c>
    </row>
    <row r="158" spans="1:23" ht="18.75" x14ac:dyDescent="0.45">
      <c r="A158" s="20" t="s">
        <v>164</v>
      </c>
      <c r="H158" s="22"/>
      <c r="I158" s="21">
        <v>1100000</v>
      </c>
      <c r="J158" s="21">
        <v>7432586971</v>
      </c>
      <c r="L158" s="21">
        <v>0</v>
      </c>
      <c r="M158" s="21">
        <v>0</v>
      </c>
      <c r="O158" s="21">
        <v>1100000</v>
      </c>
      <c r="Q158" s="21">
        <v>6920</v>
      </c>
      <c r="S158" s="21">
        <v>7432586971</v>
      </c>
      <c r="U158" s="21">
        <v>7752595950</v>
      </c>
      <c r="W158" s="23">
        <v>3.4085997310199252E-3</v>
      </c>
    </row>
    <row r="159" spans="1:23" ht="18.75" x14ac:dyDescent="0.45">
      <c r="A159" s="20" t="s">
        <v>165</v>
      </c>
      <c r="H159" s="22"/>
      <c r="I159" s="21">
        <v>1800885</v>
      </c>
      <c r="J159" s="21">
        <v>5622273814</v>
      </c>
      <c r="L159" s="21">
        <v>0</v>
      </c>
      <c r="M159" s="21">
        <v>0</v>
      </c>
      <c r="O159" s="21">
        <v>1800885</v>
      </c>
      <c r="Q159" s="21">
        <v>3016</v>
      </c>
      <c r="S159" s="21">
        <v>5622273814</v>
      </c>
      <c r="U159" s="21">
        <v>5477919387</v>
      </c>
      <c r="W159" s="23">
        <v>2.4084880302677235E-3</v>
      </c>
    </row>
    <row r="160" spans="1:23" ht="18.75" x14ac:dyDescent="0.45">
      <c r="A160" s="20" t="s">
        <v>166</v>
      </c>
      <c r="C160" s="21">
        <v>753700</v>
      </c>
      <c r="E160" s="21">
        <v>2205435520</v>
      </c>
      <c r="G160" s="21">
        <v>1408525112</v>
      </c>
      <c r="I160" s="21">
        <v>5693574</v>
      </c>
      <c r="J160" s="21">
        <v>10540047607</v>
      </c>
      <c r="L160" s="21">
        <v>0</v>
      </c>
      <c r="M160" s="21">
        <v>0</v>
      </c>
      <c r="O160" s="21">
        <v>6447274</v>
      </c>
      <c r="Q160" s="21">
        <v>1846</v>
      </c>
      <c r="S160" s="21">
        <v>12745483127</v>
      </c>
      <c r="U160" s="21">
        <v>12016711349</v>
      </c>
      <c r="W160" s="23">
        <v>5.2834120772082133E-3</v>
      </c>
    </row>
    <row r="161" spans="1:23" ht="37.5" x14ac:dyDescent="0.45">
      <c r="A161" s="20" t="s">
        <v>167</v>
      </c>
      <c r="H161" s="22"/>
      <c r="I161" s="21">
        <v>2460067</v>
      </c>
      <c r="J161" s="21">
        <v>3298648158</v>
      </c>
      <c r="L161" s="21">
        <v>0</v>
      </c>
      <c r="M161" s="21">
        <v>0</v>
      </c>
      <c r="O161" s="21">
        <v>2460067</v>
      </c>
      <c r="Q161" s="21">
        <v>1324</v>
      </c>
      <c r="S161" s="21">
        <v>3298648158</v>
      </c>
      <c r="U161" s="21">
        <v>3240194222</v>
      </c>
      <c r="W161" s="23">
        <v>1.4246228263142637E-3</v>
      </c>
    </row>
    <row r="162" spans="1:23" ht="37.5" x14ac:dyDescent="0.45">
      <c r="A162" s="20" t="s">
        <v>168</v>
      </c>
      <c r="C162" s="21">
        <v>21600000</v>
      </c>
      <c r="E162" s="21">
        <v>27959586333</v>
      </c>
      <c r="G162" s="21">
        <v>20762921160</v>
      </c>
      <c r="I162" s="21">
        <v>0</v>
      </c>
      <c r="J162" s="21">
        <v>0</v>
      </c>
      <c r="L162" s="21">
        <v>379933</v>
      </c>
      <c r="M162" s="21">
        <v>364283276</v>
      </c>
      <c r="O162" s="21">
        <v>21220067</v>
      </c>
      <c r="Q162" s="21">
        <v>955</v>
      </c>
      <c r="S162" s="21">
        <v>27467791448</v>
      </c>
      <c r="U162" s="21">
        <v>20039117221</v>
      </c>
      <c r="W162" s="23">
        <v>8.8106396889389479E-3</v>
      </c>
    </row>
    <row r="163" spans="1:23" ht="18.75" x14ac:dyDescent="0.45">
      <c r="A163" s="20" t="s">
        <v>169</v>
      </c>
      <c r="H163" s="22"/>
      <c r="I163" s="21">
        <v>7859149</v>
      </c>
      <c r="J163" s="21">
        <v>13546271717</v>
      </c>
      <c r="L163" s="21">
        <v>0</v>
      </c>
      <c r="M163" s="21">
        <v>0</v>
      </c>
      <c r="O163" s="21">
        <v>7859149</v>
      </c>
      <c r="Q163" s="21">
        <v>1642</v>
      </c>
      <c r="S163" s="21">
        <v>13546271717</v>
      </c>
      <c r="U163" s="21">
        <v>12937312977</v>
      </c>
      <c r="W163" s="23">
        <v>5.6881748794766979E-3</v>
      </c>
    </row>
    <row r="164" spans="1:23" ht="18.75" x14ac:dyDescent="0.45">
      <c r="A164" s="24" t="s">
        <v>170</v>
      </c>
      <c r="C164" s="24">
        <f>SUM(C11:$C$163)</f>
        <v>473192608</v>
      </c>
      <c r="E164" s="24">
        <f>SUM(E11:$E$163)</f>
        <v>1907981070970</v>
      </c>
      <c r="G164" s="24">
        <f>SUM(G11:$G$163)</f>
        <v>1770795893580</v>
      </c>
      <c r="I164" s="24">
        <f>SUM(I11:$I$163)</f>
        <v>282500286</v>
      </c>
      <c r="J164" s="24">
        <f>SUM(J11:$J$163)</f>
        <v>728270477007</v>
      </c>
      <c r="L164" s="24">
        <f>SUM(L11:$L$163)</f>
        <v>78210548</v>
      </c>
      <c r="M164" s="24">
        <f>SUM(M11:$M$163)</f>
        <v>430114975895</v>
      </c>
      <c r="O164" s="24">
        <f>SUM(O11:$O$163)</f>
        <v>677482346</v>
      </c>
      <c r="Q164" s="24">
        <f>SUM(Q11:$Q$163)</f>
        <v>1974160</v>
      </c>
      <c r="S164" s="24">
        <f>SUM(S11:$S$163)</f>
        <v>2252351613098</v>
      </c>
      <c r="U164" s="24">
        <f>SUM(U11:$U$163)</f>
        <v>2041843805859</v>
      </c>
      <c r="W164" s="25">
        <f>SUM(W11:$W$163)</f>
        <v>0.89774164580777449</v>
      </c>
    </row>
    <row r="165" spans="1:23" ht="18.75" x14ac:dyDescent="0.45">
      <c r="C165" s="26"/>
      <c r="E165" s="26"/>
      <c r="G165" s="26"/>
      <c r="I165" s="26"/>
      <c r="J165" s="26"/>
      <c r="L165" s="26"/>
      <c r="M165" s="26"/>
      <c r="O165" s="26"/>
      <c r="Q165" s="26"/>
      <c r="S165" s="26"/>
      <c r="U165" s="26"/>
      <c r="W165" s="26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12.7109375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1.42578125" style="12" customWidth="1"/>
    <col min="10" max="10" width="17" style="12" customWidth="1"/>
    <col min="11" max="11" width="1.42578125" style="12" customWidth="1"/>
    <col min="12" max="12" width="11.42578125" style="12" customWidth="1"/>
    <col min="13" max="13" width="17" style="12" customWidth="1"/>
    <col min="14" max="14" width="1.42578125" style="12" customWidth="1"/>
    <col min="15" max="15" width="12.7109375" style="12" customWidth="1"/>
    <col min="16" max="16" width="1.42578125" style="12" customWidth="1"/>
    <col min="17" max="17" width="11.42578125" style="12" customWidth="1"/>
    <col min="18" max="18" width="1.42578125" style="12" customWidth="1"/>
    <col min="19" max="19" width="17" style="12" customWidth="1"/>
    <col min="20" max="20" width="1.42578125" style="12" customWidth="1"/>
    <col min="21" max="21" width="17" style="12" customWidth="1"/>
    <col min="22" max="22" width="1.42578125" style="12" customWidth="1"/>
    <col min="23" max="23" width="8.5703125" style="12" customWidth="1"/>
    <col min="24" max="16384" width="9.140625" style="12"/>
  </cols>
  <sheetData>
    <row r="1" spans="1:2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4" ht="21" x14ac:dyDescent="0.45">
      <c r="A5" s="13" t="s">
        <v>171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7" spans="1:24" ht="21" x14ac:dyDescent="0.45">
      <c r="A7" s="14" t="s">
        <v>172</v>
      </c>
      <c r="B7" s="15"/>
      <c r="C7" s="15"/>
      <c r="D7" s="15"/>
      <c r="E7" s="15"/>
      <c r="F7" s="15"/>
      <c r="G7" s="15"/>
      <c r="I7" s="14" t="s">
        <v>5</v>
      </c>
      <c r="J7" s="15"/>
      <c r="K7" s="15"/>
      <c r="L7" s="15"/>
      <c r="M7" s="15"/>
      <c r="O7" s="14" t="s">
        <v>7</v>
      </c>
      <c r="P7" s="15"/>
      <c r="Q7" s="15"/>
      <c r="R7" s="15"/>
      <c r="S7" s="15"/>
      <c r="T7" s="15"/>
      <c r="U7" s="15"/>
      <c r="V7" s="15"/>
      <c r="W7" s="15"/>
    </row>
    <row r="8" spans="1:24" x14ac:dyDescent="0.45">
      <c r="A8" s="16"/>
      <c r="B8" s="11"/>
      <c r="C8" s="11"/>
      <c r="D8" s="11"/>
      <c r="E8" s="11"/>
      <c r="F8" s="11"/>
      <c r="G8" s="11"/>
      <c r="I8" s="16" t="s">
        <v>173</v>
      </c>
      <c r="J8" s="16" t="s">
        <v>174</v>
      </c>
      <c r="L8" s="16" t="s">
        <v>175</v>
      </c>
      <c r="M8" s="16" t="s">
        <v>176</v>
      </c>
      <c r="O8" s="16" t="s">
        <v>173</v>
      </c>
      <c r="Q8" s="16" t="s">
        <v>174</v>
      </c>
      <c r="S8" s="17" t="s">
        <v>175</v>
      </c>
      <c r="U8" s="16" t="s">
        <v>176</v>
      </c>
    </row>
    <row r="9" spans="1:24" x14ac:dyDescent="0.45">
      <c r="A9" s="11"/>
      <c r="B9" s="11"/>
      <c r="C9" s="11"/>
      <c r="D9" s="11"/>
      <c r="E9" s="11"/>
      <c r="F9" s="11"/>
      <c r="G9" s="11"/>
      <c r="I9" s="11"/>
      <c r="J9" s="11"/>
      <c r="L9" s="11"/>
      <c r="M9" s="11"/>
      <c r="O9" s="11"/>
      <c r="Q9" s="11"/>
      <c r="S9" s="11"/>
      <c r="U9" s="11"/>
    </row>
    <row r="10" spans="1:24" x14ac:dyDescent="0.45">
      <c r="A10" s="16" t="s">
        <v>177</v>
      </c>
      <c r="B10" s="11"/>
      <c r="C10" s="11"/>
      <c r="D10" s="11"/>
      <c r="E10" s="11"/>
      <c r="F10" s="11"/>
      <c r="G10" s="11"/>
      <c r="I10" s="35">
        <v>123</v>
      </c>
      <c r="J10" s="35">
        <v>17150</v>
      </c>
      <c r="L10" s="16" t="s">
        <v>178</v>
      </c>
      <c r="M10" s="37" t="s">
        <v>319</v>
      </c>
      <c r="O10" s="35">
        <v>123</v>
      </c>
      <c r="Q10" s="35">
        <v>17150</v>
      </c>
      <c r="S10" s="16" t="s">
        <v>178</v>
      </c>
      <c r="U10" s="37" t="s">
        <v>319</v>
      </c>
    </row>
    <row r="11" spans="1:24" x14ac:dyDescent="0.45">
      <c r="A11" s="11"/>
      <c r="B11" s="11"/>
      <c r="C11" s="11"/>
      <c r="D11" s="11"/>
      <c r="E11" s="11"/>
      <c r="F11" s="11"/>
      <c r="G11" s="11"/>
      <c r="I11" s="11"/>
      <c r="J11" s="11"/>
      <c r="L11" s="11"/>
      <c r="M11" s="11"/>
      <c r="O11" s="11"/>
      <c r="Q11" s="11"/>
      <c r="S11" s="11"/>
      <c r="U11" s="11"/>
    </row>
    <row r="13" spans="1:24" ht="21" x14ac:dyDescent="0.45">
      <c r="A13" s="13" t="s">
        <v>179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5" spans="1:24" ht="21" x14ac:dyDescent="0.45">
      <c r="A15" s="14" t="s">
        <v>172</v>
      </c>
      <c r="B15" s="15"/>
      <c r="C15" s="15"/>
      <c r="D15" s="15"/>
      <c r="E15" s="15"/>
      <c r="F15" s="15"/>
      <c r="G15" s="15"/>
      <c r="I15" s="14" t="s">
        <v>5</v>
      </c>
      <c r="J15" s="15"/>
      <c r="K15" s="15"/>
      <c r="L15" s="15"/>
      <c r="M15" s="15"/>
      <c r="N15" s="15"/>
      <c r="O15" s="15"/>
      <c r="Q15" s="14" t="s">
        <v>7</v>
      </c>
      <c r="R15" s="15"/>
      <c r="S15" s="15"/>
      <c r="T15" s="15"/>
      <c r="U15" s="15"/>
      <c r="V15" s="15"/>
      <c r="W15" s="15"/>
      <c r="X15" s="15"/>
    </row>
    <row r="16" spans="1:24" x14ac:dyDescent="0.45">
      <c r="A16" s="16"/>
      <c r="B16" s="11"/>
      <c r="C16" s="11"/>
      <c r="D16" s="11"/>
      <c r="E16" s="11"/>
      <c r="F16" s="11"/>
      <c r="G16" s="11"/>
      <c r="I16" s="16" t="s">
        <v>180</v>
      </c>
      <c r="J16" s="16" t="s">
        <v>181</v>
      </c>
      <c r="L16" s="16" t="s">
        <v>182</v>
      </c>
      <c r="M16" s="16" t="s">
        <v>174</v>
      </c>
      <c r="O16" s="16" t="s">
        <v>175</v>
      </c>
      <c r="Q16" s="16" t="s">
        <v>180</v>
      </c>
      <c r="S16" s="16" t="s">
        <v>181</v>
      </c>
      <c r="U16" s="16" t="s">
        <v>182</v>
      </c>
      <c r="W16" s="16" t="s">
        <v>174</v>
      </c>
      <c r="X16" s="16" t="s">
        <v>175</v>
      </c>
    </row>
    <row r="17" spans="1:24" x14ac:dyDescent="0.45">
      <c r="A17" s="11"/>
      <c r="B17" s="11"/>
      <c r="C17" s="11"/>
      <c r="D17" s="11"/>
      <c r="E17" s="11"/>
      <c r="F17" s="11"/>
      <c r="G17" s="11"/>
      <c r="I17" s="11"/>
      <c r="J17" s="11"/>
      <c r="L17" s="11"/>
      <c r="M17" s="11"/>
      <c r="O17" s="11"/>
      <c r="Q17" s="11"/>
      <c r="S17" s="11"/>
      <c r="U17" s="11"/>
      <c r="W17" s="11"/>
      <c r="X17" s="11"/>
    </row>
    <row r="19" spans="1:24" ht="21" x14ac:dyDescent="0.45">
      <c r="A19" s="13" t="s">
        <v>183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4" ht="21" x14ac:dyDescent="0.45">
      <c r="A20" s="14" t="s">
        <v>172</v>
      </c>
      <c r="B20" s="15"/>
      <c r="C20" s="15"/>
      <c r="D20" s="15"/>
      <c r="E20" s="15"/>
      <c r="F20" s="15"/>
      <c r="G20" s="15"/>
      <c r="I20" s="14" t="s">
        <v>5</v>
      </c>
      <c r="J20" s="15"/>
      <c r="K20" s="15"/>
      <c r="L20" s="15"/>
      <c r="M20" s="15"/>
      <c r="O20" s="14" t="s">
        <v>7</v>
      </c>
      <c r="P20" s="15"/>
      <c r="Q20" s="15"/>
      <c r="R20" s="15"/>
      <c r="S20" s="15"/>
      <c r="T20" s="15"/>
      <c r="U20" s="15"/>
      <c r="V20" s="15"/>
      <c r="W20" s="15"/>
    </row>
    <row r="21" spans="1:24" x14ac:dyDescent="0.45">
      <c r="A21" s="16"/>
      <c r="B21" s="11"/>
      <c r="C21" s="11"/>
      <c r="D21" s="11"/>
      <c r="E21" s="11"/>
      <c r="F21" s="11"/>
      <c r="G21" s="11"/>
      <c r="I21" s="16" t="s">
        <v>181</v>
      </c>
      <c r="J21" s="16" t="s">
        <v>182</v>
      </c>
      <c r="L21" s="16" t="s">
        <v>174</v>
      </c>
      <c r="M21" s="16" t="s">
        <v>175</v>
      </c>
      <c r="O21" s="16" t="s">
        <v>181</v>
      </c>
      <c r="Q21" s="16" t="s">
        <v>182</v>
      </c>
      <c r="S21" s="16" t="s">
        <v>174</v>
      </c>
      <c r="U21" s="16" t="s">
        <v>175</v>
      </c>
    </row>
    <row r="22" spans="1:24" x14ac:dyDescent="0.45">
      <c r="A22" s="11"/>
      <c r="B22" s="11"/>
      <c r="C22" s="11"/>
      <c r="D22" s="11"/>
      <c r="E22" s="11"/>
      <c r="F22" s="11"/>
      <c r="G22" s="11"/>
      <c r="I22" s="11"/>
      <c r="J22" s="11"/>
      <c r="L22" s="11"/>
      <c r="M22" s="11"/>
      <c r="O22" s="11"/>
      <c r="Q22" s="11"/>
      <c r="S22" s="11"/>
      <c r="U22" s="11"/>
    </row>
  </sheetData>
  <mergeCells count="53"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L8:L9"/>
    <mergeCell ref="M8:M9"/>
    <mergeCell ref="A1:W1"/>
    <mergeCell ref="A2:W2"/>
    <mergeCell ref="A3:W3"/>
    <mergeCell ref="A5:W5"/>
    <mergeCell ref="A7:G7"/>
    <mergeCell ref="I7:M7"/>
    <mergeCell ref="O7:W7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8.5703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0" width="1.42578125" style="12" customWidth="1"/>
    <col min="11" max="11" width="7.140625" style="12" customWidth="1"/>
    <col min="12" max="12" width="1.42578125" style="12" customWidth="1"/>
    <col min="13" max="13" width="7.140625" style="12" customWidth="1"/>
    <col min="14" max="14" width="1.42578125" style="12" customWidth="1"/>
    <col min="15" max="15" width="11.42578125" style="12" customWidth="1"/>
    <col min="16" max="16" width="1.42578125" style="12" customWidth="1"/>
    <col min="17" max="17" width="18.42578125" style="12" customWidth="1"/>
    <col min="18" max="18" width="1.42578125" style="12" customWidth="1"/>
    <col min="19" max="19" width="18.42578125" style="12" customWidth="1"/>
    <col min="20" max="20" width="1.42578125" style="12" customWidth="1"/>
    <col min="21" max="21" width="11.42578125" style="12" customWidth="1"/>
    <col min="22" max="22" width="18.42578125" style="12" customWidth="1"/>
    <col min="23" max="23" width="1.42578125" style="12" customWidth="1"/>
    <col min="24" max="24" width="11.42578125" style="12" customWidth="1"/>
    <col min="25" max="25" width="18.42578125" style="12" customWidth="1"/>
    <col min="26" max="26" width="1.42578125" style="12" customWidth="1"/>
    <col min="27" max="27" width="11.42578125" style="12" customWidth="1"/>
    <col min="28" max="28" width="1.42578125" style="12" customWidth="1"/>
    <col min="29" max="29" width="11.42578125" style="12" customWidth="1"/>
    <col min="30" max="30" width="1.42578125" style="12" customWidth="1"/>
    <col min="31" max="31" width="18.42578125" style="12" customWidth="1"/>
    <col min="32" max="32" width="1.42578125" style="12" customWidth="1"/>
    <col min="33" max="33" width="18.42578125" style="12" customWidth="1"/>
    <col min="34" max="34" width="1.42578125" style="12" customWidth="1"/>
    <col min="35" max="35" width="8.5703125" style="12" customWidth="1"/>
    <col min="36" max="16384" width="9.140625" style="12"/>
  </cols>
  <sheetData>
    <row r="1" spans="1:35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5" spans="1:35" ht="21" x14ac:dyDescent="0.45">
      <c r="A5" s="13" t="s">
        <v>184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7" spans="1:35" ht="21" x14ac:dyDescent="0.45">
      <c r="C7" s="14" t="s">
        <v>185</v>
      </c>
      <c r="D7" s="15"/>
      <c r="E7" s="15"/>
      <c r="F7" s="15"/>
      <c r="G7" s="15"/>
      <c r="H7" s="15"/>
      <c r="I7" s="15"/>
      <c r="J7" s="15"/>
      <c r="K7" s="15"/>
      <c r="L7" s="15"/>
      <c r="M7" s="15"/>
      <c r="O7" s="14" t="s">
        <v>5</v>
      </c>
      <c r="P7" s="15"/>
      <c r="Q7" s="15"/>
      <c r="R7" s="15"/>
      <c r="S7" s="15"/>
      <c r="U7" s="14" t="s">
        <v>6</v>
      </c>
      <c r="V7" s="15"/>
      <c r="W7" s="15"/>
      <c r="X7" s="15"/>
      <c r="Y7" s="15"/>
      <c r="AA7" s="14" t="s">
        <v>7</v>
      </c>
      <c r="AB7" s="15"/>
      <c r="AC7" s="15"/>
      <c r="AD7" s="15"/>
      <c r="AE7" s="15"/>
      <c r="AF7" s="15"/>
      <c r="AG7" s="15"/>
      <c r="AH7" s="15"/>
      <c r="AI7" s="15"/>
    </row>
    <row r="8" spans="1:35" ht="18.75" x14ac:dyDescent="0.45">
      <c r="A8" s="16" t="s">
        <v>186</v>
      </c>
      <c r="C8" s="17" t="s">
        <v>187</v>
      </c>
      <c r="E8" s="17" t="s">
        <v>188</v>
      </c>
      <c r="G8" s="17" t="s">
        <v>189</v>
      </c>
      <c r="I8" s="17" t="s">
        <v>190</v>
      </c>
      <c r="K8" s="17" t="s">
        <v>191</v>
      </c>
      <c r="M8" s="17" t="s">
        <v>192</v>
      </c>
      <c r="O8" s="16" t="s">
        <v>9</v>
      </c>
      <c r="Q8" s="16" t="s">
        <v>10</v>
      </c>
      <c r="S8" s="16" t="s">
        <v>11</v>
      </c>
      <c r="U8" s="16" t="s">
        <v>12</v>
      </c>
      <c r="V8" s="11"/>
      <c r="X8" s="16" t="s">
        <v>13</v>
      </c>
      <c r="Y8" s="11"/>
      <c r="AA8" s="16" t="s">
        <v>9</v>
      </c>
      <c r="AC8" s="17" t="s">
        <v>193</v>
      </c>
      <c r="AE8" s="16" t="s">
        <v>10</v>
      </c>
      <c r="AG8" s="16" t="s">
        <v>11</v>
      </c>
      <c r="AI8" s="17" t="s">
        <v>15</v>
      </c>
    </row>
    <row r="9" spans="1:35" ht="18.75" x14ac:dyDescent="0.45">
      <c r="A9" s="18"/>
      <c r="C9" s="18"/>
      <c r="E9" s="18"/>
      <c r="G9" s="18"/>
      <c r="I9" s="18"/>
      <c r="K9" s="18"/>
      <c r="M9" s="18"/>
      <c r="O9" s="18"/>
      <c r="Q9" s="18"/>
      <c r="S9" s="18"/>
      <c r="U9" s="19" t="s">
        <v>9</v>
      </c>
      <c r="V9" s="19" t="s">
        <v>10</v>
      </c>
      <c r="X9" s="19" t="s">
        <v>9</v>
      </c>
      <c r="Y9" s="19" t="s">
        <v>16</v>
      </c>
      <c r="AA9" s="18"/>
      <c r="AC9" s="18"/>
      <c r="AE9" s="18"/>
      <c r="AG9" s="18"/>
      <c r="AI9" s="18"/>
    </row>
    <row r="10" spans="1:35" ht="18.75" x14ac:dyDescent="0.45">
      <c r="A10" s="24" t="s">
        <v>170</v>
      </c>
      <c r="O10" s="24">
        <f>SUM($O$9)</f>
        <v>0</v>
      </c>
      <c r="Q10" s="24">
        <f>SUM($Q$9)</f>
        <v>0</v>
      </c>
      <c r="S10" s="24">
        <f>SUM($S$9)</f>
        <v>0</v>
      </c>
      <c r="U10" s="24">
        <f>SUM($U$9)</f>
        <v>0</v>
      </c>
      <c r="V10" s="24">
        <f>SUM($V$9)</f>
        <v>0</v>
      </c>
      <c r="X10" s="24">
        <f>SUM($X$9)</f>
        <v>0</v>
      </c>
      <c r="Y10" s="24">
        <f>SUM($Y$9)</f>
        <v>0</v>
      </c>
      <c r="AA10" s="24">
        <f>SUM($AA$9)</f>
        <v>0</v>
      </c>
      <c r="AC10" s="24">
        <f>SUM($AC$9)</f>
        <v>0</v>
      </c>
      <c r="AE10" s="24">
        <f>SUM($AE$9)</f>
        <v>0</v>
      </c>
      <c r="AG10" s="24">
        <f>SUM($AG$9)</f>
        <v>0</v>
      </c>
      <c r="AI10" s="25">
        <f>SUM($AI$9)</f>
        <v>0</v>
      </c>
    </row>
    <row r="11" spans="1:35" ht="18.75" x14ac:dyDescent="0.45">
      <c r="O11" s="26"/>
      <c r="Q11" s="26"/>
      <c r="S11" s="26"/>
      <c r="U11" s="26"/>
      <c r="V11" s="26"/>
      <c r="X11" s="26"/>
      <c r="Y11" s="26"/>
      <c r="AA11" s="26"/>
      <c r="AC11" s="26"/>
      <c r="AE11" s="26"/>
      <c r="AG11" s="26"/>
      <c r="AI11" s="26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8.42578125" style="12" customWidth="1"/>
    <col min="2" max="2" width="1.42578125" style="12" customWidth="1"/>
    <col min="3" max="3" width="11.42578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4.140625" style="12" customWidth="1"/>
    <col min="8" max="8" width="1.42578125" style="12" customWidth="1"/>
    <col min="9" max="9" width="8.5703125" style="12" customWidth="1"/>
    <col min="10" max="10" width="1.42578125" style="12" customWidth="1"/>
    <col min="11" max="11" width="21.28515625" style="12" customWidth="1"/>
    <col min="12" max="12" width="1.42578125" style="12" customWidth="1"/>
    <col min="13" max="13" width="2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194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21" x14ac:dyDescent="0.45">
      <c r="A6" s="13" t="s">
        <v>195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8" spans="1:13" ht="21" x14ac:dyDescent="0.45">
      <c r="C8" s="14" t="s">
        <v>7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42" x14ac:dyDescent="0.45">
      <c r="A9" s="27" t="s">
        <v>196</v>
      </c>
      <c r="C9" s="27" t="s">
        <v>9</v>
      </c>
      <c r="E9" s="27" t="s">
        <v>197</v>
      </c>
      <c r="G9" s="27" t="s">
        <v>198</v>
      </c>
      <c r="I9" s="27" t="s">
        <v>199</v>
      </c>
      <c r="K9" s="28" t="s">
        <v>200</v>
      </c>
      <c r="M9" s="27" t="s">
        <v>201</v>
      </c>
    </row>
    <row r="10" spans="1:13" ht="18.75" x14ac:dyDescent="0.45">
      <c r="A10" s="24" t="s">
        <v>170</v>
      </c>
      <c r="K10" s="24">
        <f>SUM($K$9)</f>
        <v>0</v>
      </c>
    </row>
    <row r="11" spans="1:13" ht="18.75" x14ac:dyDescent="0.45">
      <c r="K11" s="26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7"/>
  <sheetViews>
    <sheetView rightToLeft="1" view="pageBreakPreview" zoomScale="86" zoomScaleNormal="100" zoomScaleSheetLayoutView="86" workbookViewId="0">
      <selection sqref="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0.7109375" style="12" customWidth="1"/>
    <col min="12" max="16384" width="9.140625" style="12"/>
  </cols>
  <sheetData>
    <row r="1" spans="1:16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6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6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6" ht="21" x14ac:dyDescent="0.55000000000000004">
      <c r="A5" s="42" t="s">
        <v>327</v>
      </c>
      <c r="B5" s="43"/>
      <c r="C5" s="43"/>
      <c r="D5" s="43"/>
      <c r="E5" s="43"/>
      <c r="F5" s="43"/>
      <c r="G5" s="43"/>
      <c r="H5" s="43"/>
      <c r="I5" s="43"/>
      <c r="J5" s="43"/>
      <c r="K5" s="43"/>
      <c r="P5" s="36"/>
    </row>
    <row r="7" spans="1:16" ht="21" x14ac:dyDescent="0.45">
      <c r="C7" s="27" t="s">
        <v>5</v>
      </c>
      <c r="E7" s="14" t="s">
        <v>6</v>
      </c>
      <c r="F7" s="15"/>
      <c r="G7" s="15"/>
      <c r="I7" s="14" t="s">
        <v>7</v>
      </c>
      <c r="J7" s="15"/>
      <c r="K7" s="15"/>
    </row>
    <row r="8" spans="1:16" ht="63" x14ac:dyDescent="0.45">
      <c r="A8" s="27" t="s">
        <v>202</v>
      </c>
      <c r="C8" s="27" t="s">
        <v>203</v>
      </c>
      <c r="E8" s="27" t="s">
        <v>204</v>
      </c>
      <c r="G8" s="27" t="s">
        <v>205</v>
      </c>
      <c r="I8" s="27" t="s">
        <v>203</v>
      </c>
      <c r="K8" s="28" t="s">
        <v>15</v>
      </c>
    </row>
    <row r="9" spans="1:16" ht="18.75" x14ac:dyDescent="0.45">
      <c r="A9" s="38" t="s">
        <v>320</v>
      </c>
      <c r="C9" s="21">
        <v>8138246</v>
      </c>
      <c r="E9" s="21">
        <v>34483</v>
      </c>
      <c r="G9" s="21">
        <v>18000</v>
      </c>
      <c r="I9" s="21">
        <v>8154729</v>
      </c>
      <c r="K9" s="23">
        <v>3.5854063922859777E-6</v>
      </c>
    </row>
    <row r="10" spans="1:16" ht="18.75" x14ac:dyDescent="0.45">
      <c r="A10" s="38" t="s">
        <v>322</v>
      </c>
      <c r="C10" s="21">
        <v>427612369</v>
      </c>
      <c r="E10" s="21">
        <v>107610508955</v>
      </c>
      <c r="G10" s="21">
        <v>108036003398</v>
      </c>
      <c r="I10" s="21">
        <v>2117926</v>
      </c>
      <c r="K10" s="23">
        <v>9.3119285984717229E-7</v>
      </c>
    </row>
    <row r="11" spans="1:16" ht="18.75" x14ac:dyDescent="0.45">
      <c r="A11" s="38" t="s">
        <v>321</v>
      </c>
      <c r="C11" s="21">
        <v>63762953131</v>
      </c>
      <c r="E11" s="21">
        <v>90157160968</v>
      </c>
      <c r="G11" s="21">
        <v>105702973000</v>
      </c>
      <c r="I11" s="21">
        <v>48217141099</v>
      </c>
      <c r="K11" s="23">
        <v>2.1199729128228484E-2</v>
      </c>
    </row>
    <row r="12" spans="1:16" ht="18.75" x14ac:dyDescent="0.45">
      <c r="A12" s="38" t="s">
        <v>326</v>
      </c>
      <c r="C12" s="21">
        <v>652760</v>
      </c>
      <c r="E12" s="21">
        <v>2760</v>
      </c>
      <c r="G12" s="21">
        <v>0</v>
      </c>
      <c r="I12" s="21">
        <v>655520</v>
      </c>
      <c r="K12" s="23">
        <v>2.8821382025954561E-7</v>
      </c>
    </row>
    <row r="13" spans="1:16" ht="18.75" x14ac:dyDescent="0.45">
      <c r="A13" s="38" t="s">
        <v>325</v>
      </c>
      <c r="C13" s="21">
        <v>16117346</v>
      </c>
      <c r="E13" s="21">
        <v>68155</v>
      </c>
      <c r="G13" s="21">
        <v>0</v>
      </c>
      <c r="I13" s="21">
        <v>16185501</v>
      </c>
      <c r="K13" s="23">
        <v>7.116312356640065E-6</v>
      </c>
    </row>
    <row r="14" spans="1:16" ht="18.75" x14ac:dyDescent="0.45">
      <c r="A14" s="38" t="s">
        <v>324</v>
      </c>
      <c r="C14" s="21">
        <v>9670262</v>
      </c>
      <c r="E14" s="21">
        <v>40891</v>
      </c>
      <c r="G14" s="21">
        <v>14400</v>
      </c>
      <c r="I14" s="21">
        <v>9696753</v>
      </c>
      <c r="K14" s="23">
        <v>4.263391240912878E-6</v>
      </c>
    </row>
    <row r="15" spans="1:16" s="40" customFormat="1" ht="18.75" x14ac:dyDescent="0.45">
      <c r="A15" s="39" t="s">
        <v>323</v>
      </c>
      <c r="C15" s="41">
        <v>334379383</v>
      </c>
      <c r="E15" s="41">
        <v>4835851902</v>
      </c>
      <c r="G15" s="41">
        <v>5121049653</v>
      </c>
      <c r="I15" s="41">
        <v>49181632</v>
      </c>
      <c r="K15" s="23">
        <v>2.1623788816998895E-5</v>
      </c>
    </row>
    <row r="16" spans="1:16" ht="19.5" thickBot="1" x14ac:dyDescent="0.5">
      <c r="A16" s="24" t="s">
        <v>170</v>
      </c>
      <c r="C16" s="24">
        <f>SUM(C9:$C$15)</f>
        <v>64559523497</v>
      </c>
      <c r="E16" s="24">
        <f>SUM(E9:$E$15)</f>
        <v>202603668114</v>
      </c>
      <c r="G16" s="24">
        <f>SUM(G9:$G$15)</f>
        <v>218860058451</v>
      </c>
      <c r="I16" s="24">
        <f>SUM(I9:$I$15)</f>
        <v>48303133160</v>
      </c>
      <c r="K16" s="25">
        <f>SUM(K9:$K$15)</f>
        <v>2.1237537433715429E-2</v>
      </c>
    </row>
    <row r="17" spans="3:11" ht="19.5" thickTop="1" x14ac:dyDescent="0.45">
      <c r="C17" s="26"/>
      <c r="E17" s="26"/>
      <c r="G17" s="26"/>
      <c r="I17" s="26"/>
      <c r="K17" s="26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4"/>
  <sheetViews>
    <sheetView rightToLeft="1" tabSelected="1" view="pageBreakPreview" zoomScale="78" zoomScaleNormal="100" zoomScaleSheetLayoutView="78" workbookViewId="0">
      <selection sqref="A1:XFD1048576"/>
    </sheetView>
  </sheetViews>
  <sheetFormatPr defaultRowHeight="18" x14ac:dyDescent="0.45"/>
  <cols>
    <col min="1" max="1" width="57.5703125" style="12" bestFit="1" customWidth="1"/>
    <col min="2" max="2" width="1.42578125" style="12" customWidth="1"/>
    <col min="3" max="3" width="11.42578125" style="12" customWidth="1"/>
    <col min="4" max="4" width="1.42578125" style="12" customWidth="1"/>
    <col min="5" max="5" width="21.285156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6384" width="9.140625" style="12"/>
  </cols>
  <sheetData>
    <row r="1" spans="1:12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12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</row>
    <row r="3" spans="1:12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4" spans="1:12" x14ac:dyDescent="0.45">
      <c r="L4" s="36"/>
    </row>
    <row r="5" spans="1:12" ht="21" x14ac:dyDescent="0.45">
      <c r="A5" s="13" t="s">
        <v>207</v>
      </c>
      <c r="B5" s="11"/>
      <c r="C5" s="11"/>
      <c r="D5" s="11"/>
      <c r="E5" s="11"/>
      <c r="F5" s="11"/>
      <c r="G5" s="11"/>
      <c r="H5" s="11"/>
      <c r="I5" s="11"/>
    </row>
    <row r="7" spans="1:12" ht="42" x14ac:dyDescent="0.45">
      <c r="A7" s="27" t="s">
        <v>208</v>
      </c>
      <c r="C7" s="27" t="s">
        <v>209</v>
      </c>
      <c r="E7" s="27" t="s">
        <v>203</v>
      </c>
      <c r="G7" s="28" t="s">
        <v>210</v>
      </c>
      <c r="I7" s="28" t="s">
        <v>211</v>
      </c>
    </row>
    <row r="8" spans="1:12" ht="21" x14ac:dyDescent="0.45">
      <c r="A8" s="34" t="s">
        <v>212</v>
      </c>
      <c r="C8" s="22" t="s">
        <v>328</v>
      </c>
      <c r="E8" s="21">
        <v>60252601560</v>
      </c>
      <c r="G8" s="23">
        <v>0.90744002672329072</v>
      </c>
      <c r="I8" s="23">
        <v>2.6491384665889458E-2</v>
      </c>
    </row>
    <row r="9" spans="1:12" ht="21" x14ac:dyDescent="0.45">
      <c r="A9" s="34" t="s">
        <v>329</v>
      </c>
      <c r="C9" s="22" t="s">
        <v>330</v>
      </c>
      <c r="E9" s="21">
        <v>0</v>
      </c>
      <c r="G9" s="23">
        <v>0</v>
      </c>
      <c r="I9" s="23">
        <v>0</v>
      </c>
    </row>
    <row r="10" spans="1:12" ht="21" x14ac:dyDescent="0.45">
      <c r="A10" s="34" t="s">
        <v>213</v>
      </c>
      <c r="C10" s="22" t="s">
        <v>331</v>
      </c>
      <c r="E10" s="21">
        <v>0</v>
      </c>
      <c r="G10" s="23">
        <v>0</v>
      </c>
      <c r="I10" s="23">
        <v>0</v>
      </c>
    </row>
    <row r="11" spans="1:12" ht="21" x14ac:dyDescent="0.45">
      <c r="A11" s="34" t="s">
        <v>214</v>
      </c>
      <c r="C11" s="22" t="s">
        <v>332</v>
      </c>
      <c r="E11" s="21">
        <v>6145837770</v>
      </c>
      <c r="G11" s="23">
        <v>9.2559973276709243E-2</v>
      </c>
      <c r="I11" s="23">
        <v>2.7021530729605604E-3</v>
      </c>
    </row>
    <row r="12" spans="1:12" ht="21" x14ac:dyDescent="0.45">
      <c r="A12" s="34" t="s">
        <v>215</v>
      </c>
      <c r="C12" s="22" t="s">
        <v>333</v>
      </c>
      <c r="E12" s="21">
        <v>0</v>
      </c>
      <c r="G12" s="23">
        <v>0</v>
      </c>
      <c r="I12" s="23">
        <v>0</v>
      </c>
    </row>
    <row r="13" spans="1:12" ht="21" x14ac:dyDescent="0.45">
      <c r="A13" s="27" t="s">
        <v>170</v>
      </c>
      <c r="E13" s="24">
        <f>SUM(E8:$E$12)</f>
        <v>66398439330</v>
      </c>
      <c r="G13" s="25">
        <f>SUM(G8:$G$12)</f>
        <v>1</v>
      </c>
      <c r="I13" s="25">
        <f>SUM(I8:$I$12)</f>
        <v>2.9193537738850018E-2</v>
      </c>
    </row>
    <row r="14" spans="1:12" ht="18.75" x14ac:dyDescent="0.45">
      <c r="E14" s="26"/>
      <c r="G14" s="26"/>
      <c r="I14" s="26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5"/>
  <sheetViews>
    <sheetView rightToLeft="1" view="pageBreakPreview" topLeftCell="A52" zoomScale="87" zoomScaleNormal="100" zoomScaleSheetLayoutView="87" workbookViewId="0">
      <selection sqref="A1:XFD1048576"/>
    </sheetView>
  </sheetViews>
  <sheetFormatPr defaultRowHeight="18" x14ac:dyDescent="0.45"/>
  <cols>
    <col min="1" max="1" width="17.5703125" style="12" bestFit="1" customWidth="1"/>
    <col min="2" max="2" width="1.42578125" style="12" customWidth="1"/>
    <col min="3" max="3" width="12.5703125" style="12" bestFit="1" customWidth="1"/>
    <col min="4" max="4" width="1.42578125" style="12" customWidth="1"/>
    <col min="5" max="5" width="17.5703125" style="12" bestFit="1" customWidth="1"/>
    <col min="6" max="6" width="1.42578125" style="12" customWidth="1"/>
    <col min="7" max="7" width="10.5703125" style="12" bestFit="1" customWidth="1"/>
    <col min="8" max="8" width="1.42578125" style="12" customWidth="1"/>
    <col min="9" max="9" width="15.5703125" style="12" bestFit="1" customWidth="1"/>
    <col min="10" max="10" width="1.42578125" style="12" customWidth="1"/>
    <col min="11" max="11" width="14.42578125" style="12" bestFit="1" customWidth="1"/>
    <col min="12" max="12" width="1.42578125" style="12" customWidth="1"/>
    <col min="13" max="13" width="16.140625" style="12" bestFit="1" customWidth="1"/>
    <col min="14" max="14" width="1.42578125" style="12" customWidth="1"/>
    <col min="15" max="15" width="18" style="12" bestFit="1" customWidth="1"/>
    <col min="16" max="16" width="1.42578125" style="12" customWidth="1"/>
    <col min="17" max="17" width="16.28515625" style="12" bestFit="1" customWidth="1"/>
    <col min="18" max="18" width="1.42578125" style="12" customWidth="1"/>
    <col min="19" max="19" width="18" style="12" bestFit="1" customWidth="1"/>
    <col min="20" max="16384" width="9.140625" style="12"/>
  </cols>
  <sheetData>
    <row r="1" spans="1:1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1:19" ht="21" x14ac:dyDescent="0.45">
      <c r="A5" s="13" t="s">
        <v>216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7" spans="1:19" ht="21" x14ac:dyDescent="0.45">
      <c r="C7" s="14" t="s">
        <v>217</v>
      </c>
      <c r="D7" s="15"/>
      <c r="E7" s="15"/>
      <c r="F7" s="15"/>
      <c r="G7" s="15"/>
      <c r="I7" s="14" t="s">
        <v>218</v>
      </c>
      <c r="J7" s="15"/>
      <c r="K7" s="15"/>
      <c r="L7" s="15"/>
      <c r="M7" s="15"/>
      <c r="O7" s="14" t="s">
        <v>7</v>
      </c>
      <c r="P7" s="15"/>
      <c r="Q7" s="15"/>
      <c r="R7" s="15"/>
      <c r="S7" s="15"/>
    </row>
    <row r="8" spans="1:19" ht="63" x14ac:dyDescent="0.45">
      <c r="A8" s="27" t="s">
        <v>172</v>
      </c>
      <c r="C8" s="28" t="s">
        <v>219</v>
      </c>
      <c r="E8" s="28" t="s">
        <v>220</v>
      </c>
      <c r="G8" s="28" t="s">
        <v>221</v>
      </c>
      <c r="I8" s="28" t="s">
        <v>222</v>
      </c>
      <c r="K8" s="28" t="s">
        <v>223</v>
      </c>
      <c r="M8" s="28" t="s">
        <v>224</v>
      </c>
      <c r="O8" s="28" t="s">
        <v>222</v>
      </c>
      <c r="Q8" s="28" t="s">
        <v>223</v>
      </c>
      <c r="S8" s="28" t="s">
        <v>224</v>
      </c>
    </row>
    <row r="9" spans="1:19" ht="37.5" x14ac:dyDescent="0.45">
      <c r="A9" s="29" t="s">
        <v>17</v>
      </c>
      <c r="C9" s="22" t="s">
        <v>225</v>
      </c>
      <c r="E9" s="21">
        <v>50000</v>
      </c>
      <c r="G9" s="21">
        <v>3980</v>
      </c>
      <c r="N9" s="22"/>
      <c r="O9" s="21">
        <v>199000000</v>
      </c>
      <c r="Q9" s="21">
        <v>0</v>
      </c>
      <c r="S9" s="21">
        <v>199000000</v>
      </c>
    </row>
    <row r="10" spans="1:19" ht="18.75" x14ac:dyDescent="0.45">
      <c r="A10" s="29" t="s">
        <v>18</v>
      </c>
      <c r="C10" s="22" t="s">
        <v>226</v>
      </c>
      <c r="E10" s="21">
        <v>245000</v>
      </c>
      <c r="G10" s="21">
        <v>100</v>
      </c>
      <c r="N10" s="22"/>
      <c r="O10" s="21">
        <v>24500000</v>
      </c>
      <c r="Q10" s="21">
        <v>-811258</v>
      </c>
      <c r="S10" s="21">
        <v>23688742</v>
      </c>
    </row>
    <row r="11" spans="1:19" ht="18.75" x14ac:dyDescent="0.45">
      <c r="A11" s="29" t="s">
        <v>19</v>
      </c>
      <c r="C11" s="22" t="s">
        <v>227</v>
      </c>
      <c r="E11" s="21">
        <v>6813853</v>
      </c>
      <c r="G11" s="21">
        <v>637</v>
      </c>
      <c r="N11" s="22"/>
      <c r="O11" s="21">
        <v>4340424361</v>
      </c>
      <c r="Q11" s="21">
        <v>0</v>
      </c>
      <c r="S11" s="21">
        <v>4340424361</v>
      </c>
    </row>
    <row r="12" spans="1:19" ht="18.75" x14ac:dyDescent="0.45">
      <c r="A12" s="29" t="s">
        <v>23</v>
      </c>
      <c r="C12" s="22" t="s">
        <v>228</v>
      </c>
      <c r="E12" s="21">
        <v>19134677</v>
      </c>
      <c r="G12" s="21">
        <v>35</v>
      </c>
      <c r="N12" s="22"/>
      <c r="O12" s="21">
        <v>669713695</v>
      </c>
      <c r="Q12" s="21">
        <v>-11274641</v>
      </c>
      <c r="S12" s="21">
        <v>658439054</v>
      </c>
    </row>
    <row r="13" spans="1:19" ht="18.75" x14ac:dyDescent="0.45">
      <c r="A13" s="29" t="s">
        <v>24</v>
      </c>
      <c r="C13" s="22" t="s">
        <v>229</v>
      </c>
      <c r="E13" s="21">
        <v>2291471</v>
      </c>
      <c r="G13" s="21">
        <v>1940</v>
      </c>
      <c r="N13" s="22"/>
      <c r="O13" s="21">
        <v>4445453740</v>
      </c>
      <c r="Q13" s="21">
        <v>-27235591</v>
      </c>
      <c r="S13" s="21">
        <v>4418218149</v>
      </c>
    </row>
    <row r="14" spans="1:19" ht="18.75" x14ac:dyDescent="0.45">
      <c r="A14" s="29" t="s">
        <v>25</v>
      </c>
      <c r="C14" s="22" t="s">
        <v>230</v>
      </c>
      <c r="E14" s="21">
        <v>14265950</v>
      </c>
      <c r="G14" s="21">
        <v>135</v>
      </c>
      <c r="N14" s="22"/>
      <c r="O14" s="21">
        <v>1925903250</v>
      </c>
      <c r="Q14" s="21">
        <v>-43829123</v>
      </c>
      <c r="S14" s="21">
        <v>1882074127</v>
      </c>
    </row>
    <row r="15" spans="1:19" ht="18.75" x14ac:dyDescent="0.45">
      <c r="A15" s="29" t="s">
        <v>231</v>
      </c>
      <c r="C15" s="22" t="s">
        <v>232</v>
      </c>
      <c r="E15" s="21">
        <v>500000</v>
      </c>
      <c r="G15" s="21">
        <v>1425</v>
      </c>
      <c r="N15" s="22"/>
      <c r="O15" s="21">
        <v>712500000</v>
      </c>
      <c r="Q15" s="21">
        <v>0</v>
      </c>
      <c r="S15" s="21">
        <v>712500000</v>
      </c>
    </row>
    <row r="16" spans="1:19" ht="18.75" x14ac:dyDescent="0.45">
      <c r="A16" s="29" t="s">
        <v>27</v>
      </c>
      <c r="C16" s="22" t="s">
        <v>233</v>
      </c>
      <c r="E16" s="21">
        <v>1750000</v>
      </c>
      <c r="G16" s="21">
        <v>400</v>
      </c>
      <c r="N16" s="22"/>
      <c r="O16" s="21">
        <v>700000000</v>
      </c>
      <c r="Q16" s="21">
        <v>0</v>
      </c>
      <c r="S16" s="21">
        <v>700000000</v>
      </c>
    </row>
    <row r="17" spans="1:19" ht="18.75" x14ac:dyDescent="0.45">
      <c r="A17" s="29" t="s">
        <v>28</v>
      </c>
      <c r="C17" s="22" t="s">
        <v>234</v>
      </c>
      <c r="E17" s="21">
        <v>13509504</v>
      </c>
      <c r="G17" s="21">
        <v>50</v>
      </c>
      <c r="N17" s="22"/>
      <c r="O17" s="21">
        <v>675475200</v>
      </c>
      <c r="Q17" s="21">
        <v>-24951591</v>
      </c>
      <c r="S17" s="21">
        <v>650523609</v>
      </c>
    </row>
    <row r="18" spans="1:19" ht="18.75" x14ac:dyDescent="0.45">
      <c r="A18" s="29" t="s">
        <v>35</v>
      </c>
      <c r="C18" s="22" t="s">
        <v>235</v>
      </c>
      <c r="E18" s="21">
        <v>1562500</v>
      </c>
      <c r="G18" s="21">
        <v>440</v>
      </c>
      <c r="N18" s="22"/>
      <c r="O18" s="21">
        <v>687500000</v>
      </c>
      <c r="Q18" s="21">
        <v>0</v>
      </c>
      <c r="S18" s="21">
        <v>687500000</v>
      </c>
    </row>
    <row r="19" spans="1:19" ht="18.75" x14ac:dyDescent="0.45">
      <c r="A19" s="29" t="s">
        <v>40</v>
      </c>
      <c r="C19" s="22" t="s">
        <v>236</v>
      </c>
      <c r="E19" s="21">
        <v>18000000</v>
      </c>
      <c r="G19" s="21">
        <v>1000</v>
      </c>
      <c r="N19" s="22"/>
      <c r="O19" s="21">
        <v>18000000000</v>
      </c>
      <c r="Q19" s="21">
        <v>0</v>
      </c>
      <c r="S19" s="21">
        <v>18000000000</v>
      </c>
    </row>
    <row r="20" spans="1:19" ht="18.75" x14ac:dyDescent="0.45">
      <c r="A20" s="29" t="s">
        <v>237</v>
      </c>
      <c r="C20" s="22" t="s">
        <v>238</v>
      </c>
      <c r="E20" s="21">
        <v>4739606</v>
      </c>
      <c r="G20" s="21">
        <v>460</v>
      </c>
      <c r="N20" s="22"/>
      <c r="O20" s="21">
        <v>2180218760</v>
      </c>
      <c r="Q20" s="21">
        <v>-1492278</v>
      </c>
      <c r="S20" s="21">
        <v>2178726482</v>
      </c>
    </row>
    <row r="21" spans="1:19" ht="18.75" x14ac:dyDescent="0.45">
      <c r="A21" s="29" t="s">
        <v>43</v>
      </c>
      <c r="C21" s="22" t="s">
        <v>232</v>
      </c>
      <c r="E21" s="21">
        <v>9127149</v>
      </c>
      <c r="G21" s="21">
        <v>167</v>
      </c>
      <c r="N21" s="22"/>
      <c r="O21" s="21">
        <v>1524233883</v>
      </c>
      <c r="Q21" s="21">
        <v>-30689273</v>
      </c>
      <c r="S21" s="21">
        <v>1493544610</v>
      </c>
    </row>
    <row r="22" spans="1:19" ht="37.5" x14ac:dyDescent="0.45">
      <c r="A22" s="29" t="s">
        <v>44</v>
      </c>
      <c r="C22" s="22" t="s">
        <v>239</v>
      </c>
      <c r="E22" s="21">
        <v>842177</v>
      </c>
      <c r="G22" s="21">
        <v>35</v>
      </c>
      <c r="N22" s="22"/>
      <c r="O22" s="21">
        <v>29476195</v>
      </c>
      <c r="Q22" s="21">
        <v>-1070093</v>
      </c>
      <c r="S22" s="21">
        <v>28406102</v>
      </c>
    </row>
    <row r="23" spans="1:19" ht="37.5" x14ac:dyDescent="0.45">
      <c r="A23" s="29" t="s">
        <v>48</v>
      </c>
      <c r="C23" s="22" t="s">
        <v>240</v>
      </c>
      <c r="E23" s="21">
        <v>6645110</v>
      </c>
      <c r="G23" s="21">
        <v>1600</v>
      </c>
      <c r="N23" s="22"/>
      <c r="O23" s="21">
        <v>10632176000</v>
      </c>
      <c r="Q23" s="21">
        <v>0</v>
      </c>
      <c r="S23" s="21">
        <v>10632176000</v>
      </c>
    </row>
    <row r="24" spans="1:19" ht="18.75" x14ac:dyDescent="0.45">
      <c r="A24" s="29" t="s">
        <v>49</v>
      </c>
      <c r="C24" s="22" t="s">
        <v>241</v>
      </c>
      <c r="E24" s="21">
        <v>1000000</v>
      </c>
      <c r="G24" s="21">
        <v>600</v>
      </c>
      <c r="N24" s="22"/>
      <c r="O24" s="21">
        <v>600000000</v>
      </c>
      <c r="Q24" s="21">
        <v>0</v>
      </c>
      <c r="S24" s="21">
        <v>600000000</v>
      </c>
    </row>
    <row r="25" spans="1:19" ht="18.75" x14ac:dyDescent="0.45">
      <c r="A25" s="29" t="s">
        <v>50</v>
      </c>
      <c r="C25" s="22" t="s">
        <v>242</v>
      </c>
      <c r="E25" s="21">
        <v>31806527</v>
      </c>
      <c r="G25" s="21">
        <v>120</v>
      </c>
      <c r="N25" s="22"/>
      <c r="O25" s="21">
        <v>3816783240</v>
      </c>
      <c r="Q25" s="21">
        <v>-138563088</v>
      </c>
      <c r="S25" s="21">
        <v>3678220152</v>
      </c>
    </row>
    <row r="26" spans="1:19" ht="18.75" x14ac:dyDescent="0.45">
      <c r="A26" s="29" t="s">
        <v>53</v>
      </c>
      <c r="C26" s="22" t="s">
        <v>243</v>
      </c>
      <c r="E26" s="21">
        <v>236747</v>
      </c>
      <c r="G26" s="21">
        <v>2300</v>
      </c>
      <c r="N26" s="22"/>
      <c r="O26" s="21">
        <v>544518100</v>
      </c>
      <c r="Q26" s="21">
        <v>-3336054</v>
      </c>
      <c r="S26" s="21">
        <v>541182046</v>
      </c>
    </row>
    <row r="27" spans="1:19" ht="18.75" x14ac:dyDescent="0.45">
      <c r="A27" s="29" t="s">
        <v>57</v>
      </c>
      <c r="C27" s="22" t="s">
        <v>235</v>
      </c>
      <c r="E27" s="21">
        <v>2773715</v>
      </c>
      <c r="G27" s="21">
        <v>5375</v>
      </c>
      <c r="N27" s="22"/>
      <c r="O27" s="21">
        <v>14908718125</v>
      </c>
      <c r="Q27" s="21">
        <v>-61017946</v>
      </c>
      <c r="S27" s="21">
        <v>14847700179</v>
      </c>
    </row>
    <row r="28" spans="1:19" ht="37.5" x14ac:dyDescent="0.45">
      <c r="A28" s="29" t="s">
        <v>59</v>
      </c>
      <c r="C28" s="22" t="s">
        <v>244</v>
      </c>
      <c r="E28" s="21">
        <v>122374</v>
      </c>
      <c r="G28" s="21">
        <v>2400</v>
      </c>
      <c r="N28" s="22"/>
      <c r="O28" s="21">
        <v>293697600</v>
      </c>
      <c r="Q28" s="21">
        <v>-11593326</v>
      </c>
      <c r="S28" s="21">
        <v>282104274</v>
      </c>
    </row>
    <row r="29" spans="1:19" ht="18.75" x14ac:dyDescent="0.45">
      <c r="A29" s="29" t="s">
        <v>60</v>
      </c>
      <c r="C29" s="22" t="s">
        <v>245</v>
      </c>
      <c r="E29" s="21">
        <v>2672602</v>
      </c>
      <c r="G29" s="21">
        <v>1150</v>
      </c>
      <c r="N29" s="22"/>
      <c r="O29" s="21">
        <v>3073492300</v>
      </c>
      <c r="Q29" s="21">
        <v>0</v>
      </c>
      <c r="S29" s="21">
        <v>3073492300</v>
      </c>
    </row>
    <row r="30" spans="1:19" ht="18.75" x14ac:dyDescent="0.45">
      <c r="A30" s="29" t="s">
        <v>61</v>
      </c>
      <c r="C30" s="22" t="s">
        <v>246</v>
      </c>
      <c r="E30" s="21">
        <v>27844387</v>
      </c>
      <c r="G30" s="21">
        <v>40</v>
      </c>
      <c r="N30" s="22"/>
      <c r="O30" s="21">
        <v>1113775480</v>
      </c>
      <c r="Q30" s="21">
        <v>-38304448</v>
      </c>
      <c r="S30" s="21">
        <v>1075471032</v>
      </c>
    </row>
    <row r="31" spans="1:19" ht="37.5" x14ac:dyDescent="0.45">
      <c r="A31" s="29" t="s">
        <v>62</v>
      </c>
      <c r="C31" s="22" t="s">
        <v>227</v>
      </c>
      <c r="E31" s="21">
        <v>15167887</v>
      </c>
      <c r="G31" s="21">
        <v>266</v>
      </c>
      <c r="N31" s="22"/>
      <c r="O31" s="21">
        <v>4034657942</v>
      </c>
      <c r="Q31" s="21">
        <v>-24718803</v>
      </c>
      <c r="S31" s="21">
        <v>4009939139</v>
      </c>
    </row>
    <row r="32" spans="1:19" ht="18.75" x14ac:dyDescent="0.45">
      <c r="A32" s="29" t="s">
        <v>247</v>
      </c>
      <c r="C32" s="22" t="s">
        <v>239</v>
      </c>
      <c r="E32" s="21">
        <v>10258397</v>
      </c>
      <c r="G32" s="21">
        <v>114</v>
      </c>
      <c r="N32" s="22"/>
      <c r="O32" s="21">
        <v>1169457258</v>
      </c>
      <c r="Q32" s="21">
        <v>-22005916</v>
      </c>
      <c r="S32" s="21">
        <v>1147451342</v>
      </c>
    </row>
    <row r="33" spans="1:19" ht="18.75" x14ac:dyDescent="0.45">
      <c r="A33" s="29" t="s">
        <v>248</v>
      </c>
      <c r="C33" s="22" t="s">
        <v>249</v>
      </c>
      <c r="E33" s="21">
        <v>1186353</v>
      </c>
      <c r="G33" s="21">
        <v>6810</v>
      </c>
      <c r="N33" s="22"/>
      <c r="O33" s="21">
        <v>8079063930</v>
      </c>
      <c r="Q33" s="21">
        <v>0</v>
      </c>
      <c r="S33" s="21">
        <v>8079063930</v>
      </c>
    </row>
    <row r="34" spans="1:19" ht="18.75" x14ac:dyDescent="0.45">
      <c r="A34" s="29" t="s">
        <v>73</v>
      </c>
      <c r="C34" s="22" t="s">
        <v>250</v>
      </c>
      <c r="E34" s="21">
        <v>100000</v>
      </c>
      <c r="G34" s="21">
        <v>14500</v>
      </c>
      <c r="N34" s="22"/>
      <c r="O34" s="21">
        <v>1450000000</v>
      </c>
      <c r="Q34" s="21">
        <v>0</v>
      </c>
      <c r="S34" s="21">
        <v>1450000000</v>
      </c>
    </row>
    <row r="35" spans="1:19" ht="18.75" x14ac:dyDescent="0.45">
      <c r="A35" s="29" t="s">
        <v>75</v>
      </c>
      <c r="C35" s="22" t="s">
        <v>236</v>
      </c>
      <c r="E35" s="21">
        <v>5530564</v>
      </c>
      <c r="G35" s="21">
        <v>1050</v>
      </c>
      <c r="N35" s="22"/>
      <c r="O35" s="21">
        <v>5807092200</v>
      </c>
      <c r="Q35" s="21">
        <v>-173633986</v>
      </c>
      <c r="S35" s="21">
        <v>5633458214</v>
      </c>
    </row>
    <row r="36" spans="1:19" ht="18.75" x14ac:dyDescent="0.45">
      <c r="A36" s="29" t="s">
        <v>78</v>
      </c>
      <c r="C36" s="22" t="s">
        <v>251</v>
      </c>
      <c r="E36" s="21">
        <v>5799792</v>
      </c>
      <c r="G36" s="21">
        <v>1076</v>
      </c>
      <c r="N36" s="22"/>
      <c r="O36" s="21">
        <v>6240576192</v>
      </c>
      <c r="Q36" s="21">
        <v>0</v>
      </c>
      <c r="S36" s="21">
        <v>6240576192</v>
      </c>
    </row>
    <row r="37" spans="1:19" ht="18.75" x14ac:dyDescent="0.45">
      <c r="A37" s="29" t="s">
        <v>90</v>
      </c>
      <c r="C37" s="22" t="s">
        <v>252</v>
      </c>
      <c r="E37" s="21">
        <v>324775</v>
      </c>
      <c r="G37" s="21">
        <v>2720</v>
      </c>
      <c r="I37" s="21">
        <v>883388000</v>
      </c>
      <c r="K37" s="21">
        <v>-51829986</v>
      </c>
      <c r="M37" s="21">
        <v>831558014</v>
      </c>
      <c r="O37" s="21">
        <v>883388000</v>
      </c>
      <c r="Q37" s="21">
        <v>-51829986</v>
      </c>
      <c r="S37" s="21">
        <v>831558014</v>
      </c>
    </row>
    <row r="38" spans="1:19" ht="18.75" x14ac:dyDescent="0.45">
      <c r="A38" s="29" t="s">
        <v>91</v>
      </c>
      <c r="C38" s="22" t="s">
        <v>245</v>
      </c>
      <c r="E38" s="21">
        <v>9448213</v>
      </c>
      <c r="G38" s="21">
        <v>10</v>
      </c>
      <c r="N38" s="22"/>
      <c r="O38" s="21">
        <v>94482130</v>
      </c>
      <c r="Q38" s="21">
        <v>-4381601</v>
      </c>
      <c r="S38" s="21">
        <v>90100529</v>
      </c>
    </row>
    <row r="39" spans="1:19" ht="18.75" x14ac:dyDescent="0.45">
      <c r="A39" s="29" t="s">
        <v>253</v>
      </c>
      <c r="C39" s="22" t="s">
        <v>254</v>
      </c>
      <c r="E39" s="21">
        <v>10148510</v>
      </c>
      <c r="G39" s="21">
        <v>560</v>
      </c>
      <c r="N39" s="22"/>
      <c r="O39" s="21">
        <v>5683165600</v>
      </c>
      <c r="Q39" s="21">
        <v>0</v>
      </c>
      <c r="S39" s="21">
        <v>5683165600</v>
      </c>
    </row>
    <row r="40" spans="1:19" ht="18.75" x14ac:dyDescent="0.45">
      <c r="A40" s="29" t="s">
        <v>92</v>
      </c>
      <c r="C40" s="22" t="s">
        <v>255</v>
      </c>
      <c r="E40" s="21">
        <v>249996</v>
      </c>
      <c r="G40" s="21">
        <v>118</v>
      </c>
      <c r="N40" s="22"/>
      <c r="O40" s="21">
        <v>29499528</v>
      </c>
      <c r="Q40" s="21">
        <v>0</v>
      </c>
      <c r="S40" s="21">
        <v>29499528</v>
      </c>
    </row>
    <row r="41" spans="1:19" ht="18.75" x14ac:dyDescent="0.45">
      <c r="A41" s="29" t="s">
        <v>93</v>
      </c>
      <c r="C41" s="22" t="s">
        <v>236</v>
      </c>
      <c r="E41" s="21">
        <v>3600000</v>
      </c>
      <c r="G41" s="21">
        <v>300</v>
      </c>
      <c r="N41" s="22"/>
      <c r="O41" s="21">
        <v>1080000000</v>
      </c>
      <c r="Q41" s="21">
        <v>-42631579</v>
      </c>
      <c r="S41" s="21">
        <v>1037368421</v>
      </c>
    </row>
    <row r="42" spans="1:19" ht="18.75" x14ac:dyDescent="0.45">
      <c r="A42" s="29" t="s">
        <v>96</v>
      </c>
      <c r="C42" s="22" t="s">
        <v>255</v>
      </c>
      <c r="E42" s="21">
        <v>22264729</v>
      </c>
      <c r="G42" s="21">
        <v>310</v>
      </c>
      <c r="N42" s="22"/>
      <c r="O42" s="21">
        <v>6902065990</v>
      </c>
      <c r="Q42" s="21">
        <v>-254957583</v>
      </c>
      <c r="S42" s="21">
        <v>6647108407</v>
      </c>
    </row>
    <row r="43" spans="1:19" ht="18.75" x14ac:dyDescent="0.45">
      <c r="A43" s="29" t="s">
        <v>97</v>
      </c>
      <c r="C43" s="22" t="s">
        <v>256</v>
      </c>
      <c r="E43" s="21">
        <v>9664654</v>
      </c>
      <c r="G43" s="21">
        <v>1430</v>
      </c>
      <c r="N43" s="22"/>
      <c r="O43" s="21">
        <v>13820455220</v>
      </c>
      <c r="Q43" s="21">
        <v>-545544285</v>
      </c>
      <c r="S43" s="21">
        <v>13274910935</v>
      </c>
    </row>
    <row r="44" spans="1:19" ht="18.75" x14ac:dyDescent="0.45">
      <c r="A44" s="29" t="s">
        <v>100</v>
      </c>
      <c r="C44" s="22" t="s">
        <v>239</v>
      </c>
      <c r="E44" s="21">
        <v>14021442</v>
      </c>
      <c r="G44" s="21">
        <v>500</v>
      </c>
      <c r="N44" s="22"/>
      <c r="O44" s="21">
        <v>7010721000</v>
      </c>
      <c r="Q44" s="21">
        <v>-258971224</v>
      </c>
      <c r="S44" s="21">
        <v>6751749776</v>
      </c>
    </row>
    <row r="45" spans="1:19" ht="18.75" x14ac:dyDescent="0.45">
      <c r="A45" s="29" t="s">
        <v>257</v>
      </c>
      <c r="C45" s="22" t="s">
        <v>258</v>
      </c>
      <c r="E45" s="21">
        <v>800000</v>
      </c>
      <c r="G45" s="21">
        <v>730</v>
      </c>
      <c r="N45" s="22"/>
      <c r="O45" s="21">
        <v>584000000</v>
      </c>
      <c r="Q45" s="21">
        <v>-9057316</v>
      </c>
      <c r="S45" s="21">
        <v>574942684</v>
      </c>
    </row>
    <row r="46" spans="1:19" ht="18.75" x14ac:dyDescent="0.45">
      <c r="A46" s="29" t="s">
        <v>105</v>
      </c>
      <c r="C46" s="22" t="s">
        <v>259</v>
      </c>
      <c r="E46" s="21">
        <v>200000</v>
      </c>
      <c r="G46" s="21">
        <v>500</v>
      </c>
      <c r="N46" s="22"/>
      <c r="O46" s="21">
        <v>100000000</v>
      </c>
      <c r="Q46" s="21">
        <v>0</v>
      </c>
      <c r="S46" s="21">
        <v>100000000</v>
      </c>
    </row>
    <row r="47" spans="1:19" ht="18.75" x14ac:dyDescent="0.45">
      <c r="A47" s="29" t="s">
        <v>110</v>
      </c>
      <c r="C47" s="22" t="s">
        <v>260</v>
      </c>
      <c r="E47" s="21">
        <v>8231319</v>
      </c>
      <c r="G47" s="21">
        <v>400</v>
      </c>
      <c r="N47" s="22"/>
      <c r="O47" s="21">
        <v>3292527600</v>
      </c>
      <c r="Q47" s="21">
        <v>0</v>
      </c>
      <c r="S47" s="21">
        <v>3292527600</v>
      </c>
    </row>
    <row r="48" spans="1:19" ht="18.75" x14ac:dyDescent="0.45">
      <c r="A48" s="29" t="s">
        <v>114</v>
      </c>
      <c r="C48" s="22" t="s">
        <v>236</v>
      </c>
      <c r="E48" s="21">
        <v>6256631</v>
      </c>
      <c r="G48" s="21">
        <v>700</v>
      </c>
      <c r="N48" s="22"/>
      <c r="O48" s="21">
        <v>4379641700</v>
      </c>
      <c r="Q48" s="21">
        <v>0</v>
      </c>
      <c r="S48" s="21">
        <v>4379641700</v>
      </c>
    </row>
    <row r="49" spans="1:19" ht="18.75" x14ac:dyDescent="0.45">
      <c r="A49" s="29" t="s">
        <v>116</v>
      </c>
      <c r="C49" s="22" t="s">
        <v>234</v>
      </c>
      <c r="E49" s="21">
        <v>3129644</v>
      </c>
      <c r="G49" s="21">
        <v>73</v>
      </c>
      <c r="N49" s="22"/>
      <c r="O49" s="21">
        <v>228464012</v>
      </c>
      <c r="Q49" s="21">
        <v>-5199315</v>
      </c>
      <c r="S49" s="21">
        <v>223264697</v>
      </c>
    </row>
    <row r="50" spans="1:19" ht="18.75" x14ac:dyDescent="0.45">
      <c r="A50" s="29" t="s">
        <v>118</v>
      </c>
      <c r="C50" s="22" t="s">
        <v>236</v>
      </c>
      <c r="E50" s="21">
        <v>16300000</v>
      </c>
      <c r="G50" s="21">
        <v>800</v>
      </c>
      <c r="N50" s="22"/>
      <c r="O50" s="21">
        <v>13040000000</v>
      </c>
      <c r="Q50" s="21">
        <v>-473399340</v>
      </c>
      <c r="S50" s="21">
        <v>12566600660</v>
      </c>
    </row>
    <row r="51" spans="1:19" ht="18.75" x14ac:dyDescent="0.45">
      <c r="A51" s="29" t="s">
        <v>121</v>
      </c>
      <c r="C51" s="22" t="s">
        <v>241</v>
      </c>
      <c r="E51" s="21">
        <v>44699</v>
      </c>
      <c r="G51" s="21">
        <v>1300</v>
      </c>
      <c r="N51" s="22"/>
      <c r="O51" s="21">
        <v>58108700</v>
      </c>
      <c r="Q51" s="21">
        <v>-2109557</v>
      </c>
      <c r="S51" s="21">
        <v>55999143</v>
      </c>
    </row>
    <row r="52" spans="1:19" ht="18.75" x14ac:dyDescent="0.45">
      <c r="A52" s="29" t="s">
        <v>122</v>
      </c>
      <c r="C52" s="22" t="s">
        <v>233</v>
      </c>
      <c r="E52" s="21">
        <v>4274063</v>
      </c>
      <c r="G52" s="21">
        <v>670</v>
      </c>
      <c r="N52" s="22"/>
      <c r="O52" s="21">
        <v>2863622210</v>
      </c>
      <c r="Q52" s="21">
        <v>0</v>
      </c>
      <c r="S52" s="21">
        <v>2863622210</v>
      </c>
    </row>
    <row r="53" spans="1:19" ht="18.75" x14ac:dyDescent="0.45">
      <c r="A53" s="29" t="s">
        <v>123</v>
      </c>
      <c r="C53" s="22" t="s">
        <v>261</v>
      </c>
      <c r="E53" s="21">
        <v>250000</v>
      </c>
      <c r="G53" s="21">
        <v>1480</v>
      </c>
      <c r="N53" s="22"/>
      <c r="O53" s="21">
        <v>370000000</v>
      </c>
      <c r="Q53" s="21">
        <v>-6962366</v>
      </c>
      <c r="S53" s="21">
        <v>363037634</v>
      </c>
    </row>
    <row r="54" spans="1:19" ht="18.75" x14ac:dyDescent="0.45">
      <c r="A54" s="29" t="s">
        <v>124</v>
      </c>
      <c r="C54" s="22" t="s">
        <v>238</v>
      </c>
      <c r="E54" s="21">
        <v>15800000</v>
      </c>
      <c r="G54" s="21">
        <v>1400</v>
      </c>
      <c r="N54" s="22"/>
      <c r="O54" s="21">
        <v>22120000000</v>
      </c>
      <c r="Q54" s="21">
        <v>-901077530</v>
      </c>
      <c r="S54" s="21">
        <v>21218922470</v>
      </c>
    </row>
    <row r="55" spans="1:19" ht="37.5" x14ac:dyDescent="0.45">
      <c r="A55" s="29" t="s">
        <v>125</v>
      </c>
      <c r="C55" s="22" t="s">
        <v>262</v>
      </c>
      <c r="E55" s="21">
        <v>6668802</v>
      </c>
      <c r="G55" s="21">
        <v>350</v>
      </c>
      <c r="N55" s="22"/>
      <c r="O55" s="21">
        <v>2334080700</v>
      </c>
      <c r="Q55" s="21">
        <v>-86219340</v>
      </c>
      <c r="S55" s="21">
        <v>2247861360</v>
      </c>
    </row>
    <row r="56" spans="1:19" ht="18.75" x14ac:dyDescent="0.45">
      <c r="A56" s="29" t="s">
        <v>126</v>
      </c>
      <c r="C56" s="22" t="s">
        <v>236</v>
      </c>
      <c r="E56" s="21">
        <v>5155597</v>
      </c>
      <c r="G56" s="21">
        <v>380</v>
      </c>
      <c r="N56" s="22"/>
      <c r="O56" s="21">
        <v>1959126860</v>
      </c>
      <c r="Q56" s="21">
        <v>-71123417</v>
      </c>
      <c r="S56" s="21">
        <v>1888003443</v>
      </c>
    </row>
    <row r="57" spans="1:19" ht="18.75" x14ac:dyDescent="0.45">
      <c r="A57" s="29" t="s">
        <v>263</v>
      </c>
      <c r="C57" s="22" t="s">
        <v>264</v>
      </c>
      <c r="E57" s="21">
        <v>1207911</v>
      </c>
      <c r="G57" s="21">
        <v>2600</v>
      </c>
      <c r="N57" s="22"/>
      <c r="O57" s="21">
        <v>3140568600</v>
      </c>
      <c r="Q57" s="21">
        <v>0</v>
      </c>
      <c r="S57" s="21">
        <v>3140568600</v>
      </c>
    </row>
    <row r="58" spans="1:19" ht="18.75" x14ac:dyDescent="0.45">
      <c r="A58" s="29" t="s">
        <v>265</v>
      </c>
      <c r="C58" s="22" t="s">
        <v>266</v>
      </c>
      <c r="E58" s="21">
        <v>411</v>
      </c>
      <c r="G58" s="21">
        <v>285</v>
      </c>
      <c r="N58" s="22"/>
      <c r="O58" s="21">
        <v>117135</v>
      </c>
      <c r="Q58" s="21">
        <v>0</v>
      </c>
      <c r="S58" s="21">
        <v>117135</v>
      </c>
    </row>
    <row r="59" spans="1:19" ht="37.5" x14ac:dyDescent="0.45">
      <c r="A59" s="29" t="s">
        <v>129</v>
      </c>
      <c r="C59" s="22" t="s">
        <v>226</v>
      </c>
      <c r="E59" s="21">
        <v>8036726</v>
      </c>
      <c r="G59" s="21">
        <v>410</v>
      </c>
      <c r="N59" s="22"/>
      <c r="O59" s="21">
        <v>3295057660</v>
      </c>
      <c r="Q59" s="21">
        <v>-125898119</v>
      </c>
      <c r="S59" s="21">
        <v>3169159541</v>
      </c>
    </row>
    <row r="60" spans="1:19" ht="37.5" x14ac:dyDescent="0.45">
      <c r="A60" s="29" t="s">
        <v>130</v>
      </c>
      <c r="C60" s="22" t="s">
        <v>267</v>
      </c>
      <c r="E60" s="21">
        <v>700000</v>
      </c>
      <c r="G60" s="21">
        <v>722</v>
      </c>
      <c r="N60" s="22"/>
      <c r="O60" s="21">
        <v>505400000</v>
      </c>
      <c r="Q60" s="21">
        <v>-19950000</v>
      </c>
      <c r="S60" s="21">
        <v>485450000</v>
      </c>
    </row>
    <row r="61" spans="1:19" ht="18.75" x14ac:dyDescent="0.45">
      <c r="A61" s="29" t="s">
        <v>133</v>
      </c>
      <c r="C61" s="22" t="s">
        <v>255</v>
      </c>
      <c r="E61" s="21">
        <v>10319249</v>
      </c>
      <c r="G61" s="21">
        <v>1000</v>
      </c>
      <c r="N61" s="22"/>
      <c r="O61" s="21">
        <v>10319249000</v>
      </c>
      <c r="Q61" s="21">
        <v>-394279606</v>
      </c>
      <c r="S61" s="21">
        <v>9924969394</v>
      </c>
    </row>
    <row r="62" spans="1:19" ht="18.75" x14ac:dyDescent="0.45">
      <c r="A62" s="29" t="s">
        <v>134</v>
      </c>
      <c r="C62" s="22" t="s">
        <v>268</v>
      </c>
      <c r="E62" s="21">
        <v>1999999</v>
      </c>
      <c r="G62" s="21">
        <v>50</v>
      </c>
      <c r="N62" s="22"/>
      <c r="O62" s="21">
        <v>99999950</v>
      </c>
      <c r="Q62" s="21">
        <v>-3630361</v>
      </c>
      <c r="S62" s="21">
        <v>96369589</v>
      </c>
    </row>
    <row r="63" spans="1:19" ht="18.75" x14ac:dyDescent="0.45">
      <c r="A63" s="29" t="s">
        <v>136</v>
      </c>
      <c r="C63" s="22" t="s">
        <v>227</v>
      </c>
      <c r="E63" s="21">
        <v>18635760</v>
      </c>
      <c r="G63" s="21">
        <v>390</v>
      </c>
      <c r="N63" s="22"/>
      <c r="O63" s="21">
        <v>7267946400</v>
      </c>
      <c r="Q63" s="21">
        <v>-44527922</v>
      </c>
      <c r="S63" s="21">
        <v>7223418478</v>
      </c>
    </row>
    <row r="64" spans="1:19" ht="18.75" x14ac:dyDescent="0.45">
      <c r="A64" s="29" t="s">
        <v>269</v>
      </c>
      <c r="C64" s="22" t="s">
        <v>262</v>
      </c>
      <c r="E64" s="21">
        <v>177678</v>
      </c>
      <c r="G64" s="21">
        <v>4100</v>
      </c>
      <c r="N64" s="22"/>
      <c r="O64" s="21">
        <v>728479800</v>
      </c>
      <c r="Q64" s="21">
        <v>-26446461</v>
      </c>
      <c r="S64" s="21">
        <v>702033339</v>
      </c>
    </row>
    <row r="65" spans="1:19" ht="37.5" x14ac:dyDescent="0.45">
      <c r="A65" s="29" t="s">
        <v>139</v>
      </c>
      <c r="C65" s="22" t="s">
        <v>270</v>
      </c>
      <c r="E65" s="21">
        <v>123</v>
      </c>
      <c r="G65" s="21">
        <v>400</v>
      </c>
      <c r="N65" s="22"/>
      <c r="O65" s="21">
        <v>49200</v>
      </c>
      <c r="Q65" s="21">
        <v>0</v>
      </c>
      <c r="S65" s="21">
        <v>49200</v>
      </c>
    </row>
    <row r="66" spans="1:19" ht="18.75" x14ac:dyDescent="0.45">
      <c r="A66" s="29" t="s">
        <v>142</v>
      </c>
      <c r="C66" s="22" t="s">
        <v>259</v>
      </c>
      <c r="E66" s="21">
        <v>2570924</v>
      </c>
      <c r="G66" s="21">
        <v>936</v>
      </c>
      <c r="N66" s="22"/>
      <c r="O66" s="21">
        <v>2406384864</v>
      </c>
      <c r="Q66" s="21">
        <v>-96508532</v>
      </c>
      <c r="S66" s="21">
        <v>2309876332</v>
      </c>
    </row>
    <row r="67" spans="1:19" ht="18.75" x14ac:dyDescent="0.45">
      <c r="A67" s="29" t="s">
        <v>146</v>
      </c>
      <c r="C67" s="22" t="s">
        <v>271</v>
      </c>
      <c r="E67" s="21">
        <v>4613772</v>
      </c>
      <c r="G67" s="21">
        <v>220</v>
      </c>
      <c r="N67" s="22"/>
      <c r="O67" s="21">
        <v>1015029840</v>
      </c>
      <c r="Q67" s="21">
        <v>-6218699</v>
      </c>
      <c r="S67" s="21">
        <v>1008811141</v>
      </c>
    </row>
    <row r="68" spans="1:19" ht="18.75" x14ac:dyDescent="0.45">
      <c r="A68" s="29" t="s">
        <v>148</v>
      </c>
      <c r="C68" s="22" t="s">
        <v>272</v>
      </c>
      <c r="E68" s="21">
        <v>6744759</v>
      </c>
      <c r="G68" s="21">
        <v>480</v>
      </c>
      <c r="N68" s="22"/>
      <c r="O68" s="21">
        <v>3237484320</v>
      </c>
      <c r="Q68" s="21">
        <v>-60920404</v>
      </c>
      <c r="S68" s="21">
        <v>3176563916</v>
      </c>
    </row>
    <row r="69" spans="1:19" ht="18.75" x14ac:dyDescent="0.45">
      <c r="A69" s="29" t="s">
        <v>153</v>
      </c>
      <c r="C69" s="22" t="s">
        <v>236</v>
      </c>
      <c r="E69" s="21">
        <v>3500000</v>
      </c>
      <c r="G69" s="21">
        <v>2280</v>
      </c>
      <c r="N69" s="22"/>
      <c r="O69" s="21">
        <v>7980000000</v>
      </c>
      <c r="Q69" s="21">
        <v>-233457447</v>
      </c>
      <c r="S69" s="21">
        <v>7746542553</v>
      </c>
    </row>
    <row r="70" spans="1:19" ht="18.75" x14ac:dyDescent="0.45">
      <c r="A70" s="29" t="s">
        <v>156</v>
      </c>
      <c r="C70" s="22" t="s">
        <v>273</v>
      </c>
      <c r="E70" s="21">
        <v>65229</v>
      </c>
      <c r="G70" s="21">
        <v>38000</v>
      </c>
      <c r="I70" s="21">
        <v>2478702000</v>
      </c>
      <c r="K70" s="21">
        <v>-164824174</v>
      </c>
      <c r="M70" s="21">
        <v>2313877826</v>
      </c>
      <c r="O70" s="21">
        <v>2478702000</v>
      </c>
      <c r="Q70" s="21">
        <v>-164824174</v>
      </c>
      <c r="S70" s="21">
        <v>2313877826</v>
      </c>
    </row>
    <row r="71" spans="1:19" ht="18.75" x14ac:dyDescent="0.45">
      <c r="A71" s="29" t="s">
        <v>157</v>
      </c>
      <c r="C71" s="22" t="s">
        <v>274</v>
      </c>
      <c r="E71" s="21">
        <v>1947948</v>
      </c>
      <c r="G71" s="21">
        <v>5330</v>
      </c>
      <c r="N71" s="22"/>
      <c r="O71" s="21">
        <v>10382562840</v>
      </c>
      <c r="Q71" s="21">
        <v>-602858487</v>
      </c>
      <c r="S71" s="21">
        <v>9779704353</v>
      </c>
    </row>
    <row r="72" spans="1:19" ht="37.5" x14ac:dyDescent="0.45">
      <c r="A72" s="29" t="s">
        <v>159</v>
      </c>
      <c r="C72" s="22" t="s">
        <v>255</v>
      </c>
      <c r="E72" s="21">
        <v>450000</v>
      </c>
      <c r="G72" s="21">
        <v>45</v>
      </c>
      <c r="N72" s="22"/>
      <c r="O72" s="21">
        <v>20250000</v>
      </c>
      <c r="Q72" s="21">
        <v>-605482</v>
      </c>
      <c r="S72" s="21">
        <v>19644518</v>
      </c>
    </row>
    <row r="73" spans="1:19" ht="18.75" x14ac:dyDescent="0.45">
      <c r="A73" s="29" t="s">
        <v>166</v>
      </c>
      <c r="C73" s="22" t="s">
        <v>275</v>
      </c>
      <c r="E73" s="21">
        <v>2800000</v>
      </c>
      <c r="G73" s="21">
        <v>380</v>
      </c>
      <c r="N73" s="22"/>
      <c r="O73" s="21">
        <v>1064000000</v>
      </c>
      <c r="Q73" s="21">
        <v>-28373333</v>
      </c>
      <c r="S73" s="21">
        <v>1035626667</v>
      </c>
    </row>
    <row r="74" spans="1:19" ht="18.75" x14ac:dyDescent="0.45">
      <c r="A74" s="24" t="s">
        <v>170</v>
      </c>
      <c r="I74" s="24">
        <f>SUM(I9:$I$73)</f>
        <v>3362090000</v>
      </c>
      <c r="K74" s="24">
        <f>SUM(K9:$K$73)</f>
        <v>-216654160</v>
      </c>
      <c r="M74" s="24">
        <f>SUM(M9:$M$73)</f>
        <v>3145435840</v>
      </c>
      <c r="O74" s="24">
        <f>SUM(O9:$O$73)</f>
        <v>238653038310</v>
      </c>
      <c r="Q74" s="24">
        <f>SUM(Q9:$Q$73)</f>
        <v>-5136490881</v>
      </c>
      <c r="S74" s="24">
        <f>SUM(S9:$S$73)</f>
        <v>233516547429</v>
      </c>
    </row>
    <row r="75" spans="1:19" ht="18.75" x14ac:dyDescent="0.45">
      <c r="I75" s="26"/>
      <c r="K75" s="26"/>
      <c r="M75" s="26"/>
      <c r="O75" s="26"/>
      <c r="Q75" s="26"/>
      <c r="S75" s="26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91" zoomScaleNormal="100" zoomScaleSheetLayoutView="91" workbookViewId="0">
      <selection sqref="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4.140625" style="12" customWidth="1"/>
    <col min="12" max="12" width="1.42578125" style="12" customWidth="1"/>
    <col min="13" max="13" width="1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276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7" spans="1:13" ht="21" x14ac:dyDescent="0.45">
      <c r="C7" s="14" t="s">
        <v>218</v>
      </c>
      <c r="D7" s="15"/>
      <c r="E7" s="15"/>
      <c r="F7" s="15"/>
      <c r="G7" s="15"/>
      <c r="I7" s="14" t="s">
        <v>7</v>
      </c>
      <c r="J7" s="15"/>
      <c r="K7" s="15"/>
      <c r="L7" s="15"/>
      <c r="M7" s="15"/>
    </row>
    <row r="8" spans="1:13" ht="21" x14ac:dyDescent="0.45">
      <c r="A8" s="30" t="s">
        <v>208</v>
      </c>
      <c r="C8" s="28" t="s">
        <v>277</v>
      </c>
      <c r="E8" s="28" t="s">
        <v>223</v>
      </c>
      <c r="G8" s="28" t="s">
        <v>278</v>
      </c>
      <c r="I8" s="28" t="s">
        <v>277</v>
      </c>
      <c r="K8" s="28" t="s">
        <v>223</v>
      </c>
      <c r="M8" s="28" t="s">
        <v>278</v>
      </c>
    </row>
    <row r="9" spans="1:13" ht="18.75" x14ac:dyDescent="0.45">
      <c r="A9" s="44" t="s">
        <v>334</v>
      </c>
      <c r="C9" s="21">
        <v>34483</v>
      </c>
      <c r="E9" s="21">
        <v>0</v>
      </c>
      <c r="G9" s="21">
        <v>34483</v>
      </c>
      <c r="I9" s="21">
        <v>206018</v>
      </c>
      <c r="K9" s="21">
        <v>0</v>
      </c>
      <c r="M9" s="21">
        <v>206018</v>
      </c>
    </row>
    <row r="10" spans="1:13" ht="18.75" x14ac:dyDescent="0.45">
      <c r="A10" s="44" t="s">
        <v>335</v>
      </c>
      <c r="C10" s="21">
        <v>1571710432</v>
      </c>
      <c r="E10" s="21">
        <v>0</v>
      </c>
      <c r="G10" s="21">
        <v>1571710432</v>
      </c>
      <c r="I10" s="21">
        <v>6127462634</v>
      </c>
      <c r="K10" s="21">
        <v>0</v>
      </c>
      <c r="M10" s="21">
        <v>6127462634</v>
      </c>
    </row>
    <row r="11" spans="1:13" ht="18.75" x14ac:dyDescent="0.45">
      <c r="A11" s="44" t="s">
        <v>336</v>
      </c>
      <c r="C11" s="21">
        <v>193982</v>
      </c>
      <c r="E11" s="21">
        <v>0</v>
      </c>
      <c r="G11" s="21">
        <v>193982</v>
      </c>
      <c r="I11" s="21">
        <v>10618028</v>
      </c>
      <c r="K11" s="21">
        <v>0</v>
      </c>
      <c r="M11" s="21">
        <v>10618028</v>
      </c>
    </row>
    <row r="12" spans="1:13" ht="18.75" x14ac:dyDescent="0.45">
      <c r="A12" s="44" t="s">
        <v>337</v>
      </c>
      <c r="C12" s="21">
        <v>68155</v>
      </c>
      <c r="E12" s="21">
        <v>0</v>
      </c>
      <c r="G12" s="21">
        <v>68155</v>
      </c>
      <c r="I12" s="21">
        <v>403053</v>
      </c>
      <c r="K12" s="21">
        <v>0</v>
      </c>
      <c r="M12" s="21">
        <v>403053</v>
      </c>
    </row>
    <row r="13" spans="1:13" ht="18.75" x14ac:dyDescent="0.45">
      <c r="A13" s="44" t="s">
        <v>338</v>
      </c>
      <c r="C13" s="21">
        <v>8955</v>
      </c>
      <c r="E13" s="21">
        <v>0</v>
      </c>
      <c r="G13" s="21">
        <v>8955</v>
      </c>
      <c r="I13" s="21">
        <v>3782430</v>
      </c>
      <c r="K13" s="21">
        <v>0</v>
      </c>
      <c r="M13" s="21">
        <v>3782430</v>
      </c>
    </row>
    <row r="14" spans="1:13" ht="18.75" x14ac:dyDescent="0.45">
      <c r="A14" s="44" t="s">
        <v>339</v>
      </c>
      <c r="C14" s="21">
        <v>40891</v>
      </c>
      <c r="E14" s="21">
        <v>0</v>
      </c>
      <c r="G14" s="21">
        <v>40891</v>
      </c>
      <c r="I14" s="21">
        <v>204908</v>
      </c>
      <c r="K14" s="21">
        <v>0</v>
      </c>
      <c r="M14" s="21">
        <v>204908</v>
      </c>
    </row>
    <row r="15" spans="1:13" ht="18.75" x14ac:dyDescent="0.45">
      <c r="A15" s="44" t="s">
        <v>340</v>
      </c>
      <c r="C15" s="45">
        <v>0</v>
      </c>
      <c r="D15" s="45"/>
      <c r="E15" s="45">
        <v>0</v>
      </c>
      <c r="F15" s="45"/>
      <c r="G15" s="45">
        <v>0</v>
      </c>
      <c r="H15" s="22"/>
      <c r="I15" s="21">
        <v>3160699</v>
      </c>
      <c r="K15" s="21">
        <v>0</v>
      </c>
      <c r="M15" s="21">
        <v>3160699</v>
      </c>
    </row>
    <row r="16" spans="1:13" ht="19.5" thickBot="1" x14ac:dyDescent="0.5">
      <c r="A16" s="24" t="s">
        <v>170</v>
      </c>
      <c r="C16" s="24">
        <f>SUM(C9:$C$15)</f>
        <v>1572056898</v>
      </c>
      <c r="E16" s="24">
        <f>SUM(E9:$E$15)</f>
        <v>0</v>
      </c>
      <c r="G16" s="24">
        <f>SUM(G9:$G$15)</f>
        <v>1572056898</v>
      </c>
      <c r="I16" s="24">
        <f>SUM(I9:$I$15)</f>
        <v>6145837770</v>
      </c>
      <c r="K16" s="24">
        <f>SUM(K9:$K$15)</f>
        <v>0</v>
      </c>
      <c r="M16" s="24">
        <f>SUM(M9:$M$15)</f>
        <v>6145837770</v>
      </c>
    </row>
    <row r="17" spans="3:13" ht="19.5" thickTop="1" x14ac:dyDescent="0.45">
      <c r="C17" s="26"/>
      <c r="E17" s="26"/>
      <c r="G17" s="26"/>
      <c r="I17" s="26"/>
      <c r="K17" s="26"/>
      <c r="M17" s="26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81"/>
  <sheetViews>
    <sheetView rightToLeft="1" view="pageBreakPreview" topLeftCell="A64" zoomScale="84" zoomScaleNormal="100" zoomScaleSheetLayoutView="84" workbookViewId="0">
      <selection sqref="A1:XFD1048576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2.7109375" style="12" customWidth="1"/>
    <col min="4" max="4" width="1.42578125" style="12" customWidth="1"/>
    <col min="5" max="5" width="18.28515625" style="12" bestFit="1" customWidth="1"/>
    <col min="6" max="6" width="1.42578125" style="12" customWidth="1"/>
    <col min="7" max="7" width="18.28515625" style="12" bestFit="1" customWidth="1"/>
    <col min="8" max="8" width="1.42578125" style="12" customWidth="1"/>
    <col min="9" max="9" width="17.7109375" style="12" bestFit="1" customWidth="1"/>
    <col min="10" max="10" width="1.42578125" style="12" customWidth="1"/>
    <col min="11" max="11" width="13.42578125" style="12" bestFit="1" customWidth="1"/>
    <col min="12" max="12" width="1.42578125" style="12" customWidth="1"/>
    <col min="13" max="13" width="19.7109375" style="12" bestFit="1" customWidth="1"/>
    <col min="14" max="14" width="1.42578125" style="12" customWidth="1"/>
    <col min="15" max="15" width="19.7109375" style="12" bestFit="1" customWidth="1"/>
    <col min="16" max="16" width="1.42578125" style="12" customWidth="1"/>
    <col min="17" max="17" width="17.7109375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279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218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208</v>
      </c>
      <c r="C8" s="28" t="s">
        <v>9</v>
      </c>
      <c r="E8" s="28" t="s">
        <v>11</v>
      </c>
      <c r="G8" s="28" t="s">
        <v>280</v>
      </c>
      <c r="I8" s="28" t="s">
        <v>281</v>
      </c>
      <c r="K8" s="28" t="s">
        <v>9</v>
      </c>
      <c r="M8" s="28" t="s">
        <v>11</v>
      </c>
      <c r="O8" s="28" t="s">
        <v>280</v>
      </c>
      <c r="Q8" s="28" t="s">
        <v>281</v>
      </c>
    </row>
    <row r="9" spans="1:17" ht="18.75" x14ac:dyDescent="0.45">
      <c r="A9" s="29" t="s">
        <v>282</v>
      </c>
      <c r="J9" s="22"/>
      <c r="K9" s="21">
        <v>75</v>
      </c>
      <c r="M9" s="21">
        <v>7507566</v>
      </c>
      <c r="O9" s="21">
        <v>4739180</v>
      </c>
      <c r="Q9" s="21">
        <v>2768386</v>
      </c>
    </row>
    <row r="10" spans="1:17" ht="18.75" x14ac:dyDescent="0.45">
      <c r="A10" s="29" t="s">
        <v>19</v>
      </c>
      <c r="J10" s="22"/>
      <c r="K10" s="21">
        <v>6847087</v>
      </c>
      <c r="M10" s="21">
        <v>29901025067</v>
      </c>
      <c r="O10" s="21">
        <v>29115540893</v>
      </c>
      <c r="Q10" s="21">
        <v>785484174</v>
      </c>
    </row>
    <row r="11" spans="1:17" ht="18.75" x14ac:dyDescent="0.45">
      <c r="A11" s="29" t="s">
        <v>20</v>
      </c>
      <c r="J11" s="22"/>
      <c r="K11" s="21">
        <v>697410</v>
      </c>
      <c r="M11" s="21">
        <v>6292796240</v>
      </c>
      <c r="O11" s="21">
        <v>5744125774</v>
      </c>
      <c r="Q11" s="21">
        <v>548670466</v>
      </c>
    </row>
    <row r="12" spans="1:17" ht="18.75" x14ac:dyDescent="0.45">
      <c r="A12" s="29" t="s">
        <v>23</v>
      </c>
      <c r="C12" s="21">
        <v>3598429</v>
      </c>
      <c r="E12" s="21">
        <v>7871648503</v>
      </c>
      <c r="G12" s="21">
        <v>11875650918</v>
      </c>
      <c r="I12" s="21">
        <v>-4004002415</v>
      </c>
      <c r="K12" s="21">
        <v>6334047</v>
      </c>
      <c r="M12" s="21">
        <v>13889500122</v>
      </c>
      <c r="O12" s="21">
        <v>20903624357</v>
      </c>
      <c r="Q12" s="21">
        <v>-7014124235</v>
      </c>
    </row>
    <row r="13" spans="1:17" ht="18.75" x14ac:dyDescent="0.45">
      <c r="A13" s="29" t="s">
        <v>24</v>
      </c>
      <c r="J13" s="22"/>
      <c r="K13" s="21">
        <v>1221569</v>
      </c>
      <c r="M13" s="21">
        <v>16270811755</v>
      </c>
      <c r="O13" s="21">
        <v>19076417136</v>
      </c>
      <c r="Q13" s="21">
        <v>-2805605381</v>
      </c>
    </row>
    <row r="14" spans="1:17" ht="18.75" x14ac:dyDescent="0.45">
      <c r="A14" s="29" t="s">
        <v>25</v>
      </c>
      <c r="J14" s="22"/>
      <c r="K14" s="21">
        <v>6534050</v>
      </c>
      <c r="M14" s="21">
        <v>19373851199</v>
      </c>
      <c r="O14" s="21">
        <v>15686790358</v>
      </c>
      <c r="Q14" s="21">
        <v>3687060841</v>
      </c>
    </row>
    <row r="15" spans="1:17" ht="18.75" x14ac:dyDescent="0.45">
      <c r="A15" s="29" t="s">
        <v>231</v>
      </c>
      <c r="J15" s="22"/>
      <c r="K15" s="21">
        <v>500000</v>
      </c>
      <c r="M15" s="21">
        <v>6011371915</v>
      </c>
      <c r="O15" s="21">
        <v>8791182875</v>
      </c>
      <c r="Q15" s="21">
        <v>-2779810960</v>
      </c>
    </row>
    <row r="16" spans="1:17" ht="18.75" x14ac:dyDescent="0.45">
      <c r="A16" s="29" t="s">
        <v>28</v>
      </c>
      <c r="J16" s="22"/>
      <c r="K16" s="21">
        <v>9600000</v>
      </c>
      <c r="M16" s="21">
        <v>13239276351</v>
      </c>
      <c r="O16" s="21">
        <v>12211985067</v>
      </c>
      <c r="Q16" s="21">
        <v>1027291284</v>
      </c>
    </row>
    <row r="17" spans="1:17" ht="18.75" x14ac:dyDescent="0.45">
      <c r="A17" s="29" t="s">
        <v>39</v>
      </c>
      <c r="C17" s="21">
        <v>6600000</v>
      </c>
      <c r="E17" s="21">
        <v>22910304291</v>
      </c>
      <c r="G17" s="21">
        <v>23074731110</v>
      </c>
      <c r="I17" s="21">
        <v>-164426819</v>
      </c>
      <c r="K17" s="21">
        <v>14318165</v>
      </c>
      <c r="M17" s="21">
        <v>64126334508</v>
      </c>
      <c r="O17" s="21">
        <v>49972419984</v>
      </c>
      <c r="Q17" s="21">
        <v>14153914524</v>
      </c>
    </row>
    <row r="18" spans="1:17" ht="18.75" x14ac:dyDescent="0.45">
      <c r="A18" s="29" t="s">
        <v>40</v>
      </c>
      <c r="C18" s="21">
        <v>7522355</v>
      </c>
      <c r="E18" s="21">
        <v>53337112143</v>
      </c>
      <c r="G18" s="21">
        <v>46415726897</v>
      </c>
      <c r="I18" s="21">
        <v>6921385246</v>
      </c>
      <c r="K18" s="21">
        <v>15445246</v>
      </c>
      <c r="M18" s="21">
        <v>113480802632</v>
      </c>
      <c r="O18" s="21">
        <v>95279166826</v>
      </c>
      <c r="Q18" s="21">
        <v>18201635806</v>
      </c>
    </row>
    <row r="19" spans="1:17" ht="18.75" x14ac:dyDescent="0.45">
      <c r="A19" s="29" t="s">
        <v>237</v>
      </c>
      <c r="C19" s="21">
        <v>423039</v>
      </c>
      <c r="E19" s="21">
        <v>1577056363</v>
      </c>
      <c r="G19" s="21">
        <v>1935053810</v>
      </c>
      <c r="I19" s="21">
        <v>-357997447</v>
      </c>
      <c r="K19" s="21">
        <v>2838120</v>
      </c>
      <c r="M19" s="21">
        <v>11214374490</v>
      </c>
      <c r="O19" s="21">
        <v>12978257492</v>
      </c>
      <c r="Q19" s="21">
        <v>-1763883002</v>
      </c>
    </row>
    <row r="20" spans="1:17" ht="18.75" x14ac:dyDescent="0.45">
      <c r="A20" s="29" t="s">
        <v>43</v>
      </c>
      <c r="J20" s="22"/>
      <c r="K20" s="21">
        <v>4561366</v>
      </c>
      <c r="M20" s="21">
        <v>7612255398</v>
      </c>
      <c r="O20" s="21">
        <v>6633351425</v>
      </c>
      <c r="Q20" s="21">
        <v>978903973</v>
      </c>
    </row>
    <row r="21" spans="1:17" ht="37.5" x14ac:dyDescent="0.45">
      <c r="A21" s="29" t="s">
        <v>45</v>
      </c>
      <c r="J21" s="22"/>
      <c r="K21" s="21">
        <v>750</v>
      </c>
      <c r="M21" s="21">
        <v>34443835</v>
      </c>
      <c r="O21" s="21">
        <v>35616912</v>
      </c>
      <c r="Q21" s="21">
        <v>-1173077</v>
      </c>
    </row>
    <row r="22" spans="1:17" ht="18.75" x14ac:dyDescent="0.45">
      <c r="A22" s="29" t="s">
        <v>47</v>
      </c>
      <c r="J22" s="22"/>
      <c r="K22" s="21">
        <v>25000</v>
      </c>
      <c r="M22" s="21">
        <v>2712676136</v>
      </c>
      <c r="O22" s="21">
        <v>3132869915</v>
      </c>
      <c r="Q22" s="21">
        <v>-420193779</v>
      </c>
    </row>
    <row r="23" spans="1:17" ht="37.5" x14ac:dyDescent="0.45">
      <c r="A23" s="29" t="s">
        <v>48</v>
      </c>
      <c r="C23" s="21">
        <v>1112697</v>
      </c>
      <c r="E23" s="21">
        <v>10800612360</v>
      </c>
      <c r="G23" s="21">
        <v>12633109761</v>
      </c>
      <c r="I23" s="21">
        <v>-1832497401</v>
      </c>
      <c r="K23" s="21">
        <v>1612697</v>
      </c>
      <c r="M23" s="21">
        <v>15897241105</v>
      </c>
      <c r="O23" s="21">
        <v>18308450346</v>
      </c>
      <c r="Q23" s="21">
        <v>-2411209241</v>
      </c>
    </row>
    <row r="24" spans="1:17" ht="18.75" x14ac:dyDescent="0.45">
      <c r="A24" s="29" t="s">
        <v>50</v>
      </c>
      <c r="C24" s="21">
        <v>57479</v>
      </c>
      <c r="E24" s="21">
        <v>66507471</v>
      </c>
      <c r="G24" s="21">
        <v>99591665</v>
      </c>
      <c r="I24" s="21">
        <v>-33084194</v>
      </c>
      <c r="K24" s="21">
        <v>96145</v>
      </c>
      <c r="M24" s="21">
        <v>114519268</v>
      </c>
      <c r="O24" s="21">
        <v>166567185</v>
      </c>
      <c r="Q24" s="21">
        <v>-52047917</v>
      </c>
    </row>
    <row r="25" spans="1:17" ht="18.75" x14ac:dyDescent="0.45">
      <c r="A25" s="29" t="s">
        <v>52</v>
      </c>
      <c r="J25" s="22"/>
      <c r="K25" s="21">
        <v>1837823</v>
      </c>
      <c r="M25" s="21">
        <v>9753274092</v>
      </c>
      <c r="O25" s="21">
        <v>12035619402</v>
      </c>
      <c r="Q25" s="21">
        <v>-2282345310</v>
      </c>
    </row>
    <row r="26" spans="1:17" ht="18.75" x14ac:dyDescent="0.45">
      <c r="A26" s="29" t="s">
        <v>53</v>
      </c>
      <c r="J26" s="22"/>
      <c r="K26" s="21">
        <v>3036239</v>
      </c>
      <c r="M26" s="21">
        <v>77699713416</v>
      </c>
      <c r="O26" s="21">
        <v>64787828737</v>
      </c>
      <c r="Q26" s="21">
        <v>12911884679</v>
      </c>
    </row>
    <row r="27" spans="1:17" ht="18.75" x14ac:dyDescent="0.45">
      <c r="A27" s="29" t="s">
        <v>57</v>
      </c>
      <c r="C27" s="21">
        <v>6587347</v>
      </c>
      <c r="E27" s="21">
        <v>29240323884</v>
      </c>
      <c r="G27" s="21">
        <v>27036159340</v>
      </c>
      <c r="I27" s="21">
        <v>2204164544</v>
      </c>
      <c r="K27" s="21">
        <v>6587347</v>
      </c>
      <c r="M27" s="21">
        <v>29240323884</v>
      </c>
      <c r="O27" s="21">
        <v>27036159340</v>
      </c>
      <c r="Q27" s="21">
        <v>2204164544</v>
      </c>
    </row>
    <row r="28" spans="1:17" ht="37.5" x14ac:dyDescent="0.45">
      <c r="A28" s="29" t="s">
        <v>59</v>
      </c>
      <c r="J28" s="22"/>
      <c r="K28" s="21">
        <v>150126</v>
      </c>
      <c r="M28" s="21">
        <v>4938968390</v>
      </c>
      <c r="O28" s="21">
        <v>4029568098</v>
      </c>
      <c r="Q28" s="21">
        <v>909400292</v>
      </c>
    </row>
    <row r="29" spans="1:17" ht="18.75" x14ac:dyDescent="0.45">
      <c r="A29" s="29" t="s">
        <v>60</v>
      </c>
      <c r="J29" s="22"/>
      <c r="K29" s="21">
        <v>100000</v>
      </c>
      <c r="M29" s="21">
        <v>1002919968</v>
      </c>
      <c r="O29" s="21">
        <v>1499512291</v>
      </c>
      <c r="Q29" s="21">
        <v>-496592323</v>
      </c>
    </row>
    <row r="30" spans="1:17" ht="18.75" x14ac:dyDescent="0.45">
      <c r="A30" s="29" t="s">
        <v>61</v>
      </c>
      <c r="C30" s="21">
        <v>1200000</v>
      </c>
      <c r="E30" s="21">
        <v>2099433644</v>
      </c>
      <c r="G30" s="21">
        <v>2779918904</v>
      </c>
      <c r="I30" s="21">
        <v>-680485260</v>
      </c>
      <c r="K30" s="21">
        <v>3145044</v>
      </c>
      <c r="M30" s="21">
        <v>5636983496</v>
      </c>
      <c r="O30" s="21">
        <v>7285000189</v>
      </c>
      <c r="Q30" s="21">
        <v>-1648016693</v>
      </c>
    </row>
    <row r="31" spans="1:17" ht="18.75" x14ac:dyDescent="0.45">
      <c r="A31" s="29" t="s">
        <v>62</v>
      </c>
      <c r="J31" s="22"/>
      <c r="K31" s="21">
        <v>3283699</v>
      </c>
      <c r="M31" s="21">
        <v>7165567833</v>
      </c>
      <c r="O31" s="21">
        <v>9466085838</v>
      </c>
      <c r="Q31" s="21">
        <v>-2300518005</v>
      </c>
    </row>
    <row r="32" spans="1:17" ht="18.75" x14ac:dyDescent="0.45">
      <c r="A32" s="29" t="s">
        <v>247</v>
      </c>
      <c r="J32" s="22"/>
      <c r="K32" s="21">
        <v>10258397</v>
      </c>
      <c r="M32" s="21">
        <v>17418477479</v>
      </c>
      <c r="O32" s="21">
        <v>20331248787</v>
      </c>
      <c r="Q32" s="21">
        <v>-2912771308</v>
      </c>
    </row>
    <row r="33" spans="1:17" ht="18.75" x14ac:dyDescent="0.45">
      <c r="A33" s="29" t="s">
        <v>64</v>
      </c>
      <c r="J33" s="22"/>
      <c r="K33" s="21">
        <v>5362092</v>
      </c>
      <c r="M33" s="21">
        <v>12980888049</v>
      </c>
      <c r="O33" s="21">
        <v>12856362371</v>
      </c>
      <c r="Q33" s="21">
        <v>124525678</v>
      </c>
    </row>
    <row r="34" spans="1:17" ht="37.5" x14ac:dyDescent="0.45">
      <c r="A34" s="29" t="s">
        <v>71</v>
      </c>
      <c r="J34" s="22"/>
      <c r="K34" s="21">
        <v>3250000</v>
      </c>
      <c r="M34" s="21">
        <v>4477257642</v>
      </c>
      <c r="O34" s="21">
        <v>3912524843</v>
      </c>
      <c r="Q34" s="21">
        <v>564732799</v>
      </c>
    </row>
    <row r="35" spans="1:17" ht="18.75" x14ac:dyDescent="0.45">
      <c r="A35" s="29" t="s">
        <v>248</v>
      </c>
      <c r="J35" s="22"/>
      <c r="K35" s="21">
        <v>1186353</v>
      </c>
      <c r="M35" s="21">
        <v>60228986918</v>
      </c>
      <c r="O35" s="21">
        <v>56481474431</v>
      </c>
      <c r="Q35" s="21">
        <v>3747512487</v>
      </c>
    </row>
    <row r="36" spans="1:17" ht="18.75" x14ac:dyDescent="0.45">
      <c r="A36" s="29" t="s">
        <v>73</v>
      </c>
      <c r="J36" s="22"/>
      <c r="K36" s="21">
        <v>15118</v>
      </c>
      <c r="M36" s="21">
        <v>1570544571</v>
      </c>
      <c r="O36" s="21">
        <v>1359504255</v>
      </c>
      <c r="Q36" s="21">
        <v>211040316</v>
      </c>
    </row>
    <row r="37" spans="1:17" ht="18.75" x14ac:dyDescent="0.45">
      <c r="A37" s="29" t="s">
        <v>75</v>
      </c>
      <c r="C37" s="21">
        <v>600000</v>
      </c>
      <c r="E37" s="21">
        <v>4562423208</v>
      </c>
      <c r="G37" s="21">
        <v>4833595688</v>
      </c>
      <c r="I37" s="21">
        <v>-271172480</v>
      </c>
      <c r="K37" s="21">
        <v>3233426</v>
      </c>
      <c r="M37" s="21">
        <v>35122318263</v>
      </c>
      <c r="O37" s="21">
        <v>25985396672</v>
      </c>
      <c r="Q37" s="21">
        <v>9136921591</v>
      </c>
    </row>
    <row r="38" spans="1:17" ht="18.75" x14ac:dyDescent="0.45">
      <c r="A38" s="29" t="s">
        <v>78</v>
      </c>
      <c r="C38" s="21">
        <v>2499792</v>
      </c>
      <c r="E38" s="21">
        <v>20024615571</v>
      </c>
      <c r="G38" s="21">
        <v>20629208005</v>
      </c>
      <c r="I38" s="21">
        <v>-604592434</v>
      </c>
      <c r="K38" s="21">
        <v>3003951</v>
      </c>
      <c r="M38" s="21">
        <v>24883200229</v>
      </c>
      <c r="O38" s="21">
        <v>24784806404</v>
      </c>
      <c r="Q38" s="21">
        <v>98393825</v>
      </c>
    </row>
    <row r="39" spans="1:17" ht="18.75" x14ac:dyDescent="0.45">
      <c r="A39" s="29" t="s">
        <v>79</v>
      </c>
      <c r="C39" s="21">
        <v>1300000</v>
      </c>
      <c r="E39" s="21">
        <v>21203202265</v>
      </c>
      <c r="G39" s="21">
        <v>15638718954</v>
      </c>
      <c r="I39" s="21">
        <v>5564483311</v>
      </c>
      <c r="K39" s="21">
        <v>3700000</v>
      </c>
      <c r="M39" s="21">
        <v>64231736569</v>
      </c>
      <c r="O39" s="21">
        <v>44486951948</v>
      </c>
      <c r="Q39" s="21">
        <v>19744784621</v>
      </c>
    </row>
    <row r="40" spans="1:17" ht="18.75" x14ac:dyDescent="0.45">
      <c r="A40" s="29" t="s">
        <v>80</v>
      </c>
      <c r="J40" s="22"/>
      <c r="K40" s="21">
        <v>200000</v>
      </c>
      <c r="M40" s="21">
        <v>5291690299</v>
      </c>
      <c r="O40" s="21">
        <v>4664218559</v>
      </c>
      <c r="Q40" s="21">
        <v>627471740</v>
      </c>
    </row>
    <row r="41" spans="1:17" ht="18.75" x14ac:dyDescent="0.45">
      <c r="A41" s="29" t="s">
        <v>89</v>
      </c>
      <c r="C41" s="21">
        <v>1346489</v>
      </c>
      <c r="E41" s="21">
        <v>1779345667</v>
      </c>
      <c r="G41" s="21">
        <v>2105482352</v>
      </c>
      <c r="I41" s="21">
        <v>-326136685</v>
      </c>
      <c r="K41" s="21">
        <v>14715994</v>
      </c>
      <c r="M41" s="21">
        <v>24545297472</v>
      </c>
      <c r="O41" s="21">
        <v>22980635658</v>
      </c>
      <c r="Q41" s="21">
        <v>1564661814</v>
      </c>
    </row>
    <row r="42" spans="1:17" ht="18.75" x14ac:dyDescent="0.45">
      <c r="A42" s="29" t="s">
        <v>90</v>
      </c>
      <c r="J42" s="22"/>
      <c r="K42" s="21">
        <v>6199</v>
      </c>
      <c r="M42" s="21">
        <v>156164327</v>
      </c>
      <c r="O42" s="21">
        <v>177766649</v>
      </c>
      <c r="Q42" s="21">
        <v>-21602322</v>
      </c>
    </row>
    <row r="43" spans="1:17" ht="18.75" x14ac:dyDescent="0.45">
      <c r="A43" s="29" t="s">
        <v>253</v>
      </c>
      <c r="J43" s="22"/>
      <c r="K43" s="21">
        <v>10148510</v>
      </c>
      <c r="M43" s="21">
        <v>23061457106</v>
      </c>
      <c r="O43" s="21">
        <v>37934552149</v>
      </c>
      <c r="Q43" s="21">
        <v>-14873095043</v>
      </c>
    </row>
    <row r="44" spans="1:17" ht="18.75" x14ac:dyDescent="0.45">
      <c r="A44" s="29" t="s">
        <v>93</v>
      </c>
      <c r="J44" s="22"/>
      <c r="K44" s="21">
        <v>1875000</v>
      </c>
      <c r="M44" s="21">
        <v>6181102605</v>
      </c>
      <c r="O44" s="21">
        <v>5874615480</v>
      </c>
      <c r="Q44" s="21">
        <v>306487125</v>
      </c>
    </row>
    <row r="45" spans="1:17" ht="18.75" x14ac:dyDescent="0.45">
      <c r="A45" s="29" t="s">
        <v>96</v>
      </c>
      <c r="C45" s="21">
        <v>8253598</v>
      </c>
      <c r="E45" s="21">
        <v>25866258013</v>
      </c>
      <c r="G45" s="21">
        <v>36470014288</v>
      </c>
      <c r="I45" s="21">
        <v>-10603756275</v>
      </c>
      <c r="K45" s="21">
        <v>9044229</v>
      </c>
      <c r="M45" s="21">
        <v>28674948280</v>
      </c>
      <c r="O45" s="21">
        <v>39961579653</v>
      </c>
      <c r="Q45" s="21">
        <v>-11286631373</v>
      </c>
    </row>
    <row r="46" spans="1:17" ht="18.75" x14ac:dyDescent="0.45">
      <c r="A46" s="29" t="s">
        <v>97</v>
      </c>
      <c r="C46" s="21">
        <v>2200000</v>
      </c>
      <c r="E46" s="21">
        <v>13650199255</v>
      </c>
      <c r="G46" s="21">
        <v>16441733354</v>
      </c>
      <c r="I46" s="21">
        <v>-2791534099</v>
      </c>
      <c r="K46" s="21">
        <v>5000000</v>
      </c>
      <c r="M46" s="21">
        <v>33356246576</v>
      </c>
      <c r="O46" s="21">
        <v>37353610219</v>
      </c>
      <c r="Q46" s="21">
        <v>-3997363643</v>
      </c>
    </row>
    <row r="47" spans="1:17" ht="18.75" x14ac:dyDescent="0.45">
      <c r="A47" s="29" t="s">
        <v>100</v>
      </c>
      <c r="C47" s="21">
        <v>251232</v>
      </c>
      <c r="E47" s="21">
        <v>548799574</v>
      </c>
      <c r="G47" s="21">
        <v>924488706</v>
      </c>
      <c r="I47" s="21">
        <v>-375689132</v>
      </c>
      <c r="K47" s="21">
        <v>1579765</v>
      </c>
      <c r="M47" s="21">
        <v>3775663145</v>
      </c>
      <c r="O47" s="21">
        <v>5811308017</v>
      </c>
      <c r="Q47" s="21">
        <v>-2035644872</v>
      </c>
    </row>
    <row r="48" spans="1:17" ht="18.75" x14ac:dyDescent="0.45">
      <c r="A48" s="29" t="s">
        <v>257</v>
      </c>
      <c r="J48" s="22"/>
      <c r="K48" s="21">
        <v>800000</v>
      </c>
      <c r="M48" s="21">
        <v>5996109686</v>
      </c>
      <c r="O48" s="21">
        <v>7154632734</v>
      </c>
      <c r="Q48" s="21">
        <v>-1158523048</v>
      </c>
    </row>
    <row r="49" spans="1:17" ht="18.75" x14ac:dyDescent="0.45">
      <c r="A49" s="29" t="s">
        <v>105</v>
      </c>
      <c r="J49" s="22"/>
      <c r="K49" s="21">
        <v>200000</v>
      </c>
      <c r="M49" s="21">
        <v>885300938</v>
      </c>
      <c r="O49" s="21">
        <v>1054358238</v>
      </c>
      <c r="Q49" s="21">
        <v>-169057300</v>
      </c>
    </row>
    <row r="50" spans="1:17" ht="18.75" x14ac:dyDescent="0.45">
      <c r="A50" s="29" t="s">
        <v>114</v>
      </c>
      <c r="C50" s="21">
        <v>1631890</v>
      </c>
      <c r="E50" s="21">
        <v>7286559450</v>
      </c>
      <c r="G50" s="21">
        <v>8570162731</v>
      </c>
      <c r="I50" s="21">
        <v>-1283603281</v>
      </c>
      <c r="K50" s="21">
        <v>1631890</v>
      </c>
      <c r="M50" s="21">
        <v>7286559450</v>
      </c>
      <c r="O50" s="21">
        <v>8570162731</v>
      </c>
      <c r="Q50" s="21">
        <v>-1283603281</v>
      </c>
    </row>
    <row r="51" spans="1:17" ht="18.75" x14ac:dyDescent="0.45">
      <c r="A51" s="29" t="s">
        <v>116</v>
      </c>
      <c r="J51" s="22"/>
      <c r="K51" s="21">
        <v>1537022</v>
      </c>
      <c r="M51" s="21">
        <v>4464836919</v>
      </c>
      <c r="O51" s="21">
        <v>4984711049</v>
      </c>
      <c r="Q51" s="21">
        <v>-519874130</v>
      </c>
    </row>
    <row r="52" spans="1:17" ht="18.75" x14ac:dyDescent="0.45">
      <c r="A52" s="29" t="s">
        <v>118</v>
      </c>
      <c r="C52" s="21">
        <v>4210521</v>
      </c>
      <c r="E52" s="21">
        <v>14942630535</v>
      </c>
      <c r="G52" s="21">
        <v>18183156132</v>
      </c>
      <c r="I52" s="21">
        <v>-3240525597</v>
      </c>
      <c r="K52" s="21">
        <v>5615453</v>
      </c>
      <c r="M52" s="21">
        <v>26282800542</v>
      </c>
      <c r="O52" s="21">
        <v>25810393626</v>
      </c>
      <c r="Q52" s="21">
        <v>472406916</v>
      </c>
    </row>
    <row r="53" spans="1:17" ht="18.75" x14ac:dyDescent="0.45">
      <c r="A53" s="29" t="s">
        <v>121</v>
      </c>
      <c r="J53" s="22"/>
      <c r="K53" s="21">
        <v>444699</v>
      </c>
      <c r="M53" s="21">
        <v>4647411119</v>
      </c>
      <c r="O53" s="21">
        <v>5692349199</v>
      </c>
      <c r="Q53" s="21">
        <v>-1044938080</v>
      </c>
    </row>
    <row r="54" spans="1:17" ht="18.75" x14ac:dyDescent="0.45">
      <c r="A54" s="29" t="s">
        <v>122</v>
      </c>
      <c r="C54" s="21">
        <v>400000</v>
      </c>
      <c r="E54" s="21">
        <v>2038597747</v>
      </c>
      <c r="G54" s="21">
        <v>2254533429</v>
      </c>
      <c r="I54" s="21">
        <v>-215935682</v>
      </c>
      <c r="K54" s="21">
        <v>836904</v>
      </c>
      <c r="M54" s="21">
        <v>4715251696</v>
      </c>
      <c r="O54" s="21">
        <v>6038285549</v>
      </c>
      <c r="Q54" s="21">
        <v>-1323033853</v>
      </c>
    </row>
    <row r="55" spans="1:17" ht="18.75" x14ac:dyDescent="0.45">
      <c r="A55" s="29" t="s">
        <v>124</v>
      </c>
      <c r="C55" s="21">
        <v>8506662</v>
      </c>
      <c r="E55" s="21">
        <v>49936449191</v>
      </c>
      <c r="G55" s="21">
        <v>77327615375</v>
      </c>
      <c r="I55" s="21">
        <v>-27391166184</v>
      </c>
      <c r="K55" s="21">
        <v>9006662</v>
      </c>
      <c r="M55" s="21">
        <v>55125390230</v>
      </c>
      <c r="O55" s="21">
        <v>81859245914</v>
      </c>
      <c r="Q55" s="21">
        <v>-26733855684</v>
      </c>
    </row>
    <row r="56" spans="1:17" ht="18.75" x14ac:dyDescent="0.45">
      <c r="A56" s="29" t="s">
        <v>125</v>
      </c>
      <c r="C56" s="21">
        <v>400000</v>
      </c>
      <c r="E56" s="21">
        <v>1400417648</v>
      </c>
      <c r="G56" s="21">
        <v>1365792368</v>
      </c>
      <c r="I56" s="21">
        <v>34625280</v>
      </c>
      <c r="K56" s="21">
        <v>1645824</v>
      </c>
      <c r="M56" s="21">
        <v>7565406503</v>
      </c>
      <c r="O56" s="21">
        <v>5608840820</v>
      </c>
      <c r="Q56" s="21">
        <v>1956565683</v>
      </c>
    </row>
    <row r="57" spans="1:17" ht="18.75" x14ac:dyDescent="0.45">
      <c r="A57" s="29" t="s">
        <v>126</v>
      </c>
      <c r="J57" s="22"/>
      <c r="K57" s="21">
        <v>509996</v>
      </c>
      <c r="M57" s="21">
        <v>1511111738</v>
      </c>
      <c r="O57" s="21">
        <v>1214760264</v>
      </c>
      <c r="Q57" s="21">
        <v>296351474</v>
      </c>
    </row>
    <row r="58" spans="1:17" ht="18.75" x14ac:dyDescent="0.45">
      <c r="A58" s="29" t="s">
        <v>128</v>
      </c>
      <c r="C58" s="21">
        <v>5701325</v>
      </c>
      <c r="E58" s="21">
        <v>32451979398</v>
      </c>
      <c r="G58" s="21">
        <v>31432199405</v>
      </c>
      <c r="I58" s="21">
        <v>1019779993</v>
      </c>
      <c r="K58" s="21">
        <v>5901326</v>
      </c>
      <c r="M58" s="21">
        <v>33913232929</v>
      </c>
      <c r="O58" s="21">
        <v>32532899886</v>
      </c>
      <c r="Q58" s="21">
        <v>1380333043</v>
      </c>
    </row>
    <row r="59" spans="1:17" ht="18.75" x14ac:dyDescent="0.45">
      <c r="A59" s="29" t="s">
        <v>263</v>
      </c>
      <c r="J59" s="22"/>
      <c r="K59" s="21">
        <v>1313770</v>
      </c>
      <c r="M59" s="21">
        <v>34590634395</v>
      </c>
      <c r="O59" s="21">
        <v>45318479673</v>
      </c>
      <c r="Q59" s="21">
        <v>-10727845278</v>
      </c>
    </row>
    <row r="60" spans="1:17" ht="18.75" x14ac:dyDescent="0.45">
      <c r="A60" s="29" t="s">
        <v>265</v>
      </c>
      <c r="J60" s="22"/>
      <c r="K60" s="21">
        <v>411</v>
      </c>
      <c r="M60" s="21">
        <v>1101466</v>
      </c>
      <c r="O60" s="21">
        <v>992650</v>
      </c>
      <c r="Q60" s="21">
        <v>108816</v>
      </c>
    </row>
    <row r="61" spans="1:17" ht="18.75" x14ac:dyDescent="0.45">
      <c r="A61" s="29" t="s">
        <v>129</v>
      </c>
      <c r="J61" s="22"/>
      <c r="K61" s="21">
        <v>934827</v>
      </c>
      <c r="M61" s="21">
        <v>3538668081</v>
      </c>
      <c r="O61" s="21">
        <v>3186640990</v>
      </c>
      <c r="Q61" s="21">
        <v>352027091</v>
      </c>
    </row>
    <row r="62" spans="1:17" ht="18.75" x14ac:dyDescent="0.45">
      <c r="A62" s="29" t="s">
        <v>131</v>
      </c>
      <c r="C62" s="21">
        <v>118112</v>
      </c>
      <c r="E62" s="21">
        <v>494645112</v>
      </c>
      <c r="G62" s="21">
        <v>635745487</v>
      </c>
      <c r="I62" s="21">
        <v>-141100375</v>
      </c>
      <c r="K62" s="21">
        <v>118112</v>
      </c>
      <c r="M62" s="21">
        <v>494645112</v>
      </c>
      <c r="O62" s="21">
        <v>635745487</v>
      </c>
      <c r="Q62" s="21">
        <v>-141100375</v>
      </c>
    </row>
    <row r="63" spans="1:17" ht="18.75" x14ac:dyDescent="0.45">
      <c r="A63" s="29" t="s">
        <v>133</v>
      </c>
      <c r="C63" s="21">
        <v>6213180</v>
      </c>
      <c r="E63" s="21">
        <v>61297679650</v>
      </c>
      <c r="G63" s="21">
        <v>55280763366</v>
      </c>
      <c r="I63" s="21">
        <v>6016916284</v>
      </c>
      <c r="K63" s="21">
        <v>7497700</v>
      </c>
      <c r="M63" s="21">
        <v>75087206901</v>
      </c>
      <c r="O63" s="21">
        <v>66702887623</v>
      </c>
      <c r="Q63" s="21">
        <v>8384319278</v>
      </c>
    </row>
    <row r="64" spans="1:17" ht="18.75" x14ac:dyDescent="0.45">
      <c r="A64" s="29" t="s">
        <v>134</v>
      </c>
      <c r="J64" s="22"/>
      <c r="K64" s="21">
        <v>1000000</v>
      </c>
      <c r="M64" s="21">
        <v>4284006369</v>
      </c>
      <c r="O64" s="21">
        <v>3549955462</v>
      </c>
      <c r="Q64" s="21">
        <v>734050907</v>
      </c>
    </row>
    <row r="65" spans="1:17" ht="18.75" x14ac:dyDescent="0.45">
      <c r="A65" s="29" t="s">
        <v>136</v>
      </c>
      <c r="C65" s="21">
        <v>4548724</v>
      </c>
      <c r="E65" s="21">
        <v>14161210311</v>
      </c>
      <c r="G65" s="21">
        <v>14380024014</v>
      </c>
      <c r="I65" s="21">
        <v>-218813703</v>
      </c>
      <c r="K65" s="21">
        <v>9771010</v>
      </c>
      <c r="M65" s="21">
        <v>33038264629</v>
      </c>
      <c r="O65" s="21">
        <v>30873725781</v>
      </c>
      <c r="Q65" s="21">
        <v>2164538848</v>
      </c>
    </row>
    <row r="66" spans="1:17" ht="18.75" x14ac:dyDescent="0.45">
      <c r="A66" s="29" t="s">
        <v>137</v>
      </c>
      <c r="J66" s="22"/>
      <c r="K66" s="21">
        <v>18800000</v>
      </c>
      <c r="M66" s="21">
        <v>28091711753</v>
      </c>
      <c r="O66" s="21">
        <v>29246986666</v>
      </c>
      <c r="Q66" s="21">
        <v>-1155274913</v>
      </c>
    </row>
    <row r="67" spans="1:17" ht="18.75" x14ac:dyDescent="0.45">
      <c r="A67" s="29" t="s">
        <v>269</v>
      </c>
      <c r="J67" s="22"/>
      <c r="K67" s="21">
        <v>177678</v>
      </c>
      <c r="M67" s="21">
        <v>5989000605</v>
      </c>
      <c r="O67" s="21">
        <v>6375488122</v>
      </c>
      <c r="Q67" s="21">
        <v>-386487517</v>
      </c>
    </row>
    <row r="68" spans="1:17" ht="18.75" x14ac:dyDescent="0.45">
      <c r="A68" s="29" t="s">
        <v>141</v>
      </c>
      <c r="J68" s="22"/>
      <c r="K68" s="21">
        <v>4260000</v>
      </c>
      <c r="M68" s="21">
        <v>14770469820</v>
      </c>
      <c r="O68" s="21">
        <v>14466092181</v>
      </c>
      <c r="Q68" s="21">
        <v>304377639</v>
      </c>
    </row>
    <row r="69" spans="1:17" ht="18.75" x14ac:dyDescent="0.45">
      <c r="A69" s="29" t="s">
        <v>142</v>
      </c>
      <c r="J69" s="22"/>
      <c r="K69" s="21">
        <v>3009494</v>
      </c>
      <c r="M69" s="21">
        <v>28410190787</v>
      </c>
      <c r="O69" s="21">
        <v>26933730534</v>
      </c>
      <c r="Q69" s="21">
        <v>1476460253</v>
      </c>
    </row>
    <row r="70" spans="1:17" ht="18.75" x14ac:dyDescent="0.45">
      <c r="A70" s="29" t="s">
        <v>146</v>
      </c>
      <c r="J70" s="22"/>
      <c r="K70" s="21">
        <v>3146214</v>
      </c>
      <c r="M70" s="21">
        <v>18223860883</v>
      </c>
      <c r="O70" s="21">
        <v>21126603614</v>
      </c>
      <c r="Q70" s="21">
        <v>-2902742731</v>
      </c>
    </row>
    <row r="71" spans="1:17" ht="18.75" x14ac:dyDescent="0.45">
      <c r="A71" s="29" t="s">
        <v>147</v>
      </c>
      <c r="J71" s="22"/>
      <c r="K71" s="21">
        <v>400000</v>
      </c>
      <c r="M71" s="21">
        <v>1100960502</v>
      </c>
      <c r="O71" s="21">
        <v>1041139008</v>
      </c>
      <c r="Q71" s="21">
        <v>59821494</v>
      </c>
    </row>
    <row r="72" spans="1:17" ht="18.75" x14ac:dyDescent="0.45">
      <c r="A72" s="29" t="s">
        <v>151</v>
      </c>
      <c r="J72" s="22"/>
      <c r="K72" s="21">
        <v>100000</v>
      </c>
      <c r="M72" s="21">
        <v>3089507415</v>
      </c>
      <c r="O72" s="21">
        <v>3569033865</v>
      </c>
      <c r="Q72" s="21">
        <v>-479526450</v>
      </c>
    </row>
    <row r="73" spans="1:17" ht="18.75" x14ac:dyDescent="0.45">
      <c r="A73" s="29" t="s">
        <v>153</v>
      </c>
      <c r="C73" s="21">
        <v>1191494</v>
      </c>
      <c r="E73" s="21">
        <v>27654372019</v>
      </c>
      <c r="G73" s="21">
        <v>22065746712</v>
      </c>
      <c r="I73" s="21">
        <v>5588625307</v>
      </c>
      <c r="K73" s="21">
        <v>4470263</v>
      </c>
      <c r="M73" s="21">
        <v>118857719468</v>
      </c>
      <c r="O73" s="21">
        <v>82696155451</v>
      </c>
      <c r="Q73" s="21">
        <v>36161564017</v>
      </c>
    </row>
    <row r="74" spans="1:17" ht="18.75" x14ac:dyDescent="0.45">
      <c r="A74" s="29" t="s">
        <v>156</v>
      </c>
      <c r="J74" s="22"/>
      <c r="K74" s="21">
        <v>50000</v>
      </c>
      <c r="M74" s="21">
        <v>12539941790</v>
      </c>
      <c r="O74" s="21">
        <v>12518560200</v>
      </c>
      <c r="Q74" s="21">
        <v>21381590</v>
      </c>
    </row>
    <row r="75" spans="1:17" ht="18.75" x14ac:dyDescent="0.45">
      <c r="A75" s="29" t="s">
        <v>157</v>
      </c>
      <c r="C75" s="21">
        <v>1356250</v>
      </c>
      <c r="E75" s="21">
        <v>2548309346</v>
      </c>
      <c r="G75" s="21">
        <v>3108085751</v>
      </c>
      <c r="I75" s="21">
        <v>-559776405</v>
      </c>
      <c r="K75" s="21">
        <v>1356250</v>
      </c>
      <c r="M75" s="21">
        <v>2548309346</v>
      </c>
      <c r="O75" s="21">
        <v>3108085751</v>
      </c>
      <c r="Q75" s="21">
        <v>-559776405</v>
      </c>
    </row>
    <row r="76" spans="1:17" ht="18.75" x14ac:dyDescent="0.45">
      <c r="A76" s="29" t="s">
        <v>166</v>
      </c>
      <c r="J76" s="22"/>
      <c r="K76" s="21">
        <v>2800000</v>
      </c>
      <c r="M76" s="21">
        <v>5594513564</v>
      </c>
      <c r="O76" s="21">
        <v>7377783335</v>
      </c>
      <c r="Q76" s="21">
        <v>-1783269771</v>
      </c>
    </row>
    <row r="77" spans="1:17" ht="37.5" x14ac:dyDescent="0.45">
      <c r="A77" s="29" t="s">
        <v>168</v>
      </c>
      <c r="C77" s="21">
        <v>379933</v>
      </c>
      <c r="E77" s="21">
        <v>364283276</v>
      </c>
      <c r="G77" s="21">
        <v>503145228</v>
      </c>
      <c r="I77" s="21">
        <v>-138861952</v>
      </c>
      <c r="K77" s="21">
        <v>379933</v>
      </c>
      <c r="M77" s="21">
        <v>364283276</v>
      </c>
      <c r="O77" s="21">
        <v>503145228</v>
      </c>
      <c r="Q77" s="21">
        <v>-138861952</v>
      </c>
    </row>
    <row r="78" spans="1:17" ht="18.75" x14ac:dyDescent="0.45">
      <c r="A78" s="24" t="s">
        <v>170</v>
      </c>
      <c r="C78" s="24">
        <f>SUM(C9:$C$77)</f>
        <v>78210548</v>
      </c>
      <c r="E78" s="24">
        <f>SUM(E9:$E$77)</f>
        <v>430114975895</v>
      </c>
      <c r="G78" s="24">
        <f>SUM(G9:$G$77)</f>
        <v>458000153750</v>
      </c>
      <c r="I78" s="24">
        <f>SUM(I9:$I$77)</f>
        <v>-27885177855</v>
      </c>
      <c r="K78" s="24">
        <f>SUM(K9:$K$77)</f>
        <v>249066477</v>
      </c>
      <c r="M78" s="24">
        <f>SUM(M9:$M$77)</f>
        <v>1344580926108</v>
      </c>
      <c r="O78" s="24">
        <f>SUM(O9:$O$77)</f>
        <v>1308889307346</v>
      </c>
      <c r="Q78" s="24">
        <f>SUM(Q9:$Q$77)</f>
        <v>35691618762</v>
      </c>
    </row>
    <row r="79" spans="1:17" ht="18.75" x14ac:dyDescent="0.45">
      <c r="C79" s="26"/>
      <c r="E79" s="26"/>
      <c r="G79" s="26"/>
      <c r="I79" s="26"/>
      <c r="K79" s="26"/>
      <c r="M79" s="26"/>
      <c r="O79" s="26"/>
      <c r="Q79" s="26"/>
    </row>
    <row r="81" spans="1:17" ht="18.75" x14ac:dyDescent="0.45">
      <c r="A81" s="31" t="s">
        <v>283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3"/>
    </row>
  </sheetData>
  <mergeCells count="7">
    <mergeCell ref="A81:Q81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66"/>
  <sheetViews>
    <sheetView rightToLeft="1" view="pageBreakPreview" topLeftCell="A150" zoomScale="89" zoomScaleNormal="100" zoomScaleSheetLayoutView="89" workbookViewId="0">
      <selection sqref="A1:XFD1048576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3.7109375" style="12" bestFit="1" customWidth="1"/>
    <col min="4" max="4" width="1.42578125" style="12" customWidth="1"/>
    <col min="5" max="5" width="20.5703125" style="12" bestFit="1" customWidth="1"/>
    <col min="6" max="6" width="1.42578125" style="12" customWidth="1"/>
    <col min="7" max="7" width="19.85546875" style="12" bestFit="1" customWidth="1"/>
    <col min="8" max="8" width="1.42578125" style="12" customWidth="1"/>
    <col min="9" max="9" width="30.5703125" style="12" bestFit="1" customWidth="1"/>
    <col min="10" max="10" width="1.42578125" style="12" customWidth="1"/>
    <col min="11" max="11" width="13.7109375" style="12" bestFit="1" customWidth="1"/>
    <col min="12" max="12" width="1.42578125" style="12" customWidth="1"/>
    <col min="13" max="13" width="20.5703125" style="12" bestFit="1" customWidth="1"/>
    <col min="14" max="14" width="1.42578125" style="12" customWidth="1"/>
    <col min="15" max="15" width="19.7109375" style="12" bestFit="1" customWidth="1"/>
    <col min="16" max="16" width="1.42578125" style="12" customWidth="1"/>
    <col min="17" max="17" width="30.5703125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284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218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208</v>
      </c>
      <c r="C8" s="28" t="s">
        <v>9</v>
      </c>
      <c r="E8" s="28" t="s">
        <v>11</v>
      </c>
      <c r="G8" s="28" t="s">
        <v>280</v>
      </c>
      <c r="I8" s="28" t="s">
        <v>285</v>
      </c>
      <c r="K8" s="28" t="s">
        <v>9</v>
      </c>
      <c r="M8" s="28" t="s">
        <v>11</v>
      </c>
      <c r="O8" s="28" t="s">
        <v>280</v>
      </c>
      <c r="Q8" s="28" t="s">
        <v>285</v>
      </c>
    </row>
    <row r="9" spans="1:17" ht="18.75" x14ac:dyDescent="0.45">
      <c r="A9" s="29" t="s">
        <v>17</v>
      </c>
      <c r="C9" s="21">
        <v>50000</v>
      </c>
      <c r="E9" s="21">
        <v>1401610500</v>
      </c>
      <c r="G9" s="21">
        <v>1391670000</v>
      </c>
      <c r="I9" s="21">
        <v>9940500</v>
      </c>
      <c r="K9" s="21">
        <v>50000</v>
      </c>
      <c r="M9" s="21">
        <v>1401610500</v>
      </c>
      <c r="O9" s="21">
        <v>1304690625</v>
      </c>
      <c r="Q9" s="21">
        <v>96919875</v>
      </c>
    </row>
    <row r="10" spans="1:17" ht="18.75" x14ac:dyDescent="0.45">
      <c r="A10" s="29" t="s">
        <v>18</v>
      </c>
      <c r="C10" s="21">
        <v>245000</v>
      </c>
      <c r="E10" s="21">
        <v>1682876947</v>
      </c>
      <c r="G10" s="21">
        <v>1590330892</v>
      </c>
      <c r="I10" s="21">
        <v>92546055</v>
      </c>
      <c r="K10" s="21">
        <v>245000</v>
      </c>
      <c r="M10" s="21">
        <v>1682876947</v>
      </c>
      <c r="O10" s="21">
        <v>1736456242</v>
      </c>
      <c r="Q10" s="21">
        <v>-53579295</v>
      </c>
    </row>
    <row r="11" spans="1:17" ht="18.75" x14ac:dyDescent="0.45">
      <c r="A11" s="29" t="s">
        <v>19</v>
      </c>
      <c r="C11" s="21">
        <v>2124125</v>
      </c>
      <c r="E11" s="21">
        <v>8570523526</v>
      </c>
      <c r="G11" s="21">
        <v>8803931592</v>
      </c>
      <c r="I11" s="21">
        <v>-233408066</v>
      </c>
      <c r="K11" s="21">
        <v>2124125</v>
      </c>
      <c r="M11" s="21">
        <v>8570523526</v>
      </c>
      <c r="O11" s="21">
        <v>8803931592</v>
      </c>
      <c r="Q11" s="21">
        <v>-233408066</v>
      </c>
    </row>
    <row r="12" spans="1:17" ht="18.75" x14ac:dyDescent="0.45">
      <c r="A12" s="29" t="s">
        <v>20</v>
      </c>
      <c r="C12" s="21">
        <v>1198170</v>
      </c>
      <c r="E12" s="21">
        <v>10981396992</v>
      </c>
      <c r="G12" s="21">
        <v>10659815952</v>
      </c>
      <c r="I12" s="21">
        <v>321581040</v>
      </c>
      <c r="K12" s="21">
        <v>1198170</v>
      </c>
      <c r="M12" s="21">
        <v>10981396992</v>
      </c>
      <c r="O12" s="21">
        <v>9933281010</v>
      </c>
      <c r="Q12" s="21">
        <v>1048115982</v>
      </c>
    </row>
    <row r="13" spans="1:17" ht="18.75" x14ac:dyDescent="0.45">
      <c r="A13" s="29" t="s">
        <v>21</v>
      </c>
      <c r="C13" s="21">
        <v>3000000</v>
      </c>
      <c r="E13" s="21">
        <v>10622418300</v>
      </c>
      <c r="G13" s="21">
        <v>10167426528</v>
      </c>
      <c r="I13" s="21">
        <v>454991772</v>
      </c>
      <c r="K13" s="21">
        <v>3000000</v>
      </c>
      <c r="M13" s="21">
        <v>10622418300</v>
      </c>
      <c r="O13" s="21">
        <v>10167426528</v>
      </c>
      <c r="Q13" s="21">
        <v>454991772</v>
      </c>
    </row>
    <row r="14" spans="1:17" ht="18.75" x14ac:dyDescent="0.45">
      <c r="A14" s="29" t="s">
        <v>22</v>
      </c>
      <c r="C14" s="21">
        <v>2800000</v>
      </c>
      <c r="E14" s="21">
        <v>10743692400</v>
      </c>
      <c r="G14" s="21">
        <v>10433055504</v>
      </c>
      <c r="I14" s="21">
        <v>310636896</v>
      </c>
      <c r="K14" s="21">
        <v>2800000</v>
      </c>
      <c r="M14" s="21">
        <v>10743692400</v>
      </c>
      <c r="O14" s="21">
        <v>10433055504</v>
      </c>
      <c r="Q14" s="21">
        <v>310636896</v>
      </c>
    </row>
    <row r="15" spans="1:17" ht="18.75" x14ac:dyDescent="0.45">
      <c r="A15" s="29" t="s">
        <v>23</v>
      </c>
      <c r="C15" s="21">
        <v>12800630</v>
      </c>
      <c r="E15" s="21">
        <v>27128562048</v>
      </c>
      <c r="G15" s="21">
        <v>23695976413</v>
      </c>
      <c r="I15" s="21">
        <v>3432585635</v>
      </c>
      <c r="K15" s="21">
        <v>12800630</v>
      </c>
      <c r="M15" s="21">
        <v>27128562048</v>
      </c>
      <c r="O15" s="21">
        <v>42412656891</v>
      </c>
      <c r="Q15" s="21">
        <v>-15284094843</v>
      </c>
    </row>
    <row r="16" spans="1:17" ht="18.75" x14ac:dyDescent="0.45">
      <c r="A16" s="29" t="s">
        <v>24</v>
      </c>
      <c r="C16" s="21">
        <v>1169902</v>
      </c>
      <c r="E16" s="21">
        <v>15513634049</v>
      </c>
      <c r="G16" s="21">
        <v>14897275275</v>
      </c>
      <c r="I16" s="21">
        <v>616358774</v>
      </c>
      <c r="K16" s="21">
        <v>1169902</v>
      </c>
      <c r="M16" s="21">
        <v>15513634049</v>
      </c>
      <c r="O16" s="21">
        <v>18362839703</v>
      </c>
      <c r="Q16" s="21">
        <v>-2849205654</v>
      </c>
    </row>
    <row r="17" spans="1:17" ht="18.75" x14ac:dyDescent="0.45">
      <c r="A17" s="29" t="s">
        <v>25</v>
      </c>
      <c r="C17" s="21">
        <v>8265950</v>
      </c>
      <c r="E17" s="21">
        <v>25636314904</v>
      </c>
      <c r="G17" s="21">
        <v>23138417555</v>
      </c>
      <c r="I17" s="21">
        <v>2497897349</v>
      </c>
      <c r="K17" s="21">
        <v>8265950</v>
      </c>
      <c r="M17" s="21">
        <v>25636314904</v>
      </c>
      <c r="O17" s="21">
        <v>19991395565</v>
      </c>
      <c r="Q17" s="21">
        <v>5644919339</v>
      </c>
    </row>
    <row r="18" spans="1:17" ht="18.75" x14ac:dyDescent="0.45">
      <c r="A18" s="29" t="s">
        <v>26</v>
      </c>
      <c r="C18" s="21">
        <v>18400000</v>
      </c>
      <c r="E18" s="21">
        <v>7352789040</v>
      </c>
      <c r="G18" s="21">
        <v>7201076124</v>
      </c>
      <c r="I18" s="21">
        <v>151712916</v>
      </c>
      <c r="K18" s="21">
        <v>18400000</v>
      </c>
      <c r="M18" s="21">
        <v>7352789040</v>
      </c>
      <c r="O18" s="21">
        <v>7201076124</v>
      </c>
      <c r="Q18" s="21">
        <v>151712916</v>
      </c>
    </row>
    <row r="19" spans="1:17" ht="18.75" x14ac:dyDescent="0.45">
      <c r="A19" s="29" t="s">
        <v>27</v>
      </c>
      <c r="C19" s="21">
        <v>1750000</v>
      </c>
      <c r="E19" s="21">
        <v>5933732962</v>
      </c>
      <c r="G19" s="21">
        <v>6126827175</v>
      </c>
      <c r="I19" s="21">
        <v>-193094213</v>
      </c>
      <c r="K19" s="21">
        <v>1750000</v>
      </c>
      <c r="M19" s="21">
        <v>5933732962</v>
      </c>
      <c r="O19" s="21">
        <v>4695146662</v>
      </c>
      <c r="Q19" s="21">
        <v>1238586300</v>
      </c>
    </row>
    <row r="20" spans="1:17" ht="18.75" x14ac:dyDescent="0.45">
      <c r="A20" s="29" t="s">
        <v>28</v>
      </c>
      <c r="C20" s="21">
        <v>13509504</v>
      </c>
      <c r="E20" s="21">
        <v>17981594962</v>
      </c>
      <c r="G20" s="21">
        <v>17847303738</v>
      </c>
      <c r="I20" s="21">
        <v>134291224</v>
      </c>
      <c r="K20" s="21">
        <v>13509504</v>
      </c>
      <c r="M20" s="21">
        <v>17981594962</v>
      </c>
      <c r="O20" s="21">
        <v>17296709716</v>
      </c>
      <c r="Q20" s="21">
        <v>684885246</v>
      </c>
    </row>
    <row r="21" spans="1:17" ht="18.75" x14ac:dyDescent="0.45">
      <c r="A21" s="29" t="s">
        <v>29</v>
      </c>
      <c r="C21" s="21">
        <v>18400000</v>
      </c>
      <c r="E21" s="21">
        <v>7169883840</v>
      </c>
      <c r="G21" s="21">
        <v>7016905339</v>
      </c>
      <c r="I21" s="21">
        <v>152978501</v>
      </c>
      <c r="K21" s="21">
        <v>18400000</v>
      </c>
      <c r="M21" s="21">
        <v>7169883840</v>
      </c>
      <c r="O21" s="21">
        <v>7016905339</v>
      </c>
      <c r="Q21" s="21">
        <v>152978501</v>
      </c>
    </row>
    <row r="22" spans="1:17" ht="18.75" x14ac:dyDescent="0.45">
      <c r="A22" s="29" t="s">
        <v>30</v>
      </c>
      <c r="C22" s="21">
        <v>15200000</v>
      </c>
      <c r="E22" s="21">
        <v>7010835840</v>
      </c>
      <c r="G22" s="21">
        <v>7013702472</v>
      </c>
      <c r="I22" s="21">
        <v>-2866632</v>
      </c>
      <c r="K22" s="21">
        <v>15200000</v>
      </c>
      <c r="M22" s="21">
        <v>7010835840</v>
      </c>
      <c r="O22" s="21">
        <v>7013702472</v>
      </c>
      <c r="Q22" s="21">
        <v>-2866632</v>
      </c>
    </row>
    <row r="23" spans="1:17" ht="18.75" x14ac:dyDescent="0.45">
      <c r="A23" s="29" t="s">
        <v>31</v>
      </c>
      <c r="C23" s="21">
        <v>18336792</v>
      </c>
      <c r="E23" s="21">
        <v>18391737280</v>
      </c>
      <c r="G23" s="21">
        <v>17643374595</v>
      </c>
      <c r="I23" s="21">
        <v>748362685</v>
      </c>
      <c r="K23" s="21">
        <v>18336792</v>
      </c>
      <c r="M23" s="21">
        <v>18391737280</v>
      </c>
      <c r="O23" s="21">
        <v>17643374595</v>
      </c>
      <c r="Q23" s="21">
        <v>748362685</v>
      </c>
    </row>
    <row r="24" spans="1:17" ht="18.75" x14ac:dyDescent="0.45">
      <c r="A24" s="29" t="s">
        <v>32</v>
      </c>
      <c r="C24" s="21">
        <v>8000000</v>
      </c>
      <c r="E24" s="21">
        <v>10020024000</v>
      </c>
      <c r="G24" s="21">
        <v>9768862019</v>
      </c>
      <c r="I24" s="21">
        <v>251161981</v>
      </c>
      <c r="K24" s="21">
        <v>8000000</v>
      </c>
      <c r="M24" s="21">
        <v>10020024000</v>
      </c>
      <c r="O24" s="21">
        <v>9768862019</v>
      </c>
      <c r="Q24" s="21">
        <v>251161981</v>
      </c>
    </row>
    <row r="25" spans="1:17" ht="18.75" x14ac:dyDescent="0.45">
      <c r="A25" s="29" t="s">
        <v>33</v>
      </c>
      <c r="C25" s="21">
        <v>4000000</v>
      </c>
      <c r="E25" s="21">
        <v>5049774000</v>
      </c>
      <c r="G25" s="21">
        <v>5016651080</v>
      </c>
      <c r="I25" s="21">
        <v>33122920</v>
      </c>
      <c r="K25" s="21">
        <v>4000000</v>
      </c>
      <c r="M25" s="21">
        <v>5049774000</v>
      </c>
      <c r="O25" s="21">
        <v>5016651080</v>
      </c>
      <c r="Q25" s="21">
        <v>33122920</v>
      </c>
    </row>
    <row r="26" spans="1:17" ht="18.75" x14ac:dyDescent="0.45">
      <c r="A26" s="29" t="s">
        <v>34</v>
      </c>
      <c r="C26" s="21">
        <v>3304414</v>
      </c>
      <c r="E26" s="21">
        <v>6737027863</v>
      </c>
      <c r="G26" s="21">
        <v>6820601441</v>
      </c>
      <c r="I26" s="21">
        <v>-83573578</v>
      </c>
      <c r="K26" s="21">
        <v>3304414</v>
      </c>
      <c r="M26" s="21">
        <v>6737027863</v>
      </c>
      <c r="O26" s="21">
        <v>6820601441</v>
      </c>
      <c r="Q26" s="21">
        <v>-83573578</v>
      </c>
    </row>
    <row r="27" spans="1:17" ht="18.75" x14ac:dyDescent="0.45">
      <c r="A27" s="29" t="s">
        <v>35</v>
      </c>
      <c r="C27" s="21">
        <v>2875000</v>
      </c>
      <c r="E27" s="21">
        <v>5355692887</v>
      </c>
      <c r="G27" s="21">
        <v>5507161256</v>
      </c>
      <c r="I27" s="21">
        <v>-151468369</v>
      </c>
      <c r="K27" s="21">
        <v>2875000</v>
      </c>
      <c r="M27" s="21">
        <v>5355692887</v>
      </c>
      <c r="O27" s="21">
        <v>5893653906</v>
      </c>
      <c r="Q27" s="21">
        <v>-537961019</v>
      </c>
    </row>
    <row r="28" spans="1:17" ht="18.75" x14ac:dyDescent="0.45">
      <c r="A28" s="29" t="s">
        <v>36</v>
      </c>
      <c r="C28" s="21">
        <v>1927734</v>
      </c>
      <c r="E28" s="21">
        <v>7910337721</v>
      </c>
      <c r="G28" s="21">
        <v>7892221133</v>
      </c>
      <c r="I28" s="21">
        <v>18116588</v>
      </c>
      <c r="K28" s="21">
        <v>1927734</v>
      </c>
      <c r="M28" s="21">
        <v>7910337721</v>
      </c>
      <c r="O28" s="21">
        <v>7892221133</v>
      </c>
      <c r="Q28" s="21">
        <v>18116588</v>
      </c>
    </row>
    <row r="29" spans="1:17" ht="37.5" x14ac:dyDescent="0.45">
      <c r="A29" s="29" t="s">
        <v>37</v>
      </c>
      <c r="C29" s="21">
        <v>2669494</v>
      </c>
      <c r="E29" s="21">
        <v>5829982292</v>
      </c>
      <c r="G29" s="21">
        <v>5779340893</v>
      </c>
      <c r="I29" s="21">
        <v>50641399</v>
      </c>
      <c r="K29" s="21">
        <v>2669494</v>
      </c>
      <c r="M29" s="21">
        <v>5829982292</v>
      </c>
      <c r="O29" s="21">
        <v>5779340893</v>
      </c>
      <c r="Q29" s="21">
        <v>50641399</v>
      </c>
    </row>
    <row r="30" spans="1:17" ht="18.75" x14ac:dyDescent="0.45">
      <c r="A30" s="29" t="s">
        <v>38</v>
      </c>
      <c r="C30" s="21">
        <v>5466157</v>
      </c>
      <c r="E30" s="21">
        <v>7721193013</v>
      </c>
      <c r="G30" s="21">
        <v>7519555410</v>
      </c>
      <c r="I30" s="21">
        <v>201637603</v>
      </c>
      <c r="K30" s="21">
        <v>5466157</v>
      </c>
      <c r="M30" s="21">
        <v>7721193013</v>
      </c>
      <c r="O30" s="21">
        <v>7519555410</v>
      </c>
      <c r="Q30" s="21">
        <v>201637603</v>
      </c>
    </row>
    <row r="31" spans="1:17" ht="18.75" x14ac:dyDescent="0.45">
      <c r="A31" s="29" t="s">
        <v>39</v>
      </c>
      <c r="C31" s="21">
        <v>8400000</v>
      </c>
      <c r="E31" s="21">
        <v>25751461680</v>
      </c>
      <c r="G31" s="21">
        <v>34313810761</v>
      </c>
      <c r="I31" s="21">
        <v>-8562349081</v>
      </c>
      <c r="K31" s="21">
        <v>8400000</v>
      </c>
      <c r="M31" s="21">
        <v>25751461680</v>
      </c>
      <c r="O31" s="21">
        <v>29542370761</v>
      </c>
      <c r="Q31" s="21">
        <v>-3790909081</v>
      </c>
    </row>
    <row r="32" spans="1:17" ht="18.75" x14ac:dyDescent="0.45">
      <c r="A32" s="29" t="s">
        <v>40</v>
      </c>
      <c r="C32" s="21">
        <v>7095818</v>
      </c>
      <c r="E32" s="21">
        <v>47047497879</v>
      </c>
      <c r="G32" s="21">
        <v>57598997997</v>
      </c>
      <c r="I32" s="21">
        <v>-10551500118</v>
      </c>
      <c r="K32" s="21">
        <v>7095818</v>
      </c>
      <c r="M32" s="21">
        <v>47047497879</v>
      </c>
      <c r="O32" s="21">
        <v>44084986768</v>
      </c>
      <c r="Q32" s="21">
        <v>2962511111</v>
      </c>
    </row>
    <row r="33" spans="1:17" ht="18.75" x14ac:dyDescent="0.45">
      <c r="A33" s="29" t="s">
        <v>41</v>
      </c>
      <c r="C33" s="21">
        <v>4000000</v>
      </c>
      <c r="E33" s="21">
        <v>7399708200</v>
      </c>
      <c r="G33" s="21">
        <v>7346811356</v>
      </c>
      <c r="I33" s="21">
        <v>52896844</v>
      </c>
      <c r="K33" s="21">
        <v>4000000</v>
      </c>
      <c r="M33" s="21">
        <v>7399708200</v>
      </c>
      <c r="O33" s="21">
        <v>7346811356</v>
      </c>
      <c r="Q33" s="21">
        <v>52896844</v>
      </c>
    </row>
    <row r="34" spans="1:17" ht="18.75" x14ac:dyDescent="0.45">
      <c r="A34" s="29" t="s">
        <v>237</v>
      </c>
      <c r="C34" s="21">
        <v>1916567</v>
      </c>
      <c r="E34" s="21">
        <v>5976497668</v>
      </c>
      <c r="G34" s="21">
        <v>6760546896</v>
      </c>
      <c r="I34" s="21">
        <v>-784049228</v>
      </c>
      <c r="K34" s="21">
        <v>1916567</v>
      </c>
      <c r="M34" s="21">
        <v>5976497668</v>
      </c>
      <c r="O34" s="21">
        <v>8809475685</v>
      </c>
      <c r="Q34" s="21">
        <v>-2832978017</v>
      </c>
    </row>
    <row r="35" spans="1:17" ht="18.75" x14ac:dyDescent="0.45">
      <c r="A35" s="29" t="s">
        <v>43</v>
      </c>
      <c r="C35" s="21">
        <v>7765783</v>
      </c>
      <c r="E35" s="21">
        <v>12413079159</v>
      </c>
      <c r="G35" s="21">
        <v>12266407203</v>
      </c>
      <c r="I35" s="21">
        <v>146671956</v>
      </c>
      <c r="K35" s="21">
        <v>7765783</v>
      </c>
      <c r="M35" s="21">
        <v>12413079159</v>
      </c>
      <c r="O35" s="21">
        <v>11370937241</v>
      </c>
      <c r="Q35" s="21">
        <v>1042141918</v>
      </c>
    </row>
    <row r="36" spans="1:17" ht="37.5" x14ac:dyDescent="0.45">
      <c r="A36" s="29" t="s">
        <v>44</v>
      </c>
      <c r="C36" s="21">
        <v>842177</v>
      </c>
      <c r="E36" s="21">
        <v>3072399392</v>
      </c>
      <c r="G36" s="21">
        <v>3132675347</v>
      </c>
      <c r="I36" s="21">
        <v>-60275955</v>
      </c>
      <c r="K36" s="21">
        <v>842177</v>
      </c>
      <c r="M36" s="21">
        <v>3072399392</v>
      </c>
      <c r="O36" s="21">
        <v>5324376058</v>
      </c>
      <c r="Q36" s="21">
        <v>-2251976666</v>
      </c>
    </row>
    <row r="37" spans="1:17" ht="37.5" x14ac:dyDescent="0.45">
      <c r="A37" s="29" t="s">
        <v>45</v>
      </c>
      <c r="C37" s="21">
        <v>285750</v>
      </c>
      <c r="E37" s="21">
        <v>12768037948</v>
      </c>
      <c r="G37" s="21">
        <v>12256748331</v>
      </c>
      <c r="I37" s="21">
        <v>511289617</v>
      </c>
      <c r="K37" s="21">
        <v>285750</v>
      </c>
      <c r="M37" s="21">
        <v>12768037948</v>
      </c>
      <c r="O37" s="21">
        <v>13648592289</v>
      </c>
      <c r="Q37" s="21">
        <v>-880554341</v>
      </c>
    </row>
    <row r="38" spans="1:17" ht="37.5" x14ac:dyDescent="0.45">
      <c r="A38" s="29" t="s">
        <v>46</v>
      </c>
      <c r="C38" s="21">
        <v>250000</v>
      </c>
      <c r="E38" s="21">
        <v>883958962</v>
      </c>
      <c r="G38" s="21">
        <v>865320525</v>
      </c>
      <c r="I38" s="21">
        <v>18638437</v>
      </c>
      <c r="K38" s="21">
        <v>250000</v>
      </c>
      <c r="M38" s="21">
        <v>883958962</v>
      </c>
      <c r="O38" s="21">
        <v>810399262</v>
      </c>
      <c r="Q38" s="21">
        <v>73559700</v>
      </c>
    </row>
    <row r="39" spans="1:17" ht="18.75" x14ac:dyDescent="0.45">
      <c r="A39" s="29" t="s">
        <v>47</v>
      </c>
      <c r="C39" s="21">
        <v>108610</v>
      </c>
      <c r="E39" s="21">
        <v>13155385435</v>
      </c>
      <c r="G39" s="21">
        <v>12512984789</v>
      </c>
      <c r="I39" s="21">
        <v>642400646</v>
      </c>
      <c r="K39" s="21">
        <v>108610</v>
      </c>
      <c r="M39" s="21">
        <v>13155385435</v>
      </c>
      <c r="O39" s="21">
        <v>13394079252</v>
      </c>
      <c r="Q39" s="21">
        <v>-238693817</v>
      </c>
    </row>
    <row r="40" spans="1:17" ht="37.5" x14ac:dyDescent="0.45">
      <c r="A40" s="29" t="s">
        <v>48</v>
      </c>
      <c r="C40" s="21">
        <v>5032413</v>
      </c>
      <c r="E40" s="21">
        <v>47423416952</v>
      </c>
      <c r="G40" s="21">
        <v>46127546034</v>
      </c>
      <c r="I40" s="21">
        <v>1295870918</v>
      </c>
      <c r="K40" s="21">
        <v>5032413</v>
      </c>
      <c r="M40" s="21">
        <v>47423416952</v>
      </c>
      <c r="O40" s="21">
        <v>57428357235</v>
      </c>
      <c r="Q40" s="21">
        <v>-10004940283</v>
      </c>
    </row>
    <row r="41" spans="1:17" ht="18.75" x14ac:dyDescent="0.45">
      <c r="A41" s="29" t="s">
        <v>49</v>
      </c>
      <c r="C41" s="21">
        <v>1000000</v>
      </c>
      <c r="E41" s="21">
        <v>5835073500</v>
      </c>
      <c r="G41" s="21">
        <v>5596501500</v>
      </c>
      <c r="I41" s="21">
        <v>238572000</v>
      </c>
      <c r="K41" s="21">
        <v>1000000</v>
      </c>
      <c r="M41" s="21">
        <v>5835073500</v>
      </c>
      <c r="O41" s="21">
        <v>6391741500</v>
      </c>
      <c r="Q41" s="21">
        <v>-556668000</v>
      </c>
    </row>
    <row r="42" spans="1:17" ht="18.75" x14ac:dyDescent="0.45">
      <c r="A42" s="29" t="s">
        <v>50</v>
      </c>
      <c r="C42" s="21">
        <v>31710382</v>
      </c>
      <c r="E42" s="21">
        <v>38677132314</v>
      </c>
      <c r="G42" s="21">
        <v>36278836496</v>
      </c>
      <c r="I42" s="21">
        <v>2398295818</v>
      </c>
      <c r="K42" s="21">
        <v>31710382</v>
      </c>
      <c r="M42" s="21">
        <v>38677132314</v>
      </c>
      <c r="O42" s="21">
        <v>55162984148</v>
      </c>
      <c r="Q42" s="21">
        <v>-16485851834</v>
      </c>
    </row>
    <row r="43" spans="1:17" ht="18.75" x14ac:dyDescent="0.45">
      <c r="A43" s="29" t="s">
        <v>51</v>
      </c>
      <c r="C43" s="21">
        <v>2503659</v>
      </c>
      <c r="E43" s="21">
        <v>9915228720</v>
      </c>
      <c r="G43" s="21">
        <v>9971862043</v>
      </c>
      <c r="I43" s="21">
        <v>-56633323</v>
      </c>
      <c r="K43" s="21">
        <v>2503659</v>
      </c>
      <c r="M43" s="21">
        <v>9915228720</v>
      </c>
      <c r="O43" s="21">
        <v>9971862043</v>
      </c>
      <c r="Q43" s="21">
        <v>-56633323</v>
      </c>
    </row>
    <row r="44" spans="1:17" ht="18.75" x14ac:dyDescent="0.45">
      <c r="A44" s="29" t="s">
        <v>52</v>
      </c>
      <c r="C44" s="21">
        <v>5491479</v>
      </c>
      <c r="E44" s="21">
        <v>26529790842</v>
      </c>
      <c r="G44" s="21">
        <v>28658724675</v>
      </c>
      <c r="I44" s="21">
        <v>-2128933833</v>
      </c>
      <c r="K44" s="21">
        <v>5491479</v>
      </c>
      <c r="M44" s="21">
        <v>26529790842</v>
      </c>
      <c r="O44" s="21">
        <v>36137287114</v>
      </c>
      <c r="Q44" s="21">
        <v>-9607496272</v>
      </c>
    </row>
    <row r="45" spans="1:17" ht="18.75" x14ac:dyDescent="0.45">
      <c r="A45" s="29" t="s">
        <v>53</v>
      </c>
      <c r="C45" s="21">
        <v>21409</v>
      </c>
      <c r="E45" s="21">
        <v>365405354</v>
      </c>
      <c r="G45" s="21">
        <v>367795397</v>
      </c>
      <c r="I45" s="21">
        <v>-2390043</v>
      </c>
      <c r="K45" s="21">
        <v>21409</v>
      </c>
      <c r="M45" s="21">
        <v>365405354</v>
      </c>
      <c r="O45" s="21">
        <v>367795397</v>
      </c>
      <c r="Q45" s="21">
        <v>-2390043</v>
      </c>
    </row>
    <row r="46" spans="1:17" ht="18.75" x14ac:dyDescent="0.45">
      <c r="A46" s="29" t="s">
        <v>54</v>
      </c>
      <c r="C46" s="21">
        <v>3200000</v>
      </c>
      <c r="E46" s="21">
        <v>9609680160</v>
      </c>
      <c r="G46" s="21">
        <v>9929205711</v>
      </c>
      <c r="I46" s="21">
        <v>-319525551</v>
      </c>
      <c r="K46" s="21">
        <v>3200000</v>
      </c>
      <c r="M46" s="21">
        <v>9609680160</v>
      </c>
      <c r="O46" s="21">
        <v>9929205711</v>
      </c>
      <c r="Q46" s="21">
        <v>-319525551</v>
      </c>
    </row>
    <row r="47" spans="1:17" ht="18.75" x14ac:dyDescent="0.45">
      <c r="A47" s="29" t="s">
        <v>55</v>
      </c>
      <c r="C47" s="21">
        <v>40025</v>
      </c>
      <c r="E47" s="21">
        <v>725712167</v>
      </c>
      <c r="G47" s="21">
        <v>688267606</v>
      </c>
      <c r="I47" s="21">
        <v>37444561</v>
      </c>
      <c r="K47" s="21">
        <v>40025</v>
      </c>
      <c r="M47" s="21">
        <v>725712167</v>
      </c>
      <c r="O47" s="21">
        <v>688267606</v>
      </c>
      <c r="Q47" s="21">
        <v>37444561</v>
      </c>
    </row>
    <row r="48" spans="1:17" ht="18.75" x14ac:dyDescent="0.45">
      <c r="A48" s="29" t="s">
        <v>56</v>
      </c>
      <c r="C48" s="21">
        <v>2005523</v>
      </c>
      <c r="E48" s="21">
        <v>7775001539</v>
      </c>
      <c r="G48" s="21">
        <v>7792169939</v>
      </c>
      <c r="I48" s="21">
        <v>-17168400</v>
      </c>
      <c r="K48" s="21">
        <v>2005523</v>
      </c>
      <c r="M48" s="21">
        <v>7775001539</v>
      </c>
      <c r="O48" s="21">
        <v>7792169939</v>
      </c>
      <c r="Q48" s="21">
        <v>-17168400</v>
      </c>
    </row>
    <row r="49" spans="1:17" ht="18.75" x14ac:dyDescent="0.45">
      <c r="A49" s="29" t="s">
        <v>57</v>
      </c>
      <c r="C49" s="21">
        <v>9371915</v>
      </c>
      <c r="E49" s="21">
        <v>40124667119</v>
      </c>
      <c r="G49" s="21">
        <v>50365268315</v>
      </c>
      <c r="I49" s="21">
        <v>-10240601196</v>
      </c>
      <c r="K49" s="21">
        <v>9371915</v>
      </c>
      <c r="M49" s="21">
        <v>40124667119</v>
      </c>
      <c r="O49" s="21">
        <v>38713744315</v>
      </c>
      <c r="Q49" s="21">
        <v>1410922804</v>
      </c>
    </row>
    <row r="50" spans="1:17" ht="18.75" x14ac:dyDescent="0.45">
      <c r="A50" s="29" t="s">
        <v>58</v>
      </c>
      <c r="C50" s="21">
        <v>1331989</v>
      </c>
      <c r="E50" s="21">
        <v>7679569260</v>
      </c>
      <c r="G50" s="21">
        <v>8130355363</v>
      </c>
      <c r="I50" s="21">
        <v>-450786103</v>
      </c>
      <c r="K50" s="21">
        <v>1331989</v>
      </c>
      <c r="M50" s="21">
        <v>7679569260</v>
      </c>
      <c r="O50" s="21">
        <v>8130355363</v>
      </c>
      <c r="Q50" s="21">
        <v>-450786103</v>
      </c>
    </row>
    <row r="51" spans="1:17" ht="37.5" x14ac:dyDescent="0.45">
      <c r="A51" s="29" t="s">
        <v>59</v>
      </c>
      <c r="C51" s="21">
        <v>272374</v>
      </c>
      <c r="E51" s="21">
        <v>7459255473</v>
      </c>
      <c r="G51" s="21">
        <v>8016000630</v>
      </c>
      <c r="I51" s="21">
        <v>-556745157</v>
      </c>
      <c r="K51" s="21">
        <v>272374</v>
      </c>
      <c r="M51" s="21">
        <v>7459255473</v>
      </c>
      <c r="O51" s="21">
        <v>7766626587</v>
      </c>
      <c r="Q51" s="21">
        <v>-307371114</v>
      </c>
    </row>
    <row r="52" spans="1:17" ht="18.75" x14ac:dyDescent="0.45">
      <c r="A52" s="29" t="s">
        <v>60</v>
      </c>
      <c r="C52" s="21">
        <v>2572602</v>
      </c>
      <c r="E52" s="21">
        <v>23143519914</v>
      </c>
      <c r="G52" s="21">
        <v>25240501829</v>
      </c>
      <c r="I52" s="21">
        <v>-2096981915</v>
      </c>
      <c r="K52" s="21">
        <v>2572602</v>
      </c>
      <c r="M52" s="21">
        <v>23143519914</v>
      </c>
      <c r="O52" s="21">
        <v>38730918071</v>
      </c>
      <c r="Q52" s="21">
        <v>-15587398157</v>
      </c>
    </row>
    <row r="53" spans="1:17" ht="18.75" x14ac:dyDescent="0.45">
      <c r="A53" s="29" t="s">
        <v>61</v>
      </c>
      <c r="C53" s="21">
        <v>24699343</v>
      </c>
      <c r="E53" s="21">
        <v>37196858592</v>
      </c>
      <c r="G53" s="21">
        <v>41463585582</v>
      </c>
      <c r="I53" s="21">
        <v>-4266726990</v>
      </c>
      <c r="K53" s="21">
        <v>24699343</v>
      </c>
      <c r="M53" s="21">
        <v>37196858592</v>
      </c>
      <c r="O53" s="21">
        <v>57477126050</v>
      </c>
      <c r="Q53" s="21">
        <v>-20280267458</v>
      </c>
    </row>
    <row r="54" spans="1:17" ht="18.75" x14ac:dyDescent="0.45">
      <c r="A54" s="29" t="s">
        <v>62</v>
      </c>
      <c r="C54" s="21">
        <v>11884188</v>
      </c>
      <c r="E54" s="21">
        <v>24536591898</v>
      </c>
      <c r="G54" s="21">
        <v>25221773569</v>
      </c>
      <c r="I54" s="21">
        <v>-685181671</v>
      </c>
      <c r="K54" s="21">
        <v>11884188</v>
      </c>
      <c r="M54" s="21">
        <v>24536591898</v>
      </c>
      <c r="O54" s="21">
        <v>34414377175</v>
      </c>
      <c r="Q54" s="21">
        <v>-9877785277</v>
      </c>
    </row>
    <row r="55" spans="1:17" ht="18.75" x14ac:dyDescent="0.45">
      <c r="A55" s="29" t="s">
        <v>63</v>
      </c>
      <c r="C55" s="21">
        <v>29200000</v>
      </c>
      <c r="E55" s="21">
        <v>11523425220</v>
      </c>
      <c r="G55" s="21">
        <v>11438604653</v>
      </c>
      <c r="I55" s="21">
        <v>84820567</v>
      </c>
      <c r="K55" s="21">
        <v>29200000</v>
      </c>
      <c r="M55" s="21">
        <v>11523425220</v>
      </c>
      <c r="O55" s="21">
        <v>11438604653</v>
      </c>
      <c r="Q55" s="21">
        <v>84820567</v>
      </c>
    </row>
    <row r="56" spans="1:17" ht="18.75" x14ac:dyDescent="0.45">
      <c r="A56" s="29" t="s">
        <v>64</v>
      </c>
      <c r="C56" s="21">
        <v>9040020</v>
      </c>
      <c r="E56" s="21">
        <v>20371787674</v>
      </c>
      <c r="G56" s="21">
        <v>19851007443</v>
      </c>
      <c r="I56" s="21">
        <v>520780231</v>
      </c>
      <c r="K56" s="21">
        <v>9040020</v>
      </c>
      <c r="M56" s="21">
        <v>20371787674</v>
      </c>
      <c r="O56" s="21">
        <v>20825426070</v>
      </c>
      <c r="Q56" s="21">
        <v>-453638396</v>
      </c>
    </row>
    <row r="57" spans="1:17" ht="18.75" x14ac:dyDescent="0.45">
      <c r="A57" s="29" t="s">
        <v>286</v>
      </c>
      <c r="J57" s="22"/>
      <c r="K57" s="21">
        <v>0</v>
      </c>
      <c r="M57" s="21">
        <v>0</v>
      </c>
      <c r="O57" s="21">
        <v>-3981368184</v>
      </c>
      <c r="Q57" s="21">
        <v>3981368184</v>
      </c>
    </row>
    <row r="58" spans="1:17" ht="18.75" x14ac:dyDescent="0.45">
      <c r="A58" s="29" t="s">
        <v>65</v>
      </c>
      <c r="C58" s="21">
        <v>600000</v>
      </c>
      <c r="E58" s="21">
        <v>7216803000</v>
      </c>
      <c r="G58" s="21">
        <v>7116598034</v>
      </c>
      <c r="I58" s="21">
        <v>100204966</v>
      </c>
      <c r="K58" s="21">
        <v>600000</v>
      </c>
      <c r="M58" s="21">
        <v>7216803000</v>
      </c>
      <c r="O58" s="21">
        <v>7116598034</v>
      </c>
      <c r="Q58" s="21">
        <v>100204966</v>
      </c>
    </row>
    <row r="59" spans="1:17" ht="37.5" x14ac:dyDescent="0.45">
      <c r="A59" s="29" t="s">
        <v>66</v>
      </c>
      <c r="C59" s="21">
        <v>8400000</v>
      </c>
      <c r="E59" s="21">
        <v>9761173380</v>
      </c>
      <c r="G59" s="21">
        <v>9754243420</v>
      </c>
      <c r="I59" s="21">
        <v>6929960</v>
      </c>
      <c r="K59" s="21">
        <v>8400000</v>
      </c>
      <c r="M59" s="21">
        <v>9761173380</v>
      </c>
      <c r="O59" s="21">
        <v>9754243420</v>
      </c>
      <c r="Q59" s="21">
        <v>6929960</v>
      </c>
    </row>
    <row r="60" spans="1:17" ht="18.75" x14ac:dyDescent="0.45">
      <c r="A60" s="29" t="s">
        <v>67</v>
      </c>
      <c r="C60" s="21">
        <v>1069126</v>
      </c>
      <c r="E60" s="21">
        <v>9904967007</v>
      </c>
      <c r="G60" s="21">
        <v>9972254577</v>
      </c>
      <c r="I60" s="21">
        <v>-67287570</v>
      </c>
      <c r="K60" s="21">
        <v>1069126</v>
      </c>
      <c r="M60" s="21">
        <v>9904967007</v>
      </c>
      <c r="O60" s="21">
        <v>9972254577</v>
      </c>
      <c r="Q60" s="21">
        <v>-67287570</v>
      </c>
    </row>
    <row r="61" spans="1:17" ht="18.75" x14ac:dyDescent="0.45">
      <c r="A61" s="29" t="s">
        <v>68</v>
      </c>
      <c r="C61" s="21">
        <v>1416771</v>
      </c>
      <c r="E61" s="21">
        <v>11956816895</v>
      </c>
      <c r="G61" s="21">
        <v>11816351684</v>
      </c>
      <c r="I61" s="21">
        <v>140465211</v>
      </c>
      <c r="K61" s="21">
        <v>1416771</v>
      </c>
      <c r="M61" s="21">
        <v>11956816895</v>
      </c>
      <c r="O61" s="21">
        <v>11816351684</v>
      </c>
      <c r="Q61" s="21">
        <v>140465211</v>
      </c>
    </row>
    <row r="62" spans="1:17" ht="37.5" x14ac:dyDescent="0.45">
      <c r="A62" s="29" t="s">
        <v>69</v>
      </c>
      <c r="C62" s="21">
        <v>17391</v>
      </c>
      <c r="E62" s="21">
        <v>433225340</v>
      </c>
      <c r="G62" s="21">
        <v>436020453</v>
      </c>
      <c r="I62" s="21">
        <v>-2795113</v>
      </c>
      <c r="K62" s="21">
        <v>17391</v>
      </c>
      <c r="M62" s="21">
        <v>433225340</v>
      </c>
      <c r="O62" s="21">
        <v>436020453</v>
      </c>
      <c r="Q62" s="21">
        <v>-2795113</v>
      </c>
    </row>
    <row r="63" spans="1:17" ht="18.75" x14ac:dyDescent="0.45">
      <c r="A63" s="29" t="s">
        <v>70</v>
      </c>
      <c r="C63" s="21">
        <v>211739</v>
      </c>
      <c r="E63" s="21">
        <v>952839125</v>
      </c>
      <c r="G63" s="21">
        <v>955225462</v>
      </c>
      <c r="I63" s="21">
        <v>-2386337</v>
      </c>
      <c r="K63" s="21">
        <v>211739</v>
      </c>
      <c r="M63" s="21">
        <v>952839125</v>
      </c>
      <c r="O63" s="21">
        <v>955225462</v>
      </c>
      <c r="Q63" s="21">
        <v>-2386337</v>
      </c>
    </row>
    <row r="64" spans="1:17" ht="37.5" x14ac:dyDescent="0.45">
      <c r="A64" s="29" t="s">
        <v>71</v>
      </c>
      <c r="C64" s="21">
        <v>3250000</v>
      </c>
      <c r="E64" s="21">
        <v>3178971900</v>
      </c>
      <c r="G64" s="21">
        <v>3534344775</v>
      </c>
      <c r="I64" s="21">
        <v>-355372875</v>
      </c>
      <c r="K64" s="21">
        <v>3250000</v>
      </c>
      <c r="M64" s="21">
        <v>3178971900</v>
      </c>
      <c r="O64" s="21">
        <v>3939323661</v>
      </c>
      <c r="Q64" s="21">
        <v>-760351761</v>
      </c>
    </row>
    <row r="65" spans="1:17" ht="18.75" x14ac:dyDescent="0.45">
      <c r="A65" s="29" t="s">
        <v>72</v>
      </c>
      <c r="C65" s="21">
        <v>2000000</v>
      </c>
      <c r="E65" s="21">
        <v>8682032700</v>
      </c>
      <c r="G65" s="21">
        <v>8387608972</v>
      </c>
      <c r="I65" s="21">
        <v>294423728</v>
      </c>
      <c r="K65" s="21">
        <v>2000000</v>
      </c>
      <c r="M65" s="21">
        <v>8682032700</v>
      </c>
      <c r="O65" s="21">
        <v>8387608972</v>
      </c>
      <c r="Q65" s="21">
        <v>294423728</v>
      </c>
    </row>
    <row r="66" spans="1:17" ht="18.75" x14ac:dyDescent="0.45">
      <c r="A66" s="29" t="s">
        <v>73</v>
      </c>
      <c r="C66" s="21">
        <v>84882</v>
      </c>
      <c r="E66" s="21">
        <v>10013856675</v>
      </c>
      <c r="G66" s="21">
        <v>8965894930</v>
      </c>
      <c r="I66" s="21">
        <v>1047961745</v>
      </c>
      <c r="K66" s="21">
        <v>84882</v>
      </c>
      <c r="M66" s="21">
        <v>10013856675</v>
      </c>
      <c r="O66" s="21">
        <v>7685896566</v>
      </c>
      <c r="Q66" s="21">
        <v>2327960109</v>
      </c>
    </row>
    <row r="67" spans="1:17" ht="18.75" x14ac:dyDescent="0.45">
      <c r="A67" s="29" t="s">
        <v>74</v>
      </c>
      <c r="C67" s="21">
        <v>1249725</v>
      </c>
      <c r="E67" s="21">
        <v>4304531857</v>
      </c>
      <c r="G67" s="21">
        <v>3974645671</v>
      </c>
      <c r="I67" s="21">
        <v>329886186</v>
      </c>
      <c r="K67" s="21">
        <v>1249725</v>
      </c>
      <c r="M67" s="21">
        <v>4304531857</v>
      </c>
      <c r="O67" s="21">
        <v>3974645671</v>
      </c>
      <c r="Q67" s="21">
        <v>329886186</v>
      </c>
    </row>
    <row r="68" spans="1:17" ht="18.75" x14ac:dyDescent="0.45">
      <c r="A68" s="29" t="s">
        <v>75</v>
      </c>
      <c r="C68" s="21">
        <v>4930564</v>
      </c>
      <c r="E68" s="21">
        <v>37935498096</v>
      </c>
      <c r="G68" s="21">
        <v>35766781796</v>
      </c>
      <c r="I68" s="21">
        <v>2168716300</v>
      </c>
      <c r="K68" s="21">
        <v>4930564</v>
      </c>
      <c r="M68" s="21">
        <v>37935498096</v>
      </c>
      <c r="O68" s="21">
        <v>39945001226</v>
      </c>
      <c r="Q68" s="21">
        <v>-2009503130</v>
      </c>
    </row>
    <row r="69" spans="1:17" ht="18.75" x14ac:dyDescent="0.45">
      <c r="A69" s="29" t="s">
        <v>76</v>
      </c>
      <c r="C69" s="21">
        <v>1553755</v>
      </c>
      <c r="E69" s="21">
        <v>10255547447</v>
      </c>
      <c r="G69" s="21">
        <v>9139821160</v>
      </c>
      <c r="I69" s="21">
        <v>1115726287</v>
      </c>
      <c r="K69" s="21">
        <v>1553755</v>
      </c>
      <c r="M69" s="21">
        <v>10255547447</v>
      </c>
      <c r="O69" s="21">
        <v>9139821160</v>
      </c>
      <c r="Q69" s="21">
        <v>1115726287</v>
      </c>
    </row>
    <row r="70" spans="1:17" ht="18.75" x14ac:dyDescent="0.45">
      <c r="A70" s="29" t="s">
        <v>77</v>
      </c>
      <c r="C70" s="21">
        <v>1500000</v>
      </c>
      <c r="E70" s="21">
        <v>6557747850</v>
      </c>
      <c r="G70" s="21">
        <v>6692141085</v>
      </c>
      <c r="I70" s="21">
        <v>-134393235</v>
      </c>
      <c r="K70" s="21">
        <v>1500000</v>
      </c>
      <c r="M70" s="21">
        <v>6557747850</v>
      </c>
      <c r="O70" s="21">
        <v>6692141085</v>
      </c>
      <c r="Q70" s="21">
        <v>-134393235</v>
      </c>
    </row>
    <row r="71" spans="1:17" ht="18.75" x14ac:dyDescent="0.45">
      <c r="A71" s="29" t="s">
        <v>78</v>
      </c>
      <c r="C71" s="21">
        <v>3000000</v>
      </c>
      <c r="E71" s="21">
        <v>24513273000</v>
      </c>
      <c r="G71" s="21">
        <v>22987478617</v>
      </c>
      <c r="I71" s="21">
        <v>1525794383</v>
      </c>
      <c r="K71" s="21">
        <v>3000000</v>
      </c>
      <c r="M71" s="21">
        <v>24513273000</v>
      </c>
      <c r="O71" s="21">
        <v>24900952499</v>
      </c>
      <c r="Q71" s="21">
        <v>-387679499</v>
      </c>
    </row>
    <row r="72" spans="1:17" ht="18.75" x14ac:dyDescent="0.45">
      <c r="A72" s="29" t="s">
        <v>79</v>
      </c>
      <c r="C72" s="21">
        <v>1700000</v>
      </c>
      <c r="E72" s="21">
        <v>27950697900</v>
      </c>
      <c r="G72" s="21">
        <v>32485554001</v>
      </c>
      <c r="I72" s="21">
        <v>-4534856101</v>
      </c>
      <c r="K72" s="21">
        <v>1700000</v>
      </c>
      <c r="M72" s="21">
        <v>27950697900</v>
      </c>
      <c r="O72" s="21">
        <v>20616597001</v>
      </c>
      <c r="Q72" s="21">
        <v>7334100899</v>
      </c>
    </row>
    <row r="73" spans="1:17" ht="18.75" x14ac:dyDescent="0.45">
      <c r="A73" s="29" t="s">
        <v>80</v>
      </c>
      <c r="C73" s="21">
        <v>327781</v>
      </c>
      <c r="E73" s="21">
        <v>8634513631</v>
      </c>
      <c r="G73" s="21">
        <v>8490452900</v>
      </c>
      <c r="I73" s="21">
        <v>144060731</v>
      </c>
      <c r="K73" s="21">
        <v>327781</v>
      </c>
      <c r="M73" s="21">
        <v>8634513631</v>
      </c>
      <c r="O73" s="21">
        <v>8490452900</v>
      </c>
      <c r="Q73" s="21">
        <v>144060731</v>
      </c>
    </row>
    <row r="74" spans="1:17" ht="18.75" x14ac:dyDescent="0.45">
      <c r="A74" s="29" t="s">
        <v>81</v>
      </c>
      <c r="C74" s="21">
        <v>104452</v>
      </c>
      <c r="E74" s="21">
        <v>11961274821</v>
      </c>
      <c r="G74" s="21">
        <v>12026316222</v>
      </c>
      <c r="I74" s="21">
        <v>-65041401</v>
      </c>
      <c r="K74" s="21">
        <v>104452</v>
      </c>
      <c r="M74" s="21">
        <v>11961274821</v>
      </c>
      <c r="O74" s="21">
        <v>12026316222</v>
      </c>
      <c r="Q74" s="21">
        <v>-65041401</v>
      </c>
    </row>
    <row r="75" spans="1:17" ht="18.75" x14ac:dyDescent="0.45">
      <c r="A75" s="29" t="s">
        <v>82</v>
      </c>
      <c r="C75" s="21">
        <v>261325</v>
      </c>
      <c r="E75" s="21">
        <v>7624252912</v>
      </c>
      <c r="G75" s="21">
        <v>7340478709</v>
      </c>
      <c r="I75" s="21">
        <v>283774203</v>
      </c>
      <c r="K75" s="21">
        <v>261325</v>
      </c>
      <c r="M75" s="21">
        <v>7624252912</v>
      </c>
      <c r="O75" s="21">
        <v>7340478709</v>
      </c>
      <c r="Q75" s="21">
        <v>283774203</v>
      </c>
    </row>
    <row r="76" spans="1:17" ht="18.75" x14ac:dyDescent="0.45">
      <c r="A76" s="29" t="s">
        <v>83</v>
      </c>
      <c r="C76" s="21">
        <v>819652</v>
      </c>
      <c r="E76" s="21">
        <v>5328628962</v>
      </c>
      <c r="G76" s="21">
        <v>4880445216</v>
      </c>
      <c r="I76" s="21">
        <v>448183746</v>
      </c>
      <c r="K76" s="21">
        <v>819652</v>
      </c>
      <c r="M76" s="21">
        <v>5328628962</v>
      </c>
      <c r="O76" s="21">
        <v>4880445216</v>
      </c>
      <c r="Q76" s="21">
        <v>448183746</v>
      </c>
    </row>
    <row r="77" spans="1:17" ht="18.75" x14ac:dyDescent="0.45">
      <c r="A77" s="29" t="s">
        <v>84</v>
      </c>
      <c r="C77" s="21">
        <v>278934</v>
      </c>
      <c r="E77" s="21">
        <v>10921836359</v>
      </c>
      <c r="G77" s="21">
        <v>11285913979</v>
      </c>
      <c r="I77" s="21">
        <v>-364077620</v>
      </c>
      <c r="K77" s="21">
        <v>278934</v>
      </c>
      <c r="M77" s="21">
        <v>10921836359</v>
      </c>
      <c r="O77" s="21">
        <v>11285913979</v>
      </c>
      <c r="Q77" s="21">
        <v>-364077620</v>
      </c>
    </row>
    <row r="78" spans="1:17" ht="18.75" x14ac:dyDescent="0.45">
      <c r="A78" s="29" t="s">
        <v>85</v>
      </c>
      <c r="C78" s="21">
        <v>5277521</v>
      </c>
      <c r="E78" s="21">
        <v>8189192930</v>
      </c>
      <c r="G78" s="21">
        <v>8258667895</v>
      </c>
      <c r="I78" s="21">
        <v>-69474965</v>
      </c>
      <c r="K78" s="21">
        <v>5277521</v>
      </c>
      <c r="M78" s="21">
        <v>8189192930</v>
      </c>
      <c r="O78" s="21">
        <v>8258667895</v>
      </c>
      <c r="Q78" s="21">
        <v>-69474965</v>
      </c>
    </row>
    <row r="79" spans="1:17" ht="18.75" x14ac:dyDescent="0.45">
      <c r="A79" s="29" t="s">
        <v>86</v>
      </c>
      <c r="C79" s="21">
        <v>335481</v>
      </c>
      <c r="E79" s="21">
        <v>9734423882</v>
      </c>
      <c r="G79" s="21">
        <v>9884457964</v>
      </c>
      <c r="I79" s="21">
        <v>-150034082</v>
      </c>
      <c r="K79" s="21">
        <v>335481</v>
      </c>
      <c r="M79" s="21">
        <v>9734423882</v>
      </c>
      <c r="O79" s="21">
        <v>9884457964</v>
      </c>
      <c r="Q79" s="21">
        <v>-150034082</v>
      </c>
    </row>
    <row r="80" spans="1:17" ht="18.75" x14ac:dyDescent="0.45">
      <c r="A80" s="29" t="s">
        <v>87</v>
      </c>
      <c r="C80" s="21">
        <v>1002361</v>
      </c>
      <c r="E80" s="21">
        <v>6875138969</v>
      </c>
      <c r="G80" s="21">
        <v>6895025548</v>
      </c>
      <c r="I80" s="21">
        <v>-19886579</v>
      </c>
      <c r="K80" s="21">
        <v>1002361</v>
      </c>
      <c r="M80" s="21">
        <v>6875138969</v>
      </c>
      <c r="O80" s="21">
        <v>6895025548</v>
      </c>
      <c r="Q80" s="21">
        <v>-19886579</v>
      </c>
    </row>
    <row r="81" spans="1:17" ht="18.75" x14ac:dyDescent="0.45">
      <c r="A81" s="29" t="s">
        <v>88</v>
      </c>
      <c r="C81" s="21">
        <v>200523</v>
      </c>
      <c r="E81" s="21">
        <v>1100300983</v>
      </c>
      <c r="G81" s="21">
        <v>1119515342</v>
      </c>
      <c r="I81" s="21">
        <v>-19214359</v>
      </c>
      <c r="K81" s="21">
        <v>200523</v>
      </c>
      <c r="M81" s="21">
        <v>1100300983</v>
      </c>
      <c r="O81" s="21">
        <v>1119515342</v>
      </c>
      <c r="Q81" s="21">
        <v>-19214359</v>
      </c>
    </row>
    <row r="82" spans="1:17" ht="18.75" x14ac:dyDescent="0.45">
      <c r="A82" s="29" t="s">
        <v>89</v>
      </c>
      <c r="C82" s="21">
        <v>16473051</v>
      </c>
      <c r="E82" s="21">
        <v>21615047977</v>
      </c>
      <c r="G82" s="21">
        <v>20681159426</v>
      </c>
      <c r="I82" s="21">
        <v>933888551</v>
      </c>
      <c r="K82" s="21">
        <v>16473051</v>
      </c>
      <c r="M82" s="21">
        <v>21615047977</v>
      </c>
      <c r="O82" s="21">
        <v>25888932463</v>
      </c>
      <c r="Q82" s="21">
        <v>-4273884486</v>
      </c>
    </row>
    <row r="83" spans="1:17" ht="18.75" x14ac:dyDescent="0.45">
      <c r="A83" s="29" t="s">
        <v>90</v>
      </c>
      <c r="C83" s="21">
        <v>419952</v>
      </c>
      <c r="E83" s="21">
        <v>10094020446</v>
      </c>
      <c r="G83" s="21">
        <v>10119533194</v>
      </c>
      <c r="I83" s="21">
        <v>-25512748</v>
      </c>
      <c r="K83" s="21">
        <v>419952</v>
      </c>
      <c r="M83" s="21">
        <v>10094020446</v>
      </c>
      <c r="O83" s="21">
        <v>11685319750</v>
      </c>
      <c r="Q83" s="21">
        <v>-1591299304</v>
      </c>
    </row>
    <row r="84" spans="1:17" ht="18.75" x14ac:dyDescent="0.45">
      <c r="A84" s="29" t="s">
        <v>91</v>
      </c>
      <c r="C84" s="21">
        <v>9448213</v>
      </c>
      <c r="E84" s="21">
        <v>4836878008</v>
      </c>
      <c r="G84" s="21">
        <v>5898173571</v>
      </c>
      <c r="I84" s="21">
        <v>-1061295563</v>
      </c>
      <c r="K84" s="21">
        <v>9448213</v>
      </c>
      <c r="M84" s="21">
        <v>4836878008</v>
      </c>
      <c r="O84" s="21">
        <v>7062781092</v>
      </c>
      <c r="Q84" s="21">
        <v>-2225903084</v>
      </c>
    </row>
    <row r="85" spans="1:17" ht="18.75" x14ac:dyDescent="0.45">
      <c r="A85" s="29" t="s">
        <v>92</v>
      </c>
      <c r="C85" s="21">
        <v>249996</v>
      </c>
      <c r="E85" s="21">
        <v>1580514211</v>
      </c>
      <c r="G85" s="21">
        <v>1491051143</v>
      </c>
      <c r="I85" s="21">
        <v>89463068</v>
      </c>
      <c r="K85" s="21">
        <v>249996</v>
      </c>
      <c r="M85" s="21">
        <v>1580514211</v>
      </c>
      <c r="O85" s="21">
        <v>1732104411</v>
      </c>
      <c r="Q85" s="21">
        <v>-151590200</v>
      </c>
    </row>
    <row r="86" spans="1:17" ht="18.75" x14ac:dyDescent="0.45">
      <c r="A86" s="29" t="s">
        <v>93</v>
      </c>
      <c r="C86" s="21">
        <v>1875000</v>
      </c>
      <c r="E86" s="21">
        <v>5682859594</v>
      </c>
      <c r="G86" s="21">
        <v>6091041375</v>
      </c>
      <c r="I86" s="21">
        <v>-408181781</v>
      </c>
      <c r="K86" s="21">
        <v>1875000</v>
      </c>
      <c r="M86" s="21">
        <v>5682859594</v>
      </c>
      <c r="O86" s="21">
        <v>5911612875</v>
      </c>
      <c r="Q86" s="21">
        <v>-228753281</v>
      </c>
    </row>
    <row r="87" spans="1:17" ht="18.75" x14ac:dyDescent="0.45">
      <c r="A87" s="29" t="s">
        <v>94</v>
      </c>
      <c r="C87" s="21">
        <v>603478</v>
      </c>
      <c r="E87" s="21">
        <v>7924511311</v>
      </c>
      <c r="G87" s="21">
        <v>7977806829</v>
      </c>
      <c r="I87" s="21">
        <v>-53295518</v>
      </c>
      <c r="K87" s="21">
        <v>603478</v>
      </c>
      <c r="M87" s="21">
        <v>7924511311</v>
      </c>
      <c r="O87" s="21">
        <v>7977806829</v>
      </c>
      <c r="Q87" s="21">
        <v>-53295518</v>
      </c>
    </row>
    <row r="88" spans="1:17" ht="18.75" x14ac:dyDescent="0.45">
      <c r="A88" s="29" t="s">
        <v>95</v>
      </c>
      <c r="C88" s="21">
        <v>1623605</v>
      </c>
      <c r="E88" s="21">
        <v>5894125498</v>
      </c>
      <c r="G88" s="21">
        <v>5951239319</v>
      </c>
      <c r="I88" s="21">
        <v>-57113821</v>
      </c>
      <c r="K88" s="21">
        <v>1623605</v>
      </c>
      <c r="M88" s="21">
        <v>5894125498</v>
      </c>
      <c r="O88" s="21">
        <v>5951239319</v>
      </c>
      <c r="Q88" s="21">
        <v>-57113821</v>
      </c>
    </row>
    <row r="89" spans="1:17" ht="18.75" x14ac:dyDescent="0.45">
      <c r="A89" s="29" t="s">
        <v>96</v>
      </c>
      <c r="C89" s="21">
        <v>13352150</v>
      </c>
      <c r="E89" s="21">
        <v>38822661269</v>
      </c>
      <c r="G89" s="21">
        <v>29524917595</v>
      </c>
      <c r="I89" s="21">
        <v>9297743674</v>
      </c>
      <c r="K89" s="21">
        <v>13352150</v>
      </c>
      <c r="M89" s="21">
        <v>38822661269</v>
      </c>
      <c r="O89" s="21">
        <v>59249353814</v>
      </c>
      <c r="Q89" s="21">
        <v>-20426692545</v>
      </c>
    </row>
    <row r="90" spans="1:17" ht="18.75" x14ac:dyDescent="0.45">
      <c r="A90" s="29" t="s">
        <v>97</v>
      </c>
      <c r="C90" s="21">
        <v>8640509</v>
      </c>
      <c r="E90" s="21">
        <v>54111317220</v>
      </c>
      <c r="G90" s="21">
        <v>52658533678</v>
      </c>
      <c r="I90" s="21">
        <v>1452783542</v>
      </c>
      <c r="K90" s="21">
        <v>8640509</v>
      </c>
      <c r="M90" s="21">
        <v>54111317220</v>
      </c>
      <c r="O90" s="21">
        <v>64895868371</v>
      </c>
      <c r="Q90" s="21">
        <v>-10784551151</v>
      </c>
    </row>
    <row r="91" spans="1:17" ht="18.75" x14ac:dyDescent="0.45">
      <c r="A91" s="29" t="s">
        <v>98</v>
      </c>
      <c r="C91" s="21">
        <v>3701328</v>
      </c>
      <c r="E91" s="21">
        <v>7332855061</v>
      </c>
      <c r="G91" s="21">
        <v>7036740533</v>
      </c>
      <c r="I91" s="21">
        <v>296114528</v>
      </c>
      <c r="K91" s="21">
        <v>3701328</v>
      </c>
      <c r="M91" s="21">
        <v>7332855061</v>
      </c>
      <c r="O91" s="21">
        <v>7036740533</v>
      </c>
      <c r="Q91" s="21">
        <v>296114528</v>
      </c>
    </row>
    <row r="92" spans="1:17" ht="18.75" x14ac:dyDescent="0.45">
      <c r="A92" s="29" t="s">
        <v>99</v>
      </c>
      <c r="C92" s="21">
        <v>5200000</v>
      </c>
      <c r="E92" s="21">
        <v>9800537760</v>
      </c>
      <c r="G92" s="21">
        <v>9098288015</v>
      </c>
      <c r="I92" s="21">
        <v>702249745</v>
      </c>
      <c r="K92" s="21">
        <v>5200000</v>
      </c>
      <c r="M92" s="21">
        <v>9800537760</v>
      </c>
      <c r="O92" s="21">
        <v>9098288015</v>
      </c>
      <c r="Q92" s="21">
        <v>702249745</v>
      </c>
    </row>
    <row r="93" spans="1:17" ht="18.75" x14ac:dyDescent="0.45">
      <c r="A93" s="29" t="s">
        <v>100</v>
      </c>
      <c r="C93" s="21">
        <v>12441677</v>
      </c>
      <c r="E93" s="21">
        <v>27023313113</v>
      </c>
      <c r="G93" s="21">
        <v>26981884670</v>
      </c>
      <c r="I93" s="21">
        <v>41428443</v>
      </c>
      <c r="K93" s="21">
        <v>12441677</v>
      </c>
      <c r="M93" s="21">
        <v>27023313113</v>
      </c>
      <c r="O93" s="21">
        <v>45945816116</v>
      </c>
      <c r="Q93" s="21">
        <v>-18922503003</v>
      </c>
    </row>
    <row r="94" spans="1:17" ht="18.75" x14ac:dyDescent="0.45">
      <c r="A94" s="29" t="s">
        <v>101</v>
      </c>
      <c r="C94" s="21">
        <v>2638196</v>
      </c>
      <c r="E94" s="21">
        <v>7109594067</v>
      </c>
      <c r="G94" s="21">
        <v>7056018619</v>
      </c>
      <c r="I94" s="21">
        <v>53575448</v>
      </c>
      <c r="K94" s="21">
        <v>2638196</v>
      </c>
      <c r="M94" s="21">
        <v>7109594067</v>
      </c>
      <c r="O94" s="21">
        <v>7056018619</v>
      </c>
      <c r="Q94" s="21">
        <v>53575448</v>
      </c>
    </row>
    <row r="95" spans="1:17" ht="18.75" x14ac:dyDescent="0.45">
      <c r="A95" s="29" t="s">
        <v>102</v>
      </c>
      <c r="C95" s="21">
        <v>3389045</v>
      </c>
      <c r="E95" s="21">
        <v>11080246919</v>
      </c>
      <c r="G95" s="21">
        <v>11156912950</v>
      </c>
      <c r="I95" s="21">
        <v>-76666031</v>
      </c>
      <c r="K95" s="21">
        <v>3389045</v>
      </c>
      <c r="M95" s="21">
        <v>11080246919</v>
      </c>
      <c r="O95" s="21">
        <v>11156912950</v>
      </c>
      <c r="Q95" s="21">
        <v>-76666031</v>
      </c>
    </row>
    <row r="96" spans="1:17" ht="18.75" x14ac:dyDescent="0.45">
      <c r="A96" s="29" t="s">
        <v>103</v>
      </c>
      <c r="C96" s="21">
        <v>58118</v>
      </c>
      <c r="E96" s="21">
        <v>666113442</v>
      </c>
      <c r="G96" s="21">
        <v>663160038</v>
      </c>
      <c r="I96" s="21">
        <v>2953404</v>
      </c>
      <c r="K96" s="21">
        <v>58118</v>
      </c>
      <c r="M96" s="21">
        <v>666113442</v>
      </c>
      <c r="O96" s="21">
        <v>663160038</v>
      </c>
      <c r="Q96" s="21">
        <v>2953404</v>
      </c>
    </row>
    <row r="97" spans="1:17" ht="37.5" x14ac:dyDescent="0.45">
      <c r="A97" s="29" t="s">
        <v>104</v>
      </c>
      <c r="C97" s="21">
        <v>118610</v>
      </c>
      <c r="E97" s="21">
        <v>2577387353</v>
      </c>
      <c r="G97" s="21">
        <v>2536380928</v>
      </c>
      <c r="I97" s="21">
        <v>41006425</v>
      </c>
      <c r="K97" s="21">
        <v>118610</v>
      </c>
      <c r="M97" s="21">
        <v>2577387353</v>
      </c>
      <c r="O97" s="21">
        <v>2536380928</v>
      </c>
      <c r="Q97" s="21">
        <v>41006425</v>
      </c>
    </row>
    <row r="98" spans="1:17" ht="18.75" x14ac:dyDescent="0.45">
      <c r="A98" s="29" t="s">
        <v>105</v>
      </c>
      <c r="C98" s="21">
        <v>2496750</v>
      </c>
      <c r="E98" s="21">
        <v>9992106603</v>
      </c>
      <c r="G98" s="21">
        <v>9885767644</v>
      </c>
      <c r="I98" s="21">
        <v>106338959</v>
      </c>
      <c r="K98" s="21">
        <v>2496750</v>
      </c>
      <c r="M98" s="21">
        <v>9992106603</v>
      </c>
      <c r="O98" s="21">
        <v>9885767644</v>
      </c>
      <c r="Q98" s="21">
        <v>106338959</v>
      </c>
    </row>
    <row r="99" spans="1:17" ht="18.75" x14ac:dyDescent="0.45">
      <c r="A99" s="29" t="s">
        <v>106</v>
      </c>
      <c r="C99" s="21">
        <v>2078949</v>
      </c>
      <c r="E99" s="21">
        <v>6937506554</v>
      </c>
      <c r="G99" s="21">
        <v>6928163028</v>
      </c>
      <c r="I99" s="21">
        <v>9343526</v>
      </c>
      <c r="K99" s="21">
        <v>2078949</v>
      </c>
      <c r="M99" s="21">
        <v>6937506554</v>
      </c>
      <c r="O99" s="21">
        <v>6928163028</v>
      </c>
      <c r="Q99" s="21">
        <v>9343526</v>
      </c>
    </row>
    <row r="100" spans="1:17" ht="18.75" x14ac:dyDescent="0.45">
      <c r="A100" s="29" t="s">
        <v>107</v>
      </c>
      <c r="C100" s="21">
        <v>5278075</v>
      </c>
      <c r="E100" s="21">
        <v>5928737613</v>
      </c>
      <c r="G100" s="21">
        <v>5983357092</v>
      </c>
      <c r="I100" s="21">
        <v>-54619479</v>
      </c>
      <c r="K100" s="21">
        <v>5278075</v>
      </c>
      <c r="M100" s="21">
        <v>5928737613</v>
      </c>
      <c r="O100" s="21">
        <v>5983357092</v>
      </c>
      <c r="Q100" s="21">
        <v>-54619479</v>
      </c>
    </row>
    <row r="101" spans="1:17" ht="18.75" x14ac:dyDescent="0.45">
      <c r="A101" s="29" t="s">
        <v>108</v>
      </c>
      <c r="C101" s="21">
        <v>3000000</v>
      </c>
      <c r="E101" s="21">
        <v>8290377000</v>
      </c>
      <c r="G101" s="21">
        <v>7822145005</v>
      </c>
      <c r="I101" s="21">
        <v>468231995</v>
      </c>
      <c r="K101" s="21">
        <v>3000000</v>
      </c>
      <c r="M101" s="21">
        <v>8290377000</v>
      </c>
      <c r="O101" s="21">
        <v>7822145005</v>
      </c>
      <c r="Q101" s="21">
        <v>468231995</v>
      </c>
    </row>
    <row r="102" spans="1:17" ht="18.75" x14ac:dyDescent="0.45">
      <c r="A102" s="29" t="s">
        <v>109</v>
      </c>
      <c r="C102" s="21">
        <v>7097743</v>
      </c>
      <c r="E102" s="21">
        <v>15733790487</v>
      </c>
      <c r="G102" s="21">
        <v>16614082522</v>
      </c>
      <c r="I102" s="21">
        <v>-880292035</v>
      </c>
      <c r="K102" s="21">
        <v>7097743</v>
      </c>
      <c r="M102" s="21">
        <v>15733790487</v>
      </c>
      <c r="O102" s="21">
        <v>16614082522</v>
      </c>
      <c r="Q102" s="21">
        <v>-880292035</v>
      </c>
    </row>
    <row r="103" spans="1:17" ht="18.75" x14ac:dyDescent="0.45">
      <c r="A103" s="29" t="s">
        <v>110</v>
      </c>
      <c r="C103" s="21">
        <v>8231319</v>
      </c>
      <c r="E103" s="21">
        <v>30168297358</v>
      </c>
      <c r="G103" s="21">
        <v>28695475680</v>
      </c>
      <c r="I103" s="21">
        <v>1472821678</v>
      </c>
      <c r="K103" s="21">
        <v>8231319</v>
      </c>
      <c r="M103" s="21">
        <v>30168297358</v>
      </c>
      <c r="O103" s="21">
        <v>23663334949</v>
      </c>
      <c r="Q103" s="21">
        <v>6504962409</v>
      </c>
    </row>
    <row r="104" spans="1:17" ht="18.75" x14ac:dyDescent="0.45">
      <c r="A104" s="29" t="s">
        <v>111</v>
      </c>
      <c r="C104" s="21">
        <v>6643838</v>
      </c>
      <c r="E104" s="21">
        <v>6703371771</v>
      </c>
      <c r="G104" s="21">
        <v>6352584520</v>
      </c>
      <c r="I104" s="21">
        <v>350787251</v>
      </c>
      <c r="K104" s="21">
        <v>6643838</v>
      </c>
      <c r="M104" s="21">
        <v>6703371771</v>
      </c>
      <c r="O104" s="21">
        <v>6352584520</v>
      </c>
      <c r="Q104" s="21">
        <v>350787251</v>
      </c>
    </row>
    <row r="105" spans="1:17" ht="18.75" x14ac:dyDescent="0.45">
      <c r="A105" s="29" t="s">
        <v>112</v>
      </c>
      <c r="C105" s="21">
        <v>1447708</v>
      </c>
      <c r="E105" s="21">
        <v>7871844932</v>
      </c>
      <c r="G105" s="21">
        <v>7589659743</v>
      </c>
      <c r="I105" s="21">
        <v>282185189</v>
      </c>
      <c r="K105" s="21">
        <v>1447708</v>
      </c>
      <c r="M105" s="21">
        <v>7871844932</v>
      </c>
      <c r="O105" s="21">
        <v>7589659743</v>
      </c>
      <c r="Q105" s="21">
        <v>282185189</v>
      </c>
    </row>
    <row r="106" spans="1:17" ht="18.75" x14ac:dyDescent="0.45">
      <c r="A106" s="29" t="s">
        <v>113</v>
      </c>
      <c r="C106" s="21">
        <v>775942</v>
      </c>
      <c r="E106" s="21">
        <v>5607533805</v>
      </c>
      <c r="G106" s="21">
        <v>5705521970</v>
      </c>
      <c r="I106" s="21">
        <v>-97988165</v>
      </c>
      <c r="K106" s="21">
        <v>775942</v>
      </c>
      <c r="M106" s="21">
        <v>5607533805</v>
      </c>
      <c r="O106" s="21">
        <v>5705521970</v>
      </c>
      <c r="Q106" s="21">
        <v>-97988165</v>
      </c>
    </row>
    <row r="107" spans="1:17" ht="18.75" x14ac:dyDescent="0.45">
      <c r="A107" s="29" t="s">
        <v>114</v>
      </c>
      <c r="C107" s="21">
        <v>4624741</v>
      </c>
      <c r="E107" s="21">
        <v>21101257201</v>
      </c>
      <c r="G107" s="21">
        <v>18502824488</v>
      </c>
      <c r="I107" s="21">
        <v>2598432713</v>
      </c>
      <c r="K107" s="21">
        <v>4624741</v>
      </c>
      <c r="M107" s="21">
        <v>21101257201</v>
      </c>
      <c r="O107" s="21">
        <v>24411258331</v>
      </c>
      <c r="Q107" s="21">
        <v>-3310001130</v>
      </c>
    </row>
    <row r="108" spans="1:17" ht="18.75" x14ac:dyDescent="0.45">
      <c r="A108" s="29" t="s">
        <v>115</v>
      </c>
      <c r="C108" s="21">
        <v>16546</v>
      </c>
      <c r="E108" s="21">
        <v>133060690</v>
      </c>
      <c r="G108" s="21">
        <v>132876977</v>
      </c>
      <c r="I108" s="21">
        <v>183713</v>
      </c>
      <c r="K108" s="21">
        <v>16546</v>
      </c>
      <c r="M108" s="21">
        <v>133060690</v>
      </c>
      <c r="O108" s="21">
        <v>132876977</v>
      </c>
      <c r="Q108" s="21">
        <v>183713</v>
      </c>
    </row>
    <row r="109" spans="1:17" ht="18.75" x14ac:dyDescent="0.45">
      <c r="A109" s="29" t="s">
        <v>116</v>
      </c>
      <c r="C109" s="21">
        <v>3129644</v>
      </c>
      <c r="E109" s="21">
        <v>8754417648</v>
      </c>
      <c r="G109" s="21">
        <v>8468203567</v>
      </c>
      <c r="I109" s="21">
        <v>286214081</v>
      </c>
      <c r="K109" s="21">
        <v>3129644</v>
      </c>
      <c r="M109" s="21">
        <v>8754417648</v>
      </c>
      <c r="O109" s="21">
        <v>10204154188</v>
      </c>
      <c r="Q109" s="21">
        <v>-1449736540</v>
      </c>
    </row>
    <row r="110" spans="1:17" ht="18.75" x14ac:dyDescent="0.45">
      <c r="A110" s="29" t="s">
        <v>117</v>
      </c>
      <c r="C110" s="21">
        <v>7197090</v>
      </c>
      <c r="E110" s="21">
        <v>9894351696</v>
      </c>
      <c r="G110" s="21">
        <v>9968218012</v>
      </c>
      <c r="I110" s="21">
        <v>-73866316</v>
      </c>
      <c r="K110" s="21">
        <v>7197090</v>
      </c>
      <c r="M110" s="21">
        <v>9894351696</v>
      </c>
      <c r="O110" s="21">
        <v>9968218012</v>
      </c>
      <c r="Q110" s="21">
        <v>-73866316</v>
      </c>
    </row>
    <row r="111" spans="1:17" ht="18.75" x14ac:dyDescent="0.45">
      <c r="A111" s="29" t="s">
        <v>118</v>
      </c>
      <c r="C111" s="21">
        <v>12089479</v>
      </c>
      <c r="E111" s="21">
        <v>38852728158</v>
      </c>
      <c r="G111" s="21">
        <v>39669384870</v>
      </c>
      <c r="I111" s="21">
        <v>-816656712</v>
      </c>
      <c r="K111" s="21">
        <v>12089479</v>
      </c>
      <c r="M111" s="21">
        <v>38852728158</v>
      </c>
      <c r="O111" s="21">
        <v>52465282781</v>
      </c>
      <c r="Q111" s="21">
        <v>-13612554623</v>
      </c>
    </row>
    <row r="112" spans="1:17" ht="18.75" x14ac:dyDescent="0.45">
      <c r="A112" s="29" t="s">
        <v>119</v>
      </c>
      <c r="C112" s="21">
        <v>6360714</v>
      </c>
      <c r="E112" s="21">
        <v>14118963690</v>
      </c>
      <c r="G112" s="21">
        <v>16287707328</v>
      </c>
      <c r="I112" s="21">
        <v>-2168743638</v>
      </c>
      <c r="K112" s="21">
        <v>6360714</v>
      </c>
      <c r="M112" s="21">
        <v>14118963690</v>
      </c>
      <c r="O112" s="21">
        <v>18540733099</v>
      </c>
      <c r="Q112" s="21">
        <v>-4421769409</v>
      </c>
    </row>
    <row r="113" spans="1:17" ht="18.75" x14ac:dyDescent="0.45">
      <c r="A113" s="29" t="s">
        <v>120</v>
      </c>
      <c r="C113" s="21">
        <v>5000000</v>
      </c>
      <c r="E113" s="21">
        <v>6113407500</v>
      </c>
      <c r="G113" s="21">
        <v>5830405490</v>
      </c>
      <c r="I113" s="21">
        <v>283002010</v>
      </c>
      <c r="K113" s="21">
        <v>5000000</v>
      </c>
      <c r="M113" s="21">
        <v>6113407500</v>
      </c>
      <c r="O113" s="21">
        <v>5830405490</v>
      </c>
      <c r="Q113" s="21">
        <v>283002010</v>
      </c>
    </row>
    <row r="114" spans="1:17" ht="18.75" x14ac:dyDescent="0.45">
      <c r="A114" s="29" t="s">
        <v>121</v>
      </c>
      <c r="C114" s="21">
        <v>631164</v>
      </c>
      <c r="E114" s="21">
        <v>5646677168</v>
      </c>
      <c r="G114" s="21">
        <v>5327436849</v>
      </c>
      <c r="I114" s="21">
        <v>319240319</v>
      </c>
      <c r="K114" s="21">
        <v>631164</v>
      </c>
      <c r="M114" s="21">
        <v>5646677168</v>
      </c>
      <c r="O114" s="21">
        <v>5327436849</v>
      </c>
      <c r="Q114" s="21">
        <v>319240319</v>
      </c>
    </row>
    <row r="115" spans="1:17" ht="18.75" x14ac:dyDescent="0.45">
      <c r="A115" s="29" t="s">
        <v>122</v>
      </c>
      <c r="C115" s="21">
        <v>5488987</v>
      </c>
      <c r="E115" s="21">
        <v>28154650041</v>
      </c>
      <c r="G115" s="21">
        <v>21746157075</v>
      </c>
      <c r="I115" s="21">
        <v>6408492966</v>
      </c>
      <c r="K115" s="21">
        <v>5488987</v>
      </c>
      <c r="M115" s="21">
        <v>28154650041</v>
      </c>
      <c r="O115" s="21">
        <v>31105206725</v>
      </c>
      <c r="Q115" s="21">
        <v>-2950556684</v>
      </c>
    </row>
    <row r="116" spans="1:17" ht="18.75" x14ac:dyDescent="0.45">
      <c r="A116" s="29" t="s">
        <v>123</v>
      </c>
      <c r="C116" s="21">
        <v>250000</v>
      </c>
      <c r="E116" s="21">
        <v>2472699375</v>
      </c>
      <c r="G116" s="21">
        <v>2606896125</v>
      </c>
      <c r="I116" s="21">
        <v>-134196750</v>
      </c>
      <c r="K116" s="21">
        <v>250000</v>
      </c>
      <c r="M116" s="21">
        <v>2472699375</v>
      </c>
      <c r="O116" s="21">
        <v>3484145250</v>
      </c>
      <c r="Q116" s="21">
        <v>-1011445875</v>
      </c>
    </row>
    <row r="117" spans="1:17" ht="18.75" x14ac:dyDescent="0.45">
      <c r="A117" s="29" t="s">
        <v>124</v>
      </c>
      <c r="C117" s="21">
        <v>7293338</v>
      </c>
      <c r="E117" s="21">
        <v>42847160996</v>
      </c>
      <c r="G117" s="21">
        <v>15038826226</v>
      </c>
      <c r="I117" s="21">
        <v>27808334770</v>
      </c>
      <c r="K117" s="21">
        <v>7293338</v>
      </c>
      <c r="M117" s="21">
        <v>42847160996</v>
      </c>
      <c r="O117" s="21">
        <v>66554473426</v>
      </c>
      <c r="Q117" s="21">
        <v>-23707312430</v>
      </c>
    </row>
    <row r="118" spans="1:17" ht="18.75" x14ac:dyDescent="0.45">
      <c r="A118" s="29" t="s">
        <v>125</v>
      </c>
      <c r="C118" s="21">
        <v>6222978</v>
      </c>
      <c r="E118" s="21">
        <v>23061226375</v>
      </c>
      <c r="G118" s="21">
        <v>19752505520</v>
      </c>
      <c r="I118" s="21">
        <v>3308720855</v>
      </c>
      <c r="K118" s="21">
        <v>6222978</v>
      </c>
      <c r="M118" s="21">
        <v>23061226375</v>
      </c>
      <c r="O118" s="21">
        <v>21378647626</v>
      </c>
      <c r="Q118" s="21">
        <v>1682578749</v>
      </c>
    </row>
    <row r="119" spans="1:17" ht="18.75" x14ac:dyDescent="0.45">
      <c r="A119" s="29" t="s">
        <v>126</v>
      </c>
      <c r="C119" s="21">
        <v>4645601</v>
      </c>
      <c r="E119" s="21">
        <v>15659501255</v>
      </c>
      <c r="G119" s="21">
        <v>14186372119</v>
      </c>
      <c r="I119" s="21">
        <v>1473129136</v>
      </c>
      <c r="K119" s="21">
        <v>4645601</v>
      </c>
      <c r="M119" s="21">
        <v>15659501255</v>
      </c>
      <c r="O119" s="21">
        <v>11147754653</v>
      </c>
      <c r="Q119" s="21">
        <v>4511746602</v>
      </c>
    </row>
    <row r="120" spans="1:17" ht="18.75" x14ac:dyDescent="0.45">
      <c r="A120" s="29" t="s">
        <v>127</v>
      </c>
      <c r="C120" s="21">
        <v>1651893</v>
      </c>
      <c r="E120" s="21">
        <v>9737440923</v>
      </c>
      <c r="G120" s="21">
        <v>9972257764</v>
      </c>
      <c r="I120" s="21">
        <v>-234816841</v>
      </c>
      <c r="K120" s="21">
        <v>1651893</v>
      </c>
      <c r="M120" s="21">
        <v>9737440923</v>
      </c>
      <c r="O120" s="21">
        <v>9972257764</v>
      </c>
      <c r="Q120" s="21">
        <v>-234816841</v>
      </c>
    </row>
    <row r="121" spans="1:17" ht="18.75" x14ac:dyDescent="0.45">
      <c r="A121" s="29" t="s">
        <v>128</v>
      </c>
      <c r="C121" s="21">
        <v>4618626</v>
      </c>
      <c r="E121" s="21">
        <v>25848147337</v>
      </c>
      <c r="G121" s="21">
        <v>28078301300</v>
      </c>
      <c r="I121" s="21">
        <v>-2230153963</v>
      </c>
      <c r="K121" s="21">
        <v>4618626</v>
      </c>
      <c r="M121" s="21">
        <v>25848147337</v>
      </c>
      <c r="O121" s="21">
        <v>25620485809</v>
      </c>
      <c r="Q121" s="21">
        <v>227661528</v>
      </c>
    </row>
    <row r="122" spans="1:17" ht="18.75" x14ac:dyDescent="0.45">
      <c r="A122" s="29" t="s">
        <v>129</v>
      </c>
      <c r="C122" s="21">
        <v>8036726</v>
      </c>
      <c r="E122" s="21">
        <v>27625642067</v>
      </c>
      <c r="G122" s="21">
        <v>26563117372</v>
      </c>
      <c r="I122" s="21">
        <v>1062524695</v>
      </c>
      <c r="K122" s="21">
        <v>8036726</v>
      </c>
      <c r="M122" s="21">
        <v>27625642067</v>
      </c>
      <c r="O122" s="21">
        <v>27577708622</v>
      </c>
      <c r="Q122" s="21">
        <v>47933445</v>
      </c>
    </row>
    <row r="123" spans="1:17" ht="37.5" x14ac:dyDescent="0.45">
      <c r="A123" s="29" t="s">
        <v>130</v>
      </c>
      <c r="C123" s="21">
        <v>700000</v>
      </c>
      <c r="E123" s="21">
        <v>9950440500</v>
      </c>
      <c r="G123" s="21">
        <v>10013065650</v>
      </c>
      <c r="I123" s="21">
        <v>-62625150</v>
      </c>
      <c r="K123" s="21">
        <v>700000</v>
      </c>
      <c r="M123" s="21">
        <v>9950440500</v>
      </c>
      <c r="O123" s="21">
        <v>9581647950</v>
      </c>
      <c r="Q123" s="21">
        <v>368792550</v>
      </c>
    </row>
    <row r="124" spans="1:17" ht="18.75" x14ac:dyDescent="0.45">
      <c r="A124" s="29" t="s">
        <v>131</v>
      </c>
      <c r="C124" s="21">
        <v>7581888</v>
      </c>
      <c r="E124" s="21">
        <v>30742508351</v>
      </c>
      <c r="G124" s="21">
        <v>31631337729</v>
      </c>
      <c r="I124" s="21">
        <v>-888829378</v>
      </c>
      <c r="K124" s="21">
        <v>7581888</v>
      </c>
      <c r="M124" s="21">
        <v>30742508351</v>
      </c>
      <c r="O124" s="21">
        <v>41000060169</v>
      </c>
      <c r="Q124" s="21">
        <v>-10257551818</v>
      </c>
    </row>
    <row r="125" spans="1:17" ht="18.75" x14ac:dyDescent="0.45">
      <c r="A125" s="29" t="s">
        <v>132</v>
      </c>
      <c r="C125" s="21">
        <v>1493618</v>
      </c>
      <c r="E125" s="21">
        <v>8715370811</v>
      </c>
      <c r="G125" s="21">
        <v>8708469847</v>
      </c>
      <c r="I125" s="21">
        <v>6900964</v>
      </c>
      <c r="K125" s="21">
        <v>1493618</v>
      </c>
      <c r="M125" s="21">
        <v>8715370811</v>
      </c>
      <c r="O125" s="21">
        <v>8708469847</v>
      </c>
      <c r="Q125" s="21">
        <v>6900964</v>
      </c>
    </row>
    <row r="126" spans="1:17" ht="18.75" x14ac:dyDescent="0.45">
      <c r="A126" s="29" t="s">
        <v>133</v>
      </c>
      <c r="C126" s="21">
        <v>3802300</v>
      </c>
      <c r="E126" s="21">
        <v>38590495176</v>
      </c>
      <c r="G126" s="21">
        <v>41322681762</v>
      </c>
      <c r="I126" s="21">
        <v>-2732186586</v>
      </c>
      <c r="K126" s="21">
        <v>3802300</v>
      </c>
      <c r="M126" s="21">
        <v>38590495176</v>
      </c>
      <c r="O126" s="21">
        <v>34054883598</v>
      </c>
      <c r="Q126" s="21">
        <v>4535611578</v>
      </c>
    </row>
    <row r="127" spans="1:17" ht="18.75" x14ac:dyDescent="0.45">
      <c r="A127" s="29" t="s">
        <v>134</v>
      </c>
      <c r="C127" s="21">
        <v>999999</v>
      </c>
      <c r="E127" s="21">
        <v>4351946548</v>
      </c>
      <c r="G127" s="21">
        <v>4319142931</v>
      </c>
      <c r="I127" s="21">
        <v>32803617</v>
      </c>
      <c r="K127" s="21">
        <v>999999</v>
      </c>
      <c r="M127" s="21">
        <v>4351946548</v>
      </c>
      <c r="O127" s="21">
        <v>3575594274</v>
      </c>
      <c r="Q127" s="21">
        <v>776352274</v>
      </c>
    </row>
    <row r="128" spans="1:17" ht="18.75" x14ac:dyDescent="0.45">
      <c r="A128" s="29" t="s">
        <v>135</v>
      </c>
      <c r="C128" s="21">
        <v>100000</v>
      </c>
      <c r="E128" s="21">
        <v>4567659750</v>
      </c>
      <c r="G128" s="21">
        <v>4634296634</v>
      </c>
      <c r="I128" s="21">
        <v>-66636884</v>
      </c>
      <c r="K128" s="21">
        <v>100000</v>
      </c>
      <c r="M128" s="21">
        <v>4567659750</v>
      </c>
      <c r="O128" s="21">
        <v>4634296634</v>
      </c>
      <c r="Q128" s="21">
        <v>-66636884</v>
      </c>
    </row>
    <row r="129" spans="1:17" ht="18.75" x14ac:dyDescent="0.45">
      <c r="A129" s="29" t="s">
        <v>136</v>
      </c>
      <c r="C129" s="21">
        <v>8864750</v>
      </c>
      <c r="E129" s="21">
        <v>25202333549</v>
      </c>
      <c r="G129" s="21">
        <v>29682973505</v>
      </c>
      <c r="I129" s="21">
        <v>-4480639956</v>
      </c>
      <c r="K129" s="21">
        <v>8864750</v>
      </c>
      <c r="M129" s="21">
        <v>25202333549</v>
      </c>
      <c r="O129" s="21">
        <v>28189603155</v>
      </c>
      <c r="Q129" s="21">
        <v>-2987269606</v>
      </c>
    </row>
    <row r="130" spans="1:17" ht="18.75" x14ac:dyDescent="0.45">
      <c r="A130" s="29" t="s">
        <v>137</v>
      </c>
      <c r="C130" s="21">
        <v>6903048</v>
      </c>
      <c r="E130" s="21">
        <v>11164433104</v>
      </c>
      <c r="G130" s="21">
        <v>11150709155</v>
      </c>
      <c r="I130" s="21">
        <v>13723949</v>
      </c>
      <c r="K130" s="21">
        <v>6903048</v>
      </c>
      <c r="M130" s="21">
        <v>11164433104</v>
      </c>
      <c r="O130" s="21">
        <v>10800748437</v>
      </c>
      <c r="Q130" s="21">
        <v>363684667</v>
      </c>
    </row>
    <row r="131" spans="1:17" ht="18.75" x14ac:dyDescent="0.45">
      <c r="A131" s="29" t="s">
        <v>138</v>
      </c>
      <c r="C131" s="21">
        <v>845414</v>
      </c>
      <c r="E131" s="21">
        <v>9840894142</v>
      </c>
      <c r="G131" s="21">
        <v>9972258712</v>
      </c>
      <c r="I131" s="21">
        <v>-131364570</v>
      </c>
      <c r="K131" s="21">
        <v>845414</v>
      </c>
      <c r="M131" s="21">
        <v>9840894142</v>
      </c>
      <c r="O131" s="21">
        <v>9972258712</v>
      </c>
      <c r="Q131" s="21">
        <v>-131364570</v>
      </c>
    </row>
    <row r="132" spans="1:17" ht="18.75" x14ac:dyDescent="0.45">
      <c r="A132" s="29" t="s">
        <v>139</v>
      </c>
      <c r="C132" s="21">
        <v>123</v>
      </c>
      <c r="E132" s="21">
        <v>3994500</v>
      </c>
      <c r="G132" s="21">
        <v>5010549</v>
      </c>
      <c r="I132" s="21">
        <v>-1016049</v>
      </c>
      <c r="K132" s="21">
        <v>123</v>
      </c>
      <c r="M132" s="21">
        <v>3994500</v>
      </c>
      <c r="O132" s="21">
        <v>2749811</v>
      </c>
      <c r="Q132" s="21">
        <v>1244689</v>
      </c>
    </row>
    <row r="133" spans="1:17" ht="18.75" x14ac:dyDescent="0.45">
      <c r="A133" s="29" t="s">
        <v>140</v>
      </c>
      <c r="C133" s="21">
        <v>1746933</v>
      </c>
      <c r="E133" s="21">
        <v>4778954636</v>
      </c>
      <c r="G133" s="21">
        <v>4812020940</v>
      </c>
      <c r="I133" s="21">
        <v>-33066304</v>
      </c>
      <c r="K133" s="21">
        <v>1746933</v>
      </c>
      <c r="M133" s="21">
        <v>4778954636</v>
      </c>
      <c r="O133" s="21">
        <v>4812020940</v>
      </c>
      <c r="Q133" s="21">
        <v>-33066304</v>
      </c>
    </row>
    <row r="134" spans="1:17" ht="18.75" x14ac:dyDescent="0.45">
      <c r="A134" s="29" t="s">
        <v>141</v>
      </c>
      <c r="C134" s="21">
        <v>3052977</v>
      </c>
      <c r="E134" s="21">
        <v>10549005771</v>
      </c>
      <c r="G134" s="21">
        <v>9377372255</v>
      </c>
      <c r="I134" s="21">
        <v>1171633516</v>
      </c>
      <c r="K134" s="21">
        <v>3052977</v>
      </c>
      <c r="M134" s="21">
        <v>10549005771</v>
      </c>
      <c r="O134" s="21">
        <v>9377372255</v>
      </c>
      <c r="Q134" s="21">
        <v>1171633516</v>
      </c>
    </row>
    <row r="135" spans="1:17" ht="18.75" x14ac:dyDescent="0.45">
      <c r="A135" s="29" t="s">
        <v>142</v>
      </c>
      <c r="C135" s="21">
        <v>1726432</v>
      </c>
      <c r="E135" s="21">
        <v>17504829242</v>
      </c>
      <c r="G135" s="21">
        <v>16236225789</v>
      </c>
      <c r="I135" s="21">
        <v>1268603453</v>
      </c>
      <c r="K135" s="21">
        <v>1726432</v>
      </c>
      <c r="M135" s="21">
        <v>17504829242</v>
      </c>
      <c r="O135" s="21">
        <v>16236225789</v>
      </c>
      <c r="Q135" s="21">
        <v>1268603453</v>
      </c>
    </row>
    <row r="136" spans="1:17" ht="18.75" x14ac:dyDescent="0.45">
      <c r="A136" s="29" t="s">
        <v>143</v>
      </c>
      <c r="C136" s="21">
        <v>1234515</v>
      </c>
      <c r="E136" s="21">
        <v>17634427666</v>
      </c>
      <c r="G136" s="21">
        <v>16207137106</v>
      </c>
      <c r="I136" s="21">
        <v>1427290560</v>
      </c>
      <c r="K136" s="21">
        <v>1234515</v>
      </c>
      <c r="M136" s="21">
        <v>17634427666</v>
      </c>
      <c r="O136" s="21">
        <v>16207137106</v>
      </c>
      <c r="Q136" s="21">
        <v>1427290560</v>
      </c>
    </row>
    <row r="137" spans="1:17" ht="18.75" x14ac:dyDescent="0.45">
      <c r="A137" s="29" t="s">
        <v>144</v>
      </c>
      <c r="C137" s="21">
        <v>635048</v>
      </c>
      <c r="E137" s="21">
        <v>11110342573</v>
      </c>
      <c r="G137" s="21">
        <v>10210310730</v>
      </c>
      <c r="I137" s="21">
        <v>900031843</v>
      </c>
      <c r="K137" s="21">
        <v>635048</v>
      </c>
      <c r="M137" s="21">
        <v>11110342573</v>
      </c>
      <c r="O137" s="21">
        <v>10210310730</v>
      </c>
      <c r="Q137" s="21">
        <v>900031843</v>
      </c>
    </row>
    <row r="138" spans="1:17" ht="18.75" x14ac:dyDescent="0.45">
      <c r="A138" s="29" t="s">
        <v>145</v>
      </c>
      <c r="C138" s="21">
        <v>200000</v>
      </c>
      <c r="E138" s="21">
        <v>11153241000</v>
      </c>
      <c r="G138" s="21">
        <v>10970170868</v>
      </c>
      <c r="I138" s="21">
        <v>183070132</v>
      </c>
      <c r="K138" s="21">
        <v>200000</v>
      </c>
      <c r="M138" s="21">
        <v>11153241000</v>
      </c>
      <c r="O138" s="21">
        <v>10970170868</v>
      </c>
      <c r="Q138" s="21">
        <v>183070132</v>
      </c>
    </row>
    <row r="139" spans="1:17" ht="18.75" x14ac:dyDescent="0.45">
      <c r="A139" s="29" t="s">
        <v>146</v>
      </c>
      <c r="C139" s="21">
        <v>1467558</v>
      </c>
      <c r="E139" s="21">
        <v>9205192249</v>
      </c>
      <c r="G139" s="21">
        <v>8650838357</v>
      </c>
      <c r="I139" s="21">
        <v>554353892</v>
      </c>
      <c r="K139" s="21">
        <v>1467558</v>
      </c>
      <c r="M139" s="21">
        <v>9205192249</v>
      </c>
      <c r="O139" s="21">
        <v>9905428743</v>
      </c>
      <c r="Q139" s="21">
        <v>-700236494</v>
      </c>
    </row>
    <row r="140" spans="1:17" ht="18.75" x14ac:dyDescent="0.45">
      <c r="A140" s="29" t="s">
        <v>147</v>
      </c>
      <c r="C140" s="21">
        <v>2100000</v>
      </c>
      <c r="E140" s="21">
        <v>6183189810</v>
      </c>
      <c r="G140" s="21">
        <v>6008882859</v>
      </c>
      <c r="I140" s="21">
        <v>174306951</v>
      </c>
      <c r="K140" s="21">
        <v>2100000</v>
      </c>
      <c r="M140" s="21">
        <v>6183189810</v>
      </c>
      <c r="O140" s="21">
        <v>6008882859</v>
      </c>
      <c r="Q140" s="21">
        <v>174306951</v>
      </c>
    </row>
    <row r="141" spans="1:17" ht="18.75" x14ac:dyDescent="0.45">
      <c r="A141" s="29" t="s">
        <v>148</v>
      </c>
      <c r="C141" s="21">
        <v>6744759</v>
      </c>
      <c r="E141" s="21">
        <v>31572091764</v>
      </c>
      <c r="G141" s="21">
        <v>32343123947</v>
      </c>
      <c r="I141" s="21">
        <v>-771032183</v>
      </c>
      <c r="K141" s="21">
        <v>6744759</v>
      </c>
      <c r="M141" s="21">
        <v>31572091764</v>
      </c>
      <c r="O141" s="21">
        <v>47076364301</v>
      </c>
      <c r="Q141" s="21">
        <v>-15504272537</v>
      </c>
    </row>
    <row r="142" spans="1:17" ht="18.75" x14ac:dyDescent="0.45">
      <c r="A142" s="29" t="s">
        <v>149</v>
      </c>
      <c r="C142" s="21">
        <v>300000</v>
      </c>
      <c r="E142" s="21">
        <v>8588592000</v>
      </c>
      <c r="G142" s="21">
        <v>8687054089</v>
      </c>
      <c r="I142" s="21">
        <v>-98462089</v>
      </c>
      <c r="K142" s="21">
        <v>300000</v>
      </c>
      <c r="M142" s="21">
        <v>8588592000</v>
      </c>
      <c r="O142" s="21">
        <v>8687054089</v>
      </c>
      <c r="Q142" s="21">
        <v>-98462089</v>
      </c>
    </row>
    <row r="143" spans="1:17" ht="18.75" x14ac:dyDescent="0.45">
      <c r="A143" s="29" t="s">
        <v>150</v>
      </c>
      <c r="C143" s="21">
        <v>1318090</v>
      </c>
      <c r="E143" s="21">
        <v>6231536466</v>
      </c>
      <c r="G143" s="21">
        <v>6367972688</v>
      </c>
      <c r="I143" s="21">
        <v>-136436222</v>
      </c>
      <c r="K143" s="21">
        <v>1318090</v>
      </c>
      <c r="M143" s="21">
        <v>6231536466</v>
      </c>
      <c r="O143" s="21">
        <v>6367972688</v>
      </c>
      <c r="Q143" s="21">
        <v>-136436222</v>
      </c>
    </row>
    <row r="144" spans="1:17" ht="18.75" x14ac:dyDescent="0.45">
      <c r="A144" s="29" t="s">
        <v>151</v>
      </c>
      <c r="C144" s="21">
        <v>307809</v>
      </c>
      <c r="E144" s="21">
        <v>10540926131</v>
      </c>
      <c r="G144" s="21">
        <v>9488363405</v>
      </c>
      <c r="I144" s="21">
        <v>1052562726</v>
      </c>
      <c r="K144" s="21">
        <v>307809</v>
      </c>
      <c r="M144" s="21">
        <v>10540926131</v>
      </c>
      <c r="O144" s="21">
        <v>11042729290</v>
      </c>
      <c r="Q144" s="21">
        <v>-501803159</v>
      </c>
    </row>
    <row r="145" spans="1:17" ht="18.75" x14ac:dyDescent="0.45">
      <c r="A145" s="29" t="s">
        <v>152</v>
      </c>
      <c r="C145" s="21">
        <v>3134015</v>
      </c>
      <c r="E145" s="21">
        <v>12617238824</v>
      </c>
      <c r="G145" s="21">
        <v>12077545462</v>
      </c>
      <c r="I145" s="21">
        <v>539693362</v>
      </c>
      <c r="K145" s="21">
        <v>3134015</v>
      </c>
      <c r="M145" s="21">
        <v>12617238824</v>
      </c>
      <c r="O145" s="21">
        <v>12077545462</v>
      </c>
      <c r="Q145" s="21">
        <v>539693362</v>
      </c>
    </row>
    <row r="146" spans="1:17" ht="18.75" x14ac:dyDescent="0.45">
      <c r="A146" s="29" t="s">
        <v>153</v>
      </c>
      <c r="C146" s="21">
        <v>1662462</v>
      </c>
      <c r="E146" s="21">
        <v>38009118075</v>
      </c>
      <c r="G146" s="21">
        <v>45288729548</v>
      </c>
      <c r="I146" s="21">
        <v>-7279611473</v>
      </c>
      <c r="K146" s="21">
        <v>1662462</v>
      </c>
      <c r="M146" s="21">
        <v>38009118075</v>
      </c>
      <c r="O146" s="21">
        <v>31018745490</v>
      </c>
      <c r="Q146" s="21">
        <v>6990372585</v>
      </c>
    </row>
    <row r="147" spans="1:17" ht="18.75" x14ac:dyDescent="0.45">
      <c r="A147" s="29" t="s">
        <v>154</v>
      </c>
      <c r="C147" s="21">
        <v>124464</v>
      </c>
      <c r="E147" s="21">
        <v>4379809748</v>
      </c>
      <c r="G147" s="21">
        <v>4370508622</v>
      </c>
      <c r="I147" s="21">
        <v>9301126</v>
      </c>
      <c r="K147" s="21">
        <v>124464</v>
      </c>
      <c r="M147" s="21">
        <v>4379809748</v>
      </c>
      <c r="O147" s="21">
        <v>4370508622</v>
      </c>
      <c r="Q147" s="21">
        <v>9301126</v>
      </c>
    </row>
    <row r="148" spans="1:17" ht="18.75" x14ac:dyDescent="0.45">
      <c r="A148" s="29" t="s">
        <v>155</v>
      </c>
      <c r="C148" s="21">
        <v>606059</v>
      </c>
      <c r="E148" s="21">
        <v>20941264506</v>
      </c>
      <c r="G148" s="21">
        <v>19941131559</v>
      </c>
      <c r="I148" s="21">
        <v>1000132947</v>
      </c>
      <c r="K148" s="21">
        <v>606059</v>
      </c>
      <c r="M148" s="21">
        <v>20941264506</v>
      </c>
      <c r="O148" s="21">
        <v>19941131559</v>
      </c>
      <c r="Q148" s="21">
        <v>1000132947</v>
      </c>
    </row>
    <row r="149" spans="1:17" ht="18.75" x14ac:dyDescent="0.45">
      <c r="A149" s="29" t="s">
        <v>156</v>
      </c>
      <c r="C149" s="21">
        <v>65229</v>
      </c>
      <c r="E149" s="21">
        <v>16352871815</v>
      </c>
      <c r="G149" s="21">
        <v>17862878658</v>
      </c>
      <c r="I149" s="21">
        <v>-1510006843</v>
      </c>
      <c r="K149" s="21">
        <v>65229</v>
      </c>
      <c r="M149" s="21">
        <v>16352871815</v>
      </c>
      <c r="O149" s="21">
        <v>17862878658</v>
      </c>
      <c r="Q149" s="21">
        <v>-1510006843</v>
      </c>
    </row>
    <row r="150" spans="1:17" ht="18.75" x14ac:dyDescent="0.45">
      <c r="A150" s="29" t="s">
        <v>157</v>
      </c>
      <c r="C150" s="21">
        <v>23784453</v>
      </c>
      <c r="E150" s="21">
        <v>41564280617</v>
      </c>
      <c r="G150" s="21">
        <v>53156653915</v>
      </c>
      <c r="I150" s="21">
        <v>-11592373298</v>
      </c>
      <c r="K150" s="21">
        <v>23784453</v>
      </c>
      <c r="M150" s="21">
        <v>41564280617</v>
      </c>
      <c r="O150" s="21">
        <v>54773756606</v>
      </c>
      <c r="Q150" s="21">
        <v>-13209475989</v>
      </c>
    </row>
    <row r="151" spans="1:17" ht="18.75" x14ac:dyDescent="0.45">
      <c r="A151" s="29" t="s">
        <v>158</v>
      </c>
      <c r="C151" s="21">
        <v>877997</v>
      </c>
      <c r="E151" s="21">
        <v>10298720431</v>
      </c>
      <c r="G151" s="21">
        <v>10785744988</v>
      </c>
      <c r="I151" s="21">
        <v>-487024557</v>
      </c>
      <c r="K151" s="21">
        <v>877997</v>
      </c>
      <c r="M151" s="21">
        <v>10298720431</v>
      </c>
      <c r="O151" s="21">
        <v>10785744988</v>
      </c>
      <c r="Q151" s="21">
        <v>-487024557</v>
      </c>
    </row>
    <row r="152" spans="1:17" ht="18.75" x14ac:dyDescent="0.45">
      <c r="A152" s="29" t="s">
        <v>159</v>
      </c>
      <c r="C152" s="21">
        <v>450000</v>
      </c>
      <c r="E152" s="21">
        <v>7340562225</v>
      </c>
      <c r="G152" s="21">
        <v>8628851025</v>
      </c>
      <c r="I152" s="21">
        <v>-1288288800</v>
      </c>
      <c r="K152" s="21">
        <v>450000</v>
      </c>
      <c r="M152" s="21">
        <v>7340562225</v>
      </c>
      <c r="O152" s="21">
        <v>8423082675</v>
      </c>
      <c r="Q152" s="21">
        <v>-1082520450</v>
      </c>
    </row>
    <row r="153" spans="1:17" ht="18.75" x14ac:dyDescent="0.45">
      <c r="A153" s="29" t="s">
        <v>160</v>
      </c>
      <c r="C153" s="21">
        <v>1800000</v>
      </c>
      <c r="E153" s="21">
        <v>10270524600</v>
      </c>
      <c r="G153" s="21">
        <v>10359604746</v>
      </c>
      <c r="I153" s="21">
        <v>-89080146</v>
      </c>
      <c r="K153" s="21">
        <v>1800000</v>
      </c>
      <c r="M153" s="21">
        <v>10270524600</v>
      </c>
      <c r="O153" s="21">
        <v>10359604746</v>
      </c>
      <c r="Q153" s="21">
        <v>-89080146</v>
      </c>
    </row>
    <row r="154" spans="1:17" ht="18.75" x14ac:dyDescent="0.45">
      <c r="A154" s="29" t="s">
        <v>161</v>
      </c>
      <c r="C154" s="21">
        <v>1405716</v>
      </c>
      <c r="E154" s="21">
        <v>7922985782</v>
      </c>
      <c r="G154" s="21">
        <v>7977806216</v>
      </c>
      <c r="I154" s="21">
        <v>-54820434</v>
      </c>
      <c r="K154" s="21">
        <v>1405716</v>
      </c>
      <c r="M154" s="21">
        <v>7922985782</v>
      </c>
      <c r="O154" s="21">
        <v>7977806216</v>
      </c>
      <c r="Q154" s="21">
        <v>-54820434</v>
      </c>
    </row>
    <row r="155" spans="1:17" ht="18.75" x14ac:dyDescent="0.45">
      <c r="A155" s="29" t="s">
        <v>162</v>
      </c>
      <c r="C155" s="21">
        <v>50984</v>
      </c>
      <c r="E155" s="21">
        <v>6766372941</v>
      </c>
      <c r="G155" s="21">
        <v>6084973707</v>
      </c>
      <c r="I155" s="21">
        <v>681399234</v>
      </c>
      <c r="K155" s="21">
        <v>50984</v>
      </c>
      <c r="M155" s="21">
        <v>6766372941</v>
      </c>
      <c r="O155" s="21">
        <v>6084973707</v>
      </c>
      <c r="Q155" s="21">
        <v>681399234</v>
      </c>
    </row>
    <row r="156" spans="1:17" ht="18.75" x14ac:dyDescent="0.45">
      <c r="A156" s="29" t="s">
        <v>163</v>
      </c>
      <c r="C156" s="21">
        <v>840604</v>
      </c>
      <c r="E156" s="21">
        <v>6233593950</v>
      </c>
      <c r="G156" s="21">
        <v>6130805191</v>
      </c>
      <c r="I156" s="21">
        <v>102788759</v>
      </c>
      <c r="K156" s="21">
        <v>840604</v>
      </c>
      <c r="M156" s="21">
        <v>6233593950</v>
      </c>
      <c r="O156" s="21">
        <v>6130805191</v>
      </c>
      <c r="Q156" s="21">
        <v>102788759</v>
      </c>
    </row>
    <row r="157" spans="1:17" ht="18.75" x14ac:dyDescent="0.45">
      <c r="A157" s="29" t="s">
        <v>164</v>
      </c>
      <c r="C157" s="21">
        <v>1100000</v>
      </c>
      <c r="E157" s="21">
        <v>7752595950</v>
      </c>
      <c r="G157" s="21">
        <v>7432586971</v>
      </c>
      <c r="I157" s="21">
        <v>320008979</v>
      </c>
      <c r="K157" s="21">
        <v>1100000</v>
      </c>
      <c r="M157" s="21">
        <v>7752595950</v>
      </c>
      <c r="O157" s="21">
        <v>7432586971</v>
      </c>
      <c r="Q157" s="21">
        <v>320008979</v>
      </c>
    </row>
    <row r="158" spans="1:17" ht="18.75" x14ac:dyDescent="0.45">
      <c r="A158" s="29" t="s">
        <v>165</v>
      </c>
      <c r="C158" s="21">
        <v>1800885</v>
      </c>
      <c r="E158" s="21">
        <v>5477919387</v>
      </c>
      <c r="G158" s="21">
        <v>5622273814</v>
      </c>
      <c r="I158" s="21">
        <v>-144354427</v>
      </c>
      <c r="K158" s="21">
        <v>1800885</v>
      </c>
      <c r="M158" s="21">
        <v>5477919387</v>
      </c>
      <c r="O158" s="21">
        <v>5622273814</v>
      </c>
      <c r="Q158" s="21">
        <v>-144354427</v>
      </c>
    </row>
    <row r="159" spans="1:17" ht="18.75" x14ac:dyDescent="0.45">
      <c r="A159" s="29" t="s">
        <v>166</v>
      </c>
      <c r="C159" s="21">
        <v>6447274</v>
      </c>
      <c r="E159" s="21">
        <v>12016711349</v>
      </c>
      <c r="G159" s="21">
        <v>11948572719</v>
      </c>
      <c r="I159" s="21">
        <v>68138630</v>
      </c>
      <c r="K159" s="21">
        <v>6447274</v>
      </c>
      <c r="M159" s="21">
        <v>12016711349</v>
      </c>
      <c r="O159" s="21">
        <v>12535002616</v>
      </c>
      <c r="Q159" s="21">
        <v>-518291267</v>
      </c>
    </row>
    <row r="160" spans="1:17" ht="18.75" x14ac:dyDescent="0.45">
      <c r="A160" s="29" t="s">
        <v>167</v>
      </c>
      <c r="C160" s="21">
        <v>2460067</v>
      </c>
      <c r="E160" s="21">
        <v>3240194222</v>
      </c>
      <c r="G160" s="21">
        <v>3298648158</v>
      </c>
      <c r="I160" s="21">
        <v>-58453936</v>
      </c>
      <c r="K160" s="21">
        <v>2460067</v>
      </c>
      <c r="M160" s="21">
        <v>3240194222</v>
      </c>
      <c r="O160" s="21">
        <v>3298648158</v>
      </c>
      <c r="Q160" s="21">
        <v>-58453936</v>
      </c>
    </row>
    <row r="161" spans="1:17" ht="37.5" x14ac:dyDescent="0.45">
      <c r="A161" s="29" t="s">
        <v>168</v>
      </c>
      <c r="C161" s="21">
        <v>21220067</v>
      </c>
      <c r="E161" s="21">
        <v>20039117221</v>
      </c>
      <c r="G161" s="21">
        <v>20257595491</v>
      </c>
      <c r="I161" s="21">
        <v>-218478270</v>
      </c>
      <c r="K161" s="21">
        <v>21220067</v>
      </c>
      <c r="M161" s="21">
        <v>20039117221</v>
      </c>
      <c r="O161" s="21">
        <v>28223514571</v>
      </c>
      <c r="Q161" s="21">
        <v>-8184397350</v>
      </c>
    </row>
    <row r="162" spans="1:17" ht="18.75" x14ac:dyDescent="0.45">
      <c r="A162" s="29" t="s">
        <v>169</v>
      </c>
      <c r="C162" s="21">
        <v>7859149</v>
      </c>
      <c r="E162" s="21">
        <v>12937312977</v>
      </c>
      <c r="G162" s="21">
        <v>13546271717</v>
      </c>
      <c r="I162" s="21">
        <v>-608958740</v>
      </c>
      <c r="K162" s="21">
        <v>7859149</v>
      </c>
      <c r="M162" s="21">
        <v>12937312977</v>
      </c>
      <c r="O162" s="21">
        <v>13546271717</v>
      </c>
      <c r="Q162" s="21">
        <v>-608958740</v>
      </c>
    </row>
    <row r="163" spans="1:17" ht="19.5" thickBot="1" x14ac:dyDescent="0.5">
      <c r="A163" s="24" t="s">
        <v>170</v>
      </c>
      <c r="C163" s="24">
        <f>SUM(C9:$C$162)</f>
        <v>677482346</v>
      </c>
      <c r="E163" s="24">
        <f>SUM(E9:$E$162)</f>
        <v>2041843805859</v>
      </c>
      <c r="G163" s="24">
        <f>SUM(G9:$G$162)</f>
        <v>2038491722971</v>
      </c>
      <c r="I163" s="24">
        <f>SUM(I9:$I$162)</f>
        <v>3352082888</v>
      </c>
      <c r="K163" s="24">
        <f>SUM(K9:$K$162)</f>
        <v>677482346</v>
      </c>
      <c r="M163" s="24">
        <f>SUM(M9:$M$162)</f>
        <v>2041843805859</v>
      </c>
      <c r="O163" s="24">
        <f>SUM(O9:$O$162)</f>
        <v>2255935861371</v>
      </c>
      <c r="Q163" s="24">
        <f>SUM(Q9:$Q$162)</f>
        <v>-214092055512</v>
      </c>
    </row>
    <row r="164" spans="1:17" ht="19.5" thickTop="1" x14ac:dyDescent="0.45">
      <c r="C164" s="26"/>
      <c r="E164" s="26"/>
      <c r="G164" s="26"/>
      <c r="I164" s="26"/>
      <c r="K164" s="26"/>
      <c r="M164" s="26"/>
      <c r="O164" s="26"/>
      <c r="Q164" s="26"/>
    </row>
    <row r="166" spans="1:17" ht="18.75" x14ac:dyDescent="0.45">
      <c r="A166" s="31" t="s">
        <v>283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3"/>
    </row>
  </sheetData>
  <mergeCells count="7">
    <mergeCell ref="A166:Q166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6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71"/>
  <sheetViews>
    <sheetView rightToLeft="1" view="pageBreakPreview" topLeftCell="A142" zoomScale="87" zoomScaleNormal="100" zoomScaleSheetLayoutView="87" workbookViewId="0">
      <selection sqref="A1:XFD1048576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5.5703125" style="12" bestFit="1" customWidth="1"/>
    <col min="4" max="4" width="1.42578125" style="12" customWidth="1"/>
    <col min="5" max="5" width="17.7109375" style="12" bestFit="1" customWidth="1"/>
    <col min="6" max="6" width="1.42578125" style="12" customWidth="1"/>
    <col min="7" max="7" width="17.7109375" style="12" bestFit="1" customWidth="1"/>
    <col min="8" max="8" width="1.42578125" style="12" customWidth="1"/>
    <col min="9" max="9" width="17.7109375" style="12" bestFit="1" customWidth="1"/>
    <col min="10" max="10" width="1.42578125" style="12" customWidth="1"/>
    <col min="11" max="11" width="11.5703125" style="12" bestFit="1" customWidth="1"/>
    <col min="12" max="12" width="1.42578125" style="12" customWidth="1"/>
    <col min="13" max="13" width="18" style="12" bestFit="1" customWidth="1"/>
    <col min="14" max="14" width="1.42578125" style="12" customWidth="1"/>
    <col min="15" max="15" width="19" style="12" bestFit="1" customWidth="1"/>
    <col min="16" max="16" width="1.42578125" style="12" customWidth="1"/>
    <col min="17" max="17" width="17.7109375" style="12" bestFit="1" customWidth="1"/>
    <col min="18" max="18" width="1.42578125" style="12" customWidth="1"/>
    <col min="19" max="19" width="17.7109375" style="12" bestFit="1" customWidth="1"/>
    <col min="20" max="20" width="1.42578125" style="12" customWidth="1"/>
    <col min="21" max="21" width="11.5703125" style="12" bestFit="1" customWidth="1"/>
    <col min="22" max="16384" width="9.140625" style="12"/>
  </cols>
  <sheetData>
    <row r="1" spans="1:21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spans="1:21" ht="21" x14ac:dyDescent="0.45">
      <c r="A5" s="13" t="s">
        <v>287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7" spans="1:21" ht="21" x14ac:dyDescent="0.45">
      <c r="C7" s="14" t="s">
        <v>218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  <c r="R7" s="15"/>
      <c r="S7" s="15"/>
      <c r="T7" s="15"/>
      <c r="U7" s="15"/>
    </row>
    <row r="8" spans="1:21" ht="42" x14ac:dyDescent="0.45">
      <c r="A8" s="27" t="s">
        <v>288</v>
      </c>
      <c r="C8" s="28" t="s">
        <v>216</v>
      </c>
      <c r="E8" s="28" t="s">
        <v>289</v>
      </c>
      <c r="G8" s="28" t="s">
        <v>290</v>
      </c>
      <c r="I8" s="28" t="s">
        <v>291</v>
      </c>
      <c r="K8" s="28" t="s">
        <v>292</v>
      </c>
      <c r="M8" s="28" t="s">
        <v>216</v>
      </c>
      <c r="O8" s="28" t="s">
        <v>289</v>
      </c>
      <c r="Q8" s="28" t="s">
        <v>290</v>
      </c>
      <c r="S8" s="28" t="s">
        <v>291</v>
      </c>
      <c r="U8" s="28" t="s">
        <v>292</v>
      </c>
    </row>
    <row r="9" spans="1:21" ht="18.75" x14ac:dyDescent="0.45">
      <c r="A9" s="29" t="s">
        <v>17</v>
      </c>
      <c r="C9" s="21">
        <v>0</v>
      </c>
      <c r="E9" s="21">
        <v>9940500</v>
      </c>
      <c r="G9" s="21">
        <v>0</v>
      </c>
      <c r="I9" s="21">
        <v>9940500</v>
      </c>
      <c r="K9" s="23">
        <v>-5.0719558850829667E-4</v>
      </c>
      <c r="M9" s="21">
        <v>199000000</v>
      </c>
      <c r="O9" s="21">
        <v>96919875</v>
      </c>
      <c r="Q9" s="21">
        <v>0</v>
      </c>
      <c r="S9" s="21">
        <v>295919875</v>
      </c>
      <c r="U9" s="23">
        <v>4.4567293747565257E-3</v>
      </c>
    </row>
    <row r="10" spans="1:21" ht="18.75" x14ac:dyDescent="0.45">
      <c r="A10" s="29" t="s">
        <v>18</v>
      </c>
      <c r="C10" s="21">
        <v>0</v>
      </c>
      <c r="E10" s="21">
        <v>92546055</v>
      </c>
      <c r="G10" s="21">
        <v>0</v>
      </c>
      <c r="I10" s="21">
        <v>92546055</v>
      </c>
      <c r="K10" s="23">
        <v>-4.7219909290122418E-3</v>
      </c>
      <c r="M10" s="21">
        <v>24500000</v>
      </c>
      <c r="O10" s="21">
        <v>-53579295</v>
      </c>
      <c r="Q10" s="21">
        <v>0</v>
      </c>
      <c r="S10" s="21">
        <v>-29079295</v>
      </c>
      <c r="U10" s="23">
        <v>-4.3795148339972287E-4</v>
      </c>
    </row>
    <row r="11" spans="1:21" ht="18.75" x14ac:dyDescent="0.45">
      <c r="A11" s="29" t="s">
        <v>293</v>
      </c>
      <c r="C11" s="21">
        <v>0</v>
      </c>
      <c r="E11" s="21">
        <v>-233408066</v>
      </c>
      <c r="G11" s="21">
        <v>0</v>
      </c>
      <c r="I11" s="21">
        <v>-233408066</v>
      </c>
      <c r="K11" s="23">
        <v>1.190921396282414E-2</v>
      </c>
      <c r="M11" s="21">
        <v>4340424361</v>
      </c>
      <c r="O11" s="21">
        <v>-233408066</v>
      </c>
      <c r="Q11" s="21">
        <v>785484174</v>
      </c>
      <c r="S11" s="21">
        <v>4892500469</v>
      </c>
      <c r="U11" s="23">
        <v>7.368396785177872E-2</v>
      </c>
    </row>
    <row r="12" spans="1:21" ht="18.75" x14ac:dyDescent="0.45">
      <c r="A12" s="29" t="s">
        <v>20</v>
      </c>
      <c r="C12" s="21">
        <v>0</v>
      </c>
      <c r="E12" s="21">
        <v>321581040</v>
      </c>
      <c r="G12" s="21">
        <v>0</v>
      </c>
      <c r="I12" s="21">
        <v>321581040</v>
      </c>
      <c r="K12" s="23">
        <v>-1.6408076538998048E-2</v>
      </c>
      <c r="M12" s="21">
        <v>0</v>
      </c>
      <c r="O12" s="21">
        <v>1048115982</v>
      </c>
      <c r="Q12" s="21">
        <v>548670466</v>
      </c>
      <c r="S12" s="21">
        <v>1596786448</v>
      </c>
      <c r="U12" s="23">
        <v>2.4048553913503558E-2</v>
      </c>
    </row>
    <row r="13" spans="1:21" ht="18.75" x14ac:dyDescent="0.45">
      <c r="A13" s="29" t="s">
        <v>21</v>
      </c>
      <c r="C13" s="21">
        <v>0</v>
      </c>
      <c r="E13" s="21">
        <v>454991772</v>
      </c>
      <c r="G13" s="21">
        <v>0</v>
      </c>
      <c r="I13" s="21">
        <v>454991772</v>
      </c>
      <c r="K13" s="23">
        <v>-2.3215111872237085E-2</v>
      </c>
      <c r="M13" s="21">
        <v>0</v>
      </c>
      <c r="O13" s="21">
        <v>454991772</v>
      </c>
      <c r="Q13" s="21">
        <v>0</v>
      </c>
      <c r="S13" s="21">
        <v>454991772</v>
      </c>
      <c r="U13" s="23">
        <v>6.8524467832548376E-3</v>
      </c>
    </row>
    <row r="14" spans="1:21" ht="18.75" x14ac:dyDescent="0.45">
      <c r="A14" s="29" t="s">
        <v>22</v>
      </c>
      <c r="C14" s="21">
        <v>0</v>
      </c>
      <c r="E14" s="21">
        <v>310636896</v>
      </c>
      <c r="G14" s="21">
        <v>0</v>
      </c>
      <c r="I14" s="21">
        <v>310636896</v>
      </c>
      <c r="K14" s="23">
        <v>-1.5849671875570702E-2</v>
      </c>
      <c r="M14" s="21">
        <v>0</v>
      </c>
      <c r="O14" s="21">
        <v>310636896</v>
      </c>
      <c r="Q14" s="21">
        <v>0</v>
      </c>
      <c r="S14" s="21">
        <v>310636896</v>
      </c>
      <c r="U14" s="23">
        <v>4.6783764668945869E-3</v>
      </c>
    </row>
    <row r="15" spans="1:21" ht="18.75" x14ac:dyDescent="0.45">
      <c r="A15" s="29" t="s">
        <v>23</v>
      </c>
      <c r="C15" s="21">
        <v>0</v>
      </c>
      <c r="E15" s="21">
        <v>3432585635</v>
      </c>
      <c r="G15" s="21">
        <v>-4004002415</v>
      </c>
      <c r="I15" s="21">
        <v>-571416780</v>
      </c>
      <c r="K15" s="23">
        <v>2.9155482120176639E-2</v>
      </c>
      <c r="M15" s="21">
        <v>669713695</v>
      </c>
      <c r="O15" s="21">
        <v>-15284094843</v>
      </c>
      <c r="Q15" s="21">
        <v>-7014124235</v>
      </c>
      <c r="S15" s="21">
        <v>-21628505383</v>
      </c>
      <c r="U15" s="23">
        <v>-0.32573815892729657</v>
      </c>
    </row>
    <row r="16" spans="1:21" ht="18.75" x14ac:dyDescent="0.45">
      <c r="A16" s="29" t="s">
        <v>24</v>
      </c>
      <c r="C16" s="21">
        <v>0</v>
      </c>
      <c r="E16" s="21">
        <v>616358774</v>
      </c>
      <c r="G16" s="21">
        <v>0</v>
      </c>
      <c r="I16" s="21">
        <v>616358774</v>
      </c>
      <c r="K16" s="23">
        <v>-3.1448564067318767E-2</v>
      </c>
      <c r="M16" s="21">
        <v>4445453740</v>
      </c>
      <c r="O16" s="21">
        <v>-2849205654</v>
      </c>
      <c r="Q16" s="21">
        <v>-2805605381</v>
      </c>
      <c r="S16" s="21">
        <v>-1209357295</v>
      </c>
      <c r="U16" s="23">
        <v>-1.8213640368706541E-2</v>
      </c>
    </row>
    <row r="17" spans="1:21" ht="18.75" x14ac:dyDescent="0.45">
      <c r="A17" s="29" t="s">
        <v>25</v>
      </c>
      <c r="C17" s="21">
        <v>0</v>
      </c>
      <c r="E17" s="21">
        <v>2497897349</v>
      </c>
      <c r="G17" s="21">
        <v>0</v>
      </c>
      <c r="I17" s="21">
        <v>2497897349</v>
      </c>
      <c r="K17" s="23">
        <v>-0.12745058256218189</v>
      </c>
      <c r="M17" s="21">
        <v>1925903250</v>
      </c>
      <c r="O17" s="21">
        <v>5644919339</v>
      </c>
      <c r="Q17" s="21">
        <v>3687060841</v>
      </c>
      <c r="S17" s="21">
        <v>11257883430</v>
      </c>
      <c r="U17" s="23">
        <v>0.16955042232315673</v>
      </c>
    </row>
    <row r="18" spans="1:21" ht="18.75" x14ac:dyDescent="0.45">
      <c r="A18" s="29" t="s">
        <v>26</v>
      </c>
      <c r="C18" s="21">
        <v>0</v>
      </c>
      <c r="E18" s="21">
        <v>151712916</v>
      </c>
      <c r="G18" s="21">
        <v>0</v>
      </c>
      <c r="I18" s="21">
        <v>151712916</v>
      </c>
      <c r="K18" s="23">
        <v>-7.7408703500759296E-3</v>
      </c>
      <c r="M18" s="21">
        <v>0</v>
      </c>
      <c r="O18" s="21">
        <v>151712916</v>
      </c>
      <c r="Q18" s="21">
        <v>0</v>
      </c>
      <c r="S18" s="21">
        <v>151712916</v>
      </c>
      <c r="U18" s="23">
        <v>2.2848867764193579E-3</v>
      </c>
    </row>
    <row r="19" spans="1:21" ht="18.75" x14ac:dyDescent="0.45">
      <c r="A19" s="29" t="s">
        <v>294</v>
      </c>
      <c r="C19" s="21">
        <v>0</v>
      </c>
      <c r="E19" s="21">
        <v>134291224</v>
      </c>
      <c r="G19" s="21">
        <v>0</v>
      </c>
      <c r="I19" s="21">
        <v>134291224</v>
      </c>
      <c r="K19" s="23">
        <v>-6.851960805611337E-3</v>
      </c>
      <c r="M19" s="21">
        <v>675475200</v>
      </c>
      <c r="O19" s="21">
        <v>684885246</v>
      </c>
      <c r="Q19" s="21">
        <v>1027291284</v>
      </c>
      <c r="S19" s="21">
        <v>2387651730</v>
      </c>
      <c r="U19" s="23">
        <v>3.5959455584993187E-2</v>
      </c>
    </row>
    <row r="20" spans="1:21" ht="18.75" x14ac:dyDescent="0.45">
      <c r="A20" s="29" t="s">
        <v>27</v>
      </c>
      <c r="C20" s="21">
        <v>0</v>
      </c>
      <c r="E20" s="21">
        <v>-193094213</v>
      </c>
      <c r="G20" s="21">
        <v>0</v>
      </c>
      <c r="I20" s="21">
        <v>-193094213</v>
      </c>
      <c r="K20" s="23">
        <v>9.8522743322852369E-3</v>
      </c>
      <c r="M20" s="21">
        <v>700000000</v>
      </c>
      <c r="O20" s="21">
        <v>1238586300</v>
      </c>
      <c r="Q20" s="21">
        <v>0</v>
      </c>
      <c r="S20" s="21">
        <v>1938586300</v>
      </c>
      <c r="U20" s="23">
        <v>2.9196263038130055E-2</v>
      </c>
    </row>
    <row r="21" spans="1:21" ht="18.75" x14ac:dyDescent="0.45">
      <c r="A21" s="29" t="s">
        <v>29</v>
      </c>
      <c r="C21" s="21">
        <v>0</v>
      </c>
      <c r="E21" s="21">
        <v>152978501</v>
      </c>
      <c r="G21" s="21">
        <v>0</v>
      </c>
      <c r="I21" s="21">
        <v>152978501</v>
      </c>
      <c r="K21" s="23">
        <v>-7.805444479031442E-3</v>
      </c>
      <c r="M21" s="21">
        <v>0</v>
      </c>
      <c r="O21" s="21">
        <v>152978501</v>
      </c>
      <c r="Q21" s="21">
        <v>0</v>
      </c>
      <c r="S21" s="21">
        <v>152978501</v>
      </c>
      <c r="U21" s="23">
        <v>2.3039472394779854E-3</v>
      </c>
    </row>
    <row r="22" spans="1:21" ht="18.75" x14ac:dyDescent="0.45">
      <c r="A22" s="29" t="s">
        <v>30</v>
      </c>
      <c r="C22" s="21">
        <v>0</v>
      </c>
      <c r="E22" s="21">
        <v>-2866632</v>
      </c>
      <c r="G22" s="21">
        <v>0</v>
      </c>
      <c r="I22" s="21">
        <v>-2866632</v>
      </c>
      <c r="K22" s="23">
        <v>1.4626458470667629E-4</v>
      </c>
      <c r="M22" s="21">
        <v>0</v>
      </c>
      <c r="O22" s="21">
        <v>-2866632</v>
      </c>
      <c r="Q22" s="21">
        <v>0</v>
      </c>
      <c r="S22" s="21">
        <v>-2866632</v>
      </c>
      <c r="U22" s="23">
        <v>-4.3173183420062777E-5</v>
      </c>
    </row>
    <row r="23" spans="1:21" ht="18.75" x14ac:dyDescent="0.45">
      <c r="A23" s="29" t="s">
        <v>31</v>
      </c>
      <c r="C23" s="21">
        <v>0</v>
      </c>
      <c r="E23" s="21">
        <v>748362685</v>
      </c>
      <c r="G23" s="21">
        <v>0</v>
      </c>
      <c r="I23" s="21">
        <v>748362685</v>
      </c>
      <c r="K23" s="23">
        <v>-3.8183818966472917E-2</v>
      </c>
      <c r="M23" s="21">
        <v>0</v>
      </c>
      <c r="O23" s="21">
        <v>748362685</v>
      </c>
      <c r="Q23" s="21">
        <v>0</v>
      </c>
      <c r="S23" s="21">
        <v>748362685</v>
      </c>
      <c r="U23" s="23">
        <v>1.1270787273788774E-2</v>
      </c>
    </row>
    <row r="24" spans="1:21" ht="18.75" x14ac:dyDescent="0.45">
      <c r="A24" s="29" t="s">
        <v>295</v>
      </c>
      <c r="C24" s="21">
        <v>0</v>
      </c>
      <c r="E24" s="21">
        <v>251161981</v>
      </c>
      <c r="G24" s="21">
        <v>0</v>
      </c>
      <c r="I24" s="21">
        <v>251161981</v>
      </c>
      <c r="K24" s="23">
        <v>-1.2815074570112633E-2</v>
      </c>
      <c r="M24" s="21">
        <v>0</v>
      </c>
      <c r="O24" s="21">
        <v>251161981</v>
      </c>
      <c r="Q24" s="21">
        <v>0</v>
      </c>
      <c r="S24" s="21">
        <v>251161981</v>
      </c>
      <c r="U24" s="23">
        <v>3.7826488624487977E-3</v>
      </c>
    </row>
    <row r="25" spans="1:21" ht="18.75" x14ac:dyDescent="0.45">
      <c r="A25" s="29" t="s">
        <v>33</v>
      </c>
      <c r="C25" s="21">
        <v>0</v>
      </c>
      <c r="E25" s="21">
        <v>33122920</v>
      </c>
      <c r="G25" s="21">
        <v>0</v>
      </c>
      <c r="I25" s="21">
        <v>33122920</v>
      </c>
      <c r="K25" s="23">
        <v>-1.6900356020837211E-3</v>
      </c>
      <c r="M25" s="21">
        <v>0</v>
      </c>
      <c r="O25" s="21">
        <v>33122920</v>
      </c>
      <c r="Q25" s="21">
        <v>0</v>
      </c>
      <c r="S25" s="21">
        <v>33122920</v>
      </c>
      <c r="U25" s="23">
        <v>4.9885088165068476E-4</v>
      </c>
    </row>
    <row r="26" spans="1:21" ht="18.75" x14ac:dyDescent="0.45">
      <c r="A26" s="29" t="s">
        <v>296</v>
      </c>
      <c r="C26" s="21">
        <v>0</v>
      </c>
      <c r="E26" s="21">
        <v>-151468369</v>
      </c>
      <c r="G26" s="21">
        <v>0</v>
      </c>
      <c r="I26" s="21">
        <v>-151468369</v>
      </c>
      <c r="K26" s="23">
        <v>7.7283927926509576E-3</v>
      </c>
      <c r="M26" s="21">
        <v>687500000</v>
      </c>
      <c r="O26" s="21">
        <v>-537961019</v>
      </c>
      <c r="Q26" s="21">
        <v>0</v>
      </c>
      <c r="S26" s="21">
        <v>149538981</v>
      </c>
      <c r="U26" s="23">
        <v>2.252146021938736E-3</v>
      </c>
    </row>
    <row r="27" spans="1:21" ht="18.75" x14ac:dyDescent="0.45">
      <c r="A27" s="29" t="s">
        <v>34</v>
      </c>
      <c r="C27" s="21">
        <v>0</v>
      </c>
      <c r="E27" s="21">
        <v>-83573578</v>
      </c>
      <c r="G27" s="21">
        <v>0</v>
      </c>
      <c r="I27" s="21">
        <v>-83573578</v>
      </c>
      <c r="K27" s="23">
        <v>4.2641869199189211E-3</v>
      </c>
      <c r="M27" s="21">
        <v>0</v>
      </c>
      <c r="O27" s="21">
        <v>-83573578</v>
      </c>
      <c r="Q27" s="21">
        <v>0</v>
      </c>
      <c r="S27" s="21">
        <v>-83573578</v>
      </c>
      <c r="U27" s="23">
        <v>-1.2586678067031008E-3</v>
      </c>
    </row>
    <row r="28" spans="1:21" ht="18.75" x14ac:dyDescent="0.45">
      <c r="A28" s="29" t="s">
        <v>36</v>
      </c>
      <c r="C28" s="21">
        <v>0</v>
      </c>
      <c r="E28" s="21">
        <v>18116588</v>
      </c>
      <c r="G28" s="21">
        <v>0</v>
      </c>
      <c r="I28" s="21">
        <v>18116588</v>
      </c>
      <c r="K28" s="23">
        <v>-9.2436532492554157E-4</v>
      </c>
      <c r="M28" s="21">
        <v>0</v>
      </c>
      <c r="O28" s="21">
        <v>18116588</v>
      </c>
      <c r="Q28" s="21">
        <v>0</v>
      </c>
      <c r="S28" s="21">
        <v>18116588</v>
      </c>
      <c r="U28" s="23">
        <v>2.7284659372731073E-4</v>
      </c>
    </row>
    <row r="29" spans="1:21" ht="37.5" x14ac:dyDescent="0.45">
      <c r="A29" s="29" t="s">
        <v>37</v>
      </c>
      <c r="C29" s="21">
        <v>0</v>
      </c>
      <c r="E29" s="21">
        <v>50641399</v>
      </c>
      <c r="G29" s="21">
        <v>0</v>
      </c>
      <c r="I29" s="21">
        <v>50641399</v>
      </c>
      <c r="K29" s="23">
        <v>-2.5838835238356688E-3</v>
      </c>
      <c r="M29" s="21">
        <v>0</v>
      </c>
      <c r="O29" s="21">
        <v>50641399</v>
      </c>
      <c r="Q29" s="21">
        <v>0</v>
      </c>
      <c r="S29" s="21">
        <v>50641399</v>
      </c>
      <c r="U29" s="23">
        <v>7.6268959799359788E-4</v>
      </c>
    </row>
    <row r="30" spans="1:21" ht="18.75" x14ac:dyDescent="0.45">
      <c r="A30" s="29" t="s">
        <v>38</v>
      </c>
      <c r="C30" s="21">
        <v>0</v>
      </c>
      <c r="E30" s="21">
        <v>201637603</v>
      </c>
      <c r="G30" s="21">
        <v>0</v>
      </c>
      <c r="I30" s="21">
        <v>201637603</v>
      </c>
      <c r="K30" s="23">
        <v>-1.0288184972485015E-2</v>
      </c>
      <c r="M30" s="21">
        <v>0</v>
      </c>
      <c r="O30" s="21">
        <v>201637603</v>
      </c>
      <c r="Q30" s="21">
        <v>0</v>
      </c>
      <c r="S30" s="21">
        <v>201637603</v>
      </c>
      <c r="U30" s="23">
        <v>3.0367822652858129E-3</v>
      </c>
    </row>
    <row r="31" spans="1:21" ht="18.75" x14ac:dyDescent="0.45">
      <c r="A31" s="29" t="s">
        <v>39</v>
      </c>
      <c r="C31" s="21">
        <v>0</v>
      </c>
      <c r="E31" s="21">
        <v>-8562349081</v>
      </c>
      <c r="G31" s="21">
        <v>-164426819</v>
      </c>
      <c r="I31" s="21">
        <v>-8726775900</v>
      </c>
      <c r="K31" s="23">
        <v>0.44526756585488864</v>
      </c>
      <c r="M31" s="21">
        <v>0</v>
      </c>
      <c r="O31" s="21">
        <v>-3790909081</v>
      </c>
      <c r="Q31" s="21">
        <v>14153914524</v>
      </c>
      <c r="S31" s="21">
        <v>10363005443</v>
      </c>
      <c r="U31" s="23">
        <v>0.15607302743210424</v>
      </c>
    </row>
    <row r="32" spans="1:21" ht="18.75" x14ac:dyDescent="0.45">
      <c r="A32" s="29" t="s">
        <v>40</v>
      </c>
      <c r="C32" s="21">
        <v>0</v>
      </c>
      <c r="E32" s="21">
        <v>-10551500118</v>
      </c>
      <c r="G32" s="21">
        <v>6921385246</v>
      </c>
      <c r="I32" s="21">
        <v>-3630114872</v>
      </c>
      <c r="K32" s="23">
        <v>0.18521988319066043</v>
      </c>
      <c r="M32" s="21">
        <v>18000000000</v>
      </c>
      <c r="O32" s="21">
        <v>2962511111</v>
      </c>
      <c r="Q32" s="21">
        <v>18201635806</v>
      </c>
      <c r="S32" s="21">
        <v>39164146917</v>
      </c>
      <c r="U32" s="23">
        <v>0.58983535324308356</v>
      </c>
    </row>
    <row r="33" spans="1:21" ht="18.75" x14ac:dyDescent="0.45">
      <c r="A33" s="29" t="s">
        <v>297</v>
      </c>
      <c r="C33" s="21">
        <v>0</v>
      </c>
      <c r="E33" s="21">
        <v>52896844</v>
      </c>
      <c r="G33" s="21">
        <v>0</v>
      </c>
      <c r="I33" s="21">
        <v>52896844</v>
      </c>
      <c r="K33" s="23">
        <v>-2.6989634246578705E-3</v>
      </c>
      <c r="M33" s="21">
        <v>0</v>
      </c>
      <c r="O33" s="21">
        <v>52896844</v>
      </c>
      <c r="Q33" s="21">
        <v>0</v>
      </c>
      <c r="S33" s="21">
        <v>52896844</v>
      </c>
      <c r="U33" s="23">
        <v>7.966579415685191E-4</v>
      </c>
    </row>
    <row r="34" spans="1:21" ht="18.75" x14ac:dyDescent="0.45">
      <c r="A34" s="29" t="s">
        <v>237</v>
      </c>
      <c r="C34" s="21">
        <v>0</v>
      </c>
      <c r="E34" s="21">
        <v>-784049228</v>
      </c>
      <c r="G34" s="21">
        <v>-357997447</v>
      </c>
      <c r="I34" s="21">
        <v>-1142046675</v>
      </c>
      <c r="K34" s="23">
        <v>5.8270814891662234E-2</v>
      </c>
      <c r="M34" s="21">
        <v>2180218760</v>
      </c>
      <c r="O34" s="21">
        <v>-2832978017</v>
      </c>
      <c r="Q34" s="21">
        <v>-1763883002</v>
      </c>
      <c r="S34" s="21">
        <v>-2416642259</v>
      </c>
      <c r="U34" s="23">
        <v>-3.6396070199621662E-2</v>
      </c>
    </row>
    <row r="35" spans="1:21" ht="18.75" x14ac:dyDescent="0.45">
      <c r="A35" s="29" t="s">
        <v>43</v>
      </c>
      <c r="C35" s="21">
        <v>0</v>
      </c>
      <c r="E35" s="21">
        <v>146671956</v>
      </c>
      <c r="G35" s="21">
        <v>0</v>
      </c>
      <c r="I35" s="21">
        <v>146671956</v>
      </c>
      <c r="K35" s="23">
        <v>-7.4836647091276092E-3</v>
      </c>
      <c r="M35" s="21">
        <v>1524233883</v>
      </c>
      <c r="O35" s="21">
        <v>1042141918</v>
      </c>
      <c r="Q35" s="21">
        <v>978903973</v>
      </c>
      <c r="S35" s="21">
        <v>3545279774</v>
      </c>
      <c r="U35" s="23">
        <v>5.3394022657369589E-2</v>
      </c>
    </row>
    <row r="36" spans="1:21" ht="37.5" x14ac:dyDescent="0.45">
      <c r="A36" s="29" t="s">
        <v>44</v>
      </c>
      <c r="C36" s="21">
        <v>0</v>
      </c>
      <c r="E36" s="21">
        <v>-60275955</v>
      </c>
      <c r="G36" s="21">
        <v>0</v>
      </c>
      <c r="I36" s="21">
        <v>-60275955</v>
      </c>
      <c r="K36" s="23">
        <v>3.0754688867888546E-3</v>
      </c>
      <c r="M36" s="21">
        <v>29476195</v>
      </c>
      <c r="O36" s="21">
        <v>-2251976666</v>
      </c>
      <c r="Q36" s="21">
        <v>0</v>
      </c>
      <c r="S36" s="21">
        <v>-2222500471</v>
      </c>
      <c r="U36" s="23">
        <v>-3.347217936786407E-2</v>
      </c>
    </row>
    <row r="37" spans="1:21" ht="37.5" x14ac:dyDescent="0.45">
      <c r="A37" s="29" t="s">
        <v>45</v>
      </c>
      <c r="C37" s="21">
        <v>0</v>
      </c>
      <c r="E37" s="21">
        <v>511289617</v>
      </c>
      <c r="G37" s="21">
        <v>0</v>
      </c>
      <c r="I37" s="21">
        <v>511289617</v>
      </c>
      <c r="K37" s="23">
        <v>-2.6087605069412666E-2</v>
      </c>
      <c r="M37" s="21">
        <v>0</v>
      </c>
      <c r="O37" s="21">
        <v>-880554341</v>
      </c>
      <c r="Q37" s="21">
        <v>-1173077</v>
      </c>
      <c r="S37" s="21">
        <v>-881727418</v>
      </c>
      <c r="U37" s="23">
        <v>-1.327933949799359E-2</v>
      </c>
    </row>
    <row r="38" spans="1:21" ht="37.5" x14ac:dyDescent="0.45">
      <c r="A38" s="29" t="s">
        <v>46</v>
      </c>
      <c r="C38" s="21">
        <v>0</v>
      </c>
      <c r="E38" s="21">
        <v>18638437</v>
      </c>
      <c r="G38" s="21">
        <v>0</v>
      </c>
      <c r="I38" s="21">
        <v>18638437</v>
      </c>
      <c r="K38" s="23">
        <v>-9.5099170294148301E-4</v>
      </c>
      <c r="M38" s="21">
        <v>0</v>
      </c>
      <c r="O38" s="21">
        <v>73559700</v>
      </c>
      <c r="Q38" s="21">
        <v>0</v>
      </c>
      <c r="S38" s="21">
        <v>73559700</v>
      </c>
      <c r="U38" s="23">
        <v>1.1078528462756265E-3</v>
      </c>
    </row>
    <row r="39" spans="1:21" ht="18.75" x14ac:dyDescent="0.45">
      <c r="A39" s="29" t="s">
        <v>298</v>
      </c>
      <c r="C39" s="21">
        <v>0</v>
      </c>
      <c r="E39" s="21">
        <v>-66636884</v>
      </c>
      <c r="G39" s="21">
        <v>0</v>
      </c>
      <c r="I39" s="21">
        <v>-66636884</v>
      </c>
      <c r="K39" s="23">
        <v>3.4000234994959106E-3</v>
      </c>
      <c r="M39" s="21">
        <v>0</v>
      </c>
      <c r="O39" s="21">
        <v>-66636884</v>
      </c>
      <c r="Q39" s="21">
        <v>0</v>
      </c>
      <c r="S39" s="21">
        <v>-66636884</v>
      </c>
      <c r="U39" s="23">
        <v>-1.0035911185926364E-3</v>
      </c>
    </row>
    <row r="40" spans="1:21" ht="18.75" x14ac:dyDescent="0.45">
      <c r="A40" s="29" t="s">
        <v>47</v>
      </c>
      <c r="C40" s="21">
        <v>0</v>
      </c>
      <c r="E40" s="21">
        <v>642400646</v>
      </c>
      <c r="G40" s="21">
        <v>0</v>
      </c>
      <c r="I40" s="21">
        <v>642400646</v>
      </c>
      <c r="K40" s="23">
        <v>-3.277730231940848E-2</v>
      </c>
      <c r="M40" s="21">
        <v>0</v>
      </c>
      <c r="O40" s="21">
        <v>-238693817</v>
      </c>
      <c r="Q40" s="21">
        <v>-420193779</v>
      </c>
      <c r="S40" s="21">
        <v>-658887596</v>
      </c>
      <c r="U40" s="23">
        <v>-9.9232392003271511E-3</v>
      </c>
    </row>
    <row r="41" spans="1:21" ht="37.5" x14ac:dyDescent="0.45">
      <c r="A41" s="29" t="s">
        <v>48</v>
      </c>
      <c r="C41" s="21">
        <v>0</v>
      </c>
      <c r="E41" s="21">
        <v>1295870918</v>
      </c>
      <c r="G41" s="21">
        <v>-1832497401</v>
      </c>
      <c r="I41" s="21">
        <v>-536626483</v>
      </c>
      <c r="K41" s="23">
        <v>2.7380371697029574E-2</v>
      </c>
      <c r="M41" s="21">
        <v>10632176000</v>
      </c>
      <c r="O41" s="21">
        <v>-10004940283</v>
      </c>
      <c r="Q41" s="21">
        <v>-2411209241</v>
      </c>
      <c r="S41" s="21">
        <v>-1783973524</v>
      </c>
      <c r="U41" s="23">
        <v>-2.6867702644841666E-2</v>
      </c>
    </row>
    <row r="42" spans="1:21" ht="18.75" x14ac:dyDescent="0.45">
      <c r="A42" s="29" t="s">
        <v>49</v>
      </c>
      <c r="C42" s="21">
        <v>0</v>
      </c>
      <c r="E42" s="21">
        <v>238572000</v>
      </c>
      <c r="G42" s="21">
        <v>0</v>
      </c>
      <c r="I42" s="21">
        <v>238572000</v>
      </c>
      <c r="K42" s="23">
        <v>-1.2172694124199121E-2</v>
      </c>
      <c r="M42" s="21">
        <v>600000000</v>
      </c>
      <c r="O42" s="21">
        <v>-556668000</v>
      </c>
      <c r="Q42" s="21">
        <v>0</v>
      </c>
      <c r="S42" s="21">
        <v>43332000</v>
      </c>
      <c r="U42" s="23">
        <v>6.5260570033340867E-4</v>
      </c>
    </row>
    <row r="43" spans="1:21" ht="18.75" x14ac:dyDescent="0.45">
      <c r="A43" s="29" t="s">
        <v>50</v>
      </c>
      <c r="C43" s="21">
        <v>0</v>
      </c>
      <c r="E43" s="21">
        <v>2398295818</v>
      </c>
      <c r="G43" s="21">
        <v>-33084194</v>
      </c>
      <c r="I43" s="21">
        <v>2365211624</v>
      </c>
      <c r="K43" s="23">
        <v>-0.12068053936737026</v>
      </c>
      <c r="M43" s="21">
        <v>3816783240</v>
      </c>
      <c r="O43" s="21">
        <v>-16485851834</v>
      </c>
      <c r="Q43" s="21">
        <v>-52047917</v>
      </c>
      <c r="S43" s="21">
        <v>-12721116511</v>
      </c>
      <c r="U43" s="23">
        <v>-0.19158758307218784</v>
      </c>
    </row>
    <row r="44" spans="1:21" ht="18.75" x14ac:dyDescent="0.45">
      <c r="A44" s="29" t="s">
        <v>51</v>
      </c>
      <c r="C44" s="21">
        <v>0</v>
      </c>
      <c r="E44" s="21">
        <v>-56633323</v>
      </c>
      <c r="G44" s="21">
        <v>0</v>
      </c>
      <c r="I44" s="21">
        <v>-56633323</v>
      </c>
      <c r="K44" s="23">
        <v>2.8896103403415778E-3</v>
      </c>
      <c r="M44" s="21">
        <v>0</v>
      </c>
      <c r="O44" s="21">
        <v>-56633323</v>
      </c>
      <c r="Q44" s="21">
        <v>0</v>
      </c>
      <c r="S44" s="21">
        <v>-56633323</v>
      </c>
      <c r="U44" s="23">
        <v>-8.5293153832325178E-4</v>
      </c>
    </row>
    <row r="45" spans="1:21" ht="18.75" x14ac:dyDescent="0.45">
      <c r="A45" s="29" t="s">
        <v>52</v>
      </c>
      <c r="C45" s="21">
        <v>0</v>
      </c>
      <c r="E45" s="21">
        <v>-2128933833</v>
      </c>
      <c r="G45" s="21">
        <v>0</v>
      </c>
      <c r="I45" s="21">
        <v>-2128933833</v>
      </c>
      <c r="K45" s="23">
        <v>0.1086249030052471</v>
      </c>
      <c r="M45" s="21">
        <v>0</v>
      </c>
      <c r="O45" s="21">
        <v>-9607496272</v>
      </c>
      <c r="Q45" s="21">
        <v>-2282345310</v>
      </c>
      <c r="S45" s="21">
        <v>-11889841582</v>
      </c>
      <c r="U45" s="23">
        <v>-0.17906808807519603</v>
      </c>
    </row>
    <row r="46" spans="1:21" ht="18.75" x14ac:dyDescent="0.45">
      <c r="A46" s="29" t="s">
        <v>53</v>
      </c>
      <c r="C46" s="21">
        <v>0</v>
      </c>
      <c r="E46" s="21">
        <v>-2390043</v>
      </c>
      <c r="G46" s="21">
        <v>0</v>
      </c>
      <c r="I46" s="21">
        <v>-2390043</v>
      </c>
      <c r="K46" s="23">
        <v>1.2194751430462602E-4</v>
      </c>
      <c r="M46" s="21">
        <v>544518100</v>
      </c>
      <c r="O46" s="21">
        <v>-2390043</v>
      </c>
      <c r="Q46" s="21">
        <v>12911884679</v>
      </c>
      <c r="S46" s="21">
        <v>13454012736</v>
      </c>
      <c r="U46" s="23">
        <v>0.20262543625662052</v>
      </c>
    </row>
    <row r="47" spans="1:21" ht="18.75" x14ac:dyDescent="0.45">
      <c r="A47" s="29" t="s">
        <v>54</v>
      </c>
      <c r="C47" s="21">
        <v>0</v>
      </c>
      <c r="E47" s="21">
        <v>-319525551</v>
      </c>
      <c r="G47" s="21">
        <v>0</v>
      </c>
      <c r="I47" s="21">
        <v>-319525551</v>
      </c>
      <c r="K47" s="23">
        <v>1.6303199022471983E-2</v>
      </c>
      <c r="M47" s="21">
        <v>0</v>
      </c>
      <c r="O47" s="21">
        <v>-319525551</v>
      </c>
      <c r="Q47" s="21">
        <v>0</v>
      </c>
      <c r="S47" s="21">
        <v>-319525551</v>
      </c>
      <c r="U47" s="23">
        <v>-4.8122448994916758E-3</v>
      </c>
    </row>
    <row r="48" spans="1:21" ht="18.75" x14ac:dyDescent="0.45">
      <c r="A48" s="29" t="s">
        <v>55</v>
      </c>
      <c r="C48" s="21">
        <v>0</v>
      </c>
      <c r="E48" s="21">
        <v>37444561</v>
      </c>
      <c r="G48" s="21">
        <v>0</v>
      </c>
      <c r="I48" s="21">
        <v>37444561</v>
      </c>
      <c r="K48" s="23">
        <v>-1.9105393242623424E-3</v>
      </c>
      <c r="M48" s="21">
        <v>0</v>
      </c>
      <c r="O48" s="21">
        <v>37444561</v>
      </c>
      <c r="Q48" s="21">
        <v>0</v>
      </c>
      <c r="S48" s="21">
        <v>37444561</v>
      </c>
      <c r="U48" s="23">
        <v>5.6393736626700927E-4</v>
      </c>
    </row>
    <row r="49" spans="1:21" ht="18.75" x14ac:dyDescent="0.45">
      <c r="A49" s="29" t="s">
        <v>299</v>
      </c>
      <c r="C49" s="21">
        <v>0</v>
      </c>
      <c r="E49" s="21">
        <v>-450786103</v>
      </c>
      <c r="G49" s="21">
        <v>0</v>
      </c>
      <c r="I49" s="21">
        <v>-450786103</v>
      </c>
      <c r="K49" s="23">
        <v>2.3000525406412821E-2</v>
      </c>
      <c r="M49" s="21">
        <v>0</v>
      </c>
      <c r="O49" s="21">
        <v>-450786103</v>
      </c>
      <c r="Q49" s="21">
        <v>0</v>
      </c>
      <c r="S49" s="21">
        <v>-450786103</v>
      </c>
      <c r="U49" s="23">
        <v>-6.7891069059559479E-3</v>
      </c>
    </row>
    <row r="50" spans="1:21" ht="18.75" x14ac:dyDescent="0.45">
      <c r="A50" s="29" t="s">
        <v>56</v>
      </c>
      <c r="C50" s="21">
        <v>0</v>
      </c>
      <c r="E50" s="21">
        <v>-17168400</v>
      </c>
      <c r="G50" s="21">
        <v>0</v>
      </c>
      <c r="I50" s="21">
        <v>-17168400</v>
      </c>
      <c r="K50" s="23">
        <v>8.7598578962284001E-4</v>
      </c>
      <c r="M50" s="21">
        <v>0</v>
      </c>
      <c r="O50" s="21">
        <v>-17168400</v>
      </c>
      <c r="Q50" s="21">
        <v>0</v>
      </c>
      <c r="S50" s="21">
        <v>-17168400</v>
      </c>
      <c r="U50" s="23">
        <v>-2.5856631832373521E-4</v>
      </c>
    </row>
    <row r="51" spans="1:21" ht="18.75" x14ac:dyDescent="0.45">
      <c r="A51" s="29" t="s">
        <v>57</v>
      </c>
      <c r="C51" s="21">
        <v>0</v>
      </c>
      <c r="E51" s="21">
        <v>-10240601196</v>
      </c>
      <c r="G51" s="21">
        <v>2204164544</v>
      </c>
      <c r="I51" s="21">
        <v>-8036436652</v>
      </c>
      <c r="K51" s="23">
        <v>0.41004428521913239</v>
      </c>
      <c r="M51" s="21">
        <v>14908718125</v>
      </c>
      <c r="O51" s="21">
        <v>1410922804</v>
      </c>
      <c r="Q51" s="21">
        <v>2204164544</v>
      </c>
      <c r="S51" s="21">
        <v>18523805473</v>
      </c>
      <c r="U51" s="23">
        <v>0.27897953114435048</v>
      </c>
    </row>
    <row r="52" spans="1:21" ht="37.5" x14ac:dyDescent="0.45">
      <c r="A52" s="29" t="s">
        <v>59</v>
      </c>
      <c r="C52" s="21">
        <v>0</v>
      </c>
      <c r="E52" s="21">
        <v>-556745157</v>
      </c>
      <c r="G52" s="21">
        <v>0</v>
      </c>
      <c r="I52" s="21">
        <v>-556745157</v>
      </c>
      <c r="K52" s="23">
        <v>2.8406889749384743E-2</v>
      </c>
      <c r="M52" s="21">
        <v>293697600</v>
      </c>
      <c r="O52" s="21">
        <v>-307371114</v>
      </c>
      <c r="Q52" s="21">
        <v>909400292</v>
      </c>
      <c r="S52" s="21">
        <v>895726778</v>
      </c>
      <c r="U52" s="23">
        <v>1.3490178188499902E-2</v>
      </c>
    </row>
    <row r="53" spans="1:21" ht="18.75" x14ac:dyDescent="0.45">
      <c r="A53" s="29" t="s">
        <v>60</v>
      </c>
      <c r="C53" s="21">
        <v>0</v>
      </c>
      <c r="E53" s="21">
        <v>-2096981915</v>
      </c>
      <c r="G53" s="21">
        <v>0</v>
      </c>
      <c r="I53" s="21">
        <v>-2096981915</v>
      </c>
      <c r="K53" s="23">
        <v>0.10699461560984659</v>
      </c>
      <c r="M53" s="21">
        <v>3073492300</v>
      </c>
      <c r="O53" s="21">
        <v>-15587398157</v>
      </c>
      <c r="Q53" s="21">
        <v>-496592323</v>
      </c>
      <c r="S53" s="21">
        <v>-13010498180</v>
      </c>
      <c r="U53" s="23">
        <v>-0.19594584317468475</v>
      </c>
    </row>
    <row r="54" spans="1:21" ht="18.75" x14ac:dyDescent="0.45">
      <c r="A54" s="29" t="s">
        <v>61</v>
      </c>
      <c r="C54" s="21">
        <v>0</v>
      </c>
      <c r="E54" s="21">
        <v>-4266726990</v>
      </c>
      <c r="G54" s="21">
        <v>-680485260</v>
      </c>
      <c r="I54" s="21">
        <v>-4947212250</v>
      </c>
      <c r="K54" s="23">
        <v>0.25242233575918765</v>
      </c>
      <c r="M54" s="21">
        <v>1113775480</v>
      </c>
      <c r="O54" s="21">
        <v>-20280267458</v>
      </c>
      <c r="Q54" s="21">
        <v>-1648016693</v>
      </c>
      <c r="S54" s="21">
        <v>-20814508671</v>
      </c>
      <c r="U54" s="23">
        <v>-0.31347888415798403</v>
      </c>
    </row>
    <row r="55" spans="1:21" ht="18.75" x14ac:dyDescent="0.45">
      <c r="A55" s="29" t="s">
        <v>62</v>
      </c>
      <c r="C55" s="21">
        <v>0</v>
      </c>
      <c r="E55" s="21">
        <v>-685181671</v>
      </c>
      <c r="G55" s="21">
        <v>0</v>
      </c>
      <c r="I55" s="21">
        <v>-685181671</v>
      </c>
      <c r="K55" s="23">
        <v>3.4960124828524029E-2</v>
      </c>
      <c r="M55" s="21">
        <v>4034657942</v>
      </c>
      <c r="O55" s="21">
        <v>-9877785277</v>
      </c>
      <c r="Q55" s="21">
        <v>-2300518005</v>
      </c>
      <c r="S55" s="21">
        <v>-8143645340</v>
      </c>
      <c r="U55" s="23">
        <v>-0.12264814387467923</v>
      </c>
    </row>
    <row r="56" spans="1:21" ht="18.75" x14ac:dyDescent="0.45">
      <c r="A56" s="29" t="s">
        <v>63</v>
      </c>
      <c r="C56" s="21">
        <v>0</v>
      </c>
      <c r="E56" s="21">
        <v>84820567</v>
      </c>
      <c r="G56" s="21">
        <v>0</v>
      </c>
      <c r="I56" s="21">
        <v>84820567</v>
      </c>
      <c r="K56" s="23">
        <v>-4.3278122224407632E-3</v>
      </c>
      <c r="M56" s="21">
        <v>0</v>
      </c>
      <c r="O56" s="21">
        <v>84820567</v>
      </c>
      <c r="Q56" s="21">
        <v>0</v>
      </c>
      <c r="S56" s="21">
        <v>84820567</v>
      </c>
      <c r="U56" s="23">
        <v>1.2774482029380555E-3</v>
      </c>
    </row>
    <row r="57" spans="1:21" ht="18.75" x14ac:dyDescent="0.45">
      <c r="A57" s="29" t="s">
        <v>64</v>
      </c>
      <c r="C57" s="21">
        <v>0</v>
      </c>
      <c r="E57" s="21">
        <v>520780231</v>
      </c>
      <c r="G57" s="21">
        <v>0</v>
      </c>
      <c r="I57" s="21">
        <v>520780231</v>
      </c>
      <c r="K57" s="23">
        <v>-2.6571846058601852E-2</v>
      </c>
      <c r="M57" s="21">
        <v>0</v>
      </c>
      <c r="O57" s="21">
        <v>3527729788</v>
      </c>
      <c r="Q57" s="21">
        <v>124525678</v>
      </c>
      <c r="S57" s="21">
        <v>3652255466</v>
      </c>
      <c r="U57" s="23">
        <v>5.5005140223978816E-2</v>
      </c>
    </row>
    <row r="58" spans="1:21" ht="18.75" x14ac:dyDescent="0.45">
      <c r="A58" s="29" t="s">
        <v>65</v>
      </c>
      <c r="C58" s="21">
        <v>0</v>
      </c>
      <c r="E58" s="21">
        <v>100204966</v>
      </c>
      <c r="G58" s="21">
        <v>0</v>
      </c>
      <c r="I58" s="21">
        <v>100204966</v>
      </c>
      <c r="K58" s="23">
        <v>-5.1127726675543345E-3</v>
      </c>
      <c r="M58" s="21">
        <v>0</v>
      </c>
      <c r="O58" s="21">
        <v>100204966</v>
      </c>
      <c r="Q58" s="21">
        <v>0</v>
      </c>
      <c r="S58" s="21">
        <v>100204966</v>
      </c>
      <c r="U58" s="23">
        <v>1.5091464048120422E-3</v>
      </c>
    </row>
    <row r="59" spans="1:21" ht="37.5" x14ac:dyDescent="0.45">
      <c r="A59" s="29" t="s">
        <v>66</v>
      </c>
      <c r="C59" s="21">
        <v>0</v>
      </c>
      <c r="E59" s="21">
        <v>6929960</v>
      </c>
      <c r="G59" s="21">
        <v>0</v>
      </c>
      <c r="I59" s="21">
        <v>6929960</v>
      </c>
      <c r="K59" s="23">
        <v>-3.5358836482460196E-4</v>
      </c>
      <c r="M59" s="21">
        <v>0</v>
      </c>
      <c r="O59" s="21">
        <v>6929960</v>
      </c>
      <c r="Q59" s="21">
        <v>0</v>
      </c>
      <c r="S59" s="21">
        <v>6929960</v>
      </c>
      <c r="U59" s="23">
        <v>1.0436932057330631E-4</v>
      </c>
    </row>
    <row r="60" spans="1:21" ht="18.75" x14ac:dyDescent="0.45">
      <c r="A60" s="29" t="s">
        <v>67</v>
      </c>
      <c r="C60" s="21">
        <v>0</v>
      </c>
      <c r="E60" s="21">
        <v>-67287570</v>
      </c>
      <c r="G60" s="21">
        <v>0</v>
      </c>
      <c r="I60" s="21">
        <v>-67287570</v>
      </c>
      <c r="K60" s="23">
        <v>3.4332235466468697E-3</v>
      </c>
      <c r="M60" s="21">
        <v>0</v>
      </c>
      <c r="O60" s="21">
        <v>-67287570</v>
      </c>
      <c r="Q60" s="21">
        <v>0</v>
      </c>
      <c r="S60" s="21">
        <v>-67287570</v>
      </c>
      <c r="U60" s="23">
        <v>-1.0133908368776716E-3</v>
      </c>
    </row>
    <row r="61" spans="1:21" ht="18.75" x14ac:dyDescent="0.45">
      <c r="A61" s="29" t="s">
        <v>68</v>
      </c>
      <c r="C61" s="21">
        <v>0</v>
      </c>
      <c r="E61" s="21">
        <v>140465211</v>
      </c>
      <c r="G61" s="21">
        <v>0</v>
      </c>
      <c r="I61" s="21">
        <v>140465211</v>
      </c>
      <c r="K61" s="23">
        <v>-7.1669770492517552E-3</v>
      </c>
      <c r="M61" s="21">
        <v>0</v>
      </c>
      <c r="O61" s="21">
        <v>140465211</v>
      </c>
      <c r="Q61" s="21">
        <v>0</v>
      </c>
      <c r="S61" s="21">
        <v>140465211</v>
      </c>
      <c r="U61" s="23">
        <v>2.1154896473076484E-3</v>
      </c>
    </row>
    <row r="62" spans="1:21" ht="37.5" x14ac:dyDescent="0.45">
      <c r="A62" s="29" t="s">
        <v>69</v>
      </c>
      <c r="C62" s="21">
        <v>0</v>
      </c>
      <c r="E62" s="21">
        <v>-2795113</v>
      </c>
      <c r="G62" s="21">
        <v>0</v>
      </c>
      <c r="I62" s="21">
        <v>-2795113</v>
      </c>
      <c r="K62" s="23">
        <v>1.4261546028692629E-4</v>
      </c>
      <c r="M62" s="21">
        <v>0</v>
      </c>
      <c r="O62" s="21">
        <v>-2795113</v>
      </c>
      <c r="Q62" s="21">
        <v>0</v>
      </c>
      <c r="S62" s="21">
        <v>-2795113</v>
      </c>
      <c r="U62" s="23">
        <v>-4.2096064729899729E-5</v>
      </c>
    </row>
    <row r="63" spans="1:21" ht="18.75" x14ac:dyDescent="0.45">
      <c r="A63" s="29" t="s">
        <v>70</v>
      </c>
      <c r="C63" s="21">
        <v>0</v>
      </c>
      <c r="E63" s="21">
        <v>-2386337</v>
      </c>
      <c r="G63" s="21">
        <v>0</v>
      </c>
      <c r="I63" s="21">
        <v>-2386337</v>
      </c>
      <c r="K63" s="23">
        <v>1.2175842252342671E-4</v>
      </c>
      <c r="M63" s="21">
        <v>0</v>
      </c>
      <c r="O63" s="21">
        <v>-2386337</v>
      </c>
      <c r="Q63" s="21">
        <v>0</v>
      </c>
      <c r="S63" s="21">
        <v>-2386337</v>
      </c>
      <c r="U63" s="23">
        <v>-3.593965496899579E-5</v>
      </c>
    </row>
    <row r="64" spans="1:21" ht="37.5" x14ac:dyDescent="0.45">
      <c r="A64" s="29" t="s">
        <v>71</v>
      </c>
      <c r="C64" s="21">
        <v>0</v>
      </c>
      <c r="E64" s="21">
        <v>-355372875</v>
      </c>
      <c r="G64" s="21">
        <v>0</v>
      </c>
      <c r="I64" s="21">
        <v>-355372875</v>
      </c>
      <c r="K64" s="23">
        <v>1.8132242289171607E-2</v>
      </c>
      <c r="M64" s="21">
        <v>0</v>
      </c>
      <c r="O64" s="21">
        <v>-760351761</v>
      </c>
      <c r="Q64" s="21">
        <v>564732799</v>
      </c>
      <c r="S64" s="21">
        <v>-195618962</v>
      </c>
      <c r="U64" s="23">
        <v>-2.9461379510409046E-3</v>
      </c>
    </row>
    <row r="65" spans="1:21" ht="18.75" x14ac:dyDescent="0.45">
      <c r="A65" s="29" t="s">
        <v>73</v>
      </c>
      <c r="C65" s="21">
        <v>0</v>
      </c>
      <c r="E65" s="21">
        <v>1047961745</v>
      </c>
      <c r="G65" s="21">
        <v>0</v>
      </c>
      <c r="I65" s="21">
        <v>1047961745</v>
      </c>
      <c r="K65" s="23">
        <v>-5.3470305717967563E-2</v>
      </c>
      <c r="M65" s="21">
        <v>1450000000</v>
      </c>
      <c r="O65" s="21">
        <v>2327960109</v>
      </c>
      <c r="Q65" s="21">
        <v>211040316</v>
      </c>
      <c r="S65" s="21">
        <v>3989000425</v>
      </c>
      <c r="U65" s="23">
        <v>6.0076719652621388E-2</v>
      </c>
    </row>
    <row r="66" spans="1:21" ht="18.75" x14ac:dyDescent="0.45">
      <c r="A66" s="29" t="s">
        <v>74</v>
      </c>
      <c r="C66" s="21">
        <v>0</v>
      </c>
      <c r="E66" s="21">
        <v>329886186</v>
      </c>
      <c r="G66" s="21">
        <v>0</v>
      </c>
      <c r="I66" s="21">
        <v>329886186</v>
      </c>
      <c r="K66" s="23">
        <v>-1.6831831220665703E-2</v>
      </c>
      <c r="M66" s="21">
        <v>0</v>
      </c>
      <c r="O66" s="21">
        <v>329886186</v>
      </c>
      <c r="Q66" s="21">
        <v>0</v>
      </c>
      <c r="S66" s="21">
        <v>329886186</v>
      </c>
      <c r="U66" s="23">
        <v>4.9682822266419076E-3</v>
      </c>
    </row>
    <row r="67" spans="1:21" ht="18.75" x14ac:dyDescent="0.45">
      <c r="A67" s="29" t="s">
        <v>75</v>
      </c>
      <c r="C67" s="21">
        <v>0</v>
      </c>
      <c r="E67" s="21">
        <v>2168716300</v>
      </c>
      <c r="G67" s="21">
        <v>-271172480</v>
      </c>
      <c r="I67" s="21">
        <v>1897543820</v>
      </c>
      <c r="K67" s="23">
        <v>-9.6818656456433921E-2</v>
      </c>
      <c r="M67" s="21">
        <v>5807092200</v>
      </c>
      <c r="O67" s="21">
        <v>-2009503130</v>
      </c>
      <c r="Q67" s="21">
        <v>9136921591</v>
      </c>
      <c r="S67" s="21">
        <v>12934510661</v>
      </c>
      <c r="U67" s="23">
        <v>0.19480142592984045</v>
      </c>
    </row>
    <row r="68" spans="1:21" ht="18.75" x14ac:dyDescent="0.45">
      <c r="A68" s="29" t="s">
        <v>76</v>
      </c>
      <c r="C68" s="21">
        <v>0</v>
      </c>
      <c r="E68" s="21">
        <v>1115726287</v>
      </c>
      <c r="G68" s="21">
        <v>0</v>
      </c>
      <c r="I68" s="21">
        <v>1115726287</v>
      </c>
      <c r="K68" s="23">
        <v>-5.6927865876881617E-2</v>
      </c>
      <c r="M68" s="21">
        <v>0</v>
      </c>
      <c r="O68" s="21">
        <v>1115726287</v>
      </c>
      <c r="Q68" s="21">
        <v>0</v>
      </c>
      <c r="S68" s="21">
        <v>1115726287</v>
      </c>
      <c r="U68" s="23">
        <v>1.6803501682544741E-2</v>
      </c>
    </row>
    <row r="69" spans="1:21" ht="18.75" x14ac:dyDescent="0.45">
      <c r="A69" s="29" t="s">
        <v>77</v>
      </c>
      <c r="C69" s="21">
        <v>0</v>
      </c>
      <c r="E69" s="21">
        <v>-134393235</v>
      </c>
      <c r="G69" s="21">
        <v>0</v>
      </c>
      <c r="I69" s="21">
        <v>-134393235</v>
      </c>
      <c r="K69" s="23">
        <v>6.8571657278163889E-3</v>
      </c>
      <c r="M69" s="21">
        <v>0</v>
      </c>
      <c r="O69" s="21">
        <v>-134393235</v>
      </c>
      <c r="Q69" s="21">
        <v>0</v>
      </c>
      <c r="S69" s="21">
        <v>-134393235</v>
      </c>
      <c r="U69" s="23">
        <v>-2.024042076231131E-3</v>
      </c>
    </row>
    <row r="70" spans="1:21" ht="18.75" x14ac:dyDescent="0.45">
      <c r="A70" s="29" t="s">
        <v>78</v>
      </c>
      <c r="C70" s="21">
        <v>0</v>
      </c>
      <c r="E70" s="21">
        <v>1525794383</v>
      </c>
      <c r="G70" s="21">
        <v>-604592434</v>
      </c>
      <c r="I70" s="21">
        <v>921201949</v>
      </c>
      <c r="K70" s="23">
        <v>-4.7002622067103761E-2</v>
      </c>
      <c r="M70" s="21">
        <v>6240576192</v>
      </c>
      <c r="O70" s="21">
        <v>-387679499</v>
      </c>
      <c r="Q70" s="21">
        <v>98393825</v>
      </c>
      <c r="S70" s="21">
        <v>5951290518</v>
      </c>
      <c r="U70" s="23">
        <v>8.9629975915881219E-2</v>
      </c>
    </row>
    <row r="71" spans="1:21" ht="18.75" x14ac:dyDescent="0.45">
      <c r="A71" s="29" t="s">
        <v>79</v>
      </c>
      <c r="C71" s="21">
        <v>0</v>
      </c>
      <c r="E71" s="21">
        <v>-4534856101</v>
      </c>
      <c r="G71" s="21">
        <v>5564483311</v>
      </c>
      <c r="I71" s="21">
        <v>1029627210</v>
      </c>
      <c r="K71" s="23">
        <v>-5.2534820051315885E-2</v>
      </c>
      <c r="M71" s="21">
        <v>0</v>
      </c>
      <c r="O71" s="21">
        <v>7334100899</v>
      </c>
      <c r="Q71" s="21">
        <v>19744784621</v>
      </c>
      <c r="S71" s="21">
        <v>27078885520</v>
      </c>
      <c r="U71" s="23">
        <v>0.4078241264891489</v>
      </c>
    </row>
    <row r="72" spans="1:21" ht="18.75" x14ac:dyDescent="0.45">
      <c r="A72" s="29" t="s">
        <v>80</v>
      </c>
      <c r="C72" s="21">
        <v>0</v>
      </c>
      <c r="E72" s="21">
        <v>144060731</v>
      </c>
      <c r="G72" s="21">
        <v>0</v>
      </c>
      <c r="I72" s="21">
        <v>144060731</v>
      </c>
      <c r="K72" s="23">
        <v>-7.350431793217687E-3</v>
      </c>
      <c r="M72" s="21">
        <v>0</v>
      </c>
      <c r="O72" s="21">
        <v>144060731</v>
      </c>
      <c r="Q72" s="21">
        <v>627471740</v>
      </c>
      <c r="S72" s="21">
        <v>771532471</v>
      </c>
      <c r="U72" s="23">
        <v>1.161973803579157E-2</v>
      </c>
    </row>
    <row r="73" spans="1:21" ht="18.75" x14ac:dyDescent="0.45">
      <c r="A73" s="29" t="s">
        <v>81</v>
      </c>
      <c r="C73" s="21">
        <v>0</v>
      </c>
      <c r="E73" s="21">
        <v>-65041401</v>
      </c>
      <c r="G73" s="21">
        <v>0</v>
      </c>
      <c r="I73" s="21">
        <v>-65041401</v>
      </c>
      <c r="K73" s="23">
        <v>3.3186169365322787E-3</v>
      </c>
      <c r="M73" s="21">
        <v>0</v>
      </c>
      <c r="O73" s="21">
        <v>-65041401</v>
      </c>
      <c r="Q73" s="21">
        <v>0</v>
      </c>
      <c r="S73" s="21">
        <v>-65041401</v>
      </c>
      <c r="U73" s="23">
        <v>-9.7956219538149788E-4</v>
      </c>
    </row>
    <row r="74" spans="1:21" ht="18.75" x14ac:dyDescent="0.45">
      <c r="A74" s="29" t="s">
        <v>82</v>
      </c>
      <c r="C74" s="21">
        <v>0</v>
      </c>
      <c r="E74" s="21">
        <v>283774203</v>
      </c>
      <c r="G74" s="21">
        <v>0</v>
      </c>
      <c r="I74" s="21">
        <v>283774203</v>
      </c>
      <c r="K74" s="23">
        <v>-1.4479052753287848E-2</v>
      </c>
      <c r="M74" s="21">
        <v>0</v>
      </c>
      <c r="O74" s="21">
        <v>283774203</v>
      </c>
      <c r="Q74" s="21">
        <v>0</v>
      </c>
      <c r="S74" s="21">
        <v>283774203</v>
      </c>
      <c r="U74" s="23">
        <v>4.2738083283801786E-3</v>
      </c>
    </row>
    <row r="75" spans="1:21" ht="18.75" x14ac:dyDescent="0.45">
      <c r="A75" s="29" t="s">
        <v>83</v>
      </c>
      <c r="C75" s="21">
        <v>0</v>
      </c>
      <c r="E75" s="21">
        <v>448183746</v>
      </c>
      <c r="G75" s="21">
        <v>0</v>
      </c>
      <c r="I75" s="21">
        <v>448183746</v>
      </c>
      <c r="K75" s="23">
        <v>-2.2867744963766708E-2</v>
      </c>
      <c r="M75" s="21">
        <v>0</v>
      </c>
      <c r="O75" s="21">
        <v>448183746</v>
      </c>
      <c r="Q75" s="21">
        <v>0</v>
      </c>
      <c r="S75" s="21">
        <v>448183746</v>
      </c>
      <c r="U75" s="23">
        <v>6.7499138612660521E-3</v>
      </c>
    </row>
    <row r="76" spans="1:21" ht="18.75" x14ac:dyDescent="0.45">
      <c r="A76" s="29" t="s">
        <v>84</v>
      </c>
      <c r="C76" s="21">
        <v>0</v>
      </c>
      <c r="E76" s="21">
        <v>-364077620</v>
      </c>
      <c r="G76" s="21">
        <v>0</v>
      </c>
      <c r="I76" s="21">
        <v>-364077620</v>
      </c>
      <c r="K76" s="23">
        <v>1.8576385769186663E-2</v>
      </c>
      <c r="M76" s="21">
        <v>0</v>
      </c>
      <c r="O76" s="21">
        <v>-364077620</v>
      </c>
      <c r="Q76" s="21">
        <v>0</v>
      </c>
      <c r="S76" s="21">
        <v>-364077620</v>
      </c>
      <c r="U76" s="23">
        <v>-5.4832255648440105E-3</v>
      </c>
    </row>
    <row r="77" spans="1:21" ht="18.75" x14ac:dyDescent="0.45">
      <c r="A77" s="29" t="s">
        <v>85</v>
      </c>
      <c r="C77" s="21">
        <v>0</v>
      </c>
      <c r="E77" s="21">
        <v>-69474965</v>
      </c>
      <c r="G77" s="21">
        <v>0</v>
      </c>
      <c r="I77" s="21">
        <v>-69474965</v>
      </c>
      <c r="K77" s="23">
        <v>3.5448313223447828E-3</v>
      </c>
      <c r="M77" s="21">
        <v>0</v>
      </c>
      <c r="O77" s="21">
        <v>-69474965</v>
      </c>
      <c r="Q77" s="21">
        <v>0</v>
      </c>
      <c r="S77" s="21">
        <v>-69474965</v>
      </c>
      <c r="U77" s="23">
        <v>-1.046334306966308E-3</v>
      </c>
    </row>
    <row r="78" spans="1:21" ht="18.75" x14ac:dyDescent="0.45">
      <c r="A78" s="29" t="s">
        <v>86</v>
      </c>
      <c r="C78" s="21">
        <v>0</v>
      </c>
      <c r="E78" s="21">
        <v>-150034082</v>
      </c>
      <c r="G78" s="21">
        <v>0</v>
      </c>
      <c r="I78" s="21">
        <v>-150034082</v>
      </c>
      <c r="K78" s="23">
        <v>7.6552109568222967E-3</v>
      </c>
      <c r="M78" s="21">
        <v>0</v>
      </c>
      <c r="O78" s="21">
        <v>-150034082</v>
      </c>
      <c r="Q78" s="21">
        <v>0</v>
      </c>
      <c r="S78" s="21">
        <v>-150034082</v>
      </c>
      <c r="U78" s="23">
        <v>-2.259602537558619E-3</v>
      </c>
    </row>
    <row r="79" spans="1:21" ht="18.75" x14ac:dyDescent="0.45">
      <c r="A79" s="29" t="s">
        <v>87</v>
      </c>
      <c r="C79" s="21">
        <v>0</v>
      </c>
      <c r="E79" s="21">
        <v>-19886579</v>
      </c>
      <c r="G79" s="21">
        <v>0</v>
      </c>
      <c r="I79" s="21">
        <v>-19886579</v>
      </c>
      <c r="K79" s="23">
        <v>1.0146758351513238E-3</v>
      </c>
      <c r="M79" s="21">
        <v>0</v>
      </c>
      <c r="O79" s="21">
        <v>-19886579</v>
      </c>
      <c r="Q79" s="21">
        <v>0</v>
      </c>
      <c r="S79" s="21">
        <v>-19886579</v>
      </c>
      <c r="U79" s="23">
        <v>-2.9950371124182266E-4</v>
      </c>
    </row>
    <row r="80" spans="1:21" ht="37.5" x14ac:dyDescent="0.45">
      <c r="A80" s="29" t="s">
        <v>300</v>
      </c>
      <c r="C80" s="21">
        <v>0</v>
      </c>
      <c r="E80" s="21">
        <v>294423728</v>
      </c>
      <c r="G80" s="21">
        <v>0</v>
      </c>
      <c r="I80" s="21">
        <v>294423728</v>
      </c>
      <c r="K80" s="23">
        <v>-1.5022425028295023E-2</v>
      </c>
      <c r="M80" s="21">
        <v>0</v>
      </c>
      <c r="O80" s="21">
        <v>294423728</v>
      </c>
      <c r="Q80" s="21">
        <v>0</v>
      </c>
      <c r="S80" s="21">
        <v>294423728</v>
      </c>
      <c r="U80" s="23">
        <v>4.4341965108052484E-3</v>
      </c>
    </row>
    <row r="81" spans="1:21" ht="18.75" x14ac:dyDescent="0.45">
      <c r="A81" s="29" t="s">
        <v>88</v>
      </c>
      <c r="C81" s="21">
        <v>0</v>
      </c>
      <c r="E81" s="21">
        <v>-19214359</v>
      </c>
      <c r="G81" s="21">
        <v>0</v>
      </c>
      <c r="I81" s="21">
        <v>-19214359</v>
      </c>
      <c r="K81" s="23">
        <v>9.8037705556206292E-4</v>
      </c>
      <c r="M81" s="21">
        <v>0</v>
      </c>
      <c r="O81" s="21">
        <v>-19214359</v>
      </c>
      <c r="Q81" s="21">
        <v>0</v>
      </c>
      <c r="S81" s="21">
        <v>-19214359</v>
      </c>
      <c r="U81" s="23">
        <v>-2.8937967810515404E-4</v>
      </c>
    </row>
    <row r="82" spans="1:21" ht="18.75" x14ac:dyDescent="0.45">
      <c r="A82" s="29" t="s">
        <v>301</v>
      </c>
      <c r="C82" s="21">
        <v>0</v>
      </c>
      <c r="E82" s="21">
        <v>-1061295563</v>
      </c>
      <c r="G82" s="21">
        <v>0</v>
      </c>
      <c r="I82" s="21">
        <v>-1061295563</v>
      </c>
      <c r="K82" s="23">
        <v>5.4150639068158452E-2</v>
      </c>
      <c r="M82" s="21">
        <v>94482130</v>
      </c>
      <c r="O82" s="21">
        <v>-2225903084</v>
      </c>
      <c r="Q82" s="21">
        <v>0</v>
      </c>
      <c r="S82" s="21">
        <v>-2131420954</v>
      </c>
      <c r="U82" s="23">
        <v>-3.2100467654169483E-2</v>
      </c>
    </row>
    <row r="83" spans="1:21" ht="18.75" x14ac:dyDescent="0.45">
      <c r="A83" s="29" t="s">
        <v>89</v>
      </c>
      <c r="C83" s="21">
        <v>0</v>
      </c>
      <c r="E83" s="21">
        <v>933888551</v>
      </c>
      <c r="G83" s="21">
        <v>-326136685</v>
      </c>
      <c r="I83" s="21">
        <v>607751866</v>
      </c>
      <c r="K83" s="23">
        <v>-3.100941253889497E-2</v>
      </c>
      <c r="M83" s="21">
        <v>0</v>
      </c>
      <c r="O83" s="21">
        <v>-4273884486</v>
      </c>
      <c r="Q83" s="21">
        <v>1564661814</v>
      </c>
      <c r="S83" s="21">
        <v>-2709222672</v>
      </c>
      <c r="U83" s="23">
        <v>-4.0802505289848356E-2</v>
      </c>
    </row>
    <row r="84" spans="1:21" ht="18.75" x14ac:dyDescent="0.45">
      <c r="A84" s="29" t="s">
        <v>90</v>
      </c>
      <c r="C84" s="21">
        <v>883388000</v>
      </c>
      <c r="E84" s="21">
        <v>-25512748</v>
      </c>
      <c r="G84" s="21">
        <v>0</v>
      </c>
      <c r="I84" s="21">
        <v>857875252</v>
      </c>
      <c r="K84" s="23">
        <v>-4.3771494724092683E-2</v>
      </c>
      <c r="M84" s="21">
        <v>883388000</v>
      </c>
      <c r="O84" s="21">
        <v>-1591299304</v>
      </c>
      <c r="Q84" s="21">
        <v>-21602322</v>
      </c>
      <c r="S84" s="21">
        <v>-729513626</v>
      </c>
      <c r="U84" s="23">
        <v>-1.0986909231018518E-2</v>
      </c>
    </row>
    <row r="85" spans="1:21" ht="18.75" x14ac:dyDescent="0.45">
      <c r="A85" s="29" t="s">
        <v>92</v>
      </c>
      <c r="C85" s="21">
        <v>0</v>
      </c>
      <c r="E85" s="21">
        <v>89463068</v>
      </c>
      <c r="G85" s="21">
        <v>0</v>
      </c>
      <c r="I85" s="21">
        <v>89463068</v>
      </c>
      <c r="K85" s="23">
        <v>-4.5646872314287776E-3</v>
      </c>
      <c r="M85" s="21">
        <v>29499528</v>
      </c>
      <c r="O85" s="21">
        <v>-151590200</v>
      </c>
      <c r="Q85" s="21">
        <v>0</v>
      </c>
      <c r="S85" s="21">
        <v>-122090672</v>
      </c>
      <c r="U85" s="23">
        <v>-1.8387581580526285E-3</v>
      </c>
    </row>
    <row r="86" spans="1:21" ht="18.75" x14ac:dyDescent="0.45">
      <c r="A86" s="29" t="s">
        <v>93</v>
      </c>
      <c r="C86" s="21">
        <v>0</v>
      </c>
      <c r="E86" s="21">
        <v>-408181781</v>
      </c>
      <c r="G86" s="21">
        <v>0</v>
      </c>
      <c r="I86" s="21">
        <v>-408181781</v>
      </c>
      <c r="K86" s="23">
        <v>2.0826718840366146E-2</v>
      </c>
      <c r="M86" s="21">
        <v>1080000000</v>
      </c>
      <c r="O86" s="21">
        <v>-228753281</v>
      </c>
      <c r="Q86" s="21">
        <v>306487125</v>
      </c>
      <c r="S86" s="21">
        <v>1157733844</v>
      </c>
      <c r="U86" s="23">
        <v>1.743616048332201E-2</v>
      </c>
    </row>
    <row r="87" spans="1:21" ht="18.75" x14ac:dyDescent="0.45">
      <c r="A87" s="29" t="s">
        <v>94</v>
      </c>
      <c r="C87" s="21">
        <v>0</v>
      </c>
      <c r="E87" s="21">
        <v>-53295518</v>
      </c>
      <c r="G87" s="21">
        <v>0</v>
      </c>
      <c r="I87" s="21">
        <v>-53295518</v>
      </c>
      <c r="K87" s="23">
        <v>2.7193050265946904E-3</v>
      </c>
      <c r="M87" s="21">
        <v>0</v>
      </c>
      <c r="O87" s="21">
        <v>-53295518</v>
      </c>
      <c r="Q87" s="21">
        <v>0</v>
      </c>
      <c r="S87" s="21">
        <v>-53295518</v>
      </c>
      <c r="U87" s="23">
        <v>-8.0266220919924744E-4</v>
      </c>
    </row>
    <row r="88" spans="1:21" ht="18.75" x14ac:dyDescent="0.45">
      <c r="A88" s="29" t="s">
        <v>95</v>
      </c>
      <c r="C88" s="21">
        <v>0</v>
      </c>
      <c r="E88" s="21">
        <v>-57113821</v>
      </c>
      <c r="G88" s="21">
        <v>0</v>
      </c>
      <c r="I88" s="21">
        <v>-57113821</v>
      </c>
      <c r="K88" s="23">
        <v>2.9141268602235816E-3</v>
      </c>
      <c r="M88" s="21">
        <v>0</v>
      </c>
      <c r="O88" s="21">
        <v>-57113821</v>
      </c>
      <c r="Q88" s="21">
        <v>0</v>
      </c>
      <c r="S88" s="21">
        <v>-57113821</v>
      </c>
      <c r="U88" s="23">
        <v>-8.6016812407509343E-4</v>
      </c>
    </row>
    <row r="89" spans="1:21" ht="18.75" x14ac:dyDescent="0.45">
      <c r="A89" s="29" t="s">
        <v>96</v>
      </c>
      <c r="C89" s="21">
        <v>0</v>
      </c>
      <c r="E89" s="21">
        <v>9297743674</v>
      </c>
      <c r="G89" s="21">
        <v>-10603756275</v>
      </c>
      <c r="I89" s="21">
        <v>-1306012601</v>
      </c>
      <c r="K89" s="23">
        <v>6.6636872366927849E-2</v>
      </c>
      <c r="M89" s="21">
        <v>6902065990</v>
      </c>
      <c r="O89" s="21">
        <v>-20426692545</v>
      </c>
      <c r="Q89" s="21">
        <v>-11286631373</v>
      </c>
      <c r="S89" s="21">
        <v>-24811257928</v>
      </c>
      <c r="U89" s="23">
        <v>-0.37367230583068584</v>
      </c>
    </row>
    <row r="90" spans="1:21" ht="18.75" x14ac:dyDescent="0.45">
      <c r="A90" s="29" t="s">
        <v>97</v>
      </c>
      <c r="C90" s="21">
        <v>0</v>
      </c>
      <c r="E90" s="21">
        <v>1452783542</v>
      </c>
      <c r="G90" s="21">
        <v>-2791534099</v>
      </c>
      <c r="I90" s="21">
        <v>-1338750557</v>
      </c>
      <c r="K90" s="23">
        <v>6.8307265894414271E-2</v>
      </c>
      <c r="M90" s="21">
        <v>13820455220</v>
      </c>
      <c r="O90" s="21">
        <v>-10784551151</v>
      </c>
      <c r="Q90" s="21">
        <v>-3997363643</v>
      </c>
      <c r="S90" s="21">
        <v>-961459574</v>
      </c>
      <c r="U90" s="23">
        <v>-1.4480153203926217E-2</v>
      </c>
    </row>
    <row r="91" spans="1:21" ht="18.75" x14ac:dyDescent="0.45">
      <c r="A91" s="29" t="s">
        <v>98</v>
      </c>
      <c r="C91" s="21">
        <v>0</v>
      </c>
      <c r="E91" s="21">
        <v>296114528</v>
      </c>
      <c r="G91" s="21">
        <v>0</v>
      </c>
      <c r="I91" s="21">
        <v>296114528</v>
      </c>
      <c r="K91" s="23">
        <v>-1.5108694964520547E-2</v>
      </c>
      <c r="M91" s="21">
        <v>0</v>
      </c>
      <c r="O91" s="21">
        <v>296114528</v>
      </c>
      <c r="Q91" s="21">
        <v>0</v>
      </c>
      <c r="S91" s="21">
        <v>296114528</v>
      </c>
      <c r="U91" s="23">
        <v>4.4596609647451482E-3</v>
      </c>
    </row>
    <row r="92" spans="1:21" ht="18.75" x14ac:dyDescent="0.45">
      <c r="A92" s="29" t="s">
        <v>99</v>
      </c>
      <c r="C92" s="21">
        <v>0</v>
      </c>
      <c r="E92" s="21">
        <v>702249745</v>
      </c>
      <c r="G92" s="21">
        <v>0</v>
      </c>
      <c r="I92" s="21">
        <v>702249745</v>
      </c>
      <c r="K92" s="23">
        <v>-3.5830991669943794E-2</v>
      </c>
      <c r="M92" s="21">
        <v>0</v>
      </c>
      <c r="O92" s="21">
        <v>702249745</v>
      </c>
      <c r="Q92" s="21">
        <v>0</v>
      </c>
      <c r="S92" s="21">
        <v>702249745</v>
      </c>
      <c r="U92" s="23">
        <v>1.0576298962537679E-2</v>
      </c>
    </row>
    <row r="93" spans="1:21" ht="18.75" x14ac:dyDescent="0.45">
      <c r="A93" s="29" t="s">
        <v>100</v>
      </c>
      <c r="C93" s="21">
        <v>0</v>
      </c>
      <c r="E93" s="21">
        <v>41428443</v>
      </c>
      <c r="G93" s="21">
        <v>-375689132</v>
      </c>
      <c r="I93" s="21">
        <v>-334260689</v>
      </c>
      <c r="K93" s="23">
        <v>1.7055032128418465E-2</v>
      </c>
      <c r="M93" s="21">
        <v>7010721000</v>
      </c>
      <c r="O93" s="21">
        <v>-18922503003</v>
      </c>
      <c r="Q93" s="21">
        <v>-2035644872</v>
      </c>
      <c r="S93" s="21">
        <v>-13947426875</v>
      </c>
      <c r="U93" s="23">
        <v>-0.21005654674624716</v>
      </c>
    </row>
    <row r="94" spans="1:21" ht="18.75" x14ac:dyDescent="0.45">
      <c r="A94" s="29" t="s">
        <v>302</v>
      </c>
      <c r="C94" s="21">
        <v>0</v>
      </c>
      <c r="E94" s="21">
        <v>-136436222</v>
      </c>
      <c r="G94" s="21">
        <v>0</v>
      </c>
      <c r="I94" s="21">
        <v>-136436222</v>
      </c>
      <c r="K94" s="23">
        <v>6.9614053529639978E-3</v>
      </c>
      <c r="M94" s="21">
        <v>0</v>
      </c>
      <c r="O94" s="21">
        <v>-136436222</v>
      </c>
      <c r="Q94" s="21">
        <v>0</v>
      </c>
      <c r="S94" s="21">
        <v>-136436222</v>
      </c>
      <c r="U94" s="23">
        <v>-2.0548106759243614E-3</v>
      </c>
    </row>
    <row r="95" spans="1:21" ht="18.75" x14ac:dyDescent="0.45">
      <c r="A95" s="29" t="s">
        <v>101</v>
      </c>
      <c r="C95" s="21">
        <v>0</v>
      </c>
      <c r="E95" s="21">
        <v>53575448</v>
      </c>
      <c r="G95" s="21">
        <v>0</v>
      </c>
      <c r="I95" s="21">
        <v>53575448</v>
      </c>
      <c r="K95" s="23">
        <v>-2.7335879360148529E-3</v>
      </c>
      <c r="M95" s="21">
        <v>0</v>
      </c>
      <c r="O95" s="21">
        <v>53575448</v>
      </c>
      <c r="Q95" s="21">
        <v>0</v>
      </c>
      <c r="S95" s="21">
        <v>53575448</v>
      </c>
      <c r="U95" s="23">
        <v>8.0687812154334258E-4</v>
      </c>
    </row>
    <row r="96" spans="1:21" ht="18.75" x14ac:dyDescent="0.45">
      <c r="A96" s="29" t="s">
        <v>102</v>
      </c>
      <c r="C96" s="21">
        <v>0</v>
      </c>
      <c r="E96" s="21">
        <v>-76666031</v>
      </c>
      <c r="G96" s="21">
        <v>0</v>
      </c>
      <c r="I96" s="21">
        <v>-76666031</v>
      </c>
      <c r="K96" s="23">
        <v>3.9117421368784584E-3</v>
      </c>
      <c r="M96" s="21">
        <v>0</v>
      </c>
      <c r="O96" s="21">
        <v>-76666031</v>
      </c>
      <c r="Q96" s="21">
        <v>0</v>
      </c>
      <c r="S96" s="21">
        <v>-76666031</v>
      </c>
      <c r="U96" s="23">
        <v>-1.154636039244388E-3</v>
      </c>
    </row>
    <row r="97" spans="1:21" ht="37.5" x14ac:dyDescent="0.45">
      <c r="A97" s="29" t="s">
        <v>104</v>
      </c>
      <c r="C97" s="21">
        <v>0</v>
      </c>
      <c r="E97" s="21">
        <v>41006425</v>
      </c>
      <c r="G97" s="21">
        <v>0</v>
      </c>
      <c r="I97" s="21">
        <v>41006425</v>
      </c>
      <c r="K97" s="23">
        <v>-2.092276833207216E-3</v>
      </c>
      <c r="M97" s="21">
        <v>0</v>
      </c>
      <c r="O97" s="21">
        <v>41006425</v>
      </c>
      <c r="Q97" s="21">
        <v>0</v>
      </c>
      <c r="S97" s="21">
        <v>41006425</v>
      </c>
      <c r="U97" s="23">
        <v>6.1758115723470873E-4</v>
      </c>
    </row>
    <row r="98" spans="1:21" ht="18.75" x14ac:dyDescent="0.45">
      <c r="A98" s="29" t="s">
        <v>105</v>
      </c>
      <c r="C98" s="21">
        <v>0</v>
      </c>
      <c r="E98" s="21">
        <v>106338959</v>
      </c>
      <c r="G98" s="21">
        <v>0</v>
      </c>
      <c r="I98" s="21">
        <v>106338959</v>
      </c>
      <c r="K98" s="23">
        <v>-5.4257482914707141E-3</v>
      </c>
      <c r="M98" s="21">
        <v>100000000</v>
      </c>
      <c r="O98" s="21">
        <v>106338959</v>
      </c>
      <c r="Q98" s="21">
        <v>-169057300</v>
      </c>
      <c r="S98" s="21">
        <v>37281659</v>
      </c>
      <c r="U98" s="23">
        <v>5.6148396522861469E-4</v>
      </c>
    </row>
    <row r="99" spans="1:21" ht="18.75" x14ac:dyDescent="0.45">
      <c r="A99" s="29" t="s">
        <v>106</v>
      </c>
      <c r="C99" s="21">
        <v>0</v>
      </c>
      <c r="E99" s="21">
        <v>9343526</v>
      </c>
      <c r="G99" s="21">
        <v>0</v>
      </c>
      <c r="I99" s="21">
        <v>9343526</v>
      </c>
      <c r="K99" s="23">
        <v>-4.7673609660606322E-4</v>
      </c>
      <c r="M99" s="21">
        <v>0</v>
      </c>
      <c r="O99" s="21">
        <v>9343526</v>
      </c>
      <c r="Q99" s="21">
        <v>0</v>
      </c>
      <c r="S99" s="21">
        <v>9343526</v>
      </c>
      <c r="U99" s="23">
        <v>1.4071906048217052E-4</v>
      </c>
    </row>
    <row r="100" spans="1:21" ht="18.75" x14ac:dyDescent="0.45">
      <c r="A100" s="29" t="s">
        <v>107</v>
      </c>
      <c r="C100" s="21">
        <v>0</v>
      </c>
      <c r="E100" s="21">
        <v>-54619479</v>
      </c>
      <c r="G100" s="21">
        <v>0</v>
      </c>
      <c r="I100" s="21">
        <v>-54619479</v>
      </c>
      <c r="K100" s="23">
        <v>2.786857682754545E-3</v>
      </c>
      <c r="M100" s="21">
        <v>0</v>
      </c>
      <c r="O100" s="21">
        <v>-54619479</v>
      </c>
      <c r="Q100" s="21">
        <v>0</v>
      </c>
      <c r="S100" s="21">
        <v>-54619479</v>
      </c>
      <c r="U100" s="23">
        <v>-8.2260184954862248E-4</v>
      </c>
    </row>
    <row r="101" spans="1:21" ht="18.75" x14ac:dyDescent="0.45">
      <c r="A101" s="29" t="s">
        <v>108</v>
      </c>
      <c r="C101" s="21">
        <v>0</v>
      </c>
      <c r="E101" s="21">
        <v>468231995</v>
      </c>
      <c r="G101" s="21">
        <v>0</v>
      </c>
      <c r="I101" s="21">
        <v>468231995</v>
      </c>
      <c r="K101" s="23">
        <v>-2.3890669711024479E-2</v>
      </c>
      <c r="M101" s="21">
        <v>0</v>
      </c>
      <c r="O101" s="21">
        <v>468231995</v>
      </c>
      <c r="Q101" s="21">
        <v>0</v>
      </c>
      <c r="S101" s="21">
        <v>468231995</v>
      </c>
      <c r="U101" s="23">
        <v>7.0518524188932924E-3</v>
      </c>
    </row>
    <row r="102" spans="1:21" ht="18.75" x14ac:dyDescent="0.45">
      <c r="A102" s="29" t="s">
        <v>109</v>
      </c>
      <c r="C102" s="21">
        <v>0</v>
      </c>
      <c r="E102" s="21">
        <v>-880292035</v>
      </c>
      <c r="G102" s="21">
        <v>0</v>
      </c>
      <c r="I102" s="21">
        <v>-880292035</v>
      </c>
      <c r="K102" s="23">
        <v>4.4915269528795446E-2</v>
      </c>
      <c r="M102" s="21">
        <v>0</v>
      </c>
      <c r="O102" s="21">
        <v>-880292035</v>
      </c>
      <c r="Q102" s="21">
        <v>0</v>
      </c>
      <c r="S102" s="21">
        <v>-880292035</v>
      </c>
      <c r="U102" s="23">
        <v>-1.3257721776033798E-2</v>
      </c>
    </row>
    <row r="103" spans="1:21" ht="18.75" x14ac:dyDescent="0.45">
      <c r="A103" s="29" t="s">
        <v>110</v>
      </c>
      <c r="C103" s="21">
        <v>0</v>
      </c>
      <c r="E103" s="21">
        <v>1472821678</v>
      </c>
      <c r="G103" s="21">
        <v>0</v>
      </c>
      <c r="I103" s="21">
        <v>1472821678</v>
      </c>
      <c r="K103" s="23">
        <v>-7.5147996352395455E-2</v>
      </c>
      <c r="M103" s="21">
        <v>3292527600</v>
      </c>
      <c r="O103" s="21">
        <v>6504962409</v>
      </c>
      <c r="Q103" s="21">
        <v>0</v>
      </c>
      <c r="S103" s="21">
        <v>9797490009</v>
      </c>
      <c r="U103" s="23">
        <v>0.1475560285431787</v>
      </c>
    </row>
    <row r="104" spans="1:21" ht="18.75" x14ac:dyDescent="0.45">
      <c r="A104" s="29" t="s">
        <v>111</v>
      </c>
      <c r="C104" s="21">
        <v>0</v>
      </c>
      <c r="E104" s="21">
        <v>350787251</v>
      </c>
      <c r="G104" s="21">
        <v>0</v>
      </c>
      <c r="I104" s="21">
        <v>350787251</v>
      </c>
      <c r="K104" s="23">
        <v>-1.7898269323691221E-2</v>
      </c>
      <c r="M104" s="21">
        <v>0</v>
      </c>
      <c r="O104" s="21">
        <v>350787251</v>
      </c>
      <c r="Q104" s="21">
        <v>0</v>
      </c>
      <c r="S104" s="21">
        <v>350787251</v>
      </c>
      <c r="U104" s="23">
        <v>5.2830647006112397E-3</v>
      </c>
    </row>
    <row r="105" spans="1:21" ht="18.75" x14ac:dyDescent="0.45">
      <c r="A105" s="29" t="s">
        <v>112</v>
      </c>
      <c r="C105" s="21">
        <v>0</v>
      </c>
      <c r="E105" s="21">
        <v>282185189</v>
      </c>
      <c r="G105" s="21">
        <v>0</v>
      </c>
      <c r="I105" s="21">
        <v>282185189</v>
      </c>
      <c r="K105" s="23">
        <v>-1.4397976259059397E-2</v>
      </c>
      <c r="M105" s="21">
        <v>0</v>
      </c>
      <c r="O105" s="21">
        <v>282185189</v>
      </c>
      <c r="Q105" s="21">
        <v>0</v>
      </c>
      <c r="S105" s="21">
        <v>282185189</v>
      </c>
      <c r="U105" s="23">
        <v>4.249876832157766E-3</v>
      </c>
    </row>
    <row r="106" spans="1:21" ht="18.75" x14ac:dyDescent="0.45">
      <c r="A106" s="29" t="s">
        <v>113</v>
      </c>
      <c r="C106" s="21">
        <v>0</v>
      </c>
      <c r="E106" s="21">
        <v>-97988165</v>
      </c>
      <c r="G106" s="21">
        <v>0</v>
      </c>
      <c r="I106" s="21">
        <v>-97988165</v>
      </c>
      <c r="K106" s="23">
        <v>4.9996645052082971E-3</v>
      </c>
      <c r="M106" s="21">
        <v>0</v>
      </c>
      <c r="O106" s="21">
        <v>-97988165</v>
      </c>
      <c r="Q106" s="21">
        <v>0</v>
      </c>
      <c r="S106" s="21">
        <v>-97988165</v>
      </c>
      <c r="U106" s="23">
        <v>-1.4757600628683332E-3</v>
      </c>
    </row>
    <row r="107" spans="1:21" ht="18.75" x14ac:dyDescent="0.45">
      <c r="A107" s="29" t="s">
        <v>114</v>
      </c>
      <c r="C107" s="21">
        <v>0</v>
      </c>
      <c r="E107" s="21">
        <v>2598432713</v>
      </c>
      <c r="G107" s="21">
        <v>-1283603281</v>
      </c>
      <c r="I107" s="21">
        <v>1314829432</v>
      </c>
      <c r="K107" s="23">
        <v>-6.7086734827349684E-2</v>
      </c>
      <c r="M107" s="21">
        <v>4379641700</v>
      </c>
      <c r="O107" s="21">
        <v>-3310001130</v>
      </c>
      <c r="Q107" s="21">
        <v>-1283603281</v>
      </c>
      <c r="S107" s="21">
        <v>-213962711</v>
      </c>
      <c r="U107" s="23">
        <v>-3.2224057245774426E-3</v>
      </c>
    </row>
    <row r="108" spans="1:21" ht="18.75" x14ac:dyDescent="0.45">
      <c r="A108" s="29" t="s">
        <v>115</v>
      </c>
      <c r="C108" s="21">
        <v>0</v>
      </c>
      <c r="E108" s="21">
        <v>183713</v>
      </c>
      <c r="G108" s="21">
        <v>0</v>
      </c>
      <c r="I108" s="21">
        <v>183713</v>
      </c>
      <c r="K108" s="23">
        <v>-9.3736153263542786E-6</v>
      </c>
      <c r="M108" s="21">
        <v>0</v>
      </c>
      <c r="O108" s="21">
        <v>183713</v>
      </c>
      <c r="Q108" s="21">
        <v>0</v>
      </c>
      <c r="S108" s="21">
        <v>183713</v>
      </c>
      <c r="U108" s="23">
        <v>2.7668270798798004E-6</v>
      </c>
    </row>
    <row r="109" spans="1:21" ht="18.75" x14ac:dyDescent="0.45">
      <c r="A109" s="29" t="s">
        <v>116</v>
      </c>
      <c r="C109" s="21">
        <v>0</v>
      </c>
      <c r="E109" s="21">
        <v>286214081</v>
      </c>
      <c r="G109" s="21">
        <v>0</v>
      </c>
      <c r="I109" s="21">
        <v>286214081</v>
      </c>
      <c r="K109" s="23">
        <v>-1.4603543006101937E-2</v>
      </c>
      <c r="M109" s="21">
        <v>228464012</v>
      </c>
      <c r="O109" s="21">
        <v>-1449736540</v>
      </c>
      <c r="Q109" s="21">
        <v>-519874130</v>
      </c>
      <c r="S109" s="21">
        <v>-1741146658</v>
      </c>
      <c r="U109" s="23">
        <v>-2.6222704563077265E-2</v>
      </c>
    </row>
    <row r="110" spans="1:21" ht="18.75" x14ac:dyDescent="0.45">
      <c r="A110" s="29" t="s">
        <v>303</v>
      </c>
      <c r="C110" s="21">
        <v>0</v>
      </c>
      <c r="E110" s="21">
        <v>-58453936</v>
      </c>
      <c r="G110" s="21">
        <v>0</v>
      </c>
      <c r="I110" s="21">
        <v>-58453936</v>
      </c>
      <c r="K110" s="23">
        <v>2.9825037442931753E-3</v>
      </c>
      <c r="M110" s="21">
        <v>0</v>
      </c>
      <c r="O110" s="21">
        <v>-58453936</v>
      </c>
      <c r="Q110" s="21">
        <v>0</v>
      </c>
      <c r="S110" s="21">
        <v>-58453936</v>
      </c>
      <c r="U110" s="23">
        <v>-8.8035105327527582E-4</v>
      </c>
    </row>
    <row r="111" spans="1:21" ht="18.75" x14ac:dyDescent="0.45">
      <c r="A111" s="29" t="s">
        <v>117</v>
      </c>
      <c r="C111" s="21">
        <v>0</v>
      </c>
      <c r="E111" s="21">
        <v>-73866316</v>
      </c>
      <c r="G111" s="21">
        <v>0</v>
      </c>
      <c r="I111" s="21">
        <v>-73866316</v>
      </c>
      <c r="K111" s="23">
        <v>3.7688918680710039E-3</v>
      </c>
      <c r="M111" s="21">
        <v>0</v>
      </c>
      <c r="O111" s="21">
        <v>-73866316</v>
      </c>
      <c r="Q111" s="21">
        <v>0</v>
      </c>
      <c r="S111" s="21">
        <v>-73866316</v>
      </c>
      <c r="U111" s="23">
        <v>-1.1124706656565327E-3</v>
      </c>
    </row>
    <row r="112" spans="1:21" ht="18.75" x14ac:dyDescent="0.45">
      <c r="A112" s="29" t="s">
        <v>118</v>
      </c>
      <c r="C112" s="21">
        <v>0</v>
      </c>
      <c r="E112" s="21">
        <v>-2985400350</v>
      </c>
      <c r="G112" s="21">
        <v>-3240525597</v>
      </c>
      <c r="I112" s="21">
        <v>-6225925947</v>
      </c>
      <c r="K112" s="23">
        <v>0.3176663321460429</v>
      </c>
      <c r="M112" s="21">
        <v>13040000000</v>
      </c>
      <c r="O112" s="21">
        <v>-18034324032</v>
      </c>
      <c r="Q112" s="21">
        <v>472406916</v>
      </c>
      <c r="S112" s="21">
        <v>-4521917116</v>
      </c>
      <c r="U112" s="23">
        <v>-6.8102762077374868E-2</v>
      </c>
    </row>
    <row r="113" spans="1:21" ht="18.75" x14ac:dyDescent="0.45">
      <c r="A113" s="29" t="s">
        <v>120</v>
      </c>
      <c r="C113" s="21">
        <v>0</v>
      </c>
      <c r="E113" s="21">
        <v>283002010</v>
      </c>
      <c r="G113" s="21">
        <v>0</v>
      </c>
      <c r="I113" s="21">
        <v>283002010</v>
      </c>
      <c r="K113" s="23">
        <v>-1.443965303666625E-2</v>
      </c>
      <c r="M113" s="21">
        <v>0</v>
      </c>
      <c r="O113" s="21">
        <v>283002010</v>
      </c>
      <c r="Q113" s="21">
        <v>0</v>
      </c>
      <c r="S113" s="21">
        <v>283002010</v>
      </c>
      <c r="U113" s="23">
        <v>4.2621786423846656E-3</v>
      </c>
    </row>
    <row r="114" spans="1:21" ht="18.75" x14ac:dyDescent="0.45">
      <c r="A114" s="29" t="s">
        <v>121</v>
      </c>
      <c r="C114" s="21">
        <v>0</v>
      </c>
      <c r="E114" s="21">
        <v>319240319</v>
      </c>
      <c r="G114" s="21">
        <v>0</v>
      </c>
      <c r="I114" s="21">
        <v>319240319</v>
      </c>
      <c r="K114" s="23">
        <v>-1.6288645588328692E-2</v>
      </c>
      <c r="M114" s="21">
        <v>58108700</v>
      </c>
      <c r="O114" s="21">
        <v>319240319</v>
      </c>
      <c r="Q114" s="21">
        <v>-1044938080</v>
      </c>
      <c r="S114" s="21">
        <v>-667589061</v>
      </c>
      <c r="U114" s="23">
        <v>-1.0054288440155721E-2</v>
      </c>
    </row>
    <row r="115" spans="1:21" ht="18.75" x14ac:dyDescent="0.45">
      <c r="A115" s="29" t="s">
        <v>122</v>
      </c>
      <c r="C115" s="21">
        <v>0</v>
      </c>
      <c r="E115" s="21">
        <v>6408492966</v>
      </c>
      <c r="G115" s="21">
        <v>-215935682</v>
      </c>
      <c r="I115" s="21">
        <v>6192557284</v>
      </c>
      <c r="K115" s="23">
        <v>-0.31596375796285092</v>
      </c>
      <c r="M115" s="21">
        <v>2863622210</v>
      </c>
      <c r="O115" s="21">
        <v>-2950556684</v>
      </c>
      <c r="Q115" s="21">
        <v>-1323033853</v>
      </c>
      <c r="S115" s="21">
        <v>-1409968327</v>
      </c>
      <c r="U115" s="23">
        <v>-2.1234961863974885E-2</v>
      </c>
    </row>
    <row r="116" spans="1:21" ht="18.75" x14ac:dyDescent="0.45">
      <c r="A116" s="29" t="s">
        <v>123</v>
      </c>
      <c r="C116" s="21">
        <v>0</v>
      </c>
      <c r="E116" s="21">
        <v>-134196750</v>
      </c>
      <c r="G116" s="21">
        <v>0</v>
      </c>
      <c r="I116" s="21">
        <v>-134196750</v>
      </c>
      <c r="K116" s="23">
        <v>6.8471404448620056E-3</v>
      </c>
      <c r="M116" s="21">
        <v>370000000</v>
      </c>
      <c r="O116" s="21">
        <v>-1011445875</v>
      </c>
      <c r="Q116" s="21">
        <v>0</v>
      </c>
      <c r="S116" s="21">
        <v>-641445875</v>
      </c>
      <c r="U116" s="23">
        <v>-9.6605565051313385E-3</v>
      </c>
    </row>
    <row r="117" spans="1:21" ht="18.75" x14ac:dyDescent="0.45">
      <c r="A117" s="29" t="s">
        <v>124</v>
      </c>
      <c r="C117" s="21">
        <v>0</v>
      </c>
      <c r="E117" s="21">
        <v>27808334770</v>
      </c>
      <c r="G117" s="21">
        <v>-27391166184</v>
      </c>
      <c r="I117" s="21">
        <v>417168586</v>
      </c>
      <c r="K117" s="23">
        <v>-2.1285253909103564E-2</v>
      </c>
      <c r="M117" s="21">
        <v>22120000000</v>
      </c>
      <c r="O117" s="21">
        <v>-23707312430</v>
      </c>
      <c r="Q117" s="21">
        <v>-26733855684</v>
      </c>
      <c r="S117" s="21">
        <v>-28321168114</v>
      </c>
      <c r="U117" s="23">
        <v>-0.42653364144967171</v>
      </c>
    </row>
    <row r="118" spans="1:21" ht="18.75" x14ac:dyDescent="0.45">
      <c r="A118" s="29" t="s">
        <v>125</v>
      </c>
      <c r="C118" s="21">
        <v>0</v>
      </c>
      <c r="E118" s="21">
        <v>3308720855</v>
      </c>
      <c r="G118" s="21">
        <v>34625280</v>
      </c>
      <c r="I118" s="21">
        <v>3343346135</v>
      </c>
      <c r="K118" s="23">
        <v>-0.17058803989017293</v>
      </c>
      <c r="M118" s="21">
        <v>2334080700</v>
      </c>
      <c r="O118" s="21">
        <v>1682578749</v>
      </c>
      <c r="Q118" s="21">
        <v>1956565683</v>
      </c>
      <c r="S118" s="21">
        <v>5973225132</v>
      </c>
      <c r="U118" s="23">
        <v>8.9960324252699564E-2</v>
      </c>
    </row>
    <row r="119" spans="1:21" ht="18.75" x14ac:dyDescent="0.45">
      <c r="A119" s="29" t="s">
        <v>126</v>
      </c>
      <c r="C119" s="21">
        <v>0</v>
      </c>
      <c r="E119" s="21">
        <v>1473129136</v>
      </c>
      <c r="G119" s="21">
        <v>0</v>
      </c>
      <c r="I119" s="21">
        <v>1473129136</v>
      </c>
      <c r="K119" s="23">
        <v>-7.5163683826994482E-2</v>
      </c>
      <c r="M119" s="21">
        <v>1959126860</v>
      </c>
      <c r="O119" s="21">
        <v>4511746602</v>
      </c>
      <c r="Q119" s="21">
        <v>296351474</v>
      </c>
      <c r="S119" s="21">
        <v>6767224936</v>
      </c>
      <c r="U119" s="23">
        <v>0.10191843369039018</v>
      </c>
    </row>
    <row r="120" spans="1:21" ht="18.75" x14ac:dyDescent="0.45">
      <c r="A120" s="29" t="s">
        <v>127</v>
      </c>
      <c r="C120" s="21">
        <v>0</v>
      </c>
      <c r="E120" s="21">
        <v>-234816841</v>
      </c>
      <c r="G120" s="21">
        <v>0</v>
      </c>
      <c r="I120" s="21">
        <v>-234816841</v>
      </c>
      <c r="K120" s="23">
        <v>1.1981094096137431E-2</v>
      </c>
      <c r="M120" s="21">
        <v>0</v>
      </c>
      <c r="O120" s="21">
        <v>-234816841</v>
      </c>
      <c r="Q120" s="21">
        <v>0</v>
      </c>
      <c r="S120" s="21">
        <v>-234816841</v>
      </c>
      <c r="U120" s="23">
        <v>-3.5364813295228397E-3</v>
      </c>
    </row>
    <row r="121" spans="1:21" ht="18.75" x14ac:dyDescent="0.45">
      <c r="A121" s="29" t="s">
        <v>128</v>
      </c>
      <c r="C121" s="21">
        <v>0</v>
      </c>
      <c r="E121" s="21">
        <v>-2230153963</v>
      </c>
      <c r="G121" s="21">
        <v>1019779993</v>
      </c>
      <c r="I121" s="21">
        <v>-1210373970</v>
      </c>
      <c r="K121" s="23">
        <v>6.1757088479379656E-2</v>
      </c>
      <c r="M121" s="21">
        <v>0</v>
      </c>
      <c r="O121" s="21">
        <v>227661528</v>
      </c>
      <c r="Q121" s="21">
        <v>1380333043</v>
      </c>
      <c r="S121" s="21">
        <v>1607994571</v>
      </c>
      <c r="U121" s="23">
        <v>2.4217354914145992E-2</v>
      </c>
    </row>
    <row r="122" spans="1:21" ht="18.75" x14ac:dyDescent="0.45">
      <c r="A122" s="29" t="s">
        <v>129</v>
      </c>
      <c r="C122" s="21">
        <v>0</v>
      </c>
      <c r="E122" s="21">
        <v>1062524695</v>
      </c>
      <c r="G122" s="21">
        <v>0</v>
      </c>
      <c r="I122" s="21">
        <v>1062524695</v>
      </c>
      <c r="K122" s="23">
        <v>-5.4213353250351939E-2</v>
      </c>
      <c r="M122" s="21">
        <v>3295057660</v>
      </c>
      <c r="O122" s="21">
        <v>47933445</v>
      </c>
      <c r="Q122" s="21">
        <v>352027091</v>
      </c>
      <c r="S122" s="21">
        <v>3695018196</v>
      </c>
      <c r="U122" s="23">
        <v>5.5649172379425564E-2</v>
      </c>
    </row>
    <row r="123" spans="1:21" ht="37.5" x14ac:dyDescent="0.45">
      <c r="A123" s="29" t="s">
        <v>130</v>
      </c>
      <c r="C123" s="21">
        <v>0</v>
      </c>
      <c r="E123" s="21">
        <v>-62625150</v>
      </c>
      <c r="G123" s="21">
        <v>0</v>
      </c>
      <c r="I123" s="21">
        <v>-62625150</v>
      </c>
      <c r="K123" s="23">
        <v>3.1953322076022691E-3</v>
      </c>
      <c r="M123" s="21">
        <v>505400000</v>
      </c>
      <c r="O123" s="21">
        <v>368792550</v>
      </c>
      <c r="Q123" s="21">
        <v>0</v>
      </c>
      <c r="S123" s="21">
        <v>874192550</v>
      </c>
      <c r="U123" s="23">
        <v>1.3165859903050827E-2</v>
      </c>
    </row>
    <row r="124" spans="1:21" ht="18.75" x14ac:dyDescent="0.45">
      <c r="A124" s="29" t="s">
        <v>131</v>
      </c>
      <c r="C124" s="21">
        <v>0</v>
      </c>
      <c r="E124" s="21">
        <v>-888829378</v>
      </c>
      <c r="G124" s="21">
        <v>-141100375</v>
      </c>
      <c r="I124" s="21">
        <v>-1029929753</v>
      </c>
      <c r="K124" s="23">
        <v>5.2550256747149506E-2</v>
      </c>
      <c r="M124" s="21">
        <v>0</v>
      </c>
      <c r="O124" s="21">
        <v>-10257551818</v>
      </c>
      <c r="Q124" s="21">
        <v>-141100375</v>
      </c>
      <c r="S124" s="21">
        <v>-10398652193</v>
      </c>
      <c r="U124" s="23">
        <v>-0.15660988869510528</v>
      </c>
    </row>
    <row r="125" spans="1:21" ht="18.75" x14ac:dyDescent="0.45">
      <c r="A125" s="29" t="s">
        <v>132</v>
      </c>
      <c r="C125" s="21">
        <v>0</v>
      </c>
      <c r="E125" s="21">
        <v>6900964</v>
      </c>
      <c r="G125" s="21">
        <v>0</v>
      </c>
      <c r="I125" s="21">
        <v>6900964</v>
      </c>
      <c r="K125" s="23">
        <v>-3.5210889766657303E-4</v>
      </c>
      <c r="M125" s="21">
        <v>0</v>
      </c>
      <c r="O125" s="21">
        <v>6900964</v>
      </c>
      <c r="Q125" s="21">
        <v>0</v>
      </c>
      <c r="S125" s="21">
        <v>6900964</v>
      </c>
      <c r="U125" s="23">
        <v>1.0393262356216288E-4</v>
      </c>
    </row>
    <row r="126" spans="1:21" ht="18.75" x14ac:dyDescent="0.45">
      <c r="A126" s="29" t="s">
        <v>133</v>
      </c>
      <c r="C126" s="21">
        <v>0</v>
      </c>
      <c r="E126" s="21">
        <v>-2732186586</v>
      </c>
      <c r="G126" s="21">
        <v>6016916284</v>
      </c>
      <c r="I126" s="21">
        <v>3284729698</v>
      </c>
      <c r="K126" s="23">
        <v>-0.16759724483353852</v>
      </c>
      <c r="M126" s="21">
        <v>10319249000</v>
      </c>
      <c r="O126" s="21">
        <v>4535611578</v>
      </c>
      <c r="Q126" s="21">
        <v>8384319278</v>
      </c>
      <c r="S126" s="21">
        <v>23239179856</v>
      </c>
      <c r="U126" s="23">
        <v>0.3499958747599678</v>
      </c>
    </row>
    <row r="127" spans="1:21" ht="18.75" x14ac:dyDescent="0.45">
      <c r="A127" s="29" t="s">
        <v>134</v>
      </c>
      <c r="C127" s="21">
        <v>0</v>
      </c>
      <c r="E127" s="21">
        <v>32803617</v>
      </c>
      <c r="G127" s="21">
        <v>0</v>
      </c>
      <c r="I127" s="21">
        <v>32803617</v>
      </c>
      <c r="K127" s="23">
        <v>-1.6737437583135423E-3</v>
      </c>
      <c r="M127" s="21">
        <v>99999950</v>
      </c>
      <c r="O127" s="21">
        <v>776352274</v>
      </c>
      <c r="Q127" s="21">
        <v>734050907</v>
      </c>
      <c r="S127" s="21">
        <v>1610403131</v>
      </c>
      <c r="U127" s="23">
        <v>2.4253629260716541E-2</v>
      </c>
    </row>
    <row r="128" spans="1:21" ht="18.75" x14ac:dyDescent="0.45">
      <c r="A128" s="29" t="s">
        <v>136</v>
      </c>
      <c r="C128" s="21">
        <v>0</v>
      </c>
      <c r="E128" s="21">
        <v>-4480639956</v>
      </c>
      <c r="G128" s="21">
        <v>-218813703</v>
      </c>
      <c r="I128" s="21">
        <v>-4699453659</v>
      </c>
      <c r="K128" s="23">
        <v>0.23978091285588987</v>
      </c>
      <c r="M128" s="21">
        <v>7267946400</v>
      </c>
      <c r="O128" s="21">
        <v>-2987269606</v>
      </c>
      <c r="Q128" s="21">
        <v>2164538848</v>
      </c>
      <c r="S128" s="21">
        <v>6445215642</v>
      </c>
      <c r="U128" s="23">
        <v>9.7068782143617888E-2</v>
      </c>
    </row>
    <row r="129" spans="1:21" ht="18.75" x14ac:dyDescent="0.45">
      <c r="A129" s="29" t="s">
        <v>137</v>
      </c>
      <c r="C129" s="21">
        <v>0</v>
      </c>
      <c r="E129" s="21">
        <v>13723949</v>
      </c>
      <c r="G129" s="21">
        <v>0</v>
      </c>
      <c r="I129" s="21">
        <v>13723949</v>
      </c>
      <c r="K129" s="23">
        <v>-7.0023906138653481E-4</v>
      </c>
      <c r="M129" s="21">
        <v>0</v>
      </c>
      <c r="O129" s="21">
        <v>363684667</v>
      </c>
      <c r="Q129" s="21">
        <v>-1155274913</v>
      </c>
      <c r="S129" s="21">
        <v>-791590246</v>
      </c>
      <c r="U129" s="23">
        <v>-1.1921820060646297E-2</v>
      </c>
    </row>
    <row r="130" spans="1:21" ht="18.75" x14ac:dyDescent="0.45">
      <c r="A130" s="29" t="s">
        <v>138</v>
      </c>
      <c r="C130" s="21">
        <v>0</v>
      </c>
      <c r="E130" s="21">
        <v>-131364570</v>
      </c>
      <c r="G130" s="21">
        <v>0</v>
      </c>
      <c r="I130" s="21">
        <v>-131364570</v>
      </c>
      <c r="K130" s="23">
        <v>6.7026337096010597E-3</v>
      </c>
      <c r="M130" s="21">
        <v>0</v>
      </c>
      <c r="O130" s="21">
        <v>-131364570</v>
      </c>
      <c r="Q130" s="21">
        <v>0</v>
      </c>
      <c r="S130" s="21">
        <v>-131364570</v>
      </c>
      <c r="U130" s="23">
        <v>-1.9784285794296847E-3</v>
      </c>
    </row>
    <row r="131" spans="1:21" ht="18.75" x14ac:dyDescent="0.45">
      <c r="A131" s="29" t="s">
        <v>139</v>
      </c>
      <c r="C131" s="21">
        <v>0</v>
      </c>
      <c r="E131" s="21">
        <v>-1016049</v>
      </c>
      <c r="G131" s="21">
        <v>0</v>
      </c>
      <c r="I131" s="21">
        <v>-1016049</v>
      </c>
      <c r="K131" s="23">
        <v>5.1842017052287746E-5</v>
      </c>
      <c r="M131" s="21">
        <v>49200</v>
      </c>
      <c r="O131" s="21">
        <v>1244689</v>
      </c>
      <c r="Q131" s="21">
        <v>0</v>
      </c>
      <c r="S131" s="21">
        <v>1293889</v>
      </c>
      <c r="U131" s="23">
        <v>1.9486738138066416E-5</v>
      </c>
    </row>
    <row r="132" spans="1:21" ht="18.75" x14ac:dyDescent="0.45">
      <c r="A132" s="29" t="s">
        <v>140</v>
      </c>
      <c r="C132" s="21">
        <v>0</v>
      </c>
      <c r="E132" s="21">
        <v>-33066304</v>
      </c>
      <c r="G132" s="21">
        <v>0</v>
      </c>
      <c r="I132" s="21">
        <v>-33066304</v>
      </c>
      <c r="K132" s="23">
        <v>1.6871468756173478E-3</v>
      </c>
      <c r="M132" s="21">
        <v>0</v>
      </c>
      <c r="O132" s="21">
        <v>-33066304</v>
      </c>
      <c r="Q132" s="21">
        <v>0</v>
      </c>
      <c r="S132" s="21">
        <v>-33066304</v>
      </c>
      <c r="U132" s="23">
        <v>-4.9799821100704781E-4</v>
      </c>
    </row>
    <row r="133" spans="1:21" ht="18.75" x14ac:dyDescent="0.45">
      <c r="A133" s="29" t="s">
        <v>141</v>
      </c>
      <c r="C133" s="21">
        <v>0</v>
      </c>
      <c r="E133" s="21">
        <v>1171633516</v>
      </c>
      <c r="G133" s="21">
        <v>0</v>
      </c>
      <c r="I133" s="21">
        <v>1171633516</v>
      </c>
      <c r="K133" s="23">
        <v>-5.9780428616635468E-2</v>
      </c>
      <c r="M133" s="21">
        <v>0</v>
      </c>
      <c r="O133" s="21">
        <v>1171633516</v>
      </c>
      <c r="Q133" s="21">
        <v>304377639</v>
      </c>
      <c r="S133" s="21">
        <v>1476011155</v>
      </c>
      <c r="U133" s="23">
        <v>2.2229606145774451E-2</v>
      </c>
    </row>
    <row r="134" spans="1:21" ht="18.75" x14ac:dyDescent="0.45">
      <c r="A134" s="29" t="s">
        <v>142</v>
      </c>
      <c r="C134" s="21">
        <v>0</v>
      </c>
      <c r="E134" s="21">
        <v>1268603453</v>
      </c>
      <c r="G134" s="21">
        <v>0</v>
      </c>
      <c r="I134" s="21">
        <v>1268603453</v>
      </c>
      <c r="K134" s="23">
        <v>-6.4728139925355088E-2</v>
      </c>
      <c r="M134" s="21">
        <v>2406384864</v>
      </c>
      <c r="O134" s="21">
        <v>1268603453</v>
      </c>
      <c r="Q134" s="21">
        <v>1476460253</v>
      </c>
      <c r="S134" s="21">
        <v>5151448570</v>
      </c>
      <c r="U134" s="23">
        <v>7.7583880313772433E-2</v>
      </c>
    </row>
    <row r="135" spans="1:21" ht="18.75" x14ac:dyDescent="0.45">
      <c r="A135" s="29" t="s">
        <v>143</v>
      </c>
      <c r="C135" s="21">
        <v>0</v>
      </c>
      <c r="E135" s="21">
        <v>1427290560</v>
      </c>
      <c r="G135" s="21">
        <v>0</v>
      </c>
      <c r="I135" s="21">
        <v>1427290560</v>
      </c>
      <c r="K135" s="23">
        <v>-7.2824855445051698E-2</v>
      </c>
      <c r="M135" s="21">
        <v>0</v>
      </c>
      <c r="O135" s="21">
        <v>1427290560</v>
      </c>
      <c r="Q135" s="21">
        <v>0</v>
      </c>
      <c r="S135" s="21">
        <v>1427290560</v>
      </c>
      <c r="U135" s="23">
        <v>2.149584499880142E-2</v>
      </c>
    </row>
    <row r="136" spans="1:21" ht="18.75" x14ac:dyDescent="0.45">
      <c r="A136" s="29" t="s">
        <v>144</v>
      </c>
      <c r="C136" s="21">
        <v>0</v>
      </c>
      <c r="E136" s="21">
        <v>900031843</v>
      </c>
      <c r="G136" s="21">
        <v>0</v>
      </c>
      <c r="I136" s="21">
        <v>900031843</v>
      </c>
      <c r="K136" s="23">
        <v>-4.5922456645701111E-2</v>
      </c>
      <c r="M136" s="21">
        <v>0</v>
      </c>
      <c r="O136" s="21">
        <v>900031843</v>
      </c>
      <c r="Q136" s="21">
        <v>0</v>
      </c>
      <c r="S136" s="21">
        <v>900031843</v>
      </c>
      <c r="U136" s="23">
        <v>1.3555015028694349E-2</v>
      </c>
    </row>
    <row r="137" spans="1:21" ht="18.75" x14ac:dyDescent="0.45">
      <c r="A137" s="29" t="s">
        <v>304</v>
      </c>
      <c r="C137" s="21">
        <v>0</v>
      </c>
      <c r="E137" s="21">
        <v>183070132</v>
      </c>
      <c r="G137" s="21">
        <v>0</v>
      </c>
      <c r="I137" s="21">
        <v>183070132</v>
      </c>
      <c r="K137" s="23">
        <v>-9.3408141781632266E-3</v>
      </c>
      <c r="M137" s="21">
        <v>0</v>
      </c>
      <c r="O137" s="21">
        <v>183070132</v>
      </c>
      <c r="Q137" s="21">
        <v>0</v>
      </c>
      <c r="S137" s="21">
        <v>183070132</v>
      </c>
      <c r="U137" s="23">
        <v>2.7571451053260772E-3</v>
      </c>
    </row>
    <row r="138" spans="1:21" ht="18.75" x14ac:dyDescent="0.45">
      <c r="A138" s="29" t="s">
        <v>146</v>
      </c>
      <c r="C138" s="21">
        <v>0</v>
      </c>
      <c r="E138" s="21">
        <v>554353892</v>
      </c>
      <c r="G138" s="21">
        <v>0</v>
      </c>
      <c r="I138" s="21">
        <v>554353892</v>
      </c>
      <c r="K138" s="23">
        <v>-2.8284879884795004E-2</v>
      </c>
      <c r="M138" s="21">
        <v>1015029840</v>
      </c>
      <c r="O138" s="21">
        <v>-700236494</v>
      </c>
      <c r="Q138" s="21">
        <v>-2902742731</v>
      </c>
      <c r="S138" s="21">
        <v>-2587949385</v>
      </c>
      <c r="U138" s="23">
        <v>-3.8976057436198176E-2</v>
      </c>
    </row>
    <row r="139" spans="1:21" ht="18.75" x14ac:dyDescent="0.45">
      <c r="A139" s="29" t="s">
        <v>147</v>
      </c>
      <c r="C139" s="21">
        <v>0</v>
      </c>
      <c r="E139" s="21">
        <v>174306951</v>
      </c>
      <c r="G139" s="21">
        <v>0</v>
      </c>
      <c r="I139" s="21">
        <v>174306951</v>
      </c>
      <c r="K139" s="23">
        <v>-8.8936891095550367E-3</v>
      </c>
      <c r="M139" s="21">
        <v>0</v>
      </c>
      <c r="O139" s="21">
        <v>174306951</v>
      </c>
      <c r="Q139" s="21">
        <v>59821494</v>
      </c>
      <c r="S139" s="21">
        <v>234128445</v>
      </c>
      <c r="U139" s="23">
        <v>3.5261136762022747E-3</v>
      </c>
    </row>
    <row r="140" spans="1:21" ht="18.75" x14ac:dyDescent="0.45">
      <c r="A140" s="29" t="s">
        <v>148</v>
      </c>
      <c r="C140" s="21">
        <v>0</v>
      </c>
      <c r="E140" s="21">
        <v>-771032183</v>
      </c>
      <c r="G140" s="21">
        <v>0</v>
      </c>
      <c r="I140" s="21">
        <v>-771032183</v>
      </c>
      <c r="K140" s="23">
        <v>3.9340488085661859E-2</v>
      </c>
      <c r="M140" s="21">
        <v>3237484320</v>
      </c>
      <c r="O140" s="21">
        <v>-15504272537</v>
      </c>
      <c r="Q140" s="21">
        <v>0</v>
      </c>
      <c r="S140" s="21">
        <v>-12266788217</v>
      </c>
      <c r="U140" s="23">
        <v>-0.18474512866234863</v>
      </c>
    </row>
    <row r="141" spans="1:21" ht="18.75" x14ac:dyDescent="0.45">
      <c r="A141" s="29" t="s">
        <v>149</v>
      </c>
      <c r="C141" s="21">
        <v>0</v>
      </c>
      <c r="E141" s="21">
        <v>-98462089</v>
      </c>
      <c r="G141" s="21">
        <v>0</v>
      </c>
      <c r="I141" s="21">
        <v>-98462089</v>
      </c>
      <c r="K141" s="23">
        <v>5.0238455989247309E-3</v>
      </c>
      <c r="M141" s="21">
        <v>0</v>
      </c>
      <c r="O141" s="21">
        <v>-98462089</v>
      </c>
      <c r="Q141" s="21">
        <v>0</v>
      </c>
      <c r="S141" s="21">
        <v>-98462089</v>
      </c>
      <c r="U141" s="23">
        <v>-1.4828976402689795E-3</v>
      </c>
    </row>
    <row r="142" spans="1:21" ht="18.75" x14ac:dyDescent="0.45">
      <c r="A142" s="29" t="s">
        <v>151</v>
      </c>
      <c r="C142" s="21">
        <v>0</v>
      </c>
      <c r="E142" s="21">
        <v>1052562726</v>
      </c>
      <c r="G142" s="21">
        <v>0</v>
      </c>
      <c r="I142" s="21">
        <v>1052562726</v>
      </c>
      <c r="K142" s="23">
        <v>-5.3705062245909867E-2</v>
      </c>
      <c r="M142" s="21">
        <v>0</v>
      </c>
      <c r="O142" s="21">
        <v>-501803159</v>
      </c>
      <c r="Q142" s="21">
        <v>-479526450</v>
      </c>
      <c r="S142" s="21">
        <v>-981329609</v>
      </c>
      <c r="U142" s="23">
        <v>-1.4779407752685202E-2</v>
      </c>
    </row>
    <row r="143" spans="1:21" ht="18.75" x14ac:dyDescent="0.45">
      <c r="A143" s="29" t="s">
        <v>152</v>
      </c>
      <c r="C143" s="21">
        <v>0</v>
      </c>
      <c r="E143" s="21">
        <v>539693362</v>
      </c>
      <c r="G143" s="21">
        <v>0</v>
      </c>
      <c r="I143" s="21">
        <v>539693362</v>
      </c>
      <c r="K143" s="23">
        <v>-2.7536853513768042E-2</v>
      </c>
      <c r="M143" s="21">
        <v>0</v>
      </c>
      <c r="O143" s="21">
        <v>539693362</v>
      </c>
      <c r="Q143" s="21">
        <v>0</v>
      </c>
      <c r="S143" s="21">
        <v>539693362</v>
      </c>
      <c r="U143" s="23">
        <v>8.1281031217876366E-3</v>
      </c>
    </row>
    <row r="144" spans="1:21" ht="18.75" x14ac:dyDescent="0.45">
      <c r="A144" s="29" t="s">
        <v>305</v>
      </c>
      <c r="C144" s="21">
        <v>0</v>
      </c>
      <c r="E144" s="21">
        <v>-7279611473</v>
      </c>
      <c r="G144" s="21">
        <v>5588625307</v>
      </c>
      <c r="I144" s="21">
        <v>-1690986166</v>
      </c>
      <c r="K144" s="23">
        <v>8.6279435000629567E-2</v>
      </c>
      <c r="M144" s="21">
        <v>7980000000</v>
      </c>
      <c r="O144" s="21">
        <v>6990372585</v>
      </c>
      <c r="Q144" s="21">
        <v>36161564017</v>
      </c>
      <c r="S144" s="21">
        <v>51131936602</v>
      </c>
      <c r="U144" s="23">
        <v>0.77007738612461152</v>
      </c>
    </row>
    <row r="145" spans="1:21" ht="18.75" x14ac:dyDescent="0.45">
      <c r="A145" s="29" t="s">
        <v>154</v>
      </c>
      <c r="C145" s="21">
        <v>0</v>
      </c>
      <c r="E145" s="21">
        <v>9301126</v>
      </c>
      <c r="G145" s="21">
        <v>0</v>
      </c>
      <c r="I145" s="21">
        <v>9301126</v>
      </c>
      <c r="K145" s="23">
        <v>-4.7457271519137063E-4</v>
      </c>
      <c r="M145" s="21">
        <v>0</v>
      </c>
      <c r="O145" s="21">
        <v>9301126</v>
      </c>
      <c r="Q145" s="21">
        <v>0</v>
      </c>
      <c r="S145" s="21">
        <v>9301126</v>
      </c>
      <c r="U145" s="23">
        <v>1.4008049125632964E-4</v>
      </c>
    </row>
    <row r="146" spans="1:21" ht="18.75" x14ac:dyDescent="0.45">
      <c r="A146" s="29" t="s">
        <v>306</v>
      </c>
      <c r="C146" s="21">
        <v>0</v>
      </c>
      <c r="E146" s="21">
        <v>2953404</v>
      </c>
      <c r="G146" s="21">
        <v>0</v>
      </c>
      <c r="I146" s="21">
        <v>2953404</v>
      </c>
      <c r="K146" s="23">
        <v>-1.5069196518110331E-4</v>
      </c>
      <c r="M146" s="21">
        <v>0</v>
      </c>
      <c r="O146" s="21">
        <v>2953404</v>
      </c>
      <c r="Q146" s="21">
        <v>0</v>
      </c>
      <c r="S146" s="21">
        <v>2953404</v>
      </c>
      <c r="U146" s="23">
        <v>4.448002136498409E-5</v>
      </c>
    </row>
    <row r="147" spans="1:21" ht="18.75" x14ac:dyDescent="0.45">
      <c r="A147" s="29" t="s">
        <v>155</v>
      </c>
      <c r="C147" s="21">
        <v>0</v>
      </c>
      <c r="E147" s="21">
        <v>1000132947</v>
      </c>
      <c r="G147" s="21">
        <v>0</v>
      </c>
      <c r="I147" s="21">
        <v>1000132947</v>
      </c>
      <c r="K147" s="23">
        <v>-5.1029929947206086E-2</v>
      </c>
      <c r="M147" s="21">
        <v>0</v>
      </c>
      <c r="O147" s="21">
        <v>1000132947</v>
      </c>
      <c r="Q147" s="21">
        <v>0</v>
      </c>
      <c r="S147" s="21">
        <v>1000132947</v>
      </c>
      <c r="U147" s="23">
        <v>1.506259720999379E-2</v>
      </c>
    </row>
    <row r="148" spans="1:21" ht="18.75" x14ac:dyDescent="0.45">
      <c r="A148" s="29" t="s">
        <v>307</v>
      </c>
      <c r="C148" s="21">
        <v>2478702000</v>
      </c>
      <c r="E148" s="21">
        <v>-1510006843</v>
      </c>
      <c r="G148" s="21">
        <v>0</v>
      </c>
      <c r="I148" s="21">
        <v>968695157</v>
      </c>
      <c r="K148" s="23">
        <v>-4.9425874980106824E-2</v>
      </c>
      <c r="M148" s="21">
        <v>2478702000</v>
      </c>
      <c r="O148" s="21">
        <v>-1510006843</v>
      </c>
      <c r="Q148" s="21">
        <v>21381590</v>
      </c>
      <c r="S148" s="21">
        <v>990076747</v>
      </c>
      <c r="U148" s="23">
        <v>1.4911144855066881E-2</v>
      </c>
    </row>
    <row r="149" spans="1:21" ht="18.75" x14ac:dyDescent="0.45">
      <c r="A149" s="29" t="s">
        <v>157</v>
      </c>
      <c r="C149" s="21">
        <v>0</v>
      </c>
      <c r="E149" s="21">
        <v>-11592373298</v>
      </c>
      <c r="G149" s="21">
        <v>-559776405</v>
      </c>
      <c r="I149" s="21">
        <v>-12152149703</v>
      </c>
      <c r="K149" s="23">
        <v>0.62004091547246198</v>
      </c>
      <c r="M149" s="21">
        <v>10382562840</v>
      </c>
      <c r="O149" s="21">
        <v>-13209475989</v>
      </c>
      <c r="Q149" s="21">
        <v>-559776405</v>
      </c>
      <c r="S149" s="21">
        <v>-3386689554</v>
      </c>
      <c r="U149" s="23">
        <v>-5.1005559591064564E-2</v>
      </c>
    </row>
    <row r="150" spans="1:21" ht="18.75" x14ac:dyDescent="0.45">
      <c r="A150" s="29" t="s">
        <v>158</v>
      </c>
      <c r="C150" s="21">
        <v>0</v>
      </c>
      <c r="E150" s="21">
        <v>-487024557</v>
      </c>
      <c r="G150" s="21">
        <v>0</v>
      </c>
      <c r="I150" s="21">
        <v>-487024557</v>
      </c>
      <c r="K150" s="23">
        <v>2.4849525356431517E-2</v>
      </c>
      <c r="M150" s="21">
        <v>0</v>
      </c>
      <c r="O150" s="21">
        <v>-487024557</v>
      </c>
      <c r="Q150" s="21">
        <v>0</v>
      </c>
      <c r="S150" s="21">
        <v>-487024557</v>
      </c>
      <c r="U150" s="23">
        <v>-7.3348795832307101E-3</v>
      </c>
    </row>
    <row r="151" spans="1:21" ht="18.75" x14ac:dyDescent="0.45">
      <c r="A151" s="29" t="s">
        <v>159</v>
      </c>
      <c r="C151" s="21">
        <v>0</v>
      </c>
      <c r="E151" s="21">
        <v>-1288288800</v>
      </c>
      <c r="G151" s="21">
        <v>0</v>
      </c>
      <c r="I151" s="21">
        <v>-1288288800</v>
      </c>
      <c r="K151" s="23">
        <v>6.5732548270675248E-2</v>
      </c>
      <c r="M151" s="21">
        <v>20250000</v>
      </c>
      <c r="O151" s="21">
        <v>-1082520450</v>
      </c>
      <c r="Q151" s="21">
        <v>0</v>
      </c>
      <c r="S151" s="21">
        <v>-1062270450</v>
      </c>
      <c r="U151" s="23">
        <v>-1.5998424973823856E-2</v>
      </c>
    </row>
    <row r="152" spans="1:21" ht="18.75" x14ac:dyDescent="0.45">
      <c r="A152" s="29" t="s">
        <v>160</v>
      </c>
      <c r="C152" s="21">
        <v>0</v>
      </c>
      <c r="E152" s="21">
        <v>-89080146</v>
      </c>
      <c r="G152" s="21">
        <v>0</v>
      </c>
      <c r="I152" s="21">
        <v>-89080146</v>
      </c>
      <c r="K152" s="23">
        <v>4.5451493460967746E-3</v>
      </c>
      <c r="M152" s="21">
        <v>0</v>
      </c>
      <c r="O152" s="21">
        <v>-89080146</v>
      </c>
      <c r="Q152" s="21">
        <v>0</v>
      </c>
      <c r="S152" s="21">
        <v>-89080146</v>
      </c>
      <c r="U152" s="23">
        <v>-1.3415999969106503E-3</v>
      </c>
    </row>
    <row r="153" spans="1:21" ht="18.75" x14ac:dyDescent="0.45">
      <c r="A153" s="29" t="s">
        <v>161</v>
      </c>
      <c r="C153" s="21">
        <v>0</v>
      </c>
      <c r="E153" s="21">
        <v>-54820434</v>
      </c>
      <c r="G153" s="21">
        <v>0</v>
      </c>
      <c r="I153" s="21">
        <v>-54820434</v>
      </c>
      <c r="K153" s="23">
        <v>2.7971110391741098E-3</v>
      </c>
      <c r="M153" s="21">
        <v>0</v>
      </c>
      <c r="O153" s="21">
        <v>-54820434</v>
      </c>
      <c r="Q153" s="21">
        <v>0</v>
      </c>
      <c r="S153" s="21">
        <v>-54820434</v>
      </c>
      <c r="U153" s="23">
        <v>-8.2562835140661433E-4</v>
      </c>
    </row>
    <row r="154" spans="1:21" ht="18.75" x14ac:dyDescent="0.45">
      <c r="A154" s="29" t="s">
        <v>162</v>
      </c>
      <c r="C154" s="21">
        <v>0</v>
      </c>
      <c r="E154" s="21">
        <v>681399234</v>
      </c>
      <c r="G154" s="21">
        <v>0</v>
      </c>
      <c r="I154" s="21">
        <v>681399234</v>
      </c>
      <c r="K154" s="23">
        <v>-3.4767132991070121E-2</v>
      </c>
      <c r="M154" s="21">
        <v>0</v>
      </c>
      <c r="O154" s="21">
        <v>681399234</v>
      </c>
      <c r="Q154" s="21">
        <v>0</v>
      </c>
      <c r="S154" s="21">
        <v>681399234</v>
      </c>
      <c r="U154" s="23">
        <v>1.0262277861885402E-2</v>
      </c>
    </row>
    <row r="155" spans="1:21" ht="18.75" x14ac:dyDescent="0.45">
      <c r="A155" s="29" t="s">
        <v>163</v>
      </c>
      <c r="C155" s="21">
        <v>0</v>
      </c>
      <c r="E155" s="21">
        <v>102788759</v>
      </c>
      <c r="G155" s="21">
        <v>0</v>
      </c>
      <c r="I155" s="21">
        <v>102788759</v>
      </c>
      <c r="K155" s="23">
        <v>-5.2446059165074674E-3</v>
      </c>
      <c r="M155" s="21">
        <v>0</v>
      </c>
      <c r="O155" s="21">
        <v>102788759</v>
      </c>
      <c r="Q155" s="21">
        <v>0</v>
      </c>
      <c r="S155" s="21">
        <v>102788759</v>
      </c>
      <c r="U155" s="23">
        <v>1.548059864617303E-3</v>
      </c>
    </row>
    <row r="156" spans="1:21" ht="18.75" x14ac:dyDescent="0.45">
      <c r="A156" s="29" t="s">
        <v>164</v>
      </c>
      <c r="C156" s="21">
        <v>0</v>
      </c>
      <c r="E156" s="21">
        <v>320008979</v>
      </c>
      <c r="G156" s="21">
        <v>0</v>
      </c>
      <c r="I156" s="21">
        <v>320008979</v>
      </c>
      <c r="K156" s="23">
        <v>-1.6327865040173448E-2</v>
      </c>
      <c r="M156" s="21">
        <v>0</v>
      </c>
      <c r="O156" s="21">
        <v>320008979</v>
      </c>
      <c r="Q156" s="21">
        <v>0</v>
      </c>
      <c r="S156" s="21">
        <v>320008979</v>
      </c>
      <c r="U156" s="23">
        <v>4.8195256127867188E-3</v>
      </c>
    </row>
    <row r="157" spans="1:21" ht="18.75" x14ac:dyDescent="0.45">
      <c r="A157" s="29" t="s">
        <v>165</v>
      </c>
      <c r="C157" s="21">
        <v>0</v>
      </c>
      <c r="E157" s="21">
        <v>-144354427</v>
      </c>
      <c r="G157" s="21">
        <v>0</v>
      </c>
      <c r="I157" s="21">
        <v>-144354427</v>
      </c>
      <c r="K157" s="23">
        <v>7.3654170872735729E-3</v>
      </c>
      <c r="M157" s="21">
        <v>0</v>
      </c>
      <c r="O157" s="21">
        <v>-144354427</v>
      </c>
      <c r="Q157" s="21">
        <v>0</v>
      </c>
      <c r="S157" s="21">
        <v>-144354427</v>
      </c>
      <c r="U157" s="23">
        <v>-2.1740635541531183E-3</v>
      </c>
    </row>
    <row r="158" spans="1:21" ht="18.75" x14ac:dyDescent="0.45">
      <c r="A158" s="29" t="s">
        <v>166</v>
      </c>
      <c r="C158" s="21">
        <v>0</v>
      </c>
      <c r="E158" s="21">
        <v>68138630</v>
      </c>
      <c r="G158" s="21">
        <v>0</v>
      </c>
      <c r="I158" s="21">
        <v>68138630</v>
      </c>
      <c r="K158" s="23">
        <v>-3.4766473057692348E-3</v>
      </c>
      <c r="M158" s="21">
        <v>1064000000</v>
      </c>
      <c r="O158" s="21">
        <v>-518291267</v>
      </c>
      <c r="Q158" s="21">
        <v>-1783269771</v>
      </c>
      <c r="S158" s="21">
        <v>-1237561038</v>
      </c>
      <c r="U158" s="23">
        <v>-1.8638405518077408E-2</v>
      </c>
    </row>
    <row r="159" spans="1:21" ht="37.5" x14ac:dyDescent="0.45">
      <c r="A159" s="29" t="s">
        <v>168</v>
      </c>
      <c r="C159" s="21">
        <v>0</v>
      </c>
      <c r="E159" s="21">
        <v>-218478270</v>
      </c>
      <c r="G159" s="21">
        <v>-138861952</v>
      </c>
      <c r="I159" s="21">
        <v>-357340222</v>
      </c>
      <c r="K159" s="23">
        <v>1.8232622523512439E-2</v>
      </c>
      <c r="M159" s="21">
        <v>0</v>
      </c>
      <c r="O159" s="21">
        <v>-8184397350</v>
      </c>
      <c r="Q159" s="21">
        <v>-138861952</v>
      </c>
      <c r="S159" s="21">
        <v>-8323259302</v>
      </c>
      <c r="U159" s="23">
        <v>-0.12535323700356016</v>
      </c>
    </row>
    <row r="160" spans="1:21" ht="18.75" x14ac:dyDescent="0.45">
      <c r="A160" s="29" t="s">
        <v>169</v>
      </c>
      <c r="C160" s="21">
        <v>0</v>
      </c>
      <c r="E160" s="21">
        <v>-608958740</v>
      </c>
      <c r="G160" s="21">
        <v>0</v>
      </c>
      <c r="I160" s="21">
        <v>-608958740</v>
      </c>
      <c r="K160" s="23">
        <v>3.107099104789204E-2</v>
      </c>
      <c r="M160" s="21">
        <v>0</v>
      </c>
      <c r="O160" s="21">
        <v>-608958740</v>
      </c>
      <c r="Q160" s="21">
        <v>0</v>
      </c>
      <c r="S160" s="21">
        <v>-608958740</v>
      </c>
      <c r="U160" s="23">
        <v>-9.1712809238403518E-3</v>
      </c>
    </row>
    <row r="161" spans="1:21" ht="18.75" x14ac:dyDescent="0.45">
      <c r="A161" s="29" t="s">
        <v>282</v>
      </c>
      <c r="L161" s="22"/>
      <c r="M161" s="21">
        <v>0</v>
      </c>
      <c r="O161" s="21">
        <v>0</v>
      </c>
      <c r="Q161" s="21">
        <v>2768386</v>
      </c>
      <c r="S161" s="21">
        <v>2768386</v>
      </c>
      <c r="U161" s="23">
        <v>4.1693540208695744E-5</v>
      </c>
    </row>
    <row r="162" spans="1:21" ht="18.75" x14ac:dyDescent="0.45">
      <c r="A162" s="29" t="s">
        <v>231</v>
      </c>
      <c r="L162" s="22"/>
      <c r="M162" s="21">
        <v>712500000</v>
      </c>
      <c r="O162" s="21">
        <v>0</v>
      </c>
      <c r="Q162" s="21">
        <v>-2779810960</v>
      </c>
      <c r="S162" s="21">
        <v>-2067310960</v>
      </c>
      <c r="U162" s="23">
        <v>-3.1134933002347723E-2</v>
      </c>
    </row>
    <row r="163" spans="1:21" ht="18.75" x14ac:dyDescent="0.45">
      <c r="A163" s="29" t="s">
        <v>247</v>
      </c>
      <c r="L163" s="22"/>
      <c r="M163" s="21">
        <v>1169457258</v>
      </c>
      <c r="O163" s="21">
        <v>0</v>
      </c>
      <c r="Q163" s="21">
        <v>-2912771308</v>
      </c>
      <c r="S163" s="21">
        <v>-1743314050</v>
      </c>
      <c r="U163" s="23">
        <v>-2.6255346776085136E-2</v>
      </c>
    </row>
    <row r="164" spans="1:21" ht="18.75" x14ac:dyDescent="0.45">
      <c r="A164" s="29" t="s">
        <v>248</v>
      </c>
      <c r="L164" s="22"/>
      <c r="M164" s="21">
        <v>8079063930</v>
      </c>
      <c r="O164" s="21">
        <v>0</v>
      </c>
      <c r="Q164" s="21">
        <v>3747512487</v>
      </c>
      <c r="S164" s="21">
        <v>11826576417</v>
      </c>
      <c r="U164" s="23">
        <v>0.17811527705074451</v>
      </c>
    </row>
    <row r="165" spans="1:21" ht="18.75" x14ac:dyDescent="0.45">
      <c r="A165" s="29" t="s">
        <v>253</v>
      </c>
      <c r="L165" s="22"/>
      <c r="M165" s="21">
        <v>5683165600</v>
      </c>
      <c r="O165" s="21">
        <v>0</v>
      </c>
      <c r="Q165" s="21">
        <v>-14873095043</v>
      </c>
      <c r="S165" s="21">
        <v>-9189929443</v>
      </c>
      <c r="U165" s="23">
        <v>-0.13840580495162069</v>
      </c>
    </row>
    <row r="166" spans="1:21" ht="18.75" x14ac:dyDescent="0.45">
      <c r="A166" s="29" t="s">
        <v>257</v>
      </c>
      <c r="L166" s="22"/>
      <c r="M166" s="21">
        <v>584000000</v>
      </c>
      <c r="O166" s="21">
        <v>0</v>
      </c>
      <c r="Q166" s="21">
        <v>-1158523048</v>
      </c>
      <c r="S166" s="21">
        <v>-574523048</v>
      </c>
      <c r="U166" s="23">
        <v>-8.6526589148371788E-3</v>
      </c>
    </row>
    <row r="167" spans="1:21" ht="18.75" x14ac:dyDescent="0.45">
      <c r="A167" s="29" t="s">
        <v>263</v>
      </c>
      <c r="L167" s="22"/>
      <c r="M167" s="21">
        <v>3140568600</v>
      </c>
      <c r="O167" s="21">
        <v>0</v>
      </c>
      <c r="Q167" s="21">
        <v>-10727845278</v>
      </c>
      <c r="S167" s="21">
        <v>-7587276678</v>
      </c>
      <c r="U167" s="23">
        <v>-0.11426890081393724</v>
      </c>
    </row>
    <row r="168" spans="1:21" ht="18.75" x14ac:dyDescent="0.45">
      <c r="A168" s="29" t="s">
        <v>265</v>
      </c>
      <c r="L168" s="22"/>
      <c r="M168" s="21">
        <v>117135</v>
      </c>
      <c r="O168" s="21">
        <v>0</v>
      </c>
      <c r="Q168" s="21">
        <v>108816</v>
      </c>
      <c r="S168" s="21">
        <v>225951</v>
      </c>
      <c r="U168" s="23">
        <v>3.4029564893389189E-6</v>
      </c>
    </row>
    <row r="169" spans="1:21" ht="18.75" x14ac:dyDescent="0.45">
      <c r="A169" s="29" t="s">
        <v>269</v>
      </c>
      <c r="L169" s="22"/>
      <c r="M169" s="21">
        <v>728479800</v>
      </c>
      <c r="O169" s="21">
        <v>0</v>
      </c>
      <c r="Q169" s="21">
        <v>-386487517</v>
      </c>
      <c r="S169" s="21">
        <v>341992283</v>
      </c>
      <c r="U169" s="23">
        <v>5.1506072499731452E-3</v>
      </c>
    </row>
    <row r="170" spans="1:21" ht="18.75" x14ac:dyDescent="0.45">
      <c r="A170" s="24" t="s">
        <v>170</v>
      </c>
      <c r="C170" s="24">
        <f>SUM(C9:$C$169)</f>
        <v>3362090000</v>
      </c>
      <c r="E170" s="24">
        <f>SUM(E9:$E$169)</f>
        <v>3352082888</v>
      </c>
      <c r="G170" s="24">
        <f>SUM(G9:$G$169)</f>
        <v>-27885177855</v>
      </c>
      <c r="I170" s="24">
        <f>SUM(I9:$I$169)</f>
        <v>-21171004967</v>
      </c>
      <c r="K170" s="25">
        <f>SUM(K9:$K$169)</f>
        <v>1.0802112895276539</v>
      </c>
      <c r="M170" s="24">
        <f>SUM(M9:$M$169)</f>
        <v>238653038310</v>
      </c>
      <c r="O170" s="24">
        <f>SUM(O9:$O$169)</f>
        <v>-214092055512</v>
      </c>
      <c r="Q170" s="24">
        <f>SUM(Q9:$Q$169)</f>
        <v>35691618762</v>
      </c>
      <c r="S170" s="24">
        <f>SUM(S9:$S$169)</f>
        <v>60252601560</v>
      </c>
      <c r="U170" s="25">
        <f>SUM(U9:$U$169)</f>
        <v>0.90744002672329171</v>
      </c>
    </row>
    <row r="171" spans="1:21" ht="18.75" x14ac:dyDescent="0.45">
      <c r="C171" s="26"/>
      <c r="E171" s="26"/>
      <c r="G171" s="26"/>
      <c r="I171" s="26"/>
      <c r="K171" s="26"/>
      <c r="M171" s="26"/>
      <c r="O171" s="26"/>
      <c r="Q171" s="26"/>
      <c r="S171" s="26"/>
      <c r="U171" s="26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7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7" style="12" customWidth="1"/>
    <col min="10" max="10" width="1.42578125" style="12" customWidth="1"/>
    <col min="11" max="11" width="17" style="12" customWidth="1"/>
    <col min="12" max="12" width="1.42578125" style="12" customWidth="1"/>
    <col min="13" max="13" width="17" style="12" customWidth="1"/>
    <col min="14" max="14" width="1.42578125" style="12" customWidth="1"/>
    <col min="15" max="15" width="17" style="12" customWidth="1"/>
    <col min="16" max="16" width="1.42578125" style="12" customWidth="1"/>
    <col min="17" max="17" width="17" style="12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308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218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</row>
    <row r="8" spans="1:17" ht="21" x14ac:dyDescent="0.45">
      <c r="C8" s="28" t="s">
        <v>309</v>
      </c>
      <c r="E8" s="28" t="s">
        <v>289</v>
      </c>
      <c r="G8" s="28" t="s">
        <v>290</v>
      </c>
      <c r="I8" s="28" t="s">
        <v>170</v>
      </c>
      <c r="K8" s="28" t="s">
        <v>309</v>
      </c>
      <c r="M8" s="28" t="s">
        <v>289</v>
      </c>
      <c r="O8" s="28" t="s">
        <v>290</v>
      </c>
      <c r="Q8" s="28" t="s">
        <v>170</v>
      </c>
    </row>
    <row r="9" spans="1:17" ht="18.75" x14ac:dyDescent="0.45">
      <c r="A9" s="24" t="s">
        <v>170</v>
      </c>
      <c r="C9" s="24">
        <f>SUM($C$8)</f>
        <v>0</v>
      </c>
      <c r="E9" s="24">
        <f>SUM($E$8)</f>
        <v>0</v>
      </c>
      <c r="G9" s="24">
        <f>SUM($G$8)</f>
        <v>0</v>
      </c>
      <c r="I9" s="24">
        <f>SUM($I$8)</f>
        <v>0</v>
      </c>
      <c r="K9" s="24">
        <f>SUM($K$8)</f>
        <v>0</v>
      </c>
      <c r="M9" s="24">
        <f>SUM($M$8)</f>
        <v>0</v>
      </c>
      <c r="O9" s="24">
        <f>SUM($O$8)</f>
        <v>0</v>
      </c>
      <c r="Q9" s="24">
        <f>SUM($Q$8)</f>
        <v>0</v>
      </c>
    </row>
    <row r="10" spans="1:17" ht="18.75" x14ac:dyDescent="0.45">
      <c r="C10" s="26"/>
      <c r="E10" s="26"/>
      <c r="G10" s="26"/>
      <c r="I10" s="26"/>
      <c r="K10" s="26"/>
      <c r="M10" s="26"/>
      <c r="O10" s="26"/>
      <c r="Q10" s="26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89" zoomScaleNormal="100" zoomScaleSheetLayoutView="89" workbookViewId="0">
      <selection sqref="A1:XFD1048576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7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7" style="12" customWidth="1"/>
    <col min="8" max="8" width="1.42578125" style="12" customWidth="1"/>
    <col min="9" max="9" width="14.140625" style="12" customWidth="1"/>
    <col min="10" max="16384" width="9.140625" style="12"/>
  </cols>
  <sheetData>
    <row r="1" spans="1: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0.100000000000001" customHeight="1" x14ac:dyDescent="0.45">
      <c r="A2" s="10" t="s">
        <v>206</v>
      </c>
      <c r="B2" s="11"/>
      <c r="C2" s="11"/>
      <c r="D2" s="11"/>
      <c r="E2" s="11"/>
      <c r="F2" s="11"/>
      <c r="G2" s="11"/>
      <c r="H2" s="11"/>
      <c r="I2" s="11"/>
    </row>
    <row r="3" spans="1: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9" ht="21" x14ac:dyDescent="0.45">
      <c r="A5" s="13" t="s">
        <v>310</v>
      </c>
      <c r="B5" s="11"/>
      <c r="C5" s="11"/>
      <c r="D5" s="11"/>
      <c r="E5" s="11"/>
      <c r="F5" s="11"/>
      <c r="G5" s="11"/>
      <c r="H5" s="11"/>
      <c r="I5" s="11"/>
    </row>
    <row r="7" spans="1:9" ht="21" x14ac:dyDescent="0.45">
      <c r="A7" s="14" t="s">
        <v>311</v>
      </c>
      <c r="B7" s="15"/>
      <c r="C7" s="14" t="s">
        <v>218</v>
      </c>
      <c r="D7" s="15"/>
      <c r="E7" s="15"/>
      <c r="G7" s="14" t="s">
        <v>7</v>
      </c>
      <c r="H7" s="15"/>
      <c r="I7" s="15"/>
    </row>
    <row r="8" spans="1:9" ht="42" x14ac:dyDescent="0.45">
      <c r="A8" s="28" t="s">
        <v>312</v>
      </c>
      <c r="C8" s="28" t="s">
        <v>313</v>
      </c>
      <c r="E8" s="28" t="s">
        <v>314</v>
      </c>
      <c r="G8" s="28" t="s">
        <v>313</v>
      </c>
      <c r="I8" s="28" t="s">
        <v>314</v>
      </c>
    </row>
    <row r="9" spans="1:9" ht="18.75" x14ac:dyDescent="0.45">
      <c r="A9" s="44" t="s">
        <v>334</v>
      </c>
      <c r="C9" s="21">
        <v>34483</v>
      </c>
      <c r="E9" s="23">
        <f>C9/C16</f>
        <v>2.193495670790918E-5</v>
      </c>
      <c r="G9" s="21">
        <v>206018</v>
      </c>
      <c r="I9" s="23">
        <f>G9/G16</f>
        <v>3.3521548682206752E-5</v>
      </c>
    </row>
    <row r="10" spans="1:9" ht="18.75" x14ac:dyDescent="0.45">
      <c r="A10" s="44" t="s">
        <v>338</v>
      </c>
      <c r="C10" s="21">
        <v>8955</v>
      </c>
      <c r="E10" s="23">
        <f>C10/C16</f>
        <v>5.6963587077495204E-6</v>
      </c>
      <c r="G10" s="21">
        <v>3782430</v>
      </c>
      <c r="I10" s="23">
        <f>G10/G16</f>
        <v>6.1544579299886075E-4</v>
      </c>
    </row>
    <row r="11" spans="1:9" ht="18.75" x14ac:dyDescent="0.45">
      <c r="A11" s="44" t="s">
        <v>335</v>
      </c>
      <c r="C11" s="21">
        <v>1571710432</v>
      </c>
      <c r="E11" s="23">
        <f>C11/C16</f>
        <v>0.99977960975811964</v>
      </c>
      <c r="G11" s="21">
        <v>6127462634</v>
      </c>
      <c r="I11" s="23">
        <f>G11/G16</f>
        <v>0.9970101495210798</v>
      </c>
    </row>
    <row r="12" spans="1:9" ht="18.75" x14ac:dyDescent="0.45">
      <c r="A12" s="44" t="s">
        <v>337</v>
      </c>
      <c r="C12" s="21">
        <v>68155</v>
      </c>
      <c r="E12" s="23">
        <f>C12/C16</f>
        <v>4.3354028780197496E-5</v>
      </c>
      <c r="G12" s="21">
        <v>403053</v>
      </c>
      <c r="I12" s="23">
        <f>G12/G16</f>
        <v>6.5581457741602578E-5</v>
      </c>
    </row>
    <row r="13" spans="1:9" ht="18.75" x14ac:dyDescent="0.45">
      <c r="A13" s="44" t="s">
        <v>339</v>
      </c>
      <c r="C13" s="21">
        <v>40891</v>
      </c>
      <c r="E13" s="23">
        <f>C13/C16</f>
        <v>2.601114504953497E-5</v>
      </c>
      <c r="G13" s="21">
        <v>204908</v>
      </c>
      <c r="I13" s="23">
        <f>G13/G16</f>
        <v>3.3340938643097312E-5</v>
      </c>
    </row>
    <row r="14" spans="1:9" ht="18.75" x14ac:dyDescent="0.45">
      <c r="A14" s="44" t="s">
        <v>336</v>
      </c>
      <c r="C14" s="21">
        <v>193982</v>
      </c>
      <c r="E14" s="23">
        <f>C14/C16</f>
        <v>1.2339375263502707E-4</v>
      </c>
      <c r="G14" s="21">
        <v>10618028</v>
      </c>
      <c r="I14" s="23">
        <f>G14/G16</f>
        <v>1.7276778849956529E-3</v>
      </c>
    </row>
    <row r="15" spans="1:9" ht="18.75" x14ac:dyDescent="0.45">
      <c r="A15" s="44" t="s">
        <v>340</v>
      </c>
      <c r="F15" s="22"/>
      <c r="G15" s="21">
        <v>3160699</v>
      </c>
      <c r="I15" s="23">
        <f>G15/G16</f>
        <v>5.1428285585872213E-4</v>
      </c>
    </row>
    <row r="16" spans="1:9" ht="19.5" thickBot="1" x14ac:dyDescent="0.5">
      <c r="A16" s="24" t="s">
        <v>170</v>
      </c>
      <c r="C16" s="24">
        <f>SUM(C9:$C$15)</f>
        <v>1572056898</v>
      </c>
      <c r="E16" s="25">
        <f>SUM(E9:$E$15)</f>
        <v>1</v>
      </c>
      <c r="G16" s="24">
        <f>SUM(G9:$G$15)</f>
        <v>6145837770</v>
      </c>
      <c r="I16" s="25">
        <f>SUM(I9:$I$15)</f>
        <v>0.99999999999999989</v>
      </c>
    </row>
    <row r="17" spans="3:9" ht="19.5" thickTop="1" x14ac:dyDescent="0.45">
      <c r="C17" s="26"/>
      <c r="E17" s="26"/>
      <c r="G17" s="26"/>
      <c r="I17" s="26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16384" width="9.140625" style="12"/>
  </cols>
  <sheetData>
    <row r="1" spans="1:5" ht="20.100000000000001" customHeight="1" x14ac:dyDescent="0.45">
      <c r="A1" s="10" t="s">
        <v>0</v>
      </c>
      <c r="B1" s="11"/>
      <c r="C1" s="11"/>
      <c r="D1" s="11"/>
      <c r="E1" s="11"/>
    </row>
    <row r="2" spans="1:5" ht="20.100000000000001" customHeight="1" x14ac:dyDescent="0.45">
      <c r="A2" s="10" t="s">
        <v>206</v>
      </c>
      <c r="B2" s="11"/>
      <c r="C2" s="11"/>
      <c r="D2" s="11"/>
      <c r="E2" s="11"/>
    </row>
    <row r="3" spans="1:5" ht="20.100000000000001" customHeight="1" x14ac:dyDescent="0.45">
      <c r="A3" s="10" t="s">
        <v>2</v>
      </c>
      <c r="B3" s="11"/>
      <c r="C3" s="11"/>
      <c r="D3" s="11"/>
      <c r="E3" s="11"/>
    </row>
    <row r="5" spans="1:5" ht="21" x14ac:dyDescent="0.45">
      <c r="A5" s="13" t="s">
        <v>315</v>
      </c>
      <c r="B5" s="11"/>
      <c r="C5" s="11"/>
      <c r="D5" s="11"/>
      <c r="E5" s="11"/>
    </row>
    <row r="7" spans="1:5" ht="21" x14ac:dyDescent="0.45">
      <c r="C7" s="27" t="s">
        <v>218</v>
      </c>
      <c r="E7" s="27" t="s">
        <v>7</v>
      </c>
    </row>
    <row r="8" spans="1:5" ht="21" x14ac:dyDescent="0.45">
      <c r="A8" s="28" t="s">
        <v>215</v>
      </c>
      <c r="C8" s="28" t="s">
        <v>203</v>
      </c>
      <c r="E8" s="28" t="s">
        <v>203</v>
      </c>
    </row>
    <row r="9" spans="1:5" ht="18.75" x14ac:dyDescent="0.45">
      <c r="A9" s="24" t="s">
        <v>170</v>
      </c>
      <c r="C9" s="24">
        <f>SUM($C$8)</f>
        <v>0</v>
      </c>
      <c r="E9" s="24">
        <f>SUM($E$8)</f>
        <v>0</v>
      </c>
    </row>
    <row r="10" spans="1:5" ht="18.75" x14ac:dyDescent="0.45">
      <c r="C10" s="26"/>
      <c r="E10" s="26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2025-09-24T05:14:32Z</cp:lastPrinted>
  <dcterms:created xsi:type="dcterms:W3CDTF">2025-09-24T04:45:15Z</dcterms:created>
  <dcterms:modified xsi:type="dcterms:W3CDTF">2025-09-24T05:20:57Z</dcterms:modified>
</cp:coreProperties>
</file>