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صندوقها\هم تراز\"/>
    </mc:Choice>
  </mc:AlternateContent>
  <xr:revisionPtr revIDLastSave="0" documentId="13_ncr:1_{326E65AC-EB05-4603-A09D-2A48ECF0BB96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1" sheetId="29" r:id="rId1"/>
    <sheet name=" سهام" sheetId="21" r:id="rId2"/>
    <sheet name="اوراق مشتقه" sheetId="9" state="hidden" r:id="rId3"/>
    <sheet name="واحدهای صندوق" sheetId="1" state="hidden" r:id="rId4"/>
    <sheet name="اوراق" sheetId="3" state="hidden" r:id="rId5"/>
    <sheet name="گواهی سپرده کالا" sheetId="28" state="hidden" r:id="rId6"/>
    <sheet name="تعدیل قیمت" sheetId="4" r:id="rId7"/>
    <sheet name="سپرده" sheetId="2" r:id="rId8"/>
    <sheet name="درآمدها" sheetId="11" r:id="rId9"/>
    <sheet name="درآمد سرمایه گذاری در سهام " sheetId="5" r:id="rId10"/>
    <sheet name="درآمد سرمایه گذاری در صندوق" sheetId="18" state="hidden" r:id="rId11"/>
    <sheet name="درآمد سرمایه گذاری در اوراق بها" sheetId="6" state="hidden" r:id="rId12"/>
    <sheet name="درآمد سپرده بانکی" sheetId="7" r:id="rId13"/>
    <sheet name="سایر درآمدها" sheetId="8" r:id="rId14"/>
    <sheet name="درآمد سود سهام" sheetId="12" r:id="rId15"/>
    <sheet name="درآمد سود صندوق" sheetId="20" state="hidden" r:id="rId16"/>
    <sheet name="سود اوراق بهادار" sheetId="13" state="hidden" r:id="rId17"/>
    <sheet name="سود  سپرده بانکی" sheetId="22" r:id="rId18"/>
    <sheet name="درآمد ناشی ازفروش" sheetId="15" r:id="rId19"/>
    <sheet name="درآمد ناشی از تغییر قیمت اوراق " sheetId="14" r:id="rId20"/>
  </sheets>
  <definedNames>
    <definedName name="_xlnm.Print_Area" localSheetId="1">' سهام'!$A$1:$N$234</definedName>
    <definedName name="_xlnm.Print_Area" localSheetId="4">اوراق!$A$1:$S$9</definedName>
    <definedName name="_xlnm.Print_Area" localSheetId="6">'تعدیل قیمت'!$A$1:$J$12</definedName>
    <definedName name="_xlnm.Print_Area" localSheetId="11">'درآمد سرمایه گذاری در اوراق بها'!$A$1:$L$10</definedName>
    <definedName name="_xlnm.Print_Area" localSheetId="19">'درآمد ناشی از تغییر قیمت اوراق '!$A$1:$I$235</definedName>
    <definedName name="_xlnm.Print_Area" localSheetId="13">'سایر درآمدها'!$A$1:$C$10</definedName>
    <definedName name="_xlnm.Print_Area" localSheetId="7">سپرده!$A$1:$F$17</definedName>
    <definedName name="_xlnm.Print_Area" localSheetId="5">'گواهی سپرده کالا'!$A$1:$S$9</definedName>
    <definedName name="_xlnm.Print_Area" localSheetId="3">'واحدهای صندوق'!$A$1:$M$9</definedName>
    <definedName name="_xlnm.Print_Titles" localSheetId="1">' سهام'!$1:$9</definedName>
    <definedName name="_xlnm.Print_Titles" localSheetId="9">'درآمد سرمایه گذاری در سهام '!$1:$10</definedName>
    <definedName name="_xlnm.Print_Titles" localSheetId="14">'درآمد سود سهام'!$1:$6</definedName>
    <definedName name="_xlnm.Print_Titles" localSheetId="19">'درآمد ناشی از تغییر قیمت اوراق '!$1:$6</definedName>
    <definedName name="_xlnm.Print_Titles" localSheetId="18">'درآمد ناشی ازفروش'!$1:$5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1" l="1"/>
  <c r="C9" i="11"/>
  <c r="C11" i="11" s="1"/>
  <c r="K14" i="5" s="1"/>
  <c r="E7" i="11"/>
  <c r="E8" i="11"/>
  <c r="C6" i="11"/>
  <c r="C14" i="7"/>
  <c r="C13" i="7"/>
  <c r="C9" i="7"/>
  <c r="C10" i="7"/>
  <c r="C11" i="7"/>
  <c r="C12" i="7"/>
  <c r="C8" i="7"/>
  <c r="E14" i="7"/>
  <c r="E9" i="7"/>
  <c r="E10" i="7"/>
  <c r="E11" i="7"/>
  <c r="E12" i="7"/>
  <c r="E13" i="7"/>
  <c r="E8" i="7"/>
  <c r="E9" i="11"/>
  <c r="E10" i="11"/>
  <c r="E6" i="11"/>
  <c r="E15" i="2"/>
  <c r="F15" i="2"/>
  <c r="F10" i="2"/>
  <c r="F11" i="2"/>
  <c r="F12" i="2"/>
  <c r="F13" i="2"/>
  <c r="F14" i="2"/>
  <c r="F9" i="2"/>
  <c r="N233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10" i="21"/>
  <c r="I232" i="14"/>
  <c r="H232" i="14"/>
  <c r="G232" i="14"/>
  <c r="F232" i="14"/>
  <c r="E232" i="14"/>
  <c r="D232" i="14"/>
  <c r="C232" i="14"/>
  <c r="B232" i="14"/>
  <c r="I147" i="15"/>
  <c r="H147" i="15"/>
  <c r="G147" i="15"/>
  <c r="F147" i="15"/>
  <c r="E147" i="15"/>
  <c r="D147" i="15"/>
  <c r="C147" i="15"/>
  <c r="B147" i="15"/>
  <c r="G13" i="22"/>
  <c r="F13" i="22"/>
  <c r="E13" i="22"/>
  <c r="D13" i="22"/>
  <c r="C13" i="22"/>
  <c r="B13" i="22"/>
  <c r="J181" i="12"/>
  <c r="I181" i="12"/>
  <c r="H181" i="12"/>
  <c r="G181" i="12"/>
  <c r="F181" i="12"/>
  <c r="E181" i="12"/>
  <c r="D181" i="12"/>
  <c r="C181" i="12"/>
  <c r="B181" i="12"/>
  <c r="C9" i="8"/>
  <c r="B9" i="8"/>
  <c r="D14" i="7"/>
  <c r="B14" i="7"/>
  <c r="J232" i="5"/>
  <c r="I232" i="5"/>
  <c r="H232" i="5"/>
  <c r="G232" i="5"/>
  <c r="F232" i="5"/>
  <c r="E232" i="5"/>
  <c r="D232" i="5"/>
  <c r="C232" i="5"/>
  <c r="B232" i="5"/>
  <c r="D15" i="2"/>
  <c r="C15" i="2"/>
  <c r="B15" i="2"/>
  <c r="M233" i="21"/>
  <c r="L233" i="21"/>
  <c r="J233" i="21"/>
  <c r="I233" i="21"/>
  <c r="H233" i="21"/>
  <c r="G233" i="21"/>
  <c r="F233" i="21"/>
  <c r="E233" i="21"/>
  <c r="D233" i="21"/>
  <c r="C233" i="21"/>
  <c r="B233" i="21"/>
  <c r="D8" i="11" l="1"/>
  <c r="D7" i="11"/>
  <c r="D10" i="11"/>
  <c r="E11" i="11"/>
  <c r="K204" i="5"/>
  <c r="K230" i="5"/>
  <c r="K198" i="5"/>
  <c r="K166" i="5"/>
  <c r="K134" i="5"/>
  <c r="K102" i="5"/>
  <c r="K70" i="5"/>
  <c r="K38" i="5"/>
  <c r="K44" i="5"/>
  <c r="K228" i="5"/>
  <c r="K196" i="5"/>
  <c r="K164" i="5"/>
  <c r="K132" i="5"/>
  <c r="K100" i="5"/>
  <c r="K68" i="5"/>
  <c r="K36" i="5"/>
  <c r="K12" i="5"/>
  <c r="K222" i="5"/>
  <c r="K190" i="5"/>
  <c r="K158" i="5"/>
  <c r="K126" i="5"/>
  <c r="K94" i="5"/>
  <c r="K62" i="5"/>
  <c r="K30" i="5"/>
  <c r="K76" i="5"/>
  <c r="K220" i="5"/>
  <c r="K188" i="5"/>
  <c r="K156" i="5"/>
  <c r="K124" i="5"/>
  <c r="K92" i="5"/>
  <c r="K60" i="5"/>
  <c r="K28" i="5"/>
  <c r="K140" i="5"/>
  <c r="K214" i="5"/>
  <c r="K182" i="5"/>
  <c r="K150" i="5"/>
  <c r="K118" i="5"/>
  <c r="K86" i="5"/>
  <c r="K54" i="5"/>
  <c r="K22" i="5"/>
  <c r="K172" i="5"/>
  <c r="K212" i="5"/>
  <c r="K180" i="5"/>
  <c r="K148" i="5"/>
  <c r="K116" i="5"/>
  <c r="K84" i="5"/>
  <c r="K52" i="5"/>
  <c r="K20" i="5"/>
  <c r="K108" i="5"/>
  <c r="K206" i="5"/>
  <c r="K174" i="5"/>
  <c r="K142" i="5"/>
  <c r="K110" i="5"/>
  <c r="K78" i="5"/>
  <c r="K46" i="5"/>
  <c r="K227" i="5"/>
  <c r="K219" i="5"/>
  <c r="K211" i="5"/>
  <c r="K203" i="5"/>
  <c r="K195" i="5"/>
  <c r="K187" i="5"/>
  <c r="K179" i="5"/>
  <c r="K171" i="5"/>
  <c r="K163" i="5"/>
  <c r="K155" i="5"/>
  <c r="K147" i="5"/>
  <c r="K139" i="5"/>
  <c r="K131" i="5"/>
  <c r="K123" i="5"/>
  <c r="K115" i="5"/>
  <c r="K107" i="5"/>
  <c r="K99" i="5"/>
  <c r="K91" i="5"/>
  <c r="K83" i="5"/>
  <c r="K75" i="5"/>
  <c r="K67" i="5"/>
  <c r="K59" i="5"/>
  <c r="K51" i="5"/>
  <c r="K43" i="5"/>
  <c r="K35" i="5"/>
  <c r="K27" i="5"/>
  <c r="K19" i="5"/>
  <c r="K226" i="5"/>
  <c r="K218" i="5"/>
  <c r="K210" i="5"/>
  <c r="K202" i="5"/>
  <c r="K194" i="5"/>
  <c r="K186" i="5"/>
  <c r="K178" i="5"/>
  <c r="K170" i="5"/>
  <c r="K162" i="5"/>
  <c r="K154" i="5"/>
  <c r="K146" i="5"/>
  <c r="K138" i="5"/>
  <c r="K130" i="5"/>
  <c r="K122" i="5"/>
  <c r="K114" i="5"/>
  <c r="K106" i="5"/>
  <c r="K98" i="5"/>
  <c r="K90" i="5"/>
  <c r="K82" i="5"/>
  <c r="K74" i="5"/>
  <c r="K66" i="5"/>
  <c r="K58" i="5"/>
  <c r="K50" i="5"/>
  <c r="K42" i="5"/>
  <c r="K34" i="5"/>
  <c r="K26" i="5"/>
  <c r="K18" i="5"/>
  <c r="K225" i="5"/>
  <c r="K217" i="5"/>
  <c r="K209" i="5"/>
  <c r="K201" i="5"/>
  <c r="K193" i="5"/>
  <c r="K185" i="5"/>
  <c r="K177" i="5"/>
  <c r="K169" i="5"/>
  <c r="K161" i="5"/>
  <c r="K153" i="5"/>
  <c r="K145" i="5"/>
  <c r="K137" i="5"/>
  <c r="K129" i="5"/>
  <c r="K121" i="5"/>
  <c r="K113" i="5"/>
  <c r="K105" i="5"/>
  <c r="K97" i="5"/>
  <c r="K89" i="5"/>
  <c r="K81" i="5"/>
  <c r="K73" i="5"/>
  <c r="K65" i="5"/>
  <c r="K57" i="5"/>
  <c r="K49" i="5"/>
  <c r="K41" i="5"/>
  <c r="K33" i="5"/>
  <c r="K25" i="5"/>
  <c r="K17" i="5"/>
  <c r="K11" i="5"/>
  <c r="K224" i="5"/>
  <c r="K216" i="5"/>
  <c r="K208" i="5"/>
  <c r="K200" i="5"/>
  <c r="K192" i="5"/>
  <c r="K184" i="5"/>
  <c r="K176" i="5"/>
  <c r="K168" i="5"/>
  <c r="K160" i="5"/>
  <c r="K152" i="5"/>
  <c r="K144" i="5"/>
  <c r="K136" i="5"/>
  <c r="K128" i="5"/>
  <c r="K120" i="5"/>
  <c r="K112" i="5"/>
  <c r="K104" i="5"/>
  <c r="K96" i="5"/>
  <c r="K88" i="5"/>
  <c r="K80" i="5"/>
  <c r="K72" i="5"/>
  <c r="K64" i="5"/>
  <c r="K56" i="5"/>
  <c r="K48" i="5"/>
  <c r="K40" i="5"/>
  <c r="K32" i="5"/>
  <c r="K24" i="5"/>
  <c r="K16" i="5"/>
  <c r="K231" i="5"/>
  <c r="K223" i="5"/>
  <c r="K215" i="5"/>
  <c r="K207" i="5"/>
  <c r="K199" i="5"/>
  <c r="K191" i="5"/>
  <c r="K183" i="5"/>
  <c r="K175" i="5"/>
  <c r="K167" i="5"/>
  <c r="K159" i="5"/>
  <c r="K151" i="5"/>
  <c r="K143" i="5"/>
  <c r="K135" i="5"/>
  <c r="K127" i="5"/>
  <c r="K119" i="5"/>
  <c r="K111" i="5"/>
  <c r="K103" i="5"/>
  <c r="K95" i="5"/>
  <c r="K87" i="5"/>
  <c r="K79" i="5"/>
  <c r="K71" i="5"/>
  <c r="K63" i="5"/>
  <c r="K55" i="5"/>
  <c r="K47" i="5"/>
  <c r="K39" i="5"/>
  <c r="K31" i="5"/>
  <c r="K23" i="5"/>
  <c r="K15" i="5"/>
  <c r="K229" i="5"/>
  <c r="K221" i="5"/>
  <c r="K213" i="5"/>
  <c r="K205" i="5"/>
  <c r="K197" i="5"/>
  <c r="K189" i="5"/>
  <c r="K181" i="5"/>
  <c r="K173" i="5"/>
  <c r="K165" i="5"/>
  <c r="K157" i="5"/>
  <c r="K149" i="5"/>
  <c r="K141" i="5"/>
  <c r="K133" i="5"/>
  <c r="K125" i="5"/>
  <c r="K117" i="5"/>
  <c r="K109" i="5"/>
  <c r="K101" i="5"/>
  <c r="K93" i="5"/>
  <c r="K85" i="5"/>
  <c r="K77" i="5"/>
  <c r="K69" i="5"/>
  <c r="K61" i="5"/>
  <c r="K53" i="5"/>
  <c r="K45" i="5"/>
  <c r="K37" i="5"/>
  <c r="K29" i="5"/>
  <c r="K21" i="5"/>
  <c r="K13" i="5"/>
  <c r="D9" i="11"/>
  <c r="D6" i="11"/>
  <c r="K232" i="5" l="1"/>
  <c r="D11" i="11"/>
</calcChain>
</file>

<file path=xl/sharedStrings.xml><?xml version="1.0" encoding="utf-8"?>
<sst xmlns="http://schemas.openxmlformats.org/spreadsheetml/2006/main" count="1563" uniqueCount="452">
  <si>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</si>
  <si>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</si>
  <si>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</si>
  <si>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</si>
  <si>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</si>
  <si>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</si>
  <si>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</si>
  <si>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</si>
  <si>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</si>
  <si>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</si>
  <si>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</si>
  <si>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</si>
  <si>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</si>
  <si>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</si>
  <si>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</si>
  <si>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</si>
  <si>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</si>
  <si>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</si>
  <si>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</si>
  <si>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</si>
  <si>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</si>
  <si>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</si>
  <si>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</si>
  <si>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</si>
  <si>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</si>
  <si>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</si>
  <si>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</si>
  <si>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</si>
  <si>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</si>
  <si>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</si>
  <si>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</si>
  <si>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</si>
  <si>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</si>
  <si>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</si>
  <si>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</si>
  <si>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</si>
  <si>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</si>
  <si>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</si>
  <si>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</si>
  <si>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</si>
  <si>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</si>
  <si>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</si>
  <si>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</si>
  <si>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</si>
  <si>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</si>
  <si>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</si>
  <si>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</si>
  <si>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</si>
  <si>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</si>
  <si>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</si>
  <si>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</si>
  <si>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نرخ سود علی الحساب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</si>
  <si>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</si>
  <si>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</si>
  <si>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</si>
  <si>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</si>
  <si>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</si>
  <si>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</si>
  <si>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</si>
  <si>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</si>
  <si>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</si>
  <si>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</si>
  <si>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</si>
  <si>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</si>
  <si>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</si>
  <si>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</si>
  <si>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</si>
  <si>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</si>
  <si>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</si>
  <si>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</si>
  <si>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اوراق بهادار با درآمد ثابت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</si>
  <si>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</si>
  <si>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</si>
  <si>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</si>
  <si>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</si>
  <si>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</si>
  <si>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1-2</t>
  </si>
  <si>
    <t>2-2</t>
  </si>
  <si>
    <t>3-2</t>
  </si>
  <si>
    <t xml:space="preserve">صورت وضعیت درآمدها </t>
  </si>
  <si>
    <t xml:space="preserve">درآمد سود </t>
  </si>
  <si>
    <t>یادداشت ....</t>
  </si>
  <si>
    <t>یادداشت ...</t>
  </si>
  <si>
    <t>درصد از کل دارایی ها</t>
  </si>
  <si>
    <t>تعداد اوراق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</si>
  <si>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</si>
  <si>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</si>
  <si>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</si>
  <si>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</si>
  <si>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اطلاعات آماری مرتبط با قراردادهای آتی توسط صندوق سرمایه گذاری:</t>
  </si>
  <si>
    <t>صندوق</t>
  </si>
  <si>
    <t>تعداد واحد</t>
  </si>
  <si>
    <t>درآمد حاصل از سرمایه گذاری در واحدهای صندوق های سرمایه گذاری</t>
  </si>
  <si>
    <t>3-2-درآمد حاصل از سرمایه­گذاری در اوراق بهادار با درآمد ثابت:</t>
  </si>
  <si>
    <t>2-2-درآمد حاصل از سرمایه­گذاری در واحدهای صندوق:</t>
  </si>
  <si>
    <t>درآمد سود صندوق</t>
  </si>
  <si>
    <t>2-1-سرمایه‌گذاری در واحدهای صندوق های سرمایه گذاری</t>
  </si>
  <si>
    <t>3-1-سرمایه‌گذاری در اوراق بهادار با درآمد ثابت یا علی‌الحساب</t>
  </si>
  <si>
    <t>نام صندوق</t>
  </si>
  <si>
    <t>تاریخ تقسیم سود</t>
  </si>
  <si>
    <t>سود متعلق به هر واحد</t>
  </si>
  <si>
    <t>خرید/صدور طی دوره</t>
  </si>
  <si>
    <t>فروش /ابطال طی دوره</t>
  </si>
  <si>
    <t>تعداد واحد صندوق در زمان تقسیم سود</t>
  </si>
  <si>
    <t>خالص درآمد سود صندوق</t>
  </si>
  <si>
    <t>قیمت ابطال/ بازار هر واحد</t>
  </si>
  <si>
    <t>سود اوراق بهادار با درآمد ثابت</t>
  </si>
  <si>
    <t>سود سپرده بانکی</t>
  </si>
  <si>
    <t xml:space="preserve">افزایش سرمایه </t>
  </si>
  <si>
    <t>طی دوره</t>
  </si>
  <si>
    <t>کاهش</t>
  </si>
  <si>
    <t>درآمد تعهد پذیره نویسی</t>
  </si>
  <si>
    <t>شاخصی هم ‏وزن تراز</t>
  </si>
  <si>
    <t>شاخصی هم ‏وزن تراز</t>
  </si>
  <si>
    <t>برای ماه منتهی به 1405/05/31</t>
  </si>
  <si>
    <t>برای ماه منتهی به 1405/05/31</t>
  </si>
  <si>
    <t>1405/05/31</t>
  </si>
  <si>
    <t>سپه</t>
  </si>
  <si>
    <t>ملت</t>
  </si>
  <si>
    <t>پاسارگاد</t>
  </si>
  <si>
    <t>دي</t>
  </si>
  <si>
    <t>خاورميانه</t>
  </si>
  <si>
    <t>سامان</t>
  </si>
  <si>
    <t>كاريزما</t>
  </si>
  <si>
    <t>1405/04/31</t>
  </si>
  <si>
    <t>سيمان اردستان</t>
  </si>
  <si>
    <t>منگنز ايران</t>
  </si>
  <si>
    <t>بيمه پارسيان</t>
  </si>
  <si>
    <t>پتروشيمي شازند</t>
  </si>
  <si>
    <t>سيمان اروميه</t>
  </si>
  <si>
    <t>پتروشيمي خراسان</t>
  </si>
  <si>
    <t>بانك تجارت</t>
  </si>
  <si>
    <t>كشاورزي مكانيزه اصفهان كشت</t>
  </si>
  <si>
    <t>پارس توشه</t>
  </si>
  <si>
    <t>سيمان سپاهان</t>
  </si>
  <si>
    <t>داروسازي‌ اكسير</t>
  </si>
  <si>
    <t>حمل و نقل گهرترابر سيرجان</t>
  </si>
  <si>
    <t>پارس خزر</t>
  </si>
  <si>
    <t>سرمايه گذاري سپه</t>
  </si>
  <si>
    <t>صنايع الكترونيك ماديران</t>
  </si>
  <si>
    <t>خاك چيني</t>
  </si>
  <si>
    <t>سرمايه گذاري اميد</t>
  </si>
  <si>
    <t>بانك سينا</t>
  </si>
  <si>
    <t>بهمن دیزل</t>
  </si>
  <si>
    <t>املاح ايران</t>
  </si>
  <si>
    <t>كيميا كالاي رازي</t>
  </si>
  <si>
    <t>سرمایه گذاری مسکن تهران</t>
  </si>
  <si>
    <t>كاشي الوند</t>
  </si>
  <si>
    <t xml:space="preserve">پتروشيمي كرمانشاه </t>
  </si>
  <si>
    <t>صنعتي بارز</t>
  </si>
  <si>
    <t>نشاسته و گلوكز آردينه</t>
  </si>
  <si>
    <t>توزيع دارو پخش</t>
  </si>
  <si>
    <t>نيان الكترونيك</t>
  </si>
  <si>
    <t>نيان باتري خاوران</t>
  </si>
  <si>
    <t>سيمان خاش</t>
  </si>
  <si>
    <t>كوير تاير</t>
  </si>
  <si>
    <t>ملي مس</t>
  </si>
  <si>
    <t>نفت اصفهان</t>
  </si>
  <si>
    <t>كشت و دام قيام اصفهان</t>
  </si>
  <si>
    <t>تامين ماسه</t>
  </si>
  <si>
    <t>پگاه آذربايجان</t>
  </si>
  <si>
    <t>كاشي حافظ</t>
  </si>
  <si>
    <t>ريل سير كوثر</t>
  </si>
  <si>
    <t>گل گهر</t>
  </si>
  <si>
    <t>ايران ترانسفو</t>
  </si>
  <si>
    <t>دانش بنيان پويا نيرو</t>
  </si>
  <si>
    <t>بهار رز عاليس چناران</t>
  </si>
  <si>
    <t>حمل و نقل ريلي پارسيان</t>
  </si>
  <si>
    <t>كاشي وسراميك سينا</t>
  </si>
  <si>
    <t>پاکدیس</t>
  </si>
  <si>
    <t>توليد ژلاتين كپسول ايران</t>
  </si>
  <si>
    <t>کارخانجات توليدي نيروترانسفو</t>
  </si>
  <si>
    <t>فولاد ارفع</t>
  </si>
  <si>
    <t>سيمان غرب</t>
  </si>
  <si>
    <t>رادياتور</t>
  </si>
  <si>
    <t>قند اصفهان</t>
  </si>
  <si>
    <t>سايپا</t>
  </si>
  <si>
    <t>توليدي و صنعتي گوهرفام</t>
  </si>
  <si>
    <t>قند چهار محال</t>
  </si>
  <si>
    <t>حفاري شمال</t>
  </si>
  <si>
    <t>ريخته گري تراكتورسازي</t>
  </si>
  <si>
    <t>آترا زيست آراي</t>
  </si>
  <si>
    <t>شيميايي ايران</t>
  </si>
  <si>
    <t>شيشه و گاز</t>
  </si>
  <si>
    <t>شيشه همدان</t>
  </si>
  <si>
    <t>سرمايه گذاري ملي ايران</t>
  </si>
  <si>
    <t>انتقال داده هاي آسياتك</t>
  </si>
  <si>
    <t>صنايع شيميايي كيمياگران امروز</t>
  </si>
  <si>
    <t>گلتاش</t>
  </si>
  <si>
    <t>فولاد هرمزگان</t>
  </si>
  <si>
    <t>فولاد مباركه</t>
  </si>
  <si>
    <t>صنايع ارتباطي آوا</t>
  </si>
  <si>
    <t>پگاه اصفهان</t>
  </si>
  <si>
    <t>بيمه البرز</t>
  </si>
  <si>
    <t>پخش البرز</t>
  </si>
  <si>
    <t>فروشگاههاي زنجيره اي افق كوروش</t>
  </si>
  <si>
    <t>نفت تبريز</t>
  </si>
  <si>
    <t>پارس فولاد سبزوار</t>
  </si>
  <si>
    <t>توليدي برنا باطري</t>
  </si>
  <si>
    <t>مپنا</t>
  </si>
  <si>
    <t>پگاه خراسان</t>
  </si>
  <si>
    <t>توكا رنگ فولاد سپاهان</t>
  </si>
  <si>
    <t>فولاد آلياژي ايران</t>
  </si>
  <si>
    <t>قند قزوين</t>
  </si>
  <si>
    <t>كشت و صنعت شهداب</t>
  </si>
  <si>
    <t>قاسم ايران</t>
  </si>
  <si>
    <t>كشت و دامداري فكا</t>
  </si>
  <si>
    <t>صنعتی صبانور</t>
  </si>
  <si>
    <t>سالمين</t>
  </si>
  <si>
    <t>تايدواتر</t>
  </si>
  <si>
    <t>شير و گوشت زاگرس شهركرد</t>
  </si>
  <si>
    <t>اقتصاد نوين</t>
  </si>
  <si>
    <t>كارخانجات داروپخش</t>
  </si>
  <si>
    <t>توسعه معادن كروميت كاوندگان</t>
  </si>
  <si>
    <t>سيمان مازندران</t>
  </si>
  <si>
    <t>قند هكمتان</t>
  </si>
  <si>
    <t>دارويي ره آورد تامين</t>
  </si>
  <si>
    <t>شير پاستوريزه پگاه گلپايگان</t>
  </si>
  <si>
    <t>عمران فارس</t>
  </si>
  <si>
    <t>ايران خودرو</t>
  </si>
  <si>
    <t>عطرين نخ قم</t>
  </si>
  <si>
    <t>نگين طبس</t>
  </si>
  <si>
    <t>ارتباطات سیار</t>
  </si>
  <si>
    <t>البرز دارو</t>
  </si>
  <si>
    <t>صنعتي زر ماكارون</t>
  </si>
  <si>
    <t>فرآوري زغال سنگ پروده طبس</t>
  </si>
  <si>
    <t>شیرین دارو</t>
  </si>
  <si>
    <t>پمپ ايران</t>
  </si>
  <si>
    <t>پديده شيمي قرن</t>
  </si>
  <si>
    <t>سرمايه گذاري تامين اجتماعي</t>
  </si>
  <si>
    <t>كاشي سعدي</t>
  </si>
  <si>
    <t>بانك خاورميانه</t>
  </si>
  <si>
    <t>قند لرستان</t>
  </si>
  <si>
    <t>بانك ملت</t>
  </si>
  <si>
    <t>توليدات پتروشيمي قائد بصير</t>
  </si>
  <si>
    <t>افست</t>
  </si>
  <si>
    <t>چادرملو</t>
  </si>
  <si>
    <t>تجارت الکترونیک پارسیان</t>
  </si>
  <si>
    <t>پارس فنر</t>
  </si>
  <si>
    <t>داروسازي زاگرس</t>
  </si>
  <si>
    <t>توليدي چدن سازان</t>
  </si>
  <si>
    <t>نيروترانس</t>
  </si>
  <si>
    <t>مجتمع صنايع لاستيك يزد</t>
  </si>
  <si>
    <t>داده پردازي</t>
  </si>
  <si>
    <t>نفت بندر عباس</t>
  </si>
  <si>
    <t>نفت سپاهان</t>
  </si>
  <si>
    <t>تامين سرمايه نوين</t>
  </si>
  <si>
    <t>موتوژن</t>
  </si>
  <si>
    <t>صنعتي آما</t>
  </si>
  <si>
    <t>سرمايه گذاري غدير</t>
  </si>
  <si>
    <t>پارس شهاب</t>
  </si>
  <si>
    <t>توسعه سامانه ي نرم افزاري نگين</t>
  </si>
  <si>
    <t>سينا دارو</t>
  </si>
  <si>
    <t>كشاورزي و دامپروري بينالود</t>
  </si>
  <si>
    <t>نساجي هديه البرز مشهد</t>
  </si>
  <si>
    <t>نسوز آذر</t>
  </si>
  <si>
    <t>پخش هجرت</t>
  </si>
  <si>
    <t>مواداوليه داروپخش</t>
  </si>
  <si>
    <t>قند پيرانشهر</t>
  </si>
  <si>
    <t>سيمان فارس و خوزستان</t>
  </si>
  <si>
    <t>صنعت غذايي كورش</t>
  </si>
  <si>
    <t>دارو ابوريحان</t>
  </si>
  <si>
    <t>نخريسي و نساجي خسروي خراسان</t>
  </si>
  <si>
    <t>پارس سوييچ</t>
  </si>
  <si>
    <t>آريان كيميا تك</t>
  </si>
  <si>
    <t>لامپ پارس شهاب</t>
  </si>
  <si>
    <t>نفت و گاز پارسيان</t>
  </si>
  <si>
    <t>برق مپنا</t>
  </si>
  <si>
    <t>آلومينيوم ايران</t>
  </si>
  <si>
    <t>پاكديس</t>
  </si>
  <si>
    <t>پتروشيمي نوري</t>
  </si>
  <si>
    <t>ايمن خودرو شرق</t>
  </si>
  <si>
    <t>صنايع غذايي رضوي</t>
  </si>
  <si>
    <t>پرتو بار فرابر خليج فارس</t>
  </si>
  <si>
    <t>پتروشيمي كرمانشاه</t>
  </si>
  <si>
    <t>فنرسازي زر</t>
  </si>
  <si>
    <t>صنعتي سپاهان</t>
  </si>
  <si>
    <t>سيمان فارس نو</t>
  </si>
  <si>
    <t>فن آوران</t>
  </si>
  <si>
    <t>كارت اعتباري ايران كيش</t>
  </si>
  <si>
    <t>صنعتي پارس خزر</t>
  </si>
  <si>
    <t>سرمايه گذاري پارس توشــــــه ( هلدينگ)</t>
  </si>
  <si>
    <t>سيمان تهران</t>
  </si>
  <si>
    <t>پتروشيمي فجر</t>
  </si>
  <si>
    <t>سيمرغ</t>
  </si>
  <si>
    <t>صنايع چوب خزر كاسپين</t>
  </si>
  <si>
    <t>سرمايه گذاري كشاورزي كوثر</t>
  </si>
  <si>
    <t>مهرمام ميهن</t>
  </si>
  <si>
    <t>تراكتور سازي</t>
  </si>
  <si>
    <t>كاشي پارس</t>
  </si>
  <si>
    <t>بهمن ديزل</t>
  </si>
  <si>
    <t>فولاد هرمزگان جنوب</t>
  </si>
  <si>
    <t>آلوميناي ايران</t>
  </si>
  <si>
    <t>دارويي و نهاده هاي زاگرس دارو</t>
  </si>
  <si>
    <t>كاني كربن طبس</t>
  </si>
  <si>
    <t>اخشان خراسان</t>
  </si>
  <si>
    <t>پارس مينو</t>
  </si>
  <si>
    <t>داروسازي فارابي</t>
  </si>
  <si>
    <t>مهرام</t>
  </si>
  <si>
    <t>صندوق بازنشستگي</t>
  </si>
  <si>
    <t>سيمان شمال</t>
  </si>
  <si>
    <t>پتروشيمي پرديس</t>
  </si>
  <si>
    <t>دريايي سينا</t>
  </si>
  <si>
    <t>غذايي مينو</t>
  </si>
  <si>
    <t>كشتيراني ايران</t>
  </si>
  <si>
    <t>سيمان ساوه</t>
  </si>
  <si>
    <t>سبحان_دارو</t>
  </si>
  <si>
    <t>س. و توسعه صنايع لاستيك</t>
  </si>
  <si>
    <t>گروه مالي نماد غدير(سهامي عام)</t>
  </si>
  <si>
    <t>كارخانجات توليدي نيروترانسفو</t>
  </si>
  <si>
    <t>مجتمع كاشي و سنگ پرسپوليس يزد</t>
  </si>
  <si>
    <t>سيمان هگمتان</t>
  </si>
  <si>
    <t>شهد ايران</t>
  </si>
  <si>
    <t>تجارت الكترونيك پارسيان</t>
  </si>
  <si>
    <t>مگسال</t>
  </si>
  <si>
    <t>داروسازي اسوه</t>
  </si>
  <si>
    <t>داروسازي اكسير</t>
  </si>
  <si>
    <t>نورد قطعات</t>
  </si>
  <si>
    <t>سيمان صوفيان</t>
  </si>
  <si>
    <t>سيمان بجنورد</t>
  </si>
  <si>
    <t>معادن منگنز ايران</t>
  </si>
  <si>
    <t>سنگ آهن گهرزمين</t>
  </si>
  <si>
    <t>سرمايه گذاري صدرتامين</t>
  </si>
  <si>
    <t>توسعه و عمران اميد</t>
  </si>
  <si>
    <t>فولاد شاهرود</t>
  </si>
  <si>
    <t>آهن و فولاد غدير ايرانيان</t>
  </si>
  <si>
    <t>بيمه اتكايي ايران معين</t>
  </si>
  <si>
    <t>شركت سرمايه گذاري خوارزمي</t>
  </si>
  <si>
    <t>پتروشيمي تامين</t>
  </si>
  <si>
    <t>سيمان خزر</t>
  </si>
  <si>
    <t>ايركا پارت صنعت</t>
  </si>
  <si>
    <t>موتورسازان</t>
  </si>
  <si>
    <t>كاشي و سراميك سعدي</t>
  </si>
  <si>
    <t>سرمايه گذاري البرز ( هلدينگ)</t>
  </si>
  <si>
    <t>فولاد كاوه</t>
  </si>
  <si>
    <t>گروه انتخاب الكترونيك آرمان</t>
  </si>
  <si>
    <t>ملي شيمي كشاورز</t>
  </si>
  <si>
    <t>توليد انرژي برق شمس پاسارگاد</t>
  </si>
  <si>
    <t>توسعه نيشكر و صنايع جانبي</t>
  </si>
  <si>
    <t>سرمايه گذاري پايا تدبيرپارسا</t>
  </si>
  <si>
    <t>بيمه آسيا</t>
  </si>
  <si>
    <t>شركت پالايش نفت لاوان</t>
  </si>
  <si>
    <t>شركت پخش البرز</t>
  </si>
  <si>
    <t>سيمان قاين</t>
  </si>
  <si>
    <t>ارتباطات سيار</t>
  </si>
  <si>
    <t>صنعتي بهشهر</t>
  </si>
  <si>
    <t>تامين سرمايه لوتوس پارسيان</t>
  </si>
  <si>
    <t>غلتك سازان سپاهان</t>
  </si>
  <si>
    <t>سپيد ماكيان</t>
  </si>
  <si>
    <t>نفت بهران</t>
  </si>
  <si>
    <t>بيمه زندگي كاريزما50%تاديه</t>
  </si>
  <si>
    <t>شركت سرمايه گذاري مسكن تهران</t>
  </si>
  <si>
    <t>پمپ سازي ايران</t>
  </si>
  <si>
    <t>كربن</t>
  </si>
  <si>
    <t>دارويي‌ رازك‌</t>
  </si>
  <si>
    <t>فولاد خوزستان</t>
  </si>
  <si>
    <t>بانك صادرات</t>
  </si>
  <si>
    <t>پشم شيشه</t>
  </si>
  <si>
    <t>صنعتي صبانور</t>
  </si>
  <si>
    <t>توليد مواد اوليه داروپخش</t>
  </si>
  <si>
    <t>سيمان بهبهان</t>
  </si>
  <si>
    <t>ويتانا.</t>
  </si>
  <si>
    <t>آنتي بيوتيك سازي ايران</t>
  </si>
  <si>
    <t>مديريت نيروگاهي ايرانيان مپنا</t>
  </si>
  <si>
    <t>شركت شيرين دارو</t>
  </si>
  <si>
    <t>1405/03/16</t>
  </si>
  <si>
    <t>1405/04/11</t>
  </si>
  <si>
    <t>1405/04/30</t>
  </si>
  <si>
    <t>1405/04/17</t>
  </si>
  <si>
    <t>1405/04/24</t>
  </si>
  <si>
    <t>1405/03/27</t>
  </si>
  <si>
    <t>1405/02/30</t>
  </si>
  <si>
    <t>1405/03/24</t>
  </si>
  <si>
    <t>1405/05/28</t>
  </si>
  <si>
    <t>1405/04/22</t>
  </si>
  <si>
    <t>ایرکا پارت صنعت</t>
  </si>
  <si>
    <t>1405/04/28</t>
  </si>
  <si>
    <t>1405/04/06</t>
  </si>
  <si>
    <t>بيمه ايران - معين</t>
  </si>
  <si>
    <t>1405/03/13</t>
  </si>
  <si>
    <t>بيمه زندگي كاريزما</t>
  </si>
  <si>
    <t>1405/03/05</t>
  </si>
  <si>
    <t>1405/01/30</t>
  </si>
  <si>
    <t>1405/04/29</t>
  </si>
  <si>
    <t>1405/01/26</t>
  </si>
  <si>
    <t xml:space="preserve">تراكتور سازي </t>
  </si>
  <si>
    <t>1405/02/05</t>
  </si>
  <si>
    <t>1405/01/16</t>
  </si>
  <si>
    <t>1405/03/03</t>
  </si>
  <si>
    <t>1405/02/02</t>
  </si>
  <si>
    <t>توليد برق عسلويه مپنا</t>
  </si>
  <si>
    <t>1405/04/07</t>
  </si>
  <si>
    <t>1405/03/17</t>
  </si>
  <si>
    <t>1405/04/25</t>
  </si>
  <si>
    <t>1405/04/10</t>
  </si>
  <si>
    <t>1405/04/08</t>
  </si>
  <si>
    <t>1405/04/01</t>
  </si>
  <si>
    <t>1405/04/27</t>
  </si>
  <si>
    <t>1405/02/23</t>
  </si>
  <si>
    <t>سرمايه گذاري البرز</t>
  </si>
  <si>
    <t>1404/12/10</t>
  </si>
  <si>
    <t>1405/02/14</t>
  </si>
  <si>
    <t>1405/04/21</t>
  </si>
  <si>
    <t>1405/03/20</t>
  </si>
  <si>
    <t>1405/05/11</t>
  </si>
  <si>
    <t>1405/02/29</t>
  </si>
  <si>
    <t>1405/02/27</t>
  </si>
  <si>
    <t>1405/03/23</t>
  </si>
  <si>
    <t>1404/12/17</t>
  </si>
  <si>
    <t>1405/03/19</t>
  </si>
  <si>
    <t>1405/03/09</t>
  </si>
  <si>
    <t>1405/03/18</t>
  </si>
  <si>
    <t>1405/03/30</t>
  </si>
  <si>
    <t>1405/03/31</t>
  </si>
  <si>
    <t>1405/03/10</t>
  </si>
  <si>
    <t>1405/03/28</t>
  </si>
  <si>
    <t>فجر انرژي خليج فارس</t>
  </si>
  <si>
    <t>1405/04/23</t>
  </si>
  <si>
    <t>1405/03/12</t>
  </si>
  <si>
    <t>1405/04/09</t>
  </si>
  <si>
    <t>1405/01/31</t>
  </si>
  <si>
    <t>1405/05/04</t>
  </si>
  <si>
    <t>1405/04/16</t>
  </si>
  <si>
    <t>1405/04/20</t>
  </si>
  <si>
    <t>1405/03/02</t>
  </si>
  <si>
    <t>1405/05/18</t>
  </si>
  <si>
    <t>1405/05/05</t>
  </si>
  <si>
    <t>نفت لاوان</t>
  </si>
  <si>
    <t>1405/05/12</t>
  </si>
  <si>
    <t>1405/04/12</t>
  </si>
  <si>
    <t>1405/04/18</t>
  </si>
  <si>
    <t>1405/01/29</t>
  </si>
  <si>
    <t>1405/02/31</t>
  </si>
  <si>
    <t>1404/12/27</t>
  </si>
  <si>
    <t>-</t>
  </si>
  <si>
    <t>سيمان شمال (تقدم)</t>
  </si>
  <si>
    <t>شرکت سرمایه گذاری خوارزمی</t>
  </si>
  <si>
    <t>صنايع الكترونيك ماديران (تقدم)</t>
  </si>
  <si>
    <t>كاني كربن طبس (تقدم)</t>
  </si>
  <si>
    <t>مهرمام ميهن (تقدم)</t>
  </si>
  <si>
    <t>نفت و گاز پارسیان</t>
  </si>
  <si>
    <t>پتروشيمی پردیس</t>
  </si>
  <si>
    <t>پتروشیمی تامین</t>
  </si>
  <si>
    <t>کارت اعتباری ایران کیش</t>
  </si>
  <si>
    <t>گلتاش (تقدم)</t>
  </si>
  <si>
    <t>ارزش دفتری برابر است با میانگین موزون خالص ارزش فروش هر سهم/ورقه در ابتدای دوره با خرید طی دوره ضربدر تعداد در پایان دوره</t>
  </si>
  <si>
    <t>صندوق سرمایه‌گذاری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</si>
  <si>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</si>
  <si>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مرداد 1405</t>
  </si>
  <si>
    <t>2-2-درآمد حاصل از سرمایه­گذاری در سپرده بانکی و گواهی سپرده:</t>
  </si>
  <si>
    <t>3-2-سایر درآمدها:</t>
  </si>
  <si>
    <t>2-1- سرمایه‌گذاری در  سپرده‌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</si>
</sst>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rial"/>
      <family val="2"/>
      <charset val="178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Arial"/>
      <family val="2"/>
      <charset val="178"/>
      <scheme val="minor"/>
    </font>
    <font>
      <sz val="11"/>
      <name val="Calibri"/>
      <family val="2"/>
    </font>
    <font>
      <b/>
      <sz val="36"/>
      <color rgb="FFFF0000"/>
      <name val="B Roya"/>
      <charset val="178"/>
    </font>
    <font>
      <b/>
      <sz val="15"/>
      <name val="B Nazanin"/>
      <charset val="178"/>
    </font>
    <font>
      <sz val="16"/>
      <color rgb="FFFF0000"/>
      <name val="B Homa"/>
      <charset val="178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b/>
      <sz val="10"/>
      <color rgb="FF0062AC"/>
      <name val="B Nazanin"/>
      <charset val="178"/>
    </font>
    <font>
      <sz val="9"/>
      <color rgb="FF000000"/>
      <name val="Yekan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b/>
      <sz val="14"/>
      <color rgb="FF0062AC"/>
      <name val="B Nazanin"/>
      <charset val="178"/>
    </font>
    <font>
      <sz val="14"/>
      <color indexed="8"/>
      <name val="B Nazanin"/>
      <charset val="178"/>
    </font>
    <font>
      <sz val="14"/>
      <color rgb="FF000000"/>
      <name val="Yekan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b/>
      <sz val="16"/>
      <color rgb="FF0062AC"/>
      <name val="B Nazanin"/>
      <charset val="178"/>
    </font>
    <font>
      <sz val="16"/>
      <color indexed="8"/>
      <name val="B Nazanin"/>
      <charset val="178"/>
    </font>
    <font>
      <sz val="16"/>
      <color rgb="FF000000"/>
      <name val="Yekan"/>
    </font>
    <font>
      <b/>
      <sz val="14"/>
      <color rgb="FF000000"/>
      <name val="B Nazanin"/>
      <charset val="178"/>
    </font>
    <font>
      <sz val="9"/>
      <color rgb="FF005EBB"/>
      <name val="Yekan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/>
  </cellStyleXfs>
  <cellXfs count="165">
    <xf numFmtId="0" fontId="0" fillId="0" borderId="0" xfId="0"/>
    <xf numFmtId="49" fontId="5" fillId="0" borderId="0" xfId="0" applyNumberFormat="1" applyFont="1" applyAlignment="1">
      <alignment horizontal="center" vertical="center" readingOrder="2"/>
    </xf>
    <xf numFmtId="0" fontId="0" fillId="0" borderId="0" xfId="0"/>
    <xf numFmtId="0" fontId="9" fillId="2" borderId="0" xfId="2" applyFill="1"/>
    <xf numFmtId="0" fontId="11" fillId="2" borderId="0" xfId="2" applyFont="1" applyFill="1" applyAlignment="1">
      <alignment horizontal="center"/>
    </xf>
    <xf numFmtId="0" fontId="11" fillId="2" borderId="0" xfId="2" applyFont="1" applyFill="1"/>
    <xf numFmtId="37" fontId="2" fillId="0" borderId="0" xfId="0" applyNumberFormat="1" applyFont="1"/>
    <xf numFmtId="37" fontId="1" fillId="0" borderId="0" xfId="0" applyNumberFormat="1" applyFont="1" applyAlignment="1">
      <alignment horizontal="center" vertical="center" wrapText="1" readingOrder="2"/>
    </xf>
    <xf numFmtId="37" fontId="2" fillId="0" borderId="1" xfId="0" applyNumberFormat="1" applyFont="1" applyBorder="1" applyAlignment="1">
      <alignment horizontal="center"/>
    </xf>
    <xf numFmtId="37" fontId="14" fillId="0" borderId="0" xfId="0" applyNumberFormat="1" applyFont="1"/>
    <xf numFmtId="37" fontId="5" fillId="0" borderId="0" xfId="0" applyNumberFormat="1" applyFont="1"/>
    <xf numFmtId="37" fontId="5" fillId="0" borderId="3" xfId="0" applyNumberFormat="1" applyFont="1" applyBorder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 wrapText="1"/>
    </xf>
    <xf numFmtId="37" fontId="5" fillId="0" borderId="1" xfId="0" applyNumberFormat="1" applyFont="1" applyBorder="1" applyAlignment="1">
      <alignment horizontal="right" vertical="center" wrapText="1"/>
    </xf>
    <xf numFmtId="37" fontId="5" fillId="0" borderId="0" xfId="0" applyNumberFormat="1" applyFont="1" applyAlignment="1">
      <alignment horizontal="center"/>
    </xf>
    <xf numFmtId="37" fontId="5" fillId="0" borderId="3" xfId="0" applyNumberFormat="1" applyFont="1" applyBorder="1"/>
    <xf numFmtId="37" fontId="5" fillId="0" borderId="3" xfId="0" applyNumberFormat="1" applyFont="1" applyBorder="1" applyAlignment="1">
      <alignment horizontal="center" vertical="center" wrapText="1"/>
    </xf>
    <xf numFmtId="37" fontId="7" fillId="0" borderId="0" xfId="0" applyNumberFormat="1" applyFont="1" applyAlignment="1">
      <alignment vertical="center"/>
    </xf>
    <xf numFmtId="37" fontId="2" fillId="0" borderId="0" xfId="0" applyNumberFormat="1" applyFont="1" applyAlignment="1">
      <alignment horizontal="center" vertical="center"/>
    </xf>
    <xf numFmtId="37" fontId="13" fillId="0" borderId="0" xfId="0" applyNumberFormat="1" applyFont="1" applyAlignment="1">
      <alignment vertical="center" readingOrder="2"/>
    </xf>
    <xf numFmtId="37" fontId="2" fillId="0" borderId="0" xfId="0" applyNumberFormat="1" applyFont="1" applyAlignment="1">
      <alignment horizontal="right" vertical="center"/>
    </xf>
    <xf numFmtId="37" fontId="3" fillId="0" borderId="1" xfId="0" applyNumberFormat="1" applyFont="1" applyBorder="1" applyAlignment="1">
      <alignment horizontal="right" vertical="center" wrapText="1" readingOrder="2"/>
    </xf>
    <xf numFmtId="37" fontId="3" fillId="0" borderId="0" xfId="0" applyNumberFormat="1" applyFont="1" applyAlignment="1">
      <alignment horizontal="center" vertical="center" wrapText="1" readingOrder="2"/>
    </xf>
    <xf numFmtId="37" fontId="2" fillId="0" borderId="3" xfId="0" applyNumberFormat="1" applyFont="1" applyBorder="1" applyAlignment="1">
      <alignment horizontal="center" vertical="center" wrapText="1"/>
    </xf>
    <xf numFmtId="37" fontId="2" fillId="0" borderId="1" xfId="0" applyNumberFormat="1" applyFont="1" applyBorder="1" applyAlignment="1">
      <alignment horizontal="center" vertical="center" wrapText="1"/>
    </xf>
    <xf numFmtId="37" fontId="3" fillId="0" borderId="0" xfId="0" applyNumberFormat="1" applyFont="1" applyAlignment="1">
      <alignment vertical="center" wrapText="1" readingOrder="2"/>
    </xf>
    <xf numFmtId="37" fontId="3" fillId="0" borderId="1" xfId="0" applyNumberFormat="1" applyFont="1" applyBorder="1" applyAlignment="1">
      <alignment horizontal="center" vertical="center" wrapText="1" readingOrder="2"/>
    </xf>
    <xf numFmtId="37" fontId="2" fillId="0" borderId="1" xfId="0" applyNumberFormat="1" applyFont="1" applyBorder="1"/>
    <xf numFmtId="37" fontId="4" fillId="0" borderId="1" xfId="0" applyNumberFormat="1" applyFont="1" applyBorder="1" applyAlignment="1">
      <alignment vertical="center" wrapText="1" readingOrder="2"/>
    </xf>
    <xf numFmtId="37" fontId="3" fillId="0" borderId="3" xfId="0" applyNumberFormat="1" applyFont="1" applyBorder="1" applyAlignment="1">
      <alignment horizontal="center" vertical="center" wrapText="1" readingOrder="2"/>
    </xf>
    <xf numFmtId="37" fontId="2" fillId="0" borderId="0" xfId="0" applyNumberFormat="1" applyFont="1" applyAlignment="1">
      <alignment vertical="center" wrapText="1"/>
    </xf>
    <xf numFmtId="37" fontId="3" fillId="0" borderId="2" xfId="0" applyNumberFormat="1" applyFont="1" applyBorder="1" applyAlignment="1">
      <alignment horizontal="center" vertical="center" wrapText="1" readingOrder="2"/>
    </xf>
    <xf numFmtId="37" fontId="3" fillId="0" borderId="1" xfId="0" applyNumberFormat="1" applyFont="1" applyBorder="1" applyAlignment="1">
      <alignment vertical="center" wrapText="1" readingOrder="2"/>
    </xf>
    <xf numFmtId="37" fontId="5" fillId="0" borderId="1" xfId="0" applyNumberFormat="1" applyFont="1" applyBorder="1" applyAlignment="1">
      <alignment horizontal="center"/>
    </xf>
    <xf numFmtId="37" fontId="6" fillId="0" borderId="0" xfId="0" applyNumberFormat="1" applyFont="1" applyAlignment="1">
      <alignment horizontal="right" vertical="center" readingOrder="2"/>
    </xf>
    <xf numFmtId="37" fontId="5" fillId="0" borderId="0" xfId="0" applyNumberFormat="1" applyFont="1" applyAlignment="1">
      <alignment horizontal="center" vertical="center" readingOrder="2"/>
    </xf>
    <xf numFmtId="37" fontId="5" fillId="0" borderId="0" xfId="0" applyNumberFormat="1" applyFont="1" applyAlignment="1">
      <alignment horizontal="right" vertical="center"/>
    </xf>
    <xf numFmtId="37" fontId="1" fillId="0" borderId="0" xfId="0" applyNumberFormat="1" applyFont="1" applyAlignment="1">
      <alignment horizontal="center"/>
    </xf>
    <xf numFmtId="37" fontId="1" fillId="0" borderId="1" xfId="0" applyNumberFormat="1" applyFont="1" applyBorder="1" applyAlignment="1">
      <alignment horizontal="center" vertical="center"/>
    </xf>
    <xf numFmtId="37" fontId="1" fillId="0" borderId="0" xfId="0" applyNumberFormat="1" applyFont="1" applyAlignment="1">
      <alignment horizontal="center" vertical="center"/>
    </xf>
    <xf numFmtId="37" fontId="1" fillId="0" borderId="0" xfId="0" applyNumberFormat="1" applyFont="1" applyAlignment="1">
      <alignment horizontal="center" wrapText="1"/>
    </xf>
    <xf numFmtId="37" fontId="13" fillId="0" borderId="2" xfId="0" applyNumberFormat="1" applyFont="1" applyBorder="1" applyAlignment="1">
      <alignment vertical="center" readingOrder="2"/>
    </xf>
    <xf numFmtId="37" fontId="1" fillId="0" borderId="0" xfId="0" applyNumberFormat="1" applyFont="1"/>
    <xf numFmtId="37" fontId="1" fillId="0" borderId="1" xfId="0" applyNumberFormat="1" applyFont="1" applyBorder="1"/>
    <xf numFmtId="37" fontId="1" fillId="0" borderId="3" xfId="0" applyNumberFormat="1" applyFont="1" applyBorder="1"/>
    <xf numFmtId="37" fontId="2" fillId="0" borderId="0" xfId="0" applyNumberFormat="1" applyFont="1" applyAlignment="1">
      <alignment vertical="center" wrapText="1" readingOrder="2"/>
    </xf>
    <xf numFmtId="37" fontId="2" fillId="0" borderId="0" xfId="0" applyNumberFormat="1" applyFont="1" applyAlignment="1">
      <alignment horizontal="center" vertical="center" readingOrder="2"/>
    </xf>
    <xf numFmtId="37" fontId="2" fillId="0" borderId="0" xfId="0" applyNumberFormat="1" applyFont="1" applyAlignment="1">
      <alignment horizontal="center" vertical="center" wrapText="1" readingOrder="2"/>
    </xf>
    <xf numFmtId="37" fontId="7" fillId="0" borderId="0" xfId="0" applyNumberFormat="1" applyFont="1" applyAlignment="1">
      <alignment horizontal="center"/>
    </xf>
    <xf numFmtId="37" fontId="1" fillId="0" borderId="2" xfId="0" applyNumberFormat="1" applyFont="1" applyBorder="1" applyAlignment="1">
      <alignment readingOrder="2"/>
    </xf>
    <xf numFmtId="37" fontId="1" fillId="0" borderId="0" xfId="0" applyNumberFormat="1" applyFont="1" applyAlignment="1">
      <alignment readingOrder="2"/>
    </xf>
    <xf numFmtId="37" fontId="14" fillId="0" borderId="4" xfId="0" applyNumberFormat="1" applyFont="1" applyBorder="1"/>
    <xf numFmtId="10" fontId="14" fillId="0" borderId="0" xfId="1" applyNumberFormat="1" applyFont="1"/>
    <xf numFmtId="10" fontId="14" fillId="0" borderId="4" xfId="1" applyNumberFormat="1" applyFont="1" applyBorder="1"/>
    <xf numFmtId="10" fontId="2" fillId="0" borderId="0" xfId="1" applyNumberFormat="1" applyFont="1"/>
    <xf numFmtId="3" fontId="16" fillId="0" borderId="0" xfId="0" applyNumberFormat="1" applyFont="1"/>
    <xf numFmtId="37" fontId="18" fillId="0" borderId="0" xfId="0" applyNumberFormat="1" applyFont="1"/>
    <xf numFmtId="37" fontId="17" fillId="0" borderId="0" xfId="0" applyNumberFormat="1" applyFont="1" applyAlignment="1">
      <alignment horizontal="center" vertical="center" wrapText="1" readingOrder="2"/>
    </xf>
    <xf numFmtId="37" fontId="17" fillId="0" borderId="1" xfId="0" applyNumberFormat="1" applyFont="1" applyBorder="1" applyAlignment="1">
      <alignment vertical="center" wrapText="1" readingOrder="2"/>
    </xf>
    <xf numFmtId="37" fontId="18" fillId="0" borderId="1" xfId="0" applyNumberFormat="1" applyFont="1" applyBorder="1" applyAlignment="1">
      <alignment horizontal="center" vertical="center" readingOrder="2"/>
    </xf>
    <xf numFmtId="37" fontId="18" fillId="0" borderId="1" xfId="0" applyNumberFormat="1" applyFont="1" applyBorder="1" applyAlignment="1">
      <alignment horizontal="center"/>
    </xf>
    <xf numFmtId="37" fontId="20" fillId="0" borderId="0" xfId="0" applyNumberFormat="1" applyFont="1"/>
    <xf numFmtId="10" fontId="20" fillId="0" borderId="0" xfId="1" applyNumberFormat="1" applyFont="1"/>
    <xf numFmtId="37" fontId="20" fillId="0" borderId="4" xfId="0" applyNumberFormat="1" applyFont="1" applyBorder="1"/>
    <xf numFmtId="37" fontId="18" fillId="0" borderId="4" xfId="0" applyNumberFormat="1" applyFont="1" applyBorder="1"/>
    <xf numFmtId="10" fontId="20" fillId="0" borderId="4" xfId="1" applyNumberFormat="1" applyFont="1" applyBorder="1"/>
    <xf numFmtId="10" fontId="18" fillId="0" borderId="0" xfId="1" applyNumberFormat="1" applyFont="1"/>
    <xf numFmtId="3" fontId="21" fillId="0" borderId="0" xfId="0" applyNumberFormat="1" applyFont="1"/>
    <xf numFmtId="10" fontId="2" fillId="0" borderId="1" xfId="1" applyNumberFormat="1" applyFont="1" applyBorder="1"/>
    <xf numFmtId="37" fontId="18" fillId="0" borderId="1" xfId="0" applyNumberFormat="1" applyFont="1" applyBorder="1"/>
    <xf numFmtId="37" fontId="22" fillId="0" borderId="0" xfId="0" applyNumberFormat="1" applyFont="1" applyAlignment="1">
      <alignment horizontal="center"/>
    </xf>
    <xf numFmtId="37" fontId="22" fillId="0" borderId="0" xfId="0" applyNumberFormat="1" applyFont="1" applyAlignment="1"/>
    <xf numFmtId="37" fontId="23" fillId="0" borderId="0" xfId="0" applyNumberFormat="1" applyFont="1"/>
    <xf numFmtId="37" fontId="23" fillId="0" borderId="1" xfId="0" applyNumberFormat="1" applyFont="1" applyBorder="1"/>
    <xf numFmtId="10" fontId="23" fillId="0" borderId="1" xfId="1" applyNumberFormat="1" applyFont="1" applyBorder="1"/>
    <xf numFmtId="37" fontId="22" fillId="0" borderId="0" xfId="0" applyNumberFormat="1" applyFont="1" applyAlignment="1">
      <alignment horizontal="center" vertical="center" wrapText="1" readingOrder="2"/>
    </xf>
    <xf numFmtId="37" fontId="22" fillId="0" borderId="1" xfId="0" applyNumberFormat="1" applyFont="1" applyBorder="1" applyAlignment="1">
      <alignment horizontal="center" vertical="center" wrapText="1" readingOrder="2"/>
    </xf>
    <xf numFmtId="37" fontId="25" fillId="0" borderId="0" xfId="0" applyNumberFormat="1" applyFont="1"/>
    <xf numFmtId="10" fontId="25" fillId="0" borderId="0" xfId="1" applyNumberFormat="1" applyFont="1"/>
    <xf numFmtId="37" fontId="25" fillId="0" borderId="4" xfId="0" applyNumberFormat="1" applyFont="1" applyBorder="1"/>
    <xf numFmtId="10" fontId="25" fillId="0" borderId="4" xfId="1" applyNumberFormat="1" applyFont="1" applyBorder="1"/>
    <xf numFmtId="10" fontId="23" fillId="0" borderId="0" xfId="1" applyNumberFormat="1" applyFont="1"/>
    <xf numFmtId="3" fontId="26" fillId="0" borderId="0" xfId="0" applyNumberFormat="1" applyFont="1"/>
    <xf numFmtId="37" fontId="5" fillId="0" borderId="4" xfId="0" applyNumberFormat="1" applyFont="1" applyBorder="1"/>
    <xf numFmtId="10" fontId="5" fillId="0" borderId="1" xfId="1" applyNumberFormat="1" applyFont="1" applyBorder="1" applyAlignment="1">
      <alignment horizontal="center"/>
    </xf>
    <xf numFmtId="10" fontId="5" fillId="0" borderId="0" xfId="1" applyNumberFormat="1" applyFont="1"/>
    <xf numFmtId="9" fontId="14" fillId="0" borderId="4" xfId="1" applyNumberFormat="1" applyFont="1" applyBorder="1"/>
    <xf numFmtId="37" fontId="27" fillId="0" borderId="3" xfId="0" applyNumberFormat="1" applyFont="1" applyBorder="1" applyAlignment="1">
      <alignment horizontal="center" vertical="center" wrapText="1" readingOrder="2"/>
    </xf>
    <xf numFmtId="10" fontId="27" fillId="0" borderId="3" xfId="1" applyNumberFormat="1" applyFont="1" applyBorder="1" applyAlignment="1">
      <alignment horizontal="center" vertical="center" wrapText="1" readingOrder="2"/>
    </xf>
    <xf numFmtId="10" fontId="3" fillId="0" borderId="0" xfId="1" applyNumberFormat="1" applyFont="1" applyAlignment="1">
      <alignment horizontal="center" vertical="center" wrapText="1" readingOrder="2"/>
    </xf>
    <xf numFmtId="3" fontId="28" fillId="0" borderId="0" xfId="0" applyNumberFormat="1" applyFont="1"/>
    <xf numFmtId="0" fontId="10" fillId="2" borderId="0" xfId="2" applyFont="1" applyFill="1" applyAlignment="1">
      <alignment horizontal="center" vertical="center" wrapText="1"/>
    </xf>
    <xf numFmtId="0" fontId="9" fillId="2" borderId="0" xfId="2" applyFill="1" applyAlignment="1">
      <alignment horizontal="center"/>
    </xf>
    <xf numFmtId="0" fontId="12" fillId="2" borderId="0" xfId="2" applyFont="1" applyFill="1" applyAlignment="1">
      <alignment horizontal="center" vertical="center" wrapText="1"/>
    </xf>
    <xf numFmtId="37" fontId="17" fillId="0" borderId="0" xfId="0" applyNumberFormat="1" applyFont="1" applyAlignment="1">
      <alignment horizontal="center"/>
    </xf>
    <xf numFmtId="37" fontId="19" fillId="0" borderId="0" xfId="0" applyNumberFormat="1" applyFont="1" applyAlignment="1">
      <alignment horizontal="right" vertical="center" readingOrder="2"/>
    </xf>
    <xf numFmtId="37" fontId="17" fillId="0" borderId="1" xfId="0" applyNumberFormat="1" applyFont="1" applyBorder="1" applyAlignment="1">
      <alignment horizontal="center" vertical="center" wrapText="1" readingOrder="2"/>
    </xf>
    <xf numFmtId="37" fontId="18" fillId="0" borderId="1" xfId="0" applyNumberFormat="1" applyFont="1" applyBorder="1" applyAlignment="1">
      <alignment horizontal="center"/>
    </xf>
    <xf numFmtId="37" fontId="18" fillId="0" borderId="0" xfId="0" applyNumberFormat="1" applyFont="1" applyAlignment="1">
      <alignment horizontal="center" vertical="center" wrapText="1" readingOrder="2"/>
    </xf>
    <xf numFmtId="37" fontId="18" fillId="0" borderId="1" xfId="0" applyNumberFormat="1" applyFont="1" applyBorder="1" applyAlignment="1">
      <alignment horizontal="center" vertical="center" wrapText="1" readingOrder="2"/>
    </xf>
    <xf numFmtId="37" fontId="18" fillId="0" borderId="0" xfId="0" applyNumberFormat="1" applyFont="1" applyAlignment="1">
      <alignment horizontal="center" vertical="center" readingOrder="2"/>
    </xf>
    <xf numFmtId="37" fontId="18" fillId="0" borderId="1" xfId="0" applyNumberFormat="1" applyFont="1" applyBorder="1" applyAlignment="1">
      <alignment horizontal="center" vertical="center" readingOrder="2"/>
    </xf>
    <xf numFmtId="37" fontId="18" fillId="0" borderId="2" xfId="0" applyNumberFormat="1" applyFont="1" applyBorder="1" applyAlignment="1">
      <alignment horizontal="center" vertical="center" wrapText="1" readingOrder="2"/>
    </xf>
    <xf numFmtId="10" fontId="18" fillId="0" borderId="2" xfId="1" applyNumberFormat="1" applyFont="1" applyBorder="1" applyAlignment="1">
      <alignment horizontal="center" vertical="center" wrapText="1" readingOrder="2"/>
    </xf>
    <xf numFmtId="10" fontId="18" fillId="0" borderId="1" xfId="1" applyNumberFormat="1" applyFont="1" applyBorder="1" applyAlignment="1">
      <alignment horizontal="center" vertical="center" wrapText="1" readingOrder="2"/>
    </xf>
    <xf numFmtId="37" fontId="18" fillId="0" borderId="0" xfId="0" applyNumberFormat="1" applyFont="1" applyAlignment="1">
      <alignment horizontal="center"/>
    </xf>
    <xf numFmtId="37" fontId="18" fillId="0" borderId="2" xfId="0" applyNumberFormat="1" applyFont="1" applyBorder="1" applyAlignment="1">
      <alignment horizontal="center" vertical="center" readingOrder="2"/>
    </xf>
    <xf numFmtId="37" fontId="1" fillId="0" borderId="2" xfId="0" applyNumberFormat="1" applyFont="1" applyBorder="1" applyAlignment="1">
      <alignment horizontal="center" readingOrder="2"/>
    </xf>
    <xf numFmtId="37" fontId="7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 vertical="center" wrapText="1" readingOrder="2"/>
    </xf>
    <xf numFmtId="37" fontId="2" fillId="0" borderId="1" xfId="0" applyNumberFormat="1" applyFont="1" applyBorder="1" applyAlignment="1">
      <alignment horizontal="center" vertical="center" wrapText="1" readingOrder="2"/>
    </xf>
    <xf numFmtId="37" fontId="2" fillId="0" borderId="0" xfId="0" applyNumberFormat="1" applyFont="1" applyAlignment="1">
      <alignment horizontal="center"/>
    </xf>
    <xf numFmtId="37" fontId="2" fillId="0" borderId="2" xfId="0" applyNumberFormat="1" applyFont="1" applyBorder="1" applyAlignment="1">
      <alignment horizontal="center" vertical="center" readingOrder="2"/>
    </xf>
    <xf numFmtId="37" fontId="2" fillId="0" borderId="1" xfId="0" applyNumberFormat="1" applyFont="1" applyBorder="1" applyAlignment="1">
      <alignment horizontal="center" vertical="center" readingOrder="2"/>
    </xf>
    <xf numFmtId="37" fontId="2" fillId="0" borderId="0" xfId="0" applyNumberFormat="1" applyFont="1" applyAlignment="1">
      <alignment horizontal="center" vertical="center" readingOrder="2"/>
    </xf>
    <xf numFmtId="37" fontId="13" fillId="0" borderId="0" xfId="0" applyNumberFormat="1" applyFont="1" applyAlignment="1">
      <alignment horizontal="right" vertical="center" readingOrder="2"/>
    </xf>
    <xf numFmtId="37" fontId="2" fillId="0" borderId="1" xfId="0" applyNumberFormat="1" applyFont="1" applyBorder="1" applyAlignment="1">
      <alignment horizontal="center"/>
    </xf>
    <xf numFmtId="37" fontId="1" fillId="0" borderId="1" xfId="0" applyNumberFormat="1" applyFont="1" applyBorder="1" applyAlignment="1">
      <alignment horizontal="center" vertical="center" wrapText="1" readingOrder="2"/>
    </xf>
    <xf numFmtId="37" fontId="2" fillId="0" borderId="2" xfId="0" applyNumberFormat="1" applyFont="1" applyBorder="1" applyAlignment="1">
      <alignment horizontal="center" vertical="center" wrapText="1" readingOrder="2"/>
    </xf>
    <xf numFmtId="37" fontId="1" fillId="0" borderId="1" xfId="0" applyNumberFormat="1" applyFont="1" applyBorder="1" applyAlignment="1">
      <alignment horizontal="center"/>
    </xf>
    <xf numFmtId="37" fontId="1" fillId="0" borderId="0" xfId="0" applyNumberFormat="1" applyFont="1" applyAlignment="1">
      <alignment horizontal="center"/>
    </xf>
    <xf numFmtId="37" fontId="1" fillId="0" borderId="2" xfId="0" applyNumberFormat="1" applyFont="1" applyBorder="1" applyAlignment="1">
      <alignment horizontal="center" vertical="center" wrapText="1" readingOrder="2"/>
    </xf>
    <xf numFmtId="37" fontId="1" fillId="0" borderId="2" xfId="0" applyNumberFormat="1" applyFont="1" applyBorder="1" applyAlignment="1">
      <alignment horizontal="center" vertical="center" wrapText="1"/>
    </xf>
    <xf numFmtId="37" fontId="1" fillId="0" borderId="1" xfId="0" applyNumberFormat="1" applyFont="1" applyBorder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 wrapText="1" readingOrder="2"/>
    </xf>
    <xf numFmtId="37" fontId="1" fillId="0" borderId="2" xfId="0" applyNumberFormat="1" applyFont="1" applyBorder="1" applyAlignment="1">
      <alignment horizontal="center" vertical="center" readingOrder="2"/>
    </xf>
    <xf numFmtId="37" fontId="1" fillId="0" borderId="1" xfId="0" applyNumberFormat="1" applyFont="1" applyBorder="1" applyAlignment="1">
      <alignment horizontal="center" vertical="center" readingOrder="2"/>
    </xf>
    <xf numFmtId="37" fontId="14" fillId="0" borderId="2" xfId="0" applyNumberFormat="1" applyFont="1" applyBorder="1" applyAlignment="1">
      <alignment horizontal="center"/>
    </xf>
    <xf numFmtId="37" fontId="14" fillId="0" borderId="0" xfId="0" applyNumberFormat="1" applyFont="1" applyAlignment="1">
      <alignment horizontal="center"/>
    </xf>
    <xf numFmtId="37" fontId="15" fillId="0" borderId="0" xfId="0" applyNumberFormat="1" applyFont="1" applyAlignment="1">
      <alignment horizontal="right" vertical="center" readingOrder="2"/>
    </xf>
    <xf numFmtId="37" fontId="2" fillId="0" borderId="0" xfId="0" applyNumberFormat="1" applyFont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10" fontId="23" fillId="0" borderId="2" xfId="1" applyNumberFormat="1" applyFont="1" applyBorder="1" applyAlignment="1">
      <alignment horizontal="center" vertical="center" wrapText="1" readingOrder="2"/>
    </xf>
    <xf numFmtId="10" fontId="23" fillId="0" borderId="1" xfId="1" applyNumberFormat="1" applyFont="1" applyBorder="1" applyAlignment="1">
      <alignment horizontal="center" vertical="center" wrapText="1" readingOrder="2"/>
    </xf>
    <xf numFmtId="37" fontId="24" fillId="0" borderId="0" xfId="0" applyNumberFormat="1" applyFont="1" applyAlignment="1">
      <alignment horizontal="right" vertical="center" readingOrder="2"/>
    </xf>
    <xf numFmtId="37" fontId="22" fillId="0" borderId="1" xfId="0" applyNumberFormat="1" applyFont="1" applyBorder="1" applyAlignment="1">
      <alignment horizontal="center" vertical="center" wrapText="1" readingOrder="2"/>
    </xf>
    <xf numFmtId="37" fontId="23" fillId="0" borderId="2" xfId="0" applyNumberFormat="1" applyFont="1" applyBorder="1" applyAlignment="1">
      <alignment horizontal="center" vertical="center" readingOrder="2"/>
    </xf>
    <xf numFmtId="37" fontId="23" fillId="0" borderId="1" xfId="0" applyNumberFormat="1" applyFont="1" applyBorder="1" applyAlignment="1">
      <alignment horizontal="center" vertical="center" readingOrder="2"/>
    </xf>
    <xf numFmtId="37" fontId="23" fillId="0" borderId="0" xfId="0" applyNumberFormat="1" applyFont="1" applyAlignment="1">
      <alignment horizontal="center" vertical="center" wrapText="1" readingOrder="2"/>
    </xf>
    <xf numFmtId="37" fontId="23" fillId="0" borderId="1" xfId="0" applyNumberFormat="1" applyFont="1" applyBorder="1" applyAlignment="1">
      <alignment horizontal="center" vertical="center" wrapText="1" readingOrder="2"/>
    </xf>
    <xf numFmtId="37" fontId="23" fillId="0" borderId="0" xfId="0" applyNumberFormat="1" applyFont="1" applyAlignment="1">
      <alignment horizontal="center" vertical="center" readingOrder="2"/>
    </xf>
    <xf numFmtId="37" fontId="23" fillId="0" borderId="1" xfId="0" applyNumberFormat="1" applyFont="1" applyBorder="1" applyAlignment="1">
      <alignment horizontal="center"/>
    </xf>
    <xf numFmtId="37" fontId="23" fillId="0" borderId="2" xfId="0" applyNumberFormat="1" applyFont="1" applyBorder="1" applyAlignment="1">
      <alignment horizontal="center" vertical="center"/>
    </xf>
    <xf numFmtId="37" fontId="23" fillId="0" borderId="1" xfId="0" applyNumberFormat="1" applyFont="1" applyBorder="1" applyAlignment="1">
      <alignment horizontal="center" vertical="center"/>
    </xf>
    <xf numFmtId="37" fontId="22" fillId="0" borderId="0" xfId="0" applyNumberFormat="1" applyFont="1" applyAlignment="1">
      <alignment horizontal="center"/>
    </xf>
    <xf numFmtId="37" fontId="7" fillId="0" borderId="0" xfId="0" applyNumberFormat="1" applyFont="1" applyAlignment="1">
      <alignment horizontal="center" vertical="center"/>
    </xf>
    <xf numFmtId="37" fontId="27" fillId="0" borderId="1" xfId="0" applyNumberFormat="1" applyFont="1" applyBorder="1" applyAlignment="1">
      <alignment horizontal="center" vertical="center" wrapText="1" readingOrder="2"/>
    </xf>
    <xf numFmtId="37" fontId="18" fillId="0" borderId="0" xfId="0" applyNumberFormat="1" applyFont="1" applyAlignment="1">
      <alignment horizontal="center" vertical="center" wrapText="1"/>
    </xf>
    <xf numFmtId="37" fontId="18" fillId="0" borderId="1" xfId="0" applyNumberFormat="1" applyFont="1" applyBorder="1" applyAlignment="1">
      <alignment horizontal="center" vertical="center" wrapText="1"/>
    </xf>
    <xf numFmtId="37" fontId="27" fillId="0" borderId="2" xfId="0" applyNumberFormat="1" applyFont="1" applyBorder="1" applyAlignment="1">
      <alignment horizontal="center" vertical="center" wrapText="1" readingOrder="2"/>
    </xf>
    <xf numFmtId="37" fontId="27" fillId="0" borderId="0" xfId="0" applyNumberFormat="1" applyFont="1" applyBorder="1" applyAlignment="1">
      <alignment horizontal="center" vertical="center" wrapText="1" readingOrder="2"/>
    </xf>
    <xf numFmtId="37" fontId="3" fillId="0" borderId="1" xfId="0" applyNumberFormat="1" applyFont="1" applyBorder="1" applyAlignment="1">
      <alignment horizontal="center" vertical="center" wrapText="1" readingOrder="2"/>
    </xf>
    <xf numFmtId="37" fontId="3" fillId="0" borderId="2" xfId="0" applyNumberFormat="1" applyFont="1" applyBorder="1" applyAlignment="1">
      <alignment horizontal="center" vertical="center" wrapText="1" readingOrder="2"/>
    </xf>
    <xf numFmtId="37" fontId="3" fillId="0" borderId="0" xfId="0" applyNumberFormat="1" applyFont="1" applyAlignment="1">
      <alignment horizontal="center" vertical="center" wrapText="1" readingOrder="2"/>
    </xf>
    <xf numFmtId="37" fontId="2" fillId="0" borderId="0" xfId="0" applyNumberFormat="1" applyFont="1" applyAlignment="1">
      <alignment horizontal="center" vertical="center" wrapText="1"/>
    </xf>
    <xf numFmtId="37" fontId="2" fillId="0" borderId="1" xfId="0" applyNumberFormat="1" applyFont="1" applyBorder="1" applyAlignment="1">
      <alignment horizontal="center" vertical="center" wrapText="1"/>
    </xf>
    <xf numFmtId="37" fontId="2" fillId="0" borderId="2" xfId="0" applyNumberFormat="1" applyFont="1" applyBorder="1" applyAlignment="1">
      <alignment vertical="center" wrapText="1"/>
    </xf>
    <xf numFmtId="37" fontId="2" fillId="0" borderId="0" xfId="0" applyNumberFormat="1" applyFont="1" applyAlignment="1">
      <alignment vertical="center" wrapText="1"/>
    </xf>
    <xf numFmtId="37" fontId="1" fillId="0" borderId="3" xfId="0" applyNumberFormat="1" applyFont="1" applyBorder="1" applyAlignment="1">
      <alignment horizontal="center" vertical="center" wrapText="1"/>
    </xf>
    <xf numFmtId="37" fontId="3" fillId="0" borderId="3" xfId="0" applyNumberFormat="1" applyFont="1" applyBorder="1" applyAlignment="1">
      <alignment horizontal="center" vertical="center" wrapText="1" readingOrder="2"/>
    </xf>
    <xf numFmtId="37" fontId="5" fillId="0" borderId="0" xfId="0" applyNumberFormat="1" applyFont="1" applyAlignment="1">
      <alignment horizontal="center"/>
    </xf>
    <xf numFmtId="37" fontId="5" fillId="0" borderId="1" xfId="0" applyNumberFormat="1" applyFont="1" applyBorder="1" applyAlignment="1">
      <alignment horizontal="center"/>
    </xf>
    <xf numFmtId="37" fontId="6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BD025287-B609-466E-8DE4-E1748EAD024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5D22-4EE0-4C93-A6A2-ABDAB0A3C291}">
  <sheetPr>
    <tabColor rgb="FF92D050"/>
    <pageSetUpPr fitToPage="1"/>
  </sheetPr>
  <dimension ref="A1:K34"/>
  <sheetViews>
    <sheetView rightToLeft="1" tabSelected="1" view="pageBreakPreview" zoomScaleNormal="100" zoomScaleSheetLayoutView="100" workbookViewId="0">
      <selection activeCell="A19" sqref="A19:K24"/>
    </sheetView>
  </sheetViews>
  <sheetFormatPr defaultRowHeight="14.25"/>
  <cols>
    <col min="1" max="11" width="7.75" style="2" customWidth="1"/>
    <col min="12" max="16384" width="9" style="2"/>
  </cols>
  <sheetData>
    <row r="1" spans="1:11" ht="1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92" t="s">
        <v>446</v>
      </c>
      <c r="B4" s="92"/>
      <c r="C4" s="92"/>
      <c r="D4" s="92"/>
      <c r="E4" s="92"/>
      <c r="F4" s="92"/>
      <c r="G4" s="92"/>
      <c r="H4" s="92"/>
      <c r="I4" s="92"/>
      <c r="J4" s="92"/>
      <c r="K4" s="92"/>
    </row>
    <row r="5" spans="1:11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</row>
    <row r="6" spans="1:11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</row>
    <row r="7" spans="1:1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</row>
    <row r="8" spans="1:11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</row>
    <row r="9" spans="1:1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</row>
    <row r="10" spans="1:1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</row>
    <row r="11" spans="1: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</row>
    <row r="12" spans="1:1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</row>
    <row r="13" spans="1:1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</row>
    <row r="14" spans="1:11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</row>
    <row r="15" spans="1:11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</row>
    <row r="16" spans="1:11" ht="39.75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</row>
    <row r="17" spans="1:11" ht="15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</row>
    <row r="18" spans="1:11" ht="25.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5" customHeight="1">
      <c r="A19" s="92" t="s">
        <v>448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</row>
    <row r="20" spans="1:11" ht="15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</row>
    <row r="21" spans="1:11" ht="15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</row>
    <row r="22" spans="1:11" ht="1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</row>
    <row r="23" spans="1:11" ht="1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</row>
    <row r="24" spans="1:11" ht="127.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</row>
    <row r="25" spans="1:11" ht="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</row>
    <row r="27" spans="1:11" ht="25.5">
      <c r="A27" s="3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94" t="s">
        <v>447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</row>
    <row r="29" spans="1:1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spans="1:11" ht="27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spans="1:11" ht="27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</row>
    <row r="32" spans="1:11" ht="27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</row>
    <row r="33" spans="1:1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</row>
    <row r="34" spans="1:1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</row>
  </sheetData>
  <mergeCells count="5">
    <mergeCell ref="A4:K16"/>
    <mergeCell ref="A17:K17"/>
    <mergeCell ref="A19:K24"/>
    <mergeCell ref="A26:K26"/>
    <mergeCell ref="A28:K34"/>
  </mergeCells>
  <pageMargins left="0.7" right="0.7" top="0.75" bottom="0.75" header="0.3" footer="0.3"/>
  <pageSetup paperSize="9"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N236"/>
  <sheetViews>
    <sheetView rightToLeft="1" tabSelected="1" view="pageBreakPreview" topLeftCell="A218" zoomScaleNormal="100" zoomScaleSheetLayoutView="100" workbookViewId="0">
      <selection activeCell="A19" sqref="A19:K24"/>
    </sheetView>
  </sheetViews>
  <sheetFormatPr defaultColWidth="9.125" defaultRowHeight="22.5"/>
  <cols>
    <col min="1" max="1" width="19.5" style="57" bestFit="1" customWidth="1"/>
    <col min="2" max="2" width="14.5" style="57" bestFit="1" customWidth="1"/>
    <col min="3" max="3" width="18.25" style="57" bestFit="1" customWidth="1"/>
    <col min="4" max="4" width="18.625" style="57" bestFit="1" customWidth="1"/>
    <col min="5" max="5" width="11.75" style="57" bestFit="1" customWidth="1"/>
    <col min="6" max="6" width="3.75" style="57" bestFit="1" customWidth="1"/>
    <col min="7" max="7" width="8.375" style="57" bestFit="1" customWidth="1"/>
    <col min="8" max="8" width="12.625" style="57" bestFit="1" customWidth="1"/>
    <col min="9" max="9" width="18.5" style="57" bestFit="1" customWidth="1"/>
    <col min="10" max="10" width="14.5" style="57" bestFit="1" customWidth="1"/>
    <col min="11" max="11" width="10.625" style="57" bestFit="1" customWidth="1"/>
    <col min="12" max="12" width="18.25" style="57" bestFit="1" customWidth="1"/>
    <col min="13" max="13" width="19.625" style="57" bestFit="1" customWidth="1"/>
    <col min="14" max="14" width="11.875" style="67" bestFit="1" customWidth="1"/>
    <col min="15" max="16384" width="9.125" style="57"/>
  </cols>
  <sheetData>
    <row r="1" spans="1:14" ht="24">
      <c r="A1" s="95" t="s">
        <v>113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4">
      <c r="A2" s="95" t="s">
        <v>74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1:14" ht="24">
      <c r="A3" s="95" t="s">
        <v>115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4" ht="24">
      <c r="A4" s="96" t="s">
        <v>32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</row>
    <row r="5" spans="1:14" ht="24">
      <c r="A5" s="96" t="s">
        <v>33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7" spans="1:14" ht="18.75" customHeight="1" thickBot="1">
      <c r="A7" s="58"/>
      <c r="B7" s="97" t="s">
        <v>124</v>
      </c>
      <c r="C7" s="97"/>
      <c r="D7" s="97"/>
      <c r="E7" s="59"/>
      <c r="F7" s="98" t="s">
        <v>11</v>
      </c>
      <c r="G7" s="98"/>
      <c r="H7" s="98"/>
      <c r="I7" s="98"/>
      <c r="J7" s="97" t="s">
        <v>116</v>
      </c>
      <c r="K7" s="97"/>
      <c r="L7" s="97"/>
      <c r="M7" s="97"/>
      <c r="N7" s="97"/>
    </row>
    <row r="8" spans="1:14" ht="17.25" customHeight="1">
      <c r="A8" s="99" t="s">
        <v>1</v>
      </c>
      <c r="B8" s="101" t="s">
        <v>3</v>
      </c>
      <c r="C8" s="101" t="s">
        <v>0</v>
      </c>
      <c r="D8" s="103" t="s">
        <v>27</v>
      </c>
      <c r="E8" s="106" t="s">
        <v>4</v>
      </c>
      <c r="F8" s="106"/>
      <c r="G8" s="106"/>
      <c r="H8" s="106" t="s">
        <v>5</v>
      </c>
      <c r="I8" s="106"/>
      <c r="J8" s="107" t="s">
        <v>3</v>
      </c>
      <c r="K8" s="103" t="s">
        <v>37</v>
      </c>
      <c r="L8" s="107" t="s">
        <v>0</v>
      </c>
      <c r="M8" s="103" t="s">
        <v>27</v>
      </c>
      <c r="N8" s="104" t="s">
        <v>30</v>
      </c>
    </row>
    <row r="9" spans="1:14" ht="20.25" customHeight="1" thickBot="1">
      <c r="A9" s="100"/>
      <c r="B9" s="102"/>
      <c r="C9" s="102"/>
      <c r="D9" s="100"/>
      <c r="E9" s="60" t="s">
        <v>108</v>
      </c>
      <c r="F9" s="61" t="s">
        <v>3</v>
      </c>
      <c r="G9" s="61" t="s">
        <v>0</v>
      </c>
      <c r="H9" s="61" t="s">
        <v>3</v>
      </c>
      <c r="I9" s="61" t="s">
        <v>73</v>
      </c>
      <c r="J9" s="102"/>
      <c r="K9" s="100"/>
      <c r="L9" s="102"/>
      <c r="M9" s="100"/>
      <c r="N9" s="105"/>
    </row>
    <row r="10" spans="1:14" ht="26.25" customHeight="1">
      <c r="A10" s="62" t="s">
        <v>181</v>
      </c>
      <c r="B10" s="62">
        <v>6927544</v>
      </c>
      <c r="C10" s="62">
        <v>30497945722</v>
      </c>
      <c r="D10" s="62">
        <v>31139193205</v>
      </c>
      <c r="E10" s="62">
        <v>0</v>
      </c>
      <c r="F10" s="62">
        <v>0</v>
      </c>
      <c r="G10" s="62">
        <v>0</v>
      </c>
      <c r="H10" s="62">
        <v>900000</v>
      </c>
      <c r="I10" s="62">
        <v>5126066842</v>
      </c>
      <c r="J10" s="62">
        <v>6027544</v>
      </c>
      <c r="K10" s="62">
        <v>7040</v>
      </c>
      <c r="L10" s="62">
        <v>26535769350</v>
      </c>
      <c r="M10" s="62">
        <v>42105895638</v>
      </c>
      <c r="N10" s="63">
        <f>M10/10876635978211</f>
        <v>3.8712241287057968E-3</v>
      </c>
    </row>
    <row r="11" spans="1:14" ht="26.25" customHeight="1">
      <c r="A11" s="62" t="s">
        <v>264</v>
      </c>
      <c r="B11" s="62">
        <v>6142935</v>
      </c>
      <c r="C11" s="62">
        <v>44945848553</v>
      </c>
      <c r="D11" s="62">
        <v>91980342197</v>
      </c>
      <c r="E11" s="62">
        <v>0</v>
      </c>
      <c r="F11" s="62">
        <v>0</v>
      </c>
      <c r="G11" s="62">
        <v>0</v>
      </c>
      <c r="H11" s="62">
        <v>2900000</v>
      </c>
      <c r="I11" s="62">
        <v>46043070060</v>
      </c>
      <c r="J11" s="62">
        <v>3242935</v>
      </c>
      <c r="K11" s="62">
        <v>16970</v>
      </c>
      <c r="L11" s="62">
        <v>23727495957</v>
      </c>
      <c r="M11" s="62">
        <v>54607204898</v>
      </c>
      <c r="N11" s="63">
        <f t="shared" ref="N11:N74" si="0">M11/10876635978211</f>
        <v>5.0205969021482177E-3</v>
      </c>
    </row>
    <row r="12" spans="1:14" ht="26.25" customHeight="1">
      <c r="A12" s="62" t="s">
        <v>292</v>
      </c>
      <c r="B12" s="62">
        <v>158909</v>
      </c>
      <c r="C12" s="62">
        <v>18355763158</v>
      </c>
      <c r="D12" s="62">
        <v>20167353016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158909</v>
      </c>
      <c r="K12" s="62">
        <v>193500</v>
      </c>
      <c r="L12" s="62">
        <v>18355763158</v>
      </c>
      <c r="M12" s="62">
        <v>30511202569</v>
      </c>
      <c r="N12" s="63">
        <f t="shared" si="0"/>
        <v>2.8052058219216521E-3</v>
      </c>
    </row>
    <row r="13" spans="1:14" ht="26.25" customHeight="1">
      <c r="A13" s="62" t="s">
        <v>268</v>
      </c>
      <c r="B13" s="62">
        <v>4862943</v>
      </c>
      <c r="C13" s="62">
        <v>35264692153</v>
      </c>
      <c r="D13" s="62">
        <v>55684567280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4862943</v>
      </c>
      <c r="K13" s="62">
        <v>14690</v>
      </c>
      <c r="L13" s="62">
        <v>35264692153</v>
      </c>
      <c r="M13" s="62">
        <v>70884427499</v>
      </c>
      <c r="N13" s="63">
        <f t="shared" si="0"/>
        <v>6.5171278730851798E-3</v>
      </c>
    </row>
    <row r="14" spans="1:14" ht="26.25" customHeight="1">
      <c r="A14" s="62" t="s">
        <v>362</v>
      </c>
      <c r="B14" s="62">
        <v>112243</v>
      </c>
      <c r="C14" s="62">
        <v>1024541000</v>
      </c>
      <c r="D14" s="62">
        <v>1881129858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112243</v>
      </c>
      <c r="K14" s="62">
        <v>28640</v>
      </c>
      <c r="L14" s="62">
        <v>1024541000</v>
      </c>
      <c r="M14" s="62">
        <v>3189790357</v>
      </c>
      <c r="N14" s="63">
        <f t="shared" si="0"/>
        <v>2.9326993781809545E-4</v>
      </c>
    </row>
    <row r="15" spans="1:14" ht="26.25" customHeight="1">
      <c r="A15" s="62" t="s">
        <v>325</v>
      </c>
      <c r="B15" s="62">
        <v>3814542</v>
      </c>
      <c r="C15" s="62">
        <v>16572695909</v>
      </c>
      <c r="D15" s="62">
        <v>14829847803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3814542</v>
      </c>
      <c r="K15" s="62">
        <v>4490</v>
      </c>
      <c r="L15" s="62">
        <v>16572695909</v>
      </c>
      <c r="M15" s="62">
        <v>16994899601</v>
      </c>
      <c r="N15" s="63">
        <f t="shared" si="0"/>
        <v>1.5625143321009937E-3</v>
      </c>
    </row>
    <row r="16" spans="1:14" ht="26.25" customHeight="1">
      <c r="A16" s="62" t="s">
        <v>295</v>
      </c>
      <c r="B16" s="62">
        <v>245000</v>
      </c>
      <c r="C16" s="62">
        <v>1829159370</v>
      </c>
      <c r="D16" s="62">
        <v>3388899731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245000</v>
      </c>
      <c r="K16" s="62">
        <v>18010</v>
      </c>
      <c r="L16" s="62">
        <v>1829159370</v>
      </c>
      <c r="M16" s="62">
        <v>4378341761</v>
      </c>
      <c r="N16" s="63">
        <f t="shared" si="0"/>
        <v>4.0254558208724329E-4</v>
      </c>
    </row>
    <row r="17" spans="1:14" ht="26.25" customHeight="1">
      <c r="A17" s="62" t="s">
        <v>222</v>
      </c>
      <c r="B17" s="62">
        <v>9524125</v>
      </c>
      <c r="C17" s="62">
        <v>50137389582</v>
      </c>
      <c r="D17" s="62">
        <v>52639304572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9524125</v>
      </c>
      <c r="K17" s="62">
        <v>9020</v>
      </c>
      <c r="L17" s="62">
        <v>50137389582</v>
      </c>
      <c r="M17" s="62">
        <v>85243541694</v>
      </c>
      <c r="N17" s="63">
        <f t="shared" si="0"/>
        <v>7.837307588924286E-3</v>
      </c>
    </row>
    <row r="18" spans="1:14" ht="26.25" customHeight="1">
      <c r="A18" s="62" t="s">
        <v>235</v>
      </c>
      <c r="B18" s="62">
        <v>3135450</v>
      </c>
      <c r="C18" s="62">
        <v>33774231367</v>
      </c>
      <c r="D18" s="62">
        <v>48068240410</v>
      </c>
      <c r="E18" s="62">
        <v>0</v>
      </c>
      <c r="F18" s="62">
        <v>0</v>
      </c>
      <c r="G18" s="62">
        <v>0</v>
      </c>
      <c r="H18" s="62">
        <v>800000</v>
      </c>
      <c r="I18" s="62">
        <v>19019831409</v>
      </c>
      <c r="J18" s="62">
        <v>2335450</v>
      </c>
      <c r="K18" s="62">
        <v>24090</v>
      </c>
      <c r="L18" s="62">
        <v>25156844678</v>
      </c>
      <c r="M18" s="62">
        <v>55826093043</v>
      </c>
      <c r="N18" s="63">
        <f t="shared" si="0"/>
        <v>5.1326617122091391E-3</v>
      </c>
    </row>
    <row r="19" spans="1:14" ht="26.25" customHeight="1">
      <c r="A19" s="62" t="s">
        <v>211</v>
      </c>
      <c r="B19" s="62">
        <v>10967693</v>
      </c>
      <c r="C19" s="62">
        <v>14347988206</v>
      </c>
      <c r="D19" s="62">
        <v>30308911962</v>
      </c>
      <c r="E19" s="62">
        <v>0</v>
      </c>
      <c r="F19" s="62">
        <v>0</v>
      </c>
      <c r="G19" s="62">
        <v>0</v>
      </c>
      <c r="H19" s="62">
        <v>1200000</v>
      </c>
      <c r="I19" s="62">
        <v>3988925420</v>
      </c>
      <c r="J19" s="62">
        <v>9767693</v>
      </c>
      <c r="K19" s="62">
        <v>3390</v>
      </c>
      <c r="L19" s="62">
        <v>12778142492</v>
      </c>
      <c r="M19" s="62">
        <v>32856519805</v>
      </c>
      <c r="N19" s="63">
        <f t="shared" si="0"/>
        <v>3.0208347388678788E-3</v>
      </c>
    </row>
    <row r="20" spans="1:14" ht="26.25" customHeight="1">
      <c r="A20" s="62" t="s">
        <v>223</v>
      </c>
      <c r="B20" s="62">
        <v>12621427</v>
      </c>
      <c r="C20" s="62">
        <v>57822572358</v>
      </c>
      <c r="D20" s="62">
        <v>129621985872</v>
      </c>
      <c r="E20" s="62">
        <v>0</v>
      </c>
      <c r="F20" s="62">
        <v>0</v>
      </c>
      <c r="G20" s="62">
        <v>0</v>
      </c>
      <c r="H20" s="62">
        <v>1000000</v>
      </c>
      <c r="I20" s="62">
        <v>12194998362</v>
      </c>
      <c r="J20" s="62">
        <v>11621427</v>
      </c>
      <c r="K20" s="62">
        <v>15520</v>
      </c>
      <c r="L20" s="62">
        <v>53241270073</v>
      </c>
      <c r="M20" s="62">
        <v>178970329091</v>
      </c>
      <c r="N20" s="63">
        <f t="shared" si="0"/>
        <v>1.6454566416447929E-2</v>
      </c>
    </row>
    <row r="21" spans="1:14" ht="26.25" customHeight="1">
      <c r="A21" s="62" t="s">
        <v>144</v>
      </c>
      <c r="B21" s="62">
        <v>1405609</v>
      </c>
      <c r="C21" s="62">
        <v>22200418339</v>
      </c>
      <c r="D21" s="62">
        <v>40489407940</v>
      </c>
      <c r="E21" s="62">
        <v>0</v>
      </c>
      <c r="F21" s="62">
        <v>0</v>
      </c>
      <c r="G21" s="62">
        <v>0</v>
      </c>
      <c r="H21" s="62">
        <v>60000</v>
      </c>
      <c r="I21" s="62">
        <v>2052830592</v>
      </c>
      <c r="J21" s="62">
        <v>1345609</v>
      </c>
      <c r="K21" s="62">
        <v>34770</v>
      </c>
      <c r="L21" s="62">
        <v>21252768530</v>
      </c>
      <c r="M21" s="62">
        <v>46425162773</v>
      </c>
      <c r="N21" s="63">
        <f t="shared" si="0"/>
        <v>4.2683383783370908E-3</v>
      </c>
    </row>
    <row r="22" spans="1:14" ht="26.25" customHeight="1">
      <c r="A22" s="62" t="s">
        <v>186</v>
      </c>
      <c r="B22" s="62">
        <v>10003637</v>
      </c>
      <c r="C22" s="62">
        <v>26253752222</v>
      </c>
      <c r="D22" s="62">
        <v>24448498786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10003637</v>
      </c>
      <c r="K22" s="62">
        <v>3880</v>
      </c>
      <c r="L22" s="62">
        <v>26253752222</v>
      </c>
      <c r="M22" s="62">
        <v>38514078478</v>
      </c>
      <c r="N22" s="63">
        <f t="shared" si="0"/>
        <v>3.5409917694363101E-3</v>
      </c>
    </row>
    <row r="23" spans="1:14" ht="26.25" customHeight="1">
      <c r="A23" s="62" t="s">
        <v>164</v>
      </c>
      <c r="B23" s="62">
        <v>28071939</v>
      </c>
      <c r="C23" s="62">
        <v>65149474268</v>
      </c>
      <c r="D23" s="62">
        <v>77631725894</v>
      </c>
      <c r="E23" s="62">
        <v>0</v>
      </c>
      <c r="F23" s="62">
        <v>0</v>
      </c>
      <c r="G23" s="62">
        <v>0</v>
      </c>
      <c r="H23" s="62">
        <v>1500000</v>
      </c>
      <c r="I23" s="62">
        <v>4828385853</v>
      </c>
      <c r="J23" s="62">
        <v>26571939</v>
      </c>
      <c r="K23" s="62">
        <v>3110</v>
      </c>
      <c r="L23" s="62">
        <v>61668267950</v>
      </c>
      <c r="M23" s="62">
        <v>81999932905</v>
      </c>
      <c r="N23" s="63">
        <f t="shared" si="0"/>
        <v>7.5390895741357187E-3</v>
      </c>
    </row>
    <row r="24" spans="1:14" ht="26.25" customHeight="1">
      <c r="A24" s="62" t="s">
        <v>219</v>
      </c>
      <c r="B24" s="62">
        <v>104507736</v>
      </c>
      <c r="C24" s="62">
        <v>57417442109</v>
      </c>
      <c r="D24" s="62">
        <v>52264745165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104507736</v>
      </c>
      <c r="K24" s="62">
        <v>647</v>
      </c>
      <c r="L24" s="62">
        <v>57417442109</v>
      </c>
      <c r="M24" s="62">
        <v>67093829607</v>
      </c>
      <c r="N24" s="63">
        <f t="shared" si="0"/>
        <v>6.1686195751524692E-3</v>
      </c>
    </row>
    <row r="25" spans="1:14" ht="26.25" customHeight="1">
      <c r="A25" s="62" t="s">
        <v>271</v>
      </c>
      <c r="B25" s="62">
        <v>1750000</v>
      </c>
      <c r="C25" s="62">
        <v>4291393050</v>
      </c>
      <c r="D25" s="62">
        <v>7102172525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1750000</v>
      </c>
      <c r="K25" s="62">
        <v>4920</v>
      </c>
      <c r="L25" s="62">
        <v>4291393050</v>
      </c>
      <c r="M25" s="62">
        <v>8543444700</v>
      </c>
      <c r="N25" s="63">
        <f t="shared" si="0"/>
        <v>7.8548594594090974E-4</v>
      </c>
    </row>
    <row r="26" spans="1:14" ht="26.25" customHeight="1">
      <c r="A26" s="62" t="s">
        <v>375</v>
      </c>
      <c r="B26" s="62">
        <v>31353305</v>
      </c>
      <c r="C26" s="62">
        <v>41262935127</v>
      </c>
      <c r="D26" s="62">
        <v>41688664896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31353305</v>
      </c>
      <c r="K26" s="62">
        <v>1757</v>
      </c>
      <c r="L26" s="62">
        <v>41262935127</v>
      </c>
      <c r="M26" s="62">
        <v>54661928524</v>
      </c>
      <c r="N26" s="63">
        <f t="shared" si="0"/>
        <v>5.0256282028288352E-3</v>
      </c>
    </row>
    <row r="27" spans="1:14" ht="26.25" customHeight="1">
      <c r="A27" s="62" t="s">
        <v>131</v>
      </c>
      <c r="B27" s="62">
        <v>36217996</v>
      </c>
      <c r="C27" s="62">
        <v>17509465532</v>
      </c>
      <c r="D27" s="62">
        <v>18975280310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36217996</v>
      </c>
      <c r="K27" s="62">
        <v>850</v>
      </c>
      <c r="L27" s="62">
        <v>17509465532</v>
      </c>
      <c r="M27" s="62">
        <v>30547326257</v>
      </c>
      <c r="N27" s="63">
        <f t="shared" si="0"/>
        <v>2.8085270407316194E-3</v>
      </c>
    </row>
    <row r="28" spans="1:14" ht="26.25" customHeight="1">
      <c r="A28" s="62" t="s">
        <v>231</v>
      </c>
      <c r="B28" s="62">
        <v>6800000</v>
      </c>
      <c r="C28" s="62">
        <v>22892904586</v>
      </c>
      <c r="D28" s="62">
        <v>35558987720</v>
      </c>
      <c r="E28" s="62">
        <v>0</v>
      </c>
      <c r="F28" s="62">
        <v>0</v>
      </c>
      <c r="G28" s="62">
        <v>0</v>
      </c>
      <c r="H28" s="62">
        <v>1200000</v>
      </c>
      <c r="I28" s="62">
        <v>7527754462</v>
      </c>
      <c r="J28" s="62">
        <v>5600000</v>
      </c>
      <c r="K28" s="62">
        <v>6300</v>
      </c>
      <c r="L28" s="62">
        <v>18852980247</v>
      </c>
      <c r="M28" s="62">
        <v>35007285600</v>
      </c>
      <c r="N28" s="63">
        <f t="shared" si="0"/>
        <v>3.2185765589773864E-3</v>
      </c>
    </row>
    <row r="29" spans="1:14" ht="26.25" customHeight="1">
      <c r="A29" s="62" t="s">
        <v>142</v>
      </c>
      <c r="B29" s="62">
        <v>6075143</v>
      </c>
      <c r="C29" s="62">
        <v>15080176037</v>
      </c>
      <c r="D29" s="62">
        <v>15178962640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6075143</v>
      </c>
      <c r="K29" s="62">
        <v>3240</v>
      </c>
      <c r="L29" s="62">
        <v>15080176037</v>
      </c>
      <c r="M29" s="62">
        <v>19531310149</v>
      </c>
      <c r="N29" s="63">
        <f t="shared" si="0"/>
        <v>1.7957124048397664E-3</v>
      </c>
    </row>
    <row r="30" spans="1:14" ht="26.25" customHeight="1">
      <c r="A30" s="62" t="s">
        <v>356</v>
      </c>
      <c r="B30" s="62">
        <v>62123085</v>
      </c>
      <c r="C30" s="62">
        <v>37500861252</v>
      </c>
      <c r="D30" s="62">
        <v>39513081947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62123085</v>
      </c>
      <c r="K30" s="62">
        <v>905</v>
      </c>
      <c r="L30" s="62">
        <v>37500861252</v>
      </c>
      <c r="M30" s="62">
        <v>55786800565</v>
      </c>
      <c r="N30" s="63">
        <f t="shared" si="0"/>
        <v>5.1290491542382083E-3</v>
      </c>
    </row>
    <row r="31" spans="1:14" ht="26.25" customHeight="1">
      <c r="A31" s="62" t="s">
        <v>233</v>
      </c>
      <c r="B31" s="62">
        <v>43696139</v>
      </c>
      <c r="C31" s="62">
        <v>49131263567</v>
      </c>
      <c r="D31" s="62">
        <v>48474655251</v>
      </c>
      <c r="E31" s="62">
        <v>0</v>
      </c>
      <c r="F31" s="62">
        <v>0</v>
      </c>
      <c r="G31" s="62">
        <v>0</v>
      </c>
      <c r="H31" s="62">
        <v>8000000</v>
      </c>
      <c r="I31" s="62">
        <v>10490513495</v>
      </c>
      <c r="J31" s="62">
        <v>35696139</v>
      </c>
      <c r="K31" s="62">
        <v>1369</v>
      </c>
      <c r="L31" s="62">
        <v>40136187171</v>
      </c>
      <c r="M31" s="62">
        <v>48490264541</v>
      </c>
      <c r="N31" s="63">
        <f t="shared" si="0"/>
        <v>4.4582042313579132E-3</v>
      </c>
    </row>
    <row r="32" spans="1:14" ht="26.25" customHeight="1">
      <c r="A32" s="62" t="s">
        <v>166</v>
      </c>
      <c r="B32" s="62">
        <v>14703159</v>
      </c>
      <c r="C32" s="62">
        <v>52303153500</v>
      </c>
      <c r="D32" s="62">
        <v>64777395899</v>
      </c>
      <c r="E32" s="62">
        <v>0</v>
      </c>
      <c r="F32" s="62">
        <v>0</v>
      </c>
      <c r="G32" s="62">
        <v>0</v>
      </c>
      <c r="H32" s="62">
        <v>3300000</v>
      </c>
      <c r="I32" s="62">
        <v>17801767083</v>
      </c>
      <c r="J32" s="62">
        <v>11403159</v>
      </c>
      <c r="K32" s="62">
        <v>5500</v>
      </c>
      <c r="L32" s="62">
        <v>40564151933</v>
      </c>
      <c r="M32" s="62">
        <v>62232569195</v>
      </c>
      <c r="N32" s="63">
        <f t="shared" si="0"/>
        <v>5.7216743595786016E-3</v>
      </c>
    </row>
    <row r="33" spans="1:14" ht="26.25" customHeight="1">
      <c r="A33" s="62" t="s">
        <v>143</v>
      </c>
      <c r="B33" s="62">
        <v>16845192</v>
      </c>
      <c r="C33" s="62">
        <v>25154564634</v>
      </c>
      <c r="D33" s="62">
        <v>26041936761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16845192</v>
      </c>
      <c r="K33" s="62">
        <v>1637</v>
      </c>
      <c r="L33" s="62">
        <v>25154564634</v>
      </c>
      <c r="M33" s="62">
        <v>27362420076</v>
      </c>
      <c r="N33" s="63">
        <f t="shared" si="0"/>
        <v>2.515706154992658E-3</v>
      </c>
    </row>
    <row r="34" spans="1:14" ht="26.25" customHeight="1">
      <c r="A34" s="62" t="s">
        <v>340</v>
      </c>
      <c r="B34" s="62">
        <v>10526015</v>
      </c>
      <c r="C34" s="62">
        <v>15031859870</v>
      </c>
      <c r="D34" s="62">
        <v>26947194172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10526015</v>
      </c>
      <c r="K34" s="62">
        <v>3460</v>
      </c>
      <c r="L34" s="62">
        <v>15031859870</v>
      </c>
      <c r="M34" s="62">
        <v>36138485208</v>
      </c>
      <c r="N34" s="63">
        <f t="shared" si="0"/>
        <v>3.3225792681115447E-3</v>
      </c>
    </row>
    <row r="35" spans="1:14" ht="26.25" customHeight="1">
      <c r="A35" s="62" t="s">
        <v>193</v>
      </c>
      <c r="B35" s="62">
        <v>16851248</v>
      </c>
      <c r="C35" s="62">
        <v>34155781219</v>
      </c>
      <c r="D35" s="62">
        <v>31769876921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16851248</v>
      </c>
      <c r="K35" s="62">
        <v>2085</v>
      </c>
      <c r="L35" s="62">
        <v>34155781219</v>
      </c>
      <c r="M35" s="62">
        <v>34863259673</v>
      </c>
      <c r="N35" s="63">
        <f t="shared" si="0"/>
        <v>3.2053347875980256E-3</v>
      </c>
    </row>
    <row r="36" spans="1:14" ht="26.25" customHeight="1">
      <c r="A36" s="62" t="s">
        <v>378</v>
      </c>
      <c r="B36" s="62">
        <v>2875000</v>
      </c>
      <c r="C36" s="62">
        <v>4907321845</v>
      </c>
      <c r="D36" s="62">
        <v>6161996700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2875000</v>
      </c>
      <c r="K36" s="62">
        <v>2299</v>
      </c>
      <c r="L36" s="62">
        <v>4907321845</v>
      </c>
      <c r="M36" s="62">
        <v>6558532599</v>
      </c>
      <c r="N36" s="63">
        <f t="shared" si="0"/>
        <v>6.0299274629937137E-4</v>
      </c>
    </row>
    <row r="37" spans="1:14" ht="26.25" customHeight="1">
      <c r="A37" s="62" t="s">
        <v>380</v>
      </c>
      <c r="B37" s="62">
        <v>6000000</v>
      </c>
      <c r="C37" s="62">
        <v>72340764580</v>
      </c>
      <c r="D37" s="62">
        <v>74420250000</v>
      </c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6000000</v>
      </c>
      <c r="K37" s="62">
        <v>15650</v>
      </c>
      <c r="L37" s="62">
        <v>72340764580</v>
      </c>
      <c r="M37" s="62">
        <v>93174153000</v>
      </c>
      <c r="N37" s="63">
        <f t="shared" si="0"/>
        <v>8.5664495149653224E-3</v>
      </c>
    </row>
    <row r="38" spans="1:14" ht="26.25" customHeight="1">
      <c r="A38" s="62" t="s">
        <v>127</v>
      </c>
      <c r="B38" s="62">
        <v>17463245</v>
      </c>
      <c r="C38" s="62">
        <v>23932188275</v>
      </c>
      <c r="D38" s="62">
        <v>21833600186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17463245</v>
      </c>
      <c r="K38" s="62">
        <v>1637</v>
      </c>
      <c r="L38" s="62">
        <v>23932188275</v>
      </c>
      <c r="M38" s="62">
        <v>28366351988</v>
      </c>
      <c r="N38" s="63">
        <f t="shared" si="0"/>
        <v>2.6080078477229434E-3</v>
      </c>
    </row>
    <row r="39" spans="1:14" ht="26.25" customHeight="1">
      <c r="A39" s="62" t="s">
        <v>346</v>
      </c>
      <c r="B39" s="62">
        <v>4793305</v>
      </c>
      <c r="C39" s="62">
        <v>9224987442</v>
      </c>
      <c r="D39" s="62">
        <v>13222382652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4793305</v>
      </c>
      <c r="K39" s="62">
        <v>2794</v>
      </c>
      <c r="L39" s="62">
        <v>9224987442</v>
      </c>
      <c r="M39" s="62">
        <v>13288970190</v>
      </c>
      <c r="N39" s="63">
        <f t="shared" si="0"/>
        <v>1.2217904705665973E-3</v>
      </c>
    </row>
    <row r="40" spans="1:14" ht="26.25" customHeight="1">
      <c r="A40" s="62" t="s">
        <v>246</v>
      </c>
      <c r="B40" s="62">
        <v>18617878</v>
      </c>
      <c r="C40" s="62">
        <v>30626130885</v>
      </c>
      <c r="D40" s="62">
        <v>32865178048</v>
      </c>
      <c r="E40" s="62">
        <v>0</v>
      </c>
      <c r="F40" s="62">
        <v>0</v>
      </c>
      <c r="G40" s="62">
        <v>0</v>
      </c>
      <c r="H40" s="62">
        <v>0</v>
      </c>
      <c r="I40" s="62">
        <v>0</v>
      </c>
      <c r="J40" s="62">
        <v>18617878</v>
      </c>
      <c r="K40" s="62">
        <v>2648</v>
      </c>
      <c r="L40" s="62">
        <v>30626130885</v>
      </c>
      <c r="M40" s="62">
        <v>48919050855</v>
      </c>
      <c r="N40" s="63">
        <f t="shared" si="0"/>
        <v>4.4976269273880997E-3</v>
      </c>
    </row>
    <row r="41" spans="1:14" ht="26.25" customHeight="1">
      <c r="A41" s="62" t="s">
        <v>159</v>
      </c>
      <c r="B41" s="62">
        <v>13092011</v>
      </c>
      <c r="C41" s="62">
        <v>35486773891</v>
      </c>
      <c r="D41" s="62">
        <v>30385504017</v>
      </c>
      <c r="E41" s="62">
        <v>0</v>
      </c>
      <c r="F41" s="62">
        <v>0</v>
      </c>
      <c r="G41" s="62">
        <v>0</v>
      </c>
      <c r="H41" s="62">
        <v>3200000</v>
      </c>
      <c r="I41" s="62">
        <v>9988189861</v>
      </c>
      <c r="J41" s="62">
        <v>9892011</v>
      </c>
      <c r="K41" s="62">
        <v>3800</v>
      </c>
      <c r="L41" s="62">
        <v>26812959269</v>
      </c>
      <c r="M41" s="62">
        <v>37299073869</v>
      </c>
      <c r="N41" s="63">
        <f t="shared" si="0"/>
        <v>3.4292840124208138E-3</v>
      </c>
    </row>
    <row r="42" spans="1:14" ht="26.25" customHeight="1">
      <c r="A42" s="62" t="s">
        <v>209</v>
      </c>
      <c r="B42" s="62">
        <v>5838695</v>
      </c>
      <c r="C42" s="62">
        <v>24846373825</v>
      </c>
      <c r="D42" s="62">
        <v>42988229206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5838695</v>
      </c>
      <c r="K42" s="62">
        <v>7360</v>
      </c>
      <c r="L42" s="62">
        <v>24846373825</v>
      </c>
      <c r="M42" s="62">
        <v>42640615493</v>
      </c>
      <c r="N42" s="63">
        <f t="shared" si="0"/>
        <v>3.9203863748332943E-3</v>
      </c>
    </row>
    <row r="43" spans="1:14" ht="26.25" customHeight="1">
      <c r="A43" s="62" t="s">
        <v>237</v>
      </c>
      <c r="B43" s="62">
        <v>9216183</v>
      </c>
      <c r="C43" s="62">
        <v>33383006874</v>
      </c>
      <c r="D43" s="62">
        <v>76268815491</v>
      </c>
      <c r="E43" s="62">
        <v>0</v>
      </c>
      <c r="F43" s="62">
        <v>0</v>
      </c>
      <c r="G43" s="62">
        <v>0</v>
      </c>
      <c r="H43" s="62">
        <v>0</v>
      </c>
      <c r="I43" s="62">
        <v>0</v>
      </c>
      <c r="J43" s="62">
        <v>9216183</v>
      </c>
      <c r="K43" s="62">
        <v>8560</v>
      </c>
      <c r="L43" s="62">
        <v>33383006874</v>
      </c>
      <c r="M43" s="62">
        <v>78280702710</v>
      </c>
      <c r="N43" s="63">
        <f t="shared" si="0"/>
        <v>7.1971428359667959E-3</v>
      </c>
    </row>
    <row r="44" spans="1:14" ht="26.25" customHeight="1">
      <c r="A44" s="62" t="s">
        <v>385</v>
      </c>
      <c r="B44" s="62">
        <v>14328056</v>
      </c>
      <c r="C44" s="62">
        <v>36824471122</v>
      </c>
      <c r="D44" s="62">
        <v>32984136295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14328056</v>
      </c>
      <c r="K44" s="62">
        <v>2825</v>
      </c>
      <c r="L44" s="62">
        <v>36824471122</v>
      </c>
      <c r="M44" s="62">
        <v>40163872859</v>
      </c>
      <c r="N44" s="63">
        <f t="shared" si="0"/>
        <v>3.6926741815630935E-3</v>
      </c>
    </row>
    <row r="45" spans="1:14" ht="26.25" customHeight="1">
      <c r="A45" s="62" t="s">
        <v>151</v>
      </c>
      <c r="B45" s="62">
        <v>13400000</v>
      </c>
      <c r="C45" s="62">
        <v>34068351317</v>
      </c>
      <c r="D45" s="62">
        <v>71800657200</v>
      </c>
      <c r="E45" s="62">
        <v>0</v>
      </c>
      <c r="F45" s="62">
        <v>0</v>
      </c>
      <c r="G45" s="62">
        <v>0</v>
      </c>
      <c r="H45" s="62">
        <v>300000</v>
      </c>
      <c r="I45" s="62">
        <v>1435344061</v>
      </c>
      <c r="J45" s="62">
        <v>13100000</v>
      </c>
      <c r="K45" s="62">
        <v>5730</v>
      </c>
      <c r="L45" s="62">
        <v>33305627034</v>
      </c>
      <c r="M45" s="62">
        <v>74482763010</v>
      </c>
      <c r="N45" s="63">
        <f t="shared" si="0"/>
        <v>6.8479595307970398E-3</v>
      </c>
    </row>
    <row r="46" spans="1:14" ht="26.25" customHeight="1">
      <c r="A46" s="62" t="s">
        <v>251</v>
      </c>
      <c r="B46" s="62">
        <v>8157161</v>
      </c>
      <c r="C46" s="62">
        <v>32377991325</v>
      </c>
      <c r="D46" s="62">
        <v>67585786315</v>
      </c>
      <c r="E46" s="62">
        <v>0</v>
      </c>
      <c r="F46" s="62">
        <v>0</v>
      </c>
      <c r="G46" s="62">
        <v>0</v>
      </c>
      <c r="H46" s="62">
        <v>2400000</v>
      </c>
      <c r="I46" s="62">
        <v>22784293897</v>
      </c>
      <c r="J46" s="62">
        <v>5757161</v>
      </c>
      <c r="K46" s="62">
        <v>10770</v>
      </c>
      <c r="L46" s="62">
        <v>22851738358</v>
      </c>
      <c r="M46" s="62">
        <v>61525328227</v>
      </c>
      <c r="N46" s="63">
        <f t="shared" si="0"/>
        <v>5.6566504892002229E-3</v>
      </c>
    </row>
    <row r="47" spans="1:14" ht="26.25" customHeight="1">
      <c r="A47" s="62" t="s">
        <v>213</v>
      </c>
      <c r="B47" s="62">
        <v>842177</v>
      </c>
      <c r="C47" s="62">
        <v>2001916090</v>
      </c>
      <c r="D47" s="62">
        <v>2916477732</v>
      </c>
      <c r="E47" s="62">
        <v>0</v>
      </c>
      <c r="F47" s="62">
        <v>0</v>
      </c>
      <c r="G47" s="62">
        <v>0</v>
      </c>
      <c r="H47" s="62">
        <v>842177</v>
      </c>
      <c r="I47" s="62">
        <v>3518157979</v>
      </c>
      <c r="J47" s="62">
        <v>0</v>
      </c>
      <c r="K47" s="62">
        <v>0</v>
      </c>
      <c r="L47" s="62">
        <v>0</v>
      </c>
      <c r="M47" s="62">
        <v>0</v>
      </c>
      <c r="N47" s="63">
        <f t="shared" si="0"/>
        <v>0</v>
      </c>
    </row>
    <row r="48" spans="1:14" ht="26.25" customHeight="1">
      <c r="A48" s="62" t="s">
        <v>338</v>
      </c>
      <c r="B48" s="62">
        <v>285750</v>
      </c>
      <c r="C48" s="62">
        <v>12123197874</v>
      </c>
      <c r="D48" s="62">
        <v>14792341926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285750</v>
      </c>
      <c r="K48" s="62">
        <v>61090</v>
      </c>
      <c r="L48" s="62">
        <v>12123197874</v>
      </c>
      <c r="M48" s="62">
        <v>17321529006</v>
      </c>
      <c r="N48" s="63">
        <f t="shared" si="0"/>
        <v>1.5925447023050101E-3</v>
      </c>
    </row>
    <row r="49" spans="1:14" ht="26.25" customHeight="1">
      <c r="A49" s="62" t="s">
        <v>323</v>
      </c>
      <c r="B49" s="62">
        <v>11678863</v>
      </c>
      <c r="C49" s="62">
        <v>13769132593</v>
      </c>
      <c r="D49" s="62">
        <v>16421025496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11678863</v>
      </c>
      <c r="K49" s="62">
        <v>1670</v>
      </c>
      <c r="L49" s="62">
        <v>13769132593</v>
      </c>
      <c r="M49" s="62">
        <v>19352937600</v>
      </c>
      <c r="N49" s="63">
        <f t="shared" si="0"/>
        <v>1.7793127984396505E-3</v>
      </c>
    </row>
    <row r="50" spans="1:14" ht="26.25" customHeight="1">
      <c r="A50" s="62" t="s">
        <v>201</v>
      </c>
      <c r="B50" s="62">
        <v>4235616</v>
      </c>
      <c r="C50" s="62">
        <v>25331597960</v>
      </c>
      <c r="D50" s="62">
        <v>25217248130</v>
      </c>
      <c r="E50" s="62">
        <v>0</v>
      </c>
      <c r="F50" s="62">
        <v>0</v>
      </c>
      <c r="G50" s="62">
        <v>0</v>
      </c>
      <c r="H50" s="62">
        <v>600000</v>
      </c>
      <c r="I50" s="62">
        <v>4042507994</v>
      </c>
      <c r="J50" s="62">
        <v>3635616</v>
      </c>
      <c r="K50" s="62">
        <v>7370</v>
      </c>
      <c r="L50" s="62">
        <v>21743227632</v>
      </c>
      <c r="M50" s="62">
        <v>26587368513</v>
      </c>
      <c r="N50" s="63">
        <f t="shared" si="0"/>
        <v>2.4444477654912856E-3</v>
      </c>
    </row>
    <row r="51" spans="1:14" ht="26.25" customHeight="1">
      <c r="A51" s="62" t="s">
        <v>337</v>
      </c>
      <c r="B51" s="62">
        <v>250000</v>
      </c>
      <c r="C51" s="62">
        <v>800726400</v>
      </c>
      <c r="D51" s="62">
        <v>2465790950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250000</v>
      </c>
      <c r="K51" s="62">
        <v>11710</v>
      </c>
      <c r="L51" s="62">
        <v>800726400</v>
      </c>
      <c r="M51" s="62">
        <v>2904870425</v>
      </c>
      <c r="N51" s="63">
        <f t="shared" si="0"/>
        <v>2.6707434456933954E-4</v>
      </c>
    </row>
    <row r="52" spans="1:14" ht="26.25" customHeight="1">
      <c r="A52" s="62" t="s">
        <v>390</v>
      </c>
      <c r="B52" s="62">
        <v>11060139</v>
      </c>
      <c r="C52" s="62">
        <v>53454095898</v>
      </c>
      <c r="D52" s="62">
        <v>50373616536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11060139</v>
      </c>
      <c r="K52" s="62">
        <v>6690</v>
      </c>
      <c r="L52" s="62">
        <v>53454095898</v>
      </c>
      <c r="M52" s="62">
        <v>73420369200</v>
      </c>
      <c r="N52" s="63">
        <f t="shared" si="0"/>
        <v>6.7502828399407609E-3</v>
      </c>
    </row>
    <row r="53" spans="1:14" ht="26.25" customHeight="1">
      <c r="A53" s="62" t="s">
        <v>170</v>
      </c>
      <c r="B53" s="62">
        <v>159400</v>
      </c>
      <c r="C53" s="62">
        <v>23045498298</v>
      </c>
      <c r="D53" s="62">
        <v>24231312782</v>
      </c>
      <c r="E53" s="62">
        <v>0</v>
      </c>
      <c r="F53" s="62">
        <v>0</v>
      </c>
      <c r="G53" s="62">
        <v>0</v>
      </c>
      <c r="H53" s="62">
        <v>50000</v>
      </c>
      <c r="I53" s="62">
        <v>8553367450</v>
      </c>
      <c r="J53" s="62">
        <v>109400</v>
      </c>
      <c r="K53" s="62">
        <v>186400</v>
      </c>
      <c r="L53" s="62">
        <v>15816671981</v>
      </c>
      <c r="M53" s="62">
        <v>20234528603</v>
      </c>
      <c r="N53" s="63">
        <f t="shared" si="0"/>
        <v>1.860366444508718E-3</v>
      </c>
    </row>
    <row r="54" spans="1:14" ht="26.25" customHeight="1">
      <c r="A54" s="62" t="s">
        <v>234</v>
      </c>
      <c r="B54" s="62">
        <v>3535701</v>
      </c>
      <c r="C54" s="62">
        <v>25736313740</v>
      </c>
      <c r="D54" s="62">
        <v>29259806061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3535701</v>
      </c>
      <c r="K54" s="62">
        <v>11800</v>
      </c>
      <c r="L54" s="62">
        <v>25736313740</v>
      </c>
      <c r="M54" s="62">
        <v>41398766369</v>
      </c>
      <c r="N54" s="63">
        <f t="shared" si="0"/>
        <v>3.8062105279549228E-3</v>
      </c>
    </row>
    <row r="55" spans="1:14" ht="26.25" customHeight="1">
      <c r="A55" s="62" t="s">
        <v>198</v>
      </c>
      <c r="B55" s="62">
        <v>6983236</v>
      </c>
      <c r="C55" s="62">
        <v>45655657431</v>
      </c>
      <c r="D55" s="62">
        <v>39912512174</v>
      </c>
      <c r="E55" s="62">
        <v>0</v>
      </c>
      <c r="F55" s="62">
        <v>0</v>
      </c>
      <c r="G55" s="62">
        <v>0</v>
      </c>
      <c r="H55" s="62">
        <v>600000</v>
      </c>
      <c r="I55" s="62">
        <v>3887730875</v>
      </c>
      <c r="J55" s="62">
        <v>6383236</v>
      </c>
      <c r="K55" s="62">
        <v>6740</v>
      </c>
      <c r="L55" s="62">
        <v>41732920972</v>
      </c>
      <c r="M55" s="62">
        <v>42690442768</v>
      </c>
      <c r="N55" s="63">
        <f t="shared" si="0"/>
        <v>3.9249675040629395E-3</v>
      </c>
    </row>
    <row r="56" spans="1:14" ht="26.25" customHeight="1">
      <c r="A56" s="62" t="s">
        <v>177</v>
      </c>
      <c r="B56" s="62">
        <v>12960615</v>
      </c>
      <c r="C56" s="62">
        <v>29251419417</v>
      </c>
      <c r="D56" s="62">
        <v>28074317481</v>
      </c>
      <c r="E56" s="62">
        <v>0</v>
      </c>
      <c r="F56" s="62">
        <v>0</v>
      </c>
      <c r="G56" s="62">
        <v>0</v>
      </c>
      <c r="H56" s="62">
        <v>0</v>
      </c>
      <c r="I56" s="62">
        <v>0</v>
      </c>
      <c r="J56" s="62">
        <v>12960615</v>
      </c>
      <c r="K56" s="62">
        <v>2492</v>
      </c>
      <c r="L56" s="62">
        <v>29251419417</v>
      </c>
      <c r="M56" s="62">
        <v>32048190180</v>
      </c>
      <c r="N56" s="63">
        <f t="shared" si="0"/>
        <v>2.9465167579572999E-3</v>
      </c>
    </row>
    <row r="57" spans="1:14" ht="26.25" customHeight="1">
      <c r="A57" s="62" t="s">
        <v>240</v>
      </c>
      <c r="B57" s="62">
        <v>13327841</v>
      </c>
      <c r="C57" s="62">
        <v>21379706244</v>
      </c>
      <c r="D57" s="62">
        <v>30959296103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13327841</v>
      </c>
      <c r="K57" s="62">
        <v>2910</v>
      </c>
      <c r="L57" s="62">
        <v>21379706244</v>
      </c>
      <c r="M57" s="62">
        <v>38484216856</v>
      </c>
      <c r="N57" s="63">
        <f t="shared" si="0"/>
        <v>3.5382462861766129E-3</v>
      </c>
    </row>
    <row r="58" spans="1:14" ht="26.25" customHeight="1">
      <c r="A58" s="62" t="s">
        <v>179</v>
      </c>
      <c r="B58" s="62">
        <v>12441112</v>
      </c>
      <c r="C58" s="62">
        <v>50071394014</v>
      </c>
      <c r="D58" s="62">
        <v>52836352634</v>
      </c>
      <c r="E58" s="62">
        <v>0</v>
      </c>
      <c r="F58" s="62">
        <v>0</v>
      </c>
      <c r="G58" s="62">
        <v>0</v>
      </c>
      <c r="H58" s="62">
        <v>1500000</v>
      </c>
      <c r="I58" s="62">
        <v>5968504109</v>
      </c>
      <c r="J58" s="62">
        <v>10941112</v>
      </c>
      <c r="K58" s="62">
        <v>5460</v>
      </c>
      <c r="L58" s="62">
        <v>44034386147</v>
      </c>
      <c r="M58" s="62">
        <v>59276693135</v>
      </c>
      <c r="N58" s="63">
        <f t="shared" si="0"/>
        <v>5.4499105471349871E-3</v>
      </c>
    </row>
    <row r="59" spans="1:14" ht="26.25" customHeight="1">
      <c r="A59" s="62" t="s">
        <v>167</v>
      </c>
      <c r="B59" s="62">
        <v>4607801</v>
      </c>
      <c r="C59" s="62">
        <v>33501938983</v>
      </c>
      <c r="D59" s="62">
        <v>71326050093</v>
      </c>
      <c r="E59" s="62">
        <v>0</v>
      </c>
      <c r="F59" s="62">
        <v>0</v>
      </c>
      <c r="G59" s="62">
        <v>0</v>
      </c>
      <c r="H59" s="62">
        <v>700000</v>
      </c>
      <c r="I59" s="62">
        <v>13624859413</v>
      </c>
      <c r="J59" s="62">
        <v>3907801</v>
      </c>
      <c r="K59" s="62">
        <v>20240</v>
      </c>
      <c r="L59" s="62">
        <v>28412448945</v>
      </c>
      <c r="M59" s="62">
        <v>78482496453</v>
      </c>
      <c r="N59" s="63">
        <f t="shared" si="0"/>
        <v>7.2156957914398159E-3</v>
      </c>
    </row>
    <row r="60" spans="1:14" ht="26.25" customHeight="1">
      <c r="A60" s="62" t="s">
        <v>136</v>
      </c>
      <c r="B60" s="62">
        <v>14006369</v>
      </c>
      <c r="C60" s="62">
        <v>25162333119</v>
      </c>
      <c r="D60" s="62">
        <v>36093365097</v>
      </c>
      <c r="E60" s="62">
        <v>0</v>
      </c>
      <c r="F60" s="62">
        <v>0</v>
      </c>
      <c r="G60" s="62">
        <v>0</v>
      </c>
      <c r="H60" s="62">
        <v>3600000</v>
      </c>
      <c r="I60" s="62">
        <v>10683771141</v>
      </c>
      <c r="J60" s="62">
        <v>10406369</v>
      </c>
      <c r="K60" s="62">
        <v>3058</v>
      </c>
      <c r="L60" s="62">
        <v>18694961080</v>
      </c>
      <c r="M60" s="62">
        <v>31576687113</v>
      </c>
      <c r="N60" s="63">
        <f t="shared" si="0"/>
        <v>2.9031666754552694E-3</v>
      </c>
    </row>
    <row r="61" spans="1:14" ht="26.25" customHeight="1">
      <c r="A61" s="62" t="s">
        <v>140</v>
      </c>
      <c r="B61" s="62">
        <v>1620533</v>
      </c>
      <c r="C61" s="62">
        <v>45558666874</v>
      </c>
      <c r="D61" s="62">
        <v>62664004728</v>
      </c>
      <c r="E61" s="62">
        <v>0</v>
      </c>
      <c r="F61" s="62">
        <v>0</v>
      </c>
      <c r="G61" s="62">
        <v>0</v>
      </c>
      <c r="H61" s="62">
        <v>240000</v>
      </c>
      <c r="I61" s="62">
        <v>10923717501</v>
      </c>
      <c r="J61" s="62">
        <v>1380533</v>
      </c>
      <c r="K61" s="62">
        <v>47180</v>
      </c>
      <c r="L61" s="62">
        <v>38811454661</v>
      </c>
      <c r="M61" s="62">
        <v>64630064622</v>
      </c>
      <c r="N61" s="63">
        <f t="shared" si="0"/>
        <v>5.9421005494228575E-3</v>
      </c>
    </row>
    <row r="62" spans="1:14" ht="26.25" customHeight="1">
      <c r="A62" s="62" t="s">
        <v>243</v>
      </c>
      <c r="B62" s="62">
        <v>15261008</v>
      </c>
      <c r="C62" s="62">
        <v>42858651849</v>
      </c>
      <c r="D62" s="62">
        <v>54060654257</v>
      </c>
      <c r="E62" s="62">
        <v>0</v>
      </c>
      <c r="F62" s="62">
        <v>0</v>
      </c>
      <c r="G62" s="62">
        <v>0</v>
      </c>
      <c r="H62" s="62">
        <v>1200000</v>
      </c>
      <c r="I62" s="62">
        <v>6376327049</v>
      </c>
      <c r="J62" s="62">
        <v>14061008</v>
      </c>
      <c r="K62" s="62">
        <v>5590</v>
      </c>
      <c r="L62" s="62">
        <v>39488600394</v>
      </c>
      <c r="M62" s="62">
        <v>77993448722</v>
      </c>
      <c r="N62" s="63">
        <f t="shared" si="0"/>
        <v>7.1707326491612933E-3</v>
      </c>
    </row>
    <row r="63" spans="1:14" ht="26.25" customHeight="1">
      <c r="A63" s="62" t="s">
        <v>261</v>
      </c>
      <c r="B63" s="62">
        <v>1590025</v>
      </c>
      <c r="C63" s="62">
        <v>53319536731</v>
      </c>
      <c r="D63" s="62">
        <v>67574351792</v>
      </c>
      <c r="E63" s="62">
        <v>0</v>
      </c>
      <c r="F63" s="62">
        <v>0</v>
      </c>
      <c r="G63" s="62">
        <v>0</v>
      </c>
      <c r="H63" s="62">
        <v>270000</v>
      </c>
      <c r="I63" s="62">
        <v>14384243668</v>
      </c>
      <c r="J63" s="62">
        <v>1320025</v>
      </c>
      <c r="K63" s="62">
        <v>55880</v>
      </c>
      <c r="L63" s="62">
        <v>44265418137</v>
      </c>
      <c r="M63" s="62">
        <v>73192809033</v>
      </c>
      <c r="N63" s="63">
        <f t="shared" si="0"/>
        <v>6.7293609144983843E-3</v>
      </c>
    </row>
    <row r="64" spans="1:14" ht="26.25" customHeight="1">
      <c r="A64" s="62" t="s">
        <v>315</v>
      </c>
      <c r="B64" s="62">
        <v>700000</v>
      </c>
      <c r="C64" s="62">
        <v>26810722731</v>
      </c>
      <c r="D64" s="62">
        <v>40438971580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700000</v>
      </c>
      <c r="K64" s="62">
        <v>89590</v>
      </c>
      <c r="L64" s="62">
        <v>26810722731</v>
      </c>
      <c r="M64" s="62">
        <v>62228228510</v>
      </c>
      <c r="N64" s="63">
        <f t="shared" si="0"/>
        <v>5.7212752761663498E-3</v>
      </c>
    </row>
    <row r="65" spans="1:14" ht="26.25" customHeight="1">
      <c r="A65" s="62" t="s">
        <v>239</v>
      </c>
      <c r="B65" s="62">
        <v>3496837</v>
      </c>
      <c r="C65" s="62">
        <v>21381857418</v>
      </c>
      <c r="D65" s="62">
        <v>23074212892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3496837</v>
      </c>
      <c r="K65" s="62">
        <v>8650</v>
      </c>
      <c r="L65" s="62">
        <v>21381857418</v>
      </c>
      <c r="M65" s="62">
        <v>30013825792</v>
      </c>
      <c r="N65" s="63">
        <f t="shared" si="0"/>
        <v>2.759476905554828E-3</v>
      </c>
    </row>
    <row r="66" spans="1:14" ht="26.25" customHeight="1">
      <c r="A66" s="62" t="s">
        <v>297</v>
      </c>
      <c r="B66" s="62">
        <v>4929408</v>
      </c>
      <c r="C66" s="62">
        <v>24000019455</v>
      </c>
      <c r="D66" s="62">
        <v>59722817886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4929408</v>
      </c>
      <c r="K66" s="62">
        <v>17130</v>
      </c>
      <c r="L66" s="62">
        <v>24000019455</v>
      </c>
      <c r="M66" s="62">
        <v>83788031973</v>
      </c>
      <c r="N66" s="63">
        <f t="shared" si="0"/>
        <v>7.703487745737864E-3</v>
      </c>
    </row>
    <row r="67" spans="1:14" ht="26.25" customHeight="1">
      <c r="A67" s="62" t="s">
        <v>135</v>
      </c>
      <c r="B67" s="62">
        <v>2550076</v>
      </c>
      <c r="C67" s="62">
        <v>18211946411</v>
      </c>
      <c r="D67" s="62">
        <v>56604240723</v>
      </c>
      <c r="E67" s="62">
        <v>0</v>
      </c>
      <c r="F67" s="62">
        <v>0</v>
      </c>
      <c r="G67" s="62">
        <v>0</v>
      </c>
      <c r="H67" s="62">
        <v>337769</v>
      </c>
      <c r="I67" s="62">
        <v>8468814970</v>
      </c>
      <c r="J67" s="62">
        <v>2212307</v>
      </c>
      <c r="K67" s="62">
        <v>27510</v>
      </c>
      <c r="L67" s="62">
        <v>15799692452</v>
      </c>
      <c r="M67" s="62">
        <v>60390113398</v>
      </c>
      <c r="N67" s="63">
        <f t="shared" si="0"/>
        <v>5.5522786198764582E-3</v>
      </c>
    </row>
    <row r="68" spans="1:14" ht="26.25" customHeight="1">
      <c r="A68" s="62" t="s">
        <v>216</v>
      </c>
      <c r="B68" s="62">
        <v>4549593</v>
      </c>
      <c r="C68" s="62">
        <v>51297273030</v>
      </c>
      <c r="D68" s="62">
        <v>53631364796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4549593</v>
      </c>
      <c r="K68" s="62">
        <v>16080</v>
      </c>
      <c r="L68" s="62">
        <v>51297273030</v>
      </c>
      <c r="M68" s="62">
        <v>72591948309</v>
      </c>
      <c r="N68" s="63">
        <f t="shared" si="0"/>
        <v>6.6741176641768969E-3</v>
      </c>
    </row>
    <row r="69" spans="1:14" ht="26.25" customHeight="1">
      <c r="A69" s="62" t="s">
        <v>293</v>
      </c>
      <c r="B69" s="62">
        <v>3833693</v>
      </c>
      <c r="C69" s="62">
        <v>55321403074</v>
      </c>
      <c r="D69" s="62">
        <v>74103060615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3833693</v>
      </c>
      <c r="K69" s="62">
        <v>26190</v>
      </c>
      <c r="L69" s="62">
        <v>55321403074</v>
      </c>
      <c r="M69" s="62">
        <v>99628293506</v>
      </c>
      <c r="N69" s="63">
        <f t="shared" si="0"/>
        <v>9.1598444321924401E-3</v>
      </c>
    </row>
    <row r="70" spans="1:14" ht="26.25" customHeight="1">
      <c r="A70" s="62" t="s">
        <v>354</v>
      </c>
      <c r="B70" s="62">
        <v>16854222</v>
      </c>
      <c r="C70" s="62">
        <v>30516050656</v>
      </c>
      <c r="D70" s="62">
        <v>40806410828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16854222</v>
      </c>
      <c r="K70" s="62">
        <v>4090</v>
      </c>
      <c r="L70" s="62">
        <v>30516050656</v>
      </c>
      <c r="M70" s="62">
        <v>68400909954</v>
      </c>
      <c r="N70" s="63">
        <f t="shared" si="0"/>
        <v>6.2887927931969505E-3</v>
      </c>
    </row>
    <row r="71" spans="1:14" ht="26.25" customHeight="1">
      <c r="A71" s="62" t="s">
        <v>165</v>
      </c>
      <c r="B71" s="62">
        <v>8000000</v>
      </c>
      <c r="C71" s="62">
        <v>50375704520</v>
      </c>
      <c r="D71" s="62">
        <v>46517617600</v>
      </c>
      <c r="E71" s="62">
        <v>0</v>
      </c>
      <c r="F71" s="62">
        <v>0</v>
      </c>
      <c r="G71" s="62">
        <v>0</v>
      </c>
      <c r="H71" s="62">
        <v>2079637</v>
      </c>
      <c r="I71" s="62">
        <v>11453086360</v>
      </c>
      <c r="J71" s="62">
        <v>5920363</v>
      </c>
      <c r="K71" s="62">
        <v>5440</v>
      </c>
      <c r="L71" s="62">
        <v>37280307142</v>
      </c>
      <c r="M71" s="62">
        <v>31957816351</v>
      </c>
      <c r="N71" s="63">
        <f t="shared" si="0"/>
        <v>2.938207770768518E-3</v>
      </c>
    </row>
    <row r="72" spans="1:14" ht="26.25" customHeight="1">
      <c r="A72" s="62" t="s">
        <v>302</v>
      </c>
      <c r="B72" s="62">
        <v>1725246</v>
      </c>
      <c r="C72" s="62">
        <v>22999589793</v>
      </c>
      <c r="D72" s="62">
        <v>25644409529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1725246</v>
      </c>
      <c r="K72" s="62">
        <v>15950</v>
      </c>
      <c r="L72" s="62">
        <v>22999589793</v>
      </c>
      <c r="M72" s="62">
        <v>27304962082</v>
      </c>
      <c r="N72" s="63">
        <f t="shared" si="0"/>
        <v>2.5104234559931598E-3</v>
      </c>
    </row>
    <row r="73" spans="1:14" ht="26.25" customHeight="1">
      <c r="A73" s="62" t="s">
        <v>174</v>
      </c>
      <c r="B73" s="62">
        <v>29820136</v>
      </c>
      <c r="C73" s="62">
        <v>60923990731</v>
      </c>
      <c r="D73" s="62">
        <v>66783786669</v>
      </c>
      <c r="E73" s="62">
        <v>0</v>
      </c>
      <c r="F73" s="62">
        <v>0</v>
      </c>
      <c r="G73" s="62">
        <v>0</v>
      </c>
      <c r="H73" s="62">
        <v>2000000</v>
      </c>
      <c r="I73" s="62">
        <v>5121285796</v>
      </c>
      <c r="J73" s="62">
        <v>27820136</v>
      </c>
      <c r="K73" s="62">
        <v>2704</v>
      </c>
      <c r="L73" s="62">
        <v>56837893287</v>
      </c>
      <c r="M73" s="62">
        <v>74644153487</v>
      </c>
      <c r="N73" s="63">
        <f t="shared" si="0"/>
        <v>6.8627978022371529E-3</v>
      </c>
    </row>
    <row r="74" spans="1:14" ht="26.25" customHeight="1">
      <c r="A74" s="62" t="s">
        <v>180</v>
      </c>
      <c r="B74" s="62">
        <v>15378584</v>
      </c>
      <c r="C74" s="62">
        <v>31460489886</v>
      </c>
      <c r="D74" s="62">
        <v>22187614771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15378584</v>
      </c>
      <c r="K74" s="62">
        <v>1652</v>
      </c>
      <c r="L74" s="62">
        <v>31460489886</v>
      </c>
      <c r="M74" s="62">
        <v>25209036865</v>
      </c>
      <c r="N74" s="63">
        <f t="shared" si="0"/>
        <v>2.3177236891536025E-3</v>
      </c>
    </row>
    <row r="75" spans="1:14" ht="26.25" customHeight="1">
      <c r="A75" s="62" t="s">
        <v>162</v>
      </c>
      <c r="B75" s="62">
        <v>10369674</v>
      </c>
      <c r="C75" s="62">
        <v>37561420318</v>
      </c>
      <c r="D75" s="62">
        <v>49183888488</v>
      </c>
      <c r="E75" s="62">
        <v>0</v>
      </c>
      <c r="F75" s="62">
        <v>0</v>
      </c>
      <c r="G75" s="62">
        <v>0</v>
      </c>
      <c r="H75" s="62">
        <v>3600000</v>
      </c>
      <c r="I75" s="62">
        <v>19726176262</v>
      </c>
      <c r="J75" s="62">
        <v>6769674</v>
      </c>
      <c r="K75" s="62">
        <v>6490</v>
      </c>
      <c r="L75" s="62">
        <v>24521365911</v>
      </c>
      <c r="M75" s="62">
        <v>43595565286</v>
      </c>
      <c r="N75" s="63">
        <f t="shared" ref="N75:N138" si="1">M75/10876635978211</f>
        <v>4.0081846421388314E-3</v>
      </c>
    </row>
    <row r="76" spans="1:14" ht="26.25" customHeight="1">
      <c r="A76" s="62" t="s">
        <v>307</v>
      </c>
      <c r="B76" s="62">
        <v>562500</v>
      </c>
      <c r="C76" s="62">
        <v>4931974167</v>
      </c>
      <c r="D76" s="62">
        <v>4113579319</v>
      </c>
      <c r="E76" s="62">
        <v>0</v>
      </c>
      <c r="F76" s="62">
        <v>0</v>
      </c>
      <c r="G76" s="62">
        <v>0</v>
      </c>
      <c r="H76" s="62">
        <v>0</v>
      </c>
      <c r="I76" s="62">
        <v>0</v>
      </c>
      <c r="J76" s="62">
        <v>562500</v>
      </c>
      <c r="K76" s="62">
        <v>8210</v>
      </c>
      <c r="L76" s="62">
        <v>4931974167</v>
      </c>
      <c r="M76" s="62">
        <v>4582426894</v>
      </c>
      <c r="N76" s="63">
        <f t="shared" si="1"/>
        <v>4.2130920839677876E-4</v>
      </c>
    </row>
    <row r="77" spans="1:14" ht="26.25" customHeight="1">
      <c r="A77" s="62" t="s">
        <v>208</v>
      </c>
      <c r="B77" s="62">
        <v>4773870</v>
      </c>
      <c r="C77" s="62">
        <v>27662272565</v>
      </c>
      <c r="D77" s="62">
        <v>36332544444</v>
      </c>
      <c r="E77" s="62">
        <v>0</v>
      </c>
      <c r="F77" s="62">
        <v>0</v>
      </c>
      <c r="G77" s="62">
        <v>0</v>
      </c>
      <c r="H77" s="62">
        <v>300000</v>
      </c>
      <c r="I77" s="62">
        <v>2311951537</v>
      </c>
      <c r="J77" s="62">
        <v>4473870</v>
      </c>
      <c r="K77" s="62">
        <v>8680</v>
      </c>
      <c r="L77" s="62">
        <v>25923917359</v>
      </c>
      <c r="M77" s="62">
        <v>38533011029</v>
      </c>
      <c r="N77" s="63">
        <f t="shared" si="1"/>
        <v>3.5427324318100372E-3</v>
      </c>
    </row>
    <row r="78" spans="1:14" ht="26.25" customHeight="1">
      <c r="A78" s="62" t="s">
        <v>176</v>
      </c>
      <c r="B78" s="62">
        <v>115200000</v>
      </c>
      <c r="C78" s="62">
        <v>61288922069</v>
      </c>
      <c r="D78" s="62">
        <v>54297014400</v>
      </c>
      <c r="E78" s="62">
        <v>0</v>
      </c>
      <c r="F78" s="62">
        <v>0</v>
      </c>
      <c r="G78" s="62">
        <v>0</v>
      </c>
      <c r="H78" s="62">
        <v>42000000</v>
      </c>
      <c r="I78" s="62">
        <v>21796202905</v>
      </c>
      <c r="J78" s="62">
        <v>73200000</v>
      </c>
      <c r="K78" s="62">
        <v>644</v>
      </c>
      <c r="L78" s="62">
        <v>38944002565</v>
      </c>
      <c r="M78" s="62">
        <v>46776401616</v>
      </c>
      <c r="N78" s="63">
        <f t="shared" si="1"/>
        <v>4.3006313449954984E-3</v>
      </c>
    </row>
    <row r="79" spans="1:14" ht="26.25" customHeight="1">
      <c r="A79" s="62" t="s">
        <v>306</v>
      </c>
      <c r="B79" s="62">
        <v>11440020</v>
      </c>
      <c r="C79" s="62">
        <v>31646768610</v>
      </c>
      <c r="D79" s="62">
        <v>83207144771</v>
      </c>
      <c r="E79" s="62">
        <v>0</v>
      </c>
      <c r="F79" s="62">
        <v>0</v>
      </c>
      <c r="G79" s="62">
        <v>0</v>
      </c>
      <c r="H79" s="62">
        <v>0</v>
      </c>
      <c r="I79" s="62">
        <v>0</v>
      </c>
      <c r="J79" s="62">
        <v>11440020</v>
      </c>
      <c r="K79" s="62">
        <v>12360</v>
      </c>
      <c r="L79" s="62">
        <v>31646768610</v>
      </c>
      <c r="M79" s="62">
        <v>140305635657</v>
      </c>
      <c r="N79" s="63">
        <f t="shared" si="1"/>
        <v>1.2899727079040997E-2</v>
      </c>
    </row>
    <row r="80" spans="1:14" ht="26.25" customHeight="1">
      <c r="A80" s="62" t="s">
        <v>399</v>
      </c>
      <c r="B80" s="62">
        <v>6400000</v>
      </c>
      <c r="C80" s="62">
        <v>21015837329</v>
      </c>
      <c r="D80" s="62">
        <v>19813647360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6400000</v>
      </c>
      <c r="K80" s="62">
        <v>3870</v>
      </c>
      <c r="L80" s="62">
        <v>21015837329</v>
      </c>
      <c r="M80" s="62">
        <v>24576543360</v>
      </c>
      <c r="N80" s="63">
        <f t="shared" si="1"/>
        <v>2.2595721148739203E-3</v>
      </c>
    </row>
    <row r="81" spans="1:14" ht="26.25" customHeight="1">
      <c r="A81" s="62" t="s">
        <v>141</v>
      </c>
      <c r="B81" s="62">
        <v>9640317</v>
      </c>
      <c r="C81" s="62">
        <v>48632387810</v>
      </c>
      <c r="D81" s="62">
        <v>46872407013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9640317</v>
      </c>
      <c r="K81" s="62">
        <v>5270</v>
      </c>
      <c r="L81" s="62">
        <v>48632387810</v>
      </c>
      <c r="M81" s="62">
        <v>50411752032</v>
      </c>
      <c r="N81" s="63">
        <f t="shared" si="1"/>
        <v>4.6348661601794067E-3</v>
      </c>
    </row>
    <row r="82" spans="1:14" ht="26.25" customHeight="1">
      <c r="A82" s="62" t="s">
        <v>229</v>
      </c>
      <c r="B82" s="62">
        <v>26645457</v>
      </c>
      <c r="C82" s="62">
        <v>49003982333</v>
      </c>
      <c r="D82" s="62">
        <v>57585204031</v>
      </c>
      <c r="E82" s="62">
        <v>0</v>
      </c>
      <c r="F82" s="62">
        <v>0</v>
      </c>
      <c r="G82" s="62">
        <v>0</v>
      </c>
      <c r="H82" s="62">
        <v>4000000</v>
      </c>
      <c r="I82" s="62">
        <v>9561586134</v>
      </c>
      <c r="J82" s="62">
        <v>22645457</v>
      </c>
      <c r="K82" s="62">
        <v>2883</v>
      </c>
      <c r="L82" s="62">
        <v>41647533940</v>
      </c>
      <c r="M82" s="62">
        <v>64782185161</v>
      </c>
      <c r="N82" s="63">
        <f t="shared" si="1"/>
        <v>5.9560865409835516E-3</v>
      </c>
    </row>
    <row r="83" spans="1:14" ht="26.25" customHeight="1">
      <c r="A83" s="62" t="s">
        <v>138</v>
      </c>
      <c r="B83" s="62">
        <v>8380920</v>
      </c>
      <c r="C83" s="62">
        <v>44629652602</v>
      </c>
      <c r="D83" s="62">
        <v>35759382600</v>
      </c>
      <c r="E83" s="62">
        <v>0</v>
      </c>
      <c r="F83" s="62">
        <v>0</v>
      </c>
      <c r="G83" s="62">
        <v>0</v>
      </c>
      <c r="H83" s="62">
        <v>1500000</v>
      </c>
      <c r="I83" s="62">
        <v>7672439386</v>
      </c>
      <c r="J83" s="62">
        <v>6880920</v>
      </c>
      <c r="K83" s="62">
        <v>5910</v>
      </c>
      <c r="L83" s="62">
        <v>36641928235</v>
      </c>
      <c r="M83" s="62">
        <v>40351887186</v>
      </c>
      <c r="N83" s="63">
        <f t="shared" si="1"/>
        <v>3.7099602548836168E-3</v>
      </c>
    </row>
    <row r="84" spans="1:14" ht="26.25" customHeight="1">
      <c r="A84" s="62" t="s">
        <v>322</v>
      </c>
      <c r="B84" s="62">
        <v>1237383</v>
      </c>
      <c r="C84" s="62">
        <v>9215160778</v>
      </c>
      <c r="D84" s="62">
        <v>20136215682</v>
      </c>
      <c r="E84" s="62">
        <v>0</v>
      </c>
      <c r="F84" s="62">
        <v>0</v>
      </c>
      <c r="G84" s="62">
        <v>0</v>
      </c>
      <c r="H84" s="62">
        <v>0</v>
      </c>
      <c r="I84" s="62">
        <v>0</v>
      </c>
      <c r="J84" s="62">
        <v>1237383</v>
      </c>
      <c r="K84" s="62">
        <v>20900</v>
      </c>
      <c r="L84" s="62">
        <v>9215160778</v>
      </c>
      <c r="M84" s="62">
        <v>25661396815</v>
      </c>
      <c r="N84" s="63">
        <f t="shared" si="1"/>
        <v>2.3593137498034399E-3</v>
      </c>
    </row>
    <row r="85" spans="1:14" ht="26.25" customHeight="1">
      <c r="A85" s="62" t="s">
        <v>249</v>
      </c>
      <c r="B85" s="62">
        <v>2860136</v>
      </c>
      <c r="C85" s="62">
        <v>44214928065</v>
      </c>
      <c r="D85" s="62">
        <v>38909352209</v>
      </c>
      <c r="E85" s="62">
        <v>0</v>
      </c>
      <c r="F85" s="62">
        <v>0</v>
      </c>
      <c r="G85" s="62">
        <v>0</v>
      </c>
      <c r="H85" s="62">
        <v>500000</v>
      </c>
      <c r="I85" s="62">
        <v>8484900795</v>
      </c>
      <c r="J85" s="62">
        <v>2360136</v>
      </c>
      <c r="K85" s="62">
        <v>18970</v>
      </c>
      <c r="L85" s="62">
        <v>36485413094</v>
      </c>
      <c r="M85" s="62">
        <v>44425694061</v>
      </c>
      <c r="N85" s="63">
        <f t="shared" si="1"/>
        <v>4.0845068410855449E-3</v>
      </c>
    </row>
    <row r="86" spans="1:14" ht="26.25" customHeight="1">
      <c r="A86" s="62" t="s">
        <v>286</v>
      </c>
      <c r="B86" s="62">
        <v>517391</v>
      </c>
      <c r="C86" s="62">
        <v>17064920422</v>
      </c>
      <c r="D86" s="62">
        <v>25993015066</v>
      </c>
      <c r="E86" s="62">
        <v>0</v>
      </c>
      <c r="F86" s="62">
        <v>0</v>
      </c>
      <c r="G86" s="62">
        <v>0</v>
      </c>
      <c r="H86" s="62">
        <v>0</v>
      </c>
      <c r="I86" s="62">
        <v>0</v>
      </c>
      <c r="J86" s="62">
        <v>517391</v>
      </c>
      <c r="K86" s="62">
        <v>80940</v>
      </c>
      <c r="L86" s="62">
        <v>17064920422</v>
      </c>
      <c r="M86" s="62">
        <v>41553913479</v>
      </c>
      <c r="N86" s="63">
        <f t="shared" si="1"/>
        <v>3.8204747830344167E-3</v>
      </c>
    </row>
    <row r="87" spans="1:14" ht="26.25" customHeight="1">
      <c r="A87" s="62" t="s">
        <v>185</v>
      </c>
      <c r="B87" s="62">
        <v>6434630</v>
      </c>
      <c r="C87" s="62">
        <v>32342799769</v>
      </c>
      <c r="D87" s="62">
        <v>33329127419</v>
      </c>
      <c r="E87" s="62">
        <v>0</v>
      </c>
      <c r="F87" s="62">
        <v>0</v>
      </c>
      <c r="G87" s="62">
        <v>0</v>
      </c>
      <c r="H87" s="62">
        <v>900000</v>
      </c>
      <c r="I87" s="62">
        <v>5983388113</v>
      </c>
      <c r="J87" s="62">
        <v>5534630</v>
      </c>
      <c r="K87" s="62">
        <v>6620</v>
      </c>
      <c r="L87" s="62">
        <v>27819071164</v>
      </c>
      <c r="M87" s="62">
        <v>36356029193</v>
      </c>
      <c r="N87" s="63">
        <f t="shared" si="1"/>
        <v>3.3425803038578733E-3</v>
      </c>
    </row>
    <row r="88" spans="1:14" ht="26.25" customHeight="1">
      <c r="A88" s="62" t="s">
        <v>339</v>
      </c>
      <c r="B88" s="62">
        <v>3250000</v>
      </c>
      <c r="C88" s="62">
        <v>3939323661</v>
      </c>
      <c r="D88" s="62">
        <v>4060120772</v>
      </c>
      <c r="E88" s="62">
        <v>0</v>
      </c>
      <c r="F88" s="62">
        <v>0</v>
      </c>
      <c r="G88" s="62">
        <v>0</v>
      </c>
      <c r="H88" s="62">
        <v>0</v>
      </c>
      <c r="I88" s="62">
        <v>0</v>
      </c>
      <c r="J88" s="62">
        <v>3250000</v>
      </c>
      <c r="K88" s="62">
        <v>1589</v>
      </c>
      <c r="L88" s="62">
        <v>3939323661</v>
      </c>
      <c r="M88" s="62">
        <v>5124330347</v>
      </c>
      <c r="N88" s="63">
        <f t="shared" si="1"/>
        <v>4.7113191590354714E-4</v>
      </c>
    </row>
    <row r="89" spans="1:14" ht="26.25" customHeight="1">
      <c r="A89" s="62" t="s">
        <v>146</v>
      </c>
      <c r="B89" s="62">
        <v>10186336</v>
      </c>
      <c r="C89" s="62">
        <v>53517018297</v>
      </c>
      <c r="D89" s="62">
        <v>54176712538</v>
      </c>
      <c r="E89" s="62">
        <v>0</v>
      </c>
      <c r="F89" s="62">
        <v>0</v>
      </c>
      <c r="G89" s="62">
        <v>0</v>
      </c>
      <c r="H89" s="62">
        <v>1461319</v>
      </c>
      <c r="I89" s="62">
        <v>9628152789</v>
      </c>
      <c r="J89" s="62">
        <v>8725017</v>
      </c>
      <c r="K89" s="62">
        <v>7320</v>
      </c>
      <c r="L89" s="62">
        <v>45839533904</v>
      </c>
      <c r="M89" s="62">
        <v>63373431568</v>
      </c>
      <c r="N89" s="63">
        <f t="shared" si="1"/>
        <v>5.8265654651819768E-3</v>
      </c>
    </row>
    <row r="90" spans="1:14" ht="26.25" customHeight="1">
      <c r="A90" s="62" t="s">
        <v>321</v>
      </c>
      <c r="B90" s="62">
        <v>4024513</v>
      </c>
      <c r="C90" s="62">
        <v>20209536867</v>
      </c>
      <c r="D90" s="62">
        <v>20166687748</v>
      </c>
      <c r="E90" s="62">
        <v>0</v>
      </c>
      <c r="F90" s="62">
        <v>0</v>
      </c>
      <c r="G90" s="62">
        <v>0</v>
      </c>
      <c r="H90" s="62">
        <v>0</v>
      </c>
      <c r="I90" s="62">
        <v>0</v>
      </c>
      <c r="J90" s="62">
        <v>4024513</v>
      </c>
      <c r="K90" s="62">
        <v>6750</v>
      </c>
      <c r="L90" s="62">
        <v>20209536867</v>
      </c>
      <c r="M90" s="62">
        <v>26955473723</v>
      </c>
      <c r="N90" s="63">
        <f t="shared" si="1"/>
        <v>2.478291429169781E-3</v>
      </c>
    </row>
    <row r="91" spans="1:14" ht="26.25" customHeight="1">
      <c r="A91" s="62" t="s">
        <v>125</v>
      </c>
      <c r="B91" s="62">
        <v>800000</v>
      </c>
      <c r="C91" s="62">
        <v>27239010264</v>
      </c>
      <c r="D91" s="62">
        <v>19265914320</v>
      </c>
      <c r="E91" s="62">
        <v>0</v>
      </c>
      <c r="F91" s="62">
        <v>0</v>
      </c>
      <c r="G91" s="62">
        <v>0</v>
      </c>
      <c r="H91" s="62">
        <v>200000</v>
      </c>
      <c r="I91" s="62">
        <v>5135910694</v>
      </c>
      <c r="J91" s="62">
        <v>600000</v>
      </c>
      <c r="K91" s="62">
        <v>26220</v>
      </c>
      <c r="L91" s="62">
        <v>20429257698</v>
      </c>
      <c r="M91" s="62">
        <v>15610391640</v>
      </c>
      <c r="N91" s="63">
        <f t="shared" si="1"/>
        <v>1.4352224043603244E-3</v>
      </c>
    </row>
    <row r="92" spans="1:14" ht="26.25" customHeight="1">
      <c r="A92" s="62" t="s">
        <v>129</v>
      </c>
      <c r="B92" s="62">
        <v>84882</v>
      </c>
      <c r="C92" s="62">
        <v>8293870385</v>
      </c>
      <c r="D92" s="62">
        <v>15927110531</v>
      </c>
      <c r="E92" s="62">
        <v>0</v>
      </c>
      <c r="F92" s="62">
        <v>0</v>
      </c>
      <c r="G92" s="62">
        <v>0</v>
      </c>
      <c r="H92" s="62">
        <v>10000</v>
      </c>
      <c r="I92" s="62">
        <v>1919050196</v>
      </c>
      <c r="J92" s="62">
        <v>74882</v>
      </c>
      <c r="K92" s="62">
        <v>193700</v>
      </c>
      <c r="L92" s="62">
        <v>7316764475</v>
      </c>
      <c r="M92" s="62">
        <v>14392522507</v>
      </c>
      <c r="N92" s="63">
        <f t="shared" si="1"/>
        <v>1.3232512824583192E-3</v>
      </c>
    </row>
    <row r="93" spans="1:14" ht="26.25" customHeight="1">
      <c r="A93" s="62" t="s">
        <v>319</v>
      </c>
      <c r="B93" s="62">
        <v>612681</v>
      </c>
      <c r="C93" s="62">
        <v>22539494006</v>
      </c>
      <c r="D93" s="62">
        <v>27473033460</v>
      </c>
      <c r="E93" s="62">
        <v>0</v>
      </c>
      <c r="F93" s="62">
        <v>0</v>
      </c>
      <c r="G93" s="62">
        <v>0</v>
      </c>
      <c r="H93" s="62">
        <v>0</v>
      </c>
      <c r="I93" s="62">
        <v>0</v>
      </c>
      <c r="J93" s="62">
        <v>612681</v>
      </c>
      <c r="K93" s="62">
        <v>45650</v>
      </c>
      <c r="L93" s="62">
        <v>22539494006</v>
      </c>
      <c r="M93" s="62">
        <v>27752688148</v>
      </c>
      <c r="N93" s="63">
        <f t="shared" si="1"/>
        <v>2.5515874764583959E-3</v>
      </c>
    </row>
    <row r="94" spans="1:14" ht="26.25" customHeight="1">
      <c r="A94" s="62" t="s">
        <v>360</v>
      </c>
      <c r="B94" s="62">
        <v>3983350</v>
      </c>
      <c r="C94" s="62">
        <v>16626478656</v>
      </c>
      <c r="D94" s="62">
        <v>20434728502</v>
      </c>
      <c r="E94" s="62">
        <v>0</v>
      </c>
      <c r="F94" s="62">
        <v>0</v>
      </c>
      <c r="G94" s="62">
        <v>0</v>
      </c>
      <c r="H94" s="62">
        <v>0</v>
      </c>
      <c r="I94" s="62">
        <v>0</v>
      </c>
      <c r="J94" s="62">
        <v>3983350</v>
      </c>
      <c r="K94" s="62">
        <v>5390</v>
      </c>
      <c r="L94" s="62">
        <v>16626478656</v>
      </c>
      <c r="M94" s="62">
        <v>21304291417</v>
      </c>
      <c r="N94" s="63">
        <f t="shared" si="1"/>
        <v>1.9587206430075037E-3</v>
      </c>
    </row>
    <row r="95" spans="1:14" ht="26.25" customHeight="1">
      <c r="A95" s="62" t="s">
        <v>282</v>
      </c>
      <c r="B95" s="62">
        <v>2830564</v>
      </c>
      <c r="C95" s="62">
        <v>20539903713</v>
      </c>
      <c r="D95" s="62">
        <v>33367162835</v>
      </c>
      <c r="E95" s="62">
        <v>0</v>
      </c>
      <c r="F95" s="62">
        <v>0</v>
      </c>
      <c r="G95" s="62">
        <v>0</v>
      </c>
      <c r="H95" s="62">
        <v>0</v>
      </c>
      <c r="I95" s="62">
        <v>0</v>
      </c>
      <c r="J95" s="62">
        <v>2830564</v>
      </c>
      <c r="K95" s="62">
        <v>11970</v>
      </c>
      <c r="L95" s="62">
        <v>20539903713</v>
      </c>
      <c r="M95" s="62">
        <v>33619944371</v>
      </c>
      <c r="N95" s="63">
        <f t="shared" si="1"/>
        <v>3.091024140032849E-3</v>
      </c>
    </row>
    <row r="96" spans="1:14" ht="26.25" customHeight="1">
      <c r="A96" s="62" t="s">
        <v>154</v>
      </c>
      <c r="B96" s="62">
        <v>3001235</v>
      </c>
      <c r="C96" s="62">
        <v>26407150587</v>
      </c>
      <c r="D96" s="62">
        <v>37016980686</v>
      </c>
      <c r="E96" s="62">
        <v>0</v>
      </c>
      <c r="F96" s="62">
        <v>0</v>
      </c>
      <c r="G96" s="62">
        <v>0</v>
      </c>
      <c r="H96" s="62">
        <v>100000</v>
      </c>
      <c r="I96" s="62">
        <v>1157292743</v>
      </c>
      <c r="J96" s="62">
        <v>2901235</v>
      </c>
      <c r="K96" s="62">
        <v>11350</v>
      </c>
      <c r="L96" s="62">
        <v>25527274450</v>
      </c>
      <c r="M96" s="62">
        <v>32674475947</v>
      </c>
      <c r="N96" s="63">
        <f t="shared" si="1"/>
        <v>3.0040975916134625E-3</v>
      </c>
    </row>
    <row r="97" spans="1:14" ht="26.25" customHeight="1">
      <c r="A97" s="62" t="s">
        <v>329</v>
      </c>
      <c r="B97" s="62">
        <v>12476907</v>
      </c>
      <c r="C97" s="62">
        <v>60716366276</v>
      </c>
      <c r="D97" s="62">
        <v>57445336761</v>
      </c>
      <c r="E97" s="62">
        <v>0</v>
      </c>
      <c r="F97" s="62">
        <v>0</v>
      </c>
      <c r="G97" s="62">
        <v>0</v>
      </c>
      <c r="H97" s="62">
        <v>0</v>
      </c>
      <c r="I97" s="62">
        <v>0</v>
      </c>
      <c r="J97" s="62">
        <v>12476907</v>
      </c>
      <c r="K97" s="62">
        <v>5440</v>
      </c>
      <c r="L97" s="62">
        <v>60716366276</v>
      </c>
      <c r="M97" s="62">
        <v>67349705168</v>
      </c>
      <c r="N97" s="63">
        <f t="shared" si="1"/>
        <v>6.1921448233553684E-3</v>
      </c>
    </row>
    <row r="98" spans="1:14" ht="26.25" customHeight="1">
      <c r="A98" s="62" t="s">
        <v>305</v>
      </c>
      <c r="B98" s="62">
        <v>2800000</v>
      </c>
      <c r="C98" s="62">
        <v>19839248766</v>
      </c>
      <c r="D98" s="62">
        <v>26616650480</v>
      </c>
      <c r="E98" s="62">
        <v>0</v>
      </c>
      <c r="F98" s="62">
        <v>0</v>
      </c>
      <c r="G98" s="62">
        <v>0</v>
      </c>
      <c r="H98" s="62">
        <v>0</v>
      </c>
      <c r="I98" s="62">
        <v>0</v>
      </c>
      <c r="J98" s="62">
        <v>2800000</v>
      </c>
      <c r="K98" s="62">
        <v>10350</v>
      </c>
      <c r="L98" s="62">
        <v>19839248766</v>
      </c>
      <c r="M98" s="62">
        <v>28755984600</v>
      </c>
      <c r="N98" s="63">
        <f t="shared" si="1"/>
        <v>2.6438307448742818E-3</v>
      </c>
    </row>
    <row r="99" spans="1:14" ht="26.25" customHeight="1">
      <c r="A99" s="62" t="s">
        <v>134</v>
      </c>
      <c r="B99" s="62">
        <v>2513758</v>
      </c>
      <c r="C99" s="62">
        <v>24548396018</v>
      </c>
      <c r="D99" s="62">
        <v>41181333002</v>
      </c>
      <c r="E99" s="62">
        <v>0</v>
      </c>
      <c r="F99" s="62">
        <v>0</v>
      </c>
      <c r="G99" s="62">
        <v>0</v>
      </c>
      <c r="H99" s="62">
        <v>200000</v>
      </c>
      <c r="I99" s="62">
        <v>3645129409</v>
      </c>
      <c r="J99" s="62">
        <v>2313758</v>
      </c>
      <c r="K99" s="62">
        <v>18050</v>
      </c>
      <c r="L99" s="62">
        <v>22595272764</v>
      </c>
      <c r="M99" s="62">
        <v>41440501344</v>
      </c>
      <c r="N99" s="63">
        <f t="shared" si="1"/>
        <v>3.8100476495689594E-3</v>
      </c>
    </row>
    <row r="100" spans="1:14" ht="26.25" customHeight="1">
      <c r="A100" s="62" t="s">
        <v>300</v>
      </c>
      <c r="B100" s="62">
        <v>3022885</v>
      </c>
      <c r="C100" s="62">
        <v>33899225434</v>
      </c>
      <c r="D100" s="62">
        <v>42203219652</v>
      </c>
      <c r="E100" s="62">
        <v>0</v>
      </c>
      <c r="F100" s="62">
        <v>0</v>
      </c>
      <c r="G100" s="62">
        <v>0</v>
      </c>
      <c r="H100" s="62">
        <v>0</v>
      </c>
      <c r="I100" s="62">
        <v>0</v>
      </c>
      <c r="J100" s="62">
        <v>3022885</v>
      </c>
      <c r="K100" s="62">
        <v>16500</v>
      </c>
      <c r="L100" s="62">
        <v>33899225434</v>
      </c>
      <c r="M100" s="62">
        <v>49492048633</v>
      </c>
      <c r="N100" s="63">
        <f t="shared" si="1"/>
        <v>4.5503084531050477E-3</v>
      </c>
    </row>
    <row r="101" spans="1:14" ht="26.25" customHeight="1">
      <c r="A101" s="62" t="s">
        <v>318</v>
      </c>
      <c r="B101" s="62">
        <v>104452</v>
      </c>
      <c r="C101" s="62">
        <v>12026316222</v>
      </c>
      <c r="D101" s="62">
        <v>17039169945</v>
      </c>
      <c r="E101" s="62">
        <v>0</v>
      </c>
      <c r="F101" s="62">
        <v>0</v>
      </c>
      <c r="G101" s="62">
        <v>0</v>
      </c>
      <c r="H101" s="62">
        <v>0</v>
      </c>
      <c r="I101" s="62">
        <v>0</v>
      </c>
      <c r="J101" s="62">
        <v>104452</v>
      </c>
      <c r="K101" s="62">
        <v>161100</v>
      </c>
      <c r="L101" s="62">
        <v>12026316222</v>
      </c>
      <c r="M101" s="62">
        <v>16697142811</v>
      </c>
      <c r="N101" s="63">
        <f t="shared" si="1"/>
        <v>1.5351385156632191E-3</v>
      </c>
    </row>
    <row r="102" spans="1:14" ht="26.25" customHeight="1">
      <c r="A102" s="62" t="s">
        <v>173</v>
      </c>
      <c r="B102" s="62">
        <v>2856766</v>
      </c>
      <c r="C102" s="62">
        <v>26814426075</v>
      </c>
      <c r="D102" s="62">
        <v>20806574679</v>
      </c>
      <c r="E102" s="62">
        <v>0</v>
      </c>
      <c r="F102" s="62">
        <v>0</v>
      </c>
      <c r="G102" s="62">
        <v>0</v>
      </c>
      <c r="H102" s="62">
        <v>946004</v>
      </c>
      <c r="I102" s="62">
        <v>7295122379</v>
      </c>
      <c r="J102" s="62">
        <v>1910762</v>
      </c>
      <c r="K102" s="62">
        <v>7980</v>
      </c>
      <c r="L102" s="62">
        <v>17934960860</v>
      </c>
      <c r="M102" s="62">
        <v>15130014642</v>
      </c>
      <c r="N102" s="63">
        <f t="shared" si="1"/>
        <v>1.3910564509384822E-3</v>
      </c>
    </row>
    <row r="103" spans="1:14" ht="26.25" customHeight="1">
      <c r="A103" s="62" t="s">
        <v>277</v>
      </c>
      <c r="B103" s="62">
        <v>336344</v>
      </c>
      <c r="C103" s="62">
        <v>11436721532</v>
      </c>
      <c r="D103" s="62">
        <v>16480281726</v>
      </c>
      <c r="E103" s="62">
        <v>0</v>
      </c>
      <c r="F103" s="62">
        <v>0</v>
      </c>
      <c r="G103" s="62">
        <v>0</v>
      </c>
      <c r="H103" s="62">
        <v>0</v>
      </c>
      <c r="I103" s="62">
        <v>0</v>
      </c>
      <c r="J103" s="62">
        <v>336344</v>
      </c>
      <c r="K103" s="62">
        <v>53340</v>
      </c>
      <c r="L103" s="62">
        <v>11436721532</v>
      </c>
      <c r="M103" s="62">
        <v>17801908207</v>
      </c>
      <c r="N103" s="63">
        <f t="shared" si="1"/>
        <v>1.6367108582710952E-3</v>
      </c>
    </row>
    <row r="104" spans="1:14" ht="26.25" customHeight="1">
      <c r="A104" s="62" t="s">
        <v>259</v>
      </c>
      <c r="B104" s="62">
        <v>2324791</v>
      </c>
      <c r="C104" s="62">
        <v>45239371636</v>
      </c>
      <c r="D104" s="62">
        <v>60784716633</v>
      </c>
      <c r="E104" s="62">
        <v>0</v>
      </c>
      <c r="F104" s="62">
        <v>0</v>
      </c>
      <c r="G104" s="62">
        <v>0</v>
      </c>
      <c r="H104" s="62">
        <v>300000</v>
      </c>
      <c r="I104" s="62">
        <v>9778820868</v>
      </c>
      <c r="J104" s="62">
        <v>2024791</v>
      </c>
      <c r="K104" s="62">
        <v>28720</v>
      </c>
      <c r="L104" s="62">
        <v>39401508580</v>
      </c>
      <c r="M104" s="62">
        <v>57702482579</v>
      </c>
      <c r="N104" s="63">
        <f t="shared" si="1"/>
        <v>5.3051773263897506E-3</v>
      </c>
    </row>
    <row r="105" spans="1:14" ht="26.25" customHeight="1">
      <c r="A105" s="62" t="s">
        <v>343</v>
      </c>
      <c r="B105" s="62">
        <v>1504289</v>
      </c>
      <c r="C105" s="62">
        <v>9141298952</v>
      </c>
      <c r="D105" s="62">
        <v>28017244080</v>
      </c>
      <c r="E105" s="62">
        <v>0</v>
      </c>
      <c r="F105" s="62">
        <v>0</v>
      </c>
      <c r="G105" s="62">
        <v>0</v>
      </c>
      <c r="H105" s="62">
        <v>0</v>
      </c>
      <c r="I105" s="62">
        <v>0</v>
      </c>
      <c r="J105" s="62">
        <v>1504289</v>
      </c>
      <c r="K105" s="62">
        <v>25240</v>
      </c>
      <c r="L105" s="62">
        <v>9141298952</v>
      </c>
      <c r="M105" s="62">
        <v>37674759754</v>
      </c>
      <c r="N105" s="63">
        <f t="shared" si="1"/>
        <v>3.4638246448141941E-3</v>
      </c>
    </row>
    <row r="106" spans="1:14" ht="26.25" customHeight="1">
      <c r="A106" s="62" t="s">
        <v>214</v>
      </c>
      <c r="B106" s="62">
        <v>512506</v>
      </c>
      <c r="C106" s="62">
        <v>23243757956</v>
      </c>
      <c r="D106" s="62">
        <v>30919495180</v>
      </c>
      <c r="E106" s="62">
        <v>0</v>
      </c>
      <c r="F106" s="62">
        <v>0</v>
      </c>
      <c r="G106" s="62">
        <v>0</v>
      </c>
      <c r="H106" s="62">
        <v>150000</v>
      </c>
      <c r="I106" s="62">
        <v>11657034150</v>
      </c>
      <c r="J106" s="62">
        <v>362506</v>
      </c>
      <c r="K106" s="62">
        <v>77230</v>
      </c>
      <c r="L106" s="62">
        <v>16440786491</v>
      </c>
      <c r="M106" s="62">
        <v>27779926684</v>
      </c>
      <c r="N106" s="63">
        <f t="shared" si="1"/>
        <v>2.5540917926876569E-3</v>
      </c>
    </row>
    <row r="107" spans="1:14" ht="26.25" customHeight="1">
      <c r="A107" s="62" t="s">
        <v>311</v>
      </c>
      <c r="B107" s="62">
        <v>21110</v>
      </c>
      <c r="C107" s="62">
        <v>2674296095</v>
      </c>
      <c r="D107" s="62">
        <v>2633015236</v>
      </c>
      <c r="E107" s="62">
        <v>0</v>
      </c>
      <c r="F107" s="62">
        <v>0</v>
      </c>
      <c r="G107" s="62">
        <v>0</v>
      </c>
      <c r="H107" s="62">
        <v>0</v>
      </c>
      <c r="I107" s="62">
        <v>0</v>
      </c>
      <c r="J107" s="62">
        <v>21110</v>
      </c>
      <c r="K107" s="62">
        <v>133300</v>
      </c>
      <c r="L107" s="62">
        <v>2674296095</v>
      </c>
      <c r="M107" s="62">
        <v>2792211066</v>
      </c>
      <c r="N107" s="63">
        <f t="shared" si="1"/>
        <v>2.5671642147384485E-4</v>
      </c>
    </row>
    <row r="108" spans="1:14" ht="26.25" customHeight="1">
      <c r="A108" s="62" t="s">
        <v>284</v>
      </c>
      <c r="B108" s="62">
        <v>6761644</v>
      </c>
      <c r="C108" s="62">
        <v>10818188004</v>
      </c>
      <c r="D108" s="62">
        <v>20530692065</v>
      </c>
      <c r="E108" s="62">
        <v>0</v>
      </c>
      <c r="F108" s="62">
        <v>0</v>
      </c>
      <c r="G108" s="62">
        <v>0</v>
      </c>
      <c r="H108" s="62">
        <v>0</v>
      </c>
      <c r="I108" s="62">
        <v>0</v>
      </c>
      <c r="J108" s="62">
        <v>6761644</v>
      </c>
      <c r="K108" s="62">
        <v>4430</v>
      </c>
      <c r="L108" s="62">
        <v>10818188004</v>
      </c>
      <c r="M108" s="62">
        <v>29722537859</v>
      </c>
      <c r="N108" s="63">
        <f t="shared" si="1"/>
        <v>2.7326958370715642E-3</v>
      </c>
    </row>
    <row r="109" spans="1:14" ht="26.25" customHeight="1">
      <c r="A109" s="62" t="s">
        <v>252</v>
      </c>
      <c r="B109" s="62">
        <v>520570</v>
      </c>
      <c r="C109" s="62">
        <v>20486605262</v>
      </c>
      <c r="D109" s="62">
        <v>35667500879</v>
      </c>
      <c r="E109" s="62">
        <v>0</v>
      </c>
      <c r="F109" s="62">
        <v>0</v>
      </c>
      <c r="G109" s="62">
        <v>0</v>
      </c>
      <c r="H109" s="62">
        <v>60000</v>
      </c>
      <c r="I109" s="62">
        <v>4539039898</v>
      </c>
      <c r="J109" s="62">
        <v>460570</v>
      </c>
      <c r="K109" s="62">
        <v>90260</v>
      </c>
      <c r="L109" s="62">
        <v>18125354487</v>
      </c>
      <c r="M109" s="62">
        <v>41249703997</v>
      </c>
      <c r="N109" s="63">
        <f t="shared" si="1"/>
        <v>3.7925057048553345E-3</v>
      </c>
    </row>
    <row r="110" spans="1:14" ht="26.25" customHeight="1">
      <c r="A110" s="62" t="s">
        <v>348</v>
      </c>
      <c r="B110" s="62">
        <v>1155746</v>
      </c>
      <c r="C110" s="62">
        <v>7943307049</v>
      </c>
      <c r="D110" s="62">
        <v>36927349086</v>
      </c>
      <c r="E110" s="62">
        <v>0</v>
      </c>
      <c r="F110" s="62">
        <v>0</v>
      </c>
      <c r="G110" s="62">
        <v>0</v>
      </c>
      <c r="H110" s="62">
        <v>0</v>
      </c>
      <c r="I110" s="62">
        <v>0</v>
      </c>
      <c r="J110" s="62">
        <v>1155746</v>
      </c>
      <c r="K110" s="62">
        <v>43560</v>
      </c>
      <c r="L110" s="62">
        <v>7943307049</v>
      </c>
      <c r="M110" s="62">
        <v>49955134354</v>
      </c>
      <c r="N110" s="63">
        <f t="shared" si="1"/>
        <v>4.5928846431998243E-3</v>
      </c>
    </row>
    <row r="111" spans="1:14" ht="26.25" customHeight="1">
      <c r="A111" s="62" t="s">
        <v>436</v>
      </c>
      <c r="B111" s="62">
        <v>3019851</v>
      </c>
      <c r="C111" s="62">
        <v>5526073732</v>
      </c>
      <c r="D111" s="62">
        <v>16390896308</v>
      </c>
      <c r="E111" s="62">
        <v>0</v>
      </c>
      <c r="F111" s="62">
        <v>0</v>
      </c>
      <c r="G111" s="62">
        <v>0</v>
      </c>
      <c r="H111" s="62">
        <v>0</v>
      </c>
      <c r="I111" s="62">
        <v>0</v>
      </c>
      <c r="J111" s="62">
        <v>3019851</v>
      </c>
      <c r="K111" s="62">
        <v>7520</v>
      </c>
      <c r="L111" s="62">
        <v>5526073732</v>
      </c>
      <c r="M111" s="62">
        <v>22533736789</v>
      </c>
      <c r="N111" s="63">
        <f t="shared" si="1"/>
        <v>2.0717560865456462E-3</v>
      </c>
    </row>
    <row r="112" spans="1:14" ht="26.25" customHeight="1">
      <c r="A112" s="62" t="s">
        <v>312</v>
      </c>
      <c r="B112" s="62">
        <v>5463965</v>
      </c>
      <c r="C112" s="62">
        <v>37079341017</v>
      </c>
      <c r="D112" s="62">
        <v>36379798574</v>
      </c>
      <c r="E112" s="62">
        <v>0</v>
      </c>
      <c r="F112" s="62">
        <v>0</v>
      </c>
      <c r="G112" s="62">
        <v>0</v>
      </c>
      <c r="H112" s="62">
        <v>0</v>
      </c>
      <c r="I112" s="62">
        <v>0</v>
      </c>
      <c r="J112" s="62">
        <v>5463965</v>
      </c>
      <c r="K112" s="62">
        <v>8050</v>
      </c>
      <c r="L112" s="62">
        <v>37079341017</v>
      </c>
      <c r="M112" s="62">
        <v>43644914832</v>
      </c>
      <c r="N112" s="63">
        <f t="shared" si="1"/>
        <v>4.0127218488725004E-3</v>
      </c>
    </row>
    <row r="113" spans="1:14" ht="26.25" customHeight="1">
      <c r="A113" s="62" t="s">
        <v>210</v>
      </c>
      <c r="B113" s="62">
        <v>1467107</v>
      </c>
      <c r="C113" s="62">
        <v>23716554717</v>
      </c>
      <c r="D113" s="62">
        <v>36918232427</v>
      </c>
      <c r="E113" s="62">
        <v>0</v>
      </c>
      <c r="F113" s="62">
        <v>0</v>
      </c>
      <c r="G113" s="62">
        <v>0</v>
      </c>
      <c r="H113" s="62">
        <v>90000</v>
      </c>
      <c r="I113" s="62">
        <v>2845892774</v>
      </c>
      <c r="J113" s="62">
        <v>1377107</v>
      </c>
      <c r="K113" s="62">
        <v>32910</v>
      </c>
      <c r="L113" s="62">
        <v>22261657477</v>
      </c>
      <c r="M113" s="62">
        <v>44970263199</v>
      </c>
      <c r="N113" s="63">
        <f t="shared" si="1"/>
        <v>4.1345746321829885E-3</v>
      </c>
    </row>
    <row r="114" spans="1:14" ht="26.25" customHeight="1">
      <c r="A114" s="62" t="s">
        <v>217</v>
      </c>
      <c r="B114" s="62">
        <v>4643025</v>
      </c>
      <c r="C114" s="62">
        <v>55142494437</v>
      </c>
      <c r="D114" s="62">
        <v>67218091140</v>
      </c>
      <c r="E114" s="62">
        <v>0</v>
      </c>
      <c r="F114" s="62">
        <v>0</v>
      </c>
      <c r="G114" s="62">
        <v>0</v>
      </c>
      <c r="H114" s="62">
        <v>1200000</v>
      </c>
      <c r="I114" s="62">
        <v>23954444821</v>
      </c>
      <c r="J114" s="62">
        <v>3443025</v>
      </c>
      <c r="K114" s="62">
        <v>19920</v>
      </c>
      <c r="L114" s="62">
        <v>40890795744</v>
      </c>
      <c r="M114" s="62">
        <v>68054895502</v>
      </c>
      <c r="N114" s="63">
        <f t="shared" si="1"/>
        <v>6.2569801580500935E-3</v>
      </c>
    </row>
    <row r="115" spans="1:14" ht="26.25" customHeight="1">
      <c r="A115" s="62" t="s">
        <v>184</v>
      </c>
      <c r="B115" s="62">
        <v>23585402</v>
      </c>
      <c r="C115" s="62">
        <v>51440272083</v>
      </c>
      <c r="D115" s="62">
        <v>95250563449</v>
      </c>
      <c r="E115" s="62">
        <v>0</v>
      </c>
      <c r="F115" s="62">
        <v>0</v>
      </c>
      <c r="G115" s="62">
        <v>0</v>
      </c>
      <c r="H115" s="62">
        <v>4500000</v>
      </c>
      <c r="I115" s="62">
        <v>21102393709</v>
      </c>
      <c r="J115" s="62">
        <v>19085402</v>
      </c>
      <c r="K115" s="62">
        <v>4870</v>
      </c>
      <c r="L115" s="62">
        <v>41625674716</v>
      </c>
      <c r="M115" s="62">
        <v>92227435873</v>
      </c>
      <c r="N115" s="63">
        <f t="shared" si="1"/>
        <v>8.4794081605523829E-3</v>
      </c>
    </row>
    <row r="116" spans="1:14" ht="26.25" customHeight="1">
      <c r="A116" s="62" t="s">
        <v>183</v>
      </c>
      <c r="B116" s="62">
        <v>2065696</v>
      </c>
      <c r="C116" s="62">
        <v>72969680093</v>
      </c>
      <c r="D116" s="62">
        <v>75860439569</v>
      </c>
      <c r="E116" s="62">
        <v>0</v>
      </c>
      <c r="F116" s="62">
        <v>0</v>
      </c>
      <c r="G116" s="62">
        <v>0</v>
      </c>
      <c r="H116" s="62">
        <v>210000</v>
      </c>
      <c r="I116" s="62">
        <v>9883315409</v>
      </c>
      <c r="J116" s="62">
        <v>1855696</v>
      </c>
      <c r="K116" s="62">
        <v>48000</v>
      </c>
      <c r="L116" s="62">
        <v>65551534916</v>
      </c>
      <c r="M116" s="62">
        <v>88384870556</v>
      </c>
      <c r="N116" s="63">
        <f t="shared" si="1"/>
        <v>8.1261219675881468E-3</v>
      </c>
    </row>
    <row r="117" spans="1:14" ht="26.25" customHeight="1">
      <c r="A117" s="62" t="s">
        <v>182</v>
      </c>
      <c r="B117" s="62">
        <v>6600000</v>
      </c>
      <c r="C117" s="62">
        <v>52018563005</v>
      </c>
      <c r="D117" s="62">
        <v>62542778100</v>
      </c>
      <c r="E117" s="62">
        <v>0</v>
      </c>
      <c r="F117" s="62">
        <v>0</v>
      </c>
      <c r="G117" s="62">
        <v>0</v>
      </c>
      <c r="H117" s="62">
        <v>1500000</v>
      </c>
      <c r="I117" s="62">
        <v>15714580104</v>
      </c>
      <c r="J117" s="62">
        <v>5100000</v>
      </c>
      <c r="K117" s="62">
        <v>11110</v>
      </c>
      <c r="L117" s="62">
        <v>40196162322</v>
      </c>
      <c r="M117" s="62">
        <v>56223010470</v>
      </c>
      <c r="N117" s="63">
        <f t="shared" si="1"/>
        <v>5.1691543766501612E-3</v>
      </c>
    </row>
    <row r="118" spans="1:14" ht="26.25" customHeight="1">
      <c r="A118" s="62" t="s">
        <v>191</v>
      </c>
      <c r="B118" s="62">
        <v>724988</v>
      </c>
      <c r="C118" s="62">
        <v>1764072098</v>
      </c>
      <c r="D118" s="62">
        <v>1445961524</v>
      </c>
      <c r="E118" s="62">
        <v>0</v>
      </c>
      <c r="F118" s="62">
        <v>0</v>
      </c>
      <c r="G118" s="62">
        <v>0</v>
      </c>
      <c r="H118" s="62">
        <v>724988</v>
      </c>
      <c r="I118" s="62">
        <v>1657807764</v>
      </c>
      <c r="J118" s="62">
        <v>0</v>
      </c>
      <c r="K118" s="62">
        <v>0</v>
      </c>
      <c r="L118" s="62">
        <v>0</v>
      </c>
      <c r="M118" s="62">
        <v>0</v>
      </c>
      <c r="N118" s="63">
        <f t="shared" si="1"/>
        <v>0</v>
      </c>
    </row>
    <row r="119" spans="1:14" ht="26.25" customHeight="1">
      <c r="A119" s="62" t="s">
        <v>139</v>
      </c>
      <c r="B119" s="62">
        <v>15672652</v>
      </c>
      <c r="C119" s="62">
        <v>39831756570</v>
      </c>
      <c r="D119" s="62">
        <v>50853412848</v>
      </c>
      <c r="E119" s="62">
        <v>5324217</v>
      </c>
      <c r="F119" s="62">
        <v>0</v>
      </c>
      <c r="G119" s="62">
        <v>0</v>
      </c>
      <c r="H119" s="62">
        <v>0</v>
      </c>
      <c r="I119" s="62">
        <v>0</v>
      </c>
      <c r="J119" s="62">
        <v>20996869</v>
      </c>
      <c r="K119" s="62">
        <v>4530</v>
      </c>
      <c r="L119" s="62">
        <v>53363156072</v>
      </c>
      <c r="M119" s="62">
        <v>94380571308</v>
      </c>
      <c r="N119" s="63">
        <f t="shared" si="1"/>
        <v>8.6773678458184293E-3</v>
      </c>
    </row>
    <row r="120" spans="1:14" ht="26.25" customHeight="1">
      <c r="A120" s="62" t="s">
        <v>437</v>
      </c>
      <c r="B120" s="62">
        <v>5324217</v>
      </c>
      <c r="C120" s="62">
        <v>8207182502</v>
      </c>
      <c r="D120" s="62">
        <v>8759314811</v>
      </c>
      <c r="E120" s="62">
        <v>-5324217</v>
      </c>
      <c r="F120" s="62">
        <v>0</v>
      </c>
      <c r="G120" s="62">
        <v>0</v>
      </c>
      <c r="H120" s="62">
        <v>0</v>
      </c>
      <c r="I120" s="62">
        <v>0</v>
      </c>
      <c r="J120" s="62">
        <v>0</v>
      </c>
      <c r="K120" s="62">
        <v>0</v>
      </c>
      <c r="L120" s="62">
        <v>0</v>
      </c>
      <c r="M120" s="62">
        <v>0</v>
      </c>
      <c r="N120" s="63">
        <f t="shared" si="1"/>
        <v>0</v>
      </c>
    </row>
    <row r="121" spans="1:14" ht="26.25" customHeight="1">
      <c r="A121" s="62" t="s">
        <v>187</v>
      </c>
      <c r="B121" s="62">
        <v>12900000</v>
      </c>
      <c r="C121" s="62">
        <v>59018647822</v>
      </c>
      <c r="D121" s="62">
        <v>67201485750</v>
      </c>
      <c r="E121" s="62">
        <v>0</v>
      </c>
      <c r="F121" s="62">
        <v>0</v>
      </c>
      <c r="G121" s="62">
        <v>0</v>
      </c>
      <c r="H121" s="62">
        <v>0</v>
      </c>
      <c r="I121" s="62">
        <v>0</v>
      </c>
      <c r="J121" s="62">
        <v>12900000</v>
      </c>
      <c r="K121" s="62">
        <v>8640</v>
      </c>
      <c r="L121" s="62">
        <v>59018647822</v>
      </c>
      <c r="M121" s="62">
        <v>110594445120</v>
      </c>
      <c r="N121" s="63">
        <f t="shared" si="1"/>
        <v>1.0168074516932642E-2</v>
      </c>
    </row>
    <row r="122" spans="1:14" ht="26.25" customHeight="1">
      <c r="A122" s="62" t="s">
        <v>272</v>
      </c>
      <c r="B122" s="62">
        <v>1875000</v>
      </c>
      <c r="C122" s="62">
        <v>5911612875</v>
      </c>
      <c r="D122" s="62">
        <v>11311878000</v>
      </c>
      <c r="E122" s="62">
        <v>0</v>
      </c>
      <c r="F122" s="62">
        <v>0</v>
      </c>
      <c r="G122" s="62">
        <v>0</v>
      </c>
      <c r="H122" s="62">
        <v>0</v>
      </c>
      <c r="I122" s="62">
        <v>0</v>
      </c>
      <c r="J122" s="62">
        <v>1875000</v>
      </c>
      <c r="K122" s="62">
        <v>6010</v>
      </c>
      <c r="L122" s="62">
        <v>5911612875</v>
      </c>
      <c r="M122" s="62">
        <v>11181642562</v>
      </c>
      <c r="N122" s="63">
        <f t="shared" si="1"/>
        <v>1.0280423638705952E-3</v>
      </c>
    </row>
    <row r="123" spans="1:14" ht="26.25" customHeight="1">
      <c r="A123" s="62" t="s">
        <v>285</v>
      </c>
      <c r="B123" s="62">
        <v>23792</v>
      </c>
      <c r="C123" s="62">
        <v>1265552380</v>
      </c>
      <c r="D123" s="62">
        <v>3331101194</v>
      </c>
      <c r="E123" s="62">
        <v>0</v>
      </c>
      <c r="F123" s="62">
        <v>0</v>
      </c>
      <c r="G123" s="62">
        <v>0</v>
      </c>
      <c r="H123" s="62">
        <v>0</v>
      </c>
      <c r="I123" s="62">
        <v>0</v>
      </c>
      <c r="J123" s="62">
        <v>23792</v>
      </c>
      <c r="K123" s="62">
        <v>176800</v>
      </c>
      <c r="L123" s="62">
        <v>1265552380</v>
      </c>
      <c r="M123" s="62">
        <v>4173909930</v>
      </c>
      <c r="N123" s="63">
        <f t="shared" si="1"/>
        <v>3.837500802970266E-4</v>
      </c>
    </row>
    <row r="124" spans="1:14" ht="26.25" customHeight="1">
      <c r="A124" s="62" t="s">
        <v>299</v>
      </c>
      <c r="B124" s="62">
        <v>2843421</v>
      </c>
      <c r="C124" s="62">
        <v>42953943314</v>
      </c>
      <c r="D124" s="62">
        <v>42124119440</v>
      </c>
      <c r="E124" s="62">
        <v>0</v>
      </c>
      <c r="F124" s="62">
        <v>0</v>
      </c>
      <c r="G124" s="62">
        <v>0</v>
      </c>
      <c r="H124" s="62">
        <v>0</v>
      </c>
      <c r="I124" s="62">
        <v>0</v>
      </c>
      <c r="J124" s="62">
        <v>2843421</v>
      </c>
      <c r="K124" s="62">
        <v>18260</v>
      </c>
      <c r="L124" s="62">
        <v>42953943314</v>
      </c>
      <c r="M124" s="62">
        <v>51519519155</v>
      </c>
      <c r="N124" s="63">
        <f t="shared" si="1"/>
        <v>4.7367144821439527E-3</v>
      </c>
    </row>
    <row r="125" spans="1:14" ht="26.25" customHeight="1">
      <c r="A125" s="62" t="s">
        <v>260</v>
      </c>
      <c r="B125" s="62">
        <v>3733986</v>
      </c>
      <c r="C125" s="62">
        <v>14066948730</v>
      </c>
      <c r="D125" s="62">
        <v>72990909078</v>
      </c>
      <c r="E125" s="62">
        <v>0</v>
      </c>
      <c r="F125" s="62">
        <v>0</v>
      </c>
      <c r="G125" s="62">
        <v>0</v>
      </c>
      <c r="H125" s="62">
        <v>400000</v>
      </c>
      <c r="I125" s="62">
        <v>7249443287</v>
      </c>
      <c r="J125" s="62">
        <v>3333986</v>
      </c>
      <c r="K125" s="62">
        <v>20660</v>
      </c>
      <c r="L125" s="62">
        <v>12560039091</v>
      </c>
      <c r="M125" s="62">
        <v>68347707195</v>
      </c>
      <c r="N125" s="63">
        <f t="shared" si="1"/>
        <v>6.2839013213202982E-3</v>
      </c>
    </row>
    <row r="126" spans="1:14" ht="26.25" customHeight="1">
      <c r="A126" s="62" t="s">
        <v>248</v>
      </c>
      <c r="B126" s="62">
        <v>19183396</v>
      </c>
      <c r="C126" s="62">
        <v>66632269029</v>
      </c>
      <c r="D126" s="62">
        <v>83754476735</v>
      </c>
      <c r="E126" s="62">
        <v>0</v>
      </c>
      <c r="F126" s="62">
        <v>0</v>
      </c>
      <c r="G126" s="62">
        <v>0</v>
      </c>
      <c r="H126" s="62">
        <v>2135300</v>
      </c>
      <c r="I126" s="62">
        <v>11517833631</v>
      </c>
      <c r="J126" s="62">
        <v>17048096</v>
      </c>
      <c r="K126" s="62">
        <v>5300</v>
      </c>
      <c r="L126" s="62">
        <v>59215444393</v>
      </c>
      <c r="M126" s="62">
        <v>89656465355</v>
      </c>
      <c r="N126" s="63">
        <f t="shared" si="1"/>
        <v>8.2430326375367742E-3</v>
      </c>
    </row>
    <row r="127" spans="1:14" ht="26.25" customHeight="1">
      <c r="A127" s="62" t="s">
        <v>149</v>
      </c>
      <c r="B127" s="62">
        <v>6453452</v>
      </c>
      <c r="C127" s="62">
        <v>44171986324</v>
      </c>
      <c r="D127" s="62">
        <v>35603831497</v>
      </c>
      <c r="E127" s="62">
        <v>0</v>
      </c>
      <c r="F127" s="62">
        <v>0</v>
      </c>
      <c r="G127" s="62">
        <v>0</v>
      </c>
      <c r="H127" s="62">
        <v>300000</v>
      </c>
      <c r="I127" s="62">
        <v>1926670865</v>
      </c>
      <c r="J127" s="62">
        <v>6153452</v>
      </c>
      <c r="K127" s="62">
        <v>6450</v>
      </c>
      <c r="L127" s="62">
        <v>42118574306</v>
      </c>
      <c r="M127" s="62">
        <v>39382963513</v>
      </c>
      <c r="N127" s="63">
        <f t="shared" si="1"/>
        <v>3.6208772263680877E-3</v>
      </c>
    </row>
    <row r="128" spans="1:14" ht="26.25" customHeight="1">
      <c r="A128" s="62" t="s">
        <v>345</v>
      </c>
      <c r="B128" s="62">
        <v>6157463</v>
      </c>
      <c r="C128" s="62">
        <v>15675856896</v>
      </c>
      <c r="D128" s="62">
        <v>62626124563</v>
      </c>
      <c r="E128" s="62">
        <v>0</v>
      </c>
      <c r="F128" s="62">
        <v>0</v>
      </c>
      <c r="G128" s="62">
        <v>0</v>
      </c>
      <c r="H128" s="62">
        <v>0</v>
      </c>
      <c r="I128" s="62">
        <v>0</v>
      </c>
      <c r="J128" s="62">
        <v>6157463</v>
      </c>
      <c r="K128" s="62">
        <v>13640</v>
      </c>
      <c r="L128" s="62">
        <v>15675856896</v>
      </c>
      <c r="M128" s="62">
        <v>83338569662</v>
      </c>
      <c r="N128" s="63">
        <f t="shared" si="1"/>
        <v>7.6621640945739927E-3</v>
      </c>
    </row>
    <row r="129" spans="1:14" ht="26.25" customHeight="1">
      <c r="A129" s="62" t="s">
        <v>224</v>
      </c>
      <c r="B129" s="62">
        <v>25239055</v>
      </c>
      <c r="C129" s="62">
        <v>57840989053</v>
      </c>
      <c r="D129" s="62">
        <v>72902959132</v>
      </c>
      <c r="E129" s="62">
        <v>0</v>
      </c>
      <c r="F129" s="62">
        <v>0</v>
      </c>
      <c r="G129" s="62">
        <v>0</v>
      </c>
      <c r="H129" s="62">
        <v>3000000</v>
      </c>
      <c r="I129" s="62">
        <v>10836991994</v>
      </c>
      <c r="J129" s="62">
        <v>22239055</v>
      </c>
      <c r="K129" s="62">
        <v>4020</v>
      </c>
      <c r="L129" s="62">
        <v>50965812183</v>
      </c>
      <c r="M129" s="62">
        <v>88709931361</v>
      </c>
      <c r="N129" s="63">
        <f t="shared" si="1"/>
        <v>8.1560081204070135E-3</v>
      </c>
    </row>
    <row r="130" spans="1:14" ht="26.25" customHeight="1">
      <c r="A130" s="62" t="s">
        <v>276</v>
      </c>
      <c r="B130" s="62">
        <v>6494761</v>
      </c>
      <c r="C130" s="62">
        <v>17485089878</v>
      </c>
      <c r="D130" s="62">
        <v>23200403391</v>
      </c>
      <c r="E130" s="62">
        <v>0</v>
      </c>
      <c r="F130" s="62">
        <v>0</v>
      </c>
      <c r="G130" s="62">
        <v>0</v>
      </c>
      <c r="H130" s="62">
        <v>0</v>
      </c>
      <c r="I130" s="62">
        <v>0</v>
      </c>
      <c r="J130" s="62">
        <v>6494761</v>
      </c>
      <c r="K130" s="62">
        <v>5680</v>
      </c>
      <c r="L130" s="62">
        <v>17485089878</v>
      </c>
      <c r="M130" s="62">
        <v>36605080906</v>
      </c>
      <c r="N130" s="63">
        <f t="shared" si="1"/>
        <v>3.3654781661655686E-3</v>
      </c>
    </row>
    <row r="131" spans="1:14" ht="26.25" customHeight="1">
      <c r="A131" s="62" t="s">
        <v>207</v>
      </c>
      <c r="B131" s="62">
        <v>5612182</v>
      </c>
      <c r="C131" s="62">
        <v>17491338187</v>
      </c>
      <c r="D131" s="62">
        <v>17987223461</v>
      </c>
      <c r="E131" s="62">
        <v>0</v>
      </c>
      <c r="F131" s="62">
        <v>0</v>
      </c>
      <c r="G131" s="62">
        <v>0</v>
      </c>
      <c r="H131" s="62">
        <v>0</v>
      </c>
      <c r="I131" s="62">
        <v>0</v>
      </c>
      <c r="J131" s="62">
        <v>5612182</v>
      </c>
      <c r="K131" s="62">
        <v>4710</v>
      </c>
      <c r="L131" s="62">
        <v>17491338187</v>
      </c>
      <c r="M131" s="62">
        <v>26229047214</v>
      </c>
      <c r="N131" s="63">
        <f t="shared" si="1"/>
        <v>2.4115036364685048E-3</v>
      </c>
    </row>
    <row r="132" spans="1:14" ht="26.25" customHeight="1">
      <c r="A132" s="62" t="s">
        <v>220</v>
      </c>
      <c r="B132" s="62">
        <v>9019663</v>
      </c>
      <c r="C132" s="62">
        <v>23282187650</v>
      </c>
      <c r="D132" s="62">
        <v>37500252811</v>
      </c>
      <c r="E132" s="62">
        <v>0</v>
      </c>
      <c r="F132" s="62">
        <v>0</v>
      </c>
      <c r="G132" s="62">
        <v>0</v>
      </c>
      <c r="H132" s="62">
        <v>900000</v>
      </c>
      <c r="I132" s="62">
        <v>4091672355</v>
      </c>
      <c r="J132" s="62">
        <v>8119663</v>
      </c>
      <c r="K132" s="62">
        <v>4590</v>
      </c>
      <c r="L132" s="62">
        <v>20959044437</v>
      </c>
      <c r="M132" s="62">
        <v>36981161843</v>
      </c>
      <c r="N132" s="63">
        <f t="shared" si="1"/>
        <v>3.4000551197156731E-3</v>
      </c>
    </row>
    <row r="133" spans="1:14" ht="26.25" customHeight="1">
      <c r="A133" s="62" t="s">
        <v>218</v>
      </c>
      <c r="B133" s="62">
        <v>4238313</v>
      </c>
      <c r="C133" s="62">
        <v>66079241712</v>
      </c>
      <c r="D133" s="62">
        <v>52148830422</v>
      </c>
      <c r="E133" s="62">
        <v>0</v>
      </c>
      <c r="F133" s="62">
        <v>0</v>
      </c>
      <c r="G133" s="62">
        <v>0</v>
      </c>
      <c r="H133" s="62">
        <v>100000</v>
      </c>
      <c r="I133" s="62">
        <v>1308671966</v>
      </c>
      <c r="J133" s="62">
        <v>4138313</v>
      </c>
      <c r="K133" s="62">
        <v>14190</v>
      </c>
      <c r="L133" s="62">
        <v>64520148702</v>
      </c>
      <c r="M133" s="62">
        <v>58268735297</v>
      </c>
      <c r="N133" s="63">
        <f t="shared" si="1"/>
        <v>5.3572387099953397E-3</v>
      </c>
    </row>
    <row r="134" spans="1:14" ht="26.25" customHeight="1">
      <c r="A134" s="62" t="s">
        <v>303</v>
      </c>
      <c r="B134" s="62">
        <v>7043843</v>
      </c>
      <c r="C134" s="62">
        <v>17962732742</v>
      </c>
      <c r="D134" s="62">
        <v>54377486048</v>
      </c>
      <c r="E134" s="62">
        <v>0</v>
      </c>
      <c r="F134" s="62">
        <v>0</v>
      </c>
      <c r="G134" s="62">
        <v>0</v>
      </c>
      <c r="H134" s="62">
        <v>0</v>
      </c>
      <c r="I134" s="62">
        <v>0</v>
      </c>
      <c r="J134" s="62">
        <v>7043843</v>
      </c>
      <c r="K134" s="62">
        <v>8050</v>
      </c>
      <c r="L134" s="62">
        <v>17962732742</v>
      </c>
      <c r="M134" s="62">
        <v>56264622454</v>
      </c>
      <c r="N134" s="63">
        <f t="shared" si="1"/>
        <v>5.1729801904480451E-3</v>
      </c>
    </row>
    <row r="135" spans="1:14" ht="26.25" customHeight="1">
      <c r="A135" s="62" t="s">
        <v>347</v>
      </c>
      <c r="B135" s="62">
        <v>3904663</v>
      </c>
      <c r="C135" s="62">
        <v>9704409400</v>
      </c>
      <c r="D135" s="62">
        <v>35374001989</v>
      </c>
      <c r="E135" s="62">
        <v>0</v>
      </c>
      <c r="F135" s="62">
        <v>0</v>
      </c>
      <c r="G135" s="62">
        <v>0</v>
      </c>
      <c r="H135" s="62">
        <v>0</v>
      </c>
      <c r="I135" s="62">
        <v>0</v>
      </c>
      <c r="J135" s="62">
        <v>3904663</v>
      </c>
      <c r="K135" s="62">
        <v>10680</v>
      </c>
      <c r="L135" s="62">
        <v>9704409400</v>
      </c>
      <c r="M135" s="62">
        <v>41379445920</v>
      </c>
      <c r="N135" s="63">
        <f t="shared" si="1"/>
        <v>3.8044342021646047E-3</v>
      </c>
    </row>
    <row r="136" spans="1:14" ht="26.25" customHeight="1">
      <c r="A136" s="62" t="s">
        <v>416</v>
      </c>
      <c r="B136" s="62">
        <v>1200163</v>
      </c>
      <c r="C136" s="62">
        <v>16198919272</v>
      </c>
      <c r="D136" s="62">
        <v>7609759879</v>
      </c>
      <c r="E136" s="62">
        <v>0</v>
      </c>
      <c r="F136" s="62">
        <v>0</v>
      </c>
      <c r="G136" s="62">
        <v>0</v>
      </c>
      <c r="H136" s="62">
        <v>0</v>
      </c>
      <c r="I136" s="62">
        <v>0</v>
      </c>
      <c r="J136" s="62">
        <v>1200163</v>
      </c>
      <c r="K136" s="62">
        <v>5540</v>
      </c>
      <c r="L136" s="62">
        <v>16198919272</v>
      </c>
      <c r="M136" s="62">
        <v>6597507000</v>
      </c>
      <c r="N136" s="63">
        <f t="shared" si="1"/>
        <v>6.0657606020985582E-4</v>
      </c>
    </row>
    <row r="137" spans="1:14" ht="26.25" customHeight="1">
      <c r="A137" s="62" t="s">
        <v>225</v>
      </c>
      <c r="B137" s="62">
        <v>5738492</v>
      </c>
      <c r="C137" s="62">
        <v>69425013036</v>
      </c>
      <c r="D137" s="62">
        <v>70037841519</v>
      </c>
      <c r="E137" s="62">
        <v>0</v>
      </c>
      <c r="F137" s="62">
        <v>0</v>
      </c>
      <c r="G137" s="62">
        <v>0</v>
      </c>
      <c r="H137" s="62">
        <v>943432</v>
      </c>
      <c r="I137" s="62">
        <v>15712557962</v>
      </c>
      <c r="J137" s="62">
        <v>4795060</v>
      </c>
      <c r="K137" s="62">
        <v>16990</v>
      </c>
      <c r="L137" s="62">
        <v>58011251564</v>
      </c>
      <c r="M137" s="62">
        <v>80838321224</v>
      </c>
      <c r="N137" s="63">
        <f t="shared" si="1"/>
        <v>7.4322907731712434E-3</v>
      </c>
    </row>
    <row r="138" spans="1:14" ht="26.25" customHeight="1">
      <c r="A138" s="62" t="s">
        <v>195</v>
      </c>
      <c r="B138" s="62">
        <v>204021</v>
      </c>
      <c r="C138" s="62">
        <v>5210406001</v>
      </c>
      <c r="D138" s="62">
        <v>12504960794</v>
      </c>
      <c r="E138" s="62">
        <v>0</v>
      </c>
      <c r="F138" s="62">
        <v>0</v>
      </c>
      <c r="G138" s="62">
        <v>0</v>
      </c>
      <c r="H138" s="62">
        <v>30000</v>
      </c>
      <c r="I138" s="62">
        <v>2020063267</v>
      </c>
      <c r="J138" s="62">
        <v>174021</v>
      </c>
      <c r="K138" s="62">
        <v>72140</v>
      </c>
      <c r="L138" s="62">
        <v>4444248694</v>
      </c>
      <c r="M138" s="62">
        <v>12456833487</v>
      </c>
      <c r="N138" s="63">
        <f t="shared" si="1"/>
        <v>1.1452836623340697E-3</v>
      </c>
    </row>
    <row r="139" spans="1:14" ht="26.25" customHeight="1">
      <c r="A139" s="62" t="s">
        <v>278</v>
      </c>
      <c r="B139" s="62">
        <v>4967900</v>
      </c>
      <c r="C139" s="62">
        <v>27318914165</v>
      </c>
      <c r="D139" s="62">
        <v>22133446617</v>
      </c>
      <c r="E139" s="62">
        <v>0</v>
      </c>
      <c r="F139" s="62">
        <v>0</v>
      </c>
      <c r="G139" s="62">
        <v>0</v>
      </c>
      <c r="H139" s="62">
        <v>0</v>
      </c>
      <c r="I139" s="62">
        <v>0</v>
      </c>
      <c r="J139" s="62">
        <v>4967900</v>
      </c>
      <c r="K139" s="62">
        <v>5660</v>
      </c>
      <c r="L139" s="62">
        <v>27318914165</v>
      </c>
      <c r="M139" s="62">
        <v>27900959433</v>
      </c>
      <c r="N139" s="63">
        <f t="shared" ref="N139:N202" si="2">M139/10876635978211</f>
        <v>2.5652195668673262E-3</v>
      </c>
    </row>
    <row r="140" spans="1:14" ht="26.25" customHeight="1">
      <c r="A140" s="62" t="s">
        <v>275</v>
      </c>
      <c r="B140" s="62">
        <v>25021276</v>
      </c>
      <c r="C140" s="62">
        <v>39331346955</v>
      </c>
      <c r="D140" s="62">
        <v>35454186274</v>
      </c>
      <c r="E140" s="62">
        <v>0</v>
      </c>
      <c r="F140" s="62">
        <v>0</v>
      </c>
      <c r="G140" s="62">
        <v>0</v>
      </c>
      <c r="H140" s="62">
        <v>0</v>
      </c>
      <c r="I140" s="62">
        <v>0</v>
      </c>
      <c r="J140" s="62">
        <v>25021276</v>
      </c>
      <c r="K140" s="62">
        <v>1811</v>
      </c>
      <c r="L140" s="62">
        <v>39331346955</v>
      </c>
      <c r="M140" s="62">
        <v>44963257243</v>
      </c>
      <c r="N140" s="63">
        <f t="shared" si="2"/>
        <v>4.1339305032433013E-3</v>
      </c>
    </row>
    <row r="141" spans="1:14" ht="26.25" customHeight="1">
      <c r="A141" s="62" t="s">
        <v>202</v>
      </c>
      <c r="B141" s="62">
        <v>9515801</v>
      </c>
      <c r="C141" s="62">
        <v>33634773041</v>
      </c>
      <c r="D141" s="62">
        <v>43528744187</v>
      </c>
      <c r="E141" s="62">
        <v>0</v>
      </c>
      <c r="F141" s="62">
        <v>0</v>
      </c>
      <c r="G141" s="62">
        <v>0</v>
      </c>
      <c r="H141" s="62">
        <v>0</v>
      </c>
      <c r="I141" s="62">
        <v>0</v>
      </c>
      <c r="J141" s="62">
        <v>9515801</v>
      </c>
      <c r="K141" s="62">
        <v>5150</v>
      </c>
      <c r="L141" s="62">
        <v>33634773041</v>
      </c>
      <c r="M141" s="62">
        <v>48627555870</v>
      </c>
      <c r="N141" s="63">
        <f t="shared" si="2"/>
        <v>4.4708268225042052E-3</v>
      </c>
    </row>
    <row r="142" spans="1:14" ht="26.25" customHeight="1">
      <c r="A142" s="62" t="s">
        <v>172</v>
      </c>
      <c r="B142" s="62">
        <v>5767758</v>
      </c>
      <c r="C142" s="62">
        <v>52412954875</v>
      </c>
      <c r="D142" s="62">
        <v>73485544282</v>
      </c>
      <c r="E142" s="62">
        <v>0</v>
      </c>
      <c r="F142" s="62">
        <v>0</v>
      </c>
      <c r="G142" s="62">
        <v>0</v>
      </c>
      <c r="H142" s="62">
        <v>100000</v>
      </c>
      <c r="I142" s="62">
        <v>1334603163</v>
      </c>
      <c r="J142" s="62">
        <v>5667758</v>
      </c>
      <c r="K142" s="62">
        <v>12750</v>
      </c>
      <c r="L142" s="62">
        <v>51504231678</v>
      </c>
      <c r="M142" s="62">
        <v>71705314441</v>
      </c>
      <c r="N142" s="63">
        <f t="shared" si="2"/>
        <v>6.5926003761315691E-3</v>
      </c>
    </row>
    <row r="143" spans="1:14" ht="26.25" customHeight="1">
      <c r="A143" s="62" t="s">
        <v>355</v>
      </c>
      <c r="B143" s="62">
        <v>8858150</v>
      </c>
      <c r="C143" s="62">
        <v>11344964033</v>
      </c>
      <c r="D143" s="62">
        <v>7031741200</v>
      </c>
      <c r="E143" s="62">
        <v>0</v>
      </c>
      <c r="F143" s="62">
        <v>0</v>
      </c>
      <c r="G143" s="62">
        <v>0</v>
      </c>
      <c r="H143" s="62">
        <v>0</v>
      </c>
      <c r="I143" s="62">
        <v>0</v>
      </c>
      <c r="J143" s="62">
        <v>8858150</v>
      </c>
      <c r="K143" s="62">
        <v>800</v>
      </c>
      <c r="L143" s="62">
        <v>11344964033</v>
      </c>
      <c r="M143" s="62">
        <v>7031741200</v>
      </c>
      <c r="N143" s="63">
        <f t="shared" si="2"/>
        <v>6.464996359248007E-4</v>
      </c>
    </row>
    <row r="144" spans="1:14" ht="26.25" customHeight="1">
      <c r="A144" s="62" t="s">
        <v>324</v>
      </c>
      <c r="B144" s="62">
        <v>13000000</v>
      </c>
      <c r="C144" s="62">
        <v>77636851559</v>
      </c>
      <c r="D144" s="62">
        <v>61659657800</v>
      </c>
      <c r="E144" s="62">
        <v>0</v>
      </c>
      <c r="F144" s="62">
        <v>0</v>
      </c>
      <c r="G144" s="62">
        <v>0</v>
      </c>
      <c r="H144" s="62">
        <v>0</v>
      </c>
      <c r="I144" s="62">
        <v>0</v>
      </c>
      <c r="J144" s="62">
        <v>13000000</v>
      </c>
      <c r="K144" s="62">
        <v>7010</v>
      </c>
      <c r="L144" s="62">
        <v>77636851559</v>
      </c>
      <c r="M144" s="62">
        <v>90425565100</v>
      </c>
      <c r="N144" s="63">
        <f t="shared" si="2"/>
        <v>8.3137438157485609E-3</v>
      </c>
    </row>
    <row r="145" spans="1:14" ht="26.25" customHeight="1">
      <c r="A145" s="62" t="s">
        <v>334</v>
      </c>
      <c r="B145" s="62">
        <v>5800000</v>
      </c>
      <c r="C145" s="62">
        <v>21338456733</v>
      </c>
      <c r="D145" s="62">
        <v>27221935180</v>
      </c>
      <c r="E145" s="62">
        <v>0</v>
      </c>
      <c r="F145" s="62">
        <v>0</v>
      </c>
      <c r="G145" s="62">
        <v>0</v>
      </c>
      <c r="H145" s="62">
        <v>0</v>
      </c>
      <c r="I145" s="62">
        <v>0</v>
      </c>
      <c r="J145" s="62">
        <v>5800000</v>
      </c>
      <c r="K145" s="62">
        <v>5360</v>
      </c>
      <c r="L145" s="62">
        <v>21338456733</v>
      </c>
      <c r="M145" s="62">
        <v>30847689760</v>
      </c>
      <c r="N145" s="63">
        <f t="shared" si="2"/>
        <v>2.8361425188630665E-3</v>
      </c>
    </row>
    <row r="146" spans="1:14" ht="26.25" customHeight="1">
      <c r="A146" s="62" t="s">
        <v>190</v>
      </c>
      <c r="B146" s="62">
        <v>5729478</v>
      </c>
      <c r="C146" s="62">
        <v>11625693660</v>
      </c>
      <c r="D146" s="62">
        <v>7419171821</v>
      </c>
      <c r="E146" s="62">
        <v>0</v>
      </c>
      <c r="F146" s="62">
        <v>0</v>
      </c>
      <c r="G146" s="62">
        <v>0</v>
      </c>
      <c r="H146" s="62">
        <v>1000000</v>
      </c>
      <c r="I146" s="62">
        <v>2259491241</v>
      </c>
      <c r="J146" s="62">
        <v>4729478</v>
      </c>
      <c r="K146" s="62">
        <v>2533</v>
      </c>
      <c r="L146" s="62">
        <v>9596591941</v>
      </c>
      <c r="M146" s="62">
        <v>11887164169</v>
      </c>
      <c r="N146" s="63">
        <f t="shared" si="2"/>
        <v>1.0929081558685402E-3</v>
      </c>
    </row>
    <row r="147" spans="1:14" ht="26.25" customHeight="1">
      <c r="A147" s="62" t="s">
        <v>189</v>
      </c>
      <c r="B147" s="62">
        <v>25300000</v>
      </c>
      <c r="C147" s="62">
        <v>68642812826</v>
      </c>
      <c r="D147" s="62">
        <v>81338356440</v>
      </c>
      <c r="E147" s="62">
        <v>0</v>
      </c>
      <c r="F147" s="62">
        <v>0</v>
      </c>
      <c r="G147" s="62">
        <v>0</v>
      </c>
      <c r="H147" s="62">
        <v>0</v>
      </c>
      <c r="I147" s="62">
        <v>0</v>
      </c>
      <c r="J147" s="62">
        <v>25300000</v>
      </c>
      <c r="K147" s="62">
        <v>3190</v>
      </c>
      <c r="L147" s="62">
        <v>68642812826</v>
      </c>
      <c r="M147" s="62">
        <v>80083134890</v>
      </c>
      <c r="N147" s="63">
        <f t="shared" si="2"/>
        <v>7.3628587966379794E-3</v>
      </c>
    </row>
    <row r="148" spans="1:14" ht="26.25" customHeight="1">
      <c r="A148" s="62" t="s">
        <v>205</v>
      </c>
      <c r="B148" s="62">
        <v>23989450</v>
      </c>
      <c r="C148" s="62">
        <v>25066741703</v>
      </c>
      <c r="D148" s="62">
        <v>56748763539</v>
      </c>
      <c r="E148" s="62">
        <v>3183340</v>
      </c>
      <c r="F148" s="62">
        <v>0</v>
      </c>
      <c r="G148" s="62">
        <v>0</v>
      </c>
      <c r="H148" s="62">
        <v>3000000</v>
      </c>
      <c r="I148" s="62">
        <v>7243571075</v>
      </c>
      <c r="J148" s="62">
        <v>24172790</v>
      </c>
      <c r="K148" s="62">
        <v>2183</v>
      </c>
      <c r="L148" s="62">
        <v>21932021019</v>
      </c>
      <c r="M148" s="62">
        <v>52361294650</v>
      </c>
      <c r="N148" s="63">
        <f t="shared" si="2"/>
        <v>4.8141074827634748E-3</v>
      </c>
    </row>
    <row r="149" spans="1:14" ht="26.25" customHeight="1">
      <c r="A149" s="62" t="s">
        <v>175</v>
      </c>
      <c r="B149" s="62">
        <v>14809541</v>
      </c>
      <c r="C149" s="62">
        <v>17031365939</v>
      </c>
      <c r="D149" s="62">
        <v>24408500055</v>
      </c>
      <c r="E149" s="62">
        <v>0</v>
      </c>
      <c r="F149" s="62">
        <v>0</v>
      </c>
      <c r="G149" s="62">
        <v>0</v>
      </c>
      <c r="H149" s="62">
        <v>4000000</v>
      </c>
      <c r="I149" s="62">
        <v>8207414768</v>
      </c>
      <c r="J149" s="62">
        <v>10809541</v>
      </c>
      <c r="K149" s="62">
        <v>2065</v>
      </c>
      <c r="L149" s="62">
        <v>12431259578</v>
      </c>
      <c r="M149" s="62">
        <v>22149155407</v>
      </c>
      <c r="N149" s="63">
        <f t="shared" si="2"/>
        <v>2.0363976004502743E-3</v>
      </c>
    </row>
    <row r="150" spans="1:14" ht="26.25" customHeight="1">
      <c r="A150" s="62" t="s">
        <v>203</v>
      </c>
      <c r="B150" s="62">
        <v>2447708</v>
      </c>
      <c r="C150" s="62">
        <v>19401041613</v>
      </c>
      <c r="D150" s="62">
        <v>23122054307</v>
      </c>
      <c r="E150" s="62">
        <v>0</v>
      </c>
      <c r="F150" s="62">
        <v>0</v>
      </c>
      <c r="G150" s="62">
        <v>0</v>
      </c>
      <c r="H150" s="62">
        <v>100000</v>
      </c>
      <c r="I150" s="62">
        <v>1108365593</v>
      </c>
      <c r="J150" s="62">
        <v>2347708</v>
      </c>
      <c r="K150" s="62">
        <v>11860</v>
      </c>
      <c r="L150" s="62">
        <v>18608420859</v>
      </c>
      <c r="M150" s="62">
        <v>27628584176</v>
      </c>
      <c r="N150" s="63">
        <f t="shared" si="2"/>
        <v>2.5401773334464742E-3</v>
      </c>
    </row>
    <row r="151" spans="1:14" ht="26.25" customHeight="1">
      <c r="A151" s="62" t="s">
        <v>232</v>
      </c>
      <c r="B151" s="62">
        <v>2367583</v>
      </c>
      <c r="C151" s="62">
        <v>25465310688</v>
      </c>
      <c r="D151" s="62">
        <v>42592475107</v>
      </c>
      <c r="E151" s="62">
        <v>0</v>
      </c>
      <c r="F151" s="62">
        <v>0</v>
      </c>
      <c r="G151" s="62">
        <v>0</v>
      </c>
      <c r="H151" s="62">
        <v>100000</v>
      </c>
      <c r="I151" s="62">
        <v>2429076968</v>
      </c>
      <c r="J151" s="62">
        <v>2267583</v>
      </c>
      <c r="K151" s="62">
        <v>25480</v>
      </c>
      <c r="L151" s="62">
        <v>24389728092</v>
      </c>
      <c r="M151" s="62">
        <v>57331390785</v>
      </c>
      <c r="N151" s="63">
        <f t="shared" si="2"/>
        <v>5.2710590756049119E-3</v>
      </c>
    </row>
    <row r="152" spans="1:14" ht="26.25" customHeight="1">
      <c r="A152" s="62" t="s">
        <v>215</v>
      </c>
      <c r="B152" s="62">
        <v>4374516</v>
      </c>
      <c r="C152" s="62">
        <v>22219858996</v>
      </c>
      <c r="D152" s="62">
        <v>30428313949</v>
      </c>
      <c r="E152" s="62">
        <v>0</v>
      </c>
      <c r="F152" s="62">
        <v>0</v>
      </c>
      <c r="G152" s="62">
        <v>0</v>
      </c>
      <c r="H152" s="62">
        <v>0</v>
      </c>
      <c r="I152" s="62">
        <v>0</v>
      </c>
      <c r="J152" s="62">
        <v>4374516</v>
      </c>
      <c r="K152" s="62">
        <v>9690</v>
      </c>
      <c r="L152" s="62">
        <v>22219858996</v>
      </c>
      <c r="M152" s="62">
        <v>42061392606</v>
      </c>
      <c r="N152" s="63">
        <f t="shared" si="2"/>
        <v>3.8671325113997517E-3</v>
      </c>
    </row>
    <row r="153" spans="1:14" ht="26.25" customHeight="1">
      <c r="A153" s="62" t="s">
        <v>258</v>
      </c>
      <c r="B153" s="62">
        <v>1753083</v>
      </c>
      <c r="C153" s="62">
        <v>23044428513</v>
      </c>
      <c r="D153" s="62">
        <v>24736140325</v>
      </c>
      <c r="E153" s="62">
        <v>0</v>
      </c>
      <c r="F153" s="62">
        <v>0</v>
      </c>
      <c r="G153" s="62">
        <v>0</v>
      </c>
      <c r="H153" s="62">
        <v>514370</v>
      </c>
      <c r="I153" s="62">
        <v>8597344350</v>
      </c>
      <c r="J153" s="62">
        <v>1238713</v>
      </c>
      <c r="K153" s="62">
        <v>16900</v>
      </c>
      <c r="L153" s="62">
        <v>16282990125</v>
      </c>
      <c r="M153" s="62">
        <v>20772427950</v>
      </c>
      <c r="N153" s="63">
        <f t="shared" si="2"/>
        <v>1.9098210137411136E-3</v>
      </c>
    </row>
    <row r="154" spans="1:14" ht="26.25" customHeight="1">
      <c r="A154" s="62" t="s">
        <v>178</v>
      </c>
      <c r="B154" s="62">
        <v>8977144</v>
      </c>
      <c r="C154" s="62">
        <v>25448333106</v>
      </c>
      <c r="D154" s="62">
        <v>33047755011</v>
      </c>
      <c r="E154" s="62">
        <v>0</v>
      </c>
      <c r="F154" s="62">
        <v>0</v>
      </c>
      <c r="G154" s="62">
        <v>0</v>
      </c>
      <c r="H154" s="62">
        <v>1200000</v>
      </c>
      <c r="I154" s="62">
        <v>6310837232</v>
      </c>
      <c r="J154" s="62">
        <v>7777144</v>
      </c>
      <c r="K154" s="62">
        <v>5450</v>
      </c>
      <c r="L154" s="62">
        <v>22046583092</v>
      </c>
      <c r="M154" s="62">
        <v>42057795389</v>
      </c>
      <c r="N154" s="63">
        <f t="shared" si="2"/>
        <v>3.8668017825781559E-3</v>
      </c>
    </row>
    <row r="155" spans="1:14" ht="26.25" customHeight="1">
      <c r="A155" s="62" t="s">
        <v>212</v>
      </c>
      <c r="B155" s="62">
        <v>10684873</v>
      </c>
      <c r="C155" s="62">
        <v>20039466760</v>
      </c>
      <c r="D155" s="62">
        <v>70081063739</v>
      </c>
      <c r="E155" s="62">
        <v>0</v>
      </c>
      <c r="F155" s="62">
        <v>0</v>
      </c>
      <c r="G155" s="62">
        <v>0</v>
      </c>
      <c r="H155" s="62">
        <v>1200000</v>
      </c>
      <c r="I155" s="62">
        <v>7810205715</v>
      </c>
      <c r="J155" s="62">
        <v>9484873</v>
      </c>
      <c r="K155" s="62">
        <v>9130</v>
      </c>
      <c r="L155" s="62">
        <v>17788868170</v>
      </c>
      <c r="M155" s="62">
        <v>85927496527</v>
      </c>
      <c r="N155" s="63">
        <f t="shared" si="2"/>
        <v>7.9001905275801493E-3</v>
      </c>
    </row>
    <row r="156" spans="1:14" ht="26.25" customHeight="1">
      <c r="A156" s="62" t="s">
        <v>147</v>
      </c>
      <c r="B156" s="62">
        <v>19865640</v>
      </c>
      <c r="C156" s="62">
        <v>85560129403</v>
      </c>
      <c r="D156" s="62">
        <v>97377668298</v>
      </c>
      <c r="E156" s="62">
        <v>0</v>
      </c>
      <c r="F156" s="62">
        <v>0</v>
      </c>
      <c r="G156" s="62">
        <v>0</v>
      </c>
      <c r="H156" s="62">
        <v>2700000</v>
      </c>
      <c r="I156" s="62">
        <v>16515357965</v>
      </c>
      <c r="J156" s="62">
        <v>17165640</v>
      </c>
      <c r="K156" s="62">
        <v>6230</v>
      </c>
      <c r="L156" s="62">
        <v>73931390062</v>
      </c>
      <c r="M156" s="62">
        <v>106115276025</v>
      </c>
      <c r="N156" s="63">
        <f t="shared" si="2"/>
        <v>9.7562588503999886E-3</v>
      </c>
    </row>
    <row r="157" spans="1:14" ht="26.25" customHeight="1">
      <c r="A157" s="62" t="s">
        <v>161</v>
      </c>
      <c r="B157" s="62">
        <v>45293355</v>
      </c>
      <c r="C157" s="62">
        <v>72992415847</v>
      </c>
      <c r="D157" s="62">
        <v>83684307975</v>
      </c>
      <c r="E157" s="62">
        <v>0</v>
      </c>
      <c r="F157" s="62">
        <v>0</v>
      </c>
      <c r="G157" s="62">
        <v>0</v>
      </c>
      <c r="H157" s="62">
        <v>1324711</v>
      </c>
      <c r="I157" s="62">
        <v>2930910563</v>
      </c>
      <c r="J157" s="62">
        <v>43968644</v>
      </c>
      <c r="K157" s="62">
        <v>2302</v>
      </c>
      <c r="L157" s="62">
        <v>70857580479</v>
      </c>
      <c r="M157" s="62">
        <v>100433420211</v>
      </c>
      <c r="N157" s="63">
        <f t="shared" si="2"/>
        <v>9.233867936023302E-3</v>
      </c>
    </row>
    <row r="158" spans="1:14" ht="26.25" customHeight="1">
      <c r="A158" s="62" t="s">
        <v>230</v>
      </c>
      <c r="B158" s="62">
        <v>3240260</v>
      </c>
      <c r="C158" s="62">
        <v>26802732066</v>
      </c>
      <c r="D158" s="62">
        <v>52504424864</v>
      </c>
      <c r="E158" s="62">
        <v>0</v>
      </c>
      <c r="F158" s="62">
        <v>0</v>
      </c>
      <c r="G158" s="62">
        <v>0</v>
      </c>
      <c r="H158" s="62">
        <v>0</v>
      </c>
      <c r="I158" s="62">
        <v>0</v>
      </c>
      <c r="J158" s="62">
        <v>3240260</v>
      </c>
      <c r="K158" s="62">
        <v>19450</v>
      </c>
      <c r="L158" s="62">
        <v>26802732066</v>
      </c>
      <c r="M158" s="62">
        <v>62535888769</v>
      </c>
      <c r="N158" s="63">
        <f t="shared" si="2"/>
        <v>5.7495616194453139E-3</v>
      </c>
    </row>
    <row r="159" spans="1:14" ht="26.25" customHeight="1">
      <c r="A159" s="62" t="s">
        <v>168</v>
      </c>
      <c r="B159" s="62">
        <v>1962852</v>
      </c>
      <c r="C159" s="62">
        <v>30528909389</v>
      </c>
      <c r="D159" s="62">
        <v>46666392531</v>
      </c>
      <c r="E159" s="62">
        <v>0</v>
      </c>
      <c r="F159" s="62">
        <v>0</v>
      </c>
      <c r="G159" s="62">
        <v>0</v>
      </c>
      <c r="H159" s="62">
        <v>600000</v>
      </c>
      <c r="I159" s="62">
        <v>16036199428</v>
      </c>
      <c r="J159" s="62">
        <v>1362852</v>
      </c>
      <c r="K159" s="62">
        <v>29390</v>
      </c>
      <c r="L159" s="62">
        <v>21196903902</v>
      </c>
      <c r="M159" s="62">
        <v>39744601157</v>
      </c>
      <c r="N159" s="63">
        <f t="shared" si="2"/>
        <v>3.6541262607868606E-3</v>
      </c>
    </row>
    <row r="160" spans="1:14" ht="26.25" customHeight="1">
      <c r="A160" s="62" t="s">
        <v>289</v>
      </c>
      <c r="B160" s="62">
        <v>4684284</v>
      </c>
      <c r="C160" s="62">
        <v>39180147829</v>
      </c>
      <c r="D160" s="62">
        <v>43598938666</v>
      </c>
      <c r="E160" s="62">
        <v>0</v>
      </c>
      <c r="F160" s="62">
        <v>0</v>
      </c>
      <c r="G160" s="62">
        <v>0</v>
      </c>
      <c r="H160" s="62">
        <v>0</v>
      </c>
      <c r="I160" s="62">
        <v>0</v>
      </c>
      <c r="J160" s="62">
        <v>4684284</v>
      </c>
      <c r="K160" s="62">
        <v>13450</v>
      </c>
      <c r="L160" s="62">
        <v>39180147829</v>
      </c>
      <c r="M160" s="62">
        <v>62516601819</v>
      </c>
      <c r="N160" s="63">
        <f t="shared" si="2"/>
        <v>5.7477883735594865E-3</v>
      </c>
    </row>
    <row r="161" spans="1:14" ht="26.25" customHeight="1">
      <c r="A161" s="62" t="s">
        <v>294</v>
      </c>
      <c r="B161" s="62">
        <v>2202712</v>
      </c>
      <c r="C161" s="62">
        <v>11077132377</v>
      </c>
      <c r="D161" s="62">
        <v>14622232892</v>
      </c>
      <c r="E161" s="62">
        <v>0</v>
      </c>
      <c r="F161" s="62">
        <v>0</v>
      </c>
      <c r="G161" s="62">
        <v>0</v>
      </c>
      <c r="H161" s="62">
        <v>0</v>
      </c>
      <c r="I161" s="62">
        <v>0</v>
      </c>
      <c r="J161" s="62">
        <v>2202712</v>
      </c>
      <c r="K161" s="62">
        <v>8590</v>
      </c>
      <c r="L161" s="62">
        <v>11077132377</v>
      </c>
      <c r="M161" s="62">
        <v>18775034461</v>
      </c>
      <c r="N161" s="63">
        <f t="shared" si="2"/>
        <v>1.7261802728906017E-3</v>
      </c>
    </row>
    <row r="162" spans="1:14" ht="26.25" customHeight="1">
      <c r="A162" s="62" t="s">
        <v>353</v>
      </c>
      <c r="B162" s="62">
        <v>5768835</v>
      </c>
      <c r="C162" s="62">
        <v>37503086811</v>
      </c>
      <c r="D162" s="62">
        <v>36005481585</v>
      </c>
      <c r="E162" s="62">
        <v>0</v>
      </c>
      <c r="F162" s="62">
        <v>0</v>
      </c>
      <c r="G162" s="62">
        <v>0</v>
      </c>
      <c r="H162" s="62">
        <v>0</v>
      </c>
      <c r="I162" s="62">
        <v>0</v>
      </c>
      <c r="J162" s="62">
        <v>5768835</v>
      </c>
      <c r="K162" s="62">
        <v>8170</v>
      </c>
      <c r="L162" s="62">
        <v>37503086811</v>
      </c>
      <c r="M162" s="62">
        <v>46767056368</v>
      </c>
      <c r="N162" s="63">
        <f t="shared" si="2"/>
        <v>4.2997721411002204E-3</v>
      </c>
    </row>
    <row r="163" spans="1:14" ht="26.25" customHeight="1">
      <c r="A163" s="62" t="s">
        <v>132</v>
      </c>
      <c r="B163" s="62">
        <v>1764830</v>
      </c>
      <c r="C163" s="62">
        <v>16756051992</v>
      </c>
      <c r="D163" s="62">
        <v>32116785428</v>
      </c>
      <c r="E163" s="62">
        <v>0</v>
      </c>
      <c r="F163" s="62">
        <v>0</v>
      </c>
      <c r="G163" s="62">
        <v>0</v>
      </c>
      <c r="H163" s="62">
        <v>100000</v>
      </c>
      <c r="I163" s="62">
        <v>2248148675</v>
      </c>
      <c r="J163" s="62">
        <v>1664830</v>
      </c>
      <c r="K163" s="62">
        <v>22090</v>
      </c>
      <c r="L163" s="62">
        <v>15806609157</v>
      </c>
      <c r="M163" s="62">
        <v>36491815488</v>
      </c>
      <c r="N163" s="63">
        <f t="shared" si="2"/>
        <v>3.3550645218892589E-3</v>
      </c>
    </row>
    <row r="164" spans="1:14" ht="26.25" customHeight="1">
      <c r="A164" s="62" t="s">
        <v>253</v>
      </c>
      <c r="B164" s="62">
        <v>4000000</v>
      </c>
      <c r="C164" s="62">
        <v>22979298202</v>
      </c>
      <c r="D164" s="62">
        <v>44215551200</v>
      </c>
      <c r="E164" s="62">
        <v>0</v>
      </c>
      <c r="F164" s="62">
        <v>0</v>
      </c>
      <c r="G164" s="62">
        <v>0</v>
      </c>
      <c r="H164" s="62">
        <v>900000</v>
      </c>
      <c r="I164" s="62">
        <v>12163245718</v>
      </c>
      <c r="J164" s="62">
        <v>3100000</v>
      </c>
      <c r="K164" s="62">
        <v>13860</v>
      </c>
      <c r="L164" s="62">
        <v>17808956107</v>
      </c>
      <c r="M164" s="62">
        <v>42633872820</v>
      </c>
      <c r="N164" s="63">
        <f t="shared" si="2"/>
        <v>3.9197664521831745E-3</v>
      </c>
    </row>
    <row r="165" spans="1:14" ht="26.25" customHeight="1">
      <c r="A165" s="62" t="s">
        <v>158</v>
      </c>
      <c r="B165" s="62">
        <v>7941110</v>
      </c>
      <c r="C165" s="62">
        <v>37617583814</v>
      </c>
      <c r="D165" s="62">
        <v>64062166036</v>
      </c>
      <c r="E165" s="62">
        <v>0</v>
      </c>
      <c r="F165" s="62">
        <v>0</v>
      </c>
      <c r="G165" s="62">
        <v>0</v>
      </c>
      <c r="H165" s="62">
        <v>600000</v>
      </c>
      <c r="I165" s="62">
        <v>6892307456</v>
      </c>
      <c r="J165" s="62">
        <v>7341110</v>
      </c>
      <c r="K165" s="62">
        <v>11850</v>
      </c>
      <c r="L165" s="62">
        <v>34775342579</v>
      </c>
      <c r="M165" s="62">
        <v>86319704153</v>
      </c>
      <c r="N165" s="63">
        <f t="shared" si="2"/>
        <v>7.9362501720130155E-3</v>
      </c>
    </row>
    <row r="166" spans="1:14" ht="26.25" customHeight="1">
      <c r="A166" s="62" t="s">
        <v>206</v>
      </c>
      <c r="B166" s="62">
        <v>2141672</v>
      </c>
      <c r="C166" s="62">
        <v>4306799190</v>
      </c>
      <c r="D166" s="62">
        <v>15067078647</v>
      </c>
      <c r="E166" s="62">
        <v>0</v>
      </c>
      <c r="F166" s="62">
        <v>0</v>
      </c>
      <c r="G166" s="62">
        <v>0</v>
      </c>
      <c r="H166" s="62">
        <v>2141672</v>
      </c>
      <c r="I166" s="62">
        <v>16703798577</v>
      </c>
      <c r="J166" s="62">
        <v>0</v>
      </c>
      <c r="K166" s="62">
        <v>0</v>
      </c>
      <c r="L166" s="62">
        <v>0</v>
      </c>
      <c r="M166" s="62">
        <v>0</v>
      </c>
      <c r="N166" s="63">
        <f t="shared" si="2"/>
        <v>0</v>
      </c>
    </row>
    <row r="167" spans="1:14" ht="26.25" customHeight="1">
      <c r="A167" s="62" t="s">
        <v>204</v>
      </c>
      <c r="B167" s="62">
        <v>13516623</v>
      </c>
      <c r="C167" s="62">
        <v>15523896993</v>
      </c>
      <c r="D167" s="62">
        <v>23685838364</v>
      </c>
      <c r="E167" s="62">
        <v>0</v>
      </c>
      <c r="F167" s="62">
        <v>0</v>
      </c>
      <c r="G167" s="62">
        <v>0</v>
      </c>
      <c r="H167" s="62">
        <v>0</v>
      </c>
      <c r="I167" s="62">
        <v>0</v>
      </c>
      <c r="J167" s="62">
        <v>13516623</v>
      </c>
      <c r="K167" s="62">
        <v>2225</v>
      </c>
      <c r="L167" s="62">
        <v>15523896993</v>
      </c>
      <c r="M167" s="62">
        <v>29842010397</v>
      </c>
      <c r="N167" s="63">
        <f t="shared" si="2"/>
        <v>2.7436801651523545E-3</v>
      </c>
    </row>
    <row r="168" spans="1:14" ht="26.25" customHeight="1">
      <c r="A168" s="62" t="s">
        <v>304</v>
      </c>
      <c r="B168" s="62">
        <v>2451893</v>
      </c>
      <c r="C168" s="62">
        <v>14817650768</v>
      </c>
      <c r="D168" s="62">
        <v>17322531854</v>
      </c>
      <c r="E168" s="62">
        <v>0</v>
      </c>
      <c r="F168" s="62">
        <v>0</v>
      </c>
      <c r="G168" s="62">
        <v>0</v>
      </c>
      <c r="H168" s="62">
        <v>0</v>
      </c>
      <c r="I168" s="62">
        <v>0</v>
      </c>
      <c r="J168" s="62">
        <v>2451893</v>
      </c>
      <c r="K168" s="62">
        <v>8080</v>
      </c>
      <c r="L168" s="62">
        <v>14817650768</v>
      </c>
      <c r="M168" s="62">
        <v>19658154126</v>
      </c>
      <c r="N168" s="63">
        <f t="shared" si="2"/>
        <v>1.8073744644374311E-3</v>
      </c>
    </row>
    <row r="169" spans="1:14" ht="26.25" customHeight="1">
      <c r="A169" s="62" t="s">
        <v>155</v>
      </c>
      <c r="B169" s="62">
        <v>15767933</v>
      </c>
      <c r="C169" s="62">
        <v>90695928930</v>
      </c>
      <c r="D169" s="62">
        <v>85896797360</v>
      </c>
      <c r="E169" s="62">
        <v>0</v>
      </c>
      <c r="F169" s="62">
        <v>0</v>
      </c>
      <c r="G169" s="62">
        <v>0</v>
      </c>
      <c r="H169" s="62">
        <v>0</v>
      </c>
      <c r="I169" s="62">
        <v>0</v>
      </c>
      <c r="J169" s="62">
        <v>15767933</v>
      </c>
      <c r="K169" s="62">
        <v>6790</v>
      </c>
      <c r="L169" s="62">
        <v>90695928930</v>
      </c>
      <c r="M169" s="62">
        <v>106236658301</v>
      </c>
      <c r="N169" s="63">
        <f t="shared" si="2"/>
        <v>9.7674187601591422E-3</v>
      </c>
    </row>
    <row r="170" spans="1:14" ht="26.25" customHeight="1">
      <c r="A170" s="62" t="s">
        <v>145</v>
      </c>
      <c r="B170" s="62">
        <v>2152500</v>
      </c>
      <c r="C170" s="62">
        <v>28976081453</v>
      </c>
      <c r="D170" s="62">
        <v>33191282659</v>
      </c>
      <c r="E170" s="62">
        <v>0</v>
      </c>
      <c r="F170" s="62">
        <v>0</v>
      </c>
      <c r="G170" s="62">
        <v>0</v>
      </c>
      <c r="H170" s="62">
        <v>300000</v>
      </c>
      <c r="I170" s="62">
        <v>5227278397</v>
      </c>
      <c r="J170" s="62">
        <v>1852500</v>
      </c>
      <c r="K170" s="62">
        <v>19170</v>
      </c>
      <c r="L170" s="62">
        <v>24937603202</v>
      </c>
      <c r="M170" s="62">
        <v>35237913955</v>
      </c>
      <c r="N170" s="63">
        <f t="shared" si="2"/>
        <v>3.2397805742135325E-3</v>
      </c>
    </row>
    <row r="171" spans="1:14" ht="26.25" customHeight="1">
      <c r="A171" s="62" t="s">
        <v>242</v>
      </c>
      <c r="B171" s="62">
        <v>6818151</v>
      </c>
      <c r="C171" s="62">
        <v>26252077017</v>
      </c>
      <c r="D171" s="62">
        <v>38563046149</v>
      </c>
      <c r="E171" s="62">
        <v>0</v>
      </c>
      <c r="F171" s="62">
        <v>0</v>
      </c>
      <c r="G171" s="62">
        <v>0</v>
      </c>
      <c r="H171" s="62">
        <v>0</v>
      </c>
      <c r="I171" s="62">
        <v>0</v>
      </c>
      <c r="J171" s="62">
        <v>6818151</v>
      </c>
      <c r="K171" s="62">
        <v>7820</v>
      </c>
      <c r="L171" s="62">
        <v>26252077017</v>
      </c>
      <c r="M171" s="62">
        <v>52905793137</v>
      </c>
      <c r="N171" s="63">
        <f t="shared" si="2"/>
        <v>4.8641687781944137E-3</v>
      </c>
    </row>
    <row r="172" spans="1:14" ht="26.25" customHeight="1">
      <c r="A172" s="62" t="s">
        <v>310</v>
      </c>
      <c r="B172" s="62">
        <v>1256499</v>
      </c>
      <c r="C172" s="62">
        <v>8314819804</v>
      </c>
      <c r="D172" s="62">
        <v>7742542692</v>
      </c>
      <c r="E172" s="62">
        <v>0</v>
      </c>
      <c r="F172" s="62">
        <v>0</v>
      </c>
      <c r="G172" s="62">
        <v>0</v>
      </c>
      <c r="H172" s="62">
        <v>0</v>
      </c>
      <c r="I172" s="62">
        <v>0</v>
      </c>
      <c r="J172" s="62">
        <v>1256499</v>
      </c>
      <c r="K172" s="62">
        <v>7900</v>
      </c>
      <c r="L172" s="62">
        <v>8314819804</v>
      </c>
      <c r="M172" s="62">
        <v>9849611476</v>
      </c>
      <c r="N172" s="63">
        <f t="shared" si="2"/>
        <v>9.0557517009225803E-4</v>
      </c>
    </row>
    <row r="173" spans="1:14" ht="26.25" customHeight="1">
      <c r="A173" s="62" t="s">
        <v>363</v>
      </c>
      <c r="B173" s="62">
        <v>700000</v>
      </c>
      <c r="C173" s="62">
        <v>9143294580</v>
      </c>
      <c r="D173" s="62">
        <v>19135926950</v>
      </c>
      <c r="E173" s="62">
        <v>0</v>
      </c>
      <c r="F173" s="62">
        <v>0</v>
      </c>
      <c r="G173" s="62">
        <v>0</v>
      </c>
      <c r="H173" s="62">
        <v>0</v>
      </c>
      <c r="I173" s="62">
        <v>0</v>
      </c>
      <c r="J173" s="62">
        <v>700000</v>
      </c>
      <c r="K173" s="62">
        <v>38110</v>
      </c>
      <c r="L173" s="62">
        <v>9143294580</v>
      </c>
      <c r="M173" s="62">
        <v>26470786790</v>
      </c>
      <c r="N173" s="63">
        <f t="shared" si="2"/>
        <v>2.4337292194965914E-3</v>
      </c>
    </row>
    <row r="174" spans="1:14" ht="26.25" customHeight="1">
      <c r="A174" s="62" t="s">
        <v>336</v>
      </c>
      <c r="B174" s="62">
        <v>7979362</v>
      </c>
      <c r="C174" s="62">
        <v>38034069803</v>
      </c>
      <c r="D174" s="62">
        <v>37767340906</v>
      </c>
      <c r="E174" s="62">
        <v>0</v>
      </c>
      <c r="F174" s="62">
        <v>0</v>
      </c>
      <c r="G174" s="62">
        <v>0</v>
      </c>
      <c r="H174" s="62">
        <v>0</v>
      </c>
      <c r="I174" s="62">
        <v>0</v>
      </c>
      <c r="J174" s="62">
        <v>7979362</v>
      </c>
      <c r="K174" s="62">
        <v>7460</v>
      </c>
      <c r="L174" s="62">
        <v>38034069803</v>
      </c>
      <c r="M174" s="62">
        <v>59065904227</v>
      </c>
      <c r="N174" s="63">
        <f t="shared" si="2"/>
        <v>5.4305305744649203E-3</v>
      </c>
    </row>
    <row r="175" spans="1:14" ht="26.25" customHeight="1">
      <c r="A175" s="62" t="s">
        <v>156</v>
      </c>
      <c r="B175" s="62">
        <v>893618</v>
      </c>
      <c r="C175" s="62">
        <v>6257308469</v>
      </c>
      <c r="D175" s="62">
        <v>18150960514</v>
      </c>
      <c r="E175" s="62">
        <v>331915</v>
      </c>
      <c r="F175" s="62">
        <v>0</v>
      </c>
      <c r="G175" s="62">
        <v>0</v>
      </c>
      <c r="H175" s="62">
        <v>0</v>
      </c>
      <c r="I175" s="62">
        <v>0</v>
      </c>
      <c r="J175" s="62">
        <v>1225533</v>
      </c>
      <c r="K175" s="62">
        <v>19250</v>
      </c>
      <c r="L175" s="62">
        <v>6257308469</v>
      </c>
      <c r="M175" s="62">
        <v>23409147876</v>
      </c>
      <c r="N175" s="63">
        <f t="shared" si="2"/>
        <v>2.1522415499512157E-3</v>
      </c>
    </row>
    <row r="176" spans="1:14" ht="26.25" customHeight="1">
      <c r="A176" s="62" t="s">
        <v>126</v>
      </c>
      <c r="B176" s="62">
        <v>13385383</v>
      </c>
      <c r="C176" s="62">
        <v>62534017983</v>
      </c>
      <c r="D176" s="62">
        <v>93106217066</v>
      </c>
      <c r="E176" s="62">
        <v>0</v>
      </c>
      <c r="F176" s="62">
        <v>0</v>
      </c>
      <c r="G176" s="62">
        <v>0</v>
      </c>
      <c r="H176" s="62">
        <v>2100000</v>
      </c>
      <c r="I176" s="62">
        <v>15411152580</v>
      </c>
      <c r="J176" s="62">
        <v>11285383</v>
      </c>
      <c r="K176" s="62">
        <v>8620</v>
      </c>
      <c r="L176" s="62">
        <v>52723208852</v>
      </c>
      <c r="M176" s="62">
        <v>96528027049</v>
      </c>
      <c r="N176" s="63">
        <f t="shared" si="2"/>
        <v>8.874805338927691E-3</v>
      </c>
    </row>
    <row r="177" spans="1:14" ht="26.25" customHeight="1">
      <c r="A177" s="62" t="s">
        <v>298</v>
      </c>
      <c r="B177" s="62">
        <v>2470314</v>
      </c>
      <c r="C177" s="62">
        <v>12048248970</v>
      </c>
      <c r="D177" s="62">
        <v>43239493860</v>
      </c>
      <c r="E177" s="62">
        <v>0</v>
      </c>
      <c r="F177" s="62">
        <v>0</v>
      </c>
      <c r="G177" s="62">
        <v>0</v>
      </c>
      <c r="H177" s="62">
        <v>0</v>
      </c>
      <c r="I177" s="62">
        <v>0</v>
      </c>
      <c r="J177" s="62">
        <v>2470314</v>
      </c>
      <c r="K177" s="62">
        <v>18450</v>
      </c>
      <c r="L177" s="62">
        <v>12048248970</v>
      </c>
      <c r="M177" s="62">
        <v>45224980823</v>
      </c>
      <c r="N177" s="63">
        <f t="shared" si="2"/>
        <v>4.1579934194357999E-3</v>
      </c>
    </row>
    <row r="178" spans="1:14" ht="26.25" customHeight="1">
      <c r="A178" s="62" t="s">
        <v>287</v>
      </c>
      <c r="B178" s="62">
        <v>1483336</v>
      </c>
      <c r="C178" s="62">
        <v>2684204961</v>
      </c>
      <c r="D178" s="62">
        <v>4562796419</v>
      </c>
      <c r="E178" s="62">
        <v>499999</v>
      </c>
      <c r="F178" s="62">
        <v>0</v>
      </c>
      <c r="G178" s="62">
        <v>0</v>
      </c>
      <c r="H178" s="62">
        <v>0</v>
      </c>
      <c r="I178" s="62">
        <v>0</v>
      </c>
      <c r="J178" s="62">
        <v>1983335</v>
      </c>
      <c r="K178" s="62">
        <v>3290</v>
      </c>
      <c r="L178" s="62">
        <v>3588989714</v>
      </c>
      <c r="M178" s="62">
        <v>6474732569</v>
      </c>
      <c r="N178" s="63">
        <f t="shared" si="2"/>
        <v>5.9528815545272765E-4</v>
      </c>
    </row>
    <row r="179" spans="1:14" ht="26.25" customHeight="1">
      <c r="A179" s="62" t="s">
        <v>439</v>
      </c>
      <c r="B179" s="62">
        <v>499999</v>
      </c>
      <c r="C179" s="62">
        <v>404785753</v>
      </c>
      <c r="D179" s="62">
        <v>761069568</v>
      </c>
      <c r="E179" s="62">
        <v>-499999</v>
      </c>
      <c r="F179" s="62">
        <v>0</v>
      </c>
      <c r="G179" s="62">
        <v>0</v>
      </c>
      <c r="H179" s="62">
        <v>0</v>
      </c>
      <c r="I179" s="62">
        <v>0</v>
      </c>
      <c r="J179" s="62">
        <v>0</v>
      </c>
      <c r="K179" s="62">
        <v>0</v>
      </c>
      <c r="L179" s="62">
        <v>0</v>
      </c>
      <c r="M179" s="62">
        <v>0</v>
      </c>
      <c r="N179" s="63">
        <f t="shared" si="2"/>
        <v>0</v>
      </c>
    </row>
    <row r="180" spans="1:14" ht="26.25" customHeight="1">
      <c r="A180" s="62" t="s">
        <v>257</v>
      </c>
      <c r="B180" s="62">
        <v>1056071</v>
      </c>
      <c r="C180" s="62">
        <v>13809390562</v>
      </c>
      <c r="D180" s="62">
        <v>44976192955</v>
      </c>
      <c r="E180" s="62">
        <v>0</v>
      </c>
      <c r="F180" s="62">
        <v>0</v>
      </c>
      <c r="G180" s="62">
        <v>0</v>
      </c>
      <c r="H180" s="62">
        <v>390000</v>
      </c>
      <c r="I180" s="62">
        <v>17212213209</v>
      </c>
      <c r="J180" s="62">
        <v>666071</v>
      </c>
      <c r="K180" s="62">
        <v>50400</v>
      </c>
      <c r="L180" s="62">
        <v>8709674426</v>
      </c>
      <c r="M180" s="62">
        <v>33310482467</v>
      </c>
      <c r="N180" s="63">
        <f t="shared" si="2"/>
        <v>3.0625721531666946E-3</v>
      </c>
    </row>
    <row r="181" spans="1:14" ht="26.25" customHeight="1">
      <c r="A181" s="62" t="s">
        <v>331</v>
      </c>
      <c r="B181" s="62">
        <v>14640871</v>
      </c>
      <c r="C181" s="62">
        <v>28875950074</v>
      </c>
      <c r="D181" s="62">
        <v>24973111258</v>
      </c>
      <c r="E181" s="62">
        <v>0</v>
      </c>
      <c r="F181" s="62">
        <v>0</v>
      </c>
      <c r="G181" s="62">
        <v>0</v>
      </c>
      <c r="H181" s="62">
        <v>0</v>
      </c>
      <c r="I181" s="62">
        <v>0</v>
      </c>
      <c r="J181" s="62">
        <v>14640871</v>
      </c>
      <c r="K181" s="62">
        <v>2279</v>
      </c>
      <c r="L181" s="62">
        <v>28875950074</v>
      </c>
      <c r="M181" s="62">
        <v>33108621616</v>
      </c>
      <c r="N181" s="63">
        <f t="shared" si="2"/>
        <v>3.0440130277712705E-3</v>
      </c>
    </row>
    <row r="182" spans="1:14" ht="26.25" customHeight="1">
      <c r="A182" s="62" t="s">
        <v>247</v>
      </c>
      <c r="B182" s="62">
        <v>23780964</v>
      </c>
      <c r="C182" s="62">
        <v>53421129108</v>
      </c>
      <c r="D182" s="62">
        <v>55689243670</v>
      </c>
      <c r="E182" s="62">
        <v>0</v>
      </c>
      <c r="F182" s="62">
        <v>0</v>
      </c>
      <c r="G182" s="62">
        <v>0</v>
      </c>
      <c r="H182" s="62">
        <v>7000000</v>
      </c>
      <c r="I182" s="62">
        <v>19097129049</v>
      </c>
      <c r="J182" s="62">
        <v>16780964</v>
      </c>
      <c r="K182" s="62">
        <v>3000</v>
      </c>
      <c r="L182" s="62">
        <v>37696455215</v>
      </c>
      <c r="M182" s="62">
        <v>49953741445</v>
      </c>
      <c r="N182" s="63">
        <f t="shared" si="2"/>
        <v>4.5927565788789447E-3</v>
      </c>
    </row>
    <row r="183" spans="1:14" ht="26.25" customHeight="1">
      <c r="A183" s="62" t="s">
        <v>199</v>
      </c>
      <c r="B183" s="62">
        <v>2845414</v>
      </c>
      <c r="C183" s="62">
        <v>38983990800</v>
      </c>
      <c r="D183" s="62">
        <v>58614177397</v>
      </c>
      <c r="E183" s="62">
        <v>0</v>
      </c>
      <c r="F183" s="62">
        <v>0</v>
      </c>
      <c r="G183" s="62">
        <v>0</v>
      </c>
      <c r="H183" s="62">
        <v>500000</v>
      </c>
      <c r="I183" s="62">
        <v>10831619411</v>
      </c>
      <c r="J183" s="62">
        <v>2345414</v>
      </c>
      <c r="K183" s="62">
        <v>29420</v>
      </c>
      <c r="L183" s="62">
        <v>32133671163</v>
      </c>
      <c r="M183" s="62">
        <v>68468693803</v>
      </c>
      <c r="N183" s="63">
        <f t="shared" si="2"/>
        <v>6.2950248532875697E-3</v>
      </c>
    </row>
    <row r="184" spans="1:14" ht="26.25" customHeight="1">
      <c r="A184" s="62" t="s">
        <v>314</v>
      </c>
      <c r="B184" s="62">
        <v>594875</v>
      </c>
      <c r="C184" s="62">
        <v>36899261714</v>
      </c>
      <c r="D184" s="62">
        <v>41732556769</v>
      </c>
      <c r="E184" s="62">
        <v>0</v>
      </c>
      <c r="F184" s="62">
        <v>0</v>
      </c>
      <c r="G184" s="62">
        <v>0</v>
      </c>
      <c r="H184" s="62">
        <v>0</v>
      </c>
      <c r="I184" s="62">
        <v>0</v>
      </c>
      <c r="J184" s="62">
        <v>594875</v>
      </c>
      <c r="K184" s="62">
        <v>92250</v>
      </c>
      <c r="L184" s="62">
        <v>36899261714</v>
      </c>
      <c r="M184" s="62">
        <v>54453017849</v>
      </c>
      <c r="N184" s="63">
        <f t="shared" si="2"/>
        <v>5.0064209152613824E-3</v>
      </c>
    </row>
    <row r="185" spans="1:14" ht="26.25" customHeight="1">
      <c r="A185" s="62" t="s">
        <v>262</v>
      </c>
      <c r="B185" s="62">
        <v>2461948</v>
      </c>
      <c r="C185" s="62">
        <v>30186025634</v>
      </c>
      <c r="D185" s="62">
        <v>29534868246</v>
      </c>
      <c r="E185" s="62">
        <v>0</v>
      </c>
      <c r="F185" s="62">
        <v>0</v>
      </c>
      <c r="G185" s="62">
        <v>0</v>
      </c>
      <c r="H185" s="62">
        <v>0</v>
      </c>
      <c r="I185" s="62">
        <v>0</v>
      </c>
      <c r="J185" s="62">
        <v>2461948</v>
      </c>
      <c r="K185" s="62">
        <v>18360</v>
      </c>
      <c r="L185" s="62">
        <v>30186025634</v>
      </c>
      <c r="M185" s="62">
        <v>44851958726</v>
      </c>
      <c r="N185" s="63">
        <f t="shared" si="2"/>
        <v>4.1236976962225501E-3</v>
      </c>
    </row>
    <row r="186" spans="1:14" ht="26.25" customHeight="1">
      <c r="A186" s="62" t="s">
        <v>254</v>
      </c>
      <c r="B186" s="62">
        <v>7556849</v>
      </c>
      <c r="C186" s="62">
        <v>75843774856</v>
      </c>
      <c r="D186" s="62">
        <v>68160770125</v>
      </c>
      <c r="E186" s="62">
        <v>0</v>
      </c>
      <c r="F186" s="62">
        <v>0</v>
      </c>
      <c r="G186" s="62">
        <v>0</v>
      </c>
      <c r="H186" s="62">
        <v>1700000</v>
      </c>
      <c r="I186" s="62">
        <v>19995238433</v>
      </c>
      <c r="J186" s="62">
        <v>5856849</v>
      </c>
      <c r="K186" s="62">
        <v>12990</v>
      </c>
      <c r="L186" s="62">
        <v>58781846366</v>
      </c>
      <c r="M186" s="62">
        <v>75492366488</v>
      </c>
      <c r="N186" s="63">
        <f t="shared" si="2"/>
        <v>6.9407826683942275E-3</v>
      </c>
    </row>
    <row r="187" spans="1:14" ht="26.25" customHeight="1">
      <c r="A187" s="62" t="s">
        <v>255</v>
      </c>
      <c r="B187" s="62">
        <v>9307926</v>
      </c>
      <c r="C187" s="62">
        <v>24473506286</v>
      </c>
      <c r="D187" s="62">
        <v>25906911928</v>
      </c>
      <c r="E187" s="62">
        <v>0</v>
      </c>
      <c r="F187" s="62">
        <v>0</v>
      </c>
      <c r="G187" s="62">
        <v>0</v>
      </c>
      <c r="H187" s="62">
        <v>0</v>
      </c>
      <c r="I187" s="62">
        <v>0</v>
      </c>
      <c r="J187" s="62">
        <v>9307926</v>
      </c>
      <c r="K187" s="62">
        <v>4200</v>
      </c>
      <c r="L187" s="62">
        <v>24473506286</v>
      </c>
      <c r="M187" s="62">
        <v>38791098074</v>
      </c>
      <c r="N187" s="63">
        <f t="shared" si="2"/>
        <v>3.566461004276471E-3</v>
      </c>
    </row>
    <row r="188" spans="1:14" ht="26.25" customHeight="1">
      <c r="A188" s="62" t="s">
        <v>150</v>
      </c>
      <c r="B188" s="62">
        <v>2458695</v>
      </c>
      <c r="C188" s="62">
        <v>50835127669</v>
      </c>
      <c r="D188" s="62">
        <v>70507020413</v>
      </c>
      <c r="E188" s="62">
        <v>0</v>
      </c>
      <c r="F188" s="62">
        <v>0</v>
      </c>
      <c r="G188" s="62">
        <v>0</v>
      </c>
      <c r="H188" s="62">
        <v>900000</v>
      </c>
      <c r="I188" s="62">
        <v>28594333473</v>
      </c>
      <c r="J188" s="62">
        <v>1558695</v>
      </c>
      <c r="K188" s="62">
        <v>32550</v>
      </c>
      <c r="L188" s="62">
        <v>32227038865</v>
      </c>
      <c r="M188" s="62">
        <v>50343336663</v>
      </c>
      <c r="N188" s="63">
        <f t="shared" si="2"/>
        <v>4.6285760380187441E-3</v>
      </c>
    </row>
    <row r="189" spans="1:14" ht="26.25" customHeight="1">
      <c r="A189" s="62" t="s">
        <v>157</v>
      </c>
      <c r="B189" s="62">
        <v>1234887</v>
      </c>
      <c r="C189" s="62">
        <v>3185792321</v>
      </c>
      <c r="D189" s="62">
        <v>11542715267</v>
      </c>
      <c r="E189" s="62">
        <v>0</v>
      </c>
      <c r="F189" s="62">
        <v>0</v>
      </c>
      <c r="G189" s="62">
        <v>0</v>
      </c>
      <c r="H189" s="62">
        <v>0</v>
      </c>
      <c r="I189" s="62">
        <v>0</v>
      </c>
      <c r="J189" s="62">
        <v>1234887</v>
      </c>
      <c r="K189" s="62">
        <v>11300</v>
      </c>
      <c r="L189" s="62">
        <v>3185792321</v>
      </c>
      <c r="M189" s="62">
        <v>13846356955</v>
      </c>
      <c r="N189" s="63">
        <f t="shared" si="2"/>
        <v>1.2730367167512269E-3</v>
      </c>
    </row>
    <row r="190" spans="1:14" ht="26.25" customHeight="1">
      <c r="A190" s="62" t="s">
        <v>244</v>
      </c>
      <c r="B190" s="62">
        <v>3565617</v>
      </c>
      <c r="C190" s="62">
        <v>10994374010</v>
      </c>
      <c r="D190" s="62">
        <v>39201646969</v>
      </c>
      <c r="E190" s="62">
        <v>0</v>
      </c>
      <c r="F190" s="62">
        <v>0</v>
      </c>
      <c r="G190" s="62">
        <v>0</v>
      </c>
      <c r="H190" s="62">
        <v>0</v>
      </c>
      <c r="I190" s="62">
        <v>0</v>
      </c>
      <c r="J190" s="62">
        <v>3565617</v>
      </c>
      <c r="K190" s="62">
        <v>12050</v>
      </c>
      <c r="L190" s="62">
        <v>10994374010</v>
      </c>
      <c r="M190" s="62">
        <v>42633560106</v>
      </c>
      <c r="N190" s="63">
        <f t="shared" si="2"/>
        <v>3.9197377011979777E-3</v>
      </c>
    </row>
    <row r="191" spans="1:14" ht="26.25" customHeight="1">
      <c r="A191" s="62" t="s">
        <v>349</v>
      </c>
      <c r="B191" s="62">
        <v>2326440</v>
      </c>
      <c r="C191" s="62">
        <v>45066634626</v>
      </c>
      <c r="D191" s="62">
        <v>82712000652</v>
      </c>
      <c r="E191" s="62">
        <v>0</v>
      </c>
      <c r="F191" s="62">
        <v>0</v>
      </c>
      <c r="G191" s="62">
        <v>0</v>
      </c>
      <c r="H191" s="62">
        <v>0</v>
      </c>
      <c r="I191" s="62">
        <v>0</v>
      </c>
      <c r="J191" s="62">
        <v>2326440</v>
      </c>
      <c r="K191" s="62">
        <v>41760</v>
      </c>
      <c r="L191" s="62">
        <v>45066634626</v>
      </c>
      <c r="M191" s="62">
        <v>96401148401</v>
      </c>
      <c r="N191" s="63">
        <f t="shared" si="2"/>
        <v>8.8631400916716306E-3</v>
      </c>
    </row>
    <row r="192" spans="1:14" ht="26.25" customHeight="1">
      <c r="A192" s="62" t="s">
        <v>196</v>
      </c>
      <c r="B192" s="62">
        <v>635048</v>
      </c>
      <c r="C192" s="62">
        <v>11938739876</v>
      </c>
      <c r="D192" s="62">
        <v>24550218516</v>
      </c>
      <c r="E192" s="62">
        <v>0</v>
      </c>
      <c r="F192" s="62">
        <v>0</v>
      </c>
      <c r="G192" s="62">
        <v>0</v>
      </c>
      <c r="H192" s="62">
        <v>0</v>
      </c>
      <c r="I192" s="62">
        <v>0</v>
      </c>
      <c r="J192" s="62">
        <v>635048</v>
      </c>
      <c r="K192" s="62">
        <v>46050</v>
      </c>
      <c r="L192" s="62">
        <v>11938739876</v>
      </c>
      <c r="M192" s="62">
        <v>29017904586</v>
      </c>
      <c r="N192" s="63">
        <f t="shared" si="2"/>
        <v>2.6679117186721268E-3</v>
      </c>
    </row>
    <row r="193" spans="1:14" ht="26.25" customHeight="1">
      <c r="A193" s="62" t="s">
        <v>245</v>
      </c>
      <c r="B193" s="62">
        <v>3490646</v>
      </c>
      <c r="C193" s="62">
        <v>25343143786</v>
      </c>
      <c r="D193" s="62">
        <v>54656606975</v>
      </c>
      <c r="E193" s="62">
        <v>0</v>
      </c>
      <c r="F193" s="62">
        <v>0</v>
      </c>
      <c r="G193" s="62">
        <v>0</v>
      </c>
      <c r="H193" s="62">
        <v>100000</v>
      </c>
      <c r="I193" s="62">
        <v>1780074135</v>
      </c>
      <c r="J193" s="62">
        <v>3390646</v>
      </c>
      <c r="K193" s="62">
        <v>18310</v>
      </c>
      <c r="L193" s="62">
        <v>24617113596</v>
      </c>
      <c r="M193" s="62">
        <v>61602828771</v>
      </c>
      <c r="N193" s="63">
        <f t="shared" si="2"/>
        <v>5.6637759040946128E-3</v>
      </c>
    </row>
    <row r="194" spans="1:14" ht="26.25" customHeight="1">
      <c r="A194" s="62" t="s">
        <v>427</v>
      </c>
      <c r="B194" s="62">
        <v>275726</v>
      </c>
      <c r="C194" s="62">
        <v>7715656489</v>
      </c>
      <c r="D194" s="62">
        <v>6380226959</v>
      </c>
      <c r="E194" s="62">
        <v>0</v>
      </c>
      <c r="F194" s="62">
        <v>0</v>
      </c>
      <c r="G194" s="62">
        <v>0</v>
      </c>
      <c r="H194" s="62">
        <v>0</v>
      </c>
      <c r="I194" s="62">
        <v>0</v>
      </c>
      <c r="J194" s="62">
        <v>275726</v>
      </c>
      <c r="K194" s="62">
        <v>29610</v>
      </c>
      <c r="L194" s="62">
        <v>7715656489</v>
      </c>
      <c r="M194" s="62">
        <v>8101137232</v>
      </c>
      <c r="N194" s="63">
        <f t="shared" si="2"/>
        <v>7.4482011241608945E-4</v>
      </c>
    </row>
    <row r="195" spans="1:14" ht="26.25" customHeight="1">
      <c r="A195" s="62" t="s">
        <v>440</v>
      </c>
      <c r="B195" s="62">
        <v>487887</v>
      </c>
      <c r="C195" s="62">
        <v>9859579712</v>
      </c>
      <c r="D195" s="62">
        <v>11333146980</v>
      </c>
      <c r="E195" s="62">
        <v>0</v>
      </c>
      <c r="F195" s="62">
        <v>0</v>
      </c>
      <c r="G195" s="62">
        <v>0</v>
      </c>
      <c r="H195" s="62">
        <v>0</v>
      </c>
      <c r="I195" s="62">
        <v>0</v>
      </c>
      <c r="J195" s="62">
        <v>487887</v>
      </c>
      <c r="K195" s="62">
        <v>29470</v>
      </c>
      <c r="L195" s="62">
        <v>9859579712</v>
      </c>
      <c r="M195" s="62">
        <v>14266887719</v>
      </c>
      <c r="N195" s="63">
        <f t="shared" si="2"/>
        <v>1.311700395929462E-3</v>
      </c>
    </row>
    <row r="196" spans="1:14" ht="26.25" customHeight="1">
      <c r="A196" s="62" t="s">
        <v>317</v>
      </c>
      <c r="B196" s="62">
        <v>3335116</v>
      </c>
      <c r="C196" s="62">
        <v>14118247862</v>
      </c>
      <c r="D196" s="62">
        <v>22073268141</v>
      </c>
      <c r="E196" s="62">
        <v>0</v>
      </c>
      <c r="F196" s="62">
        <v>0</v>
      </c>
      <c r="G196" s="62">
        <v>0</v>
      </c>
      <c r="H196" s="62">
        <v>0</v>
      </c>
      <c r="I196" s="62">
        <v>0</v>
      </c>
      <c r="J196" s="62">
        <v>3335116</v>
      </c>
      <c r="K196" s="62">
        <v>9650</v>
      </c>
      <c r="L196" s="62">
        <v>14118247862</v>
      </c>
      <c r="M196" s="62">
        <v>31935088090</v>
      </c>
      <c r="N196" s="63">
        <f t="shared" si="2"/>
        <v>2.936118130088667E-3</v>
      </c>
    </row>
    <row r="197" spans="1:14" ht="26.25" customHeight="1">
      <c r="A197" s="62" t="s">
        <v>152</v>
      </c>
      <c r="B197" s="62">
        <v>16099135</v>
      </c>
      <c r="C197" s="62">
        <v>50912482356</v>
      </c>
      <c r="D197" s="62">
        <v>40719481462</v>
      </c>
      <c r="E197" s="62">
        <v>0</v>
      </c>
      <c r="F197" s="62">
        <v>0</v>
      </c>
      <c r="G197" s="62">
        <v>0</v>
      </c>
      <c r="H197" s="62">
        <v>0</v>
      </c>
      <c r="I197" s="62">
        <v>0</v>
      </c>
      <c r="J197" s="62">
        <v>16099135</v>
      </c>
      <c r="K197" s="62">
        <v>3660</v>
      </c>
      <c r="L197" s="62">
        <v>50912482356</v>
      </c>
      <c r="M197" s="62">
        <v>58467360592</v>
      </c>
      <c r="N197" s="63">
        <f t="shared" si="2"/>
        <v>5.3755003577509427E-3</v>
      </c>
    </row>
    <row r="198" spans="1:14" ht="26.25" customHeight="1">
      <c r="A198" s="62" t="s">
        <v>153</v>
      </c>
      <c r="B198" s="62">
        <v>3737468</v>
      </c>
      <c r="C198" s="62">
        <v>64547121077</v>
      </c>
      <c r="D198" s="62">
        <v>48730706673</v>
      </c>
      <c r="E198" s="62">
        <v>0</v>
      </c>
      <c r="F198" s="62">
        <v>0</v>
      </c>
      <c r="G198" s="62">
        <v>0</v>
      </c>
      <c r="H198" s="62">
        <v>0</v>
      </c>
      <c r="I198" s="62">
        <v>0</v>
      </c>
      <c r="J198" s="62">
        <v>3737468</v>
      </c>
      <c r="K198" s="62">
        <v>17270</v>
      </c>
      <c r="L198" s="62">
        <v>64547121077</v>
      </c>
      <c r="M198" s="62">
        <v>64047131221</v>
      </c>
      <c r="N198" s="63">
        <f t="shared" si="2"/>
        <v>5.8885055406197881E-3</v>
      </c>
    </row>
    <row r="199" spans="1:14" ht="26.25" customHeight="1">
      <c r="A199" s="62" t="s">
        <v>241</v>
      </c>
      <c r="B199" s="62">
        <v>10456686</v>
      </c>
      <c r="C199" s="62">
        <v>23322763693</v>
      </c>
      <c r="D199" s="62">
        <v>37145563826</v>
      </c>
      <c r="E199" s="62">
        <v>0</v>
      </c>
      <c r="F199" s="62">
        <v>0</v>
      </c>
      <c r="G199" s="62">
        <v>0</v>
      </c>
      <c r="H199" s="62">
        <v>4500000</v>
      </c>
      <c r="I199" s="62">
        <v>14989161986</v>
      </c>
      <c r="J199" s="62">
        <v>5956686</v>
      </c>
      <c r="K199" s="62">
        <v>3530</v>
      </c>
      <c r="L199" s="62">
        <v>13285890001</v>
      </c>
      <c r="M199" s="62">
        <v>20864562085</v>
      </c>
      <c r="N199" s="63">
        <f t="shared" si="2"/>
        <v>1.9182918438014898E-3</v>
      </c>
    </row>
    <row r="200" spans="1:14" ht="26.25" customHeight="1">
      <c r="A200" s="62" t="s">
        <v>221</v>
      </c>
      <c r="B200" s="62">
        <v>5623567</v>
      </c>
      <c r="C200" s="62">
        <v>48081539254</v>
      </c>
      <c r="D200" s="62">
        <v>56414778922</v>
      </c>
      <c r="E200" s="62">
        <v>0</v>
      </c>
      <c r="F200" s="62">
        <v>0</v>
      </c>
      <c r="G200" s="62">
        <v>0</v>
      </c>
      <c r="H200" s="62">
        <v>500000</v>
      </c>
      <c r="I200" s="62">
        <v>6431333004</v>
      </c>
      <c r="J200" s="62">
        <v>5123567</v>
      </c>
      <c r="K200" s="62">
        <v>14550</v>
      </c>
      <c r="L200" s="62">
        <v>43806535573</v>
      </c>
      <c r="M200" s="62">
        <v>73971644584</v>
      </c>
      <c r="N200" s="63">
        <f t="shared" si="2"/>
        <v>6.8009672045829493E-3</v>
      </c>
    </row>
    <row r="201" spans="1:14" ht="26.25" customHeight="1">
      <c r="A201" s="62" t="s">
        <v>361</v>
      </c>
      <c r="B201" s="62">
        <v>16626589</v>
      </c>
      <c r="C201" s="62">
        <v>71355034995</v>
      </c>
      <c r="D201" s="62">
        <v>81995385371</v>
      </c>
      <c r="E201" s="62">
        <v>0</v>
      </c>
      <c r="F201" s="62">
        <v>0</v>
      </c>
      <c r="G201" s="62">
        <v>0</v>
      </c>
      <c r="H201" s="62">
        <v>0</v>
      </c>
      <c r="I201" s="62">
        <v>0</v>
      </c>
      <c r="J201" s="62">
        <v>16626589</v>
      </c>
      <c r="K201" s="62">
        <v>5160</v>
      </c>
      <c r="L201" s="62">
        <v>71355034995</v>
      </c>
      <c r="M201" s="62">
        <v>85130017810</v>
      </c>
      <c r="N201" s="63">
        <f t="shared" si="2"/>
        <v>7.8268701812343154E-3</v>
      </c>
    </row>
    <row r="202" spans="1:14" ht="26.25" customHeight="1">
      <c r="A202" s="62" t="s">
        <v>133</v>
      </c>
      <c r="B202" s="62">
        <v>2800000</v>
      </c>
      <c r="C202" s="62">
        <v>17481893266</v>
      </c>
      <c r="D202" s="62">
        <v>18670552320</v>
      </c>
      <c r="E202" s="62">
        <v>0</v>
      </c>
      <c r="F202" s="62">
        <v>0</v>
      </c>
      <c r="G202" s="62">
        <v>0</v>
      </c>
      <c r="H202" s="62">
        <v>1800000</v>
      </c>
      <c r="I202" s="62">
        <v>14449435796</v>
      </c>
      <c r="J202" s="62">
        <v>1000000</v>
      </c>
      <c r="K202" s="62">
        <v>8020</v>
      </c>
      <c r="L202" s="62">
        <v>6243533309</v>
      </c>
      <c r="M202" s="62">
        <v>7958005400</v>
      </c>
      <c r="N202" s="63">
        <f t="shared" si="2"/>
        <v>7.3166054430268254E-4</v>
      </c>
    </row>
    <row r="203" spans="1:14" ht="26.25" customHeight="1">
      <c r="A203" s="62" t="s">
        <v>137</v>
      </c>
      <c r="B203" s="62">
        <v>10285372</v>
      </c>
      <c r="C203" s="62">
        <v>33916279289</v>
      </c>
      <c r="D203" s="62">
        <v>26739369115</v>
      </c>
      <c r="E203" s="62">
        <v>0</v>
      </c>
      <c r="F203" s="62">
        <v>0</v>
      </c>
      <c r="G203" s="62">
        <v>0</v>
      </c>
      <c r="H203" s="62">
        <v>0</v>
      </c>
      <c r="I203" s="62">
        <v>0</v>
      </c>
      <c r="J203" s="62">
        <v>10285372</v>
      </c>
      <c r="K203" s="62">
        <v>4360</v>
      </c>
      <c r="L203" s="62">
        <v>33916279289</v>
      </c>
      <c r="M203" s="62">
        <v>44497576085</v>
      </c>
      <c r="N203" s="63">
        <f t="shared" ref="N203:N232" si="3">M203/10876635978211</f>
        <v>4.0911156881724567E-3</v>
      </c>
    </row>
    <row r="204" spans="1:14" ht="26.25" customHeight="1">
      <c r="A204" s="62" t="s">
        <v>263</v>
      </c>
      <c r="B204" s="62">
        <v>12061503</v>
      </c>
      <c r="C204" s="62">
        <v>40595359078</v>
      </c>
      <c r="D204" s="62">
        <v>39734648372</v>
      </c>
      <c r="E204" s="62">
        <v>0</v>
      </c>
      <c r="F204" s="62">
        <v>0</v>
      </c>
      <c r="G204" s="62">
        <v>0</v>
      </c>
      <c r="H204" s="62">
        <v>19263</v>
      </c>
      <c r="I204" s="62">
        <v>71295586</v>
      </c>
      <c r="J204" s="62">
        <v>12042240</v>
      </c>
      <c r="K204" s="62">
        <v>4010</v>
      </c>
      <c r="L204" s="62">
        <v>40530525665</v>
      </c>
      <c r="M204" s="62">
        <v>47916105474</v>
      </c>
      <c r="N204" s="63">
        <f t="shared" si="3"/>
        <v>4.4054159365073545E-3</v>
      </c>
    </row>
    <row r="205" spans="1:14" ht="26.25" customHeight="1">
      <c r="A205" s="62" t="s">
        <v>250</v>
      </c>
      <c r="B205" s="62">
        <v>12308125</v>
      </c>
      <c r="C205" s="62">
        <v>62415581672</v>
      </c>
      <c r="D205" s="62">
        <v>69736134036</v>
      </c>
      <c r="E205" s="62">
        <v>0</v>
      </c>
      <c r="F205" s="62">
        <v>0</v>
      </c>
      <c r="G205" s="62">
        <v>0</v>
      </c>
      <c r="H205" s="62">
        <v>1823271</v>
      </c>
      <c r="I205" s="62">
        <v>12416814271</v>
      </c>
      <c r="J205" s="62">
        <v>10484854</v>
      </c>
      <c r="K205" s="62">
        <v>6970</v>
      </c>
      <c r="L205" s="62">
        <v>53169614475</v>
      </c>
      <c r="M205" s="62">
        <v>72514528368</v>
      </c>
      <c r="N205" s="63">
        <f t="shared" si="3"/>
        <v>6.6669996599378022E-3</v>
      </c>
    </row>
    <row r="206" spans="1:14" ht="26.25" customHeight="1">
      <c r="A206" s="62" t="s">
        <v>238</v>
      </c>
      <c r="B206" s="62">
        <v>8769322</v>
      </c>
      <c r="C206" s="62">
        <v>28963579631</v>
      </c>
      <c r="D206" s="62">
        <v>36720478295</v>
      </c>
      <c r="E206" s="62">
        <v>0</v>
      </c>
      <c r="F206" s="62">
        <v>0</v>
      </c>
      <c r="G206" s="62">
        <v>0</v>
      </c>
      <c r="H206" s="62">
        <v>1500000</v>
      </c>
      <c r="I206" s="62">
        <v>7605749603</v>
      </c>
      <c r="J206" s="62">
        <v>7269322</v>
      </c>
      <c r="K206" s="62">
        <v>5570</v>
      </c>
      <c r="L206" s="62">
        <v>24009334657</v>
      </c>
      <c r="M206" s="62">
        <v>40177134885</v>
      </c>
      <c r="N206" s="63">
        <f t="shared" si="3"/>
        <v>3.6938934947796584E-3</v>
      </c>
    </row>
    <row r="207" spans="1:14" ht="26.25" customHeight="1">
      <c r="A207" s="62" t="s">
        <v>197</v>
      </c>
      <c r="B207" s="62">
        <v>906895</v>
      </c>
      <c r="C207" s="62">
        <v>46529948230</v>
      </c>
      <c r="D207" s="62">
        <v>55207926446</v>
      </c>
      <c r="E207" s="62">
        <v>0</v>
      </c>
      <c r="F207" s="62">
        <v>0</v>
      </c>
      <c r="G207" s="62">
        <v>0</v>
      </c>
      <c r="H207" s="62">
        <v>30000</v>
      </c>
      <c r="I207" s="62">
        <v>2010835166</v>
      </c>
      <c r="J207" s="62">
        <v>876895</v>
      </c>
      <c r="K207" s="62">
        <v>73950</v>
      </c>
      <c r="L207" s="62">
        <v>44990741986</v>
      </c>
      <c r="M207" s="62">
        <v>64345122692</v>
      </c>
      <c r="N207" s="63">
        <f t="shared" si="3"/>
        <v>5.9159029336737579E-3</v>
      </c>
    </row>
    <row r="208" spans="1:14" ht="26.25" customHeight="1">
      <c r="A208" s="62" t="s">
        <v>296</v>
      </c>
      <c r="B208" s="62">
        <v>21351892</v>
      </c>
      <c r="C208" s="62">
        <v>10573465274</v>
      </c>
      <c r="D208" s="62">
        <v>38284623268</v>
      </c>
      <c r="E208" s="62">
        <v>0</v>
      </c>
      <c r="F208" s="62">
        <v>0</v>
      </c>
      <c r="G208" s="62">
        <v>0</v>
      </c>
      <c r="H208" s="62">
        <v>0</v>
      </c>
      <c r="I208" s="62">
        <v>0</v>
      </c>
      <c r="J208" s="62">
        <v>21351892</v>
      </c>
      <c r="K208" s="62">
        <v>1765</v>
      </c>
      <c r="L208" s="62">
        <v>10573465274</v>
      </c>
      <c r="M208" s="62">
        <v>37394775909</v>
      </c>
      <c r="N208" s="63">
        <f t="shared" si="3"/>
        <v>3.4380828763518781E-3</v>
      </c>
    </row>
    <row r="209" spans="1:14" ht="26.25" customHeight="1">
      <c r="A209" s="62" t="s">
        <v>169</v>
      </c>
      <c r="B209" s="62">
        <v>3770924</v>
      </c>
      <c r="C209" s="62">
        <v>21253684096</v>
      </c>
      <c r="D209" s="62">
        <v>40471035777</v>
      </c>
      <c r="E209" s="62">
        <v>0</v>
      </c>
      <c r="F209" s="62">
        <v>0</v>
      </c>
      <c r="G209" s="62">
        <v>0</v>
      </c>
      <c r="H209" s="62">
        <v>500002</v>
      </c>
      <c r="I209" s="62">
        <v>6125472213</v>
      </c>
      <c r="J209" s="62">
        <v>3270922</v>
      </c>
      <c r="K209" s="62">
        <v>12400</v>
      </c>
      <c r="L209" s="62">
        <v>18435572526</v>
      </c>
      <c r="M209" s="62">
        <v>40245908384</v>
      </c>
      <c r="N209" s="63">
        <f t="shared" si="3"/>
        <v>3.7002165434812766E-3</v>
      </c>
    </row>
    <row r="210" spans="1:14" ht="26.25" customHeight="1">
      <c r="A210" s="62" t="s">
        <v>130</v>
      </c>
      <c r="B210" s="62">
        <v>1818593</v>
      </c>
      <c r="C210" s="62">
        <v>90459606423</v>
      </c>
      <c r="D210" s="62">
        <v>75682209480</v>
      </c>
      <c r="E210" s="62">
        <v>0</v>
      </c>
      <c r="F210" s="62">
        <v>0</v>
      </c>
      <c r="G210" s="62">
        <v>0</v>
      </c>
      <c r="H210" s="62">
        <v>810000</v>
      </c>
      <c r="I210" s="62">
        <v>36588718053</v>
      </c>
      <c r="J210" s="62">
        <v>1008593</v>
      </c>
      <c r="K210" s="62">
        <v>48240</v>
      </c>
      <c r="L210" s="62">
        <v>50168963490</v>
      </c>
      <c r="M210" s="62">
        <v>48278426832</v>
      </c>
      <c r="N210" s="63">
        <f t="shared" si="3"/>
        <v>4.438727831722551E-3</v>
      </c>
    </row>
    <row r="211" spans="1:14" ht="26.25" customHeight="1">
      <c r="A211" s="62" t="s">
        <v>128</v>
      </c>
      <c r="B211" s="62">
        <v>4500000</v>
      </c>
      <c r="C211" s="62">
        <v>57925864440</v>
      </c>
      <c r="D211" s="62">
        <v>80150609250</v>
      </c>
      <c r="E211" s="62">
        <v>0</v>
      </c>
      <c r="F211" s="62">
        <v>0</v>
      </c>
      <c r="G211" s="62">
        <v>0</v>
      </c>
      <c r="H211" s="62">
        <v>2200000</v>
      </c>
      <c r="I211" s="62">
        <v>41822708784</v>
      </c>
      <c r="J211" s="62">
        <v>2300000</v>
      </c>
      <c r="K211" s="62">
        <v>19600</v>
      </c>
      <c r="L211" s="62">
        <v>29606552936</v>
      </c>
      <c r="M211" s="62">
        <v>44731531600</v>
      </c>
      <c r="N211" s="63">
        <f t="shared" si="3"/>
        <v>4.1126256031377715E-3</v>
      </c>
    </row>
    <row r="212" spans="1:14" ht="26.25" customHeight="1">
      <c r="A212" s="62" t="s">
        <v>148</v>
      </c>
      <c r="B212" s="62">
        <v>3329460</v>
      </c>
      <c r="C212" s="62">
        <v>71064714540</v>
      </c>
      <c r="D212" s="62">
        <v>66636098441</v>
      </c>
      <c r="E212" s="62">
        <v>0</v>
      </c>
      <c r="F212" s="62">
        <v>0</v>
      </c>
      <c r="G212" s="62">
        <v>0</v>
      </c>
      <c r="H212" s="62">
        <v>900000</v>
      </c>
      <c r="I212" s="62">
        <v>21113052396</v>
      </c>
      <c r="J212" s="62">
        <v>2429460</v>
      </c>
      <c r="K212" s="62">
        <v>23250</v>
      </c>
      <c r="L212" s="62">
        <v>51854919833</v>
      </c>
      <c r="M212" s="62">
        <v>56048316375</v>
      </c>
      <c r="N212" s="63">
        <f t="shared" si="3"/>
        <v>5.1530929680170178E-3</v>
      </c>
    </row>
    <row r="213" spans="1:14" ht="26.25" customHeight="1">
      <c r="A213" s="62" t="s">
        <v>270</v>
      </c>
      <c r="B213" s="62">
        <v>392921</v>
      </c>
      <c r="C213" s="62">
        <v>15618857021</v>
      </c>
      <c r="D213" s="62">
        <v>18757305801</v>
      </c>
      <c r="E213" s="62">
        <v>235752</v>
      </c>
      <c r="F213" s="62">
        <v>0</v>
      </c>
      <c r="G213" s="62">
        <v>0</v>
      </c>
      <c r="H213" s="62">
        <v>0</v>
      </c>
      <c r="I213" s="62">
        <v>0</v>
      </c>
      <c r="J213" s="62">
        <v>628673</v>
      </c>
      <c r="K213" s="62">
        <v>34390</v>
      </c>
      <c r="L213" s="62">
        <v>15618857021</v>
      </c>
      <c r="M213" s="62">
        <v>21452941372</v>
      </c>
      <c r="N213" s="63">
        <f t="shared" si="3"/>
        <v>1.9723875484089336E-3</v>
      </c>
    </row>
    <row r="214" spans="1:14" ht="26.25" customHeight="1">
      <c r="A214" s="62" t="s">
        <v>441</v>
      </c>
      <c r="B214" s="62">
        <v>1881856</v>
      </c>
      <c r="C214" s="62">
        <v>13238121345</v>
      </c>
      <c r="D214" s="62">
        <v>19550727880</v>
      </c>
      <c r="E214" s="62">
        <v>0</v>
      </c>
      <c r="F214" s="62">
        <v>0</v>
      </c>
      <c r="G214" s="62">
        <v>0</v>
      </c>
      <c r="H214" s="62">
        <v>0</v>
      </c>
      <c r="I214" s="62">
        <v>0</v>
      </c>
      <c r="J214" s="62">
        <v>1881856</v>
      </c>
      <c r="K214" s="62">
        <v>10490</v>
      </c>
      <c r="L214" s="62">
        <v>13238121345</v>
      </c>
      <c r="M214" s="62">
        <v>19588074065</v>
      </c>
      <c r="N214" s="63">
        <f t="shared" si="3"/>
        <v>1.8009312901746911E-3</v>
      </c>
    </row>
    <row r="215" spans="1:14" ht="26.25" customHeight="1">
      <c r="A215" s="62" t="s">
        <v>442</v>
      </c>
      <c r="B215" s="62">
        <v>1136013</v>
      </c>
      <c r="C215" s="62">
        <v>21430044410</v>
      </c>
      <c r="D215" s="62">
        <v>30345075197</v>
      </c>
      <c r="E215" s="62">
        <v>0</v>
      </c>
      <c r="F215" s="62">
        <v>0</v>
      </c>
      <c r="G215" s="62">
        <v>0</v>
      </c>
      <c r="H215" s="62">
        <v>0</v>
      </c>
      <c r="I215" s="62">
        <v>0</v>
      </c>
      <c r="J215" s="62">
        <v>1136013</v>
      </c>
      <c r="K215" s="62">
        <v>37840</v>
      </c>
      <c r="L215" s="62">
        <v>21430044410</v>
      </c>
      <c r="M215" s="62">
        <v>42654444482</v>
      </c>
      <c r="N215" s="63">
        <f t="shared" si="3"/>
        <v>3.9216578147369284E-3</v>
      </c>
    </row>
    <row r="216" spans="1:14" ht="26.25" customHeight="1">
      <c r="A216" s="62" t="s">
        <v>194</v>
      </c>
      <c r="B216" s="62">
        <v>7791749</v>
      </c>
      <c r="C216" s="62">
        <v>50594668264</v>
      </c>
      <c r="D216" s="62">
        <v>98422234072</v>
      </c>
      <c r="E216" s="62">
        <v>0</v>
      </c>
      <c r="F216" s="62">
        <v>0</v>
      </c>
      <c r="G216" s="62">
        <v>0</v>
      </c>
      <c r="H216" s="62">
        <v>0</v>
      </c>
      <c r="I216" s="62">
        <v>0</v>
      </c>
      <c r="J216" s="62">
        <v>7791749</v>
      </c>
      <c r="K216" s="62">
        <v>12730</v>
      </c>
      <c r="L216" s="62">
        <v>50594668264</v>
      </c>
      <c r="M216" s="62">
        <v>98422234072</v>
      </c>
      <c r="N216" s="63">
        <f t="shared" si="3"/>
        <v>9.0489590962837922E-3</v>
      </c>
    </row>
    <row r="217" spans="1:14" ht="26.25" customHeight="1">
      <c r="A217" s="62" t="s">
        <v>256</v>
      </c>
      <c r="B217" s="62">
        <v>13995002</v>
      </c>
      <c r="C217" s="62">
        <v>37611024620</v>
      </c>
      <c r="D217" s="62">
        <v>94430380315</v>
      </c>
      <c r="E217" s="62">
        <v>0</v>
      </c>
      <c r="F217" s="62">
        <v>0</v>
      </c>
      <c r="G217" s="62">
        <v>0</v>
      </c>
      <c r="H217" s="62">
        <v>0</v>
      </c>
      <c r="I217" s="62">
        <v>0</v>
      </c>
      <c r="J217" s="62">
        <v>13995002</v>
      </c>
      <c r="K217" s="62">
        <v>7690</v>
      </c>
      <c r="L217" s="62">
        <v>37611024620</v>
      </c>
      <c r="M217" s="62">
        <v>106789650680</v>
      </c>
      <c r="N217" s="63">
        <f t="shared" si="3"/>
        <v>9.8182609856512695E-3</v>
      </c>
    </row>
    <row r="218" spans="1:14" ht="26.25" customHeight="1">
      <c r="A218" s="62" t="s">
        <v>228</v>
      </c>
      <c r="B218" s="62">
        <v>5368712</v>
      </c>
      <c r="C218" s="62">
        <v>51737378467</v>
      </c>
      <c r="D218" s="62">
        <v>104040447552</v>
      </c>
      <c r="E218" s="62">
        <v>0</v>
      </c>
      <c r="F218" s="62">
        <v>0</v>
      </c>
      <c r="G218" s="62">
        <v>0</v>
      </c>
      <c r="H218" s="62">
        <v>4600000</v>
      </c>
      <c r="I218" s="62">
        <v>95829439538</v>
      </c>
      <c r="J218" s="62">
        <v>768712</v>
      </c>
      <c r="K218" s="62">
        <v>22020</v>
      </c>
      <c r="L218" s="62">
        <v>7407948811</v>
      </c>
      <c r="M218" s="62">
        <v>16796192234</v>
      </c>
      <c r="N218" s="63">
        <f t="shared" si="3"/>
        <v>1.5442451386299548E-3</v>
      </c>
    </row>
    <row r="219" spans="1:14" ht="26.25" customHeight="1">
      <c r="A219" s="62" t="s">
        <v>273</v>
      </c>
      <c r="B219" s="62">
        <v>900000</v>
      </c>
      <c r="C219" s="62">
        <v>2252043000</v>
      </c>
      <c r="D219" s="62">
        <v>5795849070</v>
      </c>
      <c r="E219" s="62">
        <v>0</v>
      </c>
      <c r="F219" s="62">
        <v>0</v>
      </c>
      <c r="G219" s="62">
        <v>0</v>
      </c>
      <c r="H219" s="62">
        <v>0</v>
      </c>
      <c r="I219" s="62">
        <v>0</v>
      </c>
      <c r="J219" s="62">
        <v>900000</v>
      </c>
      <c r="K219" s="62">
        <v>8170</v>
      </c>
      <c r="L219" s="62">
        <v>2252043000</v>
      </c>
      <c r="M219" s="62">
        <v>7296161310</v>
      </c>
      <c r="N219" s="63">
        <f t="shared" si="3"/>
        <v>6.7081047160319506E-4</v>
      </c>
    </row>
    <row r="220" spans="1:14" ht="26.25" customHeight="1">
      <c r="A220" s="62" t="s">
        <v>357</v>
      </c>
      <c r="B220" s="62">
        <v>1505716</v>
      </c>
      <c r="C220" s="62">
        <v>9359477203</v>
      </c>
      <c r="D220" s="62">
        <v>20707904660</v>
      </c>
      <c r="E220" s="62">
        <v>0</v>
      </c>
      <c r="F220" s="62">
        <v>0</v>
      </c>
      <c r="G220" s="62">
        <v>0</v>
      </c>
      <c r="H220" s="62">
        <v>0</v>
      </c>
      <c r="I220" s="62">
        <v>0</v>
      </c>
      <c r="J220" s="62">
        <v>1505716</v>
      </c>
      <c r="K220" s="62">
        <v>19830</v>
      </c>
      <c r="L220" s="62">
        <v>9359477203</v>
      </c>
      <c r="M220" s="62">
        <v>29627543248</v>
      </c>
      <c r="N220" s="63">
        <f t="shared" si="3"/>
        <v>2.7239620142985761E-3</v>
      </c>
    </row>
    <row r="221" spans="1:14" ht="26.25" customHeight="1">
      <c r="A221" s="62" t="s">
        <v>227</v>
      </c>
      <c r="B221" s="62">
        <v>11733352</v>
      </c>
      <c r="C221" s="62">
        <v>52279942551</v>
      </c>
      <c r="D221" s="62">
        <v>59843237392</v>
      </c>
      <c r="E221" s="62">
        <v>0</v>
      </c>
      <c r="F221" s="62">
        <v>0</v>
      </c>
      <c r="G221" s="62">
        <v>0</v>
      </c>
      <c r="H221" s="62">
        <v>900000</v>
      </c>
      <c r="I221" s="62">
        <v>5786918658</v>
      </c>
      <c r="J221" s="62">
        <v>10833352</v>
      </c>
      <c r="K221" s="62">
        <v>6970</v>
      </c>
      <c r="L221" s="62">
        <v>48269839701</v>
      </c>
      <c r="M221" s="62">
        <v>74924783018</v>
      </c>
      <c r="N221" s="63">
        <f t="shared" si="3"/>
        <v>6.888598935194272E-3</v>
      </c>
    </row>
    <row r="222" spans="1:14" ht="26.25" customHeight="1">
      <c r="A222" s="62" t="s">
        <v>160</v>
      </c>
      <c r="B222" s="62">
        <v>2024465</v>
      </c>
      <c r="C222" s="62">
        <v>16984113641</v>
      </c>
      <c r="D222" s="62">
        <v>28926948752</v>
      </c>
      <c r="E222" s="62">
        <v>0</v>
      </c>
      <c r="F222" s="62">
        <v>0</v>
      </c>
      <c r="G222" s="62">
        <v>0</v>
      </c>
      <c r="H222" s="62">
        <v>290875</v>
      </c>
      <c r="I222" s="62">
        <v>5097149664</v>
      </c>
      <c r="J222" s="62">
        <v>1733590</v>
      </c>
      <c r="K222" s="62">
        <v>17860</v>
      </c>
      <c r="L222" s="62">
        <v>14543837294</v>
      </c>
      <c r="M222" s="62">
        <v>30722581778</v>
      </c>
      <c r="N222" s="63">
        <f t="shared" si="3"/>
        <v>2.824640066978989E-3</v>
      </c>
    </row>
    <row r="223" spans="1:14" ht="26.25" customHeight="1">
      <c r="A223" s="62" t="s">
        <v>192</v>
      </c>
      <c r="B223" s="62">
        <v>2192838</v>
      </c>
      <c r="C223" s="62">
        <v>16347830069</v>
      </c>
      <c r="D223" s="62">
        <v>36163247961</v>
      </c>
      <c r="E223" s="62">
        <v>0</v>
      </c>
      <c r="F223" s="62">
        <v>0</v>
      </c>
      <c r="G223" s="62">
        <v>0</v>
      </c>
      <c r="H223" s="62">
        <v>303663</v>
      </c>
      <c r="I223" s="62">
        <v>5812379646</v>
      </c>
      <c r="J223" s="62">
        <v>1889175</v>
      </c>
      <c r="K223" s="62">
        <v>19520</v>
      </c>
      <c r="L223" s="62">
        <v>14083991554</v>
      </c>
      <c r="M223" s="62">
        <v>36591639140</v>
      </c>
      <c r="N223" s="63">
        <f t="shared" si="3"/>
        <v>3.3642423276188959E-3</v>
      </c>
    </row>
    <row r="224" spans="1:14" ht="26.25" customHeight="1">
      <c r="A224" s="62" t="s">
        <v>200</v>
      </c>
      <c r="B224" s="62">
        <v>9957775</v>
      </c>
      <c r="C224" s="62">
        <v>51880268288</v>
      </c>
      <c r="D224" s="62">
        <v>99993710160</v>
      </c>
      <c r="E224" s="62">
        <v>0</v>
      </c>
      <c r="F224" s="62">
        <v>0</v>
      </c>
      <c r="G224" s="62">
        <v>0</v>
      </c>
      <c r="H224" s="62">
        <v>1432870</v>
      </c>
      <c r="I224" s="62">
        <v>18317408142</v>
      </c>
      <c r="J224" s="62">
        <v>8524905</v>
      </c>
      <c r="K224" s="62">
        <v>13160</v>
      </c>
      <c r="L224" s="62">
        <v>44414978098</v>
      </c>
      <c r="M224" s="62">
        <v>111320538494</v>
      </c>
      <c r="N224" s="63">
        <f t="shared" si="3"/>
        <v>1.0234831681138061E-2</v>
      </c>
    </row>
    <row r="225" spans="1:14" ht="26.25" customHeight="1">
      <c r="A225" s="62" t="s">
        <v>236</v>
      </c>
      <c r="B225" s="62">
        <v>30893229</v>
      </c>
      <c r="C225" s="62">
        <v>76542212735</v>
      </c>
      <c r="D225" s="62">
        <v>64404945538</v>
      </c>
      <c r="E225" s="62">
        <v>0</v>
      </c>
      <c r="F225" s="62">
        <v>0</v>
      </c>
      <c r="G225" s="62">
        <v>0</v>
      </c>
      <c r="H225" s="62">
        <v>619312</v>
      </c>
      <c r="I225" s="62">
        <v>1606367625</v>
      </c>
      <c r="J225" s="62">
        <v>30273917</v>
      </c>
      <c r="K225" s="62">
        <v>2487</v>
      </c>
      <c r="L225" s="62">
        <v>75007782299</v>
      </c>
      <c r="M225" s="62">
        <v>74709230359</v>
      </c>
      <c r="N225" s="63">
        <f t="shared" si="3"/>
        <v>6.8687809823426904E-3</v>
      </c>
    </row>
    <row r="226" spans="1:14" ht="26.25" customHeight="1">
      <c r="A226" s="62" t="s">
        <v>443</v>
      </c>
      <c r="B226" s="62">
        <v>15752234</v>
      </c>
      <c r="C226" s="62">
        <v>23762214862</v>
      </c>
      <c r="D226" s="62">
        <v>28916368078</v>
      </c>
      <c r="E226" s="62">
        <v>0</v>
      </c>
      <c r="F226" s="62">
        <v>0</v>
      </c>
      <c r="G226" s="62">
        <v>0</v>
      </c>
      <c r="H226" s="62">
        <v>0</v>
      </c>
      <c r="I226" s="62">
        <v>0</v>
      </c>
      <c r="J226" s="62">
        <v>15752234</v>
      </c>
      <c r="K226" s="62">
        <v>2445</v>
      </c>
      <c r="L226" s="62">
        <v>23762214862</v>
      </c>
      <c r="M226" s="62">
        <v>38216497270</v>
      </c>
      <c r="N226" s="63">
        <f t="shared" si="3"/>
        <v>3.5136320960413247E-3</v>
      </c>
    </row>
    <row r="227" spans="1:14" ht="26.25" customHeight="1">
      <c r="A227" s="62" t="s">
        <v>171</v>
      </c>
      <c r="B227" s="62">
        <v>1500000</v>
      </c>
      <c r="C227" s="62">
        <v>12197164260</v>
      </c>
      <c r="D227" s="62">
        <v>26999666700</v>
      </c>
      <c r="E227" s="62">
        <v>0</v>
      </c>
      <c r="F227" s="62">
        <v>0</v>
      </c>
      <c r="G227" s="62">
        <v>0</v>
      </c>
      <c r="H227" s="62">
        <v>1500000</v>
      </c>
      <c r="I227" s="62">
        <v>34684791466</v>
      </c>
      <c r="J227" s="62">
        <v>0</v>
      </c>
      <c r="K227" s="62">
        <v>0</v>
      </c>
      <c r="L227" s="62">
        <v>0</v>
      </c>
      <c r="M227" s="62">
        <v>0</v>
      </c>
      <c r="N227" s="63">
        <f t="shared" si="3"/>
        <v>0</v>
      </c>
    </row>
    <row r="228" spans="1:14" ht="26.25" customHeight="1">
      <c r="A228" s="62" t="s">
        <v>335</v>
      </c>
      <c r="B228" s="62">
        <v>30913216</v>
      </c>
      <c r="C228" s="62">
        <v>39246210446</v>
      </c>
      <c r="D228" s="62">
        <v>41686315046</v>
      </c>
      <c r="E228" s="62">
        <v>0</v>
      </c>
      <c r="F228" s="62">
        <v>0</v>
      </c>
      <c r="G228" s="62">
        <v>0</v>
      </c>
      <c r="H228" s="62">
        <v>0</v>
      </c>
      <c r="I228" s="62">
        <v>0</v>
      </c>
      <c r="J228" s="62">
        <v>30913216</v>
      </c>
      <c r="K228" s="62">
        <v>1858</v>
      </c>
      <c r="L228" s="62">
        <v>39246210446</v>
      </c>
      <c r="M228" s="62">
        <v>56992769209</v>
      </c>
      <c r="N228" s="63">
        <f t="shared" si="3"/>
        <v>5.2399261428968252E-3</v>
      </c>
    </row>
    <row r="229" spans="1:14" ht="26.25" customHeight="1">
      <c r="A229" s="62" t="s">
        <v>308</v>
      </c>
      <c r="B229" s="62">
        <v>5200000</v>
      </c>
      <c r="C229" s="62">
        <v>17798536615</v>
      </c>
      <c r="D229" s="62">
        <v>14824116892</v>
      </c>
      <c r="E229" s="62">
        <v>0</v>
      </c>
      <c r="F229" s="62">
        <v>0</v>
      </c>
      <c r="G229" s="62">
        <v>0</v>
      </c>
      <c r="H229" s="62">
        <v>0</v>
      </c>
      <c r="I229" s="62">
        <v>0</v>
      </c>
      <c r="J229" s="62">
        <v>5200000</v>
      </c>
      <c r="K229" s="62">
        <v>3540</v>
      </c>
      <c r="L229" s="62">
        <v>17798536615</v>
      </c>
      <c r="M229" s="62">
        <v>18265706160</v>
      </c>
      <c r="N229" s="63">
        <f t="shared" si="3"/>
        <v>1.6793525311126908E-3</v>
      </c>
    </row>
    <row r="230" spans="1:14" ht="26.25" customHeight="1">
      <c r="A230" s="62" t="s">
        <v>163</v>
      </c>
      <c r="B230" s="62">
        <v>11417778</v>
      </c>
      <c r="C230" s="62">
        <v>23223851206</v>
      </c>
      <c r="D230" s="62">
        <v>24301817346</v>
      </c>
      <c r="E230" s="62">
        <v>0</v>
      </c>
      <c r="F230" s="62">
        <v>0</v>
      </c>
      <c r="G230" s="62">
        <v>0</v>
      </c>
      <c r="H230" s="62">
        <v>0</v>
      </c>
      <c r="I230" s="62">
        <v>0</v>
      </c>
      <c r="J230" s="62">
        <v>11417778</v>
      </c>
      <c r="K230" s="62">
        <v>2788</v>
      </c>
      <c r="L230" s="62">
        <v>23223851206</v>
      </c>
      <c r="M230" s="62">
        <v>31586697790</v>
      </c>
      <c r="N230" s="63">
        <f t="shared" si="3"/>
        <v>2.9040870590205606E-3</v>
      </c>
    </row>
    <row r="231" spans="1:14" ht="26.25" customHeight="1">
      <c r="A231" s="62" t="s">
        <v>188</v>
      </c>
      <c r="B231" s="62">
        <v>18536480</v>
      </c>
      <c r="C231" s="62">
        <v>62847358392</v>
      </c>
      <c r="D231" s="62">
        <v>80378253452</v>
      </c>
      <c r="E231" s="62">
        <v>11050992</v>
      </c>
      <c r="F231" s="62">
        <v>0</v>
      </c>
      <c r="G231" s="62">
        <v>0</v>
      </c>
      <c r="H231" s="62">
        <v>7000000</v>
      </c>
      <c r="I231" s="62">
        <v>18038649834</v>
      </c>
      <c r="J231" s="62">
        <v>22587472</v>
      </c>
      <c r="K231" s="62">
        <v>2647</v>
      </c>
      <c r="L231" s="62">
        <v>37248319590</v>
      </c>
      <c r="M231" s="62">
        <v>59326869117</v>
      </c>
      <c r="N231" s="63">
        <f t="shared" si="3"/>
        <v>5.4545237365531598E-3</v>
      </c>
    </row>
    <row r="232" spans="1:14" ht="26.25" customHeight="1">
      <c r="A232" s="62" t="s">
        <v>444</v>
      </c>
      <c r="B232" s="62">
        <v>0</v>
      </c>
      <c r="C232" s="62">
        <v>0</v>
      </c>
      <c r="D232" s="62">
        <v>0</v>
      </c>
      <c r="E232" s="62">
        <v>21654910</v>
      </c>
      <c r="F232" s="62">
        <v>0</v>
      </c>
      <c r="G232" s="62">
        <v>0</v>
      </c>
      <c r="H232" s="62">
        <v>0</v>
      </c>
      <c r="I232" s="62">
        <v>0</v>
      </c>
      <c r="J232" s="62">
        <v>21654910</v>
      </c>
      <c r="K232" s="62">
        <v>1332</v>
      </c>
      <c r="L232" s="62">
        <v>14055549690</v>
      </c>
      <c r="M232" s="62">
        <v>28621373371</v>
      </c>
      <c r="N232" s="63">
        <f t="shared" si="3"/>
        <v>2.6314545626365325E-3</v>
      </c>
    </row>
    <row r="233" spans="1:14" ht="40.5" customHeight="1" thickBot="1">
      <c r="A233" s="64" t="s">
        <v>2</v>
      </c>
      <c r="B233" s="64">
        <f t="shared" ref="B233:J233" si="4">SUM(B10:B232)</f>
        <v>1959687994</v>
      </c>
      <c r="C233" s="64">
        <f t="shared" si="4"/>
        <v>6897565486059</v>
      </c>
      <c r="D233" s="64">
        <f t="shared" si="4"/>
        <v>9010220177209</v>
      </c>
      <c r="E233" s="64">
        <f t="shared" si="4"/>
        <v>36456909</v>
      </c>
      <c r="F233" s="64">
        <f t="shared" si="4"/>
        <v>0</v>
      </c>
      <c r="G233" s="64">
        <f t="shared" si="4"/>
        <v>0</v>
      </c>
      <c r="H233" s="64">
        <f t="shared" si="4"/>
        <v>176840635</v>
      </c>
      <c r="I233" s="64">
        <f t="shared" si="4"/>
        <v>1116140482473</v>
      </c>
      <c r="J233" s="64">
        <f t="shared" si="4"/>
        <v>1819304268</v>
      </c>
      <c r="K233" s="65"/>
      <c r="L233" s="64">
        <f>SUM(L10:L232)</f>
        <v>6197818746650</v>
      </c>
      <c r="M233" s="64">
        <f>SUM(M10:M232)</f>
        <v>10156499374743</v>
      </c>
      <c r="N233" s="66">
        <f>SUM(N10:N232)</f>
        <v>0.93379050242091033</v>
      </c>
    </row>
    <row r="234" spans="1:14" ht="23.25" thickTop="1"/>
    <row r="236" spans="1:14">
      <c r="M236" s="68"/>
    </row>
  </sheetData>
  <mergeCells count="19">
    <mergeCell ref="B7:D7"/>
    <mergeCell ref="F7:I7"/>
    <mergeCell ref="J7:N7"/>
    <mergeCell ref="A8:A9"/>
    <mergeCell ref="B8:B9"/>
    <mergeCell ref="C8:C9"/>
    <mergeCell ref="M8:M9"/>
    <mergeCell ref="N8:N9"/>
    <mergeCell ref="H8:I8"/>
    <mergeCell ref="J8:J9"/>
    <mergeCell ref="K8:K9"/>
    <mergeCell ref="L8:L9"/>
    <mergeCell ref="E8:G8"/>
    <mergeCell ref="D8:D9"/>
    <mergeCell ref="A1:N1"/>
    <mergeCell ref="A2:N2"/>
    <mergeCell ref="A3:N3"/>
    <mergeCell ref="A4:N4"/>
    <mergeCell ref="A5:N5"/>
  </mergeCells>
  <pageMargins left="0.7" right="0.7" top="0.75" bottom="0.75" header="0.3" footer="0.3"/>
  <pageSetup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38"/>
  <sheetViews>
    <sheetView rightToLeft="1" view="pageBreakPreview" zoomScale="85" zoomScaleNormal="100" zoomScaleSheetLayoutView="85" workbookViewId="0">
      <selection activeCell="E22" sqref="E22"/>
    </sheetView>
  </sheetViews>
  <sheetFormatPr defaultColWidth="9.125" defaultRowHeight="15.75"/>
  <cols>
    <col min="1" max="1" width="70.375" style="6" bestFit="1" customWidth="1"/>
    <col min="2" max="2" width="10.375" style="6" bestFit="1" customWidth="1"/>
    <col min="3" max="3" width="8.25" style="6" bestFit="1" customWidth="1"/>
    <col min="4" max="4" width="10.625" style="6" bestFit="1" customWidth="1"/>
    <col min="5" max="5" width="8.875" style="6" bestFit="1" customWidth="1"/>
    <col min="6" max="6" width="10.375" style="6" bestFit="1" customWidth="1"/>
    <col min="7" max="8" width="8.25" style="6" bestFit="1" customWidth="1"/>
    <col min="9" max="9" width="8.875" style="6" bestFit="1" customWidth="1"/>
    <col min="10" max="10" width="10.625" style="6" bestFit="1" customWidth="1"/>
    <col min="11" max="11" width="7.25" style="6" bestFit="1" customWidth="1"/>
    <col min="12" max="12" width="8.25" style="6" bestFit="1" customWidth="1"/>
    <col min="13" max="13" width="7.625" style="6" bestFit="1" customWidth="1"/>
    <col min="14" max="16384" width="9.125" style="6"/>
  </cols>
  <sheetData>
    <row r="1" spans="1:13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</row>
    <row r="2" spans="1:13" ht="21">
      <c r="A2" s="109" t="s">
        <v>74</v>
      </c>
      <c r="B2" s="109"/>
      <c r="C2" s="109"/>
      <c r="D2" s="109"/>
      <c r="E2" s="109"/>
      <c r="F2" s="109"/>
      <c r="G2" s="109"/>
      <c r="H2" s="109"/>
      <c r="I2" s="109"/>
    </row>
    <row r="3" spans="1:13" ht="21.75" thickBot="1">
      <c r="A3" s="109" t="s">
        <v>115</v>
      </c>
      <c r="B3" s="109"/>
      <c r="C3" s="109"/>
      <c r="D3" s="109"/>
      <c r="E3" s="109"/>
      <c r="F3" s="109"/>
      <c r="G3" s="109"/>
      <c r="H3" s="109"/>
      <c r="I3" s="109"/>
    </row>
    <row r="4" spans="1:13" ht="21">
      <c r="A4" s="42" t="s">
        <v>75</v>
      </c>
      <c r="B4" s="42"/>
      <c r="C4" s="42"/>
      <c r="D4" s="42"/>
      <c r="E4" s="42"/>
      <c r="F4" s="42"/>
      <c r="G4" s="42"/>
      <c r="H4" s="42"/>
      <c r="I4" s="42"/>
    </row>
    <row r="5" spans="1:13" ht="16.5" thickBot="1">
      <c r="A5" s="43"/>
      <c r="B5" s="44"/>
      <c r="C5" s="44"/>
      <c r="D5" s="44"/>
      <c r="E5" s="44"/>
    </row>
    <row r="6" spans="1:13" ht="16.5" thickBot="1">
      <c r="A6" s="43"/>
      <c r="B6" s="108" t="s">
        <v>124</v>
      </c>
      <c r="C6" s="108"/>
      <c r="D6" s="108"/>
      <c r="E6" s="108"/>
      <c r="F6" s="108" t="s">
        <v>116</v>
      </c>
      <c r="G6" s="108"/>
      <c r="H6" s="108"/>
      <c r="I6" s="108"/>
    </row>
    <row r="7" spans="1:13" ht="16.5" thickBot="1">
      <c r="A7" s="45" t="s">
        <v>40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41</v>
      </c>
      <c r="G7" s="45" t="s">
        <v>42</v>
      </c>
      <c r="H7" s="45" t="s">
        <v>43</v>
      </c>
      <c r="I7" s="45" t="s">
        <v>44</v>
      </c>
    </row>
    <row r="8" spans="1:13">
      <c r="A8" s="46"/>
      <c r="B8" s="47"/>
      <c r="C8" s="47"/>
      <c r="D8" s="48"/>
      <c r="E8" s="47"/>
      <c r="F8" s="47"/>
      <c r="G8" s="47"/>
      <c r="H8" s="48"/>
      <c r="I8" s="47"/>
    </row>
    <row r="9" spans="1:13" ht="21">
      <c r="A9" s="49"/>
      <c r="B9" s="49"/>
      <c r="C9" s="49"/>
      <c r="D9" s="49"/>
      <c r="E9" s="49"/>
      <c r="F9" s="49"/>
      <c r="G9" s="49"/>
      <c r="H9" s="49"/>
      <c r="I9" s="49"/>
    </row>
    <row r="10" spans="1:13" ht="21">
      <c r="A10" s="20" t="s">
        <v>85</v>
      </c>
      <c r="B10" s="20"/>
      <c r="C10" s="20"/>
      <c r="D10" s="20"/>
      <c r="E10" s="20"/>
      <c r="F10" s="20"/>
      <c r="G10" s="20"/>
      <c r="H10" s="20"/>
      <c r="I10" s="20"/>
    </row>
    <row r="11" spans="1:13" ht="16.5" thickBot="1">
      <c r="A11" s="43"/>
      <c r="B11" s="44"/>
      <c r="C11" s="44"/>
      <c r="D11" s="44"/>
      <c r="E11" s="44"/>
      <c r="F11" s="44"/>
      <c r="G11" s="44"/>
      <c r="H11" s="44"/>
    </row>
    <row r="12" spans="1:13" ht="18.600000000000001" customHeight="1" thickBot="1">
      <c r="A12" s="43"/>
      <c r="B12" s="108" t="s">
        <v>124</v>
      </c>
      <c r="C12" s="108"/>
      <c r="D12" s="108"/>
      <c r="E12" s="108"/>
      <c r="F12" s="108"/>
      <c r="G12" s="108"/>
      <c r="H12" s="108" t="s">
        <v>116</v>
      </c>
      <c r="I12" s="108"/>
      <c r="J12" s="108"/>
      <c r="K12" s="108"/>
      <c r="L12" s="108"/>
      <c r="M12" s="108"/>
    </row>
    <row r="13" spans="1:13" ht="16.5" thickBot="1">
      <c r="A13" s="45" t="s">
        <v>40</v>
      </c>
      <c r="B13" s="45" t="s">
        <v>87</v>
      </c>
      <c r="C13" s="45" t="s">
        <v>86</v>
      </c>
      <c r="D13" s="45" t="s">
        <v>88</v>
      </c>
      <c r="E13" s="45" t="s">
        <v>84</v>
      </c>
      <c r="F13" s="45" t="s">
        <v>42</v>
      </c>
      <c r="G13" s="45" t="s">
        <v>43</v>
      </c>
      <c r="H13" s="45" t="s">
        <v>87</v>
      </c>
      <c r="I13" s="45" t="s">
        <v>86</v>
      </c>
      <c r="J13" s="45" t="s">
        <v>88</v>
      </c>
      <c r="K13" s="45" t="s">
        <v>84</v>
      </c>
      <c r="L13" s="45" t="s">
        <v>42</v>
      </c>
      <c r="M13" s="45" t="s">
        <v>43</v>
      </c>
    </row>
    <row r="14" spans="1:13" ht="2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2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 ht="21">
      <c r="A16" s="20" t="s">
        <v>89</v>
      </c>
      <c r="B16" s="20"/>
      <c r="C16" s="20"/>
      <c r="D16" s="20"/>
      <c r="E16" s="20"/>
      <c r="F16" s="20"/>
      <c r="G16" s="20"/>
      <c r="H16" s="20"/>
      <c r="I16" s="20"/>
    </row>
    <row r="17" spans="1:11" ht="16.5" thickBot="1">
      <c r="A17" s="43"/>
      <c r="B17" s="44"/>
      <c r="C17" s="44"/>
    </row>
    <row r="18" spans="1:11" ht="18.600000000000001" customHeight="1" thickBot="1">
      <c r="A18" s="43"/>
      <c r="B18" s="50" t="s">
        <v>124</v>
      </c>
      <c r="C18" s="50"/>
      <c r="D18" s="50"/>
      <c r="E18" s="50"/>
      <c r="F18" s="50" t="s">
        <v>116</v>
      </c>
      <c r="G18" s="50"/>
      <c r="H18" s="50"/>
      <c r="I18" s="50"/>
      <c r="J18" s="51"/>
      <c r="K18" s="51"/>
    </row>
    <row r="19" spans="1:11" ht="16.5" thickBot="1">
      <c r="A19" s="45" t="s">
        <v>40</v>
      </c>
      <c r="B19" s="45" t="s">
        <v>86</v>
      </c>
      <c r="C19" s="45" t="s">
        <v>84</v>
      </c>
      <c r="D19" s="45" t="s">
        <v>42</v>
      </c>
      <c r="E19" s="45" t="s">
        <v>43</v>
      </c>
      <c r="F19" s="45" t="s">
        <v>86</v>
      </c>
      <c r="G19" s="45" t="s">
        <v>84</v>
      </c>
      <c r="H19" s="45" t="s">
        <v>42</v>
      </c>
      <c r="I19" s="45" t="s">
        <v>43</v>
      </c>
      <c r="J19" s="43"/>
      <c r="K19" s="43"/>
    </row>
    <row r="20" spans="1:11">
      <c r="A20" s="46"/>
      <c r="B20" s="46"/>
      <c r="C20" s="46"/>
      <c r="D20" s="46"/>
      <c r="E20" s="46"/>
      <c r="F20" s="46"/>
      <c r="G20" s="46"/>
      <c r="H20" s="46"/>
      <c r="I20" s="46"/>
      <c r="J20" s="47"/>
      <c r="K20" s="48"/>
    </row>
    <row r="21" spans="1:11">
      <c r="A21" s="46"/>
      <c r="B21" s="46"/>
      <c r="C21" s="46"/>
      <c r="D21" s="46"/>
      <c r="E21" s="46"/>
      <c r="F21" s="46"/>
      <c r="G21" s="46"/>
      <c r="H21" s="46"/>
      <c r="I21" s="46"/>
      <c r="J21" s="47"/>
      <c r="K21" s="47"/>
    </row>
    <row r="22" spans="1:11">
      <c r="A22" s="46"/>
      <c r="B22" s="46"/>
      <c r="C22" s="46"/>
      <c r="D22" s="46"/>
      <c r="E22" s="46"/>
      <c r="F22" s="46"/>
      <c r="G22" s="46"/>
      <c r="H22" s="46"/>
      <c r="I22" s="46"/>
    </row>
    <row r="23" spans="1:11">
      <c r="A23" s="46"/>
      <c r="B23" s="46"/>
      <c r="C23" s="46"/>
      <c r="D23" s="46"/>
      <c r="E23" s="46"/>
      <c r="F23" s="46"/>
      <c r="G23" s="46"/>
      <c r="H23" s="46"/>
      <c r="I23" s="46"/>
    </row>
    <row r="24" spans="1:11">
      <c r="A24" s="46"/>
      <c r="B24" s="46"/>
      <c r="C24" s="46"/>
      <c r="D24" s="46"/>
      <c r="E24" s="46"/>
      <c r="F24" s="46"/>
      <c r="G24" s="46"/>
      <c r="H24" s="46"/>
      <c r="I24" s="46"/>
    </row>
    <row r="25" spans="1:11">
      <c r="A25" s="46"/>
      <c r="B25" s="46"/>
      <c r="C25" s="46"/>
      <c r="D25" s="46"/>
      <c r="E25" s="46"/>
      <c r="F25" s="46"/>
      <c r="G25" s="46"/>
      <c r="H25" s="46"/>
      <c r="I25" s="46"/>
    </row>
    <row r="26" spans="1:11">
      <c r="A26" s="46"/>
      <c r="B26" s="46"/>
      <c r="C26" s="46"/>
      <c r="D26" s="46"/>
      <c r="E26" s="46"/>
      <c r="F26" s="46"/>
      <c r="G26" s="46"/>
      <c r="H26" s="46"/>
      <c r="I26" s="46"/>
    </row>
    <row r="27" spans="1:11">
      <c r="A27" s="46"/>
      <c r="B27" s="46"/>
      <c r="C27" s="46"/>
      <c r="D27" s="46"/>
      <c r="E27" s="46"/>
      <c r="F27" s="46"/>
      <c r="G27" s="46"/>
      <c r="H27" s="46"/>
      <c r="I27" s="46"/>
    </row>
    <row r="28" spans="1:11">
      <c r="A28" s="46"/>
      <c r="B28" s="46"/>
      <c r="C28" s="46"/>
      <c r="D28" s="46"/>
      <c r="E28" s="46"/>
      <c r="F28" s="46"/>
      <c r="G28" s="46"/>
      <c r="H28" s="46"/>
      <c r="I28" s="46"/>
    </row>
    <row r="29" spans="1:11">
      <c r="A29" s="46"/>
      <c r="B29" s="46"/>
      <c r="C29" s="46"/>
      <c r="D29" s="46"/>
      <c r="E29" s="46"/>
      <c r="F29" s="46"/>
      <c r="G29" s="46"/>
      <c r="H29" s="46"/>
      <c r="I29" s="46"/>
    </row>
    <row r="30" spans="1:11">
      <c r="A30" s="46"/>
      <c r="B30" s="46"/>
      <c r="C30" s="46"/>
      <c r="D30" s="46"/>
      <c r="E30" s="46"/>
      <c r="F30" s="46"/>
      <c r="G30" s="46"/>
      <c r="H30" s="46"/>
      <c r="I30" s="46"/>
    </row>
    <row r="31" spans="1:11">
      <c r="A31" s="46"/>
      <c r="B31" s="46"/>
      <c r="C31" s="46"/>
      <c r="D31" s="46"/>
      <c r="E31" s="46"/>
      <c r="F31" s="46"/>
      <c r="G31" s="46"/>
      <c r="H31" s="46"/>
      <c r="I31" s="46"/>
    </row>
    <row r="32" spans="1:11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6"/>
      <c r="F34" s="46"/>
      <c r="G34" s="46"/>
      <c r="H34" s="46"/>
      <c r="I34" s="46"/>
    </row>
    <row r="35" spans="1:9">
      <c r="A35" s="46"/>
      <c r="B35" s="46"/>
      <c r="C35" s="46"/>
      <c r="D35" s="46"/>
      <c r="E35" s="46"/>
      <c r="F35" s="46"/>
      <c r="G35" s="46"/>
      <c r="H35" s="46"/>
      <c r="I35" s="46"/>
    </row>
    <row r="36" spans="1:9">
      <c r="A36" s="46"/>
      <c r="B36" s="46"/>
      <c r="C36" s="46"/>
      <c r="D36" s="46"/>
      <c r="E36" s="46"/>
      <c r="F36" s="46"/>
      <c r="G36" s="46"/>
      <c r="H36" s="46"/>
      <c r="I36" s="46"/>
    </row>
    <row r="37" spans="1:9">
      <c r="A37" s="46"/>
      <c r="B37" s="46"/>
      <c r="C37" s="46"/>
      <c r="D37" s="46"/>
      <c r="E37" s="46"/>
      <c r="F37" s="46"/>
      <c r="G37" s="46"/>
      <c r="H37" s="46"/>
      <c r="I37" s="46"/>
    </row>
    <row r="38" spans="1:9">
      <c r="A38" s="46"/>
      <c r="B38" s="46"/>
      <c r="C38" s="46"/>
      <c r="D38" s="46"/>
      <c r="E38" s="46"/>
      <c r="F38" s="46"/>
      <c r="G38" s="46"/>
      <c r="H38" s="46"/>
      <c r="I38" s="46"/>
    </row>
  </sheetData>
  <mergeCells count="7">
    <mergeCell ref="B12:G12"/>
    <mergeCell ref="H12:M12"/>
    <mergeCell ref="A1:I1"/>
    <mergeCell ref="A2:I2"/>
    <mergeCell ref="A3:I3"/>
    <mergeCell ref="B6:E6"/>
    <mergeCell ref="F6:I6"/>
  </mergeCells>
  <pageMargins left="0.7" right="0.7" top="0.75" bottom="0.75" header="0.3" footer="0.3"/>
  <pageSetup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rightToLeft="1" zoomScaleNormal="100" zoomScaleSheetLayoutView="100" workbookViewId="0">
      <selection activeCell="D23" sqref="D23"/>
    </sheetView>
  </sheetViews>
  <sheetFormatPr defaultColWidth="9.125" defaultRowHeight="15.75"/>
  <cols>
    <col min="1" max="1" width="4.375" style="6" bestFit="1" customWidth="1"/>
    <col min="2" max="2" width="6.25" style="6" bestFit="1" customWidth="1"/>
    <col min="3" max="3" width="8.125" style="6" bestFit="1" customWidth="1"/>
    <col min="4" max="4" width="10.125" style="6" bestFit="1" customWidth="1"/>
    <col min="5" max="5" width="3.5" style="6" bestFit="1" customWidth="1"/>
    <col min="6" max="6" width="8.125" style="6" bestFit="1" customWidth="1"/>
    <col min="7" max="7" width="3.5" style="6" bestFit="1" customWidth="1"/>
    <col min="8" max="8" width="6.375" style="6" bestFit="1" customWidth="1"/>
    <col min="9" max="9" width="3.5" style="6" bestFit="1" customWidth="1"/>
    <col min="10" max="10" width="13.875" style="6" bestFit="1" customWidth="1"/>
    <col min="11" max="11" width="8.125" style="6" bestFit="1" customWidth="1"/>
    <col min="12" max="12" width="10.125" style="6" bestFit="1" customWidth="1"/>
    <col min="13" max="13" width="11.625" style="6" bestFit="1" customWidth="1"/>
    <col min="14" max="16384" width="9.125" style="6"/>
  </cols>
  <sheetData>
    <row r="1" spans="1:13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</row>
    <row r="2" spans="1:13" ht="21">
      <c r="A2" s="109" t="s">
        <v>74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3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</row>
    <row r="4" spans="1:13" ht="21">
      <c r="A4" s="116" t="s">
        <v>96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</row>
    <row r="6" spans="1:13" ht="18.75" customHeight="1" thickBot="1">
      <c r="A6" s="7"/>
      <c r="B6" s="118" t="s">
        <v>124</v>
      </c>
      <c r="C6" s="118"/>
      <c r="D6" s="118"/>
      <c r="E6" s="117" t="s">
        <v>11</v>
      </c>
      <c r="F6" s="117"/>
      <c r="G6" s="117"/>
      <c r="H6" s="117"/>
      <c r="I6" s="118" t="s">
        <v>116</v>
      </c>
      <c r="J6" s="118"/>
      <c r="K6" s="118"/>
      <c r="L6" s="118"/>
      <c r="M6" s="118"/>
    </row>
    <row r="7" spans="1:13" ht="17.25" customHeight="1">
      <c r="A7" s="110" t="s">
        <v>90</v>
      </c>
      <c r="B7" s="115" t="s">
        <v>91</v>
      </c>
      <c r="C7" s="115" t="s">
        <v>0</v>
      </c>
      <c r="D7" s="119" t="s">
        <v>27</v>
      </c>
      <c r="E7" s="112" t="s">
        <v>101</v>
      </c>
      <c r="F7" s="112"/>
      <c r="G7" s="112" t="s">
        <v>102</v>
      </c>
      <c r="H7" s="112"/>
      <c r="I7" s="113" t="s">
        <v>3</v>
      </c>
      <c r="J7" s="119" t="s">
        <v>105</v>
      </c>
      <c r="K7" s="113" t="s">
        <v>0</v>
      </c>
      <c r="L7" s="119" t="s">
        <v>27</v>
      </c>
      <c r="M7" s="119" t="s">
        <v>30</v>
      </c>
    </row>
    <row r="8" spans="1:13" ht="20.25" customHeight="1" thickBot="1">
      <c r="A8" s="111"/>
      <c r="B8" s="114"/>
      <c r="C8" s="114"/>
      <c r="D8" s="111"/>
      <c r="E8" s="8" t="s">
        <v>3</v>
      </c>
      <c r="F8" s="8" t="s">
        <v>0</v>
      </c>
      <c r="G8" s="8" t="s">
        <v>3</v>
      </c>
      <c r="H8" s="8" t="s">
        <v>73</v>
      </c>
      <c r="I8" s="114"/>
      <c r="J8" s="111"/>
      <c r="K8" s="114"/>
      <c r="L8" s="111"/>
      <c r="M8" s="111"/>
    </row>
  </sheetData>
  <mergeCells count="18">
    <mergeCell ref="J7:J8"/>
    <mergeCell ref="M7:M8"/>
    <mergeCell ref="A1:M1"/>
    <mergeCell ref="A2:M2"/>
    <mergeCell ref="A3:M3"/>
    <mergeCell ref="A7:A8"/>
    <mergeCell ref="E7:F7"/>
    <mergeCell ref="G7:H7"/>
    <mergeCell ref="K7:K8"/>
    <mergeCell ref="I7:I8"/>
    <mergeCell ref="C7:C8"/>
    <mergeCell ref="B7:B8"/>
    <mergeCell ref="A4:M4"/>
    <mergeCell ref="E6:H6"/>
    <mergeCell ref="B6:D6"/>
    <mergeCell ref="I6:M6"/>
    <mergeCell ref="D7:D8"/>
    <mergeCell ref="L7:L8"/>
  </mergeCells>
  <pageMargins left="0.7" right="0.7" top="0.75" bottom="0.75" header="0.3" footer="0.3"/>
  <pageSetup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rightToLeft="1" zoomScaleNormal="100" zoomScaleSheetLayoutView="90" workbookViewId="0">
      <selection activeCell="D23" sqref="D23"/>
    </sheetView>
  </sheetViews>
  <sheetFormatPr defaultColWidth="9.125" defaultRowHeight="15.75"/>
  <cols>
    <col min="1" max="1" width="5.75" style="38" bestFit="1" customWidth="1"/>
    <col min="2" max="2" width="13.375" style="38" bestFit="1" customWidth="1"/>
    <col min="3" max="3" width="19.875" style="38" bestFit="1" customWidth="1"/>
    <col min="4" max="4" width="11.125" style="38" bestFit="1" customWidth="1"/>
    <col min="5" max="5" width="9.125" style="38" bestFit="1" customWidth="1"/>
    <col min="6" max="6" width="9.375" style="38" bestFit="1" customWidth="1"/>
    <col min="7" max="7" width="8.5" style="38" bestFit="1" customWidth="1"/>
    <col min="8" max="8" width="3.875" style="38" bestFit="1" customWidth="1"/>
    <col min="9" max="9" width="9.125" style="38" bestFit="1" customWidth="1"/>
    <col min="10" max="10" width="11.375" style="38" bestFit="1" customWidth="1"/>
    <col min="11" max="11" width="3.875" style="38" bestFit="1" customWidth="1"/>
    <col min="12" max="12" width="9.125" style="38" bestFit="1" customWidth="1"/>
    <col min="13" max="13" width="3.875" style="38" bestFit="1" customWidth="1"/>
    <col min="14" max="14" width="7.25" style="38" bestFit="1" customWidth="1"/>
    <col min="15" max="15" width="3.875" style="38" bestFit="1" customWidth="1"/>
    <col min="16" max="16" width="11.625" style="38" bestFit="1" customWidth="1"/>
    <col min="17" max="17" width="9.125" style="38" bestFit="1" customWidth="1"/>
    <col min="18" max="18" width="11.375" style="38" bestFit="1" customWidth="1"/>
    <col min="19" max="19" width="13" style="38" bestFit="1" customWidth="1"/>
    <col min="20" max="16384" width="9.125" style="38"/>
  </cols>
  <sheetData>
    <row r="1" spans="1:19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21">
      <c r="A2" s="109" t="s">
        <v>74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19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</row>
    <row r="4" spans="1:19" ht="21">
      <c r="A4" s="116" t="s">
        <v>97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</row>
    <row r="6" spans="1:19" ht="18" customHeight="1" thickBot="1">
      <c r="A6" s="118" t="s">
        <v>25</v>
      </c>
      <c r="B6" s="118"/>
      <c r="C6" s="118"/>
      <c r="D6" s="118"/>
      <c r="E6" s="118"/>
      <c r="F6" s="118"/>
      <c r="G6" s="118"/>
      <c r="H6" s="118" t="s">
        <v>124</v>
      </c>
      <c r="I6" s="118"/>
      <c r="J6" s="118"/>
      <c r="K6" s="120" t="s">
        <v>11</v>
      </c>
      <c r="L6" s="120"/>
      <c r="M6" s="120"/>
      <c r="N6" s="120"/>
      <c r="O6" s="118" t="s">
        <v>116</v>
      </c>
      <c r="P6" s="118"/>
      <c r="Q6" s="118"/>
      <c r="R6" s="118"/>
      <c r="S6" s="118"/>
    </row>
    <row r="7" spans="1:19" ht="26.25" customHeight="1">
      <c r="A7" s="126" t="s">
        <v>26</v>
      </c>
      <c r="B7" s="123" t="s">
        <v>10</v>
      </c>
      <c r="C7" s="125" t="s">
        <v>9</v>
      </c>
      <c r="D7" s="122" t="s">
        <v>38</v>
      </c>
      <c r="E7" s="123" t="s">
        <v>29</v>
      </c>
      <c r="F7" s="125" t="s">
        <v>8</v>
      </c>
      <c r="G7" s="125" t="s">
        <v>7</v>
      </c>
      <c r="H7" s="127" t="s">
        <v>3</v>
      </c>
      <c r="I7" s="122" t="s">
        <v>0</v>
      </c>
      <c r="J7" s="122" t="s">
        <v>27</v>
      </c>
      <c r="K7" s="121" t="s">
        <v>4</v>
      </c>
      <c r="L7" s="121"/>
      <c r="M7" s="121" t="s">
        <v>5</v>
      </c>
      <c r="N7" s="121"/>
      <c r="O7" s="127" t="s">
        <v>3</v>
      </c>
      <c r="P7" s="122" t="s">
        <v>39</v>
      </c>
      <c r="Q7" s="122" t="s">
        <v>0</v>
      </c>
      <c r="R7" s="122" t="s">
        <v>27</v>
      </c>
      <c r="S7" s="122" t="s">
        <v>28</v>
      </c>
    </row>
    <row r="8" spans="1:19" s="40" customFormat="1" ht="40.5" customHeight="1" thickBot="1">
      <c r="A8" s="118"/>
      <c r="B8" s="124"/>
      <c r="C8" s="124"/>
      <c r="D8" s="118"/>
      <c r="E8" s="124"/>
      <c r="F8" s="124"/>
      <c r="G8" s="124"/>
      <c r="H8" s="128"/>
      <c r="I8" s="118"/>
      <c r="J8" s="118"/>
      <c r="K8" s="39" t="s">
        <v>3</v>
      </c>
      <c r="L8" s="39" t="s">
        <v>0</v>
      </c>
      <c r="M8" s="39" t="s">
        <v>3</v>
      </c>
      <c r="N8" s="39" t="s">
        <v>73</v>
      </c>
      <c r="O8" s="128"/>
      <c r="P8" s="118"/>
      <c r="Q8" s="118"/>
      <c r="R8" s="118"/>
      <c r="S8" s="118"/>
    </row>
    <row r="13" spans="1:19">
      <c r="F13" s="41"/>
    </row>
  </sheetData>
  <mergeCells count="25">
    <mergeCell ref="R7:R8"/>
    <mergeCell ref="S7:S8"/>
    <mergeCell ref="O7:O8"/>
    <mergeCell ref="Q7:Q8"/>
    <mergeCell ref="P7:P8"/>
    <mergeCell ref="K7:L7"/>
    <mergeCell ref="M7:N7"/>
    <mergeCell ref="H6:J6"/>
    <mergeCell ref="A6:G6"/>
    <mergeCell ref="J7:J8"/>
    <mergeCell ref="B7:B8"/>
    <mergeCell ref="C7:C8"/>
    <mergeCell ref="F7:F8"/>
    <mergeCell ref="G7:G8"/>
    <mergeCell ref="E7:E8"/>
    <mergeCell ref="D7:D8"/>
    <mergeCell ref="A7:A8"/>
    <mergeCell ref="H7:H8"/>
    <mergeCell ref="I7:I8"/>
    <mergeCell ref="A1:S1"/>
    <mergeCell ref="A2:S2"/>
    <mergeCell ref="A3:S3"/>
    <mergeCell ref="A4:S4"/>
    <mergeCell ref="K6:N6"/>
    <mergeCell ref="O6:S6"/>
  </mergeCells>
  <pageMargins left="0.7" right="0.7" top="0.75" bottom="0.75" header="0.3" footer="0.3"/>
  <pageSetup scale="76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1992-802B-4F9B-A4D4-D6CBC840E590}">
  <dimension ref="A1:S13"/>
  <sheetViews>
    <sheetView rightToLeft="1" zoomScaleNormal="100" zoomScaleSheetLayoutView="90" workbookViewId="0">
      <selection activeCell="D23" sqref="D23"/>
    </sheetView>
  </sheetViews>
  <sheetFormatPr defaultColWidth="9.125" defaultRowHeight="15.75"/>
  <cols>
    <col min="1" max="1" width="5.75" style="38" bestFit="1" customWidth="1"/>
    <col min="2" max="2" width="13.375" style="38" bestFit="1" customWidth="1"/>
    <col min="3" max="3" width="19.875" style="38" bestFit="1" customWidth="1"/>
    <col min="4" max="4" width="11.125" style="38" bestFit="1" customWidth="1"/>
    <col min="5" max="5" width="9.125" style="38" bestFit="1" customWidth="1"/>
    <col min="6" max="6" width="9.375" style="38" bestFit="1" customWidth="1"/>
    <col min="7" max="7" width="8.5" style="38" bestFit="1" customWidth="1"/>
    <col min="8" max="8" width="3.875" style="38" bestFit="1" customWidth="1"/>
    <col min="9" max="9" width="9.125" style="38" bestFit="1" customWidth="1"/>
    <col min="10" max="10" width="11.375" style="38" bestFit="1" customWidth="1"/>
    <col min="11" max="11" width="3.875" style="38" bestFit="1" customWidth="1"/>
    <col min="12" max="12" width="9.125" style="38" bestFit="1" customWidth="1"/>
    <col min="13" max="13" width="3.875" style="38" bestFit="1" customWidth="1"/>
    <col min="14" max="14" width="7.25" style="38" bestFit="1" customWidth="1"/>
    <col min="15" max="15" width="3.875" style="38" bestFit="1" customWidth="1"/>
    <col min="16" max="16" width="11.625" style="38" bestFit="1" customWidth="1"/>
    <col min="17" max="17" width="9.125" style="38" bestFit="1" customWidth="1"/>
    <col min="18" max="18" width="11.375" style="38" bestFit="1" customWidth="1"/>
    <col min="19" max="19" width="13" style="38" bestFit="1" customWidth="1"/>
    <col min="20" max="16384" width="9.125" style="38"/>
  </cols>
  <sheetData>
    <row r="1" spans="1:19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21">
      <c r="A2" s="109" t="s">
        <v>74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19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</row>
    <row r="4" spans="1:19" ht="21">
      <c r="A4" s="116" t="s">
        <v>97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</row>
    <row r="6" spans="1:19" ht="18" customHeight="1" thickBot="1">
      <c r="A6" s="118" t="s">
        <v>25</v>
      </c>
      <c r="B6" s="118"/>
      <c r="C6" s="118"/>
      <c r="D6" s="118"/>
      <c r="E6" s="118"/>
      <c r="F6" s="118"/>
      <c r="G6" s="118"/>
      <c r="H6" s="118" t="s">
        <v>124</v>
      </c>
      <c r="I6" s="118"/>
      <c r="J6" s="118"/>
      <c r="K6" s="120" t="s">
        <v>11</v>
      </c>
      <c r="L6" s="120"/>
      <c r="M6" s="120"/>
      <c r="N6" s="120"/>
      <c r="O6" s="118" t="s">
        <v>116</v>
      </c>
      <c r="P6" s="118"/>
      <c r="Q6" s="118"/>
      <c r="R6" s="118"/>
      <c r="S6" s="118"/>
    </row>
    <row r="7" spans="1:19" ht="26.25" customHeight="1">
      <c r="A7" s="126" t="s">
        <v>26</v>
      </c>
      <c r="B7" s="123" t="s">
        <v>10</v>
      </c>
      <c r="C7" s="125" t="s">
        <v>9</v>
      </c>
      <c r="D7" s="122" t="s">
        <v>38</v>
      </c>
      <c r="E7" s="123" t="s">
        <v>29</v>
      </c>
      <c r="F7" s="125" t="s">
        <v>8</v>
      </c>
      <c r="G7" s="125" t="s">
        <v>7</v>
      </c>
      <c r="H7" s="127" t="s">
        <v>3</v>
      </c>
      <c r="I7" s="122" t="s">
        <v>0</v>
      </c>
      <c r="J7" s="122" t="s">
        <v>27</v>
      </c>
      <c r="K7" s="121" t="s">
        <v>4</v>
      </c>
      <c r="L7" s="121"/>
      <c r="M7" s="121" t="s">
        <v>5</v>
      </c>
      <c r="N7" s="121"/>
      <c r="O7" s="127" t="s">
        <v>3</v>
      </c>
      <c r="P7" s="122" t="s">
        <v>39</v>
      </c>
      <c r="Q7" s="122" t="s">
        <v>0</v>
      </c>
      <c r="R7" s="122" t="s">
        <v>27</v>
      </c>
      <c r="S7" s="122" t="s">
        <v>28</v>
      </c>
    </row>
    <row r="8" spans="1:19" s="40" customFormat="1" ht="40.5" customHeight="1" thickBot="1">
      <c r="A8" s="118"/>
      <c r="B8" s="124"/>
      <c r="C8" s="124"/>
      <c r="D8" s="118"/>
      <c r="E8" s="124"/>
      <c r="F8" s="124"/>
      <c r="G8" s="124"/>
      <c r="H8" s="128"/>
      <c r="I8" s="118"/>
      <c r="J8" s="118"/>
      <c r="K8" s="39" t="s">
        <v>3</v>
      </c>
      <c r="L8" s="39" t="s">
        <v>0</v>
      </c>
      <c r="M8" s="39" t="s">
        <v>3</v>
      </c>
      <c r="N8" s="39" t="s">
        <v>73</v>
      </c>
      <c r="O8" s="128"/>
      <c r="P8" s="118"/>
      <c r="Q8" s="118"/>
      <c r="R8" s="118"/>
      <c r="S8" s="118"/>
    </row>
    <row r="13" spans="1:19">
      <c r="F13" s="41"/>
    </row>
  </sheetData>
  <mergeCells count="25">
    <mergeCell ref="A1:S1"/>
    <mergeCell ref="A2:S2"/>
    <mergeCell ref="A3:S3"/>
    <mergeCell ref="A4:S4"/>
    <mergeCell ref="A6:G6"/>
    <mergeCell ref="H6:J6"/>
    <mergeCell ref="K6:N6"/>
    <mergeCell ref="O6:S6"/>
    <mergeCell ref="M7:N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L7"/>
    <mergeCell ref="O7:O8"/>
    <mergeCell ref="P7:P8"/>
    <mergeCell ref="Q7:Q8"/>
    <mergeCell ref="R7:R8"/>
    <mergeCell ref="S7:S8"/>
  </mergeCells>
  <pageMargins left="0.7" right="0.7" top="0.75" bottom="0.75" header="0.3" footer="0.3"/>
  <pageSetup scale="76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K10"/>
  <sheetViews>
    <sheetView rightToLeft="1" tabSelected="1" view="pageBreakPreview" zoomScale="140" zoomScaleNormal="100" zoomScaleSheetLayoutView="140" workbookViewId="0">
      <selection activeCell="A19" sqref="A19:K24"/>
    </sheetView>
  </sheetViews>
  <sheetFormatPr defaultColWidth="9.125" defaultRowHeight="15.75"/>
  <cols>
    <col min="1" max="1" width="12.5" style="6" bestFit="1" customWidth="1"/>
    <col min="2" max="2" width="7.375" style="6" bestFit="1" customWidth="1"/>
    <col min="3" max="3" width="7" style="6" bestFit="1" customWidth="1"/>
    <col min="4" max="4" width="9.875" style="6" bestFit="1" customWidth="1"/>
    <col min="5" max="5" width="7.25" style="6" bestFit="1" customWidth="1"/>
    <col min="6" max="6" width="16.375" style="6" bestFit="1" customWidth="1"/>
    <col min="7" max="7" width="1.5" style="6" bestFit="1" customWidth="1"/>
    <col min="8" max="16384" width="9.125" style="6"/>
  </cols>
  <sheetData>
    <row r="1" spans="1:11" ht="21">
      <c r="A1" s="109" t="s">
        <v>112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1" ht="21">
      <c r="A2" s="109" t="s">
        <v>74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1" ht="21">
      <c r="A3" s="109" t="s">
        <v>114</v>
      </c>
      <c r="B3" s="109"/>
      <c r="C3" s="109"/>
      <c r="D3" s="109"/>
      <c r="E3" s="109"/>
      <c r="F3" s="109"/>
      <c r="G3" s="109"/>
      <c r="H3" s="109"/>
      <c r="I3" s="109"/>
      <c r="J3" s="109"/>
    </row>
    <row r="4" spans="1:11" ht="25.5" customHeight="1">
      <c r="A4" s="131" t="s">
        <v>46</v>
      </c>
      <c r="B4" s="131"/>
      <c r="C4" s="131"/>
      <c r="D4" s="131"/>
      <c r="E4" s="131"/>
      <c r="F4" s="131"/>
      <c r="G4" s="131"/>
    </row>
    <row r="5" spans="1:11">
      <c r="A5" s="131" t="s">
        <v>45</v>
      </c>
      <c r="B5" s="131"/>
      <c r="C5" s="131"/>
      <c r="D5" s="131"/>
      <c r="E5" s="131"/>
      <c r="F5" s="131"/>
      <c r="G5" s="131"/>
    </row>
    <row r="6" spans="1:11" ht="19.5" customHeight="1" thickBot="1">
      <c r="B6" s="118" t="s">
        <v>116</v>
      </c>
      <c r="C6" s="118"/>
      <c r="D6" s="118"/>
      <c r="E6" s="118"/>
      <c r="F6" s="118"/>
      <c r="G6" s="118"/>
      <c r="H6" s="118"/>
      <c r="I6" s="118"/>
      <c r="J6" s="118"/>
    </row>
    <row r="7" spans="1:11" ht="31.5" customHeight="1">
      <c r="A7" s="115" t="s">
        <v>14</v>
      </c>
      <c r="B7" s="132" t="s">
        <v>3</v>
      </c>
      <c r="C7" s="110" t="s">
        <v>50</v>
      </c>
      <c r="D7" s="110" t="s">
        <v>49</v>
      </c>
      <c r="E7" s="110" t="s">
        <v>47</v>
      </c>
      <c r="F7" s="110" t="s">
        <v>48</v>
      </c>
      <c r="G7" s="110" t="s">
        <v>13</v>
      </c>
      <c r="H7" s="110"/>
      <c r="I7" s="110"/>
      <c r="J7" s="110"/>
    </row>
    <row r="8" spans="1:11" ht="18" customHeight="1" thickBot="1">
      <c r="A8" s="114"/>
      <c r="B8" s="133"/>
      <c r="C8" s="111"/>
      <c r="D8" s="111"/>
      <c r="E8" s="111"/>
      <c r="F8" s="111"/>
      <c r="G8" s="111"/>
      <c r="H8" s="111"/>
      <c r="I8" s="111"/>
      <c r="J8" s="111"/>
    </row>
    <row r="9" spans="1:11">
      <c r="A9" s="9" t="s">
        <v>355</v>
      </c>
      <c r="B9" s="9">
        <v>8858150</v>
      </c>
      <c r="C9" s="9">
        <v>1918</v>
      </c>
      <c r="D9" s="9">
        <v>800</v>
      </c>
      <c r="E9" s="53">
        <v>-0.58289885297184563</v>
      </c>
      <c r="F9" s="9">
        <v>7031741200</v>
      </c>
      <c r="G9" s="129" t="s">
        <v>434</v>
      </c>
      <c r="H9" s="129"/>
      <c r="I9" s="129"/>
      <c r="J9" s="129"/>
      <c r="K9" s="55"/>
    </row>
    <row r="10" spans="1:11">
      <c r="A10" s="9" t="s">
        <v>416</v>
      </c>
      <c r="B10" s="9">
        <v>1200163</v>
      </c>
      <c r="C10" s="9">
        <v>11080</v>
      </c>
      <c r="D10" s="9">
        <v>5540</v>
      </c>
      <c r="E10" s="53">
        <v>-0.5</v>
      </c>
      <c r="F10" s="9">
        <v>6597507000</v>
      </c>
      <c r="G10" s="130" t="s">
        <v>434</v>
      </c>
      <c r="H10" s="130"/>
      <c r="I10" s="130"/>
      <c r="J10" s="130"/>
      <c r="K10" s="55"/>
    </row>
  </sheetData>
  <mergeCells count="15">
    <mergeCell ref="G9:J9"/>
    <mergeCell ref="G10:J10"/>
    <mergeCell ref="A1:J1"/>
    <mergeCell ref="A2:J2"/>
    <mergeCell ref="A3:J3"/>
    <mergeCell ref="G7:J8"/>
    <mergeCell ref="A4:G4"/>
    <mergeCell ref="D7:D8"/>
    <mergeCell ref="A7:A8"/>
    <mergeCell ref="A5:G5"/>
    <mergeCell ref="C7:C8"/>
    <mergeCell ref="F7:F8"/>
    <mergeCell ref="E7:E8"/>
    <mergeCell ref="B7:B8"/>
    <mergeCell ref="B6:J6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18"/>
  <sheetViews>
    <sheetView rightToLeft="1" tabSelected="1" view="pageBreakPreview" zoomScale="90" zoomScaleNormal="100" zoomScaleSheetLayoutView="90" workbookViewId="0">
      <selection activeCell="A19" sqref="A19:K24"/>
    </sheetView>
  </sheetViews>
  <sheetFormatPr defaultColWidth="20.375" defaultRowHeight="24.75"/>
  <cols>
    <col min="1" max="5" width="20.375" style="73"/>
    <col min="6" max="6" width="20.375" style="82"/>
    <col min="7" max="16384" width="20.375" style="73"/>
  </cols>
  <sheetData>
    <row r="1" spans="1:14" ht="26.25">
      <c r="A1" s="146" t="s">
        <v>113</v>
      </c>
      <c r="B1" s="146"/>
      <c r="C1" s="146"/>
      <c r="D1" s="146"/>
      <c r="E1" s="146"/>
      <c r="F1" s="146"/>
      <c r="G1" s="72"/>
      <c r="H1" s="72"/>
      <c r="I1" s="72"/>
      <c r="J1" s="72"/>
      <c r="K1" s="72"/>
      <c r="L1" s="72"/>
      <c r="M1" s="72"/>
      <c r="N1" s="72"/>
    </row>
    <row r="2" spans="1:14" ht="26.25">
      <c r="A2" s="146" t="s">
        <v>74</v>
      </c>
      <c r="B2" s="146"/>
      <c r="C2" s="146"/>
      <c r="D2" s="146"/>
      <c r="E2" s="146"/>
      <c r="F2" s="146"/>
      <c r="G2" s="71"/>
      <c r="H2" s="146"/>
      <c r="I2" s="146"/>
      <c r="J2" s="146"/>
      <c r="K2" s="146"/>
      <c r="L2" s="146"/>
      <c r="M2" s="146"/>
      <c r="N2" s="146"/>
    </row>
    <row r="3" spans="1:14" ht="26.25">
      <c r="A3" s="146" t="s">
        <v>115</v>
      </c>
      <c r="B3" s="146"/>
      <c r="C3" s="146"/>
      <c r="D3" s="146"/>
      <c r="E3" s="146"/>
      <c r="F3" s="146"/>
      <c r="G3" s="71"/>
      <c r="H3" s="146"/>
      <c r="I3" s="146"/>
      <c r="J3" s="146"/>
      <c r="K3" s="146"/>
      <c r="L3" s="146"/>
      <c r="M3" s="146"/>
      <c r="N3" s="146"/>
    </row>
    <row r="4" spans="1:14" ht="26.25">
      <c r="A4" s="136" t="s">
        <v>451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</row>
    <row r="5" spans="1:14" ht="25.5" thickBot="1">
      <c r="B5" s="74"/>
      <c r="C5" s="74"/>
      <c r="D5" s="74"/>
      <c r="E5" s="74"/>
      <c r="F5" s="75"/>
    </row>
    <row r="6" spans="1:14" ht="18.75" customHeight="1" thickBot="1">
      <c r="A6" s="76"/>
      <c r="B6" s="77" t="s">
        <v>124</v>
      </c>
      <c r="C6" s="143" t="s">
        <v>11</v>
      </c>
      <c r="D6" s="143"/>
      <c r="E6" s="137" t="s">
        <v>116</v>
      </c>
      <c r="F6" s="137"/>
    </row>
    <row r="7" spans="1:14" ht="24" customHeight="1">
      <c r="A7" s="140" t="s">
        <v>12</v>
      </c>
      <c r="B7" s="142" t="s">
        <v>6</v>
      </c>
      <c r="C7" s="144" t="s">
        <v>52</v>
      </c>
      <c r="D7" s="144" t="s">
        <v>110</v>
      </c>
      <c r="E7" s="138" t="s">
        <v>6</v>
      </c>
      <c r="F7" s="134" t="s">
        <v>28</v>
      </c>
    </row>
    <row r="8" spans="1:14" ht="29.25" customHeight="1" thickBot="1">
      <c r="A8" s="141"/>
      <c r="B8" s="139"/>
      <c r="C8" s="145"/>
      <c r="D8" s="145"/>
      <c r="E8" s="139"/>
      <c r="F8" s="135"/>
    </row>
    <row r="9" spans="1:14">
      <c r="A9" s="78" t="s">
        <v>122</v>
      </c>
      <c r="B9" s="78">
        <v>9812</v>
      </c>
      <c r="E9" s="78">
        <v>9812</v>
      </c>
      <c r="F9" s="79">
        <f>E9/10876635978211</f>
        <v>9.0211716376793626E-10</v>
      </c>
    </row>
    <row r="10" spans="1:14">
      <c r="A10" s="78" t="s">
        <v>117</v>
      </c>
      <c r="B10" s="78">
        <v>14928174</v>
      </c>
      <c r="C10" s="78">
        <v>63126</v>
      </c>
      <c r="D10" s="78">
        <v>0</v>
      </c>
      <c r="E10" s="78">
        <v>14991300</v>
      </c>
      <c r="F10" s="79">
        <f t="shared" ref="F10:F14" si="0">E10/10876635978211</f>
        <v>1.3783030001217145E-6</v>
      </c>
    </row>
    <row r="11" spans="1:14">
      <c r="A11" s="78" t="s">
        <v>118</v>
      </c>
      <c r="B11" s="78">
        <v>6845079</v>
      </c>
      <c r="C11" s="78">
        <v>29068</v>
      </c>
      <c r="D11" s="78">
        <v>0</v>
      </c>
      <c r="E11" s="78">
        <v>6874147</v>
      </c>
      <c r="F11" s="79">
        <f t="shared" si="0"/>
        <v>6.3201039492089968E-7</v>
      </c>
    </row>
    <row r="12" spans="1:14">
      <c r="A12" s="78" t="s">
        <v>119</v>
      </c>
      <c r="B12" s="78">
        <v>11254740</v>
      </c>
      <c r="C12" s="78">
        <v>1834243732</v>
      </c>
      <c r="D12" s="78">
        <v>1840049000</v>
      </c>
      <c r="E12" s="78">
        <v>5449472</v>
      </c>
      <c r="F12" s="79">
        <f t="shared" si="0"/>
        <v>5.0102550190305573E-7</v>
      </c>
    </row>
    <row r="13" spans="1:14">
      <c r="A13" s="78" t="s">
        <v>120</v>
      </c>
      <c r="B13" s="78">
        <v>50358082348</v>
      </c>
      <c r="C13" s="78">
        <v>958871410930</v>
      </c>
      <c r="D13" s="78">
        <v>932725527000</v>
      </c>
      <c r="E13" s="78">
        <v>76503966278</v>
      </c>
      <c r="F13" s="79">
        <f t="shared" si="0"/>
        <v>7.0337893472999591E-3</v>
      </c>
    </row>
    <row r="14" spans="1:14">
      <c r="A14" s="78" t="s">
        <v>121</v>
      </c>
      <c r="B14" s="78">
        <v>7005130</v>
      </c>
      <c r="C14" s="78">
        <v>412541</v>
      </c>
      <c r="D14" s="78">
        <v>0</v>
      </c>
      <c r="E14" s="78">
        <v>7417671</v>
      </c>
      <c r="F14" s="79">
        <f t="shared" si="0"/>
        <v>6.8198209582997058E-7</v>
      </c>
    </row>
    <row r="15" spans="1:14" ht="25.5" thickBot="1">
      <c r="A15" s="80" t="s">
        <v>2</v>
      </c>
      <c r="B15" s="80">
        <f>SUM(B9:B14)</f>
        <v>50398125283</v>
      </c>
      <c r="C15" s="80">
        <f>SUM(C9:C14)</f>
        <v>960706159397</v>
      </c>
      <c r="D15" s="80">
        <f>SUM(D9:D14)</f>
        <v>934565576000</v>
      </c>
      <c r="E15" s="80">
        <f>SUM(E9:E14)</f>
        <v>76538708680</v>
      </c>
      <c r="F15" s="81">
        <f>SUM(F9:F14)</f>
        <v>7.0369835704098983E-3</v>
      </c>
    </row>
    <row r="16" spans="1:14" ht="25.5" thickTop="1"/>
    <row r="18" spans="5:5">
      <c r="E18" s="83"/>
    </row>
  </sheetData>
  <mergeCells count="14">
    <mergeCell ref="H2:N2"/>
    <mergeCell ref="A1:F1"/>
    <mergeCell ref="A2:F2"/>
    <mergeCell ref="A3:F3"/>
    <mergeCell ref="H3:N3"/>
    <mergeCell ref="F7:F8"/>
    <mergeCell ref="A4:N4"/>
    <mergeCell ref="E6:F6"/>
    <mergeCell ref="E7:E8"/>
    <mergeCell ref="A7:A8"/>
    <mergeCell ref="B7:B8"/>
    <mergeCell ref="C6:D6"/>
    <mergeCell ref="C7:C8"/>
    <mergeCell ref="D7:D8"/>
  </mergeCells>
  <pageMargins left="0.7" right="0.7" top="0.75" bottom="0.75" header="0.3" footer="0.3"/>
  <pageSetup scale="9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S12"/>
  <sheetViews>
    <sheetView rightToLeft="1" tabSelected="1" view="pageBreakPreview" zoomScaleNormal="100" zoomScaleSheetLayoutView="100" workbookViewId="0">
      <selection activeCell="A19" sqref="A19:K24"/>
    </sheetView>
  </sheetViews>
  <sheetFormatPr defaultRowHeight="18"/>
  <cols>
    <col min="1" max="1" width="46.75" style="37" bestFit="1" customWidth="1"/>
    <col min="2" max="2" width="5.875" style="10" bestFit="1" customWidth="1"/>
    <col min="3" max="3" width="12.625" style="10" bestFit="1" customWidth="1"/>
    <col min="4" max="4" width="13.125" style="86" customWidth="1"/>
    <col min="5" max="5" width="13.75" style="86" bestFit="1" customWidth="1"/>
    <col min="6" max="16384" width="9" style="10"/>
  </cols>
  <sheetData>
    <row r="1" spans="1:19" ht="21">
      <c r="A1" s="147" t="s">
        <v>113</v>
      </c>
      <c r="B1" s="147"/>
      <c r="C1" s="147"/>
      <c r="D1" s="147"/>
      <c r="E1" s="147"/>
    </row>
    <row r="2" spans="1:19" ht="21">
      <c r="A2" s="147" t="s">
        <v>79</v>
      </c>
      <c r="B2" s="147"/>
      <c r="C2" s="147"/>
      <c r="D2" s="147"/>
      <c r="E2" s="147"/>
    </row>
    <row r="3" spans="1:19" ht="21">
      <c r="A3" s="147" t="s">
        <v>115</v>
      </c>
      <c r="B3" s="147"/>
      <c r="C3" s="147"/>
      <c r="D3" s="147"/>
      <c r="E3" s="147"/>
    </row>
    <row r="4" spans="1:19" ht="21">
      <c r="A4" s="116" t="s">
        <v>34</v>
      </c>
      <c r="B4" s="116"/>
      <c r="C4" s="116"/>
      <c r="D4" s="116"/>
      <c r="E4" s="116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18.75" thickBot="1">
      <c r="A5" s="12" t="s">
        <v>53</v>
      </c>
      <c r="B5" s="34" t="s">
        <v>54</v>
      </c>
      <c r="C5" s="34" t="s">
        <v>6</v>
      </c>
      <c r="D5" s="85" t="s">
        <v>23</v>
      </c>
      <c r="E5" s="85" t="s">
        <v>83</v>
      </c>
    </row>
    <row r="6" spans="1:19" ht="21">
      <c r="A6" s="35" t="s">
        <v>69</v>
      </c>
      <c r="B6" s="36" t="s">
        <v>76</v>
      </c>
      <c r="C6" s="9">
        <f>'درآمد سرمایه گذاری در سهام '!J232</f>
        <v>5086586415979</v>
      </c>
      <c r="D6" s="53">
        <f>C6/$C$11</f>
        <v>0.99903956881810696</v>
      </c>
      <c r="E6" s="53">
        <f>C6/10876635978211</f>
        <v>0.46766173163916502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21" hidden="1">
      <c r="A7" s="35" t="s">
        <v>92</v>
      </c>
      <c r="B7" s="36" t="s">
        <v>77</v>
      </c>
      <c r="C7" s="9">
        <v>0</v>
      </c>
      <c r="D7" s="53">
        <f>C7/$C$11</f>
        <v>0</v>
      </c>
      <c r="E7" s="53">
        <f t="shared" ref="E7:E10" si="0">C7/10876635978211</f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21" hidden="1">
      <c r="A8" s="35" t="s">
        <v>70</v>
      </c>
      <c r="B8" s="36" t="s">
        <v>78</v>
      </c>
      <c r="C8" s="9">
        <v>0</v>
      </c>
      <c r="D8" s="53">
        <f>C8/$C$11</f>
        <v>0</v>
      </c>
      <c r="E8" s="53">
        <f t="shared" si="0"/>
        <v>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21">
      <c r="A9" s="35" t="s">
        <v>71</v>
      </c>
      <c r="B9" s="1" t="s">
        <v>77</v>
      </c>
      <c r="C9" s="9">
        <f>'درآمد سپرده بانکی'!D14</f>
        <v>4890016193</v>
      </c>
      <c r="D9" s="53">
        <f>C9/$C$11</f>
        <v>9.6043186322786927E-4</v>
      </c>
      <c r="E9" s="53">
        <f t="shared" si="0"/>
        <v>4.4958902759971881E-4</v>
      </c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9" ht="21">
      <c r="A10" s="35" t="s">
        <v>36</v>
      </c>
      <c r="B10" s="1" t="s">
        <v>78</v>
      </c>
      <c r="C10" s="9">
        <f>'سایر درآمدها'!C9</f>
        <v>-3469</v>
      </c>
      <c r="D10" s="53">
        <f>C10/$C$11</f>
        <v>-6.8133478541580744E-10</v>
      </c>
      <c r="E10" s="53">
        <f t="shared" si="0"/>
        <v>-3.189405259998951E-10</v>
      </c>
      <c r="F10" s="20"/>
      <c r="G10" s="20"/>
    </row>
    <row r="11" spans="1:19" ht="18.75" thickBot="1">
      <c r="A11" s="52" t="s">
        <v>2</v>
      </c>
      <c r="B11" s="84"/>
      <c r="C11" s="52">
        <f>SUM(C6:C10)</f>
        <v>5091476428703</v>
      </c>
      <c r="D11" s="87">
        <f>SUM(D6:D10)</f>
        <v>1</v>
      </c>
      <c r="E11" s="54">
        <f>SUM(E6:E10)</f>
        <v>0.46811132034782421</v>
      </c>
    </row>
    <row r="12" spans="1:19" ht="18.75" thickTop="1">
      <c r="C12" s="91"/>
    </row>
  </sheetData>
  <mergeCells count="4">
    <mergeCell ref="A4:E4"/>
    <mergeCell ref="A3:E3"/>
    <mergeCell ref="A2:E2"/>
    <mergeCell ref="A1:E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K235"/>
  <sheetViews>
    <sheetView rightToLeft="1" tabSelected="1" view="pageBreakPreview" topLeftCell="A214" zoomScale="110" zoomScaleNormal="100" zoomScaleSheetLayoutView="110" workbookViewId="0">
      <selection activeCell="A19" sqref="A19:K24"/>
    </sheetView>
  </sheetViews>
  <sheetFormatPr defaultColWidth="9.125" defaultRowHeight="22.5"/>
  <cols>
    <col min="1" max="1" width="24.5" style="57" bestFit="1" customWidth="1"/>
    <col min="2" max="2" width="16.75" style="57" bestFit="1" customWidth="1"/>
    <col min="3" max="3" width="18.625" style="57" bestFit="1" customWidth="1"/>
    <col min="4" max="4" width="16.75" style="57" bestFit="1" customWidth="1"/>
    <col min="5" max="5" width="18.375" style="57" bestFit="1" customWidth="1"/>
    <col min="6" max="6" width="13.625" style="67" bestFit="1" customWidth="1"/>
    <col min="7" max="7" width="16.75" style="57" bestFit="1" customWidth="1"/>
    <col min="8" max="8" width="18.5" style="57" bestFit="1" customWidth="1"/>
    <col min="9" max="9" width="16.75" style="57" bestFit="1" customWidth="1"/>
    <col min="10" max="10" width="18.375" style="57" bestFit="1" customWidth="1"/>
    <col min="11" max="11" width="13.625" style="67" bestFit="1" customWidth="1"/>
    <col min="12" max="16384" width="9.125" style="57"/>
  </cols>
  <sheetData>
    <row r="1" spans="1:11" ht="24">
      <c r="A1" s="95" t="s">
        <v>113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4">
      <c r="A2" s="95" t="s">
        <v>79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4">
      <c r="A3" s="95" t="s">
        <v>115</v>
      </c>
      <c r="B3" s="95"/>
      <c r="C3" s="95"/>
      <c r="D3" s="95"/>
      <c r="E3" s="95"/>
      <c r="F3" s="95"/>
      <c r="G3" s="95"/>
      <c r="H3" s="95"/>
      <c r="I3" s="95"/>
      <c r="J3" s="95"/>
      <c r="K3" s="95"/>
    </row>
    <row r="5" spans="1:11" ht="24">
      <c r="A5" s="96" t="s">
        <v>35</v>
      </c>
      <c r="B5" s="96"/>
      <c r="C5" s="96"/>
      <c r="D5" s="96"/>
      <c r="E5" s="96"/>
      <c r="F5" s="96"/>
      <c r="G5" s="96"/>
      <c r="H5" s="96"/>
      <c r="I5" s="96"/>
      <c r="J5" s="96"/>
      <c r="K5" s="96"/>
    </row>
    <row r="7" spans="1:11" ht="19.5" customHeight="1" thickBot="1">
      <c r="A7" s="70"/>
      <c r="B7" s="148" t="s">
        <v>109</v>
      </c>
      <c r="C7" s="148"/>
      <c r="D7" s="148"/>
      <c r="E7" s="148"/>
      <c r="F7" s="148"/>
      <c r="G7" s="148" t="s">
        <v>116</v>
      </c>
      <c r="H7" s="148"/>
      <c r="I7" s="148"/>
      <c r="J7" s="148"/>
      <c r="K7" s="148"/>
    </row>
    <row r="8" spans="1:11" ht="19.5" customHeight="1">
      <c r="A8" s="149" t="s">
        <v>31</v>
      </c>
      <c r="B8" s="151" t="s">
        <v>15</v>
      </c>
      <c r="C8" s="151" t="s">
        <v>16</v>
      </c>
      <c r="D8" s="151" t="s">
        <v>17</v>
      </c>
      <c r="E8" s="151" t="s">
        <v>2</v>
      </c>
      <c r="F8" s="151"/>
      <c r="G8" s="151" t="s">
        <v>15</v>
      </c>
      <c r="H8" s="151" t="s">
        <v>16</v>
      </c>
      <c r="I8" s="151" t="s">
        <v>17</v>
      </c>
      <c r="J8" s="151" t="s">
        <v>2</v>
      </c>
      <c r="K8" s="151"/>
    </row>
    <row r="9" spans="1:11" ht="18.75" customHeight="1" thickBot="1">
      <c r="A9" s="149"/>
      <c r="B9" s="152"/>
      <c r="C9" s="152"/>
      <c r="D9" s="152"/>
      <c r="E9" s="148"/>
      <c r="F9" s="148"/>
      <c r="G9" s="152"/>
      <c r="H9" s="152"/>
      <c r="I9" s="152"/>
      <c r="J9" s="148"/>
      <c r="K9" s="148"/>
    </row>
    <row r="10" spans="1:11" ht="45.75" customHeight="1" thickBot="1">
      <c r="A10" s="150"/>
      <c r="B10" s="148"/>
      <c r="C10" s="148"/>
      <c r="D10" s="148"/>
      <c r="E10" s="88" t="s">
        <v>6</v>
      </c>
      <c r="F10" s="89" t="s">
        <v>18</v>
      </c>
      <c r="G10" s="148"/>
      <c r="H10" s="148"/>
      <c r="I10" s="148"/>
      <c r="J10" s="88" t="s">
        <v>6</v>
      </c>
      <c r="K10" s="89" t="s">
        <v>18</v>
      </c>
    </row>
    <row r="11" spans="1:11">
      <c r="A11" s="62" t="s">
        <v>265</v>
      </c>
      <c r="B11" s="62">
        <v>0</v>
      </c>
      <c r="C11" s="62">
        <v>12339229187</v>
      </c>
      <c r="D11" s="62">
        <v>2952709025</v>
      </c>
      <c r="E11" s="62">
        <v>15291938212</v>
      </c>
      <c r="F11" s="63">
        <v>6.3935055436620475E-3</v>
      </c>
      <c r="G11" s="62">
        <v>3282166800</v>
      </c>
      <c r="H11" s="62">
        <v>17534244271</v>
      </c>
      <c r="I11" s="62">
        <v>2985679243</v>
      </c>
      <c r="J11" s="62">
        <v>23802090314</v>
      </c>
      <c r="K11" s="63">
        <f>J11/درآمدها!$C$11</f>
        <v>4.6748896213712476E-3</v>
      </c>
    </row>
    <row r="12" spans="1:11">
      <c r="A12" s="62" t="s">
        <v>218</v>
      </c>
      <c r="B12" s="62">
        <v>0</v>
      </c>
      <c r="C12" s="62">
        <v>7444598577</v>
      </c>
      <c r="D12" s="62">
        <v>-5826902</v>
      </c>
      <c r="E12" s="62">
        <v>7438771675</v>
      </c>
      <c r="F12" s="63">
        <v>3.1101242551992017E-3</v>
      </c>
      <c r="G12" s="62">
        <v>0</v>
      </c>
      <c r="H12" s="62">
        <v>3448763635</v>
      </c>
      <c r="I12" s="62">
        <v>-80100604</v>
      </c>
      <c r="J12" s="62">
        <v>3368663031</v>
      </c>
      <c r="K12" s="63">
        <f>J12/درآمدها!$C$11</f>
        <v>6.6162793409182713E-4</v>
      </c>
    </row>
    <row r="13" spans="1:11">
      <c r="A13" s="62" t="s">
        <v>239</v>
      </c>
      <c r="B13" s="62">
        <v>0</v>
      </c>
      <c r="C13" s="62">
        <v>6939612900</v>
      </c>
      <c r="D13" s="62">
        <v>0</v>
      </c>
      <c r="E13" s="62">
        <v>6939612900</v>
      </c>
      <c r="F13" s="63">
        <v>2.9014277282523628E-3</v>
      </c>
      <c r="G13" s="62">
        <v>6704361535</v>
      </c>
      <c r="H13" s="62">
        <v>9803490937</v>
      </c>
      <c r="I13" s="62">
        <v>3845973021</v>
      </c>
      <c r="J13" s="62">
        <v>20353825493</v>
      </c>
      <c r="K13" s="63">
        <f>J13/درآمدها!$C$11</f>
        <v>3.9976273636967265E-3</v>
      </c>
    </row>
    <row r="14" spans="1:11">
      <c r="A14" s="62" t="s">
        <v>236</v>
      </c>
      <c r="B14" s="62">
        <v>0</v>
      </c>
      <c r="C14" s="62">
        <v>11778559296</v>
      </c>
      <c r="D14" s="62">
        <v>144607093</v>
      </c>
      <c r="E14" s="62">
        <v>11923166389</v>
      </c>
      <c r="F14" s="63">
        <v>4.9850339014747055E-3</v>
      </c>
      <c r="G14" s="62">
        <v>2864396600</v>
      </c>
      <c r="H14" s="62">
        <v>2642060483</v>
      </c>
      <c r="I14" s="62">
        <v>-145896556</v>
      </c>
      <c r="J14" s="62">
        <v>5360560527</v>
      </c>
      <c r="K14" s="63">
        <f>J14/درآمدها!$C$11</f>
        <v>1.0528499153565848E-3</v>
      </c>
    </row>
    <row r="15" spans="1:11">
      <c r="A15" s="62" t="s">
        <v>138</v>
      </c>
      <c r="B15" s="62">
        <v>0</v>
      </c>
      <c r="C15" s="62">
        <v>12407211645</v>
      </c>
      <c r="D15" s="62">
        <v>-82497829</v>
      </c>
      <c r="E15" s="62">
        <v>12324713816</v>
      </c>
      <c r="F15" s="63">
        <v>5.1529194673837478E-3</v>
      </c>
      <c r="G15" s="62">
        <v>0</v>
      </c>
      <c r="H15" s="62">
        <v>4503637792</v>
      </c>
      <c r="I15" s="62">
        <v>-82497829</v>
      </c>
      <c r="J15" s="62">
        <v>4421139963</v>
      </c>
      <c r="K15" s="63">
        <f>J15/درآمدها!$C$11</f>
        <v>8.6834143787369727E-4</v>
      </c>
    </row>
    <row r="16" spans="1:11">
      <c r="A16" s="62" t="s">
        <v>244</v>
      </c>
      <c r="B16" s="62">
        <v>4239518613</v>
      </c>
      <c r="C16" s="62">
        <v>3431913137</v>
      </c>
      <c r="D16" s="62">
        <v>0</v>
      </c>
      <c r="E16" s="62">
        <v>7671431750</v>
      </c>
      <c r="F16" s="63">
        <v>3.2073986136669881E-3</v>
      </c>
      <c r="G16" s="62">
        <v>4239518613</v>
      </c>
      <c r="H16" s="62">
        <v>18079459929</v>
      </c>
      <c r="I16" s="62">
        <v>203010820</v>
      </c>
      <c r="J16" s="62">
        <v>22521989362</v>
      </c>
      <c r="K16" s="63">
        <f>J16/درآمدها!$C$11</f>
        <v>4.4234692387129914E-3</v>
      </c>
    </row>
    <row r="17" spans="1:11">
      <c r="A17" s="62" t="s">
        <v>266</v>
      </c>
      <c r="B17" s="62">
        <v>0</v>
      </c>
      <c r="C17" s="62">
        <v>2933740739</v>
      </c>
      <c r="D17" s="62">
        <v>0</v>
      </c>
      <c r="E17" s="62">
        <v>2933740739</v>
      </c>
      <c r="F17" s="63">
        <v>1.2265866771384579E-3</v>
      </c>
      <c r="G17" s="62">
        <v>0</v>
      </c>
      <c r="H17" s="62">
        <v>1190924458</v>
      </c>
      <c r="I17" s="62">
        <v>0</v>
      </c>
      <c r="J17" s="62">
        <v>1190924458</v>
      </c>
      <c r="K17" s="63">
        <f>J17/درآمدها!$C$11</f>
        <v>2.3390552321645049E-4</v>
      </c>
    </row>
    <row r="18" spans="1:11">
      <c r="A18" s="62" t="s">
        <v>267</v>
      </c>
      <c r="B18" s="62">
        <v>0</v>
      </c>
      <c r="C18" s="62">
        <v>23046752664</v>
      </c>
      <c r="D18" s="62">
        <v>0</v>
      </c>
      <c r="E18" s="62">
        <v>23046752664</v>
      </c>
      <c r="F18" s="63">
        <v>9.6357661715545558E-3</v>
      </c>
      <c r="G18" s="62">
        <v>926433360</v>
      </c>
      <c r="H18" s="62">
        <v>18990542637</v>
      </c>
      <c r="I18" s="62">
        <v>0</v>
      </c>
      <c r="J18" s="62">
        <v>19916975997</v>
      </c>
      <c r="K18" s="63">
        <f>J18/درآمدها!$C$11</f>
        <v>3.9118272029541028E-3</v>
      </c>
    </row>
    <row r="19" spans="1:11">
      <c r="A19" s="62" t="s">
        <v>268</v>
      </c>
      <c r="B19" s="62">
        <v>0</v>
      </c>
      <c r="C19" s="62">
        <v>15199860219</v>
      </c>
      <c r="D19" s="62">
        <v>0</v>
      </c>
      <c r="E19" s="62">
        <v>15199860219</v>
      </c>
      <c r="F19" s="63">
        <v>6.3550080588740954E-3</v>
      </c>
      <c r="G19" s="62">
        <v>3890354400</v>
      </c>
      <c r="H19" s="62">
        <v>36271178839</v>
      </c>
      <c r="I19" s="62">
        <v>0</v>
      </c>
      <c r="J19" s="62">
        <v>40161533239</v>
      </c>
      <c r="K19" s="63">
        <f>J19/درآمدها!$C$11</f>
        <v>7.8879935518489132E-3</v>
      </c>
    </row>
    <row r="20" spans="1:11">
      <c r="A20" s="62" t="s">
        <v>131</v>
      </c>
      <c r="B20" s="62">
        <v>325961964</v>
      </c>
      <c r="C20" s="62">
        <v>11572045947</v>
      </c>
      <c r="D20" s="62">
        <v>0</v>
      </c>
      <c r="E20" s="62">
        <v>11898007911</v>
      </c>
      <c r="F20" s="63">
        <v>4.9745152303727735E-3</v>
      </c>
      <c r="G20" s="62">
        <v>325961964</v>
      </c>
      <c r="H20" s="62">
        <v>17036690274</v>
      </c>
      <c r="I20" s="62">
        <v>-372</v>
      </c>
      <c r="J20" s="62">
        <v>17362651866</v>
      </c>
      <c r="K20" s="63">
        <f>J20/درآمدها!$C$11</f>
        <v>3.4101408715394863E-3</v>
      </c>
    </row>
    <row r="21" spans="1:11">
      <c r="A21" s="62" t="s">
        <v>179</v>
      </c>
      <c r="B21" s="62">
        <v>0</v>
      </c>
      <c r="C21" s="62">
        <v>12051301689</v>
      </c>
      <c r="D21" s="62">
        <v>404038812</v>
      </c>
      <c r="E21" s="62">
        <v>12455340501</v>
      </c>
      <c r="F21" s="63">
        <v>5.2075340246177243E-3</v>
      </c>
      <c r="G21" s="62">
        <v>4794689120</v>
      </c>
      <c r="H21" s="62">
        <v>18349923278</v>
      </c>
      <c r="I21" s="62">
        <v>5682990991</v>
      </c>
      <c r="J21" s="62">
        <v>28827603389</v>
      </c>
      <c r="K21" s="63">
        <f>J21/درآمدها!$C$11</f>
        <v>5.6619339778311668E-3</v>
      </c>
    </row>
    <row r="22" spans="1:11">
      <c r="A22" s="62" t="s">
        <v>269</v>
      </c>
      <c r="B22" s="62">
        <v>0</v>
      </c>
      <c r="C22" s="62">
        <v>2792178844</v>
      </c>
      <c r="D22" s="62">
        <v>3155884705</v>
      </c>
      <c r="E22" s="62">
        <v>5948063549</v>
      </c>
      <c r="F22" s="63">
        <v>2.4868644345386695E-3</v>
      </c>
      <c r="G22" s="62">
        <v>5115878400</v>
      </c>
      <c r="H22" s="62">
        <v>20507240628</v>
      </c>
      <c r="I22" s="62">
        <v>6467131705</v>
      </c>
      <c r="J22" s="62">
        <v>32090250733</v>
      </c>
      <c r="K22" s="63">
        <f>J22/درآمدها!$C$11</f>
        <v>6.3027397224295224E-3</v>
      </c>
    </row>
    <row r="23" spans="1:11">
      <c r="A23" s="62" t="s">
        <v>270</v>
      </c>
      <c r="B23" s="62">
        <v>1512745850</v>
      </c>
      <c r="C23" s="62">
        <v>2695635571</v>
      </c>
      <c r="D23" s="62">
        <v>0</v>
      </c>
      <c r="E23" s="62">
        <v>4208381421</v>
      </c>
      <c r="F23" s="63">
        <v>1.7595094599515025E-3</v>
      </c>
      <c r="G23" s="62">
        <v>1512745850</v>
      </c>
      <c r="H23" s="62">
        <v>3674243709</v>
      </c>
      <c r="I23" s="62">
        <v>0</v>
      </c>
      <c r="J23" s="62">
        <v>5186989559</v>
      </c>
      <c r="K23" s="63">
        <f>J23/درآمدها!$C$11</f>
        <v>1.0187594171620924E-3</v>
      </c>
    </row>
    <row r="24" spans="1:11">
      <c r="A24" s="62" t="s">
        <v>271</v>
      </c>
      <c r="B24" s="62">
        <v>0</v>
      </c>
      <c r="C24" s="62">
        <v>1441272175</v>
      </c>
      <c r="D24" s="62">
        <v>0</v>
      </c>
      <c r="E24" s="62">
        <v>1441272175</v>
      </c>
      <c r="F24" s="63">
        <v>6.0259082354630934E-4</v>
      </c>
      <c r="G24" s="62">
        <v>997500000</v>
      </c>
      <c r="H24" s="62">
        <v>3988677333</v>
      </c>
      <c r="I24" s="62">
        <v>0</v>
      </c>
      <c r="J24" s="62">
        <v>4986177333</v>
      </c>
      <c r="K24" s="63">
        <f>J24/درآمدها!$C$11</f>
        <v>9.7931855382666993E-4</v>
      </c>
    </row>
    <row r="25" spans="1:11">
      <c r="A25" s="62" t="s">
        <v>256</v>
      </c>
      <c r="B25" s="62">
        <v>0</v>
      </c>
      <c r="C25" s="62">
        <v>12359270365</v>
      </c>
      <c r="D25" s="62">
        <v>0</v>
      </c>
      <c r="E25" s="62">
        <v>12359270365</v>
      </c>
      <c r="F25" s="63">
        <v>5.1673674388925499E-3</v>
      </c>
      <c r="G25" s="62">
        <v>6436395882</v>
      </c>
      <c r="H25" s="62">
        <v>69406329532</v>
      </c>
      <c r="I25" s="62">
        <v>2210921136</v>
      </c>
      <c r="J25" s="62">
        <v>78053646550</v>
      </c>
      <c r="K25" s="63">
        <f>J25/درآمدها!$C$11</f>
        <v>1.5330257861938751E-2</v>
      </c>
    </row>
    <row r="26" spans="1:11">
      <c r="A26" s="62" t="s">
        <v>130</v>
      </c>
      <c r="B26" s="62">
        <v>0</v>
      </c>
      <c r="C26" s="62">
        <v>11638814934</v>
      </c>
      <c r="D26" s="62">
        <v>-2168846092</v>
      </c>
      <c r="E26" s="62">
        <v>9469968842</v>
      </c>
      <c r="F26" s="63">
        <v>3.9593606415517383E-3</v>
      </c>
      <c r="G26" s="62">
        <v>10857176050</v>
      </c>
      <c r="H26" s="62">
        <v>-336499862</v>
      </c>
      <c r="I26" s="62">
        <v>-2551800079</v>
      </c>
      <c r="J26" s="62">
        <v>7968876109</v>
      </c>
      <c r="K26" s="63">
        <f>J26/درآمدها!$C$11</f>
        <v>1.5651405286049782E-3</v>
      </c>
    </row>
    <row r="27" spans="1:11">
      <c r="A27" s="62" t="s">
        <v>262</v>
      </c>
      <c r="B27" s="62">
        <v>0</v>
      </c>
      <c r="C27" s="62">
        <v>15317090480</v>
      </c>
      <c r="D27" s="62">
        <v>0</v>
      </c>
      <c r="E27" s="62">
        <v>15317090480</v>
      </c>
      <c r="F27" s="63">
        <v>6.4040216183848366E-3</v>
      </c>
      <c r="G27" s="62">
        <v>947850150</v>
      </c>
      <c r="H27" s="62">
        <v>15024124170</v>
      </c>
      <c r="I27" s="62">
        <v>-102240260</v>
      </c>
      <c r="J27" s="62">
        <v>15869734060</v>
      </c>
      <c r="K27" s="63">
        <f>J27/درآمدها!$C$11</f>
        <v>3.1169218363724504E-3</v>
      </c>
    </row>
    <row r="28" spans="1:11">
      <c r="A28" s="62" t="s">
        <v>272</v>
      </c>
      <c r="B28" s="62">
        <v>900000000</v>
      </c>
      <c r="C28" s="62">
        <v>-130235438</v>
      </c>
      <c r="D28" s="62">
        <v>0</v>
      </c>
      <c r="E28" s="62">
        <v>769764562</v>
      </c>
      <c r="F28" s="63">
        <v>3.2183585404494753E-4</v>
      </c>
      <c r="G28" s="62">
        <v>900000000</v>
      </c>
      <c r="H28" s="62">
        <v>4595450437</v>
      </c>
      <c r="I28" s="62">
        <v>0</v>
      </c>
      <c r="J28" s="62">
        <v>5495450437</v>
      </c>
      <c r="K28" s="63">
        <f>J28/درآمدها!$C$11</f>
        <v>1.0793431952310752E-3</v>
      </c>
    </row>
    <row r="29" spans="1:11">
      <c r="A29" s="62" t="s">
        <v>273</v>
      </c>
      <c r="B29" s="62">
        <v>67500000</v>
      </c>
      <c r="C29" s="62">
        <v>1500312240</v>
      </c>
      <c r="D29" s="62">
        <v>0</v>
      </c>
      <c r="E29" s="62">
        <v>1567812240</v>
      </c>
      <c r="F29" s="63">
        <v>6.5549677934189211E-4</v>
      </c>
      <c r="G29" s="62">
        <v>67500000</v>
      </c>
      <c r="H29" s="62">
        <v>2567498625</v>
      </c>
      <c r="I29" s="62">
        <v>0</v>
      </c>
      <c r="J29" s="62">
        <v>2634998625</v>
      </c>
      <c r="K29" s="63">
        <f>J29/درآمدها!$C$11</f>
        <v>5.1753134123243662E-4</v>
      </c>
    </row>
    <row r="30" spans="1:11">
      <c r="A30" s="62" t="s">
        <v>177</v>
      </c>
      <c r="B30" s="62">
        <v>0</v>
      </c>
      <c r="C30" s="62">
        <v>3973872699</v>
      </c>
      <c r="D30" s="62">
        <v>0</v>
      </c>
      <c r="E30" s="62">
        <v>3973872699</v>
      </c>
      <c r="F30" s="63">
        <v>1.6614621886796676E-3</v>
      </c>
      <c r="G30" s="62">
        <v>2150547600</v>
      </c>
      <c r="H30" s="62">
        <v>8675428743</v>
      </c>
      <c r="I30" s="62">
        <v>25166163</v>
      </c>
      <c r="J30" s="62">
        <v>10851142506</v>
      </c>
      <c r="K30" s="63">
        <f>J30/درآمدها!$C$11</f>
        <v>2.1312369128976237E-3</v>
      </c>
    </row>
    <row r="31" spans="1:11">
      <c r="A31" s="62" t="s">
        <v>153</v>
      </c>
      <c r="B31" s="62">
        <v>0</v>
      </c>
      <c r="C31" s="62">
        <v>15316424548</v>
      </c>
      <c r="D31" s="62">
        <v>0</v>
      </c>
      <c r="E31" s="62">
        <v>15316424548</v>
      </c>
      <c r="F31" s="63">
        <v>6.4037431945595065E-3</v>
      </c>
      <c r="G31" s="62">
        <v>7661809400</v>
      </c>
      <c r="H31" s="62">
        <v>3146307379</v>
      </c>
      <c r="I31" s="62">
        <v>103507791</v>
      </c>
      <c r="J31" s="62">
        <v>10911624570</v>
      </c>
      <c r="K31" s="63">
        <f>J31/درآمدها!$C$11</f>
        <v>2.143115994505276E-3</v>
      </c>
    </row>
    <row r="32" spans="1:11">
      <c r="A32" s="62" t="s">
        <v>145</v>
      </c>
      <c r="B32" s="62">
        <v>817950000</v>
      </c>
      <c r="C32" s="62">
        <v>6457361783</v>
      </c>
      <c r="D32" s="62">
        <v>857269513</v>
      </c>
      <c r="E32" s="62">
        <v>8132581296</v>
      </c>
      <c r="F32" s="63">
        <v>3.4002036157493648E-3</v>
      </c>
      <c r="G32" s="62">
        <v>817950000</v>
      </c>
      <c r="H32" s="62">
        <v>8001653198</v>
      </c>
      <c r="I32" s="62">
        <v>857269513</v>
      </c>
      <c r="J32" s="62">
        <v>9676872711</v>
      </c>
      <c r="K32" s="63">
        <f>J32/درآمدها!$C$11</f>
        <v>1.9006024768075144E-3</v>
      </c>
    </row>
    <row r="33" spans="1:11">
      <c r="A33" s="62" t="s">
        <v>149</v>
      </c>
      <c r="B33" s="62">
        <v>0</v>
      </c>
      <c r="C33" s="62">
        <v>5846080661</v>
      </c>
      <c r="D33" s="62">
        <v>-125268645</v>
      </c>
      <c r="E33" s="62">
        <v>5720812016</v>
      </c>
      <c r="F33" s="63">
        <v>2.3918513684447295E-3</v>
      </c>
      <c r="G33" s="62">
        <v>3743002160</v>
      </c>
      <c r="H33" s="62">
        <v>-3013267398</v>
      </c>
      <c r="I33" s="62">
        <v>-170838009</v>
      </c>
      <c r="J33" s="62">
        <v>558896753</v>
      </c>
      <c r="K33" s="63">
        <f>J33/درآمدها!$C$11</f>
        <v>1.0977105773273178E-4</v>
      </c>
    </row>
    <row r="34" spans="1:11">
      <c r="A34" s="62" t="s">
        <v>193</v>
      </c>
      <c r="B34" s="62">
        <v>2022149760</v>
      </c>
      <c r="C34" s="62">
        <v>3093382752</v>
      </c>
      <c r="D34" s="62">
        <v>0</v>
      </c>
      <c r="E34" s="62">
        <v>5115532512</v>
      </c>
      <c r="F34" s="63">
        <v>2.1387861382143178E-3</v>
      </c>
      <c r="G34" s="62">
        <v>2022149760</v>
      </c>
      <c r="H34" s="62">
        <v>1828702645</v>
      </c>
      <c r="I34" s="62">
        <v>138609437</v>
      </c>
      <c r="J34" s="62">
        <v>3989461842</v>
      </c>
      <c r="K34" s="63">
        <f>J34/درآمدها!$C$11</f>
        <v>7.8355696974448592E-4</v>
      </c>
    </row>
    <row r="35" spans="1:11">
      <c r="A35" s="62" t="s">
        <v>274</v>
      </c>
      <c r="B35" s="62">
        <v>0</v>
      </c>
      <c r="C35" s="62">
        <v>9509130478</v>
      </c>
      <c r="D35" s="62">
        <v>1180614846</v>
      </c>
      <c r="E35" s="62">
        <v>10689745324</v>
      </c>
      <c r="F35" s="63">
        <v>4.4693448954493753E-3</v>
      </c>
      <c r="G35" s="62">
        <v>4085247420</v>
      </c>
      <c r="H35" s="62">
        <v>1798710654</v>
      </c>
      <c r="I35" s="62">
        <v>2620653717</v>
      </c>
      <c r="J35" s="62">
        <v>8504611791</v>
      </c>
      <c r="K35" s="63">
        <f>J35/درآمدها!$C$11</f>
        <v>1.6703625971939264E-3</v>
      </c>
    </row>
    <row r="36" spans="1:11">
      <c r="A36" s="62" t="s">
        <v>129</v>
      </c>
      <c r="B36" s="62">
        <v>0</v>
      </c>
      <c r="C36" s="62">
        <v>-288098450</v>
      </c>
      <c r="D36" s="62">
        <v>687510426</v>
      </c>
      <c r="E36" s="62">
        <v>399411976</v>
      </c>
      <c r="F36" s="63">
        <v>1.669927413620531E-4</v>
      </c>
      <c r="G36" s="62">
        <v>2450882868</v>
      </c>
      <c r="H36" s="62">
        <v>5058559279</v>
      </c>
      <c r="I36" s="62">
        <v>687510426</v>
      </c>
      <c r="J36" s="62">
        <v>8196952573</v>
      </c>
      <c r="K36" s="63">
        <f>J36/درآمدها!$C$11</f>
        <v>1.60993627050692E-3</v>
      </c>
    </row>
    <row r="37" spans="1:11">
      <c r="A37" s="62" t="s">
        <v>209</v>
      </c>
      <c r="B37" s="62">
        <v>0</v>
      </c>
      <c r="C37" s="62">
        <v>-347613713</v>
      </c>
      <c r="D37" s="62">
        <v>0</v>
      </c>
      <c r="E37" s="62">
        <v>-347613713</v>
      </c>
      <c r="F37" s="63">
        <v>-1.4533606991521945E-4</v>
      </c>
      <c r="G37" s="62">
        <v>4962890750</v>
      </c>
      <c r="H37" s="62">
        <v>6315262416</v>
      </c>
      <c r="I37" s="62">
        <v>-6111</v>
      </c>
      <c r="J37" s="62">
        <v>11278147055</v>
      </c>
      <c r="K37" s="63">
        <f>J37/درآمدها!$C$11</f>
        <v>2.2151034602497393E-3</v>
      </c>
    </row>
    <row r="38" spans="1:11">
      <c r="A38" s="62" t="s">
        <v>275</v>
      </c>
      <c r="B38" s="62">
        <v>0</v>
      </c>
      <c r="C38" s="62">
        <v>9509070969</v>
      </c>
      <c r="D38" s="62">
        <v>0</v>
      </c>
      <c r="E38" s="62">
        <v>9509070969</v>
      </c>
      <c r="F38" s="63">
        <v>3.9757091032233457E-3</v>
      </c>
      <c r="G38" s="62">
        <v>1426212732</v>
      </c>
      <c r="H38" s="62">
        <v>19388490263</v>
      </c>
      <c r="I38" s="62">
        <v>0</v>
      </c>
      <c r="J38" s="62">
        <v>20814702995</v>
      </c>
      <c r="K38" s="63">
        <f>J38/درآمدها!$C$11</f>
        <v>4.0881467854113835E-3</v>
      </c>
    </row>
    <row r="39" spans="1:11">
      <c r="A39" s="62" t="s">
        <v>276</v>
      </c>
      <c r="B39" s="62">
        <v>0</v>
      </c>
      <c r="C39" s="62">
        <v>13404677515</v>
      </c>
      <c r="D39" s="62">
        <v>0</v>
      </c>
      <c r="E39" s="62">
        <v>13404677515</v>
      </c>
      <c r="F39" s="63">
        <v>5.6044484888057629E-3</v>
      </c>
      <c r="G39" s="62">
        <v>2597904400</v>
      </c>
      <c r="H39" s="62">
        <v>22907174935</v>
      </c>
      <c r="I39" s="62">
        <v>0</v>
      </c>
      <c r="J39" s="62">
        <v>25505079335</v>
      </c>
      <c r="K39" s="63">
        <f>J39/درآمدها!$C$11</f>
        <v>5.009368047196705E-3</v>
      </c>
    </row>
    <row r="40" spans="1:11">
      <c r="A40" s="62" t="s">
        <v>277</v>
      </c>
      <c r="B40" s="62">
        <v>0</v>
      </c>
      <c r="C40" s="62">
        <v>1321626481</v>
      </c>
      <c r="D40" s="62">
        <v>0</v>
      </c>
      <c r="E40" s="62">
        <v>1321626481</v>
      </c>
      <c r="F40" s="63">
        <v>5.52567379999826E-4</v>
      </c>
      <c r="G40" s="62">
        <v>2500717640</v>
      </c>
      <c r="H40" s="62">
        <v>7138785462</v>
      </c>
      <c r="I40" s="62">
        <v>0</v>
      </c>
      <c r="J40" s="62">
        <v>9639503102</v>
      </c>
      <c r="K40" s="63">
        <f>J40/درآمدها!$C$11</f>
        <v>1.8932628358363159E-3</v>
      </c>
    </row>
    <row r="41" spans="1:11">
      <c r="A41" s="62" t="s">
        <v>261</v>
      </c>
      <c r="B41" s="62">
        <v>0</v>
      </c>
      <c r="C41" s="62">
        <v>13518797827</v>
      </c>
      <c r="D41" s="62">
        <v>6595959414</v>
      </c>
      <c r="E41" s="62">
        <v>20114757241</v>
      </c>
      <c r="F41" s="63">
        <v>8.4099092048927383E-3</v>
      </c>
      <c r="G41" s="62">
        <v>5794283250</v>
      </c>
      <c r="H41" s="62">
        <v>34568190209</v>
      </c>
      <c r="I41" s="62">
        <v>8368976481</v>
      </c>
      <c r="J41" s="62">
        <v>48731449940</v>
      </c>
      <c r="K41" s="63">
        <f>J41/درآمدها!$C$11</f>
        <v>9.5711824698388754E-3</v>
      </c>
    </row>
    <row r="42" spans="1:11">
      <c r="A42" s="62" t="s">
        <v>278</v>
      </c>
      <c r="B42" s="62">
        <v>2409431500</v>
      </c>
      <c r="C42" s="62">
        <v>5767512816</v>
      </c>
      <c r="D42" s="62">
        <v>0</v>
      </c>
      <c r="E42" s="62">
        <v>8176944316</v>
      </c>
      <c r="F42" s="63">
        <v>3.418751638267597E-3</v>
      </c>
      <c r="G42" s="62">
        <v>2409431500</v>
      </c>
      <c r="H42" s="62">
        <v>7640722106</v>
      </c>
      <c r="I42" s="62">
        <v>0</v>
      </c>
      <c r="J42" s="62">
        <v>10050153606</v>
      </c>
      <c r="K42" s="63">
        <f>J42/درآمدها!$C$11</f>
        <v>1.9739173394465012E-3</v>
      </c>
    </row>
    <row r="43" spans="1:11">
      <c r="A43" s="62" t="s">
        <v>279</v>
      </c>
      <c r="B43" s="62">
        <v>0</v>
      </c>
      <c r="C43" s="62">
        <v>9300129192</v>
      </c>
      <c r="D43" s="62">
        <v>0</v>
      </c>
      <c r="E43" s="62">
        <v>9300129192</v>
      </c>
      <c r="F43" s="63">
        <v>3.8883512816684689E-3</v>
      </c>
      <c r="G43" s="62">
        <v>0</v>
      </c>
      <c r="H43" s="62">
        <v>14583852878</v>
      </c>
      <c r="I43" s="62">
        <v>0</v>
      </c>
      <c r="J43" s="62">
        <v>14583852878</v>
      </c>
      <c r="K43" s="63">
        <f>J43/درآمدها!$C$11</f>
        <v>2.8643661779094364E-3</v>
      </c>
    </row>
    <row r="44" spans="1:11">
      <c r="A44" s="62" t="s">
        <v>127</v>
      </c>
      <c r="B44" s="62">
        <v>0</v>
      </c>
      <c r="C44" s="62">
        <v>6532751802</v>
      </c>
      <c r="D44" s="62">
        <v>0</v>
      </c>
      <c r="E44" s="62">
        <v>6532751802</v>
      </c>
      <c r="F44" s="63">
        <v>2.7313205352006579E-3</v>
      </c>
      <c r="G44" s="62">
        <v>2367178800</v>
      </c>
      <c r="H44" s="62">
        <v>5995819518</v>
      </c>
      <c r="I44" s="62">
        <v>-935000</v>
      </c>
      <c r="J44" s="62">
        <v>8362063318</v>
      </c>
      <c r="K44" s="63">
        <f>J44/درآمدها!$C$11</f>
        <v>1.6423651243594479E-3</v>
      </c>
    </row>
    <row r="45" spans="1:11">
      <c r="A45" s="62" t="s">
        <v>185</v>
      </c>
      <c r="B45" s="62">
        <v>0</v>
      </c>
      <c r="C45" s="62">
        <v>7914953957</v>
      </c>
      <c r="D45" s="62">
        <v>1141947817</v>
      </c>
      <c r="E45" s="62">
        <v>9056901774</v>
      </c>
      <c r="F45" s="63">
        <v>3.7866587542860802E-3</v>
      </c>
      <c r="G45" s="62">
        <v>1696622400</v>
      </c>
      <c r="H45" s="62">
        <v>6296517800</v>
      </c>
      <c r="I45" s="62">
        <v>2730537003</v>
      </c>
      <c r="J45" s="62">
        <v>10723677203</v>
      </c>
      <c r="K45" s="63">
        <f>J45/درآمدها!$C$11</f>
        <v>2.1062018754610524E-3</v>
      </c>
    </row>
    <row r="46" spans="1:11">
      <c r="A46" s="62" t="s">
        <v>263</v>
      </c>
      <c r="B46" s="62">
        <v>0</v>
      </c>
      <c r="C46" s="62">
        <v>8248320976</v>
      </c>
      <c r="D46" s="62">
        <v>4987116</v>
      </c>
      <c r="E46" s="62">
        <v>8253308092</v>
      </c>
      <c r="F46" s="63">
        <v>3.4506790642369117E-3</v>
      </c>
      <c r="G46" s="62">
        <v>964920240</v>
      </c>
      <c r="H46" s="62">
        <v>6116239791</v>
      </c>
      <c r="I46" s="62">
        <v>37740814</v>
      </c>
      <c r="J46" s="62">
        <v>7118900845</v>
      </c>
      <c r="K46" s="63">
        <f>J46/درآمدها!$C$11</f>
        <v>1.3981997058588888E-3</v>
      </c>
    </row>
    <row r="47" spans="1:11">
      <c r="A47" s="62" t="s">
        <v>205</v>
      </c>
      <c r="B47" s="62">
        <v>0</v>
      </c>
      <c r="C47" s="62">
        <v>-1061158283</v>
      </c>
      <c r="D47" s="62">
        <v>3973689394</v>
      </c>
      <c r="E47" s="62">
        <v>2912531111</v>
      </c>
      <c r="F47" s="63">
        <v>1.2177190063228252E-3</v>
      </c>
      <c r="G47" s="62">
        <v>2638839500</v>
      </c>
      <c r="H47" s="62">
        <v>29088817938</v>
      </c>
      <c r="I47" s="62">
        <v>3973689394</v>
      </c>
      <c r="J47" s="62">
        <v>35701346832</v>
      </c>
      <c r="K47" s="63">
        <f>J47/درآمدها!$C$11</f>
        <v>7.0119831314027197E-3</v>
      </c>
    </row>
    <row r="48" spans="1:11">
      <c r="A48" s="62" t="s">
        <v>280</v>
      </c>
      <c r="B48" s="62">
        <v>0</v>
      </c>
      <c r="C48" s="62">
        <v>17758206970</v>
      </c>
      <c r="D48" s="62">
        <v>0</v>
      </c>
      <c r="E48" s="62">
        <v>17758206970</v>
      </c>
      <c r="F48" s="63">
        <v>7.4246438308975954E-3</v>
      </c>
      <c r="G48" s="62">
        <v>6171223200</v>
      </c>
      <c r="H48" s="62">
        <v>10719955850</v>
      </c>
      <c r="I48" s="62">
        <v>118483647</v>
      </c>
      <c r="J48" s="62">
        <v>17009662697</v>
      </c>
      <c r="K48" s="63">
        <f>J48/درآمدها!$C$11</f>
        <v>3.3408114395087228E-3</v>
      </c>
    </row>
    <row r="49" spans="1:11">
      <c r="A49" s="62" t="s">
        <v>281</v>
      </c>
      <c r="B49" s="62">
        <v>1260000000</v>
      </c>
      <c r="C49" s="62">
        <v>525813037</v>
      </c>
      <c r="D49" s="62">
        <v>3323640043</v>
      </c>
      <c r="E49" s="62">
        <v>5109453080</v>
      </c>
      <c r="F49" s="63">
        <v>2.1362443490927914E-3</v>
      </c>
      <c r="G49" s="62">
        <v>1260000000</v>
      </c>
      <c r="H49" s="62">
        <v>1714472091</v>
      </c>
      <c r="I49" s="62">
        <v>3644400072</v>
      </c>
      <c r="J49" s="62">
        <v>6618872163</v>
      </c>
      <c r="K49" s="63">
        <f>J49/درآمدها!$C$11</f>
        <v>1.299990730721322E-3</v>
      </c>
    </row>
    <row r="50" spans="1:11">
      <c r="A50" s="62" t="s">
        <v>282</v>
      </c>
      <c r="B50" s="62">
        <v>4330762920</v>
      </c>
      <c r="C50" s="62">
        <v>252781536</v>
      </c>
      <c r="D50" s="62">
        <v>0</v>
      </c>
      <c r="E50" s="62">
        <v>4583544456</v>
      </c>
      <c r="F50" s="63">
        <v>1.9163638044300414E-3</v>
      </c>
      <c r="G50" s="62">
        <v>4330762920</v>
      </c>
      <c r="H50" s="62">
        <v>11262821798</v>
      </c>
      <c r="I50" s="62">
        <v>0</v>
      </c>
      <c r="J50" s="62">
        <v>15593584718</v>
      </c>
      <c r="K50" s="63">
        <f>J50/درآمدها!$C$11</f>
        <v>3.0626842599313186E-3</v>
      </c>
    </row>
    <row r="51" spans="1:11">
      <c r="A51" s="62" t="s">
        <v>283</v>
      </c>
      <c r="B51" s="62">
        <v>2040277100</v>
      </c>
      <c r="C51" s="62">
        <v>-1012252879</v>
      </c>
      <c r="D51" s="62">
        <v>0</v>
      </c>
      <c r="E51" s="62">
        <v>1028024221</v>
      </c>
      <c r="F51" s="63">
        <v>4.2981330848071295E-4</v>
      </c>
      <c r="G51" s="62">
        <v>2040277100</v>
      </c>
      <c r="H51" s="62">
        <v>-8622012757</v>
      </c>
      <c r="I51" s="62">
        <v>0</v>
      </c>
      <c r="J51" s="62">
        <v>-6581735657</v>
      </c>
      <c r="K51" s="63">
        <f>J51/درآمدها!$C$11</f>
        <v>-1.2926968727372912E-3</v>
      </c>
    </row>
    <row r="52" spans="1:11">
      <c r="A52" s="62" t="s">
        <v>167</v>
      </c>
      <c r="B52" s="62">
        <v>0</v>
      </c>
      <c r="C52" s="62">
        <v>12504781660</v>
      </c>
      <c r="D52" s="62">
        <v>8382664700</v>
      </c>
      <c r="E52" s="62">
        <v>20887446360</v>
      </c>
      <c r="F52" s="63">
        <v>8.7329678059258724E-3</v>
      </c>
      <c r="G52" s="62">
        <v>0</v>
      </c>
      <c r="H52" s="62">
        <v>48625024976</v>
      </c>
      <c r="I52" s="62">
        <v>8382664700</v>
      </c>
      <c r="J52" s="62">
        <v>57007689676</v>
      </c>
      <c r="K52" s="63">
        <f>J52/درآمدها!$C$11</f>
        <v>1.1196691269082848E-2</v>
      </c>
    </row>
    <row r="53" spans="1:11">
      <c r="A53" s="62" t="s">
        <v>210</v>
      </c>
      <c r="B53" s="62">
        <v>0</v>
      </c>
      <c r="C53" s="62">
        <v>9570203872</v>
      </c>
      <c r="D53" s="62">
        <v>1349889720</v>
      </c>
      <c r="E53" s="62">
        <v>10920093592</v>
      </c>
      <c r="F53" s="63">
        <v>4.5656526955472898E-3</v>
      </c>
      <c r="G53" s="62">
        <v>5927112280</v>
      </c>
      <c r="H53" s="62">
        <v>21740409830</v>
      </c>
      <c r="I53" s="62">
        <v>1349889720</v>
      </c>
      <c r="J53" s="62">
        <v>29017411830</v>
      </c>
      <c r="K53" s="63">
        <f>J53/درآمدها!$C$11</f>
        <v>5.6992136242476682E-3</v>
      </c>
    </row>
    <row r="54" spans="1:11">
      <c r="A54" s="62" t="s">
        <v>172</v>
      </c>
      <c r="B54" s="62">
        <v>0</v>
      </c>
      <c r="C54" s="62">
        <v>-854672485</v>
      </c>
      <c r="D54" s="62">
        <v>419442644</v>
      </c>
      <c r="E54" s="62">
        <v>-435229841</v>
      </c>
      <c r="F54" s="63">
        <v>-1.819680646510221E-4</v>
      </c>
      <c r="G54" s="62">
        <v>1858116000</v>
      </c>
      <c r="H54" s="62">
        <v>19246963377</v>
      </c>
      <c r="I54" s="62">
        <v>419442644</v>
      </c>
      <c r="J54" s="62">
        <v>21524522021</v>
      </c>
      <c r="K54" s="63">
        <f>J54/درآمدها!$C$11</f>
        <v>4.2275599862657415E-3</v>
      </c>
    </row>
    <row r="55" spans="1:11">
      <c r="A55" s="62" t="s">
        <v>253</v>
      </c>
      <c r="B55" s="62">
        <v>0</v>
      </c>
      <c r="C55" s="62">
        <v>4315338061</v>
      </c>
      <c r="D55" s="62">
        <v>6360983559</v>
      </c>
      <c r="E55" s="62">
        <v>10676321620</v>
      </c>
      <c r="F55" s="63">
        <v>4.4637324920541585E-3</v>
      </c>
      <c r="G55" s="62">
        <v>5440000000</v>
      </c>
      <c r="H55" s="62">
        <v>22321927303</v>
      </c>
      <c r="I55" s="62">
        <v>6360983559</v>
      </c>
      <c r="J55" s="62">
        <v>34122910862</v>
      </c>
      <c r="K55" s="63">
        <f>J55/درآمدها!$C$11</f>
        <v>6.7019677572567006E-3</v>
      </c>
    </row>
    <row r="56" spans="1:11">
      <c r="A56" s="62" t="s">
        <v>284</v>
      </c>
      <c r="B56" s="62">
        <v>0</v>
      </c>
      <c r="C56" s="62">
        <v>9191845794</v>
      </c>
      <c r="D56" s="62">
        <v>0</v>
      </c>
      <c r="E56" s="62">
        <v>9191845794</v>
      </c>
      <c r="F56" s="63">
        <v>3.8430783740879054E-3</v>
      </c>
      <c r="G56" s="62">
        <v>283989048</v>
      </c>
      <c r="H56" s="62">
        <v>16115922333</v>
      </c>
      <c r="I56" s="62">
        <v>0</v>
      </c>
      <c r="J56" s="62">
        <v>16399911381</v>
      </c>
      <c r="K56" s="63">
        <f>J56/درآمدها!$C$11</f>
        <v>3.2210522057111251E-3</v>
      </c>
    </row>
    <row r="57" spans="1:11">
      <c r="A57" s="62" t="s">
        <v>206</v>
      </c>
      <c r="B57" s="62">
        <v>0</v>
      </c>
      <c r="C57" s="62">
        <v>-3740205701</v>
      </c>
      <c r="D57" s="62">
        <v>5507051674</v>
      </c>
      <c r="E57" s="62">
        <v>1766845973</v>
      </c>
      <c r="F57" s="63">
        <v>7.3871208257354315E-4</v>
      </c>
      <c r="G57" s="62">
        <v>1392086800</v>
      </c>
      <c r="H57" s="62">
        <v>0</v>
      </c>
      <c r="I57" s="62">
        <v>5507051674</v>
      </c>
      <c r="J57" s="62">
        <v>6899138474</v>
      </c>
      <c r="K57" s="63">
        <f>J57/درآمدها!$C$11</f>
        <v>1.3550369073902367E-3</v>
      </c>
    </row>
    <row r="58" spans="1:11">
      <c r="A58" s="62" t="s">
        <v>285</v>
      </c>
      <c r="B58" s="62">
        <v>0</v>
      </c>
      <c r="C58" s="62">
        <v>842808736</v>
      </c>
      <c r="D58" s="62">
        <v>0</v>
      </c>
      <c r="E58" s="62">
        <v>842808736</v>
      </c>
      <c r="F58" s="63">
        <v>3.5237536610200915E-4</v>
      </c>
      <c r="G58" s="62">
        <v>273608000</v>
      </c>
      <c r="H58" s="62">
        <v>2742079403</v>
      </c>
      <c r="I58" s="62">
        <v>0</v>
      </c>
      <c r="J58" s="62">
        <v>3015687403</v>
      </c>
      <c r="K58" s="63">
        <f>J58/درآمدها!$C$11</f>
        <v>5.9230116160396615E-4</v>
      </c>
    </row>
    <row r="59" spans="1:11">
      <c r="A59" s="62" t="s">
        <v>286</v>
      </c>
      <c r="B59" s="62">
        <v>0</v>
      </c>
      <c r="C59" s="62">
        <v>15560898413</v>
      </c>
      <c r="D59" s="62">
        <v>0</v>
      </c>
      <c r="E59" s="62">
        <v>15560898413</v>
      </c>
      <c r="F59" s="63">
        <v>6.5059568570454964E-3</v>
      </c>
      <c r="G59" s="62">
        <v>0</v>
      </c>
      <c r="H59" s="62">
        <v>25325606028</v>
      </c>
      <c r="I59" s="62">
        <v>0</v>
      </c>
      <c r="J59" s="62">
        <v>25325606028</v>
      </c>
      <c r="K59" s="63">
        <f>J59/درآمدها!$C$11</f>
        <v>4.9741182901737267E-3</v>
      </c>
    </row>
    <row r="60" spans="1:11">
      <c r="A60" s="62" t="s">
        <v>260</v>
      </c>
      <c r="B60" s="62">
        <v>0</v>
      </c>
      <c r="C60" s="62">
        <v>-1217885843</v>
      </c>
      <c r="D60" s="62">
        <v>3880601890</v>
      </c>
      <c r="E60" s="62">
        <v>2662716047</v>
      </c>
      <c r="F60" s="63">
        <v>1.1132722073342624E-3</v>
      </c>
      <c r="G60" s="62">
        <v>5974377600</v>
      </c>
      <c r="H60" s="62">
        <v>39797817888</v>
      </c>
      <c r="I60" s="62">
        <v>3880601890</v>
      </c>
      <c r="J60" s="62">
        <v>49652797378</v>
      </c>
      <c r="K60" s="63">
        <f>J60/درآمدها!$C$11</f>
        <v>9.7521412645817807E-3</v>
      </c>
    </row>
    <row r="61" spans="1:11">
      <c r="A61" s="62" t="s">
        <v>251</v>
      </c>
      <c r="B61" s="62">
        <v>0</v>
      </c>
      <c r="C61" s="62">
        <v>3558190879</v>
      </c>
      <c r="D61" s="62">
        <v>13343139433</v>
      </c>
      <c r="E61" s="62">
        <v>16901330312</v>
      </c>
      <c r="F61" s="63">
        <v>7.0663867161220124E-3</v>
      </c>
      <c r="G61" s="62">
        <v>7357161000</v>
      </c>
      <c r="H61" s="62">
        <v>38451948766</v>
      </c>
      <c r="I61" s="62">
        <v>13343139433</v>
      </c>
      <c r="J61" s="62">
        <v>59152249199</v>
      </c>
      <c r="K61" s="63">
        <f>J61/درآمدها!$C$11</f>
        <v>1.1617897092782655E-2</v>
      </c>
    </row>
    <row r="62" spans="1:11">
      <c r="A62" s="62" t="s">
        <v>259</v>
      </c>
      <c r="B62" s="62">
        <v>7127264320</v>
      </c>
      <c r="C62" s="62">
        <v>2040381384</v>
      </c>
      <c r="D62" s="62">
        <v>4732384562</v>
      </c>
      <c r="E62" s="62">
        <v>13900030266</v>
      </c>
      <c r="F62" s="63">
        <v>5.8115537305142E-3</v>
      </c>
      <c r="G62" s="62">
        <v>7127264320</v>
      </c>
      <c r="H62" s="62">
        <v>23128397132</v>
      </c>
      <c r="I62" s="62">
        <v>4732384562</v>
      </c>
      <c r="J62" s="62">
        <v>34988046014</v>
      </c>
      <c r="K62" s="63">
        <f>J62/درآمدها!$C$11</f>
        <v>6.8718860833286502E-3</v>
      </c>
    </row>
    <row r="63" spans="1:11">
      <c r="A63" s="62" t="s">
        <v>238</v>
      </c>
      <c r="B63" s="62">
        <v>1403091520</v>
      </c>
      <c r="C63" s="62">
        <v>7438137465</v>
      </c>
      <c r="D63" s="62">
        <v>3683519125</v>
      </c>
      <c r="E63" s="62">
        <v>12524748110</v>
      </c>
      <c r="F63" s="63">
        <v>5.2365531016478417E-3</v>
      </c>
      <c r="G63" s="62">
        <v>1403091520</v>
      </c>
      <c r="H63" s="62">
        <v>20882023876</v>
      </c>
      <c r="I63" s="62">
        <v>4059840965</v>
      </c>
      <c r="J63" s="62">
        <v>26344956361</v>
      </c>
      <c r="K63" s="63">
        <f>J63/درآمدها!$C$11</f>
        <v>5.1743255085069896E-3</v>
      </c>
    </row>
    <row r="64" spans="1:11">
      <c r="A64" s="62" t="s">
        <v>287</v>
      </c>
      <c r="B64" s="62">
        <v>74166800</v>
      </c>
      <c r="C64" s="62">
        <v>650867582</v>
      </c>
      <c r="D64" s="62">
        <v>0</v>
      </c>
      <c r="E64" s="62">
        <v>725034382</v>
      </c>
      <c r="F64" s="63">
        <v>3.0313432322300222E-4</v>
      </c>
      <c r="G64" s="62">
        <v>74166800</v>
      </c>
      <c r="H64" s="62">
        <v>1120506927</v>
      </c>
      <c r="I64" s="62">
        <v>0</v>
      </c>
      <c r="J64" s="62">
        <v>1194673727</v>
      </c>
      <c r="K64" s="63">
        <f>J64/درآمدها!$C$11</f>
        <v>2.3464190470667278E-4</v>
      </c>
    </row>
    <row r="65" spans="1:11">
      <c r="A65" s="62" t="s">
        <v>288</v>
      </c>
      <c r="B65" s="62">
        <v>0</v>
      </c>
      <c r="C65" s="62">
        <v>7179736564</v>
      </c>
      <c r="D65" s="62">
        <v>0</v>
      </c>
      <c r="E65" s="62">
        <v>7179736564</v>
      </c>
      <c r="F65" s="63">
        <v>3.0018225870115816E-3</v>
      </c>
      <c r="G65" s="62">
        <v>3080532040</v>
      </c>
      <c r="H65" s="62">
        <v>9358418180</v>
      </c>
      <c r="I65" s="62">
        <v>0</v>
      </c>
      <c r="J65" s="62">
        <v>12438950220</v>
      </c>
      <c r="K65" s="63">
        <f>J65/درآمدها!$C$11</f>
        <v>2.4430929602022515E-3</v>
      </c>
    </row>
    <row r="66" spans="1:11">
      <c r="A66" s="62" t="s">
        <v>144</v>
      </c>
      <c r="B66" s="62">
        <v>0</v>
      </c>
      <c r="C66" s="62">
        <v>6974066161</v>
      </c>
      <c r="D66" s="62">
        <v>1030511242</v>
      </c>
      <c r="E66" s="62">
        <v>8004577403</v>
      </c>
      <c r="F66" s="63">
        <v>3.3466856386191925E-3</v>
      </c>
      <c r="G66" s="62">
        <v>2875713190</v>
      </c>
      <c r="H66" s="62">
        <v>23139144977</v>
      </c>
      <c r="I66" s="62">
        <v>2490954602</v>
      </c>
      <c r="J66" s="62">
        <v>28505812769</v>
      </c>
      <c r="K66" s="63">
        <f>J66/درآمدها!$C$11</f>
        <v>5.5987321493426922E-3</v>
      </c>
    </row>
    <row r="67" spans="1:11">
      <c r="A67" s="62" t="s">
        <v>196</v>
      </c>
      <c r="B67" s="62">
        <v>0</v>
      </c>
      <c r="C67" s="62">
        <v>4467686070</v>
      </c>
      <c r="D67" s="62">
        <v>0</v>
      </c>
      <c r="E67" s="62">
        <v>4467686070</v>
      </c>
      <c r="F67" s="63">
        <v>1.8679238210282344E-3</v>
      </c>
      <c r="G67" s="62">
        <v>3045055160</v>
      </c>
      <c r="H67" s="62">
        <v>12697302441</v>
      </c>
      <c r="I67" s="62">
        <v>-115958600</v>
      </c>
      <c r="J67" s="62">
        <v>15626399001</v>
      </c>
      <c r="K67" s="63">
        <f>J67/درآمدها!$C$11</f>
        <v>3.0691292044301302E-3</v>
      </c>
    </row>
    <row r="68" spans="1:11">
      <c r="A68" s="62" t="s">
        <v>180</v>
      </c>
      <c r="B68" s="62">
        <v>0</v>
      </c>
      <c r="C68" s="62">
        <v>3021422094</v>
      </c>
      <c r="D68" s="62">
        <v>0</v>
      </c>
      <c r="E68" s="62">
        <v>3021422094</v>
      </c>
      <c r="F68" s="63">
        <v>1.2632459430533822E-3</v>
      </c>
      <c r="G68" s="62">
        <v>1854451144</v>
      </c>
      <c r="H68" s="62">
        <v>5999810236</v>
      </c>
      <c r="I68" s="62">
        <v>945981788</v>
      </c>
      <c r="J68" s="62">
        <v>8800243168</v>
      </c>
      <c r="K68" s="63">
        <f>J68/درآمدها!$C$11</f>
        <v>1.728426575519229E-3</v>
      </c>
    </row>
    <row r="69" spans="1:11">
      <c r="A69" s="62" t="s">
        <v>163</v>
      </c>
      <c r="B69" s="62">
        <v>0</v>
      </c>
      <c r="C69" s="62">
        <v>7284880444</v>
      </c>
      <c r="D69" s="62">
        <v>0</v>
      </c>
      <c r="E69" s="62">
        <v>7284880444</v>
      </c>
      <c r="F69" s="63">
        <v>3.0457828731664531E-3</v>
      </c>
      <c r="G69" s="62">
        <v>2136047450</v>
      </c>
      <c r="H69" s="62">
        <v>10043004051</v>
      </c>
      <c r="I69" s="62">
        <v>132517982</v>
      </c>
      <c r="J69" s="62">
        <v>12311569483</v>
      </c>
      <c r="K69" s="63">
        <f>J69/درآمدها!$C$11</f>
        <v>2.4180745320932858E-3</v>
      </c>
    </row>
    <row r="70" spans="1:11">
      <c r="A70" s="62" t="s">
        <v>140</v>
      </c>
      <c r="B70" s="62">
        <v>0</v>
      </c>
      <c r="C70" s="62">
        <v>9003157299</v>
      </c>
      <c r="D70" s="62">
        <v>3971718145</v>
      </c>
      <c r="E70" s="62">
        <v>12974875444</v>
      </c>
      <c r="F70" s="63">
        <v>5.4247497556877107E-3</v>
      </c>
      <c r="G70" s="62">
        <v>5071385800</v>
      </c>
      <c r="H70" s="62">
        <v>24151126324</v>
      </c>
      <c r="I70" s="62">
        <v>6691041490</v>
      </c>
      <c r="J70" s="62">
        <v>35913553614</v>
      </c>
      <c r="K70" s="63">
        <f>J70/درآمدها!$C$11</f>
        <v>7.0536619616932217E-3</v>
      </c>
    </row>
    <row r="71" spans="1:11">
      <c r="A71" s="62" t="s">
        <v>289</v>
      </c>
      <c r="B71" s="62">
        <v>0</v>
      </c>
      <c r="C71" s="62">
        <v>18917663153</v>
      </c>
      <c r="D71" s="62">
        <v>0</v>
      </c>
      <c r="E71" s="62">
        <v>18917663153</v>
      </c>
      <c r="F71" s="63">
        <v>7.9094083800916645E-3</v>
      </c>
      <c r="G71" s="62">
        <v>2926798560</v>
      </c>
      <c r="H71" s="62">
        <v>22639408079</v>
      </c>
      <c r="I71" s="62">
        <v>0</v>
      </c>
      <c r="J71" s="62">
        <v>25566206639</v>
      </c>
      <c r="K71" s="63">
        <f>J71/درآمدها!$C$11</f>
        <v>5.0213738582528845E-3</v>
      </c>
    </row>
    <row r="72" spans="1:11">
      <c r="A72" s="62" t="s">
        <v>203</v>
      </c>
      <c r="B72" s="62">
        <v>0</v>
      </c>
      <c r="C72" s="62">
        <v>5413981514</v>
      </c>
      <c r="D72" s="62">
        <v>209548355</v>
      </c>
      <c r="E72" s="62">
        <v>5623529869</v>
      </c>
      <c r="F72" s="63">
        <v>2.3511780451863501E-3</v>
      </c>
      <c r="G72" s="62">
        <v>2937249600</v>
      </c>
      <c r="H72" s="62">
        <v>6324269299</v>
      </c>
      <c r="I72" s="62">
        <v>209548355</v>
      </c>
      <c r="J72" s="62">
        <v>9471067254</v>
      </c>
      <c r="K72" s="63">
        <f>J72/درآمدها!$C$11</f>
        <v>1.8601809095309225E-3</v>
      </c>
    </row>
    <row r="73" spans="1:11">
      <c r="A73" s="62" t="s">
        <v>234</v>
      </c>
      <c r="B73" s="62">
        <v>0</v>
      </c>
      <c r="C73" s="62">
        <v>12138960308</v>
      </c>
      <c r="D73" s="62">
        <v>0</v>
      </c>
      <c r="E73" s="62">
        <v>12138960308</v>
      </c>
      <c r="F73" s="63">
        <v>5.0752565794824145E-3</v>
      </c>
      <c r="G73" s="62">
        <v>5657121600</v>
      </c>
      <c r="H73" s="62">
        <v>5890553283</v>
      </c>
      <c r="I73" s="62">
        <v>-16873074</v>
      </c>
      <c r="J73" s="62">
        <v>11530801809</v>
      </c>
      <c r="K73" s="63">
        <f>J73/درآمدها!$C$11</f>
        <v>2.2647265425791924E-3</v>
      </c>
    </row>
    <row r="74" spans="1:11">
      <c r="A74" s="62" t="s">
        <v>290</v>
      </c>
      <c r="B74" s="62">
        <v>0</v>
      </c>
      <c r="C74" s="62">
        <v>1320483315</v>
      </c>
      <c r="D74" s="62">
        <v>0</v>
      </c>
      <c r="E74" s="62">
        <v>1320483315</v>
      </c>
      <c r="F74" s="63">
        <v>5.5208942631880791E-4</v>
      </c>
      <c r="G74" s="62">
        <v>4885105680</v>
      </c>
      <c r="H74" s="62">
        <v>313025082</v>
      </c>
      <c r="I74" s="62">
        <v>-545523643</v>
      </c>
      <c r="J74" s="62">
        <v>4652607119</v>
      </c>
      <c r="K74" s="63">
        <f>J74/درآمدها!$C$11</f>
        <v>9.1380313434647538E-4</v>
      </c>
    </row>
    <row r="75" spans="1:11">
      <c r="A75" s="62" t="s">
        <v>291</v>
      </c>
      <c r="B75" s="62">
        <v>0</v>
      </c>
      <c r="C75" s="62">
        <v>-1255221550</v>
      </c>
      <c r="D75" s="62">
        <v>0</v>
      </c>
      <c r="E75" s="62">
        <v>-1255221550</v>
      </c>
      <c r="F75" s="63">
        <v>-5.2480371207303358E-4</v>
      </c>
      <c r="G75" s="62">
        <v>0</v>
      </c>
      <c r="H75" s="62">
        <v>11440322064</v>
      </c>
      <c r="I75" s="62">
        <v>71053603</v>
      </c>
      <c r="J75" s="62">
        <v>11511375667</v>
      </c>
      <c r="K75" s="63">
        <f>J75/درآمدها!$C$11</f>
        <v>2.2609111184537884E-3</v>
      </c>
    </row>
    <row r="76" spans="1:11">
      <c r="A76" s="62" t="s">
        <v>240</v>
      </c>
      <c r="B76" s="62">
        <v>0</v>
      </c>
      <c r="C76" s="62">
        <v>7524920753</v>
      </c>
      <c r="D76" s="62">
        <v>0</v>
      </c>
      <c r="E76" s="62">
        <v>7524920753</v>
      </c>
      <c r="F76" s="63">
        <v>3.1461428814935554E-3</v>
      </c>
      <c r="G76" s="62">
        <v>2532289790</v>
      </c>
      <c r="H76" s="62">
        <v>19104570191</v>
      </c>
      <c r="I76" s="62">
        <v>7220782522</v>
      </c>
      <c r="J76" s="62">
        <v>28857642503</v>
      </c>
      <c r="K76" s="63">
        <f>J76/درآمدها!$C$11</f>
        <v>5.6678338605902533E-3</v>
      </c>
    </row>
    <row r="77" spans="1:11">
      <c r="A77" s="62" t="s">
        <v>220</v>
      </c>
      <c r="B77" s="62">
        <v>360786520</v>
      </c>
      <c r="C77" s="62">
        <v>1765551580</v>
      </c>
      <c r="D77" s="62">
        <v>1838904792</v>
      </c>
      <c r="E77" s="62">
        <v>3965242892</v>
      </c>
      <c r="F77" s="63">
        <v>1.6578540967471527E-3</v>
      </c>
      <c r="G77" s="62">
        <v>360786520</v>
      </c>
      <c r="H77" s="62">
        <v>16369464553</v>
      </c>
      <c r="I77" s="62">
        <v>2401099466</v>
      </c>
      <c r="J77" s="62">
        <v>19131350539</v>
      </c>
      <c r="K77" s="63">
        <f>J77/درآمدها!$C$11</f>
        <v>3.7575251121949138E-3</v>
      </c>
    </row>
    <row r="78" spans="1:11">
      <c r="A78" s="62" t="s">
        <v>242</v>
      </c>
      <c r="B78" s="62">
        <v>5249976270</v>
      </c>
      <c r="C78" s="62">
        <v>14342746988</v>
      </c>
      <c r="D78" s="62">
        <v>0</v>
      </c>
      <c r="E78" s="62">
        <v>19592723258</v>
      </c>
      <c r="F78" s="63">
        <v>8.1916486339945801E-3</v>
      </c>
      <c r="G78" s="62">
        <v>5249976270</v>
      </c>
      <c r="H78" s="62">
        <v>25287107914</v>
      </c>
      <c r="I78" s="62">
        <v>458772357</v>
      </c>
      <c r="J78" s="62">
        <v>30995856541</v>
      </c>
      <c r="K78" s="63">
        <f>J78/درآمدها!$C$11</f>
        <v>6.0877933886253639E-3</v>
      </c>
    </row>
    <row r="79" spans="1:11">
      <c r="A79" s="62" t="s">
        <v>264</v>
      </c>
      <c r="B79" s="62">
        <v>0</v>
      </c>
      <c r="C79" s="62">
        <v>-15197274920</v>
      </c>
      <c r="D79" s="62">
        <v>24225893011</v>
      </c>
      <c r="E79" s="62">
        <v>9028618091</v>
      </c>
      <c r="F79" s="63">
        <v>3.7748334459733789E-3</v>
      </c>
      <c r="G79" s="62">
        <v>5542935000</v>
      </c>
      <c r="H79" s="62">
        <v>29808970323</v>
      </c>
      <c r="I79" s="62">
        <v>24696244291</v>
      </c>
      <c r="J79" s="62">
        <v>60048149614</v>
      </c>
      <c r="K79" s="63">
        <f>J79/درآمدها!$C$11</f>
        <v>1.1793857922130582E-2</v>
      </c>
    </row>
    <row r="80" spans="1:11">
      <c r="A80" s="62" t="s">
        <v>292</v>
      </c>
      <c r="B80" s="62">
        <v>0</v>
      </c>
      <c r="C80" s="62">
        <v>10343849553</v>
      </c>
      <c r="D80" s="62">
        <v>0</v>
      </c>
      <c r="E80" s="62">
        <v>10343849553</v>
      </c>
      <c r="F80" s="63">
        <v>4.3247270910377446E-3</v>
      </c>
      <c r="G80" s="62">
        <v>260610760</v>
      </c>
      <c r="H80" s="62">
        <v>13038611579</v>
      </c>
      <c r="I80" s="62">
        <v>0</v>
      </c>
      <c r="J80" s="62">
        <v>13299222339</v>
      </c>
      <c r="K80" s="63">
        <f>J80/درآمدها!$C$11</f>
        <v>2.6120561540904229E-3</v>
      </c>
    </row>
    <row r="81" spans="1:11">
      <c r="A81" s="62" t="s">
        <v>293</v>
      </c>
      <c r="B81" s="62">
        <v>0</v>
      </c>
      <c r="C81" s="62">
        <v>25525232891</v>
      </c>
      <c r="D81" s="62">
        <v>0</v>
      </c>
      <c r="E81" s="62">
        <v>25525232891</v>
      </c>
      <c r="F81" s="63">
        <v>1.0672010030998503E-2</v>
      </c>
      <c r="G81" s="62">
        <v>1150107900</v>
      </c>
      <c r="H81" s="62">
        <v>40913808547</v>
      </c>
      <c r="I81" s="62">
        <v>0</v>
      </c>
      <c r="J81" s="62">
        <v>42063916447</v>
      </c>
      <c r="K81" s="63">
        <f>J81/درآمدها!$C$11</f>
        <v>8.2616343286725843E-3</v>
      </c>
    </row>
    <row r="82" spans="1:11">
      <c r="A82" s="62" t="s">
        <v>294</v>
      </c>
      <c r="B82" s="62">
        <v>0</v>
      </c>
      <c r="C82" s="62">
        <v>4152801569</v>
      </c>
      <c r="D82" s="62">
        <v>0</v>
      </c>
      <c r="E82" s="62">
        <v>4152801569</v>
      </c>
      <c r="F82" s="63">
        <v>1.7362717194537634E-3</v>
      </c>
      <c r="G82" s="62">
        <v>3066175800</v>
      </c>
      <c r="H82" s="62">
        <v>9047262496</v>
      </c>
      <c r="I82" s="62">
        <v>0</v>
      </c>
      <c r="J82" s="62">
        <v>12113438296</v>
      </c>
      <c r="K82" s="63">
        <f>J82/درآمدها!$C$11</f>
        <v>2.3791602427364611E-3</v>
      </c>
    </row>
    <row r="83" spans="1:11">
      <c r="A83" s="62" t="s">
        <v>295</v>
      </c>
      <c r="B83" s="62">
        <v>0</v>
      </c>
      <c r="C83" s="62">
        <v>989442030</v>
      </c>
      <c r="D83" s="62">
        <v>0</v>
      </c>
      <c r="E83" s="62">
        <v>989442030</v>
      </c>
      <c r="F83" s="63">
        <v>4.1368223022069517E-4</v>
      </c>
      <c r="G83" s="62">
        <v>0</v>
      </c>
      <c r="H83" s="62">
        <v>1852468863</v>
      </c>
      <c r="I83" s="62">
        <v>0</v>
      </c>
      <c r="J83" s="62">
        <v>1852468863</v>
      </c>
      <c r="K83" s="63">
        <f>J83/درآمدها!$C$11</f>
        <v>3.6383726585804835E-4</v>
      </c>
    </row>
    <row r="84" spans="1:11">
      <c r="A84" s="62" t="s">
        <v>254</v>
      </c>
      <c r="B84" s="62">
        <v>1511369800</v>
      </c>
      <c r="C84" s="62">
        <v>24850266353</v>
      </c>
      <c r="D84" s="62">
        <v>2632335590</v>
      </c>
      <c r="E84" s="62">
        <v>28993971743</v>
      </c>
      <c r="F84" s="63">
        <v>1.2122277536158492E-2</v>
      </c>
      <c r="G84" s="62">
        <v>1511369800</v>
      </c>
      <c r="H84" s="62">
        <v>15136951887</v>
      </c>
      <c r="I84" s="62">
        <v>2572373909</v>
      </c>
      <c r="J84" s="62">
        <v>19220695596</v>
      </c>
      <c r="K84" s="63">
        <f>J84/درآمدها!$C$11</f>
        <v>3.7750730785365279E-3</v>
      </c>
    </row>
    <row r="85" spans="1:11">
      <c r="A85" s="62" t="s">
        <v>165</v>
      </c>
      <c r="B85" s="62">
        <v>5600000000</v>
      </c>
      <c r="C85" s="62">
        <v>-1464403871</v>
      </c>
      <c r="D85" s="62">
        <v>-1553089098</v>
      </c>
      <c r="E85" s="62">
        <v>2582507031</v>
      </c>
      <c r="F85" s="63">
        <v>1.0797371000549733E-3</v>
      </c>
      <c r="G85" s="62">
        <v>5600000000</v>
      </c>
      <c r="H85" s="62">
        <v>-5322490791</v>
      </c>
      <c r="I85" s="62">
        <v>-1849769018</v>
      </c>
      <c r="J85" s="62">
        <v>-1572259809</v>
      </c>
      <c r="K85" s="63">
        <f>J85/درآمدها!$C$11</f>
        <v>-3.0880233484661669E-4</v>
      </c>
    </row>
    <row r="86" spans="1:11">
      <c r="A86" s="62" t="s">
        <v>235</v>
      </c>
      <c r="B86" s="62">
        <v>0</v>
      </c>
      <c r="C86" s="62">
        <v>16792320923</v>
      </c>
      <c r="D86" s="62">
        <v>10133531710</v>
      </c>
      <c r="E86" s="62">
        <v>26925852633</v>
      </c>
      <c r="F86" s="63">
        <v>1.1257604215391192E-2</v>
      </c>
      <c r="G86" s="62">
        <v>0</v>
      </c>
      <c r="H86" s="62">
        <v>29451656833</v>
      </c>
      <c r="I86" s="62">
        <v>11403319524</v>
      </c>
      <c r="J86" s="62">
        <v>40854976357</v>
      </c>
      <c r="K86" s="63">
        <f>J86/درآمدها!$C$11</f>
        <v>8.0241904149220174E-3</v>
      </c>
    </row>
    <row r="87" spans="1:11">
      <c r="A87" s="62" t="s">
        <v>188</v>
      </c>
      <c r="B87" s="62">
        <v>0</v>
      </c>
      <c r="C87" s="62">
        <v>17904045501</v>
      </c>
      <c r="D87" s="62">
        <v>7845118303</v>
      </c>
      <c r="E87" s="62">
        <v>25749163804</v>
      </c>
      <c r="F87" s="63">
        <v>1.0765634757557974E-2</v>
      </c>
      <c r="G87" s="62">
        <v>324518880</v>
      </c>
      <c r="H87" s="62">
        <v>40546948365</v>
      </c>
      <c r="I87" s="62">
        <v>9378532158</v>
      </c>
      <c r="J87" s="62">
        <v>50249999403</v>
      </c>
      <c r="K87" s="63">
        <f>J87/درآمدها!$C$11</f>
        <v>9.8694357337525095E-3</v>
      </c>
    </row>
    <row r="88" spans="1:11">
      <c r="A88" s="62" t="s">
        <v>296</v>
      </c>
      <c r="B88" s="62">
        <v>0</v>
      </c>
      <c r="C88" s="62">
        <v>-889847359</v>
      </c>
      <c r="D88" s="62">
        <v>0</v>
      </c>
      <c r="E88" s="62">
        <v>-889847359</v>
      </c>
      <c r="F88" s="63">
        <v>-3.7204204881726685E-4</v>
      </c>
      <c r="G88" s="62">
        <v>1281113520</v>
      </c>
      <c r="H88" s="62">
        <v>16671529306</v>
      </c>
      <c r="I88" s="62">
        <v>0</v>
      </c>
      <c r="J88" s="62">
        <v>17952642826</v>
      </c>
      <c r="K88" s="63">
        <f>J88/درآمدها!$C$11</f>
        <v>3.5260190393483263E-3</v>
      </c>
    </row>
    <row r="89" spans="1:11">
      <c r="A89" s="62" t="s">
        <v>297</v>
      </c>
      <c r="B89" s="62">
        <v>0</v>
      </c>
      <c r="C89" s="62">
        <v>24065214087</v>
      </c>
      <c r="D89" s="62">
        <v>0</v>
      </c>
      <c r="E89" s="62">
        <v>24065214087</v>
      </c>
      <c r="F89" s="63">
        <v>1.0061581307849485E-2</v>
      </c>
      <c r="G89" s="62">
        <v>4584349440</v>
      </c>
      <c r="H89" s="62">
        <v>53510862218</v>
      </c>
      <c r="I89" s="62">
        <v>0</v>
      </c>
      <c r="J89" s="62">
        <v>58095211658</v>
      </c>
      <c r="K89" s="63">
        <f>J89/درآمدها!$C$11</f>
        <v>1.1410287854911889E-2</v>
      </c>
    </row>
    <row r="90" spans="1:11">
      <c r="A90" s="62" t="s">
        <v>248</v>
      </c>
      <c r="B90" s="62">
        <v>0</v>
      </c>
      <c r="C90" s="62">
        <v>12801575814</v>
      </c>
      <c r="D90" s="62">
        <v>4707972806</v>
      </c>
      <c r="E90" s="62">
        <v>17509548620</v>
      </c>
      <c r="F90" s="63">
        <v>7.320680649961166E-3</v>
      </c>
      <c r="G90" s="62">
        <v>5064416544</v>
      </c>
      <c r="H90" s="62">
        <v>34570610986</v>
      </c>
      <c r="I90" s="62">
        <v>6469447069</v>
      </c>
      <c r="J90" s="62">
        <v>46104474599</v>
      </c>
      <c r="K90" s="63">
        <f>J90/درآمدها!$C$11</f>
        <v>9.0552269552084778E-3</v>
      </c>
    </row>
    <row r="91" spans="1:11">
      <c r="A91" s="62" t="s">
        <v>200</v>
      </c>
      <c r="B91" s="62">
        <v>0</v>
      </c>
      <c r="C91" s="62">
        <v>18704557851</v>
      </c>
      <c r="D91" s="62">
        <v>11082375103</v>
      </c>
      <c r="E91" s="62">
        <v>29786932954</v>
      </c>
      <c r="F91" s="63">
        <v>1.2453811827505488E-2</v>
      </c>
      <c r="G91" s="62">
        <v>0</v>
      </c>
      <c r="H91" s="62">
        <v>67426505362</v>
      </c>
      <c r="I91" s="62">
        <v>15947238755</v>
      </c>
      <c r="J91" s="62">
        <v>83373744117</v>
      </c>
      <c r="K91" s="63">
        <f>J91/درآمدها!$C$11</f>
        <v>1.6375160581513011E-2</v>
      </c>
    </row>
    <row r="92" spans="1:11">
      <c r="A92" s="62" t="s">
        <v>184</v>
      </c>
      <c r="B92" s="62">
        <v>0</v>
      </c>
      <c r="C92" s="62">
        <v>5723976313</v>
      </c>
      <c r="D92" s="62">
        <v>12519681901</v>
      </c>
      <c r="E92" s="62">
        <v>18243658214</v>
      </c>
      <c r="F92" s="63">
        <v>7.6276092873794991E-3</v>
      </c>
      <c r="G92" s="62">
        <v>0</v>
      </c>
      <c r="H92" s="62">
        <v>55129214973</v>
      </c>
      <c r="I92" s="62">
        <v>13697501511</v>
      </c>
      <c r="J92" s="62">
        <v>68826716484</v>
      </c>
      <c r="K92" s="63">
        <f>J92/درآمدها!$C$11</f>
        <v>1.351802712784686E-2</v>
      </c>
    </row>
    <row r="93" spans="1:11">
      <c r="A93" s="62" t="s">
        <v>298</v>
      </c>
      <c r="B93" s="62">
        <v>0</v>
      </c>
      <c r="C93" s="62">
        <v>1985486963</v>
      </c>
      <c r="D93" s="62">
        <v>0</v>
      </c>
      <c r="E93" s="62">
        <v>1985486963</v>
      </c>
      <c r="F93" s="63">
        <v>8.3012511094556483E-4</v>
      </c>
      <c r="G93" s="62">
        <v>2099766900</v>
      </c>
      <c r="H93" s="62">
        <v>25860354888</v>
      </c>
      <c r="I93" s="62">
        <v>0</v>
      </c>
      <c r="J93" s="62">
        <v>27960121788</v>
      </c>
      <c r="K93" s="63">
        <f>J93/درآمدها!$C$11</f>
        <v>5.491554793492886E-3</v>
      </c>
    </row>
    <row r="94" spans="1:11">
      <c r="A94" s="62" t="s">
        <v>299</v>
      </c>
      <c r="B94" s="62">
        <v>0</v>
      </c>
      <c r="C94" s="62">
        <v>9395399715</v>
      </c>
      <c r="D94" s="62">
        <v>0</v>
      </c>
      <c r="E94" s="62">
        <v>9395399715</v>
      </c>
      <c r="F94" s="63">
        <v>3.9281835520127281E-3</v>
      </c>
      <c r="G94" s="62">
        <v>5231894640</v>
      </c>
      <c r="H94" s="62">
        <v>5130792549</v>
      </c>
      <c r="I94" s="62">
        <v>0</v>
      </c>
      <c r="J94" s="62">
        <v>10362687189</v>
      </c>
      <c r="K94" s="63">
        <f>J94/درآمدها!$C$11</f>
        <v>2.0353010239978239E-3</v>
      </c>
    </row>
    <row r="95" spans="1:11">
      <c r="A95" s="62" t="s">
        <v>300</v>
      </c>
      <c r="B95" s="62">
        <v>0</v>
      </c>
      <c r="C95" s="62">
        <v>7288828981</v>
      </c>
      <c r="D95" s="62">
        <v>0</v>
      </c>
      <c r="E95" s="62">
        <v>7288828981</v>
      </c>
      <c r="F95" s="63">
        <v>3.0474337425885549E-3</v>
      </c>
      <c r="G95" s="62">
        <v>4876820845</v>
      </c>
      <c r="H95" s="62">
        <v>12194018522</v>
      </c>
      <c r="I95" s="62">
        <v>0</v>
      </c>
      <c r="J95" s="62">
        <v>17070839367</v>
      </c>
      <c r="K95" s="63">
        <f>J95/درآمدها!$C$11</f>
        <v>3.352826946377245E-3</v>
      </c>
    </row>
    <row r="96" spans="1:11">
      <c r="A96" s="62" t="s">
        <v>182</v>
      </c>
      <c r="B96" s="62">
        <v>0</v>
      </c>
      <c r="C96" s="62">
        <v>5436400947</v>
      </c>
      <c r="D96" s="62">
        <v>4080831423</v>
      </c>
      <c r="E96" s="62">
        <v>9517232370</v>
      </c>
      <c r="F96" s="63">
        <v>3.9791213562559019E-3</v>
      </c>
      <c r="G96" s="62">
        <v>70000000</v>
      </c>
      <c r="H96" s="62">
        <v>16252037309</v>
      </c>
      <c r="I96" s="62">
        <v>4080831423</v>
      </c>
      <c r="J96" s="62">
        <v>20402868732</v>
      </c>
      <c r="K96" s="63">
        <f>J96/درآمدها!$C$11</f>
        <v>4.0072597836218237E-3</v>
      </c>
    </row>
    <row r="97" spans="1:11">
      <c r="A97" s="62" t="s">
        <v>161</v>
      </c>
      <c r="B97" s="62">
        <v>7292230155</v>
      </c>
      <c r="C97" s="62">
        <v>18739862361</v>
      </c>
      <c r="D97" s="62">
        <v>962992847</v>
      </c>
      <c r="E97" s="62">
        <v>26995085363</v>
      </c>
      <c r="F97" s="63">
        <v>1.1286550176126927E-2</v>
      </c>
      <c r="G97" s="62">
        <v>7292230155</v>
      </c>
      <c r="H97" s="62">
        <v>34358190559</v>
      </c>
      <c r="I97" s="62">
        <v>1389212146</v>
      </c>
      <c r="J97" s="62">
        <v>43039632860</v>
      </c>
      <c r="K97" s="63">
        <f>J97/درآمدها!$C$11</f>
        <v>8.4532715534860869E-3</v>
      </c>
    </row>
    <row r="98" spans="1:11">
      <c r="A98" s="62" t="s">
        <v>301</v>
      </c>
      <c r="B98" s="62">
        <v>0</v>
      </c>
      <c r="C98" s="62">
        <v>37346185</v>
      </c>
      <c r="D98" s="62">
        <v>0</v>
      </c>
      <c r="E98" s="62">
        <v>37346185</v>
      </c>
      <c r="F98" s="63">
        <v>1.5614308501767074E-5</v>
      </c>
      <c r="G98" s="62">
        <v>0</v>
      </c>
      <c r="H98" s="62">
        <v>-4746708782</v>
      </c>
      <c r="I98" s="62">
        <v>0</v>
      </c>
      <c r="J98" s="62">
        <v>-4746708782</v>
      </c>
      <c r="K98" s="63">
        <f>J98/درآمدها!$C$11</f>
        <v>-9.3228532989775108E-4</v>
      </c>
    </row>
    <row r="99" spans="1:11">
      <c r="A99" s="62" t="s">
        <v>141</v>
      </c>
      <c r="B99" s="62">
        <v>0</v>
      </c>
      <c r="C99" s="62">
        <v>3539345019</v>
      </c>
      <c r="D99" s="62">
        <v>0</v>
      </c>
      <c r="E99" s="62">
        <v>3539345019</v>
      </c>
      <c r="F99" s="63">
        <v>1.4797876950713613E-3</v>
      </c>
      <c r="G99" s="62">
        <v>10536089950</v>
      </c>
      <c r="H99" s="62">
        <v>-5333743747</v>
      </c>
      <c r="I99" s="62">
        <v>1435282868</v>
      </c>
      <c r="J99" s="62">
        <v>6637629071</v>
      </c>
      <c r="K99" s="63">
        <f>J99/درآمدها!$C$11</f>
        <v>1.3036747128162324E-3</v>
      </c>
    </row>
    <row r="100" spans="1:11">
      <c r="A100" s="62" t="s">
        <v>302</v>
      </c>
      <c r="B100" s="62">
        <v>0</v>
      </c>
      <c r="C100" s="62">
        <v>1660552553</v>
      </c>
      <c r="D100" s="62">
        <v>0</v>
      </c>
      <c r="E100" s="62">
        <v>1660552553</v>
      </c>
      <c r="F100" s="63">
        <v>6.9427117779068787E-4</v>
      </c>
      <c r="G100" s="62">
        <v>0</v>
      </c>
      <c r="H100" s="62">
        <v>4978979522</v>
      </c>
      <c r="I100" s="62">
        <v>0</v>
      </c>
      <c r="J100" s="62">
        <v>4978979522</v>
      </c>
      <c r="K100" s="63">
        <f>J100/درآمدها!$C$11</f>
        <v>9.7790485563896499E-4</v>
      </c>
    </row>
    <row r="101" spans="1:11">
      <c r="A101" s="62" t="s">
        <v>303</v>
      </c>
      <c r="B101" s="62">
        <v>0</v>
      </c>
      <c r="C101" s="62">
        <v>1887136406</v>
      </c>
      <c r="D101" s="62">
        <v>0</v>
      </c>
      <c r="E101" s="62">
        <v>1887136406</v>
      </c>
      <c r="F101" s="63">
        <v>7.8900508922664957E-4</v>
      </c>
      <c r="G101" s="62">
        <v>2183591330</v>
      </c>
      <c r="H101" s="62">
        <v>32374873442</v>
      </c>
      <c r="I101" s="62">
        <v>0</v>
      </c>
      <c r="J101" s="62">
        <v>34558464772</v>
      </c>
      <c r="K101" s="63">
        <f>J101/درآمدها!$C$11</f>
        <v>6.7875134562497431E-3</v>
      </c>
    </row>
    <row r="102" spans="1:11">
      <c r="A102" s="62" t="s">
        <v>247</v>
      </c>
      <c r="B102" s="62">
        <v>0</v>
      </c>
      <c r="C102" s="62">
        <v>9382039257</v>
      </c>
      <c r="D102" s="62">
        <v>4128358167</v>
      </c>
      <c r="E102" s="62">
        <v>13510397424</v>
      </c>
      <c r="F102" s="63">
        <v>5.6486496106580948E-3</v>
      </c>
      <c r="G102" s="62">
        <v>0</v>
      </c>
      <c r="H102" s="62">
        <v>13712752962</v>
      </c>
      <c r="I102" s="62">
        <v>4282591409</v>
      </c>
      <c r="J102" s="62">
        <v>17995344371</v>
      </c>
      <c r="K102" s="63">
        <f>J102/درآمدها!$C$11</f>
        <v>3.534405908186464E-3</v>
      </c>
    </row>
    <row r="103" spans="1:11">
      <c r="A103" s="62" t="s">
        <v>155</v>
      </c>
      <c r="B103" s="62">
        <v>0</v>
      </c>
      <c r="C103" s="62">
        <v>20339860941</v>
      </c>
      <c r="D103" s="62">
        <v>0</v>
      </c>
      <c r="E103" s="62">
        <v>20339860941</v>
      </c>
      <c r="F103" s="63">
        <v>8.5040242695690691E-3</v>
      </c>
      <c r="G103" s="62">
        <v>2127401140</v>
      </c>
      <c r="H103" s="62">
        <v>10059830424</v>
      </c>
      <c r="I103" s="62">
        <v>-419712197</v>
      </c>
      <c r="J103" s="62">
        <v>11767519367</v>
      </c>
      <c r="K103" s="63">
        <f>J103/درآمدها!$C$11</f>
        <v>2.3112194530963688E-3</v>
      </c>
    </row>
    <row r="104" spans="1:11">
      <c r="A104" s="62" t="s">
        <v>304</v>
      </c>
      <c r="B104" s="62">
        <v>0</v>
      </c>
      <c r="C104" s="62">
        <v>2335622272</v>
      </c>
      <c r="D104" s="62">
        <v>0</v>
      </c>
      <c r="E104" s="62">
        <v>2335622272</v>
      </c>
      <c r="F104" s="63">
        <v>9.7651545127316571E-4</v>
      </c>
      <c r="G104" s="62">
        <v>0</v>
      </c>
      <c r="H104" s="62">
        <v>5668749890</v>
      </c>
      <c r="I104" s="62">
        <v>0</v>
      </c>
      <c r="J104" s="62">
        <v>5668749890</v>
      </c>
      <c r="K104" s="63">
        <f>J104/درآمدها!$C$11</f>
        <v>1.1133803660648694E-3</v>
      </c>
    </row>
    <row r="105" spans="1:11">
      <c r="A105" s="62" t="s">
        <v>201</v>
      </c>
      <c r="B105" s="62">
        <v>0</v>
      </c>
      <c r="C105" s="62">
        <v>5171028417</v>
      </c>
      <c r="D105" s="62">
        <v>273091966</v>
      </c>
      <c r="E105" s="62">
        <v>5444120383</v>
      </c>
      <c r="F105" s="63">
        <v>2.27616757055427E-3</v>
      </c>
      <c r="G105" s="62">
        <v>1648155000</v>
      </c>
      <c r="H105" s="62">
        <v>3556298409</v>
      </c>
      <c r="I105" s="62">
        <v>273091966</v>
      </c>
      <c r="J105" s="62">
        <v>5477545375</v>
      </c>
      <c r="K105" s="63">
        <f>J105/درآمدها!$C$11</f>
        <v>1.0758265213839646E-3</v>
      </c>
    </row>
    <row r="106" spans="1:11">
      <c r="A106" s="62" t="s">
        <v>186</v>
      </c>
      <c r="B106" s="62">
        <v>2600945620</v>
      </c>
      <c r="C106" s="62">
        <v>14065579692</v>
      </c>
      <c r="D106" s="62">
        <v>0</v>
      </c>
      <c r="E106" s="62">
        <v>16666525312</v>
      </c>
      <c r="F106" s="63">
        <v>6.9682155720611821E-3</v>
      </c>
      <c r="G106" s="62">
        <v>2600945620</v>
      </c>
      <c r="H106" s="62">
        <v>16199092254</v>
      </c>
      <c r="I106" s="62">
        <v>-179029616</v>
      </c>
      <c r="J106" s="62">
        <v>18621008258</v>
      </c>
      <c r="K106" s="63">
        <f>J106/درآمدها!$C$11</f>
        <v>3.657290477281755E-3</v>
      </c>
    </row>
    <row r="107" spans="1:11">
      <c r="A107" s="62" t="s">
        <v>151</v>
      </c>
      <c r="B107" s="62">
        <v>0</v>
      </c>
      <c r="C107" s="62">
        <v>3363095743</v>
      </c>
      <c r="D107" s="62">
        <v>765535767</v>
      </c>
      <c r="E107" s="62">
        <v>4128631510</v>
      </c>
      <c r="F107" s="63">
        <v>1.7261663028568094E-3</v>
      </c>
      <c r="G107" s="62">
        <v>4422000000</v>
      </c>
      <c r="H107" s="62">
        <v>44746202612</v>
      </c>
      <c r="I107" s="62">
        <v>765535767</v>
      </c>
      <c r="J107" s="62">
        <v>49933738379</v>
      </c>
      <c r="K107" s="63">
        <f>J107/درآمدها!$C$11</f>
        <v>9.8073199548760551E-3</v>
      </c>
    </row>
    <row r="108" spans="1:11">
      <c r="A108" s="62" t="s">
        <v>170</v>
      </c>
      <c r="B108" s="62">
        <v>0</v>
      </c>
      <c r="C108" s="62">
        <v>2269400871</v>
      </c>
      <c r="D108" s="62">
        <v>2353814950</v>
      </c>
      <c r="E108" s="62">
        <v>4623215821</v>
      </c>
      <c r="F108" s="63">
        <v>1.9329502625059119E-3</v>
      </c>
      <c r="G108" s="62">
        <v>3144040000</v>
      </c>
      <c r="H108" s="62">
        <v>6524115714</v>
      </c>
      <c r="I108" s="62">
        <v>3061430020</v>
      </c>
      <c r="J108" s="62">
        <v>12729585734</v>
      </c>
      <c r="K108" s="63">
        <f>J108/درآمدها!$C$11</f>
        <v>2.5001757176439936E-3</v>
      </c>
    </row>
    <row r="109" spans="1:11">
      <c r="A109" s="62" t="s">
        <v>305</v>
      </c>
      <c r="B109" s="62">
        <v>0</v>
      </c>
      <c r="C109" s="62">
        <v>2139334120</v>
      </c>
      <c r="D109" s="62">
        <v>0</v>
      </c>
      <c r="E109" s="62">
        <v>2139334120</v>
      </c>
      <c r="F109" s="63">
        <v>8.9444806579403987E-4</v>
      </c>
      <c r="G109" s="62">
        <v>3640000000</v>
      </c>
      <c r="H109" s="62">
        <v>7418210520</v>
      </c>
      <c r="I109" s="62">
        <v>0</v>
      </c>
      <c r="J109" s="62">
        <v>11058210520</v>
      </c>
      <c r="K109" s="63">
        <f>J109/درآمدها!$C$11</f>
        <v>2.1719064548074442E-3</v>
      </c>
    </row>
    <row r="110" spans="1:11">
      <c r="A110" s="62" t="s">
        <v>306</v>
      </c>
      <c r="B110" s="62">
        <v>0</v>
      </c>
      <c r="C110" s="62">
        <v>57098490886</v>
      </c>
      <c r="D110" s="62">
        <v>0</v>
      </c>
      <c r="E110" s="62">
        <v>57098490886</v>
      </c>
      <c r="F110" s="63">
        <v>2.387267807084819E-2</v>
      </c>
      <c r="G110" s="62">
        <v>1830403200</v>
      </c>
      <c r="H110" s="62">
        <v>106568714203</v>
      </c>
      <c r="I110" s="62">
        <v>0</v>
      </c>
      <c r="J110" s="62">
        <v>108399117403</v>
      </c>
      <c r="K110" s="63">
        <f>J110/درآمدها!$C$11</f>
        <v>2.1290311154521742E-2</v>
      </c>
    </row>
    <row r="111" spans="1:11">
      <c r="A111" s="62" t="s">
        <v>152</v>
      </c>
      <c r="B111" s="62">
        <v>0</v>
      </c>
      <c r="C111" s="62">
        <v>17747879130</v>
      </c>
      <c r="D111" s="62">
        <v>0</v>
      </c>
      <c r="E111" s="62">
        <v>17747879130</v>
      </c>
      <c r="F111" s="63">
        <v>7.4203257973443184E-3</v>
      </c>
      <c r="G111" s="62">
        <v>6842132375</v>
      </c>
      <c r="H111" s="62">
        <v>17980190852</v>
      </c>
      <c r="I111" s="62">
        <v>891125413</v>
      </c>
      <c r="J111" s="62">
        <v>25713448640</v>
      </c>
      <c r="K111" s="63">
        <f>J111/درآمدها!$C$11</f>
        <v>5.0502931713562365E-3</v>
      </c>
    </row>
    <row r="112" spans="1:11">
      <c r="A112" s="62" t="s">
        <v>307</v>
      </c>
      <c r="B112" s="62">
        <v>0</v>
      </c>
      <c r="C112" s="62">
        <v>468847575</v>
      </c>
      <c r="D112" s="62">
        <v>0</v>
      </c>
      <c r="E112" s="62">
        <v>468847575</v>
      </c>
      <c r="F112" s="63">
        <v>1.9602352091265484E-4</v>
      </c>
      <c r="G112" s="62">
        <v>871875000</v>
      </c>
      <c r="H112" s="62">
        <v>-50233668</v>
      </c>
      <c r="I112" s="62">
        <v>0</v>
      </c>
      <c r="J112" s="62">
        <v>821641332</v>
      </c>
      <c r="K112" s="63">
        <f>J112/درآمدها!$C$11</f>
        <v>1.6137584912856101E-4</v>
      </c>
    </row>
    <row r="113" spans="1:11">
      <c r="A113" s="62" t="s">
        <v>308</v>
      </c>
      <c r="B113" s="62">
        <v>0</v>
      </c>
      <c r="C113" s="62">
        <v>3441589268</v>
      </c>
      <c r="D113" s="62">
        <v>0</v>
      </c>
      <c r="E113" s="62">
        <v>3441589268</v>
      </c>
      <c r="F113" s="63">
        <v>1.4389163596475174E-3</v>
      </c>
      <c r="G113" s="62">
        <v>0</v>
      </c>
      <c r="H113" s="62">
        <v>3230037304</v>
      </c>
      <c r="I113" s="62">
        <v>0</v>
      </c>
      <c r="J113" s="62">
        <v>3230037304</v>
      </c>
      <c r="K113" s="63">
        <f>J113/درآمدها!$C$11</f>
        <v>6.3440091478982215E-4</v>
      </c>
    </row>
    <row r="114" spans="1:11">
      <c r="A114" s="62" t="s">
        <v>309</v>
      </c>
      <c r="B114" s="62">
        <v>0</v>
      </c>
      <c r="C114" s="62">
        <v>-13886818650</v>
      </c>
      <c r="D114" s="62">
        <v>21842145310</v>
      </c>
      <c r="E114" s="62">
        <v>7955326660</v>
      </c>
      <c r="F114" s="63">
        <v>3.3260940763178959E-3</v>
      </c>
      <c r="G114" s="62">
        <v>0</v>
      </c>
      <c r="H114" s="62">
        <v>0</v>
      </c>
      <c r="I114" s="62">
        <v>21842145310</v>
      </c>
      <c r="J114" s="62">
        <v>21842145310</v>
      </c>
      <c r="K114" s="63">
        <f>J114/درآمدها!$C$11</f>
        <v>4.2899433230930342E-3</v>
      </c>
    </row>
    <row r="115" spans="1:11">
      <c r="A115" s="62" t="s">
        <v>310</v>
      </c>
      <c r="B115" s="62">
        <v>0</v>
      </c>
      <c r="C115" s="62">
        <v>2107068784</v>
      </c>
      <c r="D115" s="62">
        <v>0</v>
      </c>
      <c r="E115" s="62">
        <v>2107068784</v>
      </c>
      <c r="F115" s="63">
        <v>8.8095804237619483E-4</v>
      </c>
      <c r="G115" s="62">
        <v>502599600</v>
      </c>
      <c r="H115" s="62">
        <v>2219279548</v>
      </c>
      <c r="I115" s="62">
        <v>0</v>
      </c>
      <c r="J115" s="62">
        <v>2721879148</v>
      </c>
      <c r="K115" s="63">
        <f>J115/درآمدها!$C$11</f>
        <v>5.3459525662448567E-4</v>
      </c>
    </row>
    <row r="116" spans="1:11">
      <c r="A116" s="62" t="s">
        <v>311</v>
      </c>
      <c r="B116" s="62">
        <v>0</v>
      </c>
      <c r="C116" s="62">
        <v>159195830</v>
      </c>
      <c r="D116" s="62">
        <v>0</v>
      </c>
      <c r="E116" s="62">
        <v>159195830</v>
      </c>
      <c r="F116" s="63">
        <v>6.6559216204141488E-5</v>
      </c>
      <c r="G116" s="62">
        <v>479197000</v>
      </c>
      <c r="H116" s="62">
        <v>500838459</v>
      </c>
      <c r="I116" s="62">
        <v>0</v>
      </c>
      <c r="J116" s="62">
        <v>980035459</v>
      </c>
      <c r="K116" s="63">
        <f>J116/درآمدها!$C$11</f>
        <v>1.9248551431468646E-4</v>
      </c>
    </row>
    <row r="117" spans="1:11">
      <c r="A117" s="62" t="s">
        <v>312</v>
      </c>
      <c r="B117" s="62">
        <v>0</v>
      </c>
      <c r="C117" s="62">
        <v>7265116258</v>
      </c>
      <c r="D117" s="62">
        <v>0</v>
      </c>
      <c r="E117" s="62">
        <v>7265116258</v>
      </c>
      <c r="F117" s="63">
        <v>3.037519536563523E-3</v>
      </c>
      <c r="G117" s="62">
        <v>6556758000</v>
      </c>
      <c r="H117" s="62">
        <v>4371024435</v>
      </c>
      <c r="I117" s="62">
        <v>0</v>
      </c>
      <c r="J117" s="62">
        <v>10927782435</v>
      </c>
      <c r="K117" s="63">
        <f>J117/درآمدها!$C$11</f>
        <v>2.146289507184017E-3</v>
      </c>
    </row>
    <row r="118" spans="1:11">
      <c r="A118" s="62" t="s">
        <v>313</v>
      </c>
      <c r="B118" s="62">
        <v>0</v>
      </c>
      <c r="C118" s="62">
        <v>2011887219</v>
      </c>
      <c r="D118" s="62">
        <v>0</v>
      </c>
      <c r="E118" s="62">
        <v>2011887219</v>
      </c>
      <c r="F118" s="63">
        <v>8.411629650586323E-4</v>
      </c>
      <c r="G118" s="62">
        <v>1489369410</v>
      </c>
      <c r="H118" s="62">
        <v>33276219331</v>
      </c>
      <c r="I118" s="62">
        <v>3731275772</v>
      </c>
      <c r="J118" s="62">
        <v>38496864513</v>
      </c>
      <c r="K118" s="63">
        <f>J118/درآمدها!$C$11</f>
        <v>7.5610414880790625E-3</v>
      </c>
    </row>
    <row r="119" spans="1:11">
      <c r="A119" s="62" t="s">
        <v>314</v>
      </c>
      <c r="B119" s="62">
        <v>0</v>
      </c>
      <c r="C119" s="62">
        <v>12720461080</v>
      </c>
      <c r="D119" s="62">
        <v>0</v>
      </c>
      <c r="E119" s="62">
        <v>12720461080</v>
      </c>
      <c r="F119" s="63">
        <v>5.3183800055572258E-3</v>
      </c>
      <c r="G119" s="62">
        <v>5115925000</v>
      </c>
      <c r="H119" s="62">
        <v>24348910420</v>
      </c>
      <c r="I119" s="62">
        <v>0</v>
      </c>
      <c r="J119" s="62">
        <v>29464835420</v>
      </c>
      <c r="K119" s="63">
        <f>J119/درآمدها!$C$11</f>
        <v>5.7870906077249302E-3</v>
      </c>
    </row>
    <row r="120" spans="1:11">
      <c r="A120" s="62" t="s">
        <v>315</v>
      </c>
      <c r="B120" s="62">
        <v>0</v>
      </c>
      <c r="C120" s="62">
        <v>21789256930</v>
      </c>
      <c r="D120" s="62">
        <v>0</v>
      </c>
      <c r="E120" s="62">
        <v>21789256930</v>
      </c>
      <c r="F120" s="63">
        <v>9.1100116311555283E-3</v>
      </c>
      <c r="G120" s="62">
        <v>0</v>
      </c>
      <c r="H120" s="62">
        <v>35417505779</v>
      </c>
      <c r="I120" s="62">
        <v>0</v>
      </c>
      <c r="J120" s="62">
        <v>35417505779</v>
      </c>
      <c r="K120" s="63">
        <f>J120/درآمدها!$C$11</f>
        <v>6.9562348515128519E-3</v>
      </c>
    </row>
    <row r="121" spans="1:11">
      <c r="A121" s="62" t="s">
        <v>316</v>
      </c>
      <c r="B121" s="62">
        <v>0</v>
      </c>
      <c r="C121" s="62">
        <v>6543031856</v>
      </c>
      <c r="D121" s="62">
        <v>5777629669</v>
      </c>
      <c r="E121" s="62">
        <v>12320661525</v>
      </c>
      <c r="F121" s="63">
        <v>5.1512252187794283E-3</v>
      </c>
      <c r="G121" s="62">
        <v>2491071440</v>
      </c>
      <c r="H121" s="62">
        <v>42331373377</v>
      </c>
      <c r="I121" s="62">
        <v>7070344225</v>
      </c>
      <c r="J121" s="62">
        <v>51892789042</v>
      </c>
      <c r="K121" s="63">
        <f>J121/درآمدها!$C$11</f>
        <v>1.0192090598604448E-2</v>
      </c>
    </row>
    <row r="122" spans="1:11">
      <c r="A122" s="62" t="s">
        <v>317</v>
      </c>
      <c r="B122" s="62">
        <v>0</v>
      </c>
      <c r="C122" s="62">
        <v>9861819949</v>
      </c>
      <c r="D122" s="62">
        <v>0</v>
      </c>
      <c r="E122" s="62">
        <v>9861819949</v>
      </c>
      <c r="F122" s="63">
        <v>4.1231922101967536E-3</v>
      </c>
      <c r="G122" s="62">
        <v>1834313800</v>
      </c>
      <c r="H122" s="62">
        <v>20153853520</v>
      </c>
      <c r="I122" s="62">
        <v>0</v>
      </c>
      <c r="J122" s="62">
        <v>21988167320</v>
      </c>
      <c r="K122" s="63">
        <f>J122/درآمدها!$C$11</f>
        <v>4.3186230218100518E-3</v>
      </c>
    </row>
    <row r="123" spans="1:11">
      <c r="A123" s="62" t="s">
        <v>318</v>
      </c>
      <c r="B123" s="62">
        <v>0</v>
      </c>
      <c r="C123" s="62">
        <v>-342027134</v>
      </c>
      <c r="D123" s="62">
        <v>0</v>
      </c>
      <c r="E123" s="62">
        <v>-342027134</v>
      </c>
      <c r="F123" s="63">
        <v>-1.4300034089830666E-4</v>
      </c>
      <c r="G123" s="62">
        <v>2861984800</v>
      </c>
      <c r="H123" s="62">
        <v>3536353276</v>
      </c>
      <c r="I123" s="62">
        <v>0</v>
      </c>
      <c r="J123" s="62">
        <v>6398338076</v>
      </c>
      <c r="K123" s="63">
        <f>J123/درآمدها!$C$11</f>
        <v>1.2566763620724271E-3</v>
      </c>
    </row>
    <row r="124" spans="1:11">
      <c r="A124" s="62" t="s">
        <v>258</v>
      </c>
      <c r="B124" s="62">
        <v>0</v>
      </c>
      <c r="C124" s="62">
        <v>2967666203</v>
      </c>
      <c r="D124" s="62">
        <v>1732940922</v>
      </c>
      <c r="E124" s="62">
        <v>4700607125</v>
      </c>
      <c r="F124" s="63">
        <v>1.9653072943154539E-3</v>
      </c>
      <c r="G124" s="62">
        <v>0</v>
      </c>
      <c r="H124" s="62">
        <v>4080185491</v>
      </c>
      <c r="I124" s="62">
        <v>1732940922</v>
      </c>
      <c r="J124" s="62">
        <v>5813126413</v>
      </c>
      <c r="K124" s="63">
        <f>J124/درآمدها!$C$11</f>
        <v>1.1417368801373068E-3</v>
      </c>
    </row>
    <row r="125" spans="1:11">
      <c r="A125" s="62" t="s">
        <v>232</v>
      </c>
      <c r="B125" s="62">
        <v>0</v>
      </c>
      <c r="C125" s="62">
        <v>16090058942</v>
      </c>
      <c r="D125" s="62">
        <v>1096856736</v>
      </c>
      <c r="E125" s="62">
        <v>17186915678</v>
      </c>
      <c r="F125" s="63">
        <v>7.1857889524766516E-3</v>
      </c>
      <c r="G125" s="62">
        <v>0</v>
      </c>
      <c r="H125" s="62">
        <v>26693095831</v>
      </c>
      <c r="I125" s="62">
        <v>6730577448</v>
      </c>
      <c r="J125" s="62">
        <v>33423673279</v>
      </c>
      <c r="K125" s="63">
        <f>J125/درآمدها!$C$11</f>
        <v>6.5646328225296979E-3</v>
      </c>
    </row>
    <row r="126" spans="1:11">
      <c r="A126" s="62" t="s">
        <v>199</v>
      </c>
      <c r="B126" s="62">
        <v>0</v>
      </c>
      <c r="C126" s="62">
        <v>16651948314</v>
      </c>
      <c r="D126" s="62">
        <v>4118568092</v>
      </c>
      <c r="E126" s="62">
        <v>20770516406</v>
      </c>
      <c r="F126" s="63">
        <v>8.6840798037148455E-3</v>
      </c>
      <c r="G126" s="62">
        <v>0</v>
      </c>
      <c r="H126" s="62">
        <v>36583109881</v>
      </c>
      <c r="I126" s="62">
        <v>4118568092</v>
      </c>
      <c r="J126" s="62">
        <v>40701677973</v>
      </c>
      <c r="K126" s="63">
        <f>J126/درآمدها!$C$11</f>
        <v>7.9940815877190107E-3</v>
      </c>
    </row>
    <row r="127" spans="1:11">
      <c r="A127" s="62" t="s">
        <v>319</v>
      </c>
      <c r="B127" s="62">
        <v>0</v>
      </c>
      <c r="C127" s="62">
        <v>279654688</v>
      </c>
      <c r="D127" s="62">
        <v>0</v>
      </c>
      <c r="E127" s="62">
        <v>279654688</v>
      </c>
      <c r="F127" s="63">
        <v>1.1692264075694528E-4</v>
      </c>
      <c r="G127" s="62">
        <v>4411303200</v>
      </c>
      <c r="H127" s="62">
        <v>9228604733</v>
      </c>
      <c r="I127" s="62">
        <v>0</v>
      </c>
      <c r="J127" s="62">
        <v>13639907933</v>
      </c>
      <c r="K127" s="63">
        <f>J127/درآمدها!$C$11</f>
        <v>2.6789690817589865E-3</v>
      </c>
    </row>
    <row r="128" spans="1:11">
      <c r="A128" s="62" t="s">
        <v>320</v>
      </c>
      <c r="B128" s="62">
        <v>6023422350</v>
      </c>
      <c r="C128" s="62">
        <v>12982754594</v>
      </c>
      <c r="D128" s="62">
        <v>5970264129</v>
      </c>
      <c r="E128" s="62">
        <v>24976441073</v>
      </c>
      <c r="F128" s="63">
        <v>1.0442562103465943E-2</v>
      </c>
      <c r="G128" s="62">
        <v>6023422350</v>
      </c>
      <c r="H128" s="62">
        <v>45147588105</v>
      </c>
      <c r="I128" s="62">
        <v>5970264129</v>
      </c>
      <c r="J128" s="62">
        <v>57141274584</v>
      </c>
      <c r="K128" s="63">
        <f>J128/درآمدها!$C$11</f>
        <v>1.1222928237842425E-2</v>
      </c>
    </row>
    <row r="129" spans="1:11">
      <c r="A129" s="62" t="s">
        <v>154</v>
      </c>
      <c r="B129" s="62">
        <v>0</v>
      </c>
      <c r="C129" s="62">
        <v>-3321278252</v>
      </c>
      <c r="D129" s="62">
        <v>145081803</v>
      </c>
      <c r="E129" s="62">
        <v>-3176196449</v>
      </c>
      <c r="F129" s="63">
        <v>-1.3279565561222142E-3</v>
      </c>
      <c r="G129" s="62">
        <v>3041877200</v>
      </c>
      <c r="H129" s="62">
        <v>3046295676</v>
      </c>
      <c r="I129" s="62">
        <v>185855316</v>
      </c>
      <c r="J129" s="62">
        <v>6274028192</v>
      </c>
      <c r="K129" s="63">
        <f>J129/درآمدها!$C$11</f>
        <v>1.2322610700170212E-3</v>
      </c>
    </row>
    <row r="130" spans="1:11">
      <c r="A130" s="62" t="s">
        <v>176</v>
      </c>
      <c r="B130" s="62">
        <v>0</v>
      </c>
      <c r="C130" s="62">
        <v>15773171105</v>
      </c>
      <c r="D130" s="62">
        <v>-1327783889</v>
      </c>
      <c r="E130" s="62">
        <v>14445387216</v>
      </c>
      <c r="F130" s="63">
        <v>6.0395655518256071E-3</v>
      </c>
      <c r="G130" s="62">
        <v>0</v>
      </c>
      <c r="H130" s="62">
        <v>6178663980</v>
      </c>
      <c r="I130" s="62">
        <v>-1159301927</v>
      </c>
      <c r="J130" s="62">
        <v>5019362053</v>
      </c>
      <c r="K130" s="63">
        <f>J130/درآمدها!$C$11</f>
        <v>9.8583625462813533E-4</v>
      </c>
    </row>
    <row r="131" spans="1:11">
      <c r="A131" s="62" t="s">
        <v>321</v>
      </c>
      <c r="B131" s="62">
        <v>0</v>
      </c>
      <c r="C131" s="62">
        <v>6788785975</v>
      </c>
      <c r="D131" s="62">
        <v>0</v>
      </c>
      <c r="E131" s="62">
        <v>6788785975</v>
      </c>
      <c r="F131" s="63">
        <v>2.8383675217728286E-3</v>
      </c>
      <c r="G131" s="62">
        <v>2127243220</v>
      </c>
      <c r="H131" s="62">
        <v>6486622306</v>
      </c>
      <c r="I131" s="62">
        <v>0</v>
      </c>
      <c r="J131" s="62">
        <v>8613865526</v>
      </c>
      <c r="K131" s="63">
        <f>J131/درآمدها!$C$11</f>
        <v>1.691820760956423E-3</v>
      </c>
    </row>
    <row r="132" spans="1:11">
      <c r="A132" s="62" t="s">
        <v>322</v>
      </c>
      <c r="B132" s="62">
        <v>0</v>
      </c>
      <c r="C132" s="62">
        <v>5525181133</v>
      </c>
      <c r="D132" s="62">
        <v>0</v>
      </c>
      <c r="E132" s="62">
        <v>5525181133</v>
      </c>
      <c r="F132" s="63">
        <v>2.3100587848211254E-3</v>
      </c>
      <c r="G132" s="62">
        <v>0</v>
      </c>
      <c r="H132" s="62">
        <v>13469833481</v>
      </c>
      <c r="I132" s="62">
        <v>0</v>
      </c>
      <c r="J132" s="62">
        <v>13469833481</v>
      </c>
      <c r="K132" s="63">
        <f>J132/درآمدها!$C$11</f>
        <v>2.6455653226762159E-3</v>
      </c>
    </row>
    <row r="133" spans="1:11">
      <c r="A133" s="62" t="s">
        <v>195</v>
      </c>
      <c r="B133" s="62">
        <v>0</v>
      </c>
      <c r="C133" s="62">
        <v>919038262</v>
      </c>
      <c r="D133" s="62">
        <v>1068634431</v>
      </c>
      <c r="E133" s="62">
        <v>1987672693</v>
      </c>
      <c r="F133" s="63">
        <v>8.3103895696548806E-4</v>
      </c>
      <c r="G133" s="62">
        <v>744676650</v>
      </c>
      <c r="H133" s="62">
        <v>6846596171</v>
      </c>
      <c r="I133" s="62">
        <v>1068634431</v>
      </c>
      <c r="J133" s="62">
        <v>8659907252</v>
      </c>
      <c r="K133" s="63">
        <f>J133/درآمدها!$C$11</f>
        <v>1.7008636636674011E-3</v>
      </c>
    </row>
    <row r="134" spans="1:11">
      <c r="A134" s="62" t="s">
        <v>323</v>
      </c>
      <c r="B134" s="62">
        <v>0</v>
      </c>
      <c r="C134" s="62">
        <v>2931912104</v>
      </c>
      <c r="D134" s="62">
        <v>0</v>
      </c>
      <c r="E134" s="62">
        <v>2931912104</v>
      </c>
      <c r="F134" s="63">
        <v>1.2258221312811735E-3</v>
      </c>
      <c r="G134" s="62">
        <v>1804618080</v>
      </c>
      <c r="H134" s="62">
        <v>4334014175</v>
      </c>
      <c r="I134" s="62">
        <v>0</v>
      </c>
      <c r="J134" s="62">
        <v>6138632255</v>
      </c>
      <c r="K134" s="63">
        <f>J134/درآمدها!$C$11</f>
        <v>1.2056684030576474E-3</v>
      </c>
    </row>
    <row r="135" spans="1:11">
      <c r="A135" s="62" t="s">
        <v>166</v>
      </c>
      <c r="B135" s="62">
        <v>0</v>
      </c>
      <c r="C135" s="62">
        <v>8735716526</v>
      </c>
      <c r="D135" s="62">
        <v>6659903410</v>
      </c>
      <c r="E135" s="62">
        <v>15395619936</v>
      </c>
      <c r="F135" s="63">
        <v>6.4368545075396445E-3</v>
      </c>
      <c r="G135" s="62">
        <v>6234139416</v>
      </c>
      <c r="H135" s="62">
        <v>23252621302</v>
      </c>
      <c r="I135" s="62">
        <v>7294067215</v>
      </c>
      <c r="J135" s="62">
        <v>36780827933</v>
      </c>
      <c r="K135" s="63">
        <f>J135/درآمدها!$C$11</f>
        <v>7.2240004344613119E-3</v>
      </c>
    </row>
    <row r="136" spans="1:11">
      <c r="A136" s="62" t="s">
        <v>136</v>
      </c>
      <c r="B136" s="62">
        <v>0</v>
      </c>
      <c r="C136" s="62">
        <v>1950694055</v>
      </c>
      <c r="D136" s="62">
        <v>4299627961</v>
      </c>
      <c r="E136" s="62">
        <v>6250322016</v>
      </c>
      <c r="F136" s="63">
        <v>2.6132376357373777E-3</v>
      </c>
      <c r="G136" s="62">
        <v>0</v>
      </c>
      <c r="H136" s="62">
        <v>12881726033</v>
      </c>
      <c r="I136" s="62">
        <v>4506774435</v>
      </c>
      <c r="J136" s="62">
        <v>17388500468</v>
      </c>
      <c r="K136" s="63">
        <f>J136/درآمدها!$C$11</f>
        <v>3.4152177097340579E-3</v>
      </c>
    </row>
    <row r="137" spans="1:11">
      <c r="A137" s="62" t="s">
        <v>324</v>
      </c>
      <c r="B137" s="62">
        <v>0</v>
      </c>
      <c r="C137" s="62">
        <v>28765907300</v>
      </c>
      <c r="D137" s="62">
        <v>0</v>
      </c>
      <c r="E137" s="62">
        <v>28765907300</v>
      </c>
      <c r="F137" s="63">
        <v>1.2026924595254737E-2</v>
      </c>
      <c r="G137" s="62">
        <v>8450000000</v>
      </c>
      <c r="H137" s="62">
        <v>12788713541</v>
      </c>
      <c r="I137" s="62">
        <v>0</v>
      </c>
      <c r="J137" s="62">
        <v>21238713541</v>
      </c>
      <c r="K137" s="63">
        <f>J137/درآمدها!$C$11</f>
        <v>4.1714252905635744E-3</v>
      </c>
    </row>
    <row r="138" spans="1:11">
      <c r="A138" s="62" t="s">
        <v>325</v>
      </c>
      <c r="B138" s="62">
        <v>0</v>
      </c>
      <c r="C138" s="62">
        <v>2165051798</v>
      </c>
      <c r="D138" s="62">
        <v>0</v>
      </c>
      <c r="E138" s="62">
        <v>2165051798</v>
      </c>
      <c r="F138" s="63">
        <v>9.0520053644776543E-4</v>
      </c>
      <c r="G138" s="62">
        <v>2906681004</v>
      </c>
      <c r="H138" s="62">
        <v>1143086789</v>
      </c>
      <c r="I138" s="62">
        <v>0</v>
      </c>
      <c r="J138" s="62">
        <v>4049767793</v>
      </c>
      <c r="K138" s="63">
        <f>J138/درآمدها!$C$11</f>
        <v>7.9540146158186881E-4</v>
      </c>
    </row>
    <row r="139" spans="1:11">
      <c r="A139" s="62" t="s">
        <v>326</v>
      </c>
      <c r="B139" s="62">
        <v>0</v>
      </c>
      <c r="C139" s="62">
        <v>396535899</v>
      </c>
      <c r="D139" s="62">
        <v>0</v>
      </c>
      <c r="E139" s="62">
        <v>396535899</v>
      </c>
      <c r="F139" s="63">
        <v>1.6579026369123245E-4</v>
      </c>
      <c r="G139" s="62">
        <v>333500000</v>
      </c>
      <c r="H139" s="62">
        <v>890066190</v>
      </c>
      <c r="I139" s="62">
        <v>0</v>
      </c>
      <c r="J139" s="62">
        <v>1223566190</v>
      </c>
      <c r="K139" s="63">
        <f>J139/درآمدها!$C$11</f>
        <v>2.4031657754560018E-4</v>
      </c>
    </row>
    <row r="140" spans="1:11">
      <c r="A140" s="62" t="s">
        <v>191</v>
      </c>
      <c r="B140" s="62">
        <v>0</v>
      </c>
      <c r="C140" s="62">
        <v>32497120</v>
      </c>
      <c r="D140" s="62">
        <v>192263743</v>
      </c>
      <c r="E140" s="62">
        <v>224760863</v>
      </c>
      <c r="F140" s="63">
        <v>9.3971725733308625E-5</v>
      </c>
      <c r="G140" s="62">
        <v>46399232</v>
      </c>
      <c r="H140" s="62">
        <v>0</v>
      </c>
      <c r="I140" s="62">
        <v>192263743</v>
      </c>
      <c r="J140" s="62">
        <v>238662975</v>
      </c>
      <c r="K140" s="63">
        <f>J140/درآمدها!$C$11</f>
        <v>4.6875003418369328E-5</v>
      </c>
    </row>
    <row r="141" spans="1:11">
      <c r="A141" s="62" t="s">
        <v>327</v>
      </c>
      <c r="B141" s="62">
        <v>0</v>
      </c>
      <c r="C141" s="62">
        <v>6142840481</v>
      </c>
      <c r="D141" s="62">
        <v>0</v>
      </c>
      <c r="E141" s="62">
        <v>6142840481</v>
      </c>
      <c r="F141" s="63">
        <v>2.5682999842548105E-3</v>
      </c>
      <c r="G141" s="62">
        <v>0</v>
      </c>
      <c r="H141" s="62">
        <v>13768952200</v>
      </c>
      <c r="I141" s="62">
        <v>0</v>
      </c>
      <c r="J141" s="62">
        <v>13768952200</v>
      </c>
      <c r="K141" s="63">
        <f>J141/درآمدها!$C$11</f>
        <v>2.7043142382783252E-3</v>
      </c>
    </row>
    <row r="142" spans="1:11">
      <c r="A142" s="62" t="s">
        <v>328</v>
      </c>
      <c r="B142" s="62">
        <v>0</v>
      </c>
      <c r="C142" s="62">
        <v>12309369285</v>
      </c>
      <c r="D142" s="62">
        <v>0</v>
      </c>
      <c r="E142" s="62">
        <v>12309369285</v>
      </c>
      <c r="F142" s="63">
        <v>5.1465039729805331E-3</v>
      </c>
      <c r="G142" s="62">
        <v>0</v>
      </c>
      <c r="H142" s="62">
        <v>20872136255</v>
      </c>
      <c r="I142" s="62">
        <v>0</v>
      </c>
      <c r="J142" s="62">
        <v>20872136255</v>
      </c>
      <c r="K142" s="63">
        <f>J142/درآمدها!$C$11</f>
        <v>4.0994270615364427E-3</v>
      </c>
    </row>
    <row r="143" spans="1:11">
      <c r="A143" s="62" t="s">
        <v>190</v>
      </c>
      <c r="B143" s="62">
        <v>315121290</v>
      </c>
      <c r="C143" s="62">
        <v>7057894077</v>
      </c>
      <c r="D143" s="62">
        <v>-312808591</v>
      </c>
      <c r="E143" s="62">
        <v>7060206776</v>
      </c>
      <c r="F143" s="63">
        <v>2.9518476033557461E-3</v>
      </c>
      <c r="G143" s="62">
        <v>315121290</v>
      </c>
      <c r="H143" s="62">
        <v>-361719078</v>
      </c>
      <c r="I143" s="62">
        <v>-312808591</v>
      </c>
      <c r="J143" s="62">
        <v>-359406379</v>
      </c>
      <c r="K143" s="63">
        <f>J143/درآمدها!$C$11</f>
        <v>-7.0589814964842136E-5</v>
      </c>
    </row>
    <row r="144" spans="1:11">
      <c r="A144" s="62" t="s">
        <v>329</v>
      </c>
      <c r="B144" s="62">
        <v>0</v>
      </c>
      <c r="C144" s="62">
        <v>9904368407</v>
      </c>
      <c r="D144" s="62">
        <v>0</v>
      </c>
      <c r="E144" s="62">
        <v>9904368407</v>
      </c>
      <c r="F144" s="63">
        <v>4.1409815707294682E-3</v>
      </c>
      <c r="G144" s="62">
        <v>3806450365</v>
      </c>
      <c r="H144" s="62">
        <v>8953311816</v>
      </c>
      <c r="I144" s="62">
        <v>0</v>
      </c>
      <c r="J144" s="62">
        <v>12759762181</v>
      </c>
      <c r="K144" s="63">
        <f>J144/درآمدها!$C$11</f>
        <v>2.5061025735221591E-3</v>
      </c>
    </row>
    <row r="145" spans="1:11">
      <c r="A145" s="62" t="s">
        <v>202</v>
      </c>
      <c r="B145" s="62">
        <v>5138532540</v>
      </c>
      <c r="C145" s="62">
        <v>5098811683</v>
      </c>
      <c r="D145" s="62">
        <v>0</v>
      </c>
      <c r="E145" s="62">
        <v>10237344223</v>
      </c>
      <c r="F145" s="63">
        <v>4.2801975874297458E-3</v>
      </c>
      <c r="G145" s="62">
        <v>5138532540</v>
      </c>
      <c r="H145" s="62">
        <v>15519494057</v>
      </c>
      <c r="I145" s="62">
        <v>1070138499</v>
      </c>
      <c r="J145" s="62">
        <v>21728165096</v>
      </c>
      <c r="K145" s="63">
        <f>J145/درآمدها!$C$11</f>
        <v>4.267556847265032E-3</v>
      </c>
    </row>
    <row r="146" spans="1:11">
      <c r="A146" s="62" t="s">
        <v>330</v>
      </c>
      <c r="B146" s="62">
        <v>1567665250</v>
      </c>
      <c r="C146" s="62">
        <v>12973263628</v>
      </c>
      <c r="D146" s="62">
        <v>0</v>
      </c>
      <c r="E146" s="62">
        <v>14540928878</v>
      </c>
      <c r="F146" s="63">
        <v>6.0795111844314425E-3</v>
      </c>
      <c r="G146" s="62">
        <v>1567665250</v>
      </c>
      <c r="H146" s="62">
        <v>17362230691</v>
      </c>
      <c r="I146" s="62">
        <v>0</v>
      </c>
      <c r="J146" s="62">
        <v>18929895941</v>
      </c>
      <c r="K146" s="63">
        <f>J146/درآمدها!$C$11</f>
        <v>3.7179580827053325E-3</v>
      </c>
    </row>
    <row r="147" spans="1:11">
      <c r="A147" s="62" t="s">
        <v>223</v>
      </c>
      <c r="B147" s="62">
        <v>0</v>
      </c>
      <c r="C147" s="62">
        <v>53304622757</v>
      </c>
      <c r="D147" s="62">
        <v>8333720462</v>
      </c>
      <c r="E147" s="62">
        <v>61638343219</v>
      </c>
      <c r="F147" s="63">
        <v>2.5770774352434356E-2</v>
      </c>
      <c r="G147" s="62">
        <v>1515856860</v>
      </c>
      <c r="H147" s="62">
        <v>132992715251</v>
      </c>
      <c r="I147" s="62">
        <v>22065486784</v>
      </c>
      <c r="J147" s="62">
        <v>156574058895</v>
      </c>
      <c r="K147" s="63">
        <f>J147/درآمدها!$C$11</f>
        <v>3.0752191645692366E-2</v>
      </c>
    </row>
    <row r="148" spans="1:11">
      <c r="A148" s="62" t="s">
        <v>255</v>
      </c>
      <c r="B148" s="62">
        <v>0</v>
      </c>
      <c r="C148" s="62">
        <v>12884186146</v>
      </c>
      <c r="D148" s="62">
        <v>0</v>
      </c>
      <c r="E148" s="62">
        <v>12884186146</v>
      </c>
      <c r="F148" s="63">
        <v>5.3868328793914922E-3</v>
      </c>
      <c r="G148" s="62">
        <v>2038135050</v>
      </c>
      <c r="H148" s="62">
        <v>17241256111</v>
      </c>
      <c r="I148" s="62">
        <v>1539717707</v>
      </c>
      <c r="J148" s="62">
        <v>20819108868</v>
      </c>
      <c r="K148" s="63">
        <f>J148/درآمدها!$C$11</f>
        <v>4.0890121283156857E-3</v>
      </c>
    </row>
    <row r="149" spans="1:11">
      <c r="A149" s="62" t="s">
        <v>331</v>
      </c>
      <c r="B149" s="62">
        <v>0</v>
      </c>
      <c r="C149" s="62">
        <v>8135510358</v>
      </c>
      <c r="D149" s="62">
        <v>0</v>
      </c>
      <c r="E149" s="62">
        <v>8135510358</v>
      </c>
      <c r="F149" s="63">
        <v>3.4014282462621953E-3</v>
      </c>
      <c r="G149" s="62">
        <v>1522650584</v>
      </c>
      <c r="H149" s="62">
        <v>11884727833</v>
      </c>
      <c r="I149" s="62">
        <v>0</v>
      </c>
      <c r="J149" s="62">
        <v>13407378417</v>
      </c>
      <c r="K149" s="63">
        <f>J149/درآمدها!$C$11</f>
        <v>2.6332987306818168E-3</v>
      </c>
    </row>
    <row r="150" spans="1:11">
      <c r="A150" s="62" t="s">
        <v>208</v>
      </c>
      <c r="B150" s="62">
        <v>0</v>
      </c>
      <c r="C150" s="62">
        <v>3815092365</v>
      </c>
      <c r="D150" s="62">
        <v>715336330</v>
      </c>
      <c r="E150" s="62">
        <v>4530428695</v>
      </c>
      <c r="F150" s="63">
        <v>1.8941562917065831E-3</v>
      </c>
      <c r="G150" s="62">
        <v>1670854500</v>
      </c>
      <c r="H150" s="62">
        <v>14454258236</v>
      </c>
      <c r="I150" s="62">
        <v>715336330</v>
      </c>
      <c r="J150" s="62">
        <v>16840449066</v>
      </c>
      <c r="K150" s="63">
        <f>J150/درآمدها!$C$11</f>
        <v>3.307576751423737E-3</v>
      </c>
    </row>
    <row r="151" spans="1:11">
      <c r="A151" s="62" t="s">
        <v>128</v>
      </c>
      <c r="B151" s="62">
        <v>0</v>
      </c>
      <c r="C151" s="62">
        <v>-7099766146</v>
      </c>
      <c r="D151" s="62">
        <v>13829205016</v>
      </c>
      <c r="E151" s="62">
        <v>6729438870</v>
      </c>
      <c r="F151" s="63">
        <v>2.8135547060553255E-3</v>
      </c>
      <c r="G151" s="62">
        <v>4950000000</v>
      </c>
      <c r="H151" s="62">
        <v>15124978664</v>
      </c>
      <c r="I151" s="62">
        <v>89838716516</v>
      </c>
      <c r="J151" s="62">
        <v>109913695180</v>
      </c>
      <c r="K151" s="63">
        <f>J151/درآمدها!$C$11</f>
        <v>2.1587784352759806E-2</v>
      </c>
    </row>
    <row r="152" spans="1:11">
      <c r="A152" s="62" t="s">
        <v>142</v>
      </c>
      <c r="B152" s="62">
        <v>759392875</v>
      </c>
      <c r="C152" s="62">
        <v>4352347509</v>
      </c>
      <c r="D152" s="62">
        <v>0</v>
      </c>
      <c r="E152" s="62">
        <v>5111740384</v>
      </c>
      <c r="F152" s="63">
        <v>2.1372006628446061E-3</v>
      </c>
      <c r="G152" s="62">
        <v>759392875</v>
      </c>
      <c r="H152" s="62">
        <v>8056840069</v>
      </c>
      <c r="I152" s="62">
        <v>1930803939</v>
      </c>
      <c r="J152" s="62">
        <v>10747036883</v>
      </c>
      <c r="K152" s="63">
        <f>J152/درآمدها!$C$11</f>
        <v>2.1107898727398596E-3</v>
      </c>
    </row>
    <row r="153" spans="1:11">
      <c r="A153" s="62" t="s">
        <v>252</v>
      </c>
      <c r="B153" s="62">
        <v>0</v>
      </c>
      <c r="C153" s="62">
        <v>8000563562</v>
      </c>
      <c r="D153" s="62">
        <v>2156039556</v>
      </c>
      <c r="E153" s="62">
        <v>10156603118</v>
      </c>
      <c r="F153" s="63">
        <v>4.246440015612341E-3</v>
      </c>
      <c r="G153" s="62">
        <v>2967249000</v>
      </c>
      <c r="H153" s="62">
        <v>22685966169</v>
      </c>
      <c r="I153" s="62">
        <v>2156039556</v>
      </c>
      <c r="J153" s="62">
        <v>27809254725</v>
      </c>
      <c r="K153" s="63">
        <f>J153/درآمدها!$C$11</f>
        <v>5.461923493984262E-3</v>
      </c>
    </row>
    <row r="154" spans="1:11">
      <c r="A154" s="62" t="s">
        <v>211</v>
      </c>
      <c r="B154" s="62">
        <v>0</v>
      </c>
      <c r="C154" s="62">
        <v>4513907397</v>
      </c>
      <c r="D154" s="62">
        <v>2053700446</v>
      </c>
      <c r="E154" s="62">
        <v>6567607843</v>
      </c>
      <c r="F154" s="63">
        <v>2.7458937232605423E-3</v>
      </c>
      <c r="G154" s="62">
        <v>1127493108</v>
      </c>
      <c r="H154" s="62">
        <v>16851344481</v>
      </c>
      <c r="I154" s="62">
        <v>2053700446</v>
      </c>
      <c r="J154" s="62">
        <v>20032538035</v>
      </c>
      <c r="K154" s="63">
        <f>J154/درآمدها!$C$11</f>
        <v>3.9345243595879861E-3</v>
      </c>
    </row>
    <row r="155" spans="1:11">
      <c r="A155" s="62" t="s">
        <v>219</v>
      </c>
      <c r="B155" s="62">
        <v>0</v>
      </c>
      <c r="C155" s="62">
        <v>14829084442</v>
      </c>
      <c r="D155" s="62">
        <v>0</v>
      </c>
      <c r="E155" s="62">
        <v>14829084442</v>
      </c>
      <c r="F155" s="63">
        <v>6.1999880115235989E-3</v>
      </c>
      <c r="G155" s="62">
        <v>0</v>
      </c>
      <c r="H155" s="62">
        <v>11307647524</v>
      </c>
      <c r="I155" s="62">
        <v>86151484</v>
      </c>
      <c r="J155" s="62">
        <v>11393799008</v>
      </c>
      <c r="K155" s="63">
        <f>J155/درآمدها!$C$11</f>
        <v>2.2378182767905791E-3</v>
      </c>
    </row>
    <row r="156" spans="1:11">
      <c r="A156" s="62" t="s">
        <v>215</v>
      </c>
      <c r="B156" s="62">
        <v>0</v>
      </c>
      <c r="C156" s="62">
        <v>11633078657</v>
      </c>
      <c r="D156" s="62">
        <v>0</v>
      </c>
      <c r="E156" s="62">
        <v>11633078657</v>
      </c>
      <c r="F156" s="63">
        <v>4.863749241742368E-3</v>
      </c>
      <c r="G156" s="62">
        <v>2799690240</v>
      </c>
      <c r="H156" s="62">
        <v>19725542297</v>
      </c>
      <c r="I156" s="62">
        <v>3976941057</v>
      </c>
      <c r="J156" s="62">
        <v>26502173594</v>
      </c>
      <c r="K156" s="63">
        <f>J156/درآمدها!$C$11</f>
        <v>5.2052040238456231E-3</v>
      </c>
    </row>
    <row r="157" spans="1:11">
      <c r="A157" s="62" t="s">
        <v>175</v>
      </c>
      <c r="B157" s="62">
        <v>1777144920</v>
      </c>
      <c r="C157" s="62">
        <v>2395709961</v>
      </c>
      <c r="D157" s="62">
        <v>3616297642</v>
      </c>
      <c r="E157" s="62">
        <v>7789152523</v>
      </c>
      <c r="F157" s="63">
        <v>3.2566172545184834E-3</v>
      </c>
      <c r="G157" s="62">
        <v>1777144920</v>
      </c>
      <c r="H157" s="62">
        <v>9569404491</v>
      </c>
      <c r="I157" s="62">
        <v>6307608238</v>
      </c>
      <c r="J157" s="62">
        <v>17654157649</v>
      </c>
      <c r="K157" s="63">
        <f>J157/درآمدها!$C$11</f>
        <v>3.4673945556293602E-3</v>
      </c>
    </row>
    <row r="158" spans="1:11">
      <c r="A158" s="62" t="s">
        <v>160</v>
      </c>
      <c r="B158" s="62">
        <v>0</v>
      </c>
      <c r="C158" s="62">
        <v>4009398559</v>
      </c>
      <c r="D158" s="62">
        <v>2923091967</v>
      </c>
      <c r="E158" s="62">
        <v>6932490526</v>
      </c>
      <c r="F158" s="63">
        <v>2.8984498887514613E-3</v>
      </c>
      <c r="G158" s="62">
        <v>0</v>
      </c>
      <c r="H158" s="62">
        <v>17528729469</v>
      </c>
      <c r="I158" s="62">
        <v>2923091967</v>
      </c>
      <c r="J158" s="62">
        <v>20451821436</v>
      </c>
      <c r="K158" s="63">
        <f>J158/درآمدها!$C$11</f>
        <v>4.0168744218678212E-3</v>
      </c>
    </row>
    <row r="159" spans="1:11">
      <c r="A159" s="62" t="s">
        <v>332</v>
      </c>
      <c r="B159" s="62">
        <v>0</v>
      </c>
      <c r="C159" s="62">
        <v>10031463905</v>
      </c>
      <c r="D159" s="62">
        <v>0</v>
      </c>
      <c r="E159" s="62">
        <v>10031463905</v>
      </c>
      <c r="F159" s="63">
        <v>4.1941197511074033E-3</v>
      </c>
      <c r="G159" s="62">
        <v>1503117000</v>
      </c>
      <c r="H159" s="62">
        <v>38421792843</v>
      </c>
      <c r="I159" s="62">
        <v>795797500</v>
      </c>
      <c r="J159" s="62">
        <v>40720707343</v>
      </c>
      <c r="K159" s="63">
        <f>J159/درآمدها!$C$11</f>
        <v>7.9978190831717488E-3</v>
      </c>
    </row>
    <row r="160" spans="1:11">
      <c r="A160" s="62" t="s">
        <v>231</v>
      </c>
      <c r="B160" s="62">
        <v>1128800000</v>
      </c>
      <c r="C160" s="62">
        <v>3351229612</v>
      </c>
      <c r="D160" s="62">
        <v>3683465528</v>
      </c>
      <c r="E160" s="62">
        <v>8163495140</v>
      </c>
      <c r="F160" s="63">
        <v>3.4131285851188332E-3</v>
      </c>
      <c r="G160" s="62">
        <v>1128800000</v>
      </c>
      <c r="H160" s="62">
        <v>16793604182</v>
      </c>
      <c r="I160" s="62">
        <v>5575240403</v>
      </c>
      <c r="J160" s="62">
        <v>23497644585</v>
      </c>
      <c r="K160" s="63">
        <f>J160/درآمدها!$C$11</f>
        <v>4.6150944454015231E-3</v>
      </c>
    </row>
    <row r="161" spans="1:11">
      <c r="A161" s="62" t="s">
        <v>333</v>
      </c>
      <c r="B161" s="62">
        <v>0</v>
      </c>
      <c r="C161" s="62">
        <v>4762896000</v>
      </c>
      <c r="D161" s="62">
        <v>0</v>
      </c>
      <c r="E161" s="62">
        <v>4762896000</v>
      </c>
      <c r="F161" s="63">
        <v>1.9913500537158584E-3</v>
      </c>
      <c r="G161" s="62">
        <v>236800000</v>
      </c>
      <c r="H161" s="62">
        <v>3560706031</v>
      </c>
      <c r="I161" s="62">
        <v>0</v>
      </c>
      <c r="J161" s="62">
        <v>3797506031</v>
      </c>
      <c r="K161" s="63">
        <f>J161/درآمدها!$C$11</f>
        <v>7.4585556550781768E-4</v>
      </c>
    </row>
    <row r="162" spans="1:11">
      <c r="A162" s="62" t="s">
        <v>334</v>
      </c>
      <c r="B162" s="62">
        <v>0</v>
      </c>
      <c r="C162" s="62">
        <v>3625754580</v>
      </c>
      <c r="D162" s="62">
        <v>0</v>
      </c>
      <c r="E162" s="62">
        <v>3625754580</v>
      </c>
      <c r="F162" s="63">
        <v>1.5159152283911973E-3</v>
      </c>
      <c r="G162" s="62">
        <v>0</v>
      </c>
      <c r="H162" s="62">
        <v>6428520422</v>
      </c>
      <c r="I162" s="62">
        <v>0</v>
      </c>
      <c r="J162" s="62">
        <v>6428520422</v>
      </c>
      <c r="K162" s="63">
        <f>J162/درآمدها!$C$11</f>
        <v>1.2626043765536195E-3</v>
      </c>
    </row>
    <row r="163" spans="1:11">
      <c r="A163" s="62" t="s">
        <v>162</v>
      </c>
      <c r="B163" s="62">
        <v>725877180</v>
      </c>
      <c r="C163" s="62">
        <v>6028078833</v>
      </c>
      <c r="D163" s="62">
        <v>8263445275</v>
      </c>
      <c r="E163" s="62">
        <v>15017401288</v>
      </c>
      <c r="F163" s="63">
        <v>6.2787226220205952E-3</v>
      </c>
      <c r="G163" s="62">
        <v>725877180</v>
      </c>
      <c r="H163" s="62">
        <v>21751327834</v>
      </c>
      <c r="I163" s="62">
        <v>8263445275</v>
      </c>
      <c r="J163" s="62">
        <v>30740650289</v>
      </c>
      <c r="K163" s="63">
        <f>J163/درآمدها!$C$11</f>
        <v>6.0376691750355128E-3</v>
      </c>
    </row>
    <row r="164" spans="1:11">
      <c r="A164" s="62" t="s">
        <v>217</v>
      </c>
      <c r="B164" s="62">
        <v>0</v>
      </c>
      <c r="C164" s="62">
        <v>14705779869</v>
      </c>
      <c r="D164" s="62">
        <v>10272079593</v>
      </c>
      <c r="E164" s="62">
        <v>24977859462</v>
      </c>
      <c r="F164" s="63">
        <v>1.0443155126914563E-2</v>
      </c>
      <c r="G164" s="62">
        <v>0</v>
      </c>
      <c r="H164" s="62">
        <v>28262204340</v>
      </c>
      <c r="I164" s="62">
        <v>10542187851</v>
      </c>
      <c r="J164" s="62">
        <v>38804392191</v>
      </c>
      <c r="K164" s="63">
        <f>J164/درآمدها!$C$11</f>
        <v>7.6214419794309075E-3</v>
      </c>
    </row>
    <row r="165" spans="1:11">
      <c r="A165" s="62" t="s">
        <v>132</v>
      </c>
      <c r="B165" s="62">
        <v>2117796000</v>
      </c>
      <c r="C165" s="62">
        <v>5449658470</v>
      </c>
      <c r="D165" s="62">
        <v>1191033820</v>
      </c>
      <c r="E165" s="62">
        <v>8758488290</v>
      </c>
      <c r="F165" s="63">
        <v>3.6618931269465508E-3</v>
      </c>
      <c r="G165" s="62">
        <v>2117796000</v>
      </c>
      <c r="H165" s="62">
        <v>18601079330</v>
      </c>
      <c r="I165" s="62">
        <v>1191033820</v>
      </c>
      <c r="J165" s="62">
        <v>21909909150</v>
      </c>
      <c r="K165" s="63">
        <f>J165/درآمدها!$C$11</f>
        <v>4.3032525941755799E-3</v>
      </c>
    </row>
    <row r="166" spans="1:11">
      <c r="A166" s="62" t="s">
        <v>216</v>
      </c>
      <c r="B166" s="62">
        <v>0</v>
      </c>
      <c r="C166" s="62">
        <v>18960583513</v>
      </c>
      <c r="D166" s="62">
        <v>0</v>
      </c>
      <c r="E166" s="62">
        <v>18960583513</v>
      </c>
      <c r="F166" s="63">
        <v>7.9273532315416034E-3</v>
      </c>
      <c r="G166" s="62">
        <v>7076893570</v>
      </c>
      <c r="H166" s="62">
        <v>25183477115</v>
      </c>
      <c r="I166" s="62">
        <v>251924735</v>
      </c>
      <c r="J166" s="62">
        <v>32512295420</v>
      </c>
      <c r="K166" s="63">
        <f>J166/درآمدها!$C$11</f>
        <v>6.385632119735093E-3</v>
      </c>
    </row>
    <row r="167" spans="1:11">
      <c r="A167" s="62" t="s">
        <v>335</v>
      </c>
      <c r="B167" s="62">
        <v>0</v>
      </c>
      <c r="C167" s="62">
        <v>15306454163</v>
      </c>
      <c r="D167" s="62">
        <v>0</v>
      </c>
      <c r="E167" s="62">
        <v>15306454163</v>
      </c>
      <c r="F167" s="63">
        <v>6.3995746116836012E-3</v>
      </c>
      <c r="G167" s="62">
        <v>3902416320</v>
      </c>
      <c r="H167" s="62">
        <v>25168920541</v>
      </c>
      <c r="I167" s="62">
        <v>0</v>
      </c>
      <c r="J167" s="62">
        <v>29071336861</v>
      </c>
      <c r="K167" s="63">
        <f>J167/درآمدها!$C$11</f>
        <v>5.7098048607495209E-3</v>
      </c>
    </row>
    <row r="168" spans="1:11">
      <c r="A168" s="62" t="s">
        <v>187</v>
      </c>
      <c r="B168" s="62">
        <v>0</v>
      </c>
      <c r="C168" s="62">
        <v>43392959370</v>
      </c>
      <c r="D168" s="62">
        <v>0</v>
      </c>
      <c r="E168" s="62">
        <v>43392959370</v>
      </c>
      <c r="F168" s="63">
        <v>1.8142443583135045E-2</v>
      </c>
      <c r="G168" s="62">
        <v>10320000000</v>
      </c>
      <c r="H168" s="62">
        <v>51575797298</v>
      </c>
      <c r="I168" s="62">
        <v>373473306</v>
      </c>
      <c r="J168" s="62">
        <v>62269270604</v>
      </c>
      <c r="K168" s="63">
        <f>J168/درآمدها!$C$11</f>
        <v>1.2230100929655574E-2</v>
      </c>
    </row>
    <row r="169" spans="1:11">
      <c r="A169" s="62" t="s">
        <v>336</v>
      </c>
      <c r="B169" s="62">
        <v>0</v>
      </c>
      <c r="C169" s="62">
        <v>21298563321</v>
      </c>
      <c r="D169" s="62">
        <v>0</v>
      </c>
      <c r="E169" s="62">
        <v>21298563321</v>
      </c>
      <c r="F169" s="63">
        <v>8.9048543603185894E-3</v>
      </c>
      <c r="G169" s="62">
        <v>0</v>
      </c>
      <c r="H169" s="62">
        <v>32818789949</v>
      </c>
      <c r="I169" s="62">
        <v>0</v>
      </c>
      <c r="J169" s="62">
        <v>32818789949</v>
      </c>
      <c r="K169" s="63">
        <f>J169/درآمدها!$C$11</f>
        <v>6.445829693718182E-3</v>
      </c>
    </row>
    <row r="170" spans="1:11">
      <c r="A170" s="62" t="s">
        <v>337</v>
      </c>
      <c r="B170" s="62">
        <v>0</v>
      </c>
      <c r="C170" s="62">
        <v>439079475</v>
      </c>
      <c r="D170" s="62">
        <v>0</v>
      </c>
      <c r="E170" s="62">
        <v>439079475</v>
      </c>
      <c r="F170" s="63">
        <v>1.8357758307693071E-4</v>
      </c>
      <c r="G170" s="62">
        <v>187500000</v>
      </c>
      <c r="H170" s="62">
        <v>1704223725</v>
      </c>
      <c r="I170" s="62">
        <v>0</v>
      </c>
      <c r="J170" s="62">
        <v>1891723725</v>
      </c>
      <c r="K170" s="63">
        <f>J170/درآمدها!$C$11</f>
        <v>3.7154718311872782E-4</v>
      </c>
    </row>
    <row r="171" spans="1:11">
      <c r="A171" s="62" t="s">
        <v>338</v>
      </c>
      <c r="B171" s="62">
        <v>0</v>
      </c>
      <c r="C171" s="62">
        <v>2529187080</v>
      </c>
      <c r="D171" s="62">
        <v>0</v>
      </c>
      <c r="E171" s="62">
        <v>2529187080</v>
      </c>
      <c r="F171" s="63">
        <v>1.0574442162111992E-3</v>
      </c>
      <c r="G171" s="62">
        <v>1143000000</v>
      </c>
      <c r="H171" s="62">
        <v>2364733212</v>
      </c>
      <c r="I171" s="62">
        <v>0</v>
      </c>
      <c r="J171" s="62">
        <v>3507733212</v>
      </c>
      <c r="K171" s="63">
        <f>J171/درآمدها!$C$11</f>
        <v>6.8894224712998586E-4</v>
      </c>
    </row>
    <row r="172" spans="1:11">
      <c r="A172" s="62" t="s">
        <v>339</v>
      </c>
      <c r="B172" s="62">
        <v>0</v>
      </c>
      <c r="C172" s="62">
        <v>1064209575</v>
      </c>
      <c r="D172" s="62">
        <v>0</v>
      </c>
      <c r="E172" s="62">
        <v>1064209575</v>
      </c>
      <c r="F172" s="63">
        <v>4.4494227762713714E-4</v>
      </c>
      <c r="G172" s="62">
        <v>0</v>
      </c>
      <c r="H172" s="62">
        <v>1586639730</v>
      </c>
      <c r="I172" s="62">
        <v>0</v>
      </c>
      <c r="J172" s="62">
        <v>1586639730</v>
      </c>
      <c r="K172" s="63">
        <f>J172/درآمدها!$C$11</f>
        <v>3.1162664744068739E-4</v>
      </c>
    </row>
    <row r="173" spans="1:11">
      <c r="A173" s="62" t="s">
        <v>139</v>
      </c>
      <c r="B173" s="62">
        <v>8243814952</v>
      </c>
      <c r="C173" s="62">
        <v>29443626649</v>
      </c>
      <c r="D173" s="62">
        <v>0</v>
      </c>
      <c r="E173" s="62">
        <v>37687441601</v>
      </c>
      <c r="F173" s="63">
        <v>1.5756986685530112E-2</v>
      </c>
      <c r="G173" s="62">
        <v>8243814952</v>
      </c>
      <c r="H173" s="62">
        <v>45600784695</v>
      </c>
      <c r="I173" s="62">
        <v>434401050</v>
      </c>
      <c r="J173" s="62">
        <v>54279000697</v>
      </c>
      <c r="K173" s="63">
        <f>J173/درآمدها!$C$11</f>
        <v>1.0660758516135762E-2</v>
      </c>
    </row>
    <row r="174" spans="1:11">
      <c r="A174" s="62" t="s">
        <v>340</v>
      </c>
      <c r="B174" s="62">
        <v>0</v>
      </c>
      <c r="C174" s="62">
        <v>9191291036</v>
      </c>
      <c r="D174" s="62">
        <v>0</v>
      </c>
      <c r="E174" s="62">
        <v>9191291036</v>
      </c>
      <c r="F174" s="63">
        <v>3.8428464317206779E-3</v>
      </c>
      <c r="G174" s="62">
        <v>1482852504</v>
      </c>
      <c r="H174" s="62">
        <v>18600612451</v>
      </c>
      <c r="I174" s="62">
        <v>0</v>
      </c>
      <c r="J174" s="62">
        <v>20083464955</v>
      </c>
      <c r="K174" s="63">
        <f>J174/درآمدها!$C$11</f>
        <v>3.9445267470512579E-3</v>
      </c>
    </row>
    <row r="175" spans="1:11">
      <c r="A175" s="62" t="s">
        <v>157</v>
      </c>
      <c r="B175" s="62">
        <v>0</v>
      </c>
      <c r="C175" s="62">
        <v>2303641688</v>
      </c>
      <c r="D175" s="62">
        <v>0</v>
      </c>
      <c r="E175" s="62">
        <v>2303641688</v>
      </c>
      <c r="F175" s="63">
        <v>9.6314448166428396E-4</v>
      </c>
      <c r="G175" s="62">
        <v>913816380</v>
      </c>
      <c r="H175" s="62">
        <v>7516923853</v>
      </c>
      <c r="I175" s="62">
        <v>-293174328</v>
      </c>
      <c r="J175" s="62">
        <v>8137565905</v>
      </c>
      <c r="K175" s="63">
        <f>J175/درآمدها!$C$11</f>
        <v>1.5982723319948589E-3</v>
      </c>
    </row>
    <row r="176" spans="1:11">
      <c r="A176" s="62" t="s">
        <v>341</v>
      </c>
      <c r="B176" s="62">
        <v>391530920</v>
      </c>
      <c r="C176" s="62">
        <v>1720910273</v>
      </c>
      <c r="D176" s="62">
        <v>0</v>
      </c>
      <c r="E176" s="62">
        <v>2112441193</v>
      </c>
      <c r="F176" s="63">
        <v>8.8320422766991814E-4</v>
      </c>
      <c r="G176" s="62">
        <v>391530920</v>
      </c>
      <c r="H176" s="62">
        <v>1726382166</v>
      </c>
      <c r="I176" s="62">
        <v>0</v>
      </c>
      <c r="J176" s="62">
        <v>2117913086</v>
      </c>
      <c r="K176" s="63">
        <f>J176/درآمدها!$C$11</f>
        <v>4.15972285378824E-4</v>
      </c>
    </row>
    <row r="177" spans="1:11">
      <c r="A177" s="62" t="s">
        <v>233</v>
      </c>
      <c r="B177" s="62">
        <v>2010022394</v>
      </c>
      <c r="C177" s="62">
        <v>8721529478</v>
      </c>
      <c r="D177" s="62">
        <v>1866316639</v>
      </c>
      <c r="E177" s="62">
        <v>12597868511</v>
      </c>
      <c r="F177" s="63">
        <v>5.2671244839453081E-3</v>
      </c>
      <c r="G177" s="62">
        <v>2010022394</v>
      </c>
      <c r="H177" s="62">
        <v>9644297392</v>
      </c>
      <c r="I177" s="62">
        <v>4720761966</v>
      </c>
      <c r="J177" s="62">
        <v>16375081752</v>
      </c>
      <c r="K177" s="63">
        <f>J177/درآمدها!$C$11</f>
        <v>3.2161755006241636E-3</v>
      </c>
    </row>
    <row r="178" spans="1:11">
      <c r="A178" s="62" t="s">
        <v>178</v>
      </c>
      <c r="B178" s="62">
        <v>0</v>
      </c>
      <c r="C178" s="62">
        <v>11945108331</v>
      </c>
      <c r="D178" s="62">
        <v>3424932047</v>
      </c>
      <c r="E178" s="62">
        <v>15370040378</v>
      </c>
      <c r="F178" s="63">
        <v>6.4261597843717801E-3</v>
      </c>
      <c r="G178" s="62">
        <v>0</v>
      </c>
      <c r="H178" s="62">
        <v>23035756958</v>
      </c>
      <c r="I178" s="62">
        <v>3424932047</v>
      </c>
      <c r="J178" s="62">
        <v>26460689005</v>
      </c>
      <c r="K178" s="63">
        <f>J178/درآمدها!$C$11</f>
        <v>5.1970561732995356E-3</v>
      </c>
    </row>
    <row r="179" spans="1:11">
      <c r="A179" s="62" t="s">
        <v>342</v>
      </c>
      <c r="B179" s="62">
        <v>0</v>
      </c>
      <c r="C179" s="62">
        <v>0</v>
      </c>
      <c r="D179" s="62">
        <v>0</v>
      </c>
      <c r="E179" s="62">
        <v>0</v>
      </c>
      <c r="F179" s="63">
        <v>0</v>
      </c>
      <c r="G179" s="62">
        <v>3210181763</v>
      </c>
      <c r="H179" s="62">
        <v>43208363769</v>
      </c>
      <c r="I179" s="62">
        <v>447380275</v>
      </c>
      <c r="J179" s="62">
        <v>46865925807</v>
      </c>
      <c r="K179" s="63">
        <f>J179/درآمدها!$C$11</f>
        <v>9.2047810616965979E-3</v>
      </c>
    </row>
    <row r="180" spans="1:11">
      <c r="A180" s="62" t="s">
        <v>221</v>
      </c>
      <c r="B180" s="62">
        <v>0</v>
      </c>
      <c r="C180" s="62">
        <v>22121636096</v>
      </c>
      <c r="D180" s="62">
        <v>1916664016</v>
      </c>
      <c r="E180" s="62">
        <v>24038300112</v>
      </c>
      <c r="F180" s="63">
        <v>1.0050328669630647E-2</v>
      </c>
      <c r="G180" s="62">
        <v>4498853600</v>
      </c>
      <c r="H180" s="62">
        <v>27195830268</v>
      </c>
      <c r="I180" s="62">
        <v>1916664016</v>
      </c>
      <c r="J180" s="62">
        <v>33611347884</v>
      </c>
      <c r="K180" s="63">
        <f>J180/درآمدها!$C$11</f>
        <v>6.6014933692940883E-3</v>
      </c>
    </row>
    <row r="181" spans="1:11">
      <c r="A181" s="62" t="s">
        <v>147</v>
      </c>
      <c r="B181" s="62">
        <v>6952974000</v>
      </c>
      <c r="C181" s="62">
        <v>19501175083</v>
      </c>
      <c r="D181" s="62">
        <v>5880448734</v>
      </c>
      <c r="E181" s="62">
        <v>32334597817</v>
      </c>
      <c r="F181" s="63">
        <v>1.3518981539753049E-2</v>
      </c>
      <c r="G181" s="62">
        <v>6952974000</v>
      </c>
      <c r="H181" s="62">
        <v>37684341832</v>
      </c>
      <c r="I181" s="62">
        <v>5983800598</v>
      </c>
      <c r="J181" s="62">
        <v>50621116430</v>
      </c>
      <c r="K181" s="63">
        <f>J181/درآمدها!$C$11</f>
        <v>9.9423255982538632E-3</v>
      </c>
    </row>
    <row r="182" spans="1:11">
      <c r="A182" s="62" t="s">
        <v>343</v>
      </c>
      <c r="B182" s="62">
        <v>0</v>
      </c>
      <c r="C182" s="62">
        <v>9657515674</v>
      </c>
      <c r="D182" s="62">
        <v>0</v>
      </c>
      <c r="E182" s="62">
        <v>9657515674</v>
      </c>
      <c r="F182" s="63">
        <v>4.0377733119055393E-3</v>
      </c>
      <c r="G182" s="62">
        <v>3911151400</v>
      </c>
      <c r="H182" s="62">
        <v>21524169400</v>
      </c>
      <c r="I182" s="62">
        <v>0</v>
      </c>
      <c r="J182" s="62">
        <v>25435320800</v>
      </c>
      <c r="K182" s="63">
        <f>J182/درآمدها!$C$11</f>
        <v>4.9956670046844114E-3</v>
      </c>
    </row>
    <row r="183" spans="1:11">
      <c r="A183" s="62" t="s">
        <v>159</v>
      </c>
      <c r="B183" s="62">
        <v>0</v>
      </c>
      <c r="C183" s="62">
        <v>14562147589</v>
      </c>
      <c r="D183" s="62">
        <v>2417422263</v>
      </c>
      <c r="E183" s="62">
        <v>16979569852</v>
      </c>
      <c r="F183" s="63">
        <v>7.099098392417633E-3</v>
      </c>
      <c r="G183" s="62">
        <v>0</v>
      </c>
      <c r="H183" s="62">
        <v>13655381646</v>
      </c>
      <c r="I183" s="62">
        <v>2602613952</v>
      </c>
      <c r="J183" s="62">
        <v>16257995598</v>
      </c>
      <c r="K183" s="63">
        <f>J183/درآمدها!$C$11</f>
        <v>3.1931789974212949E-3</v>
      </c>
    </row>
    <row r="184" spans="1:11">
      <c r="A184" s="62" t="s">
        <v>174</v>
      </c>
      <c r="B184" s="62">
        <v>0</v>
      </c>
      <c r="C184" s="62">
        <v>10997386386</v>
      </c>
      <c r="D184" s="62">
        <v>2024162132</v>
      </c>
      <c r="E184" s="62">
        <v>13021548518</v>
      </c>
      <c r="F184" s="63">
        <v>5.4442636036526847E-3</v>
      </c>
      <c r="G184" s="62">
        <v>2126589384</v>
      </c>
      <c r="H184" s="62">
        <v>31007997975</v>
      </c>
      <c r="I184" s="62">
        <v>2685532108</v>
      </c>
      <c r="J184" s="62">
        <v>35820119467</v>
      </c>
      <c r="K184" s="63">
        <f>J184/درآمدها!$C$11</f>
        <v>7.0353108707457571E-3</v>
      </c>
    </row>
    <row r="185" spans="1:11">
      <c r="A185" s="62" t="s">
        <v>134</v>
      </c>
      <c r="B185" s="62">
        <v>0</v>
      </c>
      <c r="C185" s="62">
        <v>2172264902</v>
      </c>
      <c r="D185" s="62">
        <v>1760429050</v>
      </c>
      <c r="E185" s="62">
        <v>3932693952</v>
      </c>
      <c r="F185" s="63">
        <v>1.6442454994951038E-3</v>
      </c>
      <c r="G185" s="62">
        <v>0</v>
      </c>
      <c r="H185" s="62">
        <v>19308288992</v>
      </c>
      <c r="I185" s="62">
        <v>2014235930</v>
      </c>
      <c r="J185" s="62">
        <v>21322524922</v>
      </c>
      <c r="K185" s="63">
        <f>J185/درآمدها!$C$11</f>
        <v>4.187886405953899E-3</v>
      </c>
    </row>
    <row r="186" spans="1:11">
      <c r="A186" s="62" t="s">
        <v>249</v>
      </c>
      <c r="B186" s="62">
        <v>0</v>
      </c>
      <c r="C186" s="62">
        <v>13606154574</v>
      </c>
      <c r="D186" s="62">
        <v>461187278</v>
      </c>
      <c r="E186" s="62">
        <v>14067341852</v>
      </c>
      <c r="F186" s="63">
        <v>5.8815061157370526E-3</v>
      </c>
      <c r="G186" s="62">
        <v>0</v>
      </c>
      <c r="H186" s="62">
        <v>6239577581</v>
      </c>
      <c r="I186" s="62">
        <v>-2192925433</v>
      </c>
      <c r="J186" s="62">
        <v>4046652148</v>
      </c>
      <c r="K186" s="63">
        <f>J186/درآمدها!$C$11</f>
        <v>7.947895280801373E-4</v>
      </c>
    </row>
    <row r="187" spans="1:11">
      <c r="A187" s="62" t="s">
        <v>344</v>
      </c>
      <c r="B187" s="62">
        <v>0</v>
      </c>
      <c r="C187" s="62">
        <v>32604237122</v>
      </c>
      <c r="D187" s="62">
        <v>0</v>
      </c>
      <c r="E187" s="62">
        <v>32604237122</v>
      </c>
      <c r="F187" s="63">
        <v>1.3631716784128667E-2</v>
      </c>
      <c r="G187" s="62">
        <v>8686541250</v>
      </c>
      <c r="H187" s="62">
        <v>35883014183</v>
      </c>
      <c r="I187" s="62">
        <v>251535205</v>
      </c>
      <c r="J187" s="62">
        <v>44821090638</v>
      </c>
      <c r="K187" s="63">
        <f>J187/درآمدها!$C$11</f>
        <v>8.8031617676402954E-3</v>
      </c>
    </row>
    <row r="188" spans="1:11">
      <c r="A188" s="62" t="s">
        <v>345</v>
      </c>
      <c r="B188" s="62">
        <v>0</v>
      </c>
      <c r="C188" s="62">
        <v>20712445099</v>
      </c>
      <c r="D188" s="62">
        <v>0</v>
      </c>
      <c r="E188" s="62">
        <v>20712445099</v>
      </c>
      <c r="F188" s="63">
        <v>8.6598003946507379E-3</v>
      </c>
      <c r="G188" s="62">
        <v>2770858350</v>
      </c>
      <c r="H188" s="62">
        <v>57713792451</v>
      </c>
      <c r="I188" s="62">
        <v>0</v>
      </c>
      <c r="J188" s="62">
        <v>60484650801</v>
      </c>
      <c r="K188" s="63">
        <f>J188/درآمدها!$C$11</f>
        <v>1.1879589672657648E-2</v>
      </c>
    </row>
    <row r="189" spans="1:11">
      <c r="A189" s="62" t="s">
        <v>225</v>
      </c>
      <c r="B189" s="62">
        <v>5336797560</v>
      </c>
      <c r="C189" s="62">
        <v>22367371744</v>
      </c>
      <c r="D189" s="62">
        <v>4268070061</v>
      </c>
      <c r="E189" s="62">
        <v>31972239365</v>
      </c>
      <c r="F189" s="63">
        <v>1.3367480746358736E-2</v>
      </c>
      <c r="G189" s="62">
        <v>5336797560</v>
      </c>
      <c r="H189" s="62">
        <v>22048772703</v>
      </c>
      <c r="I189" s="62">
        <v>9485014983</v>
      </c>
      <c r="J189" s="62">
        <v>36870585246</v>
      </c>
      <c r="K189" s="63">
        <f>J189/درآمدها!$C$11</f>
        <v>7.2416293706366805E-3</v>
      </c>
    </row>
    <row r="190" spans="1:11">
      <c r="A190" s="62" t="s">
        <v>204</v>
      </c>
      <c r="B190" s="62">
        <v>0</v>
      </c>
      <c r="C190" s="62">
        <v>6156172033</v>
      </c>
      <c r="D190" s="62">
        <v>0</v>
      </c>
      <c r="E190" s="62">
        <v>6156172033</v>
      </c>
      <c r="F190" s="63">
        <v>2.5738738592231735E-3</v>
      </c>
      <c r="G190" s="62">
        <v>0</v>
      </c>
      <c r="H190" s="62">
        <v>14274838310</v>
      </c>
      <c r="I190" s="62">
        <v>-1100</v>
      </c>
      <c r="J190" s="62">
        <v>14274837210</v>
      </c>
      <c r="K190" s="63">
        <f>J190/درآمدها!$C$11</f>
        <v>2.803673435376458E-3</v>
      </c>
    </row>
    <row r="191" spans="1:11">
      <c r="A191" s="62" t="s">
        <v>183</v>
      </c>
      <c r="B191" s="62">
        <v>0</v>
      </c>
      <c r="C191" s="62">
        <v>19398983761</v>
      </c>
      <c r="D191" s="62">
        <v>3085755726</v>
      </c>
      <c r="E191" s="62">
        <v>22484739487</v>
      </c>
      <c r="F191" s="63">
        <v>9.4007904403590869E-3</v>
      </c>
      <c r="G191" s="62">
        <v>0</v>
      </c>
      <c r="H191" s="62">
        <v>27636870156</v>
      </c>
      <c r="I191" s="62">
        <v>4844171674</v>
      </c>
      <c r="J191" s="62">
        <v>32481041830</v>
      </c>
      <c r="K191" s="63">
        <f>J191/درآمدها!$C$11</f>
        <v>6.3794937057725324E-3</v>
      </c>
    </row>
    <row r="192" spans="1:11">
      <c r="A192" s="62" t="s">
        <v>346</v>
      </c>
      <c r="B192" s="62">
        <v>0</v>
      </c>
      <c r="C192" s="62">
        <v>66587538</v>
      </c>
      <c r="D192" s="62">
        <v>0</v>
      </c>
      <c r="E192" s="62">
        <v>66587538</v>
      </c>
      <c r="F192" s="63">
        <v>2.7840015270773657E-5</v>
      </c>
      <c r="G192" s="62">
        <v>2254263435</v>
      </c>
      <c r="H192" s="62">
        <v>1806211060</v>
      </c>
      <c r="I192" s="62">
        <v>0</v>
      </c>
      <c r="J192" s="62">
        <v>4060474495</v>
      </c>
      <c r="K192" s="63">
        <f>J192/درآمدها!$C$11</f>
        <v>7.9750432941400517E-4</v>
      </c>
    </row>
    <row r="193" spans="1:11">
      <c r="A193" s="62" t="s">
        <v>347</v>
      </c>
      <c r="B193" s="62">
        <v>0</v>
      </c>
      <c r="C193" s="62">
        <v>6005443931</v>
      </c>
      <c r="D193" s="62">
        <v>0</v>
      </c>
      <c r="E193" s="62">
        <v>6005443931</v>
      </c>
      <c r="F193" s="63">
        <v>2.5108549702921139E-3</v>
      </c>
      <c r="G193" s="62">
        <v>2459937690</v>
      </c>
      <c r="H193" s="62">
        <v>26351998666</v>
      </c>
      <c r="I193" s="62">
        <v>0</v>
      </c>
      <c r="J193" s="62">
        <v>28811936356</v>
      </c>
      <c r="K193" s="63">
        <f>J193/درآمدها!$C$11</f>
        <v>5.6588568678377516E-3</v>
      </c>
    </row>
    <row r="194" spans="1:11">
      <c r="A194" s="62" t="s">
        <v>246</v>
      </c>
      <c r="B194" s="62">
        <v>0</v>
      </c>
      <c r="C194" s="62">
        <v>16053872807</v>
      </c>
      <c r="D194" s="62">
        <v>0</v>
      </c>
      <c r="E194" s="62">
        <v>16053872807</v>
      </c>
      <c r="F194" s="63">
        <v>6.7120677160632967E-3</v>
      </c>
      <c r="G194" s="62">
        <v>11472972420</v>
      </c>
      <c r="H194" s="62">
        <v>18586540418</v>
      </c>
      <c r="I194" s="62">
        <v>191695739</v>
      </c>
      <c r="J194" s="62">
        <v>30251208577</v>
      </c>
      <c r="K194" s="63">
        <f>J194/درآمدها!$C$11</f>
        <v>5.9415395515650411E-3</v>
      </c>
    </row>
    <row r="195" spans="1:11">
      <c r="A195" s="62" t="s">
        <v>228</v>
      </c>
      <c r="B195" s="62">
        <v>0</v>
      </c>
      <c r="C195" s="62">
        <v>-39500225038</v>
      </c>
      <c r="D195" s="62">
        <v>48831941170</v>
      </c>
      <c r="E195" s="62">
        <v>9331716132</v>
      </c>
      <c r="F195" s="63">
        <v>3.9015576701064529E-3</v>
      </c>
      <c r="G195" s="62">
        <v>6565583200</v>
      </c>
      <c r="H195" s="62">
        <v>8817625059</v>
      </c>
      <c r="I195" s="62">
        <v>53006129464</v>
      </c>
      <c r="J195" s="62">
        <v>68389337723</v>
      </c>
      <c r="K195" s="63">
        <f>J195/درآمدها!$C$11</f>
        <v>1.3432123015920838E-2</v>
      </c>
    </row>
    <row r="196" spans="1:11">
      <c r="A196" s="62" t="s">
        <v>224</v>
      </c>
      <c r="B196" s="62">
        <v>6309763750</v>
      </c>
      <c r="C196" s="62">
        <v>23754424516</v>
      </c>
      <c r="D196" s="62">
        <v>2973962153</v>
      </c>
      <c r="E196" s="62">
        <v>33038150419</v>
      </c>
      <c r="F196" s="63">
        <v>1.3813134406367106E-2</v>
      </c>
      <c r="G196" s="62">
        <v>6309763750</v>
      </c>
      <c r="H196" s="62">
        <v>29795321845</v>
      </c>
      <c r="I196" s="62">
        <v>2973962153</v>
      </c>
      <c r="J196" s="62">
        <v>39079047748</v>
      </c>
      <c r="K196" s="63">
        <f>J196/درآمدها!$C$11</f>
        <v>7.675386166514175E-3</v>
      </c>
    </row>
    <row r="197" spans="1:11">
      <c r="A197" s="62" t="s">
        <v>229</v>
      </c>
      <c r="B197" s="62">
        <v>0</v>
      </c>
      <c r="C197" s="62">
        <v>14552489178</v>
      </c>
      <c r="D197" s="62">
        <v>2280564761</v>
      </c>
      <c r="E197" s="62">
        <v>16833053939</v>
      </c>
      <c r="F197" s="63">
        <v>7.0378406048819024E-3</v>
      </c>
      <c r="G197" s="62">
        <v>0</v>
      </c>
      <c r="H197" s="62">
        <v>23139974857</v>
      </c>
      <c r="I197" s="62">
        <v>12925192651</v>
      </c>
      <c r="J197" s="62">
        <v>36065167508</v>
      </c>
      <c r="K197" s="63">
        <f>J197/درآمدها!$C$11</f>
        <v>7.0834399438017672E-3</v>
      </c>
    </row>
    <row r="198" spans="1:11">
      <c r="A198" s="62" t="s">
        <v>348</v>
      </c>
      <c r="B198" s="62">
        <v>0</v>
      </c>
      <c r="C198" s="62">
        <v>13027785268</v>
      </c>
      <c r="D198" s="62">
        <v>0</v>
      </c>
      <c r="E198" s="62">
        <v>13027785268</v>
      </c>
      <c r="F198" s="63">
        <v>5.4468711668763017E-3</v>
      </c>
      <c r="G198" s="62">
        <v>1733619000</v>
      </c>
      <c r="H198" s="62">
        <v>34209404449</v>
      </c>
      <c r="I198" s="62">
        <v>0</v>
      </c>
      <c r="J198" s="62">
        <v>35943023449</v>
      </c>
      <c r="K198" s="63">
        <f>J198/درآمدها!$C$11</f>
        <v>7.0594500342518731E-3</v>
      </c>
    </row>
    <row r="199" spans="1:11">
      <c r="A199" s="62" t="s">
        <v>125</v>
      </c>
      <c r="B199" s="62">
        <v>0</v>
      </c>
      <c r="C199" s="62">
        <v>3154229886</v>
      </c>
      <c r="D199" s="62">
        <v>-1633832026</v>
      </c>
      <c r="E199" s="62">
        <v>1520397860</v>
      </c>
      <c r="F199" s="63">
        <v>6.3567299394747998E-4</v>
      </c>
      <c r="G199" s="62">
        <v>3680000000</v>
      </c>
      <c r="H199" s="62">
        <v>-4818866058</v>
      </c>
      <c r="I199" s="62">
        <v>-1633832026</v>
      </c>
      <c r="J199" s="62">
        <v>-2772698084</v>
      </c>
      <c r="K199" s="63">
        <f>J199/درآمدها!$C$11</f>
        <v>-5.4457643530843476E-4</v>
      </c>
    </row>
    <row r="200" spans="1:11">
      <c r="A200" s="62" t="s">
        <v>349</v>
      </c>
      <c r="B200" s="62">
        <v>6979320000</v>
      </c>
      <c r="C200" s="62">
        <v>13689147749</v>
      </c>
      <c r="D200" s="62">
        <v>0</v>
      </c>
      <c r="E200" s="62">
        <v>20668467749</v>
      </c>
      <c r="F200" s="63">
        <v>8.6414136194020701E-3</v>
      </c>
      <c r="G200" s="62">
        <v>6979320000</v>
      </c>
      <c r="H200" s="62">
        <v>47291981905</v>
      </c>
      <c r="I200" s="62">
        <v>0</v>
      </c>
      <c r="J200" s="62">
        <v>54271301905</v>
      </c>
      <c r="K200" s="63">
        <f>J200/درآمدها!$C$11</f>
        <v>1.0659246421931298E-2</v>
      </c>
    </row>
    <row r="201" spans="1:11">
      <c r="A201" s="62" t="s">
        <v>350</v>
      </c>
      <c r="B201" s="62">
        <v>660000000</v>
      </c>
      <c r="C201" s="62">
        <v>18753903000</v>
      </c>
      <c r="D201" s="62">
        <v>0</v>
      </c>
      <c r="E201" s="62">
        <v>19413903000</v>
      </c>
      <c r="F201" s="63">
        <v>8.1168845135154051E-3</v>
      </c>
      <c r="G201" s="62">
        <v>660000000</v>
      </c>
      <c r="H201" s="62">
        <v>20833388420</v>
      </c>
      <c r="I201" s="62">
        <v>0</v>
      </c>
      <c r="J201" s="62">
        <v>21493388420</v>
      </c>
      <c r="K201" s="63">
        <f>J201/درآمدها!$C$11</f>
        <v>4.2214451389447393E-3</v>
      </c>
    </row>
    <row r="202" spans="1:11">
      <c r="A202" s="62" t="s">
        <v>198</v>
      </c>
      <c r="B202" s="62">
        <v>0</v>
      </c>
      <c r="C202" s="62">
        <v>6229085177</v>
      </c>
      <c r="D202" s="62">
        <v>466862527</v>
      </c>
      <c r="E202" s="62">
        <v>6695947704</v>
      </c>
      <c r="F202" s="63">
        <v>2.7995521674290137E-3</v>
      </c>
      <c r="G202" s="62">
        <v>2793294400</v>
      </c>
      <c r="H202" s="62">
        <v>5974552471</v>
      </c>
      <c r="I202" s="62">
        <v>649285235</v>
      </c>
      <c r="J202" s="62">
        <v>9417132106</v>
      </c>
      <c r="K202" s="63">
        <f>J202/درآمدها!$C$11</f>
        <v>1.8495876859826522E-3</v>
      </c>
    </row>
    <row r="203" spans="1:11">
      <c r="A203" s="62" t="s">
        <v>150</v>
      </c>
      <c r="B203" s="62">
        <v>8605432500</v>
      </c>
      <c r="C203" s="62">
        <v>-3338333569</v>
      </c>
      <c r="D203" s="62">
        <v>11991739319</v>
      </c>
      <c r="E203" s="62">
        <v>17258838250</v>
      </c>
      <c r="F203" s="63">
        <v>7.2158595266851961E-3</v>
      </c>
      <c r="G203" s="62">
        <v>8605432500</v>
      </c>
      <c r="H203" s="62">
        <v>21203793106</v>
      </c>
      <c r="I203" s="62">
        <v>14032772612</v>
      </c>
      <c r="J203" s="62">
        <v>43841998218</v>
      </c>
      <c r="K203" s="63">
        <f>J203/درآمدها!$C$11</f>
        <v>8.6108614724881068E-3</v>
      </c>
    </row>
    <row r="204" spans="1:11">
      <c r="A204" s="62" t="s">
        <v>181</v>
      </c>
      <c r="B204" s="62">
        <v>394870008</v>
      </c>
      <c r="C204" s="62">
        <v>14575018530</v>
      </c>
      <c r="D204" s="62">
        <v>1557683903</v>
      </c>
      <c r="E204" s="62">
        <v>16527572441</v>
      </c>
      <c r="F204" s="63">
        <v>6.9101198657661421E-3</v>
      </c>
      <c r="G204" s="62">
        <v>394870008</v>
      </c>
      <c r="H204" s="62">
        <v>17940024485</v>
      </c>
      <c r="I204" s="62">
        <v>3985844579</v>
      </c>
      <c r="J204" s="62">
        <v>22320739072</v>
      </c>
      <c r="K204" s="63">
        <f>J204/درآمدها!$C$11</f>
        <v>4.3839423366801231E-3</v>
      </c>
    </row>
    <row r="205" spans="1:11">
      <c r="A205" s="62" t="s">
        <v>351</v>
      </c>
      <c r="B205" s="62">
        <v>0</v>
      </c>
      <c r="C205" s="62">
        <v>16131811624</v>
      </c>
      <c r="D205" s="62">
        <v>2768065566</v>
      </c>
      <c r="E205" s="62">
        <v>18899877190</v>
      </c>
      <c r="F205" s="63">
        <v>7.9019721315623168E-3</v>
      </c>
      <c r="G205" s="62">
        <v>0</v>
      </c>
      <c r="H205" s="62">
        <v>21966455551</v>
      </c>
      <c r="I205" s="62">
        <v>3490165310</v>
      </c>
      <c r="J205" s="62">
        <v>25456620861</v>
      </c>
      <c r="K205" s="63">
        <f>J205/درآمدها!$C$11</f>
        <v>4.9998504790259449E-3</v>
      </c>
    </row>
    <row r="206" spans="1:11">
      <c r="A206" s="62" t="s">
        <v>173</v>
      </c>
      <c r="B206" s="62">
        <v>0</v>
      </c>
      <c r="C206" s="62">
        <v>3123542114</v>
      </c>
      <c r="D206" s="62">
        <v>-1448149251</v>
      </c>
      <c r="E206" s="62">
        <v>1675392863</v>
      </c>
      <c r="F206" s="63">
        <v>7.0047585916850087E-4</v>
      </c>
      <c r="G206" s="62">
        <v>142948777</v>
      </c>
      <c r="H206" s="62">
        <v>-2644646761</v>
      </c>
      <c r="I206" s="62">
        <v>-1448149251</v>
      </c>
      <c r="J206" s="62">
        <v>-3949847235</v>
      </c>
      <c r="K206" s="63">
        <f>J206/درآمدها!$C$11</f>
        <v>-7.7577639616141405E-4</v>
      </c>
    </row>
    <row r="207" spans="1:11">
      <c r="A207" s="62" t="s">
        <v>243</v>
      </c>
      <c r="B207" s="62">
        <v>0</v>
      </c>
      <c r="C207" s="62">
        <v>27983396968</v>
      </c>
      <c r="D207" s="62">
        <v>2375397497</v>
      </c>
      <c r="E207" s="62">
        <v>30358794465</v>
      </c>
      <c r="F207" s="63">
        <v>1.2692905112483343E-2</v>
      </c>
      <c r="G207" s="62">
        <v>7744403200</v>
      </c>
      <c r="H207" s="62">
        <v>30530486897</v>
      </c>
      <c r="I207" s="62">
        <v>3567144369</v>
      </c>
      <c r="J207" s="62">
        <v>41842034466</v>
      </c>
      <c r="K207" s="63">
        <f>J207/درآمدها!$C$11</f>
        <v>8.2180552246333034E-3</v>
      </c>
    </row>
    <row r="208" spans="1:11">
      <c r="A208" s="62" t="s">
        <v>241</v>
      </c>
      <c r="B208" s="62">
        <v>0</v>
      </c>
      <c r="C208" s="62">
        <v>-6083471610</v>
      </c>
      <c r="D208" s="62">
        <v>4908400519</v>
      </c>
      <c r="E208" s="62">
        <v>-1175071091</v>
      </c>
      <c r="F208" s="63">
        <v>-4.9129308726934254E-4</v>
      </c>
      <c r="G208" s="62">
        <v>888818310</v>
      </c>
      <c r="H208" s="62">
        <v>7366009869</v>
      </c>
      <c r="I208" s="62">
        <v>4908400519</v>
      </c>
      <c r="J208" s="62">
        <v>13163228698</v>
      </c>
      <c r="K208" s="63">
        <f>J208/درآمدها!$C$11</f>
        <v>2.5853460940706337E-3</v>
      </c>
    </row>
    <row r="209" spans="1:11">
      <c r="A209" s="62" t="s">
        <v>168</v>
      </c>
      <c r="B209" s="62">
        <v>0</v>
      </c>
      <c r="C209" s="62">
        <v>3385511044</v>
      </c>
      <c r="D209" s="62">
        <v>5853822462</v>
      </c>
      <c r="E209" s="62">
        <v>9239333506</v>
      </c>
      <c r="F209" s="63">
        <v>3.8629328193334122E-3</v>
      </c>
      <c r="G209" s="62">
        <v>0</v>
      </c>
      <c r="H209" s="62">
        <v>16332388297</v>
      </c>
      <c r="I209" s="62">
        <v>6408938726</v>
      </c>
      <c r="J209" s="62">
        <v>22741327023</v>
      </c>
      <c r="K209" s="63">
        <f>J209/درآمدها!$C$11</f>
        <v>4.4665486212990511E-3</v>
      </c>
    </row>
    <row r="210" spans="1:11">
      <c r="A210" s="62" t="s">
        <v>156</v>
      </c>
      <c r="B210" s="62">
        <v>402128100</v>
      </c>
      <c r="C210" s="62">
        <v>5258187362</v>
      </c>
      <c r="D210" s="62">
        <v>0</v>
      </c>
      <c r="E210" s="62">
        <v>5660315462</v>
      </c>
      <c r="F210" s="63">
        <v>2.366557972146023E-3</v>
      </c>
      <c r="G210" s="62">
        <v>402128100</v>
      </c>
      <c r="H210" s="62">
        <v>11261216316</v>
      </c>
      <c r="I210" s="62">
        <v>202360400</v>
      </c>
      <c r="J210" s="62">
        <v>11865704816</v>
      </c>
      <c r="K210" s="63">
        <f>J210/درآمدها!$C$11</f>
        <v>2.3305037315124451E-3</v>
      </c>
    </row>
    <row r="211" spans="1:11">
      <c r="A211" s="62" t="s">
        <v>352</v>
      </c>
      <c r="B211" s="62">
        <v>0</v>
      </c>
      <c r="C211" s="62">
        <v>19032745957</v>
      </c>
      <c r="D211" s="62">
        <v>1880799669</v>
      </c>
      <c r="E211" s="62">
        <v>20913545626</v>
      </c>
      <c r="F211" s="63">
        <v>8.743879817179329E-3</v>
      </c>
      <c r="G211" s="62">
        <v>0</v>
      </c>
      <c r="H211" s="62">
        <v>27363956347</v>
      </c>
      <c r="I211" s="62">
        <v>2519808402</v>
      </c>
      <c r="J211" s="62">
        <v>29883764749</v>
      </c>
      <c r="K211" s="63">
        <f>J211/درآمدها!$C$11</f>
        <v>5.8693711278974877E-3</v>
      </c>
    </row>
    <row r="212" spans="1:11">
      <c r="A212" s="62" t="s">
        <v>192</v>
      </c>
      <c r="B212" s="62">
        <v>0</v>
      </c>
      <c r="C212" s="62">
        <v>3206521795</v>
      </c>
      <c r="D212" s="62">
        <v>3079528654</v>
      </c>
      <c r="E212" s="62">
        <v>6286050449</v>
      </c>
      <c r="F212" s="63">
        <v>2.6281755678219192E-3</v>
      </c>
      <c r="G212" s="62">
        <v>0</v>
      </c>
      <c r="H212" s="62">
        <v>19308088276</v>
      </c>
      <c r="I212" s="62">
        <v>3079528654</v>
      </c>
      <c r="J212" s="62">
        <v>22387616930</v>
      </c>
      <c r="K212" s="63">
        <f>J212/درآمدها!$C$11</f>
        <v>4.3970775949763183E-3</v>
      </c>
    </row>
    <row r="213" spans="1:11">
      <c r="A213" s="62" t="s">
        <v>214</v>
      </c>
      <c r="B213" s="62">
        <v>0</v>
      </c>
      <c r="C213" s="62">
        <v>2096640294</v>
      </c>
      <c r="D213" s="62">
        <v>6511636130</v>
      </c>
      <c r="E213" s="62">
        <v>8608276424</v>
      </c>
      <c r="F213" s="63">
        <v>3.5990900744701038E-3</v>
      </c>
      <c r="G213" s="62">
        <v>0</v>
      </c>
      <c r="H213" s="62">
        <v>15125545993</v>
      </c>
      <c r="I213" s="62">
        <v>6511636130</v>
      </c>
      <c r="J213" s="62">
        <v>21637182123</v>
      </c>
      <c r="K213" s="63">
        <f>J213/درآمدها!$C$11</f>
        <v>4.2496871832738399E-3</v>
      </c>
    </row>
    <row r="214" spans="1:11">
      <c r="A214" s="62" t="s">
        <v>353</v>
      </c>
      <c r="B214" s="62">
        <v>0</v>
      </c>
      <c r="C214" s="62">
        <v>10761574783</v>
      </c>
      <c r="D214" s="62">
        <v>0</v>
      </c>
      <c r="E214" s="62">
        <v>10761574783</v>
      </c>
      <c r="F214" s="63">
        <v>4.4993765394403485E-3</v>
      </c>
      <c r="G214" s="62">
        <v>9028226775</v>
      </c>
      <c r="H214" s="62">
        <v>10697156750</v>
      </c>
      <c r="I214" s="62">
        <v>0</v>
      </c>
      <c r="J214" s="62">
        <v>19725383525</v>
      </c>
      <c r="K214" s="63">
        <f>J214/درآمدها!$C$11</f>
        <v>3.8741971609254477E-3</v>
      </c>
    </row>
    <row r="215" spans="1:11">
      <c r="A215" s="62" t="s">
        <v>354</v>
      </c>
      <c r="B215" s="62">
        <v>0</v>
      </c>
      <c r="C215" s="62">
        <v>27594499126</v>
      </c>
      <c r="D215" s="62">
        <v>0</v>
      </c>
      <c r="E215" s="62">
        <v>27594499126</v>
      </c>
      <c r="F215" s="63">
        <v>1.1537162960690789E-2</v>
      </c>
      <c r="G215" s="62">
        <v>1685422200</v>
      </c>
      <c r="H215" s="62">
        <v>44067578907</v>
      </c>
      <c r="I215" s="62">
        <v>0</v>
      </c>
      <c r="J215" s="62">
        <v>45753001107</v>
      </c>
      <c r="K215" s="63">
        <f>J215/درآمدها!$C$11</f>
        <v>8.9861952122706965E-3</v>
      </c>
    </row>
    <row r="216" spans="1:11">
      <c r="A216" s="62" t="s">
        <v>355</v>
      </c>
      <c r="B216" s="62">
        <v>726368300</v>
      </c>
      <c r="C216" s="62">
        <v>0</v>
      </c>
      <c r="D216" s="62">
        <v>0</v>
      </c>
      <c r="E216" s="62">
        <v>726368300</v>
      </c>
      <c r="F216" s="63">
        <v>3.0369202964383371E-4</v>
      </c>
      <c r="G216" s="62">
        <v>726368300</v>
      </c>
      <c r="H216" s="62">
        <v>-10547611801</v>
      </c>
      <c r="I216" s="62">
        <v>0</v>
      </c>
      <c r="J216" s="62">
        <v>-9821243501</v>
      </c>
      <c r="K216" s="63">
        <f>J216/درآمدها!$C$11</f>
        <v>-1.9289578648804347E-3</v>
      </c>
    </row>
    <row r="217" spans="1:11">
      <c r="A217" s="62" t="s">
        <v>164</v>
      </c>
      <c r="B217" s="62">
        <v>0</v>
      </c>
      <c r="C217" s="62">
        <v>8221862526</v>
      </c>
      <c r="D217" s="62">
        <v>1012344485</v>
      </c>
      <c r="E217" s="62">
        <v>9234207011</v>
      </c>
      <c r="F217" s="63">
        <v>3.8607894498175498E-3</v>
      </c>
      <c r="G217" s="62">
        <v>5895107190</v>
      </c>
      <c r="H217" s="62">
        <v>13733866736</v>
      </c>
      <c r="I217" s="62">
        <v>1248974190</v>
      </c>
      <c r="J217" s="62">
        <v>20877948116</v>
      </c>
      <c r="K217" s="63">
        <f>J217/درآمدها!$C$11</f>
        <v>4.1005685498810094E-3</v>
      </c>
    </row>
    <row r="218" spans="1:11">
      <c r="A218" s="62" t="s">
        <v>356</v>
      </c>
      <c r="B218" s="62">
        <v>0</v>
      </c>
      <c r="C218" s="62">
        <v>16273718618</v>
      </c>
      <c r="D218" s="62">
        <v>0</v>
      </c>
      <c r="E218" s="62">
        <v>16273718618</v>
      </c>
      <c r="F218" s="63">
        <v>6.8039844758548303E-3</v>
      </c>
      <c r="G218" s="62">
        <v>0</v>
      </c>
      <c r="H218" s="62">
        <v>23680805658</v>
      </c>
      <c r="I218" s="62">
        <v>0</v>
      </c>
      <c r="J218" s="62">
        <v>23680805658</v>
      </c>
      <c r="K218" s="63">
        <f>J218/درآمدها!$C$11</f>
        <v>4.6510685043144621E-3</v>
      </c>
    </row>
    <row r="219" spans="1:11">
      <c r="A219" s="62" t="s">
        <v>245</v>
      </c>
      <c r="B219" s="62">
        <v>6981292000</v>
      </c>
      <c r="C219" s="62">
        <v>7740037796</v>
      </c>
      <c r="D219" s="62">
        <v>1000125270</v>
      </c>
      <c r="E219" s="62">
        <v>15721455066</v>
      </c>
      <c r="F219" s="63">
        <v>6.573085028556273E-3</v>
      </c>
      <c r="G219" s="62">
        <v>6981292000</v>
      </c>
      <c r="H219" s="62">
        <v>34687338320</v>
      </c>
      <c r="I219" s="62">
        <v>1000125270</v>
      </c>
      <c r="J219" s="62">
        <v>42668755590</v>
      </c>
      <c r="K219" s="63">
        <f>J219/درآمدها!$C$11</f>
        <v>8.380428778861972E-3</v>
      </c>
    </row>
    <row r="220" spans="1:11">
      <c r="A220" s="62" t="s">
        <v>212</v>
      </c>
      <c r="B220" s="62">
        <v>0</v>
      </c>
      <c r="C220" s="62">
        <v>18712505456</v>
      </c>
      <c r="D220" s="62">
        <v>5004976162</v>
      </c>
      <c r="E220" s="62">
        <v>23717481618</v>
      </c>
      <c r="F220" s="63">
        <v>9.9161955864686506E-3</v>
      </c>
      <c r="G220" s="62">
        <v>2778066980</v>
      </c>
      <c r="H220" s="62">
        <v>63273883806</v>
      </c>
      <c r="I220" s="62">
        <v>5004976162</v>
      </c>
      <c r="J220" s="62">
        <v>71056926948</v>
      </c>
      <c r="K220" s="63">
        <f>J220/درآمدها!$C$11</f>
        <v>1.3956055368815879E-2</v>
      </c>
    </row>
    <row r="221" spans="1:11">
      <c r="A221" s="62" t="s">
        <v>357</v>
      </c>
      <c r="B221" s="62">
        <v>0</v>
      </c>
      <c r="C221" s="62">
        <v>8919638588</v>
      </c>
      <c r="D221" s="62">
        <v>0</v>
      </c>
      <c r="E221" s="62">
        <v>8919638588</v>
      </c>
      <c r="F221" s="63">
        <v>3.7292694993423842E-3</v>
      </c>
      <c r="G221" s="62">
        <v>1505716000</v>
      </c>
      <c r="H221" s="62">
        <v>14994799015</v>
      </c>
      <c r="I221" s="62">
        <v>0</v>
      </c>
      <c r="J221" s="62">
        <v>16500515015</v>
      </c>
      <c r="K221" s="63">
        <f>J221/درآمدها!$C$11</f>
        <v>3.2408114318233879E-3</v>
      </c>
    </row>
    <row r="222" spans="1:11">
      <c r="A222" s="62" t="s">
        <v>358</v>
      </c>
      <c r="B222" s="62">
        <v>0</v>
      </c>
      <c r="C222" s="62">
        <v>8241823753</v>
      </c>
      <c r="D222" s="62">
        <v>0</v>
      </c>
      <c r="E222" s="62">
        <v>8241823753</v>
      </c>
      <c r="F222" s="63">
        <v>3.4458775025222447E-3</v>
      </c>
      <c r="G222" s="62">
        <v>3535674660</v>
      </c>
      <c r="H222" s="62">
        <v>8970857953</v>
      </c>
      <c r="I222" s="62">
        <v>325752815</v>
      </c>
      <c r="J222" s="62">
        <v>12832285428</v>
      </c>
      <c r="K222" s="63">
        <f>J222/درآمدها!$C$11</f>
        <v>2.5203466239494877E-3</v>
      </c>
    </row>
    <row r="223" spans="1:11">
      <c r="A223" s="62" t="s">
        <v>359</v>
      </c>
      <c r="B223" s="62">
        <v>0</v>
      </c>
      <c r="C223" s="62">
        <v>-4336208905</v>
      </c>
      <c r="D223" s="62">
        <v>10016798417</v>
      </c>
      <c r="E223" s="62">
        <v>5680589512</v>
      </c>
      <c r="F223" s="63">
        <v>2.3750344810927939E-3</v>
      </c>
      <c r="G223" s="62">
        <v>2986695250</v>
      </c>
      <c r="H223" s="62">
        <v>20792614652</v>
      </c>
      <c r="I223" s="62">
        <v>10667690603</v>
      </c>
      <c r="J223" s="62">
        <v>34447000505</v>
      </c>
      <c r="K223" s="63">
        <f>J223/درآمدها!$C$11</f>
        <v>6.7656211292281302E-3</v>
      </c>
    </row>
    <row r="224" spans="1:11">
      <c r="A224" s="62" t="s">
        <v>360</v>
      </c>
      <c r="B224" s="62">
        <v>0</v>
      </c>
      <c r="C224" s="62">
        <v>869562915</v>
      </c>
      <c r="D224" s="62">
        <v>0</v>
      </c>
      <c r="E224" s="62">
        <v>869562915</v>
      </c>
      <c r="F224" s="63">
        <v>3.6356119417567981E-4</v>
      </c>
      <c r="G224" s="62">
        <v>3146846500</v>
      </c>
      <c r="H224" s="62">
        <v>6861641911</v>
      </c>
      <c r="I224" s="62">
        <v>0</v>
      </c>
      <c r="J224" s="62">
        <v>10008488411</v>
      </c>
      <c r="K224" s="63">
        <f>J224/درآمدها!$C$11</f>
        <v>1.9657340166749152E-3</v>
      </c>
    </row>
    <row r="225" spans="1:11">
      <c r="A225" s="62" t="s">
        <v>158</v>
      </c>
      <c r="B225" s="62">
        <v>0</v>
      </c>
      <c r="C225" s="62">
        <v>25595058537</v>
      </c>
      <c r="D225" s="62">
        <v>3608479580</v>
      </c>
      <c r="E225" s="62">
        <v>29203538117</v>
      </c>
      <c r="F225" s="63">
        <v>1.2209896499520685E-2</v>
      </c>
      <c r="G225" s="62">
        <v>7464643400</v>
      </c>
      <c r="H225" s="62">
        <v>45484529937</v>
      </c>
      <c r="I225" s="62">
        <v>3608479580</v>
      </c>
      <c r="J225" s="62">
        <v>56557652917</v>
      </c>
      <c r="K225" s="63">
        <f>J225/درآمدها!$C$11</f>
        <v>1.1108301041748604E-2</v>
      </c>
    </row>
    <row r="226" spans="1:11">
      <c r="A226" s="62" t="s">
        <v>361</v>
      </c>
      <c r="B226" s="62">
        <v>0</v>
      </c>
      <c r="C226" s="62">
        <v>3134632439</v>
      </c>
      <c r="D226" s="62">
        <v>0</v>
      </c>
      <c r="E226" s="62">
        <v>3134632439</v>
      </c>
      <c r="F226" s="63">
        <v>1.3105787898333541E-3</v>
      </c>
      <c r="G226" s="62">
        <v>0</v>
      </c>
      <c r="H226" s="62">
        <v>13774982815</v>
      </c>
      <c r="I226" s="62">
        <v>0</v>
      </c>
      <c r="J226" s="62">
        <v>13774982815</v>
      </c>
      <c r="K226" s="63">
        <f>J226/درآمدها!$C$11</f>
        <v>2.7054986913705565E-3</v>
      </c>
    </row>
    <row r="227" spans="1:11">
      <c r="A227" s="62" t="s">
        <v>197</v>
      </c>
      <c r="B227" s="62">
        <v>0</v>
      </c>
      <c r="C227" s="62">
        <v>10630395688</v>
      </c>
      <c r="D227" s="62">
        <v>533300558</v>
      </c>
      <c r="E227" s="62">
        <v>11163696246</v>
      </c>
      <c r="F227" s="63">
        <v>4.6675021077805662E-3</v>
      </c>
      <c r="G227" s="62">
        <v>1406886000</v>
      </c>
      <c r="H227" s="62">
        <v>20699151870</v>
      </c>
      <c r="I227" s="62">
        <v>533300558</v>
      </c>
      <c r="J227" s="62">
        <v>22639338428</v>
      </c>
      <c r="K227" s="63">
        <f>J227/درآمدها!$C$11</f>
        <v>4.4465173795898592E-3</v>
      </c>
    </row>
    <row r="228" spans="1:11">
      <c r="A228" s="62" t="s">
        <v>362</v>
      </c>
      <c r="B228" s="62">
        <v>0</v>
      </c>
      <c r="C228" s="62">
        <v>1308660499</v>
      </c>
      <c r="D228" s="62">
        <v>0</v>
      </c>
      <c r="E228" s="62">
        <v>1308660499</v>
      </c>
      <c r="F228" s="63">
        <v>5.4714634856177253E-4</v>
      </c>
      <c r="G228" s="62">
        <v>93500000</v>
      </c>
      <c r="H228" s="62">
        <v>1938223232</v>
      </c>
      <c r="I228" s="62">
        <v>0</v>
      </c>
      <c r="J228" s="62">
        <v>2031723232</v>
      </c>
      <c r="K228" s="63">
        <f>J228/درآمدها!$C$11</f>
        <v>3.9904402199453178E-4</v>
      </c>
    </row>
    <row r="229" spans="1:11">
      <c r="A229" s="62" t="s">
        <v>363</v>
      </c>
      <c r="B229" s="62">
        <v>1017800000</v>
      </c>
      <c r="C229" s="62">
        <v>7334859840</v>
      </c>
      <c r="D229" s="62">
        <v>0</v>
      </c>
      <c r="E229" s="62">
        <v>8352659840</v>
      </c>
      <c r="F229" s="63">
        <v>3.4922176803890521E-3</v>
      </c>
      <c r="G229" s="62">
        <v>1017800000</v>
      </c>
      <c r="H229" s="62">
        <v>14426613530</v>
      </c>
      <c r="I229" s="62">
        <v>0</v>
      </c>
      <c r="J229" s="62">
        <v>15444413530</v>
      </c>
      <c r="K229" s="63">
        <f>J229/درآمدها!$C$11</f>
        <v>3.0333860416072479E-3</v>
      </c>
    </row>
    <row r="230" spans="1:11">
      <c r="A230" s="62" t="s">
        <v>213</v>
      </c>
      <c r="B230" s="62">
        <v>0</v>
      </c>
      <c r="C230" s="62">
        <v>-296661775</v>
      </c>
      <c r="D230" s="62">
        <v>925749213</v>
      </c>
      <c r="E230" s="62">
        <v>629087438</v>
      </c>
      <c r="F230" s="63">
        <v>2.6301924363943108E-4</v>
      </c>
      <c r="G230" s="62">
        <v>0</v>
      </c>
      <c r="H230" s="62">
        <v>0</v>
      </c>
      <c r="I230" s="62">
        <v>925749213</v>
      </c>
      <c r="J230" s="62">
        <v>925749213</v>
      </c>
      <c r="K230" s="63">
        <f>J230/درآمدها!$C$11</f>
        <v>1.8182333277261676E-4</v>
      </c>
    </row>
    <row r="231" spans="1:11">
      <c r="A231" s="62" t="s">
        <v>364</v>
      </c>
      <c r="B231" s="62">
        <v>0</v>
      </c>
      <c r="C231" s="62">
        <v>0</v>
      </c>
      <c r="D231" s="62">
        <v>0</v>
      </c>
      <c r="E231" s="62">
        <v>0</v>
      </c>
      <c r="F231" s="63">
        <v>0</v>
      </c>
      <c r="G231" s="62">
        <v>0</v>
      </c>
      <c r="H231" s="62">
        <v>0</v>
      </c>
      <c r="I231" s="62">
        <v>32508649</v>
      </c>
      <c r="J231" s="62">
        <v>32508649</v>
      </c>
      <c r="K231" s="63">
        <f>J231/درآمدها!$C$11</f>
        <v>6.3849159384758729E-6</v>
      </c>
    </row>
    <row r="232" spans="1:11" ht="23.25" thickBot="1">
      <c r="A232" s="64" t="s">
        <v>2</v>
      </c>
      <c r="B232" s="64">
        <f t="shared" ref="B232:K232" si="0">SUM(B11:B231)</f>
        <v>125711995601</v>
      </c>
      <c r="C232" s="64">
        <f t="shared" si="0"/>
        <v>1854474887097</v>
      </c>
      <c r="D232" s="64">
        <f t="shared" si="0"/>
        <v>410815547068</v>
      </c>
      <c r="E232" s="64">
        <f t="shared" si="0"/>
        <v>2391002429766</v>
      </c>
      <c r="F232" s="66">
        <f t="shared" si="0"/>
        <v>0.99966970031452984</v>
      </c>
      <c r="G232" s="64">
        <f t="shared" si="0"/>
        <v>565111312891</v>
      </c>
      <c r="H232" s="64">
        <f t="shared" si="0"/>
        <v>3914360703559</v>
      </c>
      <c r="I232" s="64">
        <f t="shared" si="0"/>
        <v>607114399529</v>
      </c>
      <c r="J232" s="64">
        <f t="shared" si="0"/>
        <v>5086586415979</v>
      </c>
      <c r="K232" s="66">
        <f t="shared" si="0"/>
        <v>0.9990395688181074</v>
      </c>
    </row>
    <row r="233" spans="1:11" ht="23.25" thickTop="1"/>
    <row r="235" spans="1:11">
      <c r="G235" s="68"/>
      <c r="H235" s="68"/>
      <c r="I235" s="68"/>
    </row>
  </sheetData>
  <mergeCells count="15">
    <mergeCell ref="G7:K7"/>
    <mergeCell ref="B7:F7"/>
    <mergeCell ref="A8:A10"/>
    <mergeCell ref="A1:K1"/>
    <mergeCell ref="A2:K2"/>
    <mergeCell ref="A3:K3"/>
    <mergeCell ref="E8:F9"/>
    <mergeCell ref="J8:K9"/>
    <mergeCell ref="A5:K5"/>
    <mergeCell ref="B8:B10"/>
    <mergeCell ref="C8:C10"/>
    <mergeCell ref="D8:D10"/>
    <mergeCell ref="G8:G10"/>
    <mergeCell ref="H8:H10"/>
    <mergeCell ref="I8:I10"/>
  </mergeCells>
  <pageMargins left="0.7" right="0.7" top="0.75" bottom="0.75" header="0.3" footer="0.3"/>
  <pageSetup scale="5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"/>
  <sheetViews>
    <sheetView rightToLeft="1" zoomScaleNormal="100" zoomScaleSheetLayoutView="110" workbookViewId="0">
      <selection activeCell="D21" sqref="D21"/>
    </sheetView>
  </sheetViews>
  <sheetFormatPr defaultColWidth="9.125" defaultRowHeight="15.75"/>
  <cols>
    <col min="1" max="1" width="4.375" style="6" bestFit="1" customWidth="1"/>
    <col min="2" max="2" width="11.5" style="6" bestFit="1" customWidth="1"/>
    <col min="3" max="3" width="11" style="6" bestFit="1" customWidth="1"/>
    <col min="4" max="4" width="7.875" style="6" bestFit="1" customWidth="1"/>
    <col min="5" max="5" width="3.5" style="6" bestFit="1" customWidth="1"/>
    <col min="6" max="6" width="13" style="6" bestFit="1" customWidth="1"/>
    <col min="7" max="7" width="11.5" style="6" bestFit="1" customWidth="1"/>
    <col min="8" max="8" width="11" style="6" bestFit="1" customWidth="1"/>
    <col min="9" max="9" width="7.875" style="6" bestFit="1" customWidth="1"/>
    <col min="10" max="10" width="3.5" style="6" bestFit="1" customWidth="1"/>
    <col min="11" max="11" width="13" style="6" bestFit="1" customWidth="1"/>
    <col min="12" max="16384" width="9.125" style="6"/>
  </cols>
  <sheetData>
    <row r="1" spans="1:11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21">
      <c r="A2" s="109" t="s">
        <v>79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5" spans="1:11" ht="21">
      <c r="A5" s="116" t="s">
        <v>94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</row>
    <row r="7" spans="1:11" ht="19.5" customHeight="1" thickBot="1">
      <c r="A7" s="28"/>
      <c r="B7" s="153" t="s">
        <v>109</v>
      </c>
      <c r="C7" s="153"/>
      <c r="D7" s="153"/>
      <c r="E7" s="153"/>
      <c r="F7" s="153"/>
      <c r="G7" s="153" t="s">
        <v>116</v>
      </c>
      <c r="H7" s="153"/>
      <c r="I7" s="153"/>
      <c r="J7" s="153"/>
      <c r="K7" s="153"/>
    </row>
    <row r="8" spans="1:11" ht="19.5" customHeight="1">
      <c r="A8" s="156" t="s">
        <v>90</v>
      </c>
      <c r="B8" s="154" t="s">
        <v>95</v>
      </c>
      <c r="C8" s="154" t="s">
        <v>16</v>
      </c>
      <c r="D8" s="154" t="s">
        <v>17</v>
      </c>
      <c r="E8" s="154" t="s">
        <v>2</v>
      </c>
      <c r="F8" s="154"/>
      <c r="G8" s="154" t="s">
        <v>95</v>
      </c>
      <c r="H8" s="154" t="s">
        <v>16</v>
      </c>
      <c r="I8" s="154" t="s">
        <v>17</v>
      </c>
      <c r="J8" s="154" t="s">
        <v>2</v>
      </c>
      <c r="K8" s="154"/>
    </row>
    <row r="9" spans="1:11" ht="18.75" customHeight="1" thickBot="1">
      <c r="A9" s="156"/>
      <c r="B9" s="155"/>
      <c r="C9" s="155"/>
      <c r="D9" s="155"/>
      <c r="E9" s="153"/>
      <c r="F9" s="153"/>
      <c r="G9" s="155"/>
      <c r="H9" s="155"/>
      <c r="I9" s="155"/>
      <c r="J9" s="153"/>
      <c r="K9" s="153"/>
    </row>
    <row r="10" spans="1:11" ht="28.5" customHeight="1" thickBot="1">
      <c r="A10" s="157"/>
      <c r="B10" s="29" t="s">
        <v>82</v>
      </c>
      <c r="C10" s="29" t="s">
        <v>82</v>
      </c>
      <c r="D10" s="29" t="s">
        <v>82</v>
      </c>
      <c r="E10" s="30" t="s">
        <v>6</v>
      </c>
      <c r="F10" s="30" t="s">
        <v>18</v>
      </c>
      <c r="G10" s="29" t="s">
        <v>82</v>
      </c>
      <c r="H10" s="29" t="s">
        <v>82</v>
      </c>
      <c r="I10" s="29" t="s">
        <v>82</v>
      </c>
      <c r="J10" s="30" t="s">
        <v>6</v>
      </c>
      <c r="K10" s="30" t="s">
        <v>18</v>
      </c>
    </row>
  </sheetData>
  <mergeCells count="15">
    <mergeCell ref="G8:G9"/>
    <mergeCell ref="H8:H9"/>
    <mergeCell ref="I8:I9"/>
    <mergeCell ref="J8:K9"/>
    <mergeCell ref="A8:A10"/>
    <mergeCell ref="B8:B9"/>
    <mergeCell ref="C8:C9"/>
    <mergeCell ref="D8:D9"/>
    <mergeCell ref="E8:F9"/>
    <mergeCell ref="A1:K1"/>
    <mergeCell ref="A2:K2"/>
    <mergeCell ref="A3:K3"/>
    <mergeCell ref="A5:K5"/>
    <mergeCell ref="B7:F7"/>
    <mergeCell ref="G7:K7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rightToLeft="1" zoomScaleNormal="100" zoomScaleSheetLayoutView="90" workbookViewId="0">
      <selection activeCell="D23" sqref="D23"/>
    </sheetView>
  </sheetViews>
  <sheetFormatPr defaultColWidth="9.125" defaultRowHeight="18"/>
  <cols>
    <col min="1" max="1" width="22.625" style="10" customWidth="1"/>
    <col min="2" max="2" width="10.375" style="10" bestFit="1" customWidth="1"/>
    <col min="3" max="3" width="14.625" style="10" bestFit="1" customWidth="1"/>
    <col min="4" max="4" width="11" style="10" bestFit="1" customWidth="1"/>
    <col min="5" max="5" width="7.875" style="10" bestFit="1" customWidth="1"/>
    <col min="6" max="6" width="3.5" style="10" bestFit="1" customWidth="1"/>
    <col min="7" max="7" width="10.375" style="10" bestFit="1" customWidth="1"/>
    <col min="8" max="8" width="14.625" style="10" bestFit="1" customWidth="1"/>
    <col min="9" max="9" width="11" style="10" bestFit="1" customWidth="1"/>
    <col min="10" max="10" width="7.875" style="10" bestFit="1" customWidth="1"/>
    <col min="11" max="11" width="3.5" style="10" bestFit="1" customWidth="1"/>
    <col min="12" max="16384" width="9.125" style="10"/>
  </cols>
  <sheetData>
    <row r="1" spans="1:11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21">
      <c r="A2" s="109" t="s">
        <v>79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ht="21">
      <c r="A4" s="116" t="s">
        <v>93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6" spans="1:11" ht="19.5" customHeight="1" thickBot="1">
      <c r="A6" s="22"/>
      <c r="B6" s="22"/>
      <c r="C6" s="153" t="s">
        <v>109</v>
      </c>
      <c r="D6" s="153"/>
      <c r="E6" s="153"/>
      <c r="F6" s="153"/>
      <c r="G6" s="27"/>
      <c r="H6" s="153" t="s">
        <v>116</v>
      </c>
      <c r="I6" s="153"/>
      <c r="J6" s="153"/>
      <c r="K6" s="153"/>
    </row>
    <row r="7" spans="1:11" ht="20.25" customHeight="1">
      <c r="A7" s="158"/>
      <c r="B7" s="154" t="s">
        <v>19</v>
      </c>
      <c r="C7" s="154" t="s">
        <v>111</v>
      </c>
      <c r="D7" s="154" t="s">
        <v>16</v>
      </c>
      <c r="E7" s="154" t="s">
        <v>17</v>
      </c>
      <c r="F7" s="154" t="s">
        <v>2</v>
      </c>
      <c r="G7" s="154" t="s">
        <v>19</v>
      </c>
      <c r="H7" s="154" t="s">
        <v>111</v>
      </c>
      <c r="I7" s="154" t="s">
        <v>16</v>
      </c>
      <c r="J7" s="154" t="s">
        <v>17</v>
      </c>
      <c r="K7" s="154" t="s">
        <v>2</v>
      </c>
    </row>
    <row r="8" spans="1:11" ht="20.25" customHeight="1">
      <c r="A8" s="159"/>
      <c r="B8" s="155"/>
      <c r="C8" s="155"/>
      <c r="D8" s="155"/>
      <c r="E8" s="155"/>
      <c r="F8" s="155"/>
      <c r="G8" s="155"/>
      <c r="H8" s="155"/>
      <c r="I8" s="155"/>
      <c r="J8" s="155"/>
      <c r="K8" s="155"/>
    </row>
    <row r="9" spans="1:11" ht="18.75" thickBot="1">
      <c r="A9" s="159"/>
      <c r="B9" s="33" t="s">
        <v>82</v>
      </c>
      <c r="C9" s="33" t="s">
        <v>82</v>
      </c>
      <c r="D9" s="33" t="s">
        <v>81</v>
      </c>
      <c r="E9" s="33" t="s">
        <v>82</v>
      </c>
      <c r="F9" s="153"/>
      <c r="G9" s="33" t="s">
        <v>82</v>
      </c>
      <c r="H9" s="33" t="s">
        <v>82</v>
      </c>
      <c r="I9" s="33" t="s">
        <v>82</v>
      </c>
      <c r="J9" s="33" t="s">
        <v>82</v>
      </c>
      <c r="K9" s="153"/>
    </row>
  </sheetData>
  <mergeCells count="17">
    <mergeCell ref="B7:B8"/>
    <mergeCell ref="G7:G8"/>
    <mergeCell ref="A1:K1"/>
    <mergeCell ref="A2:K2"/>
    <mergeCell ref="A3:K3"/>
    <mergeCell ref="C7:C8"/>
    <mergeCell ref="D7:D8"/>
    <mergeCell ref="E7:E8"/>
    <mergeCell ref="H7:H8"/>
    <mergeCell ref="I7:I8"/>
    <mergeCell ref="J7:J8"/>
    <mergeCell ref="A4:K4"/>
    <mergeCell ref="C6:F6"/>
    <mergeCell ref="H6:K6"/>
    <mergeCell ref="A7:A9"/>
    <mergeCell ref="K7:K9"/>
    <mergeCell ref="F7:F9"/>
  </mergeCells>
  <pageMargins left="0.7" right="0.7" top="0.75" bottom="0.75" header="0.3" footer="0.3"/>
  <pageSetup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F17"/>
  <sheetViews>
    <sheetView rightToLeft="1" tabSelected="1" view="pageBreakPreview" zoomScaleNormal="100" zoomScaleSheetLayoutView="100" workbookViewId="0">
      <selection activeCell="A19" sqref="A19:K24"/>
    </sheetView>
  </sheetViews>
  <sheetFormatPr defaultColWidth="9.125" defaultRowHeight="15.75"/>
  <cols>
    <col min="1" max="1" width="9.875" style="6" bestFit="1" customWidth="1"/>
    <col min="2" max="2" width="20.25" style="6" bestFit="1" customWidth="1"/>
    <col min="3" max="3" width="9.5" style="55" bestFit="1" customWidth="1"/>
    <col min="4" max="4" width="20.25" style="6" bestFit="1" customWidth="1"/>
    <col min="5" max="5" width="9.5" style="55" bestFit="1" customWidth="1"/>
    <col min="6" max="16384" width="9.125" style="6"/>
  </cols>
  <sheetData>
    <row r="1" spans="1:6" ht="21">
      <c r="A1" s="109" t="s">
        <v>113</v>
      </c>
      <c r="B1" s="109"/>
      <c r="C1" s="109"/>
      <c r="D1" s="109"/>
      <c r="E1" s="109"/>
    </row>
    <row r="2" spans="1:6" ht="21">
      <c r="A2" s="109" t="s">
        <v>79</v>
      </c>
      <c r="B2" s="109"/>
      <c r="C2" s="109"/>
      <c r="D2" s="109"/>
      <c r="E2" s="109"/>
    </row>
    <row r="3" spans="1:6" ht="21">
      <c r="A3" s="109" t="s">
        <v>115</v>
      </c>
      <c r="B3" s="109"/>
      <c r="C3" s="109"/>
      <c r="D3" s="109"/>
      <c r="E3" s="109"/>
    </row>
    <row r="4" spans="1:6" ht="21">
      <c r="A4" s="116" t="s">
        <v>449</v>
      </c>
      <c r="B4" s="116"/>
      <c r="C4" s="116"/>
      <c r="D4" s="116"/>
      <c r="E4" s="116"/>
    </row>
    <row r="5" spans="1:6" ht="16.5" thickBot="1">
      <c r="A5" s="28"/>
      <c r="B5" s="28"/>
      <c r="C5" s="69"/>
      <c r="D5" s="28"/>
      <c r="E5" s="69"/>
    </row>
    <row r="6" spans="1:6" ht="37.5" customHeight="1" thickBot="1">
      <c r="A6" s="30" t="s">
        <v>24</v>
      </c>
      <c r="B6" s="160" t="s">
        <v>109</v>
      </c>
      <c r="C6" s="160"/>
      <c r="D6" s="161" t="s">
        <v>116</v>
      </c>
      <c r="E6" s="161"/>
      <c r="F6" s="26"/>
    </row>
    <row r="7" spans="1:6" ht="59.25" customHeight="1">
      <c r="A7" s="32" t="s">
        <v>20</v>
      </c>
      <c r="B7" s="23" t="s">
        <v>21</v>
      </c>
      <c r="C7" s="90" t="s">
        <v>22</v>
      </c>
      <c r="D7" s="23" t="s">
        <v>21</v>
      </c>
      <c r="E7" s="90" t="s">
        <v>22</v>
      </c>
      <c r="F7" s="31"/>
    </row>
    <row r="8" spans="1:6">
      <c r="A8" s="9" t="s">
        <v>117</v>
      </c>
      <c r="B8" s="9">
        <v>63126</v>
      </c>
      <c r="C8" s="53">
        <f>B8/$B$14</f>
        <v>7.99046679059928E-5</v>
      </c>
      <c r="D8" s="9">
        <v>382530</v>
      </c>
      <c r="E8" s="53">
        <f>D8/$D$14</f>
        <v>7.8226734820957682E-5</v>
      </c>
    </row>
    <row r="9" spans="1:6">
      <c r="A9" s="9" t="s">
        <v>118</v>
      </c>
      <c r="B9" s="9">
        <v>29068</v>
      </c>
      <c r="C9" s="53">
        <f t="shared" ref="C9:C12" si="0">B9/$B$14</f>
        <v>3.6794171762687305E-5</v>
      </c>
      <c r="D9" s="9">
        <v>123458</v>
      </c>
      <c r="E9" s="53">
        <f t="shared" ref="E9:E13" si="1">D9/$D$14</f>
        <v>2.5246951160760707E-5</v>
      </c>
    </row>
    <row r="10" spans="1:6">
      <c r="A10" s="9" t="s">
        <v>119</v>
      </c>
      <c r="B10" s="9">
        <v>3732</v>
      </c>
      <c r="C10" s="53">
        <f t="shared" si="0"/>
        <v>4.7239524225384965E-6</v>
      </c>
      <c r="D10" s="9">
        <v>6829014</v>
      </c>
      <c r="E10" s="53">
        <f t="shared" si="1"/>
        <v>1.3965217558534167E-3</v>
      </c>
    </row>
    <row r="11" spans="1:6">
      <c r="A11" s="9" t="s">
        <v>120</v>
      </c>
      <c r="B11" s="9">
        <v>789507957</v>
      </c>
      <c r="C11" s="53">
        <f t="shared" si="0"/>
        <v>0.99935638426676554</v>
      </c>
      <c r="D11" s="9">
        <v>4879334003</v>
      </c>
      <c r="E11" s="53">
        <f t="shared" si="1"/>
        <v>0.99781551030131732</v>
      </c>
    </row>
    <row r="12" spans="1:6">
      <c r="A12" s="9" t="s">
        <v>121</v>
      </c>
      <c r="B12" s="9">
        <v>412541</v>
      </c>
      <c r="C12" s="53">
        <f t="shared" si="0"/>
        <v>5.2219294114320839E-4</v>
      </c>
      <c r="D12" s="9">
        <v>3344087</v>
      </c>
      <c r="E12" s="53">
        <f t="shared" si="1"/>
        <v>6.8386010761825708E-4</v>
      </c>
    </row>
    <row r="13" spans="1:6">
      <c r="A13" s="9" t="s">
        <v>122</v>
      </c>
      <c r="C13" s="53">
        <f>B13/$B$14</f>
        <v>0</v>
      </c>
      <c r="D13" s="9">
        <v>3101</v>
      </c>
      <c r="E13" s="53">
        <f t="shared" si="1"/>
        <v>6.341492292886565E-7</v>
      </c>
    </row>
    <row r="14" spans="1:6" ht="16.5" thickBot="1">
      <c r="A14" s="52" t="s">
        <v>2</v>
      </c>
      <c r="B14" s="52">
        <f>SUM(B8:B13)</f>
        <v>790016424</v>
      </c>
      <c r="C14" s="87">
        <f>SUM(C8:C13)</f>
        <v>1</v>
      </c>
      <c r="D14" s="52">
        <f>SUM(D8:D13)</f>
        <v>4890016193</v>
      </c>
      <c r="E14" s="87">
        <f>SUM(E8:E13)</f>
        <v>0.99999999999999989</v>
      </c>
    </row>
    <row r="15" spans="1:6" ht="16.5" thickTop="1"/>
    <row r="17" spans="4:4">
      <c r="D17" s="56"/>
    </row>
  </sheetData>
  <mergeCells count="6">
    <mergeCell ref="B6:C6"/>
    <mergeCell ref="A4:E4"/>
    <mergeCell ref="D6:E6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C10"/>
  <sheetViews>
    <sheetView rightToLeft="1" tabSelected="1" view="pageBreakPreview" zoomScaleNormal="100" zoomScaleSheetLayoutView="100" workbookViewId="0">
      <selection activeCell="A19" sqref="A19:K24"/>
    </sheetView>
  </sheetViews>
  <sheetFormatPr defaultRowHeight="18"/>
  <cols>
    <col min="1" max="3" width="24" style="10" customWidth="1"/>
    <col min="4" max="16384" width="9" style="10"/>
  </cols>
  <sheetData>
    <row r="1" spans="1:3">
      <c r="A1" s="162" t="s">
        <v>113</v>
      </c>
      <c r="B1" s="162"/>
      <c r="C1" s="162"/>
    </row>
    <row r="2" spans="1:3">
      <c r="A2" s="162" t="s">
        <v>79</v>
      </c>
      <c r="B2" s="162"/>
      <c r="C2" s="162"/>
    </row>
    <row r="3" spans="1:3">
      <c r="A3" s="162" t="s">
        <v>115</v>
      </c>
      <c r="B3" s="162"/>
      <c r="C3" s="162"/>
    </row>
    <row r="4" spans="1:3" ht="21">
      <c r="A4" s="116" t="s">
        <v>450</v>
      </c>
      <c r="B4" s="116"/>
      <c r="C4" s="116"/>
    </row>
    <row r="5" spans="1:3" ht="18.75" thickBot="1">
      <c r="A5" s="22"/>
      <c r="B5" s="27" t="s">
        <v>109</v>
      </c>
      <c r="C5" s="27" t="s">
        <v>116</v>
      </c>
    </row>
    <row r="6" spans="1:3" ht="16.5" customHeight="1">
      <c r="A6" s="158" t="s">
        <v>36</v>
      </c>
      <c r="B6" s="154" t="s">
        <v>6</v>
      </c>
      <c r="C6" s="154" t="s">
        <v>6</v>
      </c>
    </row>
    <row r="7" spans="1:3" ht="18.75" thickBot="1">
      <c r="A7" s="159"/>
      <c r="B7" s="153"/>
      <c r="C7" s="153"/>
    </row>
    <row r="8" spans="1:3">
      <c r="A8" s="9" t="s">
        <v>123</v>
      </c>
      <c r="B8" s="9">
        <v>-8134</v>
      </c>
      <c r="C8" s="9">
        <v>-3469</v>
      </c>
    </row>
    <row r="9" spans="1:3" ht="18.75" thickBot="1">
      <c r="A9" s="52" t="s">
        <v>2</v>
      </c>
      <c r="B9" s="52">
        <f>SUM(B8:B8)</f>
        <v>-8134</v>
      </c>
      <c r="C9" s="52">
        <f>SUM(C8:C8)</f>
        <v>-3469</v>
      </c>
    </row>
    <row r="10" spans="1:3" ht="18.75" thickTop="1"/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M182"/>
  <sheetViews>
    <sheetView rightToLeft="1" tabSelected="1" view="pageBreakPreview" topLeftCell="A158" zoomScale="98" zoomScaleNormal="100" zoomScaleSheetLayoutView="98" workbookViewId="0">
      <selection activeCell="A19" sqref="A19:K24"/>
    </sheetView>
  </sheetViews>
  <sheetFormatPr defaultColWidth="9.125" defaultRowHeight="15.75"/>
  <cols>
    <col min="1" max="1" width="19.5" style="6" bestFit="1" customWidth="1"/>
    <col min="2" max="2" width="10.625" style="6" bestFit="1" customWidth="1"/>
    <col min="3" max="3" width="17.625" style="6" bestFit="1" customWidth="1"/>
    <col min="4" max="4" width="12" style="6" bestFit="1" customWidth="1"/>
    <col min="5" max="5" width="11.875" style="6" bestFit="1" customWidth="1"/>
    <col min="6" max="6" width="10.5" style="6" bestFit="1" customWidth="1"/>
    <col min="7" max="7" width="12.375" style="6" bestFit="1" customWidth="1"/>
    <col min="8" max="8" width="11.875" style="6" bestFit="1" customWidth="1"/>
    <col min="9" max="9" width="11.25" style="6" bestFit="1" customWidth="1"/>
    <col min="10" max="10" width="12.375" style="6" bestFit="1" customWidth="1"/>
    <col min="11" max="16384" width="9.125" style="6"/>
  </cols>
  <sheetData>
    <row r="1" spans="1:13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3" ht="21">
      <c r="A2" s="109" t="s">
        <v>79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3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  <c r="J3" s="109"/>
    </row>
    <row r="4" spans="1:13" ht="21">
      <c r="A4" s="116" t="s">
        <v>15</v>
      </c>
      <c r="B4" s="116"/>
      <c r="C4" s="116"/>
      <c r="D4" s="116"/>
      <c r="E4" s="116"/>
      <c r="F4" s="116"/>
      <c r="G4" s="116"/>
      <c r="H4" s="116"/>
      <c r="I4" s="116"/>
      <c r="J4" s="116"/>
      <c r="K4" s="20"/>
      <c r="L4" s="20"/>
      <c r="M4" s="20"/>
    </row>
    <row r="5" spans="1:13" ht="16.5" customHeight="1" thickBot="1">
      <c r="B5" s="120" t="s">
        <v>61</v>
      </c>
      <c r="C5" s="120"/>
      <c r="D5" s="120"/>
      <c r="E5" s="153" t="s">
        <v>109</v>
      </c>
      <c r="F5" s="153"/>
      <c r="G5" s="153"/>
      <c r="H5" s="153" t="s">
        <v>116</v>
      </c>
      <c r="I5" s="153"/>
      <c r="J5" s="153"/>
      <c r="K5" s="26"/>
      <c r="L5" s="26"/>
      <c r="M5" s="26"/>
    </row>
    <row r="6" spans="1:13" s="19" customFormat="1" ht="47.25" customHeight="1" thickBot="1">
      <c r="A6" s="24" t="s">
        <v>40</v>
      </c>
      <c r="B6" s="25" t="s">
        <v>55</v>
      </c>
      <c r="C6" s="25" t="s">
        <v>60</v>
      </c>
      <c r="D6" s="25" t="s">
        <v>56</v>
      </c>
      <c r="E6" s="25" t="s">
        <v>57</v>
      </c>
      <c r="F6" s="25" t="s">
        <v>58</v>
      </c>
      <c r="G6" s="25" t="s">
        <v>59</v>
      </c>
      <c r="H6" s="25" t="s">
        <v>57</v>
      </c>
      <c r="I6" s="25" t="s">
        <v>58</v>
      </c>
      <c r="J6" s="25" t="s">
        <v>59</v>
      </c>
    </row>
    <row r="7" spans="1:13" ht="21.75" customHeight="1">
      <c r="A7" s="9" t="s">
        <v>181</v>
      </c>
      <c r="B7" s="9" t="s">
        <v>124</v>
      </c>
      <c r="C7" s="9">
        <v>6927544</v>
      </c>
      <c r="D7" s="9">
        <v>57</v>
      </c>
      <c r="E7" s="9">
        <v>394870008</v>
      </c>
      <c r="F7" s="9">
        <v>-22447391</v>
      </c>
      <c r="G7" s="9">
        <v>372422617</v>
      </c>
      <c r="H7" s="9">
        <v>394870008</v>
      </c>
      <c r="I7" s="9">
        <v>-22447391</v>
      </c>
      <c r="J7" s="9">
        <v>372422617</v>
      </c>
    </row>
    <row r="8" spans="1:13" ht="21.75" customHeight="1">
      <c r="A8" s="9" t="s">
        <v>264</v>
      </c>
      <c r="B8" s="9" t="s">
        <v>365</v>
      </c>
      <c r="C8" s="9">
        <v>5542935</v>
      </c>
      <c r="D8" s="9">
        <v>1000</v>
      </c>
      <c r="H8" s="9">
        <v>5542935000</v>
      </c>
      <c r="I8" s="9">
        <v>-60086016</v>
      </c>
      <c r="J8" s="9">
        <v>5482848984</v>
      </c>
    </row>
    <row r="9" spans="1:13" ht="21.75" customHeight="1">
      <c r="A9" s="9" t="s">
        <v>292</v>
      </c>
      <c r="B9" s="9" t="s">
        <v>366</v>
      </c>
      <c r="C9" s="9">
        <v>158909</v>
      </c>
      <c r="D9" s="9">
        <v>1640</v>
      </c>
      <c r="H9" s="9">
        <v>260610760</v>
      </c>
      <c r="I9" s="9">
        <v>-10780353</v>
      </c>
      <c r="J9" s="9">
        <v>249830407</v>
      </c>
    </row>
    <row r="10" spans="1:13" ht="21.75" customHeight="1">
      <c r="A10" s="9" t="s">
        <v>268</v>
      </c>
      <c r="B10" s="9" t="s">
        <v>367</v>
      </c>
      <c r="C10" s="9">
        <v>4862943</v>
      </c>
      <c r="D10" s="9">
        <v>800</v>
      </c>
      <c r="H10" s="9">
        <v>3890354400</v>
      </c>
      <c r="I10" s="9">
        <v>-83439236</v>
      </c>
      <c r="J10" s="9">
        <v>3806915164</v>
      </c>
    </row>
    <row r="11" spans="1:13" ht="21.75" customHeight="1">
      <c r="A11" s="9" t="s">
        <v>362</v>
      </c>
      <c r="B11" s="9" t="s">
        <v>368</v>
      </c>
      <c r="C11" s="9">
        <v>50000</v>
      </c>
      <c r="D11" s="9">
        <v>1870</v>
      </c>
      <c r="H11" s="9">
        <v>93500000</v>
      </c>
      <c r="I11" s="9">
        <v>-4452381</v>
      </c>
      <c r="J11" s="9">
        <v>89047619</v>
      </c>
    </row>
    <row r="12" spans="1:13" ht="21.75" customHeight="1">
      <c r="A12" s="9" t="s">
        <v>325</v>
      </c>
      <c r="B12" s="9" t="s">
        <v>369</v>
      </c>
      <c r="C12" s="9">
        <v>3814542</v>
      </c>
      <c r="D12" s="9">
        <v>762</v>
      </c>
      <c r="H12" s="9">
        <v>2906681004</v>
      </c>
      <c r="I12" s="9">
        <v>-138413381</v>
      </c>
      <c r="J12" s="9">
        <v>2768267623</v>
      </c>
    </row>
    <row r="13" spans="1:13" ht="21.75" customHeight="1">
      <c r="A13" s="9" t="s">
        <v>222</v>
      </c>
      <c r="B13" s="9" t="s">
        <v>370</v>
      </c>
      <c r="C13" s="9">
        <v>10724125</v>
      </c>
      <c r="D13" s="9">
        <v>810</v>
      </c>
      <c r="H13" s="9">
        <v>8686541250</v>
      </c>
      <c r="I13" s="9">
        <v>0</v>
      </c>
      <c r="J13" s="9">
        <v>8686541250</v>
      </c>
    </row>
    <row r="14" spans="1:13" ht="21.75" customHeight="1">
      <c r="A14" s="9" t="s">
        <v>211</v>
      </c>
      <c r="B14" s="9" t="s">
        <v>367</v>
      </c>
      <c r="C14" s="9">
        <v>8948358</v>
      </c>
      <c r="D14" s="9">
        <v>126</v>
      </c>
      <c r="H14" s="9">
        <v>1127493108</v>
      </c>
      <c r="I14" s="9">
        <v>0</v>
      </c>
      <c r="J14" s="9">
        <v>1127493108</v>
      </c>
    </row>
    <row r="15" spans="1:13" ht="21.75" customHeight="1">
      <c r="A15" s="9" t="s">
        <v>223</v>
      </c>
      <c r="B15" s="9" t="s">
        <v>371</v>
      </c>
      <c r="C15" s="9">
        <v>8421427</v>
      </c>
      <c r="D15" s="9">
        <v>180</v>
      </c>
      <c r="H15" s="9">
        <v>1515856860</v>
      </c>
      <c r="I15" s="9">
        <v>-25519476</v>
      </c>
      <c r="J15" s="9">
        <v>1490337384</v>
      </c>
    </row>
    <row r="16" spans="1:13" ht="21.75" customHeight="1">
      <c r="A16" s="9" t="s">
        <v>144</v>
      </c>
      <c r="B16" s="9" t="s">
        <v>372</v>
      </c>
      <c r="C16" s="9">
        <v>1505609</v>
      </c>
      <c r="D16" s="9">
        <v>1910</v>
      </c>
      <c r="H16" s="9">
        <v>2875713190</v>
      </c>
      <c r="I16" s="9">
        <v>-104398829</v>
      </c>
      <c r="J16" s="9">
        <v>2771314361</v>
      </c>
    </row>
    <row r="17" spans="1:10" ht="21.75" customHeight="1">
      <c r="A17" s="9" t="s">
        <v>186</v>
      </c>
      <c r="B17" s="9" t="s">
        <v>373</v>
      </c>
      <c r="C17" s="9">
        <v>10003637</v>
      </c>
      <c r="D17" s="9">
        <v>260</v>
      </c>
      <c r="E17" s="9">
        <v>2600945620</v>
      </c>
      <c r="F17" s="9">
        <v>-152602225</v>
      </c>
      <c r="G17" s="9">
        <v>2448343395</v>
      </c>
      <c r="H17" s="9">
        <v>2600945620</v>
      </c>
      <c r="I17" s="9">
        <v>-152602225</v>
      </c>
      <c r="J17" s="9">
        <v>2448343395</v>
      </c>
    </row>
    <row r="18" spans="1:10" ht="21.75" customHeight="1">
      <c r="A18" s="9" t="s">
        <v>164</v>
      </c>
      <c r="B18" s="9" t="s">
        <v>374</v>
      </c>
      <c r="C18" s="9">
        <v>28071939</v>
      </c>
      <c r="D18" s="9">
        <v>210</v>
      </c>
      <c r="H18" s="9">
        <v>5895107190</v>
      </c>
      <c r="I18" s="9">
        <v>-313488190</v>
      </c>
      <c r="J18" s="9">
        <v>5581619000</v>
      </c>
    </row>
    <row r="19" spans="1:10" ht="21.75" customHeight="1">
      <c r="A19" s="9" t="s">
        <v>271</v>
      </c>
      <c r="B19" s="9" t="s">
        <v>370</v>
      </c>
      <c r="C19" s="9">
        <v>1750000</v>
      </c>
      <c r="D19" s="9">
        <v>570</v>
      </c>
      <c r="H19" s="9">
        <v>997500000</v>
      </c>
      <c r="I19" s="9">
        <v>-38112648</v>
      </c>
      <c r="J19" s="9">
        <v>959387352</v>
      </c>
    </row>
    <row r="20" spans="1:10" ht="21.75" customHeight="1">
      <c r="A20" s="9" t="s">
        <v>375</v>
      </c>
      <c r="B20" s="9" t="s">
        <v>124</v>
      </c>
      <c r="C20" s="9">
        <v>31353305</v>
      </c>
      <c r="D20" s="9">
        <v>50</v>
      </c>
      <c r="E20" s="9">
        <v>1567665250</v>
      </c>
      <c r="F20" s="9">
        <v>0</v>
      </c>
      <c r="G20" s="9">
        <v>1567665250</v>
      </c>
      <c r="H20" s="9">
        <v>1567665250</v>
      </c>
      <c r="I20" s="9">
        <v>0</v>
      </c>
      <c r="J20" s="9">
        <v>1567665250</v>
      </c>
    </row>
    <row r="21" spans="1:10" ht="21.75" customHeight="1">
      <c r="A21" s="9" t="s">
        <v>131</v>
      </c>
      <c r="B21" s="9" t="s">
        <v>124</v>
      </c>
      <c r="C21" s="9">
        <v>36217996</v>
      </c>
      <c r="D21" s="9">
        <v>9</v>
      </c>
      <c r="E21" s="9">
        <v>325961964</v>
      </c>
      <c r="F21" s="9">
        <v>0</v>
      </c>
      <c r="G21" s="9">
        <v>325961964</v>
      </c>
      <c r="H21" s="9">
        <v>325961964</v>
      </c>
      <c r="I21" s="9">
        <v>0</v>
      </c>
      <c r="J21" s="9">
        <v>325961964</v>
      </c>
    </row>
    <row r="22" spans="1:10" ht="21.75" customHeight="1">
      <c r="A22" s="9" t="s">
        <v>231</v>
      </c>
      <c r="B22" s="9" t="s">
        <v>124</v>
      </c>
      <c r="C22" s="9">
        <v>6800000</v>
      </c>
      <c r="D22" s="9">
        <v>166</v>
      </c>
      <c r="E22" s="9">
        <v>1128800000</v>
      </c>
      <c r="F22" s="9">
        <v>0</v>
      </c>
      <c r="G22" s="9">
        <v>1128800000</v>
      </c>
      <c r="H22" s="9">
        <v>1128800000</v>
      </c>
      <c r="I22" s="9">
        <v>0</v>
      </c>
      <c r="J22" s="9">
        <v>1128800000</v>
      </c>
    </row>
    <row r="23" spans="1:10" ht="21.75" customHeight="1">
      <c r="A23" s="9" t="s">
        <v>142</v>
      </c>
      <c r="B23" s="9" t="s">
        <v>124</v>
      </c>
      <c r="C23" s="9">
        <v>6075143</v>
      </c>
      <c r="D23" s="9">
        <v>125</v>
      </c>
      <c r="E23" s="9">
        <v>759392875</v>
      </c>
      <c r="F23" s="9">
        <v>0</v>
      </c>
      <c r="G23" s="9">
        <v>759392875</v>
      </c>
      <c r="H23" s="9">
        <v>759392875</v>
      </c>
      <c r="I23" s="9">
        <v>0</v>
      </c>
      <c r="J23" s="9">
        <v>759392875</v>
      </c>
    </row>
    <row r="24" spans="1:10" ht="21.75" customHeight="1">
      <c r="A24" s="9" t="s">
        <v>233</v>
      </c>
      <c r="B24" s="9" t="s">
        <v>124</v>
      </c>
      <c r="C24" s="9">
        <v>43696139</v>
      </c>
      <c r="D24" s="9">
        <v>46</v>
      </c>
      <c r="E24" s="9">
        <v>2010022394</v>
      </c>
      <c r="F24" s="9">
        <v>0</v>
      </c>
      <c r="G24" s="9">
        <v>2010022394</v>
      </c>
      <c r="H24" s="9">
        <v>2010022394</v>
      </c>
      <c r="I24" s="9">
        <v>0</v>
      </c>
      <c r="J24" s="9">
        <v>2010022394</v>
      </c>
    </row>
    <row r="25" spans="1:10" ht="21.75" customHeight="1">
      <c r="A25" s="9" t="s">
        <v>166</v>
      </c>
      <c r="B25" s="9" t="s">
        <v>376</v>
      </c>
      <c r="C25" s="9">
        <v>14703159</v>
      </c>
      <c r="D25" s="9">
        <v>424</v>
      </c>
      <c r="H25" s="9">
        <v>6234139416</v>
      </c>
      <c r="I25" s="9">
        <v>-365768335</v>
      </c>
      <c r="J25" s="9">
        <v>5868371081</v>
      </c>
    </row>
    <row r="26" spans="1:10" ht="21.75" customHeight="1">
      <c r="A26" s="9" t="s">
        <v>143</v>
      </c>
      <c r="B26" s="9" t="s">
        <v>377</v>
      </c>
      <c r="C26" s="9">
        <v>16845192</v>
      </c>
      <c r="D26" s="9">
        <v>290</v>
      </c>
      <c r="H26" s="9">
        <v>4885105680</v>
      </c>
      <c r="I26" s="9">
        <v>-202075941</v>
      </c>
      <c r="J26" s="9">
        <v>4683029739</v>
      </c>
    </row>
    <row r="27" spans="1:10" ht="21.75" customHeight="1">
      <c r="A27" s="9" t="s">
        <v>340</v>
      </c>
      <c r="B27" s="9" t="s">
        <v>376</v>
      </c>
      <c r="C27" s="9">
        <v>9210264</v>
      </c>
      <c r="D27" s="9">
        <v>161</v>
      </c>
      <c r="H27" s="9">
        <v>1482852504</v>
      </c>
      <c r="I27" s="9">
        <v>-22012655</v>
      </c>
      <c r="J27" s="9">
        <v>1460839849</v>
      </c>
    </row>
    <row r="28" spans="1:10" ht="21.75" customHeight="1">
      <c r="A28" s="9" t="s">
        <v>193</v>
      </c>
      <c r="B28" s="9" t="s">
        <v>124</v>
      </c>
      <c r="C28" s="9">
        <v>16851248</v>
      </c>
      <c r="D28" s="9">
        <v>120</v>
      </c>
      <c r="E28" s="9">
        <v>2022149760</v>
      </c>
      <c r="F28" s="9">
        <v>0</v>
      </c>
      <c r="G28" s="9">
        <v>2022149760</v>
      </c>
      <c r="H28" s="9">
        <v>2022149760</v>
      </c>
      <c r="I28" s="9">
        <v>0</v>
      </c>
      <c r="J28" s="9">
        <v>2022149760</v>
      </c>
    </row>
    <row r="29" spans="1:10" ht="21.75" customHeight="1">
      <c r="A29" s="9" t="s">
        <v>378</v>
      </c>
      <c r="B29" s="9" t="s">
        <v>379</v>
      </c>
      <c r="C29" s="9">
        <v>2875000</v>
      </c>
      <c r="D29" s="9">
        <v>116</v>
      </c>
      <c r="H29" s="9">
        <v>333500000</v>
      </c>
      <c r="I29" s="9">
        <v>0</v>
      </c>
      <c r="J29" s="9">
        <v>333500000</v>
      </c>
    </row>
    <row r="30" spans="1:10" ht="21.75" customHeight="1">
      <c r="A30" s="9" t="s">
        <v>380</v>
      </c>
      <c r="B30" s="9" t="s">
        <v>367</v>
      </c>
      <c r="C30" s="9">
        <v>6000000</v>
      </c>
      <c r="D30" s="9">
        <v>110</v>
      </c>
      <c r="E30" s="9">
        <v>660000000</v>
      </c>
      <c r="F30" s="9">
        <v>0</v>
      </c>
      <c r="G30" s="9">
        <v>660000000</v>
      </c>
      <c r="H30" s="9">
        <v>660000000</v>
      </c>
      <c r="I30" s="9">
        <v>0</v>
      </c>
      <c r="J30" s="9">
        <v>660000000</v>
      </c>
    </row>
    <row r="31" spans="1:10" ht="21.75" customHeight="1">
      <c r="A31" s="9" t="s">
        <v>127</v>
      </c>
      <c r="B31" s="9" t="s">
        <v>381</v>
      </c>
      <c r="C31" s="9">
        <v>9863245</v>
      </c>
      <c r="D31" s="9">
        <v>240</v>
      </c>
      <c r="H31" s="9">
        <v>2367178800</v>
      </c>
      <c r="I31" s="9">
        <v>0</v>
      </c>
      <c r="J31" s="9">
        <v>2367178800</v>
      </c>
    </row>
    <row r="32" spans="1:10" ht="21.75" customHeight="1">
      <c r="A32" s="9" t="s">
        <v>346</v>
      </c>
      <c r="B32" s="9" t="s">
        <v>382</v>
      </c>
      <c r="C32" s="9">
        <v>3665469</v>
      </c>
      <c r="D32" s="9">
        <v>615</v>
      </c>
      <c r="H32" s="9">
        <v>2254263435</v>
      </c>
      <c r="I32" s="9">
        <v>0</v>
      </c>
      <c r="J32" s="9">
        <v>2254263435</v>
      </c>
    </row>
    <row r="33" spans="1:10" ht="21.75" customHeight="1">
      <c r="A33" s="9" t="s">
        <v>246</v>
      </c>
      <c r="B33" s="9" t="s">
        <v>381</v>
      </c>
      <c r="C33" s="9">
        <v>29417878</v>
      </c>
      <c r="D33" s="9">
        <v>390</v>
      </c>
      <c r="H33" s="9">
        <v>11472972420</v>
      </c>
      <c r="I33" s="9">
        <v>0</v>
      </c>
      <c r="J33" s="9">
        <v>11472972420</v>
      </c>
    </row>
    <row r="34" spans="1:10" ht="21.75" customHeight="1">
      <c r="A34" s="9" t="s">
        <v>209</v>
      </c>
      <c r="B34" s="9" t="s">
        <v>383</v>
      </c>
      <c r="C34" s="9">
        <v>5838695</v>
      </c>
      <c r="D34" s="9">
        <v>850</v>
      </c>
      <c r="H34" s="9">
        <v>4962890750</v>
      </c>
      <c r="I34" s="9">
        <v>-67066091</v>
      </c>
      <c r="J34" s="9">
        <v>4895824659</v>
      </c>
    </row>
    <row r="35" spans="1:10" ht="21.75" customHeight="1">
      <c r="A35" s="9" t="s">
        <v>237</v>
      </c>
      <c r="B35" s="9" t="s">
        <v>384</v>
      </c>
      <c r="C35" s="9">
        <v>5516183</v>
      </c>
      <c r="D35" s="9">
        <v>270</v>
      </c>
      <c r="H35" s="9">
        <v>1489369410</v>
      </c>
      <c r="I35" s="9">
        <v>0</v>
      </c>
      <c r="J35" s="9">
        <v>1489369410</v>
      </c>
    </row>
    <row r="36" spans="1:10" ht="21.75" customHeight="1">
      <c r="A36" s="9" t="s">
        <v>385</v>
      </c>
      <c r="B36" s="9" t="s">
        <v>368</v>
      </c>
      <c r="C36" s="9">
        <v>14328056</v>
      </c>
      <c r="D36" s="9">
        <v>215</v>
      </c>
      <c r="H36" s="9">
        <v>3080532040</v>
      </c>
      <c r="I36" s="9">
        <v>-125488165</v>
      </c>
      <c r="J36" s="9">
        <v>2955043875</v>
      </c>
    </row>
    <row r="37" spans="1:10" ht="21.75" customHeight="1">
      <c r="A37" s="9" t="s">
        <v>151</v>
      </c>
      <c r="B37" s="9" t="s">
        <v>383</v>
      </c>
      <c r="C37" s="9">
        <v>13400000</v>
      </c>
      <c r="D37" s="9">
        <v>330</v>
      </c>
      <c r="H37" s="9">
        <v>4422000000</v>
      </c>
      <c r="I37" s="9">
        <v>-259446809</v>
      </c>
      <c r="J37" s="9">
        <v>4162553191</v>
      </c>
    </row>
    <row r="38" spans="1:10" ht="21.75" customHeight="1">
      <c r="A38" s="9" t="s">
        <v>251</v>
      </c>
      <c r="B38" s="9" t="s">
        <v>386</v>
      </c>
      <c r="C38" s="9">
        <v>7357161</v>
      </c>
      <c r="D38" s="9">
        <v>1000</v>
      </c>
      <c r="H38" s="9">
        <v>7357161000</v>
      </c>
      <c r="I38" s="9">
        <v>0</v>
      </c>
      <c r="J38" s="9">
        <v>7357161000</v>
      </c>
    </row>
    <row r="39" spans="1:10" ht="21.75" customHeight="1">
      <c r="A39" s="9" t="s">
        <v>338</v>
      </c>
      <c r="B39" s="9" t="s">
        <v>387</v>
      </c>
      <c r="C39" s="9">
        <v>285750</v>
      </c>
      <c r="D39" s="9">
        <v>4000</v>
      </c>
      <c r="H39" s="9">
        <v>1143000000</v>
      </c>
      <c r="I39" s="9">
        <v>0</v>
      </c>
      <c r="J39" s="9">
        <v>1143000000</v>
      </c>
    </row>
    <row r="40" spans="1:10" ht="21.75" customHeight="1">
      <c r="A40" s="9" t="s">
        <v>323</v>
      </c>
      <c r="B40" s="9" t="s">
        <v>382</v>
      </c>
      <c r="C40" s="9">
        <v>11278863</v>
      </c>
      <c r="D40" s="9">
        <v>160</v>
      </c>
      <c r="H40" s="9">
        <v>1804618080</v>
      </c>
      <c r="I40" s="9">
        <v>0</v>
      </c>
      <c r="J40" s="9">
        <v>1804618080</v>
      </c>
    </row>
    <row r="41" spans="1:10" ht="21.75" customHeight="1">
      <c r="A41" s="9" t="s">
        <v>201</v>
      </c>
      <c r="B41" s="9" t="s">
        <v>388</v>
      </c>
      <c r="C41" s="9">
        <v>1648155</v>
      </c>
      <c r="D41" s="9">
        <v>1000</v>
      </c>
      <c r="H41" s="9">
        <v>1648155000</v>
      </c>
      <c r="I41" s="9">
        <v>-34267475</v>
      </c>
      <c r="J41" s="9">
        <v>1613887525</v>
      </c>
    </row>
    <row r="42" spans="1:10" ht="21.75" customHeight="1">
      <c r="A42" s="9" t="s">
        <v>337</v>
      </c>
      <c r="B42" s="9" t="s">
        <v>389</v>
      </c>
      <c r="C42" s="9">
        <v>250000</v>
      </c>
      <c r="D42" s="9">
        <v>750</v>
      </c>
      <c r="H42" s="9">
        <v>187500000</v>
      </c>
      <c r="I42" s="9">
        <v>0</v>
      </c>
      <c r="J42" s="9">
        <v>187500000</v>
      </c>
    </row>
    <row r="43" spans="1:10" ht="21.75" customHeight="1">
      <c r="A43" s="9" t="s">
        <v>390</v>
      </c>
      <c r="B43" s="9" t="s">
        <v>371</v>
      </c>
      <c r="C43" s="9">
        <v>3860139</v>
      </c>
      <c r="D43" s="9">
        <v>240</v>
      </c>
      <c r="H43" s="9">
        <v>926433360</v>
      </c>
      <c r="I43" s="9">
        <v>-6927782</v>
      </c>
      <c r="J43" s="9">
        <v>919505578</v>
      </c>
    </row>
    <row r="44" spans="1:10" ht="21.75" customHeight="1">
      <c r="A44" s="9" t="s">
        <v>170</v>
      </c>
      <c r="B44" s="9" t="s">
        <v>391</v>
      </c>
      <c r="C44" s="9">
        <v>189400</v>
      </c>
      <c r="D44" s="9">
        <v>16600</v>
      </c>
      <c r="H44" s="9">
        <v>3144040000</v>
      </c>
      <c r="I44" s="9">
        <v>-184466564</v>
      </c>
      <c r="J44" s="9">
        <v>2959573436</v>
      </c>
    </row>
    <row r="45" spans="1:10" ht="21.75" customHeight="1">
      <c r="A45" s="9" t="s">
        <v>234</v>
      </c>
      <c r="B45" s="9" t="s">
        <v>391</v>
      </c>
      <c r="C45" s="9">
        <v>3535701</v>
      </c>
      <c r="D45" s="9">
        <v>1600</v>
      </c>
      <c r="H45" s="9">
        <v>5657121600</v>
      </c>
      <c r="I45" s="9">
        <v>0</v>
      </c>
      <c r="J45" s="9">
        <v>5657121600</v>
      </c>
    </row>
    <row r="46" spans="1:10" ht="21.75" customHeight="1">
      <c r="A46" s="9" t="s">
        <v>198</v>
      </c>
      <c r="B46" s="9" t="s">
        <v>374</v>
      </c>
      <c r="C46" s="9">
        <v>6983236</v>
      </c>
      <c r="D46" s="9">
        <v>400</v>
      </c>
      <c r="H46" s="9">
        <v>2793294400</v>
      </c>
      <c r="I46" s="9">
        <v>0</v>
      </c>
      <c r="J46" s="9">
        <v>2793294400</v>
      </c>
    </row>
    <row r="47" spans="1:10" ht="21.75" customHeight="1">
      <c r="A47" s="9" t="s">
        <v>177</v>
      </c>
      <c r="B47" s="9" t="s">
        <v>392</v>
      </c>
      <c r="C47" s="9">
        <v>8960615</v>
      </c>
      <c r="D47" s="9">
        <v>240</v>
      </c>
      <c r="H47" s="9">
        <v>2150547600</v>
      </c>
      <c r="I47" s="9">
        <v>-51751145</v>
      </c>
      <c r="J47" s="9">
        <v>2098796455</v>
      </c>
    </row>
    <row r="48" spans="1:10" ht="21.75" customHeight="1">
      <c r="A48" s="9" t="s">
        <v>240</v>
      </c>
      <c r="B48" s="9" t="s">
        <v>393</v>
      </c>
      <c r="C48" s="9">
        <v>13327841</v>
      </c>
      <c r="D48" s="9">
        <v>190</v>
      </c>
      <c r="H48" s="9">
        <v>2532289790</v>
      </c>
      <c r="I48" s="9">
        <v>-140864762</v>
      </c>
      <c r="J48" s="9">
        <v>2391425028</v>
      </c>
    </row>
    <row r="49" spans="1:10" ht="21.75" customHeight="1">
      <c r="A49" s="9" t="s">
        <v>179</v>
      </c>
      <c r="B49" s="9" t="s">
        <v>394</v>
      </c>
      <c r="C49" s="9">
        <v>18441112</v>
      </c>
      <c r="D49" s="9">
        <v>260</v>
      </c>
      <c r="H49" s="9">
        <v>4794689120</v>
      </c>
      <c r="I49" s="9">
        <v>-210376012</v>
      </c>
      <c r="J49" s="9">
        <v>4584313108</v>
      </c>
    </row>
    <row r="50" spans="1:10" ht="21.75" customHeight="1">
      <c r="A50" s="9" t="s">
        <v>140</v>
      </c>
      <c r="B50" s="9" t="s">
        <v>394</v>
      </c>
      <c r="C50" s="9">
        <v>1950533</v>
      </c>
      <c r="D50" s="9">
        <v>2600</v>
      </c>
      <c r="H50" s="9">
        <v>5071385800</v>
      </c>
      <c r="I50" s="9">
        <v>-222516600</v>
      </c>
      <c r="J50" s="9">
        <v>4848869200</v>
      </c>
    </row>
    <row r="51" spans="1:10" ht="21.75" customHeight="1">
      <c r="A51" s="9" t="s">
        <v>243</v>
      </c>
      <c r="B51" s="9" t="s">
        <v>367</v>
      </c>
      <c r="C51" s="9">
        <v>9680504</v>
      </c>
      <c r="D51" s="9">
        <v>800</v>
      </c>
      <c r="H51" s="9">
        <v>7744403200</v>
      </c>
      <c r="I51" s="9">
        <v>-373589203</v>
      </c>
      <c r="J51" s="9">
        <v>7370813997</v>
      </c>
    </row>
    <row r="52" spans="1:10" ht="21.75" customHeight="1">
      <c r="A52" s="9" t="s">
        <v>261</v>
      </c>
      <c r="B52" s="9" t="s">
        <v>395</v>
      </c>
      <c r="C52" s="9">
        <v>1740025</v>
      </c>
      <c r="D52" s="9">
        <v>3330</v>
      </c>
      <c r="H52" s="9">
        <v>5794283250</v>
      </c>
      <c r="I52" s="9">
        <v>-232380854</v>
      </c>
      <c r="J52" s="9">
        <v>5561902396</v>
      </c>
    </row>
    <row r="53" spans="1:10" ht="21.75" customHeight="1">
      <c r="A53" s="9" t="s">
        <v>239</v>
      </c>
      <c r="B53" s="9" t="s">
        <v>396</v>
      </c>
      <c r="C53" s="9">
        <v>8999143</v>
      </c>
      <c r="D53" s="9">
        <v>745</v>
      </c>
      <c r="H53" s="9">
        <v>6704361535</v>
      </c>
      <c r="I53" s="9">
        <v>-273108026</v>
      </c>
      <c r="J53" s="9">
        <v>6431253509</v>
      </c>
    </row>
    <row r="54" spans="1:10" ht="21.75" customHeight="1">
      <c r="A54" s="9" t="s">
        <v>297</v>
      </c>
      <c r="B54" s="9" t="s">
        <v>367</v>
      </c>
      <c r="C54" s="9">
        <v>4929408</v>
      </c>
      <c r="D54" s="9">
        <v>930</v>
      </c>
      <c r="H54" s="9">
        <v>4584349440</v>
      </c>
      <c r="I54" s="9">
        <v>-268972146</v>
      </c>
      <c r="J54" s="9">
        <v>4315377294</v>
      </c>
    </row>
    <row r="55" spans="1:10" ht="21.75" customHeight="1">
      <c r="A55" s="9" t="s">
        <v>135</v>
      </c>
      <c r="B55" s="9" t="s">
        <v>391</v>
      </c>
      <c r="C55" s="9">
        <v>2650076</v>
      </c>
      <c r="D55" s="9">
        <v>940</v>
      </c>
      <c r="H55" s="9">
        <v>2491071440</v>
      </c>
      <c r="I55" s="9">
        <v>-146155707</v>
      </c>
      <c r="J55" s="9">
        <v>2344915733</v>
      </c>
    </row>
    <row r="56" spans="1:10" ht="21.75" customHeight="1">
      <c r="A56" s="9" t="s">
        <v>216</v>
      </c>
      <c r="B56" s="9" t="s">
        <v>370</v>
      </c>
      <c r="C56" s="9">
        <v>4749593</v>
      </c>
      <c r="D56" s="9">
        <v>1490</v>
      </c>
      <c r="H56" s="9">
        <v>7076893570</v>
      </c>
      <c r="I56" s="9">
        <v>-283820189</v>
      </c>
      <c r="J56" s="9">
        <v>6793073381</v>
      </c>
    </row>
    <row r="57" spans="1:10" ht="21.75" customHeight="1">
      <c r="A57" s="9" t="s">
        <v>293</v>
      </c>
      <c r="B57" s="9" t="s">
        <v>367</v>
      </c>
      <c r="C57" s="9">
        <v>3833693</v>
      </c>
      <c r="D57" s="9">
        <v>300</v>
      </c>
      <c r="H57" s="9">
        <v>1150107900</v>
      </c>
      <c r="I57" s="9">
        <v>-32903952</v>
      </c>
      <c r="J57" s="9">
        <v>1117203948</v>
      </c>
    </row>
    <row r="58" spans="1:10" ht="21.75" customHeight="1">
      <c r="A58" s="9" t="s">
        <v>354</v>
      </c>
      <c r="B58" s="9" t="s">
        <v>376</v>
      </c>
      <c r="C58" s="9">
        <v>16854222</v>
      </c>
      <c r="D58" s="9">
        <v>100</v>
      </c>
      <c r="H58" s="9">
        <v>1685422200</v>
      </c>
      <c r="I58" s="9">
        <v>-96838332</v>
      </c>
      <c r="J58" s="9">
        <v>1588583868</v>
      </c>
    </row>
    <row r="59" spans="1:10" ht="21.75" customHeight="1">
      <c r="A59" s="9" t="s">
        <v>165</v>
      </c>
      <c r="B59" s="9" t="s">
        <v>124</v>
      </c>
      <c r="C59" s="9">
        <v>8000000</v>
      </c>
      <c r="D59" s="9">
        <v>700</v>
      </c>
      <c r="E59" s="9">
        <v>5600000000</v>
      </c>
      <c r="F59" s="9">
        <v>-328562218</v>
      </c>
      <c r="G59" s="9">
        <v>5271437782</v>
      </c>
      <c r="H59" s="9">
        <v>5600000000</v>
      </c>
      <c r="I59" s="9">
        <v>-328562218</v>
      </c>
      <c r="J59" s="9">
        <v>5271437782</v>
      </c>
    </row>
    <row r="60" spans="1:10" ht="21.75" customHeight="1">
      <c r="A60" s="9" t="s">
        <v>174</v>
      </c>
      <c r="B60" s="9" t="s">
        <v>374</v>
      </c>
      <c r="C60" s="9">
        <v>30820136</v>
      </c>
      <c r="D60" s="9">
        <v>69</v>
      </c>
      <c r="H60" s="9">
        <v>2126589384</v>
      </c>
      <c r="I60" s="9">
        <v>-114392041</v>
      </c>
      <c r="J60" s="9">
        <v>2012197343</v>
      </c>
    </row>
    <row r="61" spans="1:10" ht="21.75" customHeight="1">
      <c r="A61" s="9" t="s">
        <v>180</v>
      </c>
      <c r="B61" s="9" t="s">
        <v>370</v>
      </c>
      <c r="C61" s="9">
        <v>20378584</v>
      </c>
      <c r="D61" s="9">
        <v>91</v>
      </c>
      <c r="H61" s="9">
        <v>1854451144</v>
      </c>
      <c r="I61" s="9">
        <v>0</v>
      </c>
      <c r="J61" s="9">
        <v>1854451144</v>
      </c>
    </row>
    <row r="62" spans="1:10" ht="21.75" customHeight="1">
      <c r="A62" s="9" t="s">
        <v>162</v>
      </c>
      <c r="B62" s="9" t="s">
        <v>124</v>
      </c>
      <c r="C62" s="9">
        <v>10369674</v>
      </c>
      <c r="D62" s="9">
        <v>70</v>
      </c>
      <c r="E62" s="9">
        <v>725877180</v>
      </c>
      <c r="F62" s="9">
        <v>-36813017</v>
      </c>
      <c r="G62" s="9">
        <v>689064163</v>
      </c>
      <c r="H62" s="9">
        <v>725877180</v>
      </c>
      <c r="I62" s="9">
        <v>-36813017</v>
      </c>
      <c r="J62" s="9">
        <v>689064163</v>
      </c>
    </row>
    <row r="63" spans="1:10" ht="21.75" customHeight="1">
      <c r="A63" s="9" t="s">
        <v>307</v>
      </c>
      <c r="B63" s="9" t="s">
        <v>397</v>
      </c>
      <c r="C63" s="9">
        <v>562500</v>
      </c>
      <c r="D63" s="9">
        <v>1550</v>
      </c>
      <c r="H63" s="9">
        <v>871875000</v>
      </c>
      <c r="I63" s="9">
        <v>-45828602</v>
      </c>
      <c r="J63" s="9">
        <v>826046398</v>
      </c>
    </row>
    <row r="64" spans="1:10" ht="21.75" customHeight="1">
      <c r="A64" s="9" t="s">
        <v>208</v>
      </c>
      <c r="B64" s="9" t="s">
        <v>397</v>
      </c>
      <c r="C64" s="9">
        <v>4773870</v>
      </c>
      <c r="D64" s="9">
        <v>350</v>
      </c>
      <c r="H64" s="9">
        <v>1670854500</v>
      </c>
      <c r="I64" s="9">
        <v>-46721630</v>
      </c>
      <c r="J64" s="9">
        <v>1624132870</v>
      </c>
    </row>
    <row r="65" spans="1:10" ht="21.75" customHeight="1">
      <c r="A65" s="9" t="s">
        <v>306</v>
      </c>
      <c r="B65" s="9" t="s">
        <v>398</v>
      </c>
      <c r="C65" s="9">
        <v>11440020</v>
      </c>
      <c r="D65" s="9">
        <v>160</v>
      </c>
      <c r="H65" s="9">
        <v>1830403200</v>
      </c>
      <c r="I65" s="9">
        <v>-71095318</v>
      </c>
      <c r="J65" s="9">
        <v>1759307882</v>
      </c>
    </row>
    <row r="66" spans="1:10" ht="21.75" customHeight="1">
      <c r="A66" s="9" t="s">
        <v>399</v>
      </c>
      <c r="B66" s="9" t="s">
        <v>395</v>
      </c>
      <c r="C66" s="9">
        <v>6400000</v>
      </c>
      <c r="D66" s="9">
        <v>37</v>
      </c>
      <c r="H66" s="9">
        <v>236800000</v>
      </c>
      <c r="I66" s="9">
        <v>-10390046</v>
      </c>
      <c r="J66" s="9">
        <v>226409954</v>
      </c>
    </row>
    <row r="67" spans="1:10" ht="21.75" customHeight="1">
      <c r="A67" s="9" t="s">
        <v>141</v>
      </c>
      <c r="B67" s="9" t="s">
        <v>374</v>
      </c>
      <c r="C67" s="9">
        <v>3975883</v>
      </c>
      <c r="D67" s="9">
        <v>2650</v>
      </c>
      <c r="H67" s="9">
        <v>10536089950</v>
      </c>
      <c r="I67" s="9">
        <v>-156406194</v>
      </c>
      <c r="J67" s="9">
        <v>10379683756</v>
      </c>
    </row>
    <row r="68" spans="1:10" ht="21.75" customHeight="1">
      <c r="A68" s="9" t="s">
        <v>249</v>
      </c>
      <c r="B68" s="9" t="s">
        <v>400</v>
      </c>
      <c r="C68" s="9">
        <v>860136</v>
      </c>
      <c r="D68" s="9">
        <v>1500</v>
      </c>
      <c r="H68" s="9">
        <v>0</v>
      </c>
      <c r="I68" s="9">
        <v>0</v>
      </c>
      <c r="J68" s="9">
        <v>0</v>
      </c>
    </row>
    <row r="69" spans="1:10" ht="21.75" customHeight="1">
      <c r="A69" s="9" t="s">
        <v>185</v>
      </c>
      <c r="B69" s="9" t="s">
        <v>382</v>
      </c>
      <c r="C69" s="9">
        <v>3534630</v>
      </c>
      <c r="D69" s="9">
        <v>480</v>
      </c>
      <c r="H69" s="9">
        <v>1696622400</v>
      </c>
      <c r="I69" s="9">
        <v>0</v>
      </c>
      <c r="J69" s="9">
        <v>1696622400</v>
      </c>
    </row>
    <row r="70" spans="1:10" ht="21.75" customHeight="1">
      <c r="A70" s="9" t="s">
        <v>321</v>
      </c>
      <c r="B70" s="9" t="s">
        <v>401</v>
      </c>
      <c r="C70" s="9">
        <v>2874653</v>
      </c>
      <c r="D70" s="9">
        <v>740</v>
      </c>
      <c r="H70" s="9">
        <v>2127243220</v>
      </c>
      <c r="I70" s="9">
        <v>0</v>
      </c>
      <c r="J70" s="9">
        <v>2127243220</v>
      </c>
    </row>
    <row r="71" spans="1:10" ht="21.75" customHeight="1">
      <c r="A71" s="9" t="s">
        <v>125</v>
      </c>
      <c r="B71" s="9" t="s">
        <v>402</v>
      </c>
      <c r="C71" s="9">
        <v>800000</v>
      </c>
      <c r="D71" s="9">
        <v>4600</v>
      </c>
      <c r="H71" s="9">
        <v>3680000000</v>
      </c>
      <c r="I71" s="9">
        <v>-182083333</v>
      </c>
      <c r="J71" s="9">
        <v>3497916667</v>
      </c>
    </row>
    <row r="72" spans="1:10" ht="21.75" customHeight="1">
      <c r="A72" s="9" t="s">
        <v>129</v>
      </c>
      <c r="B72" s="9" t="s">
        <v>403</v>
      </c>
      <c r="C72" s="9">
        <v>84882</v>
      </c>
      <c r="D72" s="9">
        <v>28874</v>
      </c>
      <c r="H72" s="9">
        <v>2450882868</v>
      </c>
      <c r="I72" s="9">
        <v>0</v>
      </c>
      <c r="J72" s="9">
        <v>2450882868</v>
      </c>
    </row>
    <row r="73" spans="1:10" ht="21.75" customHeight="1">
      <c r="A73" s="9" t="s">
        <v>319</v>
      </c>
      <c r="B73" s="9" t="s">
        <v>403</v>
      </c>
      <c r="C73" s="9">
        <v>612681</v>
      </c>
      <c r="D73" s="9">
        <v>7200</v>
      </c>
      <c r="H73" s="9">
        <v>4411303200</v>
      </c>
      <c r="I73" s="9">
        <v>0</v>
      </c>
      <c r="J73" s="9">
        <v>4411303200</v>
      </c>
    </row>
    <row r="74" spans="1:10" ht="21.75" customHeight="1">
      <c r="A74" s="9" t="s">
        <v>360</v>
      </c>
      <c r="B74" s="9" t="s">
        <v>372</v>
      </c>
      <c r="C74" s="9">
        <v>3983350</v>
      </c>
      <c r="D74" s="9">
        <v>790</v>
      </c>
      <c r="H74" s="9">
        <v>3146846500</v>
      </c>
      <c r="I74" s="9">
        <v>0</v>
      </c>
      <c r="J74" s="9">
        <v>3146846500</v>
      </c>
    </row>
    <row r="75" spans="1:10" ht="21.75" customHeight="1">
      <c r="A75" s="9" t="s">
        <v>282</v>
      </c>
      <c r="B75" s="9" t="s">
        <v>404</v>
      </c>
      <c r="C75" s="9">
        <v>2830564</v>
      </c>
      <c r="D75" s="9">
        <v>1530</v>
      </c>
      <c r="E75" s="9">
        <v>4330762920</v>
      </c>
      <c r="F75" s="9">
        <v>-227639063</v>
      </c>
      <c r="G75" s="9">
        <v>4103123857</v>
      </c>
      <c r="H75" s="9">
        <v>4330762920</v>
      </c>
      <c r="I75" s="9">
        <v>-227639063</v>
      </c>
      <c r="J75" s="9">
        <v>4103123857</v>
      </c>
    </row>
    <row r="76" spans="1:10" ht="21.75" customHeight="1">
      <c r="A76" s="9" t="s">
        <v>154</v>
      </c>
      <c r="B76" s="9" t="s">
        <v>405</v>
      </c>
      <c r="C76" s="9">
        <v>2001235</v>
      </c>
      <c r="D76" s="9">
        <v>1520</v>
      </c>
      <c r="H76" s="9">
        <v>3041877200</v>
      </c>
      <c r="I76" s="9">
        <v>-30934344</v>
      </c>
      <c r="J76" s="9">
        <v>3010942856</v>
      </c>
    </row>
    <row r="77" spans="1:10" ht="21.75" customHeight="1">
      <c r="A77" s="9" t="s">
        <v>329</v>
      </c>
      <c r="B77" s="9" t="s">
        <v>406</v>
      </c>
      <c r="C77" s="9">
        <v>5476907</v>
      </c>
      <c r="D77" s="9">
        <v>695</v>
      </c>
      <c r="H77" s="9">
        <v>3806450365</v>
      </c>
      <c r="I77" s="9">
        <v>0</v>
      </c>
      <c r="J77" s="9">
        <v>3806450365</v>
      </c>
    </row>
    <row r="78" spans="1:10" ht="21.75" customHeight="1">
      <c r="A78" s="9" t="s">
        <v>305</v>
      </c>
      <c r="B78" s="9" t="s">
        <v>407</v>
      </c>
      <c r="C78" s="9">
        <v>2800000</v>
      </c>
      <c r="D78" s="9">
        <v>1300</v>
      </c>
      <c r="H78" s="9">
        <v>3640000000</v>
      </c>
      <c r="I78" s="9">
        <v>-89966600</v>
      </c>
      <c r="J78" s="9">
        <v>3550033400</v>
      </c>
    </row>
    <row r="79" spans="1:10" ht="21.75" customHeight="1">
      <c r="A79" s="9" t="s">
        <v>300</v>
      </c>
      <c r="B79" s="9" t="s">
        <v>408</v>
      </c>
      <c r="C79" s="9">
        <v>1027781</v>
      </c>
      <c r="D79" s="9">
        <v>4745</v>
      </c>
      <c r="H79" s="9">
        <v>4876820845</v>
      </c>
      <c r="I79" s="9">
        <v>0</v>
      </c>
      <c r="J79" s="9">
        <v>4876820845</v>
      </c>
    </row>
    <row r="80" spans="1:10" ht="21.75" customHeight="1">
      <c r="A80" s="9" t="s">
        <v>318</v>
      </c>
      <c r="B80" s="9" t="s">
        <v>409</v>
      </c>
      <c r="C80" s="9">
        <v>104452</v>
      </c>
      <c r="D80" s="9">
        <v>27400</v>
      </c>
      <c r="H80" s="9">
        <v>2861984800</v>
      </c>
      <c r="I80" s="9">
        <v>0</v>
      </c>
      <c r="J80" s="9">
        <v>2861984800</v>
      </c>
    </row>
    <row r="81" spans="1:10" ht="21.75" customHeight="1">
      <c r="A81" s="9" t="s">
        <v>173</v>
      </c>
      <c r="B81" s="9" t="s">
        <v>410</v>
      </c>
      <c r="C81" s="9">
        <v>144247</v>
      </c>
      <c r="D81" s="9">
        <v>991</v>
      </c>
      <c r="H81" s="9">
        <v>142948777</v>
      </c>
      <c r="I81" s="9">
        <v>0</v>
      </c>
      <c r="J81" s="9">
        <v>142948777</v>
      </c>
    </row>
    <row r="82" spans="1:10" ht="21.75" customHeight="1">
      <c r="A82" s="9" t="s">
        <v>277</v>
      </c>
      <c r="B82" s="9" t="s">
        <v>411</v>
      </c>
      <c r="C82" s="9">
        <v>336344</v>
      </c>
      <c r="D82" s="9">
        <v>7435</v>
      </c>
      <c r="H82" s="9">
        <v>2500717640</v>
      </c>
      <c r="I82" s="9">
        <v>0</v>
      </c>
      <c r="J82" s="9">
        <v>2500717640</v>
      </c>
    </row>
    <row r="83" spans="1:10" ht="21.75" customHeight="1">
      <c r="A83" s="9" t="s">
        <v>259</v>
      </c>
      <c r="B83" s="9" t="s">
        <v>373</v>
      </c>
      <c r="C83" s="9">
        <v>2024791</v>
      </c>
      <c r="D83" s="9">
        <v>3520</v>
      </c>
      <c r="E83" s="9">
        <v>7127264320</v>
      </c>
      <c r="F83" s="9">
        <v>-418169602</v>
      </c>
      <c r="G83" s="9">
        <v>6709094718</v>
      </c>
      <c r="H83" s="9">
        <v>7127264320</v>
      </c>
      <c r="I83" s="9">
        <v>-418169602</v>
      </c>
      <c r="J83" s="9">
        <v>6709094718</v>
      </c>
    </row>
    <row r="84" spans="1:10" ht="21.75" customHeight="1">
      <c r="A84" s="9" t="s">
        <v>343</v>
      </c>
      <c r="B84" s="9" t="s">
        <v>412</v>
      </c>
      <c r="C84" s="9">
        <v>1504289</v>
      </c>
      <c r="D84" s="9">
        <v>2600</v>
      </c>
      <c r="H84" s="9">
        <v>3911151400</v>
      </c>
      <c r="I84" s="9">
        <v>0</v>
      </c>
      <c r="J84" s="9">
        <v>3911151400</v>
      </c>
    </row>
    <row r="85" spans="1:10" ht="21.75" customHeight="1">
      <c r="A85" s="9" t="s">
        <v>311</v>
      </c>
      <c r="B85" s="9" t="s">
        <v>413</v>
      </c>
      <c r="C85" s="9">
        <v>21110</v>
      </c>
      <c r="D85" s="9">
        <v>22700</v>
      </c>
      <c r="H85" s="9">
        <v>479197000</v>
      </c>
      <c r="I85" s="9">
        <v>-8700954</v>
      </c>
      <c r="J85" s="9">
        <v>470496046</v>
      </c>
    </row>
    <row r="86" spans="1:10" ht="21.75" customHeight="1">
      <c r="A86" s="9" t="s">
        <v>284</v>
      </c>
      <c r="B86" s="9" t="s">
        <v>366</v>
      </c>
      <c r="C86" s="9">
        <v>6761644</v>
      </c>
      <c r="D86" s="9">
        <v>42</v>
      </c>
      <c r="H86" s="9">
        <v>283989048</v>
      </c>
      <c r="I86" s="9">
        <v>-12282619</v>
      </c>
      <c r="J86" s="9">
        <v>271706429</v>
      </c>
    </row>
    <row r="87" spans="1:10" ht="21.75" customHeight="1">
      <c r="A87" s="9" t="s">
        <v>252</v>
      </c>
      <c r="B87" s="9" t="s">
        <v>413</v>
      </c>
      <c r="C87" s="9">
        <v>520570</v>
      </c>
      <c r="D87" s="9">
        <v>5700</v>
      </c>
      <c r="H87" s="9">
        <v>2967249000</v>
      </c>
      <c r="I87" s="9">
        <v>0</v>
      </c>
      <c r="J87" s="9">
        <v>2967249000</v>
      </c>
    </row>
    <row r="88" spans="1:10" ht="21.75" customHeight="1">
      <c r="A88" s="9" t="s">
        <v>348</v>
      </c>
      <c r="B88" s="9" t="s">
        <v>370</v>
      </c>
      <c r="C88" s="9">
        <v>1155746</v>
      </c>
      <c r="D88" s="9">
        <v>1500</v>
      </c>
      <c r="H88" s="9">
        <v>1733619000</v>
      </c>
      <c r="I88" s="9">
        <v>-29185505</v>
      </c>
      <c r="J88" s="9">
        <v>1704433495</v>
      </c>
    </row>
    <row r="89" spans="1:10" ht="21.75" customHeight="1">
      <c r="A89" s="9" t="s">
        <v>312</v>
      </c>
      <c r="B89" s="9" t="s">
        <v>367</v>
      </c>
      <c r="C89" s="9">
        <v>5463965</v>
      </c>
      <c r="D89" s="9">
        <v>1200</v>
      </c>
      <c r="H89" s="9">
        <v>6556758000</v>
      </c>
      <c r="I89" s="9">
        <v>0</v>
      </c>
      <c r="J89" s="9">
        <v>6556758000</v>
      </c>
    </row>
    <row r="90" spans="1:10" ht="21.75" customHeight="1">
      <c r="A90" s="9" t="s">
        <v>210</v>
      </c>
      <c r="B90" s="9" t="s">
        <v>369</v>
      </c>
      <c r="C90" s="9">
        <v>1467107</v>
      </c>
      <c r="D90" s="9">
        <v>4040</v>
      </c>
      <c r="H90" s="9">
        <v>5927112280</v>
      </c>
      <c r="I90" s="9">
        <v>-181040614</v>
      </c>
      <c r="J90" s="9">
        <v>5746071666</v>
      </c>
    </row>
    <row r="91" spans="1:10" ht="21.75" customHeight="1">
      <c r="A91" s="9" t="s">
        <v>182</v>
      </c>
      <c r="B91" s="9" t="s">
        <v>371</v>
      </c>
      <c r="C91" s="9">
        <v>200000</v>
      </c>
      <c r="D91" s="9">
        <v>350</v>
      </c>
      <c r="H91" s="9">
        <v>70000000</v>
      </c>
      <c r="I91" s="9">
        <v>0</v>
      </c>
      <c r="J91" s="9">
        <v>70000000</v>
      </c>
    </row>
    <row r="92" spans="1:10" ht="21.75" customHeight="1">
      <c r="A92" s="9" t="s">
        <v>191</v>
      </c>
      <c r="B92" s="9" t="s">
        <v>367</v>
      </c>
      <c r="C92" s="9">
        <v>724988</v>
      </c>
      <c r="D92" s="9">
        <v>64</v>
      </c>
      <c r="H92" s="9">
        <v>46399232</v>
      </c>
      <c r="I92" s="9">
        <v>0</v>
      </c>
      <c r="J92" s="9">
        <v>46399232</v>
      </c>
    </row>
    <row r="93" spans="1:10" ht="21.75" customHeight="1">
      <c r="A93" s="9" t="s">
        <v>139</v>
      </c>
      <c r="B93" s="9" t="s">
        <v>124</v>
      </c>
      <c r="C93" s="9">
        <v>15672652</v>
      </c>
      <c r="D93" s="9">
        <v>526</v>
      </c>
      <c r="E93" s="9">
        <v>8243814952</v>
      </c>
      <c r="F93" s="9">
        <v>-251803113</v>
      </c>
      <c r="G93" s="9">
        <v>7992011839</v>
      </c>
      <c r="H93" s="9">
        <v>8243814952</v>
      </c>
      <c r="I93" s="9">
        <v>-251803113</v>
      </c>
      <c r="J93" s="9">
        <v>7992011839</v>
      </c>
    </row>
    <row r="94" spans="1:10" ht="21.75" customHeight="1">
      <c r="A94" s="9" t="s">
        <v>187</v>
      </c>
      <c r="B94" s="9" t="s">
        <v>367</v>
      </c>
      <c r="C94" s="9">
        <v>12900000</v>
      </c>
      <c r="D94" s="9">
        <v>800</v>
      </c>
      <c r="H94" s="9">
        <v>10320000000</v>
      </c>
      <c r="I94" s="9">
        <v>-605493230</v>
      </c>
      <c r="J94" s="9">
        <v>9714506770</v>
      </c>
    </row>
    <row r="95" spans="1:10" ht="21.75" customHeight="1">
      <c r="A95" s="9" t="s">
        <v>272</v>
      </c>
      <c r="B95" s="9" t="s">
        <v>124</v>
      </c>
      <c r="C95" s="9">
        <v>1875000</v>
      </c>
      <c r="D95" s="9">
        <v>480</v>
      </c>
      <c r="E95" s="9">
        <v>900000000</v>
      </c>
      <c r="F95" s="9">
        <v>-52804642</v>
      </c>
      <c r="G95" s="9">
        <v>847195358</v>
      </c>
      <c r="H95" s="9">
        <v>900000000</v>
      </c>
      <c r="I95" s="9">
        <v>-52804642</v>
      </c>
      <c r="J95" s="9">
        <v>847195358</v>
      </c>
    </row>
    <row r="96" spans="1:10" ht="21.75" customHeight="1">
      <c r="A96" s="9" t="s">
        <v>285</v>
      </c>
      <c r="B96" s="9" t="s">
        <v>414</v>
      </c>
      <c r="C96" s="9">
        <v>23792</v>
      </c>
      <c r="D96" s="9">
        <v>11500</v>
      </c>
      <c r="H96" s="9">
        <v>273608000</v>
      </c>
      <c r="I96" s="9">
        <v>-10973102</v>
      </c>
      <c r="J96" s="9">
        <v>262634898</v>
      </c>
    </row>
    <row r="97" spans="1:10" ht="21.75" customHeight="1">
      <c r="A97" s="9" t="s">
        <v>299</v>
      </c>
      <c r="B97" s="9" t="s">
        <v>367</v>
      </c>
      <c r="C97" s="9">
        <v>2843421</v>
      </c>
      <c r="D97" s="9">
        <v>1840</v>
      </c>
      <c r="H97" s="9">
        <v>5231894640</v>
      </c>
      <c r="I97" s="9">
        <v>0</v>
      </c>
      <c r="J97" s="9">
        <v>5231894640</v>
      </c>
    </row>
    <row r="98" spans="1:10" ht="21.75" customHeight="1">
      <c r="A98" s="9" t="s">
        <v>260</v>
      </c>
      <c r="B98" s="9" t="s">
        <v>402</v>
      </c>
      <c r="C98" s="9">
        <v>3733986</v>
      </c>
      <c r="D98" s="9">
        <v>1600</v>
      </c>
      <c r="H98" s="9">
        <v>5974377600</v>
      </c>
      <c r="I98" s="9">
        <v>0</v>
      </c>
      <c r="J98" s="9">
        <v>5974377600</v>
      </c>
    </row>
    <row r="99" spans="1:10" ht="21.75" customHeight="1">
      <c r="A99" s="9" t="s">
        <v>248</v>
      </c>
      <c r="B99" s="9" t="s">
        <v>402</v>
      </c>
      <c r="C99" s="9">
        <v>19183396</v>
      </c>
      <c r="D99" s="9">
        <v>264</v>
      </c>
      <c r="H99" s="9">
        <v>5064416544</v>
      </c>
      <c r="I99" s="9">
        <v>0</v>
      </c>
      <c r="J99" s="9">
        <v>5064416544</v>
      </c>
    </row>
    <row r="100" spans="1:10" ht="21.75" customHeight="1">
      <c r="A100" s="9" t="s">
        <v>149</v>
      </c>
      <c r="B100" s="9" t="s">
        <v>366</v>
      </c>
      <c r="C100" s="9">
        <v>6453452</v>
      </c>
      <c r="D100" s="9">
        <v>580</v>
      </c>
      <c r="H100" s="9">
        <v>3743002160</v>
      </c>
      <c r="I100" s="9">
        <v>-219608766</v>
      </c>
      <c r="J100" s="9">
        <v>3523393394</v>
      </c>
    </row>
    <row r="101" spans="1:10" ht="21.75" customHeight="1">
      <c r="A101" s="9" t="s">
        <v>345</v>
      </c>
      <c r="B101" s="9" t="s">
        <v>406</v>
      </c>
      <c r="C101" s="9">
        <v>6157463</v>
      </c>
      <c r="D101" s="9">
        <v>450</v>
      </c>
      <c r="H101" s="9">
        <v>2770858350</v>
      </c>
      <c r="I101" s="9">
        <v>0</v>
      </c>
      <c r="J101" s="9">
        <v>2770858350</v>
      </c>
    </row>
    <row r="102" spans="1:10" ht="21.75" customHeight="1">
      <c r="A102" s="9" t="s">
        <v>224</v>
      </c>
      <c r="B102" s="9" t="s">
        <v>124</v>
      </c>
      <c r="C102" s="9">
        <v>25239055</v>
      </c>
      <c r="D102" s="9">
        <v>250</v>
      </c>
      <c r="E102" s="9">
        <v>6309763750</v>
      </c>
      <c r="F102" s="9">
        <v>-331661819</v>
      </c>
      <c r="G102" s="9">
        <v>5978101931</v>
      </c>
      <c r="H102" s="9">
        <v>6309763750</v>
      </c>
      <c r="I102" s="9">
        <v>-331661819</v>
      </c>
      <c r="J102" s="9">
        <v>5978101931</v>
      </c>
    </row>
    <row r="103" spans="1:10" ht="21.75" customHeight="1">
      <c r="A103" s="9" t="s">
        <v>276</v>
      </c>
      <c r="B103" s="9" t="s">
        <v>383</v>
      </c>
      <c r="C103" s="9">
        <v>8329531</v>
      </c>
      <c r="D103" s="9">
        <v>400</v>
      </c>
      <c r="H103" s="9">
        <v>2597904400</v>
      </c>
      <c r="I103" s="9">
        <v>-195483512</v>
      </c>
      <c r="J103" s="9">
        <v>2402420888</v>
      </c>
    </row>
    <row r="104" spans="1:10" ht="21.75" customHeight="1">
      <c r="A104" s="9" t="s">
        <v>207</v>
      </c>
      <c r="B104" s="9" t="s">
        <v>415</v>
      </c>
      <c r="C104" s="9">
        <v>5612182</v>
      </c>
      <c r="D104" s="9">
        <v>630</v>
      </c>
      <c r="H104" s="9">
        <v>3535674660</v>
      </c>
      <c r="I104" s="9">
        <v>-141798918</v>
      </c>
      <c r="J104" s="9">
        <v>3393875742</v>
      </c>
    </row>
    <row r="105" spans="1:10" ht="21.75" customHeight="1">
      <c r="A105" s="9" t="s">
        <v>220</v>
      </c>
      <c r="B105" s="9" t="s">
        <v>124</v>
      </c>
      <c r="C105" s="9">
        <v>9019663</v>
      </c>
      <c r="D105" s="9">
        <v>40</v>
      </c>
      <c r="E105" s="9">
        <v>360786520</v>
      </c>
      <c r="F105" s="9">
        <v>-20509828</v>
      </c>
      <c r="G105" s="9">
        <v>340276692</v>
      </c>
      <c r="H105" s="9">
        <v>360786520</v>
      </c>
      <c r="I105" s="9">
        <v>-20509828</v>
      </c>
      <c r="J105" s="9">
        <v>340276692</v>
      </c>
    </row>
    <row r="106" spans="1:10" ht="21.75" customHeight="1">
      <c r="A106" s="9" t="s">
        <v>303</v>
      </c>
      <c r="B106" s="9" t="s">
        <v>388</v>
      </c>
      <c r="C106" s="9">
        <v>7043843</v>
      </c>
      <c r="D106" s="9">
        <v>310</v>
      </c>
      <c r="H106" s="9">
        <v>2183591330</v>
      </c>
      <c r="I106" s="9">
        <v>-48264242</v>
      </c>
      <c r="J106" s="9">
        <v>2135327088</v>
      </c>
    </row>
    <row r="107" spans="1:10" ht="21.75" customHeight="1">
      <c r="A107" s="9" t="s">
        <v>347</v>
      </c>
      <c r="B107" s="9" t="s">
        <v>412</v>
      </c>
      <c r="C107" s="9">
        <v>3904663</v>
      </c>
      <c r="D107" s="9">
        <v>630</v>
      </c>
      <c r="H107" s="9">
        <v>2459937690</v>
      </c>
      <c r="I107" s="9">
        <v>-75137539</v>
      </c>
      <c r="J107" s="9">
        <v>2384800151</v>
      </c>
    </row>
    <row r="108" spans="1:10" ht="21.75" customHeight="1">
      <c r="A108" s="9" t="s">
        <v>416</v>
      </c>
      <c r="B108" s="9" t="s">
        <v>124</v>
      </c>
      <c r="C108" s="9">
        <v>1200163</v>
      </c>
      <c r="D108" s="9">
        <v>1700</v>
      </c>
      <c r="E108" s="9">
        <v>2040277100</v>
      </c>
      <c r="F108" s="9">
        <v>-102212971</v>
      </c>
      <c r="G108" s="9">
        <v>1938064129</v>
      </c>
      <c r="H108" s="9">
        <v>2040277100</v>
      </c>
      <c r="I108" s="9">
        <v>-102212971</v>
      </c>
      <c r="J108" s="9">
        <v>1938064129</v>
      </c>
    </row>
    <row r="109" spans="1:10" ht="21.75" customHeight="1">
      <c r="A109" s="9" t="s">
        <v>225</v>
      </c>
      <c r="B109" s="9" t="s">
        <v>124</v>
      </c>
      <c r="C109" s="9">
        <v>5738492</v>
      </c>
      <c r="D109" s="9">
        <v>930</v>
      </c>
      <c r="E109" s="9">
        <v>5336797560</v>
      </c>
      <c r="F109" s="9">
        <v>-296872309</v>
      </c>
      <c r="G109" s="9">
        <v>5039925251</v>
      </c>
      <c r="H109" s="9">
        <v>5336797560</v>
      </c>
      <c r="I109" s="9">
        <v>-296872309</v>
      </c>
      <c r="J109" s="9">
        <v>5039925251</v>
      </c>
    </row>
    <row r="110" spans="1:10" ht="21.75" customHeight="1">
      <c r="A110" s="9" t="s">
        <v>195</v>
      </c>
      <c r="B110" s="9" t="s">
        <v>394</v>
      </c>
      <c r="C110" s="9">
        <v>204021</v>
      </c>
      <c r="D110" s="9">
        <v>3650</v>
      </c>
      <c r="H110" s="9">
        <v>744676650</v>
      </c>
      <c r="I110" s="9">
        <v>0</v>
      </c>
      <c r="J110" s="9">
        <v>744676650</v>
      </c>
    </row>
    <row r="111" spans="1:10" ht="21.75" customHeight="1">
      <c r="A111" s="9" t="s">
        <v>278</v>
      </c>
      <c r="B111" s="9" t="s">
        <v>124</v>
      </c>
      <c r="C111" s="9">
        <v>4967900</v>
      </c>
      <c r="D111" s="9">
        <v>485</v>
      </c>
      <c r="E111" s="9">
        <v>2409431500</v>
      </c>
      <c r="F111" s="9">
        <v>-26118499</v>
      </c>
      <c r="G111" s="9">
        <v>2383313001</v>
      </c>
      <c r="H111" s="9">
        <v>2409431500</v>
      </c>
      <c r="I111" s="9">
        <v>-26118499</v>
      </c>
      <c r="J111" s="9">
        <v>2383313001</v>
      </c>
    </row>
    <row r="112" spans="1:10" ht="21.75" customHeight="1">
      <c r="A112" s="9" t="s">
        <v>275</v>
      </c>
      <c r="B112" s="9" t="s">
        <v>417</v>
      </c>
      <c r="C112" s="9">
        <v>25021276</v>
      </c>
      <c r="D112" s="9">
        <v>57</v>
      </c>
      <c r="H112" s="9">
        <v>1426212732</v>
      </c>
      <c r="I112" s="9">
        <v>-74088973</v>
      </c>
      <c r="J112" s="9">
        <v>1352123759</v>
      </c>
    </row>
    <row r="113" spans="1:10" ht="21.75" customHeight="1">
      <c r="A113" s="9" t="s">
        <v>202</v>
      </c>
      <c r="B113" s="9" t="s">
        <v>124</v>
      </c>
      <c r="C113" s="9">
        <v>9515801</v>
      </c>
      <c r="D113" s="9">
        <v>540</v>
      </c>
      <c r="E113" s="9">
        <v>5138532540</v>
      </c>
      <c r="F113" s="9">
        <v>0</v>
      </c>
      <c r="G113" s="9">
        <v>5138532540</v>
      </c>
      <c r="H113" s="9">
        <v>5138532540</v>
      </c>
      <c r="I113" s="9">
        <v>0</v>
      </c>
      <c r="J113" s="9">
        <v>5138532540</v>
      </c>
    </row>
    <row r="114" spans="1:10" ht="21.75" customHeight="1">
      <c r="A114" s="9" t="s">
        <v>172</v>
      </c>
      <c r="B114" s="9" t="s">
        <v>418</v>
      </c>
      <c r="C114" s="9">
        <v>1440400</v>
      </c>
      <c r="D114" s="9">
        <v>1290</v>
      </c>
      <c r="H114" s="9">
        <v>1858116000</v>
      </c>
      <c r="I114" s="9">
        <v>-53159673</v>
      </c>
      <c r="J114" s="9">
        <v>1804956327</v>
      </c>
    </row>
    <row r="115" spans="1:10" ht="21.75" customHeight="1">
      <c r="A115" s="9" t="s">
        <v>355</v>
      </c>
      <c r="B115" s="9" t="s">
        <v>373</v>
      </c>
      <c r="C115" s="9">
        <v>8858150</v>
      </c>
      <c r="D115" s="9">
        <v>82</v>
      </c>
      <c r="E115" s="9">
        <v>726368300</v>
      </c>
      <c r="F115" s="9">
        <v>-46997565</v>
      </c>
      <c r="G115" s="9">
        <v>679370735</v>
      </c>
      <c r="H115" s="9">
        <v>726368300</v>
      </c>
      <c r="I115" s="9">
        <v>-46997565</v>
      </c>
      <c r="J115" s="9">
        <v>679370735</v>
      </c>
    </row>
    <row r="116" spans="1:10" ht="21.75" customHeight="1">
      <c r="A116" s="9" t="s">
        <v>324</v>
      </c>
      <c r="B116" s="9" t="s">
        <v>412</v>
      </c>
      <c r="C116" s="9">
        <v>13000000</v>
      </c>
      <c r="D116" s="9">
        <v>650</v>
      </c>
      <c r="H116" s="9">
        <v>8450000000</v>
      </c>
      <c r="I116" s="9">
        <v>-317501648</v>
      </c>
      <c r="J116" s="9">
        <v>8132498352</v>
      </c>
    </row>
    <row r="117" spans="1:10" ht="21.75" customHeight="1">
      <c r="A117" s="9" t="s">
        <v>190</v>
      </c>
      <c r="B117" s="9" t="s">
        <v>404</v>
      </c>
      <c r="C117" s="9">
        <v>5729478</v>
      </c>
      <c r="D117" s="9">
        <v>55</v>
      </c>
      <c r="E117" s="9">
        <v>315121290</v>
      </c>
      <c r="F117" s="9">
        <v>-3626988</v>
      </c>
      <c r="G117" s="9">
        <v>311494302</v>
      </c>
      <c r="H117" s="9">
        <v>315121290</v>
      </c>
      <c r="I117" s="9">
        <v>-3626988</v>
      </c>
      <c r="J117" s="9">
        <v>311494302</v>
      </c>
    </row>
    <row r="118" spans="1:10" ht="21.75" customHeight="1">
      <c r="A118" s="9" t="s">
        <v>205</v>
      </c>
      <c r="B118" s="9" t="s">
        <v>388</v>
      </c>
      <c r="C118" s="9">
        <v>23989450</v>
      </c>
      <c r="D118" s="9">
        <v>110</v>
      </c>
      <c r="H118" s="9">
        <v>2638839500</v>
      </c>
      <c r="I118" s="9">
        <v>-58326660</v>
      </c>
      <c r="J118" s="9">
        <v>2580512840</v>
      </c>
    </row>
    <row r="119" spans="1:10" ht="21.75" customHeight="1">
      <c r="A119" s="9" t="s">
        <v>175</v>
      </c>
      <c r="B119" s="9" t="s">
        <v>124</v>
      </c>
      <c r="C119" s="9">
        <v>14809541</v>
      </c>
      <c r="D119" s="9">
        <v>120</v>
      </c>
      <c r="E119" s="9">
        <v>1777144920</v>
      </c>
      <c r="F119" s="9">
        <v>-54281983</v>
      </c>
      <c r="G119" s="9">
        <v>1722862937</v>
      </c>
      <c r="H119" s="9">
        <v>1777144920</v>
      </c>
      <c r="I119" s="9">
        <v>-54281983</v>
      </c>
      <c r="J119" s="9">
        <v>1722862937</v>
      </c>
    </row>
    <row r="120" spans="1:10" ht="21.75" customHeight="1">
      <c r="A120" s="9" t="s">
        <v>203</v>
      </c>
      <c r="B120" s="9" t="s">
        <v>412</v>
      </c>
      <c r="C120" s="9">
        <v>2447708</v>
      </c>
      <c r="D120" s="9">
        <v>1200</v>
      </c>
      <c r="H120" s="9">
        <v>2937249600</v>
      </c>
      <c r="I120" s="9">
        <v>0</v>
      </c>
      <c r="J120" s="9">
        <v>2937249600</v>
      </c>
    </row>
    <row r="121" spans="1:10" ht="21.75" customHeight="1">
      <c r="A121" s="9" t="s">
        <v>215</v>
      </c>
      <c r="B121" s="9" t="s">
        <v>369</v>
      </c>
      <c r="C121" s="9">
        <v>4374516</v>
      </c>
      <c r="D121" s="9">
        <v>640</v>
      </c>
      <c r="H121" s="9">
        <v>2799690240</v>
      </c>
      <c r="I121" s="9">
        <v>0</v>
      </c>
      <c r="J121" s="9">
        <v>2799690240</v>
      </c>
    </row>
    <row r="122" spans="1:10" ht="21.75" customHeight="1">
      <c r="A122" s="9" t="s">
        <v>212</v>
      </c>
      <c r="B122" s="9" t="s">
        <v>370</v>
      </c>
      <c r="C122" s="9">
        <v>10684873</v>
      </c>
      <c r="D122" s="9">
        <v>260</v>
      </c>
      <c r="H122" s="9">
        <v>2778066980</v>
      </c>
      <c r="I122" s="9">
        <v>-111414915</v>
      </c>
      <c r="J122" s="9">
        <v>2666652065</v>
      </c>
    </row>
    <row r="123" spans="1:10" ht="21.75" customHeight="1">
      <c r="A123" s="9" t="s">
        <v>147</v>
      </c>
      <c r="B123" s="9" t="s">
        <v>124</v>
      </c>
      <c r="C123" s="9">
        <v>19865640</v>
      </c>
      <c r="D123" s="9">
        <v>350</v>
      </c>
      <c r="E123" s="9">
        <v>6952974000</v>
      </c>
      <c r="F123" s="9">
        <v>-870683982</v>
      </c>
      <c r="G123" s="9">
        <v>6082290018</v>
      </c>
      <c r="H123" s="9">
        <v>6952974000</v>
      </c>
      <c r="I123" s="9">
        <v>-870683982</v>
      </c>
      <c r="J123" s="9">
        <v>6082290018</v>
      </c>
    </row>
    <row r="124" spans="1:10" ht="21.75" customHeight="1">
      <c r="A124" s="9" t="s">
        <v>161</v>
      </c>
      <c r="B124" s="9" t="s">
        <v>124</v>
      </c>
      <c r="C124" s="9">
        <v>45293355</v>
      </c>
      <c r="D124" s="9">
        <v>161</v>
      </c>
      <c r="E124" s="9">
        <v>7292230155</v>
      </c>
      <c r="F124" s="9">
        <v>-396727547</v>
      </c>
      <c r="G124" s="9">
        <v>6895502608</v>
      </c>
      <c r="H124" s="9">
        <v>7292230155</v>
      </c>
      <c r="I124" s="9">
        <v>-396727547</v>
      </c>
      <c r="J124" s="9">
        <v>6895502608</v>
      </c>
    </row>
    <row r="125" spans="1:10" ht="21.75" customHeight="1">
      <c r="A125" s="9" t="s">
        <v>230</v>
      </c>
      <c r="B125" s="9" t="s">
        <v>418</v>
      </c>
      <c r="C125" s="9">
        <v>3340260</v>
      </c>
      <c r="D125" s="9">
        <v>450</v>
      </c>
      <c r="H125" s="9">
        <v>1503117000</v>
      </c>
      <c r="I125" s="9">
        <v>-43003347</v>
      </c>
      <c r="J125" s="9">
        <v>1460113653</v>
      </c>
    </row>
    <row r="126" spans="1:10" ht="21.75" customHeight="1">
      <c r="A126" s="9" t="s">
        <v>289</v>
      </c>
      <c r="B126" s="9" t="s">
        <v>418</v>
      </c>
      <c r="C126" s="9">
        <v>3484284</v>
      </c>
      <c r="D126" s="9">
        <v>840</v>
      </c>
      <c r="H126" s="9">
        <v>2926798560</v>
      </c>
      <c r="I126" s="9">
        <v>-74244556</v>
      </c>
      <c r="J126" s="9">
        <v>2852554004</v>
      </c>
    </row>
    <row r="127" spans="1:10" ht="21.75" customHeight="1">
      <c r="A127" s="9" t="s">
        <v>294</v>
      </c>
      <c r="B127" s="9" t="s">
        <v>372</v>
      </c>
      <c r="C127" s="9">
        <v>881085</v>
      </c>
      <c r="D127" s="9">
        <v>3480</v>
      </c>
      <c r="H127" s="9">
        <v>3066175800</v>
      </c>
      <c r="I127" s="9">
        <v>0</v>
      </c>
      <c r="J127" s="9">
        <v>3066175800</v>
      </c>
    </row>
    <row r="128" spans="1:10" ht="21.75" customHeight="1">
      <c r="A128" s="9" t="s">
        <v>353</v>
      </c>
      <c r="B128" s="9" t="s">
        <v>402</v>
      </c>
      <c r="C128" s="9">
        <v>5768835</v>
      </c>
      <c r="D128" s="9">
        <v>1565</v>
      </c>
      <c r="H128" s="9">
        <v>9028226775</v>
      </c>
      <c r="I128" s="9">
        <v>-474553127</v>
      </c>
      <c r="J128" s="9">
        <v>8553673648</v>
      </c>
    </row>
    <row r="129" spans="1:10" ht="21.75" customHeight="1">
      <c r="A129" s="9" t="s">
        <v>132</v>
      </c>
      <c r="B129" s="9" t="s">
        <v>367</v>
      </c>
      <c r="C129" s="9">
        <v>1764830</v>
      </c>
      <c r="D129" s="9">
        <v>1200</v>
      </c>
      <c r="E129" s="9">
        <v>2117796000</v>
      </c>
      <c r="F129" s="9">
        <v>-119100357</v>
      </c>
      <c r="G129" s="9">
        <v>1998695643</v>
      </c>
      <c r="H129" s="9">
        <v>2117796000</v>
      </c>
      <c r="I129" s="9">
        <v>-119100357</v>
      </c>
      <c r="J129" s="9">
        <v>1998695643</v>
      </c>
    </row>
    <row r="130" spans="1:10" ht="21.75" customHeight="1">
      <c r="A130" s="9" t="s">
        <v>253</v>
      </c>
      <c r="B130" s="9" t="s">
        <v>419</v>
      </c>
      <c r="C130" s="9">
        <v>4000000</v>
      </c>
      <c r="D130" s="9">
        <v>1360</v>
      </c>
      <c r="H130" s="9">
        <v>5440000000</v>
      </c>
      <c r="I130" s="9">
        <v>-77137070</v>
      </c>
      <c r="J130" s="9">
        <v>5362862930</v>
      </c>
    </row>
    <row r="131" spans="1:10" ht="21.75" customHeight="1">
      <c r="A131" s="9" t="s">
        <v>158</v>
      </c>
      <c r="B131" s="9" t="s">
        <v>393</v>
      </c>
      <c r="C131" s="9">
        <v>7941110</v>
      </c>
      <c r="D131" s="9">
        <v>940</v>
      </c>
      <c r="H131" s="9">
        <v>7464643400</v>
      </c>
      <c r="I131" s="9">
        <v>-294656976</v>
      </c>
      <c r="J131" s="9">
        <v>7169986424</v>
      </c>
    </row>
    <row r="132" spans="1:10" ht="21.75" customHeight="1">
      <c r="A132" s="9" t="s">
        <v>206</v>
      </c>
      <c r="B132" s="9" t="s">
        <v>369</v>
      </c>
      <c r="C132" s="9">
        <v>2141672</v>
      </c>
      <c r="D132" s="9">
        <v>650</v>
      </c>
      <c r="H132" s="9">
        <v>1392086800</v>
      </c>
      <c r="I132" s="9">
        <v>-73172635</v>
      </c>
      <c r="J132" s="9">
        <v>1318914165</v>
      </c>
    </row>
    <row r="133" spans="1:10" ht="21.75" customHeight="1">
      <c r="A133" s="9" t="s">
        <v>155</v>
      </c>
      <c r="B133" s="9" t="s">
        <v>420</v>
      </c>
      <c r="C133" s="9">
        <v>3667933</v>
      </c>
      <c r="D133" s="9">
        <v>580</v>
      </c>
      <c r="H133" s="9">
        <v>2127401140</v>
      </c>
      <c r="I133" s="9">
        <v>0</v>
      </c>
      <c r="J133" s="9">
        <v>2127401140</v>
      </c>
    </row>
    <row r="134" spans="1:10" ht="21.75" customHeight="1">
      <c r="A134" s="9" t="s">
        <v>145</v>
      </c>
      <c r="B134" s="9" t="s">
        <v>124</v>
      </c>
      <c r="C134" s="9">
        <v>2152500</v>
      </c>
      <c r="D134" s="9">
        <v>380</v>
      </c>
      <c r="E134" s="9">
        <v>817950000</v>
      </c>
      <c r="F134" s="9">
        <v>-5564286</v>
      </c>
      <c r="G134" s="9">
        <v>812385714</v>
      </c>
      <c r="H134" s="9">
        <v>817950000</v>
      </c>
      <c r="I134" s="9">
        <v>-5564286</v>
      </c>
      <c r="J134" s="9">
        <v>812385714</v>
      </c>
    </row>
    <row r="135" spans="1:10" ht="21.75" customHeight="1">
      <c r="A135" s="9" t="s">
        <v>242</v>
      </c>
      <c r="B135" s="9" t="s">
        <v>124</v>
      </c>
      <c r="C135" s="9">
        <v>6818151</v>
      </c>
      <c r="D135" s="9">
        <v>770</v>
      </c>
      <c r="E135" s="9">
        <v>5249976270</v>
      </c>
      <c r="F135" s="9">
        <v>-295247534</v>
      </c>
      <c r="G135" s="9">
        <v>4954728736</v>
      </c>
      <c r="H135" s="9">
        <v>5249976270</v>
      </c>
      <c r="I135" s="9">
        <v>-295247534</v>
      </c>
      <c r="J135" s="9">
        <v>4954728736</v>
      </c>
    </row>
    <row r="136" spans="1:10" ht="21.75" customHeight="1">
      <c r="A136" s="9" t="s">
        <v>310</v>
      </c>
      <c r="B136" s="9" t="s">
        <v>402</v>
      </c>
      <c r="C136" s="9">
        <v>1256499</v>
      </c>
      <c r="D136" s="9">
        <v>400</v>
      </c>
      <c r="H136" s="9">
        <v>502599600</v>
      </c>
      <c r="I136" s="9">
        <v>-7126665</v>
      </c>
      <c r="J136" s="9">
        <v>495472935</v>
      </c>
    </row>
    <row r="137" spans="1:10" ht="21.75" customHeight="1">
      <c r="A137" s="9" t="s">
        <v>363</v>
      </c>
      <c r="B137" s="9" t="s">
        <v>421</v>
      </c>
      <c r="C137" s="9">
        <v>700000</v>
      </c>
      <c r="D137" s="9">
        <v>1454</v>
      </c>
      <c r="E137" s="9">
        <v>1017800000</v>
      </c>
      <c r="F137" s="9">
        <v>-62180707</v>
      </c>
      <c r="G137" s="9">
        <v>955619293</v>
      </c>
      <c r="H137" s="9">
        <v>1017800000</v>
      </c>
      <c r="I137" s="9">
        <v>-62180707</v>
      </c>
      <c r="J137" s="9">
        <v>955619293</v>
      </c>
    </row>
    <row r="138" spans="1:10" ht="21.75" customHeight="1">
      <c r="A138" s="9" t="s">
        <v>156</v>
      </c>
      <c r="B138" s="9" t="s">
        <v>124</v>
      </c>
      <c r="C138" s="9">
        <v>893618</v>
      </c>
      <c r="D138" s="9">
        <v>450</v>
      </c>
      <c r="E138" s="9">
        <v>402128100</v>
      </c>
      <c r="F138" s="9">
        <v>-6769833</v>
      </c>
      <c r="G138" s="9">
        <v>395358267</v>
      </c>
      <c r="H138" s="9">
        <v>402128100</v>
      </c>
      <c r="I138" s="9">
        <v>-6769833</v>
      </c>
      <c r="J138" s="9">
        <v>395358267</v>
      </c>
    </row>
    <row r="139" spans="1:10" ht="21.75" customHeight="1">
      <c r="A139" s="9" t="s">
        <v>126</v>
      </c>
      <c r="B139" s="9" t="s">
        <v>124</v>
      </c>
      <c r="C139" s="9">
        <v>13385383</v>
      </c>
      <c r="D139" s="9">
        <v>450</v>
      </c>
      <c r="E139" s="9">
        <v>6023422350</v>
      </c>
      <c r="F139" s="9">
        <v>-353405180</v>
      </c>
      <c r="G139" s="9">
        <v>5670017170</v>
      </c>
      <c r="H139" s="9">
        <v>6023422350</v>
      </c>
      <c r="I139" s="9">
        <v>-353405180</v>
      </c>
      <c r="J139" s="9">
        <v>5670017170</v>
      </c>
    </row>
    <row r="140" spans="1:10" ht="21.75" customHeight="1">
      <c r="A140" s="9" t="s">
        <v>298</v>
      </c>
      <c r="B140" s="9" t="s">
        <v>383</v>
      </c>
      <c r="C140" s="9">
        <v>2470314</v>
      </c>
      <c r="D140" s="9">
        <v>850</v>
      </c>
      <c r="H140" s="9">
        <v>2099766900</v>
      </c>
      <c r="I140" s="9">
        <v>-119366594</v>
      </c>
      <c r="J140" s="9">
        <v>1980400306</v>
      </c>
    </row>
    <row r="141" spans="1:10" ht="21.75" customHeight="1">
      <c r="A141" s="9" t="s">
        <v>287</v>
      </c>
      <c r="B141" s="9" t="s">
        <v>124</v>
      </c>
      <c r="C141" s="9">
        <v>1483336</v>
      </c>
      <c r="D141" s="9">
        <v>50</v>
      </c>
      <c r="E141" s="9">
        <v>74166800</v>
      </c>
      <c r="F141" s="9">
        <v>-4216201</v>
      </c>
      <c r="G141" s="9">
        <v>69950599</v>
      </c>
      <c r="H141" s="9">
        <v>74166800</v>
      </c>
      <c r="I141" s="9">
        <v>-4216201</v>
      </c>
      <c r="J141" s="9">
        <v>69950599</v>
      </c>
    </row>
    <row r="142" spans="1:10" ht="21.75" customHeight="1">
      <c r="A142" s="9" t="s">
        <v>257</v>
      </c>
      <c r="B142" s="9" t="s">
        <v>422</v>
      </c>
      <c r="C142" s="9">
        <v>1086071</v>
      </c>
      <c r="D142" s="9">
        <v>2750</v>
      </c>
      <c r="H142" s="9">
        <v>2986695250</v>
      </c>
      <c r="I142" s="9">
        <v>-149626242</v>
      </c>
      <c r="J142" s="9">
        <v>2837069008</v>
      </c>
    </row>
    <row r="143" spans="1:10" ht="21.75" customHeight="1">
      <c r="A143" s="9" t="s">
        <v>331</v>
      </c>
      <c r="B143" s="9" t="s">
        <v>370</v>
      </c>
      <c r="C143" s="9">
        <v>14640871</v>
      </c>
      <c r="D143" s="9">
        <v>104</v>
      </c>
      <c r="H143" s="9">
        <v>1522650584</v>
      </c>
      <c r="I143" s="9">
        <v>0</v>
      </c>
      <c r="J143" s="9">
        <v>1522650584</v>
      </c>
    </row>
    <row r="144" spans="1:10" ht="21.75" customHeight="1">
      <c r="A144" s="9" t="s">
        <v>314</v>
      </c>
      <c r="B144" s="9" t="s">
        <v>366</v>
      </c>
      <c r="C144" s="9">
        <v>594875</v>
      </c>
      <c r="D144" s="9">
        <v>8600</v>
      </c>
      <c r="H144" s="9">
        <v>5115925000</v>
      </c>
      <c r="I144" s="9">
        <v>-86126684</v>
      </c>
      <c r="J144" s="9">
        <v>5029798316</v>
      </c>
    </row>
    <row r="145" spans="1:10" ht="21.75" customHeight="1">
      <c r="A145" s="9" t="s">
        <v>262</v>
      </c>
      <c r="B145" s="9" t="s">
        <v>423</v>
      </c>
      <c r="C145" s="9">
        <v>1458231</v>
      </c>
      <c r="D145" s="9">
        <v>650</v>
      </c>
      <c r="H145" s="9">
        <v>947850150</v>
      </c>
      <c r="I145" s="9">
        <v>-40994830</v>
      </c>
      <c r="J145" s="9">
        <v>906855320</v>
      </c>
    </row>
    <row r="146" spans="1:10" ht="21.75" customHeight="1">
      <c r="A146" s="9" t="s">
        <v>254</v>
      </c>
      <c r="B146" s="9" t="s">
        <v>124</v>
      </c>
      <c r="C146" s="9">
        <v>7556849</v>
      </c>
      <c r="D146" s="9">
        <v>200</v>
      </c>
      <c r="E146" s="9">
        <v>1511369800</v>
      </c>
      <c r="F146" s="9">
        <v>-79442540</v>
      </c>
      <c r="G146" s="9">
        <v>1431927260</v>
      </c>
      <c r="H146" s="9">
        <v>1511369800</v>
      </c>
      <c r="I146" s="9">
        <v>-79442540</v>
      </c>
      <c r="J146" s="9">
        <v>1431927260</v>
      </c>
    </row>
    <row r="147" spans="1:10" ht="21.75" customHeight="1">
      <c r="A147" s="9" t="s">
        <v>255</v>
      </c>
      <c r="B147" s="9" t="s">
        <v>424</v>
      </c>
      <c r="C147" s="9">
        <v>13587567</v>
      </c>
      <c r="D147" s="9">
        <v>150</v>
      </c>
      <c r="H147" s="9">
        <v>2038135050</v>
      </c>
      <c r="I147" s="9">
        <v>-45049201</v>
      </c>
      <c r="J147" s="9">
        <v>1993085849</v>
      </c>
    </row>
    <row r="148" spans="1:10" ht="21.75" customHeight="1">
      <c r="A148" s="9" t="s">
        <v>150</v>
      </c>
      <c r="B148" s="9" t="s">
        <v>124</v>
      </c>
      <c r="C148" s="9">
        <v>2458695</v>
      </c>
      <c r="D148" s="9">
        <v>3500</v>
      </c>
      <c r="E148" s="9">
        <v>8605432500</v>
      </c>
      <c r="F148" s="9">
        <v>0</v>
      </c>
      <c r="G148" s="9">
        <v>8605432500</v>
      </c>
      <c r="H148" s="9">
        <v>8605432500</v>
      </c>
      <c r="I148" s="9">
        <v>0</v>
      </c>
      <c r="J148" s="9">
        <v>8605432500</v>
      </c>
    </row>
    <row r="149" spans="1:10" ht="21.75" customHeight="1">
      <c r="A149" s="9" t="s">
        <v>157</v>
      </c>
      <c r="B149" s="9" t="s">
        <v>367</v>
      </c>
      <c r="C149" s="9">
        <v>1234887</v>
      </c>
      <c r="D149" s="9">
        <v>740</v>
      </c>
      <c r="H149" s="9">
        <v>913816380</v>
      </c>
      <c r="I149" s="9">
        <v>-9905869</v>
      </c>
      <c r="J149" s="9">
        <v>903910511</v>
      </c>
    </row>
    <row r="150" spans="1:10" ht="21.75" customHeight="1">
      <c r="A150" s="9" t="s">
        <v>244</v>
      </c>
      <c r="B150" s="9" t="s">
        <v>425</v>
      </c>
      <c r="C150" s="9">
        <v>3565617</v>
      </c>
      <c r="D150" s="9">
        <v>1189</v>
      </c>
      <c r="E150" s="9">
        <v>4239518613</v>
      </c>
      <c r="F150" s="9">
        <v>-243587577</v>
      </c>
      <c r="G150" s="9">
        <v>3995931036</v>
      </c>
      <c r="H150" s="9">
        <v>4239518613</v>
      </c>
      <c r="I150" s="9">
        <v>-243587577</v>
      </c>
      <c r="J150" s="9">
        <v>3995931036</v>
      </c>
    </row>
    <row r="151" spans="1:10" ht="21.75" customHeight="1">
      <c r="A151" s="9" t="s">
        <v>349</v>
      </c>
      <c r="B151" s="9" t="s">
        <v>426</v>
      </c>
      <c r="C151" s="9">
        <v>2326440</v>
      </c>
      <c r="D151" s="9">
        <v>3000</v>
      </c>
      <c r="E151" s="9">
        <v>6979320000</v>
      </c>
      <c r="F151" s="9">
        <v>0</v>
      </c>
      <c r="G151" s="9">
        <v>6979320000</v>
      </c>
      <c r="H151" s="9">
        <v>6979320000</v>
      </c>
      <c r="I151" s="9">
        <v>0</v>
      </c>
      <c r="J151" s="9">
        <v>6979320000</v>
      </c>
    </row>
    <row r="152" spans="1:10" ht="21.75" customHeight="1">
      <c r="A152" s="9" t="s">
        <v>196</v>
      </c>
      <c r="B152" s="9" t="s">
        <v>374</v>
      </c>
      <c r="C152" s="9">
        <v>635048</v>
      </c>
      <c r="D152" s="9">
        <v>4795</v>
      </c>
      <c r="H152" s="9">
        <v>3045055160</v>
      </c>
      <c r="I152" s="9">
        <v>-137415831</v>
      </c>
      <c r="J152" s="9">
        <v>2907639329</v>
      </c>
    </row>
    <row r="153" spans="1:10" ht="21.75" customHeight="1">
      <c r="A153" s="9" t="s">
        <v>245</v>
      </c>
      <c r="B153" s="9" t="s">
        <v>124</v>
      </c>
      <c r="C153" s="9">
        <v>3490646</v>
      </c>
      <c r="D153" s="9">
        <v>2000</v>
      </c>
      <c r="E153" s="9">
        <v>6981292000</v>
      </c>
      <c r="F153" s="9">
        <v>0</v>
      </c>
      <c r="G153" s="9">
        <v>6981292000</v>
      </c>
      <c r="H153" s="9">
        <v>6981292000</v>
      </c>
      <c r="I153" s="9">
        <v>0</v>
      </c>
      <c r="J153" s="9">
        <v>6981292000</v>
      </c>
    </row>
    <row r="154" spans="1:10" ht="21.75" customHeight="1">
      <c r="A154" s="9" t="s">
        <v>427</v>
      </c>
      <c r="B154" s="9" t="s">
        <v>124</v>
      </c>
      <c r="C154" s="9">
        <v>275726</v>
      </c>
      <c r="D154" s="9">
        <v>1420</v>
      </c>
      <c r="E154" s="9">
        <v>391530920</v>
      </c>
      <c r="F154" s="9">
        <v>-6072293</v>
      </c>
      <c r="G154" s="9">
        <v>385458627</v>
      </c>
      <c r="H154" s="9">
        <v>391530920</v>
      </c>
      <c r="I154" s="9">
        <v>-6072293</v>
      </c>
      <c r="J154" s="9">
        <v>385458627</v>
      </c>
    </row>
    <row r="155" spans="1:10" ht="21.75" customHeight="1">
      <c r="A155" s="9" t="s">
        <v>317</v>
      </c>
      <c r="B155" s="9" t="s">
        <v>402</v>
      </c>
      <c r="C155" s="9">
        <v>3335116</v>
      </c>
      <c r="D155" s="9">
        <v>550</v>
      </c>
      <c r="H155" s="9">
        <v>1834313800</v>
      </c>
      <c r="I155" s="9">
        <v>-97544573</v>
      </c>
      <c r="J155" s="9">
        <v>1736769227</v>
      </c>
    </row>
    <row r="156" spans="1:10" ht="21.75" customHeight="1">
      <c r="A156" s="9" t="s">
        <v>152</v>
      </c>
      <c r="B156" s="9" t="s">
        <v>367</v>
      </c>
      <c r="C156" s="9">
        <v>16099135</v>
      </c>
      <c r="D156" s="9">
        <v>425</v>
      </c>
      <c r="H156" s="9">
        <v>6842132375</v>
      </c>
      <c r="I156" s="9">
        <v>-397285106</v>
      </c>
      <c r="J156" s="9">
        <v>6444847269</v>
      </c>
    </row>
    <row r="157" spans="1:10" ht="21.75" customHeight="1">
      <c r="A157" s="9" t="s">
        <v>153</v>
      </c>
      <c r="B157" s="9" t="s">
        <v>422</v>
      </c>
      <c r="C157" s="9">
        <v>3737468</v>
      </c>
      <c r="D157" s="9">
        <v>2050</v>
      </c>
      <c r="H157" s="9">
        <v>7661809400</v>
      </c>
      <c r="I157" s="9">
        <v>-336176313</v>
      </c>
      <c r="J157" s="9">
        <v>7325633087</v>
      </c>
    </row>
    <row r="158" spans="1:10" ht="21.75" customHeight="1">
      <c r="A158" s="9" t="s">
        <v>241</v>
      </c>
      <c r="B158" s="9" t="s">
        <v>397</v>
      </c>
      <c r="C158" s="9">
        <v>10456686</v>
      </c>
      <c r="D158" s="9">
        <v>85</v>
      </c>
      <c r="H158" s="9">
        <v>888818310</v>
      </c>
      <c r="I158" s="9">
        <v>-6046383</v>
      </c>
      <c r="J158" s="9">
        <v>882771927</v>
      </c>
    </row>
    <row r="159" spans="1:10" ht="21.75" customHeight="1">
      <c r="A159" s="9" t="s">
        <v>221</v>
      </c>
      <c r="B159" s="9" t="s">
        <v>383</v>
      </c>
      <c r="C159" s="9">
        <v>5623567</v>
      </c>
      <c r="D159" s="9">
        <v>800</v>
      </c>
      <c r="H159" s="9">
        <v>4498853600</v>
      </c>
      <c r="I159" s="9">
        <v>-253005988</v>
      </c>
      <c r="J159" s="9">
        <v>4245847612</v>
      </c>
    </row>
    <row r="160" spans="1:10" ht="21.75" customHeight="1">
      <c r="A160" s="9" t="s">
        <v>133</v>
      </c>
      <c r="B160" s="9" t="s">
        <v>428</v>
      </c>
      <c r="C160" s="9">
        <v>2800000</v>
      </c>
      <c r="D160" s="9">
        <v>450</v>
      </c>
      <c r="E160" s="9">
        <v>1260000000</v>
      </c>
      <c r="F160" s="9">
        <v>-66229721</v>
      </c>
      <c r="G160" s="9">
        <v>1193770279</v>
      </c>
      <c r="H160" s="9">
        <v>1260000000</v>
      </c>
      <c r="I160" s="9">
        <v>-66229721</v>
      </c>
      <c r="J160" s="9">
        <v>1193770279</v>
      </c>
    </row>
    <row r="161" spans="1:10" ht="21.75" customHeight="1">
      <c r="A161" s="9" t="s">
        <v>137</v>
      </c>
      <c r="B161" s="9" t="s">
        <v>383</v>
      </c>
      <c r="C161" s="9">
        <v>10285372</v>
      </c>
      <c r="D161" s="9">
        <v>600</v>
      </c>
      <c r="H161" s="9">
        <v>6171223200</v>
      </c>
      <c r="I161" s="9">
        <v>-286189972</v>
      </c>
      <c r="J161" s="9">
        <v>5885033228</v>
      </c>
    </row>
    <row r="162" spans="1:10" ht="21.75" customHeight="1">
      <c r="A162" s="9" t="s">
        <v>263</v>
      </c>
      <c r="B162" s="9" t="s">
        <v>429</v>
      </c>
      <c r="C162" s="9">
        <v>12061503</v>
      </c>
      <c r="D162" s="9">
        <v>80</v>
      </c>
      <c r="H162" s="9">
        <v>964920240</v>
      </c>
      <c r="I162" s="9">
        <v>-45948583</v>
      </c>
      <c r="J162" s="9">
        <v>918971657</v>
      </c>
    </row>
    <row r="163" spans="1:10" ht="21.75" customHeight="1">
      <c r="A163" s="9" t="s">
        <v>250</v>
      </c>
      <c r="B163" s="9" t="s">
        <v>430</v>
      </c>
      <c r="C163" s="9">
        <v>8205417</v>
      </c>
      <c r="D163" s="9">
        <v>400</v>
      </c>
      <c r="H163" s="9">
        <v>3282166800</v>
      </c>
      <c r="I163" s="9">
        <v>-166455793</v>
      </c>
      <c r="J163" s="9">
        <v>3115711007</v>
      </c>
    </row>
    <row r="164" spans="1:10" ht="21.75" customHeight="1">
      <c r="A164" s="9" t="s">
        <v>238</v>
      </c>
      <c r="B164" s="9" t="s">
        <v>124</v>
      </c>
      <c r="C164" s="9">
        <v>8769322</v>
      </c>
      <c r="D164" s="9">
        <v>160</v>
      </c>
      <c r="E164" s="9">
        <v>1403091520</v>
      </c>
      <c r="F164" s="9">
        <v>-79762309</v>
      </c>
      <c r="G164" s="9">
        <v>1323329211</v>
      </c>
      <c r="H164" s="9">
        <v>1403091520</v>
      </c>
      <c r="I164" s="9">
        <v>-79762309</v>
      </c>
      <c r="J164" s="9">
        <v>1323329211</v>
      </c>
    </row>
    <row r="165" spans="1:10" ht="21.75" customHeight="1">
      <c r="A165" s="9" t="s">
        <v>197</v>
      </c>
      <c r="B165" s="9" t="s">
        <v>431</v>
      </c>
      <c r="C165" s="9">
        <v>206895</v>
      </c>
      <c r="D165" s="9">
        <v>6800</v>
      </c>
      <c r="H165" s="9">
        <v>1406886000</v>
      </c>
      <c r="I165" s="9">
        <v>0</v>
      </c>
      <c r="J165" s="9">
        <v>1406886000</v>
      </c>
    </row>
    <row r="166" spans="1:10" ht="21.75" customHeight="1">
      <c r="A166" s="9" t="s">
        <v>296</v>
      </c>
      <c r="B166" s="9" t="s">
        <v>388</v>
      </c>
      <c r="C166" s="9">
        <v>21351892</v>
      </c>
      <c r="D166" s="9">
        <v>60</v>
      </c>
      <c r="H166" s="9">
        <v>1281113520</v>
      </c>
      <c r="I166" s="9">
        <v>-26636163</v>
      </c>
      <c r="J166" s="9">
        <v>1254477357</v>
      </c>
    </row>
    <row r="167" spans="1:10" ht="21.75" customHeight="1">
      <c r="A167" s="9" t="s">
        <v>169</v>
      </c>
      <c r="B167" s="9" t="s">
        <v>394</v>
      </c>
      <c r="C167" s="9">
        <v>882048</v>
      </c>
      <c r="D167" s="9">
        <v>5800</v>
      </c>
      <c r="H167" s="9">
        <v>5115878400</v>
      </c>
      <c r="I167" s="9">
        <v>-221263417</v>
      </c>
      <c r="J167" s="9">
        <v>4894614983</v>
      </c>
    </row>
    <row r="168" spans="1:10" ht="21.75" customHeight="1">
      <c r="A168" s="9" t="s">
        <v>130</v>
      </c>
      <c r="B168" s="9" t="s">
        <v>412</v>
      </c>
      <c r="C168" s="9">
        <v>2238593</v>
      </c>
      <c r="D168" s="9">
        <v>4850</v>
      </c>
      <c r="H168" s="9">
        <v>10857176050</v>
      </c>
      <c r="I168" s="9">
        <v>0</v>
      </c>
      <c r="J168" s="9">
        <v>10857176050</v>
      </c>
    </row>
    <row r="169" spans="1:10" ht="21.75" customHeight="1">
      <c r="A169" s="9" t="s">
        <v>128</v>
      </c>
      <c r="B169" s="9" t="s">
        <v>393</v>
      </c>
      <c r="C169" s="9">
        <v>4500000</v>
      </c>
      <c r="D169" s="9">
        <v>1100</v>
      </c>
      <c r="H169" s="9">
        <v>4950000000</v>
      </c>
      <c r="I169" s="9">
        <v>0</v>
      </c>
      <c r="J169" s="9">
        <v>4950000000</v>
      </c>
    </row>
    <row r="170" spans="1:10" ht="21.75" customHeight="1">
      <c r="A170" s="9" t="s">
        <v>148</v>
      </c>
      <c r="B170" s="9" t="s">
        <v>368</v>
      </c>
      <c r="C170" s="9">
        <v>3329460</v>
      </c>
      <c r="D170" s="9">
        <v>1227</v>
      </c>
      <c r="H170" s="9">
        <v>4085247420</v>
      </c>
      <c r="I170" s="9">
        <v>-179247922</v>
      </c>
      <c r="J170" s="9">
        <v>3905999498</v>
      </c>
    </row>
    <row r="171" spans="1:10" ht="21.75" customHeight="1">
      <c r="A171" s="9" t="s">
        <v>270</v>
      </c>
      <c r="B171" s="9" t="s">
        <v>425</v>
      </c>
      <c r="C171" s="9">
        <v>392921</v>
      </c>
      <c r="D171" s="9">
        <v>3850</v>
      </c>
      <c r="E171" s="9">
        <v>1512745850</v>
      </c>
      <c r="F171" s="9">
        <v>-15383856</v>
      </c>
      <c r="G171" s="9">
        <v>1497361994</v>
      </c>
      <c r="H171" s="9">
        <v>1512745850</v>
      </c>
      <c r="I171" s="9">
        <v>-15383856</v>
      </c>
      <c r="J171" s="9">
        <v>1497361994</v>
      </c>
    </row>
    <row r="172" spans="1:10" ht="21.75" customHeight="1">
      <c r="A172" s="9" t="s">
        <v>194</v>
      </c>
      <c r="B172" s="9" t="s">
        <v>413</v>
      </c>
      <c r="C172" s="9">
        <v>6591749</v>
      </c>
      <c r="D172" s="9">
        <v>487</v>
      </c>
      <c r="H172" s="9">
        <v>3210181763</v>
      </c>
      <c r="I172" s="9">
        <v>-108351602</v>
      </c>
      <c r="J172" s="9">
        <v>3101830161</v>
      </c>
    </row>
    <row r="173" spans="1:10" ht="21.75" customHeight="1">
      <c r="A173" s="9" t="s">
        <v>256</v>
      </c>
      <c r="B173" s="9" t="s">
        <v>377</v>
      </c>
      <c r="C173" s="9">
        <v>14595002</v>
      </c>
      <c r="D173" s="9">
        <v>441</v>
      </c>
      <c r="H173" s="9">
        <v>6436395882</v>
      </c>
      <c r="I173" s="9">
        <v>-377635090</v>
      </c>
      <c r="J173" s="9">
        <v>6058760792</v>
      </c>
    </row>
    <row r="174" spans="1:10" ht="21.75" customHeight="1">
      <c r="A174" s="9" t="s">
        <v>228</v>
      </c>
      <c r="B174" s="9" t="s">
        <v>391</v>
      </c>
      <c r="C174" s="9">
        <v>5968712</v>
      </c>
      <c r="D174" s="9">
        <v>1100</v>
      </c>
      <c r="H174" s="9">
        <v>6565583200</v>
      </c>
      <c r="I174" s="9">
        <v>-187837710</v>
      </c>
      <c r="J174" s="9">
        <v>6377745490</v>
      </c>
    </row>
    <row r="175" spans="1:10" ht="21.75" customHeight="1">
      <c r="A175" s="9" t="s">
        <v>273</v>
      </c>
      <c r="B175" s="9" t="s">
        <v>421</v>
      </c>
      <c r="C175" s="9">
        <v>450000</v>
      </c>
      <c r="D175" s="9">
        <v>150</v>
      </c>
      <c r="E175" s="9">
        <v>67500000</v>
      </c>
      <c r="F175" s="9">
        <v>-3130307</v>
      </c>
      <c r="G175" s="9">
        <v>64369693</v>
      </c>
      <c r="H175" s="9">
        <v>67500000</v>
      </c>
      <c r="I175" s="9">
        <v>-3130307</v>
      </c>
      <c r="J175" s="9">
        <v>64369693</v>
      </c>
    </row>
    <row r="176" spans="1:10" ht="21.75" customHeight="1">
      <c r="A176" s="9" t="s">
        <v>357</v>
      </c>
      <c r="B176" s="9" t="s">
        <v>369</v>
      </c>
      <c r="C176" s="9">
        <v>1505716</v>
      </c>
      <c r="D176" s="9">
        <v>1000</v>
      </c>
      <c r="H176" s="9">
        <v>1505716000</v>
      </c>
      <c r="I176" s="9">
        <v>-79145358</v>
      </c>
      <c r="J176" s="9">
        <v>1426570642</v>
      </c>
    </row>
    <row r="177" spans="1:10" ht="21.75" customHeight="1">
      <c r="A177" s="9" t="s">
        <v>236</v>
      </c>
      <c r="B177" s="9" t="s">
        <v>432</v>
      </c>
      <c r="C177" s="9">
        <v>14321983</v>
      </c>
      <c r="D177" s="9">
        <v>200</v>
      </c>
      <c r="H177" s="9">
        <v>2864396600</v>
      </c>
      <c r="I177" s="9">
        <v>0</v>
      </c>
      <c r="J177" s="9">
        <v>2864396600</v>
      </c>
    </row>
    <row r="178" spans="1:10" ht="21.75" customHeight="1">
      <c r="A178" s="9" t="s">
        <v>335</v>
      </c>
      <c r="B178" s="9" t="s">
        <v>432</v>
      </c>
      <c r="C178" s="9">
        <v>26913216</v>
      </c>
      <c r="D178" s="9">
        <v>145</v>
      </c>
      <c r="H178" s="9">
        <v>3902416320</v>
      </c>
      <c r="I178" s="9">
        <v>-81136758</v>
      </c>
      <c r="J178" s="9">
        <v>3821279562</v>
      </c>
    </row>
    <row r="179" spans="1:10" ht="21.75" customHeight="1">
      <c r="A179" s="9" t="s">
        <v>163</v>
      </c>
      <c r="B179" s="9" t="s">
        <v>371</v>
      </c>
      <c r="C179" s="9">
        <v>11242355</v>
      </c>
      <c r="D179" s="9">
        <v>190</v>
      </c>
      <c r="H179" s="9">
        <v>2136047450</v>
      </c>
      <c r="I179" s="9">
        <v>-35960395</v>
      </c>
      <c r="J179" s="9">
        <v>2100087055</v>
      </c>
    </row>
    <row r="180" spans="1:10" ht="21.75" customHeight="1">
      <c r="A180" s="9" t="s">
        <v>188</v>
      </c>
      <c r="B180" s="9" t="s">
        <v>433</v>
      </c>
      <c r="C180" s="9">
        <v>8112972</v>
      </c>
      <c r="D180" s="9">
        <v>40</v>
      </c>
      <c r="H180" s="9">
        <v>324518880</v>
      </c>
      <c r="I180" s="9">
        <v>0</v>
      </c>
      <c r="J180" s="9">
        <v>324518880</v>
      </c>
    </row>
    <row r="181" spans="1:10" ht="16.5" thickBot="1">
      <c r="A181" s="52" t="s">
        <v>2</v>
      </c>
      <c r="B181" s="52">
        <f t="shared" ref="B181:J181" si="0">SUM(B7:B180)</f>
        <v>0</v>
      </c>
      <c r="C181" s="52">
        <f t="shared" si="0"/>
        <v>1283152145</v>
      </c>
      <c r="D181" s="52">
        <f t="shared" si="0"/>
        <v>300177</v>
      </c>
      <c r="E181" s="52">
        <f t="shared" si="0"/>
        <v>125711995601</v>
      </c>
      <c r="F181" s="52">
        <f t="shared" si="0"/>
        <v>-4980627463</v>
      </c>
      <c r="G181" s="52">
        <f t="shared" si="0"/>
        <v>120731368138</v>
      </c>
      <c r="H181" s="52">
        <f t="shared" si="0"/>
        <v>565111312891</v>
      </c>
      <c r="I181" s="52">
        <f t="shared" si="0"/>
        <v>-16768640449</v>
      </c>
      <c r="J181" s="52">
        <f t="shared" si="0"/>
        <v>548342672442</v>
      </c>
    </row>
    <row r="182" spans="1:10" ht="16.5" thickTop="1">
      <c r="H182" s="56"/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" right="0.7" top="0.75" bottom="0.75" header="0.3" footer="0.3"/>
  <pageSetup scale="86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rightToLeft="1" zoomScaleNormal="100" zoomScaleSheetLayoutView="106" workbookViewId="0">
      <selection activeCell="D23" sqref="D23"/>
    </sheetView>
  </sheetViews>
  <sheetFormatPr defaultColWidth="9.125" defaultRowHeight="15.75"/>
  <cols>
    <col min="1" max="1" width="6" style="19" bestFit="1" customWidth="1"/>
    <col min="2" max="2" width="9.375" style="19" bestFit="1" customWidth="1"/>
    <col min="3" max="3" width="18.375" style="19" bestFit="1" customWidth="1"/>
    <col min="4" max="4" width="12" style="19" bestFit="1" customWidth="1"/>
    <col min="5" max="6" width="13.5" style="19" bestFit="1" customWidth="1"/>
    <col min="7" max="16384" width="9.125" style="19"/>
  </cols>
  <sheetData>
    <row r="1" spans="1:10" ht="21">
      <c r="A1" s="147" t="s">
        <v>113</v>
      </c>
      <c r="B1" s="147"/>
      <c r="C1" s="147"/>
      <c r="D1" s="147"/>
      <c r="E1" s="147"/>
      <c r="F1" s="147"/>
      <c r="G1" s="18"/>
    </row>
    <row r="2" spans="1:10" ht="21">
      <c r="A2" s="147" t="s">
        <v>79</v>
      </c>
      <c r="B2" s="147"/>
      <c r="C2" s="147"/>
      <c r="D2" s="147"/>
      <c r="E2" s="147"/>
      <c r="F2" s="147"/>
      <c r="G2" s="18"/>
    </row>
    <row r="3" spans="1:10" ht="21">
      <c r="A3" s="147" t="s">
        <v>115</v>
      </c>
      <c r="B3" s="147"/>
      <c r="C3" s="147"/>
      <c r="D3" s="147"/>
      <c r="E3" s="147"/>
      <c r="F3" s="147"/>
      <c r="G3" s="18"/>
    </row>
    <row r="4" spans="1:10" ht="21">
      <c r="A4" s="116" t="s">
        <v>95</v>
      </c>
      <c r="B4" s="116"/>
      <c r="C4" s="116"/>
      <c r="D4" s="116"/>
      <c r="E4" s="116"/>
      <c r="F4" s="116"/>
      <c r="G4" s="20"/>
      <c r="H4" s="20"/>
      <c r="I4" s="20"/>
      <c r="J4" s="20"/>
    </row>
    <row r="5" spans="1:10" ht="16.5" thickBot="1">
      <c r="A5" s="21"/>
      <c r="B5" s="21"/>
      <c r="C5" s="21"/>
      <c r="D5" s="21"/>
      <c r="E5" s="22" t="s">
        <v>109</v>
      </c>
      <c r="F5" s="22" t="s">
        <v>116</v>
      </c>
      <c r="G5" s="23"/>
    </row>
    <row r="6" spans="1:10" ht="47.25" customHeight="1" thickBot="1">
      <c r="A6" s="24" t="s">
        <v>98</v>
      </c>
      <c r="B6" s="24" t="s">
        <v>99</v>
      </c>
      <c r="C6" s="24" t="s">
        <v>103</v>
      </c>
      <c r="D6" s="24" t="s">
        <v>100</v>
      </c>
      <c r="E6" s="25" t="s">
        <v>104</v>
      </c>
      <c r="F6" s="25" t="s">
        <v>104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rightToLeft="1" zoomScaleNormal="100" workbookViewId="0">
      <selection activeCell="D23" sqref="D23"/>
    </sheetView>
  </sheetViews>
  <sheetFormatPr defaultRowHeight="18"/>
  <cols>
    <col min="1" max="1" width="3.625" style="10" bestFit="1" customWidth="1"/>
    <col min="2" max="2" width="11.375" style="10" bestFit="1" customWidth="1"/>
    <col min="3" max="3" width="9.125" style="10" bestFit="1" customWidth="1"/>
    <col min="4" max="4" width="9" style="10" bestFit="1" customWidth="1"/>
    <col min="5" max="5" width="7.25" style="10" bestFit="1" customWidth="1"/>
    <col min="6" max="6" width="7.875" style="10" bestFit="1" customWidth="1"/>
    <col min="7" max="7" width="8.25" style="10" bestFit="1" customWidth="1"/>
    <col min="8" max="8" width="7.25" style="10" bestFit="1" customWidth="1"/>
    <col min="9" max="9" width="7.875" style="10" bestFit="1" customWidth="1"/>
    <col min="10" max="10" width="8.25" style="10" bestFit="1" customWidth="1"/>
    <col min="11" max="16384" width="9" style="10"/>
  </cols>
  <sheetData>
    <row r="1" spans="1:10" ht="19.5">
      <c r="A1" s="164" t="s">
        <v>113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0" ht="19.5">
      <c r="A2" s="164" t="s">
        <v>79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0" ht="19.5">
      <c r="A3" s="164" t="s">
        <v>115</v>
      </c>
      <c r="B3" s="164"/>
      <c r="C3" s="164"/>
      <c r="D3" s="164"/>
      <c r="E3" s="164"/>
      <c r="F3" s="164"/>
      <c r="G3" s="164"/>
      <c r="H3" s="164"/>
      <c r="I3" s="164"/>
      <c r="J3" s="164"/>
    </row>
    <row r="4" spans="1:10" ht="21">
      <c r="A4" s="116" t="s">
        <v>106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10" ht="16.5" customHeight="1" thickBot="1">
      <c r="A5" s="15"/>
      <c r="B5" s="163"/>
      <c r="C5" s="163"/>
      <c r="D5" s="163"/>
      <c r="E5" s="153" t="s">
        <v>109</v>
      </c>
      <c r="F5" s="153"/>
      <c r="G5" s="153"/>
      <c r="H5" s="153" t="s">
        <v>116</v>
      </c>
      <c r="I5" s="153"/>
      <c r="J5" s="153"/>
    </row>
    <row r="6" spans="1:10" ht="38.25" customHeight="1" thickBot="1">
      <c r="A6" s="16" t="s">
        <v>53</v>
      </c>
      <c r="B6" s="17" t="s">
        <v>62</v>
      </c>
      <c r="C6" s="17" t="s">
        <v>29</v>
      </c>
      <c r="D6" s="17" t="s">
        <v>51</v>
      </c>
      <c r="E6" s="17" t="s">
        <v>80</v>
      </c>
      <c r="F6" s="17" t="s">
        <v>58</v>
      </c>
      <c r="G6" s="17" t="s">
        <v>63</v>
      </c>
      <c r="H6" s="17" t="s">
        <v>80</v>
      </c>
      <c r="I6" s="17" t="s">
        <v>58</v>
      </c>
      <c r="J6" s="17" t="s">
        <v>63</v>
      </c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" right="0.7" top="0.75" bottom="0.75" header="0.3" footer="0.3"/>
  <pageSetup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G14"/>
  <sheetViews>
    <sheetView rightToLeft="1" tabSelected="1" view="pageBreakPreview" zoomScaleNormal="100" zoomScaleSheetLayoutView="100" workbookViewId="0">
      <selection activeCell="A19" sqref="A19:K24"/>
    </sheetView>
  </sheetViews>
  <sheetFormatPr defaultRowHeight="18"/>
  <cols>
    <col min="1" max="1" width="5.375" style="10" bestFit="1" customWidth="1"/>
    <col min="2" max="2" width="8.875" style="10" bestFit="1" customWidth="1"/>
    <col min="3" max="3" width="7.875" style="10" bestFit="1" customWidth="1"/>
    <col min="4" max="4" width="8.875" style="10" bestFit="1" customWidth="1"/>
    <col min="5" max="5" width="10" style="10" bestFit="1" customWidth="1"/>
    <col min="6" max="6" width="7.875" style="10" bestFit="1" customWidth="1"/>
    <col min="7" max="7" width="10" style="10" bestFit="1" customWidth="1"/>
    <col min="8" max="16384" width="9" style="10"/>
  </cols>
  <sheetData>
    <row r="1" spans="1:7" ht="19.5">
      <c r="A1" s="164" t="s">
        <v>113</v>
      </c>
      <c r="B1" s="164"/>
      <c r="C1" s="164"/>
      <c r="D1" s="164"/>
      <c r="E1" s="164"/>
      <c r="F1" s="164"/>
      <c r="G1" s="164"/>
    </row>
    <row r="2" spans="1:7" ht="19.5">
      <c r="A2" s="164" t="s">
        <v>79</v>
      </c>
      <c r="B2" s="164"/>
      <c r="C2" s="164"/>
      <c r="D2" s="164"/>
      <c r="E2" s="164"/>
      <c r="F2" s="164"/>
      <c r="G2" s="164"/>
    </row>
    <row r="3" spans="1:7" ht="19.5">
      <c r="A3" s="164" t="s">
        <v>115</v>
      </c>
      <c r="B3" s="164"/>
      <c r="C3" s="164"/>
      <c r="D3" s="164"/>
      <c r="E3" s="164"/>
      <c r="F3" s="164"/>
      <c r="G3" s="164"/>
    </row>
    <row r="4" spans="1:7" ht="21">
      <c r="A4" s="116" t="s">
        <v>107</v>
      </c>
      <c r="B4" s="116"/>
      <c r="C4" s="116"/>
      <c r="D4" s="116"/>
      <c r="E4" s="116"/>
      <c r="F4" s="116"/>
      <c r="G4" s="116"/>
    </row>
    <row r="5" spans="1:7" ht="16.5" customHeight="1" thickBot="1">
      <c r="A5" s="15"/>
      <c r="B5" s="153" t="s">
        <v>109</v>
      </c>
      <c r="C5" s="153"/>
      <c r="D5" s="153"/>
      <c r="E5" s="153" t="s">
        <v>116</v>
      </c>
      <c r="F5" s="153"/>
      <c r="G5" s="153"/>
    </row>
    <row r="6" spans="1:7" ht="38.25" customHeight="1" thickBot="1">
      <c r="A6" s="16" t="s">
        <v>53</v>
      </c>
      <c r="B6" s="17" t="s">
        <v>80</v>
      </c>
      <c r="C6" s="17" t="s">
        <v>58</v>
      </c>
      <c r="D6" s="17" t="s">
        <v>63</v>
      </c>
      <c r="E6" s="17" t="s">
        <v>80</v>
      </c>
      <c r="F6" s="17" t="s">
        <v>58</v>
      </c>
      <c r="G6" s="17" t="s">
        <v>63</v>
      </c>
    </row>
    <row r="7" spans="1:7">
      <c r="A7" s="9" t="s">
        <v>119</v>
      </c>
      <c r="B7" s="9">
        <v>3732</v>
      </c>
      <c r="C7" s="9">
        <v>0</v>
      </c>
      <c r="D7" s="9">
        <v>3732</v>
      </c>
      <c r="E7" s="9">
        <v>6829014</v>
      </c>
      <c r="F7" s="9">
        <v>0</v>
      </c>
      <c r="G7" s="9">
        <v>6829014</v>
      </c>
    </row>
    <row r="8" spans="1:7">
      <c r="A8" s="9" t="s">
        <v>117</v>
      </c>
      <c r="B8" s="9">
        <v>63126</v>
      </c>
      <c r="C8" s="9">
        <v>0</v>
      </c>
      <c r="D8" s="9">
        <v>63126</v>
      </c>
      <c r="E8" s="9">
        <v>382530</v>
      </c>
      <c r="F8" s="9">
        <v>0</v>
      </c>
      <c r="G8" s="9">
        <v>382530</v>
      </c>
    </row>
    <row r="9" spans="1:7">
      <c r="A9" s="9" t="s">
        <v>118</v>
      </c>
      <c r="B9" s="9">
        <v>29068</v>
      </c>
      <c r="C9" s="9">
        <v>0</v>
      </c>
      <c r="D9" s="9">
        <v>29068</v>
      </c>
      <c r="E9" s="9">
        <v>123458</v>
      </c>
      <c r="F9" s="9">
        <v>0</v>
      </c>
      <c r="G9" s="9">
        <v>123458</v>
      </c>
    </row>
    <row r="10" spans="1:7">
      <c r="A10" s="9" t="s">
        <v>121</v>
      </c>
      <c r="B10" s="9">
        <v>412541</v>
      </c>
      <c r="C10" s="9">
        <v>0</v>
      </c>
      <c r="D10" s="9">
        <v>412541</v>
      </c>
      <c r="E10" s="9">
        <v>3344087</v>
      </c>
      <c r="F10" s="9">
        <v>0</v>
      </c>
      <c r="G10" s="9">
        <v>3344087</v>
      </c>
    </row>
    <row r="11" spans="1:7">
      <c r="A11" s="9" t="s">
        <v>120</v>
      </c>
      <c r="B11" s="9">
        <v>789507957</v>
      </c>
      <c r="C11" s="9">
        <v>0</v>
      </c>
      <c r="D11" s="9">
        <v>789507957</v>
      </c>
      <c r="E11" s="9">
        <v>4879334003</v>
      </c>
      <c r="F11" s="9">
        <v>0</v>
      </c>
      <c r="G11" s="9">
        <v>4879334003</v>
      </c>
    </row>
    <row r="12" spans="1:7">
      <c r="A12" s="9" t="s">
        <v>122</v>
      </c>
      <c r="E12" s="9">
        <v>3101</v>
      </c>
      <c r="F12" s="9">
        <v>0</v>
      </c>
      <c r="G12" s="9">
        <v>3101</v>
      </c>
    </row>
    <row r="13" spans="1:7" ht="18.75" thickBot="1">
      <c r="A13" s="52" t="s">
        <v>2</v>
      </c>
      <c r="B13" s="52">
        <f t="shared" ref="B13:G13" si="0">SUM(B7:B12)</f>
        <v>790016424</v>
      </c>
      <c r="C13" s="52">
        <f t="shared" si="0"/>
        <v>0</v>
      </c>
      <c r="D13" s="52">
        <f t="shared" si="0"/>
        <v>790016424</v>
      </c>
      <c r="E13" s="52">
        <f t="shared" si="0"/>
        <v>4890016193</v>
      </c>
      <c r="F13" s="52">
        <f t="shared" si="0"/>
        <v>0</v>
      </c>
      <c r="G13" s="52">
        <f t="shared" si="0"/>
        <v>4890016193</v>
      </c>
    </row>
    <row r="14" spans="1:7" ht="18.75" thickTop="1"/>
  </sheetData>
  <mergeCells count="6">
    <mergeCell ref="A1:G1"/>
    <mergeCell ref="A2:G2"/>
    <mergeCell ref="A3:G3"/>
    <mergeCell ref="A4:G4"/>
    <mergeCell ref="B5:D5"/>
    <mergeCell ref="E5:G5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I148"/>
  <sheetViews>
    <sheetView rightToLeft="1" tabSelected="1" view="pageBreakPreview" zoomScaleNormal="100" zoomScaleSheetLayoutView="100" workbookViewId="0">
      <selection activeCell="A19" sqref="A19:K24"/>
    </sheetView>
  </sheetViews>
  <sheetFormatPr defaultRowHeight="18"/>
  <cols>
    <col min="1" max="1" width="18.375" style="10" bestFit="1" customWidth="1"/>
    <col min="2" max="2" width="8.875" style="10" bestFit="1" customWidth="1"/>
    <col min="3" max="3" width="12.625" style="10" bestFit="1" customWidth="1"/>
    <col min="4" max="4" width="11.5" style="10" bestFit="1" customWidth="1"/>
    <col min="5" max="5" width="16.5" style="10" bestFit="1" customWidth="1"/>
    <col min="6" max="6" width="8.875" style="10" bestFit="1" customWidth="1"/>
    <col min="7" max="8" width="12.625" style="10" bestFit="1" customWidth="1"/>
    <col min="9" max="9" width="16.5" style="10" bestFit="1" customWidth="1"/>
    <col min="10" max="16384" width="9" style="10"/>
  </cols>
  <sheetData>
    <row r="1" spans="1:9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</row>
    <row r="2" spans="1:9" ht="21">
      <c r="A2" s="109" t="s">
        <v>79</v>
      </c>
      <c r="B2" s="109"/>
      <c r="C2" s="109"/>
      <c r="D2" s="109"/>
      <c r="E2" s="109"/>
      <c r="F2" s="109"/>
      <c r="G2" s="109"/>
      <c r="H2" s="109"/>
      <c r="I2" s="109"/>
    </row>
    <row r="3" spans="1:9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</row>
    <row r="4" spans="1:9" ht="21">
      <c r="A4" s="116" t="s">
        <v>72</v>
      </c>
      <c r="B4" s="116"/>
      <c r="C4" s="116"/>
      <c r="D4" s="116"/>
      <c r="E4" s="116"/>
      <c r="F4" s="116"/>
      <c r="G4" s="116"/>
      <c r="H4" s="116"/>
      <c r="I4" s="116"/>
    </row>
    <row r="5" spans="1:9" ht="16.5" customHeight="1" thickBot="1">
      <c r="B5" s="153" t="s">
        <v>109</v>
      </c>
      <c r="C5" s="153"/>
      <c r="D5" s="153"/>
      <c r="E5" s="153"/>
      <c r="F5" s="153" t="s">
        <v>116</v>
      </c>
      <c r="G5" s="153"/>
      <c r="H5" s="153"/>
      <c r="I5" s="153"/>
    </row>
    <row r="6" spans="1:9" ht="18.75" thickBot="1">
      <c r="A6" s="11" t="s">
        <v>53</v>
      </c>
      <c r="B6" s="12" t="s">
        <v>3</v>
      </c>
      <c r="C6" s="13" t="s">
        <v>67</v>
      </c>
      <c r="D6" s="12" t="s">
        <v>65</v>
      </c>
      <c r="E6" s="14" t="s">
        <v>68</v>
      </c>
      <c r="F6" s="12" t="s">
        <v>3</v>
      </c>
      <c r="G6" s="13" t="s">
        <v>27</v>
      </c>
      <c r="H6" s="12" t="s">
        <v>65</v>
      </c>
      <c r="I6" s="14" t="s">
        <v>68</v>
      </c>
    </row>
    <row r="7" spans="1:9">
      <c r="A7" s="9" t="s">
        <v>125</v>
      </c>
      <c r="B7" s="9">
        <v>200000</v>
      </c>
      <c r="C7" s="9">
        <v>5135910694</v>
      </c>
      <c r="D7" s="9">
        <v>6769742720</v>
      </c>
      <c r="E7" s="9">
        <v>-1633832026</v>
      </c>
      <c r="F7" s="9">
        <v>200000</v>
      </c>
      <c r="G7" s="9">
        <v>5135910694</v>
      </c>
      <c r="H7" s="9">
        <v>6769742720</v>
      </c>
      <c r="I7" s="9">
        <v>-1633832026</v>
      </c>
    </row>
    <row r="8" spans="1:9">
      <c r="A8" s="9" t="s">
        <v>126</v>
      </c>
      <c r="B8" s="9">
        <v>2100000</v>
      </c>
      <c r="C8" s="9">
        <v>15411152580</v>
      </c>
      <c r="D8" s="9">
        <v>9440888451</v>
      </c>
      <c r="E8" s="9">
        <v>5970264129</v>
      </c>
      <c r="F8" s="9">
        <v>2100000</v>
      </c>
      <c r="G8" s="9">
        <v>15411152580</v>
      </c>
      <c r="H8" s="9">
        <v>9440888451</v>
      </c>
      <c r="I8" s="9">
        <v>5970264129</v>
      </c>
    </row>
    <row r="9" spans="1:9">
      <c r="A9" s="9" t="s">
        <v>127</v>
      </c>
      <c r="B9" s="9">
        <v>0</v>
      </c>
      <c r="C9" s="9">
        <v>0</v>
      </c>
      <c r="D9" s="9">
        <v>0</v>
      </c>
      <c r="E9" s="9">
        <v>0</v>
      </c>
      <c r="F9" s="9">
        <v>400000</v>
      </c>
      <c r="G9" s="9">
        <v>491372117</v>
      </c>
      <c r="H9" s="9">
        <v>492307117</v>
      </c>
      <c r="I9" s="9">
        <v>-935000</v>
      </c>
    </row>
    <row r="10" spans="1:9">
      <c r="A10" s="9" t="s">
        <v>128</v>
      </c>
      <c r="B10" s="9">
        <v>2200000</v>
      </c>
      <c r="C10" s="9">
        <v>41822708784</v>
      </c>
      <c r="D10" s="9">
        <v>27993503768</v>
      </c>
      <c r="E10" s="9">
        <v>13829205016</v>
      </c>
      <c r="F10" s="9">
        <v>37700000</v>
      </c>
      <c r="G10" s="9">
        <v>570682994509</v>
      </c>
      <c r="H10" s="9">
        <v>480844277993</v>
      </c>
      <c r="I10" s="9">
        <v>89838716516</v>
      </c>
    </row>
    <row r="11" spans="1:9">
      <c r="A11" s="9" t="s">
        <v>129</v>
      </c>
      <c r="B11" s="9">
        <v>10000</v>
      </c>
      <c r="C11" s="9">
        <v>1919050196</v>
      </c>
      <c r="D11" s="9">
        <v>1231539770</v>
      </c>
      <c r="E11" s="9">
        <v>687510426</v>
      </c>
      <c r="F11" s="9">
        <v>10000</v>
      </c>
      <c r="G11" s="9">
        <v>1919050196</v>
      </c>
      <c r="H11" s="9">
        <v>1231539770</v>
      </c>
      <c r="I11" s="9">
        <v>687510426</v>
      </c>
    </row>
    <row r="12" spans="1:9">
      <c r="A12" s="9" t="s">
        <v>130</v>
      </c>
      <c r="B12" s="9">
        <v>810000</v>
      </c>
      <c r="C12" s="9">
        <v>36588718053</v>
      </c>
      <c r="D12" s="9">
        <v>38757564145</v>
      </c>
      <c r="E12" s="9">
        <v>-2168846092</v>
      </c>
      <c r="F12" s="9">
        <v>1230000</v>
      </c>
      <c r="G12" s="9">
        <v>56296545914</v>
      </c>
      <c r="H12" s="9">
        <v>58848345993</v>
      </c>
      <c r="I12" s="9">
        <v>-2551800079</v>
      </c>
    </row>
    <row r="13" spans="1:9">
      <c r="A13" s="9" t="s">
        <v>131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1</v>
      </c>
      <c r="H13" s="9">
        <v>373</v>
      </c>
      <c r="I13" s="9">
        <v>-372</v>
      </c>
    </row>
    <row r="14" spans="1:9">
      <c r="A14" s="9" t="s">
        <v>132</v>
      </c>
      <c r="B14" s="9">
        <v>100000</v>
      </c>
      <c r="C14" s="9">
        <v>2248148675</v>
      </c>
      <c r="D14" s="9">
        <v>1057114855</v>
      </c>
      <c r="E14" s="9">
        <v>1191033820</v>
      </c>
      <c r="F14" s="9">
        <v>100000</v>
      </c>
      <c r="G14" s="9">
        <v>2248148675</v>
      </c>
      <c r="H14" s="9">
        <v>1057114855</v>
      </c>
      <c r="I14" s="9">
        <v>1191033820</v>
      </c>
    </row>
    <row r="15" spans="1:9">
      <c r="A15" s="9" t="s">
        <v>133</v>
      </c>
      <c r="B15" s="9">
        <v>1800000</v>
      </c>
      <c r="C15" s="9">
        <v>14449435796</v>
      </c>
      <c r="D15" s="9">
        <v>11125795753</v>
      </c>
      <c r="E15" s="9">
        <v>3323640043</v>
      </c>
      <c r="F15" s="9">
        <v>3000000</v>
      </c>
      <c r="G15" s="9">
        <v>22202041324</v>
      </c>
      <c r="H15" s="9">
        <v>18557641252</v>
      </c>
      <c r="I15" s="9">
        <v>3644400072</v>
      </c>
    </row>
    <row r="16" spans="1:9">
      <c r="A16" s="9" t="s">
        <v>134</v>
      </c>
      <c r="B16" s="9">
        <v>200000</v>
      </c>
      <c r="C16" s="9">
        <v>3645129409</v>
      </c>
      <c r="D16" s="9">
        <v>1884700359</v>
      </c>
      <c r="E16" s="9">
        <v>1760429050</v>
      </c>
      <c r="F16" s="9">
        <v>600000</v>
      </c>
      <c r="G16" s="9">
        <v>7693591019</v>
      </c>
      <c r="H16" s="9">
        <v>5679355089</v>
      </c>
      <c r="I16" s="9">
        <v>2014235930</v>
      </c>
    </row>
    <row r="17" spans="1:9">
      <c r="A17" s="9" t="s">
        <v>135</v>
      </c>
      <c r="B17" s="9">
        <v>337769</v>
      </c>
      <c r="C17" s="9">
        <v>8468814970</v>
      </c>
      <c r="D17" s="9">
        <v>2691185301</v>
      </c>
      <c r="E17" s="9">
        <v>5777629669</v>
      </c>
      <c r="F17" s="9">
        <v>437769</v>
      </c>
      <c r="G17" s="9">
        <v>10561512407</v>
      </c>
      <c r="H17" s="9">
        <v>3491168182</v>
      </c>
      <c r="I17" s="9">
        <v>7070344225</v>
      </c>
    </row>
    <row r="18" spans="1:9">
      <c r="A18" s="9" t="s">
        <v>136</v>
      </c>
      <c r="B18" s="9">
        <v>3600000</v>
      </c>
      <c r="C18" s="9">
        <v>10683771141</v>
      </c>
      <c r="D18" s="9">
        <v>6384143180</v>
      </c>
      <c r="E18" s="9">
        <v>4299627961</v>
      </c>
      <c r="F18" s="9">
        <v>4458894</v>
      </c>
      <c r="G18" s="9">
        <v>12420385421</v>
      </c>
      <c r="H18" s="9">
        <v>7913610986</v>
      </c>
      <c r="I18" s="9">
        <v>4506774435</v>
      </c>
    </row>
    <row r="19" spans="1:9">
      <c r="A19" s="9" t="s">
        <v>137</v>
      </c>
      <c r="B19" s="9">
        <v>0</v>
      </c>
      <c r="C19" s="9">
        <v>0</v>
      </c>
      <c r="D19" s="9">
        <v>0</v>
      </c>
      <c r="E19" s="9">
        <v>0</v>
      </c>
      <c r="F19" s="9">
        <v>2400000</v>
      </c>
      <c r="G19" s="9">
        <v>12656898949</v>
      </c>
      <c r="H19" s="9">
        <v>12538415302</v>
      </c>
      <c r="I19" s="9">
        <v>118483647</v>
      </c>
    </row>
    <row r="20" spans="1:9">
      <c r="A20" s="9" t="s">
        <v>138</v>
      </c>
      <c r="B20" s="9">
        <v>1500000</v>
      </c>
      <c r="C20" s="9">
        <v>7672439386</v>
      </c>
      <c r="D20" s="9">
        <v>7754937215</v>
      </c>
      <c r="E20" s="9">
        <v>-82497829</v>
      </c>
      <c r="F20" s="9">
        <v>1500000</v>
      </c>
      <c r="G20" s="9">
        <v>7672439386</v>
      </c>
      <c r="H20" s="9">
        <v>7754937215</v>
      </c>
      <c r="I20" s="9">
        <v>-82497829</v>
      </c>
    </row>
    <row r="21" spans="1:9">
      <c r="A21" s="9" t="s">
        <v>139</v>
      </c>
      <c r="B21" s="9">
        <v>0</v>
      </c>
      <c r="C21" s="9">
        <v>0</v>
      </c>
      <c r="D21" s="9">
        <v>0</v>
      </c>
      <c r="E21" s="9">
        <v>0</v>
      </c>
      <c r="F21" s="9">
        <v>1500000</v>
      </c>
      <c r="G21" s="9">
        <v>4197302138</v>
      </c>
      <c r="H21" s="9">
        <v>3762901088</v>
      </c>
      <c r="I21" s="9">
        <v>434401050</v>
      </c>
    </row>
    <row r="22" spans="1:9">
      <c r="A22" s="9" t="s">
        <v>140</v>
      </c>
      <c r="B22" s="9">
        <v>240000</v>
      </c>
      <c r="C22" s="9">
        <v>10923717501</v>
      </c>
      <c r="D22" s="9">
        <v>6951999356</v>
      </c>
      <c r="E22" s="9">
        <v>3971718145</v>
      </c>
      <c r="F22" s="9">
        <v>730745</v>
      </c>
      <c r="G22" s="9">
        <v>27900043230</v>
      </c>
      <c r="H22" s="9">
        <v>21209001740</v>
      </c>
      <c r="I22" s="9">
        <v>6691041490</v>
      </c>
    </row>
    <row r="23" spans="1:9">
      <c r="A23" s="9" t="s">
        <v>141</v>
      </c>
      <c r="B23" s="9">
        <v>0</v>
      </c>
      <c r="C23" s="9">
        <v>0</v>
      </c>
      <c r="D23" s="9">
        <v>0</v>
      </c>
      <c r="E23" s="9">
        <v>0</v>
      </c>
      <c r="F23" s="9">
        <v>6600000</v>
      </c>
      <c r="G23" s="9">
        <v>39293922978</v>
      </c>
      <c r="H23" s="9">
        <v>37858640110</v>
      </c>
      <c r="I23" s="9">
        <v>1435282868</v>
      </c>
    </row>
    <row r="24" spans="1:9">
      <c r="A24" s="9" t="s">
        <v>142</v>
      </c>
      <c r="B24" s="9">
        <v>0</v>
      </c>
      <c r="C24" s="9">
        <v>0</v>
      </c>
      <c r="D24" s="9">
        <v>0</v>
      </c>
      <c r="E24" s="9">
        <v>0</v>
      </c>
      <c r="F24" s="9">
        <v>3000000</v>
      </c>
      <c r="G24" s="9">
        <v>7538350190</v>
      </c>
      <c r="H24" s="9">
        <v>5607546251</v>
      </c>
      <c r="I24" s="9">
        <v>1930803939</v>
      </c>
    </row>
    <row r="25" spans="1:9">
      <c r="A25" s="9" t="s">
        <v>143</v>
      </c>
      <c r="B25" s="9">
        <v>0</v>
      </c>
      <c r="C25" s="9">
        <v>0</v>
      </c>
      <c r="D25" s="9">
        <v>0</v>
      </c>
      <c r="E25" s="9">
        <v>0</v>
      </c>
      <c r="F25" s="9">
        <v>11200000</v>
      </c>
      <c r="G25" s="9">
        <v>16330794757</v>
      </c>
      <c r="H25" s="9">
        <v>16876318400</v>
      </c>
      <c r="I25" s="9">
        <v>-545523643</v>
      </c>
    </row>
    <row r="26" spans="1:9">
      <c r="A26" s="9" t="s">
        <v>144</v>
      </c>
      <c r="B26" s="9">
        <v>60000</v>
      </c>
      <c r="C26" s="9">
        <v>2052830592</v>
      </c>
      <c r="D26" s="9">
        <v>1022319350</v>
      </c>
      <c r="E26" s="9">
        <v>1030511242</v>
      </c>
      <c r="F26" s="9">
        <v>360000</v>
      </c>
      <c r="G26" s="9">
        <v>8653410662</v>
      </c>
      <c r="H26" s="9">
        <v>6162456060</v>
      </c>
      <c r="I26" s="9">
        <v>2490954602</v>
      </c>
    </row>
    <row r="27" spans="1:9">
      <c r="A27" s="9" t="s">
        <v>145</v>
      </c>
      <c r="B27" s="9">
        <v>300000</v>
      </c>
      <c r="C27" s="9">
        <v>5227278397</v>
      </c>
      <c r="D27" s="9">
        <v>4370008884</v>
      </c>
      <c r="E27" s="9">
        <v>857269513</v>
      </c>
      <c r="F27" s="9">
        <v>300000</v>
      </c>
      <c r="G27" s="9">
        <v>5227278397</v>
      </c>
      <c r="H27" s="9">
        <v>4370008884</v>
      </c>
      <c r="I27" s="9">
        <v>857269513</v>
      </c>
    </row>
    <row r="28" spans="1:9">
      <c r="A28" s="9" t="s">
        <v>146</v>
      </c>
      <c r="B28" s="9">
        <v>1461319</v>
      </c>
      <c r="C28" s="9">
        <v>9628152789</v>
      </c>
      <c r="D28" s="9">
        <v>6860087223</v>
      </c>
      <c r="E28" s="9">
        <v>2768065566</v>
      </c>
      <c r="F28" s="9">
        <v>3465470</v>
      </c>
      <c r="G28" s="9">
        <v>19782400511</v>
      </c>
      <c r="H28" s="9">
        <v>16292235201</v>
      </c>
      <c r="I28" s="9">
        <v>3490165310</v>
      </c>
    </row>
    <row r="29" spans="1:9">
      <c r="A29" s="9" t="s">
        <v>147</v>
      </c>
      <c r="B29" s="9">
        <v>2700000</v>
      </c>
      <c r="C29" s="9">
        <v>16515357965</v>
      </c>
      <c r="D29" s="9">
        <v>10634909231</v>
      </c>
      <c r="E29" s="9">
        <v>5880448734</v>
      </c>
      <c r="F29" s="9">
        <v>3100000</v>
      </c>
      <c r="G29" s="9">
        <v>18012891855</v>
      </c>
      <c r="H29" s="9">
        <v>12029091257</v>
      </c>
      <c r="I29" s="9">
        <v>5983800598</v>
      </c>
    </row>
    <row r="30" spans="1:9">
      <c r="A30" s="9" t="s">
        <v>148</v>
      </c>
      <c r="B30" s="9">
        <v>900000</v>
      </c>
      <c r="C30" s="9">
        <v>21113052396</v>
      </c>
      <c r="D30" s="9">
        <v>19932437550</v>
      </c>
      <c r="E30" s="9">
        <v>1180614846</v>
      </c>
      <c r="F30" s="9">
        <v>1300000</v>
      </c>
      <c r="G30" s="9">
        <v>31404876862</v>
      </c>
      <c r="H30" s="9">
        <v>28784223145</v>
      </c>
      <c r="I30" s="9">
        <v>2620653717</v>
      </c>
    </row>
    <row r="31" spans="1:9">
      <c r="A31" s="9" t="s">
        <v>149</v>
      </c>
      <c r="B31" s="9">
        <v>300000</v>
      </c>
      <c r="C31" s="9">
        <v>1926670865</v>
      </c>
      <c r="D31" s="9">
        <v>2051939510</v>
      </c>
      <c r="E31" s="9">
        <v>-125268645</v>
      </c>
      <c r="F31" s="9">
        <v>476343</v>
      </c>
      <c r="G31" s="9">
        <v>3051791423</v>
      </c>
      <c r="H31" s="9">
        <v>3222629432</v>
      </c>
      <c r="I31" s="9">
        <v>-170838009</v>
      </c>
    </row>
    <row r="32" spans="1:9">
      <c r="A32" s="9" t="s">
        <v>150</v>
      </c>
      <c r="B32" s="9">
        <v>900000</v>
      </c>
      <c r="C32" s="9">
        <v>28594333473</v>
      </c>
      <c r="D32" s="9">
        <v>16602594154</v>
      </c>
      <c r="E32" s="9">
        <v>11991739319</v>
      </c>
      <c r="F32" s="9">
        <v>1100000</v>
      </c>
      <c r="G32" s="9">
        <v>34329654104</v>
      </c>
      <c r="H32" s="9">
        <v>20296881492</v>
      </c>
      <c r="I32" s="9">
        <v>14032772612</v>
      </c>
    </row>
    <row r="33" spans="1:9">
      <c r="A33" s="9" t="s">
        <v>151</v>
      </c>
      <c r="B33" s="9">
        <v>300000</v>
      </c>
      <c r="C33" s="9">
        <v>1435344061</v>
      </c>
      <c r="D33" s="9">
        <v>669808294</v>
      </c>
      <c r="E33" s="9">
        <v>765535767</v>
      </c>
      <c r="F33" s="9">
        <v>300000</v>
      </c>
      <c r="G33" s="9">
        <v>1435344061</v>
      </c>
      <c r="H33" s="9">
        <v>669808294</v>
      </c>
      <c r="I33" s="9">
        <v>765535767</v>
      </c>
    </row>
    <row r="34" spans="1:9">
      <c r="A34" s="9" t="s">
        <v>152</v>
      </c>
      <c r="B34" s="9">
        <v>0</v>
      </c>
      <c r="C34" s="9">
        <v>0</v>
      </c>
      <c r="D34" s="9">
        <v>0</v>
      </c>
      <c r="E34" s="9">
        <v>0</v>
      </c>
      <c r="F34" s="9">
        <v>1900000</v>
      </c>
      <c r="G34" s="9">
        <v>9761029501</v>
      </c>
      <c r="H34" s="9">
        <v>8869904088</v>
      </c>
      <c r="I34" s="9">
        <v>891125413</v>
      </c>
    </row>
    <row r="35" spans="1:9">
      <c r="A35" s="9" t="s">
        <v>153</v>
      </c>
      <c r="B35" s="9">
        <v>0</v>
      </c>
      <c r="C35" s="9">
        <v>0</v>
      </c>
      <c r="D35" s="9">
        <v>0</v>
      </c>
      <c r="E35" s="9">
        <v>0</v>
      </c>
      <c r="F35" s="9">
        <v>291304</v>
      </c>
      <c r="G35" s="9">
        <v>4812719554</v>
      </c>
      <c r="H35" s="9">
        <v>4709211763</v>
      </c>
      <c r="I35" s="9">
        <v>103507791</v>
      </c>
    </row>
    <row r="36" spans="1:9">
      <c r="A36" s="9" t="s">
        <v>154</v>
      </c>
      <c r="B36" s="9">
        <v>100000</v>
      </c>
      <c r="C36" s="9">
        <v>1157292743</v>
      </c>
      <c r="D36" s="9">
        <v>1012210940</v>
      </c>
      <c r="E36" s="9">
        <v>145081803</v>
      </c>
      <c r="F36" s="9">
        <v>200000</v>
      </c>
      <c r="G36" s="9">
        <v>2211083489</v>
      </c>
      <c r="H36" s="9">
        <v>2025228173</v>
      </c>
      <c r="I36" s="9">
        <v>185855316</v>
      </c>
    </row>
    <row r="37" spans="1:9">
      <c r="A37" s="9" t="s">
        <v>155</v>
      </c>
      <c r="B37" s="9">
        <v>0</v>
      </c>
      <c r="C37" s="9">
        <v>0</v>
      </c>
      <c r="D37" s="9">
        <v>0</v>
      </c>
      <c r="E37" s="9">
        <v>0</v>
      </c>
      <c r="F37" s="9">
        <v>600000</v>
      </c>
      <c r="G37" s="9">
        <v>3214954810</v>
      </c>
      <c r="H37" s="9">
        <v>3634667007</v>
      </c>
      <c r="I37" s="9">
        <v>-419712197</v>
      </c>
    </row>
    <row r="38" spans="1:9">
      <c r="A38" s="9" t="s">
        <v>156</v>
      </c>
      <c r="B38" s="9">
        <v>0</v>
      </c>
      <c r="C38" s="9">
        <v>0</v>
      </c>
      <c r="D38" s="9">
        <v>0</v>
      </c>
      <c r="E38" s="9">
        <v>0</v>
      </c>
      <c r="F38" s="9">
        <v>400000</v>
      </c>
      <c r="G38" s="9">
        <v>5596402840</v>
      </c>
      <c r="H38" s="9">
        <v>5394042440</v>
      </c>
      <c r="I38" s="9">
        <v>202360400</v>
      </c>
    </row>
    <row r="39" spans="1:9">
      <c r="A39" s="9" t="s">
        <v>157</v>
      </c>
      <c r="B39" s="9">
        <v>0</v>
      </c>
      <c r="C39" s="9">
        <v>0</v>
      </c>
      <c r="D39" s="9">
        <v>0</v>
      </c>
      <c r="E39" s="9">
        <v>0</v>
      </c>
      <c r="F39" s="9">
        <v>2400000</v>
      </c>
      <c r="G39" s="9">
        <v>11915241864</v>
      </c>
      <c r="H39" s="9">
        <v>12208416192</v>
      </c>
      <c r="I39" s="9">
        <v>-293174328</v>
      </c>
    </row>
    <row r="40" spans="1:9">
      <c r="A40" s="9" t="s">
        <v>158</v>
      </c>
      <c r="B40" s="9">
        <v>600000</v>
      </c>
      <c r="C40" s="9">
        <v>6892307456</v>
      </c>
      <c r="D40" s="9">
        <v>3283827876</v>
      </c>
      <c r="E40" s="9">
        <v>3608479580</v>
      </c>
      <c r="F40" s="9">
        <v>600000</v>
      </c>
      <c r="G40" s="9">
        <v>6892307456</v>
      </c>
      <c r="H40" s="9">
        <v>3283827876</v>
      </c>
      <c r="I40" s="9">
        <v>3608479580</v>
      </c>
    </row>
    <row r="41" spans="1:9">
      <c r="A41" s="9" t="s">
        <v>159</v>
      </c>
      <c r="B41" s="9">
        <v>3200000</v>
      </c>
      <c r="C41" s="9">
        <v>9988189861</v>
      </c>
      <c r="D41" s="9">
        <v>7570767598</v>
      </c>
      <c r="E41" s="9">
        <v>2417422263</v>
      </c>
      <c r="F41" s="9">
        <v>4200000</v>
      </c>
      <c r="G41" s="9">
        <v>12543654486</v>
      </c>
      <c r="H41" s="9">
        <v>9941040534</v>
      </c>
      <c r="I41" s="9">
        <v>2602613952</v>
      </c>
    </row>
    <row r="42" spans="1:9">
      <c r="A42" s="9" t="s">
        <v>160</v>
      </c>
      <c r="B42" s="9">
        <v>290875</v>
      </c>
      <c r="C42" s="9">
        <v>5097149664</v>
      </c>
      <c r="D42" s="9">
        <v>2174057697</v>
      </c>
      <c r="E42" s="9">
        <v>2923091967</v>
      </c>
      <c r="F42" s="9">
        <v>290875</v>
      </c>
      <c r="G42" s="9">
        <v>5097149664</v>
      </c>
      <c r="H42" s="9">
        <v>2174057697</v>
      </c>
      <c r="I42" s="9">
        <v>2923091967</v>
      </c>
    </row>
    <row r="43" spans="1:9">
      <c r="A43" s="9" t="s">
        <v>161</v>
      </c>
      <c r="B43" s="9">
        <v>1324711</v>
      </c>
      <c r="C43" s="9">
        <v>2930910563</v>
      </c>
      <c r="D43" s="9">
        <v>1967917716</v>
      </c>
      <c r="E43" s="9">
        <v>962992847</v>
      </c>
      <c r="F43" s="9">
        <v>2324711</v>
      </c>
      <c r="G43" s="9">
        <v>4844999472</v>
      </c>
      <c r="H43" s="9">
        <v>3455787326</v>
      </c>
      <c r="I43" s="9">
        <v>1389212146</v>
      </c>
    </row>
    <row r="44" spans="1:9">
      <c r="A44" s="9" t="s">
        <v>162</v>
      </c>
      <c r="B44" s="9">
        <v>3600000</v>
      </c>
      <c r="C44" s="9">
        <v>19726176262</v>
      </c>
      <c r="D44" s="9">
        <v>11462730987</v>
      </c>
      <c r="E44" s="9">
        <v>8263445275</v>
      </c>
      <c r="F44" s="9">
        <v>3600000</v>
      </c>
      <c r="G44" s="9">
        <v>19726176262</v>
      </c>
      <c r="H44" s="9">
        <v>11462730987</v>
      </c>
      <c r="I44" s="9">
        <v>8263445275</v>
      </c>
    </row>
    <row r="45" spans="1:9">
      <c r="A45" s="9" t="s">
        <v>163</v>
      </c>
      <c r="B45" s="9">
        <v>0</v>
      </c>
      <c r="C45" s="9">
        <v>0</v>
      </c>
      <c r="D45" s="9">
        <v>0</v>
      </c>
      <c r="E45" s="9">
        <v>0</v>
      </c>
      <c r="F45" s="9">
        <v>1000000</v>
      </c>
      <c r="G45" s="9">
        <v>2003763433</v>
      </c>
      <c r="H45" s="9">
        <v>1871245451</v>
      </c>
      <c r="I45" s="9">
        <v>132517982</v>
      </c>
    </row>
    <row r="46" spans="1:9">
      <c r="A46" s="9" t="s">
        <v>164</v>
      </c>
      <c r="B46" s="9">
        <v>1500000</v>
      </c>
      <c r="C46" s="9">
        <v>4828385853</v>
      </c>
      <c r="D46" s="9">
        <v>3816041368</v>
      </c>
      <c r="E46" s="9">
        <v>1012344485</v>
      </c>
      <c r="F46" s="9">
        <v>5900000</v>
      </c>
      <c r="G46" s="9">
        <v>15066326181</v>
      </c>
      <c r="H46" s="9">
        <v>13817351991</v>
      </c>
      <c r="I46" s="9">
        <v>1248974190</v>
      </c>
    </row>
    <row r="47" spans="1:9">
      <c r="A47" s="9" t="s">
        <v>165</v>
      </c>
      <c r="B47" s="9">
        <v>2079637</v>
      </c>
      <c r="C47" s="9">
        <v>11453086360</v>
      </c>
      <c r="D47" s="9">
        <v>13006175458</v>
      </c>
      <c r="E47" s="9">
        <v>-1553089098</v>
      </c>
      <c r="F47" s="9">
        <v>3079637</v>
      </c>
      <c r="G47" s="9">
        <v>17406756020</v>
      </c>
      <c r="H47" s="9">
        <v>19256525038</v>
      </c>
      <c r="I47" s="9">
        <v>-1849769018</v>
      </c>
    </row>
    <row r="48" spans="1:9">
      <c r="A48" s="9" t="s">
        <v>166</v>
      </c>
      <c r="B48" s="9">
        <v>3300000</v>
      </c>
      <c r="C48" s="9">
        <v>17801767083</v>
      </c>
      <c r="D48" s="9">
        <v>11141863673</v>
      </c>
      <c r="E48" s="9">
        <v>6659903410</v>
      </c>
      <c r="F48" s="9">
        <v>3900001</v>
      </c>
      <c r="G48" s="9">
        <v>20466185337</v>
      </c>
      <c r="H48" s="9">
        <v>13172118122</v>
      </c>
      <c r="I48" s="9">
        <v>7294067215</v>
      </c>
    </row>
    <row r="49" spans="1:9">
      <c r="A49" s="9" t="s">
        <v>167</v>
      </c>
      <c r="B49" s="9">
        <v>700000</v>
      </c>
      <c r="C49" s="9">
        <v>13624859413</v>
      </c>
      <c r="D49" s="9">
        <v>5242194713</v>
      </c>
      <c r="E49" s="9">
        <v>8382664700</v>
      </c>
      <c r="F49" s="9">
        <v>700000</v>
      </c>
      <c r="G49" s="9">
        <v>13624859413</v>
      </c>
      <c r="H49" s="9">
        <v>5242194713</v>
      </c>
      <c r="I49" s="9">
        <v>8382664700</v>
      </c>
    </row>
    <row r="50" spans="1:9">
      <c r="A50" s="9" t="s">
        <v>168</v>
      </c>
      <c r="B50" s="9">
        <v>600000</v>
      </c>
      <c r="C50" s="9">
        <v>16036199428</v>
      </c>
      <c r="D50" s="9">
        <v>10182376966</v>
      </c>
      <c r="E50" s="9">
        <v>5853822462</v>
      </c>
      <c r="F50" s="9">
        <v>700000</v>
      </c>
      <c r="G50" s="9">
        <v>18291629144</v>
      </c>
      <c r="H50" s="9">
        <v>11882690418</v>
      </c>
      <c r="I50" s="9">
        <v>6408938726</v>
      </c>
    </row>
    <row r="51" spans="1:9">
      <c r="A51" s="9" t="s">
        <v>169</v>
      </c>
      <c r="B51" s="9">
        <v>500002</v>
      </c>
      <c r="C51" s="9">
        <v>6125472213</v>
      </c>
      <c r="D51" s="9">
        <v>2969587508</v>
      </c>
      <c r="E51" s="9">
        <v>3155884705</v>
      </c>
      <c r="F51" s="9">
        <v>650002</v>
      </c>
      <c r="G51" s="9">
        <v>13251062330</v>
      </c>
      <c r="H51" s="9">
        <v>6783930625</v>
      </c>
      <c r="I51" s="9">
        <v>6467131705</v>
      </c>
    </row>
    <row r="52" spans="1:9">
      <c r="A52" s="9" t="s">
        <v>170</v>
      </c>
      <c r="B52" s="9">
        <v>50000</v>
      </c>
      <c r="C52" s="9">
        <v>8553367450</v>
      </c>
      <c r="D52" s="9">
        <v>6199552500</v>
      </c>
      <c r="E52" s="9">
        <v>2353814950</v>
      </c>
      <c r="F52" s="9">
        <v>80000</v>
      </c>
      <c r="G52" s="9">
        <v>12986161167</v>
      </c>
      <c r="H52" s="9">
        <v>9924731147</v>
      </c>
      <c r="I52" s="9">
        <v>3061430020</v>
      </c>
    </row>
    <row r="53" spans="1:9">
      <c r="A53" s="9" t="s">
        <v>171</v>
      </c>
      <c r="B53" s="9">
        <v>1500000</v>
      </c>
      <c r="C53" s="9">
        <v>34684791466</v>
      </c>
      <c r="D53" s="9">
        <v>12842646156</v>
      </c>
      <c r="E53" s="9">
        <v>21842145310</v>
      </c>
      <c r="F53" s="9">
        <v>1500000</v>
      </c>
      <c r="G53" s="9">
        <v>34684791466</v>
      </c>
      <c r="H53" s="9">
        <v>12842646156</v>
      </c>
      <c r="I53" s="9">
        <v>21842145310</v>
      </c>
    </row>
    <row r="54" spans="1:9">
      <c r="A54" s="9" t="s">
        <v>172</v>
      </c>
      <c r="B54" s="9">
        <v>100000</v>
      </c>
      <c r="C54" s="9">
        <v>1334603163</v>
      </c>
      <c r="D54" s="9">
        <v>915160519</v>
      </c>
      <c r="E54" s="9">
        <v>419442644</v>
      </c>
      <c r="F54" s="9">
        <v>100000</v>
      </c>
      <c r="G54" s="9">
        <v>1334603163</v>
      </c>
      <c r="H54" s="9">
        <v>915160519</v>
      </c>
      <c r="I54" s="9">
        <v>419442644</v>
      </c>
    </row>
    <row r="55" spans="1:9">
      <c r="A55" s="9" t="s">
        <v>173</v>
      </c>
      <c r="B55" s="9">
        <v>946004</v>
      </c>
      <c r="C55" s="9">
        <v>7295122379</v>
      </c>
      <c r="D55" s="9">
        <v>8743271630</v>
      </c>
      <c r="E55" s="9">
        <v>-1448149251</v>
      </c>
      <c r="F55" s="9">
        <v>946004</v>
      </c>
      <c r="G55" s="9">
        <v>7295122379</v>
      </c>
      <c r="H55" s="9">
        <v>8743271630</v>
      </c>
      <c r="I55" s="9">
        <v>-1448149251</v>
      </c>
    </row>
    <row r="56" spans="1:9">
      <c r="A56" s="9" t="s">
        <v>174</v>
      </c>
      <c r="B56" s="9">
        <v>2000000</v>
      </c>
      <c r="C56" s="9">
        <v>5121285796</v>
      </c>
      <c r="D56" s="9">
        <v>3097123664</v>
      </c>
      <c r="E56" s="9">
        <v>2024162132</v>
      </c>
      <c r="F56" s="9">
        <v>5400000</v>
      </c>
      <c r="G56" s="9">
        <v>10968283319</v>
      </c>
      <c r="H56" s="9">
        <v>8282751211</v>
      </c>
      <c r="I56" s="9">
        <v>2685532108</v>
      </c>
    </row>
    <row r="57" spans="1:9">
      <c r="A57" s="9" t="s">
        <v>175</v>
      </c>
      <c r="B57" s="9">
        <v>4000000</v>
      </c>
      <c r="C57" s="9">
        <v>8207414768</v>
      </c>
      <c r="D57" s="9">
        <v>4591117126</v>
      </c>
      <c r="E57" s="9">
        <v>3616297642</v>
      </c>
      <c r="F57" s="9">
        <v>10000000</v>
      </c>
      <c r="G57" s="9">
        <v>17806528202</v>
      </c>
      <c r="H57" s="9">
        <v>11498919964</v>
      </c>
      <c r="I57" s="9">
        <v>6307608238</v>
      </c>
    </row>
    <row r="58" spans="1:9">
      <c r="A58" s="9" t="s">
        <v>176</v>
      </c>
      <c r="B58" s="9">
        <v>42000000</v>
      </c>
      <c r="C58" s="9">
        <v>21796202905</v>
      </c>
      <c r="D58" s="9">
        <v>23123986794</v>
      </c>
      <c r="E58" s="9">
        <v>-1327783889</v>
      </c>
      <c r="F58" s="9">
        <v>49600000</v>
      </c>
      <c r="G58" s="9">
        <v>26145865814</v>
      </c>
      <c r="H58" s="9">
        <v>27305167741</v>
      </c>
      <c r="I58" s="9">
        <v>-1159301927</v>
      </c>
    </row>
    <row r="59" spans="1:9">
      <c r="A59" s="9" t="s">
        <v>177</v>
      </c>
      <c r="B59" s="9">
        <v>0</v>
      </c>
      <c r="C59" s="9">
        <v>0</v>
      </c>
      <c r="D59" s="9">
        <v>0</v>
      </c>
      <c r="E59" s="9">
        <v>0</v>
      </c>
      <c r="F59" s="9">
        <v>2400000</v>
      </c>
      <c r="G59" s="9">
        <v>3942891022</v>
      </c>
      <c r="H59" s="9">
        <v>3917724859</v>
      </c>
      <c r="I59" s="9">
        <v>25166163</v>
      </c>
    </row>
    <row r="60" spans="1:9">
      <c r="A60" s="9" t="s">
        <v>178</v>
      </c>
      <c r="B60" s="9">
        <v>1200000</v>
      </c>
      <c r="C60" s="9">
        <v>6310837232</v>
      </c>
      <c r="D60" s="9">
        <v>2885905185</v>
      </c>
      <c r="E60" s="9">
        <v>3424932047</v>
      </c>
      <c r="F60" s="9">
        <v>1200000</v>
      </c>
      <c r="G60" s="9">
        <v>6310837232</v>
      </c>
      <c r="H60" s="9">
        <v>2885905185</v>
      </c>
      <c r="I60" s="9">
        <v>3424932047</v>
      </c>
    </row>
    <row r="61" spans="1:9">
      <c r="A61" s="9" t="s">
        <v>179</v>
      </c>
      <c r="B61" s="9">
        <v>1500000</v>
      </c>
      <c r="C61" s="9">
        <v>5968504109</v>
      </c>
      <c r="D61" s="9">
        <v>5564465297</v>
      </c>
      <c r="E61" s="9">
        <v>404038812</v>
      </c>
      <c r="F61" s="9">
        <v>7500000</v>
      </c>
      <c r="G61" s="9">
        <v>33477004002</v>
      </c>
      <c r="H61" s="9">
        <v>27794013011</v>
      </c>
      <c r="I61" s="9">
        <v>5682990991</v>
      </c>
    </row>
    <row r="62" spans="1:9">
      <c r="A62" s="9" t="s">
        <v>180</v>
      </c>
      <c r="B62" s="9">
        <v>0</v>
      </c>
      <c r="C62" s="9">
        <v>0</v>
      </c>
      <c r="D62" s="9">
        <v>0</v>
      </c>
      <c r="E62" s="9">
        <v>0</v>
      </c>
      <c r="F62" s="9">
        <v>5000001</v>
      </c>
      <c r="G62" s="9">
        <v>7135840568</v>
      </c>
      <c r="H62" s="9">
        <v>6189858780</v>
      </c>
      <c r="I62" s="9">
        <v>945981788</v>
      </c>
    </row>
    <row r="63" spans="1:9">
      <c r="A63" s="9" t="s">
        <v>181</v>
      </c>
      <c r="B63" s="9">
        <v>900000</v>
      </c>
      <c r="C63" s="9">
        <v>5126066842</v>
      </c>
      <c r="D63" s="9">
        <v>3568382939</v>
      </c>
      <c r="E63" s="9">
        <v>1557683903</v>
      </c>
      <c r="F63" s="9">
        <v>4600000</v>
      </c>
      <c r="G63" s="9">
        <v>22254978035</v>
      </c>
      <c r="H63" s="9">
        <v>18269133456</v>
      </c>
      <c r="I63" s="9">
        <v>3985844579</v>
      </c>
    </row>
    <row r="64" spans="1:9">
      <c r="A64" s="9" t="s">
        <v>182</v>
      </c>
      <c r="B64" s="9">
        <v>1500000</v>
      </c>
      <c r="C64" s="9">
        <v>15714580104</v>
      </c>
      <c r="D64" s="9">
        <v>11633748681</v>
      </c>
      <c r="E64" s="9">
        <v>4080831423</v>
      </c>
      <c r="F64" s="9">
        <v>1500000</v>
      </c>
      <c r="G64" s="9">
        <v>15714580104</v>
      </c>
      <c r="H64" s="9">
        <v>11633748681</v>
      </c>
      <c r="I64" s="9">
        <v>4080831423</v>
      </c>
    </row>
    <row r="65" spans="1:9">
      <c r="A65" s="9" t="s">
        <v>183</v>
      </c>
      <c r="B65" s="9">
        <v>210000</v>
      </c>
      <c r="C65" s="9">
        <v>9883315409</v>
      </c>
      <c r="D65" s="9">
        <v>6797559683</v>
      </c>
      <c r="E65" s="9">
        <v>3085755726</v>
      </c>
      <c r="F65" s="9">
        <v>410000</v>
      </c>
      <c r="G65" s="9">
        <v>18100323150</v>
      </c>
      <c r="H65" s="9">
        <v>13256151476</v>
      </c>
      <c r="I65" s="9">
        <v>4844171674</v>
      </c>
    </row>
    <row r="66" spans="1:9">
      <c r="A66" s="9" t="s">
        <v>184</v>
      </c>
      <c r="B66" s="9">
        <v>4500000</v>
      </c>
      <c r="C66" s="9">
        <v>21102393709</v>
      </c>
      <c r="D66" s="9">
        <v>8582711808</v>
      </c>
      <c r="E66" s="9">
        <v>12519681901</v>
      </c>
      <c r="F66" s="9">
        <v>5900000</v>
      </c>
      <c r="G66" s="9">
        <v>24918664156</v>
      </c>
      <c r="H66" s="9">
        <v>11221162645</v>
      </c>
      <c r="I66" s="9">
        <v>13697501511</v>
      </c>
    </row>
    <row r="67" spans="1:9">
      <c r="A67" s="9" t="s">
        <v>185</v>
      </c>
      <c r="B67" s="9">
        <v>900000</v>
      </c>
      <c r="C67" s="9">
        <v>5983388113</v>
      </c>
      <c r="D67" s="9">
        <v>4841440296</v>
      </c>
      <c r="E67" s="9">
        <v>1141947817</v>
      </c>
      <c r="F67" s="9">
        <v>5400000</v>
      </c>
      <c r="G67" s="9">
        <v>31811035319</v>
      </c>
      <c r="H67" s="9">
        <v>29080498316</v>
      </c>
      <c r="I67" s="9">
        <v>2730537003</v>
      </c>
    </row>
    <row r="68" spans="1:9">
      <c r="A68" s="9" t="s">
        <v>186</v>
      </c>
      <c r="B68" s="9">
        <v>0</v>
      </c>
      <c r="C68" s="9">
        <v>0</v>
      </c>
      <c r="D68" s="9">
        <v>0</v>
      </c>
      <c r="E68" s="9">
        <v>0</v>
      </c>
      <c r="F68" s="9">
        <v>1600000</v>
      </c>
      <c r="G68" s="9">
        <v>3308625113</v>
      </c>
      <c r="H68" s="9">
        <v>3487654729</v>
      </c>
      <c r="I68" s="9">
        <v>-179029616</v>
      </c>
    </row>
    <row r="69" spans="1:9">
      <c r="A69" s="9" t="s">
        <v>187</v>
      </c>
      <c r="B69" s="9">
        <v>0</v>
      </c>
      <c r="C69" s="9">
        <v>0</v>
      </c>
      <c r="D69" s="9">
        <v>0</v>
      </c>
      <c r="E69" s="9">
        <v>0</v>
      </c>
      <c r="F69" s="9">
        <v>300000</v>
      </c>
      <c r="G69" s="9">
        <v>1732503426</v>
      </c>
      <c r="H69" s="9">
        <v>1359030120</v>
      </c>
      <c r="I69" s="9">
        <v>373473306</v>
      </c>
    </row>
    <row r="70" spans="1:9">
      <c r="A70" s="9" t="s">
        <v>188</v>
      </c>
      <c r="B70" s="9">
        <v>7000000</v>
      </c>
      <c r="C70" s="9">
        <v>18038649834</v>
      </c>
      <c r="D70" s="9">
        <v>10193531531</v>
      </c>
      <c r="E70" s="9">
        <v>7845118303</v>
      </c>
      <c r="F70" s="9">
        <v>10300000</v>
      </c>
      <c r="G70" s="9">
        <v>29430340018</v>
      </c>
      <c r="H70" s="9">
        <v>20051807860</v>
      </c>
      <c r="I70" s="9">
        <v>9378532158</v>
      </c>
    </row>
    <row r="71" spans="1:9">
      <c r="A71" s="9" t="s">
        <v>189</v>
      </c>
      <c r="B71" s="9">
        <v>0</v>
      </c>
      <c r="C71" s="9">
        <v>0</v>
      </c>
      <c r="D71" s="9">
        <v>0</v>
      </c>
      <c r="E71" s="9">
        <v>0</v>
      </c>
      <c r="F71" s="9">
        <v>300000</v>
      </c>
      <c r="G71" s="9">
        <v>878158960</v>
      </c>
      <c r="H71" s="9">
        <v>807105357</v>
      </c>
      <c r="I71" s="9">
        <v>71053603</v>
      </c>
    </row>
    <row r="72" spans="1:9">
      <c r="A72" s="9" t="s">
        <v>190</v>
      </c>
      <c r="B72" s="9">
        <v>1000000</v>
      </c>
      <c r="C72" s="9">
        <v>2259491241</v>
      </c>
      <c r="D72" s="9">
        <v>2572299832</v>
      </c>
      <c r="E72" s="9">
        <v>-312808591</v>
      </c>
      <c r="F72" s="9">
        <v>1000000</v>
      </c>
      <c r="G72" s="9">
        <v>2259491241</v>
      </c>
      <c r="H72" s="9">
        <v>2572299832</v>
      </c>
      <c r="I72" s="9">
        <v>-312808591</v>
      </c>
    </row>
    <row r="73" spans="1:9">
      <c r="A73" s="9" t="s">
        <v>191</v>
      </c>
      <c r="B73" s="9">
        <v>724988</v>
      </c>
      <c r="C73" s="9">
        <v>1657807764</v>
      </c>
      <c r="D73" s="9">
        <v>1465544021</v>
      </c>
      <c r="E73" s="9">
        <v>192263743</v>
      </c>
      <c r="F73" s="9">
        <v>724988</v>
      </c>
      <c r="G73" s="9">
        <v>1657807764</v>
      </c>
      <c r="H73" s="9">
        <v>1465544021</v>
      </c>
      <c r="I73" s="9">
        <v>192263743</v>
      </c>
    </row>
    <row r="74" spans="1:9">
      <c r="A74" s="9" t="s">
        <v>192</v>
      </c>
      <c r="B74" s="9">
        <v>303663</v>
      </c>
      <c r="C74" s="9">
        <v>5812379646</v>
      </c>
      <c r="D74" s="9">
        <v>2732850992</v>
      </c>
      <c r="E74" s="9">
        <v>3079528654</v>
      </c>
      <c r="F74" s="9">
        <v>303663</v>
      </c>
      <c r="G74" s="9">
        <v>5812379646</v>
      </c>
      <c r="H74" s="9">
        <v>2732850992</v>
      </c>
      <c r="I74" s="9">
        <v>3079528654</v>
      </c>
    </row>
    <row r="75" spans="1:9">
      <c r="A75" s="9" t="s">
        <v>193</v>
      </c>
      <c r="B75" s="9">
        <v>0</v>
      </c>
      <c r="C75" s="9">
        <v>0</v>
      </c>
      <c r="D75" s="9">
        <v>0</v>
      </c>
      <c r="E75" s="9">
        <v>0</v>
      </c>
      <c r="F75" s="9">
        <v>4000000</v>
      </c>
      <c r="G75" s="9">
        <v>7918374180</v>
      </c>
      <c r="H75" s="9">
        <v>7779764743</v>
      </c>
      <c r="I75" s="9">
        <v>138609437</v>
      </c>
    </row>
    <row r="76" spans="1:9">
      <c r="A76" s="9" t="s">
        <v>194</v>
      </c>
      <c r="B76" s="9">
        <v>0</v>
      </c>
      <c r="C76" s="9">
        <v>0</v>
      </c>
      <c r="D76" s="9">
        <v>0</v>
      </c>
      <c r="E76" s="9">
        <v>0</v>
      </c>
      <c r="F76" s="9">
        <v>100000</v>
      </c>
      <c r="G76" s="9">
        <v>1147064127</v>
      </c>
      <c r="H76" s="9">
        <v>699683852</v>
      </c>
      <c r="I76" s="9">
        <v>447380275</v>
      </c>
    </row>
    <row r="77" spans="1:9">
      <c r="A77" s="9" t="s">
        <v>195</v>
      </c>
      <c r="B77" s="9">
        <v>30000</v>
      </c>
      <c r="C77" s="9">
        <v>2020063267</v>
      </c>
      <c r="D77" s="9">
        <v>951428836</v>
      </c>
      <c r="E77" s="9">
        <v>1068634431</v>
      </c>
      <c r="F77" s="9">
        <v>30000</v>
      </c>
      <c r="G77" s="9">
        <v>2020063267</v>
      </c>
      <c r="H77" s="9">
        <v>951428836</v>
      </c>
      <c r="I77" s="9">
        <v>1068634431</v>
      </c>
    </row>
    <row r="78" spans="1:9">
      <c r="A78" s="9" t="s">
        <v>196</v>
      </c>
      <c r="B78" s="9">
        <v>0</v>
      </c>
      <c r="C78" s="9">
        <v>0</v>
      </c>
      <c r="D78" s="9">
        <v>0</v>
      </c>
      <c r="E78" s="9">
        <v>0</v>
      </c>
      <c r="F78" s="9">
        <v>200000</v>
      </c>
      <c r="G78" s="9">
        <v>4985164492</v>
      </c>
      <c r="H78" s="9">
        <v>5101123092</v>
      </c>
      <c r="I78" s="9">
        <v>-115958600</v>
      </c>
    </row>
    <row r="79" spans="1:9">
      <c r="A79" s="9" t="s">
        <v>197</v>
      </c>
      <c r="B79" s="9">
        <v>30000</v>
      </c>
      <c r="C79" s="9">
        <v>2010835166</v>
      </c>
      <c r="D79" s="9">
        <v>1477534608</v>
      </c>
      <c r="E79" s="9">
        <v>533300558</v>
      </c>
      <c r="F79" s="9">
        <v>30000</v>
      </c>
      <c r="G79" s="9">
        <v>2010835166</v>
      </c>
      <c r="H79" s="9">
        <v>1477534608</v>
      </c>
      <c r="I79" s="9">
        <v>533300558</v>
      </c>
    </row>
    <row r="80" spans="1:9">
      <c r="A80" s="9" t="s">
        <v>198</v>
      </c>
      <c r="B80" s="9">
        <v>600000</v>
      </c>
      <c r="C80" s="9">
        <v>3887730875</v>
      </c>
      <c r="D80" s="9">
        <v>3420868348</v>
      </c>
      <c r="E80" s="9">
        <v>466862527</v>
      </c>
      <c r="F80" s="9">
        <v>900000</v>
      </c>
      <c r="G80" s="9">
        <v>5780982050</v>
      </c>
      <c r="H80" s="9">
        <v>5131696815</v>
      </c>
      <c r="I80" s="9">
        <v>649285235</v>
      </c>
    </row>
    <row r="81" spans="1:9">
      <c r="A81" s="9" t="s">
        <v>199</v>
      </c>
      <c r="B81" s="9">
        <v>500000</v>
      </c>
      <c r="C81" s="9">
        <v>10831619411</v>
      </c>
      <c r="D81" s="9">
        <v>6713051319</v>
      </c>
      <c r="E81" s="9">
        <v>4118568092</v>
      </c>
      <c r="F81" s="9">
        <v>500000</v>
      </c>
      <c r="G81" s="9">
        <v>10831619411</v>
      </c>
      <c r="H81" s="9">
        <v>6713051319</v>
      </c>
      <c r="I81" s="9">
        <v>4118568092</v>
      </c>
    </row>
    <row r="82" spans="1:9">
      <c r="A82" s="9" t="s">
        <v>200</v>
      </c>
      <c r="B82" s="9">
        <v>1432870</v>
      </c>
      <c r="C82" s="9">
        <v>18317408142</v>
      </c>
      <c r="D82" s="9">
        <v>7235033039</v>
      </c>
      <c r="E82" s="9">
        <v>11082375103</v>
      </c>
      <c r="F82" s="9">
        <v>2586138</v>
      </c>
      <c r="G82" s="9">
        <v>29036846988</v>
      </c>
      <c r="H82" s="9">
        <v>13089608233</v>
      </c>
      <c r="I82" s="9">
        <v>15947238755</v>
      </c>
    </row>
    <row r="83" spans="1:9">
      <c r="A83" s="9" t="s">
        <v>201</v>
      </c>
      <c r="B83" s="9">
        <v>600000</v>
      </c>
      <c r="C83" s="9">
        <v>4042507994</v>
      </c>
      <c r="D83" s="9">
        <v>3769416028</v>
      </c>
      <c r="E83" s="9">
        <v>273091966</v>
      </c>
      <c r="F83" s="9">
        <v>600000</v>
      </c>
      <c r="G83" s="9">
        <v>4042507994</v>
      </c>
      <c r="H83" s="9">
        <v>3769416028</v>
      </c>
      <c r="I83" s="9">
        <v>273091966</v>
      </c>
    </row>
    <row r="84" spans="1:9">
      <c r="A84" s="9" t="s">
        <v>202</v>
      </c>
      <c r="B84" s="9">
        <v>0</v>
      </c>
      <c r="C84" s="9">
        <v>0</v>
      </c>
      <c r="D84" s="9">
        <v>0</v>
      </c>
      <c r="E84" s="9">
        <v>0</v>
      </c>
      <c r="F84" s="9">
        <v>1200000</v>
      </c>
      <c r="G84" s="9">
        <v>5204719277</v>
      </c>
      <c r="H84" s="9">
        <v>4134580778</v>
      </c>
      <c r="I84" s="9">
        <v>1070138499</v>
      </c>
    </row>
    <row r="85" spans="1:9">
      <c r="A85" s="9" t="s">
        <v>203</v>
      </c>
      <c r="B85" s="9">
        <v>100000</v>
      </c>
      <c r="C85" s="9">
        <v>1108365593</v>
      </c>
      <c r="D85" s="9">
        <v>898817238</v>
      </c>
      <c r="E85" s="9">
        <v>209548355</v>
      </c>
      <c r="F85" s="9">
        <v>100000</v>
      </c>
      <c r="G85" s="9">
        <v>1108365593</v>
      </c>
      <c r="H85" s="9">
        <v>898817238</v>
      </c>
      <c r="I85" s="9">
        <v>209548355</v>
      </c>
    </row>
    <row r="86" spans="1:9">
      <c r="A86" s="9" t="s">
        <v>204</v>
      </c>
      <c r="B86" s="9">
        <v>0</v>
      </c>
      <c r="C86" s="9">
        <v>0</v>
      </c>
      <c r="D86" s="9">
        <v>0</v>
      </c>
      <c r="E86" s="9">
        <v>0</v>
      </c>
      <c r="F86" s="9">
        <v>1</v>
      </c>
      <c r="G86" s="9">
        <v>1</v>
      </c>
      <c r="H86" s="9">
        <v>1101</v>
      </c>
      <c r="I86" s="9">
        <v>-1100</v>
      </c>
    </row>
    <row r="87" spans="1:9">
      <c r="A87" s="9" t="s">
        <v>205</v>
      </c>
      <c r="B87" s="9">
        <v>3000000</v>
      </c>
      <c r="C87" s="9">
        <v>7243571075</v>
      </c>
      <c r="D87" s="9">
        <v>3269881681</v>
      </c>
      <c r="E87" s="9">
        <v>3973689394</v>
      </c>
      <c r="F87" s="9">
        <v>3000000</v>
      </c>
      <c r="G87" s="9">
        <v>7243571075</v>
      </c>
      <c r="H87" s="9">
        <v>3269881681</v>
      </c>
      <c r="I87" s="9">
        <v>3973689394</v>
      </c>
    </row>
    <row r="88" spans="1:9">
      <c r="A88" s="9" t="s">
        <v>206</v>
      </c>
      <c r="B88" s="9">
        <v>2141672</v>
      </c>
      <c r="C88" s="9">
        <v>16703798577</v>
      </c>
      <c r="D88" s="9">
        <v>11196746903</v>
      </c>
      <c r="E88" s="9">
        <v>5507051674</v>
      </c>
      <c r="F88" s="9">
        <v>2141672</v>
      </c>
      <c r="G88" s="9">
        <v>16703798577</v>
      </c>
      <c r="H88" s="9">
        <v>11196746903</v>
      </c>
      <c r="I88" s="9">
        <v>5507051674</v>
      </c>
    </row>
    <row r="89" spans="1:9">
      <c r="A89" s="9" t="s">
        <v>207</v>
      </c>
      <c r="B89" s="9">
        <v>0</v>
      </c>
      <c r="C89" s="9">
        <v>0</v>
      </c>
      <c r="D89" s="9">
        <v>0</v>
      </c>
      <c r="E89" s="9">
        <v>0</v>
      </c>
      <c r="F89" s="9">
        <v>3768107</v>
      </c>
      <c r="G89" s="9">
        <v>11445156839</v>
      </c>
      <c r="H89" s="9">
        <v>11119404024</v>
      </c>
      <c r="I89" s="9">
        <v>325752815</v>
      </c>
    </row>
    <row r="90" spans="1:9">
      <c r="A90" s="9" t="s">
        <v>208</v>
      </c>
      <c r="B90" s="9">
        <v>300000</v>
      </c>
      <c r="C90" s="9">
        <v>2311951537</v>
      </c>
      <c r="D90" s="9">
        <v>1596615207</v>
      </c>
      <c r="E90" s="9">
        <v>715336330</v>
      </c>
      <c r="F90" s="9">
        <v>300000</v>
      </c>
      <c r="G90" s="9">
        <v>2311951537</v>
      </c>
      <c r="H90" s="9">
        <v>1596615207</v>
      </c>
      <c r="I90" s="9">
        <v>715336330</v>
      </c>
    </row>
    <row r="91" spans="1:9">
      <c r="A91" s="9" t="s">
        <v>209</v>
      </c>
      <c r="B91" s="9">
        <v>0</v>
      </c>
      <c r="C91" s="9">
        <v>0</v>
      </c>
      <c r="D91" s="9">
        <v>0</v>
      </c>
      <c r="E91" s="9">
        <v>0</v>
      </c>
      <c r="F91" s="9">
        <v>1</v>
      </c>
      <c r="G91" s="9">
        <v>1</v>
      </c>
      <c r="H91" s="9">
        <v>6112</v>
      </c>
      <c r="I91" s="9">
        <v>-6111</v>
      </c>
    </row>
    <row r="92" spans="1:9">
      <c r="A92" s="9" t="s">
        <v>210</v>
      </c>
      <c r="B92" s="9">
        <v>90000</v>
      </c>
      <c r="C92" s="9">
        <v>2845892774</v>
      </c>
      <c r="D92" s="9">
        <v>1496003054</v>
      </c>
      <c r="E92" s="9">
        <v>1349889720</v>
      </c>
      <c r="F92" s="9">
        <v>90000</v>
      </c>
      <c r="G92" s="9">
        <v>2845892774</v>
      </c>
      <c r="H92" s="9">
        <v>1496003054</v>
      </c>
      <c r="I92" s="9">
        <v>1349889720</v>
      </c>
    </row>
    <row r="93" spans="1:9">
      <c r="A93" s="9" t="s">
        <v>211</v>
      </c>
      <c r="B93" s="9">
        <v>1200000</v>
      </c>
      <c r="C93" s="9">
        <v>3988925420</v>
      </c>
      <c r="D93" s="9">
        <v>1935224974</v>
      </c>
      <c r="E93" s="9">
        <v>2053700446</v>
      </c>
      <c r="F93" s="9">
        <v>1200000</v>
      </c>
      <c r="G93" s="9">
        <v>3988925420</v>
      </c>
      <c r="H93" s="9">
        <v>1935224974</v>
      </c>
      <c r="I93" s="9">
        <v>2053700446</v>
      </c>
    </row>
    <row r="94" spans="1:9">
      <c r="A94" s="9" t="s">
        <v>212</v>
      </c>
      <c r="B94" s="9">
        <v>1200000</v>
      </c>
      <c r="C94" s="9">
        <v>7810205715</v>
      </c>
      <c r="D94" s="9">
        <v>2805229553</v>
      </c>
      <c r="E94" s="9">
        <v>5004976162</v>
      </c>
      <c r="F94" s="9">
        <v>1200000</v>
      </c>
      <c r="G94" s="9">
        <v>7810205715</v>
      </c>
      <c r="H94" s="9">
        <v>2805229553</v>
      </c>
      <c r="I94" s="9">
        <v>5004976162</v>
      </c>
    </row>
    <row r="95" spans="1:9">
      <c r="A95" s="9" t="s">
        <v>213</v>
      </c>
      <c r="B95" s="9">
        <v>842177</v>
      </c>
      <c r="C95" s="9">
        <v>3518157979</v>
      </c>
      <c r="D95" s="9">
        <v>2592408766</v>
      </c>
      <c r="E95" s="9">
        <v>925749213</v>
      </c>
      <c r="F95" s="9">
        <v>842177</v>
      </c>
      <c r="G95" s="9">
        <v>3518157979</v>
      </c>
      <c r="H95" s="9">
        <v>2592408766</v>
      </c>
      <c r="I95" s="9">
        <v>925749213</v>
      </c>
    </row>
    <row r="96" spans="1:9">
      <c r="A96" s="9" t="s">
        <v>214</v>
      </c>
      <c r="B96" s="9">
        <v>150000</v>
      </c>
      <c r="C96" s="9">
        <v>11657034150</v>
      </c>
      <c r="D96" s="9">
        <v>5145398020</v>
      </c>
      <c r="E96" s="9">
        <v>6511636130</v>
      </c>
      <c r="F96" s="9">
        <v>150000</v>
      </c>
      <c r="G96" s="9">
        <v>11657034150</v>
      </c>
      <c r="H96" s="9">
        <v>5145398020</v>
      </c>
      <c r="I96" s="9">
        <v>6511636130</v>
      </c>
    </row>
    <row r="97" spans="1:9">
      <c r="A97" s="9" t="s">
        <v>215</v>
      </c>
      <c r="B97" s="9">
        <v>0</v>
      </c>
      <c r="C97" s="9">
        <v>0</v>
      </c>
      <c r="D97" s="9">
        <v>0</v>
      </c>
      <c r="E97" s="9">
        <v>0</v>
      </c>
      <c r="F97" s="9">
        <v>1600000</v>
      </c>
      <c r="G97" s="9">
        <v>11964701522</v>
      </c>
      <c r="H97" s="9">
        <v>7987760465</v>
      </c>
      <c r="I97" s="9">
        <v>3976941057</v>
      </c>
    </row>
    <row r="98" spans="1:9">
      <c r="A98" s="9" t="s">
        <v>216</v>
      </c>
      <c r="B98" s="9">
        <v>0</v>
      </c>
      <c r="C98" s="9">
        <v>0</v>
      </c>
      <c r="D98" s="9">
        <v>0</v>
      </c>
      <c r="E98" s="9">
        <v>0</v>
      </c>
      <c r="F98" s="9">
        <v>200000</v>
      </c>
      <c r="G98" s="9">
        <v>2317942730</v>
      </c>
      <c r="H98" s="9">
        <v>2066017995</v>
      </c>
      <c r="I98" s="9">
        <v>251924735</v>
      </c>
    </row>
    <row r="99" spans="1:9">
      <c r="A99" s="9" t="s">
        <v>217</v>
      </c>
      <c r="B99" s="9">
        <v>1200000</v>
      </c>
      <c r="C99" s="9">
        <v>23954444821</v>
      </c>
      <c r="D99" s="9">
        <v>13682365228</v>
      </c>
      <c r="E99" s="9">
        <v>10272079593</v>
      </c>
      <c r="F99" s="9">
        <v>1334886</v>
      </c>
      <c r="G99" s="9">
        <v>25769356745</v>
      </c>
      <c r="H99" s="9">
        <v>15227168894</v>
      </c>
      <c r="I99" s="9">
        <v>10542187851</v>
      </c>
    </row>
    <row r="100" spans="1:9">
      <c r="A100" s="9" t="s">
        <v>218</v>
      </c>
      <c r="B100" s="9">
        <v>100000</v>
      </c>
      <c r="C100" s="9">
        <v>1308671966</v>
      </c>
      <c r="D100" s="9">
        <v>1314498868</v>
      </c>
      <c r="E100" s="9">
        <v>-5826902</v>
      </c>
      <c r="F100" s="9">
        <v>200000</v>
      </c>
      <c r="G100" s="9">
        <v>2549426228</v>
      </c>
      <c r="H100" s="9">
        <v>2629526832</v>
      </c>
      <c r="I100" s="9">
        <v>-80100604</v>
      </c>
    </row>
    <row r="101" spans="1:9">
      <c r="A101" s="9" t="s">
        <v>219</v>
      </c>
      <c r="B101" s="9">
        <v>0</v>
      </c>
      <c r="C101" s="9">
        <v>0</v>
      </c>
      <c r="D101" s="9">
        <v>0</v>
      </c>
      <c r="E101" s="9">
        <v>0</v>
      </c>
      <c r="F101" s="9">
        <v>56200000</v>
      </c>
      <c r="G101" s="9">
        <v>28034074277</v>
      </c>
      <c r="H101" s="9">
        <v>27947922793</v>
      </c>
      <c r="I101" s="9">
        <v>86151484</v>
      </c>
    </row>
    <row r="102" spans="1:9">
      <c r="A102" s="9" t="s">
        <v>220</v>
      </c>
      <c r="B102" s="9">
        <v>900000</v>
      </c>
      <c r="C102" s="9">
        <v>4091672355</v>
      </c>
      <c r="D102" s="9">
        <v>2252767563</v>
      </c>
      <c r="E102" s="9">
        <v>1838904792</v>
      </c>
      <c r="F102" s="9">
        <v>1198800</v>
      </c>
      <c r="G102" s="9">
        <v>5402159378</v>
      </c>
      <c r="H102" s="9">
        <v>3001059912</v>
      </c>
      <c r="I102" s="9">
        <v>2401099466</v>
      </c>
    </row>
    <row r="103" spans="1:9">
      <c r="A103" s="9" t="s">
        <v>221</v>
      </c>
      <c r="B103" s="9">
        <v>500000</v>
      </c>
      <c r="C103" s="9">
        <v>6431333004</v>
      </c>
      <c r="D103" s="9">
        <v>4514668988</v>
      </c>
      <c r="E103" s="9">
        <v>1916664016</v>
      </c>
      <c r="F103" s="9">
        <v>500000</v>
      </c>
      <c r="G103" s="9">
        <v>6431333004</v>
      </c>
      <c r="H103" s="9">
        <v>4514668988</v>
      </c>
      <c r="I103" s="9">
        <v>1916664016</v>
      </c>
    </row>
    <row r="104" spans="1:9">
      <c r="A104" s="9" t="s">
        <v>222</v>
      </c>
      <c r="B104" s="9">
        <v>0</v>
      </c>
      <c r="C104" s="9">
        <v>0</v>
      </c>
      <c r="D104" s="9">
        <v>0</v>
      </c>
      <c r="E104" s="9">
        <v>0</v>
      </c>
      <c r="F104" s="9">
        <v>1200000</v>
      </c>
      <c r="G104" s="9">
        <v>6420736889</v>
      </c>
      <c r="H104" s="9">
        <v>6169201684</v>
      </c>
      <c r="I104" s="9">
        <v>251535205</v>
      </c>
    </row>
    <row r="105" spans="1:9">
      <c r="A105" s="9" t="s">
        <v>223</v>
      </c>
      <c r="B105" s="9">
        <v>1000000</v>
      </c>
      <c r="C105" s="9">
        <v>12194998362</v>
      </c>
      <c r="D105" s="9">
        <v>3861277900</v>
      </c>
      <c r="E105" s="9">
        <v>8333720462</v>
      </c>
      <c r="F105" s="9">
        <v>3600000</v>
      </c>
      <c r="G105" s="9">
        <v>36027431805</v>
      </c>
      <c r="H105" s="9">
        <v>13961945021</v>
      </c>
      <c r="I105" s="9">
        <v>22065486784</v>
      </c>
    </row>
    <row r="106" spans="1:9">
      <c r="A106" s="9" t="s">
        <v>224</v>
      </c>
      <c r="B106" s="9">
        <v>3000000</v>
      </c>
      <c r="C106" s="9">
        <v>10836991994</v>
      </c>
      <c r="D106" s="9">
        <v>7863029841</v>
      </c>
      <c r="E106" s="9">
        <v>2973962153</v>
      </c>
      <c r="F106" s="9">
        <v>3000000</v>
      </c>
      <c r="G106" s="9">
        <v>10836991994</v>
      </c>
      <c r="H106" s="9">
        <v>7863029841</v>
      </c>
      <c r="I106" s="9">
        <v>2973962153</v>
      </c>
    </row>
    <row r="107" spans="1:9">
      <c r="A107" s="9" t="s">
        <v>225</v>
      </c>
      <c r="B107" s="9">
        <v>943432</v>
      </c>
      <c r="C107" s="9">
        <v>15712557962</v>
      </c>
      <c r="D107" s="9">
        <v>11444487901</v>
      </c>
      <c r="E107" s="9">
        <v>4268070061</v>
      </c>
      <c r="F107" s="9">
        <v>3743432</v>
      </c>
      <c r="G107" s="9">
        <v>54953045101</v>
      </c>
      <c r="H107" s="9">
        <v>45468030118</v>
      </c>
      <c r="I107" s="9">
        <v>9485014983</v>
      </c>
    </row>
    <row r="108" spans="1:9">
      <c r="A108" s="9" t="s">
        <v>226</v>
      </c>
      <c r="B108" s="9">
        <v>0</v>
      </c>
      <c r="C108" s="9">
        <v>0</v>
      </c>
      <c r="D108" s="9">
        <v>0</v>
      </c>
      <c r="E108" s="9">
        <v>0</v>
      </c>
      <c r="F108" s="9">
        <v>2478</v>
      </c>
      <c r="G108" s="9">
        <v>691257663</v>
      </c>
      <c r="H108" s="9">
        <v>658749014</v>
      </c>
      <c r="I108" s="9">
        <v>32508649</v>
      </c>
    </row>
    <row r="109" spans="1:9">
      <c r="A109" s="9" t="s">
        <v>227</v>
      </c>
      <c r="B109" s="9">
        <v>900000</v>
      </c>
      <c r="C109" s="9">
        <v>5786918658</v>
      </c>
      <c r="D109" s="9">
        <v>3906118989</v>
      </c>
      <c r="E109" s="9">
        <v>1880799669</v>
      </c>
      <c r="F109" s="9">
        <v>1700000</v>
      </c>
      <c r="G109" s="9">
        <v>9758250248</v>
      </c>
      <c r="H109" s="9">
        <v>7238441846</v>
      </c>
      <c r="I109" s="9">
        <v>2519808402</v>
      </c>
    </row>
    <row r="110" spans="1:9">
      <c r="A110" s="9" t="s">
        <v>228</v>
      </c>
      <c r="B110" s="9">
        <v>4600000</v>
      </c>
      <c r="C110" s="9">
        <v>95829439538</v>
      </c>
      <c r="D110" s="9">
        <v>46997498368</v>
      </c>
      <c r="E110" s="9">
        <v>48831941170</v>
      </c>
      <c r="F110" s="9">
        <v>5400000</v>
      </c>
      <c r="G110" s="9">
        <v>108143510322</v>
      </c>
      <c r="H110" s="9">
        <v>55137380858</v>
      </c>
      <c r="I110" s="9">
        <v>53006129464</v>
      </c>
    </row>
    <row r="111" spans="1:9">
      <c r="A111" s="9" t="s">
        <v>229</v>
      </c>
      <c r="B111" s="9">
        <v>4000000</v>
      </c>
      <c r="C111" s="9">
        <v>9561586134</v>
      </c>
      <c r="D111" s="9">
        <v>7281021373</v>
      </c>
      <c r="E111" s="9">
        <v>2280564761</v>
      </c>
      <c r="F111" s="9">
        <v>37400000</v>
      </c>
      <c r="G111" s="9">
        <v>80139683252</v>
      </c>
      <c r="H111" s="9">
        <v>67214490601</v>
      </c>
      <c r="I111" s="9">
        <v>12925192651</v>
      </c>
    </row>
    <row r="112" spans="1:9">
      <c r="A112" s="9" t="s">
        <v>230</v>
      </c>
      <c r="B112" s="9">
        <v>0</v>
      </c>
      <c r="C112" s="9">
        <v>0</v>
      </c>
      <c r="D112" s="9">
        <v>0</v>
      </c>
      <c r="E112" s="9">
        <v>0</v>
      </c>
      <c r="F112" s="9">
        <v>100000</v>
      </c>
      <c r="G112" s="9">
        <v>1528095805</v>
      </c>
      <c r="H112" s="9">
        <v>732298305</v>
      </c>
      <c r="I112" s="9">
        <v>795797500</v>
      </c>
    </row>
    <row r="113" spans="1:9">
      <c r="A113" s="9" t="s">
        <v>231</v>
      </c>
      <c r="B113" s="9">
        <v>1200000</v>
      </c>
      <c r="C113" s="9">
        <v>7527754462</v>
      </c>
      <c r="D113" s="9">
        <v>3844288934</v>
      </c>
      <c r="E113" s="9">
        <v>3683465528</v>
      </c>
      <c r="F113" s="9">
        <v>3200000</v>
      </c>
      <c r="G113" s="9">
        <v>14583900659</v>
      </c>
      <c r="H113" s="9">
        <v>9008660256</v>
      </c>
      <c r="I113" s="9">
        <v>5575240403</v>
      </c>
    </row>
    <row r="114" spans="1:9">
      <c r="A114" s="9" t="s">
        <v>232</v>
      </c>
      <c r="B114" s="9">
        <v>100000</v>
      </c>
      <c r="C114" s="9">
        <v>2429076968</v>
      </c>
      <c r="D114" s="9">
        <v>1332220232</v>
      </c>
      <c r="E114" s="9">
        <v>1096856736</v>
      </c>
      <c r="F114" s="9">
        <v>1100000</v>
      </c>
      <c r="G114" s="9">
        <v>21426238362</v>
      </c>
      <c r="H114" s="9">
        <v>14695660914</v>
      </c>
      <c r="I114" s="9">
        <v>6730577448</v>
      </c>
    </row>
    <row r="115" spans="1:9">
      <c r="A115" s="9" t="s">
        <v>233</v>
      </c>
      <c r="B115" s="9">
        <v>8000000</v>
      </c>
      <c r="C115" s="9">
        <v>10490513495</v>
      </c>
      <c r="D115" s="9">
        <v>8624196856</v>
      </c>
      <c r="E115" s="9">
        <v>1866316639</v>
      </c>
      <c r="F115" s="9">
        <v>24400000</v>
      </c>
      <c r="G115" s="9">
        <v>30502830779</v>
      </c>
      <c r="H115" s="9">
        <v>25782068813</v>
      </c>
      <c r="I115" s="9">
        <v>4720761966</v>
      </c>
    </row>
    <row r="116" spans="1:9">
      <c r="A116" s="9" t="s">
        <v>234</v>
      </c>
      <c r="B116" s="9">
        <v>0</v>
      </c>
      <c r="C116" s="9">
        <v>0</v>
      </c>
      <c r="D116" s="9">
        <v>0</v>
      </c>
      <c r="E116" s="9">
        <v>0</v>
      </c>
      <c r="F116" s="9">
        <v>200000</v>
      </c>
      <c r="G116" s="9">
        <v>1976284192</v>
      </c>
      <c r="H116" s="9">
        <v>1993157266</v>
      </c>
      <c r="I116" s="9">
        <v>-16873074</v>
      </c>
    </row>
    <row r="117" spans="1:9">
      <c r="A117" s="9" t="s">
        <v>235</v>
      </c>
      <c r="B117" s="9">
        <v>800000</v>
      </c>
      <c r="C117" s="9">
        <v>19019831409</v>
      </c>
      <c r="D117" s="9">
        <v>8886299699</v>
      </c>
      <c r="E117" s="9">
        <v>10133531710</v>
      </c>
      <c r="F117" s="9">
        <v>1662720</v>
      </c>
      <c r="G117" s="9">
        <v>29702432799</v>
      </c>
      <c r="H117" s="9">
        <v>18299113275</v>
      </c>
      <c r="I117" s="9">
        <v>11403319524</v>
      </c>
    </row>
    <row r="118" spans="1:9">
      <c r="A118" s="9" t="s">
        <v>236</v>
      </c>
      <c r="B118" s="9">
        <v>619312</v>
      </c>
      <c r="C118" s="9">
        <v>1606367625</v>
      </c>
      <c r="D118" s="9">
        <v>1461760532</v>
      </c>
      <c r="E118" s="9">
        <v>144607093</v>
      </c>
      <c r="F118" s="9">
        <v>1619312</v>
      </c>
      <c r="G118" s="9">
        <v>3680211925</v>
      </c>
      <c r="H118" s="9">
        <v>3826108481</v>
      </c>
      <c r="I118" s="9">
        <v>-145896556</v>
      </c>
    </row>
    <row r="119" spans="1:9">
      <c r="A119" s="9" t="s">
        <v>237</v>
      </c>
      <c r="B119" s="9">
        <v>0</v>
      </c>
      <c r="C119" s="9">
        <v>0</v>
      </c>
      <c r="D119" s="9">
        <v>0</v>
      </c>
      <c r="E119" s="9">
        <v>0</v>
      </c>
      <c r="F119" s="9">
        <v>2100000</v>
      </c>
      <c r="G119" s="9">
        <v>13877888264</v>
      </c>
      <c r="H119" s="9">
        <v>10146612492</v>
      </c>
      <c r="I119" s="9">
        <v>3731275772</v>
      </c>
    </row>
    <row r="120" spans="1:9">
      <c r="A120" s="9" t="s">
        <v>238</v>
      </c>
      <c r="B120" s="9">
        <v>1500000</v>
      </c>
      <c r="C120" s="9">
        <v>7605749603</v>
      </c>
      <c r="D120" s="9">
        <v>3922230478</v>
      </c>
      <c r="E120" s="9">
        <v>3683519125</v>
      </c>
      <c r="F120" s="9">
        <v>2300000</v>
      </c>
      <c r="G120" s="9">
        <v>9956238797</v>
      </c>
      <c r="H120" s="9">
        <v>5896397832</v>
      </c>
      <c r="I120" s="9">
        <v>4059840965</v>
      </c>
    </row>
    <row r="121" spans="1:9">
      <c r="A121" s="9" t="s">
        <v>239</v>
      </c>
      <c r="B121" s="9">
        <v>0</v>
      </c>
      <c r="C121" s="9">
        <v>0</v>
      </c>
      <c r="D121" s="9">
        <v>0</v>
      </c>
      <c r="E121" s="9">
        <v>0</v>
      </c>
      <c r="F121" s="9">
        <v>5502306</v>
      </c>
      <c r="G121" s="9">
        <v>35371573506</v>
      </c>
      <c r="H121" s="9">
        <v>31525600485</v>
      </c>
      <c r="I121" s="9">
        <v>3845973021</v>
      </c>
    </row>
    <row r="122" spans="1:9">
      <c r="A122" s="9" t="s">
        <v>240</v>
      </c>
      <c r="B122" s="9">
        <v>0</v>
      </c>
      <c r="C122" s="9">
        <v>0</v>
      </c>
      <c r="D122" s="9">
        <v>0</v>
      </c>
      <c r="E122" s="9">
        <v>0</v>
      </c>
      <c r="F122" s="9">
        <v>10800000</v>
      </c>
      <c r="G122" s="9">
        <v>22747557242</v>
      </c>
      <c r="H122" s="9">
        <v>15526774720</v>
      </c>
      <c r="I122" s="9">
        <v>7220782522</v>
      </c>
    </row>
    <row r="123" spans="1:9">
      <c r="A123" s="9" t="s">
        <v>241</v>
      </c>
      <c r="B123" s="9">
        <v>4500000</v>
      </c>
      <c r="C123" s="9">
        <v>14989161986</v>
      </c>
      <c r="D123" s="9">
        <v>10080761467</v>
      </c>
      <c r="E123" s="9">
        <v>4908400519</v>
      </c>
      <c r="F123" s="9">
        <v>4500000</v>
      </c>
      <c r="G123" s="9">
        <v>14989161986</v>
      </c>
      <c r="H123" s="9">
        <v>10080761467</v>
      </c>
      <c r="I123" s="9">
        <v>4908400519</v>
      </c>
    </row>
    <row r="124" spans="1:9">
      <c r="A124" s="9" t="s">
        <v>242</v>
      </c>
      <c r="B124" s="9">
        <v>0</v>
      </c>
      <c r="C124" s="9">
        <v>0</v>
      </c>
      <c r="D124" s="9">
        <v>0</v>
      </c>
      <c r="E124" s="9">
        <v>0</v>
      </c>
      <c r="F124" s="9">
        <v>300000</v>
      </c>
      <c r="G124" s="9">
        <v>1661060037</v>
      </c>
      <c r="H124" s="9">
        <v>1202287680</v>
      </c>
      <c r="I124" s="9">
        <v>458772357</v>
      </c>
    </row>
    <row r="125" spans="1:9">
      <c r="A125" s="9" t="s">
        <v>243</v>
      </c>
      <c r="B125" s="9">
        <v>1200000</v>
      </c>
      <c r="C125" s="9">
        <v>6376327049</v>
      </c>
      <c r="D125" s="9">
        <v>4000929552</v>
      </c>
      <c r="E125" s="9">
        <v>2375397497</v>
      </c>
      <c r="F125" s="9">
        <v>2700000</v>
      </c>
      <c r="G125" s="9">
        <v>12582975931</v>
      </c>
      <c r="H125" s="9">
        <v>9015831562</v>
      </c>
      <c r="I125" s="9">
        <v>3567144369</v>
      </c>
    </row>
    <row r="126" spans="1:9">
      <c r="A126" s="9" t="s">
        <v>244</v>
      </c>
      <c r="B126" s="9">
        <v>0</v>
      </c>
      <c r="C126" s="9">
        <v>0</v>
      </c>
      <c r="D126" s="9">
        <v>0</v>
      </c>
      <c r="E126" s="9">
        <v>0</v>
      </c>
      <c r="F126" s="9">
        <v>1100000</v>
      </c>
      <c r="G126" s="9">
        <v>7717876167</v>
      </c>
      <c r="H126" s="9">
        <v>7514865347</v>
      </c>
      <c r="I126" s="9">
        <v>203010820</v>
      </c>
    </row>
    <row r="127" spans="1:9">
      <c r="A127" s="9" t="s">
        <v>245</v>
      </c>
      <c r="B127" s="9">
        <v>100000</v>
      </c>
      <c r="C127" s="9">
        <v>1780074135</v>
      </c>
      <c r="D127" s="9">
        <v>779948865</v>
      </c>
      <c r="E127" s="9">
        <v>1000125270</v>
      </c>
      <c r="F127" s="9">
        <v>100000</v>
      </c>
      <c r="G127" s="9">
        <v>1780074135</v>
      </c>
      <c r="H127" s="9">
        <v>779948865</v>
      </c>
      <c r="I127" s="9">
        <v>1000125270</v>
      </c>
    </row>
    <row r="128" spans="1:9">
      <c r="A128" s="9" t="s">
        <v>246</v>
      </c>
      <c r="B128" s="9">
        <v>0</v>
      </c>
      <c r="C128" s="9">
        <v>0</v>
      </c>
      <c r="D128" s="9">
        <v>0</v>
      </c>
      <c r="E128" s="9">
        <v>0</v>
      </c>
      <c r="F128" s="9">
        <v>10800000</v>
      </c>
      <c r="G128" s="9">
        <v>17649714249</v>
      </c>
      <c r="H128" s="9">
        <v>17458018510</v>
      </c>
      <c r="I128" s="9">
        <v>191695739</v>
      </c>
    </row>
    <row r="129" spans="1:9">
      <c r="A129" s="9" t="s">
        <v>247</v>
      </c>
      <c r="B129" s="9">
        <v>7000000</v>
      </c>
      <c r="C129" s="9">
        <v>19097129049</v>
      </c>
      <c r="D129" s="9">
        <v>14968770882</v>
      </c>
      <c r="E129" s="9">
        <v>4128358167</v>
      </c>
      <c r="F129" s="9">
        <v>8820608</v>
      </c>
      <c r="G129" s="9">
        <v>22800163501</v>
      </c>
      <c r="H129" s="9">
        <v>18517572092</v>
      </c>
      <c r="I129" s="9">
        <v>4282591409</v>
      </c>
    </row>
    <row r="130" spans="1:9">
      <c r="A130" s="9" t="s">
        <v>248</v>
      </c>
      <c r="B130" s="9">
        <v>2135300</v>
      </c>
      <c r="C130" s="9">
        <v>11517833631</v>
      </c>
      <c r="D130" s="9">
        <v>6809860825</v>
      </c>
      <c r="E130" s="9">
        <v>4707972806</v>
      </c>
      <c r="F130" s="9">
        <v>4235300</v>
      </c>
      <c r="G130" s="9">
        <v>19998765386</v>
      </c>
      <c r="H130" s="9">
        <v>13529318317</v>
      </c>
      <c r="I130" s="9">
        <v>6469447069</v>
      </c>
    </row>
    <row r="131" spans="1:9">
      <c r="A131" s="9" t="s">
        <v>249</v>
      </c>
      <c r="B131" s="9">
        <v>500000</v>
      </c>
      <c r="C131" s="9">
        <v>8484900795</v>
      </c>
      <c r="D131" s="9">
        <v>8023713517</v>
      </c>
      <c r="E131" s="9">
        <v>461187278</v>
      </c>
      <c r="F131" s="9">
        <v>2300000</v>
      </c>
      <c r="G131" s="9">
        <v>34749506990</v>
      </c>
      <c r="H131" s="9">
        <v>36942432423</v>
      </c>
      <c r="I131" s="9">
        <v>-2192925433</v>
      </c>
    </row>
    <row r="132" spans="1:9">
      <c r="A132" s="9" t="s">
        <v>250</v>
      </c>
      <c r="B132" s="9">
        <v>1823271</v>
      </c>
      <c r="C132" s="9">
        <v>12416814271</v>
      </c>
      <c r="D132" s="9">
        <v>9464105246</v>
      </c>
      <c r="E132" s="9">
        <v>2952709025</v>
      </c>
      <c r="F132" s="9">
        <v>1916321</v>
      </c>
      <c r="G132" s="9">
        <v>13175772852</v>
      </c>
      <c r="H132" s="9">
        <v>10190093609</v>
      </c>
      <c r="I132" s="9">
        <v>2985679243</v>
      </c>
    </row>
    <row r="133" spans="1:9">
      <c r="A133" s="9" t="s">
        <v>251</v>
      </c>
      <c r="B133" s="9">
        <v>2400000</v>
      </c>
      <c r="C133" s="9">
        <v>22784293897</v>
      </c>
      <c r="D133" s="9">
        <v>9441154464</v>
      </c>
      <c r="E133" s="9">
        <v>13343139433</v>
      </c>
      <c r="F133" s="9">
        <v>2400000</v>
      </c>
      <c r="G133" s="9">
        <v>22784293897</v>
      </c>
      <c r="H133" s="9">
        <v>9441154464</v>
      </c>
      <c r="I133" s="9">
        <v>13343139433</v>
      </c>
    </row>
    <row r="134" spans="1:9">
      <c r="A134" s="9" t="s">
        <v>252</v>
      </c>
      <c r="B134" s="9">
        <v>60000</v>
      </c>
      <c r="C134" s="9">
        <v>4539039898</v>
      </c>
      <c r="D134" s="9">
        <v>2383000342</v>
      </c>
      <c r="E134" s="9">
        <v>2156039556</v>
      </c>
      <c r="F134" s="9">
        <v>60000</v>
      </c>
      <c r="G134" s="9">
        <v>4539039898</v>
      </c>
      <c r="H134" s="9">
        <v>2383000342</v>
      </c>
      <c r="I134" s="9">
        <v>2156039556</v>
      </c>
    </row>
    <row r="135" spans="1:9">
      <c r="A135" s="9" t="s">
        <v>253</v>
      </c>
      <c r="B135" s="9">
        <v>900000</v>
      </c>
      <c r="C135" s="9">
        <v>12163245718</v>
      </c>
      <c r="D135" s="9">
        <v>5802262159</v>
      </c>
      <c r="E135" s="9">
        <v>6360983559</v>
      </c>
      <c r="F135" s="9">
        <v>900000</v>
      </c>
      <c r="G135" s="9">
        <v>12163245718</v>
      </c>
      <c r="H135" s="9">
        <v>5802262159</v>
      </c>
      <c r="I135" s="9">
        <v>6360983559</v>
      </c>
    </row>
    <row r="136" spans="1:9">
      <c r="A136" s="9" t="s">
        <v>254</v>
      </c>
      <c r="B136" s="9">
        <v>1700000</v>
      </c>
      <c r="C136" s="9">
        <v>19995238433</v>
      </c>
      <c r="D136" s="9">
        <v>17362902843</v>
      </c>
      <c r="E136" s="9">
        <v>2632335590</v>
      </c>
      <c r="F136" s="9">
        <v>1800759</v>
      </c>
      <c r="G136" s="9">
        <v>20966045536</v>
      </c>
      <c r="H136" s="9">
        <v>18393671627</v>
      </c>
      <c r="I136" s="9">
        <v>2572373909</v>
      </c>
    </row>
    <row r="137" spans="1:9">
      <c r="A137" s="9" t="s">
        <v>255</v>
      </c>
      <c r="B137" s="9">
        <v>0</v>
      </c>
      <c r="C137" s="9">
        <v>0</v>
      </c>
      <c r="D137" s="9">
        <v>0</v>
      </c>
      <c r="E137" s="9">
        <v>0</v>
      </c>
      <c r="F137" s="9">
        <v>4279641</v>
      </c>
      <c r="G137" s="9">
        <v>11359510224</v>
      </c>
      <c r="H137" s="9">
        <v>9819792517</v>
      </c>
      <c r="I137" s="9">
        <v>1539717707</v>
      </c>
    </row>
    <row r="138" spans="1:9">
      <c r="A138" s="9" t="s">
        <v>256</v>
      </c>
      <c r="B138" s="9">
        <v>0</v>
      </c>
      <c r="C138" s="9">
        <v>0</v>
      </c>
      <c r="D138" s="9">
        <v>0</v>
      </c>
      <c r="E138" s="9">
        <v>0</v>
      </c>
      <c r="F138" s="9">
        <v>600000</v>
      </c>
      <c r="G138" s="9">
        <v>3784156258</v>
      </c>
      <c r="H138" s="9">
        <v>1573235122</v>
      </c>
      <c r="I138" s="9">
        <v>2210921136</v>
      </c>
    </row>
    <row r="139" spans="1:9">
      <c r="A139" s="9" t="s">
        <v>257</v>
      </c>
      <c r="B139" s="9">
        <v>390000</v>
      </c>
      <c r="C139" s="9">
        <v>17212213209</v>
      </c>
      <c r="D139" s="9">
        <v>7195414792</v>
      </c>
      <c r="E139" s="9">
        <v>10016798417</v>
      </c>
      <c r="F139" s="9">
        <v>420000</v>
      </c>
      <c r="G139" s="9">
        <v>18417523584</v>
      </c>
      <c r="H139" s="9">
        <v>7749832981</v>
      </c>
      <c r="I139" s="9">
        <v>10667690603</v>
      </c>
    </row>
    <row r="140" spans="1:9">
      <c r="A140" s="9" t="s">
        <v>258</v>
      </c>
      <c r="B140" s="9">
        <v>514370</v>
      </c>
      <c r="C140" s="9">
        <v>8597344350</v>
      </c>
      <c r="D140" s="9">
        <v>6864403428</v>
      </c>
      <c r="E140" s="9">
        <v>1732940922</v>
      </c>
      <c r="F140" s="9">
        <v>514370</v>
      </c>
      <c r="G140" s="9">
        <v>8597344350</v>
      </c>
      <c r="H140" s="9">
        <v>6864403428</v>
      </c>
      <c r="I140" s="9">
        <v>1732940922</v>
      </c>
    </row>
    <row r="141" spans="1:9">
      <c r="A141" s="9" t="s">
        <v>259</v>
      </c>
      <c r="B141" s="9">
        <v>300000</v>
      </c>
      <c r="C141" s="9">
        <v>9778820868</v>
      </c>
      <c r="D141" s="9">
        <v>5046436306</v>
      </c>
      <c r="E141" s="9">
        <v>4732384562</v>
      </c>
      <c r="F141" s="9">
        <v>300000</v>
      </c>
      <c r="G141" s="9">
        <v>9778820868</v>
      </c>
      <c r="H141" s="9">
        <v>5046436306</v>
      </c>
      <c r="I141" s="9">
        <v>4732384562</v>
      </c>
    </row>
    <row r="142" spans="1:9">
      <c r="A142" s="9" t="s">
        <v>260</v>
      </c>
      <c r="B142" s="9">
        <v>400000</v>
      </c>
      <c r="C142" s="9">
        <v>7249443287</v>
      </c>
      <c r="D142" s="9">
        <v>3368841397</v>
      </c>
      <c r="E142" s="9">
        <v>3880601890</v>
      </c>
      <c r="F142" s="9">
        <v>400000</v>
      </c>
      <c r="G142" s="9">
        <v>7249443287</v>
      </c>
      <c r="H142" s="9">
        <v>3368841397</v>
      </c>
      <c r="I142" s="9">
        <v>3880601890</v>
      </c>
    </row>
    <row r="143" spans="1:9">
      <c r="A143" s="9" t="s">
        <v>261</v>
      </c>
      <c r="B143" s="9">
        <v>270000</v>
      </c>
      <c r="C143" s="9">
        <v>14384243668</v>
      </c>
      <c r="D143" s="9">
        <v>7788284254</v>
      </c>
      <c r="E143" s="9">
        <v>6595959414</v>
      </c>
      <c r="F143" s="9">
        <v>420000</v>
      </c>
      <c r="G143" s="9">
        <v>20498705913</v>
      </c>
      <c r="H143" s="9">
        <v>12129729432</v>
      </c>
      <c r="I143" s="9">
        <v>8368976481</v>
      </c>
    </row>
    <row r="144" spans="1:9">
      <c r="A144" s="9" t="s">
        <v>262</v>
      </c>
      <c r="B144" s="9">
        <v>0</v>
      </c>
      <c r="C144" s="9">
        <v>0</v>
      </c>
      <c r="D144" s="9">
        <v>0</v>
      </c>
      <c r="E144" s="9">
        <v>0</v>
      </c>
      <c r="F144" s="9">
        <v>987610</v>
      </c>
      <c r="G144" s="9">
        <v>19311754748</v>
      </c>
      <c r="H144" s="9">
        <v>19413995008</v>
      </c>
      <c r="I144" s="9">
        <v>-102240260</v>
      </c>
    </row>
    <row r="145" spans="1:9">
      <c r="A145" s="9" t="s">
        <v>263</v>
      </c>
      <c r="B145" s="9">
        <v>19263</v>
      </c>
      <c r="C145" s="9">
        <v>71295586</v>
      </c>
      <c r="D145" s="9">
        <v>66308470</v>
      </c>
      <c r="E145" s="9">
        <v>4987116</v>
      </c>
      <c r="F145" s="9">
        <v>131090</v>
      </c>
      <c r="G145" s="9">
        <v>488958742</v>
      </c>
      <c r="H145" s="9">
        <v>451217928</v>
      </c>
      <c r="I145" s="9">
        <v>37740814</v>
      </c>
    </row>
    <row r="146" spans="1:9">
      <c r="A146" s="9" t="s">
        <v>264</v>
      </c>
      <c r="B146" s="9">
        <v>2900000</v>
      </c>
      <c r="C146" s="9">
        <v>46043070060</v>
      </c>
      <c r="D146" s="9">
        <v>21817177049</v>
      </c>
      <c r="E146" s="9">
        <v>24225893011</v>
      </c>
      <c r="F146" s="9">
        <v>4300000</v>
      </c>
      <c r="G146" s="9">
        <v>56489688665</v>
      </c>
      <c r="H146" s="9">
        <v>31793444374</v>
      </c>
      <c r="I146" s="9">
        <v>24696244291</v>
      </c>
    </row>
    <row r="147" spans="1:9" ht="18.75" thickBot="1">
      <c r="A147" s="52" t="s">
        <v>2</v>
      </c>
      <c r="B147" s="52">
        <f t="shared" ref="B147:I147" si="0">SUM(B7:B146)</f>
        <v>176840635</v>
      </c>
      <c r="C147" s="52">
        <f t="shared" si="0"/>
        <v>1116140482473</v>
      </c>
      <c r="D147" s="52">
        <f t="shared" si="0"/>
        <v>705324935405</v>
      </c>
      <c r="E147" s="52">
        <f t="shared" si="0"/>
        <v>410815547068</v>
      </c>
      <c r="F147" s="52">
        <f t="shared" si="0"/>
        <v>483858137</v>
      </c>
      <c r="G147" s="52">
        <f t="shared" si="0"/>
        <v>2529181213905</v>
      </c>
      <c r="H147" s="52">
        <f t="shared" si="0"/>
        <v>1922066814376</v>
      </c>
      <c r="I147" s="52">
        <f t="shared" si="0"/>
        <v>607114399529</v>
      </c>
    </row>
    <row r="148" spans="1:9" ht="18.75" thickTop="1"/>
  </sheetData>
  <mergeCells count="7">
    <mergeCell ref="A1:I1"/>
    <mergeCell ref="A2:I2"/>
    <mergeCell ref="A3:I3"/>
    <mergeCell ref="B5:E5"/>
    <mergeCell ref="F5:I5"/>
    <mergeCell ref="A4:E4"/>
    <mergeCell ref="F4:I4"/>
  </mergeCells>
  <pageMargins left="0.7" right="0.7" top="0.75" bottom="0.75" header="0.3" footer="0.3"/>
  <pageSetup scale="95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:I234"/>
  <sheetViews>
    <sheetView rightToLeft="1" tabSelected="1" view="pageBreakPreview" topLeftCell="A214" zoomScaleNormal="100" zoomScaleSheetLayoutView="100" workbookViewId="0">
      <selection activeCell="A19" sqref="A19:K24"/>
    </sheetView>
  </sheetViews>
  <sheetFormatPr defaultRowHeight="18"/>
  <cols>
    <col min="1" max="1" width="19.125" style="10" customWidth="1"/>
    <col min="2" max="2" width="10" style="10" bestFit="1" customWidth="1"/>
    <col min="3" max="3" width="13.5" style="10" bestFit="1" customWidth="1"/>
    <col min="4" max="4" width="12.625" style="10" bestFit="1" customWidth="1"/>
    <col min="5" max="5" width="16.5" style="10" bestFit="1" customWidth="1"/>
    <col min="6" max="6" width="10" style="10" bestFit="1" customWidth="1"/>
    <col min="7" max="7" width="13.5" style="10" bestFit="1" customWidth="1"/>
    <col min="8" max="8" width="12.625" style="10" bestFit="1" customWidth="1"/>
    <col min="9" max="9" width="20" style="10" bestFit="1" customWidth="1"/>
    <col min="10" max="16384" width="9" style="10"/>
  </cols>
  <sheetData>
    <row r="1" spans="1:9" ht="21">
      <c r="A1" s="109" t="s">
        <v>113</v>
      </c>
      <c r="B1" s="109"/>
      <c r="C1" s="109"/>
      <c r="D1" s="109"/>
      <c r="E1" s="109"/>
      <c r="F1" s="109"/>
      <c r="G1" s="109"/>
      <c r="H1" s="109"/>
      <c r="I1" s="109"/>
    </row>
    <row r="2" spans="1:9" ht="21">
      <c r="A2" s="109" t="s">
        <v>79</v>
      </c>
      <c r="B2" s="109"/>
      <c r="C2" s="109"/>
      <c r="D2" s="109"/>
      <c r="E2" s="109"/>
      <c r="F2" s="109"/>
      <c r="G2" s="109"/>
      <c r="H2" s="109"/>
      <c r="I2" s="109"/>
    </row>
    <row r="3" spans="1:9" ht="21">
      <c r="A3" s="109" t="s">
        <v>115</v>
      </c>
      <c r="B3" s="109"/>
      <c r="C3" s="109"/>
      <c r="D3" s="109"/>
      <c r="E3" s="109"/>
      <c r="F3" s="109"/>
      <c r="G3" s="109"/>
      <c r="H3" s="109"/>
      <c r="I3" s="109"/>
    </row>
    <row r="4" spans="1:9" ht="21">
      <c r="A4" s="116" t="s">
        <v>64</v>
      </c>
      <c r="B4" s="116"/>
      <c r="C4" s="116"/>
      <c r="D4" s="116"/>
    </row>
    <row r="5" spans="1:9" ht="16.5" customHeight="1" thickBot="1">
      <c r="B5" s="163" t="s">
        <v>109</v>
      </c>
      <c r="C5" s="163"/>
      <c r="D5" s="163"/>
      <c r="E5" s="163"/>
      <c r="F5" s="153" t="s">
        <v>116</v>
      </c>
      <c r="G5" s="153"/>
      <c r="H5" s="153"/>
      <c r="I5" s="153"/>
    </row>
    <row r="6" spans="1:9" ht="53.25" customHeight="1" thickBot="1">
      <c r="A6" s="11" t="s">
        <v>53</v>
      </c>
      <c r="B6" s="12" t="s">
        <v>3</v>
      </c>
      <c r="C6" s="13" t="s">
        <v>27</v>
      </c>
      <c r="D6" s="12" t="s">
        <v>65</v>
      </c>
      <c r="E6" s="14" t="s">
        <v>66</v>
      </c>
      <c r="F6" s="12" t="s">
        <v>3</v>
      </c>
      <c r="G6" s="13" t="s">
        <v>27</v>
      </c>
      <c r="H6" s="12" t="s">
        <v>65</v>
      </c>
      <c r="I6" s="14" t="s">
        <v>66</v>
      </c>
    </row>
    <row r="7" spans="1:9">
      <c r="A7" s="9" t="s">
        <v>181</v>
      </c>
      <c r="B7" s="9">
        <v>6027544</v>
      </c>
      <c r="C7" s="9">
        <v>42105895638</v>
      </c>
      <c r="D7" s="9">
        <v>27530877108</v>
      </c>
      <c r="E7" s="9">
        <v>14575018530</v>
      </c>
      <c r="F7" s="9">
        <v>6027544</v>
      </c>
      <c r="G7" s="9">
        <v>42105895638</v>
      </c>
      <c r="H7" s="9">
        <v>24165871153</v>
      </c>
      <c r="I7" s="9">
        <v>17940024485</v>
      </c>
    </row>
    <row r="8" spans="1:9">
      <c r="A8" s="9" t="s">
        <v>264</v>
      </c>
      <c r="B8" s="9">
        <v>3242935</v>
      </c>
      <c r="C8" s="9">
        <v>54607204898</v>
      </c>
      <c r="D8" s="9">
        <v>69804479818</v>
      </c>
      <c r="E8" s="9">
        <v>-15197274920</v>
      </c>
      <c r="F8" s="9">
        <v>3242935</v>
      </c>
      <c r="G8" s="9">
        <v>54607204898</v>
      </c>
      <c r="H8" s="9">
        <v>24798234575</v>
      </c>
      <c r="I8" s="9">
        <v>29808970323</v>
      </c>
    </row>
    <row r="9" spans="1:9">
      <c r="A9" s="9" t="s">
        <v>292</v>
      </c>
      <c r="B9" s="9">
        <v>158909</v>
      </c>
      <c r="C9" s="9">
        <v>30511202569</v>
      </c>
      <c r="D9" s="9">
        <v>20167353016</v>
      </c>
      <c r="E9" s="9">
        <v>10343849553</v>
      </c>
      <c r="F9" s="9">
        <v>158909</v>
      </c>
      <c r="G9" s="9">
        <v>30511202569</v>
      </c>
      <c r="H9" s="9">
        <v>17472590990</v>
      </c>
      <c r="I9" s="9">
        <v>13038611579</v>
      </c>
    </row>
    <row r="10" spans="1:9">
      <c r="A10" s="9" t="s">
        <v>268</v>
      </c>
      <c r="B10" s="9">
        <v>4862943</v>
      </c>
      <c r="C10" s="9">
        <v>70884427499</v>
      </c>
      <c r="D10" s="9">
        <v>55684567280</v>
      </c>
      <c r="E10" s="9">
        <v>15199860219</v>
      </c>
      <c r="F10" s="9">
        <v>4862943</v>
      </c>
      <c r="G10" s="9">
        <v>70884427499</v>
      </c>
      <c r="H10" s="9">
        <v>34613248660</v>
      </c>
      <c r="I10" s="9">
        <v>36271178839</v>
      </c>
    </row>
    <row r="11" spans="1:9">
      <c r="A11" s="9" t="s">
        <v>362</v>
      </c>
      <c r="B11" s="9">
        <v>112243</v>
      </c>
      <c r="C11" s="9">
        <v>3189790357</v>
      </c>
      <c r="D11" s="9">
        <v>1881129858</v>
      </c>
      <c r="E11" s="9">
        <v>1308660499</v>
      </c>
      <c r="F11" s="9">
        <v>112243</v>
      </c>
      <c r="G11" s="9">
        <v>3189790357</v>
      </c>
      <c r="H11" s="9">
        <v>1251567125</v>
      </c>
      <c r="I11" s="9">
        <v>1938223232</v>
      </c>
    </row>
    <row r="12" spans="1:9">
      <c r="A12" s="9" t="s">
        <v>325</v>
      </c>
      <c r="B12" s="9">
        <v>3814542</v>
      </c>
      <c r="C12" s="9">
        <v>16994899601</v>
      </c>
      <c r="D12" s="9">
        <v>14829847803</v>
      </c>
      <c r="E12" s="9">
        <v>2165051798</v>
      </c>
      <c r="F12" s="9">
        <v>3814542</v>
      </c>
      <c r="G12" s="9">
        <v>16994899601</v>
      </c>
      <c r="H12" s="9">
        <v>15851812812</v>
      </c>
      <c r="I12" s="9">
        <v>1143086789</v>
      </c>
    </row>
    <row r="13" spans="1:9">
      <c r="A13" s="9" t="s">
        <v>295</v>
      </c>
      <c r="B13" s="9">
        <v>245000</v>
      </c>
      <c r="C13" s="9">
        <v>4378341761</v>
      </c>
      <c r="D13" s="9">
        <v>3388899731</v>
      </c>
      <c r="E13" s="9">
        <v>989442030</v>
      </c>
      <c r="F13" s="9">
        <v>245000</v>
      </c>
      <c r="G13" s="9">
        <v>4378341761</v>
      </c>
      <c r="H13" s="9">
        <v>2525872898</v>
      </c>
      <c r="I13" s="9">
        <v>1852468863</v>
      </c>
    </row>
    <row r="14" spans="1:9">
      <c r="A14" s="9" t="s">
        <v>222</v>
      </c>
      <c r="B14" s="9">
        <v>9524125</v>
      </c>
      <c r="C14" s="9">
        <v>85243541694</v>
      </c>
      <c r="D14" s="9">
        <v>52639304572</v>
      </c>
      <c r="E14" s="9">
        <v>32604237122</v>
      </c>
      <c r="F14" s="9">
        <v>9524125</v>
      </c>
      <c r="G14" s="9">
        <v>85243541694</v>
      </c>
      <c r="H14" s="9">
        <v>49360527511</v>
      </c>
      <c r="I14" s="9">
        <v>35883014183</v>
      </c>
    </row>
    <row r="15" spans="1:9">
      <c r="A15" s="9" t="s">
        <v>235</v>
      </c>
      <c r="B15" s="9">
        <v>2335450</v>
      </c>
      <c r="C15" s="9">
        <v>55826093043</v>
      </c>
      <c r="D15" s="9">
        <v>39033772120</v>
      </c>
      <c r="E15" s="9">
        <v>16792320923</v>
      </c>
      <c r="F15" s="9">
        <v>2335450</v>
      </c>
      <c r="G15" s="9">
        <v>55826093043</v>
      </c>
      <c r="H15" s="9">
        <v>26374436210</v>
      </c>
      <c r="I15" s="9">
        <v>29451656833</v>
      </c>
    </row>
    <row r="16" spans="1:9">
      <c r="A16" s="9" t="s">
        <v>211</v>
      </c>
      <c r="B16" s="9">
        <v>9767693</v>
      </c>
      <c r="C16" s="9">
        <v>32856519805</v>
      </c>
      <c r="D16" s="9">
        <v>28342612408</v>
      </c>
      <c r="E16" s="9">
        <v>4513907397</v>
      </c>
      <c r="F16" s="9">
        <v>9767693</v>
      </c>
      <c r="G16" s="9">
        <v>32856519805</v>
      </c>
      <c r="H16" s="9">
        <v>16005175324</v>
      </c>
      <c r="I16" s="9">
        <v>16851344481</v>
      </c>
    </row>
    <row r="17" spans="1:9">
      <c r="A17" s="9" t="s">
        <v>223</v>
      </c>
      <c r="B17" s="9">
        <v>11621427</v>
      </c>
      <c r="C17" s="9">
        <v>178970329091</v>
      </c>
      <c r="D17" s="9">
        <v>125665706334</v>
      </c>
      <c r="E17" s="9">
        <v>53304622757</v>
      </c>
      <c r="F17" s="9">
        <v>11621427</v>
      </c>
      <c r="G17" s="9">
        <v>178970329091</v>
      </c>
      <c r="H17" s="9">
        <v>45977613840</v>
      </c>
      <c r="I17" s="9">
        <v>132992715251</v>
      </c>
    </row>
    <row r="18" spans="1:9">
      <c r="A18" s="9" t="s">
        <v>144</v>
      </c>
      <c r="B18" s="9">
        <v>1345609</v>
      </c>
      <c r="C18" s="9">
        <v>46425162773</v>
      </c>
      <c r="D18" s="9">
        <v>39451096612</v>
      </c>
      <c r="E18" s="9">
        <v>6974066161</v>
      </c>
      <c r="F18" s="9">
        <v>1345609</v>
      </c>
      <c r="G18" s="9">
        <v>46425162773</v>
      </c>
      <c r="H18" s="9">
        <v>23286017796</v>
      </c>
      <c r="I18" s="9">
        <v>23139144977</v>
      </c>
    </row>
    <row r="19" spans="1:9">
      <c r="A19" s="9" t="s">
        <v>186</v>
      </c>
      <c r="B19" s="9">
        <v>10003637</v>
      </c>
      <c r="C19" s="9">
        <v>38514078478</v>
      </c>
      <c r="D19" s="9">
        <v>24448498786</v>
      </c>
      <c r="E19" s="9">
        <v>14065579692</v>
      </c>
      <c r="F19" s="9">
        <v>10003637</v>
      </c>
      <c r="G19" s="9">
        <v>38514078478</v>
      </c>
      <c r="H19" s="9">
        <v>22314986224</v>
      </c>
      <c r="I19" s="9">
        <v>16199092254</v>
      </c>
    </row>
    <row r="20" spans="1:9">
      <c r="A20" s="9" t="s">
        <v>164</v>
      </c>
      <c r="B20" s="9">
        <v>26571939</v>
      </c>
      <c r="C20" s="9">
        <v>81999932905</v>
      </c>
      <c r="D20" s="9">
        <v>73778070379</v>
      </c>
      <c r="E20" s="9">
        <v>8221862526</v>
      </c>
      <c r="F20" s="9">
        <v>26571939</v>
      </c>
      <c r="G20" s="9">
        <v>81999932905</v>
      </c>
      <c r="H20" s="9">
        <v>68266066169</v>
      </c>
      <c r="I20" s="9">
        <v>13733866736</v>
      </c>
    </row>
    <row r="21" spans="1:9">
      <c r="A21" s="9" t="s">
        <v>219</v>
      </c>
      <c r="B21" s="9">
        <v>104507736</v>
      </c>
      <c r="C21" s="9">
        <v>67093829607</v>
      </c>
      <c r="D21" s="9">
        <v>52264745165</v>
      </c>
      <c r="E21" s="9">
        <v>14829084442</v>
      </c>
      <c r="F21" s="9">
        <v>104507736</v>
      </c>
      <c r="G21" s="9">
        <v>67093829607</v>
      </c>
      <c r="H21" s="9">
        <v>55786182083</v>
      </c>
      <c r="I21" s="9">
        <v>11307647524</v>
      </c>
    </row>
    <row r="22" spans="1:9">
      <c r="A22" s="9" t="s">
        <v>271</v>
      </c>
      <c r="B22" s="9">
        <v>1750000</v>
      </c>
      <c r="C22" s="9">
        <v>8543444700</v>
      </c>
      <c r="D22" s="9">
        <v>7102172525</v>
      </c>
      <c r="E22" s="9">
        <v>1441272175</v>
      </c>
      <c r="F22" s="9">
        <v>1750000</v>
      </c>
      <c r="G22" s="9">
        <v>8543444700</v>
      </c>
      <c r="H22" s="9">
        <v>4554767367</v>
      </c>
      <c r="I22" s="9">
        <v>3988677333</v>
      </c>
    </row>
    <row r="23" spans="1:9">
      <c r="A23" s="9" t="s">
        <v>375</v>
      </c>
      <c r="B23" s="9">
        <v>31353305</v>
      </c>
      <c r="C23" s="9">
        <v>54661928524</v>
      </c>
      <c r="D23" s="9">
        <v>41688664896</v>
      </c>
      <c r="E23" s="9">
        <v>12973263628</v>
      </c>
      <c r="F23" s="9">
        <v>31353305</v>
      </c>
      <c r="G23" s="9">
        <v>54661928524</v>
      </c>
      <c r="H23" s="9">
        <v>37299697833</v>
      </c>
      <c r="I23" s="9">
        <v>17362230691</v>
      </c>
    </row>
    <row r="24" spans="1:9">
      <c r="A24" s="9" t="s">
        <v>131</v>
      </c>
      <c r="B24" s="9">
        <v>36217996</v>
      </c>
      <c r="C24" s="9">
        <v>30547326257</v>
      </c>
      <c r="D24" s="9">
        <v>18975280310</v>
      </c>
      <c r="E24" s="9">
        <v>11572045947</v>
      </c>
      <c r="F24" s="9">
        <v>36217996</v>
      </c>
      <c r="G24" s="9">
        <v>30547326257</v>
      </c>
      <c r="H24" s="9">
        <v>13510635983</v>
      </c>
      <c r="I24" s="9">
        <v>17036690274</v>
      </c>
    </row>
    <row r="25" spans="1:9">
      <c r="A25" s="9" t="s">
        <v>231</v>
      </c>
      <c r="B25" s="9">
        <v>5600000</v>
      </c>
      <c r="C25" s="9">
        <v>35007285600</v>
      </c>
      <c r="D25" s="9">
        <v>31656055988</v>
      </c>
      <c r="E25" s="9">
        <v>3351229612</v>
      </c>
      <c r="F25" s="9">
        <v>5600000</v>
      </c>
      <c r="G25" s="9">
        <v>35007285600</v>
      </c>
      <c r="H25" s="9">
        <v>18213681418</v>
      </c>
      <c r="I25" s="9">
        <v>16793604182</v>
      </c>
    </row>
    <row r="26" spans="1:9">
      <c r="A26" s="9" t="s">
        <v>142</v>
      </c>
      <c r="B26" s="9">
        <v>6075143</v>
      </c>
      <c r="C26" s="9">
        <v>19531310149</v>
      </c>
      <c r="D26" s="9">
        <v>15178962640</v>
      </c>
      <c r="E26" s="9">
        <v>4352347509</v>
      </c>
      <c r="F26" s="9">
        <v>6075143</v>
      </c>
      <c r="G26" s="9">
        <v>19531310149</v>
      </c>
      <c r="H26" s="9">
        <v>11474470080</v>
      </c>
      <c r="I26" s="9">
        <v>8056840069</v>
      </c>
    </row>
    <row r="27" spans="1:9">
      <c r="A27" s="9" t="s">
        <v>356</v>
      </c>
      <c r="B27" s="9">
        <v>62123085</v>
      </c>
      <c r="C27" s="9">
        <v>55786800565</v>
      </c>
      <c r="D27" s="9">
        <v>39513081947</v>
      </c>
      <c r="E27" s="9">
        <v>16273718618</v>
      </c>
      <c r="F27" s="9">
        <v>62123085</v>
      </c>
      <c r="G27" s="9">
        <v>55786800565</v>
      </c>
      <c r="H27" s="9">
        <v>32105994907</v>
      </c>
      <c r="I27" s="9">
        <v>23680805658</v>
      </c>
    </row>
    <row r="28" spans="1:9">
      <c r="A28" s="9" t="s">
        <v>233</v>
      </c>
      <c r="B28" s="9">
        <v>35696139</v>
      </c>
      <c r="C28" s="9">
        <v>48490264541</v>
      </c>
      <c r="D28" s="9">
        <v>39768735063</v>
      </c>
      <c r="E28" s="9">
        <v>8721529478</v>
      </c>
      <c r="F28" s="9">
        <v>35696139</v>
      </c>
      <c r="G28" s="9">
        <v>48490264541</v>
      </c>
      <c r="H28" s="9">
        <v>38845967149</v>
      </c>
      <c r="I28" s="9">
        <v>9644297392</v>
      </c>
    </row>
    <row r="29" spans="1:9">
      <c r="A29" s="9" t="s">
        <v>166</v>
      </c>
      <c r="B29" s="9">
        <v>11403159</v>
      </c>
      <c r="C29" s="9">
        <v>62232569195</v>
      </c>
      <c r="D29" s="9">
        <v>53496852669</v>
      </c>
      <c r="E29" s="9">
        <v>8735716526</v>
      </c>
      <c r="F29" s="9">
        <v>11403159</v>
      </c>
      <c r="G29" s="9">
        <v>62232569195</v>
      </c>
      <c r="H29" s="9">
        <v>38979947893</v>
      </c>
      <c r="I29" s="9">
        <v>23252621302</v>
      </c>
    </row>
    <row r="30" spans="1:9">
      <c r="A30" s="9" t="s">
        <v>143</v>
      </c>
      <c r="B30" s="9">
        <v>16845192</v>
      </c>
      <c r="C30" s="9">
        <v>27362420076</v>
      </c>
      <c r="D30" s="9">
        <v>26041936761</v>
      </c>
      <c r="E30" s="9">
        <v>1320483315</v>
      </c>
      <c r="F30" s="9">
        <v>16845192</v>
      </c>
      <c r="G30" s="9">
        <v>27362420076</v>
      </c>
      <c r="H30" s="9">
        <v>27049394994</v>
      </c>
      <c r="I30" s="9">
        <v>313025082</v>
      </c>
    </row>
    <row r="31" spans="1:9">
      <c r="A31" s="9" t="s">
        <v>340</v>
      </c>
      <c r="B31" s="9">
        <v>10526015</v>
      </c>
      <c r="C31" s="9">
        <v>36138485208</v>
      </c>
      <c r="D31" s="9">
        <v>26947194172</v>
      </c>
      <c r="E31" s="9">
        <v>9191291036</v>
      </c>
      <c r="F31" s="9">
        <v>10526015</v>
      </c>
      <c r="G31" s="9">
        <v>36138485208</v>
      </c>
      <c r="H31" s="9">
        <v>17537872757</v>
      </c>
      <c r="I31" s="9">
        <v>18600612451</v>
      </c>
    </row>
    <row r="32" spans="1:9">
      <c r="A32" s="9" t="s">
        <v>193</v>
      </c>
      <c r="B32" s="9">
        <v>16851248</v>
      </c>
      <c r="C32" s="9">
        <v>34863259673</v>
      </c>
      <c r="D32" s="9">
        <v>31769876921</v>
      </c>
      <c r="E32" s="9">
        <v>3093382752</v>
      </c>
      <c r="F32" s="9">
        <v>16851248</v>
      </c>
      <c r="G32" s="9">
        <v>34863259673</v>
      </c>
      <c r="H32" s="9">
        <v>33034557028</v>
      </c>
      <c r="I32" s="9">
        <v>1828702645</v>
      </c>
    </row>
    <row r="33" spans="1:9">
      <c r="A33" s="9" t="s">
        <v>378</v>
      </c>
      <c r="B33" s="9">
        <v>2875000</v>
      </c>
      <c r="C33" s="9">
        <v>6558532599</v>
      </c>
      <c r="D33" s="9">
        <v>6161996700</v>
      </c>
      <c r="E33" s="9">
        <v>396535899</v>
      </c>
      <c r="F33" s="9">
        <v>2875000</v>
      </c>
      <c r="G33" s="9">
        <v>6558532599</v>
      </c>
      <c r="H33" s="9">
        <v>5668466409</v>
      </c>
      <c r="I33" s="9">
        <v>890066190</v>
      </c>
    </row>
    <row r="34" spans="1:9">
      <c r="A34" s="9" t="s">
        <v>380</v>
      </c>
      <c r="B34" s="9">
        <v>6000000</v>
      </c>
      <c r="C34" s="9">
        <v>93174153000</v>
      </c>
      <c r="D34" s="9">
        <v>74420250000</v>
      </c>
      <c r="E34" s="9">
        <v>18753903000</v>
      </c>
      <c r="F34" s="9">
        <v>6000000</v>
      </c>
      <c r="G34" s="9">
        <v>93174153000</v>
      </c>
      <c r="H34" s="9">
        <v>72340764580</v>
      </c>
      <c r="I34" s="9">
        <v>20833388420</v>
      </c>
    </row>
    <row r="35" spans="1:9">
      <c r="A35" s="9" t="s">
        <v>127</v>
      </c>
      <c r="B35" s="9">
        <v>17463245</v>
      </c>
      <c r="C35" s="9">
        <v>28366351988</v>
      </c>
      <c r="D35" s="9">
        <v>21833600186</v>
      </c>
      <c r="E35" s="9">
        <v>6532751802</v>
      </c>
      <c r="F35" s="9">
        <v>17463245</v>
      </c>
      <c r="G35" s="9">
        <v>28366351988</v>
      </c>
      <c r="H35" s="9">
        <v>22370532470</v>
      </c>
      <c r="I35" s="9">
        <v>5995819518</v>
      </c>
    </row>
    <row r="36" spans="1:9">
      <c r="A36" s="9" t="s">
        <v>346</v>
      </c>
      <c r="B36" s="9">
        <v>4793305</v>
      </c>
      <c r="C36" s="9">
        <v>13288970190</v>
      </c>
      <c r="D36" s="9">
        <v>13222382652</v>
      </c>
      <c r="E36" s="9">
        <v>66587538</v>
      </c>
      <c r="F36" s="9">
        <v>4793305</v>
      </c>
      <c r="G36" s="9">
        <v>13288970190</v>
      </c>
      <c r="H36" s="9">
        <v>11482759130</v>
      </c>
      <c r="I36" s="9">
        <v>1806211060</v>
      </c>
    </row>
    <row r="37" spans="1:9">
      <c r="A37" s="9" t="s">
        <v>246</v>
      </c>
      <c r="B37" s="9">
        <v>18617878</v>
      </c>
      <c r="C37" s="9">
        <v>48919050855</v>
      </c>
      <c r="D37" s="9">
        <v>32865178048</v>
      </c>
      <c r="E37" s="9">
        <v>16053872807</v>
      </c>
      <c r="F37" s="9">
        <v>18617878</v>
      </c>
      <c r="G37" s="9">
        <v>48919050855</v>
      </c>
      <c r="H37" s="9">
        <v>30332510437</v>
      </c>
      <c r="I37" s="9">
        <v>18586540418</v>
      </c>
    </row>
    <row r="38" spans="1:9">
      <c r="A38" s="9" t="s">
        <v>159</v>
      </c>
      <c r="B38" s="9">
        <v>9892011</v>
      </c>
      <c r="C38" s="9">
        <v>37299073869</v>
      </c>
      <c r="D38" s="9">
        <v>22736926280</v>
      </c>
      <c r="E38" s="9">
        <v>14562147589</v>
      </c>
      <c r="F38" s="9">
        <v>9892011</v>
      </c>
      <c r="G38" s="9">
        <v>37299073869</v>
      </c>
      <c r="H38" s="9">
        <v>23643692223</v>
      </c>
      <c r="I38" s="9">
        <v>13655381646</v>
      </c>
    </row>
    <row r="39" spans="1:9">
      <c r="A39" s="9" t="s">
        <v>209</v>
      </c>
      <c r="B39" s="9">
        <v>5838695</v>
      </c>
      <c r="C39" s="9">
        <v>42640615493</v>
      </c>
      <c r="D39" s="9">
        <v>42988229206</v>
      </c>
      <c r="E39" s="9">
        <v>-347613713</v>
      </c>
      <c r="F39" s="9">
        <v>5838695</v>
      </c>
      <c r="G39" s="9">
        <v>42640615493</v>
      </c>
      <c r="H39" s="9">
        <v>36325353077</v>
      </c>
      <c r="I39" s="9">
        <v>6315262416</v>
      </c>
    </row>
    <row r="40" spans="1:9">
      <c r="A40" s="9" t="s">
        <v>237</v>
      </c>
      <c r="B40" s="9">
        <v>9216183</v>
      </c>
      <c r="C40" s="9">
        <v>78280702710</v>
      </c>
      <c r="D40" s="9">
        <v>76268815491</v>
      </c>
      <c r="E40" s="9">
        <v>2011887219</v>
      </c>
      <c r="F40" s="9">
        <v>9216183</v>
      </c>
      <c r="G40" s="9">
        <v>78280702710</v>
      </c>
      <c r="H40" s="9">
        <v>45004483379</v>
      </c>
      <c r="I40" s="9">
        <v>33276219331</v>
      </c>
    </row>
    <row r="41" spans="1:9">
      <c r="A41" s="9" t="s">
        <v>385</v>
      </c>
      <c r="B41" s="9">
        <v>14328056</v>
      </c>
      <c r="C41" s="9">
        <v>40163872859</v>
      </c>
      <c r="D41" s="9">
        <v>32984136295</v>
      </c>
      <c r="E41" s="9">
        <v>7179736564</v>
      </c>
      <c r="F41" s="9">
        <v>14328056</v>
      </c>
      <c r="G41" s="9">
        <v>40163872859</v>
      </c>
      <c r="H41" s="9">
        <v>30805454679</v>
      </c>
      <c r="I41" s="9">
        <v>9358418180</v>
      </c>
    </row>
    <row r="42" spans="1:9">
      <c r="A42" s="9" t="s">
        <v>151</v>
      </c>
      <c r="B42" s="9">
        <v>13100000</v>
      </c>
      <c r="C42" s="9">
        <v>74482763010</v>
      </c>
      <c r="D42" s="9">
        <v>71119667267</v>
      </c>
      <c r="E42" s="9">
        <v>3363095743</v>
      </c>
      <c r="F42" s="9">
        <v>13100000</v>
      </c>
      <c r="G42" s="9">
        <v>74482763010</v>
      </c>
      <c r="H42" s="9">
        <v>29736560398</v>
      </c>
      <c r="I42" s="9">
        <v>44746202612</v>
      </c>
    </row>
    <row r="43" spans="1:9">
      <c r="A43" s="9" t="s">
        <v>251</v>
      </c>
      <c r="B43" s="9">
        <v>5757161</v>
      </c>
      <c r="C43" s="9">
        <v>61525328227</v>
      </c>
      <c r="D43" s="9">
        <v>57967137348</v>
      </c>
      <c r="E43" s="9">
        <v>3558190879</v>
      </c>
      <c r="F43" s="9">
        <v>5757161</v>
      </c>
      <c r="G43" s="9">
        <v>61525328227</v>
      </c>
      <c r="H43" s="9">
        <v>23073379461</v>
      </c>
      <c r="I43" s="9">
        <v>38451948766</v>
      </c>
    </row>
    <row r="44" spans="1:9">
      <c r="A44" s="9" t="s">
        <v>213</v>
      </c>
      <c r="B44" s="9">
        <v>0</v>
      </c>
      <c r="C44" s="9">
        <v>0</v>
      </c>
      <c r="D44" s="9">
        <v>296661775</v>
      </c>
      <c r="E44" s="9">
        <v>-296661775</v>
      </c>
      <c r="F44" s="9">
        <v>0</v>
      </c>
      <c r="G44" s="9">
        <v>0</v>
      </c>
      <c r="H44" s="9">
        <v>0</v>
      </c>
      <c r="I44" s="9">
        <v>0</v>
      </c>
    </row>
    <row r="45" spans="1:9">
      <c r="A45" s="9" t="s">
        <v>338</v>
      </c>
      <c r="B45" s="9">
        <v>285750</v>
      </c>
      <c r="C45" s="9">
        <v>17321529006</v>
      </c>
      <c r="D45" s="9">
        <v>14792341926</v>
      </c>
      <c r="E45" s="9">
        <v>2529187080</v>
      </c>
      <c r="F45" s="9">
        <v>285750</v>
      </c>
      <c r="G45" s="9">
        <v>17321529006</v>
      </c>
      <c r="H45" s="9">
        <v>14956795794</v>
      </c>
      <c r="I45" s="9">
        <v>2364733212</v>
      </c>
    </row>
    <row r="46" spans="1:9">
      <c r="A46" s="9" t="s">
        <v>323</v>
      </c>
      <c r="B46" s="9">
        <v>11678863</v>
      </c>
      <c r="C46" s="9">
        <v>19352937600</v>
      </c>
      <c r="D46" s="9">
        <v>16421025496</v>
      </c>
      <c r="E46" s="9">
        <v>2931912104</v>
      </c>
      <c r="F46" s="9">
        <v>11678863</v>
      </c>
      <c r="G46" s="9">
        <v>19352937600</v>
      </c>
      <c r="H46" s="9">
        <v>15018923425</v>
      </c>
      <c r="I46" s="9">
        <v>4334014175</v>
      </c>
    </row>
    <row r="47" spans="1:9">
      <c r="A47" s="9" t="s">
        <v>201</v>
      </c>
      <c r="B47" s="9">
        <v>3635616</v>
      </c>
      <c r="C47" s="9">
        <v>26587368513</v>
      </c>
      <c r="D47" s="9">
        <v>21416340096</v>
      </c>
      <c r="E47" s="9">
        <v>5171028417</v>
      </c>
      <c r="F47" s="9">
        <v>3635616</v>
      </c>
      <c r="G47" s="9">
        <v>26587368513</v>
      </c>
      <c r="H47" s="9">
        <v>23031070104</v>
      </c>
      <c r="I47" s="9">
        <v>3556298409</v>
      </c>
    </row>
    <row r="48" spans="1:9">
      <c r="A48" s="9" t="s">
        <v>337</v>
      </c>
      <c r="B48" s="9">
        <v>250000</v>
      </c>
      <c r="C48" s="9">
        <v>2904870425</v>
      </c>
      <c r="D48" s="9">
        <v>2465790950</v>
      </c>
      <c r="E48" s="9">
        <v>439079475</v>
      </c>
      <c r="F48" s="9">
        <v>250000</v>
      </c>
      <c r="G48" s="9">
        <v>2904870425</v>
      </c>
      <c r="H48" s="9">
        <v>1200646700</v>
      </c>
      <c r="I48" s="9">
        <v>1704223725</v>
      </c>
    </row>
    <row r="49" spans="1:9">
      <c r="A49" s="9" t="s">
        <v>390</v>
      </c>
      <c r="B49" s="9">
        <v>11060139</v>
      </c>
      <c r="C49" s="9">
        <v>73420369200</v>
      </c>
      <c r="D49" s="9">
        <v>50373616536</v>
      </c>
      <c r="E49" s="9">
        <v>23046752664</v>
      </c>
      <c r="F49" s="9">
        <v>11060139</v>
      </c>
      <c r="G49" s="9">
        <v>73420369200</v>
      </c>
      <c r="H49" s="9">
        <v>54429826563</v>
      </c>
      <c r="I49" s="9">
        <v>18990542637</v>
      </c>
    </row>
    <row r="50" spans="1:9">
      <c r="A50" s="9" t="s">
        <v>170</v>
      </c>
      <c r="B50" s="9">
        <v>109400</v>
      </c>
      <c r="C50" s="9">
        <v>20234528603</v>
      </c>
      <c r="D50" s="9">
        <v>17965127732</v>
      </c>
      <c r="E50" s="9">
        <v>2269400871</v>
      </c>
      <c r="F50" s="9">
        <v>109400</v>
      </c>
      <c r="G50" s="9">
        <v>20234528603</v>
      </c>
      <c r="H50" s="9">
        <v>13710412889</v>
      </c>
      <c r="I50" s="9">
        <v>6524115714</v>
      </c>
    </row>
    <row r="51" spans="1:9">
      <c r="A51" s="9" t="s">
        <v>234</v>
      </c>
      <c r="B51" s="9">
        <v>3535701</v>
      </c>
      <c r="C51" s="9">
        <v>41398766369</v>
      </c>
      <c r="D51" s="9">
        <v>29259806061</v>
      </c>
      <c r="E51" s="9">
        <v>12138960308</v>
      </c>
      <c r="F51" s="9">
        <v>3535701</v>
      </c>
      <c r="G51" s="9">
        <v>41398766369</v>
      </c>
      <c r="H51" s="9">
        <v>35508213086</v>
      </c>
      <c r="I51" s="9">
        <v>5890553283</v>
      </c>
    </row>
    <row r="52" spans="1:9">
      <c r="A52" s="9" t="s">
        <v>198</v>
      </c>
      <c r="B52" s="9">
        <v>6383236</v>
      </c>
      <c r="C52" s="9">
        <v>42690442768</v>
      </c>
      <c r="D52" s="9">
        <v>36461357591</v>
      </c>
      <c r="E52" s="9">
        <v>6229085177</v>
      </c>
      <c r="F52" s="9">
        <v>6383236</v>
      </c>
      <c r="G52" s="9">
        <v>42690442768</v>
      </c>
      <c r="H52" s="9">
        <v>36715890297</v>
      </c>
      <c r="I52" s="9">
        <v>5974552471</v>
      </c>
    </row>
    <row r="53" spans="1:9">
      <c r="A53" s="9" t="s">
        <v>177</v>
      </c>
      <c r="B53" s="9">
        <v>12960615</v>
      </c>
      <c r="C53" s="9">
        <v>32048190180</v>
      </c>
      <c r="D53" s="9">
        <v>28074317481</v>
      </c>
      <c r="E53" s="9">
        <v>3973872699</v>
      </c>
      <c r="F53" s="9">
        <v>12960615</v>
      </c>
      <c r="G53" s="9">
        <v>32048190180</v>
      </c>
      <c r="H53" s="9">
        <v>23372761437</v>
      </c>
      <c r="I53" s="9">
        <v>8675428743</v>
      </c>
    </row>
    <row r="54" spans="1:9">
      <c r="A54" s="9" t="s">
        <v>240</v>
      </c>
      <c r="B54" s="9">
        <v>13327841</v>
      </c>
      <c r="C54" s="9">
        <v>38484216856</v>
      </c>
      <c r="D54" s="9">
        <v>30959296103</v>
      </c>
      <c r="E54" s="9">
        <v>7524920753</v>
      </c>
      <c r="F54" s="9">
        <v>13327841</v>
      </c>
      <c r="G54" s="9">
        <v>38484216856</v>
      </c>
      <c r="H54" s="9">
        <v>19379646665</v>
      </c>
      <c r="I54" s="9">
        <v>19104570191</v>
      </c>
    </row>
    <row r="55" spans="1:9">
      <c r="A55" s="9" t="s">
        <v>179</v>
      </c>
      <c r="B55" s="9">
        <v>10941112</v>
      </c>
      <c r="C55" s="9">
        <v>59276693135</v>
      </c>
      <c r="D55" s="9">
        <v>47225391446</v>
      </c>
      <c r="E55" s="9">
        <v>12051301689</v>
      </c>
      <c r="F55" s="9">
        <v>10941112</v>
      </c>
      <c r="G55" s="9">
        <v>59276693135</v>
      </c>
      <c r="H55" s="9">
        <v>40926769857</v>
      </c>
      <c r="I55" s="9">
        <v>18349923278</v>
      </c>
    </row>
    <row r="56" spans="1:9">
      <c r="A56" s="9" t="s">
        <v>167</v>
      </c>
      <c r="B56" s="9">
        <v>3907801</v>
      </c>
      <c r="C56" s="9">
        <v>78482496453</v>
      </c>
      <c r="D56" s="9">
        <v>65977714793</v>
      </c>
      <c r="E56" s="9">
        <v>12504781660</v>
      </c>
      <c r="F56" s="9">
        <v>3907801</v>
      </c>
      <c r="G56" s="9">
        <v>78482496453</v>
      </c>
      <c r="H56" s="9">
        <v>29857471477</v>
      </c>
      <c r="I56" s="9">
        <v>48625024976</v>
      </c>
    </row>
    <row r="57" spans="1:9">
      <c r="A57" s="9" t="s">
        <v>136</v>
      </c>
      <c r="B57" s="9">
        <v>10406369</v>
      </c>
      <c r="C57" s="9">
        <v>31576687113</v>
      </c>
      <c r="D57" s="9">
        <v>29625993058</v>
      </c>
      <c r="E57" s="9">
        <v>1950694055</v>
      </c>
      <c r="F57" s="9">
        <v>10406369</v>
      </c>
      <c r="G57" s="9">
        <v>31576687113</v>
      </c>
      <c r="H57" s="9">
        <v>18694961080</v>
      </c>
      <c r="I57" s="9">
        <v>12881726033</v>
      </c>
    </row>
    <row r="58" spans="1:9">
      <c r="A58" s="9" t="s">
        <v>140</v>
      </c>
      <c r="B58" s="9">
        <v>1380533</v>
      </c>
      <c r="C58" s="9">
        <v>64630064622</v>
      </c>
      <c r="D58" s="9">
        <v>55626907323</v>
      </c>
      <c r="E58" s="9">
        <v>9003157299</v>
      </c>
      <c r="F58" s="9">
        <v>1380533</v>
      </c>
      <c r="G58" s="9">
        <v>64630064622</v>
      </c>
      <c r="H58" s="9">
        <v>40478938298</v>
      </c>
      <c r="I58" s="9">
        <v>24151126324</v>
      </c>
    </row>
    <row r="59" spans="1:9">
      <c r="A59" s="9" t="s">
        <v>243</v>
      </c>
      <c r="B59" s="9">
        <v>14061008</v>
      </c>
      <c r="C59" s="9">
        <v>77993448722</v>
      </c>
      <c r="D59" s="9">
        <v>50010051754</v>
      </c>
      <c r="E59" s="9">
        <v>27983396968</v>
      </c>
      <c r="F59" s="9">
        <v>14061008</v>
      </c>
      <c r="G59" s="9">
        <v>77993448722</v>
      </c>
      <c r="H59" s="9">
        <v>47462961825</v>
      </c>
      <c r="I59" s="9">
        <v>30530486897</v>
      </c>
    </row>
    <row r="60" spans="1:9">
      <c r="A60" s="9" t="s">
        <v>261</v>
      </c>
      <c r="B60" s="9">
        <v>1320025</v>
      </c>
      <c r="C60" s="9">
        <v>73192809033</v>
      </c>
      <c r="D60" s="9">
        <v>59674011206</v>
      </c>
      <c r="E60" s="9">
        <v>13518797827</v>
      </c>
      <c r="F60" s="9">
        <v>1320025</v>
      </c>
      <c r="G60" s="9">
        <v>73192809033</v>
      </c>
      <c r="H60" s="9">
        <v>38624618824</v>
      </c>
      <c r="I60" s="9">
        <v>34568190209</v>
      </c>
    </row>
    <row r="61" spans="1:9">
      <c r="A61" s="9" t="s">
        <v>315</v>
      </c>
      <c r="B61" s="9">
        <v>700000</v>
      </c>
      <c r="C61" s="9">
        <v>62228228510</v>
      </c>
      <c r="D61" s="9">
        <v>40438971580</v>
      </c>
      <c r="E61" s="9">
        <v>21789256930</v>
      </c>
      <c r="F61" s="9">
        <v>700000</v>
      </c>
      <c r="G61" s="9">
        <v>62228228510</v>
      </c>
      <c r="H61" s="9">
        <v>26810722731</v>
      </c>
      <c r="I61" s="9">
        <v>35417505779</v>
      </c>
    </row>
    <row r="62" spans="1:9">
      <c r="A62" s="9" t="s">
        <v>239</v>
      </c>
      <c r="B62" s="9">
        <v>3496837</v>
      </c>
      <c r="C62" s="9">
        <v>30013825792</v>
      </c>
      <c r="D62" s="9">
        <v>23074212892</v>
      </c>
      <c r="E62" s="9">
        <v>6939612900</v>
      </c>
      <c r="F62" s="9">
        <v>3496837</v>
      </c>
      <c r="G62" s="9">
        <v>30013825792</v>
      </c>
      <c r="H62" s="9">
        <v>20210334855</v>
      </c>
      <c r="I62" s="9">
        <v>9803490937</v>
      </c>
    </row>
    <row r="63" spans="1:9">
      <c r="A63" s="9" t="s">
        <v>297</v>
      </c>
      <c r="B63" s="9">
        <v>4929408</v>
      </c>
      <c r="C63" s="9">
        <v>83788031973</v>
      </c>
      <c r="D63" s="9">
        <v>59722817886</v>
      </c>
      <c r="E63" s="9">
        <v>24065214087</v>
      </c>
      <c r="F63" s="9">
        <v>4929408</v>
      </c>
      <c r="G63" s="9">
        <v>83788031973</v>
      </c>
      <c r="H63" s="9">
        <v>30277169755</v>
      </c>
      <c r="I63" s="9">
        <v>53510862218</v>
      </c>
    </row>
    <row r="64" spans="1:9">
      <c r="A64" s="9" t="s">
        <v>135</v>
      </c>
      <c r="B64" s="9">
        <v>2212307</v>
      </c>
      <c r="C64" s="9">
        <v>60390113398</v>
      </c>
      <c r="D64" s="9">
        <v>53847081542</v>
      </c>
      <c r="E64" s="9">
        <v>6543031856</v>
      </c>
      <c r="F64" s="9">
        <v>2212307</v>
      </c>
      <c r="G64" s="9">
        <v>60390113398</v>
      </c>
      <c r="H64" s="9">
        <v>18058740021</v>
      </c>
      <c r="I64" s="9">
        <v>42331373377</v>
      </c>
    </row>
    <row r="65" spans="1:9">
      <c r="A65" s="9" t="s">
        <v>216</v>
      </c>
      <c r="B65" s="9">
        <v>4549593</v>
      </c>
      <c r="C65" s="9">
        <v>72591948309</v>
      </c>
      <c r="D65" s="9">
        <v>53631364796</v>
      </c>
      <c r="E65" s="9">
        <v>18960583513</v>
      </c>
      <c r="F65" s="9">
        <v>4549593</v>
      </c>
      <c r="G65" s="9">
        <v>72591948309</v>
      </c>
      <c r="H65" s="9">
        <v>47408471194</v>
      </c>
      <c r="I65" s="9">
        <v>25183477115</v>
      </c>
    </row>
    <row r="66" spans="1:9">
      <c r="A66" s="9" t="s">
        <v>293</v>
      </c>
      <c r="B66" s="9">
        <v>3833693</v>
      </c>
      <c r="C66" s="9">
        <v>99628293506</v>
      </c>
      <c r="D66" s="9">
        <v>74103060615</v>
      </c>
      <c r="E66" s="9">
        <v>25525232891</v>
      </c>
      <c r="F66" s="9">
        <v>3833693</v>
      </c>
      <c r="G66" s="9">
        <v>99628293506</v>
      </c>
      <c r="H66" s="9">
        <v>58714484959</v>
      </c>
      <c r="I66" s="9">
        <v>40913808547</v>
      </c>
    </row>
    <row r="67" spans="1:9">
      <c r="A67" s="9" t="s">
        <v>354</v>
      </c>
      <c r="B67" s="9">
        <v>16854222</v>
      </c>
      <c r="C67" s="9">
        <v>68400909954</v>
      </c>
      <c r="D67" s="9">
        <v>40806410828</v>
      </c>
      <c r="E67" s="9">
        <v>27594499126</v>
      </c>
      <c r="F67" s="9">
        <v>16854222</v>
      </c>
      <c r="G67" s="9">
        <v>68400909954</v>
      </c>
      <c r="H67" s="9">
        <v>24333331047</v>
      </c>
      <c r="I67" s="9">
        <v>44067578907</v>
      </c>
    </row>
    <row r="68" spans="1:9">
      <c r="A68" s="9" t="s">
        <v>165</v>
      </c>
      <c r="B68" s="9">
        <v>5920363</v>
      </c>
      <c r="C68" s="9">
        <v>31957816351</v>
      </c>
      <c r="D68" s="9">
        <v>33422220222</v>
      </c>
      <c r="E68" s="9">
        <v>-1464403871</v>
      </c>
      <c r="F68" s="9">
        <v>5920363</v>
      </c>
      <c r="G68" s="9">
        <v>31957816351</v>
      </c>
      <c r="H68" s="9">
        <v>37280307142</v>
      </c>
      <c r="I68" s="9">
        <v>-5322490791</v>
      </c>
    </row>
    <row r="69" spans="1:9">
      <c r="A69" s="9" t="s">
        <v>302</v>
      </c>
      <c r="B69" s="9">
        <v>1725246</v>
      </c>
      <c r="C69" s="9">
        <v>27304962082</v>
      </c>
      <c r="D69" s="9">
        <v>25644409529</v>
      </c>
      <c r="E69" s="9">
        <v>1660552553</v>
      </c>
      <c r="F69" s="9">
        <v>1725246</v>
      </c>
      <c r="G69" s="9">
        <v>27304962082</v>
      </c>
      <c r="H69" s="9">
        <v>22325982560</v>
      </c>
      <c r="I69" s="9">
        <v>4978979522</v>
      </c>
    </row>
    <row r="70" spans="1:9">
      <c r="A70" s="9" t="s">
        <v>174</v>
      </c>
      <c r="B70" s="9">
        <v>27820136</v>
      </c>
      <c r="C70" s="9">
        <v>74644153487</v>
      </c>
      <c r="D70" s="9">
        <v>63646767101</v>
      </c>
      <c r="E70" s="9">
        <v>10997386386</v>
      </c>
      <c r="F70" s="9">
        <v>27820136</v>
      </c>
      <c r="G70" s="9">
        <v>74644153487</v>
      </c>
      <c r="H70" s="9">
        <v>43636155512</v>
      </c>
      <c r="I70" s="9">
        <v>31007997975</v>
      </c>
    </row>
    <row r="71" spans="1:9">
      <c r="A71" s="9" t="s">
        <v>180</v>
      </c>
      <c r="B71" s="9">
        <v>15378584</v>
      </c>
      <c r="C71" s="9">
        <v>25209036865</v>
      </c>
      <c r="D71" s="9">
        <v>22187614771</v>
      </c>
      <c r="E71" s="9">
        <v>3021422094</v>
      </c>
      <c r="F71" s="9">
        <v>15378584</v>
      </c>
      <c r="G71" s="9">
        <v>25209036865</v>
      </c>
      <c r="H71" s="9">
        <v>19209226629</v>
      </c>
      <c r="I71" s="9">
        <v>5999810236</v>
      </c>
    </row>
    <row r="72" spans="1:9">
      <c r="A72" s="9" t="s">
        <v>162</v>
      </c>
      <c r="B72" s="9">
        <v>6769674</v>
      </c>
      <c r="C72" s="9">
        <v>43595565286</v>
      </c>
      <c r="D72" s="9">
        <v>37567486453</v>
      </c>
      <c r="E72" s="9">
        <v>6028078833</v>
      </c>
      <c r="F72" s="9">
        <v>6769674</v>
      </c>
      <c r="G72" s="9">
        <v>43595565286</v>
      </c>
      <c r="H72" s="9">
        <v>21844237452</v>
      </c>
      <c r="I72" s="9">
        <v>21751327834</v>
      </c>
    </row>
    <row r="73" spans="1:9">
      <c r="A73" s="9" t="s">
        <v>307</v>
      </c>
      <c r="B73" s="9">
        <v>562500</v>
      </c>
      <c r="C73" s="9">
        <v>4582426894</v>
      </c>
      <c r="D73" s="9">
        <v>4113579319</v>
      </c>
      <c r="E73" s="9">
        <v>468847575</v>
      </c>
      <c r="F73" s="9">
        <v>562500</v>
      </c>
      <c r="G73" s="9">
        <v>4582426894</v>
      </c>
      <c r="H73" s="9">
        <v>4632660562</v>
      </c>
      <c r="I73" s="9">
        <v>-50233668</v>
      </c>
    </row>
    <row r="74" spans="1:9">
      <c r="A74" s="9" t="s">
        <v>208</v>
      </c>
      <c r="B74" s="9">
        <v>4473870</v>
      </c>
      <c r="C74" s="9">
        <v>38533011029</v>
      </c>
      <c r="D74" s="9">
        <v>34717918664</v>
      </c>
      <c r="E74" s="9">
        <v>3815092365</v>
      </c>
      <c r="F74" s="9">
        <v>4473870</v>
      </c>
      <c r="G74" s="9">
        <v>38533011029</v>
      </c>
      <c r="H74" s="9">
        <v>24078752793</v>
      </c>
      <c r="I74" s="9">
        <v>14454258236</v>
      </c>
    </row>
    <row r="75" spans="1:9">
      <c r="A75" s="9" t="s">
        <v>176</v>
      </c>
      <c r="B75" s="9">
        <v>73200000</v>
      </c>
      <c r="C75" s="9">
        <v>46776401616</v>
      </c>
      <c r="D75" s="9">
        <v>31003230511</v>
      </c>
      <c r="E75" s="9">
        <v>15773171105</v>
      </c>
      <c r="F75" s="9">
        <v>73200000</v>
      </c>
      <c r="G75" s="9">
        <v>46776401616</v>
      </c>
      <c r="H75" s="9">
        <v>40597737636</v>
      </c>
      <c r="I75" s="9">
        <v>6178663980</v>
      </c>
    </row>
    <row r="76" spans="1:9">
      <c r="A76" s="9" t="s">
        <v>306</v>
      </c>
      <c r="B76" s="9">
        <v>11440020</v>
      </c>
      <c r="C76" s="9">
        <v>140305635657</v>
      </c>
      <c r="D76" s="9">
        <v>83207144771</v>
      </c>
      <c r="E76" s="9">
        <v>57098490886</v>
      </c>
      <c r="F76" s="9">
        <v>11440020</v>
      </c>
      <c r="G76" s="9">
        <v>140305635657</v>
      </c>
      <c r="H76" s="9">
        <v>33736921454</v>
      </c>
      <c r="I76" s="9">
        <v>106568714203</v>
      </c>
    </row>
    <row r="77" spans="1:9">
      <c r="A77" s="9" t="s">
        <v>399</v>
      </c>
      <c r="B77" s="9">
        <v>6400000</v>
      </c>
      <c r="C77" s="9">
        <v>24576543360</v>
      </c>
      <c r="D77" s="9">
        <v>19813647360</v>
      </c>
      <c r="E77" s="9">
        <v>4762896000</v>
      </c>
      <c r="F77" s="9">
        <v>6400000</v>
      </c>
      <c r="G77" s="9">
        <v>24576543360</v>
      </c>
      <c r="H77" s="9">
        <v>21015837329</v>
      </c>
      <c r="I77" s="9">
        <v>3560706031</v>
      </c>
    </row>
    <row r="78" spans="1:9">
      <c r="A78" s="9" t="s">
        <v>141</v>
      </c>
      <c r="B78" s="9">
        <v>9640317</v>
      </c>
      <c r="C78" s="9">
        <v>50411752032</v>
      </c>
      <c r="D78" s="9">
        <v>46872407013</v>
      </c>
      <c r="E78" s="9">
        <v>3539345019</v>
      </c>
      <c r="F78" s="9">
        <v>9640317</v>
      </c>
      <c r="G78" s="9">
        <v>50411752032</v>
      </c>
      <c r="H78" s="9">
        <v>55745495779</v>
      </c>
      <c r="I78" s="9">
        <v>-5333743747</v>
      </c>
    </row>
    <row r="79" spans="1:9">
      <c r="A79" s="9" t="s">
        <v>229</v>
      </c>
      <c r="B79" s="9">
        <v>22645457</v>
      </c>
      <c r="C79" s="9">
        <v>64782185161</v>
      </c>
      <c r="D79" s="9">
        <v>50229695983</v>
      </c>
      <c r="E79" s="9">
        <v>14552489178</v>
      </c>
      <c r="F79" s="9">
        <v>22645457</v>
      </c>
      <c r="G79" s="9">
        <v>64782185161</v>
      </c>
      <c r="H79" s="9">
        <v>41642210304</v>
      </c>
      <c r="I79" s="9">
        <v>23139974857</v>
      </c>
    </row>
    <row r="80" spans="1:9">
      <c r="A80" s="9" t="s">
        <v>138</v>
      </c>
      <c r="B80" s="9">
        <v>6880920</v>
      </c>
      <c r="C80" s="9">
        <v>40351887186</v>
      </c>
      <c r="D80" s="9">
        <v>27944675541</v>
      </c>
      <c r="E80" s="9">
        <v>12407211645</v>
      </c>
      <c r="F80" s="9">
        <v>6880920</v>
      </c>
      <c r="G80" s="9">
        <v>40351887186</v>
      </c>
      <c r="H80" s="9">
        <v>35848249394</v>
      </c>
      <c r="I80" s="9">
        <v>4503637792</v>
      </c>
    </row>
    <row r="81" spans="1:9">
      <c r="A81" s="9" t="s">
        <v>322</v>
      </c>
      <c r="B81" s="9">
        <v>1237383</v>
      </c>
      <c r="C81" s="9">
        <v>25661396815</v>
      </c>
      <c r="D81" s="9">
        <v>20136215682</v>
      </c>
      <c r="E81" s="9">
        <v>5525181133</v>
      </c>
      <c r="F81" s="9">
        <v>1237383</v>
      </c>
      <c r="G81" s="9">
        <v>25661396815</v>
      </c>
      <c r="H81" s="9">
        <v>12191563334</v>
      </c>
      <c r="I81" s="9">
        <v>13469833481</v>
      </c>
    </row>
    <row r="82" spans="1:9">
      <c r="A82" s="9" t="s">
        <v>249</v>
      </c>
      <c r="B82" s="9">
        <v>2360136</v>
      </c>
      <c r="C82" s="9">
        <v>44425694061</v>
      </c>
      <c r="D82" s="9">
        <v>30819539487</v>
      </c>
      <c r="E82" s="9">
        <v>13606154574</v>
      </c>
      <c r="F82" s="9">
        <v>2360136</v>
      </c>
      <c r="G82" s="9">
        <v>44425694061</v>
      </c>
      <c r="H82" s="9">
        <v>38186116480</v>
      </c>
      <c r="I82" s="9">
        <v>6239577581</v>
      </c>
    </row>
    <row r="83" spans="1:9">
      <c r="A83" s="9" t="s">
        <v>286</v>
      </c>
      <c r="B83" s="9">
        <v>517391</v>
      </c>
      <c r="C83" s="9">
        <v>41553913479</v>
      </c>
      <c r="D83" s="9">
        <v>25993015066</v>
      </c>
      <c r="E83" s="9">
        <v>15560898413</v>
      </c>
      <c r="F83" s="9">
        <v>517391</v>
      </c>
      <c r="G83" s="9">
        <v>41553913479</v>
      </c>
      <c r="H83" s="9">
        <v>16228307451</v>
      </c>
      <c r="I83" s="9">
        <v>25325606028</v>
      </c>
    </row>
    <row r="84" spans="1:9">
      <c r="A84" s="9" t="s">
        <v>185</v>
      </c>
      <c r="B84" s="9">
        <v>5534630</v>
      </c>
      <c r="C84" s="9">
        <v>36356029193</v>
      </c>
      <c r="D84" s="9">
        <v>28441075236</v>
      </c>
      <c r="E84" s="9">
        <v>7914953957</v>
      </c>
      <c r="F84" s="9">
        <v>5534630</v>
      </c>
      <c r="G84" s="9">
        <v>36356029193</v>
      </c>
      <c r="H84" s="9">
        <v>30059511393</v>
      </c>
      <c r="I84" s="9">
        <v>6296517800</v>
      </c>
    </row>
    <row r="85" spans="1:9">
      <c r="A85" s="9" t="s">
        <v>339</v>
      </c>
      <c r="B85" s="9">
        <v>3250000</v>
      </c>
      <c r="C85" s="9">
        <v>5124330347</v>
      </c>
      <c r="D85" s="9">
        <v>4060120772</v>
      </c>
      <c r="E85" s="9">
        <v>1064209575</v>
      </c>
      <c r="F85" s="9">
        <v>3250000</v>
      </c>
      <c r="G85" s="9">
        <v>5124330347</v>
      </c>
      <c r="H85" s="9">
        <v>3537690617</v>
      </c>
      <c r="I85" s="9">
        <v>1586639730</v>
      </c>
    </row>
    <row r="86" spans="1:9">
      <c r="A86" s="9" t="s">
        <v>146</v>
      </c>
      <c r="B86" s="9">
        <v>8725017</v>
      </c>
      <c r="C86" s="9">
        <v>63373431568</v>
      </c>
      <c r="D86" s="9">
        <v>47241619944</v>
      </c>
      <c r="E86" s="9">
        <v>16131811624</v>
      </c>
      <c r="F86" s="9">
        <v>8725017</v>
      </c>
      <c r="G86" s="9">
        <v>63373431568</v>
      </c>
      <c r="H86" s="9">
        <v>41406976017</v>
      </c>
      <c r="I86" s="9">
        <v>21966455551</v>
      </c>
    </row>
    <row r="87" spans="1:9">
      <c r="A87" s="9" t="s">
        <v>321</v>
      </c>
      <c r="B87" s="9">
        <v>4024513</v>
      </c>
      <c r="C87" s="9">
        <v>26955473723</v>
      </c>
      <c r="D87" s="9">
        <v>20166687748</v>
      </c>
      <c r="E87" s="9">
        <v>6788785975</v>
      </c>
      <c r="F87" s="9">
        <v>4024513</v>
      </c>
      <c r="G87" s="9">
        <v>26955473723</v>
      </c>
      <c r="H87" s="9">
        <v>20468851417</v>
      </c>
      <c r="I87" s="9">
        <v>6486622306</v>
      </c>
    </row>
    <row r="88" spans="1:9">
      <c r="A88" s="9" t="s">
        <v>125</v>
      </c>
      <c r="B88" s="9">
        <v>600000</v>
      </c>
      <c r="C88" s="9">
        <v>15610391640</v>
      </c>
      <c r="D88" s="9">
        <v>12456161754</v>
      </c>
      <c r="E88" s="9">
        <v>3154229886</v>
      </c>
      <c r="F88" s="9">
        <v>600000</v>
      </c>
      <c r="G88" s="9">
        <v>15610391640</v>
      </c>
      <c r="H88" s="9">
        <v>20429257698</v>
      </c>
      <c r="I88" s="9">
        <v>-4818866058</v>
      </c>
    </row>
    <row r="89" spans="1:9">
      <c r="A89" s="9" t="s">
        <v>129</v>
      </c>
      <c r="B89" s="9">
        <v>74882</v>
      </c>
      <c r="C89" s="9">
        <v>14392522507</v>
      </c>
      <c r="D89" s="9">
        <v>14680620957</v>
      </c>
      <c r="E89" s="9">
        <v>-288098450</v>
      </c>
      <c r="F89" s="9">
        <v>74882</v>
      </c>
      <c r="G89" s="9">
        <v>14392522507</v>
      </c>
      <c r="H89" s="9">
        <v>9333963228</v>
      </c>
      <c r="I89" s="9">
        <v>5058559279</v>
      </c>
    </row>
    <row r="90" spans="1:9">
      <c r="A90" s="9" t="s">
        <v>319</v>
      </c>
      <c r="B90" s="9">
        <v>612681</v>
      </c>
      <c r="C90" s="9">
        <v>27752688148</v>
      </c>
      <c r="D90" s="9">
        <v>27473033460</v>
      </c>
      <c r="E90" s="9">
        <v>279654688</v>
      </c>
      <c r="F90" s="9">
        <v>612681</v>
      </c>
      <c r="G90" s="9">
        <v>27752688148</v>
      </c>
      <c r="H90" s="9">
        <v>18524083415</v>
      </c>
      <c r="I90" s="9">
        <v>9228604733</v>
      </c>
    </row>
    <row r="91" spans="1:9">
      <c r="A91" s="9" t="s">
        <v>360</v>
      </c>
      <c r="B91" s="9">
        <v>3983350</v>
      </c>
      <c r="C91" s="9">
        <v>21304291417</v>
      </c>
      <c r="D91" s="9">
        <v>20434728502</v>
      </c>
      <c r="E91" s="9">
        <v>869562915</v>
      </c>
      <c r="F91" s="9">
        <v>3983350</v>
      </c>
      <c r="G91" s="9">
        <v>21304291417</v>
      </c>
      <c r="H91" s="9">
        <v>14442649506</v>
      </c>
      <c r="I91" s="9">
        <v>6861641911</v>
      </c>
    </row>
    <row r="92" spans="1:9">
      <c r="A92" s="9" t="s">
        <v>282</v>
      </c>
      <c r="B92" s="9">
        <v>2830564</v>
      </c>
      <c r="C92" s="9">
        <v>33619944371</v>
      </c>
      <c r="D92" s="9">
        <v>33367162835</v>
      </c>
      <c r="E92" s="9">
        <v>252781536</v>
      </c>
      <c r="F92" s="9">
        <v>2830564</v>
      </c>
      <c r="G92" s="9">
        <v>33619944371</v>
      </c>
      <c r="H92" s="9">
        <v>22357122573</v>
      </c>
      <c r="I92" s="9">
        <v>11262821798</v>
      </c>
    </row>
    <row r="93" spans="1:9">
      <c r="A93" s="9" t="s">
        <v>154</v>
      </c>
      <c r="B93" s="9">
        <v>2901235</v>
      </c>
      <c r="C93" s="9">
        <v>32674475947</v>
      </c>
      <c r="D93" s="9">
        <v>35995754199</v>
      </c>
      <c r="E93" s="9">
        <v>-3321278252</v>
      </c>
      <c r="F93" s="9">
        <v>2901235</v>
      </c>
      <c r="G93" s="9">
        <v>32674475947</v>
      </c>
      <c r="H93" s="9">
        <v>29628180271</v>
      </c>
      <c r="I93" s="9">
        <v>3046295676</v>
      </c>
    </row>
    <row r="94" spans="1:9">
      <c r="A94" s="9" t="s">
        <v>329</v>
      </c>
      <c r="B94" s="9">
        <v>12476907</v>
      </c>
      <c r="C94" s="9">
        <v>67349705168</v>
      </c>
      <c r="D94" s="9">
        <v>57445336761</v>
      </c>
      <c r="E94" s="9">
        <v>9904368407</v>
      </c>
      <c r="F94" s="9">
        <v>12476907</v>
      </c>
      <c r="G94" s="9">
        <v>67349705168</v>
      </c>
      <c r="H94" s="9">
        <v>58396393352</v>
      </c>
      <c r="I94" s="9">
        <v>8953311816</v>
      </c>
    </row>
    <row r="95" spans="1:9">
      <c r="A95" s="9" t="s">
        <v>305</v>
      </c>
      <c r="B95" s="9">
        <v>2800000</v>
      </c>
      <c r="C95" s="9">
        <v>28755984600</v>
      </c>
      <c r="D95" s="9">
        <v>26616650480</v>
      </c>
      <c r="E95" s="9">
        <v>2139334120</v>
      </c>
      <c r="F95" s="9">
        <v>2800000</v>
      </c>
      <c r="G95" s="9">
        <v>28755984600</v>
      </c>
      <c r="H95" s="9">
        <v>21337774080</v>
      </c>
      <c r="I95" s="9">
        <v>7418210520</v>
      </c>
    </row>
    <row r="96" spans="1:9">
      <c r="A96" s="9" t="s">
        <v>134</v>
      </c>
      <c r="B96" s="9">
        <v>2313758</v>
      </c>
      <c r="C96" s="9">
        <v>41440501344</v>
      </c>
      <c r="D96" s="9">
        <v>39268236442</v>
      </c>
      <c r="E96" s="9">
        <v>2172264902</v>
      </c>
      <c r="F96" s="9">
        <v>2313758</v>
      </c>
      <c r="G96" s="9">
        <v>41440501344</v>
      </c>
      <c r="H96" s="9">
        <v>22132212352</v>
      </c>
      <c r="I96" s="9">
        <v>19308288992</v>
      </c>
    </row>
    <row r="97" spans="1:9">
      <c r="A97" s="9" t="s">
        <v>300</v>
      </c>
      <c r="B97" s="9">
        <v>3022885</v>
      </c>
      <c r="C97" s="9">
        <v>49492048633</v>
      </c>
      <c r="D97" s="9">
        <v>42203219652</v>
      </c>
      <c r="E97" s="9">
        <v>7288828981</v>
      </c>
      <c r="F97" s="9">
        <v>3022885</v>
      </c>
      <c r="G97" s="9">
        <v>49492048633</v>
      </c>
      <c r="H97" s="9">
        <v>35253139248</v>
      </c>
      <c r="I97" s="9">
        <v>14238909385</v>
      </c>
    </row>
    <row r="98" spans="1:9">
      <c r="A98" s="9" t="s">
        <v>435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2044890863</v>
      </c>
      <c r="I98" s="9">
        <v>-2044890863</v>
      </c>
    </row>
    <row r="99" spans="1:9">
      <c r="A99" s="9" t="s">
        <v>318</v>
      </c>
      <c r="B99" s="9">
        <v>104452</v>
      </c>
      <c r="C99" s="9">
        <v>16697142811</v>
      </c>
      <c r="D99" s="9">
        <v>17039169945</v>
      </c>
      <c r="E99" s="9">
        <v>-342027134</v>
      </c>
      <c r="F99" s="9">
        <v>104452</v>
      </c>
      <c r="G99" s="9">
        <v>16697142811</v>
      </c>
      <c r="H99" s="9">
        <v>13160789535</v>
      </c>
      <c r="I99" s="9">
        <v>3536353276</v>
      </c>
    </row>
    <row r="100" spans="1:9">
      <c r="A100" s="9" t="s">
        <v>173</v>
      </c>
      <c r="B100" s="9">
        <v>1910762</v>
      </c>
      <c r="C100" s="9">
        <v>15130014642</v>
      </c>
      <c r="D100" s="9">
        <v>12006472528</v>
      </c>
      <c r="E100" s="9">
        <v>3123542114</v>
      </c>
      <c r="F100" s="9">
        <v>1910762</v>
      </c>
      <c r="G100" s="9">
        <v>15130014642</v>
      </c>
      <c r="H100" s="9">
        <v>17774661403</v>
      </c>
      <c r="I100" s="9">
        <v>-2644646761</v>
      </c>
    </row>
    <row r="101" spans="1:9">
      <c r="A101" s="9" t="s">
        <v>277</v>
      </c>
      <c r="B101" s="9">
        <v>336344</v>
      </c>
      <c r="C101" s="9">
        <v>17801908207</v>
      </c>
      <c r="D101" s="9">
        <v>16480281726</v>
      </c>
      <c r="E101" s="9">
        <v>1321626481</v>
      </c>
      <c r="F101" s="9">
        <v>336344</v>
      </c>
      <c r="G101" s="9">
        <v>17801908207</v>
      </c>
      <c r="H101" s="9">
        <v>10663122745</v>
      </c>
      <c r="I101" s="9">
        <v>7138785462</v>
      </c>
    </row>
    <row r="102" spans="1:9">
      <c r="A102" s="9" t="s">
        <v>259</v>
      </c>
      <c r="B102" s="9">
        <v>2024791</v>
      </c>
      <c r="C102" s="9">
        <v>57702482579</v>
      </c>
      <c r="D102" s="9">
        <v>55662101195</v>
      </c>
      <c r="E102" s="9">
        <v>2040381384</v>
      </c>
      <c r="F102" s="9">
        <v>2024791</v>
      </c>
      <c r="G102" s="9">
        <v>57702482579</v>
      </c>
      <c r="H102" s="9">
        <v>34574085447</v>
      </c>
      <c r="I102" s="9">
        <v>23128397132</v>
      </c>
    </row>
    <row r="103" spans="1:9">
      <c r="A103" s="9" t="s">
        <v>343</v>
      </c>
      <c r="B103" s="9">
        <v>1504289</v>
      </c>
      <c r="C103" s="9">
        <v>37674759754</v>
      </c>
      <c r="D103" s="9">
        <v>28017244080</v>
      </c>
      <c r="E103" s="9">
        <v>9657515674</v>
      </c>
      <c r="F103" s="9">
        <v>1504289</v>
      </c>
      <c r="G103" s="9">
        <v>37674759754</v>
      </c>
      <c r="H103" s="9">
        <v>16150590354</v>
      </c>
      <c r="I103" s="9">
        <v>21524169400</v>
      </c>
    </row>
    <row r="104" spans="1:9">
      <c r="A104" s="9" t="s">
        <v>214</v>
      </c>
      <c r="B104" s="9">
        <v>362506</v>
      </c>
      <c r="C104" s="9">
        <v>27779926684</v>
      </c>
      <c r="D104" s="9">
        <v>25683286390</v>
      </c>
      <c r="E104" s="9">
        <v>2096640294</v>
      </c>
      <c r="F104" s="9">
        <v>362506</v>
      </c>
      <c r="G104" s="9">
        <v>27779926684</v>
      </c>
      <c r="H104" s="9">
        <v>12654380691</v>
      </c>
      <c r="I104" s="9">
        <v>15125545993</v>
      </c>
    </row>
    <row r="105" spans="1:9">
      <c r="A105" s="9" t="s">
        <v>311</v>
      </c>
      <c r="B105" s="9">
        <v>21110</v>
      </c>
      <c r="C105" s="9">
        <v>2792211066</v>
      </c>
      <c r="D105" s="9">
        <v>2633015236</v>
      </c>
      <c r="E105" s="9">
        <v>159195830</v>
      </c>
      <c r="F105" s="9">
        <v>21110</v>
      </c>
      <c r="G105" s="9">
        <v>2792211066</v>
      </c>
      <c r="H105" s="9">
        <v>2291372607</v>
      </c>
      <c r="I105" s="9">
        <v>500838459</v>
      </c>
    </row>
    <row r="106" spans="1:9">
      <c r="A106" s="9" t="s">
        <v>284</v>
      </c>
      <c r="B106" s="9">
        <v>6761644</v>
      </c>
      <c r="C106" s="9">
        <v>29722537859</v>
      </c>
      <c r="D106" s="9">
        <v>20530692065</v>
      </c>
      <c r="E106" s="9">
        <v>9191845794</v>
      </c>
      <c r="F106" s="9">
        <v>6761644</v>
      </c>
      <c r="G106" s="9">
        <v>29722537859</v>
      </c>
      <c r="H106" s="9">
        <v>13606615526</v>
      </c>
      <c r="I106" s="9">
        <v>16115922333</v>
      </c>
    </row>
    <row r="107" spans="1:9">
      <c r="A107" s="9" t="s">
        <v>252</v>
      </c>
      <c r="B107" s="9">
        <v>460570</v>
      </c>
      <c r="C107" s="9">
        <v>41249703997</v>
      </c>
      <c r="D107" s="9">
        <v>33249140435</v>
      </c>
      <c r="E107" s="9">
        <v>8000563562</v>
      </c>
      <c r="F107" s="9">
        <v>460570</v>
      </c>
      <c r="G107" s="9">
        <v>41249703997</v>
      </c>
      <c r="H107" s="9">
        <v>18563737828</v>
      </c>
      <c r="I107" s="9">
        <v>22685966169</v>
      </c>
    </row>
    <row r="108" spans="1:9">
      <c r="A108" s="9" t="s">
        <v>348</v>
      </c>
      <c r="B108" s="9">
        <v>1155746</v>
      </c>
      <c r="C108" s="9">
        <v>49955134354</v>
      </c>
      <c r="D108" s="9">
        <v>36927349086</v>
      </c>
      <c r="E108" s="9">
        <v>13027785268</v>
      </c>
      <c r="F108" s="9">
        <v>1155746</v>
      </c>
      <c r="G108" s="9">
        <v>49955134354</v>
      </c>
      <c r="H108" s="9">
        <v>15745729905</v>
      </c>
      <c r="I108" s="9">
        <v>34209404449</v>
      </c>
    </row>
    <row r="109" spans="1:9">
      <c r="A109" s="9" t="s">
        <v>436</v>
      </c>
      <c r="B109" s="9">
        <v>3019851</v>
      </c>
      <c r="C109" s="9">
        <v>22533736789</v>
      </c>
      <c r="D109" s="9">
        <v>16390896308</v>
      </c>
      <c r="E109" s="9">
        <v>6142840481</v>
      </c>
      <c r="F109" s="9">
        <v>3019851</v>
      </c>
      <c r="G109" s="9">
        <v>22533736789</v>
      </c>
      <c r="H109" s="9">
        <v>8764784589</v>
      </c>
      <c r="I109" s="9">
        <v>13768952200</v>
      </c>
    </row>
    <row r="110" spans="1:9">
      <c r="A110" s="9" t="s">
        <v>312</v>
      </c>
      <c r="B110" s="9">
        <v>5463965</v>
      </c>
      <c r="C110" s="9">
        <v>43644914832</v>
      </c>
      <c r="D110" s="9">
        <v>36379798574</v>
      </c>
      <c r="E110" s="9">
        <v>7265116258</v>
      </c>
      <c r="F110" s="9">
        <v>5463965</v>
      </c>
      <c r="G110" s="9">
        <v>43644914832</v>
      </c>
      <c r="H110" s="9">
        <v>39273890397</v>
      </c>
      <c r="I110" s="9">
        <v>4371024435</v>
      </c>
    </row>
    <row r="111" spans="1:9">
      <c r="A111" s="9" t="s">
        <v>210</v>
      </c>
      <c r="B111" s="9">
        <v>1377107</v>
      </c>
      <c r="C111" s="9">
        <v>44970263199</v>
      </c>
      <c r="D111" s="9">
        <v>35400059327</v>
      </c>
      <c r="E111" s="9">
        <v>9570203872</v>
      </c>
      <c r="F111" s="9">
        <v>1377107</v>
      </c>
      <c r="G111" s="9">
        <v>44970263199</v>
      </c>
      <c r="H111" s="9">
        <v>23229853369</v>
      </c>
      <c r="I111" s="9">
        <v>21740409830</v>
      </c>
    </row>
    <row r="112" spans="1:9">
      <c r="A112" s="9" t="s">
        <v>217</v>
      </c>
      <c r="B112" s="9">
        <v>3443025</v>
      </c>
      <c r="C112" s="9">
        <v>68054895502</v>
      </c>
      <c r="D112" s="9">
        <v>53349115633</v>
      </c>
      <c r="E112" s="9">
        <v>14705779869</v>
      </c>
      <c r="F112" s="9">
        <v>3443025</v>
      </c>
      <c r="G112" s="9">
        <v>68054895502</v>
      </c>
      <c r="H112" s="9">
        <v>39792691162</v>
      </c>
      <c r="I112" s="9">
        <v>28262204340</v>
      </c>
    </row>
    <row r="113" spans="1:9">
      <c r="A113" s="9" t="s">
        <v>184</v>
      </c>
      <c r="B113" s="9">
        <v>19085402</v>
      </c>
      <c r="C113" s="9">
        <v>92227435873</v>
      </c>
      <c r="D113" s="9">
        <v>86503459560</v>
      </c>
      <c r="E113" s="9">
        <v>5723976313</v>
      </c>
      <c r="F113" s="9">
        <v>19085402</v>
      </c>
      <c r="G113" s="9">
        <v>92227435873</v>
      </c>
      <c r="H113" s="9">
        <v>37098220900</v>
      </c>
      <c r="I113" s="9">
        <v>55129214973</v>
      </c>
    </row>
    <row r="114" spans="1:9">
      <c r="A114" s="9" t="s">
        <v>183</v>
      </c>
      <c r="B114" s="9">
        <v>1855696</v>
      </c>
      <c r="C114" s="9">
        <v>88384870556</v>
      </c>
      <c r="D114" s="9">
        <v>68985886795</v>
      </c>
      <c r="E114" s="9">
        <v>19398983761</v>
      </c>
      <c r="F114" s="9">
        <v>1855696</v>
      </c>
      <c r="G114" s="9">
        <v>88384870556</v>
      </c>
      <c r="H114" s="9">
        <v>60748000400</v>
      </c>
      <c r="I114" s="9">
        <v>27636870156</v>
      </c>
    </row>
    <row r="115" spans="1:9">
      <c r="A115" s="9" t="s">
        <v>182</v>
      </c>
      <c r="B115" s="9">
        <v>5100000</v>
      </c>
      <c r="C115" s="9">
        <v>56223010470</v>
      </c>
      <c r="D115" s="9">
        <v>50786609523</v>
      </c>
      <c r="E115" s="9">
        <v>5436400947</v>
      </c>
      <c r="F115" s="9">
        <v>5100000</v>
      </c>
      <c r="G115" s="9">
        <v>56223010470</v>
      </c>
      <c r="H115" s="9">
        <v>39970973161</v>
      </c>
      <c r="I115" s="9">
        <v>16252037309</v>
      </c>
    </row>
    <row r="116" spans="1:9">
      <c r="A116" s="9" t="s">
        <v>191</v>
      </c>
      <c r="B116" s="9">
        <v>0</v>
      </c>
      <c r="C116" s="9">
        <v>0</v>
      </c>
      <c r="D116" s="9">
        <v>-32497120</v>
      </c>
      <c r="E116" s="9">
        <v>32497120</v>
      </c>
      <c r="F116" s="9">
        <v>0</v>
      </c>
      <c r="G116" s="9">
        <v>0</v>
      </c>
      <c r="H116" s="9">
        <v>0</v>
      </c>
      <c r="I116" s="9">
        <v>0</v>
      </c>
    </row>
    <row r="117" spans="1:9">
      <c r="A117" s="9" t="s">
        <v>139</v>
      </c>
      <c r="B117" s="9">
        <v>20996869</v>
      </c>
      <c r="C117" s="9">
        <v>94380571308</v>
      </c>
      <c r="D117" s="9">
        <v>64384812350</v>
      </c>
      <c r="E117" s="9">
        <v>29995758958</v>
      </c>
      <c r="F117" s="9">
        <v>20996869</v>
      </c>
      <c r="G117" s="9">
        <v>94380571308</v>
      </c>
      <c r="H117" s="9">
        <v>48779786613</v>
      </c>
      <c r="I117" s="9">
        <v>45600784695</v>
      </c>
    </row>
    <row r="118" spans="1:9">
      <c r="A118" s="9" t="s">
        <v>437</v>
      </c>
      <c r="B118" s="9">
        <v>0</v>
      </c>
      <c r="C118" s="9">
        <v>0</v>
      </c>
      <c r="D118" s="9">
        <v>552132309</v>
      </c>
      <c r="E118" s="9">
        <v>-552132309</v>
      </c>
      <c r="F118" s="9">
        <v>0</v>
      </c>
      <c r="G118" s="9">
        <v>0</v>
      </c>
      <c r="H118" s="9">
        <v>0</v>
      </c>
      <c r="I118" s="9">
        <v>0</v>
      </c>
    </row>
    <row r="119" spans="1:9">
      <c r="A119" s="9" t="s">
        <v>187</v>
      </c>
      <c r="B119" s="9">
        <v>12900000</v>
      </c>
      <c r="C119" s="9">
        <v>110594445120</v>
      </c>
      <c r="D119" s="9">
        <v>67201485750</v>
      </c>
      <c r="E119" s="9">
        <v>43392959370</v>
      </c>
      <c r="F119" s="9">
        <v>12900000</v>
      </c>
      <c r="G119" s="9">
        <v>110594445120</v>
      </c>
      <c r="H119" s="9">
        <v>59018647822</v>
      </c>
      <c r="I119" s="9">
        <v>51575797298</v>
      </c>
    </row>
    <row r="120" spans="1:9">
      <c r="A120" s="9" t="s">
        <v>272</v>
      </c>
      <c r="B120" s="9">
        <v>1875000</v>
      </c>
      <c r="C120" s="9">
        <v>11181642562</v>
      </c>
      <c r="D120" s="9">
        <v>11311878000</v>
      </c>
      <c r="E120" s="9">
        <v>-130235438</v>
      </c>
      <c r="F120" s="9">
        <v>1875000</v>
      </c>
      <c r="G120" s="9">
        <v>11181642562</v>
      </c>
      <c r="H120" s="9">
        <v>6586192125</v>
      </c>
      <c r="I120" s="9">
        <v>4595450437</v>
      </c>
    </row>
    <row r="121" spans="1:9">
      <c r="A121" s="9" t="s">
        <v>285</v>
      </c>
      <c r="B121" s="9">
        <v>23792</v>
      </c>
      <c r="C121" s="9">
        <v>4173909930</v>
      </c>
      <c r="D121" s="9">
        <v>3331101194</v>
      </c>
      <c r="E121" s="9">
        <v>842808736</v>
      </c>
      <c r="F121" s="9">
        <v>23792</v>
      </c>
      <c r="G121" s="9">
        <v>4173909930</v>
      </c>
      <c r="H121" s="9">
        <v>1431830527</v>
      </c>
      <c r="I121" s="9">
        <v>2742079403</v>
      </c>
    </row>
    <row r="122" spans="1:9">
      <c r="A122" s="9" t="s">
        <v>299</v>
      </c>
      <c r="B122" s="9">
        <v>2843421</v>
      </c>
      <c r="C122" s="9">
        <v>51519519155</v>
      </c>
      <c r="D122" s="9">
        <v>42124119440</v>
      </c>
      <c r="E122" s="9">
        <v>9395399715</v>
      </c>
      <c r="F122" s="9">
        <v>2843421</v>
      </c>
      <c r="G122" s="9">
        <v>51519519155</v>
      </c>
      <c r="H122" s="9">
        <v>46388726606</v>
      </c>
      <c r="I122" s="9">
        <v>5130792549</v>
      </c>
    </row>
    <row r="123" spans="1:9">
      <c r="A123" s="9" t="s">
        <v>260</v>
      </c>
      <c r="B123" s="9">
        <v>3333986</v>
      </c>
      <c r="C123" s="9">
        <v>68347707195</v>
      </c>
      <c r="D123" s="9">
        <v>69565593038</v>
      </c>
      <c r="E123" s="9">
        <v>-1217885843</v>
      </c>
      <c r="F123" s="9">
        <v>3333986</v>
      </c>
      <c r="G123" s="9">
        <v>68347707195</v>
      </c>
      <c r="H123" s="9">
        <v>28549889307</v>
      </c>
      <c r="I123" s="9">
        <v>39797817888</v>
      </c>
    </row>
    <row r="124" spans="1:9">
      <c r="A124" s="9" t="s">
        <v>248</v>
      </c>
      <c r="B124" s="9">
        <v>17048096</v>
      </c>
      <c r="C124" s="9">
        <v>89656465355</v>
      </c>
      <c r="D124" s="9">
        <v>76854889541</v>
      </c>
      <c r="E124" s="9">
        <v>12801575814</v>
      </c>
      <c r="F124" s="9">
        <v>17048096</v>
      </c>
      <c r="G124" s="9">
        <v>89656465355</v>
      </c>
      <c r="H124" s="9">
        <v>55085854369</v>
      </c>
      <c r="I124" s="9">
        <v>34570610986</v>
      </c>
    </row>
    <row r="125" spans="1:9">
      <c r="A125" s="9" t="s">
        <v>149</v>
      </c>
      <c r="B125" s="9">
        <v>6153452</v>
      </c>
      <c r="C125" s="9">
        <v>39382963513</v>
      </c>
      <c r="D125" s="9">
        <v>33536882852</v>
      </c>
      <c r="E125" s="9">
        <v>5846080661</v>
      </c>
      <c r="F125" s="9">
        <v>6153452</v>
      </c>
      <c r="G125" s="9">
        <v>39382963513</v>
      </c>
      <c r="H125" s="9">
        <v>42396230911</v>
      </c>
      <c r="I125" s="9">
        <v>-3013267398</v>
      </c>
    </row>
    <row r="126" spans="1:9">
      <c r="A126" s="9" t="s">
        <v>345</v>
      </c>
      <c r="B126" s="9">
        <v>6157463</v>
      </c>
      <c r="C126" s="9">
        <v>83338569662</v>
      </c>
      <c r="D126" s="9">
        <v>62626124563</v>
      </c>
      <c r="E126" s="9">
        <v>20712445099</v>
      </c>
      <c r="F126" s="9">
        <v>6157463</v>
      </c>
      <c r="G126" s="9">
        <v>83338569662</v>
      </c>
      <c r="H126" s="9">
        <v>25624777211</v>
      </c>
      <c r="I126" s="9">
        <v>57713792451</v>
      </c>
    </row>
    <row r="127" spans="1:9">
      <c r="A127" s="9" t="s">
        <v>224</v>
      </c>
      <c r="B127" s="9">
        <v>22239055</v>
      </c>
      <c r="C127" s="9">
        <v>88709931361</v>
      </c>
      <c r="D127" s="9">
        <v>64955506845</v>
      </c>
      <c r="E127" s="9">
        <v>23754424516</v>
      </c>
      <c r="F127" s="9">
        <v>22239055</v>
      </c>
      <c r="G127" s="9">
        <v>88709931361</v>
      </c>
      <c r="H127" s="9">
        <v>58914609516</v>
      </c>
      <c r="I127" s="9">
        <v>29795321845</v>
      </c>
    </row>
    <row r="128" spans="1:9">
      <c r="A128" s="9" t="s">
        <v>276</v>
      </c>
      <c r="B128" s="9">
        <v>6494761</v>
      </c>
      <c r="C128" s="9">
        <v>36605080906</v>
      </c>
      <c r="D128" s="9">
        <v>23200403391</v>
      </c>
      <c r="E128" s="9">
        <v>13404677515</v>
      </c>
      <c r="F128" s="9">
        <v>6494761</v>
      </c>
      <c r="G128" s="9">
        <v>36605080906</v>
      </c>
      <c r="H128" s="9">
        <v>13697905971</v>
      </c>
      <c r="I128" s="9">
        <v>22907174935</v>
      </c>
    </row>
    <row r="129" spans="1:9">
      <c r="A129" s="9" t="s">
        <v>207</v>
      </c>
      <c r="B129" s="9">
        <v>5612182</v>
      </c>
      <c r="C129" s="9">
        <v>26229047214</v>
      </c>
      <c r="D129" s="9">
        <v>17987223461</v>
      </c>
      <c r="E129" s="9">
        <v>8241823753</v>
      </c>
      <c r="F129" s="9">
        <v>5612182</v>
      </c>
      <c r="G129" s="9">
        <v>26229047214</v>
      </c>
      <c r="H129" s="9">
        <v>17258189261</v>
      </c>
      <c r="I129" s="9">
        <v>8970857953</v>
      </c>
    </row>
    <row r="130" spans="1:9">
      <c r="A130" s="9" t="s">
        <v>220</v>
      </c>
      <c r="B130" s="9">
        <v>8119663</v>
      </c>
      <c r="C130" s="9">
        <v>36981161843</v>
      </c>
      <c r="D130" s="9">
        <v>35215610263</v>
      </c>
      <c r="E130" s="9">
        <v>1765551580</v>
      </c>
      <c r="F130" s="9">
        <v>8119663</v>
      </c>
      <c r="G130" s="9">
        <v>36981161843</v>
      </c>
      <c r="H130" s="9">
        <v>20611697290</v>
      </c>
      <c r="I130" s="9">
        <v>16369464553</v>
      </c>
    </row>
    <row r="131" spans="1:9">
      <c r="A131" s="9" t="s">
        <v>218</v>
      </c>
      <c r="B131" s="9">
        <v>4138313</v>
      </c>
      <c r="C131" s="9">
        <v>58268735297</v>
      </c>
      <c r="D131" s="9">
        <v>50824136720</v>
      </c>
      <c r="E131" s="9">
        <v>7444598577</v>
      </c>
      <c r="F131" s="9">
        <v>4138313</v>
      </c>
      <c r="G131" s="9">
        <v>58268735297</v>
      </c>
      <c r="H131" s="9">
        <v>54819971662</v>
      </c>
      <c r="I131" s="9">
        <v>3448763635</v>
      </c>
    </row>
    <row r="132" spans="1:9">
      <c r="A132" s="9" t="s">
        <v>303</v>
      </c>
      <c r="B132" s="9">
        <v>7043843</v>
      </c>
      <c r="C132" s="9">
        <v>56264622454</v>
      </c>
      <c r="D132" s="9">
        <v>54377486048</v>
      </c>
      <c r="E132" s="9">
        <v>1887136406</v>
      </c>
      <c r="F132" s="9">
        <v>7043843</v>
      </c>
      <c r="G132" s="9">
        <v>56264622454</v>
      </c>
      <c r="H132" s="9">
        <v>23889749012</v>
      </c>
      <c r="I132" s="9">
        <v>32374873442</v>
      </c>
    </row>
    <row r="133" spans="1:9">
      <c r="A133" s="9" t="s">
        <v>347</v>
      </c>
      <c r="B133" s="9">
        <v>3904663</v>
      </c>
      <c r="C133" s="9">
        <v>41379445920</v>
      </c>
      <c r="D133" s="9">
        <v>35374001989</v>
      </c>
      <c r="E133" s="9">
        <v>6005443931</v>
      </c>
      <c r="F133" s="9">
        <v>3904663</v>
      </c>
      <c r="G133" s="9">
        <v>41379445920</v>
      </c>
      <c r="H133" s="9">
        <v>15027447254</v>
      </c>
      <c r="I133" s="9">
        <v>26351998666</v>
      </c>
    </row>
    <row r="134" spans="1:9">
      <c r="A134" s="9" t="s">
        <v>416</v>
      </c>
      <c r="B134" s="9">
        <v>1200163</v>
      </c>
      <c r="C134" s="9">
        <v>6597507000</v>
      </c>
      <c r="D134" s="9">
        <v>7609759879</v>
      </c>
      <c r="E134" s="9">
        <v>-1012252879</v>
      </c>
      <c r="F134" s="9">
        <v>1200163</v>
      </c>
      <c r="G134" s="9">
        <v>6597507000</v>
      </c>
      <c r="H134" s="9">
        <v>15219519757</v>
      </c>
      <c r="I134" s="9">
        <v>-8622012757</v>
      </c>
    </row>
    <row r="135" spans="1:9">
      <c r="A135" s="9" t="s">
        <v>225</v>
      </c>
      <c r="B135" s="9">
        <v>4795060</v>
      </c>
      <c r="C135" s="9">
        <v>80838321224</v>
      </c>
      <c r="D135" s="9">
        <v>58470949480</v>
      </c>
      <c r="E135" s="9">
        <v>22367371744</v>
      </c>
      <c r="F135" s="9">
        <v>4795060</v>
      </c>
      <c r="G135" s="9">
        <v>80838321224</v>
      </c>
      <c r="H135" s="9">
        <v>58789548521</v>
      </c>
      <c r="I135" s="9">
        <v>22048772703</v>
      </c>
    </row>
    <row r="136" spans="1:9">
      <c r="A136" s="9" t="s">
        <v>195</v>
      </c>
      <c r="B136" s="9">
        <v>174021</v>
      </c>
      <c r="C136" s="9">
        <v>12456833487</v>
      </c>
      <c r="D136" s="9">
        <v>11537795225</v>
      </c>
      <c r="E136" s="9">
        <v>919038262</v>
      </c>
      <c r="F136" s="9">
        <v>174021</v>
      </c>
      <c r="G136" s="9">
        <v>12456833487</v>
      </c>
      <c r="H136" s="9">
        <v>5610237316</v>
      </c>
      <c r="I136" s="9">
        <v>6846596171</v>
      </c>
    </row>
    <row r="137" spans="1:9">
      <c r="A137" s="9" t="s">
        <v>278</v>
      </c>
      <c r="B137" s="9">
        <v>4967900</v>
      </c>
      <c r="C137" s="9">
        <v>27900959433</v>
      </c>
      <c r="D137" s="9">
        <v>22133446617</v>
      </c>
      <c r="E137" s="9">
        <v>5767512816</v>
      </c>
      <c r="F137" s="9">
        <v>4967900</v>
      </c>
      <c r="G137" s="9">
        <v>27900959433</v>
      </c>
      <c r="H137" s="9">
        <v>20260237327</v>
      </c>
      <c r="I137" s="9">
        <v>7640722106</v>
      </c>
    </row>
    <row r="138" spans="1:9">
      <c r="A138" s="9" t="s">
        <v>275</v>
      </c>
      <c r="B138" s="9">
        <v>25021276</v>
      </c>
      <c r="C138" s="9">
        <v>44963257243</v>
      </c>
      <c r="D138" s="9">
        <v>35454186274</v>
      </c>
      <c r="E138" s="9">
        <v>9509070969</v>
      </c>
      <c r="F138" s="9">
        <v>25021276</v>
      </c>
      <c r="G138" s="9">
        <v>44963257243</v>
      </c>
      <c r="H138" s="9">
        <v>25574766980</v>
      </c>
      <c r="I138" s="9">
        <v>19388490263</v>
      </c>
    </row>
    <row r="139" spans="1:9">
      <c r="A139" s="9" t="s">
        <v>202</v>
      </c>
      <c r="B139" s="9">
        <v>9515801</v>
      </c>
      <c r="C139" s="9">
        <v>48627555870</v>
      </c>
      <c r="D139" s="9">
        <v>43528744187</v>
      </c>
      <c r="E139" s="9">
        <v>5098811683</v>
      </c>
      <c r="F139" s="9">
        <v>9515801</v>
      </c>
      <c r="G139" s="9">
        <v>48627555870</v>
      </c>
      <c r="H139" s="9">
        <v>33108061813</v>
      </c>
      <c r="I139" s="9">
        <v>15519494057</v>
      </c>
    </row>
    <row r="140" spans="1:9">
      <c r="A140" s="9" t="s">
        <v>172</v>
      </c>
      <c r="B140" s="9">
        <v>5667758</v>
      </c>
      <c r="C140" s="9">
        <v>71705314441</v>
      </c>
      <c r="D140" s="9">
        <v>72559986926</v>
      </c>
      <c r="E140" s="9">
        <v>-854672485</v>
      </c>
      <c r="F140" s="9">
        <v>5667758</v>
      </c>
      <c r="G140" s="9">
        <v>71705314441</v>
      </c>
      <c r="H140" s="9">
        <v>52458351064</v>
      </c>
      <c r="I140" s="9">
        <v>19246963377</v>
      </c>
    </row>
    <row r="141" spans="1:9">
      <c r="A141" s="9" t="s">
        <v>355</v>
      </c>
      <c r="B141" s="9">
        <v>8858150</v>
      </c>
      <c r="C141" s="9">
        <v>7031741200</v>
      </c>
      <c r="D141" s="9">
        <v>7031741200</v>
      </c>
      <c r="E141" s="9">
        <v>0</v>
      </c>
      <c r="F141" s="9">
        <v>8858150</v>
      </c>
      <c r="G141" s="9">
        <v>7031741200</v>
      </c>
      <c r="H141" s="9">
        <v>17579353001</v>
      </c>
      <c r="I141" s="9">
        <v>-10547611801</v>
      </c>
    </row>
    <row r="142" spans="1:9">
      <c r="A142" s="9" t="s">
        <v>324</v>
      </c>
      <c r="B142" s="9">
        <v>13000000</v>
      </c>
      <c r="C142" s="9">
        <v>90425565100</v>
      </c>
      <c r="D142" s="9">
        <v>61659657800</v>
      </c>
      <c r="E142" s="9">
        <v>28765907300</v>
      </c>
      <c r="F142" s="9">
        <v>13000000</v>
      </c>
      <c r="G142" s="9">
        <v>90425565100</v>
      </c>
      <c r="H142" s="9">
        <v>77636851559</v>
      </c>
      <c r="I142" s="9">
        <v>12788713541</v>
      </c>
    </row>
    <row r="143" spans="1:9">
      <c r="A143" s="9" t="s">
        <v>334</v>
      </c>
      <c r="B143" s="9">
        <v>5800000</v>
      </c>
      <c r="C143" s="9">
        <v>30847689760</v>
      </c>
      <c r="D143" s="9">
        <v>27221935180</v>
      </c>
      <c r="E143" s="9">
        <v>3625754580</v>
      </c>
      <c r="F143" s="9">
        <v>5800000</v>
      </c>
      <c r="G143" s="9">
        <v>30847689760</v>
      </c>
      <c r="H143" s="9">
        <v>24419169338</v>
      </c>
      <c r="I143" s="9">
        <v>6428520422</v>
      </c>
    </row>
    <row r="144" spans="1:9">
      <c r="A144" s="9" t="s">
        <v>190</v>
      </c>
      <c r="B144" s="9">
        <v>4729478</v>
      </c>
      <c r="C144" s="9">
        <v>11887164169</v>
      </c>
      <c r="D144" s="9">
        <v>4829270092</v>
      </c>
      <c r="E144" s="9">
        <v>7057894077</v>
      </c>
      <c r="F144" s="9">
        <v>4729478</v>
      </c>
      <c r="G144" s="9">
        <v>11887164169</v>
      </c>
      <c r="H144" s="9">
        <v>12248883247</v>
      </c>
      <c r="I144" s="9">
        <v>-361719078</v>
      </c>
    </row>
    <row r="145" spans="1:9">
      <c r="A145" s="9" t="s">
        <v>189</v>
      </c>
      <c r="B145" s="9">
        <v>25300000</v>
      </c>
      <c r="C145" s="9">
        <v>80083134890</v>
      </c>
      <c r="D145" s="9">
        <v>81338356440</v>
      </c>
      <c r="E145" s="9">
        <v>-1255221550</v>
      </c>
      <c r="F145" s="9">
        <v>25300000</v>
      </c>
      <c r="G145" s="9">
        <v>80083134890</v>
      </c>
      <c r="H145" s="9">
        <v>68642812826</v>
      </c>
      <c r="I145" s="9">
        <v>11440322064</v>
      </c>
    </row>
    <row r="146" spans="1:9">
      <c r="A146" s="9" t="s">
        <v>205</v>
      </c>
      <c r="B146" s="9">
        <v>24172790</v>
      </c>
      <c r="C146" s="9">
        <v>52361294650</v>
      </c>
      <c r="D146" s="9">
        <v>53422452933</v>
      </c>
      <c r="E146" s="9">
        <v>-1061158283</v>
      </c>
      <c r="F146" s="9">
        <v>24172790</v>
      </c>
      <c r="G146" s="9">
        <v>52361294650</v>
      </c>
      <c r="H146" s="9">
        <v>23272476712</v>
      </c>
      <c r="I146" s="9">
        <v>29088817938</v>
      </c>
    </row>
    <row r="147" spans="1:9">
      <c r="A147" s="9" t="s">
        <v>175</v>
      </c>
      <c r="B147" s="9">
        <v>10809541</v>
      </c>
      <c r="C147" s="9">
        <v>22149155407</v>
      </c>
      <c r="D147" s="9">
        <v>19753445446</v>
      </c>
      <c r="E147" s="9">
        <v>2395709961</v>
      </c>
      <c r="F147" s="9">
        <v>10809541</v>
      </c>
      <c r="G147" s="9">
        <v>22149155407</v>
      </c>
      <c r="H147" s="9">
        <v>12579750916</v>
      </c>
      <c r="I147" s="9">
        <v>9569404491</v>
      </c>
    </row>
    <row r="148" spans="1:9">
      <c r="A148" s="9" t="s">
        <v>203</v>
      </c>
      <c r="B148" s="9">
        <v>2347708</v>
      </c>
      <c r="C148" s="9">
        <v>27628584176</v>
      </c>
      <c r="D148" s="9">
        <v>22214602662</v>
      </c>
      <c r="E148" s="9">
        <v>5413981514</v>
      </c>
      <c r="F148" s="9">
        <v>2347708</v>
      </c>
      <c r="G148" s="9">
        <v>27628584176</v>
      </c>
      <c r="H148" s="9">
        <v>21304314877</v>
      </c>
      <c r="I148" s="9">
        <v>6324269299</v>
      </c>
    </row>
    <row r="149" spans="1:9">
      <c r="A149" s="9" t="s">
        <v>232</v>
      </c>
      <c r="B149" s="9">
        <v>2267583</v>
      </c>
      <c r="C149" s="9">
        <v>57331390785</v>
      </c>
      <c r="D149" s="9">
        <v>41241331843</v>
      </c>
      <c r="E149" s="9">
        <v>16090058942</v>
      </c>
      <c r="F149" s="9">
        <v>2267583</v>
      </c>
      <c r="G149" s="9">
        <v>57331390785</v>
      </c>
      <c r="H149" s="9">
        <v>30638294954</v>
      </c>
      <c r="I149" s="9">
        <v>26693095831</v>
      </c>
    </row>
    <row r="150" spans="1:9">
      <c r="A150" s="9" t="s">
        <v>215</v>
      </c>
      <c r="B150" s="9">
        <v>4374516</v>
      </c>
      <c r="C150" s="9">
        <v>42061392606</v>
      </c>
      <c r="D150" s="9">
        <v>30428313949</v>
      </c>
      <c r="E150" s="9">
        <v>11633078657</v>
      </c>
      <c r="F150" s="9">
        <v>4374516</v>
      </c>
      <c r="G150" s="9">
        <v>42061392606</v>
      </c>
      <c r="H150" s="9">
        <v>22335850309</v>
      </c>
      <c r="I150" s="9">
        <v>19725542297</v>
      </c>
    </row>
    <row r="151" spans="1:9">
      <c r="A151" s="9" t="s">
        <v>258</v>
      </c>
      <c r="B151" s="9">
        <v>1238713</v>
      </c>
      <c r="C151" s="9">
        <v>20772427950</v>
      </c>
      <c r="D151" s="9">
        <v>17804761747</v>
      </c>
      <c r="E151" s="9">
        <v>2967666203</v>
      </c>
      <c r="F151" s="9">
        <v>1238713</v>
      </c>
      <c r="G151" s="9">
        <v>20772427950</v>
      </c>
      <c r="H151" s="9">
        <v>16692242459</v>
      </c>
      <c r="I151" s="9">
        <v>4080185491</v>
      </c>
    </row>
    <row r="152" spans="1:9">
      <c r="A152" s="9" t="s">
        <v>178</v>
      </c>
      <c r="B152" s="9">
        <v>7777144</v>
      </c>
      <c r="C152" s="9">
        <v>42057795389</v>
      </c>
      <c r="D152" s="9">
        <v>30112687058</v>
      </c>
      <c r="E152" s="9">
        <v>11945108331</v>
      </c>
      <c r="F152" s="9">
        <v>7777144</v>
      </c>
      <c r="G152" s="9">
        <v>42057795389</v>
      </c>
      <c r="H152" s="9">
        <v>19022038431</v>
      </c>
      <c r="I152" s="9">
        <v>23035756958</v>
      </c>
    </row>
    <row r="153" spans="1:9">
      <c r="A153" s="9" t="s">
        <v>212</v>
      </c>
      <c r="B153" s="9">
        <v>9484873</v>
      </c>
      <c r="C153" s="9">
        <v>85927496527</v>
      </c>
      <c r="D153" s="9">
        <v>67214991071</v>
      </c>
      <c r="E153" s="9">
        <v>18712505456</v>
      </c>
      <c r="F153" s="9">
        <v>9484873</v>
      </c>
      <c r="G153" s="9">
        <v>85927496527</v>
      </c>
      <c r="H153" s="9">
        <v>22653612721</v>
      </c>
      <c r="I153" s="9">
        <v>63273883806</v>
      </c>
    </row>
    <row r="154" spans="1:9">
      <c r="A154" s="9" t="s">
        <v>147</v>
      </c>
      <c r="B154" s="9">
        <v>17165640</v>
      </c>
      <c r="C154" s="9">
        <v>106115276025</v>
      </c>
      <c r="D154" s="9">
        <v>86614100942</v>
      </c>
      <c r="E154" s="9">
        <v>19501175083</v>
      </c>
      <c r="F154" s="9">
        <v>17165640</v>
      </c>
      <c r="G154" s="9">
        <v>106115276025</v>
      </c>
      <c r="H154" s="9">
        <v>68430934193</v>
      </c>
      <c r="I154" s="9">
        <v>37684341832</v>
      </c>
    </row>
    <row r="155" spans="1:9">
      <c r="A155" s="9" t="s">
        <v>161</v>
      </c>
      <c r="B155" s="9">
        <v>43968644</v>
      </c>
      <c r="C155" s="9">
        <v>100433420211</v>
      </c>
      <c r="D155" s="9">
        <v>81693557850</v>
      </c>
      <c r="E155" s="9">
        <v>18739862361</v>
      </c>
      <c r="F155" s="9">
        <v>43968644</v>
      </c>
      <c r="G155" s="9">
        <v>100433420211</v>
      </c>
      <c r="H155" s="9">
        <v>66075229652</v>
      </c>
      <c r="I155" s="9">
        <v>34358190559</v>
      </c>
    </row>
    <row r="156" spans="1:9">
      <c r="A156" s="9" t="s">
        <v>230</v>
      </c>
      <c r="B156" s="9">
        <v>3240260</v>
      </c>
      <c r="C156" s="9">
        <v>62535888769</v>
      </c>
      <c r="D156" s="9">
        <v>52504424864</v>
      </c>
      <c r="E156" s="9">
        <v>10031463905</v>
      </c>
      <c r="F156" s="9">
        <v>3240260</v>
      </c>
      <c r="G156" s="9">
        <v>62535888769</v>
      </c>
      <c r="H156" s="9">
        <v>24114095926</v>
      </c>
      <c r="I156" s="9">
        <v>38421792843</v>
      </c>
    </row>
    <row r="157" spans="1:9">
      <c r="A157" s="9" t="s">
        <v>168</v>
      </c>
      <c r="B157" s="9">
        <v>1362852</v>
      </c>
      <c r="C157" s="9">
        <v>39744601157</v>
      </c>
      <c r="D157" s="9">
        <v>36359090113</v>
      </c>
      <c r="E157" s="9">
        <v>3385511044</v>
      </c>
      <c r="F157" s="9">
        <v>1362852</v>
      </c>
      <c r="G157" s="9">
        <v>39744601157</v>
      </c>
      <c r="H157" s="9">
        <v>23412212860</v>
      </c>
      <c r="I157" s="9">
        <v>16332388297</v>
      </c>
    </row>
    <row r="158" spans="1:9">
      <c r="A158" s="9" t="s">
        <v>289</v>
      </c>
      <c r="B158" s="9">
        <v>4684284</v>
      </c>
      <c r="C158" s="9">
        <v>62516601819</v>
      </c>
      <c r="D158" s="9">
        <v>43598938666</v>
      </c>
      <c r="E158" s="9">
        <v>18917663153</v>
      </c>
      <c r="F158" s="9">
        <v>4684284</v>
      </c>
      <c r="G158" s="9">
        <v>62516601819</v>
      </c>
      <c r="H158" s="9">
        <v>39877193740</v>
      </c>
      <c r="I158" s="9">
        <v>22639408079</v>
      </c>
    </row>
    <row r="159" spans="1:9">
      <c r="A159" s="9" t="s">
        <v>294</v>
      </c>
      <c r="B159" s="9">
        <v>2202712</v>
      </c>
      <c r="C159" s="9">
        <v>18775034461</v>
      </c>
      <c r="D159" s="9">
        <v>14622232892</v>
      </c>
      <c r="E159" s="9">
        <v>4152801569</v>
      </c>
      <c r="F159" s="9">
        <v>2202712</v>
      </c>
      <c r="G159" s="9">
        <v>18775034461</v>
      </c>
      <c r="H159" s="9">
        <v>10842794642</v>
      </c>
      <c r="I159" s="9">
        <v>7932239819</v>
      </c>
    </row>
    <row r="160" spans="1:9">
      <c r="A160" s="9" t="s">
        <v>438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-1115022677</v>
      </c>
      <c r="I160" s="9">
        <v>1115022677</v>
      </c>
    </row>
    <row r="161" spans="1:9">
      <c r="A161" s="9" t="s">
        <v>353</v>
      </c>
      <c r="B161" s="9">
        <v>5768835</v>
      </c>
      <c r="C161" s="9">
        <v>46767056368</v>
      </c>
      <c r="D161" s="9">
        <v>36005481585</v>
      </c>
      <c r="E161" s="9">
        <v>10761574783</v>
      </c>
      <c r="F161" s="9">
        <v>5768835</v>
      </c>
      <c r="G161" s="9">
        <v>46767056368</v>
      </c>
      <c r="H161" s="9">
        <v>36069899618</v>
      </c>
      <c r="I161" s="9">
        <v>10697156750</v>
      </c>
    </row>
    <row r="162" spans="1:9">
      <c r="A162" s="9" t="s">
        <v>132</v>
      </c>
      <c r="B162" s="9">
        <v>1664830</v>
      </c>
      <c r="C162" s="9">
        <v>36491815488</v>
      </c>
      <c r="D162" s="9">
        <v>31042157018</v>
      </c>
      <c r="E162" s="9">
        <v>5449658470</v>
      </c>
      <c r="F162" s="9">
        <v>1664830</v>
      </c>
      <c r="G162" s="9">
        <v>36491815488</v>
      </c>
      <c r="H162" s="9">
        <v>17890736158</v>
      </c>
      <c r="I162" s="9">
        <v>18601079330</v>
      </c>
    </row>
    <row r="163" spans="1:9">
      <c r="A163" s="9" t="s">
        <v>253</v>
      </c>
      <c r="B163" s="9">
        <v>3100000</v>
      </c>
      <c r="C163" s="9">
        <v>42633872820</v>
      </c>
      <c r="D163" s="9">
        <v>38318534759</v>
      </c>
      <c r="E163" s="9">
        <v>4315338061</v>
      </c>
      <c r="F163" s="9">
        <v>3100000</v>
      </c>
      <c r="G163" s="9">
        <v>42633872820</v>
      </c>
      <c r="H163" s="9">
        <v>20311945517</v>
      </c>
      <c r="I163" s="9">
        <v>22321927303</v>
      </c>
    </row>
    <row r="164" spans="1:9">
      <c r="A164" s="9" t="s">
        <v>158</v>
      </c>
      <c r="B164" s="9">
        <v>7341110</v>
      </c>
      <c r="C164" s="9">
        <v>86319704153</v>
      </c>
      <c r="D164" s="9">
        <v>60724645616</v>
      </c>
      <c r="E164" s="9">
        <v>25595058537</v>
      </c>
      <c r="F164" s="9">
        <v>7341110</v>
      </c>
      <c r="G164" s="9">
        <v>86319704153</v>
      </c>
      <c r="H164" s="9">
        <v>40835174216</v>
      </c>
      <c r="I164" s="9">
        <v>45484529937</v>
      </c>
    </row>
    <row r="165" spans="1:9">
      <c r="A165" s="9" t="s">
        <v>206</v>
      </c>
      <c r="B165" s="9">
        <v>0</v>
      </c>
      <c r="C165" s="9">
        <v>0</v>
      </c>
      <c r="D165" s="9">
        <v>3740205701</v>
      </c>
      <c r="E165" s="9">
        <v>-3740205701</v>
      </c>
      <c r="F165" s="9">
        <v>0</v>
      </c>
      <c r="G165" s="9">
        <v>0</v>
      </c>
      <c r="H165" s="9">
        <v>0</v>
      </c>
      <c r="I165" s="9">
        <v>0</v>
      </c>
    </row>
    <row r="166" spans="1:9">
      <c r="A166" s="9" t="s">
        <v>204</v>
      </c>
      <c r="B166" s="9">
        <v>13516623</v>
      </c>
      <c r="C166" s="9">
        <v>29842010397</v>
      </c>
      <c r="D166" s="9">
        <v>23685838364</v>
      </c>
      <c r="E166" s="9">
        <v>6156172033</v>
      </c>
      <c r="F166" s="9">
        <v>13516623</v>
      </c>
      <c r="G166" s="9">
        <v>29842010397</v>
      </c>
      <c r="H166" s="9">
        <v>15567172087</v>
      </c>
      <c r="I166" s="9">
        <v>14274838310</v>
      </c>
    </row>
    <row r="167" spans="1:9">
      <c r="A167" s="9" t="s">
        <v>304</v>
      </c>
      <c r="B167" s="9">
        <v>2451893</v>
      </c>
      <c r="C167" s="9">
        <v>19658154126</v>
      </c>
      <c r="D167" s="9">
        <v>17322531854</v>
      </c>
      <c r="E167" s="9">
        <v>2335622272</v>
      </c>
      <c r="F167" s="9">
        <v>2451893</v>
      </c>
      <c r="G167" s="9">
        <v>19658154126</v>
      </c>
      <c r="H167" s="9">
        <v>13989404236</v>
      </c>
      <c r="I167" s="9">
        <v>5668749890</v>
      </c>
    </row>
    <row r="168" spans="1:9">
      <c r="A168" s="9" t="s">
        <v>155</v>
      </c>
      <c r="B168" s="9">
        <v>15767933</v>
      </c>
      <c r="C168" s="9">
        <v>106236658301</v>
      </c>
      <c r="D168" s="9">
        <v>85896797360</v>
      </c>
      <c r="E168" s="9">
        <v>20339860941</v>
      </c>
      <c r="F168" s="9">
        <v>15767933</v>
      </c>
      <c r="G168" s="9">
        <v>106236658301</v>
      </c>
      <c r="H168" s="9">
        <v>96176827877</v>
      </c>
      <c r="I168" s="9">
        <v>10059830424</v>
      </c>
    </row>
    <row r="169" spans="1:9">
      <c r="A169" s="9" t="s">
        <v>145</v>
      </c>
      <c r="B169" s="9">
        <v>1852500</v>
      </c>
      <c r="C169" s="9">
        <v>35237913955</v>
      </c>
      <c r="D169" s="9">
        <v>28780552172</v>
      </c>
      <c r="E169" s="9">
        <v>6457361783</v>
      </c>
      <c r="F169" s="9">
        <v>1852500</v>
      </c>
      <c r="G169" s="9">
        <v>35237913955</v>
      </c>
      <c r="H169" s="9">
        <v>27236260757</v>
      </c>
      <c r="I169" s="9">
        <v>8001653198</v>
      </c>
    </row>
    <row r="170" spans="1:9">
      <c r="A170" s="9" t="s">
        <v>242</v>
      </c>
      <c r="B170" s="9">
        <v>6818151</v>
      </c>
      <c r="C170" s="9">
        <v>52905793137</v>
      </c>
      <c r="D170" s="9">
        <v>38563046149</v>
      </c>
      <c r="E170" s="9">
        <v>14342746988</v>
      </c>
      <c r="F170" s="9">
        <v>6818151</v>
      </c>
      <c r="G170" s="9">
        <v>52905793137</v>
      </c>
      <c r="H170" s="9">
        <v>27618685223</v>
      </c>
      <c r="I170" s="9">
        <v>25287107914</v>
      </c>
    </row>
    <row r="171" spans="1:9">
      <c r="A171" s="9" t="s">
        <v>310</v>
      </c>
      <c r="B171" s="9">
        <v>1256499</v>
      </c>
      <c r="C171" s="9">
        <v>9849611476</v>
      </c>
      <c r="D171" s="9">
        <v>7742542692</v>
      </c>
      <c r="E171" s="9">
        <v>2107068784</v>
      </c>
      <c r="F171" s="9">
        <v>1256499</v>
      </c>
      <c r="G171" s="9">
        <v>9849611476</v>
      </c>
      <c r="H171" s="9">
        <v>7630331928</v>
      </c>
      <c r="I171" s="9">
        <v>2219279548</v>
      </c>
    </row>
    <row r="172" spans="1:9">
      <c r="A172" s="9" t="s">
        <v>363</v>
      </c>
      <c r="B172" s="9">
        <v>700000</v>
      </c>
      <c r="C172" s="9">
        <v>26470786790</v>
      </c>
      <c r="D172" s="9">
        <v>19135926950</v>
      </c>
      <c r="E172" s="9">
        <v>7334859840</v>
      </c>
      <c r="F172" s="9">
        <v>700000</v>
      </c>
      <c r="G172" s="9">
        <v>26470786790</v>
      </c>
      <c r="H172" s="9">
        <v>12044173260</v>
      </c>
      <c r="I172" s="9">
        <v>14426613530</v>
      </c>
    </row>
    <row r="173" spans="1:9">
      <c r="A173" s="9" t="s">
        <v>336</v>
      </c>
      <c r="B173" s="9">
        <v>7979362</v>
      </c>
      <c r="C173" s="9">
        <v>59065904227</v>
      </c>
      <c r="D173" s="9">
        <v>37767340906</v>
      </c>
      <c r="E173" s="9">
        <v>21298563321</v>
      </c>
      <c r="F173" s="9">
        <v>7979362</v>
      </c>
      <c r="G173" s="9">
        <v>59065904227</v>
      </c>
      <c r="H173" s="9">
        <v>26247114278</v>
      </c>
      <c r="I173" s="9">
        <v>32818789949</v>
      </c>
    </row>
    <row r="174" spans="1:9">
      <c r="A174" s="9" t="s">
        <v>156</v>
      </c>
      <c r="B174" s="9">
        <v>1225533</v>
      </c>
      <c r="C174" s="9">
        <v>23409147876</v>
      </c>
      <c r="D174" s="9">
        <v>18150960514</v>
      </c>
      <c r="E174" s="9">
        <v>5258187362</v>
      </c>
      <c r="F174" s="9">
        <v>1225533</v>
      </c>
      <c r="G174" s="9">
        <v>23409147876</v>
      </c>
      <c r="H174" s="9">
        <v>12147931560</v>
      </c>
      <c r="I174" s="9">
        <v>11261216316</v>
      </c>
    </row>
    <row r="175" spans="1:9">
      <c r="A175" s="9" t="s">
        <v>126</v>
      </c>
      <c r="B175" s="9">
        <v>11285383</v>
      </c>
      <c r="C175" s="9">
        <v>96528027049</v>
      </c>
      <c r="D175" s="9">
        <v>83545272455</v>
      </c>
      <c r="E175" s="9">
        <v>12982754594</v>
      </c>
      <c r="F175" s="9">
        <v>11285383</v>
      </c>
      <c r="G175" s="9">
        <v>96528027049</v>
      </c>
      <c r="H175" s="9">
        <v>51380438944</v>
      </c>
      <c r="I175" s="9">
        <v>45147588105</v>
      </c>
    </row>
    <row r="176" spans="1:9">
      <c r="A176" s="9" t="s">
        <v>298</v>
      </c>
      <c r="B176" s="9">
        <v>2470314</v>
      </c>
      <c r="C176" s="9">
        <v>45224980823</v>
      </c>
      <c r="D176" s="9">
        <v>43239493860</v>
      </c>
      <c r="E176" s="9">
        <v>1985486963</v>
      </c>
      <c r="F176" s="9">
        <v>2470314</v>
      </c>
      <c r="G176" s="9">
        <v>45224980823</v>
      </c>
      <c r="H176" s="9">
        <v>19364625935</v>
      </c>
      <c r="I176" s="9">
        <v>25860354888</v>
      </c>
    </row>
    <row r="177" spans="1:9">
      <c r="A177" s="9" t="s">
        <v>287</v>
      </c>
      <c r="B177" s="9">
        <v>1983335</v>
      </c>
      <c r="C177" s="9">
        <v>6474732569</v>
      </c>
      <c r="D177" s="9">
        <v>5467581172</v>
      </c>
      <c r="E177" s="9">
        <v>1007151397</v>
      </c>
      <c r="F177" s="9">
        <v>1983335</v>
      </c>
      <c r="G177" s="9">
        <v>6474732569</v>
      </c>
      <c r="H177" s="9">
        <v>5354225642</v>
      </c>
      <c r="I177" s="9">
        <v>1120506927</v>
      </c>
    </row>
    <row r="178" spans="1:9">
      <c r="A178" s="9" t="s">
        <v>439</v>
      </c>
      <c r="B178" s="9">
        <v>0</v>
      </c>
      <c r="C178" s="9">
        <v>0</v>
      </c>
      <c r="D178" s="9">
        <v>356283815</v>
      </c>
      <c r="E178" s="9">
        <v>-356283815</v>
      </c>
      <c r="F178" s="9">
        <v>0</v>
      </c>
      <c r="G178" s="9">
        <v>0</v>
      </c>
      <c r="H178" s="9">
        <v>0</v>
      </c>
      <c r="I178" s="9">
        <v>0</v>
      </c>
    </row>
    <row r="179" spans="1:9">
      <c r="A179" s="9" t="s">
        <v>257</v>
      </c>
      <c r="B179" s="9">
        <v>666071</v>
      </c>
      <c r="C179" s="9">
        <v>33310482467</v>
      </c>
      <c r="D179" s="9">
        <v>37646691372</v>
      </c>
      <c r="E179" s="9">
        <v>-4336208905</v>
      </c>
      <c r="F179" s="9">
        <v>666071</v>
      </c>
      <c r="G179" s="9">
        <v>33310482467</v>
      </c>
      <c r="H179" s="9">
        <v>12517867815</v>
      </c>
      <c r="I179" s="9">
        <v>20792614652</v>
      </c>
    </row>
    <row r="180" spans="1:9">
      <c r="A180" s="9" t="s">
        <v>331</v>
      </c>
      <c r="B180" s="9">
        <v>14640871</v>
      </c>
      <c r="C180" s="9">
        <v>33108621616</v>
      </c>
      <c r="D180" s="9">
        <v>24973111258</v>
      </c>
      <c r="E180" s="9">
        <v>8135510358</v>
      </c>
      <c r="F180" s="9">
        <v>14640871</v>
      </c>
      <c r="G180" s="9">
        <v>33108621616</v>
      </c>
      <c r="H180" s="9">
        <v>21223893783</v>
      </c>
      <c r="I180" s="9">
        <v>11884727833</v>
      </c>
    </row>
    <row r="181" spans="1:9">
      <c r="A181" s="9" t="s">
        <v>247</v>
      </c>
      <c r="B181" s="9">
        <v>16780964</v>
      </c>
      <c r="C181" s="9">
        <v>49953741445</v>
      </c>
      <c r="D181" s="9">
        <v>40571702188</v>
      </c>
      <c r="E181" s="9">
        <v>9382039257</v>
      </c>
      <c r="F181" s="9">
        <v>16780964</v>
      </c>
      <c r="G181" s="9">
        <v>49953741445</v>
      </c>
      <c r="H181" s="9">
        <v>36240988483</v>
      </c>
      <c r="I181" s="9">
        <v>13712752962</v>
      </c>
    </row>
    <row r="182" spans="1:9">
      <c r="A182" s="9" t="s">
        <v>199</v>
      </c>
      <c r="B182" s="9">
        <v>2345414</v>
      </c>
      <c r="C182" s="9">
        <v>68468693803</v>
      </c>
      <c r="D182" s="9">
        <v>51816745489</v>
      </c>
      <c r="E182" s="9">
        <v>16651948314</v>
      </c>
      <c r="F182" s="9">
        <v>2345414</v>
      </c>
      <c r="G182" s="9">
        <v>68468693803</v>
      </c>
      <c r="H182" s="9">
        <v>31885583922</v>
      </c>
      <c r="I182" s="9">
        <v>36583109881</v>
      </c>
    </row>
    <row r="183" spans="1:9">
      <c r="A183" s="9" t="s">
        <v>314</v>
      </c>
      <c r="B183" s="9">
        <v>594875</v>
      </c>
      <c r="C183" s="9">
        <v>54453017849</v>
      </c>
      <c r="D183" s="9">
        <v>41732556769</v>
      </c>
      <c r="E183" s="9">
        <v>12720461080</v>
      </c>
      <c r="F183" s="9">
        <v>594875</v>
      </c>
      <c r="G183" s="9">
        <v>54453017849</v>
      </c>
      <c r="H183" s="9">
        <v>30104107429</v>
      </c>
      <c r="I183" s="9">
        <v>24348910420</v>
      </c>
    </row>
    <row r="184" spans="1:9">
      <c r="A184" s="9" t="s">
        <v>262</v>
      </c>
      <c r="B184" s="9">
        <v>2461948</v>
      </c>
      <c r="C184" s="9">
        <v>44851958726</v>
      </c>
      <c r="D184" s="9">
        <v>29534868246</v>
      </c>
      <c r="E184" s="9">
        <v>15317090480</v>
      </c>
      <c r="F184" s="9">
        <v>2461948</v>
      </c>
      <c r="G184" s="9">
        <v>44851958726</v>
      </c>
      <c r="H184" s="9">
        <v>29827834556</v>
      </c>
      <c r="I184" s="9">
        <v>15024124170</v>
      </c>
    </row>
    <row r="185" spans="1:9">
      <c r="A185" s="9" t="s">
        <v>254</v>
      </c>
      <c r="B185" s="9">
        <v>5856849</v>
      </c>
      <c r="C185" s="9">
        <v>75492366488</v>
      </c>
      <c r="D185" s="9">
        <v>50642100135</v>
      </c>
      <c r="E185" s="9">
        <v>24850266353</v>
      </c>
      <c r="F185" s="9">
        <v>5856849</v>
      </c>
      <c r="G185" s="9">
        <v>75492366488</v>
      </c>
      <c r="H185" s="9">
        <v>60355414601</v>
      </c>
      <c r="I185" s="9">
        <v>15136951887</v>
      </c>
    </row>
    <row r="186" spans="1:9">
      <c r="A186" s="9" t="s">
        <v>255</v>
      </c>
      <c r="B186" s="9">
        <v>9307926</v>
      </c>
      <c r="C186" s="9">
        <v>38791098074</v>
      </c>
      <c r="D186" s="9">
        <v>25906911928</v>
      </c>
      <c r="E186" s="9">
        <v>12884186146</v>
      </c>
      <c r="F186" s="9">
        <v>9307926</v>
      </c>
      <c r="G186" s="9">
        <v>38791098074</v>
      </c>
      <c r="H186" s="9">
        <v>21549841963</v>
      </c>
      <c r="I186" s="9">
        <v>17241256111</v>
      </c>
    </row>
    <row r="187" spans="1:9">
      <c r="A187" s="9" t="s">
        <v>150</v>
      </c>
      <c r="B187" s="9">
        <v>1558695</v>
      </c>
      <c r="C187" s="9">
        <v>50343336663</v>
      </c>
      <c r="D187" s="9">
        <v>53681670232</v>
      </c>
      <c r="E187" s="9">
        <v>-3338333569</v>
      </c>
      <c r="F187" s="9">
        <v>1558695</v>
      </c>
      <c r="G187" s="9">
        <v>50343336663</v>
      </c>
      <c r="H187" s="9">
        <v>29139543557</v>
      </c>
      <c r="I187" s="9">
        <v>21203793106</v>
      </c>
    </row>
    <row r="188" spans="1:9">
      <c r="A188" s="9" t="s">
        <v>157</v>
      </c>
      <c r="B188" s="9">
        <v>1234887</v>
      </c>
      <c r="C188" s="9">
        <v>13846356955</v>
      </c>
      <c r="D188" s="9">
        <v>11542715267</v>
      </c>
      <c r="E188" s="9">
        <v>2303641688</v>
      </c>
      <c r="F188" s="9">
        <v>1234887</v>
      </c>
      <c r="G188" s="9">
        <v>13846356955</v>
      </c>
      <c r="H188" s="9">
        <v>6329433102</v>
      </c>
      <c r="I188" s="9">
        <v>7516923853</v>
      </c>
    </row>
    <row r="189" spans="1:9">
      <c r="A189" s="9" t="s">
        <v>244</v>
      </c>
      <c r="B189" s="9">
        <v>3565617</v>
      </c>
      <c r="C189" s="9">
        <v>42633560106</v>
      </c>
      <c r="D189" s="9">
        <v>39201646969</v>
      </c>
      <c r="E189" s="9">
        <v>3431913137</v>
      </c>
      <c r="F189" s="9">
        <v>3565617</v>
      </c>
      <c r="G189" s="9">
        <v>42633560106</v>
      </c>
      <c r="H189" s="9">
        <v>24554100177</v>
      </c>
      <c r="I189" s="9">
        <v>18079459929</v>
      </c>
    </row>
    <row r="190" spans="1:9">
      <c r="A190" s="9" t="s">
        <v>349</v>
      </c>
      <c r="B190" s="9">
        <v>2326440</v>
      </c>
      <c r="C190" s="9">
        <v>96401148401</v>
      </c>
      <c r="D190" s="9">
        <v>82712000652</v>
      </c>
      <c r="E190" s="9">
        <v>13689147749</v>
      </c>
      <c r="F190" s="9">
        <v>2326440</v>
      </c>
      <c r="G190" s="9">
        <v>96401148401</v>
      </c>
      <c r="H190" s="9">
        <v>49109166496</v>
      </c>
      <c r="I190" s="9">
        <v>47291981905</v>
      </c>
    </row>
    <row r="191" spans="1:9">
      <c r="A191" s="9" t="s">
        <v>196</v>
      </c>
      <c r="B191" s="9">
        <v>635048</v>
      </c>
      <c r="C191" s="9">
        <v>29017904586</v>
      </c>
      <c r="D191" s="9">
        <v>24550218516</v>
      </c>
      <c r="E191" s="9">
        <v>4467686070</v>
      </c>
      <c r="F191" s="9">
        <v>635048</v>
      </c>
      <c r="G191" s="9">
        <v>29017904586</v>
      </c>
      <c r="H191" s="9">
        <v>16320602145</v>
      </c>
      <c r="I191" s="9">
        <v>12697302441</v>
      </c>
    </row>
    <row r="192" spans="1:9">
      <c r="A192" s="9" t="s">
        <v>245</v>
      </c>
      <c r="B192" s="9">
        <v>3390646</v>
      </c>
      <c r="C192" s="9">
        <v>61602828771</v>
      </c>
      <c r="D192" s="9">
        <v>53862790975</v>
      </c>
      <c r="E192" s="9">
        <v>7740037796</v>
      </c>
      <c r="F192" s="9">
        <v>3390646</v>
      </c>
      <c r="G192" s="9">
        <v>61602828771</v>
      </c>
      <c r="H192" s="9">
        <v>26915490451</v>
      </c>
      <c r="I192" s="9">
        <v>34687338320</v>
      </c>
    </row>
    <row r="193" spans="1:9">
      <c r="A193" s="9" t="s">
        <v>427</v>
      </c>
      <c r="B193" s="9">
        <v>275726</v>
      </c>
      <c r="C193" s="9">
        <v>8101137232</v>
      </c>
      <c r="D193" s="9">
        <v>6380226959</v>
      </c>
      <c r="E193" s="9">
        <v>1720910273</v>
      </c>
      <c r="F193" s="9">
        <v>275726</v>
      </c>
      <c r="G193" s="9">
        <v>8101137232</v>
      </c>
      <c r="H193" s="9">
        <v>6374755066</v>
      </c>
      <c r="I193" s="9">
        <v>1726382166</v>
      </c>
    </row>
    <row r="194" spans="1:9">
      <c r="A194" s="9" t="s">
        <v>440</v>
      </c>
      <c r="B194" s="9">
        <v>487887</v>
      </c>
      <c r="C194" s="9">
        <v>14266887719</v>
      </c>
      <c r="D194" s="9">
        <v>11333146980</v>
      </c>
      <c r="E194" s="9">
        <v>2933740739</v>
      </c>
      <c r="F194" s="9">
        <v>487887</v>
      </c>
      <c r="G194" s="9">
        <v>14266887719</v>
      </c>
      <c r="H194" s="9">
        <v>13075963261</v>
      </c>
      <c r="I194" s="9">
        <v>1190924458</v>
      </c>
    </row>
    <row r="195" spans="1:9">
      <c r="A195" s="9" t="s">
        <v>317</v>
      </c>
      <c r="B195" s="9">
        <v>3335116</v>
      </c>
      <c r="C195" s="9">
        <v>31935088090</v>
      </c>
      <c r="D195" s="9">
        <v>22073268141</v>
      </c>
      <c r="E195" s="9">
        <v>9861819949</v>
      </c>
      <c r="F195" s="9">
        <v>3335116</v>
      </c>
      <c r="G195" s="9">
        <v>31935088090</v>
      </c>
      <c r="H195" s="9">
        <v>11781234570</v>
      </c>
      <c r="I195" s="9">
        <v>20153853520</v>
      </c>
    </row>
    <row r="196" spans="1:9">
      <c r="A196" s="9" t="s">
        <v>152</v>
      </c>
      <c r="B196" s="9">
        <v>16099135</v>
      </c>
      <c r="C196" s="9">
        <v>58467360592</v>
      </c>
      <c r="D196" s="9">
        <v>40719481462</v>
      </c>
      <c r="E196" s="9">
        <v>17747879130</v>
      </c>
      <c r="F196" s="9">
        <v>16099135</v>
      </c>
      <c r="G196" s="9">
        <v>58467360592</v>
      </c>
      <c r="H196" s="9">
        <v>40487169740</v>
      </c>
      <c r="I196" s="9">
        <v>17980190852</v>
      </c>
    </row>
    <row r="197" spans="1:9">
      <c r="A197" s="9" t="s">
        <v>153</v>
      </c>
      <c r="B197" s="9">
        <v>3737468</v>
      </c>
      <c r="C197" s="9">
        <v>64047131221</v>
      </c>
      <c r="D197" s="9">
        <v>48730706673</v>
      </c>
      <c r="E197" s="9">
        <v>15316424548</v>
      </c>
      <c r="F197" s="9">
        <v>3737468</v>
      </c>
      <c r="G197" s="9">
        <v>64047131221</v>
      </c>
      <c r="H197" s="9">
        <v>60900823842</v>
      </c>
      <c r="I197" s="9">
        <v>3146307379</v>
      </c>
    </row>
    <row r="198" spans="1:9">
      <c r="A198" s="9" t="s">
        <v>241</v>
      </c>
      <c r="B198" s="9">
        <v>5956686</v>
      </c>
      <c r="C198" s="9">
        <v>20864562085</v>
      </c>
      <c r="D198" s="9">
        <v>26948033695</v>
      </c>
      <c r="E198" s="9">
        <v>-6083471610</v>
      </c>
      <c r="F198" s="9">
        <v>5956686</v>
      </c>
      <c r="G198" s="9">
        <v>20864562085</v>
      </c>
      <c r="H198" s="9">
        <v>13498552216</v>
      </c>
      <c r="I198" s="9">
        <v>7366009869</v>
      </c>
    </row>
    <row r="199" spans="1:9">
      <c r="A199" s="9" t="s">
        <v>221</v>
      </c>
      <c r="B199" s="9">
        <v>5123567</v>
      </c>
      <c r="C199" s="9">
        <v>73971644584</v>
      </c>
      <c r="D199" s="9">
        <v>51850008488</v>
      </c>
      <c r="E199" s="9">
        <v>22121636096</v>
      </c>
      <c r="F199" s="9">
        <v>5123567</v>
      </c>
      <c r="G199" s="9">
        <v>73971644584</v>
      </c>
      <c r="H199" s="9">
        <v>46775814316</v>
      </c>
      <c r="I199" s="9">
        <v>27195830268</v>
      </c>
    </row>
    <row r="200" spans="1:9">
      <c r="A200" s="9" t="s">
        <v>361</v>
      </c>
      <c r="B200" s="9">
        <v>16626589</v>
      </c>
      <c r="C200" s="9">
        <v>85130017810</v>
      </c>
      <c r="D200" s="9">
        <v>81995385371</v>
      </c>
      <c r="E200" s="9">
        <v>3134632439</v>
      </c>
      <c r="F200" s="9">
        <v>16626589</v>
      </c>
      <c r="G200" s="9">
        <v>85130017810</v>
      </c>
      <c r="H200" s="9">
        <v>71355034995</v>
      </c>
      <c r="I200" s="9">
        <v>13774982815</v>
      </c>
    </row>
    <row r="201" spans="1:9">
      <c r="A201" s="9" t="s">
        <v>133</v>
      </c>
      <c r="B201" s="9">
        <v>1000000</v>
      </c>
      <c r="C201" s="9">
        <v>7958005400</v>
      </c>
      <c r="D201" s="9">
        <v>7432192363</v>
      </c>
      <c r="E201" s="9">
        <v>525813037</v>
      </c>
      <c r="F201" s="9">
        <v>1000000</v>
      </c>
      <c r="G201" s="9">
        <v>7958005400</v>
      </c>
      <c r="H201" s="9">
        <v>6243533309</v>
      </c>
      <c r="I201" s="9">
        <v>1714472091</v>
      </c>
    </row>
    <row r="202" spans="1:9">
      <c r="A202" s="9" t="s">
        <v>137</v>
      </c>
      <c r="B202" s="9">
        <v>10285372</v>
      </c>
      <c r="C202" s="9">
        <v>44497576085</v>
      </c>
      <c r="D202" s="9">
        <v>26739369115</v>
      </c>
      <c r="E202" s="9">
        <v>17758206970</v>
      </c>
      <c r="F202" s="9">
        <v>10285372</v>
      </c>
      <c r="G202" s="9">
        <v>44497576085</v>
      </c>
      <c r="H202" s="9">
        <v>33777620235</v>
      </c>
      <c r="I202" s="9">
        <v>10719955850</v>
      </c>
    </row>
    <row r="203" spans="1:9">
      <c r="A203" s="9" t="s">
        <v>263</v>
      </c>
      <c r="B203" s="9">
        <v>12042240</v>
      </c>
      <c r="C203" s="9">
        <v>47916105474</v>
      </c>
      <c r="D203" s="9">
        <v>39667784498</v>
      </c>
      <c r="E203" s="9">
        <v>8248320976</v>
      </c>
      <c r="F203" s="9">
        <v>12042240</v>
      </c>
      <c r="G203" s="9">
        <v>47916105474</v>
      </c>
      <c r="H203" s="9">
        <v>41799865683</v>
      </c>
      <c r="I203" s="9">
        <v>6116239791</v>
      </c>
    </row>
    <row r="204" spans="1:9">
      <c r="A204" s="9" t="s">
        <v>250</v>
      </c>
      <c r="B204" s="9">
        <v>10484854</v>
      </c>
      <c r="C204" s="9">
        <v>72514528368</v>
      </c>
      <c r="D204" s="9">
        <v>60175299181</v>
      </c>
      <c r="E204" s="9">
        <v>12339229187</v>
      </c>
      <c r="F204" s="9">
        <v>10484854</v>
      </c>
      <c r="G204" s="9">
        <v>72514528368</v>
      </c>
      <c r="H204" s="9">
        <v>54980284097</v>
      </c>
      <c r="I204" s="9">
        <v>17534244271</v>
      </c>
    </row>
    <row r="205" spans="1:9">
      <c r="A205" s="9" t="s">
        <v>238</v>
      </c>
      <c r="B205" s="9">
        <v>7269322</v>
      </c>
      <c r="C205" s="9">
        <v>40177134885</v>
      </c>
      <c r="D205" s="9">
        <v>32738997420</v>
      </c>
      <c r="E205" s="9">
        <v>7438137465</v>
      </c>
      <c r="F205" s="9">
        <v>7269322</v>
      </c>
      <c r="G205" s="9">
        <v>40177134885</v>
      </c>
      <c r="H205" s="9">
        <v>19295111009</v>
      </c>
      <c r="I205" s="9">
        <v>20882023876</v>
      </c>
    </row>
    <row r="206" spans="1:9">
      <c r="A206" s="9" t="s">
        <v>197</v>
      </c>
      <c r="B206" s="9">
        <v>876895</v>
      </c>
      <c r="C206" s="9">
        <v>64345122692</v>
      </c>
      <c r="D206" s="9">
        <v>53714727004</v>
      </c>
      <c r="E206" s="9">
        <v>10630395688</v>
      </c>
      <c r="F206" s="9">
        <v>876895</v>
      </c>
      <c r="G206" s="9">
        <v>64345122692</v>
      </c>
      <c r="H206" s="9">
        <v>43645970822</v>
      </c>
      <c r="I206" s="9">
        <v>20699151870</v>
      </c>
    </row>
    <row r="207" spans="1:9">
      <c r="A207" s="9" t="s">
        <v>296</v>
      </c>
      <c r="B207" s="9">
        <v>21351892</v>
      </c>
      <c r="C207" s="9">
        <v>37394775909</v>
      </c>
      <c r="D207" s="9">
        <v>38284623268</v>
      </c>
      <c r="E207" s="9">
        <v>-889847359</v>
      </c>
      <c r="F207" s="9">
        <v>21351892</v>
      </c>
      <c r="G207" s="9">
        <v>37394775909</v>
      </c>
      <c r="H207" s="9">
        <v>20723246603</v>
      </c>
      <c r="I207" s="9">
        <v>16671529306</v>
      </c>
    </row>
    <row r="208" spans="1:9">
      <c r="A208" s="9" t="s">
        <v>169</v>
      </c>
      <c r="B208" s="9">
        <v>3270922</v>
      </c>
      <c r="C208" s="9">
        <v>40245908384</v>
      </c>
      <c r="D208" s="9">
        <v>37453729540</v>
      </c>
      <c r="E208" s="9">
        <v>2792178844</v>
      </c>
      <c r="F208" s="9">
        <v>3270922</v>
      </c>
      <c r="G208" s="9">
        <v>40245908384</v>
      </c>
      <c r="H208" s="9">
        <v>19738667756</v>
      </c>
      <c r="I208" s="9">
        <v>20507240628</v>
      </c>
    </row>
    <row r="209" spans="1:9">
      <c r="A209" s="9" t="s">
        <v>130</v>
      </c>
      <c r="B209" s="9">
        <v>1008593</v>
      </c>
      <c r="C209" s="9">
        <v>48278426832</v>
      </c>
      <c r="D209" s="9">
        <v>36639611898</v>
      </c>
      <c r="E209" s="9">
        <v>11638814934</v>
      </c>
      <c r="F209" s="9">
        <v>1008593</v>
      </c>
      <c r="G209" s="9">
        <v>48278426832</v>
      </c>
      <c r="H209" s="9">
        <v>48614926694</v>
      </c>
      <c r="I209" s="9">
        <v>-336499862</v>
      </c>
    </row>
    <row r="210" spans="1:9">
      <c r="A210" s="9" t="s">
        <v>128</v>
      </c>
      <c r="B210" s="9">
        <v>2300000</v>
      </c>
      <c r="C210" s="9">
        <v>44731531600</v>
      </c>
      <c r="D210" s="9">
        <v>51831297746</v>
      </c>
      <c r="E210" s="9">
        <v>-7099766146</v>
      </c>
      <c r="F210" s="9">
        <v>2300000</v>
      </c>
      <c r="G210" s="9">
        <v>44731531600</v>
      </c>
      <c r="H210" s="9">
        <v>29606552936</v>
      </c>
      <c r="I210" s="9">
        <v>15124978664</v>
      </c>
    </row>
    <row r="211" spans="1:9">
      <c r="A211" s="9" t="s">
        <v>148</v>
      </c>
      <c r="B211" s="9">
        <v>2429460</v>
      </c>
      <c r="C211" s="9">
        <v>56048316375</v>
      </c>
      <c r="D211" s="9">
        <v>46539185897</v>
      </c>
      <c r="E211" s="9">
        <v>9509130478</v>
      </c>
      <c r="F211" s="9">
        <v>2429460</v>
      </c>
      <c r="G211" s="9">
        <v>56048316375</v>
      </c>
      <c r="H211" s="9">
        <v>54249605721</v>
      </c>
      <c r="I211" s="9">
        <v>1798710654</v>
      </c>
    </row>
    <row r="212" spans="1:9">
      <c r="A212" s="9" t="s">
        <v>270</v>
      </c>
      <c r="B212" s="9">
        <v>628673</v>
      </c>
      <c r="C212" s="9">
        <v>21452941372</v>
      </c>
      <c r="D212" s="9">
        <v>18757305801</v>
      </c>
      <c r="E212" s="9">
        <v>2695635571</v>
      </c>
      <c r="F212" s="9">
        <v>628673</v>
      </c>
      <c r="G212" s="9">
        <v>21452941372</v>
      </c>
      <c r="H212" s="9">
        <v>17778697663</v>
      </c>
      <c r="I212" s="9">
        <v>3674243709</v>
      </c>
    </row>
    <row r="213" spans="1:9">
      <c r="A213" s="9" t="s">
        <v>441</v>
      </c>
      <c r="B213" s="9">
        <v>1881856</v>
      </c>
      <c r="C213" s="9">
        <v>19588074065</v>
      </c>
      <c r="D213" s="9">
        <v>19550727880</v>
      </c>
      <c r="E213" s="9">
        <v>37346185</v>
      </c>
      <c r="F213" s="9">
        <v>1881856</v>
      </c>
      <c r="G213" s="9">
        <v>19588074065</v>
      </c>
      <c r="H213" s="9">
        <v>24334782847</v>
      </c>
      <c r="I213" s="9">
        <v>-4746708782</v>
      </c>
    </row>
    <row r="214" spans="1:9">
      <c r="A214" s="9" t="s">
        <v>442</v>
      </c>
      <c r="B214" s="9">
        <v>1136013</v>
      </c>
      <c r="C214" s="9">
        <v>42654444482</v>
      </c>
      <c r="D214" s="9">
        <v>30345075197</v>
      </c>
      <c r="E214" s="9">
        <v>12309369285</v>
      </c>
      <c r="F214" s="9">
        <v>1136013</v>
      </c>
      <c r="G214" s="9">
        <v>42654444482</v>
      </c>
      <c r="H214" s="9">
        <v>21782308227</v>
      </c>
      <c r="I214" s="9">
        <v>20872136255</v>
      </c>
    </row>
    <row r="215" spans="1:9">
      <c r="A215" s="9" t="s">
        <v>194</v>
      </c>
      <c r="B215" s="9">
        <v>7791749</v>
      </c>
      <c r="C215" s="9">
        <v>98422234072</v>
      </c>
      <c r="D215" s="9">
        <v>98422234072</v>
      </c>
      <c r="E215" s="9">
        <v>0</v>
      </c>
      <c r="F215" s="9">
        <v>7791749</v>
      </c>
      <c r="G215" s="9">
        <v>98422234072</v>
      </c>
      <c r="H215" s="9">
        <v>55213870303</v>
      </c>
      <c r="I215" s="9">
        <v>43208363769</v>
      </c>
    </row>
    <row r="216" spans="1:9">
      <c r="A216" s="9" t="s">
        <v>256</v>
      </c>
      <c r="B216" s="9">
        <v>13995002</v>
      </c>
      <c r="C216" s="9">
        <v>106789650680</v>
      </c>
      <c r="D216" s="9">
        <v>94430380315</v>
      </c>
      <c r="E216" s="9">
        <v>12359270365</v>
      </c>
      <c r="F216" s="9">
        <v>13995002</v>
      </c>
      <c r="G216" s="9">
        <v>106789650680</v>
      </c>
      <c r="H216" s="9">
        <v>37383321148</v>
      </c>
      <c r="I216" s="9">
        <v>69406329532</v>
      </c>
    </row>
    <row r="217" spans="1:9">
      <c r="A217" s="9" t="s">
        <v>228</v>
      </c>
      <c r="B217" s="9">
        <v>768712</v>
      </c>
      <c r="C217" s="9">
        <v>16796192234</v>
      </c>
      <c r="D217" s="9">
        <v>56296417272</v>
      </c>
      <c r="E217" s="9">
        <v>-39500225038</v>
      </c>
      <c r="F217" s="9">
        <v>768712</v>
      </c>
      <c r="G217" s="9">
        <v>16796192234</v>
      </c>
      <c r="H217" s="9">
        <v>7978567175</v>
      </c>
      <c r="I217" s="9">
        <v>8817625059</v>
      </c>
    </row>
    <row r="218" spans="1:9">
      <c r="A218" s="9" t="s">
        <v>273</v>
      </c>
      <c r="B218" s="9">
        <v>900000</v>
      </c>
      <c r="C218" s="9">
        <v>7296161310</v>
      </c>
      <c r="D218" s="9">
        <v>5795849070</v>
      </c>
      <c r="E218" s="9">
        <v>1500312240</v>
      </c>
      <c r="F218" s="9">
        <v>900000</v>
      </c>
      <c r="G218" s="9">
        <v>7296161310</v>
      </c>
      <c r="H218" s="9">
        <v>4728662685</v>
      </c>
      <c r="I218" s="9">
        <v>2567498625</v>
      </c>
    </row>
    <row r="219" spans="1:9">
      <c r="A219" s="9" t="s">
        <v>357</v>
      </c>
      <c r="B219" s="9">
        <v>1505716</v>
      </c>
      <c r="C219" s="9">
        <v>29627543248</v>
      </c>
      <c r="D219" s="9">
        <v>20707904660</v>
      </c>
      <c r="E219" s="9">
        <v>8919638588</v>
      </c>
      <c r="F219" s="9">
        <v>1505716</v>
      </c>
      <c r="G219" s="9">
        <v>29627543248</v>
      </c>
      <c r="H219" s="9">
        <v>14632744233</v>
      </c>
      <c r="I219" s="9">
        <v>14994799015</v>
      </c>
    </row>
    <row r="220" spans="1:9">
      <c r="A220" s="9" t="s">
        <v>227</v>
      </c>
      <c r="B220" s="9">
        <v>10833352</v>
      </c>
      <c r="C220" s="9">
        <v>74924783018</v>
      </c>
      <c r="D220" s="9">
        <v>55892037061</v>
      </c>
      <c r="E220" s="9">
        <v>19032745957</v>
      </c>
      <c r="F220" s="9">
        <v>10833352</v>
      </c>
      <c r="G220" s="9">
        <v>74924783018</v>
      </c>
      <c r="H220" s="9">
        <v>47560826671</v>
      </c>
      <c r="I220" s="9">
        <v>27363956347</v>
      </c>
    </row>
    <row r="221" spans="1:9">
      <c r="A221" s="9" t="s">
        <v>160</v>
      </c>
      <c r="B221" s="9">
        <v>1733590</v>
      </c>
      <c r="C221" s="9">
        <v>30722581778</v>
      </c>
      <c r="D221" s="9">
        <v>26713183219</v>
      </c>
      <c r="E221" s="9">
        <v>4009398559</v>
      </c>
      <c r="F221" s="9">
        <v>1733590</v>
      </c>
      <c r="G221" s="9">
        <v>30722581778</v>
      </c>
      <c r="H221" s="9">
        <v>13193852309</v>
      </c>
      <c r="I221" s="9">
        <v>17528729469</v>
      </c>
    </row>
    <row r="222" spans="1:9">
      <c r="A222" s="9" t="s">
        <v>192</v>
      </c>
      <c r="B222" s="9">
        <v>1889175</v>
      </c>
      <c r="C222" s="9">
        <v>36591639140</v>
      </c>
      <c r="D222" s="9">
        <v>33385117345</v>
      </c>
      <c r="E222" s="9">
        <v>3206521795</v>
      </c>
      <c r="F222" s="9">
        <v>1889175</v>
      </c>
      <c r="G222" s="9">
        <v>36591639140</v>
      </c>
      <c r="H222" s="9">
        <v>17283550864</v>
      </c>
      <c r="I222" s="9">
        <v>19308088276</v>
      </c>
    </row>
    <row r="223" spans="1:9">
      <c r="A223" s="9" t="s">
        <v>200</v>
      </c>
      <c r="B223" s="9">
        <v>8524905</v>
      </c>
      <c r="C223" s="9">
        <v>111320538494</v>
      </c>
      <c r="D223" s="9">
        <v>92615980643</v>
      </c>
      <c r="E223" s="9">
        <v>18704557851</v>
      </c>
      <c r="F223" s="9">
        <v>8524905</v>
      </c>
      <c r="G223" s="9">
        <v>111320538494</v>
      </c>
      <c r="H223" s="9">
        <v>43894033132</v>
      </c>
      <c r="I223" s="9">
        <v>67426505362</v>
      </c>
    </row>
    <row r="224" spans="1:9">
      <c r="A224" s="9" t="s">
        <v>236</v>
      </c>
      <c r="B224" s="9">
        <v>30273917</v>
      </c>
      <c r="C224" s="9">
        <v>74709230359</v>
      </c>
      <c r="D224" s="9">
        <v>62930671063</v>
      </c>
      <c r="E224" s="9">
        <v>11778559296</v>
      </c>
      <c r="F224" s="9">
        <v>30273917</v>
      </c>
      <c r="G224" s="9">
        <v>74709230359</v>
      </c>
      <c r="H224" s="9">
        <v>72067169876</v>
      </c>
      <c r="I224" s="9">
        <v>2642060483</v>
      </c>
    </row>
    <row r="225" spans="1:9">
      <c r="A225" s="9" t="s">
        <v>443</v>
      </c>
      <c r="B225" s="9">
        <v>15752234</v>
      </c>
      <c r="C225" s="9">
        <v>38216497270</v>
      </c>
      <c r="D225" s="9">
        <v>28916368078</v>
      </c>
      <c r="E225" s="9">
        <v>9300129192</v>
      </c>
      <c r="F225" s="9">
        <v>15752234</v>
      </c>
      <c r="G225" s="9">
        <v>38216497270</v>
      </c>
      <c r="H225" s="9">
        <v>23632644392</v>
      </c>
      <c r="I225" s="9">
        <v>14583852878</v>
      </c>
    </row>
    <row r="226" spans="1:9">
      <c r="A226" s="9" t="s">
        <v>171</v>
      </c>
      <c r="B226" s="9">
        <v>0</v>
      </c>
      <c r="C226" s="9">
        <v>0</v>
      </c>
      <c r="D226" s="9">
        <v>13886818650</v>
      </c>
      <c r="E226" s="9">
        <v>-13886818650</v>
      </c>
      <c r="F226" s="9">
        <v>0</v>
      </c>
      <c r="G226" s="9">
        <v>0</v>
      </c>
      <c r="H226" s="9">
        <v>0</v>
      </c>
      <c r="I226" s="9">
        <v>0</v>
      </c>
    </row>
    <row r="227" spans="1:9">
      <c r="A227" s="9" t="s">
        <v>335</v>
      </c>
      <c r="B227" s="9">
        <v>30913216</v>
      </c>
      <c r="C227" s="9">
        <v>56992769209</v>
      </c>
      <c r="D227" s="9">
        <v>41686315046</v>
      </c>
      <c r="E227" s="9">
        <v>15306454163</v>
      </c>
      <c r="F227" s="9">
        <v>30913216</v>
      </c>
      <c r="G227" s="9">
        <v>56992769209</v>
      </c>
      <c r="H227" s="9">
        <v>31823848668</v>
      </c>
      <c r="I227" s="9">
        <v>25168920541</v>
      </c>
    </row>
    <row r="228" spans="1:9">
      <c r="A228" s="9" t="s">
        <v>308</v>
      </c>
      <c r="B228" s="9">
        <v>5200000</v>
      </c>
      <c r="C228" s="9">
        <v>18265706160</v>
      </c>
      <c r="D228" s="9">
        <v>14824116892</v>
      </c>
      <c r="E228" s="9">
        <v>3441589268</v>
      </c>
      <c r="F228" s="9">
        <v>5200000</v>
      </c>
      <c r="G228" s="9">
        <v>18265706160</v>
      </c>
      <c r="H228" s="9">
        <v>15035668856</v>
      </c>
      <c r="I228" s="9">
        <v>3230037304</v>
      </c>
    </row>
    <row r="229" spans="1:9">
      <c r="A229" s="9" t="s">
        <v>163</v>
      </c>
      <c r="B229" s="9">
        <v>11417778</v>
      </c>
      <c r="C229" s="9">
        <v>31586697790</v>
      </c>
      <c r="D229" s="9">
        <v>24301817346</v>
      </c>
      <c r="E229" s="9">
        <v>7284880444</v>
      </c>
      <c r="F229" s="9">
        <v>11417778</v>
      </c>
      <c r="G229" s="9">
        <v>31586697790</v>
      </c>
      <c r="H229" s="9">
        <v>21543693739</v>
      </c>
      <c r="I229" s="9">
        <v>10043004051</v>
      </c>
    </row>
    <row r="230" spans="1:9">
      <c r="A230" s="9" t="s">
        <v>188</v>
      </c>
      <c r="B230" s="9">
        <v>22587472</v>
      </c>
      <c r="C230" s="9">
        <v>59326869117</v>
      </c>
      <c r="D230" s="9">
        <v>55988647297</v>
      </c>
      <c r="E230" s="9">
        <v>3338221820</v>
      </c>
      <c r="F230" s="9">
        <v>22587472</v>
      </c>
      <c r="G230" s="9">
        <v>59326869117</v>
      </c>
      <c r="H230" s="9">
        <v>33345744433</v>
      </c>
      <c r="I230" s="9">
        <v>25981124684</v>
      </c>
    </row>
    <row r="231" spans="1:9">
      <c r="A231" s="9" t="s">
        <v>444</v>
      </c>
      <c r="B231" s="9">
        <v>21654910</v>
      </c>
      <c r="C231" s="9">
        <v>28621373371</v>
      </c>
      <c r="D231" s="9">
        <v>14055549690</v>
      </c>
      <c r="E231" s="9">
        <v>14565823681</v>
      </c>
      <c r="F231" s="9">
        <v>21654910</v>
      </c>
      <c r="G231" s="9">
        <v>28621373371</v>
      </c>
      <c r="H231" s="9">
        <v>14055549690</v>
      </c>
      <c r="I231" s="9">
        <v>14565823681</v>
      </c>
    </row>
    <row r="232" spans="1:9" ht="18.75" thickBot="1">
      <c r="A232" s="52" t="s">
        <v>2</v>
      </c>
      <c r="B232" s="52">
        <f t="shared" ref="B232:I232" si="0">SUM(B7:B231)</f>
        <v>1819304268</v>
      </c>
      <c r="C232" s="52">
        <f t="shared" si="0"/>
        <v>10156499374743</v>
      </c>
      <c r="D232" s="52">
        <f t="shared" si="0"/>
        <v>8302024487646</v>
      </c>
      <c r="E232" s="52">
        <f t="shared" si="0"/>
        <v>1854474887097</v>
      </c>
      <c r="F232" s="52">
        <f t="shared" si="0"/>
        <v>1819304268</v>
      </c>
      <c r="G232" s="52">
        <f t="shared" si="0"/>
        <v>10156499374743</v>
      </c>
      <c r="H232" s="52">
        <f t="shared" si="0"/>
        <v>6242138671184</v>
      </c>
      <c r="I232" s="52">
        <f t="shared" si="0"/>
        <v>3914360703559</v>
      </c>
    </row>
    <row r="233" spans="1:9" ht="18.75" thickTop="1"/>
    <row r="234" spans="1:9">
      <c r="A234" s="130" t="s">
        <v>445</v>
      </c>
      <c r="B234" s="130"/>
      <c r="C234" s="130"/>
      <c r="D234" s="130"/>
      <c r="E234" s="130"/>
      <c r="F234" s="130"/>
      <c r="G234" s="130"/>
      <c r="H234" s="130"/>
      <c r="I234" s="130"/>
    </row>
  </sheetData>
  <mergeCells count="7">
    <mergeCell ref="A234:I234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14</vt:i4>
      </vt:variant>
    </vt:vector>
  </HeadingPairs>
  <TitlesOfParts>
    <vt:vector size="34" baseType="lpstr">
      <vt:lpstr>1</vt:lpstr>
      <vt:lpstr> سهام</vt:lpstr>
      <vt:lpstr>اوراق مشتقه</vt:lpstr>
      <vt:lpstr>واحدهای صندوق</vt:lpstr>
      <vt:lpstr>اوراق</vt:lpstr>
      <vt:lpstr>گواهی سپرده کالا</vt:lpstr>
      <vt:lpstr>تعدیل قیمت</vt:lpstr>
      <vt:lpstr>سپرده</vt:lpstr>
      <vt:lpstr>درآمدها</vt:lpstr>
      <vt:lpstr>درآمد سرمایه گذاری در سهام </vt:lpstr>
      <vt:lpstr>درآمد سرمایه گذاری در صندوق</vt:lpstr>
      <vt:lpstr>درآمد سرمایه گذاری در اوراق بها</vt:lpstr>
      <vt:lpstr>درآمد سپرده بانکی</vt:lpstr>
      <vt:lpstr>سایر درآمدها</vt:lpstr>
      <vt:lpstr>درآمد سود سهام</vt:lpstr>
      <vt:lpstr>درآمد سود صندوق</vt:lpstr>
      <vt:lpstr>سود اوراق بهادار</vt:lpstr>
      <vt:lpstr>سود  سپرده بانکی</vt:lpstr>
      <vt:lpstr>درآمد ناشی ازفروش</vt:lpstr>
      <vt:lpstr>درآمد ناشی از تغییر قیمت اوراق </vt:lpstr>
      <vt:lpstr>' سهام'!Print_Area</vt:lpstr>
      <vt:lpstr>اوراق!Print_Area</vt:lpstr>
      <vt:lpstr>'تعدیل قیمت'!Print_Area</vt:lpstr>
      <vt:lpstr>'درآمد سرمایه گذاری در اوراق بها'!Print_Area</vt:lpstr>
      <vt:lpstr>'درآمد ناشی از تغییر قیمت اوراق '!Print_Area</vt:lpstr>
      <vt:lpstr>'سایر درآمدها'!Print_Area</vt:lpstr>
      <vt:lpstr>سپرده!Print_Area</vt:lpstr>
      <vt:lpstr>'گواهی سپرده کالا'!Print_Area</vt:lpstr>
      <vt:lpstr>'واحدهای صندوق'!Print_Area</vt:lpstr>
      <vt:lpstr>' سهام'!Print_Titles</vt:lpstr>
      <vt:lpstr>'درآمد سرمایه گذاری در سهام '!Print_Titles</vt:lpstr>
      <vt:lpstr>'درآمد سود سهام'!Print_Titles</vt:lpstr>
      <vt:lpstr>'درآمد ناشی از تغییر قیمت اوراق '!Print_Titles</vt:lpstr>
      <vt:lpstr>'درآمد ناشی ازفروش'!Print_Titles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Shaghayegh Morsali</cp:lastModifiedBy>
  <cp:lastPrinted>2026-08-24T07:46:25Z</cp:lastPrinted>
  <dcterms:created xsi:type="dcterms:W3CDTF">2017-11-22T14:26:20Z</dcterms:created>
  <dcterms:modified xsi:type="dcterms:W3CDTF">2026-08-24T07:46:31Z</dcterms:modified>
</cp:coreProperties>
</file>