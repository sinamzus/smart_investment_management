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.rezaei\Desktop\پرتفوی1403.11.30\مشترک\"/>
    </mc:Choice>
  </mc:AlternateContent>
  <xr:revisionPtr revIDLastSave="0" documentId="13_ncr:1_{91902CEA-E8FC-4260-B2ED-F3E5298CE2D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0" sheetId="1" r:id="rId1"/>
    <sheet name="1" sheetId="2" r:id="rId2"/>
    <sheet name="2" sheetId="3" r:id="rId3"/>
    <sheet name="3" sheetId="4" r:id="rId4"/>
    <sheet name="4" sheetId="5" r:id="rId5"/>
    <sheet name="5" sheetId="6" r:id="rId6"/>
    <sheet name="7" sheetId="8" r:id="rId7"/>
    <sheet name="8" sheetId="9" r:id="rId8"/>
    <sheet name="9" sheetId="10" r:id="rId9"/>
    <sheet name="9 (2)" sheetId="17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</sheets>
  <definedNames>
    <definedName name="_xlnm.Print_Titles" localSheetId="1">'1'!$1:$10</definedName>
    <definedName name="_xlnm.Print_Titles" localSheetId="10">'10'!$1:$8</definedName>
    <definedName name="_xlnm.Print_Titles" localSheetId="11">'11'!$1:$8</definedName>
    <definedName name="_xlnm.Print_Titles" localSheetId="12">'12'!$1:$8</definedName>
    <definedName name="_xlnm.Print_Titles" localSheetId="7">'8'!$1:$8</definedName>
  </definedNames>
  <calcPr calcId="191029"/>
</workbook>
</file>

<file path=xl/calcChain.xml><?xml version="1.0" encoding="utf-8"?>
<calcChain xmlns="http://schemas.openxmlformats.org/spreadsheetml/2006/main">
  <c r="S10" i="17" l="1"/>
  <c r="Q10" i="17"/>
  <c r="O10" i="17"/>
  <c r="M10" i="17"/>
  <c r="K10" i="17"/>
  <c r="I10" i="17"/>
  <c r="E10" i="16" l="1"/>
  <c r="C10" i="16"/>
  <c r="G16" i="15"/>
  <c r="I15" i="15" s="1"/>
  <c r="C16" i="15"/>
  <c r="E14" i="15" s="1"/>
  <c r="Q10" i="14"/>
  <c r="O10" i="14"/>
  <c r="M10" i="14"/>
  <c r="K10" i="14"/>
  <c r="I10" i="14"/>
  <c r="G10" i="14"/>
  <c r="E10" i="14"/>
  <c r="C10" i="14"/>
  <c r="U121" i="13"/>
  <c r="S121" i="13"/>
  <c r="Q121" i="13"/>
  <c r="O121" i="13"/>
  <c r="M121" i="13"/>
  <c r="K121" i="13"/>
  <c r="I121" i="13"/>
  <c r="G121" i="13"/>
  <c r="E121" i="13"/>
  <c r="C121" i="13"/>
  <c r="Q91" i="12"/>
  <c r="O91" i="12"/>
  <c r="M91" i="12"/>
  <c r="K91" i="12"/>
  <c r="I91" i="12"/>
  <c r="G91" i="12"/>
  <c r="E91" i="12"/>
  <c r="C91" i="12"/>
  <c r="Q92" i="11"/>
  <c r="O92" i="11"/>
  <c r="M92" i="11"/>
  <c r="K92" i="11"/>
  <c r="I92" i="11"/>
  <c r="G92" i="11"/>
  <c r="E92" i="11"/>
  <c r="C92" i="11"/>
  <c r="M16" i="10"/>
  <c r="K16" i="10"/>
  <c r="I16" i="10"/>
  <c r="G16" i="10"/>
  <c r="E16" i="10"/>
  <c r="C16" i="10"/>
  <c r="S74" i="9"/>
  <c r="Q74" i="9"/>
  <c r="O74" i="9"/>
  <c r="M74" i="9"/>
  <c r="K74" i="9"/>
  <c r="I74" i="9"/>
  <c r="E13" i="8"/>
  <c r="K16" i="6"/>
  <c r="I16" i="6"/>
  <c r="G16" i="6"/>
  <c r="E16" i="6"/>
  <c r="C16" i="6"/>
  <c r="K10" i="5"/>
  <c r="AI10" i="4"/>
  <c r="AG10" i="4"/>
  <c r="AE10" i="4"/>
  <c r="AC10" i="4"/>
  <c r="AA10" i="4"/>
  <c r="Y10" i="4"/>
  <c r="X10" i="4"/>
  <c r="V10" i="4"/>
  <c r="U10" i="4"/>
  <c r="S10" i="4"/>
  <c r="Q10" i="4"/>
  <c r="O10" i="4"/>
  <c r="W93" i="2"/>
  <c r="U93" i="2"/>
  <c r="S93" i="2"/>
  <c r="Q93" i="2"/>
  <c r="O93" i="2"/>
  <c r="M93" i="2"/>
  <c r="L93" i="2"/>
  <c r="J93" i="2"/>
  <c r="I93" i="2"/>
  <c r="G93" i="2"/>
  <c r="E93" i="2"/>
  <c r="C93" i="2"/>
  <c r="I11" i="15" l="1"/>
  <c r="I9" i="15"/>
  <c r="I12" i="15"/>
  <c r="I10" i="15"/>
  <c r="I13" i="15"/>
  <c r="I14" i="15"/>
  <c r="G13" i="8"/>
  <c r="I13" i="8"/>
  <c r="E11" i="15"/>
  <c r="E15" i="15"/>
  <c r="E9" i="15"/>
  <c r="E13" i="15"/>
  <c r="E12" i="15"/>
  <c r="E10" i="15"/>
  <c r="I16" i="15" l="1"/>
  <c r="E16" i="15"/>
</calcChain>
</file>

<file path=xl/sharedStrings.xml><?xml version="1.0" encoding="utf-8"?>
<sst xmlns="http://schemas.openxmlformats.org/spreadsheetml/2006/main" count="809" uniqueCount="295">
  <si>
    <t>‫مشترک کاریزما</t>
  </si>
  <si>
    <t>‫صورت وضعیت پورتفوی</t>
  </si>
  <si>
    <t>‫برای ماه منتهی به 1403/11/30</t>
  </si>
  <si>
    <t>‫1- سرمایه گذاری ها</t>
  </si>
  <si>
    <t>‫1-1- سرمایه گذاری در سهام و حق تقدم سهام</t>
  </si>
  <si>
    <t>‫1403/10/30</t>
  </si>
  <si>
    <t>‫تغییرات طی دوره</t>
  </si>
  <si>
    <t>‫1403/11/30</t>
  </si>
  <si>
    <t>‫شرکت</t>
  </si>
  <si>
    <t>‫تعداد</t>
  </si>
  <si>
    <t>‫بهای تمام شده</t>
  </si>
  <si>
    <t>‫خالص ارزش فروش</t>
  </si>
  <si>
    <t>‫خرید طی دوره</t>
  </si>
  <si>
    <t>‫فروش طی دوره</t>
  </si>
  <si>
    <t>‫قیمت بازار هر سهم</t>
  </si>
  <si>
    <t>‫درصد به کل دارایی ها</t>
  </si>
  <si>
    <t>‫مبلغ فروش</t>
  </si>
  <si>
    <t>‫آنتي بيوتيك سازي ايران</t>
  </si>
  <si>
    <t>‫اخشان خراسان</t>
  </si>
  <si>
    <t>‫ارتباطات سیار</t>
  </si>
  <si>
    <t>‫افست</t>
  </si>
  <si>
    <t>‫الكتريك خودرو</t>
  </si>
  <si>
    <t>‫املاح ايران</t>
  </si>
  <si>
    <t>‫ايران ترانسفو</t>
  </si>
  <si>
    <t>‫ايران ياسا</t>
  </si>
  <si>
    <t>‫ايمن خودرو شرق</t>
  </si>
  <si>
    <t>‫ایرکا پارت صنعت</t>
  </si>
  <si>
    <t>‫بيمه اتكايي ايران معين</t>
  </si>
  <si>
    <t>‫بيمه زندگي كاريزما50%تاديه</t>
  </si>
  <si>
    <t>‫تامين ماسه</t>
  </si>
  <si>
    <t>‫تايدواتر</t>
  </si>
  <si>
    <t xml:space="preserve">‫تراكتور سازي </t>
  </si>
  <si>
    <t>‫توزيع دارو پخش</t>
  </si>
  <si>
    <t>‫توسعه معادن كروميت كاوندگان</t>
  </si>
  <si>
    <t>‫توسعه نيشكر و صنايع جانبي</t>
  </si>
  <si>
    <t>‫توليد انرژي برق شمس پاسارگاد</t>
  </si>
  <si>
    <t>‫توليدات پتروشيمي قائد بصير</t>
  </si>
  <si>
    <t>‫توليدي برنا باطري</t>
  </si>
  <si>
    <t>‫توليدي چدن سازان</t>
  </si>
  <si>
    <t>‫حمل و نقل ريلي پارسيان</t>
  </si>
  <si>
    <t>‫خاك چيني</t>
  </si>
  <si>
    <t>‫داروسازي فارابي</t>
  </si>
  <si>
    <t>‫دارويي و نهاده هاي زاگرس دارو</t>
  </si>
  <si>
    <t>‫دانش بنيان پويا نيرو</t>
  </si>
  <si>
    <t>‫دريايي سينا</t>
  </si>
  <si>
    <t>‫رادياتور</t>
  </si>
  <si>
    <t>‫ريخته گري تراكتورسازي</t>
  </si>
  <si>
    <t>‫زامياد</t>
  </si>
  <si>
    <t>‫سبحان_دارو</t>
  </si>
  <si>
    <t>‫سبحان_دارو (تقدم)</t>
  </si>
  <si>
    <t>‫سيمان آبيك</t>
  </si>
  <si>
    <t>‫سيمان اروميه</t>
  </si>
  <si>
    <t>‫سيمان تهران</t>
  </si>
  <si>
    <t>‫سيمان ساوه</t>
  </si>
  <si>
    <t>‫سيمان سپاهان</t>
  </si>
  <si>
    <t>‫سيمان شمال</t>
  </si>
  <si>
    <t>‫شيشه همدان</t>
  </si>
  <si>
    <t>‫شيشه و گاز</t>
  </si>
  <si>
    <t>‫شیشه قزوین</t>
  </si>
  <si>
    <t>‫صبا فولاد خليج فارس</t>
  </si>
  <si>
    <t>‫صنايع ارتباطي آوا</t>
  </si>
  <si>
    <t>‫صنعتي آما</t>
  </si>
  <si>
    <t>‫صنعتي بارز</t>
  </si>
  <si>
    <t>‫صنعتي سپاهان</t>
  </si>
  <si>
    <t>‫فرآورده هاي دامي ولبني دالاهو</t>
  </si>
  <si>
    <t>‫فن آوران</t>
  </si>
  <si>
    <t>‫قاسم ايران</t>
  </si>
  <si>
    <t>‫قند هكمتان</t>
  </si>
  <si>
    <t>‫قند چهار محال</t>
  </si>
  <si>
    <t>‫كاشي الوند</t>
  </si>
  <si>
    <t>‫كاشي وسراميك سينا</t>
  </si>
  <si>
    <t>‫كاشي پارس</t>
  </si>
  <si>
    <t>‫كاني كربن طبس</t>
  </si>
  <si>
    <t>‫كربن</t>
  </si>
  <si>
    <t>‫كشت و دام قيام اصفهان</t>
  </si>
  <si>
    <t>‫كشت و دامداري فكا</t>
  </si>
  <si>
    <t>‫كوير تاير</t>
  </si>
  <si>
    <t>‫لاستيك سهند</t>
  </si>
  <si>
    <t>‫مجتمع صنايع لاستيك يزد</t>
  </si>
  <si>
    <t>‫مديريت نيروگاهي ايرانيان مپنا</t>
  </si>
  <si>
    <t>‫ملي شيمي كشاورز</t>
  </si>
  <si>
    <t>‫مهرام</t>
  </si>
  <si>
    <t>‫موتورسازان</t>
  </si>
  <si>
    <t>‫موتوژن</t>
  </si>
  <si>
    <t>‫مگسال</t>
  </si>
  <si>
    <t>‫نساجي بابكان</t>
  </si>
  <si>
    <t>‫نساجي هديه البرز مشهد</t>
  </si>
  <si>
    <t>‫نفت اصفهان</t>
  </si>
  <si>
    <t>‫نفت بندر عباس</t>
  </si>
  <si>
    <t>‫نورد قطعات</t>
  </si>
  <si>
    <t>‫نيروترانس</t>
  </si>
  <si>
    <t>‫نگين طبس</t>
  </si>
  <si>
    <t>‫پارس فولاد سبزوار</t>
  </si>
  <si>
    <t>‫پاکدیس</t>
  </si>
  <si>
    <t>‫پتروشيمی پردیس</t>
  </si>
  <si>
    <t>‫پخش هجرت</t>
  </si>
  <si>
    <t>‫پرتو بار فرابر خليج فارس</t>
  </si>
  <si>
    <t>‫چادرملو</t>
  </si>
  <si>
    <t>‫گروه انتخاب الكترونيك آرمان</t>
  </si>
  <si>
    <t>‫جمع</t>
  </si>
  <si>
    <t>‫اطلاعات آماری مرتبط با اوراق اختیار فروش تبعی خریداری شده توسط صندوق سرمایه گذاری:</t>
  </si>
  <si>
    <t>‫نام سهام</t>
  </si>
  <si>
    <t>‫تعداد اوراق تبعی</t>
  </si>
  <si>
    <t>‫قیمت اعمال</t>
  </si>
  <si>
    <t>‫تاریخ اعمال</t>
  </si>
  <si>
    <t>‫نرخ سود موثر</t>
  </si>
  <si>
    <t>‫اختيارف ت بپويا-19084-4/09/29</t>
  </si>
  <si>
    <t>‫1404/09/29</t>
  </si>
  <si>
    <t>‫%29.6825</t>
  </si>
  <si>
    <t>‫0</t>
  </si>
  <si>
    <t>‫اختيارف ت محتشم-17550-4/11/08</t>
  </si>
  <si>
    <t>‫1404/11/08</t>
  </si>
  <si>
    <t>‫%29.7726</t>
  </si>
  <si>
    <t>‫اطلاعات آماری مرتبط با موقعیت‌های اخذ شده در اوراق اختیار معامله توسط صندوق سرمایه گذاری:</t>
  </si>
  <si>
    <t>‫نوع اختیار</t>
  </si>
  <si>
    <t>‫نوع موقعیت</t>
  </si>
  <si>
    <t>‫تعداد اوراق</t>
  </si>
  <si>
    <t>‫اطلاعات آماری مرتبط با قراردادهای آتی توسط صندوق سرمایه گذاری:</t>
  </si>
  <si>
    <t>‫2-1- سرمایه گذاری در اوراق بهادار با درآمد ثابت یا علی الحساب</t>
  </si>
  <si>
    <t>‫اطلاعات اوراق بهادار با درآمد ثابت</t>
  </si>
  <si>
    <t>‫نام اوراق</t>
  </si>
  <si>
    <t>‫دارای مجوز از سازمان</t>
  </si>
  <si>
    <t>‫پذیرفته شده در بورس یا فرابورس</t>
  </si>
  <si>
    <t>‫تاریخ انتشار اوراق</t>
  </si>
  <si>
    <t>‫تاریخ سررسید</t>
  </si>
  <si>
    <t>‫نرخ سود اسمی</t>
  </si>
  <si>
    <t>‫نرخ سود مؤثر</t>
  </si>
  <si>
    <t>‫قیمت بازار هر ورقه</t>
  </si>
  <si>
    <t>‫اوراق بهاداری که ارزش آن‌ها در تاریخ گزارش تعدیل شده</t>
  </si>
  <si>
    <t>‫(بر اساس دستورالعمل نحوه تعیین قیمت خرید و فروش اوراق بهادار در صندوق‌های سرمایه گذاری)</t>
  </si>
  <si>
    <t>‫نام اوراق بهادار</t>
  </si>
  <si>
    <t>‫قیمت پایانی</t>
  </si>
  <si>
    <t>‫قیمت تعدیل شده</t>
  </si>
  <si>
    <t>‫درصد تعدیل</t>
  </si>
  <si>
    <t>‫خالص ارزش فروش تعدیل شده</t>
  </si>
  <si>
    <t>‫دلیل تعدیل</t>
  </si>
  <si>
    <t>‫سپرده‌های بانکی</t>
  </si>
  <si>
    <t>‫نرخ سود علی الحساب</t>
  </si>
  <si>
    <t>‫مبلغ</t>
  </si>
  <si>
    <t>‫افزایش</t>
  </si>
  <si>
    <t>‫کاهش</t>
  </si>
  <si>
    <t>‫سپرده بانکی نزد بانک آينده</t>
  </si>
  <si>
    <t>‫سپرده بانکی نزد بانک خاورميانه</t>
  </si>
  <si>
    <t>‫سپرده بانکی نزد بانک دي</t>
  </si>
  <si>
    <t>‫سپرده بانکی نزد بانک سامان</t>
  </si>
  <si>
    <t>‫سپرده بانکی نزد بانک سپه</t>
  </si>
  <si>
    <t>‫سپرده بانکی نزد بانک ملت</t>
  </si>
  <si>
    <t>‫سپرده بانکی نزد بانک پاسارگاد</t>
  </si>
  <si>
    <t>‫صورت وضعیت درآمدها</t>
  </si>
  <si>
    <t>‫2- درآمد حاصل از سرمایه گذاری ها</t>
  </si>
  <si>
    <t>‫شرح</t>
  </si>
  <si>
    <t>‫یادداشت</t>
  </si>
  <si>
    <t>‫درصد از کل درآمدها</t>
  </si>
  <si>
    <t>‫درصد از کل دارایی ها</t>
  </si>
  <si>
    <t>‫درآمد حاصل از سرمایه گذاری در سهام و حق تقدم سهام</t>
  </si>
  <si>
    <t>‫درآمد حاصل از سرمایه گذاری در اوراق بهادار با درآمد ثابت</t>
  </si>
  <si>
    <t>‫درآمد حاصل از سرمایه گذاری در سپرده بانکی و گواهی سپرده</t>
  </si>
  <si>
    <t>‫سایر درآمدها</t>
  </si>
  <si>
    <t>‫درآمد سود سهام</t>
  </si>
  <si>
    <t>‫اطلاعات مجمع</t>
  </si>
  <si>
    <t>‫طی دوره</t>
  </si>
  <si>
    <t>‫تاریخ تشکیل مجمع</t>
  </si>
  <si>
    <t>‫تعداد سهام متعلقه در زمان مجمع</t>
  </si>
  <si>
    <t>‫سود متعلق به هر سهم</t>
  </si>
  <si>
    <t>‫جمع درآمد سود سهام</t>
  </si>
  <si>
    <t>‫هزینه تنزیل</t>
  </si>
  <si>
    <t>‫خالص درآمد سود سهام</t>
  </si>
  <si>
    <t>‫1403/02/24</t>
  </si>
  <si>
    <t>‫1403/10/27</t>
  </si>
  <si>
    <t>‫1403/05/23</t>
  </si>
  <si>
    <t>‫بهمن دیزل</t>
  </si>
  <si>
    <t>‫1403/03/30</t>
  </si>
  <si>
    <t>‫1403/04/23</t>
  </si>
  <si>
    <t>‫1403/04/11</t>
  </si>
  <si>
    <t>‫1403/04/16</t>
  </si>
  <si>
    <t>‫تراكتور سازي</t>
  </si>
  <si>
    <t>‫1403/04/17</t>
  </si>
  <si>
    <t>‫1403/03/19</t>
  </si>
  <si>
    <t>‫1403/04/27</t>
  </si>
  <si>
    <t>‫توليدي و صنعتي گوهرفام</t>
  </si>
  <si>
    <t>‫1403/03/01</t>
  </si>
  <si>
    <t>‫1403/04/28</t>
  </si>
  <si>
    <t>‫1403/09/28</t>
  </si>
  <si>
    <t>‫1403/03/22</t>
  </si>
  <si>
    <t>‫1403/03/07</t>
  </si>
  <si>
    <t>‫دارويي ره آورد تامين</t>
  </si>
  <si>
    <t>‫1403/02/18</t>
  </si>
  <si>
    <t>‫1403/10/08</t>
  </si>
  <si>
    <t>‫دوده صنعتي پارس</t>
  </si>
  <si>
    <t>‫1403/04/13</t>
  </si>
  <si>
    <t>‫1403/03/09</t>
  </si>
  <si>
    <t>‫1403/02/30</t>
  </si>
  <si>
    <t>‫1403/03/13</t>
  </si>
  <si>
    <t>‫1403/04/31</t>
  </si>
  <si>
    <t>‫سيمان هگمتان</t>
  </si>
  <si>
    <t>‫1403/02/26</t>
  </si>
  <si>
    <t>‫شركت خميرمايه رضوي</t>
  </si>
  <si>
    <t>‫1403/07/28</t>
  </si>
  <si>
    <t>‫شيميايي ايران</t>
  </si>
  <si>
    <t>‫1402/12/28</t>
  </si>
  <si>
    <t>‫ص. معدني كيمياي زنجان گستران</t>
  </si>
  <si>
    <t>‫1403/01/29</t>
  </si>
  <si>
    <t>‫1403/04/30</t>
  </si>
  <si>
    <t>‫صنعتي زر ماكارون</t>
  </si>
  <si>
    <t>‫صنعتي مينو</t>
  </si>
  <si>
    <t>‫1403/03/23</t>
  </si>
  <si>
    <t>‫فرآوري زغال سنگ پروده طبس</t>
  </si>
  <si>
    <t>‫1403/04/03</t>
  </si>
  <si>
    <t>‫فنر خاور</t>
  </si>
  <si>
    <t>‫1403/02/31</t>
  </si>
  <si>
    <t>‫فولاد ارفع</t>
  </si>
  <si>
    <t>‫1403/03/12</t>
  </si>
  <si>
    <t>‫فولاد اميركبير</t>
  </si>
  <si>
    <t>‫1403/03/06</t>
  </si>
  <si>
    <t>‫فولاد شاهرود</t>
  </si>
  <si>
    <t>‫فولاد كاوه</t>
  </si>
  <si>
    <t>‫1403/03/31</t>
  </si>
  <si>
    <t>‫1403/03/02</t>
  </si>
  <si>
    <t>‫1403/03/26</t>
  </si>
  <si>
    <t>‫1403/04/24</t>
  </si>
  <si>
    <t>‫1403/04/02</t>
  </si>
  <si>
    <t>‫1403/04/19</t>
  </si>
  <si>
    <t>‫1403/04/12</t>
  </si>
  <si>
    <t>‫محصولات كاغذي لطيف</t>
  </si>
  <si>
    <t>‫1403/09/25</t>
  </si>
  <si>
    <t>‫نشاسته و گلوكز آردينه</t>
  </si>
  <si>
    <t>‫1403/04/04</t>
  </si>
  <si>
    <t>‫1403/02/17</t>
  </si>
  <si>
    <t>‫تاریخ دریافت سود</t>
  </si>
  <si>
    <t>‫درآمد سود</t>
  </si>
  <si>
    <t>‫خالص درآمد</t>
  </si>
  <si>
    <t>‫صكوك مرابحه پتاير703-بدون ضامن</t>
  </si>
  <si>
    <t>‫1403/12/06</t>
  </si>
  <si>
    <t>‫1407/03/06</t>
  </si>
  <si>
    <t>‫26</t>
  </si>
  <si>
    <t>‫سود(زیان) حاصل از فروش اوراق بهادار</t>
  </si>
  <si>
    <t>‫ارزش دفتری</t>
  </si>
  <si>
    <t>‫سود و زیان ناشی از فروش</t>
  </si>
  <si>
    <t>‫ايران خودرو ديزل</t>
  </si>
  <si>
    <t>‫تجهيزات ‌هپكو</t>
  </si>
  <si>
    <t>‫جنرال مكانيك</t>
  </si>
  <si>
    <t>‫ريل سير كوثر</t>
  </si>
  <si>
    <t>‫فروسيليس</t>
  </si>
  <si>
    <t>‫فنرسازي زر</t>
  </si>
  <si>
    <t>‫فولاد سيرجان ايرانيان</t>
  </si>
  <si>
    <t>‫كالسيمين</t>
  </si>
  <si>
    <t>‫كشتيراني ايران</t>
  </si>
  <si>
    <t>‫مس شهيد باهنر</t>
  </si>
  <si>
    <t>‫پشم شيشه</t>
  </si>
  <si>
    <t>‫پويا زركان آق دره</t>
  </si>
  <si>
    <t>‫گلتاش</t>
  </si>
  <si>
    <t>‫ارزش دفتری برابر است با میانگین موزون خالص ارزش فروش هر سهم/ورقه در ابتدای دوره با خرید طی دوره ضربدر تعداد در پایان دوره</t>
  </si>
  <si>
    <t>‫درآمد ناشی از تغییر قیمت اوراق بهادار</t>
  </si>
  <si>
    <t>‫سود و زیان ناشی از تغییر قیمت</t>
  </si>
  <si>
    <t>‫1-2- درآمد حاصل از سرمایه گذاری در سهام و حق تقدم سهام:</t>
  </si>
  <si>
    <t>‫سهام</t>
  </si>
  <si>
    <t>‫درآمد تغییر ارزش</t>
  </si>
  <si>
    <t>‫درآمد فروش</t>
  </si>
  <si>
    <t>‫جمع مبلغ</t>
  </si>
  <si>
    <t>‫درصد از کل درآمد ها</t>
  </si>
  <si>
    <t>‫ارتباطات سيار</t>
  </si>
  <si>
    <t>‫ايركا پارت صنعت</t>
  </si>
  <si>
    <t>‫شيشه قزوين</t>
  </si>
  <si>
    <t>‫پاكديس</t>
  </si>
  <si>
    <t>‫پتروشيمي پرديس</t>
  </si>
  <si>
    <t>‫بهمن ديزل</t>
  </si>
  <si>
    <t>‫2-2- درآمد حاصل از سرمایه گذاری در اوراق بهادار با درآمد ثابت:</t>
  </si>
  <si>
    <t>‫درآمد سود اوراق</t>
  </si>
  <si>
    <t>‫3-2- درآمد حاصل از سرمایه گذاری در سپرده بانکی و گواهی سپرده:</t>
  </si>
  <si>
    <t>‫نام سپرده بانکی</t>
  </si>
  <si>
    <t>‫نام سپرده</t>
  </si>
  <si>
    <t>‫سود سپرده بانکی و گواهی سپرده</t>
  </si>
  <si>
    <t>‫درصد سود به میانگین سپرده</t>
  </si>
  <si>
    <t>‫4-2- سایر درآمدها:</t>
  </si>
  <si>
    <t>‫كاريزما</t>
  </si>
  <si>
    <t>صندوق سرمایه گذاری  مشترک کاریزما</t>
  </si>
  <si>
    <t>در راستای اجرای ابلاغیه 12020093 مورخ 1396/09/05 و ابلاغیه 12020268 مورخ 1402/12/01 سازمان بورس و اوراق بهادار</t>
  </si>
  <si>
    <t>گزارش افشای پرتفوی ماهانه
برای دوره منتهی به 30 بهمن 1403</t>
  </si>
  <si>
    <t>‫3-1- سرمایه گذاری در  سپرده بانکی و گواهی سپرده بانکی</t>
  </si>
  <si>
    <t>1-2</t>
  </si>
  <si>
    <t>درآمد حاصل از سرمایه گذاری در واحدهای صندوق های سرمایه گذاری</t>
  </si>
  <si>
    <t>2-2</t>
  </si>
  <si>
    <t>3-2</t>
  </si>
  <si>
    <t>4-2</t>
  </si>
  <si>
    <t>5-2</t>
  </si>
  <si>
    <t>‫سود سپرده بانکی</t>
  </si>
  <si>
    <t>‫ سپرده بانکی بانک آينده</t>
  </si>
  <si>
    <t>‫سپرده بانکی بانک دي</t>
  </si>
  <si>
    <t>‫سپرده بانکی بانک سامان</t>
  </si>
  <si>
    <t>‫سپرده بانکی بانک پاسارگاد</t>
  </si>
  <si>
    <t>‫سپرده بانکی بانک سپه</t>
  </si>
  <si>
    <t>‫سپرده بانکی بانک خاورميانه</t>
  </si>
  <si>
    <t>‫سپرده بانکی بانک ملت</t>
  </si>
  <si>
    <t xml:space="preserve">‫سود اوراق بهادار با درآمد ثابت </t>
  </si>
  <si>
    <t>‫سپرده بانکی بانک آينده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</si>
</sst>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indexed="8"/>
      <name val="Calibri"/>
      <family val="2"/>
      <scheme val="minor"/>
    </font>
    <font>
      <sz val="11"/>
      <name val="Calibri"/>
      <family val="2"/>
    </font>
    <font>
      <sz val="11"/>
      <name val="B Nazanin"/>
      <charset val="178"/>
    </font>
    <font>
      <b/>
      <sz val="48"/>
      <color rgb="FFFF0000"/>
      <name val="B Nazanin"/>
      <charset val="178"/>
    </font>
    <font>
      <b/>
      <sz val="24"/>
      <color rgb="FFFF0000"/>
      <name val="B Nazanin"/>
      <charset val="178"/>
    </font>
    <font>
      <b/>
      <sz val="24"/>
      <name val="B Nazanin"/>
      <charset val="178"/>
    </font>
    <font>
      <b/>
      <sz val="18"/>
      <name val="B Nazanin"/>
      <charset val="178"/>
    </font>
    <font>
      <b/>
      <sz val="15"/>
      <name val="B Nazanin"/>
      <charset val="178"/>
    </font>
    <font>
      <b/>
      <sz val="14"/>
      <name val="B Nazanin"/>
      <charset val="178"/>
    </font>
    <font>
      <sz val="22"/>
      <color rgb="FFFF0000"/>
      <name val="B Nazanin"/>
      <charset val="178"/>
    </font>
    <font>
      <b/>
      <sz val="26"/>
      <color rgb="FFFF0000"/>
      <name val="B Nazanin"/>
      <charset val="178"/>
    </font>
    <font>
      <b/>
      <u/>
      <sz val="16"/>
      <name val="B Nazanin"/>
      <charset val="178"/>
    </font>
    <font>
      <sz val="11"/>
      <color indexed="8"/>
      <name val="B Nazanin"/>
      <charset val="178"/>
    </font>
    <font>
      <b/>
      <sz val="12"/>
      <name val="B Nazanin"/>
      <charset val="178"/>
    </font>
    <font>
      <sz val="12"/>
      <name val="B Nazanin"/>
      <charset val="178"/>
    </font>
    <font>
      <b/>
      <sz val="12"/>
      <color indexed="8"/>
      <name val="B Nazanin"/>
      <charset val="178"/>
    </font>
  </fonts>
  <fills count="4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theme="8" tint="-0.49998474074526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auto="1"/>
      </top>
      <bottom/>
      <diagonal/>
    </border>
    <border>
      <left/>
      <right/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1" fillId="2" borderId="6"/>
  </cellStyleXfs>
  <cellXfs count="42">
    <xf numFmtId="0" fontId="0" fillId="0" borderId="0" xfId="0"/>
    <xf numFmtId="0" fontId="2" fillId="3" borderId="6" xfId="1" applyFont="1" applyFill="1"/>
    <xf numFmtId="0" fontId="7" fillId="3" borderId="6" xfId="1" applyFont="1" applyFill="1" applyAlignment="1">
      <alignment horizontal="center"/>
    </xf>
    <xf numFmtId="0" fontId="7" fillId="3" borderId="6" xfId="1" applyFont="1" applyFill="1"/>
    <xf numFmtId="0" fontId="12" fillId="0" borderId="0" xfId="0" applyFont="1"/>
    <xf numFmtId="37" fontId="13" fillId="0" borderId="0" xfId="0" applyNumberFormat="1" applyFont="1" applyAlignment="1">
      <alignment horizontal="right" vertical="center"/>
    </xf>
    <xf numFmtId="37" fontId="13" fillId="0" borderId="1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37" fontId="14" fillId="0" borderId="0" xfId="0" applyNumberFormat="1" applyFont="1" applyAlignment="1">
      <alignment horizontal="center" vertical="center" wrapText="1"/>
    </xf>
    <xf numFmtId="37" fontId="14" fillId="0" borderId="1" xfId="0" applyNumberFormat="1" applyFont="1" applyBorder="1" applyAlignment="1">
      <alignment horizontal="center" vertical="center"/>
    </xf>
    <xf numFmtId="37" fontId="14" fillId="0" borderId="0" xfId="0" applyNumberFormat="1" applyFont="1" applyAlignment="1">
      <alignment horizontal="right" vertical="center" wrapText="1"/>
    </xf>
    <xf numFmtId="37" fontId="14" fillId="0" borderId="0" xfId="0" applyNumberFormat="1" applyFont="1" applyAlignment="1">
      <alignment horizontal="center" vertical="center"/>
    </xf>
    <xf numFmtId="10" fontId="14" fillId="0" borderId="0" xfId="0" applyNumberFormat="1" applyFont="1" applyAlignment="1">
      <alignment horizontal="center" vertical="center"/>
    </xf>
    <xf numFmtId="37" fontId="14" fillId="0" borderId="3" xfId="0" applyNumberFormat="1" applyFont="1" applyBorder="1" applyAlignment="1">
      <alignment horizontal="center" vertical="center"/>
    </xf>
    <xf numFmtId="10" fontId="14" fillId="0" borderId="3" xfId="0" applyNumberFormat="1" applyFont="1" applyBorder="1" applyAlignment="1">
      <alignment horizontal="center" vertical="center"/>
    </xf>
    <xf numFmtId="37" fontId="14" fillId="0" borderId="4" xfId="0" applyNumberFormat="1" applyFont="1" applyBorder="1" applyAlignment="1">
      <alignment horizontal="center" vertical="center"/>
    </xf>
    <xf numFmtId="37" fontId="13" fillId="0" borderId="1" xfId="0" applyNumberFormat="1" applyFont="1" applyBorder="1" applyAlignment="1">
      <alignment horizontal="center" vertical="center" wrapText="1"/>
    </xf>
    <xf numFmtId="37" fontId="13" fillId="0" borderId="0" xfId="0" applyNumberFormat="1" applyFont="1" applyAlignment="1">
      <alignment horizontal="center" vertical="center"/>
    </xf>
    <xf numFmtId="3" fontId="12" fillId="0" borderId="0" xfId="0" applyNumberFormat="1" applyFont="1"/>
    <xf numFmtId="37" fontId="12" fillId="0" borderId="0" xfId="0" applyNumberFormat="1" applyFont="1" applyAlignment="1">
      <alignment horizontal="center" vertical="center" wrapText="1"/>
    </xf>
    <xf numFmtId="0" fontId="9" fillId="3" borderId="6" xfId="1" applyFont="1" applyFill="1" applyAlignment="1">
      <alignment horizontal="center" vertical="center" wrapText="1"/>
    </xf>
    <xf numFmtId="0" fontId="3" fillId="3" borderId="6" xfId="1" applyFont="1" applyFill="1" applyAlignment="1">
      <alignment horizontal="center" vertical="center" wrapText="1"/>
    </xf>
    <xf numFmtId="0" fontId="4" fillId="3" borderId="6" xfId="1" applyFont="1" applyFill="1" applyAlignment="1">
      <alignment horizontal="center" vertical="center" wrapText="1"/>
    </xf>
    <xf numFmtId="0" fontId="5" fillId="3" borderId="6" xfId="1" applyFont="1" applyFill="1" applyAlignment="1">
      <alignment horizontal="center" vertical="center" wrapText="1"/>
    </xf>
    <xf numFmtId="0" fontId="6" fillId="3" borderId="6" xfId="1" applyFont="1" applyFill="1" applyAlignment="1">
      <alignment horizontal="center"/>
    </xf>
    <xf numFmtId="0" fontId="10" fillId="3" borderId="6" xfId="1" applyFont="1" applyFill="1" applyAlignment="1">
      <alignment horizontal="center" vertical="center" wrapText="1"/>
    </xf>
    <xf numFmtId="0" fontId="8" fillId="3" borderId="6" xfId="1" applyFont="1" applyFill="1" applyAlignment="1">
      <alignment horizontal="center"/>
    </xf>
    <xf numFmtId="37" fontId="13" fillId="0" borderId="1" xfId="0" applyNumberFormat="1" applyFont="1" applyBorder="1" applyAlignment="1">
      <alignment horizontal="center" vertical="center"/>
    </xf>
    <xf numFmtId="0" fontId="12" fillId="2" borderId="2" xfId="0" applyFont="1" applyFill="1" applyBorder="1"/>
    <xf numFmtId="0" fontId="14" fillId="0" borderId="0" xfId="0" applyFont="1" applyAlignment="1">
      <alignment horizontal="center" vertical="center"/>
    </xf>
    <xf numFmtId="37" fontId="14" fillId="0" borderId="1" xfId="0" applyNumberFormat="1" applyFont="1" applyBorder="1" applyAlignment="1">
      <alignment horizontal="center" vertical="center"/>
    </xf>
    <xf numFmtId="0" fontId="12" fillId="0" borderId="0" xfId="0" applyFont="1"/>
    <xf numFmtId="37" fontId="14" fillId="0" borderId="0" xfId="0" applyNumberFormat="1" applyFont="1" applyAlignment="1">
      <alignment horizontal="center" vertical="center" wrapText="1"/>
    </xf>
    <xf numFmtId="37" fontId="11" fillId="0" borderId="0" xfId="0" applyNumberFormat="1" applyFont="1" applyAlignment="1">
      <alignment horizontal="center" vertical="center"/>
    </xf>
    <xf numFmtId="37" fontId="13" fillId="0" borderId="0" xfId="0" applyNumberFormat="1" applyFont="1" applyAlignment="1">
      <alignment horizontal="right" vertical="center"/>
    </xf>
    <xf numFmtId="37" fontId="14" fillId="0" borderId="0" xfId="0" applyNumberFormat="1" applyFont="1" applyAlignment="1">
      <alignment horizontal="center" vertical="center"/>
    </xf>
    <xf numFmtId="37" fontId="14" fillId="0" borderId="4" xfId="0" applyNumberFormat="1" applyFont="1" applyBorder="1" applyAlignment="1">
      <alignment horizontal="center" vertical="center"/>
    </xf>
    <xf numFmtId="37" fontId="15" fillId="0" borderId="0" xfId="0" applyNumberFormat="1" applyFont="1" applyAlignment="1">
      <alignment horizontal="right" vertical="center"/>
    </xf>
    <xf numFmtId="0" fontId="15" fillId="0" borderId="0" xfId="0" applyFont="1"/>
    <xf numFmtId="37" fontId="14" fillId="0" borderId="5" xfId="0" applyNumberFormat="1" applyFont="1" applyBorder="1" applyAlignment="1">
      <alignment horizontal="center" vertical="center"/>
    </xf>
    <xf numFmtId="0" fontId="12" fillId="2" borderId="7" xfId="0" applyFont="1" applyFill="1" applyBorder="1"/>
    <xf numFmtId="0" fontId="12" fillId="2" borderId="8" xfId="0" applyFont="1" applyFill="1" applyBorder="1"/>
  </cellXfs>
  <cellStyles count="2">
    <cellStyle name="Normal" xfId="0" builtinId="0"/>
    <cellStyle name="Normal 2" xfId="1" xr:uid="{82D45EDC-FA76-4D77-B0AC-0004531493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32"/>
  <sheetViews>
    <sheetView rightToLeft="1" tabSelected="1" view="pageBreakPreview" zoomScale="60" zoomScaleNormal="100" workbookViewId="0">
      <selection sqref="A1:W1"/>
    </sheetView>
  </sheetViews>
  <sheetFormatPr defaultRowHeight="15" x14ac:dyDescent="0.25"/>
  <sheetData>
    <row r="1" spans="1:11" ht="18" x14ac:dyDescent="0.4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8" x14ac:dyDescent="0.4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18" x14ac:dyDescent="0.4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25">
      <c r="A4" s="21" t="s">
        <v>275</v>
      </c>
      <c r="B4" s="21"/>
      <c r="C4" s="21"/>
      <c r="D4" s="21"/>
      <c r="E4" s="21"/>
      <c r="F4" s="21"/>
      <c r="G4" s="21"/>
      <c r="H4" s="21"/>
      <c r="I4" s="21"/>
      <c r="J4" s="21"/>
      <c r="K4" s="21"/>
    </row>
    <row r="5" spans="1:11" x14ac:dyDescent="0.25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</row>
    <row r="6" spans="1:11" x14ac:dyDescent="0.25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</row>
    <row r="7" spans="1:11" x14ac:dyDescent="0.25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</row>
    <row r="8" spans="1:11" x14ac:dyDescent="0.25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</row>
    <row r="9" spans="1:11" ht="57.75" customHeight="1" x14ac:dyDescent="0.25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</row>
    <row r="10" spans="1:11" x14ac:dyDescent="0.25">
      <c r="A10" s="22"/>
      <c r="B10" s="23"/>
      <c r="C10" s="23"/>
      <c r="D10" s="23"/>
      <c r="E10" s="23"/>
      <c r="F10" s="23"/>
      <c r="G10" s="23"/>
      <c r="H10" s="23"/>
      <c r="I10" s="23"/>
      <c r="J10" s="23"/>
      <c r="K10" s="22"/>
    </row>
    <row r="11" spans="1:11" x14ac:dyDescent="0.25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</row>
    <row r="12" spans="1:11" x14ac:dyDescent="0.25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30" x14ac:dyDescent="0.75">
      <c r="A13" s="1"/>
      <c r="B13" s="24"/>
      <c r="C13" s="24"/>
      <c r="D13" s="24"/>
      <c r="E13" s="24"/>
      <c r="F13" s="24"/>
      <c r="G13" s="24"/>
      <c r="H13" s="24"/>
      <c r="I13" s="24"/>
      <c r="J13" s="24"/>
      <c r="K13" s="24"/>
    </row>
    <row r="14" spans="1:11" ht="25.5" x14ac:dyDescent="0.65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ht="15" customHeight="1" x14ac:dyDescent="0.25">
      <c r="A15" s="25" t="s">
        <v>277</v>
      </c>
      <c r="B15" s="25"/>
      <c r="C15" s="25"/>
      <c r="D15" s="25"/>
      <c r="E15" s="25"/>
      <c r="F15" s="25"/>
      <c r="G15" s="25"/>
      <c r="H15" s="25"/>
      <c r="I15" s="25"/>
      <c r="J15" s="25"/>
      <c r="K15" s="25"/>
    </row>
    <row r="16" spans="1:11" ht="15" customHeight="1" x14ac:dyDescent="0.25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</row>
    <row r="17" spans="1:11" ht="15" customHeight="1" x14ac:dyDescent="0.25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</row>
    <row r="18" spans="1:11" ht="15" customHeight="1" x14ac:dyDescent="0.25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</row>
    <row r="19" spans="1:11" ht="15" customHeight="1" x14ac:dyDescent="0.25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</row>
    <row r="20" spans="1:11" ht="37.5" customHeight="1" x14ac:dyDescent="0.25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</row>
    <row r="21" spans="1:11" ht="18" x14ac:dyDescent="0.4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39.950000000000003" customHeight="1" x14ac:dyDescent="0.65">
      <c r="A22" s="1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 ht="39.950000000000003" customHeight="1" x14ac:dyDescent="0.6">
      <c r="A23" s="1"/>
      <c r="B23" s="26"/>
      <c r="C23" s="26"/>
      <c r="D23" s="26"/>
      <c r="E23" s="26"/>
      <c r="F23" s="26"/>
      <c r="G23" s="26"/>
      <c r="H23" s="26"/>
      <c r="I23" s="26"/>
      <c r="J23" s="26"/>
      <c r="K23" s="26"/>
    </row>
    <row r="24" spans="1:11" ht="39.950000000000003" customHeight="1" x14ac:dyDescent="0.65">
      <c r="A24" s="1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 x14ac:dyDescent="0.25">
      <c r="A25" s="20" t="s">
        <v>276</v>
      </c>
      <c r="B25" s="20"/>
      <c r="C25" s="20"/>
      <c r="D25" s="20"/>
      <c r="E25" s="20"/>
      <c r="F25" s="20"/>
      <c r="G25" s="20"/>
      <c r="H25" s="20"/>
      <c r="I25" s="20"/>
      <c r="J25" s="20"/>
      <c r="K25" s="20"/>
    </row>
    <row r="26" spans="1:11" x14ac:dyDescent="0.25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</row>
    <row r="27" spans="1:11" x14ac:dyDescent="0.25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</row>
    <row r="28" spans="1:11" x14ac:dyDescent="0.25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</row>
    <row r="29" spans="1:11" x14ac:dyDescent="0.25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</row>
    <row r="30" spans="1:11" x14ac:dyDescent="0.25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</row>
    <row r="31" spans="1:11" x14ac:dyDescent="0.25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</row>
    <row r="32" spans="1:11" ht="18" x14ac:dyDescent="0.4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</sheetData>
  <mergeCells count="7">
    <mergeCell ref="A25:K31"/>
    <mergeCell ref="A4:K9"/>
    <mergeCell ref="A10:J12"/>
    <mergeCell ref="K10:K12"/>
    <mergeCell ref="B13:K13"/>
    <mergeCell ref="A15:K20"/>
    <mergeCell ref="B23:K23"/>
  </mergeCells>
  <pageMargins left="0.7" right="0.7" top="0.75" bottom="0.75" header="0.3" footer="0.3"/>
  <pageSetup paperSize="9" scale="86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94"/>
  <sheetViews>
    <sheetView rightToLeft="1" view="pageBreakPreview" zoomScale="91" zoomScaleNormal="100" zoomScaleSheetLayoutView="91" workbookViewId="0">
      <selection sqref="A1:W1"/>
    </sheetView>
  </sheetViews>
  <sheetFormatPr defaultRowHeight="18" x14ac:dyDescent="0.45"/>
  <cols>
    <col min="1" max="1" width="17.5703125" style="4" bestFit="1" customWidth="1"/>
    <col min="2" max="2" width="1.42578125" style="4" customWidth="1"/>
    <col min="3" max="3" width="13.42578125" style="4" bestFit="1" customWidth="1"/>
    <col min="4" max="4" width="1.42578125" style="4" customWidth="1"/>
    <col min="5" max="5" width="19.140625" style="4" bestFit="1" customWidth="1"/>
    <col min="6" max="6" width="1.42578125" style="4" customWidth="1"/>
    <col min="7" max="7" width="19.7109375" style="4" bestFit="1" customWidth="1"/>
    <col min="8" max="8" width="1.42578125" style="4" customWidth="1"/>
    <col min="9" max="9" width="12.28515625" style="4" bestFit="1" customWidth="1"/>
    <col min="10" max="10" width="17.5703125" style="4" bestFit="1" customWidth="1"/>
    <col min="11" max="11" width="1.42578125" style="4" customWidth="1"/>
    <col min="12" max="12" width="12.7109375" style="4" bestFit="1" customWidth="1"/>
    <col min="13" max="13" width="17.5703125" style="4" bestFit="1" customWidth="1"/>
    <col min="14" max="14" width="1.42578125" style="4" customWidth="1"/>
    <col min="15" max="15" width="14" style="4" bestFit="1" customWidth="1"/>
    <col min="16" max="16" width="1.42578125" style="4" customWidth="1"/>
    <col min="17" max="17" width="14.85546875" style="4" bestFit="1" customWidth="1"/>
    <col min="18" max="18" width="1.42578125" style="4" customWidth="1"/>
    <col min="19" max="19" width="19.7109375" style="4" bestFit="1" customWidth="1"/>
    <col min="20" max="20" width="1.42578125" style="4" customWidth="1"/>
    <col min="21" max="21" width="19.42578125" style="4" bestFit="1" customWidth="1"/>
    <col min="22" max="22" width="1.42578125" style="4" customWidth="1"/>
    <col min="23" max="23" width="17.28515625" style="4" bestFit="1" customWidth="1"/>
    <col min="24" max="16384" width="9.140625" style="4"/>
  </cols>
  <sheetData>
    <row r="1" spans="1:26" ht="20.100000000000001" customHeight="1" x14ac:dyDescent="0.45">
      <c r="A1" s="33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</row>
    <row r="2" spans="1:26" ht="20.100000000000001" customHeight="1" x14ac:dyDescent="0.45">
      <c r="A2" s="33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</row>
    <row r="3" spans="1:26" ht="20.100000000000001" customHeight="1" x14ac:dyDescent="0.45">
      <c r="A3" s="33" t="s">
        <v>2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</row>
    <row r="5" spans="1:26" ht="21" x14ac:dyDescent="0.45">
      <c r="A5" s="34" t="s">
        <v>3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</row>
    <row r="6" spans="1:26" ht="21" x14ac:dyDescent="0.45">
      <c r="A6" s="34" t="s">
        <v>4</v>
      </c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</row>
    <row r="8" spans="1:26" ht="21" x14ac:dyDescent="0.45">
      <c r="C8" s="27" t="s">
        <v>5</v>
      </c>
      <c r="D8" s="28"/>
      <c r="E8" s="28"/>
      <c r="F8" s="28"/>
      <c r="G8" s="28"/>
      <c r="I8" s="27" t="s">
        <v>6</v>
      </c>
      <c r="J8" s="28"/>
      <c r="K8" s="28"/>
      <c r="L8" s="28"/>
      <c r="M8" s="28"/>
      <c r="O8" s="27" t="s">
        <v>7</v>
      </c>
      <c r="P8" s="28"/>
      <c r="Q8" s="28"/>
      <c r="R8" s="28"/>
      <c r="S8" s="28"/>
      <c r="T8" s="28"/>
      <c r="U8" s="28"/>
      <c r="V8" s="28"/>
      <c r="W8" s="28"/>
    </row>
    <row r="9" spans="1:26" ht="18.75" x14ac:dyDescent="0.45">
      <c r="A9" s="29" t="s">
        <v>8</v>
      </c>
      <c r="C9" s="29" t="s">
        <v>9</v>
      </c>
      <c r="E9" s="29" t="s">
        <v>10</v>
      </c>
      <c r="G9" s="29" t="s">
        <v>11</v>
      </c>
      <c r="I9" s="29" t="s">
        <v>12</v>
      </c>
      <c r="J9" s="31"/>
      <c r="L9" s="29" t="s">
        <v>13</v>
      </c>
      <c r="M9" s="31"/>
      <c r="O9" s="29" t="s">
        <v>9</v>
      </c>
      <c r="Q9" s="32" t="s">
        <v>14</v>
      </c>
      <c r="S9" s="29" t="s">
        <v>10</v>
      </c>
      <c r="U9" s="29" t="s">
        <v>11</v>
      </c>
      <c r="W9" s="32" t="s">
        <v>15</v>
      </c>
      <c r="Z9" s="18"/>
    </row>
    <row r="10" spans="1:26" ht="18.75" x14ac:dyDescent="0.45">
      <c r="A10" s="30"/>
      <c r="C10" s="30"/>
      <c r="E10" s="30"/>
      <c r="G10" s="30"/>
      <c r="I10" s="9" t="s">
        <v>9</v>
      </c>
      <c r="J10" s="9" t="s">
        <v>10</v>
      </c>
      <c r="L10" s="9" t="s">
        <v>9</v>
      </c>
      <c r="M10" s="9" t="s">
        <v>16</v>
      </c>
      <c r="O10" s="30"/>
      <c r="Q10" s="30"/>
      <c r="S10" s="30"/>
      <c r="U10" s="30"/>
      <c r="W10" s="30"/>
    </row>
    <row r="11" spans="1:26" ht="37.5" x14ac:dyDescent="0.45">
      <c r="A11" s="10" t="s">
        <v>17</v>
      </c>
      <c r="C11" s="11">
        <v>50000</v>
      </c>
      <c r="E11" s="11">
        <v>1000908000</v>
      </c>
      <c r="G11" s="11">
        <v>1732132125</v>
      </c>
      <c r="N11" s="7"/>
      <c r="O11" s="11">
        <v>50000</v>
      </c>
      <c r="Q11" s="11">
        <v>29350</v>
      </c>
      <c r="S11" s="11">
        <v>1000908000</v>
      </c>
      <c r="U11" s="11">
        <v>1458768375</v>
      </c>
      <c r="W11" s="12">
        <v>4.7200256685421061E-4</v>
      </c>
    </row>
    <row r="12" spans="1:26" ht="18.75" x14ac:dyDescent="0.45">
      <c r="A12" s="10" t="s">
        <v>18</v>
      </c>
      <c r="H12" s="7"/>
      <c r="I12" s="11">
        <v>490000</v>
      </c>
      <c r="J12" s="11">
        <v>3658318740</v>
      </c>
      <c r="L12" s="11">
        <v>0</v>
      </c>
      <c r="M12" s="11">
        <v>0</v>
      </c>
      <c r="O12" s="11">
        <v>490000</v>
      </c>
      <c r="Q12" s="11">
        <v>9250</v>
      </c>
      <c r="S12" s="11">
        <v>3658318740</v>
      </c>
      <c r="U12" s="11">
        <v>4505531625</v>
      </c>
      <c r="W12" s="12">
        <v>1.4578205344236521E-3</v>
      </c>
    </row>
    <row r="13" spans="1:26" ht="18.75" x14ac:dyDescent="0.45">
      <c r="A13" s="10" t="s">
        <v>19</v>
      </c>
      <c r="C13" s="11">
        <v>9200000</v>
      </c>
      <c r="E13" s="11">
        <v>34347755845</v>
      </c>
      <c r="G13" s="11">
        <v>46092110400</v>
      </c>
      <c r="I13" s="11">
        <v>0</v>
      </c>
      <c r="J13" s="11">
        <v>0</v>
      </c>
      <c r="L13" s="11">
        <v>2000000</v>
      </c>
      <c r="M13" s="11">
        <v>9085617070</v>
      </c>
      <c r="O13" s="11">
        <v>7200000</v>
      </c>
      <c r="Q13" s="11">
        <v>4545</v>
      </c>
      <c r="S13" s="11">
        <v>26880852400</v>
      </c>
      <c r="U13" s="11">
        <v>32529292200</v>
      </c>
      <c r="W13" s="12">
        <v>1.0525255194369464E-2</v>
      </c>
    </row>
    <row r="14" spans="1:26" ht="18.75" x14ac:dyDescent="0.45">
      <c r="A14" s="10" t="s">
        <v>20</v>
      </c>
      <c r="C14" s="11">
        <v>1895580</v>
      </c>
      <c r="E14" s="11">
        <v>18383781995</v>
      </c>
      <c r="G14" s="11">
        <v>18861856003</v>
      </c>
      <c r="N14" s="7"/>
      <c r="O14" s="11">
        <v>1895580</v>
      </c>
      <c r="Q14" s="11">
        <v>8600</v>
      </c>
      <c r="S14" s="11">
        <v>18383781995</v>
      </c>
      <c r="U14" s="11">
        <v>16204991171</v>
      </c>
      <c r="W14" s="12">
        <v>5.243325506396326E-3</v>
      </c>
    </row>
    <row r="15" spans="1:26" ht="18.75" x14ac:dyDescent="0.45">
      <c r="A15" s="10" t="s">
        <v>21</v>
      </c>
      <c r="H15" s="7"/>
      <c r="I15" s="11">
        <v>9122038</v>
      </c>
      <c r="J15" s="11">
        <v>59852415985</v>
      </c>
      <c r="L15" s="11">
        <v>0</v>
      </c>
      <c r="M15" s="11">
        <v>0</v>
      </c>
      <c r="O15" s="11">
        <v>9122038</v>
      </c>
      <c r="Q15" s="11">
        <v>5980</v>
      </c>
      <c r="S15" s="11">
        <v>59852415985</v>
      </c>
      <c r="U15" s="11">
        <v>54225216006</v>
      </c>
      <c r="W15" s="12">
        <v>1.7545239930949301E-2</v>
      </c>
    </row>
    <row r="16" spans="1:26" ht="18.75" x14ac:dyDescent="0.45">
      <c r="A16" s="10" t="s">
        <v>22</v>
      </c>
      <c r="C16" s="11">
        <v>2391471</v>
      </c>
      <c r="E16" s="11">
        <v>33153448591</v>
      </c>
      <c r="G16" s="11">
        <v>45500407048</v>
      </c>
      <c r="N16" s="7"/>
      <c r="O16" s="11">
        <v>2391471</v>
      </c>
      <c r="Q16" s="11">
        <v>16800</v>
      </c>
      <c r="S16" s="11">
        <v>33153448591</v>
      </c>
      <c r="U16" s="11">
        <v>39937661359</v>
      </c>
      <c r="W16" s="12">
        <v>1.2922324749192771E-2</v>
      </c>
    </row>
    <row r="17" spans="1:23" ht="18.75" x14ac:dyDescent="0.45">
      <c r="A17" s="10" t="s">
        <v>23</v>
      </c>
      <c r="C17" s="11">
        <v>22000000</v>
      </c>
      <c r="E17" s="11">
        <v>40077157120</v>
      </c>
      <c r="G17" s="11">
        <v>62611233300</v>
      </c>
      <c r="I17" s="11">
        <v>0</v>
      </c>
      <c r="J17" s="11">
        <v>0</v>
      </c>
      <c r="L17" s="11">
        <v>7200000</v>
      </c>
      <c r="M17" s="11">
        <v>18145742773</v>
      </c>
      <c r="O17" s="11">
        <v>14800000</v>
      </c>
      <c r="Q17" s="11">
        <v>2542</v>
      </c>
      <c r="S17" s="11">
        <v>26960996608</v>
      </c>
      <c r="U17" s="11">
        <v>37397751480</v>
      </c>
      <c r="W17" s="12">
        <v>1.2100505464505874E-2</v>
      </c>
    </row>
    <row r="18" spans="1:23" ht="18.75" x14ac:dyDescent="0.45">
      <c r="A18" s="10" t="s">
        <v>24</v>
      </c>
      <c r="C18" s="11">
        <v>500000</v>
      </c>
      <c r="E18" s="11">
        <v>7186663004</v>
      </c>
      <c r="G18" s="11">
        <v>9224784000</v>
      </c>
      <c r="N18" s="7"/>
      <c r="O18" s="11">
        <v>500000</v>
      </c>
      <c r="Q18" s="11">
        <v>18490</v>
      </c>
      <c r="S18" s="11">
        <v>7186663004</v>
      </c>
      <c r="U18" s="11">
        <v>9189992250</v>
      </c>
      <c r="W18" s="12">
        <v>2.9735357618856403E-3</v>
      </c>
    </row>
    <row r="19" spans="1:23" ht="18.75" x14ac:dyDescent="0.45">
      <c r="A19" s="10" t="s">
        <v>25</v>
      </c>
      <c r="H19" s="7"/>
      <c r="I19" s="11">
        <v>3500000</v>
      </c>
      <c r="J19" s="11">
        <v>8582786100</v>
      </c>
      <c r="L19" s="11">
        <v>0</v>
      </c>
      <c r="M19" s="11">
        <v>0</v>
      </c>
      <c r="O19" s="11">
        <v>3500000</v>
      </c>
      <c r="Q19" s="11">
        <v>2743</v>
      </c>
      <c r="S19" s="11">
        <v>8582786100</v>
      </c>
      <c r="U19" s="11">
        <v>9543377025</v>
      </c>
      <c r="W19" s="12">
        <v>3.0878777806363535E-3</v>
      </c>
    </row>
    <row r="20" spans="1:23" ht="18.75" x14ac:dyDescent="0.45">
      <c r="A20" s="10" t="s">
        <v>26</v>
      </c>
      <c r="C20" s="11">
        <v>23109504</v>
      </c>
      <c r="E20" s="11">
        <v>47166686292</v>
      </c>
      <c r="G20" s="11">
        <v>42337400518</v>
      </c>
      <c r="N20" s="7"/>
      <c r="O20" s="11">
        <v>23109504</v>
      </c>
      <c r="Q20" s="11">
        <v>1541</v>
      </c>
      <c r="S20" s="11">
        <v>47166686292</v>
      </c>
      <c r="U20" s="11">
        <v>35399855777</v>
      </c>
      <c r="W20" s="12">
        <v>1.1454061576439684E-2</v>
      </c>
    </row>
    <row r="21" spans="1:23" ht="18.75" x14ac:dyDescent="0.45">
      <c r="A21" s="10" t="s">
        <v>27</v>
      </c>
      <c r="C21" s="11">
        <v>1562500</v>
      </c>
      <c r="E21" s="11">
        <v>3937321845</v>
      </c>
      <c r="G21" s="11">
        <v>4766780391</v>
      </c>
      <c r="N21" s="7"/>
      <c r="O21" s="11">
        <v>1562500</v>
      </c>
      <c r="Q21" s="11">
        <v>3146</v>
      </c>
      <c r="S21" s="11">
        <v>3937321845</v>
      </c>
      <c r="U21" s="11">
        <v>4886377031</v>
      </c>
      <c r="W21" s="12">
        <v>1.5810477802889417E-3</v>
      </c>
    </row>
    <row r="22" spans="1:23" ht="37.5" x14ac:dyDescent="0.45">
      <c r="A22" s="10" t="s">
        <v>28</v>
      </c>
      <c r="C22" s="11">
        <v>5317185</v>
      </c>
      <c r="E22" s="11">
        <v>2658592500</v>
      </c>
      <c r="G22" s="11">
        <v>24889644351</v>
      </c>
      <c r="I22" s="11">
        <v>0</v>
      </c>
      <c r="J22" s="11">
        <v>0</v>
      </c>
      <c r="L22" s="11">
        <v>5317185</v>
      </c>
      <c r="M22" s="11">
        <v>26972150342</v>
      </c>
      <c r="W22" s="12">
        <v>0</v>
      </c>
    </row>
    <row r="23" spans="1:23" ht="18.75" x14ac:dyDescent="0.45">
      <c r="A23" s="10" t="s">
        <v>29</v>
      </c>
      <c r="C23" s="11">
        <v>17649580</v>
      </c>
      <c r="E23" s="11">
        <v>86727088578</v>
      </c>
      <c r="G23" s="11">
        <v>97898672694</v>
      </c>
      <c r="N23" s="7"/>
      <c r="O23" s="11">
        <v>17649580</v>
      </c>
      <c r="Q23" s="11">
        <v>5000</v>
      </c>
      <c r="S23" s="11">
        <v>86727088578</v>
      </c>
      <c r="U23" s="11">
        <v>87722824995</v>
      </c>
      <c r="W23" s="12">
        <v>2.8383806009876451E-2</v>
      </c>
    </row>
    <row r="24" spans="1:23" ht="18.75" x14ac:dyDescent="0.45">
      <c r="A24" s="10" t="s">
        <v>30</v>
      </c>
      <c r="C24" s="11">
        <v>22541064</v>
      </c>
      <c r="E24" s="11">
        <v>85773902385</v>
      </c>
      <c r="G24" s="11">
        <v>159985584938</v>
      </c>
      <c r="N24" s="7"/>
      <c r="O24" s="11">
        <v>22541064</v>
      </c>
      <c r="Q24" s="11">
        <v>6810</v>
      </c>
      <c r="S24" s="11">
        <v>85773902385</v>
      </c>
      <c r="U24" s="11">
        <v>152591293197</v>
      </c>
      <c r="W24" s="12">
        <v>4.9372801949169924E-2</v>
      </c>
    </row>
    <row r="25" spans="1:23" ht="18.75" x14ac:dyDescent="0.45">
      <c r="A25" s="10" t="s">
        <v>31</v>
      </c>
      <c r="C25" s="11">
        <v>1700000</v>
      </c>
      <c r="E25" s="11">
        <v>17193606879</v>
      </c>
      <c r="G25" s="11">
        <v>25365173850</v>
      </c>
      <c r="N25" s="7"/>
      <c r="O25" s="11">
        <v>1700000</v>
      </c>
      <c r="Q25" s="11">
        <v>13830</v>
      </c>
      <c r="S25" s="11">
        <v>17193606879</v>
      </c>
      <c r="U25" s="11">
        <v>23371109550</v>
      </c>
      <c r="W25" s="12">
        <v>7.5620118223573051E-3</v>
      </c>
    </row>
    <row r="26" spans="1:23" ht="18.75" x14ac:dyDescent="0.45">
      <c r="A26" s="10" t="s">
        <v>32</v>
      </c>
      <c r="C26" s="11">
        <v>2139629</v>
      </c>
      <c r="E26" s="11">
        <v>81270928834</v>
      </c>
      <c r="G26" s="11">
        <v>67103638445</v>
      </c>
      <c r="I26" s="11">
        <v>0</v>
      </c>
      <c r="J26" s="11">
        <v>0</v>
      </c>
      <c r="L26" s="11">
        <v>1400000</v>
      </c>
      <c r="M26" s="11">
        <v>42654685582</v>
      </c>
      <c r="O26" s="11">
        <v>739629</v>
      </c>
      <c r="Q26" s="11">
        <v>26000</v>
      </c>
      <c r="S26" s="11">
        <v>28093812443</v>
      </c>
      <c r="U26" s="11">
        <v>19115933394</v>
      </c>
      <c r="W26" s="12">
        <v>6.185196899255594E-3</v>
      </c>
    </row>
    <row r="27" spans="1:23" ht="37.5" x14ac:dyDescent="0.45">
      <c r="A27" s="10" t="s">
        <v>33</v>
      </c>
      <c r="C27" s="11">
        <v>842177</v>
      </c>
      <c r="E27" s="11">
        <v>2001916090</v>
      </c>
      <c r="G27" s="11">
        <v>6931734868</v>
      </c>
      <c r="N27" s="7"/>
      <c r="O27" s="11">
        <v>842177</v>
      </c>
      <c r="Q27" s="11">
        <v>7150</v>
      </c>
      <c r="S27" s="11">
        <v>2001916090</v>
      </c>
      <c r="U27" s="11">
        <v>5985737235</v>
      </c>
      <c r="W27" s="12">
        <v>1.9367593840487699E-3</v>
      </c>
    </row>
    <row r="28" spans="1:23" ht="37.5" x14ac:dyDescent="0.45">
      <c r="A28" s="10" t="s">
        <v>34</v>
      </c>
      <c r="C28" s="11">
        <v>571500</v>
      </c>
      <c r="E28" s="11">
        <v>24246395748</v>
      </c>
      <c r="G28" s="11">
        <v>26956324834</v>
      </c>
      <c r="N28" s="7"/>
      <c r="O28" s="11">
        <v>571500</v>
      </c>
      <c r="Q28" s="11">
        <v>52250</v>
      </c>
      <c r="S28" s="11">
        <v>24246395748</v>
      </c>
      <c r="U28" s="11">
        <v>29683202794</v>
      </c>
      <c r="W28" s="12">
        <v>9.6043677333093238E-3</v>
      </c>
    </row>
    <row r="29" spans="1:23" ht="37.5" x14ac:dyDescent="0.45">
      <c r="A29" s="10" t="s">
        <v>35</v>
      </c>
      <c r="H29" s="7"/>
      <c r="I29" s="11">
        <v>500000</v>
      </c>
      <c r="J29" s="11">
        <v>1601452800</v>
      </c>
      <c r="L29" s="11">
        <v>250000</v>
      </c>
      <c r="M29" s="11">
        <v>1075511389</v>
      </c>
      <c r="O29" s="11">
        <v>250000</v>
      </c>
      <c r="Q29" s="11">
        <v>3931</v>
      </c>
      <c r="S29" s="11">
        <v>800726400</v>
      </c>
      <c r="U29" s="11">
        <v>976902637</v>
      </c>
      <c r="W29" s="12">
        <v>3.1608894196835544E-4</v>
      </c>
    </row>
    <row r="30" spans="1:23" ht="37.5" x14ac:dyDescent="0.45">
      <c r="A30" s="10" t="s">
        <v>36</v>
      </c>
      <c r="C30" s="11">
        <v>4600461</v>
      </c>
      <c r="E30" s="11">
        <v>67281885372</v>
      </c>
      <c r="G30" s="11">
        <v>90089838664</v>
      </c>
      <c r="N30" s="7"/>
      <c r="O30" s="11">
        <v>6645110</v>
      </c>
      <c r="Q30" s="11">
        <v>12940</v>
      </c>
      <c r="S30" s="11">
        <v>67281885372</v>
      </c>
      <c r="U30" s="11">
        <v>85476096446</v>
      </c>
      <c r="W30" s="12">
        <v>2.7656849174009596E-2</v>
      </c>
    </row>
    <row r="31" spans="1:23" ht="18.75" x14ac:dyDescent="0.45">
      <c r="A31" s="10" t="s">
        <v>37</v>
      </c>
      <c r="C31" s="11">
        <v>1000000</v>
      </c>
      <c r="E31" s="11">
        <v>6555947400</v>
      </c>
      <c r="G31" s="11">
        <v>7127338500</v>
      </c>
      <c r="N31" s="7"/>
      <c r="O31" s="11">
        <v>1000000</v>
      </c>
      <c r="Q31" s="11">
        <v>6440</v>
      </c>
      <c r="S31" s="11">
        <v>6555947400</v>
      </c>
      <c r="U31" s="11">
        <v>6401682000</v>
      </c>
      <c r="W31" s="12">
        <v>2.0713434620382395E-3</v>
      </c>
    </row>
    <row r="32" spans="1:23" ht="18.75" x14ac:dyDescent="0.45">
      <c r="A32" s="10" t="s">
        <v>38</v>
      </c>
      <c r="C32" s="11">
        <v>31806527</v>
      </c>
      <c r="E32" s="11">
        <v>59228648705</v>
      </c>
      <c r="G32" s="11">
        <v>72308715162</v>
      </c>
      <c r="N32" s="7"/>
      <c r="O32" s="11">
        <v>31806527</v>
      </c>
      <c r="Q32" s="11">
        <v>1976</v>
      </c>
      <c r="S32" s="11">
        <v>59228648705</v>
      </c>
      <c r="U32" s="11">
        <v>62475741653</v>
      </c>
      <c r="W32" s="12">
        <v>2.0214799643114366E-2</v>
      </c>
    </row>
    <row r="33" spans="1:23" ht="37.5" x14ac:dyDescent="0.45">
      <c r="A33" s="10" t="s">
        <v>39</v>
      </c>
      <c r="C33" s="11">
        <v>3129302</v>
      </c>
      <c r="E33" s="11">
        <v>23045079793</v>
      </c>
      <c r="G33" s="11">
        <v>22614662888</v>
      </c>
      <c r="I33" s="11">
        <v>4200000</v>
      </c>
      <c r="J33" s="11">
        <v>31352219552</v>
      </c>
      <c r="L33" s="11">
        <v>0</v>
      </c>
      <c r="M33" s="11">
        <v>0</v>
      </c>
      <c r="O33" s="11">
        <v>7329302</v>
      </c>
      <c r="Q33" s="11">
        <v>7510</v>
      </c>
      <c r="S33" s="11">
        <v>54397299345</v>
      </c>
      <c r="U33" s="11">
        <v>54715551825</v>
      </c>
      <c r="W33" s="12">
        <v>1.7703894155399816E-2</v>
      </c>
    </row>
    <row r="34" spans="1:23" ht="18.75" x14ac:dyDescent="0.45">
      <c r="A34" s="10" t="s">
        <v>40</v>
      </c>
      <c r="C34" s="11">
        <v>3929304</v>
      </c>
      <c r="E34" s="11">
        <v>65268475220</v>
      </c>
      <c r="G34" s="11">
        <v>95929509188</v>
      </c>
      <c r="N34" s="7"/>
      <c r="O34" s="11">
        <v>3929304</v>
      </c>
      <c r="Q34" s="11">
        <v>22490</v>
      </c>
      <c r="S34" s="11">
        <v>65268475220</v>
      </c>
      <c r="U34" s="11">
        <v>87844245181</v>
      </c>
      <c r="W34" s="12">
        <v>2.8423093014202903E-2</v>
      </c>
    </row>
    <row r="35" spans="1:23" ht="18.75" x14ac:dyDescent="0.45">
      <c r="A35" s="10" t="s">
        <v>41</v>
      </c>
      <c r="C35" s="11">
        <v>3173715</v>
      </c>
      <c r="E35" s="11">
        <v>88906952093</v>
      </c>
      <c r="G35" s="11">
        <v>108179168560</v>
      </c>
      <c r="I35" s="11">
        <v>0</v>
      </c>
      <c r="J35" s="11">
        <v>0</v>
      </c>
      <c r="L35" s="11">
        <v>400000</v>
      </c>
      <c r="M35" s="11">
        <v>13228817444</v>
      </c>
      <c r="O35" s="11">
        <v>2773715</v>
      </c>
      <c r="Q35" s="11">
        <v>30970</v>
      </c>
      <c r="S35" s="11">
        <v>77701541135</v>
      </c>
      <c r="U35" s="11">
        <v>85390836926</v>
      </c>
      <c r="W35" s="12">
        <v>2.7629262400825839E-2</v>
      </c>
    </row>
    <row r="36" spans="1:23" ht="37.5" x14ac:dyDescent="0.45">
      <c r="A36" s="10" t="s">
        <v>42</v>
      </c>
      <c r="C36" s="11">
        <v>272500</v>
      </c>
      <c r="E36" s="11">
        <v>5103379665</v>
      </c>
      <c r="G36" s="11">
        <v>8018007300</v>
      </c>
      <c r="N36" s="7"/>
      <c r="O36" s="11">
        <v>272500</v>
      </c>
      <c r="Q36" s="11">
        <v>33100</v>
      </c>
      <c r="S36" s="11">
        <v>5103379665</v>
      </c>
      <c r="U36" s="11">
        <v>8966082487</v>
      </c>
      <c r="W36" s="12">
        <v>2.9010869861300524E-3</v>
      </c>
    </row>
    <row r="37" spans="1:23" ht="18.75" x14ac:dyDescent="0.45">
      <c r="A37" s="10" t="s">
        <v>43</v>
      </c>
      <c r="C37" s="11">
        <v>188</v>
      </c>
      <c r="E37" s="11">
        <v>2762587</v>
      </c>
      <c r="G37" s="11">
        <v>4838359</v>
      </c>
      <c r="I37" s="11">
        <v>0</v>
      </c>
      <c r="J37" s="11">
        <v>0</v>
      </c>
      <c r="L37" s="11">
        <v>188</v>
      </c>
      <c r="M37" s="11">
        <v>4862658</v>
      </c>
      <c r="W37" s="12">
        <v>0</v>
      </c>
    </row>
    <row r="38" spans="1:23" ht="18.75" x14ac:dyDescent="0.45">
      <c r="A38" s="10" t="s">
        <v>44</v>
      </c>
      <c r="C38" s="11">
        <v>741342</v>
      </c>
      <c r="E38" s="11">
        <v>35385653732</v>
      </c>
      <c r="G38" s="11">
        <v>42041914411</v>
      </c>
      <c r="N38" s="7"/>
      <c r="O38" s="11">
        <v>741342</v>
      </c>
      <c r="Q38" s="11">
        <v>58600</v>
      </c>
      <c r="S38" s="11">
        <v>35385653732</v>
      </c>
      <c r="U38" s="11">
        <v>43184157485</v>
      </c>
      <c r="W38" s="12">
        <v>1.3972768761426207E-2</v>
      </c>
    </row>
    <row r="39" spans="1:23" ht="18.75" x14ac:dyDescent="0.45">
      <c r="A39" s="10" t="s">
        <v>45</v>
      </c>
      <c r="C39" s="11">
        <v>17448964</v>
      </c>
      <c r="E39" s="11">
        <v>64413774365</v>
      </c>
      <c r="G39" s="11">
        <v>68513313524</v>
      </c>
      <c r="I39" s="11">
        <v>2000000</v>
      </c>
      <c r="J39" s="11">
        <v>8734014270</v>
      </c>
      <c r="L39" s="11">
        <v>0</v>
      </c>
      <c r="M39" s="11">
        <v>0</v>
      </c>
      <c r="O39" s="11">
        <v>19448964</v>
      </c>
      <c r="Q39" s="11">
        <v>3684</v>
      </c>
      <c r="S39" s="11">
        <v>73147788635</v>
      </c>
      <c r="U39" s="11">
        <v>71223665975</v>
      </c>
      <c r="W39" s="12">
        <v>2.3045298854224818E-2</v>
      </c>
    </row>
    <row r="40" spans="1:23" ht="37.5" x14ac:dyDescent="0.45">
      <c r="A40" s="10" t="s">
        <v>46</v>
      </c>
      <c r="C40" s="11">
        <v>6986817</v>
      </c>
      <c r="E40" s="11">
        <v>36649310457</v>
      </c>
      <c r="G40" s="11">
        <v>45352452716</v>
      </c>
      <c r="N40" s="7"/>
      <c r="O40" s="11">
        <v>6986817</v>
      </c>
      <c r="Q40" s="11">
        <v>5820</v>
      </c>
      <c r="S40" s="11">
        <v>36649310457</v>
      </c>
      <c r="U40" s="11">
        <v>40421328454</v>
      </c>
      <c r="W40" s="12">
        <v>1.3078821225436245E-2</v>
      </c>
    </row>
    <row r="41" spans="1:23" ht="18.75" x14ac:dyDescent="0.45">
      <c r="A41" s="10" t="s">
        <v>47</v>
      </c>
      <c r="C41" s="11">
        <v>5641064</v>
      </c>
      <c r="E41" s="11">
        <v>27693957457</v>
      </c>
      <c r="G41" s="11">
        <v>26635623429</v>
      </c>
      <c r="N41" s="7"/>
      <c r="O41" s="11">
        <v>5641064</v>
      </c>
      <c r="Q41" s="11">
        <v>3804</v>
      </c>
      <c r="S41" s="11">
        <v>27693957457</v>
      </c>
      <c r="U41" s="11">
        <v>21330928742</v>
      </c>
      <c r="W41" s="12">
        <v>6.9018860650912157E-3</v>
      </c>
    </row>
    <row r="42" spans="1:23" ht="18.75" x14ac:dyDescent="0.45">
      <c r="A42" s="10" t="s">
        <v>48</v>
      </c>
      <c r="C42" s="11">
        <v>5568010</v>
      </c>
      <c r="E42" s="11">
        <v>24531871376</v>
      </c>
      <c r="G42" s="11">
        <v>24043520199</v>
      </c>
      <c r="N42" s="7"/>
      <c r="O42" s="11">
        <v>5568010</v>
      </c>
      <c r="Q42" s="11">
        <v>2629</v>
      </c>
      <c r="S42" s="11">
        <v>18501364309</v>
      </c>
      <c r="U42" s="11">
        <v>14551200415</v>
      </c>
      <c r="W42" s="12">
        <v>4.708221033849911E-3</v>
      </c>
    </row>
    <row r="43" spans="1:23" ht="18.75" x14ac:dyDescent="0.45">
      <c r="A43" s="10" t="s">
        <v>49</v>
      </c>
      <c r="H43" s="7"/>
      <c r="N43" s="7"/>
      <c r="O43" s="11">
        <v>2596227</v>
      </c>
      <c r="Q43" s="11">
        <v>1629</v>
      </c>
      <c r="S43" s="11">
        <v>6030507067</v>
      </c>
      <c r="U43" s="11">
        <v>4204089723</v>
      </c>
      <c r="W43" s="12">
        <v>1.3602852752695623E-3</v>
      </c>
    </row>
    <row r="44" spans="1:23" ht="18.75" x14ac:dyDescent="0.45">
      <c r="A44" s="10" t="s">
        <v>50</v>
      </c>
      <c r="C44" s="11">
        <v>1600000</v>
      </c>
      <c r="E44" s="11">
        <v>35083133791</v>
      </c>
      <c r="G44" s="11">
        <v>73448366400</v>
      </c>
      <c r="I44" s="11">
        <v>0</v>
      </c>
      <c r="J44" s="11">
        <v>0</v>
      </c>
      <c r="L44" s="11">
        <v>400000</v>
      </c>
      <c r="M44" s="11">
        <v>20513216033</v>
      </c>
      <c r="O44" s="11">
        <v>1200000</v>
      </c>
      <c r="Q44" s="11">
        <v>52600</v>
      </c>
      <c r="S44" s="11">
        <v>26312350343</v>
      </c>
      <c r="U44" s="11">
        <v>62744436000</v>
      </c>
      <c r="W44" s="12">
        <v>2.0301739025443116E-2</v>
      </c>
    </row>
    <row r="45" spans="1:23" ht="18.75" x14ac:dyDescent="0.45">
      <c r="A45" s="10" t="s">
        <v>51</v>
      </c>
      <c r="H45" s="7"/>
      <c r="I45" s="11">
        <v>100000</v>
      </c>
      <c r="J45" s="11">
        <v>9771059100</v>
      </c>
      <c r="L45" s="11">
        <v>0</v>
      </c>
      <c r="M45" s="11">
        <v>0</v>
      </c>
      <c r="O45" s="11">
        <v>100000</v>
      </c>
      <c r="Q45" s="11">
        <v>98180</v>
      </c>
      <c r="S45" s="11">
        <v>9771059100</v>
      </c>
      <c r="U45" s="11">
        <v>9759582900</v>
      </c>
      <c r="W45" s="12">
        <v>3.1578338680576762E-3</v>
      </c>
    </row>
    <row r="46" spans="1:23" ht="18.75" x14ac:dyDescent="0.45">
      <c r="A46" s="10" t="s">
        <v>52</v>
      </c>
      <c r="C46" s="11">
        <v>8312202</v>
      </c>
      <c r="E46" s="11">
        <v>52141007710</v>
      </c>
      <c r="G46" s="11">
        <v>72464268371</v>
      </c>
      <c r="I46" s="11">
        <v>0</v>
      </c>
      <c r="J46" s="11">
        <v>0</v>
      </c>
      <c r="L46" s="11">
        <v>12743</v>
      </c>
      <c r="M46" s="11">
        <v>117171413</v>
      </c>
      <c r="O46" s="11">
        <v>8299459</v>
      </c>
      <c r="Q46" s="11">
        <v>8670</v>
      </c>
      <c r="S46" s="11">
        <v>52061073072</v>
      </c>
      <c r="U46" s="11">
        <v>71528169488</v>
      </c>
      <c r="W46" s="12">
        <v>2.3143824735519802E-2</v>
      </c>
    </row>
    <row r="47" spans="1:23" ht="18.75" x14ac:dyDescent="0.45">
      <c r="A47" s="10" t="s">
        <v>53</v>
      </c>
      <c r="C47" s="11">
        <v>7932226</v>
      </c>
      <c r="E47" s="11">
        <v>42186296658</v>
      </c>
      <c r="G47" s="11">
        <v>70334460957</v>
      </c>
      <c r="I47" s="11">
        <v>400000</v>
      </c>
      <c r="J47" s="11">
        <v>3515188884</v>
      </c>
      <c r="L47" s="11">
        <v>2200000</v>
      </c>
      <c r="M47" s="11">
        <v>17385934622</v>
      </c>
      <c r="O47" s="11">
        <v>6132226</v>
      </c>
      <c r="Q47" s="11">
        <v>7860</v>
      </c>
      <c r="S47" s="11">
        <v>33634689923</v>
      </c>
      <c r="U47" s="11">
        <v>47912510547</v>
      </c>
      <c r="W47" s="12">
        <v>1.5502685930254992E-2</v>
      </c>
    </row>
    <row r="48" spans="1:23" ht="18.75" x14ac:dyDescent="0.45">
      <c r="A48" s="10" t="s">
        <v>54</v>
      </c>
      <c r="C48" s="11">
        <v>5400000</v>
      </c>
      <c r="E48" s="11">
        <v>47083833086</v>
      </c>
      <c r="G48" s="11">
        <v>57865638600</v>
      </c>
      <c r="N48" s="7"/>
      <c r="O48" s="11">
        <v>5400000</v>
      </c>
      <c r="Q48" s="11">
        <v>12060</v>
      </c>
      <c r="S48" s="11">
        <v>47083833086</v>
      </c>
      <c r="U48" s="11">
        <v>64736512200</v>
      </c>
      <c r="W48" s="12">
        <v>2.0946299941269921E-2</v>
      </c>
    </row>
    <row r="49" spans="1:23" ht="18.75" x14ac:dyDescent="0.45">
      <c r="A49" s="10" t="s">
        <v>55</v>
      </c>
      <c r="H49" s="7"/>
      <c r="I49" s="11">
        <v>200000</v>
      </c>
      <c r="J49" s="11">
        <v>5506104881</v>
      </c>
      <c r="L49" s="11">
        <v>0</v>
      </c>
      <c r="M49" s="11">
        <v>0</v>
      </c>
      <c r="O49" s="11">
        <v>200000</v>
      </c>
      <c r="Q49" s="11">
        <v>26590</v>
      </c>
      <c r="S49" s="11">
        <v>5506104881</v>
      </c>
      <c r="U49" s="11">
        <v>5286357900</v>
      </c>
      <c r="W49" s="12">
        <v>1.710466542099279E-3</v>
      </c>
    </row>
    <row r="50" spans="1:23" ht="18.75" x14ac:dyDescent="0.45">
      <c r="A50" s="10" t="s">
        <v>56</v>
      </c>
      <c r="C50" s="11">
        <v>23250016</v>
      </c>
      <c r="E50" s="11">
        <v>76055816573</v>
      </c>
      <c r="G50" s="11">
        <v>62470866728</v>
      </c>
      <c r="N50" s="7"/>
      <c r="O50" s="11">
        <v>23250016</v>
      </c>
      <c r="Q50" s="11">
        <v>2332</v>
      </c>
      <c r="S50" s="11">
        <v>76055816573</v>
      </c>
      <c r="U50" s="11">
        <v>53896434040</v>
      </c>
      <c r="W50" s="12">
        <v>1.743885845562607E-2</v>
      </c>
    </row>
    <row r="51" spans="1:23" ht="18.75" x14ac:dyDescent="0.45">
      <c r="A51" s="10" t="s">
        <v>57</v>
      </c>
      <c r="C51" s="11">
        <v>330974</v>
      </c>
      <c r="E51" s="11">
        <v>10705350134</v>
      </c>
      <c r="G51" s="11">
        <v>11242090760</v>
      </c>
      <c r="N51" s="7"/>
      <c r="O51" s="11">
        <v>330974</v>
      </c>
      <c r="Q51" s="11">
        <v>31090</v>
      </c>
      <c r="S51" s="11">
        <v>10705350134</v>
      </c>
      <c r="U51" s="11">
        <v>10228756269</v>
      </c>
      <c r="W51" s="12">
        <v>3.3096407198257901E-3</v>
      </c>
    </row>
    <row r="52" spans="1:23" ht="18.75" x14ac:dyDescent="0.45">
      <c r="A52" s="10" t="s">
        <v>58</v>
      </c>
      <c r="C52" s="11">
        <v>9448213</v>
      </c>
      <c r="E52" s="11">
        <v>15392047456</v>
      </c>
      <c r="G52" s="11">
        <v>10528427665</v>
      </c>
      <c r="N52" s="7"/>
      <c r="O52" s="11">
        <v>9448213</v>
      </c>
      <c r="Q52" s="11">
        <v>914</v>
      </c>
      <c r="S52" s="11">
        <v>15392047456</v>
      </c>
      <c r="U52" s="11">
        <v>8584284465</v>
      </c>
      <c r="W52" s="12">
        <v>2.7775515095648574E-3</v>
      </c>
    </row>
    <row r="53" spans="1:23" ht="18.75" x14ac:dyDescent="0.45">
      <c r="A53" s="10" t="s">
        <v>59</v>
      </c>
      <c r="C53" s="11">
        <v>10148510</v>
      </c>
      <c r="E53" s="11">
        <v>49005994690</v>
      </c>
      <c r="G53" s="11">
        <v>48423006554</v>
      </c>
      <c r="N53" s="7"/>
      <c r="O53" s="11">
        <v>10148510</v>
      </c>
      <c r="Q53" s="11">
        <v>4220</v>
      </c>
      <c r="S53" s="11">
        <v>49005994690</v>
      </c>
      <c r="U53" s="11">
        <v>42571893262</v>
      </c>
      <c r="W53" s="12">
        <v>1.3774663092423752E-2</v>
      </c>
    </row>
    <row r="54" spans="1:23" ht="18.75" x14ac:dyDescent="0.45">
      <c r="A54" s="10" t="s">
        <v>60</v>
      </c>
      <c r="C54" s="11">
        <v>249996</v>
      </c>
      <c r="E54" s="11">
        <v>1764072098</v>
      </c>
      <c r="G54" s="11">
        <v>2497510664</v>
      </c>
      <c r="N54" s="7"/>
      <c r="O54" s="11">
        <v>249996</v>
      </c>
      <c r="Q54" s="11">
        <v>7770</v>
      </c>
      <c r="S54" s="11">
        <v>1764072098</v>
      </c>
      <c r="U54" s="11">
        <v>1930911230</v>
      </c>
      <c r="W54" s="12">
        <v>6.2477023257898707E-4</v>
      </c>
    </row>
    <row r="55" spans="1:23" ht="18.75" x14ac:dyDescent="0.45">
      <c r="A55" s="10" t="s">
        <v>61</v>
      </c>
      <c r="C55" s="11">
        <v>14558631</v>
      </c>
      <c r="E55" s="11">
        <v>117933563439</v>
      </c>
      <c r="G55" s="11">
        <v>119972939237</v>
      </c>
      <c r="N55" s="7"/>
      <c r="O55" s="11">
        <v>14558631</v>
      </c>
      <c r="Q55" s="11">
        <v>7510</v>
      </c>
      <c r="S55" s="11">
        <v>117933563439</v>
      </c>
      <c r="U55" s="11">
        <v>108684773663</v>
      </c>
      <c r="W55" s="12">
        <v>3.5166304004160293E-2</v>
      </c>
    </row>
    <row r="56" spans="1:23" ht="18.75" x14ac:dyDescent="0.45">
      <c r="A56" s="10" t="s">
        <v>62</v>
      </c>
      <c r="C56" s="11">
        <v>3557472</v>
      </c>
      <c r="E56" s="11">
        <v>83471695499</v>
      </c>
      <c r="G56" s="11">
        <v>106442781752</v>
      </c>
      <c r="I56" s="11">
        <v>500000</v>
      </c>
      <c r="J56" s="11">
        <v>14783103961</v>
      </c>
      <c r="L56" s="11">
        <v>0</v>
      </c>
      <c r="M56" s="11">
        <v>0</v>
      </c>
      <c r="O56" s="11">
        <v>4057472</v>
      </c>
      <c r="Q56" s="11">
        <v>27200</v>
      </c>
      <c r="S56" s="11">
        <v>98254799460</v>
      </c>
      <c r="U56" s="11">
        <v>109706577132</v>
      </c>
      <c r="W56" s="12">
        <v>3.5496921166181326E-2</v>
      </c>
    </row>
    <row r="57" spans="1:23" ht="18.75" x14ac:dyDescent="0.45">
      <c r="A57" s="10" t="s">
        <v>63</v>
      </c>
      <c r="C57" s="11">
        <v>14021442</v>
      </c>
      <c r="E57" s="11">
        <v>48395249821</v>
      </c>
      <c r="G57" s="11">
        <v>61759341895</v>
      </c>
      <c r="N57" s="7"/>
      <c r="O57" s="11">
        <v>14021442</v>
      </c>
      <c r="Q57" s="11">
        <v>4069</v>
      </c>
      <c r="S57" s="11">
        <v>48395249821</v>
      </c>
      <c r="U57" s="11">
        <v>56713780675</v>
      </c>
      <c r="W57" s="12">
        <v>1.8350445837302116E-2</v>
      </c>
    </row>
    <row r="58" spans="1:23" ht="37.5" x14ac:dyDescent="0.45">
      <c r="A58" s="10" t="s">
        <v>64</v>
      </c>
      <c r="C58" s="11">
        <v>76</v>
      </c>
      <c r="E58" s="11">
        <v>809388</v>
      </c>
      <c r="G58" s="11">
        <v>876354</v>
      </c>
      <c r="N58" s="7"/>
      <c r="O58" s="11">
        <v>76</v>
      </c>
      <c r="Q58" s="11">
        <v>16930</v>
      </c>
      <c r="S58" s="11">
        <v>809388</v>
      </c>
      <c r="U58" s="11">
        <v>1279024</v>
      </c>
      <c r="W58" s="12">
        <v>4.1384404914052232E-7</v>
      </c>
    </row>
    <row r="59" spans="1:23" ht="18.75" x14ac:dyDescent="0.45">
      <c r="A59" s="10" t="s">
        <v>65</v>
      </c>
      <c r="H59" s="7"/>
      <c r="I59" s="11">
        <v>200000</v>
      </c>
      <c r="J59" s="11">
        <v>1227137722</v>
      </c>
      <c r="L59" s="11">
        <v>0</v>
      </c>
      <c r="M59" s="11">
        <v>0</v>
      </c>
      <c r="O59" s="11">
        <v>200000</v>
      </c>
      <c r="Q59" s="11">
        <v>6200</v>
      </c>
      <c r="S59" s="11">
        <v>1227137722</v>
      </c>
      <c r="U59" s="11">
        <v>1232622000</v>
      </c>
      <c r="W59" s="12">
        <v>3.9883010759742498E-4</v>
      </c>
    </row>
    <row r="60" spans="1:23" ht="18.75" x14ac:dyDescent="0.45">
      <c r="A60" s="10" t="s">
        <v>66</v>
      </c>
      <c r="C60" s="11">
        <v>12552607</v>
      </c>
      <c r="E60" s="11">
        <v>77877739545</v>
      </c>
      <c r="G60" s="11">
        <v>49961587629</v>
      </c>
      <c r="I60" s="11">
        <v>0</v>
      </c>
      <c r="J60" s="11">
        <v>0</v>
      </c>
      <c r="L60" s="11">
        <v>5693174</v>
      </c>
      <c r="M60" s="11">
        <v>21537492507</v>
      </c>
      <c r="O60" s="11">
        <v>6859433</v>
      </c>
      <c r="Q60" s="11">
        <v>3470</v>
      </c>
      <c r="S60" s="11">
        <v>42556668634</v>
      </c>
      <c r="U60" s="11">
        <v>23660609227</v>
      </c>
      <c r="W60" s="12">
        <v>7.6556830267714157E-3</v>
      </c>
    </row>
    <row r="61" spans="1:23" ht="18.75" x14ac:dyDescent="0.45">
      <c r="A61" s="10" t="s">
        <v>67</v>
      </c>
      <c r="C61" s="11">
        <v>2373635</v>
      </c>
      <c r="E61" s="11">
        <v>27157213151</v>
      </c>
      <c r="G61" s="11">
        <v>33953375834</v>
      </c>
      <c r="N61" s="7"/>
      <c r="O61" s="11">
        <v>6256631</v>
      </c>
      <c r="Q61" s="11">
        <v>6050</v>
      </c>
      <c r="S61" s="11">
        <v>27157213151</v>
      </c>
      <c r="U61" s="11">
        <v>37627394476</v>
      </c>
      <c r="W61" s="12">
        <v>1.2174809298774347E-2</v>
      </c>
    </row>
    <row r="62" spans="1:23" ht="18.75" x14ac:dyDescent="0.45">
      <c r="A62" s="10" t="s">
        <v>68</v>
      </c>
      <c r="H62" s="7"/>
      <c r="I62" s="11">
        <v>3600000</v>
      </c>
      <c r="J62" s="11">
        <v>22837480448</v>
      </c>
      <c r="L62" s="11">
        <v>0</v>
      </c>
      <c r="M62" s="11">
        <v>0</v>
      </c>
      <c r="O62" s="11">
        <v>3600000</v>
      </c>
      <c r="Q62" s="11">
        <v>6010</v>
      </c>
      <c r="S62" s="11">
        <v>22837480448</v>
      </c>
      <c r="U62" s="11">
        <v>21507265800</v>
      </c>
      <c r="W62" s="12">
        <v>6.9589421032079726E-3</v>
      </c>
    </row>
    <row r="63" spans="1:23" ht="18.75" x14ac:dyDescent="0.45">
      <c r="A63" s="10" t="s">
        <v>69</v>
      </c>
      <c r="C63" s="11">
        <v>17280723</v>
      </c>
      <c r="E63" s="11">
        <v>86597989190</v>
      </c>
      <c r="G63" s="11">
        <v>110110356295</v>
      </c>
      <c r="I63" s="11">
        <v>424209</v>
      </c>
      <c r="J63" s="11">
        <v>2853535654</v>
      </c>
      <c r="L63" s="11">
        <v>0</v>
      </c>
      <c r="M63" s="11">
        <v>0</v>
      </c>
      <c r="O63" s="11">
        <v>17704932</v>
      </c>
      <c r="Q63" s="11">
        <v>5920</v>
      </c>
      <c r="S63" s="11">
        <v>89451524844</v>
      </c>
      <c r="U63" s="11">
        <v>104189558915</v>
      </c>
      <c r="W63" s="12">
        <v>3.371182162300989E-2</v>
      </c>
    </row>
    <row r="64" spans="1:23" ht="18.75" x14ac:dyDescent="0.45">
      <c r="A64" s="10" t="s">
        <v>70</v>
      </c>
      <c r="C64" s="11">
        <v>272076</v>
      </c>
      <c r="E64" s="11">
        <v>5768075770</v>
      </c>
      <c r="G64" s="11">
        <v>6006853253</v>
      </c>
      <c r="N64" s="7"/>
      <c r="O64" s="11">
        <v>272076</v>
      </c>
      <c r="Q64" s="11">
        <v>20700</v>
      </c>
      <c r="S64" s="11">
        <v>5768075770</v>
      </c>
      <c r="U64" s="11">
        <v>5598462959</v>
      </c>
      <c r="W64" s="12">
        <v>1.8114519977074628E-3</v>
      </c>
    </row>
    <row r="65" spans="1:23" ht="18.75" x14ac:dyDescent="0.45">
      <c r="A65" s="10" t="s">
        <v>71</v>
      </c>
      <c r="C65" s="11">
        <v>3882657</v>
      </c>
      <c r="E65" s="11">
        <v>49025595916</v>
      </c>
      <c r="G65" s="11">
        <v>39174485187</v>
      </c>
      <c r="N65" s="7"/>
      <c r="O65" s="11">
        <v>3882657</v>
      </c>
      <c r="Q65" s="11">
        <v>8490</v>
      </c>
      <c r="S65" s="11">
        <v>49025595916</v>
      </c>
      <c r="U65" s="11">
        <v>32767623570</v>
      </c>
      <c r="W65" s="12">
        <v>1.060237025960515E-2</v>
      </c>
    </row>
    <row r="66" spans="1:23" ht="18.75" x14ac:dyDescent="0.45">
      <c r="A66" s="10" t="s">
        <v>72</v>
      </c>
      <c r="C66" s="11">
        <v>250000</v>
      </c>
      <c r="E66" s="11">
        <v>3403087200</v>
      </c>
      <c r="G66" s="11">
        <v>4331572875</v>
      </c>
      <c r="N66" s="7"/>
      <c r="O66" s="11">
        <v>250000</v>
      </c>
      <c r="Q66" s="11">
        <v>15760</v>
      </c>
      <c r="S66" s="11">
        <v>3403087200</v>
      </c>
      <c r="U66" s="11">
        <v>3916557000</v>
      </c>
      <c r="W66" s="12">
        <v>1.2672505031724633E-3</v>
      </c>
    </row>
    <row r="67" spans="1:23" ht="18.75" x14ac:dyDescent="0.45">
      <c r="A67" s="10" t="s">
        <v>73</v>
      </c>
      <c r="C67" s="11">
        <v>16300000</v>
      </c>
      <c r="E67" s="11">
        <v>84074552777</v>
      </c>
      <c r="G67" s="11">
        <v>196056481500</v>
      </c>
      <c r="N67" s="7"/>
      <c r="O67" s="11">
        <v>16300000</v>
      </c>
      <c r="Q67" s="11">
        <v>10280</v>
      </c>
      <c r="S67" s="11">
        <v>84074552777</v>
      </c>
      <c r="U67" s="11">
        <v>166566994200</v>
      </c>
      <c r="W67" s="12">
        <v>5.3894813023753964E-2</v>
      </c>
    </row>
    <row r="68" spans="1:23" ht="37.5" x14ac:dyDescent="0.45">
      <c r="A68" s="10" t="s">
        <v>74</v>
      </c>
      <c r="C68" s="11">
        <v>7868802</v>
      </c>
      <c r="E68" s="11">
        <v>26463181491</v>
      </c>
      <c r="G68" s="11">
        <v>37960081694</v>
      </c>
      <c r="N68" s="7"/>
      <c r="O68" s="11">
        <v>7868802</v>
      </c>
      <c r="Q68" s="11">
        <v>3961</v>
      </c>
      <c r="S68" s="11">
        <v>26463181491</v>
      </c>
      <c r="U68" s="11">
        <v>30982873190</v>
      </c>
      <c r="W68" s="12">
        <v>1.002489217947195E-2</v>
      </c>
    </row>
    <row r="69" spans="1:23" ht="18.75" x14ac:dyDescent="0.45">
      <c r="A69" s="10" t="s">
        <v>75</v>
      </c>
      <c r="C69" s="11">
        <v>5155597</v>
      </c>
      <c r="E69" s="11">
        <v>8882657062</v>
      </c>
      <c r="G69" s="11">
        <v>16271624803</v>
      </c>
      <c r="N69" s="7"/>
      <c r="O69" s="11">
        <v>5155597</v>
      </c>
      <c r="Q69" s="11">
        <v>2757</v>
      </c>
      <c r="S69" s="11">
        <v>8882657062</v>
      </c>
      <c r="U69" s="11">
        <v>14129407742</v>
      </c>
      <c r="W69" s="12">
        <v>4.5717447928316623E-3</v>
      </c>
    </row>
    <row r="70" spans="1:23" ht="18.75" x14ac:dyDescent="0.45">
      <c r="A70" s="10" t="s">
        <v>76</v>
      </c>
      <c r="C70" s="11">
        <v>5666467</v>
      </c>
      <c r="E70" s="11">
        <v>28707359622</v>
      </c>
      <c r="G70" s="11">
        <v>41175413621</v>
      </c>
      <c r="N70" s="7"/>
      <c r="O70" s="11">
        <v>7919952</v>
      </c>
      <c r="Q70" s="11">
        <v>5660</v>
      </c>
      <c r="S70" s="11">
        <v>28707359622</v>
      </c>
      <c r="U70" s="11">
        <v>44560208096</v>
      </c>
      <c r="W70" s="12">
        <v>1.4418006971716656E-2</v>
      </c>
    </row>
    <row r="71" spans="1:23" ht="18.75" x14ac:dyDescent="0.45">
      <c r="A71" s="10" t="s">
        <v>77</v>
      </c>
      <c r="C71" s="11">
        <v>1313770</v>
      </c>
      <c r="E71" s="11">
        <v>27105671626</v>
      </c>
      <c r="G71" s="11">
        <v>52521514556</v>
      </c>
      <c r="N71" s="7"/>
      <c r="O71" s="11">
        <v>1313770</v>
      </c>
      <c r="Q71" s="11">
        <v>37990</v>
      </c>
      <c r="S71" s="11">
        <v>27105671626</v>
      </c>
      <c r="U71" s="11">
        <v>49613157072</v>
      </c>
      <c r="W71" s="12">
        <v>1.6052951166921979E-2</v>
      </c>
    </row>
    <row r="72" spans="1:23" ht="37.5" x14ac:dyDescent="0.45">
      <c r="A72" s="10" t="s">
        <v>78</v>
      </c>
      <c r="C72" s="11">
        <v>7539161</v>
      </c>
      <c r="E72" s="11">
        <v>30227577878</v>
      </c>
      <c r="G72" s="11">
        <v>34016641281</v>
      </c>
      <c r="N72" s="7"/>
      <c r="O72" s="11">
        <v>7539161</v>
      </c>
      <c r="Q72" s="11">
        <v>4204</v>
      </c>
      <c r="S72" s="11">
        <v>30227577878</v>
      </c>
      <c r="U72" s="11">
        <v>31506049779</v>
      </c>
      <c r="W72" s="12">
        <v>1.0194172441615027E-2</v>
      </c>
    </row>
    <row r="73" spans="1:23" ht="37.5" x14ac:dyDescent="0.45">
      <c r="A73" s="10" t="s">
        <v>79</v>
      </c>
      <c r="C73" s="11">
        <v>1400000</v>
      </c>
      <c r="E73" s="11">
        <v>18286589160</v>
      </c>
      <c r="G73" s="11">
        <v>24131557800</v>
      </c>
      <c r="I73" s="11">
        <v>0</v>
      </c>
      <c r="J73" s="11">
        <v>0</v>
      </c>
      <c r="L73" s="11">
        <v>700000</v>
      </c>
      <c r="M73" s="11">
        <v>11853977069</v>
      </c>
      <c r="O73" s="11">
        <v>700000</v>
      </c>
      <c r="Q73" s="11">
        <v>15190</v>
      </c>
      <c r="S73" s="11">
        <v>9143294580</v>
      </c>
      <c r="U73" s="11">
        <v>10569733650</v>
      </c>
      <c r="W73" s="12">
        <v>3.4199681726479192E-3</v>
      </c>
    </row>
    <row r="74" spans="1:23" ht="18.75" x14ac:dyDescent="0.45">
      <c r="A74" s="10" t="s">
        <v>80</v>
      </c>
      <c r="C74" s="11">
        <v>6300000</v>
      </c>
      <c r="E74" s="11">
        <v>39376654237</v>
      </c>
      <c r="G74" s="11">
        <v>44526481650</v>
      </c>
      <c r="I74" s="11">
        <v>1400000</v>
      </c>
      <c r="J74" s="11">
        <v>8785970379</v>
      </c>
      <c r="L74" s="11">
        <v>0</v>
      </c>
      <c r="M74" s="11">
        <v>0</v>
      </c>
      <c r="O74" s="11">
        <v>7700000</v>
      </c>
      <c r="Q74" s="11">
        <v>6260</v>
      </c>
      <c r="S74" s="11">
        <v>48162624616</v>
      </c>
      <c r="U74" s="11">
        <v>47915198100</v>
      </c>
      <c r="W74" s="12">
        <v>1.5503555521299256E-2</v>
      </c>
    </row>
    <row r="75" spans="1:23" ht="18.75" x14ac:dyDescent="0.45">
      <c r="A75" s="10" t="s">
        <v>81</v>
      </c>
      <c r="C75" s="11">
        <v>12447027</v>
      </c>
      <c r="E75" s="11">
        <v>94257059223</v>
      </c>
      <c r="G75" s="11">
        <v>117295728955</v>
      </c>
      <c r="I75" s="11">
        <v>253223</v>
      </c>
      <c r="J75" s="11">
        <v>2527050517</v>
      </c>
      <c r="L75" s="11">
        <v>0</v>
      </c>
      <c r="M75" s="11">
        <v>0</v>
      </c>
      <c r="O75" s="11">
        <v>12700250</v>
      </c>
      <c r="Q75" s="11">
        <v>8500</v>
      </c>
      <c r="S75" s="11">
        <v>96784109740</v>
      </c>
      <c r="U75" s="11">
        <v>107309809856</v>
      </c>
      <c r="W75" s="12">
        <v>3.4721417442758362E-2</v>
      </c>
    </row>
    <row r="76" spans="1:23" ht="18.75" x14ac:dyDescent="0.45">
      <c r="A76" s="10" t="s">
        <v>82</v>
      </c>
      <c r="C76" s="11">
        <v>12023071</v>
      </c>
      <c r="E76" s="11">
        <v>50117025665</v>
      </c>
      <c r="G76" s="11">
        <v>77326423217</v>
      </c>
      <c r="N76" s="7"/>
      <c r="O76" s="11">
        <v>12023071</v>
      </c>
      <c r="Q76" s="11">
        <v>5710</v>
      </c>
      <c r="S76" s="11">
        <v>50117025665</v>
      </c>
      <c r="U76" s="11">
        <v>68243257584</v>
      </c>
      <c r="W76" s="12">
        <v>2.2080950822738445E-2</v>
      </c>
    </row>
    <row r="77" spans="1:23" ht="18.75" x14ac:dyDescent="0.45">
      <c r="A77" s="10" t="s">
        <v>83</v>
      </c>
      <c r="C77" s="11">
        <v>25703048</v>
      </c>
      <c r="E77" s="11">
        <v>50829222952</v>
      </c>
      <c r="G77" s="11">
        <v>45428104229</v>
      </c>
      <c r="N77" s="7"/>
      <c r="O77" s="11">
        <v>25703048</v>
      </c>
      <c r="Q77" s="11">
        <v>1764</v>
      </c>
      <c r="S77" s="11">
        <v>50829222952</v>
      </c>
      <c r="U77" s="11">
        <v>45070402621</v>
      </c>
      <c r="W77" s="12">
        <v>1.4583086726338403E-2</v>
      </c>
    </row>
    <row r="78" spans="1:23" ht="18.75" x14ac:dyDescent="0.45">
      <c r="A78" s="10" t="s">
        <v>84</v>
      </c>
      <c r="C78" s="11">
        <v>177678</v>
      </c>
      <c r="E78" s="11">
        <v>6687778985</v>
      </c>
      <c r="G78" s="11">
        <v>7260881742</v>
      </c>
      <c r="N78" s="7"/>
      <c r="O78" s="11">
        <v>177678</v>
      </c>
      <c r="Q78" s="11">
        <v>40430</v>
      </c>
      <c r="S78" s="11">
        <v>6687778985</v>
      </c>
      <c r="U78" s="11">
        <v>7140779587</v>
      </c>
      <c r="W78" s="12">
        <v>2.3104876361225955E-3</v>
      </c>
    </row>
    <row r="79" spans="1:23" ht="18.75" x14ac:dyDescent="0.45">
      <c r="A79" s="10" t="s">
        <v>85</v>
      </c>
      <c r="C79" s="11">
        <v>450000</v>
      </c>
      <c r="E79" s="11">
        <v>2927655900</v>
      </c>
      <c r="G79" s="11">
        <v>4034848950</v>
      </c>
      <c r="N79" s="7"/>
      <c r="O79" s="11">
        <v>450000</v>
      </c>
      <c r="Q79" s="11">
        <v>13070</v>
      </c>
      <c r="S79" s="11">
        <v>2927655900</v>
      </c>
      <c r="U79" s="11">
        <v>5846505075</v>
      </c>
      <c r="W79" s="12">
        <v>1.891709095027625E-3</v>
      </c>
    </row>
    <row r="80" spans="1:23" ht="37.5" x14ac:dyDescent="0.45">
      <c r="A80" s="10" t="s">
        <v>86</v>
      </c>
      <c r="H80" s="7"/>
      <c r="I80" s="11">
        <v>123</v>
      </c>
      <c r="J80" s="11">
        <v>1662038</v>
      </c>
      <c r="L80" s="11">
        <v>0</v>
      </c>
      <c r="M80" s="11">
        <v>0</v>
      </c>
      <c r="O80" s="11">
        <v>123</v>
      </c>
      <c r="Q80" s="11">
        <v>17830</v>
      </c>
      <c r="S80" s="11">
        <v>1662161</v>
      </c>
      <c r="U80" s="11">
        <v>2180041</v>
      </c>
      <c r="W80" s="12">
        <v>7.053792538156855E-7</v>
      </c>
    </row>
    <row r="81" spans="1:23" ht="18.75" x14ac:dyDescent="0.45">
      <c r="A81" s="10" t="s">
        <v>87</v>
      </c>
      <c r="H81" s="7"/>
      <c r="I81" s="11">
        <v>3000000</v>
      </c>
      <c r="J81" s="11">
        <v>15356237176</v>
      </c>
      <c r="L81" s="11">
        <v>0</v>
      </c>
      <c r="M81" s="11">
        <v>0</v>
      </c>
      <c r="O81" s="11">
        <v>3000000</v>
      </c>
      <c r="Q81" s="11">
        <v>4840</v>
      </c>
      <c r="S81" s="11">
        <v>15356237176</v>
      </c>
      <c r="U81" s="11">
        <v>14433606000</v>
      </c>
      <c r="W81" s="12">
        <v>4.670171905092428E-3</v>
      </c>
    </row>
    <row r="82" spans="1:23" ht="18.75" x14ac:dyDescent="0.45">
      <c r="A82" s="10" t="s">
        <v>88</v>
      </c>
      <c r="H82" s="7"/>
      <c r="I82" s="11">
        <v>3200000</v>
      </c>
      <c r="J82" s="11">
        <v>31645339517</v>
      </c>
      <c r="L82" s="11">
        <v>0</v>
      </c>
      <c r="M82" s="11">
        <v>0</v>
      </c>
      <c r="O82" s="11">
        <v>3200000</v>
      </c>
      <c r="Q82" s="11">
        <v>9620</v>
      </c>
      <c r="S82" s="11">
        <v>31645339517</v>
      </c>
      <c r="U82" s="11">
        <v>30600835200</v>
      </c>
      <c r="W82" s="12">
        <v>9.9012790582896203E-3</v>
      </c>
    </row>
    <row r="83" spans="1:23" ht="18.75" x14ac:dyDescent="0.45">
      <c r="A83" s="10" t="s">
        <v>89</v>
      </c>
      <c r="C83" s="11">
        <v>4613772</v>
      </c>
      <c r="E83" s="11">
        <v>43269803786</v>
      </c>
      <c r="G83" s="11">
        <v>45817337365</v>
      </c>
      <c r="N83" s="7"/>
      <c r="O83" s="11">
        <v>4613772</v>
      </c>
      <c r="Q83" s="11">
        <v>8810</v>
      </c>
      <c r="S83" s="11">
        <v>43269803786</v>
      </c>
      <c r="U83" s="11">
        <v>40405479699</v>
      </c>
      <c r="W83" s="12">
        <v>1.3073693164553075E-2</v>
      </c>
    </row>
    <row r="84" spans="1:23" ht="18.75" x14ac:dyDescent="0.45">
      <c r="A84" s="10" t="s">
        <v>90</v>
      </c>
      <c r="C84" s="11">
        <v>400000</v>
      </c>
      <c r="E84" s="11">
        <v>1251159994</v>
      </c>
      <c r="G84" s="11">
        <v>1195643340</v>
      </c>
      <c r="N84" s="7"/>
      <c r="O84" s="11">
        <v>400000</v>
      </c>
      <c r="Q84" s="11">
        <v>2736</v>
      </c>
      <c r="S84" s="11">
        <v>1251159994</v>
      </c>
      <c r="U84" s="11">
        <v>1087888320</v>
      </c>
      <c r="W84" s="12">
        <v>3.5199973367308217E-4</v>
      </c>
    </row>
    <row r="85" spans="1:23" ht="18.75" x14ac:dyDescent="0.45">
      <c r="A85" s="10" t="s">
        <v>91</v>
      </c>
      <c r="C85" s="11">
        <v>636897</v>
      </c>
      <c r="E85" s="11">
        <v>5100058362</v>
      </c>
      <c r="G85" s="11">
        <v>4064549911</v>
      </c>
      <c r="N85" s="7"/>
      <c r="O85" s="11">
        <v>636897</v>
      </c>
      <c r="Q85" s="11">
        <v>5580</v>
      </c>
      <c r="S85" s="11">
        <v>5100058362</v>
      </c>
      <c r="U85" s="11">
        <v>3532739643</v>
      </c>
      <c r="W85" s="12">
        <v>1.1430616457692453E-3</v>
      </c>
    </row>
    <row r="86" spans="1:23" ht="18.75" x14ac:dyDescent="0.45">
      <c r="A86" s="10" t="s">
        <v>92</v>
      </c>
      <c r="C86" s="11">
        <v>407809</v>
      </c>
      <c r="E86" s="11">
        <v>15540146852</v>
      </c>
      <c r="G86" s="11">
        <v>20889362103</v>
      </c>
      <c r="N86" s="7"/>
      <c r="O86" s="11">
        <v>407809</v>
      </c>
      <c r="Q86" s="11">
        <v>50290</v>
      </c>
      <c r="S86" s="11">
        <v>15540146852</v>
      </c>
      <c r="U86" s="11">
        <v>20386687758</v>
      </c>
      <c r="W86" s="12">
        <v>6.5963652052926577E-3</v>
      </c>
    </row>
    <row r="87" spans="1:23" ht="18.75" x14ac:dyDescent="0.45">
      <c r="A87" s="10" t="s">
        <v>93</v>
      </c>
      <c r="C87" s="11">
        <v>5595429</v>
      </c>
      <c r="E87" s="11">
        <v>82386436632</v>
      </c>
      <c r="G87" s="11">
        <v>126538598492</v>
      </c>
      <c r="I87" s="11">
        <v>537296</v>
      </c>
      <c r="J87" s="11">
        <v>12200405419</v>
      </c>
      <c r="L87" s="11">
        <v>0</v>
      </c>
      <c r="M87" s="11">
        <v>0</v>
      </c>
      <c r="O87" s="11">
        <v>6132725</v>
      </c>
      <c r="Q87" s="11">
        <v>19800</v>
      </c>
      <c r="S87" s="11">
        <v>94586842051</v>
      </c>
      <c r="U87" s="11">
        <v>120705458668</v>
      </c>
      <c r="W87" s="12">
        <v>3.905574545006902E-2</v>
      </c>
    </row>
    <row r="88" spans="1:23" ht="18.75" x14ac:dyDescent="0.45">
      <c r="A88" s="10" t="s">
        <v>94</v>
      </c>
      <c r="H88" s="7"/>
      <c r="I88" s="11">
        <v>50000</v>
      </c>
      <c r="J88" s="11">
        <v>10968169018</v>
      </c>
      <c r="L88" s="11">
        <v>0</v>
      </c>
      <c r="M88" s="11">
        <v>0</v>
      </c>
      <c r="O88" s="11">
        <v>50000</v>
      </c>
      <c r="Q88" s="11">
        <v>244250</v>
      </c>
      <c r="S88" s="11">
        <v>10968169018</v>
      </c>
      <c r="U88" s="11">
        <v>12139835625</v>
      </c>
      <c r="W88" s="12">
        <v>3.9279941040593165E-3</v>
      </c>
    </row>
    <row r="89" spans="1:23" ht="18.75" x14ac:dyDescent="0.45">
      <c r="A89" s="10" t="s">
        <v>95</v>
      </c>
      <c r="C89" s="11">
        <v>4400000</v>
      </c>
      <c r="E89" s="11">
        <v>152320407139</v>
      </c>
      <c r="G89" s="11">
        <v>169485525000</v>
      </c>
      <c r="I89" s="11">
        <v>0</v>
      </c>
      <c r="J89" s="11">
        <v>0</v>
      </c>
      <c r="L89" s="11">
        <v>2400000</v>
      </c>
      <c r="M89" s="11">
        <v>89731155064</v>
      </c>
      <c r="O89" s="11">
        <v>2000000</v>
      </c>
      <c r="Q89" s="11">
        <v>36650</v>
      </c>
      <c r="S89" s="11">
        <v>69236548700</v>
      </c>
      <c r="U89" s="11">
        <v>72863865000</v>
      </c>
      <c r="W89" s="12">
        <v>2.3576005553944557E-2</v>
      </c>
    </row>
    <row r="90" spans="1:23" ht="37.5" x14ac:dyDescent="0.45">
      <c r="A90" s="10" t="s">
        <v>96</v>
      </c>
      <c r="C90" s="11">
        <v>450000</v>
      </c>
      <c r="E90" s="11">
        <v>2252043000</v>
      </c>
      <c r="G90" s="11">
        <v>6235675650</v>
      </c>
      <c r="N90" s="7"/>
      <c r="O90" s="11">
        <v>450000</v>
      </c>
      <c r="Q90" s="11">
        <v>16590</v>
      </c>
      <c r="S90" s="11">
        <v>2252043000</v>
      </c>
      <c r="U90" s="11">
        <v>7421080275</v>
      </c>
      <c r="W90" s="12">
        <v>2.4011823937649807E-3</v>
      </c>
    </row>
    <row r="91" spans="1:23" ht="18.75" x14ac:dyDescent="0.45">
      <c r="A91" s="10" t="s">
        <v>97</v>
      </c>
      <c r="H91" s="7"/>
      <c r="I91" s="11">
        <v>2800000</v>
      </c>
      <c r="J91" s="11">
        <v>9946421645</v>
      </c>
      <c r="L91" s="11">
        <v>0</v>
      </c>
      <c r="M91" s="11">
        <v>0</v>
      </c>
      <c r="O91" s="11">
        <v>2800000</v>
      </c>
      <c r="Q91" s="11">
        <v>3339</v>
      </c>
      <c r="S91" s="11">
        <v>9946421645</v>
      </c>
      <c r="U91" s="11">
        <v>9293572260</v>
      </c>
      <c r="W91" s="12">
        <v>3.0070503564111656E-3</v>
      </c>
    </row>
    <row r="92" spans="1:23" ht="37.5" x14ac:dyDescent="0.45">
      <c r="A92" s="10" t="s">
        <v>98</v>
      </c>
      <c r="C92" s="11">
        <v>21600000</v>
      </c>
      <c r="E92" s="11">
        <v>27959586333</v>
      </c>
      <c r="G92" s="11">
        <v>40709926080</v>
      </c>
      <c r="N92" s="7"/>
      <c r="O92" s="11">
        <v>21600000</v>
      </c>
      <c r="Q92" s="11">
        <v>1713</v>
      </c>
      <c r="S92" s="11">
        <v>27959586333</v>
      </c>
      <c r="U92" s="11">
        <v>36780645240</v>
      </c>
      <c r="W92" s="12">
        <v>1.1900833100960325E-2</v>
      </c>
    </row>
    <row r="93" spans="1:23" ht="18.75" x14ac:dyDescent="0.45">
      <c r="A93" s="13" t="s">
        <v>99</v>
      </c>
      <c r="C93" s="13">
        <f>SUM(C11:$C$92)</f>
        <v>471638368</v>
      </c>
      <c r="E93" s="13">
        <f>SUM(E11:$E$92)</f>
        <v>2616265051719</v>
      </c>
      <c r="G93" s="13">
        <f>SUM(G11:$G$92)</f>
        <v>3305047589614</v>
      </c>
      <c r="I93" s="13">
        <f>SUM(I11:$I$92)</f>
        <v>36476889</v>
      </c>
      <c r="J93" s="13">
        <f>SUM(J11:$J$92)</f>
        <v>265706073806</v>
      </c>
      <c r="L93" s="13">
        <f>SUM(L11:$L$92)</f>
        <v>27973290</v>
      </c>
      <c r="M93" s="13">
        <f>SUM(M11:$M$92)</f>
        <v>272306333966</v>
      </c>
      <c r="O93" s="13">
        <f>SUM(O11:$O$92)</f>
        <v>490919324</v>
      </c>
      <c r="Q93" s="13">
        <f>SUM(Q11:$Q$92)</f>
        <v>1367969</v>
      </c>
      <c r="S93" s="13">
        <f>SUM(S11:$S$92)</f>
        <v>2645077715220</v>
      </c>
      <c r="U93" s="13">
        <f>SUM(U11:$U$92)</f>
        <v>3034806028436</v>
      </c>
      <c r="W93" s="14">
        <f>SUM(W11:$W$92)</f>
        <v>0.98194906050552755</v>
      </c>
    </row>
    <row r="94" spans="1:23" ht="18.75" x14ac:dyDescent="0.45">
      <c r="C94" s="15"/>
      <c r="E94" s="15"/>
      <c r="G94" s="15"/>
      <c r="I94" s="15"/>
      <c r="J94" s="15"/>
      <c r="L94" s="15"/>
      <c r="M94" s="15"/>
      <c r="O94" s="15"/>
      <c r="Q94" s="15"/>
      <c r="S94" s="15"/>
      <c r="U94" s="15"/>
      <c r="W94" s="15"/>
    </row>
  </sheetData>
  <mergeCells count="19">
    <mergeCell ref="A1:W1"/>
    <mergeCell ref="A2:W2"/>
    <mergeCell ref="A3:W3"/>
    <mergeCell ref="A5:W5"/>
    <mergeCell ref="A6:W6"/>
    <mergeCell ref="C8:G8"/>
    <mergeCell ref="I8:M8"/>
    <mergeCell ref="O8:W8"/>
    <mergeCell ref="A9:A10"/>
    <mergeCell ref="C9:C10"/>
    <mergeCell ref="E9:E10"/>
    <mergeCell ref="G9:G10"/>
    <mergeCell ref="I9:J9"/>
    <mergeCell ref="L9:M9"/>
    <mergeCell ref="O9:O10"/>
    <mergeCell ref="Q9:Q10"/>
    <mergeCell ref="S9:S10"/>
    <mergeCell ref="U9:U10"/>
    <mergeCell ref="W9:W10"/>
  </mergeCells>
  <pageMargins left="0.7" right="0.7" top="0.75" bottom="0.75" header="0.3" footer="0.3"/>
  <pageSetup paperSize="9" scale="57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24"/>
  <sheetViews>
    <sheetView rightToLeft="1" view="pageBreakPreview" zoomScale="60" zoomScaleNormal="100" workbookViewId="0">
      <selection sqref="A1:W1"/>
    </sheetView>
  </sheetViews>
  <sheetFormatPr defaultRowHeight="18" x14ac:dyDescent="0.45"/>
  <cols>
    <col min="1" max="1" width="17" style="4" customWidth="1"/>
    <col min="2" max="2" width="1.42578125" style="4" customWidth="1"/>
    <col min="3" max="3" width="12.7109375" style="4" customWidth="1"/>
    <col min="4" max="4" width="1.42578125" style="4" customWidth="1"/>
    <col min="5" max="5" width="17" style="4" customWidth="1"/>
    <col min="6" max="6" width="1.42578125" style="4" customWidth="1"/>
    <col min="7" max="7" width="17" style="4" customWidth="1"/>
    <col min="8" max="8" width="1.42578125" style="4" customWidth="1"/>
    <col min="9" max="9" width="11.42578125" style="4" customWidth="1"/>
    <col min="10" max="10" width="17" style="4" customWidth="1"/>
    <col min="11" max="11" width="1.42578125" style="4" customWidth="1"/>
    <col min="12" max="12" width="11.42578125" style="4" customWidth="1"/>
    <col min="13" max="13" width="17" style="4" customWidth="1"/>
    <col min="14" max="14" width="1.42578125" style="4" customWidth="1"/>
    <col min="15" max="15" width="12.7109375" style="4" customWidth="1"/>
    <col min="16" max="16" width="1.42578125" style="4" customWidth="1"/>
    <col min="17" max="17" width="11.42578125" style="4" customWidth="1"/>
    <col min="18" max="18" width="1.42578125" style="4" customWidth="1"/>
    <col min="19" max="19" width="17" style="4" customWidth="1"/>
    <col min="20" max="20" width="1.42578125" style="4" customWidth="1"/>
    <col min="21" max="21" width="17" style="4" customWidth="1"/>
    <col min="22" max="22" width="1.42578125" style="4" customWidth="1"/>
    <col min="23" max="23" width="8.5703125" style="4" customWidth="1"/>
    <col min="24" max="16384" width="9.140625" style="4"/>
  </cols>
  <sheetData>
    <row r="1" spans="1:23" ht="20.100000000000001" customHeight="1" x14ac:dyDescent="0.45">
      <c r="A1" s="33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</row>
    <row r="2" spans="1:23" ht="20.100000000000001" customHeight="1" x14ac:dyDescent="0.45">
      <c r="A2" s="33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</row>
    <row r="3" spans="1:23" ht="20.100000000000001" customHeight="1" x14ac:dyDescent="0.45">
      <c r="A3" s="33" t="s">
        <v>2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</row>
    <row r="5" spans="1:23" ht="21" x14ac:dyDescent="0.45">
      <c r="A5" s="34" t="s">
        <v>100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</row>
    <row r="7" spans="1:23" ht="21" x14ac:dyDescent="0.45">
      <c r="A7" s="27" t="s">
        <v>101</v>
      </c>
      <c r="B7" s="28"/>
      <c r="C7" s="28"/>
      <c r="D7" s="28"/>
      <c r="E7" s="28"/>
      <c r="F7" s="28"/>
      <c r="G7" s="28"/>
      <c r="I7" s="27" t="s">
        <v>5</v>
      </c>
      <c r="J7" s="28"/>
      <c r="K7" s="28"/>
      <c r="L7" s="28"/>
      <c r="M7" s="28"/>
      <c r="O7" s="27" t="s">
        <v>7</v>
      </c>
      <c r="P7" s="28"/>
      <c r="Q7" s="28"/>
      <c r="R7" s="28"/>
      <c r="S7" s="28"/>
      <c r="T7" s="28"/>
      <c r="U7" s="28"/>
      <c r="V7" s="28"/>
      <c r="W7" s="28"/>
    </row>
    <row r="8" spans="1:23" x14ac:dyDescent="0.45">
      <c r="A8" s="29"/>
      <c r="B8" s="31"/>
      <c r="C8" s="31"/>
      <c r="D8" s="31"/>
      <c r="E8" s="31"/>
      <c r="F8" s="31"/>
      <c r="G8" s="31"/>
      <c r="I8" s="29" t="s">
        <v>102</v>
      </c>
      <c r="J8" s="29" t="s">
        <v>103</v>
      </c>
      <c r="L8" s="29" t="s">
        <v>104</v>
      </c>
      <c r="M8" s="29" t="s">
        <v>105</v>
      </c>
      <c r="O8" s="29" t="s">
        <v>102</v>
      </c>
      <c r="Q8" s="29" t="s">
        <v>103</v>
      </c>
      <c r="S8" s="32" t="s">
        <v>104</v>
      </c>
      <c r="U8" s="29" t="s">
        <v>105</v>
      </c>
    </row>
    <row r="9" spans="1:23" x14ac:dyDescent="0.45">
      <c r="A9" s="31"/>
      <c r="B9" s="31"/>
      <c r="C9" s="31"/>
      <c r="D9" s="31"/>
      <c r="E9" s="31"/>
      <c r="F9" s="31"/>
      <c r="G9" s="31"/>
      <c r="I9" s="31"/>
      <c r="J9" s="31"/>
      <c r="L9" s="31"/>
      <c r="M9" s="31"/>
      <c r="O9" s="31"/>
      <c r="Q9" s="31"/>
      <c r="S9" s="31"/>
      <c r="U9" s="31"/>
    </row>
    <row r="10" spans="1:23" x14ac:dyDescent="0.45">
      <c r="A10" s="29" t="s">
        <v>106</v>
      </c>
      <c r="B10" s="31"/>
      <c r="C10" s="31"/>
      <c r="D10" s="31"/>
      <c r="E10" s="31"/>
      <c r="F10" s="31"/>
      <c r="G10" s="31"/>
      <c r="I10" s="35">
        <v>188</v>
      </c>
      <c r="J10" s="35">
        <v>22</v>
      </c>
      <c r="L10" s="29" t="s">
        <v>107</v>
      </c>
      <c r="M10" s="36" t="s">
        <v>108</v>
      </c>
      <c r="O10" s="35">
        <v>0</v>
      </c>
      <c r="Q10" s="35">
        <v>0</v>
      </c>
      <c r="S10" s="29"/>
      <c r="U10" s="36" t="s">
        <v>109</v>
      </c>
    </row>
    <row r="11" spans="1:23" x14ac:dyDescent="0.45">
      <c r="A11" s="31"/>
      <c r="B11" s="31"/>
      <c r="C11" s="31"/>
      <c r="D11" s="31"/>
      <c r="E11" s="31"/>
      <c r="F11" s="31"/>
      <c r="G11" s="31"/>
      <c r="I11" s="31"/>
      <c r="J11" s="31"/>
      <c r="L11" s="31"/>
      <c r="M11" s="31"/>
      <c r="O11" s="31"/>
      <c r="Q11" s="31"/>
      <c r="S11" s="31"/>
      <c r="U11" s="31"/>
    </row>
    <row r="12" spans="1:23" x14ac:dyDescent="0.45">
      <c r="A12" s="29" t="s">
        <v>110</v>
      </c>
      <c r="B12" s="31"/>
      <c r="C12" s="31"/>
      <c r="D12" s="31"/>
      <c r="E12" s="31"/>
      <c r="F12" s="31"/>
      <c r="G12" s="31"/>
      <c r="I12" s="35">
        <v>0</v>
      </c>
      <c r="J12" s="35">
        <v>0</v>
      </c>
      <c r="L12" s="29"/>
      <c r="M12" s="36" t="s">
        <v>109</v>
      </c>
      <c r="O12" s="35">
        <v>123</v>
      </c>
      <c r="Q12" s="35">
        <v>22</v>
      </c>
      <c r="S12" s="29" t="s">
        <v>111</v>
      </c>
      <c r="U12" s="36" t="s">
        <v>112</v>
      </c>
    </row>
    <row r="13" spans="1:23" x14ac:dyDescent="0.45">
      <c r="A13" s="31"/>
      <c r="B13" s="31"/>
      <c r="C13" s="31"/>
      <c r="D13" s="31"/>
      <c r="E13" s="31"/>
      <c r="F13" s="31"/>
      <c r="G13" s="31"/>
      <c r="I13" s="31"/>
      <c r="J13" s="31"/>
      <c r="L13" s="31"/>
      <c r="M13" s="31"/>
      <c r="O13" s="31"/>
      <c r="Q13" s="31"/>
      <c r="S13" s="31"/>
      <c r="U13" s="31"/>
    </row>
    <row r="15" spans="1:23" ht="21" x14ac:dyDescent="0.45">
      <c r="A15" s="34" t="s">
        <v>113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</row>
    <row r="17" spans="1:24" ht="21" x14ac:dyDescent="0.45">
      <c r="A17" s="27" t="s">
        <v>101</v>
      </c>
      <c r="B17" s="28"/>
      <c r="C17" s="28"/>
      <c r="D17" s="28"/>
      <c r="E17" s="28"/>
      <c r="F17" s="28"/>
      <c r="G17" s="28"/>
      <c r="I17" s="27" t="s">
        <v>5</v>
      </c>
      <c r="J17" s="28"/>
      <c r="K17" s="28"/>
      <c r="L17" s="28"/>
      <c r="M17" s="28"/>
      <c r="N17" s="28"/>
      <c r="O17" s="28"/>
      <c r="Q17" s="27" t="s">
        <v>7</v>
      </c>
      <c r="R17" s="28"/>
      <c r="S17" s="28"/>
      <c r="T17" s="28"/>
      <c r="U17" s="28"/>
      <c r="V17" s="28"/>
      <c r="W17" s="28"/>
      <c r="X17" s="28"/>
    </row>
    <row r="18" spans="1:24" x14ac:dyDescent="0.45">
      <c r="A18" s="29"/>
      <c r="B18" s="31"/>
      <c r="C18" s="31"/>
      <c r="D18" s="31"/>
      <c r="E18" s="31"/>
      <c r="F18" s="31"/>
      <c r="G18" s="31"/>
      <c r="I18" s="29" t="s">
        <v>114</v>
      </c>
      <c r="J18" s="29" t="s">
        <v>115</v>
      </c>
      <c r="L18" s="29" t="s">
        <v>116</v>
      </c>
      <c r="M18" s="29" t="s">
        <v>103</v>
      </c>
      <c r="O18" s="29" t="s">
        <v>104</v>
      </c>
      <c r="Q18" s="29" t="s">
        <v>114</v>
      </c>
      <c r="S18" s="29" t="s">
        <v>115</v>
      </c>
      <c r="U18" s="29" t="s">
        <v>116</v>
      </c>
      <c r="W18" s="29" t="s">
        <v>103</v>
      </c>
      <c r="X18" s="29" t="s">
        <v>104</v>
      </c>
    </row>
    <row r="19" spans="1:24" x14ac:dyDescent="0.45">
      <c r="A19" s="31"/>
      <c r="B19" s="31"/>
      <c r="C19" s="31"/>
      <c r="D19" s="31"/>
      <c r="E19" s="31"/>
      <c r="F19" s="31"/>
      <c r="G19" s="31"/>
      <c r="I19" s="31"/>
      <c r="J19" s="31"/>
      <c r="L19" s="31"/>
      <c r="M19" s="31"/>
      <c r="O19" s="31"/>
      <c r="Q19" s="31"/>
      <c r="S19" s="31"/>
      <c r="U19" s="31"/>
      <c r="W19" s="31"/>
      <c r="X19" s="31"/>
    </row>
    <row r="21" spans="1:24" ht="21" x14ac:dyDescent="0.45">
      <c r="A21" s="34" t="s">
        <v>117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</row>
    <row r="22" spans="1:24" ht="21" x14ac:dyDescent="0.45">
      <c r="A22" s="27" t="s">
        <v>101</v>
      </c>
      <c r="B22" s="28"/>
      <c r="C22" s="28"/>
      <c r="D22" s="28"/>
      <c r="E22" s="28"/>
      <c r="F22" s="28"/>
      <c r="G22" s="28"/>
      <c r="I22" s="27" t="s">
        <v>5</v>
      </c>
      <c r="J22" s="28"/>
      <c r="K22" s="28"/>
      <c r="L22" s="28"/>
      <c r="M22" s="28"/>
      <c r="O22" s="27" t="s">
        <v>7</v>
      </c>
      <c r="P22" s="28"/>
      <c r="Q22" s="28"/>
      <c r="R22" s="28"/>
      <c r="S22" s="28"/>
      <c r="T22" s="28"/>
      <c r="U22" s="28"/>
      <c r="V22" s="28"/>
      <c r="W22" s="28"/>
    </row>
    <row r="23" spans="1:24" x14ac:dyDescent="0.45">
      <c r="A23" s="29"/>
      <c r="B23" s="31"/>
      <c r="C23" s="31"/>
      <c r="D23" s="31"/>
      <c r="E23" s="31"/>
      <c r="F23" s="31"/>
      <c r="G23" s="31"/>
      <c r="I23" s="29" t="s">
        <v>115</v>
      </c>
      <c r="J23" s="29" t="s">
        <v>116</v>
      </c>
      <c r="L23" s="29" t="s">
        <v>103</v>
      </c>
      <c r="M23" s="29" t="s">
        <v>104</v>
      </c>
      <c r="O23" s="29" t="s">
        <v>115</v>
      </c>
      <c r="Q23" s="29" t="s">
        <v>116</v>
      </c>
      <c r="S23" s="29" t="s">
        <v>103</v>
      </c>
      <c r="U23" s="29" t="s">
        <v>104</v>
      </c>
    </row>
    <row r="24" spans="1:24" x14ac:dyDescent="0.45">
      <c r="A24" s="31"/>
      <c r="B24" s="31"/>
      <c r="C24" s="31"/>
      <c r="D24" s="31"/>
      <c r="E24" s="31"/>
      <c r="F24" s="31"/>
      <c r="G24" s="31"/>
      <c r="I24" s="31"/>
      <c r="J24" s="31"/>
      <c r="L24" s="31"/>
      <c r="M24" s="31"/>
      <c r="O24" s="31"/>
      <c r="Q24" s="31"/>
      <c r="S24" s="31"/>
      <c r="U24" s="31"/>
    </row>
  </sheetData>
  <mergeCells count="62">
    <mergeCell ref="L8:L9"/>
    <mergeCell ref="M8:M9"/>
    <mergeCell ref="A1:W1"/>
    <mergeCell ref="A2:W2"/>
    <mergeCell ref="A3:W3"/>
    <mergeCell ref="A5:W5"/>
    <mergeCell ref="A7:G7"/>
    <mergeCell ref="I7:M7"/>
    <mergeCell ref="O7:W7"/>
    <mergeCell ref="O8:O9"/>
    <mergeCell ref="Q8:Q9"/>
    <mergeCell ref="S8:S9"/>
    <mergeCell ref="U8:U9"/>
    <mergeCell ref="A10:G11"/>
    <mergeCell ref="I10:I11"/>
    <mergeCell ref="J10:J11"/>
    <mergeCell ref="L10:L11"/>
    <mergeCell ref="M10:M11"/>
    <mergeCell ref="O10:O11"/>
    <mergeCell ref="Q10:Q11"/>
    <mergeCell ref="S10:S11"/>
    <mergeCell ref="U10:U11"/>
    <mergeCell ref="A8:G9"/>
    <mergeCell ref="I8:I9"/>
    <mergeCell ref="J8:J9"/>
    <mergeCell ref="O12:O13"/>
    <mergeCell ref="Q12:Q13"/>
    <mergeCell ref="S12:S13"/>
    <mergeCell ref="U12:U13"/>
    <mergeCell ref="A15:W15"/>
    <mergeCell ref="A12:G13"/>
    <mergeCell ref="I12:I13"/>
    <mergeCell ref="J12:J13"/>
    <mergeCell ref="L12:L13"/>
    <mergeCell ref="M12:M13"/>
    <mergeCell ref="A17:G17"/>
    <mergeCell ref="I17:O17"/>
    <mergeCell ref="Q17:X17"/>
    <mergeCell ref="A18:G19"/>
    <mergeCell ref="I18:I19"/>
    <mergeCell ref="J18:J19"/>
    <mergeCell ref="L18:L19"/>
    <mergeCell ref="M18:M19"/>
    <mergeCell ref="O18:O19"/>
    <mergeCell ref="Q18:Q19"/>
    <mergeCell ref="S18:S19"/>
    <mergeCell ref="U18:U19"/>
    <mergeCell ref="W18:W19"/>
    <mergeCell ref="X18:X19"/>
    <mergeCell ref="A21:W21"/>
    <mergeCell ref="A22:G22"/>
    <mergeCell ref="I22:M22"/>
    <mergeCell ref="O22:W22"/>
    <mergeCell ref="A23:G24"/>
    <mergeCell ref="I23:I24"/>
    <mergeCell ref="J23:J24"/>
    <mergeCell ref="L23:L24"/>
    <mergeCell ref="M23:M24"/>
    <mergeCell ref="O23:O24"/>
    <mergeCell ref="Q23:Q24"/>
    <mergeCell ref="S23:S24"/>
    <mergeCell ref="U23:U24"/>
  </mergeCells>
  <pageMargins left="0.7" right="0.7" top="0.75" bottom="0.75" header="0.3" footer="0.3"/>
  <pageSetup paperSize="9" scale="62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I11"/>
  <sheetViews>
    <sheetView rightToLeft="1" view="pageBreakPreview" zoomScale="60" zoomScaleNormal="100" workbookViewId="0">
      <selection sqref="A1:W1"/>
    </sheetView>
  </sheetViews>
  <sheetFormatPr defaultRowHeight="18" x14ac:dyDescent="0.45"/>
  <cols>
    <col min="1" max="1" width="17" style="4" customWidth="1"/>
    <col min="2" max="2" width="1.42578125" style="4" customWidth="1"/>
    <col min="3" max="3" width="8.5703125" style="4" customWidth="1"/>
    <col min="4" max="4" width="1.42578125" style="4" customWidth="1"/>
    <col min="5" max="5" width="11.42578125" style="4" customWidth="1"/>
    <col min="6" max="6" width="1.42578125" style="4" customWidth="1"/>
    <col min="7" max="7" width="11.42578125" style="4" customWidth="1"/>
    <col min="8" max="8" width="1.42578125" style="4" customWidth="1"/>
    <col min="9" max="9" width="11.42578125" style="4" customWidth="1"/>
    <col min="10" max="10" width="1.42578125" style="4" customWidth="1"/>
    <col min="11" max="11" width="7.140625" style="4" customWidth="1"/>
    <col min="12" max="12" width="1.42578125" style="4" customWidth="1"/>
    <col min="13" max="13" width="7.140625" style="4" customWidth="1"/>
    <col min="14" max="14" width="1.42578125" style="4" customWidth="1"/>
    <col min="15" max="15" width="11.42578125" style="4" customWidth="1"/>
    <col min="16" max="16" width="1.42578125" style="4" customWidth="1"/>
    <col min="17" max="17" width="18.42578125" style="4" customWidth="1"/>
    <col min="18" max="18" width="1.42578125" style="4" customWidth="1"/>
    <col min="19" max="19" width="18.42578125" style="4" customWidth="1"/>
    <col min="20" max="20" width="1.42578125" style="4" customWidth="1"/>
    <col min="21" max="21" width="11.42578125" style="4" customWidth="1"/>
    <col min="22" max="22" width="18.42578125" style="4" customWidth="1"/>
    <col min="23" max="23" width="1.42578125" style="4" customWidth="1"/>
    <col min="24" max="24" width="11.42578125" style="4" customWidth="1"/>
    <col min="25" max="25" width="18.42578125" style="4" customWidth="1"/>
    <col min="26" max="26" width="1.42578125" style="4" customWidth="1"/>
    <col min="27" max="27" width="11.42578125" style="4" customWidth="1"/>
    <col min="28" max="28" width="1.42578125" style="4" customWidth="1"/>
    <col min="29" max="29" width="11.42578125" style="4" customWidth="1"/>
    <col min="30" max="30" width="1.42578125" style="4" customWidth="1"/>
    <col min="31" max="31" width="18.42578125" style="4" customWidth="1"/>
    <col min="32" max="32" width="1.42578125" style="4" customWidth="1"/>
    <col min="33" max="33" width="18.42578125" style="4" customWidth="1"/>
    <col min="34" max="34" width="1.42578125" style="4" customWidth="1"/>
    <col min="35" max="35" width="8.5703125" style="4" customWidth="1"/>
    <col min="36" max="16384" width="9.140625" style="4"/>
  </cols>
  <sheetData>
    <row r="1" spans="1:35" ht="20.100000000000001" customHeight="1" x14ac:dyDescent="0.45">
      <c r="A1" s="33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</row>
    <row r="2" spans="1:35" ht="20.100000000000001" customHeight="1" x14ac:dyDescent="0.45">
      <c r="A2" s="33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</row>
    <row r="3" spans="1:35" ht="20.100000000000001" customHeight="1" x14ac:dyDescent="0.45">
      <c r="A3" s="33" t="s">
        <v>2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</row>
    <row r="5" spans="1:35" ht="21" x14ac:dyDescent="0.45">
      <c r="A5" s="34" t="s">
        <v>118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7" spans="1:35" ht="21" x14ac:dyDescent="0.45">
      <c r="C7" s="27" t="s">
        <v>119</v>
      </c>
      <c r="D7" s="28"/>
      <c r="E7" s="28"/>
      <c r="F7" s="28"/>
      <c r="G7" s="28"/>
      <c r="H7" s="28"/>
      <c r="I7" s="28"/>
      <c r="J7" s="28"/>
      <c r="K7" s="28"/>
      <c r="L7" s="28"/>
      <c r="M7" s="28"/>
      <c r="O7" s="27" t="s">
        <v>5</v>
      </c>
      <c r="P7" s="28"/>
      <c r="Q7" s="28"/>
      <c r="R7" s="28"/>
      <c r="S7" s="28"/>
      <c r="U7" s="27" t="s">
        <v>6</v>
      </c>
      <c r="V7" s="28"/>
      <c r="W7" s="28"/>
      <c r="X7" s="28"/>
      <c r="Y7" s="28"/>
      <c r="AA7" s="27" t="s">
        <v>7</v>
      </c>
      <c r="AB7" s="28"/>
      <c r="AC7" s="28"/>
      <c r="AD7" s="28"/>
      <c r="AE7" s="28"/>
      <c r="AF7" s="28"/>
      <c r="AG7" s="28"/>
      <c r="AH7" s="28"/>
      <c r="AI7" s="28"/>
    </row>
    <row r="8" spans="1:35" ht="18.75" x14ac:dyDescent="0.45">
      <c r="A8" s="29" t="s">
        <v>120</v>
      </c>
      <c r="C8" s="32" t="s">
        <v>121</v>
      </c>
      <c r="E8" s="32" t="s">
        <v>122</v>
      </c>
      <c r="G8" s="32" t="s">
        <v>123</v>
      </c>
      <c r="I8" s="32" t="s">
        <v>124</v>
      </c>
      <c r="K8" s="32" t="s">
        <v>125</v>
      </c>
      <c r="M8" s="32" t="s">
        <v>126</v>
      </c>
      <c r="O8" s="29" t="s">
        <v>9</v>
      </c>
      <c r="Q8" s="29" t="s">
        <v>10</v>
      </c>
      <c r="S8" s="29" t="s">
        <v>11</v>
      </c>
      <c r="U8" s="29" t="s">
        <v>12</v>
      </c>
      <c r="V8" s="31"/>
      <c r="X8" s="29" t="s">
        <v>13</v>
      </c>
      <c r="Y8" s="31"/>
      <c r="AA8" s="29" t="s">
        <v>9</v>
      </c>
      <c r="AC8" s="32" t="s">
        <v>127</v>
      </c>
      <c r="AE8" s="29" t="s">
        <v>10</v>
      </c>
      <c r="AG8" s="29" t="s">
        <v>11</v>
      </c>
      <c r="AI8" s="32" t="s">
        <v>15</v>
      </c>
    </row>
    <row r="9" spans="1:35" ht="18.75" x14ac:dyDescent="0.45">
      <c r="A9" s="30"/>
      <c r="C9" s="30"/>
      <c r="E9" s="30"/>
      <c r="G9" s="30"/>
      <c r="I9" s="30"/>
      <c r="K9" s="30"/>
      <c r="M9" s="30"/>
      <c r="O9" s="30"/>
      <c r="Q9" s="30"/>
      <c r="S9" s="30"/>
      <c r="U9" s="9" t="s">
        <v>9</v>
      </c>
      <c r="V9" s="9" t="s">
        <v>10</v>
      </c>
      <c r="X9" s="9" t="s">
        <v>9</v>
      </c>
      <c r="Y9" s="9" t="s">
        <v>16</v>
      </c>
      <c r="AA9" s="30"/>
      <c r="AC9" s="30"/>
      <c r="AE9" s="30"/>
      <c r="AG9" s="30"/>
      <c r="AI9" s="30"/>
    </row>
    <row r="10" spans="1:35" ht="18.75" x14ac:dyDescent="0.45">
      <c r="A10" s="13" t="s">
        <v>99</v>
      </c>
      <c r="O10" s="13">
        <f>SUM($O$9)</f>
        <v>0</v>
      </c>
      <c r="Q10" s="13">
        <f>SUM($Q$9)</f>
        <v>0</v>
      </c>
      <c r="S10" s="13">
        <f>SUM($S$9)</f>
        <v>0</v>
      </c>
      <c r="U10" s="13">
        <f>SUM($U$9)</f>
        <v>0</v>
      </c>
      <c r="V10" s="13">
        <f>SUM($V$9)</f>
        <v>0</v>
      </c>
      <c r="X10" s="13">
        <f>SUM($X$9)</f>
        <v>0</v>
      </c>
      <c r="Y10" s="13">
        <f>SUM($Y$9)</f>
        <v>0</v>
      </c>
      <c r="AA10" s="13">
        <f>SUM($AA$9)</f>
        <v>0</v>
      </c>
      <c r="AC10" s="13">
        <f>SUM($AC$9)</f>
        <v>0</v>
      </c>
      <c r="AE10" s="13">
        <f>SUM($AE$9)</f>
        <v>0</v>
      </c>
      <c r="AG10" s="13">
        <f>SUM($AG$9)</f>
        <v>0</v>
      </c>
      <c r="AI10" s="14">
        <f>SUM($AI$9)</f>
        <v>0</v>
      </c>
    </row>
    <row r="11" spans="1:35" ht="18.75" x14ac:dyDescent="0.45">
      <c r="O11" s="15"/>
      <c r="Q11" s="15"/>
      <c r="S11" s="15"/>
      <c r="U11" s="15"/>
      <c r="V11" s="15"/>
      <c r="X11" s="15"/>
      <c r="Y11" s="15"/>
      <c r="AA11" s="15"/>
      <c r="AC11" s="15"/>
      <c r="AE11" s="15"/>
      <c r="AG11" s="15"/>
      <c r="AI11" s="15"/>
    </row>
  </sheetData>
  <mergeCells count="25">
    <mergeCell ref="A1:AI1"/>
    <mergeCell ref="A2:AI2"/>
    <mergeCell ref="A3:AI3"/>
    <mergeCell ref="A5:AI5"/>
    <mergeCell ref="C7:M7"/>
    <mergeCell ref="O7:S7"/>
    <mergeCell ref="U7:Y7"/>
    <mergeCell ref="AA7:AI7"/>
    <mergeCell ref="A8:A9"/>
    <mergeCell ref="C8:C9"/>
    <mergeCell ref="E8:E9"/>
    <mergeCell ref="G8:G9"/>
    <mergeCell ref="I8:I9"/>
    <mergeCell ref="K8:K9"/>
    <mergeCell ref="M8:M9"/>
    <mergeCell ref="O8:O9"/>
    <mergeCell ref="Q8:Q9"/>
    <mergeCell ref="S8:S9"/>
    <mergeCell ref="AG8:AG9"/>
    <mergeCell ref="AI8:AI9"/>
    <mergeCell ref="U8:V8"/>
    <mergeCell ref="X8:Y8"/>
    <mergeCell ref="AA8:AA9"/>
    <mergeCell ref="AC8:AC9"/>
    <mergeCell ref="AE8:AE9"/>
  </mergeCells>
  <pageMargins left="0.7" right="0.7" top="0.75" bottom="0.75" header="0.3" footer="0.3"/>
  <pageSetup paperSize="9" scale="48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11"/>
  <sheetViews>
    <sheetView rightToLeft="1" view="pageBreakPreview" zoomScale="60" zoomScaleNormal="100" workbookViewId="0">
      <selection sqref="A1:W1"/>
    </sheetView>
  </sheetViews>
  <sheetFormatPr defaultRowHeight="18" x14ac:dyDescent="0.45"/>
  <cols>
    <col min="1" max="1" width="28.42578125" style="4" customWidth="1"/>
    <col min="2" max="2" width="1.42578125" style="4" customWidth="1"/>
    <col min="3" max="3" width="11.42578125" style="4" customWidth="1"/>
    <col min="4" max="4" width="1.42578125" style="4" customWidth="1"/>
    <col min="5" max="5" width="11.42578125" style="4" customWidth="1"/>
    <col min="6" max="6" width="1.42578125" style="4" customWidth="1"/>
    <col min="7" max="7" width="14.140625" style="4" customWidth="1"/>
    <col min="8" max="8" width="1.42578125" style="4" customWidth="1"/>
    <col min="9" max="9" width="8.5703125" style="4" customWidth="1"/>
    <col min="10" max="10" width="1.42578125" style="4" customWidth="1"/>
    <col min="11" max="11" width="21.28515625" style="4" customWidth="1"/>
    <col min="12" max="12" width="1.42578125" style="4" customWidth="1"/>
    <col min="13" max="13" width="28.42578125" style="4" customWidth="1"/>
    <col min="14" max="16384" width="9.140625" style="4"/>
  </cols>
  <sheetData>
    <row r="1" spans="1:13" ht="20.100000000000001" customHeight="1" x14ac:dyDescent="0.45">
      <c r="A1" s="33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2" spans="1:13" ht="20.100000000000001" customHeight="1" x14ac:dyDescent="0.45">
      <c r="A2" s="33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</row>
    <row r="3" spans="1:13" ht="20.100000000000001" customHeight="1" x14ac:dyDescent="0.45">
      <c r="A3" s="33" t="s">
        <v>2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</row>
    <row r="5" spans="1:13" ht="21" x14ac:dyDescent="0.45">
      <c r="A5" s="34" t="s">
        <v>128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</row>
    <row r="6" spans="1:13" ht="21" x14ac:dyDescent="0.45">
      <c r="A6" s="34" t="s">
        <v>129</v>
      </c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</row>
    <row r="8" spans="1:13" ht="21" x14ac:dyDescent="0.45">
      <c r="C8" s="27" t="s">
        <v>7</v>
      </c>
      <c r="D8" s="28"/>
      <c r="E8" s="28"/>
      <c r="F8" s="28"/>
      <c r="G8" s="28"/>
      <c r="H8" s="28"/>
      <c r="I8" s="28"/>
      <c r="J8" s="28"/>
      <c r="K8" s="28"/>
      <c r="L8" s="28"/>
      <c r="M8" s="28"/>
    </row>
    <row r="9" spans="1:13" ht="42" x14ac:dyDescent="0.45">
      <c r="A9" s="6" t="s">
        <v>130</v>
      </c>
      <c r="C9" s="6" t="s">
        <v>9</v>
      </c>
      <c r="E9" s="6" t="s">
        <v>131</v>
      </c>
      <c r="G9" s="6" t="s">
        <v>132</v>
      </c>
      <c r="I9" s="6" t="s">
        <v>133</v>
      </c>
      <c r="K9" s="16" t="s">
        <v>134</v>
      </c>
      <c r="M9" s="6" t="s">
        <v>135</v>
      </c>
    </row>
    <row r="10" spans="1:13" ht="18.75" x14ac:dyDescent="0.45">
      <c r="A10" s="13" t="s">
        <v>99</v>
      </c>
      <c r="K10" s="13">
        <f>SUM($K$9)</f>
        <v>0</v>
      </c>
    </row>
    <row r="11" spans="1:13" ht="18.75" x14ac:dyDescent="0.45">
      <c r="K11" s="15"/>
    </row>
  </sheetData>
  <mergeCells count="6">
    <mergeCell ref="C8:M8"/>
    <mergeCell ref="A1:M1"/>
    <mergeCell ref="A2:M2"/>
    <mergeCell ref="A3:M3"/>
    <mergeCell ref="A5:M5"/>
    <mergeCell ref="A6:M6"/>
  </mergeCells>
  <pageMargins left="0.7" right="0.7" top="0.75" bottom="0.75" header="0.3" footer="0.3"/>
  <pageSetup paperSize="9" scale="99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O17"/>
  <sheetViews>
    <sheetView rightToLeft="1" view="pageBreakPreview" zoomScale="87" zoomScaleNormal="100" zoomScaleSheetLayoutView="87" workbookViewId="0">
      <selection sqref="A1:W1"/>
    </sheetView>
  </sheetViews>
  <sheetFormatPr defaultRowHeight="18" x14ac:dyDescent="0.45"/>
  <cols>
    <col min="1" max="1" width="21.28515625" style="4" customWidth="1"/>
    <col min="2" max="2" width="1.42578125" style="4" customWidth="1"/>
    <col min="3" max="3" width="18.42578125" style="4" customWidth="1"/>
    <col min="4" max="4" width="1.42578125" style="4" customWidth="1"/>
    <col min="5" max="5" width="18.42578125" style="4" customWidth="1"/>
    <col min="6" max="6" width="1.42578125" style="4" customWidth="1"/>
    <col min="7" max="7" width="18.42578125" style="4" customWidth="1"/>
    <col min="8" max="8" width="1.42578125" style="4" customWidth="1"/>
    <col min="9" max="9" width="18.42578125" style="4" customWidth="1"/>
    <col min="10" max="10" width="1.42578125" style="4" customWidth="1"/>
    <col min="11" max="11" width="10.7109375" style="4" customWidth="1"/>
    <col min="12" max="16384" width="9.140625" style="4"/>
  </cols>
  <sheetData>
    <row r="1" spans="1:15" ht="20.100000000000001" customHeight="1" x14ac:dyDescent="0.45">
      <c r="A1" s="33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spans="1:15" ht="20.100000000000001" customHeight="1" x14ac:dyDescent="0.45">
      <c r="A2" s="33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</row>
    <row r="3" spans="1:15" ht="20.100000000000001" customHeight="1" x14ac:dyDescent="0.45">
      <c r="A3" s="33" t="s">
        <v>2</v>
      </c>
      <c r="B3" s="31"/>
      <c r="C3" s="31"/>
      <c r="D3" s="31"/>
      <c r="E3" s="31"/>
      <c r="F3" s="31"/>
      <c r="G3" s="31"/>
      <c r="H3" s="31"/>
      <c r="I3" s="31"/>
      <c r="J3" s="31"/>
      <c r="K3" s="31"/>
    </row>
    <row r="5" spans="1:15" ht="21" x14ac:dyDescent="0.55000000000000004">
      <c r="A5" s="37" t="s">
        <v>278</v>
      </c>
      <c r="B5" s="38"/>
      <c r="C5" s="38"/>
      <c r="D5" s="38"/>
      <c r="E5" s="38"/>
      <c r="F5" s="38"/>
      <c r="G5" s="38"/>
      <c r="H5" s="38"/>
      <c r="I5" s="38"/>
      <c r="J5" s="38"/>
      <c r="K5" s="38"/>
    </row>
    <row r="7" spans="1:15" ht="21" x14ac:dyDescent="0.45">
      <c r="C7" s="6" t="s">
        <v>5</v>
      </c>
      <c r="E7" s="27" t="s">
        <v>6</v>
      </c>
      <c r="F7" s="28"/>
      <c r="G7" s="28"/>
      <c r="I7" s="27" t="s">
        <v>7</v>
      </c>
      <c r="J7" s="28"/>
      <c r="K7" s="28"/>
    </row>
    <row r="8" spans="1:15" ht="63" x14ac:dyDescent="0.45">
      <c r="A8" s="6" t="s">
        <v>136</v>
      </c>
      <c r="C8" s="6" t="s">
        <v>138</v>
      </c>
      <c r="E8" s="6" t="s">
        <v>139</v>
      </c>
      <c r="G8" s="6" t="s">
        <v>140</v>
      </c>
      <c r="I8" s="6" t="s">
        <v>138</v>
      </c>
      <c r="K8" s="16" t="s">
        <v>15</v>
      </c>
    </row>
    <row r="9" spans="1:15" ht="18.75" x14ac:dyDescent="0.45">
      <c r="A9" s="10" t="s">
        <v>141</v>
      </c>
      <c r="C9" s="11">
        <v>8401704</v>
      </c>
      <c r="E9" s="11">
        <v>34433</v>
      </c>
      <c r="G9" s="11">
        <v>0</v>
      </c>
      <c r="I9" s="11">
        <v>8436137</v>
      </c>
      <c r="K9" s="12">
        <v>2.7296165632421114E-6</v>
      </c>
      <c r="O9" s="18"/>
    </row>
    <row r="10" spans="1:15" ht="37.5" x14ac:dyDescent="0.45">
      <c r="A10" s="10" t="s">
        <v>142</v>
      </c>
      <c r="C10" s="11">
        <v>510560245</v>
      </c>
      <c r="E10" s="11">
        <v>184764830665</v>
      </c>
      <c r="G10" s="11">
        <v>184703390791</v>
      </c>
      <c r="I10" s="11">
        <v>572000119</v>
      </c>
      <c r="K10" s="12">
        <v>1.8507771969550267E-4</v>
      </c>
    </row>
    <row r="11" spans="1:15" ht="18.75" x14ac:dyDescent="0.45">
      <c r="A11" s="10" t="s">
        <v>143</v>
      </c>
      <c r="C11" s="11">
        <v>14706410</v>
      </c>
      <c r="E11" s="11">
        <v>162914723842</v>
      </c>
      <c r="G11" s="11">
        <v>153002980000</v>
      </c>
      <c r="I11" s="11">
        <v>9926450252</v>
      </c>
      <c r="K11" s="12">
        <v>3.2118258655659611E-3</v>
      </c>
    </row>
    <row r="12" spans="1:15" ht="37.5" x14ac:dyDescent="0.45">
      <c r="A12" s="10" t="s">
        <v>144</v>
      </c>
      <c r="C12" s="11">
        <v>9167145</v>
      </c>
      <c r="E12" s="11">
        <v>2000037673</v>
      </c>
      <c r="G12" s="11">
        <v>2000090000</v>
      </c>
      <c r="I12" s="11">
        <v>9114818</v>
      </c>
      <c r="K12" s="12">
        <v>2.9492122026630596E-6</v>
      </c>
    </row>
    <row r="13" spans="1:15" ht="18.75" x14ac:dyDescent="0.45">
      <c r="A13" s="10" t="s">
        <v>145</v>
      </c>
      <c r="C13" s="11">
        <v>16154307</v>
      </c>
      <c r="E13" s="11">
        <v>65935</v>
      </c>
      <c r="G13" s="11">
        <v>0</v>
      </c>
      <c r="I13" s="11">
        <v>16220242</v>
      </c>
      <c r="K13" s="12">
        <v>5.2482601009200479E-6</v>
      </c>
    </row>
    <row r="14" spans="1:15" ht="18.75" x14ac:dyDescent="0.45">
      <c r="A14" s="10" t="s">
        <v>146</v>
      </c>
      <c r="C14" s="11">
        <v>10031737</v>
      </c>
      <c r="E14" s="11">
        <v>41113</v>
      </c>
      <c r="G14" s="11">
        <v>0</v>
      </c>
      <c r="I14" s="11">
        <v>10072850</v>
      </c>
      <c r="K14" s="12">
        <v>3.2591953164171354E-6</v>
      </c>
    </row>
    <row r="15" spans="1:15" ht="37.5" x14ac:dyDescent="0.45">
      <c r="A15" s="10" t="s">
        <v>147</v>
      </c>
      <c r="C15" s="11">
        <v>317452285</v>
      </c>
      <c r="E15" s="11">
        <v>42888490367</v>
      </c>
      <c r="G15" s="11">
        <v>40606381205</v>
      </c>
      <c r="I15" s="11">
        <v>2599561447</v>
      </c>
      <c r="K15" s="12">
        <v>8.4112028798214518E-4</v>
      </c>
    </row>
    <row r="16" spans="1:15" ht="19.5" thickBot="1" x14ac:dyDescent="0.5">
      <c r="A16" s="13" t="s">
        <v>99</v>
      </c>
      <c r="C16" s="13">
        <f>SUM(C9:$C$15)</f>
        <v>886473833</v>
      </c>
      <c r="E16" s="13">
        <f>SUM(E9:$E$15)</f>
        <v>392568224028</v>
      </c>
      <c r="G16" s="13">
        <f>SUM(G9:$G$15)</f>
        <v>380312841996</v>
      </c>
      <c r="I16" s="13">
        <f>SUM(I9:$I$15)</f>
        <v>13141855865</v>
      </c>
      <c r="K16" s="14">
        <f>SUM(K9:$K$15)</f>
        <v>4.2522101574268513E-3</v>
      </c>
    </row>
    <row r="17" spans="3:11" ht="19.5" thickTop="1" x14ac:dyDescent="0.45">
      <c r="C17" s="15"/>
      <c r="E17" s="15"/>
      <c r="G17" s="15"/>
      <c r="I17" s="15"/>
      <c r="K17" s="15"/>
    </row>
  </sheetData>
  <mergeCells count="6">
    <mergeCell ref="A1:K1"/>
    <mergeCell ref="A2:K2"/>
    <mergeCell ref="A3:K3"/>
    <mergeCell ref="A5:K5"/>
    <mergeCell ref="E7:G7"/>
    <mergeCell ref="I7:K7"/>
  </mergeCells>
  <pageMargins left="0.7" right="0.7" top="0.75" bottom="0.75" header="0.3" footer="0.3"/>
  <pageSetup paperSize="9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N14"/>
  <sheetViews>
    <sheetView rightToLeft="1" view="pageBreakPreview" zoomScale="60" zoomScaleNormal="100" workbookViewId="0">
      <selection sqref="A1:W1"/>
    </sheetView>
  </sheetViews>
  <sheetFormatPr defaultRowHeight="18" x14ac:dyDescent="0.45"/>
  <cols>
    <col min="1" max="1" width="61.28515625" style="4" bestFit="1" customWidth="1"/>
    <col min="2" max="2" width="1.42578125" style="4" customWidth="1"/>
    <col min="3" max="3" width="11.42578125" style="4" customWidth="1"/>
    <col min="4" max="4" width="1.42578125" style="4" customWidth="1"/>
    <col min="5" max="5" width="21.28515625" style="4" customWidth="1"/>
    <col min="6" max="6" width="1.42578125" style="4" customWidth="1"/>
    <col min="7" max="7" width="11.42578125" style="4" customWidth="1"/>
    <col min="8" max="8" width="1.42578125" style="4" customWidth="1"/>
    <col min="9" max="9" width="11.42578125" style="4" customWidth="1"/>
    <col min="10" max="16384" width="9.140625" style="4"/>
  </cols>
  <sheetData>
    <row r="1" spans="1:14" ht="20.100000000000001" customHeight="1" x14ac:dyDescent="0.45">
      <c r="A1" s="33" t="s">
        <v>0</v>
      </c>
      <c r="B1" s="31"/>
      <c r="C1" s="31"/>
      <c r="D1" s="31"/>
      <c r="E1" s="31"/>
      <c r="F1" s="31"/>
      <c r="G1" s="31"/>
      <c r="H1" s="31"/>
      <c r="I1" s="31"/>
    </row>
    <row r="2" spans="1:14" ht="20.100000000000001" customHeight="1" x14ac:dyDescent="0.45">
      <c r="A2" s="33" t="s">
        <v>148</v>
      </c>
      <c r="B2" s="31"/>
      <c r="C2" s="31"/>
      <c r="D2" s="31"/>
      <c r="E2" s="31"/>
      <c r="F2" s="31"/>
      <c r="G2" s="31"/>
      <c r="H2" s="31"/>
      <c r="I2" s="31"/>
    </row>
    <row r="3" spans="1:14" ht="20.100000000000001" customHeight="1" x14ac:dyDescent="0.45">
      <c r="A3" s="33" t="s">
        <v>2</v>
      </c>
      <c r="B3" s="31"/>
      <c r="C3" s="31"/>
      <c r="D3" s="31"/>
      <c r="E3" s="31"/>
      <c r="F3" s="31"/>
      <c r="G3" s="31"/>
      <c r="H3" s="31"/>
      <c r="I3" s="31"/>
    </row>
    <row r="5" spans="1:14" ht="21" x14ac:dyDescent="0.45">
      <c r="A5" s="34" t="s">
        <v>149</v>
      </c>
      <c r="B5" s="31"/>
      <c r="C5" s="31"/>
      <c r="D5" s="31"/>
      <c r="E5" s="31"/>
      <c r="F5" s="31"/>
      <c r="G5" s="31"/>
      <c r="H5" s="31"/>
      <c r="I5" s="31"/>
    </row>
    <row r="7" spans="1:14" ht="42" x14ac:dyDescent="0.45">
      <c r="A7" s="6" t="s">
        <v>150</v>
      </c>
      <c r="C7" s="6" t="s">
        <v>151</v>
      </c>
      <c r="E7" s="6" t="s">
        <v>138</v>
      </c>
      <c r="G7" s="16" t="s">
        <v>152</v>
      </c>
      <c r="I7" s="16" t="s">
        <v>153</v>
      </c>
    </row>
    <row r="8" spans="1:14" ht="21" x14ac:dyDescent="0.45">
      <c r="A8" s="5" t="s">
        <v>154</v>
      </c>
      <c r="C8" s="7" t="s">
        <v>279</v>
      </c>
      <c r="E8" s="11">
        <v>726280853470</v>
      </c>
      <c r="G8" s="12">
        <v>0.99533178985111148</v>
      </c>
      <c r="I8" s="12">
        <v>0.23499716128333725</v>
      </c>
      <c r="N8" s="18"/>
    </row>
    <row r="9" spans="1:14" ht="21" x14ac:dyDescent="0.45">
      <c r="A9" s="5" t="s">
        <v>280</v>
      </c>
      <c r="C9" s="7" t="s">
        <v>281</v>
      </c>
      <c r="E9" s="11">
        <v>0</v>
      </c>
      <c r="G9" s="12">
        <v>0</v>
      </c>
      <c r="I9" s="12">
        <v>0</v>
      </c>
    </row>
    <row r="10" spans="1:14" ht="21" x14ac:dyDescent="0.45">
      <c r="A10" s="5" t="s">
        <v>155</v>
      </c>
      <c r="C10" s="7" t="s">
        <v>282</v>
      </c>
      <c r="E10" s="11">
        <v>2788210513</v>
      </c>
      <c r="G10" s="12">
        <v>3.8211038431300308E-3</v>
      </c>
      <c r="I10" s="12">
        <v>9.0216002870633619E-4</v>
      </c>
    </row>
    <row r="11" spans="1:14" ht="21" x14ac:dyDescent="0.45">
      <c r="A11" s="5" t="s">
        <v>156</v>
      </c>
      <c r="C11" s="7" t="s">
        <v>283</v>
      </c>
      <c r="E11" s="11">
        <v>299775530</v>
      </c>
      <c r="G11" s="12">
        <v>4.1082745525080868E-4</v>
      </c>
      <c r="I11" s="12">
        <v>9.6996083864295057E-5</v>
      </c>
    </row>
    <row r="12" spans="1:14" ht="21" x14ac:dyDescent="0.45">
      <c r="A12" s="5" t="s">
        <v>157</v>
      </c>
      <c r="C12" s="7" t="s">
        <v>284</v>
      </c>
      <c r="E12" s="11">
        <v>318347087</v>
      </c>
      <c r="G12" s="12">
        <v>4.3627885050763753E-4</v>
      </c>
      <c r="I12" s="12">
        <v>1.0300514104205247E-4</v>
      </c>
    </row>
    <row r="13" spans="1:14" ht="21" x14ac:dyDescent="0.45">
      <c r="A13" s="6" t="s">
        <v>99</v>
      </c>
      <c r="E13" s="13">
        <f>SUM(E8:$E$12)</f>
        <v>729687186600</v>
      </c>
      <c r="G13" s="14">
        <f>SUM(G8:$G$12)</f>
        <v>1</v>
      </c>
      <c r="I13" s="14">
        <f>SUM(I8:$I$12)</f>
        <v>0.23609932253694993</v>
      </c>
    </row>
    <row r="14" spans="1:14" ht="18.75" x14ac:dyDescent="0.45">
      <c r="E14" s="15"/>
      <c r="G14" s="15"/>
      <c r="I14" s="15"/>
    </row>
  </sheetData>
  <mergeCells count="4">
    <mergeCell ref="A1:I1"/>
    <mergeCell ref="A2:I2"/>
    <mergeCell ref="A3:I3"/>
    <mergeCell ref="A5:I5"/>
  </mergeCells>
  <pageMargins left="0.7" right="0.7" top="0.75" bottom="0.75" header="0.3" footer="0.3"/>
  <pageSetup paperSize="9" scale="71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S75"/>
  <sheetViews>
    <sheetView rightToLeft="1" view="pageBreakPreview" topLeftCell="A37" zoomScale="60" zoomScaleNormal="100" workbookViewId="0">
      <selection sqref="A1:W1"/>
    </sheetView>
  </sheetViews>
  <sheetFormatPr defaultRowHeight="18" x14ac:dyDescent="0.45"/>
  <cols>
    <col min="1" max="1" width="17" style="4" customWidth="1"/>
    <col min="2" max="2" width="1.42578125" style="4" customWidth="1"/>
    <col min="3" max="3" width="11.42578125" style="4" customWidth="1"/>
    <col min="4" max="4" width="1.42578125" style="4" customWidth="1"/>
    <col min="5" max="5" width="12.7109375" style="4" customWidth="1"/>
    <col min="6" max="6" width="1.42578125" style="4" customWidth="1"/>
    <col min="7" max="7" width="11.42578125" style="4" customWidth="1"/>
    <col min="8" max="8" width="1.42578125" style="4" customWidth="1"/>
    <col min="9" max="9" width="18.42578125" style="4" customWidth="1"/>
    <col min="10" max="10" width="1.42578125" style="4" customWidth="1"/>
    <col min="11" max="11" width="14.140625" style="4" customWidth="1"/>
    <col min="12" max="12" width="1.42578125" style="4" customWidth="1"/>
    <col min="13" max="13" width="18.42578125" style="4" customWidth="1"/>
    <col min="14" max="14" width="1.42578125" style="4" customWidth="1"/>
    <col min="15" max="15" width="18.42578125" style="4" customWidth="1"/>
    <col min="16" max="16" width="1.42578125" style="4" customWidth="1"/>
    <col min="17" max="17" width="14.7109375" style="4" bestFit="1" customWidth="1"/>
    <col min="18" max="18" width="1.42578125" style="4" customWidth="1"/>
    <col min="19" max="19" width="18.42578125" style="4" customWidth="1"/>
    <col min="20" max="16384" width="9.140625" style="4"/>
  </cols>
  <sheetData>
    <row r="1" spans="1:19" ht="20.100000000000001" customHeight="1" x14ac:dyDescent="0.45">
      <c r="A1" s="33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</row>
    <row r="2" spans="1:19" ht="20.100000000000001" customHeight="1" x14ac:dyDescent="0.45">
      <c r="A2" s="33" t="s">
        <v>148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</row>
    <row r="3" spans="1:19" ht="20.100000000000001" customHeight="1" x14ac:dyDescent="0.45">
      <c r="A3" s="33" t="s">
        <v>2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</row>
    <row r="5" spans="1:19" ht="21" x14ac:dyDescent="0.45">
      <c r="A5" s="34" t="s">
        <v>158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</row>
    <row r="7" spans="1:19" ht="21" x14ac:dyDescent="0.45">
      <c r="C7" s="27" t="s">
        <v>159</v>
      </c>
      <c r="D7" s="28"/>
      <c r="E7" s="28"/>
      <c r="F7" s="28"/>
      <c r="G7" s="28"/>
      <c r="I7" s="27" t="s">
        <v>160</v>
      </c>
      <c r="J7" s="28"/>
      <c r="K7" s="28"/>
      <c r="L7" s="28"/>
      <c r="M7" s="28"/>
      <c r="O7" s="27" t="s">
        <v>7</v>
      </c>
      <c r="P7" s="28"/>
      <c r="Q7" s="28"/>
      <c r="R7" s="28"/>
      <c r="S7" s="28"/>
    </row>
    <row r="8" spans="1:19" ht="63" x14ac:dyDescent="0.45">
      <c r="A8" s="6" t="s">
        <v>101</v>
      </c>
      <c r="C8" s="16" t="s">
        <v>161</v>
      </c>
      <c r="E8" s="16" t="s">
        <v>162</v>
      </c>
      <c r="G8" s="16" t="s">
        <v>163</v>
      </c>
      <c r="I8" s="16" t="s">
        <v>164</v>
      </c>
      <c r="K8" s="16" t="s">
        <v>165</v>
      </c>
      <c r="M8" s="16" t="s">
        <v>166</v>
      </c>
      <c r="O8" s="16" t="s">
        <v>164</v>
      </c>
      <c r="Q8" s="16" t="s">
        <v>165</v>
      </c>
      <c r="S8" s="16" t="s">
        <v>166</v>
      </c>
    </row>
    <row r="9" spans="1:19" ht="37.5" x14ac:dyDescent="0.45">
      <c r="A9" s="8" t="s">
        <v>17</v>
      </c>
      <c r="C9" s="7" t="s">
        <v>167</v>
      </c>
      <c r="E9" s="11">
        <v>50000</v>
      </c>
      <c r="G9" s="11">
        <v>1920</v>
      </c>
      <c r="N9" s="7"/>
      <c r="O9" s="11">
        <v>96000000</v>
      </c>
      <c r="Q9" s="11">
        <v>0</v>
      </c>
      <c r="S9" s="11">
        <v>96000000</v>
      </c>
    </row>
    <row r="10" spans="1:19" ht="18.75" x14ac:dyDescent="0.45">
      <c r="A10" s="8" t="s">
        <v>20</v>
      </c>
      <c r="C10" s="7" t="s">
        <v>168</v>
      </c>
      <c r="E10" s="11">
        <v>1895580</v>
      </c>
      <c r="G10" s="11">
        <v>750</v>
      </c>
      <c r="N10" s="7"/>
      <c r="O10" s="11">
        <v>1421685000</v>
      </c>
      <c r="Q10" s="11">
        <v>-31209924</v>
      </c>
      <c r="S10" s="11">
        <v>1390475076</v>
      </c>
    </row>
    <row r="11" spans="1:19" ht="18.75" x14ac:dyDescent="0.45">
      <c r="A11" s="8" t="s">
        <v>26</v>
      </c>
      <c r="C11" s="7" t="s">
        <v>169</v>
      </c>
      <c r="E11" s="11">
        <v>3093440</v>
      </c>
      <c r="G11" s="11">
        <v>70</v>
      </c>
      <c r="N11" s="7"/>
      <c r="O11" s="11">
        <v>216540800</v>
      </c>
      <c r="Q11" s="11">
        <v>0</v>
      </c>
      <c r="S11" s="11">
        <v>216540800</v>
      </c>
    </row>
    <row r="12" spans="1:19" ht="18.75" x14ac:dyDescent="0.45">
      <c r="A12" s="8" t="s">
        <v>170</v>
      </c>
      <c r="C12" s="7" t="s">
        <v>171</v>
      </c>
      <c r="E12" s="11">
        <v>2580626</v>
      </c>
      <c r="G12" s="11">
        <v>310</v>
      </c>
      <c r="N12" s="7"/>
      <c r="O12" s="11">
        <v>799994060</v>
      </c>
      <c r="Q12" s="11">
        <v>0</v>
      </c>
      <c r="S12" s="11">
        <v>799994060</v>
      </c>
    </row>
    <row r="13" spans="1:19" ht="37.5" x14ac:dyDescent="0.45">
      <c r="A13" s="8" t="s">
        <v>27</v>
      </c>
      <c r="C13" s="7" t="s">
        <v>172</v>
      </c>
      <c r="E13" s="11">
        <v>1621954</v>
      </c>
      <c r="G13" s="11">
        <v>320</v>
      </c>
      <c r="N13" s="7"/>
      <c r="O13" s="11">
        <v>519025280</v>
      </c>
      <c r="Q13" s="11">
        <v>0</v>
      </c>
      <c r="S13" s="11">
        <v>519025280</v>
      </c>
    </row>
    <row r="14" spans="1:19" ht="37.5" x14ac:dyDescent="0.45">
      <c r="A14" s="8" t="s">
        <v>28</v>
      </c>
      <c r="C14" s="7" t="s">
        <v>173</v>
      </c>
      <c r="E14" s="11">
        <v>5417185</v>
      </c>
      <c r="G14" s="11">
        <v>20</v>
      </c>
      <c r="N14" s="7"/>
      <c r="O14" s="11">
        <v>108343700</v>
      </c>
      <c r="Q14" s="11">
        <v>0</v>
      </c>
      <c r="S14" s="11">
        <v>108343700</v>
      </c>
    </row>
    <row r="15" spans="1:19" ht="18.75" x14ac:dyDescent="0.45">
      <c r="A15" s="8" t="s">
        <v>30</v>
      </c>
      <c r="C15" s="7" t="s">
        <v>174</v>
      </c>
      <c r="E15" s="11">
        <v>16400000</v>
      </c>
      <c r="G15" s="11">
        <v>630</v>
      </c>
      <c r="N15" s="7"/>
      <c r="O15" s="11">
        <v>10332000000</v>
      </c>
      <c r="Q15" s="11">
        <v>0</v>
      </c>
      <c r="S15" s="11">
        <v>10332000000</v>
      </c>
    </row>
    <row r="16" spans="1:19" ht="18.75" x14ac:dyDescent="0.45">
      <c r="A16" s="8" t="s">
        <v>175</v>
      </c>
      <c r="C16" s="7" t="s">
        <v>176</v>
      </c>
      <c r="E16" s="11">
        <v>1032456</v>
      </c>
      <c r="G16" s="11">
        <v>500</v>
      </c>
      <c r="N16" s="7"/>
      <c r="O16" s="11">
        <v>516228000</v>
      </c>
      <c r="Q16" s="11">
        <v>0</v>
      </c>
      <c r="S16" s="11">
        <v>516228000</v>
      </c>
    </row>
    <row r="17" spans="1:19" ht="18.75" x14ac:dyDescent="0.45">
      <c r="A17" s="8" t="s">
        <v>32</v>
      </c>
      <c r="C17" s="7" t="s">
        <v>177</v>
      </c>
      <c r="E17" s="11">
        <v>2339629</v>
      </c>
      <c r="G17" s="11">
        <v>1950</v>
      </c>
      <c r="N17" s="7"/>
      <c r="O17" s="11">
        <v>4562276550</v>
      </c>
      <c r="Q17" s="11">
        <v>0</v>
      </c>
      <c r="S17" s="11">
        <v>4562276550</v>
      </c>
    </row>
    <row r="18" spans="1:19" ht="37.5" x14ac:dyDescent="0.45">
      <c r="A18" s="8" t="s">
        <v>33</v>
      </c>
      <c r="C18" s="7" t="s">
        <v>178</v>
      </c>
      <c r="E18" s="11">
        <v>442500</v>
      </c>
      <c r="G18" s="11">
        <v>69</v>
      </c>
      <c r="N18" s="7"/>
      <c r="O18" s="11">
        <v>30532500</v>
      </c>
      <c r="Q18" s="11">
        <v>0</v>
      </c>
      <c r="S18" s="11">
        <v>30532500</v>
      </c>
    </row>
    <row r="19" spans="1:19" ht="37.5" x14ac:dyDescent="0.45">
      <c r="A19" s="8" t="s">
        <v>179</v>
      </c>
      <c r="C19" s="7" t="s">
        <v>180</v>
      </c>
      <c r="E19" s="11">
        <v>500000</v>
      </c>
      <c r="G19" s="11">
        <v>3000</v>
      </c>
      <c r="N19" s="7"/>
      <c r="O19" s="11">
        <v>1500000000</v>
      </c>
      <c r="Q19" s="11">
        <v>0</v>
      </c>
      <c r="S19" s="11">
        <v>1500000000</v>
      </c>
    </row>
    <row r="20" spans="1:19" ht="18.75" x14ac:dyDescent="0.45">
      <c r="A20" s="8" t="s">
        <v>38</v>
      </c>
      <c r="C20" s="7" t="s">
        <v>181</v>
      </c>
      <c r="E20" s="11">
        <v>4224582</v>
      </c>
      <c r="G20" s="11">
        <v>120</v>
      </c>
      <c r="N20" s="7"/>
      <c r="O20" s="11">
        <v>506949840</v>
      </c>
      <c r="Q20" s="11">
        <v>0</v>
      </c>
      <c r="S20" s="11">
        <v>506949840</v>
      </c>
    </row>
    <row r="21" spans="1:19" ht="37.5" x14ac:dyDescent="0.45">
      <c r="A21" s="8" t="s">
        <v>39</v>
      </c>
      <c r="C21" s="7" t="s">
        <v>182</v>
      </c>
      <c r="E21" s="11">
        <v>3129302</v>
      </c>
      <c r="G21" s="11">
        <v>957</v>
      </c>
      <c r="N21" s="7"/>
      <c r="O21" s="11">
        <v>2994742014</v>
      </c>
      <c r="Q21" s="11">
        <v>-114423608</v>
      </c>
      <c r="S21" s="11">
        <v>2880318406</v>
      </c>
    </row>
    <row r="22" spans="1:19" ht="18.75" x14ac:dyDescent="0.45">
      <c r="A22" s="8" t="s">
        <v>40</v>
      </c>
      <c r="C22" s="7" t="s">
        <v>183</v>
      </c>
      <c r="E22" s="11">
        <v>3200000</v>
      </c>
      <c r="G22" s="11">
        <v>1830</v>
      </c>
      <c r="N22" s="7"/>
      <c r="O22" s="11">
        <v>5856000000</v>
      </c>
      <c r="Q22" s="11">
        <v>0</v>
      </c>
      <c r="S22" s="11">
        <v>5856000000</v>
      </c>
    </row>
    <row r="23" spans="1:19" ht="18.75" x14ac:dyDescent="0.45">
      <c r="A23" s="8" t="s">
        <v>41</v>
      </c>
      <c r="C23" s="7" t="s">
        <v>184</v>
      </c>
      <c r="E23" s="11">
        <v>3273715</v>
      </c>
      <c r="G23" s="11">
        <v>3500</v>
      </c>
      <c r="N23" s="7"/>
      <c r="O23" s="11">
        <v>11458002500</v>
      </c>
      <c r="Q23" s="11">
        <v>0</v>
      </c>
      <c r="S23" s="11">
        <v>11458002500</v>
      </c>
    </row>
    <row r="24" spans="1:19" ht="18.75" x14ac:dyDescent="0.45">
      <c r="A24" s="8" t="s">
        <v>185</v>
      </c>
      <c r="C24" s="7" t="s">
        <v>186</v>
      </c>
      <c r="E24" s="11">
        <v>628197</v>
      </c>
      <c r="G24" s="11">
        <v>8700</v>
      </c>
      <c r="N24" s="7"/>
      <c r="O24" s="11">
        <v>5465313900</v>
      </c>
      <c r="Q24" s="11">
        <v>0</v>
      </c>
      <c r="S24" s="11">
        <v>5465313900</v>
      </c>
    </row>
    <row r="25" spans="1:19" ht="18.75" x14ac:dyDescent="0.45">
      <c r="A25" s="8" t="s">
        <v>43</v>
      </c>
      <c r="C25" s="7" t="s">
        <v>187</v>
      </c>
      <c r="E25" s="11">
        <v>188</v>
      </c>
      <c r="G25" s="11">
        <v>1540</v>
      </c>
      <c r="N25" s="7"/>
      <c r="O25" s="11">
        <v>289520</v>
      </c>
      <c r="Q25" s="11">
        <v>0</v>
      </c>
      <c r="S25" s="11">
        <v>289520</v>
      </c>
    </row>
    <row r="26" spans="1:19" ht="18.75" x14ac:dyDescent="0.45">
      <c r="A26" s="8" t="s">
        <v>44</v>
      </c>
      <c r="C26" s="7" t="s">
        <v>181</v>
      </c>
      <c r="E26" s="11">
        <v>1800000</v>
      </c>
      <c r="G26" s="11">
        <v>4150</v>
      </c>
      <c r="N26" s="7"/>
      <c r="O26" s="11">
        <v>7470000000</v>
      </c>
      <c r="Q26" s="11">
        <v>0</v>
      </c>
      <c r="S26" s="11">
        <v>7470000000</v>
      </c>
    </row>
    <row r="27" spans="1:19" ht="18.75" x14ac:dyDescent="0.45">
      <c r="A27" s="8" t="s">
        <v>188</v>
      </c>
      <c r="C27" s="7" t="s">
        <v>186</v>
      </c>
      <c r="E27" s="11">
        <v>3260353</v>
      </c>
      <c r="G27" s="11">
        <v>700</v>
      </c>
      <c r="N27" s="7"/>
      <c r="O27" s="11">
        <v>2282247100</v>
      </c>
      <c r="Q27" s="11">
        <v>0</v>
      </c>
      <c r="S27" s="11">
        <v>2282247100</v>
      </c>
    </row>
    <row r="28" spans="1:19" ht="18.75" x14ac:dyDescent="0.45">
      <c r="A28" s="8" t="s">
        <v>45</v>
      </c>
      <c r="C28" s="7" t="s">
        <v>189</v>
      </c>
      <c r="E28" s="11">
        <v>6818560</v>
      </c>
      <c r="G28" s="11">
        <v>52</v>
      </c>
      <c r="N28" s="7"/>
      <c r="O28" s="11">
        <v>354565120</v>
      </c>
      <c r="Q28" s="11">
        <v>0</v>
      </c>
      <c r="S28" s="11">
        <v>354565120</v>
      </c>
    </row>
    <row r="29" spans="1:19" ht="37.5" x14ac:dyDescent="0.45">
      <c r="A29" s="8" t="s">
        <v>46</v>
      </c>
      <c r="C29" s="7" t="s">
        <v>190</v>
      </c>
      <c r="E29" s="11">
        <v>6186817</v>
      </c>
      <c r="G29" s="11">
        <v>210</v>
      </c>
      <c r="N29" s="7"/>
      <c r="O29" s="11">
        <v>1299231570</v>
      </c>
      <c r="Q29" s="11">
        <v>0</v>
      </c>
      <c r="S29" s="11">
        <v>1299231570</v>
      </c>
    </row>
    <row r="30" spans="1:19" ht="18.75" x14ac:dyDescent="0.45">
      <c r="A30" s="8" t="s">
        <v>47</v>
      </c>
      <c r="C30" s="7" t="s">
        <v>172</v>
      </c>
      <c r="E30" s="11">
        <v>6441064</v>
      </c>
      <c r="G30" s="11">
        <v>103</v>
      </c>
      <c r="N30" s="7"/>
      <c r="O30" s="11">
        <v>663429592</v>
      </c>
      <c r="Q30" s="11">
        <v>0</v>
      </c>
      <c r="S30" s="11">
        <v>663429592</v>
      </c>
    </row>
    <row r="31" spans="1:19" ht="18.75" x14ac:dyDescent="0.45">
      <c r="A31" s="8" t="s">
        <v>48</v>
      </c>
      <c r="C31" s="7" t="s">
        <v>191</v>
      </c>
      <c r="E31" s="11">
        <v>8429307</v>
      </c>
      <c r="G31" s="11">
        <v>590</v>
      </c>
      <c r="N31" s="7"/>
      <c r="O31" s="11">
        <v>4973291130</v>
      </c>
      <c r="Q31" s="11">
        <v>0</v>
      </c>
      <c r="S31" s="11">
        <v>4973291130</v>
      </c>
    </row>
    <row r="32" spans="1:19" ht="18.75" x14ac:dyDescent="0.45">
      <c r="A32" s="8" t="s">
        <v>50</v>
      </c>
      <c r="C32" s="7" t="s">
        <v>192</v>
      </c>
      <c r="E32" s="11">
        <v>2029694</v>
      </c>
      <c r="G32" s="11">
        <v>4070</v>
      </c>
      <c r="N32" s="7"/>
      <c r="O32" s="11">
        <v>8260854580</v>
      </c>
      <c r="Q32" s="11">
        <v>0</v>
      </c>
      <c r="S32" s="11">
        <v>8260854580</v>
      </c>
    </row>
    <row r="33" spans="1:19" ht="18.75" x14ac:dyDescent="0.45">
      <c r="A33" s="8" t="s">
        <v>52</v>
      </c>
      <c r="C33" s="7" t="s">
        <v>193</v>
      </c>
      <c r="E33" s="11">
        <v>16712202</v>
      </c>
      <c r="G33" s="11">
        <v>680</v>
      </c>
      <c r="N33" s="7"/>
      <c r="O33" s="11">
        <v>11364297360</v>
      </c>
      <c r="Q33" s="11">
        <v>0</v>
      </c>
      <c r="S33" s="11">
        <v>11364297360</v>
      </c>
    </row>
    <row r="34" spans="1:19" ht="18.75" x14ac:dyDescent="0.45">
      <c r="A34" s="8" t="s">
        <v>53</v>
      </c>
      <c r="C34" s="7" t="s">
        <v>191</v>
      </c>
      <c r="E34" s="11">
        <v>697177</v>
      </c>
      <c r="G34" s="11">
        <v>22200</v>
      </c>
      <c r="N34" s="7"/>
      <c r="O34" s="11">
        <v>15477329400</v>
      </c>
      <c r="Q34" s="11">
        <v>0</v>
      </c>
      <c r="S34" s="11">
        <v>15477329400</v>
      </c>
    </row>
    <row r="35" spans="1:19" ht="18.75" x14ac:dyDescent="0.45">
      <c r="A35" s="8" t="s">
        <v>194</v>
      </c>
      <c r="C35" s="7" t="s">
        <v>195</v>
      </c>
      <c r="E35" s="11">
        <v>783101</v>
      </c>
      <c r="G35" s="11">
        <v>7500</v>
      </c>
      <c r="N35" s="7"/>
      <c r="O35" s="11">
        <v>5873257500</v>
      </c>
      <c r="Q35" s="11">
        <v>0</v>
      </c>
      <c r="S35" s="11">
        <v>5873257500</v>
      </c>
    </row>
    <row r="36" spans="1:19" ht="37.5" x14ac:dyDescent="0.45">
      <c r="A36" s="8" t="s">
        <v>196</v>
      </c>
      <c r="C36" s="7" t="s">
        <v>181</v>
      </c>
      <c r="E36" s="11">
        <v>4428885</v>
      </c>
      <c r="G36" s="11">
        <v>400</v>
      </c>
      <c r="N36" s="7"/>
      <c r="O36" s="11">
        <v>1771554000</v>
      </c>
      <c r="Q36" s="11">
        <v>0</v>
      </c>
      <c r="S36" s="11">
        <v>1771554000</v>
      </c>
    </row>
    <row r="37" spans="1:19" ht="18.75" x14ac:dyDescent="0.45">
      <c r="A37" s="8" t="s">
        <v>56</v>
      </c>
      <c r="C37" s="7" t="s">
        <v>197</v>
      </c>
      <c r="E37" s="11">
        <v>17343799</v>
      </c>
      <c r="G37" s="11">
        <v>125</v>
      </c>
      <c r="N37" s="7"/>
      <c r="O37" s="11">
        <v>2167974875</v>
      </c>
      <c r="Q37" s="11">
        <v>0</v>
      </c>
      <c r="S37" s="11">
        <v>2167974875</v>
      </c>
    </row>
    <row r="38" spans="1:19" ht="18.75" x14ac:dyDescent="0.45">
      <c r="A38" s="8" t="s">
        <v>198</v>
      </c>
      <c r="C38" s="7" t="s">
        <v>199</v>
      </c>
      <c r="E38" s="11">
        <v>6310177</v>
      </c>
      <c r="G38" s="11">
        <v>470</v>
      </c>
      <c r="N38" s="7"/>
      <c r="O38" s="11">
        <v>2965783190</v>
      </c>
      <c r="Q38" s="11">
        <v>0</v>
      </c>
      <c r="S38" s="11">
        <v>2965783190</v>
      </c>
    </row>
    <row r="39" spans="1:19" ht="18.75" x14ac:dyDescent="0.45">
      <c r="A39" s="8" t="s">
        <v>58</v>
      </c>
      <c r="C39" s="7" t="s">
        <v>178</v>
      </c>
      <c r="E39" s="11">
        <v>40821426</v>
      </c>
      <c r="G39" s="11">
        <v>45</v>
      </c>
      <c r="N39" s="7"/>
      <c r="O39" s="11">
        <v>1836964170</v>
      </c>
      <c r="Q39" s="11">
        <v>0</v>
      </c>
      <c r="S39" s="11">
        <v>1836964170</v>
      </c>
    </row>
    <row r="40" spans="1:19" ht="37.5" x14ac:dyDescent="0.45">
      <c r="A40" s="8" t="s">
        <v>200</v>
      </c>
      <c r="C40" s="7" t="s">
        <v>176</v>
      </c>
      <c r="E40" s="11">
        <v>8440622</v>
      </c>
      <c r="G40" s="11">
        <v>150</v>
      </c>
      <c r="N40" s="7"/>
      <c r="O40" s="11">
        <v>1266093300</v>
      </c>
      <c r="Q40" s="11">
        <v>0</v>
      </c>
      <c r="S40" s="11">
        <v>1266093300</v>
      </c>
    </row>
    <row r="41" spans="1:19" ht="18.75" x14ac:dyDescent="0.45">
      <c r="A41" s="8" t="s">
        <v>59</v>
      </c>
      <c r="C41" s="7" t="s">
        <v>201</v>
      </c>
      <c r="E41" s="11">
        <v>10646044</v>
      </c>
      <c r="G41" s="11">
        <v>700</v>
      </c>
      <c r="N41" s="7"/>
      <c r="O41" s="11">
        <v>7452230800</v>
      </c>
      <c r="Q41" s="11">
        <v>0</v>
      </c>
      <c r="S41" s="11">
        <v>7452230800</v>
      </c>
    </row>
    <row r="42" spans="1:19" ht="18.75" x14ac:dyDescent="0.45">
      <c r="A42" s="8" t="s">
        <v>61</v>
      </c>
      <c r="C42" s="7" t="s">
        <v>202</v>
      </c>
      <c r="E42" s="11">
        <v>14731919</v>
      </c>
      <c r="G42" s="11">
        <v>630</v>
      </c>
      <c r="N42" s="7"/>
      <c r="O42" s="11">
        <v>9281108970</v>
      </c>
      <c r="Q42" s="11">
        <v>0</v>
      </c>
      <c r="S42" s="11">
        <v>9281108970</v>
      </c>
    </row>
    <row r="43" spans="1:19" ht="18.75" x14ac:dyDescent="0.45">
      <c r="A43" s="8" t="s">
        <v>203</v>
      </c>
      <c r="C43" s="7" t="s">
        <v>202</v>
      </c>
      <c r="E43" s="11">
        <v>12268462</v>
      </c>
      <c r="G43" s="11">
        <v>34</v>
      </c>
      <c r="N43" s="7"/>
      <c r="O43" s="11">
        <v>417127708</v>
      </c>
      <c r="Q43" s="11">
        <v>0</v>
      </c>
      <c r="S43" s="11">
        <v>417127708</v>
      </c>
    </row>
    <row r="44" spans="1:19" ht="18.75" x14ac:dyDescent="0.45">
      <c r="A44" s="8" t="s">
        <v>63</v>
      </c>
      <c r="C44" s="7" t="s">
        <v>193</v>
      </c>
      <c r="E44" s="11">
        <v>5208577</v>
      </c>
      <c r="G44" s="11">
        <v>1000</v>
      </c>
      <c r="N44" s="7"/>
      <c r="O44" s="11">
        <v>5208577000</v>
      </c>
      <c r="Q44" s="11">
        <v>0</v>
      </c>
      <c r="S44" s="11">
        <v>5208577000</v>
      </c>
    </row>
    <row r="45" spans="1:19" ht="18.75" x14ac:dyDescent="0.45">
      <c r="A45" s="8" t="s">
        <v>204</v>
      </c>
      <c r="C45" s="7" t="s">
        <v>205</v>
      </c>
      <c r="E45" s="11">
        <v>2372939</v>
      </c>
      <c r="G45" s="11">
        <v>930</v>
      </c>
      <c r="N45" s="7"/>
      <c r="O45" s="11">
        <v>2206833270</v>
      </c>
      <c r="Q45" s="11">
        <v>0</v>
      </c>
      <c r="S45" s="11">
        <v>2206833270</v>
      </c>
    </row>
    <row r="46" spans="1:19" ht="37.5" x14ac:dyDescent="0.45">
      <c r="A46" s="8" t="s">
        <v>206</v>
      </c>
      <c r="C46" s="7" t="s">
        <v>207</v>
      </c>
      <c r="E46" s="11">
        <v>2393112</v>
      </c>
      <c r="G46" s="11">
        <v>1100</v>
      </c>
      <c r="N46" s="7"/>
      <c r="O46" s="11">
        <v>2632423200</v>
      </c>
      <c r="Q46" s="11">
        <v>0</v>
      </c>
      <c r="S46" s="11">
        <v>2632423200</v>
      </c>
    </row>
    <row r="47" spans="1:19" ht="18.75" x14ac:dyDescent="0.45">
      <c r="A47" s="8" t="s">
        <v>208</v>
      </c>
      <c r="C47" s="7" t="s">
        <v>209</v>
      </c>
      <c r="E47" s="11">
        <v>6226087</v>
      </c>
      <c r="G47" s="11">
        <v>250</v>
      </c>
      <c r="N47" s="7"/>
      <c r="O47" s="11">
        <v>1556521750</v>
      </c>
      <c r="Q47" s="11">
        <v>0</v>
      </c>
      <c r="S47" s="11">
        <v>1556521750</v>
      </c>
    </row>
    <row r="48" spans="1:19" ht="18.75" x14ac:dyDescent="0.45">
      <c r="A48" s="8" t="s">
        <v>210</v>
      </c>
      <c r="C48" s="7" t="s">
        <v>211</v>
      </c>
      <c r="E48" s="11">
        <v>1163735</v>
      </c>
      <c r="G48" s="11">
        <v>3920</v>
      </c>
      <c r="N48" s="7"/>
      <c r="O48" s="11">
        <v>4561841200</v>
      </c>
      <c r="Q48" s="11">
        <v>0</v>
      </c>
      <c r="S48" s="11">
        <v>4561841200</v>
      </c>
    </row>
    <row r="49" spans="1:19" ht="18.75" x14ac:dyDescent="0.45">
      <c r="A49" s="8" t="s">
        <v>212</v>
      </c>
      <c r="C49" s="7" t="s">
        <v>213</v>
      </c>
      <c r="E49" s="11">
        <v>8489353</v>
      </c>
      <c r="G49" s="11">
        <v>850</v>
      </c>
      <c r="N49" s="7"/>
      <c r="O49" s="11">
        <v>7215950050</v>
      </c>
      <c r="Q49" s="11">
        <v>0</v>
      </c>
      <c r="S49" s="11">
        <v>7215950050</v>
      </c>
    </row>
    <row r="50" spans="1:19" ht="18.75" x14ac:dyDescent="0.45">
      <c r="A50" s="8" t="s">
        <v>214</v>
      </c>
      <c r="C50" s="7" t="s">
        <v>211</v>
      </c>
      <c r="E50" s="11">
        <v>1000000</v>
      </c>
      <c r="G50" s="11">
        <v>500</v>
      </c>
      <c r="N50" s="7"/>
      <c r="O50" s="11">
        <v>500000000</v>
      </c>
      <c r="Q50" s="11">
        <v>0</v>
      </c>
      <c r="S50" s="11">
        <v>500000000</v>
      </c>
    </row>
    <row r="51" spans="1:19" ht="18.75" x14ac:dyDescent="0.45">
      <c r="A51" s="8" t="s">
        <v>215</v>
      </c>
      <c r="C51" s="7" t="s">
        <v>216</v>
      </c>
      <c r="E51" s="11">
        <v>6310411</v>
      </c>
      <c r="G51" s="11">
        <v>1630</v>
      </c>
      <c r="N51" s="7"/>
      <c r="O51" s="11">
        <v>10285969930</v>
      </c>
      <c r="Q51" s="11">
        <v>0</v>
      </c>
      <c r="S51" s="11">
        <v>10285969930</v>
      </c>
    </row>
    <row r="52" spans="1:19" ht="18.75" x14ac:dyDescent="0.45">
      <c r="A52" s="8" t="s">
        <v>66</v>
      </c>
      <c r="C52" s="7" t="s">
        <v>217</v>
      </c>
      <c r="E52" s="11">
        <v>23813083</v>
      </c>
      <c r="G52" s="11">
        <v>420</v>
      </c>
      <c r="N52" s="7"/>
      <c r="O52" s="11">
        <v>10001494860</v>
      </c>
      <c r="Q52" s="11">
        <v>0</v>
      </c>
      <c r="S52" s="11">
        <v>10001494860</v>
      </c>
    </row>
    <row r="53" spans="1:19" ht="18.75" x14ac:dyDescent="0.45">
      <c r="A53" s="8" t="s">
        <v>67</v>
      </c>
      <c r="C53" s="7" t="s">
        <v>174</v>
      </c>
      <c r="E53" s="11">
        <v>2828124</v>
      </c>
      <c r="G53" s="11">
        <v>187</v>
      </c>
      <c r="N53" s="7"/>
      <c r="O53" s="11">
        <v>528859188</v>
      </c>
      <c r="Q53" s="11">
        <v>0</v>
      </c>
      <c r="S53" s="11">
        <v>528859188</v>
      </c>
    </row>
    <row r="54" spans="1:19" ht="18.75" x14ac:dyDescent="0.45">
      <c r="A54" s="8" t="s">
        <v>69</v>
      </c>
      <c r="C54" s="7" t="s">
        <v>218</v>
      </c>
      <c r="E54" s="11">
        <v>15875158</v>
      </c>
      <c r="G54" s="11">
        <v>682</v>
      </c>
      <c r="N54" s="7"/>
      <c r="O54" s="11">
        <v>10826857756</v>
      </c>
      <c r="Q54" s="11">
        <v>0</v>
      </c>
      <c r="S54" s="11">
        <v>10826857756</v>
      </c>
    </row>
    <row r="55" spans="1:19" ht="18.75" x14ac:dyDescent="0.45">
      <c r="A55" s="8" t="s">
        <v>70</v>
      </c>
      <c r="C55" s="7" t="s">
        <v>219</v>
      </c>
      <c r="E55" s="11">
        <v>407076</v>
      </c>
      <c r="G55" s="11">
        <v>2150</v>
      </c>
      <c r="N55" s="7"/>
      <c r="O55" s="11">
        <v>875213400</v>
      </c>
      <c r="Q55" s="11">
        <v>0</v>
      </c>
      <c r="S55" s="11">
        <v>875213400</v>
      </c>
    </row>
    <row r="56" spans="1:19" ht="18.75" x14ac:dyDescent="0.45">
      <c r="A56" s="8" t="s">
        <v>71</v>
      </c>
      <c r="C56" s="7" t="s">
        <v>217</v>
      </c>
      <c r="E56" s="11">
        <v>3882657</v>
      </c>
      <c r="G56" s="11">
        <v>1110</v>
      </c>
      <c r="N56" s="7"/>
      <c r="O56" s="11">
        <v>4309749270</v>
      </c>
      <c r="Q56" s="11">
        <v>0</v>
      </c>
      <c r="S56" s="11">
        <v>4309749270</v>
      </c>
    </row>
    <row r="57" spans="1:19" ht="18.75" x14ac:dyDescent="0.45">
      <c r="A57" s="8" t="s">
        <v>73</v>
      </c>
      <c r="C57" s="7" t="s">
        <v>202</v>
      </c>
      <c r="E57" s="11">
        <v>22083031</v>
      </c>
      <c r="G57" s="11">
        <v>960</v>
      </c>
      <c r="N57" s="7"/>
      <c r="O57" s="11">
        <v>21199709760</v>
      </c>
      <c r="Q57" s="11">
        <v>0</v>
      </c>
      <c r="S57" s="11">
        <v>21199709760</v>
      </c>
    </row>
    <row r="58" spans="1:19" ht="37.5" x14ac:dyDescent="0.45">
      <c r="A58" s="8" t="s">
        <v>74</v>
      </c>
      <c r="C58" s="7" t="s">
        <v>172</v>
      </c>
      <c r="E58" s="11">
        <v>8068802</v>
      </c>
      <c r="G58" s="11">
        <v>450</v>
      </c>
      <c r="N58" s="7"/>
      <c r="O58" s="11">
        <v>3630960900</v>
      </c>
      <c r="Q58" s="11">
        <v>0</v>
      </c>
      <c r="S58" s="11">
        <v>3630960900</v>
      </c>
    </row>
    <row r="59" spans="1:19" ht="18.75" x14ac:dyDescent="0.45">
      <c r="A59" s="8" t="s">
        <v>75</v>
      </c>
      <c r="C59" s="7" t="s">
        <v>220</v>
      </c>
      <c r="E59" s="11">
        <v>612298</v>
      </c>
      <c r="G59" s="11">
        <v>1603</v>
      </c>
      <c r="N59" s="7"/>
      <c r="O59" s="11">
        <v>981513694</v>
      </c>
      <c r="Q59" s="11">
        <v>0</v>
      </c>
      <c r="S59" s="11">
        <v>981513694</v>
      </c>
    </row>
    <row r="60" spans="1:19" ht="18.75" x14ac:dyDescent="0.45">
      <c r="A60" s="8" t="s">
        <v>77</v>
      </c>
      <c r="C60" s="7" t="s">
        <v>221</v>
      </c>
      <c r="E60" s="11">
        <v>524142</v>
      </c>
      <c r="G60" s="11">
        <v>6500</v>
      </c>
      <c r="N60" s="7"/>
      <c r="O60" s="11">
        <v>3406923000</v>
      </c>
      <c r="Q60" s="11">
        <v>0</v>
      </c>
      <c r="S60" s="11">
        <v>3406923000</v>
      </c>
    </row>
    <row r="61" spans="1:19" ht="37.5" x14ac:dyDescent="0.45">
      <c r="A61" s="8" t="s">
        <v>78</v>
      </c>
      <c r="C61" s="7" t="s">
        <v>222</v>
      </c>
      <c r="E61" s="11">
        <v>7539161</v>
      </c>
      <c r="G61" s="11">
        <v>488</v>
      </c>
      <c r="N61" s="7"/>
      <c r="O61" s="11">
        <v>3679110568</v>
      </c>
      <c r="Q61" s="11">
        <v>0</v>
      </c>
      <c r="S61" s="11">
        <v>3679110568</v>
      </c>
    </row>
    <row r="62" spans="1:19" ht="37.5" x14ac:dyDescent="0.45">
      <c r="A62" s="8" t="s">
        <v>223</v>
      </c>
      <c r="C62" s="7" t="s">
        <v>184</v>
      </c>
      <c r="E62" s="11">
        <v>336632</v>
      </c>
      <c r="G62" s="11">
        <v>9000</v>
      </c>
      <c r="N62" s="7"/>
      <c r="O62" s="11">
        <v>3029688000</v>
      </c>
      <c r="Q62" s="11">
        <v>0</v>
      </c>
      <c r="S62" s="11">
        <v>3029688000</v>
      </c>
    </row>
    <row r="63" spans="1:19" ht="18.75" x14ac:dyDescent="0.45">
      <c r="A63" s="8" t="s">
        <v>80</v>
      </c>
      <c r="C63" s="7" t="s">
        <v>5</v>
      </c>
      <c r="E63" s="11">
        <v>6300000</v>
      </c>
      <c r="G63" s="11">
        <v>460</v>
      </c>
      <c r="I63" s="11">
        <v>2898000000</v>
      </c>
      <c r="K63" s="11">
        <v>-161208279</v>
      </c>
      <c r="M63" s="11">
        <v>2736791721</v>
      </c>
      <c r="O63" s="11">
        <v>2898000000</v>
      </c>
      <c r="Q63" s="11">
        <v>-71232263</v>
      </c>
      <c r="S63" s="11">
        <v>2826767737</v>
      </c>
    </row>
    <row r="64" spans="1:19" ht="18.75" x14ac:dyDescent="0.45">
      <c r="A64" s="8" t="s">
        <v>81</v>
      </c>
      <c r="C64" s="7" t="s">
        <v>193</v>
      </c>
      <c r="E64" s="11">
        <v>12890068</v>
      </c>
      <c r="G64" s="11">
        <v>750</v>
      </c>
      <c r="N64" s="7"/>
      <c r="O64" s="11">
        <v>9667551000</v>
      </c>
      <c r="Q64" s="11">
        <v>0</v>
      </c>
      <c r="S64" s="11">
        <v>9667551000</v>
      </c>
    </row>
    <row r="65" spans="1:19" ht="18.75" x14ac:dyDescent="0.45">
      <c r="A65" s="8" t="s">
        <v>82</v>
      </c>
      <c r="C65" s="7" t="s">
        <v>190</v>
      </c>
      <c r="E65" s="11">
        <v>7338094</v>
      </c>
      <c r="G65" s="11">
        <v>160</v>
      </c>
      <c r="N65" s="7"/>
      <c r="O65" s="11">
        <v>1174095040</v>
      </c>
      <c r="Q65" s="11">
        <v>0</v>
      </c>
      <c r="S65" s="11">
        <v>1174095040</v>
      </c>
    </row>
    <row r="66" spans="1:19" ht="18.75" x14ac:dyDescent="0.45">
      <c r="A66" s="8" t="s">
        <v>83</v>
      </c>
      <c r="C66" s="7" t="s">
        <v>224</v>
      </c>
      <c r="E66" s="11">
        <v>25889786</v>
      </c>
      <c r="G66" s="11">
        <v>323</v>
      </c>
      <c r="N66" s="7"/>
      <c r="O66" s="11">
        <v>8362400878</v>
      </c>
      <c r="Q66" s="11">
        <v>-68171746</v>
      </c>
      <c r="S66" s="11">
        <v>8294229132</v>
      </c>
    </row>
    <row r="67" spans="1:19" ht="18.75" x14ac:dyDescent="0.45">
      <c r="A67" s="8" t="s">
        <v>84</v>
      </c>
      <c r="C67" s="7" t="s">
        <v>173</v>
      </c>
      <c r="E67" s="11">
        <v>564486</v>
      </c>
      <c r="G67" s="11">
        <v>2950</v>
      </c>
      <c r="N67" s="7"/>
      <c r="O67" s="11">
        <v>1665233700</v>
      </c>
      <c r="Q67" s="11">
        <v>0</v>
      </c>
      <c r="S67" s="11">
        <v>1665233700</v>
      </c>
    </row>
    <row r="68" spans="1:19" ht="37.5" x14ac:dyDescent="0.45">
      <c r="A68" s="8" t="s">
        <v>225</v>
      </c>
      <c r="C68" s="7" t="s">
        <v>190</v>
      </c>
      <c r="E68" s="11">
        <v>996335</v>
      </c>
      <c r="G68" s="11">
        <v>1350</v>
      </c>
      <c r="N68" s="7"/>
      <c r="O68" s="11">
        <v>1345052250</v>
      </c>
      <c r="Q68" s="11">
        <v>0</v>
      </c>
      <c r="S68" s="11">
        <v>1345052250</v>
      </c>
    </row>
    <row r="69" spans="1:19" ht="18.75" x14ac:dyDescent="0.45">
      <c r="A69" s="8" t="s">
        <v>89</v>
      </c>
      <c r="C69" s="7" t="s">
        <v>190</v>
      </c>
      <c r="E69" s="11">
        <v>6013772</v>
      </c>
      <c r="G69" s="11">
        <v>1700</v>
      </c>
      <c r="N69" s="7"/>
      <c r="O69" s="11">
        <v>10223412400</v>
      </c>
      <c r="Q69" s="11">
        <v>0</v>
      </c>
      <c r="S69" s="11">
        <v>10223412400</v>
      </c>
    </row>
    <row r="70" spans="1:19" ht="18.75" x14ac:dyDescent="0.45">
      <c r="A70" s="8" t="s">
        <v>91</v>
      </c>
      <c r="C70" s="7" t="s">
        <v>226</v>
      </c>
      <c r="E70" s="11">
        <v>6377671</v>
      </c>
      <c r="G70" s="11">
        <v>480</v>
      </c>
      <c r="N70" s="7"/>
      <c r="O70" s="11">
        <v>3061282080</v>
      </c>
      <c r="Q70" s="11">
        <v>0</v>
      </c>
      <c r="S70" s="11">
        <v>3061282080</v>
      </c>
    </row>
    <row r="71" spans="1:19" ht="18.75" x14ac:dyDescent="0.45">
      <c r="A71" s="8" t="s">
        <v>93</v>
      </c>
      <c r="C71" s="7" t="s">
        <v>207</v>
      </c>
      <c r="E71" s="11">
        <v>5637509</v>
      </c>
      <c r="G71" s="11">
        <v>1930</v>
      </c>
      <c r="N71" s="7"/>
      <c r="O71" s="11">
        <v>10880392370</v>
      </c>
      <c r="Q71" s="11">
        <v>0</v>
      </c>
      <c r="S71" s="11">
        <v>10880392370</v>
      </c>
    </row>
    <row r="72" spans="1:19" ht="18.75" x14ac:dyDescent="0.45">
      <c r="A72" s="8" t="s">
        <v>95</v>
      </c>
      <c r="C72" s="7" t="s">
        <v>227</v>
      </c>
      <c r="E72" s="11">
        <v>4994975</v>
      </c>
      <c r="G72" s="11">
        <v>3100</v>
      </c>
      <c r="N72" s="7"/>
      <c r="O72" s="11">
        <v>15484422500</v>
      </c>
      <c r="Q72" s="11">
        <v>0</v>
      </c>
      <c r="S72" s="11">
        <v>15484422500</v>
      </c>
    </row>
    <row r="73" spans="1:19" ht="37.5" x14ac:dyDescent="0.45">
      <c r="A73" s="8" t="s">
        <v>96</v>
      </c>
      <c r="C73" s="7" t="s">
        <v>202</v>
      </c>
      <c r="E73" s="11">
        <v>450000</v>
      </c>
      <c r="G73" s="11">
        <v>40</v>
      </c>
      <c r="N73" s="7"/>
      <c r="O73" s="11">
        <v>18000000</v>
      </c>
      <c r="Q73" s="11">
        <v>0</v>
      </c>
      <c r="S73" s="11">
        <v>18000000</v>
      </c>
    </row>
    <row r="74" spans="1:19" ht="18.75" x14ac:dyDescent="0.45">
      <c r="A74" s="13" t="s">
        <v>99</v>
      </c>
      <c r="I74" s="13">
        <f>SUM(I9:$I$73)</f>
        <v>2898000000</v>
      </c>
      <c r="K74" s="13">
        <f>SUM(K9:$K$73)</f>
        <v>-161208279</v>
      </c>
      <c r="M74" s="13">
        <f>SUM(M9:$M$73)</f>
        <v>2736791721</v>
      </c>
      <c r="O74" s="13">
        <f>SUM(O9:$O$73)</f>
        <v>292979303043</v>
      </c>
      <c r="Q74" s="13">
        <f>SUM(Q9:$Q$73)</f>
        <v>-285037541</v>
      </c>
      <c r="S74" s="13">
        <f>SUM(S9:$S$73)</f>
        <v>292694265502</v>
      </c>
    </row>
    <row r="75" spans="1:19" ht="18.75" x14ac:dyDescent="0.45">
      <c r="I75" s="15"/>
      <c r="K75" s="15"/>
      <c r="M75" s="15"/>
      <c r="O75" s="15"/>
      <c r="Q75" s="15"/>
      <c r="S75" s="15"/>
    </row>
  </sheetData>
  <mergeCells count="7">
    <mergeCell ref="A1:S1"/>
    <mergeCell ref="A2:S2"/>
    <mergeCell ref="A3:S3"/>
    <mergeCell ref="A5:S5"/>
    <mergeCell ref="C7:G7"/>
    <mergeCell ref="I7:M7"/>
    <mergeCell ref="O7:S7"/>
  </mergeCells>
  <pageMargins left="0.7" right="0.7" top="0.75" bottom="0.75" header="0.3" footer="0.3"/>
  <pageSetup paperSize="9" scale="78" fitToHeight="0" orientation="landscape" r:id="rId1"/>
  <rowBreaks count="3" manualBreakCount="3">
    <brk id="21" max="16383" man="1"/>
    <brk id="40" max="16383" man="1"/>
    <brk id="58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M17"/>
  <sheetViews>
    <sheetView rightToLeft="1" view="pageBreakPreview" zoomScale="95" zoomScaleNormal="100" zoomScaleSheetLayoutView="95" workbookViewId="0">
      <selection sqref="A1:W1"/>
    </sheetView>
  </sheetViews>
  <sheetFormatPr defaultRowHeight="18" x14ac:dyDescent="0.45"/>
  <cols>
    <col min="1" max="1" width="21.28515625" style="4" customWidth="1"/>
    <col min="2" max="2" width="1.42578125" style="4" customWidth="1"/>
    <col min="3" max="3" width="18.42578125" style="4" customWidth="1"/>
    <col min="4" max="4" width="1.42578125" style="4" customWidth="1"/>
    <col min="5" max="5" width="14.140625" style="4" customWidth="1"/>
    <col min="6" max="6" width="1.42578125" style="4" customWidth="1"/>
    <col min="7" max="7" width="18.42578125" style="4" customWidth="1"/>
    <col min="8" max="8" width="1.42578125" style="4" customWidth="1"/>
    <col min="9" max="9" width="18.42578125" style="4" customWidth="1"/>
    <col min="10" max="10" width="1.42578125" style="4" customWidth="1"/>
    <col min="11" max="11" width="14.140625" style="4" customWidth="1"/>
    <col min="12" max="12" width="1.42578125" style="4" customWidth="1"/>
    <col min="13" max="13" width="18.42578125" style="4" customWidth="1"/>
    <col min="14" max="16384" width="9.140625" style="4"/>
  </cols>
  <sheetData>
    <row r="1" spans="1:13" ht="20.100000000000001" customHeight="1" x14ac:dyDescent="0.45">
      <c r="A1" s="33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2" spans="1:13" ht="20.100000000000001" customHeight="1" x14ac:dyDescent="0.45">
      <c r="A2" s="33" t="s">
        <v>148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</row>
    <row r="3" spans="1:13" ht="20.100000000000001" customHeight="1" x14ac:dyDescent="0.45">
      <c r="A3" s="33" t="s">
        <v>2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</row>
    <row r="5" spans="1:13" ht="21" x14ac:dyDescent="0.55000000000000004">
      <c r="A5" s="37" t="s">
        <v>285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</row>
    <row r="7" spans="1:13" ht="21" x14ac:dyDescent="0.45">
      <c r="C7" s="27" t="s">
        <v>160</v>
      </c>
      <c r="D7" s="28"/>
      <c r="E7" s="28"/>
      <c r="F7" s="28"/>
      <c r="G7" s="28"/>
      <c r="I7" s="27" t="s">
        <v>7</v>
      </c>
      <c r="J7" s="28"/>
      <c r="K7" s="28"/>
      <c r="L7" s="28"/>
      <c r="M7" s="28"/>
    </row>
    <row r="8" spans="1:13" ht="21" x14ac:dyDescent="0.45">
      <c r="A8" s="17" t="s">
        <v>150</v>
      </c>
      <c r="C8" s="16" t="s">
        <v>229</v>
      </c>
      <c r="E8" s="16" t="s">
        <v>165</v>
      </c>
      <c r="G8" s="16" t="s">
        <v>230</v>
      </c>
      <c r="I8" s="16" t="s">
        <v>229</v>
      </c>
      <c r="K8" s="16" t="s">
        <v>165</v>
      </c>
      <c r="M8" s="16" t="s">
        <v>230</v>
      </c>
    </row>
    <row r="9" spans="1:13" ht="27" customHeight="1" x14ac:dyDescent="0.45">
      <c r="A9" s="19" t="s">
        <v>286</v>
      </c>
      <c r="C9" s="11">
        <v>34433</v>
      </c>
      <c r="E9" s="11">
        <v>0</v>
      </c>
      <c r="G9" s="11">
        <v>34433</v>
      </c>
      <c r="I9" s="11">
        <v>418241</v>
      </c>
      <c r="K9" s="11">
        <v>0</v>
      </c>
      <c r="M9" s="11">
        <v>418241</v>
      </c>
    </row>
    <row r="10" spans="1:13" ht="27" customHeight="1" x14ac:dyDescent="0.45">
      <c r="A10" s="19" t="s">
        <v>287</v>
      </c>
      <c r="C10" s="11">
        <v>65752</v>
      </c>
      <c r="E10" s="11">
        <v>0</v>
      </c>
      <c r="G10" s="11">
        <v>65752</v>
      </c>
      <c r="I10" s="11">
        <v>65752</v>
      </c>
      <c r="K10" s="11">
        <v>0</v>
      </c>
      <c r="M10" s="11">
        <v>65752</v>
      </c>
    </row>
    <row r="11" spans="1:13" ht="27" customHeight="1" x14ac:dyDescent="0.45">
      <c r="A11" s="19" t="s">
        <v>288</v>
      </c>
      <c r="C11" s="11">
        <v>37673</v>
      </c>
      <c r="E11" s="11">
        <v>0</v>
      </c>
      <c r="G11" s="11">
        <v>37673</v>
      </c>
      <c r="I11" s="11">
        <v>27880474</v>
      </c>
      <c r="K11" s="11">
        <v>0</v>
      </c>
      <c r="M11" s="11">
        <v>27880474</v>
      </c>
    </row>
    <row r="12" spans="1:13" ht="27" customHeight="1" x14ac:dyDescent="0.45">
      <c r="A12" s="19" t="s">
        <v>289</v>
      </c>
      <c r="C12" s="11">
        <v>277736</v>
      </c>
      <c r="E12" s="11">
        <v>0</v>
      </c>
      <c r="G12" s="11">
        <v>277736</v>
      </c>
      <c r="I12" s="11">
        <v>251515218</v>
      </c>
      <c r="K12" s="11">
        <v>0</v>
      </c>
      <c r="M12" s="11">
        <v>251515218</v>
      </c>
    </row>
    <row r="13" spans="1:13" ht="27" customHeight="1" x14ac:dyDescent="0.45">
      <c r="A13" s="19" t="s">
        <v>290</v>
      </c>
      <c r="C13" s="11">
        <v>65935</v>
      </c>
      <c r="E13" s="11">
        <v>0</v>
      </c>
      <c r="G13" s="11">
        <v>65935</v>
      </c>
      <c r="I13" s="11">
        <v>1375057</v>
      </c>
      <c r="K13" s="11">
        <v>0</v>
      </c>
      <c r="M13" s="11">
        <v>1375057</v>
      </c>
    </row>
    <row r="14" spans="1:13" ht="27" customHeight="1" x14ac:dyDescent="0.45">
      <c r="A14" s="19" t="s">
        <v>291</v>
      </c>
      <c r="C14" s="11">
        <v>102508</v>
      </c>
      <c r="E14" s="11">
        <v>0</v>
      </c>
      <c r="G14" s="11">
        <v>102508</v>
      </c>
      <c r="I14" s="11">
        <v>18464336</v>
      </c>
      <c r="K14" s="11">
        <v>0</v>
      </c>
      <c r="M14" s="11">
        <v>18464336</v>
      </c>
    </row>
    <row r="15" spans="1:13" ht="27" customHeight="1" x14ac:dyDescent="0.45">
      <c r="A15" s="19" t="s">
        <v>292</v>
      </c>
      <c r="C15" s="11">
        <v>41113</v>
      </c>
      <c r="E15" s="11">
        <v>0</v>
      </c>
      <c r="G15" s="11">
        <v>41113</v>
      </c>
      <c r="I15" s="11">
        <v>56452</v>
      </c>
      <c r="K15" s="11">
        <v>0</v>
      </c>
      <c r="M15" s="11">
        <v>56452</v>
      </c>
    </row>
    <row r="16" spans="1:13" ht="19.5" thickBot="1" x14ac:dyDescent="0.5">
      <c r="A16" s="13" t="s">
        <v>99</v>
      </c>
      <c r="C16" s="13">
        <f>SUM(C9:$C$15)</f>
        <v>625150</v>
      </c>
      <c r="E16" s="13">
        <f>SUM(E9:$E$15)</f>
        <v>0</v>
      </c>
      <c r="G16" s="13">
        <f>SUM(G9:$G$15)</f>
        <v>625150</v>
      </c>
      <c r="I16" s="13">
        <f>SUM(I9:$I$15)</f>
        <v>299775530</v>
      </c>
      <c r="K16" s="13">
        <f>SUM(K9:$K$15)</f>
        <v>0</v>
      </c>
      <c r="M16" s="13">
        <f>SUM(M9:$M$15)</f>
        <v>299775530</v>
      </c>
    </row>
    <row r="17" spans="3:13" ht="19.5" thickTop="1" x14ac:dyDescent="0.45">
      <c r="C17" s="15"/>
      <c r="E17" s="15"/>
      <c r="G17" s="15"/>
      <c r="I17" s="15"/>
      <c r="K17" s="15"/>
      <c r="M17" s="15"/>
    </row>
  </sheetData>
  <mergeCells count="6">
    <mergeCell ref="A1:M1"/>
    <mergeCell ref="A2:M2"/>
    <mergeCell ref="A3:M3"/>
    <mergeCell ref="A5:M5"/>
    <mergeCell ref="C7:G7"/>
    <mergeCell ref="I7:M7"/>
  </mergeCells>
  <pageMargins left="0.7" right="0.7" top="0.75" bottom="0.75" header="0.3" footer="0.3"/>
  <pageSetup paperSize="9" scale="99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8ADBA-C6DB-4FD7-B53A-EA99EFE60183}">
  <sheetPr>
    <pageSetUpPr fitToPage="1"/>
  </sheetPr>
  <dimension ref="A1:S11"/>
  <sheetViews>
    <sheetView rightToLeft="1" view="pageBreakPreview" zoomScale="77" zoomScaleNormal="100" zoomScaleSheetLayoutView="77" workbookViewId="0">
      <selection sqref="A1:W1"/>
    </sheetView>
  </sheetViews>
  <sheetFormatPr defaultRowHeight="18" x14ac:dyDescent="0.45"/>
  <cols>
    <col min="1" max="1" width="21.28515625" style="4" customWidth="1"/>
    <col min="2" max="2" width="1.42578125" style="4" customWidth="1"/>
    <col min="3" max="3" width="11.42578125" style="4" customWidth="1"/>
    <col min="4" max="4" width="1.42578125" style="4" customWidth="1"/>
    <col min="5" max="5" width="11.42578125" style="4" customWidth="1"/>
    <col min="6" max="6" width="1.42578125" style="4" customWidth="1"/>
    <col min="7" max="7" width="11.42578125" style="4" customWidth="1"/>
    <col min="8" max="8" width="1.42578125" style="4" customWidth="1"/>
    <col min="9" max="9" width="18.42578125" style="4" customWidth="1"/>
    <col min="10" max="10" width="1.42578125" style="4" customWidth="1"/>
    <col min="11" max="11" width="14.140625" style="4" customWidth="1"/>
    <col min="12" max="12" width="1.42578125" style="4" customWidth="1"/>
    <col min="13" max="13" width="18.42578125" style="4" customWidth="1"/>
    <col min="14" max="14" width="1.42578125" style="4" customWidth="1"/>
    <col min="15" max="15" width="18.42578125" style="4" customWidth="1"/>
    <col min="16" max="16" width="1.42578125" style="4" customWidth="1"/>
    <col min="17" max="17" width="14.140625" style="4" customWidth="1"/>
    <col min="18" max="18" width="1.42578125" style="4" customWidth="1"/>
    <col min="19" max="19" width="18.42578125" style="4" customWidth="1"/>
    <col min="20" max="16384" width="9.140625" style="4"/>
  </cols>
  <sheetData>
    <row r="1" spans="1:19" ht="20.100000000000001" customHeight="1" x14ac:dyDescent="0.45">
      <c r="A1" s="33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</row>
    <row r="2" spans="1:19" ht="20.100000000000001" customHeight="1" x14ac:dyDescent="0.45">
      <c r="A2" s="33" t="s">
        <v>148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</row>
    <row r="3" spans="1:19" ht="20.100000000000001" customHeight="1" x14ac:dyDescent="0.45">
      <c r="A3" s="33" t="s">
        <v>2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</row>
    <row r="5" spans="1:19" ht="21" x14ac:dyDescent="0.55000000000000004">
      <c r="A5" s="37" t="s">
        <v>293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</row>
    <row r="7" spans="1:19" ht="21" x14ac:dyDescent="0.45">
      <c r="I7" s="27" t="s">
        <v>160</v>
      </c>
      <c r="J7" s="28"/>
      <c r="K7" s="28"/>
      <c r="L7" s="28"/>
      <c r="M7" s="28"/>
      <c r="O7" s="27" t="s">
        <v>7</v>
      </c>
      <c r="P7" s="28"/>
      <c r="Q7" s="28"/>
      <c r="R7" s="28"/>
      <c r="S7" s="28"/>
    </row>
    <row r="8" spans="1:19" ht="42" x14ac:dyDescent="0.45">
      <c r="A8" s="17" t="s">
        <v>150</v>
      </c>
      <c r="C8" s="16" t="s">
        <v>228</v>
      </c>
      <c r="E8" s="16" t="s">
        <v>124</v>
      </c>
      <c r="G8" s="16" t="s">
        <v>137</v>
      </c>
      <c r="I8" s="16" t="s">
        <v>229</v>
      </c>
      <c r="K8" s="16" t="s">
        <v>165</v>
      </c>
      <c r="M8" s="16" t="s">
        <v>230</v>
      </c>
      <c r="O8" s="16" t="s">
        <v>229</v>
      </c>
      <c r="Q8" s="16" t="s">
        <v>165</v>
      </c>
      <c r="S8" s="16" t="s">
        <v>230</v>
      </c>
    </row>
    <row r="9" spans="1:19" ht="37.5" x14ac:dyDescent="0.45">
      <c r="A9" s="8" t="s">
        <v>231</v>
      </c>
      <c r="C9" s="7" t="s">
        <v>232</v>
      </c>
      <c r="E9" s="7" t="s">
        <v>233</v>
      </c>
      <c r="G9" s="7" t="s">
        <v>234</v>
      </c>
      <c r="N9" s="7"/>
      <c r="O9" s="11">
        <v>2812519762</v>
      </c>
      <c r="Q9" s="11">
        <v>0</v>
      </c>
      <c r="S9" s="11">
        <v>2812519762</v>
      </c>
    </row>
    <row r="10" spans="1:19" ht="19.5" thickBot="1" x14ac:dyDescent="0.5">
      <c r="A10" s="13" t="s">
        <v>99</v>
      </c>
      <c r="I10" s="13">
        <f>SUM(I9:$I$9)</f>
        <v>0</v>
      </c>
      <c r="K10" s="13">
        <f>SUM(K9:$K$9)</f>
        <v>0</v>
      </c>
      <c r="M10" s="13">
        <f>SUM(M9:$M$9)</f>
        <v>0</v>
      </c>
      <c r="O10" s="13">
        <f>SUM(O9:$O$9)</f>
        <v>2812519762</v>
      </c>
      <c r="Q10" s="13">
        <f>SUM(Q9:$Q$9)</f>
        <v>0</v>
      </c>
      <c r="S10" s="13">
        <f>SUM(S9:$S$9)</f>
        <v>2812519762</v>
      </c>
    </row>
    <row r="11" spans="1:19" ht="19.5" thickTop="1" x14ac:dyDescent="0.45">
      <c r="I11" s="15"/>
      <c r="K11" s="15"/>
      <c r="M11" s="15"/>
      <c r="O11" s="15"/>
      <c r="Q11" s="15"/>
      <c r="S11" s="15"/>
    </row>
  </sheetData>
  <mergeCells count="6">
    <mergeCell ref="A1:S1"/>
    <mergeCell ref="A2:S2"/>
    <mergeCell ref="A3:S3"/>
    <mergeCell ref="A5:S5"/>
    <mergeCell ref="I7:M7"/>
    <mergeCell ref="O7:S7"/>
  </mergeCells>
  <pageMargins left="0.7" right="0.7" top="0.75" bottom="0.75" header="0.3" footer="0.3"/>
  <pageSetup paperSize="9" scale="76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Q95"/>
  <sheetViews>
    <sheetView rightToLeft="1" view="pageBreakPreview" topLeftCell="A49" zoomScale="60" zoomScaleNormal="100" workbookViewId="0">
      <selection sqref="A1:W1"/>
    </sheetView>
  </sheetViews>
  <sheetFormatPr defaultRowHeight="18" x14ac:dyDescent="0.45"/>
  <cols>
    <col min="1" max="1" width="21.140625" style="4" bestFit="1" customWidth="1"/>
    <col min="2" max="2" width="1.42578125" style="4" customWidth="1"/>
    <col min="3" max="3" width="12.7109375" style="4" customWidth="1"/>
    <col min="4" max="4" width="1.42578125" style="4" customWidth="1"/>
    <col min="5" max="5" width="17.5703125" style="4" bestFit="1" customWidth="1"/>
    <col min="6" max="6" width="1.42578125" style="4" customWidth="1"/>
    <col min="7" max="7" width="17.7109375" style="4" bestFit="1" customWidth="1"/>
    <col min="8" max="8" width="1.42578125" style="4" customWidth="1"/>
    <col min="9" max="9" width="17" style="4" customWidth="1"/>
    <col min="10" max="10" width="1.42578125" style="4" customWidth="1"/>
    <col min="11" max="11" width="13.28515625" style="4" bestFit="1" customWidth="1"/>
    <col min="12" max="12" width="1.42578125" style="4" customWidth="1"/>
    <col min="13" max="13" width="19.140625" style="4" bestFit="1" customWidth="1"/>
    <col min="14" max="14" width="1.42578125" style="4" customWidth="1"/>
    <col min="15" max="15" width="19.42578125" style="4" bestFit="1" customWidth="1"/>
    <col min="16" max="16" width="1.42578125" style="4" customWidth="1"/>
    <col min="17" max="17" width="17.7109375" style="4" bestFit="1" customWidth="1"/>
    <col min="18" max="16384" width="9.140625" style="4"/>
  </cols>
  <sheetData>
    <row r="1" spans="1:17" ht="20.100000000000001" customHeight="1" x14ac:dyDescent="0.45">
      <c r="A1" s="33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</row>
    <row r="2" spans="1:17" ht="20.100000000000001" customHeight="1" x14ac:dyDescent="0.45">
      <c r="A2" s="33" t="s">
        <v>148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</row>
    <row r="3" spans="1:17" ht="20.100000000000001" customHeight="1" x14ac:dyDescent="0.45">
      <c r="A3" s="33" t="s">
        <v>2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</row>
    <row r="5" spans="1:17" ht="21" x14ac:dyDescent="0.45">
      <c r="A5" s="34" t="s">
        <v>235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</row>
    <row r="7" spans="1:17" ht="21" x14ac:dyDescent="0.45">
      <c r="C7" s="27" t="s">
        <v>160</v>
      </c>
      <c r="D7" s="28"/>
      <c r="E7" s="28"/>
      <c r="F7" s="28"/>
      <c r="G7" s="28"/>
      <c r="H7" s="28"/>
      <c r="I7" s="28"/>
      <c r="K7" s="27" t="s">
        <v>7</v>
      </c>
      <c r="L7" s="28"/>
      <c r="M7" s="28"/>
      <c r="N7" s="28"/>
      <c r="O7" s="28"/>
      <c r="P7" s="28"/>
      <c r="Q7" s="28"/>
    </row>
    <row r="8" spans="1:17" ht="42" x14ac:dyDescent="0.45">
      <c r="A8" s="17" t="s">
        <v>150</v>
      </c>
      <c r="C8" s="16" t="s">
        <v>9</v>
      </c>
      <c r="E8" s="16" t="s">
        <v>11</v>
      </c>
      <c r="G8" s="16" t="s">
        <v>236</v>
      </c>
      <c r="I8" s="16" t="s">
        <v>237</v>
      </c>
      <c r="K8" s="16" t="s">
        <v>9</v>
      </c>
      <c r="M8" s="16" t="s">
        <v>11</v>
      </c>
      <c r="O8" s="16" t="s">
        <v>236</v>
      </c>
      <c r="Q8" s="16" t="s">
        <v>237</v>
      </c>
    </row>
    <row r="9" spans="1:17" ht="18.75" x14ac:dyDescent="0.45">
      <c r="A9" s="8" t="s">
        <v>19</v>
      </c>
      <c r="C9" s="11">
        <v>2000000</v>
      </c>
      <c r="E9" s="11">
        <v>9085617070</v>
      </c>
      <c r="G9" s="11">
        <v>7412520515</v>
      </c>
      <c r="I9" s="11">
        <v>1673096555</v>
      </c>
      <c r="K9" s="11">
        <v>2000000</v>
      </c>
      <c r="M9" s="11">
        <v>9085617070</v>
      </c>
      <c r="O9" s="11">
        <v>7412520515</v>
      </c>
      <c r="Q9" s="11">
        <v>1673096555</v>
      </c>
    </row>
    <row r="10" spans="1:17" ht="18.75" x14ac:dyDescent="0.45">
      <c r="A10" s="8" t="s">
        <v>20</v>
      </c>
      <c r="J10" s="7"/>
      <c r="K10" s="11">
        <v>281966</v>
      </c>
      <c r="M10" s="11">
        <v>2242685769</v>
      </c>
      <c r="O10" s="11">
        <v>2610074708</v>
      </c>
      <c r="Q10" s="11">
        <v>-367388939</v>
      </c>
    </row>
    <row r="11" spans="1:17" ht="18.75" x14ac:dyDescent="0.45">
      <c r="A11" s="8" t="s">
        <v>21</v>
      </c>
      <c r="J11" s="7"/>
      <c r="K11" s="11">
        <v>1950000</v>
      </c>
      <c r="M11" s="11">
        <v>12231288304</v>
      </c>
      <c r="O11" s="11">
        <v>10341560933</v>
      </c>
      <c r="Q11" s="11">
        <v>1889727371</v>
      </c>
    </row>
    <row r="12" spans="1:17" ht="18.75" x14ac:dyDescent="0.45">
      <c r="A12" s="8" t="s">
        <v>23</v>
      </c>
      <c r="C12" s="11">
        <v>7200000</v>
      </c>
      <c r="E12" s="11">
        <v>18145742773</v>
      </c>
      <c r="G12" s="11">
        <v>13007547240</v>
      </c>
      <c r="I12" s="11">
        <v>5138195533</v>
      </c>
      <c r="K12" s="11">
        <v>7200000</v>
      </c>
      <c r="M12" s="11">
        <v>18145742773</v>
      </c>
      <c r="O12" s="11">
        <v>13007547240</v>
      </c>
      <c r="Q12" s="11">
        <v>5138195533</v>
      </c>
    </row>
    <row r="13" spans="1:17" ht="18.75" x14ac:dyDescent="0.45">
      <c r="A13" s="8" t="s">
        <v>238</v>
      </c>
      <c r="J13" s="7"/>
      <c r="K13" s="11">
        <v>433913</v>
      </c>
      <c r="M13" s="11">
        <v>1102004664</v>
      </c>
      <c r="O13" s="11">
        <v>1310689440</v>
      </c>
      <c r="Q13" s="11">
        <v>-208684776</v>
      </c>
    </row>
    <row r="14" spans="1:17" ht="18.75" x14ac:dyDescent="0.45">
      <c r="A14" s="8" t="s">
        <v>26</v>
      </c>
      <c r="J14" s="7"/>
      <c r="K14" s="11">
        <v>400000</v>
      </c>
      <c r="M14" s="11">
        <v>754275162</v>
      </c>
      <c r="O14" s="11">
        <v>811888477</v>
      </c>
      <c r="Q14" s="11">
        <v>-57613315</v>
      </c>
    </row>
    <row r="15" spans="1:17" ht="18.75" x14ac:dyDescent="0.45">
      <c r="A15" s="8" t="s">
        <v>170</v>
      </c>
      <c r="J15" s="7"/>
      <c r="K15" s="11">
        <v>2736107</v>
      </c>
      <c r="M15" s="11">
        <v>7700395419</v>
      </c>
      <c r="O15" s="11">
        <v>10457881070</v>
      </c>
      <c r="Q15" s="11">
        <v>-2757485651</v>
      </c>
    </row>
    <row r="16" spans="1:17" ht="18.75" x14ac:dyDescent="0.45">
      <c r="A16" s="8" t="s">
        <v>27</v>
      </c>
      <c r="J16" s="7"/>
      <c r="K16" s="11">
        <v>1562500</v>
      </c>
      <c r="M16" s="11">
        <v>5095247839</v>
      </c>
      <c r="O16" s="11">
        <v>3906823843</v>
      </c>
      <c r="Q16" s="11">
        <v>1188423996</v>
      </c>
    </row>
    <row r="17" spans="1:17" ht="37.5" x14ac:dyDescent="0.45">
      <c r="A17" s="8" t="s">
        <v>28</v>
      </c>
      <c r="C17" s="11">
        <v>5317185</v>
      </c>
      <c r="E17" s="11">
        <v>26972150342</v>
      </c>
      <c r="G17" s="11">
        <v>16752308085</v>
      </c>
      <c r="I17" s="11">
        <v>10219842257</v>
      </c>
      <c r="K17" s="11">
        <v>6850000</v>
      </c>
      <c r="M17" s="11">
        <v>31683223025</v>
      </c>
      <c r="O17" s="11">
        <v>21599932670</v>
      </c>
      <c r="Q17" s="11">
        <v>10083290355</v>
      </c>
    </row>
    <row r="18" spans="1:17" ht="18.75" x14ac:dyDescent="0.45">
      <c r="A18" s="8" t="s">
        <v>30</v>
      </c>
      <c r="J18" s="7"/>
      <c r="K18" s="11">
        <v>1451298</v>
      </c>
      <c r="M18" s="11">
        <v>9759162530</v>
      </c>
      <c r="O18" s="11">
        <v>7106733230</v>
      </c>
      <c r="Q18" s="11">
        <v>2652429300</v>
      </c>
    </row>
    <row r="19" spans="1:17" ht="18.75" x14ac:dyDescent="0.45">
      <c r="A19" s="8" t="s">
        <v>239</v>
      </c>
      <c r="J19" s="7"/>
      <c r="K19" s="11">
        <v>9600000</v>
      </c>
      <c r="M19" s="11">
        <v>19247729584</v>
      </c>
      <c r="O19" s="11">
        <v>15514041705</v>
      </c>
      <c r="Q19" s="11">
        <v>3733687879</v>
      </c>
    </row>
    <row r="20" spans="1:17" ht="18.75" x14ac:dyDescent="0.45">
      <c r="A20" s="8" t="s">
        <v>175</v>
      </c>
      <c r="J20" s="7"/>
      <c r="K20" s="11">
        <v>1145363</v>
      </c>
      <c r="M20" s="11">
        <v>15324857452</v>
      </c>
      <c r="O20" s="11">
        <v>11492342740</v>
      </c>
      <c r="Q20" s="11">
        <v>3832514712</v>
      </c>
    </row>
    <row r="21" spans="1:17" ht="18.75" x14ac:dyDescent="0.45">
      <c r="A21" s="8" t="s">
        <v>32</v>
      </c>
      <c r="C21" s="11">
        <v>1400000</v>
      </c>
      <c r="E21" s="11">
        <v>42654685582</v>
      </c>
      <c r="G21" s="11">
        <v>31961846081</v>
      </c>
      <c r="I21" s="11">
        <v>10692839501</v>
      </c>
      <c r="K21" s="11">
        <v>2200000</v>
      </c>
      <c r="M21" s="11">
        <v>59285379273</v>
      </c>
      <c r="O21" s="11">
        <v>50272107272</v>
      </c>
      <c r="Q21" s="11">
        <v>9013272001</v>
      </c>
    </row>
    <row r="22" spans="1:17" ht="37.5" x14ac:dyDescent="0.45">
      <c r="A22" s="8" t="s">
        <v>35</v>
      </c>
      <c r="C22" s="11">
        <v>250000</v>
      </c>
      <c r="E22" s="11">
        <v>1075511389</v>
      </c>
      <c r="G22" s="11">
        <v>794288872</v>
      </c>
      <c r="I22" s="11">
        <v>281222517</v>
      </c>
      <c r="K22" s="11">
        <v>250000</v>
      </c>
      <c r="M22" s="11">
        <v>1075511389</v>
      </c>
      <c r="O22" s="11">
        <v>794288872</v>
      </c>
      <c r="Q22" s="11">
        <v>281222517</v>
      </c>
    </row>
    <row r="23" spans="1:17" ht="37.5" x14ac:dyDescent="0.45">
      <c r="A23" s="8" t="s">
        <v>36</v>
      </c>
      <c r="J23" s="7"/>
      <c r="K23" s="11">
        <v>100000</v>
      </c>
      <c r="M23" s="11">
        <v>1308169802</v>
      </c>
      <c r="O23" s="11">
        <v>1317267379</v>
      </c>
      <c r="Q23" s="11">
        <v>-9097577</v>
      </c>
    </row>
    <row r="24" spans="1:17" ht="18.75" x14ac:dyDescent="0.45">
      <c r="A24" s="8" t="s">
        <v>37</v>
      </c>
      <c r="J24" s="7"/>
      <c r="K24" s="11">
        <v>1000000</v>
      </c>
      <c r="M24" s="11">
        <v>7515018087</v>
      </c>
      <c r="O24" s="11">
        <v>6510965487</v>
      </c>
      <c r="Q24" s="11">
        <v>1004052600</v>
      </c>
    </row>
    <row r="25" spans="1:17" ht="18.75" x14ac:dyDescent="0.45">
      <c r="A25" s="8" t="s">
        <v>179</v>
      </c>
      <c r="J25" s="7"/>
      <c r="K25" s="11">
        <v>1820134</v>
      </c>
      <c r="M25" s="11">
        <v>16630074164</v>
      </c>
      <c r="O25" s="11">
        <v>19822639912</v>
      </c>
      <c r="Q25" s="11">
        <v>-3192565748</v>
      </c>
    </row>
    <row r="26" spans="1:17" ht="18.75" x14ac:dyDescent="0.45">
      <c r="A26" s="8" t="s">
        <v>38</v>
      </c>
      <c r="J26" s="7"/>
      <c r="K26" s="11">
        <v>7200000</v>
      </c>
      <c r="M26" s="11">
        <v>16991098026</v>
      </c>
      <c r="O26" s="11">
        <v>13313356791</v>
      </c>
      <c r="Q26" s="11">
        <v>3677741235</v>
      </c>
    </row>
    <row r="27" spans="1:17" ht="18.75" x14ac:dyDescent="0.45">
      <c r="A27" s="8" t="s">
        <v>240</v>
      </c>
      <c r="J27" s="7"/>
      <c r="K27" s="11">
        <v>1800000</v>
      </c>
      <c r="M27" s="11">
        <v>25551061283</v>
      </c>
      <c r="O27" s="11">
        <v>19320727281</v>
      </c>
      <c r="Q27" s="11">
        <v>6230334002</v>
      </c>
    </row>
    <row r="28" spans="1:17" ht="18.75" x14ac:dyDescent="0.45">
      <c r="A28" s="8" t="s">
        <v>39</v>
      </c>
      <c r="J28" s="7"/>
      <c r="K28" s="11">
        <v>400000</v>
      </c>
      <c r="M28" s="11">
        <v>3033840616</v>
      </c>
      <c r="O28" s="11">
        <v>2927555640</v>
      </c>
      <c r="Q28" s="11">
        <v>106284976</v>
      </c>
    </row>
    <row r="29" spans="1:17" ht="18.75" x14ac:dyDescent="0.45">
      <c r="A29" s="8" t="s">
        <v>40</v>
      </c>
      <c r="J29" s="7"/>
      <c r="K29" s="11">
        <v>1200000</v>
      </c>
      <c r="M29" s="11">
        <v>16675660699</v>
      </c>
      <c r="O29" s="11">
        <v>18962088919</v>
      </c>
      <c r="Q29" s="11">
        <v>-2286428220</v>
      </c>
    </row>
    <row r="30" spans="1:17" ht="18.75" x14ac:dyDescent="0.45">
      <c r="A30" s="8" t="s">
        <v>41</v>
      </c>
      <c r="C30" s="11">
        <v>400000</v>
      </c>
      <c r="E30" s="11">
        <v>13228817444</v>
      </c>
      <c r="G30" s="11">
        <v>11841465044</v>
      </c>
      <c r="I30" s="11">
        <v>1387352400</v>
      </c>
      <c r="K30" s="11">
        <v>500000</v>
      </c>
      <c r="M30" s="11">
        <v>16244775092</v>
      </c>
      <c r="O30" s="11">
        <v>14803574592</v>
      </c>
      <c r="Q30" s="11">
        <v>1441200500</v>
      </c>
    </row>
    <row r="31" spans="1:17" ht="18.75" x14ac:dyDescent="0.45">
      <c r="A31" s="8" t="s">
        <v>185</v>
      </c>
      <c r="J31" s="7"/>
      <c r="K31" s="11">
        <v>823279</v>
      </c>
      <c r="M31" s="11">
        <v>99723042717</v>
      </c>
      <c r="O31" s="11">
        <v>83910713763</v>
      </c>
      <c r="Q31" s="11">
        <v>15812328954</v>
      </c>
    </row>
    <row r="32" spans="1:17" ht="37.5" x14ac:dyDescent="0.45">
      <c r="A32" s="8" t="s">
        <v>42</v>
      </c>
      <c r="J32" s="7"/>
      <c r="K32" s="11">
        <v>272500</v>
      </c>
      <c r="M32" s="11">
        <v>7509976968</v>
      </c>
      <c r="O32" s="11">
        <v>5058427983</v>
      </c>
      <c r="Q32" s="11">
        <v>2451548985</v>
      </c>
    </row>
    <row r="33" spans="1:17" ht="18.75" x14ac:dyDescent="0.45">
      <c r="A33" s="8" t="s">
        <v>43</v>
      </c>
      <c r="C33" s="11">
        <v>188</v>
      </c>
      <c r="E33" s="11">
        <v>4862658</v>
      </c>
      <c r="G33" s="11">
        <v>2733485</v>
      </c>
      <c r="I33" s="11">
        <v>2129173</v>
      </c>
      <c r="K33" s="11">
        <v>188</v>
      </c>
      <c r="M33" s="11">
        <v>4862658</v>
      </c>
      <c r="O33" s="11">
        <v>2733485</v>
      </c>
      <c r="Q33" s="11">
        <v>2129173</v>
      </c>
    </row>
    <row r="34" spans="1:17" ht="18.75" x14ac:dyDescent="0.45">
      <c r="A34" s="8" t="s">
        <v>44</v>
      </c>
      <c r="J34" s="7"/>
      <c r="K34" s="11">
        <v>1592280</v>
      </c>
      <c r="M34" s="11">
        <v>91839161439</v>
      </c>
      <c r="O34" s="11">
        <v>58594958367</v>
      </c>
      <c r="Q34" s="11">
        <v>33244203072</v>
      </c>
    </row>
    <row r="35" spans="1:17" ht="18.75" x14ac:dyDescent="0.45">
      <c r="A35" s="8" t="s">
        <v>188</v>
      </c>
      <c r="J35" s="7"/>
      <c r="K35" s="11">
        <v>3260353</v>
      </c>
      <c r="M35" s="11">
        <v>21457616564</v>
      </c>
      <c r="O35" s="11">
        <v>14112314709</v>
      </c>
      <c r="Q35" s="11">
        <v>7345301855</v>
      </c>
    </row>
    <row r="36" spans="1:17" ht="18.75" x14ac:dyDescent="0.45">
      <c r="A36" s="8" t="s">
        <v>241</v>
      </c>
      <c r="J36" s="7"/>
      <c r="K36" s="11">
        <v>1200000</v>
      </c>
      <c r="M36" s="11">
        <v>16592732407</v>
      </c>
      <c r="O36" s="11">
        <v>15224881285</v>
      </c>
      <c r="Q36" s="11">
        <v>1367851122</v>
      </c>
    </row>
    <row r="37" spans="1:17" ht="18.75" x14ac:dyDescent="0.45">
      <c r="A37" s="8" t="s">
        <v>47</v>
      </c>
      <c r="J37" s="7"/>
      <c r="K37" s="11">
        <v>10000000</v>
      </c>
      <c r="M37" s="11">
        <v>40918606663</v>
      </c>
      <c r="O37" s="11">
        <v>44218934306</v>
      </c>
      <c r="Q37" s="11">
        <v>-3300327643</v>
      </c>
    </row>
    <row r="38" spans="1:17" ht="18.75" x14ac:dyDescent="0.45">
      <c r="A38" s="8" t="s">
        <v>48</v>
      </c>
      <c r="J38" s="7"/>
      <c r="K38" s="11">
        <v>4649281</v>
      </c>
      <c r="M38" s="11">
        <v>19101169181</v>
      </c>
      <c r="O38" s="11">
        <v>30004469888</v>
      </c>
      <c r="Q38" s="11">
        <v>-10903300707</v>
      </c>
    </row>
    <row r="39" spans="1:17" ht="18.75" x14ac:dyDescent="0.45">
      <c r="A39" s="8" t="s">
        <v>50</v>
      </c>
      <c r="C39" s="11">
        <v>400000</v>
      </c>
      <c r="E39" s="11">
        <v>20513216033</v>
      </c>
      <c r="G39" s="11">
        <v>11177576433</v>
      </c>
      <c r="I39" s="11">
        <v>9335639600</v>
      </c>
      <c r="K39" s="11">
        <v>1247527</v>
      </c>
      <c r="M39" s="11">
        <v>49888942803</v>
      </c>
      <c r="O39" s="11">
        <v>34945146224</v>
      </c>
      <c r="Q39" s="11">
        <v>14943796579</v>
      </c>
    </row>
    <row r="40" spans="1:17" ht="18.75" x14ac:dyDescent="0.45">
      <c r="A40" s="8" t="s">
        <v>52</v>
      </c>
      <c r="C40" s="11">
        <v>12743</v>
      </c>
      <c r="E40" s="11">
        <v>117171413</v>
      </c>
      <c r="G40" s="11">
        <v>68552448</v>
      </c>
      <c r="I40" s="11">
        <v>48618965</v>
      </c>
      <c r="K40" s="11">
        <v>8412743</v>
      </c>
      <c r="M40" s="11">
        <v>57641461419</v>
      </c>
      <c r="O40" s="11">
        <v>45375321288</v>
      </c>
      <c r="Q40" s="11">
        <v>12266140131</v>
      </c>
    </row>
    <row r="41" spans="1:17" ht="18.75" x14ac:dyDescent="0.45">
      <c r="A41" s="8" t="s">
        <v>53</v>
      </c>
      <c r="C41" s="11">
        <v>2200000</v>
      </c>
      <c r="E41" s="11">
        <v>17385934622</v>
      </c>
      <c r="G41" s="11">
        <v>12575654062</v>
      </c>
      <c r="I41" s="11">
        <v>4810280560</v>
      </c>
      <c r="K41" s="11">
        <v>3000102</v>
      </c>
      <c r="M41" s="11">
        <v>74858142235</v>
      </c>
      <c r="O41" s="11">
        <v>71123875142</v>
      </c>
      <c r="Q41" s="11">
        <v>3734267093</v>
      </c>
    </row>
    <row r="42" spans="1:17" ht="18.75" x14ac:dyDescent="0.45">
      <c r="A42" s="8" t="s">
        <v>194</v>
      </c>
      <c r="J42" s="7"/>
      <c r="K42" s="11">
        <v>783101</v>
      </c>
      <c r="M42" s="11">
        <v>47742123864</v>
      </c>
      <c r="O42" s="11">
        <v>54096161251</v>
      </c>
      <c r="Q42" s="11">
        <v>-6354037387</v>
      </c>
    </row>
    <row r="43" spans="1:17" ht="18.75" x14ac:dyDescent="0.45">
      <c r="A43" s="8" t="s">
        <v>196</v>
      </c>
      <c r="J43" s="7"/>
      <c r="K43" s="11">
        <v>7949358</v>
      </c>
      <c r="M43" s="11">
        <v>61611905997</v>
      </c>
      <c r="O43" s="11">
        <v>72141670083</v>
      </c>
      <c r="Q43" s="11">
        <v>-10529764086</v>
      </c>
    </row>
    <row r="44" spans="1:17" ht="18.75" x14ac:dyDescent="0.45">
      <c r="A44" s="8" t="s">
        <v>57</v>
      </c>
      <c r="J44" s="7"/>
      <c r="K44" s="11">
        <v>469026</v>
      </c>
      <c r="M44" s="11">
        <v>17196292884</v>
      </c>
      <c r="O44" s="11">
        <v>15067710194</v>
      </c>
      <c r="Q44" s="11">
        <v>2128582690</v>
      </c>
    </row>
    <row r="45" spans="1:17" ht="18.75" x14ac:dyDescent="0.45">
      <c r="A45" s="8" t="s">
        <v>198</v>
      </c>
      <c r="J45" s="7"/>
      <c r="K45" s="11">
        <v>6310177</v>
      </c>
      <c r="M45" s="11">
        <v>28065801767</v>
      </c>
      <c r="O45" s="11">
        <v>32487328927</v>
      </c>
      <c r="Q45" s="11">
        <v>-4421527160</v>
      </c>
    </row>
    <row r="46" spans="1:17" ht="18.75" x14ac:dyDescent="0.45">
      <c r="A46" s="8" t="s">
        <v>58</v>
      </c>
      <c r="J46" s="7"/>
      <c r="K46" s="11">
        <v>31773213</v>
      </c>
      <c r="M46" s="11">
        <v>46635859507</v>
      </c>
      <c r="O46" s="11">
        <v>60812694175</v>
      </c>
      <c r="Q46" s="11">
        <v>-14176834668</v>
      </c>
    </row>
    <row r="47" spans="1:17" ht="37.5" x14ac:dyDescent="0.45">
      <c r="A47" s="8" t="s">
        <v>200</v>
      </c>
      <c r="J47" s="7"/>
      <c r="K47" s="11">
        <v>8640622</v>
      </c>
      <c r="M47" s="11">
        <v>18405977767</v>
      </c>
      <c r="O47" s="11">
        <v>27478372743</v>
      </c>
      <c r="Q47" s="11">
        <v>-9072394976</v>
      </c>
    </row>
    <row r="48" spans="1:17" ht="18.75" x14ac:dyDescent="0.45">
      <c r="A48" s="8" t="s">
        <v>59</v>
      </c>
      <c r="J48" s="7"/>
      <c r="K48" s="11">
        <v>600000</v>
      </c>
      <c r="M48" s="11">
        <v>2866334815</v>
      </c>
      <c r="O48" s="11">
        <v>2808379831</v>
      </c>
      <c r="Q48" s="11">
        <v>57954984</v>
      </c>
    </row>
    <row r="49" spans="1:17" ht="37.5" x14ac:dyDescent="0.45">
      <c r="A49" s="8" t="s">
        <v>231</v>
      </c>
      <c r="J49" s="7"/>
      <c r="K49" s="11">
        <v>134120</v>
      </c>
      <c r="M49" s="11">
        <v>134098190751</v>
      </c>
      <c r="O49" s="11">
        <v>134122500000</v>
      </c>
      <c r="Q49" s="11">
        <v>-24309249</v>
      </c>
    </row>
    <row r="50" spans="1:17" ht="18.75" x14ac:dyDescent="0.45">
      <c r="A50" s="8" t="s">
        <v>60</v>
      </c>
      <c r="J50" s="7"/>
      <c r="K50" s="11">
        <v>250004</v>
      </c>
      <c r="M50" s="11">
        <v>2201857970</v>
      </c>
      <c r="O50" s="11">
        <v>1750949160</v>
      </c>
      <c r="Q50" s="11">
        <v>450908810</v>
      </c>
    </row>
    <row r="51" spans="1:17" ht="18.75" x14ac:dyDescent="0.45">
      <c r="A51" s="8" t="s">
        <v>61</v>
      </c>
      <c r="J51" s="7"/>
      <c r="K51" s="11">
        <v>1800000</v>
      </c>
      <c r="M51" s="11">
        <v>15483322849</v>
      </c>
      <c r="O51" s="11">
        <v>13182587776</v>
      </c>
      <c r="Q51" s="11">
        <v>2300735073</v>
      </c>
    </row>
    <row r="52" spans="1:17" ht="18.75" x14ac:dyDescent="0.45">
      <c r="A52" s="8" t="s">
        <v>203</v>
      </c>
      <c r="J52" s="7"/>
      <c r="K52" s="11">
        <v>18187595</v>
      </c>
      <c r="M52" s="11">
        <v>32664728642</v>
      </c>
      <c r="O52" s="11">
        <v>44135119491</v>
      </c>
      <c r="Q52" s="11">
        <v>-11470390849</v>
      </c>
    </row>
    <row r="53" spans="1:17" ht="18.75" x14ac:dyDescent="0.45">
      <c r="A53" s="8" t="s">
        <v>204</v>
      </c>
      <c r="J53" s="7"/>
      <c r="K53" s="11">
        <v>2488715</v>
      </c>
      <c r="M53" s="11">
        <v>21077688982</v>
      </c>
      <c r="O53" s="11">
        <v>24998637417</v>
      </c>
      <c r="Q53" s="11">
        <v>-3920948435</v>
      </c>
    </row>
    <row r="54" spans="1:17" ht="37.5" x14ac:dyDescent="0.45">
      <c r="A54" s="8" t="s">
        <v>206</v>
      </c>
      <c r="J54" s="7"/>
      <c r="K54" s="11">
        <v>2522410</v>
      </c>
      <c r="M54" s="11">
        <v>18703622554</v>
      </c>
      <c r="O54" s="11">
        <v>32455747251</v>
      </c>
      <c r="Q54" s="11">
        <v>-13752124697</v>
      </c>
    </row>
    <row r="55" spans="1:17" ht="18.75" x14ac:dyDescent="0.45">
      <c r="A55" s="8" t="s">
        <v>242</v>
      </c>
      <c r="J55" s="7"/>
      <c r="K55" s="11">
        <v>11591982</v>
      </c>
      <c r="M55" s="11">
        <v>34364341410</v>
      </c>
      <c r="O55" s="11">
        <v>35469547725</v>
      </c>
      <c r="Q55" s="11">
        <v>-1105206315</v>
      </c>
    </row>
    <row r="56" spans="1:17" ht="18.75" x14ac:dyDescent="0.45">
      <c r="A56" s="8" t="s">
        <v>208</v>
      </c>
      <c r="J56" s="7"/>
      <c r="K56" s="11">
        <v>7066087</v>
      </c>
      <c r="M56" s="11">
        <v>41113888809</v>
      </c>
      <c r="O56" s="11">
        <v>44500680605</v>
      </c>
      <c r="Q56" s="11">
        <v>-3386791796</v>
      </c>
    </row>
    <row r="57" spans="1:17" ht="18.75" x14ac:dyDescent="0.45">
      <c r="A57" s="8" t="s">
        <v>243</v>
      </c>
      <c r="J57" s="7"/>
      <c r="K57" s="11">
        <v>162355</v>
      </c>
      <c r="M57" s="11">
        <v>678807354</v>
      </c>
      <c r="O57" s="11">
        <v>742845169</v>
      </c>
      <c r="Q57" s="11">
        <v>-64037815</v>
      </c>
    </row>
    <row r="58" spans="1:17" ht="18.75" x14ac:dyDescent="0.45">
      <c r="A58" s="8" t="s">
        <v>210</v>
      </c>
      <c r="J58" s="7"/>
      <c r="K58" s="11">
        <v>1724034</v>
      </c>
      <c r="M58" s="11">
        <v>34157336538</v>
      </c>
      <c r="O58" s="11">
        <v>43496836639</v>
      </c>
      <c r="Q58" s="11">
        <v>-9339500101</v>
      </c>
    </row>
    <row r="59" spans="1:17" ht="18.75" x14ac:dyDescent="0.45">
      <c r="A59" s="8" t="s">
        <v>212</v>
      </c>
      <c r="J59" s="7"/>
      <c r="K59" s="11">
        <v>8867344</v>
      </c>
      <c r="M59" s="11">
        <v>30637268222</v>
      </c>
      <c r="O59" s="11">
        <v>45493791227</v>
      </c>
      <c r="Q59" s="11">
        <v>-14856523005</v>
      </c>
    </row>
    <row r="60" spans="1:17" ht="18.75" x14ac:dyDescent="0.45">
      <c r="A60" s="8" t="s">
        <v>244</v>
      </c>
      <c r="J60" s="7"/>
      <c r="K60" s="11">
        <v>5120</v>
      </c>
      <c r="M60" s="11">
        <v>19391134</v>
      </c>
      <c r="O60" s="11">
        <v>16769983</v>
      </c>
      <c r="Q60" s="11">
        <v>2621151</v>
      </c>
    </row>
    <row r="61" spans="1:17" ht="18.75" x14ac:dyDescent="0.45">
      <c r="A61" s="8" t="s">
        <v>214</v>
      </c>
      <c r="J61" s="7"/>
      <c r="K61" s="11">
        <v>1000000</v>
      </c>
      <c r="M61" s="11">
        <v>3500610195</v>
      </c>
      <c r="O61" s="11">
        <v>4507955320</v>
      </c>
      <c r="Q61" s="11">
        <v>-1007345125</v>
      </c>
    </row>
    <row r="62" spans="1:17" ht="18.75" x14ac:dyDescent="0.45">
      <c r="A62" s="8" t="s">
        <v>215</v>
      </c>
      <c r="J62" s="7"/>
      <c r="K62" s="11">
        <v>7000000</v>
      </c>
      <c r="M62" s="11">
        <v>51474411028</v>
      </c>
      <c r="O62" s="11">
        <v>77416664348</v>
      </c>
      <c r="Q62" s="11">
        <v>-25942253320</v>
      </c>
    </row>
    <row r="63" spans="1:17" ht="18.75" x14ac:dyDescent="0.45">
      <c r="A63" s="8" t="s">
        <v>66</v>
      </c>
      <c r="C63" s="11">
        <v>5693174</v>
      </c>
      <c r="E63" s="11">
        <v>21537492507</v>
      </c>
      <c r="G63" s="11">
        <v>24894308848</v>
      </c>
      <c r="I63" s="11">
        <v>-3356816341</v>
      </c>
      <c r="K63" s="11">
        <v>25227262</v>
      </c>
      <c r="M63" s="11">
        <v>97502589356</v>
      </c>
      <c r="O63" s="11">
        <v>111326203581</v>
      </c>
      <c r="Q63" s="11">
        <v>-13823614225</v>
      </c>
    </row>
    <row r="64" spans="1:17" ht="18.75" x14ac:dyDescent="0.45">
      <c r="A64" s="8" t="s">
        <v>67</v>
      </c>
      <c r="J64" s="7"/>
      <c r="K64" s="11">
        <v>454489</v>
      </c>
      <c r="M64" s="11">
        <v>5203807892</v>
      </c>
      <c r="O64" s="11">
        <v>5146305770</v>
      </c>
      <c r="Q64" s="11">
        <v>57502122</v>
      </c>
    </row>
    <row r="65" spans="1:17" ht="18.75" x14ac:dyDescent="0.45">
      <c r="A65" s="8" t="s">
        <v>69</v>
      </c>
      <c r="J65" s="7"/>
      <c r="K65" s="11">
        <v>400000</v>
      </c>
      <c r="M65" s="11">
        <v>2127267007</v>
      </c>
      <c r="O65" s="11">
        <v>1908828593</v>
      </c>
      <c r="Q65" s="11">
        <v>218438414</v>
      </c>
    </row>
    <row r="66" spans="1:17" ht="18.75" x14ac:dyDescent="0.45">
      <c r="A66" s="8" t="s">
        <v>70</v>
      </c>
      <c r="J66" s="7"/>
      <c r="K66" s="11">
        <v>135000</v>
      </c>
      <c r="M66" s="11">
        <v>2564649014</v>
      </c>
      <c r="O66" s="11">
        <v>2626521588</v>
      </c>
      <c r="Q66" s="11">
        <v>-61872574</v>
      </c>
    </row>
    <row r="67" spans="1:17" ht="18.75" x14ac:dyDescent="0.45">
      <c r="A67" s="8" t="s">
        <v>245</v>
      </c>
      <c r="J67" s="7"/>
      <c r="K67" s="11">
        <v>2314570</v>
      </c>
      <c r="M67" s="11">
        <v>8184392109</v>
      </c>
      <c r="O67" s="11">
        <v>9895062325</v>
      </c>
      <c r="Q67" s="11">
        <v>-1710670216</v>
      </c>
    </row>
    <row r="68" spans="1:17" ht="18.75" x14ac:dyDescent="0.45">
      <c r="A68" s="8" t="s">
        <v>72</v>
      </c>
      <c r="J68" s="7"/>
      <c r="K68" s="11">
        <v>250000</v>
      </c>
      <c r="M68" s="11">
        <v>4808719884</v>
      </c>
      <c r="O68" s="11">
        <v>3374304134</v>
      </c>
      <c r="Q68" s="11">
        <v>1434415750</v>
      </c>
    </row>
    <row r="69" spans="1:17" ht="18.75" x14ac:dyDescent="0.45">
      <c r="A69" s="8" t="s">
        <v>73</v>
      </c>
      <c r="J69" s="7"/>
      <c r="K69" s="11">
        <v>6852594</v>
      </c>
      <c r="M69" s="11">
        <v>71365872368</v>
      </c>
      <c r="O69" s="11">
        <v>44490354443</v>
      </c>
      <c r="Q69" s="11">
        <v>26875517925</v>
      </c>
    </row>
    <row r="70" spans="1:17" ht="18.75" x14ac:dyDescent="0.45">
      <c r="A70" s="8" t="s">
        <v>74</v>
      </c>
      <c r="J70" s="7"/>
      <c r="K70" s="11">
        <v>858143</v>
      </c>
      <c r="M70" s="11">
        <v>3008702001</v>
      </c>
      <c r="O70" s="11">
        <v>3174908838</v>
      </c>
      <c r="Q70" s="11">
        <v>-166206837</v>
      </c>
    </row>
    <row r="71" spans="1:17" ht="18.75" x14ac:dyDescent="0.45">
      <c r="A71" s="8" t="s">
        <v>75</v>
      </c>
      <c r="J71" s="7"/>
      <c r="K71" s="11">
        <v>38296</v>
      </c>
      <c r="M71" s="11">
        <v>591214081</v>
      </c>
      <c r="O71" s="11">
        <v>631437796</v>
      </c>
      <c r="Q71" s="11">
        <v>-40223715</v>
      </c>
    </row>
    <row r="72" spans="1:17" ht="18.75" x14ac:dyDescent="0.45">
      <c r="A72" s="8" t="s">
        <v>246</v>
      </c>
      <c r="J72" s="7"/>
      <c r="K72" s="11">
        <v>1321759</v>
      </c>
      <c r="M72" s="11">
        <v>10867433600</v>
      </c>
      <c r="O72" s="11">
        <v>11085824944</v>
      </c>
      <c r="Q72" s="11">
        <v>-218391344</v>
      </c>
    </row>
    <row r="73" spans="1:17" ht="18.75" x14ac:dyDescent="0.45">
      <c r="A73" s="8" t="s">
        <v>223</v>
      </c>
      <c r="J73" s="7"/>
      <c r="K73" s="11">
        <v>339909</v>
      </c>
      <c r="M73" s="11">
        <v>23090542752</v>
      </c>
      <c r="O73" s="11">
        <v>25355328754</v>
      </c>
      <c r="Q73" s="11">
        <v>-2264786002</v>
      </c>
    </row>
    <row r="74" spans="1:17" ht="37.5" x14ac:dyDescent="0.45">
      <c r="A74" s="8" t="s">
        <v>79</v>
      </c>
      <c r="C74" s="11">
        <v>700000</v>
      </c>
      <c r="E74" s="11">
        <v>11853977069</v>
      </c>
      <c r="G74" s="11">
        <v>9072341709</v>
      </c>
      <c r="I74" s="11">
        <v>2781635360</v>
      </c>
      <c r="K74" s="11">
        <v>700000</v>
      </c>
      <c r="M74" s="11">
        <v>11853977069</v>
      </c>
      <c r="O74" s="11">
        <v>9072341709</v>
      </c>
      <c r="Q74" s="11">
        <v>2781635360</v>
      </c>
    </row>
    <row r="75" spans="1:17" ht="18.75" x14ac:dyDescent="0.45">
      <c r="A75" s="8" t="s">
        <v>247</v>
      </c>
      <c r="J75" s="7"/>
      <c r="K75" s="11">
        <v>305861</v>
      </c>
      <c r="M75" s="11">
        <v>2015792683</v>
      </c>
      <c r="O75" s="11">
        <v>1576825953</v>
      </c>
      <c r="Q75" s="11">
        <v>438966730</v>
      </c>
    </row>
    <row r="76" spans="1:17" ht="18.75" x14ac:dyDescent="0.45">
      <c r="A76" s="8" t="s">
        <v>80</v>
      </c>
      <c r="J76" s="7"/>
      <c r="K76" s="11">
        <v>2000000</v>
      </c>
      <c r="M76" s="11">
        <v>13446216654</v>
      </c>
      <c r="O76" s="11">
        <v>15168243234</v>
      </c>
      <c r="Q76" s="11">
        <v>-1722026580</v>
      </c>
    </row>
    <row r="77" spans="1:17" ht="18.75" x14ac:dyDescent="0.45">
      <c r="A77" s="8" t="s">
        <v>81</v>
      </c>
      <c r="J77" s="7"/>
      <c r="K77" s="11">
        <v>600000</v>
      </c>
      <c r="M77" s="11">
        <v>4437439221</v>
      </c>
      <c r="O77" s="11">
        <v>3946278339</v>
      </c>
      <c r="Q77" s="11">
        <v>491160882</v>
      </c>
    </row>
    <row r="78" spans="1:17" ht="18.75" x14ac:dyDescent="0.45">
      <c r="A78" s="8" t="s">
        <v>82</v>
      </c>
      <c r="J78" s="7"/>
      <c r="K78" s="11">
        <v>8200000</v>
      </c>
      <c r="M78" s="11">
        <v>46040221307</v>
      </c>
      <c r="O78" s="11">
        <v>29091553424</v>
      </c>
      <c r="Q78" s="11">
        <v>16948667883</v>
      </c>
    </row>
    <row r="79" spans="1:17" ht="18.75" x14ac:dyDescent="0.45">
      <c r="A79" s="8" t="s">
        <v>83</v>
      </c>
      <c r="J79" s="7"/>
      <c r="K79" s="11">
        <v>777733</v>
      </c>
      <c r="M79" s="11">
        <v>1564664910</v>
      </c>
      <c r="O79" s="11">
        <v>6232606550</v>
      </c>
      <c r="Q79" s="11">
        <v>-4667941640</v>
      </c>
    </row>
    <row r="80" spans="1:17" ht="18.75" x14ac:dyDescent="0.45">
      <c r="A80" s="8" t="s">
        <v>84</v>
      </c>
      <c r="J80" s="7"/>
      <c r="K80" s="11">
        <v>486808</v>
      </c>
      <c r="M80" s="11">
        <v>18830297937</v>
      </c>
      <c r="O80" s="11">
        <v>19127610134</v>
      </c>
      <c r="Q80" s="11">
        <v>-297312197</v>
      </c>
    </row>
    <row r="81" spans="1:17" ht="18.75" x14ac:dyDescent="0.45">
      <c r="A81" s="8" t="s">
        <v>225</v>
      </c>
      <c r="J81" s="7"/>
      <c r="K81" s="11">
        <v>1056335</v>
      </c>
      <c r="M81" s="11">
        <v>12282594884</v>
      </c>
      <c r="O81" s="11">
        <v>15393714997</v>
      </c>
      <c r="Q81" s="11">
        <v>-3111120113</v>
      </c>
    </row>
    <row r="82" spans="1:17" ht="18.75" x14ac:dyDescent="0.45">
      <c r="A82" s="8" t="s">
        <v>87</v>
      </c>
      <c r="J82" s="7"/>
      <c r="K82" s="11">
        <v>400000</v>
      </c>
      <c r="M82" s="11">
        <v>2063647811</v>
      </c>
      <c r="O82" s="11">
        <v>1780109673</v>
      </c>
      <c r="Q82" s="11">
        <v>283538138</v>
      </c>
    </row>
    <row r="83" spans="1:17" ht="18.75" x14ac:dyDescent="0.45">
      <c r="A83" s="8" t="s">
        <v>89</v>
      </c>
      <c r="J83" s="7"/>
      <c r="K83" s="11">
        <v>1600000</v>
      </c>
      <c r="M83" s="11">
        <v>11594599273</v>
      </c>
      <c r="O83" s="11">
        <v>19668456073</v>
      </c>
      <c r="Q83" s="11">
        <v>-8073856800</v>
      </c>
    </row>
    <row r="84" spans="1:17" ht="18.75" x14ac:dyDescent="0.45">
      <c r="A84" s="8" t="s">
        <v>91</v>
      </c>
      <c r="J84" s="7"/>
      <c r="K84" s="11">
        <v>5850000</v>
      </c>
      <c r="M84" s="11">
        <v>36481088582</v>
      </c>
      <c r="O84" s="11">
        <v>45880711018</v>
      </c>
      <c r="Q84" s="11">
        <v>-9399622436</v>
      </c>
    </row>
    <row r="85" spans="1:17" ht="18.75" x14ac:dyDescent="0.45">
      <c r="A85" s="8" t="s">
        <v>92</v>
      </c>
      <c r="J85" s="7"/>
      <c r="K85" s="11">
        <v>761810</v>
      </c>
      <c r="M85" s="11">
        <v>28600817933</v>
      </c>
      <c r="O85" s="11">
        <v>29726112353</v>
      </c>
      <c r="Q85" s="11">
        <v>-1125294420</v>
      </c>
    </row>
    <row r="86" spans="1:17" ht="18.75" x14ac:dyDescent="0.45">
      <c r="A86" s="8" t="s">
        <v>93</v>
      </c>
      <c r="J86" s="7"/>
      <c r="K86" s="11">
        <v>544296</v>
      </c>
      <c r="M86" s="11">
        <v>11337151665</v>
      </c>
      <c r="O86" s="11">
        <v>9132316983</v>
      </c>
      <c r="Q86" s="11">
        <v>2204834682</v>
      </c>
    </row>
    <row r="87" spans="1:17" ht="18.75" x14ac:dyDescent="0.45">
      <c r="A87" s="8" t="s">
        <v>95</v>
      </c>
      <c r="C87" s="11">
        <v>2400000</v>
      </c>
      <c r="E87" s="11">
        <v>89731155064</v>
      </c>
      <c r="G87" s="11">
        <v>65090527352</v>
      </c>
      <c r="I87" s="11">
        <v>24640627712</v>
      </c>
      <c r="K87" s="11">
        <v>3617170</v>
      </c>
      <c r="M87" s="11">
        <v>128458986558</v>
      </c>
      <c r="O87" s="11">
        <v>98162615759</v>
      </c>
      <c r="Q87" s="11">
        <v>30296370799</v>
      </c>
    </row>
    <row r="88" spans="1:17" ht="18.75" x14ac:dyDescent="0.45">
      <c r="A88" s="8" t="s">
        <v>248</v>
      </c>
      <c r="J88" s="7"/>
      <c r="K88" s="11">
        <v>499494</v>
      </c>
      <c r="M88" s="11">
        <v>3872871706</v>
      </c>
      <c r="O88" s="11">
        <v>4281452809</v>
      </c>
      <c r="Q88" s="11">
        <v>-408581103</v>
      </c>
    </row>
    <row r="89" spans="1:17" ht="18.75" x14ac:dyDescent="0.45">
      <c r="A89" s="8" t="s">
        <v>249</v>
      </c>
      <c r="J89" s="7"/>
      <c r="K89" s="11">
        <v>3236368</v>
      </c>
      <c r="M89" s="11">
        <v>116879939719</v>
      </c>
      <c r="O89" s="11">
        <v>85882028645</v>
      </c>
      <c r="Q89" s="11">
        <v>30997911074</v>
      </c>
    </row>
    <row r="90" spans="1:17" ht="37.5" x14ac:dyDescent="0.45">
      <c r="A90" s="8" t="s">
        <v>98</v>
      </c>
      <c r="J90" s="7"/>
      <c r="K90" s="11">
        <v>13521106</v>
      </c>
      <c r="M90" s="11">
        <v>37916819394</v>
      </c>
      <c r="O90" s="11">
        <v>44689301262</v>
      </c>
      <c r="Q90" s="11">
        <v>-6772481868</v>
      </c>
    </row>
    <row r="91" spans="1:17" ht="18.75" x14ac:dyDescent="0.45">
      <c r="A91" s="8" t="s">
        <v>250</v>
      </c>
      <c r="J91" s="7"/>
      <c r="K91" s="11">
        <v>13950860</v>
      </c>
      <c r="M91" s="11">
        <v>72756700741</v>
      </c>
      <c r="O91" s="11">
        <v>82771622288</v>
      </c>
      <c r="Q91" s="11">
        <v>-10014921547</v>
      </c>
    </row>
    <row r="92" spans="1:17" ht="18.75" x14ac:dyDescent="0.45">
      <c r="A92" s="13" t="s">
        <v>99</v>
      </c>
      <c r="C92" s="13">
        <f>SUM(C9:$C$91)</f>
        <v>27973290</v>
      </c>
      <c r="E92" s="13">
        <f>SUM(E9:$E$91)</f>
        <v>272306333966</v>
      </c>
      <c r="G92" s="13">
        <f>SUM(G9:$G$91)</f>
        <v>204651670174</v>
      </c>
      <c r="I92" s="13">
        <f>SUM(I9:$I$91)</f>
        <v>67654663792</v>
      </c>
      <c r="K92" s="13">
        <f>SUM(K9:$K$91)</f>
        <v>302164660</v>
      </c>
      <c r="M92" s="13">
        <f>SUM(M9:$M$91)</f>
        <v>2208667314226</v>
      </c>
      <c r="O92" s="13">
        <f>SUM(O9:$O$91)</f>
        <v>2163970316440</v>
      </c>
      <c r="Q92" s="13">
        <f>SUM(Q9:$Q$91)</f>
        <v>44696997786</v>
      </c>
    </row>
    <row r="93" spans="1:17" ht="18.75" x14ac:dyDescent="0.45">
      <c r="C93" s="15"/>
      <c r="E93" s="15"/>
      <c r="G93" s="15"/>
      <c r="I93" s="15"/>
      <c r="K93" s="15"/>
      <c r="M93" s="15"/>
      <c r="O93" s="15"/>
      <c r="Q93" s="15"/>
    </row>
    <row r="95" spans="1:17" ht="18.75" x14ac:dyDescent="0.45">
      <c r="A95" s="39" t="s">
        <v>251</v>
      </c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1"/>
    </row>
  </sheetData>
  <mergeCells count="7">
    <mergeCell ref="A95:Q95"/>
    <mergeCell ref="A1:Q1"/>
    <mergeCell ref="A2:Q2"/>
    <mergeCell ref="A3:Q3"/>
    <mergeCell ref="A5:Q5"/>
    <mergeCell ref="C7:I7"/>
    <mergeCell ref="K7:Q7"/>
  </mergeCells>
  <pageMargins left="0.7" right="0.7" top="0.75" bottom="0.75" header="0.3" footer="0.3"/>
  <pageSetup paperSize="9" scale="78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Q94"/>
  <sheetViews>
    <sheetView rightToLeft="1" view="pageBreakPreview" zoomScale="60" zoomScaleNormal="100" workbookViewId="0">
      <selection sqref="A1:W1"/>
    </sheetView>
  </sheetViews>
  <sheetFormatPr defaultRowHeight="18" x14ac:dyDescent="0.45"/>
  <cols>
    <col min="1" max="1" width="21.140625" style="4" bestFit="1" customWidth="1"/>
    <col min="2" max="2" width="1.42578125" style="4" customWidth="1"/>
    <col min="3" max="3" width="14" style="4" bestFit="1" customWidth="1"/>
    <col min="4" max="4" width="1.42578125" style="4" customWidth="1"/>
    <col min="5" max="5" width="19.42578125" style="4" bestFit="1" customWidth="1"/>
    <col min="6" max="6" width="1.42578125" style="4" customWidth="1"/>
    <col min="7" max="7" width="19.7109375" style="4" bestFit="1" customWidth="1"/>
    <col min="8" max="8" width="1.42578125" style="4" customWidth="1"/>
    <col min="9" max="9" width="18" style="4" bestFit="1" customWidth="1"/>
    <col min="10" max="10" width="1.42578125" style="4" customWidth="1"/>
    <col min="11" max="11" width="14" style="4" bestFit="1" customWidth="1"/>
    <col min="12" max="12" width="1.42578125" style="4" customWidth="1"/>
    <col min="13" max="13" width="19.42578125" style="4" bestFit="1" customWidth="1"/>
    <col min="14" max="14" width="1.42578125" style="4" customWidth="1"/>
    <col min="15" max="15" width="19.42578125" style="4" bestFit="1" customWidth="1"/>
    <col min="16" max="16" width="1.42578125" style="4" customWidth="1"/>
    <col min="17" max="17" width="18.28515625" style="4" bestFit="1" customWidth="1"/>
    <col min="18" max="16384" width="9.140625" style="4"/>
  </cols>
  <sheetData>
    <row r="1" spans="1:17" ht="20.100000000000001" customHeight="1" x14ac:dyDescent="0.45">
      <c r="A1" s="33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</row>
    <row r="2" spans="1:17" ht="20.100000000000001" customHeight="1" x14ac:dyDescent="0.45">
      <c r="A2" s="33" t="s">
        <v>148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</row>
    <row r="3" spans="1:17" ht="20.100000000000001" customHeight="1" x14ac:dyDescent="0.45">
      <c r="A3" s="33" t="s">
        <v>2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</row>
    <row r="5" spans="1:17" ht="21" x14ac:dyDescent="0.45">
      <c r="A5" s="34" t="s">
        <v>252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</row>
    <row r="7" spans="1:17" ht="21" x14ac:dyDescent="0.45">
      <c r="C7" s="27" t="s">
        <v>160</v>
      </c>
      <c r="D7" s="28"/>
      <c r="E7" s="28"/>
      <c r="F7" s="28"/>
      <c r="G7" s="28"/>
      <c r="H7" s="28"/>
      <c r="I7" s="28"/>
      <c r="K7" s="27" t="s">
        <v>7</v>
      </c>
      <c r="L7" s="28"/>
      <c r="M7" s="28"/>
      <c r="N7" s="28"/>
      <c r="O7" s="28"/>
      <c r="P7" s="28"/>
      <c r="Q7" s="28"/>
    </row>
    <row r="8" spans="1:17" ht="42" x14ac:dyDescent="0.45">
      <c r="A8" s="17" t="s">
        <v>150</v>
      </c>
      <c r="C8" s="16" t="s">
        <v>9</v>
      </c>
      <c r="E8" s="16" t="s">
        <v>11</v>
      </c>
      <c r="G8" s="16" t="s">
        <v>236</v>
      </c>
      <c r="I8" s="16" t="s">
        <v>253</v>
      </c>
      <c r="K8" s="16" t="s">
        <v>9</v>
      </c>
      <c r="M8" s="16" t="s">
        <v>11</v>
      </c>
      <c r="O8" s="16" t="s">
        <v>236</v>
      </c>
      <c r="Q8" s="16" t="s">
        <v>253</v>
      </c>
    </row>
    <row r="9" spans="1:17" ht="18.75" x14ac:dyDescent="0.45">
      <c r="A9" s="8" t="s">
        <v>17</v>
      </c>
      <c r="C9" s="11">
        <v>50000</v>
      </c>
      <c r="E9" s="11">
        <v>1458768375</v>
      </c>
      <c r="G9" s="11">
        <v>1732132125</v>
      </c>
      <c r="I9" s="11">
        <v>-273363750</v>
      </c>
      <c r="K9" s="11">
        <v>50000</v>
      </c>
      <c r="M9" s="11">
        <v>1458768375</v>
      </c>
      <c r="O9" s="11">
        <v>1187889750</v>
      </c>
      <c r="Q9" s="11">
        <v>270878625</v>
      </c>
    </row>
    <row r="10" spans="1:17" ht="18.75" x14ac:dyDescent="0.45">
      <c r="A10" s="8" t="s">
        <v>18</v>
      </c>
      <c r="C10" s="11">
        <v>490000</v>
      </c>
      <c r="E10" s="11">
        <v>4505531625</v>
      </c>
      <c r="G10" s="11">
        <v>3658318740</v>
      </c>
      <c r="I10" s="11">
        <v>847212885</v>
      </c>
      <c r="K10" s="11">
        <v>490000</v>
      </c>
      <c r="M10" s="11">
        <v>4505531625</v>
      </c>
      <c r="O10" s="11">
        <v>3658318740</v>
      </c>
      <c r="Q10" s="11">
        <v>847212885</v>
      </c>
    </row>
    <row r="11" spans="1:17" ht="18.75" x14ac:dyDescent="0.45">
      <c r="A11" s="8" t="s">
        <v>19</v>
      </c>
      <c r="C11" s="11">
        <v>7200000</v>
      </c>
      <c r="E11" s="11">
        <v>32529292200</v>
      </c>
      <c r="G11" s="11">
        <v>38625206955</v>
      </c>
      <c r="I11" s="11">
        <v>-6095914755</v>
      </c>
      <c r="K11" s="11">
        <v>7200000</v>
      </c>
      <c r="M11" s="11">
        <v>32529292200</v>
      </c>
      <c r="O11" s="11">
        <v>26880852400</v>
      </c>
      <c r="Q11" s="11">
        <v>5648439800</v>
      </c>
    </row>
    <row r="12" spans="1:17" ht="18.75" x14ac:dyDescent="0.45">
      <c r="A12" s="8" t="s">
        <v>20</v>
      </c>
      <c r="C12" s="11">
        <v>1895580</v>
      </c>
      <c r="E12" s="11">
        <v>16204991171</v>
      </c>
      <c r="G12" s="11">
        <v>18861856003</v>
      </c>
      <c r="I12" s="11">
        <v>-2656864832</v>
      </c>
      <c r="K12" s="11">
        <v>1895580</v>
      </c>
      <c r="M12" s="11">
        <v>16204991171</v>
      </c>
      <c r="O12" s="11">
        <v>17637060159</v>
      </c>
      <c r="Q12" s="11">
        <v>-1432068988</v>
      </c>
    </row>
    <row r="13" spans="1:17" ht="18.75" x14ac:dyDescent="0.45">
      <c r="A13" s="8" t="s">
        <v>21</v>
      </c>
      <c r="C13" s="11">
        <v>9122038</v>
      </c>
      <c r="E13" s="11">
        <v>54225216006</v>
      </c>
      <c r="G13" s="11">
        <v>59852415985</v>
      </c>
      <c r="I13" s="11">
        <v>-5627199979</v>
      </c>
      <c r="K13" s="11">
        <v>9122038</v>
      </c>
      <c r="M13" s="11">
        <v>54225216006</v>
      </c>
      <c r="O13" s="11">
        <v>59852415985</v>
      </c>
      <c r="Q13" s="11">
        <v>-5627199979</v>
      </c>
    </row>
    <row r="14" spans="1:17" ht="18.75" x14ac:dyDescent="0.45">
      <c r="A14" s="8" t="s">
        <v>22</v>
      </c>
      <c r="C14" s="11">
        <v>2391471</v>
      </c>
      <c r="E14" s="11">
        <v>39937661359</v>
      </c>
      <c r="G14" s="11">
        <v>45500407048</v>
      </c>
      <c r="I14" s="11">
        <v>-5562745689</v>
      </c>
      <c r="K14" s="11">
        <v>2391471</v>
      </c>
      <c r="M14" s="11">
        <v>39937661359</v>
      </c>
      <c r="O14" s="11">
        <v>33153448591</v>
      </c>
      <c r="Q14" s="11">
        <v>6784212768</v>
      </c>
    </row>
    <row r="15" spans="1:17" ht="18.75" x14ac:dyDescent="0.45">
      <c r="A15" s="8" t="s">
        <v>23</v>
      </c>
      <c r="C15" s="11">
        <v>14800000</v>
      </c>
      <c r="E15" s="11">
        <v>37397751480</v>
      </c>
      <c r="G15" s="11">
        <v>49495072788</v>
      </c>
      <c r="I15" s="11">
        <v>-12097321308</v>
      </c>
      <c r="K15" s="11">
        <v>14800000</v>
      </c>
      <c r="M15" s="11">
        <v>37397751480</v>
      </c>
      <c r="O15" s="11">
        <v>26960996608</v>
      </c>
      <c r="Q15" s="11">
        <v>10436754872</v>
      </c>
    </row>
    <row r="16" spans="1:17" ht="18.75" x14ac:dyDescent="0.45">
      <c r="A16" s="8" t="s">
        <v>24</v>
      </c>
      <c r="C16" s="11">
        <v>500000</v>
      </c>
      <c r="E16" s="11">
        <v>9189992250</v>
      </c>
      <c r="G16" s="11">
        <v>9224784000</v>
      </c>
      <c r="I16" s="11">
        <v>-34791750</v>
      </c>
      <c r="K16" s="11">
        <v>500000</v>
      </c>
      <c r="M16" s="11">
        <v>9189992250</v>
      </c>
      <c r="O16" s="11">
        <v>7186663004</v>
      </c>
      <c r="Q16" s="11">
        <v>2003329246</v>
      </c>
    </row>
    <row r="17" spans="1:17" ht="18.75" x14ac:dyDescent="0.45">
      <c r="A17" s="8" t="s">
        <v>25</v>
      </c>
      <c r="C17" s="11">
        <v>3500000</v>
      </c>
      <c r="E17" s="11">
        <v>9543377025</v>
      </c>
      <c r="G17" s="11">
        <v>8582786100</v>
      </c>
      <c r="I17" s="11">
        <v>960590925</v>
      </c>
      <c r="K17" s="11">
        <v>3500000</v>
      </c>
      <c r="M17" s="11">
        <v>9543377025</v>
      </c>
      <c r="O17" s="11">
        <v>8582786100</v>
      </c>
      <c r="Q17" s="11">
        <v>960590925</v>
      </c>
    </row>
    <row r="18" spans="1:17" ht="18.75" x14ac:dyDescent="0.45">
      <c r="A18" s="8" t="s">
        <v>26</v>
      </c>
      <c r="C18" s="11">
        <v>23109504</v>
      </c>
      <c r="E18" s="11">
        <v>35399855777</v>
      </c>
      <c r="G18" s="11">
        <v>42337400518</v>
      </c>
      <c r="I18" s="11">
        <v>-6937544741</v>
      </c>
      <c r="K18" s="11">
        <v>23109504</v>
      </c>
      <c r="M18" s="11">
        <v>35399855777</v>
      </c>
      <c r="O18" s="11">
        <v>47166686292</v>
      </c>
      <c r="Q18" s="11">
        <v>-11766830515</v>
      </c>
    </row>
    <row r="19" spans="1:17" ht="18.75" x14ac:dyDescent="0.45">
      <c r="A19" s="8" t="s">
        <v>27</v>
      </c>
      <c r="C19" s="11">
        <v>1562500</v>
      </c>
      <c r="E19" s="11">
        <v>4886377031</v>
      </c>
      <c r="G19" s="11">
        <v>4766780391</v>
      </c>
      <c r="I19" s="11">
        <v>119596640</v>
      </c>
      <c r="K19" s="11">
        <v>1562500</v>
      </c>
      <c r="M19" s="11">
        <v>4886377031</v>
      </c>
      <c r="O19" s="11">
        <v>3937321845</v>
      </c>
      <c r="Q19" s="11">
        <v>949055186</v>
      </c>
    </row>
    <row r="20" spans="1:17" ht="37.5" x14ac:dyDescent="0.45">
      <c r="A20" s="8" t="s">
        <v>28</v>
      </c>
      <c r="C20" s="11">
        <v>0</v>
      </c>
      <c r="E20" s="11">
        <v>0</v>
      </c>
      <c r="G20" s="11">
        <v>7975891553</v>
      </c>
      <c r="I20" s="11">
        <v>-7975891553</v>
      </c>
    </row>
    <row r="21" spans="1:17" ht="18.75" x14ac:dyDescent="0.45">
      <c r="A21" s="8" t="s">
        <v>29</v>
      </c>
      <c r="C21" s="11">
        <v>17649580</v>
      </c>
      <c r="E21" s="11">
        <v>87722824995</v>
      </c>
      <c r="G21" s="11">
        <v>97898672694</v>
      </c>
      <c r="I21" s="11">
        <v>-10175847699</v>
      </c>
      <c r="K21" s="11">
        <v>17649580</v>
      </c>
      <c r="M21" s="11">
        <v>87722824995</v>
      </c>
      <c r="O21" s="11">
        <v>86727088578</v>
      </c>
      <c r="Q21" s="11">
        <v>995736417</v>
      </c>
    </row>
    <row r="22" spans="1:17" ht="18.75" x14ac:dyDescent="0.45">
      <c r="A22" s="8" t="s">
        <v>30</v>
      </c>
      <c r="C22" s="11">
        <v>22541064</v>
      </c>
      <c r="E22" s="11">
        <v>152591293197</v>
      </c>
      <c r="G22" s="11">
        <v>159985584938</v>
      </c>
      <c r="I22" s="11">
        <v>-7394291741</v>
      </c>
      <c r="K22" s="11">
        <v>22541064</v>
      </c>
      <c r="M22" s="11">
        <v>152591293197</v>
      </c>
      <c r="O22" s="11">
        <v>89506431107</v>
      </c>
      <c r="Q22" s="11">
        <v>63084862090</v>
      </c>
    </row>
    <row r="23" spans="1:17" ht="18.75" x14ac:dyDescent="0.45">
      <c r="A23" s="8" t="s">
        <v>175</v>
      </c>
      <c r="C23" s="11">
        <v>1700000</v>
      </c>
      <c r="E23" s="11">
        <v>23371109550</v>
      </c>
      <c r="G23" s="11">
        <v>25365173850</v>
      </c>
      <c r="I23" s="11">
        <v>-1994064300</v>
      </c>
      <c r="K23" s="11">
        <v>1700000</v>
      </c>
      <c r="M23" s="11">
        <v>23371109550</v>
      </c>
      <c r="O23" s="11">
        <v>17193606879</v>
      </c>
      <c r="Q23" s="11">
        <v>6177502671</v>
      </c>
    </row>
    <row r="24" spans="1:17" ht="18.75" x14ac:dyDescent="0.45">
      <c r="A24" s="8" t="s">
        <v>32</v>
      </c>
      <c r="C24" s="11">
        <v>739629</v>
      </c>
      <c r="E24" s="11">
        <v>19115933394</v>
      </c>
      <c r="G24" s="11">
        <v>34886477946</v>
      </c>
      <c r="I24" s="11">
        <v>-15770544552</v>
      </c>
      <c r="K24" s="11">
        <v>739629</v>
      </c>
      <c r="M24" s="11">
        <v>19115933394</v>
      </c>
      <c r="O24" s="11">
        <v>17020533003</v>
      </c>
      <c r="Q24" s="11">
        <v>2095400391</v>
      </c>
    </row>
    <row r="25" spans="1:17" ht="37.5" x14ac:dyDescent="0.45">
      <c r="A25" s="8" t="s">
        <v>33</v>
      </c>
      <c r="C25" s="11">
        <v>842177</v>
      </c>
      <c r="E25" s="11">
        <v>5985737235</v>
      </c>
      <c r="G25" s="11">
        <v>6931734868</v>
      </c>
      <c r="I25" s="11">
        <v>-945997633</v>
      </c>
      <c r="K25" s="11">
        <v>842177</v>
      </c>
      <c r="M25" s="11">
        <v>5985737235</v>
      </c>
      <c r="O25" s="11">
        <v>11854419019</v>
      </c>
      <c r="Q25" s="11">
        <v>-5868681784</v>
      </c>
    </row>
    <row r="26" spans="1:17" ht="37.5" x14ac:dyDescent="0.45">
      <c r="A26" s="8" t="s">
        <v>34</v>
      </c>
      <c r="C26" s="11">
        <v>571500</v>
      </c>
      <c r="E26" s="11">
        <v>29683202794</v>
      </c>
      <c r="G26" s="11">
        <v>26956324834</v>
      </c>
      <c r="I26" s="11">
        <v>2726877960</v>
      </c>
      <c r="K26" s="11">
        <v>571500</v>
      </c>
      <c r="M26" s="11">
        <v>29683202794</v>
      </c>
      <c r="O26" s="11">
        <v>24246395748</v>
      </c>
      <c r="Q26" s="11">
        <v>5436807046</v>
      </c>
    </row>
    <row r="27" spans="1:17" ht="37.5" x14ac:dyDescent="0.45">
      <c r="A27" s="8" t="s">
        <v>35</v>
      </c>
      <c r="C27" s="11">
        <v>250000</v>
      </c>
      <c r="E27" s="11">
        <v>976902637</v>
      </c>
      <c r="G27" s="11">
        <v>800726400</v>
      </c>
      <c r="I27" s="11">
        <v>176176237</v>
      </c>
      <c r="K27" s="11">
        <v>250000</v>
      </c>
      <c r="M27" s="11">
        <v>976902637</v>
      </c>
      <c r="O27" s="11">
        <v>800726400</v>
      </c>
      <c r="Q27" s="11">
        <v>176176237</v>
      </c>
    </row>
    <row r="28" spans="1:17" ht="37.5" x14ac:dyDescent="0.45">
      <c r="A28" s="8" t="s">
        <v>36</v>
      </c>
      <c r="C28" s="11">
        <v>6645110</v>
      </c>
      <c r="E28" s="11">
        <v>85476096446</v>
      </c>
      <c r="G28" s="11">
        <v>90089838664</v>
      </c>
      <c r="I28" s="11">
        <v>-4613742218</v>
      </c>
      <c r="K28" s="11">
        <v>6645110</v>
      </c>
      <c r="M28" s="11">
        <v>85476096446</v>
      </c>
      <c r="O28" s="11">
        <v>67281885372</v>
      </c>
      <c r="Q28" s="11">
        <v>18194211074</v>
      </c>
    </row>
    <row r="29" spans="1:17" ht="18.75" x14ac:dyDescent="0.45">
      <c r="A29" s="8" t="s">
        <v>37</v>
      </c>
      <c r="C29" s="11">
        <v>1000000</v>
      </c>
      <c r="E29" s="11">
        <v>6401682000</v>
      </c>
      <c r="G29" s="11">
        <v>7127338500</v>
      </c>
      <c r="I29" s="11">
        <v>-725656500</v>
      </c>
      <c r="K29" s="11">
        <v>1000000</v>
      </c>
      <c r="M29" s="11">
        <v>6401682000</v>
      </c>
      <c r="O29" s="11">
        <v>6555947400</v>
      </c>
      <c r="Q29" s="11">
        <v>-154265400</v>
      </c>
    </row>
    <row r="30" spans="1:17" ht="18.75" x14ac:dyDescent="0.45">
      <c r="A30" s="8" t="s">
        <v>38</v>
      </c>
      <c r="C30" s="11">
        <v>31806527</v>
      </c>
      <c r="E30" s="11">
        <v>62475741653</v>
      </c>
      <c r="G30" s="11">
        <v>72308715162</v>
      </c>
      <c r="I30" s="11">
        <v>-9832973509</v>
      </c>
      <c r="K30" s="11">
        <v>31806527</v>
      </c>
      <c r="M30" s="11">
        <v>62475741653</v>
      </c>
      <c r="O30" s="11">
        <v>59262004002</v>
      </c>
      <c r="Q30" s="11">
        <v>3213737651</v>
      </c>
    </row>
    <row r="31" spans="1:17" ht="18.75" x14ac:dyDescent="0.45">
      <c r="A31" s="8" t="s">
        <v>39</v>
      </c>
      <c r="C31" s="11">
        <v>7329302</v>
      </c>
      <c r="E31" s="11">
        <v>54715551825</v>
      </c>
      <c r="G31" s="11">
        <v>53966882440</v>
      </c>
      <c r="I31" s="11">
        <v>748669385</v>
      </c>
      <c r="K31" s="11">
        <v>7329302</v>
      </c>
      <c r="M31" s="11">
        <v>54715551825</v>
      </c>
      <c r="O31" s="11">
        <v>54397299345</v>
      </c>
      <c r="Q31" s="11">
        <v>318252480</v>
      </c>
    </row>
    <row r="32" spans="1:17" ht="18.75" x14ac:dyDescent="0.45">
      <c r="A32" s="8" t="s">
        <v>40</v>
      </c>
      <c r="C32" s="11">
        <v>3929304</v>
      </c>
      <c r="E32" s="11">
        <v>87844245181</v>
      </c>
      <c r="G32" s="11">
        <v>95929509188</v>
      </c>
      <c r="I32" s="11">
        <v>-8085264007</v>
      </c>
      <c r="K32" s="11">
        <v>3929304</v>
      </c>
      <c r="M32" s="11">
        <v>87844245181</v>
      </c>
      <c r="O32" s="11">
        <v>61748733716</v>
      </c>
      <c r="Q32" s="11">
        <v>26095511465</v>
      </c>
    </row>
    <row r="33" spans="1:17" ht="18.75" x14ac:dyDescent="0.45">
      <c r="A33" s="8" t="s">
        <v>41</v>
      </c>
      <c r="C33" s="11">
        <v>2773715</v>
      </c>
      <c r="E33" s="11">
        <v>85390836926</v>
      </c>
      <c r="G33" s="11">
        <v>96258520960</v>
      </c>
      <c r="I33" s="11">
        <v>-10867684034</v>
      </c>
      <c r="K33" s="11">
        <v>2773715</v>
      </c>
      <c r="M33" s="11">
        <v>85390836926</v>
      </c>
      <c r="O33" s="11">
        <v>82661197645</v>
      </c>
      <c r="Q33" s="11">
        <v>2729639281</v>
      </c>
    </row>
    <row r="34" spans="1:17" ht="37.5" x14ac:dyDescent="0.45">
      <c r="A34" s="8" t="s">
        <v>42</v>
      </c>
      <c r="C34" s="11">
        <v>272500</v>
      </c>
      <c r="E34" s="11">
        <v>8966082487</v>
      </c>
      <c r="G34" s="11">
        <v>8018007300</v>
      </c>
      <c r="I34" s="11">
        <v>948075187</v>
      </c>
      <c r="K34" s="11">
        <v>272500</v>
      </c>
      <c r="M34" s="11">
        <v>8966082487</v>
      </c>
      <c r="O34" s="11">
        <v>5103379665</v>
      </c>
      <c r="Q34" s="11">
        <v>3862702822</v>
      </c>
    </row>
    <row r="35" spans="1:17" ht="18.75" x14ac:dyDescent="0.45">
      <c r="A35" s="8" t="s">
        <v>43</v>
      </c>
      <c r="C35" s="11">
        <v>0</v>
      </c>
      <c r="E35" s="11">
        <v>0</v>
      </c>
      <c r="G35" s="11">
        <v>2075772</v>
      </c>
      <c r="I35" s="11">
        <v>-2075772</v>
      </c>
    </row>
    <row r="36" spans="1:17" ht="18.75" x14ac:dyDescent="0.45">
      <c r="A36" s="8" t="s">
        <v>44</v>
      </c>
      <c r="C36" s="11">
        <v>741342</v>
      </c>
      <c r="E36" s="11">
        <v>43184157485</v>
      </c>
      <c r="G36" s="11">
        <v>42041914411</v>
      </c>
      <c r="I36" s="11">
        <v>1142243074</v>
      </c>
      <c r="K36" s="11">
        <v>741342</v>
      </c>
      <c r="M36" s="11">
        <v>43184157485</v>
      </c>
      <c r="O36" s="11">
        <v>35385653732</v>
      </c>
      <c r="Q36" s="11">
        <v>7798503753</v>
      </c>
    </row>
    <row r="37" spans="1:17" ht="18.75" x14ac:dyDescent="0.45">
      <c r="A37" s="8" t="s">
        <v>45</v>
      </c>
      <c r="C37" s="11">
        <v>19448964</v>
      </c>
      <c r="E37" s="11">
        <v>71223665975</v>
      </c>
      <c r="G37" s="11">
        <v>77247327794</v>
      </c>
      <c r="I37" s="11">
        <v>-6023661819</v>
      </c>
      <c r="K37" s="11">
        <v>19448964</v>
      </c>
      <c r="M37" s="11">
        <v>71223665975</v>
      </c>
      <c r="O37" s="11">
        <v>73147788635</v>
      </c>
      <c r="Q37" s="11">
        <v>-1924122660</v>
      </c>
    </row>
    <row r="38" spans="1:17" ht="18.75" x14ac:dyDescent="0.45">
      <c r="A38" s="8" t="s">
        <v>46</v>
      </c>
      <c r="C38" s="11">
        <v>6986817</v>
      </c>
      <c r="E38" s="11">
        <v>40421328454</v>
      </c>
      <c r="G38" s="11">
        <v>45352452716</v>
      </c>
      <c r="I38" s="11">
        <v>-4931124262</v>
      </c>
      <c r="K38" s="11">
        <v>6986817</v>
      </c>
      <c r="M38" s="11">
        <v>40421328454</v>
      </c>
      <c r="O38" s="11">
        <v>30251299150</v>
      </c>
      <c r="Q38" s="11">
        <v>10170029304</v>
      </c>
    </row>
    <row r="39" spans="1:17" ht="18.75" x14ac:dyDescent="0.45">
      <c r="A39" s="8" t="s">
        <v>47</v>
      </c>
      <c r="C39" s="11">
        <v>5641064</v>
      </c>
      <c r="E39" s="11">
        <v>21330928742</v>
      </c>
      <c r="G39" s="11">
        <v>26635623429</v>
      </c>
      <c r="I39" s="11">
        <v>-5304694687</v>
      </c>
      <c r="K39" s="11">
        <v>5641064</v>
      </c>
      <c r="M39" s="11">
        <v>21330928742</v>
      </c>
      <c r="O39" s="11">
        <v>25082346020</v>
      </c>
      <c r="Q39" s="11">
        <v>-3751417278</v>
      </c>
    </row>
    <row r="40" spans="1:17" ht="18.75" x14ac:dyDescent="0.45">
      <c r="A40" s="8" t="s">
        <v>48</v>
      </c>
      <c r="C40" s="11">
        <v>5568010</v>
      </c>
      <c r="E40" s="11">
        <v>14551200415</v>
      </c>
      <c r="G40" s="11">
        <v>18013013132</v>
      </c>
      <c r="I40" s="11">
        <v>-3461812717</v>
      </c>
      <c r="K40" s="11">
        <v>5568010</v>
      </c>
      <c r="M40" s="11">
        <v>14551200415</v>
      </c>
      <c r="O40" s="11">
        <v>24465306432</v>
      </c>
      <c r="Q40" s="11">
        <v>-9914106017</v>
      </c>
    </row>
    <row r="41" spans="1:17" ht="18.75" x14ac:dyDescent="0.45">
      <c r="A41" s="8" t="s">
        <v>49</v>
      </c>
      <c r="C41" s="11">
        <v>2596227</v>
      </c>
      <c r="E41" s="11">
        <v>4204089723</v>
      </c>
      <c r="G41" s="11">
        <v>6030507067</v>
      </c>
      <c r="I41" s="11">
        <v>-1826417344</v>
      </c>
      <c r="K41" s="11">
        <v>2596227</v>
      </c>
      <c r="M41" s="11">
        <v>4204089723</v>
      </c>
      <c r="O41" s="11">
        <v>6030507067</v>
      </c>
      <c r="Q41" s="11">
        <v>-1826417344</v>
      </c>
    </row>
    <row r="42" spans="1:17" ht="18.75" x14ac:dyDescent="0.45">
      <c r="A42" s="8" t="s">
        <v>50</v>
      </c>
      <c r="C42" s="11">
        <v>1200000</v>
      </c>
      <c r="E42" s="11">
        <v>62744436000</v>
      </c>
      <c r="G42" s="11">
        <v>62148006000</v>
      </c>
      <c r="I42" s="11">
        <v>596430000</v>
      </c>
      <c r="K42" s="11">
        <v>1200000</v>
      </c>
      <c r="M42" s="11">
        <v>62744436000</v>
      </c>
      <c r="O42" s="11">
        <v>33901081201</v>
      </c>
      <c r="Q42" s="11">
        <v>28843354799</v>
      </c>
    </row>
    <row r="43" spans="1:17" ht="18.75" x14ac:dyDescent="0.45">
      <c r="A43" s="8" t="s">
        <v>51</v>
      </c>
      <c r="C43" s="11">
        <v>100000</v>
      </c>
      <c r="E43" s="11">
        <v>9759582900</v>
      </c>
      <c r="G43" s="11">
        <v>9771059100</v>
      </c>
      <c r="I43" s="11">
        <v>-11476200</v>
      </c>
      <c r="K43" s="11">
        <v>100000</v>
      </c>
      <c r="M43" s="11">
        <v>9759582900</v>
      </c>
      <c r="O43" s="11">
        <v>9771059100</v>
      </c>
      <c r="Q43" s="11">
        <v>-11476200</v>
      </c>
    </row>
    <row r="44" spans="1:17" ht="18.75" x14ac:dyDescent="0.45">
      <c r="A44" s="8" t="s">
        <v>52</v>
      </c>
      <c r="C44" s="11">
        <v>8299459</v>
      </c>
      <c r="E44" s="11">
        <v>71528169488</v>
      </c>
      <c r="G44" s="11">
        <v>72395014586</v>
      </c>
      <c r="I44" s="11">
        <v>-866845098</v>
      </c>
      <c r="K44" s="11">
        <v>8299459</v>
      </c>
      <c r="M44" s="11">
        <v>71528169488</v>
      </c>
      <c r="O44" s="11">
        <v>45104681230</v>
      </c>
      <c r="Q44" s="11">
        <v>26423488258</v>
      </c>
    </row>
    <row r="45" spans="1:17" ht="18.75" x14ac:dyDescent="0.45">
      <c r="A45" s="8" t="s">
        <v>53</v>
      </c>
      <c r="C45" s="11">
        <v>6132226</v>
      </c>
      <c r="E45" s="11">
        <v>47912510547</v>
      </c>
      <c r="G45" s="11">
        <v>61169930401</v>
      </c>
      <c r="I45" s="11">
        <v>-13257419854</v>
      </c>
      <c r="K45" s="11">
        <v>6132226</v>
      </c>
      <c r="M45" s="11">
        <v>47912510547</v>
      </c>
      <c r="O45" s="11">
        <v>35343138737</v>
      </c>
      <c r="Q45" s="11">
        <v>12569371810</v>
      </c>
    </row>
    <row r="46" spans="1:17" ht="18.75" x14ac:dyDescent="0.45">
      <c r="A46" s="8" t="s">
        <v>54</v>
      </c>
      <c r="C46" s="11">
        <v>5400000</v>
      </c>
      <c r="E46" s="11">
        <v>64736512200</v>
      </c>
      <c r="G46" s="11">
        <v>57865638600</v>
      </c>
      <c r="I46" s="11">
        <v>6870873600</v>
      </c>
      <c r="K46" s="11">
        <v>5400000</v>
      </c>
      <c r="M46" s="11">
        <v>64736512200</v>
      </c>
      <c r="O46" s="11">
        <v>47083833086</v>
      </c>
      <c r="Q46" s="11">
        <v>17652679114</v>
      </c>
    </row>
    <row r="47" spans="1:17" ht="18.75" x14ac:dyDescent="0.45">
      <c r="A47" s="8" t="s">
        <v>55</v>
      </c>
      <c r="C47" s="11">
        <v>200000</v>
      </c>
      <c r="E47" s="11">
        <v>5286357900</v>
      </c>
      <c r="G47" s="11">
        <v>5506104881</v>
      </c>
      <c r="I47" s="11">
        <v>-219746981</v>
      </c>
      <c r="K47" s="11">
        <v>200000</v>
      </c>
      <c r="M47" s="11">
        <v>5286357900</v>
      </c>
      <c r="O47" s="11">
        <v>5506104881</v>
      </c>
      <c r="Q47" s="11">
        <v>-219746981</v>
      </c>
    </row>
    <row r="48" spans="1:17" ht="18.75" x14ac:dyDescent="0.45">
      <c r="A48" s="8" t="s">
        <v>56</v>
      </c>
      <c r="C48" s="11">
        <v>23250016</v>
      </c>
      <c r="E48" s="11">
        <v>53896434040</v>
      </c>
      <c r="G48" s="11">
        <v>62470866728</v>
      </c>
      <c r="I48" s="11">
        <v>-8574432688</v>
      </c>
      <c r="K48" s="11">
        <v>23250016</v>
      </c>
      <c r="M48" s="11">
        <v>53896434040</v>
      </c>
      <c r="O48" s="11">
        <v>71678075913</v>
      </c>
      <c r="Q48" s="11">
        <v>-17781641873</v>
      </c>
    </row>
    <row r="49" spans="1:17" ht="18.75" x14ac:dyDescent="0.45">
      <c r="A49" s="8" t="s">
        <v>57</v>
      </c>
      <c r="C49" s="11">
        <v>330974</v>
      </c>
      <c r="E49" s="11">
        <v>10228756269</v>
      </c>
      <c r="G49" s="11">
        <v>11242090760</v>
      </c>
      <c r="I49" s="11">
        <v>-1013334491</v>
      </c>
      <c r="K49" s="11">
        <v>330974</v>
      </c>
      <c r="M49" s="11">
        <v>10228756269</v>
      </c>
      <c r="O49" s="11">
        <v>10705350134</v>
      </c>
      <c r="Q49" s="11">
        <v>-476593865</v>
      </c>
    </row>
    <row r="50" spans="1:17" ht="18.75" x14ac:dyDescent="0.45">
      <c r="A50" s="8" t="s">
        <v>58</v>
      </c>
      <c r="C50" s="11">
        <v>9448213</v>
      </c>
      <c r="E50" s="11">
        <v>8584284465</v>
      </c>
      <c r="G50" s="11">
        <v>10528427665</v>
      </c>
      <c r="I50" s="11">
        <v>-1944143200</v>
      </c>
      <c r="K50" s="11">
        <v>9448213</v>
      </c>
      <c r="M50" s="11">
        <v>8584284465</v>
      </c>
      <c r="O50" s="11">
        <v>14997367789</v>
      </c>
      <c r="Q50" s="11">
        <v>-6413083324</v>
      </c>
    </row>
    <row r="51" spans="1:17" ht="18.75" x14ac:dyDescent="0.45">
      <c r="A51" s="8" t="s">
        <v>59</v>
      </c>
      <c r="C51" s="11">
        <v>10148510</v>
      </c>
      <c r="E51" s="11">
        <v>42571893262</v>
      </c>
      <c r="G51" s="11">
        <v>48423006554</v>
      </c>
      <c r="I51" s="11">
        <v>-5851113292</v>
      </c>
      <c r="K51" s="11">
        <v>10148510</v>
      </c>
      <c r="M51" s="11">
        <v>42571893262</v>
      </c>
      <c r="O51" s="11">
        <v>47791643719</v>
      </c>
      <c r="Q51" s="11">
        <v>-5219750457</v>
      </c>
    </row>
    <row r="52" spans="1:17" ht="18.75" x14ac:dyDescent="0.45">
      <c r="A52" s="8" t="s">
        <v>60</v>
      </c>
      <c r="C52" s="11">
        <v>249996</v>
      </c>
      <c r="E52" s="11">
        <v>1930911230</v>
      </c>
      <c r="G52" s="11">
        <v>2497510664</v>
      </c>
      <c r="I52" s="11">
        <v>-566599434</v>
      </c>
      <c r="K52" s="11">
        <v>249996</v>
      </c>
      <c r="M52" s="11">
        <v>1930911230</v>
      </c>
      <c r="O52" s="11">
        <v>1764072098</v>
      </c>
      <c r="Q52" s="11">
        <v>166839132</v>
      </c>
    </row>
    <row r="53" spans="1:17" ht="18.75" x14ac:dyDescent="0.45">
      <c r="A53" s="8" t="s">
        <v>61</v>
      </c>
      <c r="C53" s="11">
        <v>14558631</v>
      </c>
      <c r="E53" s="11">
        <v>108684773663</v>
      </c>
      <c r="G53" s="11">
        <v>119972939237</v>
      </c>
      <c r="I53" s="11">
        <v>-11288165574</v>
      </c>
      <c r="K53" s="11">
        <v>14558631</v>
      </c>
      <c r="M53" s="11">
        <v>108684773663</v>
      </c>
      <c r="O53" s="11">
        <v>107372046383</v>
      </c>
      <c r="Q53" s="11">
        <v>1312727280</v>
      </c>
    </row>
    <row r="54" spans="1:17" ht="18.75" x14ac:dyDescent="0.45">
      <c r="A54" s="8" t="s">
        <v>62</v>
      </c>
      <c r="C54" s="11">
        <v>4057472</v>
      </c>
      <c r="E54" s="11">
        <v>109706577132</v>
      </c>
      <c r="G54" s="11">
        <v>121225885713</v>
      </c>
      <c r="I54" s="11">
        <v>-11519308581</v>
      </c>
      <c r="K54" s="11">
        <v>4057472</v>
      </c>
      <c r="M54" s="11">
        <v>109706577132</v>
      </c>
      <c r="O54" s="11">
        <v>98254799460</v>
      </c>
      <c r="Q54" s="11">
        <v>11451777672</v>
      </c>
    </row>
    <row r="55" spans="1:17" ht="18.75" x14ac:dyDescent="0.45">
      <c r="A55" s="8" t="s">
        <v>63</v>
      </c>
      <c r="C55" s="11">
        <v>14021442</v>
      </c>
      <c r="E55" s="11">
        <v>56713780675</v>
      </c>
      <c r="G55" s="11">
        <v>61759341895</v>
      </c>
      <c r="I55" s="11">
        <v>-5045561220</v>
      </c>
      <c r="K55" s="11">
        <v>14021442</v>
      </c>
      <c r="M55" s="11">
        <v>56713780675</v>
      </c>
      <c r="O55" s="11">
        <v>48825973782</v>
      </c>
      <c r="Q55" s="11">
        <v>7887806893</v>
      </c>
    </row>
    <row r="56" spans="1:17" ht="37.5" x14ac:dyDescent="0.45">
      <c r="A56" s="8" t="s">
        <v>64</v>
      </c>
      <c r="C56" s="11">
        <v>76</v>
      </c>
      <c r="E56" s="11">
        <v>1279024</v>
      </c>
      <c r="G56" s="11">
        <v>876354</v>
      </c>
      <c r="I56" s="11">
        <v>402670</v>
      </c>
      <c r="K56" s="11">
        <v>76</v>
      </c>
      <c r="M56" s="11">
        <v>1279024</v>
      </c>
      <c r="O56" s="11">
        <v>809388</v>
      </c>
      <c r="Q56" s="11">
        <v>469636</v>
      </c>
    </row>
    <row r="57" spans="1:17" ht="18.75" x14ac:dyDescent="0.45">
      <c r="A57" s="8" t="s">
        <v>65</v>
      </c>
      <c r="C57" s="11">
        <v>200000</v>
      </c>
      <c r="E57" s="11">
        <v>1232622000</v>
      </c>
      <c r="G57" s="11">
        <v>1227137722</v>
      </c>
      <c r="I57" s="11">
        <v>5484278</v>
      </c>
      <c r="K57" s="11">
        <v>200000</v>
      </c>
      <c r="M57" s="11">
        <v>1232622000</v>
      </c>
      <c r="O57" s="11">
        <v>1227137722</v>
      </c>
      <c r="Q57" s="11">
        <v>5484278</v>
      </c>
    </row>
    <row r="58" spans="1:17" ht="18.75" x14ac:dyDescent="0.45">
      <c r="A58" s="8" t="s">
        <v>66</v>
      </c>
      <c r="C58" s="11">
        <v>6859433</v>
      </c>
      <c r="E58" s="11">
        <v>23660609227</v>
      </c>
      <c r="G58" s="11">
        <v>24938364014</v>
      </c>
      <c r="I58" s="11">
        <v>-1277754787</v>
      </c>
      <c r="K58" s="11">
        <v>6859433</v>
      </c>
      <c r="M58" s="11">
        <v>23660609227</v>
      </c>
      <c r="O58" s="11">
        <v>30149285061</v>
      </c>
      <c r="Q58" s="11">
        <v>-6488675834</v>
      </c>
    </row>
    <row r="59" spans="1:17" ht="18.75" x14ac:dyDescent="0.45">
      <c r="A59" s="8" t="s">
        <v>67</v>
      </c>
      <c r="C59" s="11">
        <v>6256631</v>
      </c>
      <c r="E59" s="11">
        <v>37627394476</v>
      </c>
      <c r="G59" s="11">
        <v>33953375834</v>
      </c>
      <c r="I59" s="11">
        <v>3674018642</v>
      </c>
      <c r="K59" s="11">
        <v>6256631</v>
      </c>
      <c r="M59" s="11">
        <v>37627394476</v>
      </c>
      <c r="O59" s="11">
        <v>27040006051</v>
      </c>
      <c r="Q59" s="11">
        <v>10587388425</v>
      </c>
    </row>
    <row r="60" spans="1:17" ht="18.75" x14ac:dyDescent="0.45">
      <c r="A60" s="8" t="s">
        <v>68</v>
      </c>
      <c r="C60" s="11">
        <v>3600000</v>
      </c>
      <c r="E60" s="11">
        <v>21507265800</v>
      </c>
      <c r="G60" s="11">
        <v>22837480448</v>
      </c>
      <c r="I60" s="11">
        <v>-1330214648</v>
      </c>
      <c r="K60" s="11">
        <v>3600000</v>
      </c>
      <c r="M60" s="11">
        <v>21507265800</v>
      </c>
      <c r="O60" s="11">
        <v>22837480448</v>
      </c>
      <c r="Q60" s="11">
        <v>-1330214648</v>
      </c>
    </row>
    <row r="61" spans="1:17" ht="18.75" x14ac:dyDescent="0.45">
      <c r="A61" s="8" t="s">
        <v>69</v>
      </c>
      <c r="C61" s="11">
        <v>17704932</v>
      </c>
      <c r="E61" s="11">
        <v>104189558915</v>
      </c>
      <c r="G61" s="11">
        <v>112963891949</v>
      </c>
      <c r="I61" s="11">
        <v>-8774333034</v>
      </c>
      <c r="K61" s="11">
        <v>17704932</v>
      </c>
      <c r="M61" s="11">
        <v>104189558915</v>
      </c>
      <c r="O61" s="11">
        <v>85868469406</v>
      </c>
      <c r="Q61" s="11">
        <v>18321089509</v>
      </c>
    </row>
    <row r="62" spans="1:17" ht="18.75" x14ac:dyDescent="0.45">
      <c r="A62" s="8" t="s">
        <v>70</v>
      </c>
      <c r="C62" s="11">
        <v>272076</v>
      </c>
      <c r="E62" s="11">
        <v>5598462959</v>
      </c>
      <c r="G62" s="11">
        <v>6006853253</v>
      </c>
      <c r="I62" s="11">
        <v>-408390294</v>
      </c>
      <c r="K62" s="11">
        <v>272076</v>
      </c>
      <c r="M62" s="11">
        <v>5598462959</v>
      </c>
      <c r="O62" s="11">
        <v>5324371279</v>
      </c>
      <c r="Q62" s="11">
        <v>274091680</v>
      </c>
    </row>
    <row r="63" spans="1:17" ht="18.75" x14ac:dyDescent="0.45">
      <c r="A63" s="8" t="s">
        <v>71</v>
      </c>
      <c r="C63" s="11">
        <v>3882657</v>
      </c>
      <c r="E63" s="11">
        <v>32767623570</v>
      </c>
      <c r="G63" s="11">
        <v>39174485187</v>
      </c>
      <c r="I63" s="11">
        <v>-6406861617</v>
      </c>
      <c r="K63" s="11">
        <v>3882657</v>
      </c>
      <c r="M63" s="11">
        <v>32767623570</v>
      </c>
      <c r="O63" s="11">
        <v>42377915996</v>
      </c>
      <c r="Q63" s="11">
        <v>-9610292426</v>
      </c>
    </row>
    <row r="64" spans="1:17" ht="18.75" x14ac:dyDescent="0.45">
      <c r="A64" s="8" t="s">
        <v>72</v>
      </c>
      <c r="C64" s="11">
        <v>250000</v>
      </c>
      <c r="E64" s="11">
        <v>3916557000</v>
      </c>
      <c r="G64" s="11">
        <v>4331572875</v>
      </c>
      <c r="I64" s="11">
        <v>-415015875</v>
      </c>
      <c r="K64" s="11">
        <v>250000</v>
      </c>
      <c r="M64" s="11">
        <v>3916557000</v>
      </c>
      <c r="O64" s="11">
        <v>3403087200</v>
      </c>
      <c r="Q64" s="11">
        <v>513469800</v>
      </c>
    </row>
    <row r="65" spans="1:17" ht="18.75" x14ac:dyDescent="0.45">
      <c r="A65" s="8" t="s">
        <v>73</v>
      </c>
      <c r="C65" s="11">
        <v>16300000</v>
      </c>
      <c r="E65" s="11">
        <v>166566994200</v>
      </c>
      <c r="G65" s="11">
        <v>196056481500</v>
      </c>
      <c r="I65" s="11">
        <v>-29489487300</v>
      </c>
      <c r="K65" s="11">
        <v>16300000</v>
      </c>
      <c r="M65" s="11">
        <v>166566994200</v>
      </c>
      <c r="O65" s="11">
        <v>106853617580</v>
      </c>
      <c r="Q65" s="11">
        <v>59713376620</v>
      </c>
    </row>
    <row r="66" spans="1:17" ht="18.75" x14ac:dyDescent="0.45">
      <c r="A66" s="8" t="s">
        <v>74</v>
      </c>
      <c r="C66" s="11">
        <v>7868802</v>
      </c>
      <c r="E66" s="11">
        <v>30982873190</v>
      </c>
      <c r="G66" s="11">
        <v>37960081694</v>
      </c>
      <c r="I66" s="11">
        <v>-6977208504</v>
      </c>
      <c r="K66" s="11">
        <v>7868802</v>
      </c>
      <c r="M66" s="11">
        <v>30982873190</v>
      </c>
      <c r="O66" s="11">
        <v>29277680978</v>
      </c>
      <c r="Q66" s="11">
        <v>1705192212</v>
      </c>
    </row>
    <row r="67" spans="1:17" ht="18.75" x14ac:dyDescent="0.45">
      <c r="A67" s="8" t="s">
        <v>75</v>
      </c>
      <c r="C67" s="11">
        <v>5155597</v>
      </c>
      <c r="E67" s="11">
        <v>14129407742</v>
      </c>
      <c r="G67" s="11">
        <v>16271624803</v>
      </c>
      <c r="I67" s="11">
        <v>-2142217061</v>
      </c>
      <c r="K67" s="11">
        <v>5155597</v>
      </c>
      <c r="M67" s="11">
        <v>14129407742</v>
      </c>
      <c r="O67" s="11">
        <v>10716073888</v>
      </c>
      <c r="Q67" s="11">
        <v>3413333854</v>
      </c>
    </row>
    <row r="68" spans="1:17" ht="18.75" x14ac:dyDescent="0.45">
      <c r="A68" s="8" t="s">
        <v>76</v>
      </c>
      <c r="C68" s="11">
        <v>7919952</v>
      </c>
      <c r="E68" s="11">
        <v>44560208096</v>
      </c>
      <c r="G68" s="11">
        <v>41175413621</v>
      </c>
      <c r="I68" s="11">
        <v>3384794475</v>
      </c>
      <c r="K68" s="11">
        <v>7919952</v>
      </c>
      <c r="M68" s="11">
        <v>44560208096</v>
      </c>
      <c r="O68" s="11">
        <v>28732651765</v>
      </c>
      <c r="Q68" s="11">
        <v>15827556331</v>
      </c>
    </row>
    <row r="69" spans="1:17" ht="18.75" x14ac:dyDescent="0.45">
      <c r="A69" s="8" t="s">
        <v>77</v>
      </c>
      <c r="C69" s="11">
        <v>1313770</v>
      </c>
      <c r="E69" s="11">
        <v>49613157072</v>
      </c>
      <c r="G69" s="11">
        <v>52521514556</v>
      </c>
      <c r="I69" s="11">
        <v>-2908357484</v>
      </c>
      <c r="K69" s="11">
        <v>1313770</v>
      </c>
      <c r="M69" s="11">
        <v>49613157072</v>
      </c>
      <c r="O69" s="11">
        <v>34326348297</v>
      </c>
      <c r="Q69" s="11">
        <v>15286808775</v>
      </c>
    </row>
    <row r="70" spans="1:17" ht="18.75" x14ac:dyDescent="0.45">
      <c r="A70" s="8" t="s">
        <v>78</v>
      </c>
      <c r="C70" s="11">
        <v>7539161</v>
      </c>
      <c r="E70" s="11">
        <v>31506049779</v>
      </c>
      <c r="G70" s="11">
        <v>34016641281</v>
      </c>
      <c r="I70" s="11">
        <v>-2510591502</v>
      </c>
      <c r="K70" s="11">
        <v>7539161</v>
      </c>
      <c r="M70" s="11">
        <v>31506049779</v>
      </c>
      <c r="O70" s="11">
        <v>31003931478</v>
      </c>
      <c r="Q70" s="11">
        <v>502118301</v>
      </c>
    </row>
    <row r="71" spans="1:17" ht="37.5" x14ac:dyDescent="0.45">
      <c r="A71" s="8" t="s">
        <v>79</v>
      </c>
      <c r="C71" s="11">
        <v>700000</v>
      </c>
      <c r="E71" s="11">
        <v>10569733650</v>
      </c>
      <c r="G71" s="11">
        <v>14988263220</v>
      </c>
      <c r="I71" s="11">
        <v>-4418529570</v>
      </c>
      <c r="K71" s="11">
        <v>700000</v>
      </c>
      <c r="M71" s="11">
        <v>10569733650</v>
      </c>
      <c r="O71" s="11">
        <v>9143294580</v>
      </c>
      <c r="Q71" s="11">
        <v>1426439070</v>
      </c>
    </row>
    <row r="72" spans="1:17" ht="18.75" x14ac:dyDescent="0.45">
      <c r="A72" s="8" t="s">
        <v>80</v>
      </c>
      <c r="C72" s="11">
        <v>7700000</v>
      </c>
      <c r="E72" s="11">
        <v>47915198100</v>
      </c>
      <c r="G72" s="11">
        <v>53312452029</v>
      </c>
      <c r="I72" s="11">
        <v>-5397253929</v>
      </c>
      <c r="K72" s="11">
        <v>7700000</v>
      </c>
      <c r="M72" s="11">
        <v>47915198100</v>
      </c>
      <c r="O72" s="11">
        <v>55837207327</v>
      </c>
      <c r="Q72" s="11">
        <v>-7922009227</v>
      </c>
    </row>
    <row r="73" spans="1:17" ht="18.75" x14ac:dyDescent="0.45">
      <c r="A73" s="8" t="s">
        <v>81</v>
      </c>
      <c r="C73" s="11">
        <v>12700250</v>
      </c>
      <c r="E73" s="11">
        <v>107309809856</v>
      </c>
      <c r="G73" s="11">
        <v>119822779472</v>
      </c>
      <c r="I73" s="11">
        <v>-12512969616</v>
      </c>
      <c r="K73" s="11">
        <v>12700250</v>
      </c>
      <c r="M73" s="11">
        <v>107309809856</v>
      </c>
      <c r="O73" s="11">
        <v>84943776791</v>
      </c>
      <c r="Q73" s="11">
        <v>22366033065</v>
      </c>
    </row>
    <row r="74" spans="1:17" ht="18.75" x14ac:dyDescent="0.45">
      <c r="A74" s="8" t="s">
        <v>82</v>
      </c>
      <c r="C74" s="11">
        <v>12023071</v>
      </c>
      <c r="E74" s="11">
        <v>68243257584</v>
      </c>
      <c r="G74" s="11">
        <v>77326423217</v>
      </c>
      <c r="I74" s="11">
        <v>-9083165633</v>
      </c>
      <c r="K74" s="11">
        <v>12023071</v>
      </c>
      <c r="M74" s="11">
        <v>68243257584</v>
      </c>
      <c r="O74" s="11">
        <v>44627548429</v>
      </c>
      <c r="Q74" s="11">
        <v>23615709155</v>
      </c>
    </row>
    <row r="75" spans="1:17" ht="18.75" x14ac:dyDescent="0.45">
      <c r="A75" s="8" t="s">
        <v>83</v>
      </c>
      <c r="C75" s="11">
        <v>25703048</v>
      </c>
      <c r="E75" s="11">
        <v>45070402621</v>
      </c>
      <c r="G75" s="11">
        <v>45428104229</v>
      </c>
      <c r="I75" s="11">
        <v>-357701608</v>
      </c>
      <c r="K75" s="11">
        <v>25703048</v>
      </c>
      <c r="M75" s="11">
        <v>45070402621</v>
      </c>
      <c r="O75" s="11">
        <v>50791397490</v>
      </c>
      <c r="Q75" s="11">
        <v>-5720994869</v>
      </c>
    </row>
    <row r="76" spans="1:17" ht="18.75" x14ac:dyDescent="0.45">
      <c r="A76" s="8" t="s">
        <v>84</v>
      </c>
      <c r="C76" s="11">
        <v>177678</v>
      </c>
      <c r="E76" s="11">
        <v>7140779587</v>
      </c>
      <c r="G76" s="11">
        <v>7260881742</v>
      </c>
      <c r="I76" s="11">
        <v>-120102155</v>
      </c>
      <c r="K76" s="11">
        <v>177678</v>
      </c>
      <c r="M76" s="11">
        <v>7140779587</v>
      </c>
      <c r="O76" s="11">
        <v>7022443641</v>
      </c>
      <c r="Q76" s="11">
        <v>118335946</v>
      </c>
    </row>
    <row r="77" spans="1:17" ht="18.75" x14ac:dyDescent="0.45">
      <c r="A77" s="8" t="s">
        <v>85</v>
      </c>
      <c r="C77" s="11">
        <v>450000</v>
      </c>
      <c r="E77" s="11">
        <v>5846505075</v>
      </c>
      <c r="G77" s="11">
        <v>4034848950</v>
      </c>
      <c r="I77" s="11">
        <v>1811656125</v>
      </c>
      <c r="K77" s="11">
        <v>450000</v>
      </c>
      <c r="M77" s="11">
        <v>5846505075</v>
      </c>
      <c r="O77" s="11">
        <v>2927655900</v>
      </c>
      <c r="Q77" s="11">
        <v>2918849175</v>
      </c>
    </row>
    <row r="78" spans="1:17" ht="18.75" x14ac:dyDescent="0.45">
      <c r="A78" s="8" t="s">
        <v>86</v>
      </c>
      <c r="C78" s="11">
        <v>123</v>
      </c>
      <c r="E78" s="11">
        <v>2180041</v>
      </c>
      <c r="G78" s="11">
        <v>1662161</v>
      </c>
      <c r="I78" s="11">
        <v>517880</v>
      </c>
      <c r="K78" s="11">
        <v>123</v>
      </c>
      <c r="M78" s="11">
        <v>2180041</v>
      </c>
      <c r="O78" s="11">
        <v>1662161</v>
      </c>
      <c r="Q78" s="11">
        <v>517880</v>
      </c>
    </row>
    <row r="79" spans="1:17" ht="18.75" x14ac:dyDescent="0.45">
      <c r="A79" s="8" t="s">
        <v>87</v>
      </c>
      <c r="C79" s="11">
        <v>3000000</v>
      </c>
      <c r="E79" s="11">
        <v>14433606000</v>
      </c>
      <c r="G79" s="11">
        <v>15356237176</v>
      </c>
      <c r="I79" s="11">
        <v>-922631176</v>
      </c>
      <c r="K79" s="11">
        <v>3000000</v>
      </c>
      <c r="M79" s="11">
        <v>14433606000</v>
      </c>
      <c r="O79" s="11">
        <v>15356237176</v>
      </c>
      <c r="Q79" s="11">
        <v>-922631176</v>
      </c>
    </row>
    <row r="80" spans="1:17" ht="18.75" x14ac:dyDescent="0.45">
      <c r="A80" s="8" t="s">
        <v>88</v>
      </c>
      <c r="C80" s="11">
        <v>3200000</v>
      </c>
      <c r="E80" s="11">
        <v>30600835200</v>
      </c>
      <c r="G80" s="11">
        <v>31645339517</v>
      </c>
      <c r="I80" s="11">
        <v>-1044504317</v>
      </c>
      <c r="K80" s="11">
        <v>3200000</v>
      </c>
      <c r="M80" s="11">
        <v>30600835200</v>
      </c>
      <c r="O80" s="11">
        <v>31645339517</v>
      </c>
      <c r="Q80" s="11">
        <v>-1044504317</v>
      </c>
    </row>
    <row r="81" spans="1:17" ht="18.75" x14ac:dyDescent="0.45">
      <c r="A81" s="8" t="s">
        <v>89</v>
      </c>
      <c r="C81" s="11">
        <v>4613772</v>
      </c>
      <c r="E81" s="11">
        <v>40405479699</v>
      </c>
      <c r="G81" s="11">
        <v>45817337365</v>
      </c>
      <c r="I81" s="11">
        <v>-5411857666</v>
      </c>
      <c r="K81" s="11">
        <v>4613772</v>
      </c>
      <c r="M81" s="11">
        <v>40405479699</v>
      </c>
      <c r="O81" s="11">
        <v>56916231902</v>
      </c>
      <c r="Q81" s="11">
        <v>-16510752203</v>
      </c>
    </row>
    <row r="82" spans="1:17" ht="18.75" x14ac:dyDescent="0.45">
      <c r="A82" s="8" t="s">
        <v>90</v>
      </c>
      <c r="C82" s="11">
        <v>400000</v>
      </c>
      <c r="E82" s="11">
        <v>1087888320</v>
      </c>
      <c r="G82" s="11">
        <v>1195643340</v>
      </c>
      <c r="I82" s="11">
        <v>-107755020</v>
      </c>
      <c r="K82" s="11">
        <v>400000</v>
      </c>
      <c r="M82" s="11">
        <v>1087888320</v>
      </c>
      <c r="O82" s="11">
        <v>1251159994</v>
      </c>
      <c r="Q82" s="11">
        <v>-163271674</v>
      </c>
    </row>
    <row r="83" spans="1:17" ht="18.75" x14ac:dyDescent="0.45">
      <c r="A83" s="8" t="s">
        <v>91</v>
      </c>
      <c r="C83" s="11">
        <v>636897</v>
      </c>
      <c r="E83" s="11">
        <v>3532739643</v>
      </c>
      <c r="G83" s="11">
        <v>4064549911</v>
      </c>
      <c r="I83" s="11">
        <v>-531810268</v>
      </c>
      <c r="K83" s="11">
        <v>636897</v>
      </c>
      <c r="M83" s="11">
        <v>3532739643</v>
      </c>
      <c r="O83" s="11">
        <v>5018865117</v>
      </c>
      <c r="Q83" s="11">
        <v>-1486125474</v>
      </c>
    </row>
    <row r="84" spans="1:17" ht="18.75" x14ac:dyDescent="0.45">
      <c r="A84" s="8" t="s">
        <v>92</v>
      </c>
      <c r="C84" s="11">
        <v>407809</v>
      </c>
      <c r="E84" s="11">
        <v>20386687758</v>
      </c>
      <c r="G84" s="11">
        <v>20889362103</v>
      </c>
      <c r="I84" s="11">
        <v>-502674345</v>
      </c>
      <c r="K84" s="11">
        <v>407809</v>
      </c>
      <c r="M84" s="11">
        <v>20386687758</v>
      </c>
      <c r="O84" s="11">
        <v>16004502539</v>
      </c>
      <c r="Q84" s="11">
        <v>4382185219</v>
      </c>
    </row>
    <row r="85" spans="1:17" ht="18.75" x14ac:dyDescent="0.45">
      <c r="A85" s="8" t="s">
        <v>93</v>
      </c>
      <c r="C85" s="11">
        <v>6132725</v>
      </c>
      <c r="E85" s="11">
        <v>120705458668</v>
      </c>
      <c r="G85" s="11">
        <v>138739003911</v>
      </c>
      <c r="I85" s="11">
        <v>-18033545243</v>
      </c>
      <c r="K85" s="11">
        <v>6132725</v>
      </c>
      <c r="M85" s="11">
        <v>120705458668</v>
      </c>
      <c r="O85" s="11">
        <v>106858343194</v>
      </c>
      <c r="Q85" s="11">
        <v>13847115474</v>
      </c>
    </row>
    <row r="86" spans="1:17" ht="18.75" x14ac:dyDescent="0.45">
      <c r="A86" s="8" t="s">
        <v>94</v>
      </c>
      <c r="C86" s="11">
        <v>50000</v>
      </c>
      <c r="E86" s="11">
        <v>12139835625</v>
      </c>
      <c r="G86" s="11">
        <v>10968169018</v>
      </c>
      <c r="I86" s="11">
        <v>1171666607</v>
      </c>
      <c r="K86" s="11">
        <v>50000</v>
      </c>
      <c r="M86" s="11">
        <v>12139835625</v>
      </c>
      <c r="O86" s="11">
        <v>10968169018</v>
      </c>
      <c r="Q86" s="11">
        <v>1171666607</v>
      </c>
    </row>
    <row r="87" spans="1:17" ht="18.75" x14ac:dyDescent="0.45">
      <c r="A87" s="8" t="s">
        <v>95</v>
      </c>
      <c r="C87" s="11">
        <v>2000000</v>
      </c>
      <c r="E87" s="11">
        <v>72863865000</v>
      </c>
      <c r="G87" s="11">
        <v>103857901862</v>
      </c>
      <c r="I87" s="11">
        <v>-30994036862</v>
      </c>
      <c r="K87" s="11">
        <v>2000000</v>
      </c>
      <c r="M87" s="11">
        <v>72863865000</v>
      </c>
      <c r="O87" s="11">
        <v>54689685949</v>
      </c>
      <c r="Q87" s="11">
        <v>18174179051</v>
      </c>
    </row>
    <row r="88" spans="1:17" ht="18.75" x14ac:dyDescent="0.45">
      <c r="A88" s="8" t="s">
        <v>96</v>
      </c>
      <c r="C88" s="11">
        <v>450000</v>
      </c>
      <c r="E88" s="11">
        <v>7421080275</v>
      </c>
      <c r="G88" s="11">
        <v>6235675650</v>
      </c>
      <c r="I88" s="11">
        <v>1185404625</v>
      </c>
      <c r="K88" s="11">
        <v>450000</v>
      </c>
      <c r="M88" s="11">
        <v>7421080275</v>
      </c>
      <c r="O88" s="11">
        <v>2151173902</v>
      </c>
      <c r="Q88" s="11">
        <v>5269906373</v>
      </c>
    </row>
    <row r="89" spans="1:17" ht="18.75" x14ac:dyDescent="0.45">
      <c r="A89" s="8" t="s">
        <v>97</v>
      </c>
      <c r="C89" s="11">
        <v>2800000</v>
      </c>
      <c r="E89" s="11">
        <v>9293572260</v>
      </c>
      <c r="G89" s="11">
        <v>9946421645</v>
      </c>
      <c r="I89" s="11">
        <v>-652849385</v>
      </c>
      <c r="K89" s="11">
        <v>2800000</v>
      </c>
      <c r="M89" s="11">
        <v>9293572260</v>
      </c>
      <c r="O89" s="11">
        <v>9946421645</v>
      </c>
      <c r="Q89" s="11">
        <v>-652849385</v>
      </c>
    </row>
    <row r="90" spans="1:17" ht="37.5" x14ac:dyDescent="0.45">
      <c r="A90" s="8" t="s">
        <v>98</v>
      </c>
      <c r="C90" s="11">
        <v>21600000</v>
      </c>
      <c r="E90" s="11">
        <v>36780645240</v>
      </c>
      <c r="G90" s="11">
        <v>40709926080</v>
      </c>
      <c r="I90" s="11">
        <v>-3929280840</v>
      </c>
      <c r="K90" s="11">
        <v>21600000</v>
      </c>
      <c r="M90" s="11">
        <v>36780645240</v>
      </c>
      <c r="O90" s="11">
        <v>27959586333</v>
      </c>
      <c r="Q90" s="11">
        <v>8821058907</v>
      </c>
    </row>
    <row r="91" spans="1:17" ht="18.75" x14ac:dyDescent="0.45">
      <c r="A91" s="13" t="s">
        <v>99</v>
      </c>
      <c r="C91" s="13">
        <f>SUM(C9:$C$90)</f>
        <v>490919324</v>
      </c>
      <c r="E91" s="13">
        <f>SUM(E9:$E$90)</f>
        <v>3034806028436</v>
      </c>
      <c r="G91" s="13">
        <f>SUM(G9:$G$90)</f>
        <v>3364472074744</v>
      </c>
      <c r="I91" s="13">
        <f>SUM(I9:$I$90)</f>
        <v>-329666046308</v>
      </c>
      <c r="K91" s="13">
        <f>SUM(K9:$K$90)</f>
        <v>490919324</v>
      </c>
      <c r="M91" s="13">
        <f>SUM(M9:$M$90)</f>
        <v>3034806028436</v>
      </c>
      <c r="O91" s="13">
        <f>SUM(O9:$O$90)</f>
        <v>2646225785044</v>
      </c>
      <c r="Q91" s="13">
        <f>SUM(Q9:$Q$90)</f>
        <v>388580243392</v>
      </c>
    </row>
    <row r="92" spans="1:17" ht="18.75" x14ac:dyDescent="0.45">
      <c r="C92" s="15"/>
      <c r="E92" s="15"/>
      <c r="G92" s="15"/>
      <c r="I92" s="15"/>
      <c r="K92" s="15"/>
      <c r="M92" s="15"/>
      <c r="O92" s="15"/>
      <c r="Q92" s="15"/>
    </row>
    <row r="94" spans="1:17" ht="18.75" x14ac:dyDescent="0.45">
      <c r="A94" s="39" t="s">
        <v>251</v>
      </c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1"/>
    </row>
  </sheetData>
  <mergeCells count="7">
    <mergeCell ref="A94:Q94"/>
    <mergeCell ref="A1:Q1"/>
    <mergeCell ref="A2:Q2"/>
    <mergeCell ref="A3:Q3"/>
    <mergeCell ref="A5:Q5"/>
    <mergeCell ref="C7:I7"/>
    <mergeCell ref="K7:Q7"/>
  </mergeCells>
  <pageMargins left="0.7" right="0.7" top="0.75" bottom="0.75" header="0.3" footer="0.3"/>
  <pageSetup paperSize="9" scale="75" fitToHeight="0" orientation="landscape" r:id="rId1"/>
  <rowBreaks count="4" manualBreakCount="4">
    <brk id="22" max="16383" man="1"/>
    <brk id="41" max="16383" man="1"/>
    <brk id="62" max="16383" man="1"/>
    <brk id="80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AC122"/>
  <sheetViews>
    <sheetView rightToLeft="1" view="pageBreakPreview" zoomScale="77" zoomScaleNormal="100" zoomScaleSheetLayoutView="77" workbookViewId="0">
      <selection sqref="A1:W1"/>
    </sheetView>
  </sheetViews>
  <sheetFormatPr defaultRowHeight="18" x14ac:dyDescent="0.45"/>
  <cols>
    <col min="1" max="1" width="21.140625" style="4" bestFit="1" customWidth="1"/>
    <col min="2" max="2" width="1.42578125" style="4" customWidth="1"/>
    <col min="3" max="3" width="15.5703125" style="4" bestFit="1" customWidth="1"/>
    <col min="4" max="4" width="1.42578125" style="4" customWidth="1"/>
    <col min="5" max="5" width="18" style="4" bestFit="1" customWidth="1"/>
    <col min="6" max="6" width="1.42578125" style="4" customWidth="1"/>
    <col min="7" max="7" width="17" style="4" customWidth="1"/>
    <col min="8" max="8" width="1.42578125" style="4" customWidth="1"/>
    <col min="9" max="9" width="18.7109375" style="4" bestFit="1" customWidth="1"/>
    <col min="10" max="10" width="1.42578125" style="4" customWidth="1"/>
    <col min="11" max="11" width="11.5703125" style="4" bestFit="1" customWidth="1"/>
    <col min="12" max="12" width="1.42578125" style="4" customWidth="1"/>
    <col min="13" max="13" width="18.28515625" style="4" bestFit="1" customWidth="1"/>
    <col min="14" max="14" width="1.42578125" style="4" customWidth="1"/>
    <col min="15" max="15" width="18.28515625" style="4" bestFit="1" customWidth="1"/>
    <col min="16" max="16" width="1.42578125" style="4" customWidth="1"/>
    <col min="17" max="17" width="17.7109375" style="4" bestFit="1" customWidth="1"/>
    <col min="18" max="18" width="1.42578125" style="4" customWidth="1"/>
    <col min="19" max="19" width="18" style="4" bestFit="1" customWidth="1"/>
    <col min="20" max="20" width="1.42578125" style="4" customWidth="1"/>
    <col min="21" max="21" width="11.5703125" style="4" bestFit="1" customWidth="1"/>
    <col min="22" max="16384" width="9.140625" style="4"/>
  </cols>
  <sheetData>
    <row r="1" spans="1:29" ht="20.100000000000001" customHeight="1" x14ac:dyDescent="0.45">
      <c r="A1" s="33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</row>
    <row r="2" spans="1:29" ht="20.100000000000001" customHeight="1" x14ac:dyDescent="0.45">
      <c r="A2" s="33" t="s">
        <v>148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</row>
    <row r="3" spans="1:29" ht="20.100000000000001" customHeight="1" x14ac:dyDescent="0.45">
      <c r="A3" s="33" t="s">
        <v>2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</row>
    <row r="5" spans="1:29" ht="21" x14ac:dyDescent="0.45">
      <c r="A5" s="34" t="s">
        <v>254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</row>
    <row r="7" spans="1:29" ht="21" x14ac:dyDescent="0.45">
      <c r="C7" s="27" t="s">
        <v>160</v>
      </c>
      <c r="D7" s="28"/>
      <c r="E7" s="28"/>
      <c r="F7" s="28"/>
      <c r="G7" s="28"/>
      <c r="H7" s="28"/>
      <c r="I7" s="28"/>
      <c r="J7" s="28"/>
      <c r="K7" s="28"/>
      <c r="M7" s="27" t="s">
        <v>7</v>
      </c>
      <c r="N7" s="28"/>
      <c r="O7" s="28"/>
      <c r="P7" s="28"/>
      <c r="Q7" s="28"/>
      <c r="R7" s="28"/>
      <c r="S7" s="28"/>
      <c r="T7" s="28"/>
      <c r="U7" s="28"/>
      <c r="AC7" s="18"/>
    </row>
    <row r="8" spans="1:29" ht="42" x14ac:dyDescent="0.45">
      <c r="A8" s="6" t="s">
        <v>255</v>
      </c>
      <c r="C8" s="16" t="s">
        <v>158</v>
      </c>
      <c r="E8" s="16" t="s">
        <v>256</v>
      </c>
      <c r="G8" s="16" t="s">
        <v>257</v>
      </c>
      <c r="I8" s="16" t="s">
        <v>258</v>
      </c>
      <c r="K8" s="16" t="s">
        <v>259</v>
      </c>
      <c r="M8" s="16" t="s">
        <v>158</v>
      </c>
      <c r="O8" s="16" t="s">
        <v>256</v>
      </c>
      <c r="Q8" s="16" t="s">
        <v>257</v>
      </c>
      <c r="S8" s="16" t="s">
        <v>258</v>
      </c>
      <c r="U8" s="16" t="s">
        <v>259</v>
      </c>
    </row>
    <row r="9" spans="1:29" ht="18.75" x14ac:dyDescent="0.45">
      <c r="A9" s="8" t="s">
        <v>17</v>
      </c>
      <c r="C9" s="11">
        <v>0</v>
      </c>
      <c r="E9" s="11">
        <v>-273363750</v>
      </c>
      <c r="G9" s="11">
        <v>0</v>
      </c>
      <c r="I9" s="11">
        <v>-273363750</v>
      </c>
      <c r="K9" s="12">
        <v>1.0549991938206083E-3</v>
      </c>
      <c r="M9" s="11">
        <v>96000000</v>
      </c>
      <c r="O9" s="11">
        <v>270878625</v>
      </c>
      <c r="Q9" s="11">
        <v>0</v>
      </c>
      <c r="S9" s="11">
        <v>366878625</v>
      </c>
      <c r="U9" s="12">
        <v>5.0278890973744835E-4</v>
      </c>
    </row>
    <row r="10" spans="1:29" ht="18.75" x14ac:dyDescent="0.45">
      <c r="A10" s="8" t="s">
        <v>18</v>
      </c>
      <c r="C10" s="11">
        <v>0</v>
      </c>
      <c r="E10" s="11">
        <v>847212885</v>
      </c>
      <c r="G10" s="11">
        <v>0</v>
      </c>
      <c r="I10" s="11">
        <v>847212885</v>
      </c>
      <c r="K10" s="12">
        <v>-3.2696687496766917E-3</v>
      </c>
      <c r="M10" s="11">
        <v>0</v>
      </c>
      <c r="O10" s="11">
        <v>847212885</v>
      </c>
      <c r="Q10" s="11">
        <v>0</v>
      </c>
      <c r="S10" s="11">
        <v>847212885</v>
      </c>
      <c r="U10" s="12">
        <v>1.161063124799566E-3</v>
      </c>
    </row>
    <row r="11" spans="1:29" ht="18.75" x14ac:dyDescent="0.45">
      <c r="A11" s="8" t="s">
        <v>260</v>
      </c>
      <c r="C11" s="11">
        <v>0</v>
      </c>
      <c r="E11" s="11">
        <v>-6095914755</v>
      </c>
      <c r="G11" s="11">
        <v>1673096555</v>
      </c>
      <c r="I11" s="11">
        <v>-4422818200</v>
      </c>
      <c r="K11" s="12">
        <v>1.7069087014701525E-2</v>
      </c>
      <c r="M11" s="11">
        <v>0</v>
      </c>
      <c r="O11" s="11">
        <v>5648439800</v>
      </c>
      <c r="Q11" s="11">
        <v>1673096555</v>
      </c>
      <c r="S11" s="11">
        <v>7321536355</v>
      </c>
      <c r="U11" s="12">
        <v>1.0033801455545527E-2</v>
      </c>
    </row>
    <row r="12" spans="1:29" ht="18.75" x14ac:dyDescent="0.45">
      <c r="A12" s="8" t="s">
        <v>20</v>
      </c>
      <c r="C12" s="11">
        <v>0</v>
      </c>
      <c r="E12" s="11">
        <v>-2656864832</v>
      </c>
      <c r="G12" s="11">
        <v>0</v>
      </c>
      <c r="I12" s="11">
        <v>-2656864832</v>
      </c>
      <c r="K12" s="12">
        <v>1.025370136256298E-2</v>
      </c>
      <c r="M12" s="11">
        <v>1421685000</v>
      </c>
      <c r="O12" s="11">
        <v>-1432068988</v>
      </c>
      <c r="Q12" s="11">
        <v>-367388939</v>
      </c>
      <c r="S12" s="11">
        <v>-377772927</v>
      </c>
      <c r="U12" s="12">
        <v>-5.1771900882656939E-4</v>
      </c>
    </row>
    <row r="13" spans="1:29" ht="18.75" x14ac:dyDescent="0.45">
      <c r="A13" s="8" t="s">
        <v>21</v>
      </c>
      <c r="C13" s="11">
        <v>0</v>
      </c>
      <c r="E13" s="11">
        <v>-5627199979</v>
      </c>
      <c r="G13" s="11">
        <v>0</v>
      </c>
      <c r="I13" s="11">
        <v>-5627199979</v>
      </c>
      <c r="K13" s="12">
        <v>2.1717186135002699E-2</v>
      </c>
      <c r="M13" s="11">
        <v>0</v>
      </c>
      <c r="O13" s="11">
        <v>-5627199979</v>
      </c>
      <c r="Q13" s="11">
        <v>1889727371</v>
      </c>
      <c r="S13" s="11">
        <v>-3737472608</v>
      </c>
      <c r="U13" s="12">
        <v>-5.1220203350628496E-3</v>
      </c>
    </row>
    <row r="14" spans="1:29" ht="18.75" x14ac:dyDescent="0.45">
      <c r="A14" s="8" t="s">
        <v>22</v>
      </c>
      <c r="C14" s="11">
        <v>0</v>
      </c>
      <c r="E14" s="11">
        <v>-5562745689</v>
      </c>
      <c r="G14" s="11">
        <v>0</v>
      </c>
      <c r="I14" s="11">
        <v>-5562745689</v>
      </c>
      <c r="K14" s="12">
        <v>2.1468436167282841E-2</v>
      </c>
      <c r="M14" s="11">
        <v>0</v>
      </c>
      <c r="O14" s="11">
        <v>6784212768</v>
      </c>
      <c r="Q14" s="11">
        <v>0</v>
      </c>
      <c r="S14" s="11">
        <v>6784212768</v>
      </c>
      <c r="U14" s="12">
        <v>9.2974262020568688E-3</v>
      </c>
    </row>
    <row r="15" spans="1:29" ht="18.75" x14ac:dyDescent="0.45">
      <c r="A15" s="8" t="s">
        <v>23</v>
      </c>
      <c r="C15" s="11">
        <v>0</v>
      </c>
      <c r="E15" s="11">
        <v>-12097321308</v>
      </c>
      <c r="G15" s="11">
        <v>5138195533</v>
      </c>
      <c r="I15" s="11">
        <v>-6959125775</v>
      </c>
      <c r="K15" s="12">
        <v>2.6857518900443883E-2</v>
      </c>
      <c r="M15" s="11">
        <v>0</v>
      </c>
      <c r="O15" s="11">
        <v>10436754872</v>
      </c>
      <c r="Q15" s="11">
        <v>5138195533</v>
      </c>
      <c r="S15" s="11">
        <v>15574950405</v>
      </c>
      <c r="U15" s="12">
        <v>2.1344694947395146E-2</v>
      </c>
    </row>
    <row r="16" spans="1:29" ht="18.75" x14ac:dyDescent="0.45">
      <c r="A16" s="8" t="s">
        <v>24</v>
      </c>
      <c r="C16" s="11">
        <v>0</v>
      </c>
      <c r="E16" s="11">
        <v>-34791750</v>
      </c>
      <c r="G16" s="11">
        <v>0</v>
      </c>
      <c r="I16" s="11">
        <v>-34791750</v>
      </c>
      <c r="K16" s="12">
        <v>1.3427262466807741E-4</v>
      </c>
      <c r="M16" s="11">
        <v>0</v>
      </c>
      <c r="O16" s="11">
        <v>2003329246</v>
      </c>
      <c r="Q16" s="11">
        <v>0</v>
      </c>
      <c r="S16" s="11">
        <v>2003329246</v>
      </c>
      <c r="U16" s="12">
        <v>2.7454631008865245E-3</v>
      </c>
    </row>
    <row r="17" spans="1:21" ht="18.75" x14ac:dyDescent="0.45">
      <c r="A17" s="8" t="s">
        <v>261</v>
      </c>
      <c r="C17" s="11">
        <v>0</v>
      </c>
      <c r="E17" s="11">
        <v>-6937544741</v>
      </c>
      <c r="G17" s="11">
        <v>0</v>
      </c>
      <c r="I17" s="11">
        <v>-6937544741</v>
      </c>
      <c r="K17" s="12">
        <v>2.6774230704873638E-2</v>
      </c>
      <c r="M17" s="11">
        <v>216540800</v>
      </c>
      <c r="O17" s="11">
        <v>-11766830515</v>
      </c>
      <c r="Q17" s="11">
        <v>-57613315</v>
      </c>
      <c r="S17" s="11">
        <v>-11607903030</v>
      </c>
      <c r="U17" s="12">
        <v>-1.5908053811507068E-2</v>
      </c>
    </row>
    <row r="18" spans="1:21" ht="18.75" x14ac:dyDescent="0.45">
      <c r="A18" s="8" t="s">
        <v>25</v>
      </c>
      <c r="C18" s="11">
        <v>0</v>
      </c>
      <c r="E18" s="11">
        <v>960590925</v>
      </c>
      <c r="G18" s="11">
        <v>0</v>
      </c>
      <c r="I18" s="11">
        <v>960590925</v>
      </c>
      <c r="K18" s="12">
        <v>-3.7072313043203147E-3</v>
      </c>
      <c r="M18" s="11">
        <v>0</v>
      </c>
      <c r="O18" s="11">
        <v>960590925</v>
      </c>
      <c r="Q18" s="11">
        <v>0</v>
      </c>
      <c r="S18" s="11">
        <v>960590925</v>
      </c>
      <c r="U18" s="12">
        <v>1.3164420900357359E-3</v>
      </c>
    </row>
    <row r="19" spans="1:21" ht="18.75" x14ac:dyDescent="0.45">
      <c r="A19" s="8" t="s">
        <v>27</v>
      </c>
      <c r="C19" s="11">
        <v>0</v>
      </c>
      <c r="E19" s="11">
        <v>119596640</v>
      </c>
      <c r="G19" s="11">
        <v>0</v>
      </c>
      <c r="I19" s="11">
        <v>119596640</v>
      </c>
      <c r="K19" s="12">
        <v>-4.6156214488443886E-4</v>
      </c>
      <c r="M19" s="11">
        <v>519025280</v>
      </c>
      <c r="O19" s="11">
        <v>949055186</v>
      </c>
      <c r="Q19" s="11">
        <v>1188423996</v>
      </c>
      <c r="S19" s="11">
        <v>2656504462</v>
      </c>
      <c r="U19" s="12">
        <v>3.6406072503178582E-3</v>
      </c>
    </row>
    <row r="20" spans="1:21" ht="37.5" x14ac:dyDescent="0.45">
      <c r="A20" s="8" t="s">
        <v>28</v>
      </c>
      <c r="C20" s="11">
        <v>0</v>
      </c>
      <c r="E20" s="11">
        <v>-7975891553</v>
      </c>
      <c r="G20" s="11">
        <v>10219842257</v>
      </c>
      <c r="I20" s="11">
        <v>2243950704</v>
      </c>
      <c r="K20" s="12">
        <v>-8.6601320902760029E-3</v>
      </c>
      <c r="M20" s="11">
        <v>108343700</v>
      </c>
      <c r="O20" s="11">
        <v>0</v>
      </c>
      <c r="Q20" s="11">
        <v>10083290355</v>
      </c>
      <c r="S20" s="11">
        <v>10191634055</v>
      </c>
      <c r="U20" s="12">
        <v>1.3967127615996978E-2</v>
      </c>
    </row>
    <row r="21" spans="1:21" ht="18.75" x14ac:dyDescent="0.45">
      <c r="A21" s="8" t="s">
        <v>29</v>
      </c>
      <c r="C21" s="11">
        <v>0</v>
      </c>
      <c r="E21" s="11">
        <v>-10175847699</v>
      </c>
      <c r="G21" s="11">
        <v>0</v>
      </c>
      <c r="I21" s="11">
        <v>-10175847699</v>
      </c>
      <c r="K21" s="12">
        <v>3.9271889995971643E-2</v>
      </c>
      <c r="M21" s="11">
        <v>0</v>
      </c>
      <c r="O21" s="11">
        <v>995736417</v>
      </c>
      <c r="Q21" s="11">
        <v>0</v>
      </c>
      <c r="S21" s="11">
        <v>995736417</v>
      </c>
      <c r="U21" s="12">
        <v>1.3646072389453137E-3</v>
      </c>
    </row>
    <row r="22" spans="1:21" ht="18.75" x14ac:dyDescent="0.45">
      <c r="A22" s="8" t="s">
        <v>30</v>
      </c>
      <c r="C22" s="11">
        <v>0</v>
      </c>
      <c r="E22" s="11">
        <v>-7394291741</v>
      </c>
      <c r="G22" s="11">
        <v>0</v>
      </c>
      <c r="I22" s="11">
        <v>-7394291741</v>
      </c>
      <c r="K22" s="12">
        <v>2.8536965218063415E-2</v>
      </c>
      <c r="M22" s="11">
        <v>10332000000</v>
      </c>
      <c r="O22" s="11">
        <v>63084862090</v>
      </c>
      <c r="Q22" s="11">
        <v>2652429300</v>
      </c>
      <c r="S22" s="11">
        <v>76069291390</v>
      </c>
      <c r="U22" s="12">
        <v>0.10424918072694576</v>
      </c>
    </row>
    <row r="23" spans="1:21" ht="18.75" x14ac:dyDescent="0.45">
      <c r="A23" s="8" t="s">
        <v>175</v>
      </c>
      <c r="C23" s="11">
        <v>0</v>
      </c>
      <c r="E23" s="11">
        <v>-1994064300</v>
      </c>
      <c r="G23" s="11">
        <v>0</v>
      </c>
      <c r="I23" s="11">
        <v>-1994064300</v>
      </c>
      <c r="K23" s="12">
        <v>7.6957395738332379E-3</v>
      </c>
      <c r="M23" s="11">
        <v>516228000</v>
      </c>
      <c r="O23" s="11">
        <v>6177502671</v>
      </c>
      <c r="Q23" s="11">
        <v>3832514712</v>
      </c>
      <c r="S23" s="11">
        <v>10526245383</v>
      </c>
      <c r="U23" s="12">
        <v>1.4425695799932249E-2</v>
      </c>
    </row>
    <row r="24" spans="1:21" ht="18.75" x14ac:dyDescent="0.45">
      <c r="A24" s="8" t="s">
        <v>32</v>
      </c>
      <c r="C24" s="11">
        <v>0</v>
      </c>
      <c r="E24" s="11">
        <v>-15770544552</v>
      </c>
      <c r="G24" s="11">
        <v>10692839501</v>
      </c>
      <c r="I24" s="11">
        <v>-5077705051</v>
      </c>
      <c r="K24" s="12">
        <v>1.9596507346946443E-2</v>
      </c>
      <c r="M24" s="11">
        <v>4562276550</v>
      </c>
      <c r="O24" s="11">
        <v>2095400391</v>
      </c>
      <c r="Q24" s="11">
        <v>9013272001</v>
      </c>
      <c r="S24" s="11">
        <v>15670948942</v>
      </c>
      <c r="U24" s="12">
        <v>2.1476256168097552E-2</v>
      </c>
    </row>
    <row r="25" spans="1:21" ht="37.5" x14ac:dyDescent="0.45">
      <c r="A25" s="8" t="s">
        <v>33</v>
      </c>
      <c r="C25" s="11">
        <v>0</v>
      </c>
      <c r="E25" s="11">
        <v>-945997633</v>
      </c>
      <c r="G25" s="11">
        <v>0</v>
      </c>
      <c r="I25" s="11">
        <v>-945997633</v>
      </c>
      <c r="K25" s="12">
        <v>3.6509110669253101E-3</v>
      </c>
      <c r="M25" s="11">
        <v>30532500</v>
      </c>
      <c r="O25" s="11">
        <v>-5868681784</v>
      </c>
      <c r="Q25" s="11">
        <v>0</v>
      </c>
      <c r="S25" s="11">
        <v>-5838149284</v>
      </c>
      <c r="U25" s="12">
        <v>-8.0008932474243347E-3</v>
      </c>
    </row>
    <row r="26" spans="1:21" ht="37.5" x14ac:dyDescent="0.45">
      <c r="A26" s="8" t="s">
        <v>34</v>
      </c>
      <c r="C26" s="11">
        <v>0</v>
      </c>
      <c r="E26" s="11">
        <v>2726877960</v>
      </c>
      <c r="G26" s="11">
        <v>0</v>
      </c>
      <c r="I26" s="11">
        <v>2726877960</v>
      </c>
      <c r="K26" s="12">
        <v>-1.0523904685413428E-2</v>
      </c>
      <c r="M26" s="11">
        <v>0</v>
      </c>
      <c r="O26" s="11">
        <v>5436807046</v>
      </c>
      <c r="Q26" s="11">
        <v>0</v>
      </c>
      <c r="S26" s="11">
        <v>5436807046</v>
      </c>
      <c r="U26" s="12">
        <v>7.4508736700351977E-3</v>
      </c>
    </row>
    <row r="27" spans="1:21" ht="37.5" x14ac:dyDescent="0.45">
      <c r="A27" s="8" t="s">
        <v>35</v>
      </c>
      <c r="C27" s="11">
        <v>0</v>
      </c>
      <c r="E27" s="11">
        <v>176176237</v>
      </c>
      <c r="G27" s="11">
        <v>281222517</v>
      </c>
      <c r="I27" s="11">
        <v>457398754</v>
      </c>
      <c r="K27" s="12">
        <v>-1.7652498428359677E-3</v>
      </c>
      <c r="M27" s="11">
        <v>0</v>
      </c>
      <c r="O27" s="11">
        <v>176176237</v>
      </c>
      <c r="Q27" s="11">
        <v>281222517</v>
      </c>
      <c r="S27" s="11">
        <v>457398754</v>
      </c>
      <c r="U27" s="12">
        <v>6.26842244731285E-4</v>
      </c>
    </row>
    <row r="28" spans="1:21" ht="37.5" x14ac:dyDescent="0.45">
      <c r="A28" s="8" t="s">
        <v>36</v>
      </c>
      <c r="C28" s="11">
        <v>0</v>
      </c>
      <c r="E28" s="11">
        <v>-4613742218</v>
      </c>
      <c r="G28" s="11">
        <v>0</v>
      </c>
      <c r="I28" s="11">
        <v>-4613742218</v>
      </c>
      <c r="K28" s="12">
        <v>1.7805924598583777E-2</v>
      </c>
      <c r="M28" s="11">
        <v>0</v>
      </c>
      <c r="O28" s="11">
        <v>18194211074</v>
      </c>
      <c r="Q28" s="11">
        <v>-9097577</v>
      </c>
      <c r="S28" s="11">
        <v>18185113497</v>
      </c>
      <c r="U28" s="12">
        <v>2.4921793654804462E-2</v>
      </c>
    </row>
    <row r="29" spans="1:21" ht="18.75" x14ac:dyDescent="0.45">
      <c r="A29" s="8" t="s">
        <v>37</v>
      </c>
      <c r="C29" s="11">
        <v>0</v>
      </c>
      <c r="E29" s="11">
        <v>-725656500</v>
      </c>
      <c r="G29" s="11">
        <v>0</v>
      </c>
      <c r="I29" s="11">
        <v>-725656500</v>
      </c>
      <c r="K29" s="12">
        <v>2.8005433145056151E-3</v>
      </c>
      <c r="M29" s="11">
        <v>0</v>
      </c>
      <c r="O29" s="11">
        <v>-154265400</v>
      </c>
      <c r="Q29" s="11">
        <v>1004052600</v>
      </c>
      <c r="S29" s="11">
        <v>849787200</v>
      </c>
      <c r="U29" s="12">
        <v>1.1645910954797079E-3</v>
      </c>
    </row>
    <row r="30" spans="1:21" ht="18.75" x14ac:dyDescent="0.45">
      <c r="A30" s="8" t="s">
        <v>38</v>
      </c>
      <c r="C30" s="11">
        <v>0</v>
      </c>
      <c r="E30" s="11">
        <v>-9832973509</v>
      </c>
      <c r="G30" s="11">
        <v>0</v>
      </c>
      <c r="I30" s="11">
        <v>-9832973509</v>
      </c>
      <c r="K30" s="12">
        <v>3.794862751500299E-2</v>
      </c>
      <c r="M30" s="11">
        <v>506949840</v>
      </c>
      <c r="O30" s="11">
        <v>3213737651</v>
      </c>
      <c r="Q30" s="11">
        <v>3677741235</v>
      </c>
      <c r="S30" s="11">
        <v>7398428726</v>
      </c>
      <c r="U30" s="12">
        <v>1.0139178625944094E-2</v>
      </c>
    </row>
    <row r="31" spans="1:21" ht="18.75" x14ac:dyDescent="0.45">
      <c r="A31" s="8" t="s">
        <v>39</v>
      </c>
      <c r="C31" s="11">
        <v>0</v>
      </c>
      <c r="E31" s="11">
        <v>748669385</v>
      </c>
      <c r="G31" s="11">
        <v>0</v>
      </c>
      <c r="I31" s="11">
        <v>748669385</v>
      </c>
      <c r="K31" s="12">
        <v>-2.8893574865473956E-3</v>
      </c>
      <c r="M31" s="11">
        <v>2994742014</v>
      </c>
      <c r="O31" s="11">
        <v>318252480</v>
      </c>
      <c r="Q31" s="11">
        <v>106284976</v>
      </c>
      <c r="S31" s="11">
        <v>3419279470</v>
      </c>
      <c r="U31" s="12">
        <v>4.6859524640034287E-3</v>
      </c>
    </row>
    <row r="32" spans="1:21" ht="18.75" x14ac:dyDescent="0.45">
      <c r="A32" s="8" t="s">
        <v>40</v>
      </c>
      <c r="C32" s="11">
        <v>0</v>
      </c>
      <c r="E32" s="11">
        <v>-8085264007</v>
      </c>
      <c r="G32" s="11">
        <v>0</v>
      </c>
      <c r="I32" s="11">
        <v>-8085264007</v>
      </c>
      <c r="K32" s="12">
        <v>3.1203650846945805E-2</v>
      </c>
      <c r="M32" s="11">
        <v>5856000000</v>
      </c>
      <c r="O32" s="11">
        <v>26095511465</v>
      </c>
      <c r="Q32" s="11">
        <v>-2286428220</v>
      </c>
      <c r="S32" s="11">
        <v>29665083245</v>
      </c>
      <c r="U32" s="12">
        <v>4.0654521265784276E-2</v>
      </c>
    </row>
    <row r="33" spans="1:21" ht="18.75" x14ac:dyDescent="0.45">
      <c r="A33" s="8" t="s">
        <v>41</v>
      </c>
      <c r="C33" s="11">
        <v>0</v>
      </c>
      <c r="E33" s="11">
        <v>-10867684034</v>
      </c>
      <c r="G33" s="11">
        <v>1387352400</v>
      </c>
      <c r="I33" s="11">
        <v>-9480331634</v>
      </c>
      <c r="K33" s="12">
        <v>3.6587668376008194E-2</v>
      </c>
      <c r="M33" s="11">
        <v>11458002500</v>
      </c>
      <c r="O33" s="11">
        <v>2729639281</v>
      </c>
      <c r="Q33" s="11">
        <v>1441200500</v>
      </c>
      <c r="S33" s="11">
        <v>15628842281</v>
      </c>
      <c r="U33" s="12">
        <v>2.1418551083270454E-2</v>
      </c>
    </row>
    <row r="34" spans="1:21" ht="37.5" x14ac:dyDescent="0.45">
      <c r="A34" s="8" t="s">
        <v>42</v>
      </c>
      <c r="C34" s="11">
        <v>0</v>
      </c>
      <c r="E34" s="11">
        <v>948075187</v>
      </c>
      <c r="G34" s="11">
        <v>0</v>
      </c>
      <c r="I34" s="11">
        <v>948075187</v>
      </c>
      <c r="K34" s="12">
        <v>-3.658929020275448E-3</v>
      </c>
      <c r="M34" s="11">
        <v>0</v>
      </c>
      <c r="O34" s="11">
        <v>3862702822</v>
      </c>
      <c r="Q34" s="11">
        <v>2451548985</v>
      </c>
      <c r="S34" s="11">
        <v>6314251807</v>
      </c>
      <c r="U34" s="12">
        <v>8.6533680773832021E-3</v>
      </c>
    </row>
    <row r="35" spans="1:21" ht="18.75" x14ac:dyDescent="0.45">
      <c r="A35" s="8" t="s">
        <v>43</v>
      </c>
      <c r="C35" s="11">
        <v>0</v>
      </c>
      <c r="E35" s="11">
        <v>-2075772</v>
      </c>
      <c r="G35" s="11">
        <v>2129173</v>
      </c>
      <c r="I35" s="11">
        <v>53401</v>
      </c>
      <c r="K35" s="12">
        <v>-2.0609174387318841E-7</v>
      </c>
      <c r="M35" s="11">
        <v>289520</v>
      </c>
      <c r="O35" s="11">
        <v>0</v>
      </c>
      <c r="Q35" s="11">
        <v>2129173</v>
      </c>
      <c r="S35" s="11">
        <v>2418693</v>
      </c>
      <c r="U35" s="12">
        <v>3.3146984686273234E-6</v>
      </c>
    </row>
    <row r="36" spans="1:21" ht="18.75" x14ac:dyDescent="0.45">
      <c r="A36" s="8" t="s">
        <v>44</v>
      </c>
      <c r="C36" s="11">
        <v>0</v>
      </c>
      <c r="E36" s="11">
        <v>1142243074</v>
      </c>
      <c r="G36" s="11">
        <v>0</v>
      </c>
      <c r="I36" s="11">
        <v>1142243074</v>
      </c>
      <c r="K36" s="12">
        <v>-4.4082857446064942E-3</v>
      </c>
      <c r="M36" s="11">
        <v>7470000000</v>
      </c>
      <c r="O36" s="11">
        <v>7798503753</v>
      </c>
      <c r="Q36" s="11">
        <v>33244203072</v>
      </c>
      <c r="S36" s="11">
        <v>48512706825</v>
      </c>
      <c r="U36" s="12">
        <v>6.6484252040996436E-2</v>
      </c>
    </row>
    <row r="37" spans="1:21" ht="18.75" x14ac:dyDescent="0.45">
      <c r="A37" s="8" t="s">
        <v>45</v>
      </c>
      <c r="C37" s="11">
        <v>0</v>
      </c>
      <c r="E37" s="11">
        <v>-6023661819</v>
      </c>
      <c r="G37" s="11">
        <v>0</v>
      </c>
      <c r="I37" s="11">
        <v>-6023661819</v>
      </c>
      <c r="K37" s="12">
        <v>2.3247260702609542E-2</v>
      </c>
      <c r="M37" s="11">
        <v>354565120</v>
      </c>
      <c r="O37" s="11">
        <v>-1924122660</v>
      </c>
      <c r="Q37" s="11">
        <v>0</v>
      </c>
      <c r="S37" s="11">
        <v>-1569557540</v>
      </c>
      <c r="U37" s="12">
        <v>-2.1510005504048958E-3</v>
      </c>
    </row>
    <row r="38" spans="1:21" ht="18.75" x14ac:dyDescent="0.45">
      <c r="A38" s="8" t="s">
        <v>46</v>
      </c>
      <c r="C38" s="11">
        <v>0</v>
      </c>
      <c r="E38" s="11">
        <v>-4931124262</v>
      </c>
      <c r="G38" s="11">
        <v>0</v>
      </c>
      <c r="I38" s="11">
        <v>-4931124262</v>
      </c>
      <c r="K38" s="12">
        <v>1.9030804636822704E-2</v>
      </c>
      <c r="M38" s="11">
        <v>1299231570</v>
      </c>
      <c r="O38" s="11">
        <v>10170029304</v>
      </c>
      <c r="Q38" s="11">
        <v>0</v>
      </c>
      <c r="S38" s="11">
        <v>11469260874</v>
      </c>
      <c r="U38" s="12">
        <v>1.5718051631742877E-2</v>
      </c>
    </row>
    <row r="39" spans="1:21" ht="18.75" x14ac:dyDescent="0.45">
      <c r="A39" s="8" t="s">
        <v>47</v>
      </c>
      <c r="C39" s="11">
        <v>0</v>
      </c>
      <c r="E39" s="11">
        <v>-5304694687</v>
      </c>
      <c r="G39" s="11">
        <v>0</v>
      </c>
      <c r="I39" s="11">
        <v>-5304694687</v>
      </c>
      <c r="K39" s="12">
        <v>2.0472533824435261E-2</v>
      </c>
      <c r="M39" s="11">
        <v>663429592</v>
      </c>
      <c r="O39" s="11">
        <v>-3751417278</v>
      </c>
      <c r="Q39" s="11">
        <v>-3300327643</v>
      </c>
      <c r="S39" s="11">
        <v>-6388315329</v>
      </c>
      <c r="U39" s="12">
        <v>-8.754868450913264E-3</v>
      </c>
    </row>
    <row r="40" spans="1:21" ht="18.75" x14ac:dyDescent="0.45">
      <c r="A40" s="8" t="s">
        <v>48</v>
      </c>
      <c r="C40" s="11">
        <v>0</v>
      </c>
      <c r="E40" s="11">
        <v>-5288230061</v>
      </c>
      <c r="G40" s="11">
        <v>0</v>
      </c>
      <c r="I40" s="11">
        <v>-5288230061</v>
      </c>
      <c r="K40" s="12">
        <v>2.040899150341955E-2</v>
      </c>
      <c r="M40" s="11">
        <v>4973291130</v>
      </c>
      <c r="O40" s="11">
        <v>-11740523361</v>
      </c>
      <c r="Q40" s="11">
        <v>-10903300707</v>
      </c>
      <c r="S40" s="11">
        <v>-17670532938</v>
      </c>
      <c r="U40" s="12">
        <v>-2.4216586590120069E-2</v>
      </c>
    </row>
    <row r="41" spans="1:21" ht="18.75" x14ac:dyDescent="0.45">
      <c r="A41" s="8" t="s">
        <v>50</v>
      </c>
      <c r="C41" s="11">
        <v>0</v>
      </c>
      <c r="E41" s="11">
        <v>596430000</v>
      </c>
      <c r="G41" s="11">
        <v>9335639600</v>
      </c>
      <c r="I41" s="11">
        <v>9932069600</v>
      </c>
      <c r="K41" s="12">
        <v>-3.833107140566433E-2</v>
      </c>
      <c r="M41" s="11">
        <v>8260854580</v>
      </c>
      <c r="O41" s="11">
        <v>28843354799</v>
      </c>
      <c r="Q41" s="11">
        <v>14943796579</v>
      </c>
      <c r="S41" s="11">
        <v>52048005958</v>
      </c>
      <c r="U41" s="12">
        <v>7.1329203683182782E-2</v>
      </c>
    </row>
    <row r="42" spans="1:21" ht="18.75" x14ac:dyDescent="0.45">
      <c r="A42" s="8" t="s">
        <v>51</v>
      </c>
      <c r="C42" s="11">
        <v>0</v>
      </c>
      <c r="E42" s="11">
        <v>-11476200</v>
      </c>
      <c r="G42" s="11">
        <v>0</v>
      </c>
      <c r="I42" s="11">
        <v>-11476200</v>
      </c>
      <c r="K42" s="12">
        <v>4.4290370424476782E-5</v>
      </c>
      <c r="M42" s="11">
        <v>0</v>
      </c>
      <c r="O42" s="11">
        <v>-11476200</v>
      </c>
      <c r="Q42" s="11">
        <v>0</v>
      </c>
      <c r="S42" s="11">
        <v>-11476200</v>
      </c>
      <c r="U42" s="12">
        <v>-1.5727561358825154E-5</v>
      </c>
    </row>
    <row r="43" spans="1:21" ht="18.75" x14ac:dyDescent="0.45">
      <c r="A43" s="8" t="s">
        <v>52</v>
      </c>
      <c r="C43" s="11">
        <v>0</v>
      </c>
      <c r="E43" s="11">
        <v>-866845098</v>
      </c>
      <c r="G43" s="11">
        <v>48618965</v>
      </c>
      <c r="I43" s="11">
        <v>-818226133</v>
      </c>
      <c r="K43" s="12">
        <v>3.1577994912564446E-3</v>
      </c>
      <c r="M43" s="11">
        <v>11364297360</v>
      </c>
      <c r="O43" s="11">
        <v>26423488258</v>
      </c>
      <c r="Q43" s="11">
        <v>12266140131</v>
      </c>
      <c r="S43" s="11">
        <v>50053925749</v>
      </c>
      <c r="U43" s="12">
        <v>6.8596415927526175E-2</v>
      </c>
    </row>
    <row r="44" spans="1:21" ht="18.75" x14ac:dyDescent="0.45">
      <c r="A44" s="8" t="s">
        <v>53</v>
      </c>
      <c r="C44" s="11">
        <v>0</v>
      </c>
      <c r="E44" s="11">
        <v>-13257419854</v>
      </c>
      <c r="G44" s="11">
        <v>4810280560</v>
      </c>
      <c r="I44" s="11">
        <v>-8447139294</v>
      </c>
      <c r="K44" s="12">
        <v>3.260024471152588E-2</v>
      </c>
      <c r="M44" s="11">
        <v>15477329400</v>
      </c>
      <c r="O44" s="11">
        <v>12569371810</v>
      </c>
      <c r="Q44" s="11">
        <v>3734267093</v>
      </c>
      <c r="S44" s="11">
        <v>31780968303</v>
      </c>
      <c r="U44" s="12">
        <v>4.3554236509324502E-2</v>
      </c>
    </row>
    <row r="45" spans="1:21" ht="18.75" x14ac:dyDescent="0.45">
      <c r="A45" s="8" t="s">
        <v>54</v>
      </c>
      <c r="C45" s="11">
        <v>0</v>
      </c>
      <c r="E45" s="11">
        <v>6870873600</v>
      </c>
      <c r="G45" s="11">
        <v>0</v>
      </c>
      <c r="I45" s="11">
        <v>6870873600</v>
      </c>
      <c r="K45" s="12">
        <v>-2.6516925191592891E-2</v>
      </c>
      <c r="M45" s="11">
        <v>0</v>
      </c>
      <c r="O45" s="11">
        <v>17652679114</v>
      </c>
      <c r="Q45" s="11">
        <v>0</v>
      </c>
      <c r="S45" s="11">
        <v>17652679114</v>
      </c>
      <c r="U45" s="12">
        <v>2.4192118812245016E-2</v>
      </c>
    </row>
    <row r="46" spans="1:21" ht="18.75" x14ac:dyDescent="0.45">
      <c r="A46" s="8" t="s">
        <v>55</v>
      </c>
      <c r="C46" s="11">
        <v>0</v>
      </c>
      <c r="E46" s="11">
        <v>-219746981</v>
      </c>
      <c r="G46" s="11">
        <v>0</v>
      </c>
      <c r="I46" s="11">
        <v>-219746981</v>
      </c>
      <c r="K46" s="12">
        <v>8.4807472753615847E-4</v>
      </c>
      <c r="M46" s="11">
        <v>0</v>
      </c>
      <c r="O46" s="11">
        <v>-219746981</v>
      </c>
      <c r="Q46" s="11">
        <v>0</v>
      </c>
      <c r="S46" s="11">
        <v>-219746981</v>
      </c>
      <c r="U46" s="12">
        <v>-3.0115230887350214E-4</v>
      </c>
    </row>
    <row r="47" spans="1:21" ht="18.75" x14ac:dyDescent="0.45">
      <c r="A47" s="8" t="s">
        <v>262</v>
      </c>
      <c r="C47" s="11">
        <v>0</v>
      </c>
      <c r="E47" s="11">
        <v>-1944143200</v>
      </c>
      <c r="G47" s="11">
        <v>0</v>
      </c>
      <c r="I47" s="11">
        <v>-1944143200</v>
      </c>
      <c r="K47" s="12">
        <v>7.5030778904365252E-3</v>
      </c>
      <c r="M47" s="11">
        <v>1836964170</v>
      </c>
      <c r="O47" s="11">
        <v>-6413083324</v>
      </c>
      <c r="Q47" s="11">
        <v>-14176834668</v>
      </c>
      <c r="S47" s="11">
        <v>-18752953822</v>
      </c>
      <c r="U47" s="12">
        <v>-2.5699990580045632E-2</v>
      </c>
    </row>
    <row r="48" spans="1:21" ht="18.75" x14ac:dyDescent="0.45">
      <c r="A48" s="8" t="s">
        <v>56</v>
      </c>
      <c r="C48" s="11">
        <v>0</v>
      </c>
      <c r="E48" s="11">
        <v>-8574432688</v>
      </c>
      <c r="G48" s="11">
        <v>0</v>
      </c>
      <c r="I48" s="11">
        <v>-8574432688</v>
      </c>
      <c r="K48" s="12">
        <v>3.3091511121387057E-2</v>
      </c>
      <c r="M48" s="11">
        <v>2167974875</v>
      </c>
      <c r="O48" s="11">
        <v>-17781641873</v>
      </c>
      <c r="Q48" s="11">
        <v>0</v>
      </c>
      <c r="S48" s="11">
        <v>-15613666998</v>
      </c>
      <c r="U48" s="12">
        <v>-2.1397754112625116E-2</v>
      </c>
    </row>
    <row r="49" spans="1:21" ht="18.75" x14ac:dyDescent="0.45">
      <c r="A49" s="8" t="s">
        <v>57</v>
      </c>
      <c r="C49" s="11">
        <v>0</v>
      </c>
      <c r="E49" s="11">
        <v>-1013334491</v>
      </c>
      <c r="G49" s="11">
        <v>0</v>
      </c>
      <c r="I49" s="11">
        <v>-1013334491</v>
      </c>
      <c r="K49" s="12">
        <v>3.910785797588804E-3</v>
      </c>
      <c r="M49" s="11">
        <v>0</v>
      </c>
      <c r="O49" s="11">
        <v>-476593865</v>
      </c>
      <c r="Q49" s="11">
        <v>2128582690</v>
      </c>
      <c r="S49" s="11">
        <v>1651988825</v>
      </c>
      <c r="U49" s="12">
        <v>2.2639685269759129E-3</v>
      </c>
    </row>
    <row r="50" spans="1:21" ht="18.75" x14ac:dyDescent="0.45">
      <c r="A50" s="8" t="s">
        <v>59</v>
      </c>
      <c r="C50" s="11">
        <v>0</v>
      </c>
      <c r="E50" s="11">
        <v>-5851113292</v>
      </c>
      <c r="G50" s="11">
        <v>0</v>
      </c>
      <c r="I50" s="11">
        <v>-5851113292</v>
      </c>
      <c r="K50" s="12">
        <v>2.2581340086288128E-2</v>
      </c>
      <c r="M50" s="11">
        <v>7452230800</v>
      </c>
      <c r="O50" s="11">
        <v>-5219750457</v>
      </c>
      <c r="Q50" s="11">
        <v>57954984</v>
      </c>
      <c r="S50" s="11">
        <v>2290435327</v>
      </c>
      <c r="U50" s="12">
        <v>3.138927706367374E-3</v>
      </c>
    </row>
    <row r="51" spans="1:21" ht="18.75" x14ac:dyDescent="0.45">
      <c r="A51" s="8" t="s">
        <v>60</v>
      </c>
      <c r="C51" s="11">
        <v>0</v>
      </c>
      <c r="E51" s="11">
        <v>-566599434</v>
      </c>
      <c r="G51" s="11">
        <v>0</v>
      </c>
      <c r="I51" s="11">
        <v>-566599434</v>
      </c>
      <c r="K51" s="12">
        <v>2.1866906131087719E-3</v>
      </c>
      <c r="M51" s="11">
        <v>0</v>
      </c>
      <c r="O51" s="11">
        <v>166839132</v>
      </c>
      <c r="Q51" s="11">
        <v>450908810</v>
      </c>
      <c r="S51" s="11">
        <v>617747942</v>
      </c>
      <c r="U51" s="12">
        <v>8.4659283230450522E-4</v>
      </c>
    </row>
    <row r="52" spans="1:21" ht="18.75" x14ac:dyDescent="0.45">
      <c r="A52" s="8" t="s">
        <v>61</v>
      </c>
      <c r="C52" s="11">
        <v>0</v>
      </c>
      <c r="E52" s="11">
        <v>-11288165574</v>
      </c>
      <c r="G52" s="11">
        <v>0</v>
      </c>
      <c r="I52" s="11">
        <v>-11288165574</v>
      </c>
      <c r="K52" s="12">
        <v>4.3564684711427701E-2</v>
      </c>
      <c r="M52" s="11">
        <v>9281108970</v>
      </c>
      <c r="O52" s="11">
        <v>1312727280</v>
      </c>
      <c r="Q52" s="11">
        <v>2300735073</v>
      </c>
      <c r="S52" s="11">
        <v>12894571323</v>
      </c>
      <c r="U52" s="12">
        <v>1.767136871771403E-2</v>
      </c>
    </row>
    <row r="53" spans="1:21" ht="18.75" x14ac:dyDescent="0.45">
      <c r="A53" s="8" t="s">
        <v>62</v>
      </c>
      <c r="C53" s="11">
        <v>0</v>
      </c>
      <c r="E53" s="11">
        <v>-11519308581</v>
      </c>
      <c r="G53" s="11">
        <v>0</v>
      </c>
      <c r="I53" s="11">
        <v>-11519308581</v>
      </c>
      <c r="K53" s="12">
        <v>4.4456740391971561E-2</v>
      </c>
      <c r="M53" s="11">
        <v>0</v>
      </c>
      <c r="O53" s="11">
        <v>11451777672</v>
      </c>
      <c r="Q53" s="11">
        <v>0</v>
      </c>
      <c r="S53" s="11">
        <v>11451777672</v>
      </c>
      <c r="U53" s="12">
        <v>1.5694091772886835E-2</v>
      </c>
    </row>
    <row r="54" spans="1:21" ht="18.75" x14ac:dyDescent="0.45">
      <c r="A54" s="8" t="s">
        <v>63</v>
      </c>
      <c r="C54" s="11">
        <v>0</v>
      </c>
      <c r="E54" s="11">
        <v>-5045561220</v>
      </c>
      <c r="G54" s="11">
        <v>0</v>
      </c>
      <c r="I54" s="11">
        <v>-5045561220</v>
      </c>
      <c r="K54" s="12">
        <v>1.9472453898779649E-2</v>
      </c>
      <c r="M54" s="11">
        <v>5208577000</v>
      </c>
      <c r="O54" s="11">
        <v>7887806893</v>
      </c>
      <c r="Q54" s="11">
        <v>0</v>
      </c>
      <c r="S54" s="11">
        <v>13096383893</v>
      </c>
      <c r="U54" s="12">
        <v>1.7947942808236781E-2</v>
      </c>
    </row>
    <row r="55" spans="1:21" ht="37.5" x14ac:dyDescent="0.45">
      <c r="A55" s="8" t="s">
        <v>64</v>
      </c>
      <c r="C55" s="11">
        <v>0</v>
      </c>
      <c r="E55" s="11">
        <v>402670</v>
      </c>
      <c r="G55" s="11">
        <v>0</v>
      </c>
      <c r="I55" s="11">
        <v>402670</v>
      </c>
      <c r="K55" s="12">
        <v>-1.5540338665084321E-6</v>
      </c>
      <c r="M55" s="11">
        <v>0</v>
      </c>
      <c r="O55" s="11">
        <v>469636</v>
      </c>
      <c r="Q55" s="11">
        <v>0</v>
      </c>
      <c r="S55" s="11">
        <v>469636</v>
      </c>
      <c r="U55" s="12">
        <v>6.4361278178431975E-7</v>
      </c>
    </row>
    <row r="56" spans="1:21" ht="18.75" x14ac:dyDescent="0.45">
      <c r="A56" s="8" t="s">
        <v>65</v>
      </c>
      <c r="C56" s="11">
        <v>0</v>
      </c>
      <c r="E56" s="11">
        <v>5484278</v>
      </c>
      <c r="G56" s="11">
        <v>0</v>
      </c>
      <c r="I56" s="11">
        <v>5484278</v>
      </c>
      <c r="K56" s="12">
        <v>-2.1165603956955151E-5</v>
      </c>
      <c r="M56" s="11">
        <v>0</v>
      </c>
      <c r="O56" s="11">
        <v>5484278</v>
      </c>
      <c r="Q56" s="11">
        <v>0</v>
      </c>
      <c r="S56" s="11">
        <v>5484278</v>
      </c>
      <c r="U56" s="12">
        <v>7.5159302516386002E-6</v>
      </c>
    </row>
    <row r="57" spans="1:21" ht="18.75" x14ac:dyDescent="0.45">
      <c r="A57" s="8" t="s">
        <v>66</v>
      </c>
      <c r="C57" s="11">
        <v>0</v>
      </c>
      <c r="E57" s="11">
        <v>-1277754787</v>
      </c>
      <c r="G57" s="11">
        <v>-3356816341</v>
      </c>
      <c r="I57" s="11">
        <v>-4634571128</v>
      </c>
      <c r="K57" s="12">
        <v>1.7886310104189992E-2</v>
      </c>
      <c r="M57" s="11">
        <v>10001494860</v>
      </c>
      <c r="O57" s="11">
        <v>-6488675834</v>
      </c>
      <c r="Q57" s="11">
        <v>-13823614225</v>
      </c>
      <c r="S57" s="11">
        <v>-10310795199</v>
      </c>
      <c r="U57" s="12">
        <v>-1.4130432037656395E-2</v>
      </c>
    </row>
    <row r="58" spans="1:21" ht="18.75" x14ac:dyDescent="0.45">
      <c r="A58" s="8" t="s">
        <v>67</v>
      </c>
      <c r="C58" s="11">
        <v>0</v>
      </c>
      <c r="E58" s="11">
        <v>3674018642</v>
      </c>
      <c r="G58" s="11">
        <v>0</v>
      </c>
      <c r="I58" s="11">
        <v>3674018642</v>
      </c>
      <c r="K58" s="12">
        <v>-1.4179227148412642E-2</v>
      </c>
      <c r="M58" s="11">
        <v>528859188</v>
      </c>
      <c r="O58" s="11">
        <v>10587388425</v>
      </c>
      <c r="Q58" s="11">
        <v>57502122</v>
      </c>
      <c r="S58" s="11">
        <v>11173749735</v>
      </c>
      <c r="U58" s="12">
        <v>1.5313068312278352E-2</v>
      </c>
    </row>
    <row r="59" spans="1:21" ht="18.75" x14ac:dyDescent="0.45">
      <c r="A59" s="8" t="s">
        <v>68</v>
      </c>
      <c r="C59" s="11">
        <v>0</v>
      </c>
      <c r="E59" s="11">
        <v>-1330214648</v>
      </c>
      <c r="G59" s="11">
        <v>0</v>
      </c>
      <c r="I59" s="11">
        <v>-1330214648</v>
      </c>
      <c r="K59" s="12">
        <v>5.1337288914435958E-3</v>
      </c>
      <c r="M59" s="11">
        <v>0</v>
      </c>
      <c r="O59" s="11">
        <v>-1330214648</v>
      </c>
      <c r="Q59" s="11">
        <v>0</v>
      </c>
      <c r="S59" s="11">
        <v>-1330214648</v>
      </c>
      <c r="U59" s="12">
        <v>-1.8229930200613447E-3</v>
      </c>
    </row>
    <row r="60" spans="1:21" ht="18.75" x14ac:dyDescent="0.45">
      <c r="A60" s="8" t="s">
        <v>69</v>
      </c>
      <c r="C60" s="11">
        <v>0</v>
      </c>
      <c r="E60" s="11">
        <v>-8774333034</v>
      </c>
      <c r="G60" s="11">
        <v>0</v>
      </c>
      <c r="I60" s="11">
        <v>-8774333034</v>
      </c>
      <c r="K60" s="12">
        <v>3.3862991260485462E-2</v>
      </c>
      <c r="M60" s="11">
        <v>10826857756</v>
      </c>
      <c r="O60" s="11">
        <v>18321089509</v>
      </c>
      <c r="Q60" s="11">
        <v>218438414</v>
      </c>
      <c r="S60" s="11">
        <v>29366385679</v>
      </c>
      <c r="U60" s="12">
        <v>4.0245171106585521E-2</v>
      </c>
    </row>
    <row r="61" spans="1:21" ht="18.75" x14ac:dyDescent="0.45">
      <c r="A61" s="8" t="s">
        <v>70</v>
      </c>
      <c r="C61" s="11">
        <v>0</v>
      </c>
      <c r="E61" s="11">
        <v>-408390294</v>
      </c>
      <c r="G61" s="11">
        <v>0</v>
      </c>
      <c r="I61" s="11">
        <v>-408390294</v>
      </c>
      <c r="K61" s="12">
        <v>1.5761103326032118E-3</v>
      </c>
      <c r="M61" s="11">
        <v>875213400</v>
      </c>
      <c r="O61" s="11">
        <v>274091680</v>
      </c>
      <c r="Q61" s="11">
        <v>-61872574</v>
      </c>
      <c r="S61" s="11">
        <v>1087432506</v>
      </c>
      <c r="U61" s="12">
        <v>1.4902721686356113E-3</v>
      </c>
    </row>
    <row r="62" spans="1:21" ht="18.75" x14ac:dyDescent="0.45">
      <c r="A62" s="8" t="s">
        <v>71</v>
      </c>
      <c r="C62" s="11">
        <v>0</v>
      </c>
      <c r="E62" s="11">
        <v>-6406861617</v>
      </c>
      <c r="G62" s="11">
        <v>0</v>
      </c>
      <c r="I62" s="11">
        <v>-6406861617</v>
      </c>
      <c r="K62" s="12">
        <v>2.4726152757471316E-2</v>
      </c>
      <c r="M62" s="11">
        <v>4309749270</v>
      </c>
      <c r="O62" s="11">
        <v>-9610292426</v>
      </c>
      <c r="Q62" s="11">
        <v>0</v>
      </c>
      <c r="S62" s="11">
        <v>-5300543156</v>
      </c>
      <c r="U62" s="12">
        <v>-7.2641307855466734E-3</v>
      </c>
    </row>
    <row r="63" spans="1:21" ht="18.75" x14ac:dyDescent="0.45">
      <c r="A63" s="8" t="s">
        <v>72</v>
      </c>
      <c r="C63" s="11">
        <v>0</v>
      </c>
      <c r="E63" s="11">
        <v>-415015875</v>
      </c>
      <c r="G63" s="11">
        <v>0</v>
      </c>
      <c r="I63" s="11">
        <v>-415015875</v>
      </c>
      <c r="K63" s="12">
        <v>1.6016805942549236E-3</v>
      </c>
      <c r="M63" s="11">
        <v>0</v>
      </c>
      <c r="O63" s="11">
        <v>513469800</v>
      </c>
      <c r="Q63" s="11">
        <v>1434415750</v>
      </c>
      <c r="S63" s="11">
        <v>1947885550</v>
      </c>
      <c r="U63" s="12">
        <v>2.6694802728772487E-3</v>
      </c>
    </row>
    <row r="64" spans="1:21" ht="18.75" x14ac:dyDescent="0.45">
      <c r="A64" s="8" t="s">
        <v>73</v>
      </c>
      <c r="C64" s="11">
        <v>0</v>
      </c>
      <c r="E64" s="11">
        <v>-29489487300</v>
      </c>
      <c r="G64" s="11">
        <v>0</v>
      </c>
      <c r="I64" s="11">
        <v>-29489487300</v>
      </c>
      <c r="K64" s="12">
        <v>0.11380947666866242</v>
      </c>
      <c r="M64" s="11">
        <v>21199709760</v>
      </c>
      <c r="O64" s="11">
        <v>59713376620</v>
      </c>
      <c r="Q64" s="11">
        <v>26875517925</v>
      </c>
      <c r="S64" s="11">
        <v>107788604305</v>
      </c>
      <c r="U64" s="12">
        <v>0.14771892159329855</v>
      </c>
    </row>
    <row r="65" spans="1:21" ht="18.75" x14ac:dyDescent="0.45">
      <c r="A65" s="8" t="s">
        <v>74</v>
      </c>
      <c r="C65" s="11">
        <v>0</v>
      </c>
      <c r="E65" s="11">
        <v>-6977208504</v>
      </c>
      <c r="G65" s="11">
        <v>0</v>
      </c>
      <c r="I65" s="11">
        <v>-6977208504</v>
      </c>
      <c r="K65" s="12">
        <v>2.6927306004685306E-2</v>
      </c>
      <c r="M65" s="11">
        <v>3630960900</v>
      </c>
      <c r="O65" s="11">
        <v>1705192212</v>
      </c>
      <c r="Q65" s="11">
        <v>-166206837</v>
      </c>
      <c r="S65" s="11">
        <v>5169946275</v>
      </c>
      <c r="U65" s="12">
        <v>7.0851542550576015E-3</v>
      </c>
    </row>
    <row r="66" spans="1:21" ht="18.75" x14ac:dyDescent="0.45">
      <c r="A66" s="8" t="s">
        <v>75</v>
      </c>
      <c r="C66" s="11">
        <v>0</v>
      </c>
      <c r="E66" s="11">
        <v>-2142217061</v>
      </c>
      <c r="G66" s="11">
        <v>0</v>
      </c>
      <c r="I66" s="11">
        <v>-2142217061</v>
      </c>
      <c r="K66" s="12">
        <v>8.2675090327219789E-3</v>
      </c>
      <c r="M66" s="11">
        <v>981513694</v>
      </c>
      <c r="O66" s="11">
        <v>3413333854</v>
      </c>
      <c r="Q66" s="11">
        <v>-40223715</v>
      </c>
      <c r="S66" s="11">
        <v>4354623833</v>
      </c>
      <c r="U66" s="12">
        <v>5.9677953963951378E-3</v>
      </c>
    </row>
    <row r="67" spans="1:21" ht="18.75" x14ac:dyDescent="0.45">
      <c r="A67" s="8" t="s">
        <v>76</v>
      </c>
      <c r="C67" s="11">
        <v>0</v>
      </c>
      <c r="E67" s="11">
        <v>3384794475</v>
      </c>
      <c r="G67" s="11">
        <v>0</v>
      </c>
      <c r="I67" s="11">
        <v>3384794475</v>
      </c>
      <c r="K67" s="12">
        <v>-1.3063017471678118E-2</v>
      </c>
      <c r="M67" s="11">
        <v>0</v>
      </c>
      <c r="O67" s="11">
        <v>15827556331</v>
      </c>
      <c r="Q67" s="11">
        <v>0</v>
      </c>
      <c r="S67" s="11">
        <v>15827556331</v>
      </c>
      <c r="U67" s="12">
        <v>2.1690878806230638E-2</v>
      </c>
    </row>
    <row r="68" spans="1:21" ht="18.75" x14ac:dyDescent="0.45">
      <c r="A68" s="8" t="s">
        <v>77</v>
      </c>
      <c r="C68" s="11">
        <v>0</v>
      </c>
      <c r="E68" s="11">
        <v>-2908357484</v>
      </c>
      <c r="G68" s="11">
        <v>0</v>
      </c>
      <c r="I68" s="11">
        <v>-2908357484</v>
      </c>
      <c r="K68" s="12">
        <v>1.1224292909949227E-2</v>
      </c>
      <c r="M68" s="11">
        <v>3406923000</v>
      </c>
      <c r="O68" s="11">
        <v>15286808775</v>
      </c>
      <c r="Q68" s="11">
        <v>0</v>
      </c>
      <c r="S68" s="11">
        <v>18693731775</v>
      </c>
      <c r="U68" s="12">
        <v>2.5618829709898046E-2</v>
      </c>
    </row>
    <row r="69" spans="1:21" ht="18.75" x14ac:dyDescent="0.45">
      <c r="A69" s="8" t="s">
        <v>78</v>
      </c>
      <c r="C69" s="11">
        <v>0</v>
      </c>
      <c r="E69" s="11">
        <v>-2510591502</v>
      </c>
      <c r="G69" s="11">
        <v>0</v>
      </c>
      <c r="I69" s="11">
        <v>-2510591502</v>
      </c>
      <c r="K69" s="12">
        <v>9.6891852362387849E-3</v>
      </c>
      <c r="M69" s="11">
        <v>3679110568</v>
      </c>
      <c r="O69" s="11">
        <v>502118301</v>
      </c>
      <c r="Q69" s="11">
        <v>0</v>
      </c>
      <c r="S69" s="11">
        <v>4181228869</v>
      </c>
      <c r="U69" s="12">
        <v>5.7301662216141759E-3</v>
      </c>
    </row>
    <row r="70" spans="1:21" ht="37.5" x14ac:dyDescent="0.45">
      <c r="A70" s="8" t="s">
        <v>79</v>
      </c>
      <c r="C70" s="11">
        <v>0</v>
      </c>
      <c r="E70" s="11">
        <v>-4418529570</v>
      </c>
      <c r="G70" s="11">
        <v>2781635360</v>
      </c>
      <c r="I70" s="11">
        <v>-1636894210</v>
      </c>
      <c r="K70" s="12">
        <v>6.317304587457633E-3</v>
      </c>
      <c r="M70" s="11">
        <v>0</v>
      </c>
      <c r="O70" s="11">
        <v>1426439070</v>
      </c>
      <c r="Q70" s="11">
        <v>2781635360</v>
      </c>
      <c r="S70" s="11">
        <v>4208074430</v>
      </c>
      <c r="U70" s="12">
        <v>5.7669567278653376E-3</v>
      </c>
    </row>
    <row r="71" spans="1:21" ht="18.75" x14ac:dyDescent="0.45">
      <c r="A71" s="8" t="s">
        <v>80</v>
      </c>
      <c r="C71" s="11">
        <v>2898000000</v>
      </c>
      <c r="E71" s="11">
        <v>-5397253929</v>
      </c>
      <c r="G71" s="11">
        <v>0</v>
      </c>
      <c r="I71" s="11">
        <v>-2499253929</v>
      </c>
      <c r="K71" s="12">
        <v>9.6454298722781929E-3</v>
      </c>
      <c r="M71" s="11">
        <v>2898000000</v>
      </c>
      <c r="O71" s="11">
        <v>-7922009227</v>
      </c>
      <c r="Q71" s="11">
        <v>-1722026580</v>
      </c>
      <c r="S71" s="11">
        <v>-6746035807</v>
      </c>
      <c r="U71" s="12">
        <v>-9.2451065756456036E-3</v>
      </c>
    </row>
    <row r="72" spans="1:21" ht="18.75" x14ac:dyDescent="0.45">
      <c r="A72" s="8" t="s">
        <v>81</v>
      </c>
      <c r="C72" s="11">
        <v>0</v>
      </c>
      <c r="E72" s="11">
        <v>-12512969616</v>
      </c>
      <c r="G72" s="11">
        <v>0</v>
      </c>
      <c r="I72" s="11">
        <v>-12512969616</v>
      </c>
      <c r="K72" s="12">
        <v>4.8291599954938307E-2</v>
      </c>
      <c r="M72" s="11">
        <v>9667551000</v>
      </c>
      <c r="O72" s="11">
        <v>22366033065</v>
      </c>
      <c r="Q72" s="11">
        <v>491160882</v>
      </c>
      <c r="S72" s="11">
        <v>32524744947</v>
      </c>
      <c r="U72" s="12">
        <v>4.4573545409985961E-2</v>
      </c>
    </row>
    <row r="73" spans="1:21" ht="18.75" x14ac:dyDescent="0.45">
      <c r="A73" s="8" t="s">
        <v>82</v>
      </c>
      <c r="C73" s="11">
        <v>0</v>
      </c>
      <c r="E73" s="11">
        <v>-9083165633</v>
      </c>
      <c r="G73" s="11">
        <v>0</v>
      </c>
      <c r="I73" s="11">
        <v>-9083165633</v>
      </c>
      <c r="K73" s="12">
        <v>3.505487622317903E-2</v>
      </c>
      <c r="M73" s="11">
        <v>1174095040</v>
      </c>
      <c r="O73" s="11">
        <v>23615709155</v>
      </c>
      <c r="Q73" s="11">
        <v>16948667883</v>
      </c>
      <c r="S73" s="11">
        <v>41738472078</v>
      </c>
      <c r="U73" s="12">
        <v>5.720050022048722E-2</v>
      </c>
    </row>
    <row r="74" spans="1:21" ht="18.75" x14ac:dyDescent="0.45">
      <c r="A74" s="8" t="s">
        <v>83</v>
      </c>
      <c r="C74" s="11">
        <v>0</v>
      </c>
      <c r="E74" s="11">
        <v>-357701608</v>
      </c>
      <c r="G74" s="11">
        <v>0</v>
      </c>
      <c r="I74" s="11">
        <v>-357701608</v>
      </c>
      <c r="K74" s="12">
        <v>1.380486286379724E-3</v>
      </c>
      <c r="M74" s="11">
        <v>8362400878</v>
      </c>
      <c r="O74" s="11">
        <v>-5720994869</v>
      </c>
      <c r="Q74" s="11">
        <v>-4667941640</v>
      </c>
      <c r="S74" s="11">
        <v>-2026535631</v>
      </c>
      <c r="U74" s="12">
        <v>-2.7772662974153424E-3</v>
      </c>
    </row>
    <row r="75" spans="1:21" ht="18.75" x14ac:dyDescent="0.45">
      <c r="A75" s="8" t="s">
        <v>84</v>
      </c>
      <c r="C75" s="11">
        <v>0</v>
      </c>
      <c r="E75" s="11">
        <v>-120102155</v>
      </c>
      <c r="G75" s="11">
        <v>0</v>
      </c>
      <c r="I75" s="11">
        <v>-120102155</v>
      </c>
      <c r="K75" s="12">
        <v>4.6351309089488914E-4</v>
      </c>
      <c r="M75" s="11">
        <v>1665233700</v>
      </c>
      <c r="O75" s="11">
        <v>118335946</v>
      </c>
      <c r="Q75" s="11">
        <v>-297312197</v>
      </c>
      <c r="S75" s="11">
        <v>1486257449</v>
      </c>
      <c r="U75" s="12">
        <v>2.0368419184188537E-3</v>
      </c>
    </row>
    <row r="76" spans="1:21" ht="18.75" x14ac:dyDescent="0.45">
      <c r="A76" s="8" t="s">
        <v>85</v>
      </c>
      <c r="C76" s="11">
        <v>0</v>
      </c>
      <c r="E76" s="11">
        <v>1811656125</v>
      </c>
      <c r="G76" s="11">
        <v>0</v>
      </c>
      <c r="I76" s="11">
        <v>1811656125</v>
      </c>
      <c r="K76" s="12">
        <v>-6.9917673845020321E-3</v>
      </c>
      <c r="M76" s="11">
        <v>0</v>
      </c>
      <c r="O76" s="11">
        <v>2918849175</v>
      </c>
      <c r="Q76" s="11">
        <v>0</v>
      </c>
      <c r="S76" s="11">
        <v>2918849175</v>
      </c>
      <c r="U76" s="12">
        <v>4.0001376324017256E-3</v>
      </c>
    </row>
    <row r="77" spans="1:21" ht="18.75" x14ac:dyDescent="0.45">
      <c r="A77" s="8" t="s">
        <v>86</v>
      </c>
      <c r="C77" s="11">
        <v>0</v>
      </c>
      <c r="E77" s="11">
        <v>517880</v>
      </c>
      <c r="G77" s="11">
        <v>0</v>
      </c>
      <c r="I77" s="11">
        <v>517880</v>
      </c>
      <c r="K77" s="12">
        <v>-1.9986665477621546E-6</v>
      </c>
      <c r="M77" s="11">
        <v>0</v>
      </c>
      <c r="O77" s="11">
        <v>517880</v>
      </c>
      <c r="Q77" s="11">
        <v>0</v>
      </c>
      <c r="S77" s="11">
        <v>517880</v>
      </c>
      <c r="U77" s="12">
        <v>7.0972878448514063E-7</v>
      </c>
    </row>
    <row r="78" spans="1:21" ht="18.75" x14ac:dyDescent="0.45">
      <c r="A78" s="8" t="s">
        <v>87</v>
      </c>
      <c r="C78" s="11">
        <v>0</v>
      </c>
      <c r="E78" s="11">
        <v>-922631176</v>
      </c>
      <c r="G78" s="11">
        <v>0</v>
      </c>
      <c r="I78" s="11">
        <v>-922631176</v>
      </c>
      <c r="K78" s="12">
        <v>3.5607323460910959E-3</v>
      </c>
      <c r="M78" s="11">
        <v>0</v>
      </c>
      <c r="O78" s="11">
        <v>-922631176</v>
      </c>
      <c r="Q78" s="11">
        <v>283538138</v>
      </c>
      <c r="S78" s="11">
        <v>-639093038</v>
      </c>
      <c r="U78" s="12">
        <v>-8.7584522482554987E-4</v>
      </c>
    </row>
    <row r="79" spans="1:21" ht="18.75" x14ac:dyDescent="0.45">
      <c r="A79" s="8" t="s">
        <v>88</v>
      </c>
      <c r="C79" s="11">
        <v>0</v>
      </c>
      <c r="E79" s="11">
        <v>-1044504317</v>
      </c>
      <c r="G79" s="11">
        <v>0</v>
      </c>
      <c r="I79" s="11">
        <v>-1044504317</v>
      </c>
      <c r="K79" s="12">
        <v>4.0310802451939774E-3</v>
      </c>
      <c r="M79" s="11">
        <v>0</v>
      </c>
      <c r="O79" s="11">
        <v>-1044504317</v>
      </c>
      <c r="Q79" s="11">
        <v>0</v>
      </c>
      <c r="S79" s="11">
        <v>-1044504317</v>
      </c>
      <c r="U79" s="12">
        <v>-1.4314412205412297E-3</v>
      </c>
    </row>
    <row r="80" spans="1:21" ht="18.75" x14ac:dyDescent="0.45">
      <c r="A80" s="8" t="s">
        <v>89</v>
      </c>
      <c r="C80" s="11">
        <v>0</v>
      </c>
      <c r="E80" s="11">
        <v>-5411857666</v>
      </c>
      <c r="G80" s="11">
        <v>0</v>
      </c>
      <c r="I80" s="11">
        <v>-5411857666</v>
      </c>
      <c r="K80" s="12">
        <v>2.0886110446984574E-2</v>
      </c>
      <c r="M80" s="11">
        <v>10223412400</v>
      </c>
      <c r="O80" s="11">
        <v>-16510752203</v>
      </c>
      <c r="Q80" s="11">
        <v>-8073856800</v>
      </c>
      <c r="S80" s="11">
        <v>-14361196603</v>
      </c>
      <c r="U80" s="12">
        <v>-1.968130572487704E-2</v>
      </c>
    </row>
    <row r="81" spans="1:21" ht="18.75" x14ac:dyDescent="0.45">
      <c r="A81" s="8" t="s">
        <v>90</v>
      </c>
      <c r="C81" s="11">
        <v>0</v>
      </c>
      <c r="E81" s="11">
        <v>-107755020</v>
      </c>
      <c r="G81" s="11">
        <v>0</v>
      </c>
      <c r="I81" s="11">
        <v>-107755020</v>
      </c>
      <c r="K81" s="12">
        <v>4.1586150040055981E-4</v>
      </c>
      <c r="M81" s="11">
        <v>0</v>
      </c>
      <c r="O81" s="11">
        <v>-163271674</v>
      </c>
      <c r="Q81" s="11">
        <v>0</v>
      </c>
      <c r="S81" s="11">
        <v>-163271674</v>
      </c>
      <c r="U81" s="12">
        <v>-2.2375570929341574E-4</v>
      </c>
    </row>
    <row r="82" spans="1:21" ht="18.75" x14ac:dyDescent="0.45">
      <c r="A82" s="8" t="s">
        <v>91</v>
      </c>
      <c r="C82" s="11">
        <v>0</v>
      </c>
      <c r="E82" s="11">
        <v>-531810268</v>
      </c>
      <c r="G82" s="11">
        <v>0</v>
      </c>
      <c r="I82" s="11">
        <v>-531810268</v>
      </c>
      <c r="K82" s="12">
        <v>2.0524279609330852E-3</v>
      </c>
      <c r="M82" s="11">
        <v>3061282080</v>
      </c>
      <c r="O82" s="11">
        <v>-1486125474</v>
      </c>
      <c r="Q82" s="11">
        <v>-9399622436</v>
      </c>
      <c r="S82" s="11">
        <v>-7824465830</v>
      </c>
      <c r="U82" s="12">
        <v>-1.0723041289046531E-2</v>
      </c>
    </row>
    <row r="83" spans="1:21" ht="18.75" x14ac:dyDescent="0.45">
      <c r="A83" s="8" t="s">
        <v>92</v>
      </c>
      <c r="C83" s="11">
        <v>0</v>
      </c>
      <c r="E83" s="11">
        <v>-502674345</v>
      </c>
      <c r="G83" s="11">
        <v>0</v>
      </c>
      <c r="I83" s="11">
        <v>-502674345</v>
      </c>
      <c r="K83" s="12">
        <v>1.9399830033400638E-3</v>
      </c>
      <c r="M83" s="11">
        <v>0</v>
      </c>
      <c r="O83" s="11">
        <v>4382185219</v>
      </c>
      <c r="Q83" s="11">
        <v>-1125294420</v>
      </c>
      <c r="S83" s="11">
        <v>3256890799</v>
      </c>
      <c r="U83" s="12">
        <v>4.4634068664074853E-3</v>
      </c>
    </row>
    <row r="84" spans="1:21" ht="18.75" x14ac:dyDescent="0.45">
      <c r="A84" s="8" t="s">
        <v>263</v>
      </c>
      <c r="C84" s="11">
        <v>0</v>
      </c>
      <c r="E84" s="11">
        <v>-18033545243</v>
      </c>
      <c r="G84" s="11">
        <v>0</v>
      </c>
      <c r="I84" s="11">
        <v>-18033545243</v>
      </c>
      <c r="K84" s="12">
        <v>6.9597288203327862E-2</v>
      </c>
      <c r="M84" s="11">
        <v>10880392370</v>
      </c>
      <c r="O84" s="11">
        <v>13847115474</v>
      </c>
      <c r="Q84" s="11">
        <v>2204834682</v>
      </c>
      <c r="S84" s="11">
        <v>26932342526</v>
      </c>
      <c r="U84" s="12">
        <v>3.6909436016674603E-2</v>
      </c>
    </row>
    <row r="85" spans="1:21" ht="18.75" x14ac:dyDescent="0.45">
      <c r="A85" s="8" t="s">
        <v>264</v>
      </c>
      <c r="C85" s="11">
        <v>0</v>
      </c>
      <c r="E85" s="11">
        <v>1171666607</v>
      </c>
      <c r="G85" s="11">
        <v>0</v>
      </c>
      <c r="I85" s="11">
        <v>1171666607</v>
      </c>
      <c r="K85" s="12">
        <v>-4.5218406822833228E-3</v>
      </c>
      <c r="M85" s="11">
        <v>0</v>
      </c>
      <c r="O85" s="11">
        <v>1171666607</v>
      </c>
      <c r="Q85" s="11">
        <v>0</v>
      </c>
      <c r="S85" s="11">
        <v>1171666607</v>
      </c>
      <c r="U85" s="12">
        <v>1.6057108148759152E-3</v>
      </c>
    </row>
    <row r="86" spans="1:21" ht="18.75" x14ac:dyDescent="0.45">
      <c r="A86" s="8" t="s">
        <v>95</v>
      </c>
      <c r="C86" s="11">
        <v>0</v>
      </c>
      <c r="E86" s="11">
        <v>-30994036862</v>
      </c>
      <c r="G86" s="11">
        <v>24640627712</v>
      </c>
      <c r="I86" s="11">
        <v>-6353409150</v>
      </c>
      <c r="K86" s="12">
        <v>2.4519862385786254E-2</v>
      </c>
      <c r="M86" s="11">
        <v>15484422500</v>
      </c>
      <c r="O86" s="11">
        <v>18174179051</v>
      </c>
      <c r="Q86" s="11">
        <v>30296370799</v>
      </c>
      <c r="S86" s="11">
        <v>63954972350</v>
      </c>
      <c r="U86" s="12">
        <v>8.7647108959114622E-2</v>
      </c>
    </row>
    <row r="87" spans="1:21" ht="18.75" x14ac:dyDescent="0.45">
      <c r="A87" s="8" t="s">
        <v>96</v>
      </c>
      <c r="C87" s="11">
        <v>0</v>
      </c>
      <c r="E87" s="11">
        <v>1185404625</v>
      </c>
      <c r="G87" s="11">
        <v>0</v>
      </c>
      <c r="I87" s="11">
        <v>1185404625</v>
      </c>
      <c r="K87" s="12">
        <v>-4.5748601404766382E-3</v>
      </c>
      <c r="M87" s="11">
        <v>18000000</v>
      </c>
      <c r="O87" s="11">
        <v>5269906373</v>
      </c>
      <c r="Q87" s="11">
        <v>0</v>
      </c>
      <c r="S87" s="11">
        <v>5287906373</v>
      </c>
      <c r="U87" s="12">
        <v>7.2468127029051491E-3</v>
      </c>
    </row>
    <row r="88" spans="1:21" ht="18.75" x14ac:dyDescent="0.45">
      <c r="A88" s="8" t="s">
        <v>97</v>
      </c>
      <c r="C88" s="11">
        <v>0</v>
      </c>
      <c r="E88" s="11">
        <v>-652849385</v>
      </c>
      <c r="G88" s="11">
        <v>0</v>
      </c>
      <c r="I88" s="11">
        <v>-652849385</v>
      </c>
      <c r="K88" s="12">
        <v>2.5195570914624925E-3</v>
      </c>
      <c r="M88" s="11">
        <v>0</v>
      </c>
      <c r="O88" s="11">
        <v>-652849385</v>
      </c>
      <c r="Q88" s="11">
        <v>0</v>
      </c>
      <c r="S88" s="11">
        <v>-652849385</v>
      </c>
      <c r="U88" s="12">
        <v>-8.9469761425025414E-4</v>
      </c>
    </row>
    <row r="89" spans="1:21" ht="37.5" x14ac:dyDescent="0.45">
      <c r="A89" s="8" t="s">
        <v>98</v>
      </c>
      <c r="C89" s="11">
        <v>0</v>
      </c>
      <c r="E89" s="11">
        <v>-3929280840</v>
      </c>
      <c r="G89" s="11">
        <v>0</v>
      </c>
      <c r="I89" s="11">
        <v>-3929280840</v>
      </c>
      <c r="K89" s="12">
        <v>1.5164366593942184E-2</v>
      </c>
      <c r="M89" s="11">
        <v>0</v>
      </c>
      <c r="O89" s="11">
        <v>8821058907</v>
      </c>
      <c r="Q89" s="11">
        <v>-6772481868</v>
      </c>
      <c r="S89" s="11">
        <v>2048577039</v>
      </c>
      <c r="U89" s="12">
        <v>2.8074729509029862E-3</v>
      </c>
    </row>
    <row r="90" spans="1:21" ht="18.75" x14ac:dyDescent="0.45">
      <c r="A90" s="8" t="s">
        <v>238</v>
      </c>
      <c r="L90" s="7"/>
      <c r="M90" s="11">
        <v>0</v>
      </c>
      <c r="O90" s="11">
        <v>0</v>
      </c>
      <c r="Q90" s="11">
        <v>-208684776</v>
      </c>
      <c r="S90" s="11">
        <v>-208684776</v>
      </c>
      <c r="U90" s="12">
        <v>-2.8599210707313247E-4</v>
      </c>
    </row>
    <row r="91" spans="1:21" ht="18.75" x14ac:dyDescent="0.45">
      <c r="A91" s="8" t="s">
        <v>265</v>
      </c>
      <c r="L91" s="7"/>
      <c r="M91" s="11">
        <v>799994060</v>
      </c>
      <c r="O91" s="11">
        <v>0</v>
      </c>
      <c r="Q91" s="11">
        <v>-2757485651</v>
      </c>
      <c r="S91" s="11">
        <v>-1957491591</v>
      </c>
      <c r="U91" s="12">
        <v>-2.6826448743344287E-3</v>
      </c>
    </row>
    <row r="92" spans="1:21" ht="18.75" x14ac:dyDescent="0.45">
      <c r="A92" s="8" t="s">
        <v>239</v>
      </c>
      <c r="L92" s="7"/>
      <c r="M92" s="11">
        <v>0</v>
      </c>
      <c r="O92" s="11">
        <v>0</v>
      </c>
      <c r="Q92" s="11">
        <v>3733687879</v>
      </c>
      <c r="S92" s="11">
        <v>3733687879</v>
      </c>
      <c r="U92" s="12">
        <v>5.1168335521927337E-3</v>
      </c>
    </row>
    <row r="93" spans="1:21" ht="18.75" x14ac:dyDescent="0.45">
      <c r="A93" s="8" t="s">
        <v>179</v>
      </c>
      <c r="L93" s="7"/>
      <c r="M93" s="11">
        <v>1500000000</v>
      </c>
      <c r="O93" s="11">
        <v>0</v>
      </c>
      <c r="Q93" s="11">
        <v>-3192565748</v>
      </c>
      <c r="S93" s="11">
        <v>-1692565748</v>
      </c>
      <c r="U93" s="12">
        <v>-2.3195771819518474E-3</v>
      </c>
    </row>
    <row r="94" spans="1:21" ht="18.75" x14ac:dyDescent="0.45">
      <c r="A94" s="8" t="s">
        <v>240</v>
      </c>
      <c r="L94" s="7"/>
      <c r="M94" s="11">
        <v>0</v>
      </c>
      <c r="O94" s="11">
        <v>0</v>
      </c>
      <c r="Q94" s="11">
        <v>6230334002</v>
      </c>
      <c r="S94" s="11">
        <v>6230334002</v>
      </c>
      <c r="U94" s="12">
        <v>8.5383628990806787E-3</v>
      </c>
    </row>
    <row r="95" spans="1:21" ht="18.75" x14ac:dyDescent="0.45">
      <c r="A95" s="8" t="s">
        <v>185</v>
      </c>
      <c r="L95" s="7"/>
      <c r="M95" s="11">
        <v>5465313900</v>
      </c>
      <c r="O95" s="11">
        <v>0</v>
      </c>
      <c r="Q95" s="11">
        <v>15812328954</v>
      </c>
      <c r="S95" s="11">
        <v>21277642854</v>
      </c>
      <c r="U95" s="12">
        <v>2.9159951339071521E-2</v>
      </c>
    </row>
    <row r="96" spans="1:21" ht="18.75" x14ac:dyDescent="0.45">
      <c r="A96" s="8" t="s">
        <v>188</v>
      </c>
      <c r="L96" s="7"/>
      <c r="M96" s="11">
        <v>2282247100</v>
      </c>
      <c r="O96" s="11">
        <v>0</v>
      </c>
      <c r="Q96" s="11">
        <v>7345301855</v>
      </c>
      <c r="S96" s="11">
        <v>9627548955</v>
      </c>
      <c r="U96" s="12">
        <v>1.3194077039861234E-2</v>
      </c>
    </row>
    <row r="97" spans="1:21" ht="18.75" x14ac:dyDescent="0.45">
      <c r="A97" s="8" t="s">
        <v>241</v>
      </c>
      <c r="L97" s="7"/>
      <c r="M97" s="11">
        <v>0</v>
      </c>
      <c r="O97" s="11">
        <v>0</v>
      </c>
      <c r="Q97" s="11">
        <v>1367851122</v>
      </c>
      <c r="S97" s="11">
        <v>1367851122</v>
      </c>
      <c r="U97" s="12">
        <v>1.8745719359189307E-3</v>
      </c>
    </row>
    <row r="98" spans="1:21" ht="18.75" x14ac:dyDescent="0.45">
      <c r="A98" s="8" t="s">
        <v>194</v>
      </c>
      <c r="L98" s="7"/>
      <c r="M98" s="11">
        <v>5873257500</v>
      </c>
      <c r="O98" s="11">
        <v>0</v>
      </c>
      <c r="Q98" s="11">
        <v>-6354037387</v>
      </c>
      <c r="S98" s="11">
        <v>-480779887</v>
      </c>
      <c r="U98" s="12">
        <v>-6.5888492470343176E-4</v>
      </c>
    </row>
    <row r="99" spans="1:21" ht="18.75" x14ac:dyDescent="0.45">
      <c r="A99" s="8" t="s">
        <v>196</v>
      </c>
      <c r="L99" s="7"/>
      <c r="M99" s="11">
        <v>1771554000</v>
      </c>
      <c r="O99" s="11">
        <v>0</v>
      </c>
      <c r="Q99" s="11">
        <v>-10529764086</v>
      </c>
      <c r="S99" s="11">
        <v>-8758210086</v>
      </c>
      <c r="U99" s="12">
        <v>-1.2002691354372208E-2</v>
      </c>
    </row>
    <row r="100" spans="1:21" ht="18.75" x14ac:dyDescent="0.45">
      <c r="A100" s="8" t="s">
        <v>198</v>
      </c>
      <c r="L100" s="7"/>
      <c r="M100" s="11">
        <v>2965783190</v>
      </c>
      <c r="O100" s="11">
        <v>0</v>
      </c>
      <c r="Q100" s="11">
        <v>-4421527160</v>
      </c>
      <c r="S100" s="11">
        <v>-1455743970</v>
      </c>
      <c r="U100" s="12">
        <v>-1.995024712963762E-3</v>
      </c>
    </row>
    <row r="101" spans="1:21" ht="37.5" x14ac:dyDescent="0.45">
      <c r="A101" s="8" t="s">
        <v>200</v>
      </c>
      <c r="L101" s="7"/>
      <c r="M101" s="11">
        <v>1266093300</v>
      </c>
      <c r="O101" s="11">
        <v>0</v>
      </c>
      <c r="Q101" s="11">
        <v>-9072394976</v>
      </c>
      <c r="S101" s="11">
        <v>-7806301676</v>
      </c>
      <c r="U101" s="12">
        <v>-1.0698148219339993E-2</v>
      </c>
    </row>
    <row r="102" spans="1:21" ht="18.75" x14ac:dyDescent="0.45">
      <c r="A102" s="8" t="s">
        <v>203</v>
      </c>
      <c r="L102" s="7"/>
      <c r="M102" s="11">
        <v>417127708</v>
      </c>
      <c r="O102" s="11">
        <v>0</v>
      </c>
      <c r="Q102" s="11">
        <v>-11470390849</v>
      </c>
      <c r="S102" s="11">
        <v>-11053263141</v>
      </c>
      <c r="U102" s="12">
        <v>-1.5147947427311998E-2</v>
      </c>
    </row>
    <row r="103" spans="1:21" ht="18.75" x14ac:dyDescent="0.45">
      <c r="A103" s="8" t="s">
        <v>204</v>
      </c>
      <c r="L103" s="7"/>
      <c r="M103" s="11">
        <v>2206833270</v>
      </c>
      <c r="O103" s="11">
        <v>0</v>
      </c>
      <c r="Q103" s="11">
        <v>-3920948435</v>
      </c>
      <c r="S103" s="11">
        <v>-1714115165</v>
      </c>
      <c r="U103" s="12">
        <v>-2.3491095862419793E-3</v>
      </c>
    </row>
    <row r="104" spans="1:21" ht="37.5" x14ac:dyDescent="0.45">
      <c r="A104" s="8" t="s">
        <v>206</v>
      </c>
      <c r="L104" s="7"/>
      <c r="M104" s="11">
        <v>2632423200</v>
      </c>
      <c r="O104" s="11">
        <v>0</v>
      </c>
      <c r="Q104" s="11">
        <v>-13752124697</v>
      </c>
      <c r="S104" s="11">
        <v>-11119701497</v>
      </c>
      <c r="U104" s="12">
        <v>-1.5238997890058332E-2</v>
      </c>
    </row>
    <row r="105" spans="1:21" ht="18.75" x14ac:dyDescent="0.45">
      <c r="A105" s="8" t="s">
        <v>242</v>
      </c>
      <c r="L105" s="7"/>
      <c r="M105" s="11">
        <v>0</v>
      </c>
      <c r="O105" s="11">
        <v>0</v>
      </c>
      <c r="Q105" s="11">
        <v>-1105206315</v>
      </c>
      <c r="S105" s="11">
        <v>-1105206315</v>
      </c>
      <c r="U105" s="12">
        <v>-1.514630289932516E-3</v>
      </c>
    </row>
    <row r="106" spans="1:21" ht="18.75" x14ac:dyDescent="0.45">
      <c r="A106" s="8" t="s">
        <v>208</v>
      </c>
      <c r="L106" s="7"/>
      <c r="M106" s="11">
        <v>1556521750</v>
      </c>
      <c r="O106" s="11">
        <v>0</v>
      </c>
      <c r="Q106" s="11">
        <v>-3386791796</v>
      </c>
      <c r="S106" s="11">
        <v>-1830270046</v>
      </c>
      <c r="U106" s="12">
        <v>-2.508294073969148E-3</v>
      </c>
    </row>
    <row r="107" spans="1:21" ht="18.75" x14ac:dyDescent="0.45">
      <c r="A107" s="8" t="s">
        <v>243</v>
      </c>
      <c r="L107" s="7"/>
      <c r="M107" s="11">
        <v>0</v>
      </c>
      <c r="O107" s="11">
        <v>0</v>
      </c>
      <c r="Q107" s="11">
        <v>-64037815</v>
      </c>
      <c r="S107" s="11">
        <v>-64037815</v>
      </c>
      <c r="U107" s="12">
        <v>-8.776064069095988E-5</v>
      </c>
    </row>
    <row r="108" spans="1:21" ht="18.75" x14ac:dyDescent="0.45">
      <c r="A108" s="8" t="s">
        <v>210</v>
      </c>
      <c r="L108" s="7"/>
      <c r="M108" s="11">
        <v>4561841200</v>
      </c>
      <c r="O108" s="11">
        <v>0</v>
      </c>
      <c r="Q108" s="11">
        <v>-9339500101</v>
      </c>
      <c r="S108" s="11">
        <v>-4777658901</v>
      </c>
      <c r="U108" s="12">
        <v>-6.5475439184586063E-3</v>
      </c>
    </row>
    <row r="109" spans="1:21" ht="18.75" x14ac:dyDescent="0.45">
      <c r="A109" s="8" t="s">
        <v>212</v>
      </c>
      <c r="L109" s="7"/>
      <c r="M109" s="11">
        <v>7215950050</v>
      </c>
      <c r="O109" s="11">
        <v>0</v>
      </c>
      <c r="Q109" s="11">
        <v>-14856523005</v>
      </c>
      <c r="S109" s="11">
        <v>-7640572955</v>
      </c>
      <c r="U109" s="12">
        <v>-1.0471025249328395E-2</v>
      </c>
    </row>
    <row r="110" spans="1:21" ht="18.75" x14ac:dyDescent="0.45">
      <c r="A110" s="8" t="s">
        <v>244</v>
      </c>
      <c r="L110" s="7"/>
      <c r="M110" s="11">
        <v>0</v>
      </c>
      <c r="O110" s="11">
        <v>0</v>
      </c>
      <c r="Q110" s="11">
        <v>2621151</v>
      </c>
      <c r="S110" s="11">
        <v>2621151</v>
      </c>
      <c r="U110" s="12">
        <v>3.5921570888661677E-6</v>
      </c>
    </row>
    <row r="111" spans="1:21" ht="18.75" x14ac:dyDescent="0.45">
      <c r="A111" s="8" t="s">
        <v>214</v>
      </c>
      <c r="L111" s="7"/>
      <c r="M111" s="11">
        <v>500000000</v>
      </c>
      <c r="O111" s="11">
        <v>0</v>
      </c>
      <c r="Q111" s="11">
        <v>-1007345125</v>
      </c>
      <c r="S111" s="11">
        <v>-507345125</v>
      </c>
      <c r="U111" s="12">
        <v>-6.9529126222428309E-4</v>
      </c>
    </row>
    <row r="112" spans="1:21" ht="18.75" x14ac:dyDescent="0.45">
      <c r="A112" s="8" t="s">
        <v>215</v>
      </c>
      <c r="L112" s="7"/>
      <c r="M112" s="11">
        <v>10285969930</v>
      </c>
      <c r="O112" s="11">
        <v>0</v>
      </c>
      <c r="Q112" s="11">
        <v>-25942253320</v>
      </c>
      <c r="S112" s="11">
        <v>-15656283390</v>
      </c>
      <c r="U112" s="12">
        <v>-2.1456157758437469E-2</v>
      </c>
    </row>
    <row r="113" spans="1:21" ht="18.75" x14ac:dyDescent="0.45">
      <c r="A113" s="8" t="s">
        <v>245</v>
      </c>
      <c r="L113" s="7"/>
      <c r="M113" s="11">
        <v>0</v>
      </c>
      <c r="O113" s="11">
        <v>0</v>
      </c>
      <c r="Q113" s="11">
        <v>-1710670216</v>
      </c>
      <c r="S113" s="11">
        <v>-1710670216</v>
      </c>
      <c r="U113" s="12">
        <v>-2.3443884549637231E-3</v>
      </c>
    </row>
    <row r="114" spans="1:21" ht="18.75" x14ac:dyDescent="0.45">
      <c r="A114" s="8" t="s">
        <v>246</v>
      </c>
      <c r="L114" s="7"/>
      <c r="M114" s="11">
        <v>0</v>
      </c>
      <c r="O114" s="11">
        <v>0</v>
      </c>
      <c r="Q114" s="11">
        <v>-218391344</v>
      </c>
      <c r="S114" s="11">
        <v>-218391344</v>
      </c>
      <c r="U114" s="12">
        <v>-2.9929447578434429E-4</v>
      </c>
    </row>
    <row r="115" spans="1:21" ht="18.75" x14ac:dyDescent="0.45">
      <c r="A115" s="8" t="s">
        <v>223</v>
      </c>
      <c r="L115" s="7"/>
      <c r="M115" s="11">
        <v>3029688000</v>
      </c>
      <c r="O115" s="11">
        <v>0</v>
      </c>
      <c r="Q115" s="11">
        <v>-2264786002</v>
      </c>
      <c r="S115" s="11">
        <v>764901998</v>
      </c>
      <c r="U115" s="12">
        <v>1.0482601476998444E-3</v>
      </c>
    </row>
    <row r="116" spans="1:21" ht="18.75" x14ac:dyDescent="0.45">
      <c r="A116" s="8" t="s">
        <v>247</v>
      </c>
      <c r="L116" s="7"/>
      <c r="M116" s="11">
        <v>0</v>
      </c>
      <c r="O116" s="11">
        <v>0</v>
      </c>
      <c r="Q116" s="11">
        <v>438966730</v>
      </c>
      <c r="S116" s="11">
        <v>438966730</v>
      </c>
      <c r="U116" s="12">
        <v>6.0158207251161837E-4</v>
      </c>
    </row>
    <row r="117" spans="1:21" ht="18.75" x14ac:dyDescent="0.45">
      <c r="A117" s="8" t="s">
        <v>225</v>
      </c>
      <c r="L117" s="7"/>
      <c r="M117" s="11">
        <v>1345052250</v>
      </c>
      <c r="O117" s="11">
        <v>0</v>
      </c>
      <c r="Q117" s="11">
        <v>-3111120113</v>
      </c>
      <c r="S117" s="11">
        <v>-1766067863</v>
      </c>
      <c r="U117" s="12">
        <v>-2.420308175108635E-3</v>
      </c>
    </row>
    <row r="118" spans="1:21" ht="18.75" x14ac:dyDescent="0.45">
      <c r="A118" s="8" t="s">
        <v>248</v>
      </c>
      <c r="L118" s="7"/>
      <c r="M118" s="11">
        <v>0</v>
      </c>
      <c r="O118" s="11">
        <v>0</v>
      </c>
      <c r="Q118" s="11">
        <v>-408581103</v>
      </c>
      <c r="S118" s="11">
        <v>-408581103</v>
      </c>
      <c r="U118" s="12">
        <v>-5.599400818641153E-4</v>
      </c>
    </row>
    <row r="119" spans="1:21" ht="18.75" x14ac:dyDescent="0.45">
      <c r="A119" s="8" t="s">
        <v>249</v>
      </c>
      <c r="L119" s="7"/>
      <c r="M119" s="11">
        <v>0</v>
      </c>
      <c r="O119" s="11">
        <v>0</v>
      </c>
      <c r="Q119" s="11">
        <v>30997911074</v>
      </c>
      <c r="S119" s="11">
        <v>30997911074</v>
      </c>
      <c r="U119" s="12">
        <v>4.2481095520445857E-2</v>
      </c>
    </row>
    <row r="120" spans="1:21" ht="18.75" x14ac:dyDescent="0.45">
      <c r="A120" s="8" t="s">
        <v>250</v>
      </c>
      <c r="L120" s="7"/>
      <c r="M120" s="11">
        <v>0</v>
      </c>
      <c r="O120" s="11">
        <v>0</v>
      </c>
      <c r="Q120" s="11">
        <v>-10014921547</v>
      </c>
      <c r="S120" s="11">
        <v>-10014921547</v>
      </c>
      <c r="U120" s="12">
        <v>-1.3724951912154079E-2</v>
      </c>
    </row>
    <row r="121" spans="1:21" ht="18.75" x14ac:dyDescent="0.45">
      <c r="A121" s="13" t="s">
        <v>99</v>
      </c>
      <c r="C121" s="13">
        <f>SUM(C9:$C$120)</f>
        <v>2898000000</v>
      </c>
      <c r="E121" s="13">
        <f>SUM(E9:$E$120)</f>
        <v>-329666046308</v>
      </c>
      <c r="G121" s="13">
        <f>SUM(G9:$G$120)</f>
        <v>67654663792</v>
      </c>
      <c r="I121" s="13">
        <f>SUM(I9:$I$120)</f>
        <v>-259113382516</v>
      </c>
      <c r="K121" s="14">
        <f>SUM(K9:$K$120)</f>
        <v>1.0000024131308958</v>
      </c>
      <c r="M121" s="13">
        <f>SUM(M9:$M$120)</f>
        <v>292979303043</v>
      </c>
      <c r="O121" s="13">
        <f>SUM(O9:$O$120)</f>
        <v>388580243392</v>
      </c>
      <c r="Q121" s="13">
        <f>SUM(Q9:$Q$120)</f>
        <v>44721307035</v>
      </c>
      <c r="S121" s="13">
        <f>SUM(S9:$S$120)</f>
        <v>726280853470</v>
      </c>
      <c r="U121" s="14">
        <f>SUM(U9:$U$120)</f>
        <v>0.99533178985111159</v>
      </c>
    </row>
    <row r="122" spans="1:21" ht="18.75" x14ac:dyDescent="0.45">
      <c r="C122" s="15"/>
      <c r="E122" s="15"/>
      <c r="G122" s="15"/>
      <c r="I122" s="15"/>
      <c r="K122" s="15"/>
      <c r="M122" s="15"/>
      <c r="O122" s="15"/>
      <c r="Q122" s="15"/>
      <c r="S122" s="15"/>
      <c r="U122" s="15"/>
    </row>
  </sheetData>
  <mergeCells count="6">
    <mergeCell ref="A1:U1"/>
    <mergeCell ref="A2:U2"/>
    <mergeCell ref="A3:U3"/>
    <mergeCell ref="A5:U5"/>
    <mergeCell ref="C7:K7"/>
    <mergeCell ref="M7:U7"/>
  </mergeCells>
  <pageMargins left="0.7" right="0.7" top="0.75" bottom="0.75" header="0.3" footer="0.3"/>
  <pageSetup paperSize="9" scale="65" fitToHeight="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Q11"/>
  <sheetViews>
    <sheetView rightToLeft="1" view="pageBreakPreview" zoomScale="60" zoomScaleNormal="100" workbookViewId="0">
      <selection sqref="A1:W1"/>
    </sheetView>
  </sheetViews>
  <sheetFormatPr defaultRowHeight="18" x14ac:dyDescent="0.45"/>
  <cols>
    <col min="1" max="1" width="21.28515625" style="4" customWidth="1"/>
    <col min="2" max="2" width="1.42578125" style="4" customWidth="1"/>
    <col min="3" max="3" width="17" style="4" customWidth="1"/>
    <col min="4" max="4" width="1.42578125" style="4" customWidth="1"/>
    <col min="5" max="5" width="17" style="4" customWidth="1"/>
    <col min="6" max="6" width="1.42578125" style="4" customWidth="1"/>
    <col min="7" max="7" width="17" style="4" customWidth="1"/>
    <col min="8" max="8" width="1.42578125" style="4" customWidth="1"/>
    <col min="9" max="9" width="17" style="4" customWidth="1"/>
    <col min="10" max="10" width="1.42578125" style="4" customWidth="1"/>
    <col min="11" max="11" width="17" style="4" customWidth="1"/>
    <col min="12" max="12" width="1.42578125" style="4" customWidth="1"/>
    <col min="13" max="13" width="17" style="4" customWidth="1"/>
    <col min="14" max="14" width="1.42578125" style="4" customWidth="1"/>
    <col min="15" max="15" width="17" style="4" customWidth="1"/>
    <col min="16" max="16" width="1.42578125" style="4" customWidth="1"/>
    <col min="17" max="17" width="17" style="4" customWidth="1"/>
    <col min="18" max="16384" width="9.140625" style="4"/>
  </cols>
  <sheetData>
    <row r="1" spans="1:17" ht="20.100000000000001" customHeight="1" x14ac:dyDescent="0.45">
      <c r="A1" s="33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</row>
    <row r="2" spans="1:17" ht="20.100000000000001" customHeight="1" x14ac:dyDescent="0.45">
      <c r="A2" s="33" t="s">
        <v>148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</row>
    <row r="3" spans="1:17" ht="20.100000000000001" customHeight="1" x14ac:dyDescent="0.45">
      <c r="A3" s="33" t="s">
        <v>2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</row>
    <row r="5" spans="1:17" ht="21" x14ac:dyDescent="0.45">
      <c r="A5" s="34" t="s">
        <v>266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</row>
    <row r="7" spans="1:17" ht="21" x14ac:dyDescent="0.45">
      <c r="C7" s="27" t="s">
        <v>160</v>
      </c>
      <c r="D7" s="28"/>
      <c r="E7" s="28"/>
      <c r="F7" s="28"/>
      <c r="G7" s="28"/>
      <c r="H7" s="28"/>
      <c r="I7" s="28"/>
      <c r="J7" s="28"/>
      <c r="K7" s="28"/>
      <c r="M7" s="27" t="s">
        <v>7</v>
      </c>
      <c r="N7" s="28"/>
      <c r="O7" s="28"/>
      <c r="P7" s="28"/>
      <c r="Q7" s="28"/>
    </row>
    <row r="8" spans="1:17" ht="21" x14ac:dyDescent="0.45">
      <c r="C8" s="16" t="s">
        <v>267</v>
      </c>
      <c r="E8" s="16" t="s">
        <v>256</v>
      </c>
      <c r="G8" s="16" t="s">
        <v>257</v>
      </c>
      <c r="I8" s="16" t="s">
        <v>99</v>
      </c>
      <c r="K8" s="16" t="s">
        <v>267</v>
      </c>
      <c r="M8" s="16" t="s">
        <v>256</v>
      </c>
      <c r="O8" s="16" t="s">
        <v>257</v>
      </c>
      <c r="Q8" s="16" t="s">
        <v>99</v>
      </c>
    </row>
    <row r="9" spans="1:17" ht="37.5" x14ac:dyDescent="0.45">
      <c r="A9" s="8" t="s">
        <v>231</v>
      </c>
      <c r="J9" s="7"/>
      <c r="K9" s="11">
        <v>2812519762</v>
      </c>
      <c r="M9" s="11">
        <v>0</v>
      </c>
      <c r="O9" s="11">
        <v>-24309249</v>
      </c>
      <c r="Q9" s="11">
        <v>2788210513</v>
      </c>
    </row>
    <row r="10" spans="1:17" ht="18.75" x14ac:dyDescent="0.45">
      <c r="A10" s="13" t="s">
        <v>99</v>
      </c>
      <c r="C10" s="13">
        <f>SUM(C9:$C$9)</f>
        <v>0</v>
      </c>
      <c r="E10" s="13">
        <f>SUM(E9:$E$9)</f>
        <v>0</v>
      </c>
      <c r="G10" s="13">
        <f>SUM(G9:$G$9)</f>
        <v>0</v>
      </c>
      <c r="I10" s="13">
        <f>SUM(I9:$I$9)</f>
        <v>0</v>
      </c>
      <c r="K10" s="13">
        <f>SUM(K9:$K$9)</f>
        <v>2812519762</v>
      </c>
      <c r="M10" s="13">
        <f>SUM(M9:$M$9)</f>
        <v>0</v>
      </c>
      <c r="O10" s="13">
        <f>SUM(O9:$O$9)</f>
        <v>-24309249</v>
      </c>
      <c r="Q10" s="13">
        <f>SUM(Q9:$Q$9)</f>
        <v>2788210513</v>
      </c>
    </row>
    <row r="11" spans="1:17" ht="18.75" x14ac:dyDescent="0.45">
      <c r="C11" s="15"/>
      <c r="E11" s="15"/>
      <c r="G11" s="15"/>
      <c r="I11" s="15"/>
      <c r="K11" s="15"/>
      <c r="M11" s="15"/>
      <c r="O11" s="15"/>
      <c r="Q11" s="15"/>
    </row>
  </sheetData>
  <mergeCells count="6">
    <mergeCell ref="A1:Q1"/>
    <mergeCell ref="A2:Q2"/>
    <mergeCell ref="A3:Q3"/>
    <mergeCell ref="A5:Q5"/>
    <mergeCell ref="C7:K7"/>
    <mergeCell ref="M7:Q7"/>
  </mergeCells>
  <pageMargins left="0.7" right="0.7" top="0.75" bottom="0.75" header="0.3" footer="0.3"/>
  <pageSetup paperSize="9" scale="77" fitToHeight="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I17"/>
  <sheetViews>
    <sheetView rightToLeft="1" view="pageBreakPreview" zoomScale="60" zoomScaleNormal="100" workbookViewId="0">
      <selection sqref="A1:W1"/>
    </sheetView>
  </sheetViews>
  <sheetFormatPr defaultRowHeight="18" x14ac:dyDescent="0.45"/>
  <cols>
    <col min="1" max="1" width="25.5703125" style="4" customWidth="1"/>
    <col min="2" max="2" width="1.42578125" style="4" customWidth="1"/>
    <col min="3" max="3" width="17" style="4" customWidth="1"/>
    <col min="4" max="4" width="1.42578125" style="4" customWidth="1"/>
    <col min="5" max="5" width="14.140625" style="4" customWidth="1"/>
    <col min="6" max="6" width="1.42578125" style="4" customWidth="1"/>
    <col min="7" max="7" width="17" style="4" customWidth="1"/>
    <col min="8" max="8" width="1.42578125" style="4" customWidth="1"/>
    <col min="9" max="9" width="14.140625" style="4" customWidth="1"/>
    <col min="10" max="16384" width="9.140625" style="4"/>
  </cols>
  <sheetData>
    <row r="1" spans="1:9" ht="20.100000000000001" customHeight="1" x14ac:dyDescent="0.45">
      <c r="A1" s="33" t="s">
        <v>0</v>
      </c>
      <c r="B1" s="31"/>
      <c r="C1" s="31"/>
      <c r="D1" s="31"/>
      <c r="E1" s="31"/>
      <c r="F1" s="31"/>
      <c r="G1" s="31"/>
      <c r="H1" s="31"/>
      <c r="I1" s="31"/>
    </row>
    <row r="2" spans="1:9" ht="20.100000000000001" customHeight="1" x14ac:dyDescent="0.45">
      <c r="A2" s="33" t="s">
        <v>148</v>
      </c>
      <c r="B2" s="31"/>
      <c r="C2" s="31"/>
      <c r="D2" s="31"/>
      <c r="E2" s="31"/>
      <c r="F2" s="31"/>
      <c r="G2" s="31"/>
      <c r="H2" s="31"/>
      <c r="I2" s="31"/>
    </row>
    <row r="3" spans="1:9" ht="20.100000000000001" customHeight="1" x14ac:dyDescent="0.45">
      <c r="A3" s="33" t="s">
        <v>2</v>
      </c>
      <c r="B3" s="31"/>
      <c r="C3" s="31"/>
      <c r="D3" s="31"/>
      <c r="E3" s="31"/>
      <c r="F3" s="31"/>
      <c r="G3" s="31"/>
      <c r="H3" s="31"/>
      <c r="I3" s="31"/>
    </row>
    <row r="5" spans="1:9" ht="21" x14ac:dyDescent="0.45">
      <c r="A5" s="34" t="s">
        <v>268</v>
      </c>
      <c r="B5" s="31"/>
      <c r="C5" s="31"/>
      <c r="D5" s="31"/>
      <c r="E5" s="31"/>
      <c r="F5" s="31"/>
      <c r="G5" s="31"/>
      <c r="H5" s="31"/>
      <c r="I5" s="31"/>
    </row>
    <row r="7" spans="1:9" ht="21" x14ac:dyDescent="0.45">
      <c r="A7" s="27" t="s">
        <v>269</v>
      </c>
      <c r="B7" s="28"/>
      <c r="C7" s="27" t="s">
        <v>160</v>
      </c>
      <c r="D7" s="28"/>
      <c r="E7" s="28"/>
      <c r="G7" s="27" t="s">
        <v>7</v>
      </c>
      <c r="H7" s="28"/>
      <c r="I7" s="28"/>
    </row>
    <row r="8" spans="1:9" ht="42" x14ac:dyDescent="0.45">
      <c r="A8" s="16" t="s">
        <v>270</v>
      </c>
      <c r="C8" s="16" t="s">
        <v>271</v>
      </c>
      <c r="E8" s="16" t="s">
        <v>272</v>
      </c>
      <c r="G8" s="16" t="s">
        <v>271</v>
      </c>
      <c r="I8" s="16" t="s">
        <v>272</v>
      </c>
    </row>
    <row r="9" spans="1:9" ht="18.75" x14ac:dyDescent="0.45">
      <c r="A9" s="19" t="s">
        <v>294</v>
      </c>
      <c r="C9" s="11">
        <v>34433</v>
      </c>
      <c r="E9" s="12">
        <f>C9/C16</f>
        <v>5.507958090058386E-2</v>
      </c>
      <c r="G9" s="11">
        <v>418241</v>
      </c>
      <c r="I9" s="12">
        <f>G9/G16</f>
        <v>1.3951805872880951E-3</v>
      </c>
    </row>
    <row r="10" spans="1:9" ht="18.75" x14ac:dyDescent="0.45">
      <c r="A10" s="19" t="s">
        <v>291</v>
      </c>
      <c r="C10" s="11">
        <v>102508</v>
      </c>
      <c r="E10" s="12">
        <f>C10/C16</f>
        <v>0.16397344637287051</v>
      </c>
      <c r="G10" s="11">
        <v>18464336</v>
      </c>
      <c r="I10" s="12">
        <f>G10/G16</f>
        <v>6.1593873255765742E-2</v>
      </c>
    </row>
    <row r="11" spans="1:9" ht="18.75" x14ac:dyDescent="0.45">
      <c r="A11" s="19" t="s">
        <v>287</v>
      </c>
      <c r="C11" s="11">
        <v>65752</v>
      </c>
      <c r="E11" s="12">
        <f>C11/C16</f>
        <v>0.10517795729025034</v>
      </c>
      <c r="G11" s="11">
        <v>65752</v>
      </c>
      <c r="I11" s="12">
        <f>G11/G16</f>
        <v>2.1933744892386646E-4</v>
      </c>
    </row>
    <row r="12" spans="1:9" ht="18.75" x14ac:dyDescent="0.45">
      <c r="A12" s="19" t="s">
        <v>288</v>
      </c>
      <c r="C12" s="11">
        <v>37673</v>
      </c>
      <c r="E12" s="12">
        <f>C12/C16</f>
        <v>6.0262337039110617E-2</v>
      </c>
      <c r="G12" s="11">
        <v>27880474</v>
      </c>
      <c r="I12" s="12">
        <f>G12/G16</f>
        <v>9.3004502402180722E-2</v>
      </c>
    </row>
    <row r="13" spans="1:9" ht="18.75" x14ac:dyDescent="0.45">
      <c r="A13" s="19" t="s">
        <v>290</v>
      </c>
      <c r="C13" s="11">
        <v>65935</v>
      </c>
      <c r="E13" s="12">
        <f>C13/C16</f>
        <v>0.10547068703511157</v>
      </c>
      <c r="G13" s="11">
        <v>1375057</v>
      </c>
      <c r="I13" s="12">
        <f>G13/G16</f>
        <v>4.5869554462967671E-3</v>
      </c>
    </row>
    <row r="14" spans="1:9" ht="18.75" x14ac:dyDescent="0.45">
      <c r="A14" s="19" t="s">
        <v>292</v>
      </c>
      <c r="C14" s="11">
        <v>41113</v>
      </c>
      <c r="E14" s="12">
        <f>C14/C16</f>
        <v>6.576501639606494E-2</v>
      </c>
      <c r="G14" s="11">
        <v>56452</v>
      </c>
      <c r="I14" s="12">
        <f>G14/G16</f>
        <v>1.8831423632209072E-4</v>
      </c>
    </row>
    <row r="15" spans="1:9" ht="18.75" x14ac:dyDescent="0.45">
      <c r="A15" s="19" t="s">
        <v>289</v>
      </c>
      <c r="C15" s="11">
        <v>277736</v>
      </c>
      <c r="E15" s="12">
        <f>C15/C16</f>
        <v>0.44427097496600815</v>
      </c>
      <c r="G15" s="11">
        <v>251515218</v>
      </c>
      <c r="I15" s="12">
        <f>G15/G16</f>
        <v>0.83901183662322276</v>
      </c>
    </row>
    <row r="16" spans="1:9" ht="19.5" thickBot="1" x14ac:dyDescent="0.5">
      <c r="A16" s="13" t="s">
        <v>99</v>
      </c>
      <c r="C16" s="13">
        <f>SUM(C9:$C$15)</f>
        <v>625150</v>
      </c>
      <c r="E16" s="14">
        <f>SUM(E9:$E$15)</f>
        <v>1</v>
      </c>
      <c r="G16" s="13">
        <f>SUM(G9:$G$15)</f>
        <v>299775530</v>
      </c>
      <c r="I16" s="14">
        <f>SUM(I9:$I$15)</f>
        <v>1</v>
      </c>
    </row>
    <row r="17" spans="3:9" ht="19.5" thickTop="1" x14ac:dyDescent="0.45">
      <c r="C17" s="15"/>
      <c r="E17" s="15"/>
      <c r="G17" s="15"/>
      <c r="I17" s="15"/>
    </row>
  </sheetData>
  <mergeCells count="7">
    <mergeCell ref="A1:I1"/>
    <mergeCell ref="A2:I2"/>
    <mergeCell ref="A3:I3"/>
    <mergeCell ref="A5:I5"/>
    <mergeCell ref="A7:B7"/>
    <mergeCell ref="C7:E7"/>
    <mergeCell ref="G7:I7"/>
  </mergeCells>
  <pageMargins left="0.7" right="0.7" top="0.75" bottom="0.75" header="0.3" footer="0.3"/>
  <pageSetup paperSize="9" scale="93" fitToHeight="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E11"/>
  <sheetViews>
    <sheetView rightToLeft="1" workbookViewId="0">
      <selection sqref="A1:W1"/>
    </sheetView>
  </sheetViews>
  <sheetFormatPr defaultRowHeight="18" x14ac:dyDescent="0.45"/>
  <cols>
    <col min="1" max="1" width="25.5703125" style="4" customWidth="1"/>
    <col min="2" max="2" width="1.42578125" style="4" customWidth="1"/>
    <col min="3" max="3" width="18.42578125" style="4" customWidth="1"/>
    <col min="4" max="4" width="1.42578125" style="4" customWidth="1"/>
    <col min="5" max="5" width="18.42578125" style="4" customWidth="1"/>
    <col min="6" max="16384" width="9.140625" style="4"/>
  </cols>
  <sheetData>
    <row r="1" spans="1:5" ht="20.100000000000001" customHeight="1" x14ac:dyDescent="0.45">
      <c r="A1" s="33" t="s">
        <v>0</v>
      </c>
      <c r="B1" s="31"/>
      <c r="C1" s="31"/>
      <c r="D1" s="31"/>
      <c r="E1" s="31"/>
    </row>
    <row r="2" spans="1:5" ht="20.100000000000001" customHeight="1" x14ac:dyDescent="0.45">
      <c r="A2" s="33" t="s">
        <v>148</v>
      </c>
      <c r="B2" s="31"/>
      <c r="C2" s="31"/>
      <c r="D2" s="31"/>
      <c r="E2" s="31"/>
    </row>
    <row r="3" spans="1:5" ht="20.100000000000001" customHeight="1" x14ac:dyDescent="0.45">
      <c r="A3" s="33" t="s">
        <v>2</v>
      </c>
      <c r="B3" s="31"/>
      <c r="C3" s="31"/>
      <c r="D3" s="31"/>
      <c r="E3" s="31"/>
    </row>
    <row r="5" spans="1:5" ht="21" x14ac:dyDescent="0.45">
      <c r="A5" s="34" t="s">
        <v>273</v>
      </c>
      <c r="B5" s="31"/>
      <c r="C5" s="31"/>
      <c r="D5" s="31"/>
      <c r="E5" s="31"/>
    </row>
    <row r="7" spans="1:5" ht="21" x14ac:dyDescent="0.45">
      <c r="C7" s="6" t="s">
        <v>160</v>
      </c>
      <c r="E7" s="6" t="s">
        <v>7</v>
      </c>
    </row>
    <row r="8" spans="1:5" ht="21" x14ac:dyDescent="0.45">
      <c r="A8" s="16" t="s">
        <v>157</v>
      </c>
      <c r="C8" s="16" t="s">
        <v>138</v>
      </c>
      <c r="E8" s="16" t="s">
        <v>138</v>
      </c>
    </row>
    <row r="9" spans="1:5" ht="18.75" x14ac:dyDescent="0.45">
      <c r="A9" s="8" t="s">
        <v>274</v>
      </c>
      <c r="C9" s="11">
        <v>123</v>
      </c>
      <c r="E9" s="11">
        <v>318347087</v>
      </c>
    </row>
    <row r="10" spans="1:5" ht="18.75" x14ac:dyDescent="0.45">
      <c r="A10" s="13" t="s">
        <v>99</v>
      </c>
      <c r="C10" s="13">
        <f>SUM(C9:$C$9)</f>
        <v>123</v>
      </c>
      <c r="E10" s="13">
        <f>SUM(E9:$E$9)</f>
        <v>318347087</v>
      </c>
    </row>
    <row r="11" spans="1:5" ht="18.75" x14ac:dyDescent="0.45">
      <c r="C11" s="15"/>
      <c r="E11" s="15"/>
    </row>
  </sheetData>
  <mergeCells count="4">
    <mergeCell ref="A1:E1"/>
    <mergeCell ref="A2:E2"/>
    <mergeCell ref="A3:E3"/>
    <mergeCell ref="A5:E5"/>
  </mergeCells>
  <pageMargins left="0.7" right="0.7" top="0.75" bottom="0.75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5</vt:i4>
      </vt:variant>
    </vt:vector>
  </HeadingPairs>
  <TitlesOfParts>
    <vt:vector size="21" baseType="lpstr">
      <vt:lpstr>0</vt:lpstr>
      <vt:lpstr>1</vt:lpstr>
      <vt:lpstr>2</vt:lpstr>
      <vt:lpstr>3</vt:lpstr>
      <vt:lpstr>4</vt:lpstr>
      <vt:lpstr>5</vt:lpstr>
      <vt:lpstr>7</vt:lpstr>
      <vt:lpstr>8</vt:lpstr>
      <vt:lpstr>9</vt:lpstr>
      <vt:lpstr>9 (2)</vt:lpstr>
      <vt:lpstr>10</vt:lpstr>
      <vt:lpstr>11</vt:lpstr>
      <vt:lpstr>12</vt:lpstr>
      <vt:lpstr>13</vt:lpstr>
      <vt:lpstr>14</vt:lpstr>
      <vt:lpstr>15</vt:lpstr>
      <vt:lpstr>'1'!Print_Titles</vt:lpstr>
      <vt:lpstr>'10'!Print_Titles</vt:lpstr>
      <vt:lpstr>'11'!Print_Titles</vt:lpstr>
      <vt:lpstr>'12'!Print_Titles</vt:lpstr>
      <vt:lpstr>'8'!Print_Titles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Fatemeh Rezaei</cp:lastModifiedBy>
  <cp:lastPrinted>2025-02-24T05:13:29Z</cp:lastPrinted>
  <dcterms:created xsi:type="dcterms:W3CDTF">2025-02-22T08:43:23Z</dcterms:created>
  <dcterms:modified xsi:type="dcterms:W3CDTF">2025-02-24T05:13:35Z</dcterms:modified>
</cp:coreProperties>
</file>