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.langari.AM\Desktop\پرتفو\New folder\"/>
    </mc:Choice>
  </mc:AlternateContent>
  <xr:revisionPtr revIDLastSave="0" documentId="13_ncr:1_{990DB7D5-3FE2-48F7-ADB5-B9A06FD476B7}" xr6:coauthVersionLast="47" xr6:coauthVersionMax="47" xr10:uidLastSave="{00000000-0000-0000-0000-000000000000}"/>
  <bookViews>
    <workbookView xWindow="-120" yWindow="-120" windowWidth="29040" windowHeight="15720" tabRatio="897" xr2:uid="{00000000-000D-0000-FFFF-FFFF00000000}"/>
  </bookViews>
  <sheets>
    <sheet name="1" sheetId="29" r:id="rId1"/>
    <sheet name=" سهام" sheetId="21" r:id="rId2"/>
    <sheet name="تعدیل قیمت" sheetId="4" r:id="rId3"/>
    <sheet name="سپرده" sheetId="2" r:id="rId4"/>
    <sheet name="درآمدها" sheetId="11" r:id="rId5"/>
    <sheet name="درآمد سرمایه گذاری در سهام " sheetId="5" r:id="rId6"/>
    <sheet name="درآمد سپرده بانکی" sheetId="7" r:id="rId7"/>
    <sheet name="سایر درآمدها" sheetId="8" r:id="rId8"/>
    <sheet name="درآمد سود سهام" sheetId="12" r:id="rId9"/>
    <sheet name="سود  سپرده بانکی" sheetId="22" r:id="rId10"/>
    <sheet name="درآمد ناشی ازفروش" sheetId="15" r:id="rId11"/>
    <sheet name="درآمد ناشی از تغییر قیمت اوراق " sheetId="14" r:id="rId12"/>
  </sheets>
  <definedNames>
    <definedName name="_xlnm.Print_Area" localSheetId="1">' سهام'!$A$1:$N$239</definedName>
    <definedName name="_xlnm.Print_Area" localSheetId="2">'تعدیل قیمت'!$A$1:$H$15</definedName>
    <definedName name="_xlnm.Print_Area" localSheetId="11">'درآمد ناشی از تغییر قیمت اوراق '!$A$1:$I$236</definedName>
    <definedName name="_xlnm.Print_Area" localSheetId="3">سپرده!$A$1:$O$16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5" i="14" l="1"/>
  <c r="H235" i="14"/>
  <c r="G235" i="14"/>
  <c r="E235" i="14"/>
  <c r="D235" i="14"/>
  <c r="C235" i="14"/>
  <c r="I61" i="15"/>
  <c r="H61" i="15"/>
  <c r="G61" i="15"/>
  <c r="E61" i="15"/>
  <c r="D61" i="15"/>
  <c r="C61" i="15"/>
  <c r="G14" i="22"/>
  <c r="F14" i="22"/>
  <c r="E14" i="22"/>
  <c r="D14" i="22"/>
  <c r="C14" i="22"/>
  <c r="B14" i="22"/>
  <c r="J62" i="12"/>
  <c r="I62" i="12"/>
  <c r="H62" i="12"/>
  <c r="G62" i="12"/>
  <c r="F62" i="12"/>
  <c r="E62" i="12"/>
  <c r="D62" i="12"/>
  <c r="C62" i="12"/>
  <c r="C10" i="8"/>
  <c r="B10" i="8"/>
  <c r="D16" i="7"/>
  <c r="B16" i="7"/>
  <c r="E15" i="7"/>
  <c r="E14" i="7"/>
  <c r="E13" i="7"/>
  <c r="C13" i="7"/>
  <c r="K230" i="5"/>
  <c r="J230" i="5"/>
  <c r="I230" i="5"/>
  <c r="H230" i="5"/>
  <c r="G230" i="5"/>
  <c r="F230" i="5"/>
  <c r="E230" i="5"/>
  <c r="D230" i="5"/>
  <c r="C230" i="5"/>
  <c r="B230" i="5"/>
  <c r="C11" i="11"/>
  <c r="E10" i="11"/>
  <c r="D10" i="11"/>
  <c r="E9" i="11"/>
  <c r="D9" i="11"/>
  <c r="E8" i="11"/>
  <c r="D8" i="11"/>
  <c r="F15" i="2"/>
  <c r="E15" i="2"/>
  <c r="D15" i="2"/>
  <c r="C15" i="2"/>
  <c r="B15" i="2"/>
  <c r="N238" i="21"/>
  <c r="M238" i="21"/>
  <c r="L238" i="21"/>
  <c r="I238" i="21"/>
  <c r="G238" i="21"/>
  <c r="D238" i="21"/>
  <c r="C238" i="21"/>
  <c r="E12" i="7" l="1"/>
  <c r="C12" i="7"/>
  <c r="E11" i="7"/>
  <c r="C11" i="7"/>
  <c r="E10" i="7"/>
  <c r="C10" i="7"/>
  <c r="D11" i="11"/>
  <c r="E11" i="11"/>
  <c r="C16" i="7" l="1"/>
  <c r="E16" i="7"/>
</calcChain>
</file>

<file path=xl/sharedStrings.xml><?xml version="1.0" encoding="utf-8"?>
<sst xmlns="http://schemas.openxmlformats.org/spreadsheetml/2006/main" count="1054" uniqueCount="381">
  <si>
    <t>بهای تمام شده</t>
  </si>
  <si>
    <t>شرکت</t>
  </si>
  <si>
    <t>جمع</t>
  </si>
  <si>
    <t>تعداد</t>
  </si>
  <si>
    <t>خرید طی دوره</t>
  </si>
  <si>
    <t>فروش طی دوره</t>
  </si>
  <si>
    <t>مبلغ</t>
  </si>
  <si>
    <t>تغییرات طی دوره</t>
  </si>
  <si>
    <t>سپرده های بانکی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</si>
  <si>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</si>
  <si>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</si>
  <si>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</si>
  <si>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</si>
  <si>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</si>
  <si>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</si>
  <si>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نام سپرده</t>
  </si>
  <si>
    <t>سود سپرده بانکی و گواهی سپرده</t>
  </si>
  <si>
    <t>درصد سود به میانگین سپرده</t>
  </si>
  <si>
    <t>درصد از کل درآمدها</t>
  </si>
  <si>
    <t>نام سپرده بانکی</t>
  </si>
  <si>
    <t>خالص ارزش فروش</t>
  </si>
  <si>
    <t>درصد به کل دارایی‌ها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</si>
  <si>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</si>
  <si>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</si>
  <si>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</si>
  <si>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</si>
  <si>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 درآمد حاصل از سرمایه گذاری ها</t>
  </si>
  <si>
    <t>1-2-درآمد حاصل از سرمایه­گذاری در سهام و حق تقدم سهام:</t>
  </si>
  <si>
    <t>سایر درآمدها</t>
  </si>
  <si>
    <t>قیمت بازار هر سهم</t>
  </si>
  <si>
    <t>نام سهام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</si>
  <si>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</si>
  <si>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</si>
  <si>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</si>
  <si>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</si>
  <si>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</si>
  <si>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</si>
  <si>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افزایش</t>
  </si>
  <si>
    <t>شرح</t>
  </si>
  <si>
    <t>یادداشت</t>
  </si>
  <si>
    <t>تاریخ تشکیل مجمع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</si>
  <si>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</si>
  <si>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</si>
  <si>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</si>
  <si>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</si>
  <si>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</si>
  <si>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</si>
  <si>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خالص درآمد</t>
  </si>
  <si>
    <t>درآمد ناشی از تغییر قیمت اوراق بهادار</t>
  </si>
  <si>
    <t>ارزش دفتری</t>
  </si>
  <si>
    <t>سود و زیان ناشی از تغییر قیمت</t>
  </si>
  <si>
    <t>خالص بهای فروش</t>
  </si>
  <si>
    <t>سود و زیان ناشی از فروش</t>
  </si>
  <si>
    <t>درآمد حاصل از سرمایه گذاری در سهام و حق تقدم سهام</t>
  </si>
  <si>
    <t>درآمد حاصل از سرمایه گذاری در سپرده بانکی و گواهی سپرده</t>
  </si>
  <si>
    <t>سود(زیان) حاصل از فروش اوراق بهادار</t>
  </si>
  <si>
    <t>مبلغ فروش</t>
  </si>
  <si>
    <t xml:space="preserve">صورت وضعیت پرتفوی </t>
  </si>
  <si>
    <t>1-2</t>
  </si>
  <si>
    <t>2-2</t>
  </si>
  <si>
    <t>3-2</t>
  </si>
  <si>
    <t xml:space="preserve">صورت وضعیت درآمدها </t>
  </si>
  <si>
    <t xml:space="preserve">درآمد سود </t>
  </si>
  <si>
    <t>یادداشت ...</t>
  </si>
  <si>
    <t>درصد از کل دارایی ها</t>
  </si>
  <si>
    <t>سود سپرده بانکی</t>
  </si>
  <si>
    <t xml:space="preserve">افزایش سرمایه </t>
  </si>
  <si>
    <t>طی دوره</t>
  </si>
  <si>
    <t>کاهش</t>
  </si>
  <si>
    <t>شاخصی هم ‏وزن تراز</t>
  </si>
  <si>
    <t>شاخصی هم ‏وزن تراز</t>
  </si>
  <si>
    <t>برای ماه منتهی به 1405/03/31</t>
  </si>
  <si>
    <t>برای ماه منتهی به 1405/03/31</t>
  </si>
  <si>
    <t>1405/03/31</t>
  </si>
  <si>
    <t>1405/02/31</t>
  </si>
  <si>
    <t>سپه</t>
  </si>
  <si>
    <t>ملت</t>
  </si>
  <si>
    <t>پاسارگاد</t>
  </si>
  <si>
    <t>دي</t>
  </si>
  <si>
    <t>سامان</t>
  </si>
  <si>
    <t>خاورميانه</t>
  </si>
  <si>
    <t>نخريسي و نساجي خسروي خراسان</t>
  </si>
  <si>
    <t>موتوژن</t>
  </si>
  <si>
    <t>بانك ملت</t>
  </si>
  <si>
    <t>نفت اصفهان</t>
  </si>
  <si>
    <t>ايران ترانسفو</t>
  </si>
  <si>
    <t>نفت بندر عباس</t>
  </si>
  <si>
    <t>ايران خودرو</t>
  </si>
  <si>
    <t>املاح ايران</t>
  </si>
  <si>
    <t>ملي مس</t>
  </si>
  <si>
    <t>توليدي و صنعتي گوهرفام</t>
  </si>
  <si>
    <t>بانك خاورميانه</t>
  </si>
  <si>
    <t>نفت تبريز</t>
  </si>
  <si>
    <t>شیرین دارو</t>
  </si>
  <si>
    <t>صنعتی صبانور</t>
  </si>
  <si>
    <t>رادياتور</t>
  </si>
  <si>
    <t>پديده شيمي قرن</t>
  </si>
  <si>
    <t>آريان كيميا تك</t>
  </si>
  <si>
    <t>شيشه همدان</t>
  </si>
  <si>
    <t>بهمن دیزل</t>
  </si>
  <si>
    <t>نيان الكترونيك</t>
  </si>
  <si>
    <t>صنايع الكترونيك ماديران</t>
  </si>
  <si>
    <t>كاشي الوند</t>
  </si>
  <si>
    <t>سيمان سپاهان</t>
  </si>
  <si>
    <t>افست</t>
  </si>
  <si>
    <t>صنعتي بارز</t>
  </si>
  <si>
    <t>سرمايه گذاري تامين اجتماعي</t>
  </si>
  <si>
    <t>بيمه پارسيان</t>
  </si>
  <si>
    <t>انتقال داده هاي آسياتك</t>
  </si>
  <si>
    <t>توليدي چدن سازان</t>
  </si>
  <si>
    <t>دانش بنيان پويا نيرو</t>
  </si>
  <si>
    <t>نسوز آذر</t>
  </si>
  <si>
    <t>توليدات پتروشيمي قائد بصير</t>
  </si>
  <si>
    <t>پتروشيمي شازند</t>
  </si>
  <si>
    <t>تامين سرمايه نوين</t>
  </si>
  <si>
    <t>گلتاش</t>
  </si>
  <si>
    <t>پمپ ايران</t>
  </si>
  <si>
    <t>قند هكمتان</t>
  </si>
  <si>
    <t>حمل و نقل گهرترابر سيرجان</t>
  </si>
  <si>
    <t>البرز دارو</t>
  </si>
  <si>
    <t>پارس فنر</t>
  </si>
  <si>
    <t>فرآوري زغال سنگ پروده طبس</t>
  </si>
  <si>
    <t>نيان باتري خاوران</t>
  </si>
  <si>
    <t>سايپا</t>
  </si>
  <si>
    <t>شيشه و گاز</t>
  </si>
  <si>
    <t>آترا زيست آراي</t>
  </si>
  <si>
    <t>خاك چيني</t>
  </si>
  <si>
    <t>پارس سوييچ</t>
  </si>
  <si>
    <t>سرمايه گذاري غدير</t>
  </si>
  <si>
    <t>قند لرستان</t>
  </si>
  <si>
    <t>ريخته گري تراكتورسازي</t>
  </si>
  <si>
    <t>تايدواتر</t>
  </si>
  <si>
    <t>بانك تجارت</t>
  </si>
  <si>
    <t>كشت و صنعت شهداب</t>
  </si>
  <si>
    <t>بهار رز عاليس چناران</t>
  </si>
  <si>
    <t>كاريزما</t>
  </si>
  <si>
    <t>1405/03/16</t>
  </si>
  <si>
    <t>ارتباطات سیار</t>
  </si>
  <si>
    <t>1405/03/27</t>
  </si>
  <si>
    <t>1405/02/30</t>
  </si>
  <si>
    <t>1405/03/24</t>
  </si>
  <si>
    <t>ايمن خودرو شرق</t>
  </si>
  <si>
    <t>بيمه ايران - معين</t>
  </si>
  <si>
    <t>1405/03/13</t>
  </si>
  <si>
    <t>1405/03/05</t>
  </si>
  <si>
    <t>تامين سرمايه لوتوس پارسيان</t>
  </si>
  <si>
    <t>1405/01/30</t>
  </si>
  <si>
    <t>تجارت الکترونیک پارسیان</t>
  </si>
  <si>
    <t>1405/01/26</t>
  </si>
  <si>
    <t>توسعه سامانه ي نرم افزاري نگين</t>
  </si>
  <si>
    <t>1405/02/05</t>
  </si>
  <si>
    <t>توسعه نيشكر و صنايع جانبي</t>
  </si>
  <si>
    <t>1405/01/16</t>
  </si>
  <si>
    <t>توسعه و عمران اميد</t>
  </si>
  <si>
    <t>توكا رنگ فولاد سپاهان</t>
  </si>
  <si>
    <t>1405/03/03</t>
  </si>
  <si>
    <t>توليد انرژي برق شمس پاسارگاد</t>
  </si>
  <si>
    <t>1405/02/02</t>
  </si>
  <si>
    <t>توليد برق عسلويه مپنا</t>
  </si>
  <si>
    <t>1405/03/17</t>
  </si>
  <si>
    <t>دارويي ره آورد تامين</t>
  </si>
  <si>
    <t>سبحان_دارو</t>
  </si>
  <si>
    <t>1405/02/23</t>
  </si>
  <si>
    <t>1404/12/10</t>
  </si>
  <si>
    <t>سرمايه گذاري ملي ايران</t>
  </si>
  <si>
    <t>سنگ آهن گهرزمين</t>
  </si>
  <si>
    <t>1405/02/14</t>
  </si>
  <si>
    <t>سيمان اروميه</t>
  </si>
  <si>
    <t>1405/03/20</t>
  </si>
  <si>
    <t>سيمان بجنورد</t>
  </si>
  <si>
    <t>سيمان بهبهان</t>
  </si>
  <si>
    <t>سيمان خاش</t>
  </si>
  <si>
    <t>1405/02/29</t>
  </si>
  <si>
    <t>سيمان خزر</t>
  </si>
  <si>
    <t>1405/02/27</t>
  </si>
  <si>
    <t>سيمان ساوه</t>
  </si>
  <si>
    <t>1405/03/23</t>
  </si>
  <si>
    <t>سيمان شمال</t>
  </si>
  <si>
    <t>1404/12/17</t>
  </si>
  <si>
    <t>سيمان صوفيان</t>
  </si>
  <si>
    <t>1405/03/19</t>
  </si>
  <si>
    <t>سيمان غرب</t>
  </si>
  <si>
    <t>1405/03/09</t>
  </si>
  <si>
    <t>سيمان فارس نو</t>
  </si>
  <si>
    <t>1405/03/18</t>
  </si>
  <si>
    <t>سپيد ماكيان</t>
  </si>
  <si>
    <t>شيميايي ايران</t>
  </si>
  <si>
    <t>صنايع چوب خزر كاسپين</t>
  </si>
  <si>
    <t>1405/03/10</t>
  </si>
  <si>
    <t>صنعتي بهشهر</t>
  </si>
  <si>
    <t>1405/03/28</t>
  </si>
  <si>
    <t>غذايي مينو</t>
  </si>
  <si>
    <t>فولاد ارفع</t>
  </si>
  <si>
    <t>1405/03/12</t>
  </si>
  <si>
    <t>فولاد شاهرود</t>
  </si>
  <si>
    <t>1405/03/30</t>
  </si>
  <si>
    <t>قاسم ايران</t>
  </si>
  <si>
    <t>كارخانجات داروپخش</t>
  </si>
  <si>
    <t>كاشي سعدي</t>
  </si>
  <si>
    <t>كاشي پارس</t>
  </si>
  <si>
    <t>كاني كربن طبس</t>
  </si>
  <si>
    <t>كوير تاير</t>
  </si>
  <si>
    <t>1405/01/31</t>
  </si>
  <si>
    <t>موتورسازان</t>
  </si>
  <si>
    <t>1405/03/02</t>
  </si>
  <si>
    <t>پارس فولاد سبزوار</t>
  </si>
  <si>
    <t>1405/01/29</t>
  </si>
  <si>
    <t>پارس مينو</t>
  </si>
  <si>
    <t>چادرملو</t>
  </si>
  <si>
    <t>گروه انتخاب الكترونيك آرمان</t>
  </si>
  <si>
    <t>گل گهر</t>
  </si>
  <si>
    <t>1404/12/27</t>
  </si>
  <si>
    <t>لامپ پارس شهاب</t>
  </si>
  <si>
    <t>عمران فارس</t>
  </si>
  <si>
    <t>داروسازي زاگرس</t>
  </si>
  <si>
    <t>سرمايه گذاري سپه</t>
  </si>
  <si>
    <t>نفت و گاز پارسيان</t>
  </si>
  <si>
    <t>برق مپنا</t>
  </si>
  <si>
    <t>آلومينيوم ايران</t>
  </si>
  <si>
    <t>حفاري شمال</t>
  </si>
  <si>
    <t>پاكديس</t>
  </si>
  <si>
    <t>پتروشيمي نوري</t>
  </si>
  <si>
    <t>پخش هجرت</t>
  </si>
  <si>
    <t>پتروشيمي خراسان</t>
  </si>
  <si>
    <t>صنايع غذايي رضوي</t>
  </si>
  <si>
    <t>پرتو بار فرابر خليج فارس</t>
  </si>
  <si>
    <t>كيميا كالاي رازي</t>
  </si>
  <si>
    <t>بيمه البرز</t>
  </si>
  <si>
    <t>پتروشيمي كرمانشاه</t>
  </si>
  <si>
    <t>فنرسازي زر</t>
  </si>
  <si>
    <t>صنعتي سپاهان</t>
  </si>
  <si>
    <t>دارو ابوريحان</t>
  </si>
  <si>
    <t>فن آوران</t>
  </si>
  <si>
    <t>كارت اعتباري ايران كيش</t>
  </si>
  <si>
    <t>صنعتي پارس خزر</t>
  </si>
  <si>
    <t>سرمايه گذاري پارس توشــــــه ( هلدينگ)</t>
  </si>
  <si>
    <t>سيمان تهران</t>
  </si>
  <si>
    <t>حمل و نقل ريلي پارسيان</t>
  </si>
  <si>
    <t>شير و گوشت زاگرس شهركرد</t>
  </si>
  <si>
    <t>كشاورزي و دامپروري بينالود</t>
  </si>
  <si>
    <t>سيمرغ</t>
  </si>
  <si>
    <t>كشت و دامداري فكا</t>
  </si>
  <si>
    <t>سرمايه گذاري كشاورزي كوثر</t>
  </si>
  <si>
    <t>صنعت غذايي كورش</t>
  </si>
  <si>
    <t>سيمان فارس و خوزستان</t>
  </si>
  <si>
    <t>مهرمام ميهن</t>
  </si>
  <si>
    <t>تراكتور سازي</t>
  </si>
  <si>
    <t>قند قزوين</t>
  </si>
  <si>
    <t>بهمن ديزل</t>
  </si>
  <si>
    <t>عطرين نخ قم</t>
  </si>
  <si>
    <t>مجتمع صنايع لاستيك يزد</t>
  </si>
  <si>
    <t>آلوميناي ايران</t>
  </si>
  <si>
    <t>دارويي و نهاده هاي زاگرس دارو</t>
  </si>
  <si>
    <t>اخشان خراسان</t>
  </si>
  <si>
    <t>نساجي هديه البرز مشهد</t>
  </si>
  <si>
    <t>داروسازي فارابي</t>
  </si>
  <si>
    <t>صنعتي آما</t>
  </si>
  <si>
    <t>پگاه خراسان</t>
  </si>
  <si>
    <t>مهرام</t>
  </si>
  <si>
    <t>صندوق بازنشستگي</t>
  </si>
  <si>
    <t>كاشي حافظ</t>
  </si>
  <si>
    <t>پتروشيمي پرديس</t>
  </si>
  <si>
    <t>سرمايه گذاري اميد</t>
  </si>
  <si>
    <t>دريايي سينا</t>
  </si>
  <si>
    <t>كشتيراني ايران</t>
  </si>
  <si>
    <t>توزيع دارو پخش</t>
  </si>
  <si>
    <t>توليد ژلاتين كپسول ايران</t>
  </si>
  <si>
    <t>س. و توسعه صنايع لاستيك</t>
  </si>
  <si>
    <t>گروه مالي نماد غدير(سهامي عام)</t>
  </si>
  <si>
    <t>كارخانجات توليدي نيروترانسفو</t>
  </si>
  <si>
    <t>مجتمع كاشي و سنگ پرسپوليس يزد</t>
  </si>
  <si>
    <t>سيمان هگمتان</t>
  </si>
  <si>
    <t>شهد ايران</t>
  </si>
  <si>
    <t>تجارت الكترونيك پارسيان</t>
  </si>
  <si>
    <t>مگسال</t>
  </si>
  <si>
    <t>داروسازي اسوه</t>
  </si>
  <si>
    <t>داروسازي اكسير</t>
  </si>
  <si>
    <t>نورد قطعات</t>
  </si>
  <si>
    <t>قند پيرانشهر</t>
  </si>
  <si>
    <t>مپنا</t>
  </si>
  <si>
    <t>معادن منگنز ايران</t>
  </si>
  <si>
    <t>سرمايه گذاري صدرتامين</t>
  </si>
  <si>
    <t>فروشگاههاي زنجيره اي افق كوروش</t>
  </si>
  <si>
    <t>آهن و فولاد غدير ايرانيان</t>
  </si>
  <si>
    <t>بيمه اتكايي ايران معين</t>
  </si>
  <si>
    <t>صنايع ارتباطي آوا</t>
  </si>
  <si>
    <t>شركت سرمايه گذاري خوارزمي</t>
  </si>
  <si>
    <t>پتروشيمي تامين</t>
  </si>
  <si>
    <t>فولاد آلياژي ايران</t>
  </si>
  <si>
    <t>ايركا پارت صنعت</t>
  </si>
  <si>
    <t>سالمين</t>
  </si>
  <si>
    <t>بانك سينا</t>
  </si>
  <si>
    <t>سينا دارو</t>
  </si>
  <si>
    <t>اقتصاد نوين</t>
  </si>
  <si>
    <t>قند اصفهان</t>
  </si>
  <si>
    <t>پگاه آذربايجان</t>
  </si>
  <si>
    <t>كاشي و سراميك سعدي</t>
  </si>
  <si>
    <t>سرمايه گذاري البرز ( هلدينگ)</t>
  </si>
  <si>
    <t>فولاد كاوه</t>
  </si>
  <si>
    <t>ريل سير كوثر</t>
  </si>
  <si>
    <t>شير پاستوريزه پگاه گلپايگان</t>
  </si>
  <si>
    <t>كشاورزي مكانيزه اصفهان كشت</t>
  </si>
  <si>
    <t>صنايع شيميايي كيمياگران امروز</t>
  </si>
  <si>
    <t>ملي شيمي كشاورز</t>
  </si>
  <si>
    <t>سرمايه گذاري پايا تدبيرپارسا</t>
  </si>
  <si>
    <t>بيمه آسيا</t>
  </si>
  <si>
    <t>قند چهار محال</t>
  </si>
  <si>
    <t>شركت پخش البرز</t>
  </si>
  <si>
    <t>نگين طبس</t>
  </si>
  <si>
    <t>سيمان قاين</t>
  </si>
  <si>
    <t>تامين ماسه</t>
  </si>
  <si>
    <t>ارتباطات سيار</t>
  </si>
  <si>
    <t>غلتك سازان سپاهان</t>
  </si>
  <si>
    <t>صنعتي زر ماكارون</t>
  </si>
  <si>
    <t>سيمان اردستان</t>
  </si>
  <si>
    <t>نفت بهران</t>
  </si>
  <si>
    <t>بيمه زندگي كاريزما50%تاديه</t>
  </si>
  <si>
    <t>توليدي برنا باطري</t>
  </si>
  <si>
    <t>نشاسته و گلوكز آردينه</t>
  </si>
  <si>
    <t>شركت سرمايه گذاري مسكن تهران</t>
  </si>
  <si>
    <t>داده پردازي</t>
  </si>
  <si>
    <t>نيروترانس</t>
  </si>
  <si>
    <t>كاشي وسراميك سينا</t>
  </si>
  <si>
    <t>پمپ سازي ايران</t>
  </si>
  <si>
    <t>پگاه اصفهان</t>
  </si>
  <si>
    <t>سيمان مازندران</t>
  </si>
  <si>
    <t>كربن</t>
  </si>
  <si>
    <t>دارويي‌ رازك‌</t>
  </si>
  <si>
    <t>بانك صادرات</t>
  </si>
  <si>
    <t>نفت سپاهان</t>
  </si>
  <si>
    <t>پشم شيشه</t>
  </si>
  <si>
    <t>صنعتي صبانور</t>
  </si>
  <si>
    <t>توليد مواد اوليه داروپخش</t>
  </si>
  <si>
    <t>كشت و دام قيام اصفهان</t>
  </si>
  <si>
    <t>آنتي بيوتيك سازي ايران</t>
  </si>
  <si>
    <t>مديريت نيروگاهي ايرانيان مپنا</t>
  </si>
  <si>
    <t>توسعه معادن كروميت كاوندگان</t>
  </si>
  <si>
    <t>پتروشيمي فجر</t>
  </si>
  <si>
    <t>شركت شيرين دارو</t>
  </si>
  <si>
    <t>فولاد مباركه</t>
  </si>
  <si>
    <t>شركت پالايش نفت لاوان</t>
  </si>
  <si>
    <t>فولاد خوزستان</t>
  </si>
  <si>
    <t>آنتي بيوتيك سازي ايران (تقدم)</t>
  </si>
  <si>
    <t>ایرکا پارت صنعت</t>
  </si>
  <si>
    <t>بيمه زندگي كاريزما</t>
  </si>
  <si>
    <t>تامين سرمايه لوتوس پارسيان (تقدم)</t>
  </si>
  <si>
    <t xml:space="preserve">تراكتور سازي </t>
  </si>
  <si>
    <t>داده پردازي (تقدم)</t>
  </si>
  <si>
    <t>داروسازي‌ اكسير</t>
  </si>
  <si>
    <t>سرمايه گذاري البرز</t>
  </si>
  <si>
    <t>سرمايه گذاري صدرتامين (تقدم)</t>
  </si>
  <si>
    <t>سرمایه گذاری مسکن تهران</t>
  </si>
  <si>
    <t>سنگ آهن گهرزمين (تقدم)</t>
  </si>
  <si>
    <t>سيمان شمال (تقدم)</t>
  </si>
  <si>
    <t>شرکت سرمایه گذاری خوارزمی</t>
  </si>
  <si>
    <t>فجر انرژي خليج فارس</t>
  </si>
  <si>
    <t>كاني كربن طبس (تقدم)</t>
  </si>
  <si>
    <t>منگنز ايران</t>
  </si>
  <si>
    <t>مهرمام ميهن (تقدم)</t>
  </si>
  <si>
    <t>مواداوليه داروپخش</t>
  </si>
  <si>
    <t>نفت لاوان</t>
  </si>
  <si>
    <t>نفت و گاز پارسیان</t>
  </si>
  <si>
    <t>پارس توشه</t>
  </si>
  <si>
    <t>پارس خزر</t>
  </si>
  <si>
    <t>پارس شهاب</t>
  </si>
  <si>
    <t>پاکدیس</t>
  </si>
  <si>
    <t xml:space="preserve">پتروشيمي كرمانشاه </t>
  </si>
  <si>
    <t>پتروشيمی پردیس</t>
  </si>
  <si>
    <t>پتروشیمی تامین</t>
  </si>
  <si>
    <t>پخش البرز</t>
  </si>
  <si>
    <t>چادرملو (تقدم)</t>
  </si>
  <si>
    <t>کارت اعتباری ایران کیش</t>
  </si>
  <si>
    <t>کارخانجات توليدي نيروترانسفو</t>
  </si>
  <si>
    <t>گل گهر (تقدم)</t>
  </si>
  <si>
    <t>-</t>
  </si>
  <si>
    <t>صندوق سرمایه‌گذاری شاخصی هم ‏وزن تراز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</si>
  <si>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</si>
  <si>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31 خرداد 1405</t>
  </si>
  <si>
    <t>2-1- سرمایه‌گذاری در  سپرده‌ بانکی</t>
  </si>
  <si>
    <t>2-2-درآمد حاصل از سرمایه­گذاری در سپرده بانکی و گواهی سپرده:</t>
  </si>
  <si>
    <t>3-2-سایر درآمدها: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</si>
</sst>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;0"/>
    <numFmt numFmtId="165" formatCode="0.00%;[Red]\(0.00%\);0%"/>
  </numFmts>
  <fonts count="23" x14ac:knownFonts="1">
    <font>
      <sz val="11"/>
      <color theme="1"/>
      <name val="Calibri"/>
      <family val="2"/>
      <charset val="178"/>
      <scheme val="minor"/>
    </font>
    <font>
      <b/>
      <sz val="10"/>
      <color theme="1"/>
      <name val="B Nazanin"/>
      <charset val="178"/>
    </font>
    <font>
      <sz val="10"/>
      <color theme="1"/>
      <name val="B Nazanin"/>
      <charset val="178"/>
    </font>
    <font>
      <b/>
      <sz val="10"/>
      <color rgb="FF000000"/>
      <name val="B Nazanin"/>
      <charset val="178"/>
    </font>
    <font>
      <sz val="10"/>
      <color rgb="FF000000"/>
      <name val="B Nazanin"/>
      <charset val="178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11"/>
      <name val="Calibri"/>
      <family val="2"/>
    </font>
    <font>
      <b/>
      <sz val="36"/>
      <color rgb="FFFF0000"/>
      <name val="B Roya"/>
      <charset val="178"/>
    </font>
    <font>
      <b/>
      <sz val="15"/>
      <name val="B Nazanin"/>
      <charset val="178"/>
    </font>
    <font>
      <sz val="16"/>
      <color rgb="FFFF0000"/>
      <name val="B Homa"/>
      <charset val="178"/>
    </font>
    <font>
      <b/>
      <sz val="28"/>
      <color rgb="FFFF0000"/>
      <name val="B Roya"/>
      <charset val="178"/>
    </font>
    <font>
      <b/>
      <sz val="12"/>
      <color rgb="FF0062AC"/>
      <name val="B Nazanin"/>
      <charset val="178"/>
    </font>
    <font>
      <sz val="10"/>
      <color indexed="8"/>
      <name val="B Nazanin"/>
      <charset val="178"/>
    </font>
    <font>
      <b/>
      <sz val="10"/>
      <color rgb="FF0062AC"/>
      <name val="B Nazanin"/>
      <charset val="178"/>
    </font>
    <font>
      <sz val="12"/>
      <color theme="1"/>
      <name val="B Nazanin"/>
      <charset val="178"/>
    </font>
    <font>
      <sz val="12"/>
      <color indexed="8"/>
      <name val="B Nazanin"/>
      <charset val="178"/>
    </font>
    <font>
      <b/>
      <sz val="14"/>
      <color theme="1"/>
      <name val="B Nazanin"/>
      <charset val="178"/>
    </font>
    <font>
      <b/>
      <sz val="14"/>
      <color rgb="FF0062AC"/>
      <name val="B Nazanin"/>
      <charset val="178"/>
    </font>
    <font>
      <sz val="14"/>
      <color theme="1"/>
      <name val="B Nazanin"/>
      <charset val="178"/>
    </font>
    <font>
      <sz val="14"/>
      <color indexed="8"/>
      <name val="B Nazanin"/>
      <charset val="178"/>
    </font>
    <font>
      <b/>
      <sz val="12"/>
      <color rgb="FF000000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29">
    <xf numFmtId="0" fontId="0" fillId="0" borderId="0" xfId="0"/>
    <xf numFmtId="0" fontId="2" fillId="0" borderId="1" xfId="0" applyFont="1" applyBorder="1"/>
    <xf numFmtId="0" fontId="3" fillId="0" borderId="0" xfId="0" applyFont="1" applyAlignment="1">
      <alignment vertical="center" wrapText="1" readingOrder="2"/>
    </xf>
    <xf numFmtId="0" fontId="2" fillId="0" borderId="0" xfId="0" applyFont="1"/>
    <xf numFmtId="0" fontId="3" fillId="0" borderId="3" xfId="0" applyFont="1" applyBorder="1" applyAlignment="1">
      <alignment horizontal="center" vertical="center" wrapText="1" readingOrder="2"/>
    </xf>
    <xf numFmtId="0" fontId="2" fillId="0" borderId="0" xfId="0" applyFont="1" applyAlignment="1">
      <alignment vertical="center" wrapText="1"/>
    </xf>
    <xf numFmtId="0" fontId="5" fillId="0" borderId="0" xfId="0" applyFont="1"/>
    <xf numFmtId="0" fontId="1" fillId="0" borderId="0" xfId="0" applyFont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 wrapText="1" readingOrder="2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49" fontId="5" fillId="0" borderId="0" xfId="0" applyNumberFormat="1" applyFont="1" applyAlignment="1">
      <alignment horizontal="center" vertical="center" readingOrder="2"/>
    </xf>
    <xf numFmtId="0" fontId="4" fillId="0" borderId="1" xfId="0" applyFont="1" applyBorder="1" applyAlignment="1">
      <alignment vertical="center" wrapText="1" readingOrder="2"/>
    </xf>
    <xf numFmtId="0" fontId="2" fillId="0" borderId="1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wrapText="1"/>
    </xf>
    <xf numFmtId="0" fontId="8" fillId="2" borderId="0" xfId="1" applyFill="1"/>
    <xf numFmtId="0" fontId="10" fillId="2" borderId="0" xfId="1" applyFont="1" applyFill="1" applyAlignment="1">
      <alignment horizontal="center"/>
    </xf>
    <xf numFmtId="0" fontId="10" fillId="2" borderId="0" xfId="1" applyFont="1" applyFill="1"/>
    <xf numFmtId="0" fontId="7" fillId="0" borderId="0" xfId="0" applyFont="1" applyAlignment="1">
      <alignment horizontal="center"/>
    </xf>
    <xf numFmtId="164" fontId="14" fillId="0" borderId="0" xfId="0" applyNumberFormat="1" applyFont="1"/>
    <xf numFmtId="165" fontId="14" fillId="0" borderId="0" xfId="0" applyNumberFormat="1" applyFont="1"/>
    <xf numFmtId="0" fontId="13" fillId="0" borderId="0" xfId="0" applyFont="1" applyAlignment="1">
      <alignment vertical="center" readingOrder="2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 readingOrder="2"/>
    </xf>
    <xf numFmtId="0" fontId="13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8" fillId="2" borderId="0" xfId="1" applyFill="1" applyAlignment="1">
      <alignment horizontal="center"/>
    </xf>
    <xf numFmtId="0" fontId="12" fillId="2" borderId="0" xfId="1" applyFont="1" applyFill="1" applyAlignment="1">
      <alignment horizontal="center" vertical="center" wrapText="1"/>
    </xf>
    <xf numFmtId="0" fontId="11" fillId="2" borderId="0" xfId="1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readingOrder="2"/>
    </xf>
    <xf numFmtId="0" fontId="15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164" fontId="14" fillId="0" borderId="4" xfId="0" applyNumberFormat="1" applyFont="1" applyBorder="1"/>
    <xf numFmtId="165" fontId="14" fillId="0" borderId="5" xfId="0" applyNumberFormat="1" applyFont="1" applyBorder="1"/>
    <xf numFmtId="164" fontId="14" fillId="0" borderId="5" xfId="0" applyNumberFormat="1" applyFont="1" applyBorder="1"/>
    <xf numFmtId="164" fontId="14" fillId="0" borderId="0" xfId="0" applyNumberFormat="1" applyFont="1" applyBorder="1"/>
    <xf numFmtId="0" fontId="2" fillId="0" borderId="0" xfId="0" applyFont="1" applyBorder="1"/>
    <xf numFmtId="0" fontId="2" fillId="0" borderId="6" xfId="0" applyFont="1" applyBorder="1"/>
    <xf numFmtId="164" fontId="14" fillId="0" borderId="7" xfId="0" applyNumberFormat="1" applyFont="1" applyBorder="1"/>
    <xf numFmtId="165" fontId="14" fillId="0" borderId="7" xfId="0" applyNumberFormat="1" applyFont="1" applyBorder="1"/>
    <xf numFmtId="0" fontId="5" fillId="0" borderId="6" xfId="0" applyFont="1" applyBorder="1"/>
    <xf numFmtId="0" fontId="2" fillId="0" borderId="5" xfId="0" applyFont="1" applyBorder="1"/>
    <xf numFmtId="0" fontId="5" fillId="0" borderId="0" xfId="0" applyFont="1" applyBorder="1"/>
    <xf numFmtId="3" fontId="2" fillId="0" borderId="0" xfId="0" applyNumberFormat="1" applyFont="1"/>
    <xf numFmtId="0" fontId="16" fillId="0" borderId="0" xfId="0" applyFont="1" applyAlignment="1">
      <alignment horizontal="center" vertical="center" readingOrder="2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 readingOrder="2"/>
    </xf>
    <xf numFmtId="0" fontId="16" fillId="0" borderId="2" xfId="0" applyFont="1" applyBorder="1" applyAlignment="1">
      <alignment horizontal="center" vertical="center" wrapText="1" readingOrder="2"/>
    </xf>
    <xf numFmtId="0" fontId="16" fillId="0" borderId="1" xfId="0" applyFont="1" applyBorder="1" applyAlignment="1">
      <alignment horizontal="center" vertical="center" readingOrder="2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 readingOrder="2"/>
    </xf>
    <xf numFmtId="164" fontId="17" fillId="0" borderId="0" xfId="0" applyNumberFormat="1" applyFont="1"/>
    <xf numFmtId="165" fontId="17" fillId="0" borderId="0" xfId="0" applyNumberFormat="1" applyFont="1"/>
    <xf numFmtId="164" fontId="17" fillId="0" borderId="2" xfId="0" applyNumberFormat="1" applyFont="1" applyBorder="1" applyAlignment="1">
      <alignment horizontal="center"/>
    </xf>
    <xf numFmtId="164" fontId="17" fillId="0" borderId="0" xfId="0" applyNumberFormat="1" applyFont="1" applyAlignment="1">
      <alignment horizontal="center"/>
    </xf>
    <xf numFmtId="164" fontId="17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3" fontId="5" fillId="0" borderId="0" xfId="0" applyNumberFormat="1" applyFont="1"/>
    <xf numFmtId="0" fontId="16" fillId="0" borderId="0" xfId="0" applyFont="1"/>
    <xf numFmtId="0" fontId="16" fillId="0" borderId="1" xfId="0" applyFont="1" applyBorder="1"/>
    <xf numFmtId="0" fontId="7" fillId="0" borderId="0" xfId="0" applyFont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1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 readingOrder="2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readingOrder="2"/>
    </xf>
    <xf numFmtId="164" fontId="17" fillId="0" borderId="5" xfId="0" applyNumberFormat="1" applyFont="1" applyBorder="1"/>
    <xf numFmtId="165" fontId="17" fillId="0" borderId="5" xfId="0" applyNumberFormat="1" applyFont="1" applyBorder="1"/>
    <xf numFmtId="164" fontId="17" fillId="0" borderId="7" xfId="0" applyNumberFormat="1" applyFont="1" applyBorder="1"/>
    <xf numFmtId="164" fontId="17" fillId="0" borderId="4" xfId="0" applyNumberFormat="1" applyFont="1" applyBorder="1"/>
    <xf numFmtId="165" fontId="17" fillId="0" borderId="7" xfId="0" applyNumberFormat="1" applyFont="1" applyBorder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 readingOrder="2"/>
    </xf>
    <xf numFmtId="0" fontId="19" fillId="0" borderId="0" xfId="0" applyFont="1" applyAlignment="1">
      <alignment horizontal="right" vertical="center" readingOrder="2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18" fillId="0" borderId="0" xfId="0" applyFont="1" applyAlignment="1">
      <alignment horizontal="right" vertical="center" readingOrder="2"/>
    </xf>
    <xf numFmtId="49" fontId="20" fillId="0" borderId="0" xfId="0" applyNumberFormat="1" applyFont="1" applyAlignment="1">
      <alignment horizontal="center" vertical="center" readingOrder="2"/>
    </xf>
    <xf numFmtId="164" fontId="21" fillId="0" borderId="0" xfId="0" applyNumberFormat="1" applyFont="1"/>
    <xf numFmtId="165" fontId="21" fillId="0" borderId="0" xfId="0" applyNumberFormat="1" applyFont="1"/>
    <xf numFmtId="164" fontId="21" fillId="0" borderId="5" xfId="0" applyNumberFormat="1" applyFont="1" applyBorder="1"/>
    <xf numFmtId="165" fontId="21" fillId="0" borderId="5" xfId="0" applyNumberFormat="1" applyFont="1" applyBorder="1"/>
    <xf numFmtId="0" fontId="20" fillId="0" borderId="0" xfId="0" applyFont="1"/>
    <xf numFmtId="164" fontId="21" fillId="0" borderId="7" xfId="0" applyNumberFormat="1" applyFont="1" applyBorder="1"/>
    <xf numFmtId="165" fontId="21" fillId="0" borderId="7" xfId="0" applyNumberFormat="1" applyFont="1" applyBorder="1"/>
    <xf numFmtId="0" fontId="22" fillId="0" borderId="3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 readingOrder="2"/>
    </xf>
    <xf numFmtId="0" fontId="22" fillId="0" borderId="2" xfId="0" applyFont="1" applyBorder="1" applyAlignment="1">
      <alignment horizontal="center" vertical="center" wrapText="1" readingOrder="2"/>
    </xf>
    <xf numFmtId="0" fontId="22" fillId="0" borderId="0" xfId="0" applyFont="1" applyAlignment="1">
      <alignment horizontal="center" vertical="center" wrapText="1" readingOrder="2"/>
    </xf>
    <xf numFmtId="0" fontId="22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16" fillId="0" borderId="5" xfId="0" applyFont="1" applyBorder="1"/>
    <xf numFmtId="0" fontId="22" fillId="0" borderId="1" xfId="0" applyFont="1" applyBorder="1" applyAlignment="1">
      <alignment horizontal="right" vertical="center" wrapText="1" readingOrder="2"/>
    </xf>
    <xf numFmtId="0" fontId="16" fillId="0" borderId="2" xfId="0" applyFont="1" applyBorder="1" applyAlignment="1">
      <alignment vertical="center" wrapText="1"/>
    </xf>
    <xf numFmtId="0" fontId="22" fillId="0" borderId="2" xfId="0" applyFont="1" applyBorder="1" applyAlignment="1">
      <alignment horizontal="center" vertical="center" wrapText="1" readingOrder="2"/>
    </xf>
    <xf numFmtId="0" fontId="16" fillId="0" borderId="0" xfId="0" applyFont="1" applyAlignment="1">
      <alignment vertical="center" wrapText="1"/>
    </xf>
    <xf numFmtId="0" fontId="22" fillId="0" borderId="1" xfId="0" applyFont="1" applyBorder="1" applyAlignment="1">
      <alignment horizontal="center" vertical="center" wrapText="1" readingOrder="2"/>
    </xf>
    <xf numFmtId="164" fontId="17" fillId="0" borderId="8" xfId="0" applyNumberFormat="1" applyFont="1" applyBorder="1"/>
    <xf numFmtId="0" fontId="16" fillId="0" borderId="6" xfId="0" applyFont="1" applyBorder="1"/>
    <xf numFmtId="0" fontId="16" fillId="0" borderId="0" xfId="0" applyFont="1" applyAlignment="1">
      <alignment horizontal="center"/>
    </xf>
    <xf numFmtId="0" fontId="16" fillId="0" borderId="3" xfId="0" applyFont="1" applyBorder="1"/>
    <xf numFmtId="0" fontId="16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BEFACD44-B8D2-476E-BB54-7C50E53748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8290-B33A-4545-A3BE-635AB9C24ECB}">
  <sheetPr>
    <tabColor rgb="FF92D050"/>
  </sheetPr>
  <dimension ref="A1:K34"/>
  <sheetViews>
    <sheetView rightToLeft="1" tabSelected="1" workbookViewId="0">
      <selection activeCell="W20" sqref="W20:W21"/>
    </sheetView>
  </sheetViews>
  <sheetFormatPr defaultRowHeight="15" x14ac:dyDescent="0.25"/>
  <cols>
    <col min="1" max="11" width="7.7109375" customWidth="1"/>
  </cols>
  <sheetData>
    <row r="1" spans="1:1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x14ac:dyDescent="0.25">
      <c r="A4" s="36" t="s">
        <v>375</v>
      </c>
      <c r="B4" s="36"/>
      <c r="C4" s="36"/>
      <c r="D4" s="36"/>
      <c r="E4" s="36"/>
      <c r="F4" s="36"/>
      <c r="G4" s="36"/>
      <c r="H4" s="36"/>
      <c r="I4" s="36"/>
      <c r="J4" s="36"/>
      <c r="K4" s="36"/>
    </row>
    <row r="5" spans="1:11" x14ac:dyDescent="0.2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</row>
    <row r="6" spans="1:11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</row>
    <row r="7" spans="1:11" x14ac:dyDescent="0.25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11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</row>
    <row r="9" spans="1:11" x14ac:dyDescent="0.2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</row>
    <row r="10" spans="1:11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</row>
    <row r="11" spans="1:11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</row>
    <row r="12" spans="1:11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</row>
    <row r="13" spans="1:11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</row>
    <row r="14" spans="1:11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</row>
    <row r="15" spans="1:1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</row>
    <row r="16" spans="1:11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</row>
    <row r="17" spans="1:11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</row>
    <row r="18" spans="1:11" ht="25.5" x14ac:dyDescent="0.65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spans="1:11" ht="15" customHeight="1" x14ac:dyDescent="0.25">
      <c r="A19" s="38" t="s">
        <v>377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</row>
    <row r="20" spans="1:11" ht="15" customHeight="1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</row>
    <row r="21" spans="1:11" ht="15" customHeight="1" x14ac:dyDescent="0.25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</row>
    <row r="22" spans="1:11" ht="15" customHeight="1" x14ac:dyDescent="0.2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</row>
    <row r="23" spans="1:11" ht="15" customHeight="1" x14ac:dyDescent="0.25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spans="1:11" ht="127.5" customHeight="1" x14ac:dyDescent="0.25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</row>
    <row r="25" spans="1:11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</row>
    <row r="26" spans="1:11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</row>
    <row r="27" spans="1:11" ht="25.5" x14ac:dyDescent="0.65">
      <c r="A27" s="23"/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1" x14ac:dyDescent="0.25">
      <c r="A28" s="39" t="s">
        <v>376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</row>
    <row r="29" spans="1:11" x14ac:dyDescent="0.25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0" spans="1:11" x14ac:dyDescent="0.25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</row>
    <row r="31" spans="1:11" x14ac:dyDescent="0.25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</row>
    <row r="32" spans="1:11" x14ac:dyDescent="0.25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</row>
    <row r="33" spans="1:11" x14ac:dyDescent="0.2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spans="1:1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</sheetData>
  <mergeCells count="5">
    <mergeCell ref="A4:K16"/>
    <mergeCell ref="A17:K17"/>
    <mergeCell ref="A19:K24"/>
    <mergeCell ref="A26:K26"/>
    <mergeCell ref="A28:K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N241"/>
  <sheetViews>
    <sheetView rightToLeft="1" view="pageBreakPreview" topLeftCell="A24" zoomScaleNormal="100" zoomScaleSheetLayoutView="100" workbookViewId="0">
      <selection activeCell="C23" sqref="C23"/>
    </sheetView>
  </sheetViews>
  <sheetFormatPr defaultColWidth="9.140625" defaultRowHeight="15.75" x14ac:dyDescent="0.4"/>
  <cols>
    <col min="1" max="1" width="22.42578125" style="3" bestFit="1" customWidth="1"/>
    <col min="2" max="2" width="8.7109375" style="3" bestFit="1" customWidth="1"/>
    <col min="3" max="4" width="14" style="3" bestFit="1" customWidth="1"/>
    <col min="5" max="5" width="9.5703125" style="3" bestFit="1" customWidth="1"/>
    <col min="6" max="6" width="8.7109375" style="3" bestFit="1" customWidth="1"/>
    <col min="7" max="7" width="14" style="3" bestFit="1" customWidth="1"/>
    <col min="8" max="8" width="8.7109375" style="3" bestFit="1" customWidth="1"/>
    <col min="9" max="9" width="12.5703125" style="3" bestFit="1" customWidth="1"/>
    <col min="10" max="10" width="9.5703125" style="3" bestFit="1" customWidth="1"/>
    <col min="11" max="11" width="11.85546875" style="3" bestFit="1" customWidth="1"/>
    <col min="12" max="13" width="14" style="3" bestFit="1" customWidth="1"/>
    <col min="14" max="14" width="7.28515625" style="3" customWidth="1"/>
    <col min="15" max="16384" width="9.140625" style="3"/>
  </cols>
  <sheetData>
    <row r="1" spans="1:14" ht="21" x14ac:dyDescent="0.55000000000000004">
      <c r="A1" s="35" t="s">
        <v>70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1" x14ac:dyDescent="0.55000000000000004">
      <c r="A2" s="35" t="s">
        <v>57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21" x14ac:dyDescent="0.55000000000000004">
      <c r="A3" s="35" t="s">
        <v>72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4" ht="21" x14ac:dyDescent="0.4">
      <c r="A4" s="34" t="s">
        <v>24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</row>
    <row r="5" spans="1:14" ht="21" x14ac:dyDescent="0.4">
      <c r="A5" s="34" t="s">
        <v>25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</row>
    <row r="7" spans="1:14" ht="18.75" customHeight="1" thickBot="1" x14ac:dyDescent="0.45">
      <c r="A7" s="7"/>
      <c r="B7" s="40" t="s">
        <v>74</v>
      </c>
      <c r="C7" s="40"/>
      <c r="D7" s="40"/>
      <c r="E7" s="10"/>
      <c r="F7" s="41" t="s">
        <v>7</v>
      </c>
      <c r="G7" s="41"/>
      <c r="H7" s="41"/>
      <c r="I7" s="41"/>
      <c r="J7" s="40" t="s">
        <v>73</v>
      </c>
      <c r="K7" s="40"/>
      <c r="L7" s="40"/>
      <c r="M7" s="40"/>
      <c r="N7" s="40"/>
    </row>
    <row r="8" spans="1:14" ht="22.5" customHeight="1" x14ac:dyDescent="0.4">
      <c r="A8" s="42" t="s">
        <v>1</v>
      </c>
      <c r="B8" s="44" t="s">
        <v>3</v>
      </c>
      <c r="C8" s="44" t="s">
        <v>0</v>
      </c>
      <c r="D8" s="46" t="s">
        <v>20</v>
      </c>
      <c r="E8" s="47" t="s">
        <v>4</v>
      </c>
      <c r="F8" s="47"/>
      <c r="G8" s="47"/>
      <c r="H8" s="47" t="s">
        <v>5</v>
      </c>
      <c r="I8" s="47"/>
      <c r="J8" s="48" t="s">
        <v>3</v>
      </c>
      <c r="K8" s="46" t="s">
        <v>29</v>
      </c>
      <c r="L8" s="48" t="s">
        <v>0</v>
      </c>
      <c r="M8" s="46" t="s">
        <v>20</v>
      </c>
      <c r="N8" s="46" t="s">
        <v>22</v>
      </c>
    </row>
    <row r="9" spans="1:14" ht="57.75" customHeight="1" thickBot="1" x14ac:dyDescent="0.45">
      <c r="A9" s="43"/>
      <c r="B9" s="45"/>
      <c r="C9" s="45"/>
      <c r="D9" s="43"/>
      <c r="E9" s="20" t="s">
        <v>66</v>
      </c>
      <c r="F9" s="9" t="s">
        <v>3</v>
      </c>
      <c r="G9" s="9" t="s">
        <v>0</v>
      </c>
      <c r="H9" s="9" t="s">
        <v>3</v>
      </c>
      <c r="I9" s="9" t="s">
        <v>56</v>
      </c>
      <c r="J9" s="45"/>
      <c r="K9" s="43"/>
      <c r="L9" s="45"/>
      <c r="M9" s="43"/>
      <c r="N9" s="43"/>
    </row>
    <row r="10" spans="1:14" x14ac:dyDescent="0.4">
      <c r="A10" s="27" t="s">
        <v>125</v>
      </c>
      <c r="B10" s="27">
        <v>7827544</v>
      </c>
      <c r="C10" s="27">
        <v>34464954868</v>
      </c>
      <c r="D10" s="27">
        <v>32396311681</v>
      </c>
      <c r="E10" s="27">
        <v>0</v>
      </c>
      <c r="F10" s="27">
        <v>2800000</v>
      </c>
      <c r="G10" s="27">
        <v>12321938159</v>
      </c>
      <c r="H10" s="27">
        <v>1600000</v>
      </c>
      <c r="I10" s="27">
        <v>7353928946</v>
      </c>
      <c r="J10" s="27">
        <v>9027544</v>
      </c>
      <c r="K10" s="27">
        <v>4711</v>
      </c>
      <c r="L10" s="27">
        <v>39743023922</v>
      </c>
      <c r="M10" s="27">
        <v>42200012471</v>
      </c>
      <c r="N10" s="28">
        <v>4.4460191003685319E-3</v>
      </c>
    </row>
    <row r="11" spans="1:14" x14ac:dyDescent="0.4">
      <c r="A11" s="27" t="s">
        <v>97</v>
      </c>
      <c r="B11" s="27">
        <v>5342935</v>
      </c>
      <c r="C11" s="27">
        <v>36355582573</v>
      </c>
      <c r="D11" s="27">
        <v>39868288526</v>
      </c>
      <c r="E11" s="27">
        <v>0</v>
      </c>
      <c r="F11" s="27">
        <v>200000</v>
      </c>
      <c r="G11" s="27">
        <v>1846907083</v>
      </c>
      <c r="H11" s="27">
        <v>0</v>
      </c>
      <c r="I11" s="27">
        <v>0</v>
      </c>
      <c r="J11" s="27">
        <v>5542935</v>
      </c>
      <c r="K11" s="27">
        <v>10820</v>
      </c>
      <c r="L11" s="27">
        <v>38202489656</v>
      </c>
      <c r="M11" s="27">
        <v>59510953377</v>
      </c>
      <c r="N11" s="28">
        <v>6.2698283697690425E-3</v>
      </c>
    </row>
    <row r="12" spans="1:14" x14ac:dyDescent="0.4">
      <c r="A12" s="27" t="s">
        <v>251</v>
      </c>
      <c r="B12" s="27">
        <v>158909</v>
      </c>
      <c r="C12" s="27">
        <v>18355763158</v>
      </c>
      <c r="D12" s="27">
        <v>17472590990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158909</v>
      </c>
      <c r="K12" s="27">
        <v>160000</v>
      </c>
      <c r="L12" s="27">
        <v>18355763158</v>
      </c>
      <c r="M12" s="27">
        <v>25228901349</v>
      </c>
      <c r="N12" s="28">
        <v>2.6580128940968868E-3</v>
      </c>
    </row>
    <row r="13" spans="1:14" x14ac:dyDescent="0.4">
      <c r="A13" s="27" t="s">
        <v>218</v>
      </c>
      <c r="B13" s="27">
        <v>2862943</v>
      </c>
      <c r="C13" s="27">
        <v>16474768843</v>
      </c>
      <c r="D13" s="27">
        <v>16760793459</v>
      </c>
      <c r="E13" s="27">
        <v>0</v>
      </c>
      <c r="F13" s="27">
        <v>2000000</v>
      </c>
      <c r="G13" s="27">
        <v>18789923310</v>
      </c>
      <c r="H13" s="27">
        <v>0</v>
      </c>
      <c r="I13" s="27">
        <v>0</v>
      </c>
      <c r="J13" s="27">
        <v>4862943</v>
      </c>
      <c r="K13" s="27">
        <v>10190</v>
      </c>
      <c r="L13" s="27">
        <v>35264692153</v>
      </c>
      <c r="M13" s="27">
        <v>49170341472</v>
      </c>
      <c r="N13" s="28">
        <v>5.1803841884261554E-3</v>
      </c>
    </row>
    <row r="14" spans="1:14" x14ac:dyDescent="0.4">
      <c r="A14" s="27" t="s">
        <v>334</v>
      </c>
      <c r="B14" s="27">
        <v>88610</v>
      </c>
      <c r="C14" s="27">
        <v>808821735</v>
      </c>
      <c r="D14" s="27">
        <v>1165886093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88610</v>
      </c>
      <c r="K14" s="27">
        <v>14950</v>
      </c>
      <c r="L14" s="27">
        <v>808821735</v>
      </c>
      <c r="M14" s="27">
        <v>1314479418</v>
      </c>
      <c r="N14" s="28">
        <v>1.3848812493800724E-4</v>
      </c>
    </row>
    <row r="15" spans="1:14" x14ac:dyDescent="0.4">
      <c r="A15" s="27" t="s">
        <v>342</v>
      </c>
      <c r="B15" s="27">
        <v>23633</v>
      </c>
      <c r="C15" s="27">
        <v>192086265</v>
      </c>
      <c r="D15" s="27">
        <v>287500885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23633</v>
      </c>
      <c r="K15" s="27">
        <v>12500</v>
      </c>
      <c r="L15" s="27">
        <v>192086265</v>
      </c>
      <c r="M15" s="27">
        <v>293128961</v>
      </c>
      <c r="N15" s="28">
        <v>3.0882857211778916E-5</v>
      </c>
    </row>
    <row r="16" spans="1:14" x14ac:dyDescent="0.4">
      <c r="A16" s="27" t="s">
        <v>283</v>
      </c>
      <c r="B16" s="27">
        <v>3814542</v>
      </c>
      <c r="C16" s="27">
        <v>16572695909</v>
      </c>
      <c r="D16" s="27">
        <v>15212138418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3814542</v>
      </c>
      <c r="K16" s="27">
        <v>4777</v>
      </c>
      <c r="L16" s="27">
        <v>16572695909</v>
      </c>
      <c r="M16" s="27">
        <v>18081210555</v>
      </c>
      <c r="N16" s="28">
        <v>1.9049616997283826E-3</v>
      </c>
    </row>
    <row r="17" spans="1:14" x14ac:dyDescent="0.4">
      <c r="A17" s="27" t="s">
        <v>253</v>
      </c>
      <c r="B17" s="27">
        <v>245000</v>
      </c>
      <c r="C17" s="27">
        <v>1829159370</v>
      </c>
      <c r="D17" s="27">
        <v>2572063067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245000</v>
      </c>
      <c r="K17" s="27">
        <v>14560</v>
      </c>
      <c r="L17" s="27">
        <v>1829159370</v>
      </c>
      <c r="M17" s="27">
        <v>3539625544</v>
      </c>
      <c r="N17" s="28">
        <v>3.7292033474139481E-4</v>
      </c>
    </row>
    <row r="18" spans="1:14" x14ac:dyDescent="0.4">
      <c r="A18" s="27" t="s">
        <v>137</v>
      </c>
      <c r="B18" s="27">
        <v>2124125</v>
      </c>
      <c r="C18" s="27">
        <v>8803931592</v>
      </c>
      <c r="D18" s="27">
        <v>8289605786</v>
      </c>
      <c r="E18" s="27">
        <v>0</v>
      </c>
      <c r="F18" s="27">
        <v>8600000</v>
      </c>
      <c r="G18" s="27">
        <v>47650559823</v>
      </c>
      <c r="H18" s="27">
        <v>0</v>
      </c>
      <c r="I18" s="27">
        <v>0</v>
      </c>
      <c r="J18" s="27">
        <v>10724125</v>
      </c>
      <c r="K18" s="27">
        <v>5240</v>
      </c>
      <c r="L18" s="27">
        <v>56454491415</v>
      </c>
      <c r="M18" s="27">
        <v>55760032172</v>
      </c>
      <c r="N18" s="28">
        <v>5.8746467964728823E-3</v>
      </c>
    </row>
    <row r="19" spans="1:14" x14ac:dyDescent="0.4">
      <c r="A19" s="27" t="s">
        <v>104</v>
      </c>
      <c r="B19" s="27">
        <v>2598170</v>
      </c>
      <c r="C19" s="27">
        <v>25862778711</v>
      </c>
      <c r="D19" s="27">
        <v>26812095917</v>
      </c>
      <c r="E19" s="27">
        <v>0</v>
      </c>
      <c r="F19" s="27">
        <v>1000000</v>
      </c>
      <c r="G19" s="27">
        <v>12895749117</v>
      </c>
      <c r="H19" s="27">
        <v>462720</v>
      </c>
      <c r="I19" s="27">
        <v>6614294361</v>
      </c>
      <c r="J19" s="27">
        <v>3135450</v>
      </c>
      <c r="K19" s="27">
        <v>14160</v>
      </c>
      <c r="L19" s="27">
        <v>33774231367</v>
      </c>
      <c r="M19" s="27">
        <v>44054775676</v>
      </c>
      <c r="N19" s="28">
        <v>4.6414292946607176E-3</v>
      </c>
    </row>
    <row r="20" spans="1:14" x14ac:dyDescent="0.4">
      <c r="A20" s="27" t="s">
        <v>293</v>
      </c>
      <c r="B20" s="27">
        <v>8948358</v>
      </c>
      <c r="C20" s="27">
        <v>14347988206</v>
      </c>
      <c r="D20" s="27">
        <v>19054735715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8948358</v>
      </c>
      <c r="K20" s="27">
        <v>3597</v>
      </c>
      <c r="L20" s="27">
        <v>14347988206</v>
      </c>
      <c r="M20" s="27">
        <v>31938436332</v>
      </c>
      <c r="N20" s="28">
        <v>3.3649018010494295E-3</v>
      </c>
    </row>
    <row r="21" spans="1:14" x14ac:dyDescent="0.4">
      <c r="A21" s="27" t="s">
        <v>119</v>
      </c>
      <c r="B21" s="27">
        <v>8421427</v>
      </c>
      <c r="C21" s="27">
        <v>38251154824</v>
      </c>
      <c r="D21" s="27">
        <v>28737416701</v>
      </c>
      <c r="E21" s="27">
        <v>0</v>
      </c>
      <c r="F21" s="27">
        <v>6800000</v>
      </c>
      <c r="G21" s="27">
        <v>31482803475</v>
      </c>
      <c r="H21" s="27">
        <v>200000</v>
      </c>
      <c r="I21" s="27">
        <v>1113419348</v>
      </c>
      <c r="J21" s="27">
        <v>15021427</v>
      </c>
      <c r="K21" s="27">
        <v>6740</v>
      </c>
      <c r="L21" s="27">
        <v>68817697842</v>
      </c>
      <c r="M21" s="27">
        <v>100461798629</v>
      </c>
      <c r="N21" s="28">
        <v>1.0584240368858994E-2</v>
      </c>
    </row>
    <row r="22" spans="1:14" x14ac:dyDescent="0.4">
      <c r="A22" s="27" t="s">
        <v>88</v>
      </c>
      <c r="B22" s="27">
        <v>1505609</v>
      </c>
      <c r="C22" s="27">
        <v>23779834687</v>
      </c>
      <c r="D22" s="27">
        <v>29640377546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1505609</v>
      </c>
      <c r="K22" s="27">
        <v>26860</v>
      </c>
      <c r="L22" s="27">
        <v>23779834687</v>
      </c>
      <c r="M22" s="27">
        <v>40128051456</v>
      </c>
      <c r="N22" s="28">
        <v>4.2277258414686802E-3</v>
      </c>
    </row>
    <row r="23" spans="1:14" x14ac:dyDescent="0.4">
      <c r="A23" s="27" t="s">
        <v>108</v>
      </c>
      <c r="B23" s="27">
        <v>7203637</v>
      </c>
      <c r="C23" s="27">
        <v>19757185735</v>
      </c>
      <c r="D23" s="27">
        <v>14953517437</v>
      </c>
      <c r="E23" s="27">
        <v>0</v>
      </c>
      <c r="F23" s="27">
        <v>2800000</v>
      </c>
      <c r="G23" s="27">
        <v>6496566487</v>
      </c>
      <c r="H23" s="27">
        <v>0</v>
      </c>
      <c r="I23" s="27">
        <v>0</v>
      </c>
      <c r="J23" s="27">
        <v>10003637</v>
      </c>
      <c r="K23" s="27">
        <v>2425</v>
      </c>
      <c r="L23" s="27">
        <v>26253752222</v>
      </c>
      <c r="M23" s="27">
        <v>24071299049</v>
      </c>
      <c r="N23" s="28">
        <v>2.5360526946782871E-3</v>
      </c>
    </row>
    <row r="24" spans="1:14" x14ac:dyDescent="0.4">
      <c r="A24" s="27" t="s">
        <v>85</v>
      </c>
      <c r="B24" s="27">
        <v>18071939</v>
      </c>
      <c r="C24" s="27">
        <v>34435301467</v>
      </c>
      <c r="D24" s="27">
        <v>42373890000</v>
      </c>
      <c r="E24" s="27">
        <v>0</v>
      </c>
      <c r="F24" s="27">
        <v>10000000</v>
      </c>
      <c r="G24" s="27">
        <v>30714172801</v>
      </c>
      <c r="H24" s="27">
        <v>0</v>
      </c>
      <c r="I24" s="27">
        <v>0</v>
      </c>
      <c r="J24" s="27">
        <v>28071939</v>
      </c>
      <c r="K24" s="27">
        <v>2996</v>
      </c>
      <c r="L24" s="27">
        <v>65149474268</v>
      </c>
      <c r="M24" s="27">
        <v>83453408963</v>
      </c>
      <c r="N24" s="28">
        <v>8.7923066490878735E-3</v>
      </c>
    </row>
    <row r="25" spans="1:14" x14ac:dyDescent="0.4">
      <c r="A25" s="27" t="s">
        <v>87</v>
      </c>
      <c r="B25" s="27">
        <v>38707736</v>
      </c>
      <c r="C25" s="27">
        <v>20248050973</v>
      </c>
      <c r="D25" s="27">
        <v>17706330118</v>
      </c>
      <c r="E25" s="27">
        <v>0</v>
      </c>
      <c r="F25" s="27">
        <v>92800000</v>
      </c>
      <c r="G25" s="27">
        <v>52003421576</v>
      </c>
      <c r="H25" s="27">
        <v>0</v>
      </c>
      <c r="I25" s="27">
        <v>0</v>
      </c>
      <c r="J25" s="27">
        <v>131507736</v>
      </c>
      <c r="K25" s="27">
        <v>576</v>
      </c>
      <c r="L25" s="27">
        <v>72251472549</v>
      </c>
      <c r="M25" s="27">
        <v>75162920372</v>
      </c>
      <c r="N25" s="28">
        <v>7.9188549966196769E-3</v>
      </c>
    </row>
    <row r="26" spans="1:14" x14ac:dyDescent="0.4">
      <c r="A26" s="27" t="s">
        <v>141</v>
      </c>
      <c r="B26" s="27">
        <v>1750000</v>
      </c>
      <c r="C26" s="27">
        <v>4291393050</v>
      </c>
      <c r="D26" s="27">
        <v>4606861542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1750000</v>
      </c>
      <c r="K26" s="27">
        <v>2679</v>
      </c>
      <c r="L26" s="27">
        <v>4291393050</v>
      </c>
      <c r="M26" s="27">
        <v>4652009827</v>
      </c>
      <c r="N26" s="28">
        <v>4.9011655056162577E-4</v>
      </c>
    </row>
    <row r="27" spans="1:14" x14ac:dyDescent="0.4">
      <c r="A27" s="27" t="s">
        <v>343</v>
      </c>
      <c r="B27" s="27">
        <v>12753305</v>
      </c>
      <c r="C27" s="27">
        <v>18425777349</v>
      </c>
      <c r="D27" s="27">
        <v>14919917182</v>
      </c>
      <c r="E27" s="27">
        <v>0</v>
      </c>
      <c r="F27" s="27">
        <v>18600000</v>
      </c>
      <c r="G27" s="27">
        <v>22836481774</v>
      </c>
      <c r="H27" s="27">
        <v>0</v>
      </c>
      <c r="I27" s="27">
        <v>0</v>
      </c>
      <c r="J27" s="27">
        <v>31353305</v>
      </c>
      <c r="K27" s="27">
        <v>1520</v>
      </c>
      <c r="L27" s="27">
        <v>41262935127</v>
      </c>
      <c r="M27" s="27">
        <v>47288634808</v>
      </c>
      <c r="N27" s="28">
        <v>4.9821353425239419E-3</v>
      </c>
    </row>
    <row r="28" spans="1:14" x14ac:dyDescent="0.4">
      <c r="A28" s="27" t="s">
        <v>132</v>
      </c>
      <c r="B28" s="27">
        <v>36217996</v>
      </c>
      <c r="C28" s="27">
        <v>17509465532</v>
      </c>
      <c r="D28" s="27">
        <v>13908017955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36217996</v>
      </c>
      <c r="K28" s="27">
        <v>642</v>
      </c>
      <c r="L28" s="27">
        <v>17509465532</v>
      </c>
      <c r="M28" s="27">
        <v>23072215832</v>
      </c>
      <c r="N28" s="28">
        <v>2.4307934114330002E-3</v>
      </c>
    </row>
    <row r="29" spans="1:14" x14ac:dyDescent="0.4">
      <c r="A29" s="27" t="s">
        <v>91</v>
      </c>
      <c r="B29" s="27">
        <v>5200000</v>
      </c>
      <c r="C29" s="27">
        <v>14691594372</v>
      </c>
      <c r="D29" s="27">
        <v>14143022764</v>
      </c>
      <c r="E29" s="27">
        <v>0</v>
      </c>
      <c r="F29" s="27">
        <v>3200000</v>
      </c>
      <c r="G29" s="27">
        <v>12721800790</v>
      </c>
      <c r="H29" s="27">
        <v>1600000</v>
      </c>
      <c r="I29" s="27">
        <v>6007600834</v>
      </c>
      <c r="J29" s="27">
        <v>6800000</v>
      </c>
      <c r="K29" s="27">
        <v>4595</v>
      </c>
      <c r="L29" s="27">
        <v>22892904586</v>
      </c>
      <c r="M29" s="27">
        <v>31004468420</v>
      </c>
      <c r="N29" s="28">
        <v>3.2665027975245634E-3</v>
      </c>
    </row>
    <row r="30" spans="1:14" x14ac:dyDescent="0.4">
      <c r="A30" s="27" t="s">
        <v>291</v>
      </c>
      <c r="B30" s="27">
        <v>7875143</v>
      </c>
      <c r="C30" s="27">
        <v>19725792207</v>
      </c>
      <c r="D30" s="27">
        <v>15378479709</v>
      </c>
      <c r="E30" s="27">
        <v>0</v>
      </c>
      <c r="F30" s="27">
        <v>1200000</v>
      </c>
      <c r="G30" s="27">
        <v>2801209050</v>
      </c>
      <c r="H30" s="27">
        <v>0</v>
      </c>
      <c r="I30" s="27">
        <v>0</v>
      </c>
      <c r="J30" s="27">
        <v>9075143</v>
      </c>
      <c r="K30" s="27">
        <v>2746</v>
      </c>
      <c r="L30" s="27">
        <v>22527001257</v>
      </c>
      <c r="M30" s="27">
        <v>24727708429</v>
      </c>
      <c r="N30" s="28">
        <v>2.6052092771116837E-3</v>
      </c>
    </row>
    <row r="31" spans="1:14" x14ac:dyDescent="0.4">
      <c r="A31" s="27" t="s">
        <v>328</v>
      </c>
      <c r="B31" s="27">
        <v>45323085</v>
      </c>
      <c r="C31" s="27">
        <v>27296589533</v>
      </c>
      <c r="D31" s="27">
        <v>22531341514</v>
      </c>
      <c r="E31" s="27">
        <v>0</v>
      </c>
      <c r="F31" s="27">
        <v>16800000</v>
      </c>
      <c r="G31" s="27">
        <v>10204271719</v>
      </c>
      <c r="H31" s="27">
        <v>0</v>
      </c>
      <c r="I31" s="27">
        <v>0</v>
      </c>
      <c r="J31" s="27">
        <v>62123085</v>
      </c>
      <c r="K31" s="27">
        <v>695</v>
      </c>
      <c r="L31" s="27">
        <v>37500861252</v>
      </c>
      <c r="M31" s="27">
        <v>42841797119</v>
      </c>
      <c r="N31" s="28">
        <v>4.5136348814134343E-3</v>
      </c>
    </row>
    <row r="32" spans="1:14" x14ac:dyDescent="0.4">
      <c r="A32" s="27" t="s">
        <v>83</v>
      </c>
      <c r="B32" s="27">
        <v>22496139</v>
      </c>
      <c r="C32" s="27">
        <v>21567165972</v>
      </c>
      <c r="D32" s="27">
        <v>21005231459</v>
      </c>
      <c r="E32" s="27">
        <v>0</v>
      </c>
      <c r="F32" s="27">
        <v>35200000</v>
      </c>
      <c r="G32" s="27">
        <v>43305481288</v>
      </c>
      <c r="H32" s="27">
        <v>4000000</v>
      </c>
      <c r="I32" s="27">
        <v>5350535644</v>
      </c>
      <c r="J32" s="27">
        <v>53696139</v>
      </c>
      <c r="K32" s="27">
        <v>1326</v>
      </c>
      <c r="L32" s="27">
        <v>60375109062</v>
      </c>
      <c r="M32" s="27">
        <v>70650695963</v>
      </c>
      <c r="N32" s="28">
        <v>7.4434656606248263E-3</v>
      </c>
    </row>
    <row r="33" spans="1:14" x14ac:dyDescent="0.4">
      <c r="A33" s="27" t="s">
        <v>134</v>
      </c>
      <c r="B33" s="27">
        <v>8503159</v>
      </c>
      <c r="C33" s="27">
        <v>27256902444</v>
      </c>
      <c r="D33" s="27">
        <v>25135102722</v>
      </c>
      <c r="E33" s="27">
        <v>0</v>
      </c>
      <c r="F33" s="27">
        <v>6800000</v>
      </c>
      <c r="G33" s="27">
        <v>27180614977</v>
      </c>
      <c r="H33" s="27">
        <v>0</v>
      </c>
      <c r="I33" s="27">
        <v>0</v>
      </c>
      <c r="J33" s="27">
        <v>15303159</v>
      </c>
      <c r="K33" s="27">
        <v>5130</v>
      </c>
      <c r="L33" s="27">
        <v>54437517421</v>
      </c>
      <c r="M33" s="27">
        <v>77898360430</v>
      </c>
      <c r="N33" s="28">
        <v>8.2070496684610392E-3</v>
      </c>
    </row>
    <row r="34" spans="1:14" x14ac:dyDescent="0.4">
      <c r="A34" s="27" t="s">
        <v>99</v>
      </c>
      <c r="B34" s="27">
        <v>11245192</v>
      </c>
      <c r="C34" s="27">
        <v>15177317639</v>
      </c>
      <c r="D34" s="27">
        <v>16949407065</v>
      </c>
      <c r="E34" s="27">
        <v>0</v>
      </c>
      <c r="F34" s="27">
        <v>5600000</v>
      </c>
      <c r="G34" s="27">
        <v>9977246995</v>
      </c>
      <c r="H34" s="27">
        <v>0</v>
      </c>
      <c r="I34" s="27">
        <v>0</v>
      </c>
      <c r="J34" s="27">
        <v>16845192</v>
      </c>
      <c r="K34" s="27">
        <v>1871</v>
      </c>
      <c r="L34" s="27">
        <v>25154564634</v>
      </c>
      <c r="M34" s="27">
        <v>31273725084</v>
      </c>
      <c r="N34" s="28">
        <v>3.2948705680760099E-3</v>
      </c>
    </row>
    <row r="35" spans="1:14" x14ac:dyDescent="0.4">
      <c r="A35" s="27" t="s">
        <v>305</v>
      </c>
      <c r="B35" s="27">
        <v>9210264</v>
      </c>
      <c r="C35" s="27">
        <v>15031859870</v>
      </c>
      <c r="D35" s="27">
        <v>17592707169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9210264</v>
      </c>
      <c r="K35" s="27">
        <v>3010</v>
      </c>
      <c r="L35" s="27">
        <v>15031859870</v>
      </c>
      <c r="M35" s="27">
        <v>27508596664</v>
      </c>
      <c r="N35" s="28">
        <v>2.8981921812588482E-3</v>
      </c>
    </row>
    <row r="36" spans="1:14" x14ac:dyDescent="0.4">
      <c r="A36" s="27" t="s">
        <v>227</v>
      </c>
      <c r="B36" s="27">
        <v>7041661</v>
      </c>
      <c r="C36" s="27">
        <v>16060551276</v>
      </c>
      <c r="D36" s="27">
        <v>14163113103</v>
      </c>
      <c r="E36" s="27">
        <v>3009587</v>
      </c>
      <c r="F36" s="27">
        <v>10800000</v>
      </c>
      <c r="G36" s="27">
        <v>26202826774</v>
      </c>
      <c r="H36" s="27">
        <v>0</v>
      </c>
      <c r="I36" s="27">
        <v>0</v>
      </c>
      <c r="J36" s="27">
        <v>20851248</v>
      </c>
      <c r="K36" s="27">
        <v>2140</v>
      </c>
      <c r="L36" s="27">
        <v>42263378050</v>
      </c>
      <c r="M36" s="27">
        <v>44276745205</v>
      </c>
      <c r="N36" s="28">
        <v>4.664815087883219E-3</v>
      </c>
    </row>
    <row r="37" spans="1:14" x14ac:dyDescent="0.4">
      <c r="A37" s="27" t="s">
        <v>142</v>
      </c>
      <c r="B37" s="27">
        <v>2875000</v>
      </c>
      <c r="C37" s="27">
        <v>4907321845</v>
      </c>
      <c r="D37" s="27">
        <v>5326133259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2875000</v>
      </c>
      <c r="K37" s="27">
        <v>1925</v>
      </c>
      <c r="L37" s="27">
        <v>4907321845</v>
      </c>
      <c r="M37" s="27">
        <v>5491594281</v>
      </c>
      <c r="N37" s="28">
        <v>5.7857170259319646E-4</v>
      </c>
    </row>
    <row r="38" spans="1:14" x14ac:dyDescent="0.4">
      <c r="A38" s="27" t="s">
        <v>344</v>
      </c>
      <c r="B38" s="27">
        <v>0</v>
      </c>
      <c r="C38" s="27">
        <v>0</v>
      </c>
      <c r="D38" s="27">
        <v>0</v>
      </c>
      <c r="E38" s="27">
        <v>0</v>
      </c>
      <c r="F38" s="27">
        <v>6000000</v>
      </c>
      <c r="G38" s="27">
        <v>72340764580</v>
      </c>
      <c r="H38" s="27">
        <v>0</v>
      </c>
      <c r="I38" s="27">
        <v>0</v>
      </c>
      <c r="J38" s="27">
        <v>6000000</v>
      </c>
      <c r="K38" s="27">
        <v>12300</v>
      </c>
      <c r="L38" s="27">
        <v>72340764580</v>
      </c>
      <c r="M38" s="27">
        <v>73229526000</v>
      </c>
      <c r="N38" s="28">
        <v>7.7151605471840485E-3</v>
      </c>
    </row>
    <row r="39" spans="1:14" x14ac:dyDescent="0.4">
      <c r="A39" s="27" t="s">
        <v>107</v>
      </c>
      <c r="B39" s="27">
        <v>9863245</v>
      </c>
      <c r="C39" s="27">
        <v>13795408450</v>
      </c>
      <c r="D39" s="27">
        <v>12116308620</v>
      </c>
      <c r="E39" s="27">
        <v>0</v>
      </c>
      <c r="F39" s="27">
        <v>7600000</v>
      </c>
      <c r="G39" s="27">
        <v>10136779825</v>
      </c>
      <c r="H39" s="27">
        <v>0</v>
      </c>
      <c r="I39" s="27">
        <v>0</v>
      </c>
      <c r="J39" s="27">
        <v>17463245</v>
      </c>
      <c r="K39" s="27">
        <v>1437</v>
      </c>
      <c r="L39" s="27">
        <v>23932188275</v>
      </c>
      <c r="M39" s="27">
        <v>24900701165</v>
      </c>
      <c r="N39" s="28">
        <v>2.6234350776137465E-3</v>
      </c>
    </row>
    <row r="40" spans="1:14" x14ac:dyDescent="0.4">
      <c r="A40" s="27" t="s">
        <v>145</v>
      </c>
      <c r="B40" s="27">
        <v>3665469</v>
      </c>
      <c r="C40" s="27">
        <v>7054403067</v>
      </c>
      <c r="D40" s="27">
        <v>7063316024</v>
      </c>
      <c r="E40" s="27">
        <v>1127836</v>
      </c>
      <c r="F40" s="27">
        <v>0</v>
      </c>
      <c r="G40" s="27">
        <v>0</v>
      </c>
      <c r="H40" s="27">
        <v>0</v>
      </c>
      <c r="I40" s="27">
        <v>0</v>
      </c>
      <c r="J40" s="27">
        <v>4793305</v>
      </c>
      <c r="K40" s="27">
        <v>2758</v>
      </c>
      <c r="L40" s="27">
        <v>9224987442</v>
      </c>
      <c r="M40" s="27">
        <v>13117745091</v>
      </c>
      <c r="N40" s="28">
        <v>1.3820314690293151E-3</v>
      </c>
    </row>
    <row r="41" spans="1:14" x14ac:dyDescent="0.4">
      <c r="A41" s="27" t="s">
        <v>345</v>
      </c>
      <c r="B41" s="27">
        <v>1127836</v>
      </c>
      <c r="C41" s="27">
        <v>1042748375</v>
      </c>
      <c r="D41" s="27">
        <v>1054208994</v>
      </c>
      <c r="E41" s="27">
        <v>-1127836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8">
        <v>0</v>
      </c>
    </row>
    <row r="42" spans="1:14" x14ac:dyDescent="0.4">
      <c r="A42" s="27" t="s">
        <v>114</v>
      </c>
      <c r="B42" s="27">
        <v>8417878</v>
      </c>
      <c r="C42" s="27">
        <v>13185272310</v>
      </c>
      <c r="D42" s="27">
        <v>13564959872</v>
      </c>
      <c r="E42" s="27">
        <v>0</v>
      </c>
      <c r="F42" s="27">
        <v>21000000</v>
      </c>
      <c r="G42" s="27">
        <v>35205538368</v>
      </c>
      <c r="H42" s="27">
        <v>10800000</v>
      </c>
      <c r="I42" s="27">
        <v>17649714249</v>
      </c>
      <c r="J42" s="27">
        <v>18617878</v>
      </c>
      <c r="K42" s="27">
        <v>1612</v>
      </c>
      <c r="L42" s="27">
        <v>30626130885</v>
      </c>
      <c r="M42" s="27">
        <v>29780026427</v>
      </c>
      <c r="N42" s="28">
        <v>3.1375006439846235E-3</v>
      </c>
    </row>
    <row r="43" spans="1:14" x14ac:dyDescent="0.4">
      <c r="A43" s="27" t="s">
        <v>310</v>
      </c>
      <c r="B43" s="27">
        <v>6092011</v>
      </c>
      <c r="C43" s="27">
        <v>15931326710</v>
      </c>
      <c r="D43" s="27">
        <v>11418853417</v>
      </c>
      <c r="E43" s="27">
        <v>0</v>
      </c>
      <c r="F43" s="27">
        <v>8000000</v>
      </c>
      <c r="G43" s="27">
        <v>22266014251</v>
      </c>
      <c r="H43" s="27">
        <v>0</v>
      </c>
      <c r="I43" s="27">
        <v>0</v>
      </c>
      <c r="J43" s="27">
        <v>14092011</v>
      </c>
      <c r="K43" s="27">
        <v>2630</v>
      </c>
      <c r="L43" s="27">
        <v>38197340961</v>
      </c>
      <c r="M43" s="27">
        <v>36775499756</v>
      </c>
      <c r="N43" s="28">
        <v>3.8745148346374355E-3</v>
      </c>
    </row>
    <row r="44" spans="1:14" x14ac:dyDescent="0.4">
      <c r="A44" s="27" t="s">
        <v>131</v>
      </c>
      <c r="B44" s="27">
        <v>4238695</v>
      </c>
      <c r="C44" s="27">
        <v>14423813496</v>
      </c>
      <c r="D44" s="27">
        <v>25904322178</v>
      </c>
      <c r="E44" s="27">
        <v>0</v>
      </c>
      <c r="F44" s="27">
        <v>1600000</v>
      </c>
      <c r="G44" s="27">
        <v>10422560329</v>
      </c>
      <c r="H44" s="27">
        <v>0</v>
      </c>
      <c r="I44" s="27">
        <v>0</v>
      </c>
      <c r="J44" s="27">
        <v>5838695</v>
      </c>
      <c r="K44" s="27">
        <v>7970</v>
      </c>
      <c r="L44" s="27">
        <v>24846373825</v>
      </c>
      <c r="M44" s="27">
        <v>46174688245</v>
      </c>
      <c r="N44" s="28">
        <v>4.8647745313324447E-3</v>
      </c>
    </row>
    <row r="45" spans="1:14" x14ac:dyDescent="0.4">
      <c r="A45" s="27" t="s">
        <v>147</v>
      </c>
      <c r="B45" s="27">
        <v>5516183</v>
      </c>
      <c r="C45" s="27">
        <v>10525602537</v>
      </c>
      <c r="D45" s="27">
        <v>23317292777</v>
      </c>
      <c r="E45" s="27">
        <v>0</v>
      </c>
      <c r="F45" s="27">
        <v>5800000</v>
      </c>
      <c r="G45" s="27">
        <v>30464058245</v>
      </c>
      <c r="H45" s="27">
        <v>0</v>
      </c>
      <c r="I45" s="27">
        <v>0</v>
      </c>
      <c r="J45" s="27">
        <v>11316183</v>
      </c>
      <c r="K45" s="27">
        <v>5570</v>
      </c>
      <c r="L45" s="27">
        <v>40989660782</v>
      </c>
      <c r="M45" s="27">
        <v>62543908603</v>
      </c>
      <c r="N45" s="28">
        <v>6.5893680114842007E-3</v>
      </c>
    </row>
    <row r="46" spans="1:14" x14ac:dyDescent="0.4">
      <c r="A46" s="27" t="s">
        <v>346</v>
      </c>
      <c r="B46" s="27">
        <v>6728056</v>
      </c>
      <c r="C46" s="27">
        <v>17155336279</v>
      </c>
      <c r="D46" s="27">
        <v>11135648276</v>
      </c>
      <c r="E46" s="27">
        <v>0</v>
      </c>
      <c r="F46" s="27">
        <v>7600000</v>
      </c>
      <c r="G46" s="27">
        <v>19669134843</v>
      </c>
      <c r="H46" s="27">
        <v>0</v>
      </c>
      <c r="I46" s="27">
        <v>0</v>
      </c>
      <c r="J46" s="27">
        <v>14328056</v>
      </c>
      <c r="K46" s="27">
        <v>2553</v>
      </c>
      <c r="L46" s="27">
        <v>36824471122</v>
      </c>
      <c r="M46" s="27">
        <v>36296767225</v>
      </c>
      <c r="N46" s="28">
        <v>3.82407755151444E-3</v>
      </c>
    </row>
    <row r="47" spans="1:14" x14ac:dyDescent="0.4">
      <c r="A47" s="27" t="s">
        <v>265</v>
      </c>
      <c r="B47" s="27">
        <v>11800000</v>
      </c>
      <c r="C47" s="27">
        <v>29761393766</v>
      </c>
      <c r="D47" s="27">
        <v>26473565146</v>
      </c>
      <c r="E47" s="27">
        <v>0</v>
      </c>
      <c r="F47" s="27">
        <v>1600000</v>
      </c>
      <c r="G47" s="27">
        <v>4306957551</v>
      </c>
      <c r="H47" s="27">
        <v>0</v>
      </c>
      <c r="I47" s="27">
        <v>0</v>
      </c>
      <c r="J47" s="27">
        <v>13400000</v>
      </c>
      <c r="K47" s="27">
        <v>3836</v>
      </c>
      <c r="L47" s="27">
        <v>34068351317</v>
      </c>
      <c r="M47" s="27">
        <v>51005059448</v>
      </c>
      <c r="N47" s="28">
        <v>5.37368250014327E-3</v>
      </c>
    </row>
    <row r="48" spans="1:14" x14ac:dyDescent="0.4">
      <c r="A48" s="27" t="s">
        <v>149</v>
      </c>
      <c r="B48" s="27">
        <v>7357161</v>
      </c>
      <c r="C48" s="27">
        <v>29325140888</v>
      </c>
      <c r="D48" s="27">
        <v>22338887845</v>
      </c>
      <c r="E48" s="27">
        <v>0</v>
      </c>
      <c r="F48" s="27">
        <v>800000</v>
      </c>
      <c r="G48" s="27">
        <v>3052850437</v>
      </c>
      <c r="H48" s="27">
        <v>0</v>
      </c>
      <c r="I48" s="27">
        <v>0</v>
      </c>
      <c r="J48" s="27">
        <v>8157161</v>
      </c>
      <c r="K48" s="27">
        <v>5261</v>
      </c>
      <c r="L48" s="27">
        <v>32377991325</v>
      </c>
      <c r="M48" s="27">
        <v>42583092431</v>
      </c>
      <c r="N48" s="28">
        <v>4.4863788234918095E-3</v>
      </c>
    </row>
    <row r="49" spans="1:14" x14ac:dyDescent="0.4">
      <c r="A49" s="27" t="s">
        <v>336</v>
      </c>
      <c r="B49" s="27">
        <v>842177</v>
      </c>
      <c r="C49" s="27">
        <v>2001916090</v>
      </c>
      <c r="D49" s="27">
        <v>2674134310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842177</v>
      </c>
      <c r="K49" s="27">
        <v>3691</v>
      </c>
      <c r="L49" s="27">
        <v>2001916090</v>
      </c>
      <c r="M49" s="27">
        <v>3084446793</v>
      </c>
      <c r="N49" s="28">
        <v>3.2496458064253976E-4</v>
      </c>
    </row>
    <row r="50" spans="1:14" x14ac:dyDescent="0.4">
      <c r="A50" s="27" t="s">
        <v>151</v>
      </c>
      <c r="B50" s="27">
        <v>285750</v>
      </c>
      <c r="C50" s="27">
        <v>12123197874</v>
      </c>
      <c r="D50" s="27">
        <v>13822631184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285750</v>
      </c>
      <c r="K50" s="27">
        <v>56000</v>
      </c>
      <c r="L50" s="27">
        <v>12123197874</v>
      </c>
      <c r="M50" s="27">
        <v>15878304540</v>
      </c>
      <c r="N50" s="28">
        <v>1.6728726162064925E-3</v>
      </c>
    </row>
    <row r="51" spans="1:14" x14ac:dyDescent="0.4">
      <c r="A51" s="27" t="s">
        <v>153</v>
      </c>
      <c r="B51" s="27">
        <v>11278863</v>
      </c>
      <c r="C51" s="27">
        <v>13153897968</v>
      </c>
      <c r="D51" s="27">
        <v>14649905702</v>
      </c>
      <c r="E51" s="27">
        <v>0</v>
      </c>
      <c r="F51" s="27">
        <v>400000</v>
      </c>
      <c r="G51" s="27">
        <v>615234625</v>
      </c>
      <c r="H51" s="27">
        <v>0</v>
      </c>
      <c r="I51" s="27">
        <v>0</v>
      </c>
      <c r="J51" s="27">
        <v>11678863</v>
      </c>
      <c r="K51" s="27">
        <v>1448</v>
      </c>
      <c r="L51" s="27">
        <v>13769132593</v>
      </c>
      <c r="M51" s="27">
        <v>16780271643</v>
      </c>
      <c r="N51" s="28">
        <v>1.7679001466035004E-3</v>
      </c>
    </row>
    <row r="52" spans="1:14" x14ac:dyDescent="0.4">
      <c r="A52" s="27" t="s">
        <v>154</v>
      </c>
      <c r="B52" s="27">
        <v>2235616</v>
      </c>
      <c r="C52" s="27">
        <v>11910020869</v>
      </c>
      <c r="D52" s="27">
        <v>13664941680</v>
      </c>
      <c r="E52" s="27">
        <v>0</v>
      </c>
      <c r="F52" s="27">
        <v>2000000</v>
      </c>
      <c r="G52" s="27">
        <v>13421577091</v>
      </c>
      <c r="H52" s="27">
        <v>0</v>
      </c>
      <c r="I52" s="27">
        <v>0</v>
      </c>
      <c r="J52" s="27">
        <v>4235616</v>
      </c>
      <c r="K52" s="27">
        <v>7340</v>
      </c>
      <c r="L52" s="27">
        <v>25331597960</v>
      </c>
      <c r="M52" s="27">
        <v>30849100212</v>
      </c>
      <c r="N52" s="28">
        <v>3.2501338445335487E-3</v>
      </c>
    </row>
    <row r="53" spans="1:14" x14ac:dyDescent="0.4">
      <c r="A53" s="27" t="s">
        <v>156</v>
      </c>
      <c r="B53" s="27">
        <v>250000</v>
      </c>
      <c r="C53" s="27">
        <v>800726400</v>
      </c>
      <c r="D53" s="27">
        <v>1073140005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250000</v>
      </c>
      <c r="K53" s="27">
        <v>6890</v>
      </c>
      <c r="L53" s="27">
        <v>800726400</v>
      </c>
      <c r="M53" s="27">
        <v>1709185075</v>
      </c>
      <c r="N53" s="28">
        <v>1.8007268350304231E-4</v>
      </c>
    </row>
    <row r="54" spans="1:14" x14ac:dyDescent="0.4">
      <c r="A54" s="27" t="s">
        <v>158</v>
      </c>
      <c r="B54" s="27">
        <v>3860139</v>
      </c>
      <c r="C54" s="27">
        <v>16072935194</v>
      </c>
      <c r="D54" s="27">
        <v>17048665859</v>
      </c>
      <c r="E54" s="27">
        <v>0</v>
      </c>
      <c r="F54" s="27">
        <v>7200000</v>
      </c>
      <c r="G54" s="27">
        <v>37381160704</v>
      </c>
      <c r="H54" s="27">
        <v>0</v>
      </c>
      <c r="I54" s="27">
        <v>0</v>
      </c>
      <c r="J54" s="27">
        <v>11060139</v>
      </c>
      <c r="K54" s="27">
        <v>5100</v>
      </c>
      <c r="L54" s="27">
        <v>53454095898</v>
      </c>
      <c r="M54" s="27">
        <v>55970685040</v>
      </c>
      <c r="N54" s="28">
        <v>5.8968403130107991E-3</v>
      </c>
    </row>
    <row r="55" spans="1:14" x14ac:dyDescent="0.4">
      <c r="A55" s="27" t="s">
        <v>266</v>
      </c>
      <c r="B55" s="27">
        <v>189400</v>
      </c>
      <c r="C55" s="27">
        <v>27382794088</v>
      </c>
      <c r="D55" s="27">
        <v>24403481549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189400</v>
      </c>
      <c r="K55" s="27">
        <v>180800</v>
      </c>
      <c r="L55" s="27">
        <v>27382794088</v>
      </c>
      <c r="M55" s="27">
        <v>33978817590</v>
      </c>
      <c r="N55" s="28">
        <v>3.5798679471219213E-3</v>
      </c>
    </row>
    <row r="56" spans="1:14" x14ac:dyDescent="0.4">
      <c r="A56" s="27" t="s">
        <v>112</v>
      </c>
      <c r="B56" s="27">
        <v>3735701</v>
      </c>
      <c r="C56" s="27">
        <v>27192110695</v>
      </c>
      <c r="D56" s="27">
        <v>35956193103</v>
      </c>
      <c r="E56" s="27">
        <v>0</v>
      </c>
      <c r="F56" s="27">
        <v>0</v>
      </c>
      <c r="G56" s="27">
        <v>0</v>
      </c>
      <c r="H56" s="27">
        <v>200000</v>
      </c>
      <c r="I56" s="27">
        <v>1976284192</v>
      </c>
      <c r="J56" s="27">
        <v>3535701</v>
      </c>
      <c r="K56" s="27">
        <v>11670</v>
      </c>
      <c r="L56" s="27">
        <v>25736313740</v>
      </c>
      <c r="M56" s="27">
        <v>40942678265</v>
      </c>
      <c r="N56" s="28">
        <v>4.3135515590552618E-3</v>
      </c>
    </row>
    <row r="57" spans="1:14" x14ac:dyDescent="0.4">
      <c r="A57" s="27" t="s">
        <v>317</v>
      </c>
      <c r="B57" s="27">
        <v>3283236</v>
      </c>
      <c r="C57" s="27">
        <v>23186514787</v>
      </c>
      <c r="D57" s="27">
        <v>17983368353</v>
      </c>
      <c r="E57" s="27">
        <v>0</v>
      </c>
      <c r="F57" s="27">
        <v>4000000</v>
      </c>
      <c r="G57" s="27">
        <v>24430510873</v>
      </c>
      <c r="H57" s="27">
        <v>0</v>
      </c>
      <c r="I57" s="27">
        <v>0</v>
      </c>
      <c r="J57" s="27">
        <v>7283236</v>
      </c>
      <c r="K57" s="27">
        <v>6780</v>
      </c>
      <c r="L57" s="27">
        <v>47617025660</v>
      </c>
      <c r="M57" s="27">
        <v>48998630051</v>
      </c>
      <c r="N57" s="28">
        <v>5.1622933819828621E-3</v>
      </c>
    </row>
    <row r="58" spans="1:14" x14ac:dyDescent="0.4">
      <c r="A58" s="27" t="s">
        <v>90</v>
      </c>
      <c r="B58" s="27">
        <v>7360615</v>
      </c>
      <c r="C58" s="27">
        <v>17988221506</v>
      </c>
      <c r="D58" s="27">
        <v>12167993265</v>
      </c>
      <c r="E58" s="27">
        <v>0</v>
      </c>
      <c r="F58" s="27">
        <v>5600000</v>
      </c>
      <c r="G58" s="27">
        <v>11263197911</v>
      </c>
      <c r="H58" s="27">
        <v>0</v>
      </c>
      <c r="I58" s="27">
        <v>0</v>
      </c>
      <c r="J58" s="27">
        <v>12960615</v>
      </c>
      <c r="K58" s="27">
        <v>1975</v>
      </c>
      <c r="L58" s="27">
        <v>29251419417</v>
      </c>
      <c r="M58" s="27">
        <v>25399348156</v>
      </c>
      <c r="N58" s="28">
        <v>2.6759704660298238E-3</v>
      </c>
    </row>
    <row r="59" spans="1:14" x14ac:dyDescent="0.4">
      <c r="A59" s="27" t="s">
        <v>109</v>
      </c>
      <c r="B59" s="27">
        <v>24127841</v>
      </c>
      <c r="C59" s="27">
        <v>38704404778</v>
      </c>
      <c r="D59" s="27">
        <v>35074052536</v>
      </c>
      <c r="E59" s="27">
        <v>0</v>
      </c>
      <c r="F59" s="27">
        <v>0</v>
      </c>
      <c r="G59" s="27">
        <v>0</v>
      </c>
      <c r="H59" s="27">
        <v>6800000</v>
      </c>
      <c r="I59" s="27">
        <v>13577333901</v>
      </c>
      <c r="J59" s="27">
        <v>17327841</v>
      </c>
      <c r="K59" s="27">
        <v>2392</v>
      </c>
      <c r="L59" s="27">
        <v>27796261257</v>
      </c>
      <c r="M59" s="27">
        <v>41127801119</v>
      </c>
      <c r="N59" s="28">
        <v>4.3330553387132499E-3</v>
      </c>
    </row>
    <row r="60" spans="1:14" x14ac:dyDescent="0.4">
      <c r="A60" s="27" t="s">
        <v>219</v>
      </c>
      <c r="B60" s="27">
        <v>12041112</v>
      </c>
      <c r="C60" s="27">
        <v>45136005356</v>
      </c>
      <c r="D60" s="27">
        <v>40336563474</v>
      </c>
      <c r="E60" s="27">
        <v>0</v>
      </c>
      <c r="F60" s="27">
        <v>6400000</v>
      </c>
      <c r="G60" s="27">
        <v>29083420127</v>
      </c>
      <c r="H60" s="27">
        <v>0</v>
      </c>
      <c r="I60" s="27">
        <v>0</v>
      </c>
      <c r="J60" s="27">
        <v>18441112</v>
      </c>
      <c r="K60" s="27">
        <v>4555</v>
      </c>
      <c r="L60" s="27">
        <v>74219425483</v>
      </c>
      <c r="M60" s="27">
        <v>83349950840</v>
      </c>
      <c r="N60" s="28">
        <v>8.7814067283529581E-3</v>
      </c>
    </row>
    <row r="61" spans="1:14" x14ac:dyDescent="0.4">
      <c r="A61" s="27" t="s">
        <v>237</v>
      </c>
      <c r="B61" s="27">
        <v>4607801</v>
      </c>
      <c r="C61" s="27">
        <v>33501938983</v>
      </c>
      <c r="D61" s="27">
        <v>37491898126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4607801</v>
      </c>
      <c r="K61" s="27">
        <v>13440</v>
      </c>
      <c r="L61" s="27">
        <v>33501938983</v>
      </c>
      <c r="M61" s="27">
        <v>61450135465</v>
      </c>
      <c r="N61" s="28">
        <v>6.4741325890691048E-3</v>
      </c>
    </row>
    <row r="62" spans="1:14" x14ac:dyDescent="0.4">
      <c r="A62" s="27" t="s">
        <v>118</v>
      </c>
      <c r="B62" s="27">
        <v>0</v>
      </c>
      <c r="C62" s="27">
        <v>0</v>
      </c>
      <c r="D62" s="27">
        <v>0</v>
      </c>
      <c r="E62" s="27">
        <v>0</v>
      </c>
      <c r="F62" s="27">
        <v>14865263</v>
      </c>
      <c r="G62" s="27">
        <v>26705329519</v>
      </c>
      <c r="H62" s="27">
        <v>800000</v>
      </c>
      <c r="I62" s="27">
        <v>1587632005</v>
      </c>
      <c r="J62" s="27">
        <v>14065263</v>
      </c>
      <c r="K62" s="27">
        <v>2450</v>
      </c>
      <c r="L62" s="27">
        <v>25268135733</v>
      </c>
      <c r="M62" s="27">
        <v>34193519367</v>
      </c>
      <c r="N62" s="28">
        <v>3.602488039997037E-3</v>
      </c>
    </row>
    <row r="63" spans="1:14" x14ac:dyDescent="0.4">
      <c r="A63" s="27" t="s">
        <v>126</v>
      </c>
      <c r="B63" s="27">
        <v>1111278</v>
      </c>
      <c r="C63" s="27">
        <v>23804121310</v>
      </c>
      <c r="D63" s="27">
        <v>26729152782</v>
      </c>
      <c r="E63" s="27">
        <v>0</v>
      </c>
      <c r="F63" s="27">
        <v>1000000</v>
      </c>
      <c r="G63" s="27">
        <v>35551048305</v>
      </c>
      <c r="H63" s="27">
        <v>160745</v>
      </c>
      <c r="I63" s="27">
        <v>5700617268</v>
      </c>
      <c r="J63" s="27">
        <v>1950533</v>
      </c>
      <c r="K63" s="27">
        <v>34700</v>
      </c>
      <c r="L63" s="27">
        <v>54836083668</v>
      </c>
      <c r="M63" s="27">
        <v>67160301683</v>
      </c>
      <c r="N63" s="28">
        <v>7.0757321286179023E-3</v>
      </c>
    </row>
    <row r="64" spans="1:14" x14ac:dyDescent="0.4">
      <c r="A64" s="27" t="s">
        <v>320</v>
      </c>
      <c r="B64" s="27">
        <v>5580504</v>
      </c>
      <c r="C64" s="27">
        <v>12877594123</v>
      </c>
      <c r="D64" s="27">
        <v>17608826119</v>
      </c>
      <c r="E64" s="27">
        <v>5580504</v>
      </c>
      <c r="F64" s="27">
        <v>5600000</v>
      </c>
      <c r="G64" s="27">
        <v>21316027922</v>
      </c>
      <c r="H64" s="27">
        <v>0</v>
      </c>
      <c r="I64" s="27">
        <v>0</v>
      </c>
      <c r="J64" s="27">
        <v>16761008</v>
      </c>
      <c r="K64" s="27">
        <v>3944</v>
      </c>
      <c r="L64" s="27">
        <v>47071216168</v>
      </c>
      <c r="M64" s="27">
        <v>65594420690</v>
      </c>
      <c r="N64" s="28">
        <v>6.9107573715946361E-3</v>
      </c>
    </row>
    <row r="65" spans="1:14" x14ac:dyDescent="0.4">
      <c r="A65" s="27" t="s">
        <v>347</v>
      </c>
      <c r="B65" s="27">
        <v>5580504</v>
      </c>
      <c r="C65" s="27">
        <v>7297090123</v>
      </c>
      <c r="D65" s="27">
        <v>12071459415</v>
      </c>
      <c r="E65" s="27">
        <v>-5580504</v>
      </c>
      <c r="F65" s="27">
        <v>0</v>
      </c>
      <c r="G65" s="27">
        <v>0</v>
      </c>
      <c r="H65" s="27">
        <v>0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8">
        <v>0</v>
      </c>
    </row>
    <row r="66" spans="1:14" x14ac:dyDescent="0.4">
      <c r="A66" s="27" t="s">
        <v>231</v>
      </c>
      <c r="B66" s="27">
        <v>940025</v>
      </c>
      <c r="C66" s="27">
        <v>30456047518</v>
      </c>
      <c r="D66" s="27">
        <v>25175154796</v>
      </c>
      <c r="E66" s="27">
        <v>0</v>
      </c>
      <c r="F66" s="27">
        <v>800000</v>
      </c>
      <c r="G66" s="27">
        <v>27893555098</v>
      </c>
      <c r="H66" s="27">
        <v>0</v>
      </c>
      <c r="I66" s="27">
        <v>0</v>
      </c>
      <c r="J66" s="27">
        <v>1740025</v>
      </c>
      <c r="K66" s="27">
        <v>39010</v>
      </c>
      <c r="L66" s="27">
        <v>58349602616</v>
      </c>
      <c r="M66" s="27">
        <v>67353675409</v>
      </c>
      <c r="N66" s="28">
        <v>7.0961051860878796E-3</v>
      </c>
    </row>
    <row r="67" spans="1:14" x14ac:dyDescent="0.4">
      <c r="A67" s="27" t="s">
        <v>275</v>
      </c>
      <c r="B67" s="27">
        <v>0</v>
      </c>
      <c r="C67" s="27">
        <v>0</v>
      </c>
      <c r="D67" s="27">
        <v>0</v>
      </c>
      <c r="E67" s="27">
        <v>0</v>
      </c>
      <c r="F67" s="27">
        <v>700000</v>
      </c>
      <c r="G67" s="27">
        <v>26810722731</v>
      </c>
      <c r="H67" s="27">
        <v>0</v>
      </c>
      <c r="I67" s="27">
        <v>0</v>
      </c>
      <c r="J67" s="27">
        <v>700000</v>
      </c>
      <c r="K67" s="27">
        <v>38200</v>
      </c>
      <c r="L67" s="27">
        <v>26810722731</v>
      </c>
      <c r="M67" s="27">
        <v>26533299800</v>
      </c>
      <c r="N67" s="28">
        <v>2.7954389299688544E-3</v>
      </c>
    </row>
    <row r="68" spans="1:14" x14ac:dyDescent="0.4">
      <c r="A68" s="27" t="s">
        <v>214</v>
      </c>
      <c r="B68" s="27">
        <v>5599143</v>
      </c>
      <c r="C68" s="27">
        <v>30405322174</v>
      </c>
      <c r="D68" s="27">
        <v>28218221191</v>
      </c>
      <c r="E68" s="27">
        <v>0</v>
      </c>
      <c r="F68" s="27">
        <v>3400000</v>
      </c>
      <c r="G68" s="27">
        <v>24621089555</v>
      </c>
      <c r="H68" s="27">
        <v>0</v>
      </c>
      <c r="I68" s="27">
        <v>0</v>
      </c>
      <c r="J68" s="27">
        <v>8999143</v>
      </c>
      <c r="K68" s="27">
        <v>7450</v>
      </c>
      <c r="L68" s="27">
        <v>55026411729</v>
      </c>
      <c r="M68" s="27">
        <v>66525368203</v>
      </c>
      <c r="N68" s="28">
        <v>7.0088381583499225E-3</v>
      </c>
    </row>
    <row r="69" spans="1:14" x14ac:dyDescent="0.4">
      <c r="A69" s="27" t="s">
        <v>255</v>
      </c>
      <c r="B69" s="27">
        <v>4929408</v>
      </c>
      <c r="C69" s="27">
        <v>24000019455</v>
      </c>
      <c r="D69" s="27">
        <v>32086952116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4929408</v>
      </c>
      <c r="K69" s="27">
        <v>11190</v>
      </c>
      <c r="L69" s="27">
        <v>24000019455</v>
      </c>
      <c r="M69" s="27">
        <v>54733688136</v>
      </c>
      <c r="N69" s="28">
        <v>5.7665154258781191E-3</v>
      </c>
    </row>
    <row r="70" spans="1:14" x14ac:dyDescent="0.4">
      <c r="A70" s="27" t="s">
        <v>348</v>
      </c>
      <c r="B70" s="27">
        <v>2428938</v>
      </c>
      <c r="C70" s="27">
        <v>16382419946</v>
      </c>
      <c r="D70" s="27">
        <v>20438176383</v>
      </c>
      <c r="E70" s="27">
        <v>0</v>
      </c>
      <c r="F70" s="27">
        <v>221138</v>
      </c>
      <c r="G70" s="27">
        <v>2543699157</v>
      </c>
      <c r="H70" s="27">
        <v>0</v>
      </c>
      <c r="I70" s="27">
        <v>0</v>
      </c>
      <c r="J70" s="27">
        <v>2650076</v>
      </c>
      <c r="K70" s="27">
        <v>14780</v>
      </c>
      <c r="L70" s="27">
        <v>18926119103</v>
      </c>
      <c r="M70" s="27">
        <v>38865353687</v>
      </c>
      <c r="N70" s="28">
        <v>4.0946932173000338E-3</v>
      </c>
    </row>
    <row r="71" spans="1:14" x14ac:dyDescent="0.4">
      <c r="A71" s="27" t="s">
        <v>160</v>
      </c>
      <c r="B71" s="27">
        <v>2649593</v>
      </c>
      <c r="C71" s="27">
        <v>28510491782</v>
      </c>
      <c r="D71" s="27">
        <v>25239471803</v>
      </c>
      <c r="E71" s="27">
        <v>0</v>
      </c>
      <c r="F71" s="27">
        <v>2100000</v>
      </c>
      <c r="G71" s="27">
        <v>25041808150</v>
      </c>
      <c r="H71" s="27">
        <v>0</v>
      </c>
      <c r="I71" s="27">
        <v>0</v>
      </c>
      <c r="J71" s="27">
        <v>4749593</v>
      </c>
      <c r="K71" s="27">
        <v>11820</v>
      </c>
      <c r="L71" s="27">
        <v>53552299932</v>
      </c>
      <c r="M71" s="27">
        <v>55706225597</v>
      </c>
      <c r="N71" s="28">
        <v>5.8689779578596285E-3</v>
      </c>
    </row>
    <row r="72" spans="1:14" x14ac:dyDescent="0.4">
      <c r="A72" s="27" t="s">
        <v>252</v>
      </c>
      <c r="B72" s="27">
        <v>1133693</v>
      </c>
      <c r="C72" s="27">
        <v>6202567203</v>
      </c>
      <c r="D72" s="27">
        <v>9865632181</v>
      </c>
      <c r="E72" s="27">
        <v>0</v>
      </c>
      <c r="F72" s="27">
        <v>2700000</v>
      </c>
      <c r="G72" s="27">
        <v>49118835871</v>
      </c>
      <c r="H72" s="27">
        <v>0</v>
      </c>
      <c r="I72" s="27">
        <v>0</v>
      </c>
      <c r="J72" s="27">
        <v>3833693</v>
      </c>
      <c r="K72" s="27">
        <v>16510</v>
      </c>
      <c r="L72" s="27">
        <v>55321403074</v>
      </c>
      <c r="M72" s="27">
        <v>62805006712</v>
      </c>
      <c r="N72" s="28">
        <v>6.6168762303616679E-3</v>
      </c>
    </row>
    <row r="73" spans="1:14" x14ac:dyDescent="0.4">
      <c r="A73" s="27" t="s">
        <v>327</v>
      </c>
      <c r="B73" s="27">
        <v>16854222</v>
      </c>
      <c r="C73" s="27">
        <v>30516050656</v>
      </c>
      <c r="D73" s="27">
        <v>24333331047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16854222</v>
      </c>
      <c r="K73" s="27">
        <v>1689</v>
      </c>
      <c r="L73" s="27">
        <v>30516050656</v>
      </c>
      <c r="M73" s="27">
        <v>28246732741</v>
      </c>
      <c r="N73" s="28">
        <v>2.9759591510972656E-3</v>
      </c>
    </row>
    <row r="74" spans="1:14" x14ac:dyDescent="0.4">
      <c r="A74" s="27" t="s">
        <v>110</v>
      </c>
      <c r="B74" s="27">
        <v>0</v>
      </c>
      <c r="C74" s="27">
        <v>0</v>
      </c>
      <c r="D74" s="27">
        <v>0</v>
      </c>
      <c r="E74" s="27">
        <v>0</v>
      </c>
      <c r="F74" s="27">
        <v>9000000</v>
      </c>
      <c r="G74" s="27">
        <v>56670569280</v>
      </c>
      <c r="H74" s="27">
        <v>1000000</v>
      </c>
      <c r="I74" s="27">
        <v>5953669660</v>
      </c>
      <c r="J74" s="27">
        <v>8000000</v>
      </c>
      <c r="K74" s="27">
        <v>6650</v>
      </c>
      <c r="L74" s="27">
        <v>50375704520</v>
      </c>
      <c r="M74" s="27">
        <v>52788764000</v>
      </c>
      <c r="N74" s="28">
        <v>5.5616062481055745E-3</v>
      </c>
    </row>
    <row r="75" spans="1:14" x14ac:dyDescent="0.4">
      <c r="A75" s="27" t="s">
        <v>263</v>
      </c>
      <c r="B75" s="27">
        <v>1125246</v>
      </c>
      <c r="C75" s="27">
        <v>14898426822</v>
      </c>
      <c r="D75" s="27">
        <v>13387408703</v>
      </c>
      <c r="E75" s="27">
        <v>0</v>
      </c>
      <c r="F75" s="27">
        <v>600000</v>
      </c>
      <c r="G75" s="27">
        <v>8101162971</v>
      </c>
      <c r="H75" s="27">
        <v>0</v>
      </c>
      <c r="I75" s="27">
        <v>0</v>
      </c>
      <c r="J75" s="27">
        <v>1725246</v>
      </c>
      <c r="K75" s="27">
        <v>17040</v>
      </c>
      <c r="L75" s="27">
        <v>22999589793</v>
      </c>
      <c r="M75" s="27">
        <v>29170943817</v>
      </c>
      <c r="N75" s="28">
        <v>3.0733302146601473E-3</v>
      </c>
    </row>
    <row r="76" spans="1:14" x14ac:dyDescent="0.4">
      <c r="A76" s="27" t="s">
        <v>95</v>
      </c>
      <c r="B76" s="27">
        <v>15620136</v>
      </c>
      <c r="C76" s="27">
        <v>38463420021</v>
      </c>
      <c r="D76" s="27">
        <v>23807066648</v>
      </c>
      <c r="E76" s="27">
        <v>0</v>
      </c>
      <c r="F76" s="27">
        <v>15200000</v>
      </c>
      <c r="G76" s="27">
        <v>24502895017</v>
      </c>
      <c r="H76" s="27">
        <v>0</v>
      </c>
      <c r="I76" s="27">
        <v>0</v>
      </c>
      <c r="J76" s="27">
        <v>30820136</v>
      </c>
      <c r="K76" s="27">
        <v>2167</v>
      </c>
      <c r="L76" s="27">
        <v>62967039453</v>
      </c>
      <c r="M76" s="27">
        <v>66270969388</v>
      </c>
      <c r="N76" s="28">
        <v>6.9820357494317165E-3</v>
      </c>
    </row>
    <row r="77" spans="1:14" x14ac:dyDescent="0.4">
      <c r="A77" s="27" t="s">
        <v>130</v>
      </c>
      <c r="B77" s="27">
        <v>18378584</v>
      </c>
      <c r="C77" s="27">
        <v>38653346793</v>
      </c>
      <c r="D77" s="27">
        <v>22412680064</v>
      </c>
      <c r="E77" s="27">
        <v>0</v>
      </c>
      <c r="F77" s="27">
        <v>2000000</v>
      </c>
      <c r="G77" s="27">
        <v>3035812353</v>
      </c>
      <c r="H77" s="27">
        <v>0</v>
      </c>
      <c r="I77" s="27">
        <v>0</v>
      </c>
      <c r="J77" s="27">
        <v>20378584</v>
      </c>
      <c r="K77" s="27">
        <v>1557</v>
      </c>
      <c r="L77" s="27">
        <v>41689159146</v>
      </c>
      <c r="M77" s="27">
        <v>31484186599</v>
      </c>
      <c r="N77" s="28">
        <v>3.3170439244518055E-3</v>
      </c>
    </row>
    <row r="78" spans="1:14" x14ac:dyDescent="0.4">
      <c r="A78" s="27" t="s">
        <v>299</v>
      </c>
      <c r="B78" s="27">
        <v>9169674</v>
      </c>
      <c r="C78" s="27">
        <v>33344299669</v>
      </c>
      <c r="D78" s="27">
        <v>30062410156</v>
      </c>
      <c r="E78" s="27">
        <v>0</v>
      </c>
      <c r="F78" s="27">
        <v>1200000</v>
      </c>
      <c r="G78" s="27">
        <v>4217120649</v>
      </c>
      <c r="H78" s="27">
        <v>0</v>
      </c>
      <c r="I78" s="27">
        <v>0</v>
      </c>
      <c r="J78" s="27">
        <v>10369674</v>
      </c>
      <c r="K78" s="27">
        <v>5000</v>
      </c>
      <c r="L78" s="27">
        <v>37561420318</v>
      </c>
      <c r="M78" s="27">
        <v>51447582100</v>
      </c>
      <c r="N78" s="28">
        <v>5.420304859899438E-3</v>
      </c>
    </row>
    <row r="79" spans="1:14" x14ac:dyDescent="0.4">
      <c r="A79" s="27" t="s">
        <v>267</v>
      </c>
      <c r="B79" s="27">
        <v>562500</v>
      </c>
      <c r="C79" s="27">
        <v>4931974167</v>
      </c>
      <c r="D79" s="27">
        <v>4537774744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562500</v>
      </c>
      <c r="K79" s="27">
        <v>8870</v>
      </c>
      <c r="L79" s="27">
        <v>4931974167</v>
      </c>
      <c r="M79" s="27">
        <v>4950807131</v>
      </c>
      <c r="N79" s="28">
        <v>5.2159660099136305E-4</v>
      </c>
    </row>
    <row r="80" spans="1:14" x14ac:dyDescent="0.4">
      <c r="A80" s="27" t="s">
        <v>290</v>
      </c>
      <c r="B80" s="27">
        <v>3973870</v>
      </c>
      <c r="C80" s="27">
        <v>21132612639</v>
      </c>
      <c r="D80" s="27">
        <v>19869542852</v>
      </c>
      <c r="E80" s="27">
        <v>0</v>
      </c>
      <c r="F80" s="27">
        <v>800000</v>
      </c>
      <c r="G80" s="27">
        <v>6529659926</v>
      </c>
      <c r="H80" s="27">
        <v>0</v>
      </c>
      <c r="I80" s="27">
        <v>0</v>
      </c>
      <c r="J80" s="27">
        <v>4773870</v>
      </c>
      <c r="K80" s="27">
        <v>8010</v>
      </c>
      <c r="L80" s="27">
        <v>27662272565</v>
      </c>
      <c r="M80" s="27">
        <v>37943113559</v>
      </c>
      <c r="N80" s="28">
        <v>3.9975298046818018E-3</v>
      </c>
    </row>
    <row r="81" spans="1:14" x14ac:dyDescent="0.4">
      <c r="A81" s="27" t="s">
        <v>123</v>
      </c>
      <c r="B81" s="27">
        <v>25600000</v>
      </c>
      <c r="C81" s="27">
        <v>10028365723</v>
      </c>
      <c r="D81" s="27">
        <v>12497839104</v>
      </c>
      <c r="E81" s="27">
        <v>0</v>
      </c>
      <c r="F81" s="27">
        <v>97200000</v>
      </c>
      <c r="G81" s="27">
        <v>55303922733</v>
      </c>
      <c r="H81" s="27">
        <v>7600000</v>
      </c>
      <c r="I81" s="27">
        <v>4349662909</v>
      </c>
      <c r="J81" s="27">
        <v>115200000</v>
      </c>
      <c r="K81" s="27">
        <v>570</v>
      </c>
      <c r="L81" s="27">
        <v>61288922069</v>
      </c>
      <c r="M81" s="27">
        <v>65156417280</v>
      </c>
      <c r="N81" s="28">
        <v>6.86461114051888E-3</v>
      </c>
    </row>
    <row r="82" spans="1:14" x14ac:dyDescent="0.4">
      <c r="A82" s="27" t="s">
        <v>161</v>
      </c>
      <c r="B82" s="27">
        <v>11440020</v>
      </c>
      <c r="C82" s="27">
        <v>31646768610</v>
      </c>
      <c r="D82" s="27">
        <v>31920667271</v>
      </c>
      <c r="E82" s="27">
        <v>0</v>
      </c>
      <c r="F82" s="27">
        <v>0</v>
      </c>
      <c r="G82" s="27">
        <v>0</v>
      </c>
      <c r="H82" s="27">
        <v>0</v>
      </c>
      <c r="I82" s="27">
        <v>0</v>
      </c>
      <c r="J82" s="27">
        <v>11440020</v>
      </c>
      <c r="K82" s="27">
        <v>4814</v>
      </c>
      <c r="L82" s="27">
        <v>31646768610</v>
      </c>
      <c r="M82" s="27">
        <v>54646547739</v>
      </c>
      <c r="N82" s="28">
        <v>5.7573346733903819E-3</v>
      </c>
    </row>
    <row r="83" spans="1:14" x14ac:dyDescent="0.4">
      <c r="A83" s="27" t="s">
        <v>349</v>
      </c>
      <c r="B83" s="27">
        <v>0</v>
      </c>
      <c r="C83" s="27">
        <v>0</v>
      </c>
      <c r="D83" s="27">
        <v>0</v>
      </c>
      <c r="E83" s="27">
        <v>0</v>
      </c>
      <c r="F83" s="27">
        <v>6400000</v>
      </c>
      <c r="G83" s="27">
        <v>21015837329</v>
      </c>
      <c r="H83" s="27">
        <v>0</v>
      </c>
      <c r="I83" s="27">
        <v>0</v>
      </c>
      <c r="J83" s="27">
        <v>6400000</v>
      </c>
      <c r="K83" s="27">
        <v>3221</v>
      </c>
      <c r="L83" s="27">
        <v>21015837329</v>
      </c>
      <c r="M83" s="27">
        <v>20455050688</v>
      </c>
      <c r="N83" s="28">
        <v>2.1550596962584124E-3</v>
      </c>
    </row>
    <row r="84" spans="1:14" x14ac:dyDescent="0.4">
      <c r="A84" s="27" t="s">
        <v>262</v>
      </c>
      <c r="B84" s="27">
        <v>7640317</v>
      </c>
      <c r="C84" s="27">
        <v>29107496818</v>
      </c>
      <c r="D84" s="27">
        <v>40711351967</v>
      </c>
      <c r="E84" s="27">
        <v>0</v>
      </c>
      <c r="F84" s="27">
        <v>8600000</v>
      </c>
      <c r="G84" s="27">
        <v>52819829276</v>
      </c>
      <c r="H84" s="27">
        <v>0</v>
      </c>
      <c r="I84" s="27">
        <v>0</v>
      </c>
      <c r="J84" s="27">
        <v>16240317</v>
      </c>
      <c r="K84" s="27">
        <v>6150</v>
      </c>
      <c r="L84" s="27">
        <v>81927326094</v>
      </c>
      <c r="M84" s="27">
        <v>99105893000</v>
      </c>
      <c r="N84" s="28">
        <v>1.0441387749349131E-2</v>
      </c>
    </row>
    <row r="85" spans="1:14" x14ac:dyDescent="0.4">
      <c r="A85" s="27" t="s">
        <v>106</v>
      </c>
      <c r="B85" s="27">
        <v>8059071</v>
      </c>
      <c r="C85" s="27">
        <v>13119794694</v>
      </c>
      <c r="D85" s="27">
        <v>12794839010</v>
      </c>
      <c r="E85" s="27">
        <v>0</v>
      </c>
      <c r="F85" s="27">
        <v>47586386</v>
      </c>
      <c r="G85" s="27">
        <v>89218438489</v>
      </c>
      <c r="H85" s="27">
        <v>0</v>
      </c>
      <c r="I85" s="27">
        <v>0</v>
      </c>
      <c r="J85" s="27">
        <v>55645457</v>
      </c>
      <c r="K85" s="27">
        <v>2049</v>
      </c>
      <c r="L85" s="27">
        <v>102338233183</v>
      </c>
      <c r="M85" s="27">
        <v>113136185798</v>
      </c>
      <c r="N85" s="28">
        <v>1.1919561477533171E-2</v>
      </c>
    </row>
    <row r="86" spans="1:14" x14ac:dyDescent="0.4">
      <c r="A86" s="27" t="s">
        <v>215</v>
      </c>
      <c r="B86" s="27">
        <v>3380920</v>
      </c>
      <c r="C86" s="27">
        <v>16767735799</v>
      </c>
      <c r="D86" s="27">
        <v>15801039650</v>
      </c>
      <c r="E86" s="27">
        <v>0</v>
      </c>
      <c r="F86" s="27">
        <v>5000000</v>
      </c>
      <c r="G86" s="27">
        <v>27861916803</v>
      </c>
      <c r="H86" s="27">
        <v>0</v>
      </c>
      <c r="I86" s="27">
        <v>0</v>
      </c>
      <c r="J86" s="27">
        <v>8380920</v>
      </c>
      <c r="K86" s="27">
        <v>5080</v>
      </c>
      <c r="L86" s="27">
        <v>44629652602</v>
      </c>
      <c r="M86" s="27">
        <v>42245968281</v>
      </c>
      <c r="N86" s="28">
        <v>4.4508608147915624E-3</v>
      </c>
    </row>
    <row r="87" spans="1:14" x14ac:dyDescent="0.4">
      <c r="A87" s="27" t="s">
        <v>281</v>
      </c>
      <c r="B87" s="27">
        <v>926418</v>
      </c>
      <c r="C87" s="27">
        <v>6899311545</v>
      </c>
      <c r="D87" s="27">
        <v>9192567889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926418</v>
      </c>
      <c r="K87" s="27">
        <v>14240</v>
      </c>
      <c r="L87" s="27">
        <v>6899311545</v>
      </c>
      <c r="M87" s="27">
        <v>13090216673</v>
      </c>
      <c r="N87" s="28">
        <v>1.3791311885539234E-3</v>
      </c>
    </row>
    <row r="88" spans="1:14" x14ac:dyDescent="0.4">
      <c r="A88" s="27" t="s">
        <v>350</v>
      </c>
      <c r="B88" s="27">
        <v>310965</v>
      </c>
      <c r="C88" s="27">
        <v>2004884233</v>
      </c>
      <c r="D88" s="27">
        <v>2777051165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310965</v>
      </c>
      <c r="K88" s="27">
        <v>11720</v>
      </c>
      <c r="L88" s="27">
        <v>2004884233</v>
      </c>
      <c r="M88" s="27">
        <v>3616337739</v>
      </c>
      <c r="N88" s="28">
        <v>3.810024149169771E-4</v>
      </c>
    </row>
    <row r="89" spans="1:14" x14ac:dyDescent="0.4">
      <c r="A89" s="27" t="s">
        <v>128</v>
      </c>
      <c r="B89" s="27">
        <v>860136</v>
      </c>
      <c r="C89" s="27">
        <v>8232282439</v>
      </c>
      <c r="D89" s="27">
        <v>9272284384</v>
      </c>
      <c r="E89" s="27">
        <v>0</v>
      </c>
      <c r="F89" s="27">
        <v>3800000</v>
      </c>
      <c r="G89" s="27">
        <v>63808899523</v>
      </c>
      <c r="H89" s="27">
        <v>500000</v>
      </c>
      <c r="I89" s="27">
        <v>7457120532</v>
      </c>
      <c r="J89" s="27">
        <v>4160136</v>
      </c>
      <c r="K89" s="27">
        <v>15030</v>
      </c>
      <c r="L89" s="27">
        <v>64311666991</v>
      </c>
      <c r="M89" s="27">
        <v>62043511575</v>
      </c>
      <c r="N89" s="28">
        <v>6.5366482463944508E-3</v>
      </c>
    </row>
    <row r="90" spans="1:14" x14ac:dyDescent="0.4">
      <c r="A90" s="27" t="s">
        <v>242</v>
      </c>
      <c r="B90" s="27">
        <v>517391</v>
      </c>
      <c r="C90" s="27">
        <v>17064920422</v>
      </c>
      <c r="D90" s="27">
        <v>16228307451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517391</v>
      </c>
      <c r="K90" s="27">
        <v>50930</v>
      </c>
      <c r="L90" s="27">
        <v>17064920422</v>
      </c>
      <c r="M90" s="27">
        <v>26147032536</v>
      </c>
      <c r="N90" s="28">
        <v>2.7547434056542286E-3</v>
      </c>
    </row>
    <row r="91" spans="1:14" x14ac:dyDescent="0.4">
      <c r="A91" s="27" t="s">
        <v>164</v>
      </c>
      <c r="B91" s="27">
        <v>3534630</v>
      </c>
      <c r="C91" s="27">
        <v>13881762462</v>
      </c>
      <c r="D91" s="27">
        <v>16624636650</v>
      </c>
      <c r="E91" s="27">
        <v>0</v>
      </c>
      <c r="F91" s="27">
        <v>7400000</v>
      </c>
      <c r="G91" s="27">
        <v>41079680331</v>
      </c>
      <c r="H91" s="27">
        <v>0</v>
      </c>
      <c r="I91" s="27">
        <v>0</v>
      </c>
      <c r="J91" s="27">
        <v>10934630</v>
      </c>
      <c r="K91" s="27">
        <v>6160</v>
      </c>
      <c r="L91" s="27">
        <v>54961442793</v>
      </c>
      <c r="M91" s="27">
        <v>66836648710</v>
      </c>
      <c r="N91" s="28">
        <v>7.0416333875135502E-3</v>
      </c>
    </row>
    <row r="92" spans="1:14" x14ac:dyDescent="0.4">
      <c r="A92" s="27" t="s">
        <v>304</v>
      </c>
      <c r="B92" s="27">
        <v>3250000</v>
      </c>
      <c r="C92" s="27">
        <v>3939323661</v>
      </c>
      <c r="D92" s="27">
        <v>3495767210</v>
      </c>
      <c r="E92" s="27">
        <v>0</v>
      </c>
      <c r="F92" s="27">
        <v>0</v>
      </c>
      <c r="G92" s="27">
        <v>0</v>
      </c>
      <c r="H92" s="27">
        <v>0</v>
      </c>
      <c r="I92" s="27">
        <v>0</v>
      </c>
      <c r="J92" s="27">
        <v>3250000</v>
      </c>
      <c r="K92" s="27">
        <v>1240</v>
      </c>
      <c r="L92" s="27">
        <v>3939323661</v>
      </c>
      <c r="M92" s="27">
        <v>3998848100</v>
      </c>
      <c r="N92" s="28">
        <v>4.2130212744108012E-4</v>
      </c>
    </row>
    <row r="93" spans="1:14" x14ac:dyDescent="0.4">
      <c r="A93" s="27" t="s">
        <v>351</v>
      </c>
      <c r="B93" s="27">
        <v>4215293</v>
      </c>
      <c r="C93" s="27">
        <v>21878273592</v>
      </c>
      <c r="D93" s="27">
        <v>16312564262</v>
      </c>
      <c r="E93" s="27">
        <v>0</v>
      </c>
      <c r="F93" s="27">
        <v>7975194</v>
      </c>
      <c r="G93" s="27">
        <v>42168162323</v>
      </c>
      <c r="H93" s="27">
        <v>0</v>
      </c>
      <c r="I93" s="27">
        <v>0</v>
      </c>
      <c r="J93" s="27">
        <v>12190487</v>
      </c>
      <c r="K93" s="27">
        <v>4820</v>
      </c>
      <c r="L93" s="27">
        <v>64046435915</v>
      </c>
      <c r="M93" s="27">
        <v>58303946861</v>
      </c>
      <c r="N93" s="28">
        <v>6.1426631461072466E-3</v>
      </c>
    </row>
    <row r="94" spans="1:14" x14ac:dyDescent="0.4">
      <c r="A94" s="27" t="s">
        <v>165</v>
      </c>
      <c r="B94" s="27">
        <v>3066296</v>
      </c>
      <c r="C94" s="27">
        <v>19251319867</v>
      </c>
      <c r="D94" s="27">
        <v>17400592409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3066296</v>
      </c>
      <c r="K94" s="27">
        <v>5030</v>
      </c>
      <c r="L94" s="27">
        <v>15397744288</v>
      </c>
      <c r="M94" s="27">
        <v>15304245466</v>
      </c>
      <c r="N94" s="28">
        <v>1.612392122047923E-3</v>
      </c>
    </row>
    <row r="95" spans="1:14" x14ac:dyDescent="0.4">
      <c r="A95" s="27" t="s">
        <v>352</v>
      </c>
      <c r="B95" s="27">
        <v>0</v>
      </c>
      <c r="C95" s="27">
        <v>0</v>
      </c>
      <c r="D95" s="27">
        <v>0</v>
      </c>
      <c r="E95" s="27">
        <v>958217</v>
      </c>
      <c r="F95" s="27">
        <v>0</v>
      </c>
      <c r="G95" s="27">
        <v>0</v>
      </c>
      <c r="H95" s="27">
        <v>0</v>
      </c>
      <c r="I95" s="27">
        <v>0</v>
      </c>
      <c r="J95" s="27">
        <v>958217</v>
      </c>
      <c r="K95" s="27">
        <v>4030</v>
      </c>
      <c r="L95" s="27">
        <v>3853575579</v>
      </c>
      <c r="M95" s="27">
        <v>3831764230</v>
      </c>
      <c r="N95" s="28">
        <v>4.0369886066730877E-4</v>
      </c>
    </row>
    <row r="96" spans="1:14" x14ac:dyDescent="0.4">
      <c r="A96" s="27" t="s">
        <v>314</v>
      </c>
      <c r="B96" s="27">
        <v>0</v>
      </c>
      <c r="C96" s="27">
        <v>0</v>
      </c>
      <c r="D96" s="27">
        <v>0</v>
      </c>
      <c r="E96" s="27">
        <v>0</v>
      </c>
      <c r="F96" s="27">
        <v>800000</v>
      </c>
      <c r="G96" s="27">
        <v>27239010264</v>
      </c>
      <c r="H96" s="27">
        <v>0</v>
      </c>
      <c r="I96" s="27">
        <v>0</v>
      </c>
      <c r="J96" s="27">
        <v>800000</v>
      </c>
      <c r="K96" s="27">
        <v>31250</v>
      </c>
      <c r="L96" s="27">
        <v>27239010264</v>
      </c>
      <c r="M96" s="27">
        <v>24806750000</v>
      </c>
      <c r="N96" s="28">
        <v>2.6135367707263036E-3</v>
      </c>
    </row>
    <row r="97" spans="1:14" x14ac:dyDescent="0.4">
      <c r="A97" s="27" t="s">
        <v>167</v>
      </c>
      <c r="B97" s="27">
        <v>84882</v>
      </c>
      <c r="C97" s="27">
        <v>8293870385</v>
      </c>
      <c r="D97" s="27">
        <v>11205408699</v>
      </c>
      <c r="E97" s="27">
        <v>0</v>
      </c>
      <c r="F97" s="27">
        <v>0</v>
      </c>
      <c r="G97" s="27">
        <v>0</v>
      </c>
      <c r="H97" s="27">
        <v>0</v>
      </c>
      <c r="I97" s="27">
        <v>0</v>
      </c>
      <c r="J97" s="27">
        <v>84882</v>
      </c>
      <c r="K97" s="27">
        <v>173740</v>
      </c>
      <c r="L97" s="27">
        <v>8293870385</v>
      </c>
      <c r="M97" s="27">
        <v>14633401288</v>
      </c>
      <c r="N97" s="28">
        <v>1.5417147488881718E-3</v>
      </c>
    </row>
    <row r="98" spans="1:14" x14ac:dyDescent="0.4">
      <c r="A98" s="27" t="s">
        <v>169</v>
      </c>
      <c r="B98" s="27">
        <v>612681</v>
      </c>
      <c r="C98" s="27">
        <v>22539494006</v>
      </c>
      <c r="D98" s="27">
        <v>19612304922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612681</v>
      </c>
      <c r="K98" s="27">
        <v>47200</v>
      </c>
      <c r="L98" s="27">
        <v>22539494006</v>
      </c>
      <c r="M98" s="27">
        <v>28695002861</v>
      </c>
      <c r="N98" s="28">
        <v>3.0231870403547413E-3</v>
      </c>
    </row>
    <row r="99" spans="1:14" x14ac:dyDescent="0.4">
      <c r="A99" s="27" t="s">
        <v>170</v>
      </c>
      <c r="B99" s="27">
        <v>3983350</v>
      </c>
      <c r="C99" s="27">
        <v>16626478656</v>
      </c>
      <c r="D99" s="27">
        <v>15312212421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3983350</v>
      </c>
      <c r="K99" s="27">
        <v>6690</v>
      </c>
      <c r="L99" s="27">
        <v>16626478656</v>
      </c>
      <c r="M99" s="27">
        <v>26442617733</v>
      </c>
      <c r="N99" s="28">
        <v>2.7858850417509314E-3</v>
      </c>
    </row>
    <row r="100" spans="1:14" x14ac:dyDescent="0.4">
      <c r="A100" s="27" t="s">
        <v>236</v>
      </c>
      <c r="B100" s="27">
        <v>2830564</v>
      </c>
      <c r="C100" s="27">
        <v>20539903713</v>
      </c>
      <c r="D100" s="27">
        <v>23283988207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2830564</v>
      </c>
      <c r="K100" s="27">
        <v>13920</v>
      </c>
      <c r="L100" s="27">
        <v>20539903713</v>
      </c>
      <c r="M100" s="27">
        <v>39096877665</v>
      </c>
      <c r="N100" s="28">
        <v>4.1190856278257105E-3</v>
      </c>
    </row>
    <row r="101" spans="1:14" x14ac:dyDescent="0.4">
      <c r="A101" s="27" t="s">
        <v>171</v>
      </c>
      <c r="B101" s="27">
        <v>2001235</v>
      </c>
      <c r="C101" s="27">
        <v>13210275397</v>
      </c>
      <c r="D101" s="27">
        <v>17593881918</v>
      </c>
      <c r="E101" s="27">
        <v>0</v>
      </c>
      <c r="F101" s="27">
        <v>1100000</v>
      </c>
      <c r="G101" s="27">
        <v>14076751327</v>
      </c>
      <c r="H101" s="27">
        <v>0</v>
      </c>
      <c r="I101" s="27">
        <v>0</v>
      </c>
      <c r="J101" s="27">
        <v>3101235</v>
      </c>
      <c r="K101" s="27">
        <v>13080</v>
      </c>
      <c r="L101" s="27">
        <v>27287026724</v>
      </c>
      <c r="M101" s="27">
        <v>40250592891</v>
      </c>
      <c r="N101" s="28">
        <v>4.2406363011746103E-3</v>
      </c>
    </row>
    <row r="102" spans="1:14" x14ac:dyDescent="0.4">
      <c r="A102" s="27" t="s">
        <v>173</v>
      </c>
      <c r="B102" s="27">
        <v>5476907</v>
      </c>
      <c r="C102" s="27">
        <v>24541931735</v>
      </c>
      <c r="D102" s="27">
        <v>18444932307</v>
      </c>
      <c r="E102" s="27">
        <v>0</v>
      </c>
      <c r="F102" s="27">
        <v>7000000</v>
      </c>
      <c r="G102" s="27">
        <v>36174434541</v>
      </c>
      <c r="H102" s="27">
        <v>0</v>
      </c>
      <c r="I102" s="27">
        <v>0</v>
      </c>
      <c r="J102" s="27">
        <v>12476907</v>
      </c>
      <c r="K102" s="27">
        <v>5340</v>
      </c>
      <c r="L102" s="27">
        <v>60716366276</v>
      </c>
      <c r="M102" s="27">
        <v>66111659117</v>
      </c>
      <c r="N102" s="28">
        <v>6.9652514769569726E-3</v>
      </c>
    </row>
    <row r="103" spans="1:14" x14ac:dyDescent="0.4">
      <c r="A103" s="27" t="s">
        <v>175</v>
      </c>
      <c r="B103" s="27">
        <v>2800000</v>
      </c>
      <c r="C103" s="27">
        <v>19839248766</v>
      </c>
      <c r="D103" s="27">
        <v>22449116480</v>
      </c>
      <c r="E103" s="27">
        <v>0</v>
      </c>
      <c r="F103" s="27">
        <v>0</v>
      </c>
      <c r="G103" s="27">
        <v>0</v>
      </c>
      <c r="H103" s="27">
        <v>0</v>
      </c>
      <c r="I103" s="27">
        <v>0</v>
      </c>
      <c r="J103" s="27">
        <v>2800000</v>
      </c>
      <c r="K103" s="27">
        <v>13910</v>
      </c>
      <c r="L103" s="27">
        <v>19839248766</v>
      </c>
      <c r="M103" s="27">
        <v>38646931960</v>
      </c>
      <c r="N103" s="28">
        <v>4.0716812058499228E-3</v>
      </c>
    </row>
    <row r="104" spans="1:14" x14ac:dyDescent="0.4">
      <c r="A104" s="27" t="s">
        <v>103</v>
      </c>
      <c r="B104" s="27">
        <v>2513758</v>
      </c>
      <c r="C104" s="27">
        <v>24548396018</v>
      </c>
      <c r="D104" s="27">
        <v>25442131837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2513758</v>
      </c>
      <c r="K104" s="27">
        <v>16030</v>
      </c>
      <c r="L104" s="27">
        <v>24548396018</v>
      </c>
      <c r="M104" s="27">
        <v>39984056210</v>
      </c>
      <c r="N104" s="28">
        <v>4.212555096803185E-3</v>
      </c>
    </row>
    <row r="105" spans="1:14" x14ac:dyDescent="0.4">
      <c r="A105" s="27" t="s">
        <v>177</v>
      </c>
      <c r="B105" s="27">
        <v>1209154</v>
      </c>
      <c r="C105" s="27">
        <v>13559690174</v>
      </c>
      <c r="D105" s="27">
        <v>13365852649</v>
      </c>
      <c r="E105" s="27">
        <v>1813731</v>
      </c>
      <c r="F105" s="27">
        <v>0</v>
      </c>
      <c r="G105" s="27">
        <v>0</v>
      </c>
      <c r="H105" s="27">
        <v>0</v>
      </c>
      <c r="I105" s="27">
        <v>0</v>
      </c>
      <c r="J105" s="27">
        <v>3022885</v>
      </c>
      <c r="K105" s="27">
        <v>16720</v>
      </c>
      <c r="L105" s="27">
        <v>33899225434</v>
      </c>
      <c r="M105" s="27">
        <v>50151942614</v>
      </c>
      <c r="N105" s="28">
        <v>5.2838016324203881E-3</v>
      </c>
    </row>
    <row r="106" spans="1:14" x14ac:dyDescent="0.4">
      <c r="A106" s="27" t="s">
        <v>353</v>
      </c>
      <c r="B106" s="27">
        <v>1813731</v>
      </c>
      <c r="C106" s="27">
        <v>18525804260</v>
      </c>
      <c r="D106" s="27">
        <v>12382010712</v>
      </c>
      <c r="E106" s="27">
        <v>-1813731</v>
      </c>
      <c r="F106" s="27">
        <v>0</v>
      </c>
      <c r="G106" s="27">
        <v>0</v>
      </c>
      <c r="H106" s="27">
        <v>0</v>
      </c>
      <c r="I106" s="27">
        <v>0</v>
      </c>
      <c r="J106" s="27">
        <v>0</v>
      </c>
      <c r="K106" s="27">
        <v>0</v>
      </c>
      <c r="L106" s="27">
        <v>0</v>
      </c>
      <c r="M106" s="27">
        <v>0</v>
      </c>
      <c r="N106" s="28">
        <v>0</v>
      </c>
    </row>
    <row r="107" spans="1:14" x14ac:dyDescent="0.4">
      <c r="A107" s="27" t="s">
        <v>179</v>
      </c>
      <c r="B107" s="27">
        <v>104452</v>
      </c>
      <c r="C107" s="27">
        <v>12026316222</v>
      </c>
      <c r="D107" s="27">
        <v>13882155854</v>
      </c>
      <c r="E107" s="27">
        <v>0</v>
      </c>
      <c r="F107" s="27">
        <v>0</v>
      </c>
      <c r="G107" s="27">
        <v>0</v>
      </c>
      <c r="H107" s="27">
        <v>0</v>
      </c>
      <c r="I107" s="27">
        <v>0</v>
      </c>
      <c r="J107" s="27">
        <v>104452</v>
      </c>
      <c r="K107" s="27">
        <v>179690</v>
      </c>
      <c r="L107" s="27">
        <v>12026316222</v>
      </c>
      <c r="M107" s="27">
        <v>18623895666</v>
      </c>
      <c r="N107" s="28">
        <v>1.9621367626658569E-3</v>
      </c>
    </row>
    <row r="108" spans="1:14" x14ac:dyDescent="0.4">
      <c r="A108" s="27" t="s">
        <v>181</v>
      </c>
      <c r="B108" s="27">
        <v>144247</v>
      </c>
      <c r="C108" s="27">
        <v>1152844494</v>
      </c>
      <c r="D108" s="27">
        <v>951827605</v>
      </c>
      <c r="E108" s="27">
        <v>0</v>
      </c>
      <c r="F108" s="27">
        <v>2712519</v>
      </c>
      <c r="G108" s="27">
        <v>25661581581</v>
      </c>
      <c r="H108" s="27">
        <v>0</v>
      </c>
      <c r="I108" s="27">
        <v>0</v>
      </c>
      <c r="J108" s="27">
        <v>2856766</v>
      </c>
      <c r="K108" s="27">
        <v>8850</v>
      </c>
      <c r="L108" s="27">
        <v>26814426075</v>
      </c>
      <c r="M108" s="27">
        <v>25086946310</v>
      </c>
      <c r="N108" s="28">
        <v>2.6430570972183604E-3</v>
      </c>
    </row>
    <row r="109" spans="1:14" x14ac:dyDescent="0.4">
      <c r="A109" s="27" t="s">
        <v>183</v>
      </c>
      <c r="B109" s="27">
        <v>336344</v>
      </c>
      <c r="C109" s="27">
        <v>11436721532</v>
      </c>
      <c r="D109" s="27">
        <v>11117014668</v>
      </c>
      <c r="E109" s="27">
        <v>0</v>
      </c>
      <c r="F109" s="27">
        <v>0</v>
      </c>
      <c r="G109" s="27">
        <v>0</v>
      </c>
      <c r="H109" s="27">
        <v>0</v>
      </c>
      <c r="I109" s="27">
        <v>0</v>
      </c>
      <c r="J109" s="27">
        <v>336344</v>
      </c>
      <c r="K109" s="27">
        <v>43200</v>
      </c>
      <c r="L109" s="27">
        <v>11436721532</v>
      </c>
      <c r="M109" s="27">
        <v>14417743430</v>
      </c>
      <c r="N109" s="28">
        <v>1.5189939272658684E-3</v>
      </c>
    </row>
    <row r="110" spans="1:14" x14ac:dyDescent="0.4">
      <c r="A110" s="27" t="s">
        <v>244</v>
      </c>
      <c r="B110" s="27">
        <v>1824791</v>
      </c>
      <c r="C110" s="27">
        <v>33970430990</v>
      </c>
      <c r="D110" s="27">
        <v>30147911337</v>
      </c>
      <c r="E110" s="27">
        <v>0</v>
      </c>
      <c r="F110" s="27">
        <v>500000</v>
      </c>
      <c r="G110" s="27">
        <v>11268940646</v>
      </c>
      <c r="H110" s="27">
        <v>0</v>
      </c>
      <c r="I110" s="27">
        <v>0</v>
      </c>
      <c r="J110" s="27">
        <v>2324791</v>
      </c>
      <c r="K110" s="27">
        <v>28970</v>
      </c>
      <c r="L110" s="27">
        <v>45239371636</v>
      </c>
      <c r="M110" s="27">
        <v>66828585991</v>
      </c>
      <c r="N110" s="28">
        <v>7.0407839327248931E-3</v>
      </c>
    </row>
    <row r="111" spans="1:14" x14ac:dyDescent="0.4">
      <c r="A111" s="27" t="s">
        <v>309</v>
      </c>
      <c r="B111" s="27">
        <v>1504289</v>
      </c>
      <c r="C111" s="27">
        <v>9141298952</v>
      </c>
      <c r="D111" s="27">
        <v>17210379555</v>
      </c>
      <c r="E111" s="27">
        <v>0</v>
      </c>
      <c r="F111" s="27">
        <v>0</v>
      </c>
      <c r="G111" s="27">
        <v>0</v>
      </c>
      <c r="H111" s="27">
        <v>0</v>
      </c>
      <c r="I111" s="27">
        <v>0</v>
      </c>
      <c r="J111" s="27">
        <v>1504289</v>
      </c>
      <c r="K111" s="27">
        <v>18940</v>
      </c>
      <c r="L111" s="27">
        <v>9141298952</v>
      </c>
      <c r="M111" s="27">
        <v>28270996424</v>
      </c>
      <c r="N111" s="28">
        <v>2.978515472570806E-3</v>
      </c>
    </row>
    <row r="112" spans="1:14" x14ac:dyDescent="0.4">
      <c r="A112" s="27" t="s">
        <v>325</v>
      </c>
      <c r="B112" s="27">
        <v>512506</v>
      </c>
      <c r="C112" s="27">
        <v>23243757956</v>
      </c>
      <c r="D112" s="27">
        <v>18948361684</v>
      </c>
      <c r="E112" s="27">
        <v>0</v>
      </c>
      <c r="F112" s="27">
        <v>0</v>
      </c>
      <c r="G112" s="27">
        <v>0</v>
      </c>
      <c r="H112" s="27">
        <v>0</v>
      </c>
      <c r="I112" s="27">
        <v>0</v>
      </c>
      <c r="J112" s="27">
        <v>512506</v>
      </c>
      <c r="K112" s="27">
        <v>62990</v>
      </c>
      <c r="L112" s="27">
        <v>23243757956</v>
      </c>
      <c r="M112" s="27">
        <v>32033207260</v>
      </c>
      <c r="N112" s="28">
        <v>3.374886474782339E-3</v>
      </c>
    </row>
    <row r="113" spans="1:14" x14ac:dyDescent="0.4">
      <c r="A113" s="27" t="s">
        <v>271</v>
      </c>
      <c r="B113" s="27">
        <v>21110</v>
      </c>
      <c r="C113" s="27">
        <v>2674296095</v>
      </c>
      <c r="D113" s="27">
        <v>2355260407</v>
      </c>
      <c r="E113" s="27">
        <v>0</v>
      </c>
      <c r="F113" s="27">
        <v>0</v>
      </c>
      <c r="G113" s="27">
        <v>0</v>
      </c>
      <c r="H113" s="27">
        <v>0</v>
      </c>
      <c r="I113" s="27">
        <v>0</v>
      </c>
      <c r="J113" s="27">
        <v>21110</v>
      </c>
      <c r="K113" s="27">
        <v>188490</v>
      </c>
      <c r="L113" s="27">
        <v>2674296095</v>
      </c>
      <c r="M113" s="27">
        <v>3948266045</v>
      </c>
      <c r="N113" s="28">
        <v>4.1597301094329627E-4</v>
      </c>
    </row>
    <row r="114" spans="1:14" x14ac:dyDescent="0.4">
      <c r="A114" s="27" t="s">
        <v>240</v>
      </c>
      <c r="B114" s="27">
        <v>6761644</v>
      </c>
      <c r="C114" s="27">
        <v>10818188004</v>
      </c>
      <c r="D114" s="27">
        <v>14384903199</v>
      </c>
      <c r="E114" s="27">
        <v>0</v>
      </c>
      <c r="F114" s="27">
        <v>0</v>
      </c>
      <c r="G114" s="27">
        <v>0</v>
      </c>
      <c r="H114" s="27">
        <v>0</v>
      </c>
      <c r="I114" s="27">
        <v>0</v>
      </c>
      <c r="J114" s="27">
        <v>6761644</v>
      </c>
      <c r="K114" s="27">
        <v>3260</v>
      </c>
      <c r="L114" s="27">
        <v>10818188004</v>
      </c>
      <c r="M114" s="27">
        <v>21872567364</v>
      </c>
      <c r="N114" s="28">
        <v>2.3044034013323831E-3</v>
      </c>
    </row>
    <row r="115" spans="1:14" x14ac:dyDescent="0.4">
      <c r="A115" s="27" t="s">
        <v>292</v>
      </c>
      <c r="B115" s="27">
        <v>520570</v>
      </c>
      <c r="C115" s="27">
        <v>20486605262</v>
      </c>
      <c r="D115" s="27">
        <v>22252801417</v>
      </c>
      <c r="E115" s="27">
        <v>0</v>
      </c>
      <c r="F115" s="27">
        <v>0</v>
      </c>
      <c r="G115" s="27">
        <v>0</v>
      </c>
      <c r="H115" s="27">
        <v>0</v>
      </c>
      <c r="I115" s="27">
        <v>0</v>
      </c>
      <c r="J115" s="27">
        <v>520570</v>
      </c>
      <c r="K115" s="27">
        <v>73250</v>
      </c>
      <c r="L115" s="27">
        <v>20486605262</v>
      </c>
      <c r="M115" s="27">
        <v>37836994053</v>
      </c>
      <c r="N115" s="28">
        <v>3.986349491620949E-3</v>
      </c>
    </row>
    <row r="116" spans="1:14" x14ac:dyDescent="0.4">
      <c r="A116" s="27" t="s">
        <v>185</v>
      </c>
      <c r="B116" s="27">
        <v>1155746</v>
      </c>
      <c r="C116" s="27">
        <v>7943307049</v>
      </c>
      <c r="D116" s="27">
        <v>16938414472</v>
      </c>
      <c r="E116" s="27">
        <v>0</v>
      </c>
      <c r="F116" s="27">
        <v>0</v>
      </c>
      <c r="G116" s="27">
        <v>0</v>
      </c>
      <c r="H116" s="27">
        <v>0</v>
      </c>
      <c r="I116" s="27">
        <v>0</v>
      </c>
      <c r="J116" s="27">
        <v>1155746</v>
      </c>
      <c r="K116" s="27">
        <v>26890</v>
      </c>
      <c r="L116" s="27">
        <v>7943307049</v>
      </c>
      <c r="M116" s="27">
        <v>30837776923</v>
      </c>
      <c r="N116" s="28">
        <v>3.2489408695502453E-3</v>
      </c>
    </row>
    <row r="117" spans="1:14" x14ac:dyDescent="0.4">
      <c r="A117" s="27" t="s">
        <v>354</v>
      </c>
      <c r="B117" s="27">
        <v>3019851</v>
      </c>
      <c r="C117" s="27">
        <v>5526073732</v>
      </c>
      <c r="D117" s="27">
        <v>8761788081</v>
      </c>
      <c r="E117" s="27">
        <v>0</v>
      </c>
      <c r="F117" s="27">
        <v>0</v>
      </c>
      <c r="G117" s="27">
        <v>0</v>
      </c>
      <c r="H117" s="27">
        <v>0</v>
      </c>
      <c r="I117" s="27">
        <v>0</v>
      </c>
      <c r="J117" s="27">
        <v>3019851</v>
      </c>
      <c r="K117" s="27">
        <v>4828</v>
      </c>
      <c r="L117" s="27">
        <v>5526073732</v>
      </c>
      <c r="M117" s="27">
        <v>14467138460</v>
      </c>
      <c r="N117" s="28">
        <v>1.524197983710027E-3</v>
      </c>
    </row>
    <row r="118" spans="1:14" x14ac:dyDescent="0.4">
      <c r="A118" s="27" t="s">
        <v>272</v>
      </c>
      <c r="B118" s="27">
        <v>3863965</v>
      </c>
      <c r="C118" s="27">
        <v>23148828819</v>
      </c>
      <c r="D118" s="27">
        <v>26378584268</v>
      </c>
      <c r="E118" s="27">
        <v>0</v>
      </c>
      <c r="F118" s="27">
        <v>1600000</v>
      </c>
      <c r="G118" s="27">
        <v>13930512198</v>
      </c>
      <c r="H118" s="27">
        <v>0</v>
      </c>
      <c r="I118" s="27">
        <v>0</v>
      </c>
      <c r="J118" s="27">
        <v>5463965</v>
      </c>
      <c r="K118" s="27">
        <v>9040</v>
      </c>
      <c r="L118" s="27">
        <v>37079341017</v>
      </c>
      <c r="M118" s="27">
        <v>49012426097</v>
      </c>
      <c r="N118" s="28">
        <v>5.1637468764354454E-3</v>
      </c>
    </row>
    <row r="119" spans="1:14" x14ac:dyDescent="0.4">
      <c r="A119" s="27" t="s">
        <v>238</v>
      </c>
      <c r="B119" s="27">
        <v>1467107</v>
      </c>
      <c r="C119" s="27">
        <v>23716554717</v>
      </c>
      <c r="D119" s="27">
        <v>34501660430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1467107</v>
      </c>
      <c r="K119" s="27">
        <v>32450</v>
      </c>
      <c r="L119" s="27">
        <v>23716554717</v>
      </c>
      <c r="M119" s="27">
        <v>47239615231</v>
      </c>
      <c r="N119" s="28">
        <v>4.9769708422578874E-3</v>
      </c>
    </row>
    <row r="120" spans="1:14" x14ac:dyDescent="0.4">
      <c r="A120" s="27" t="s">
        <v>300</v>
      </c>
      <c r="B120" s="27">
        <v>2277911</v>
      </c>
      <c r="C120" s="27">
        <v>22635075434</v>
      </c>
      <c r="D120" s="27">
        <v>22128363903</v>
      </c>
      <c r="E120" s="27">
        <v>0</v>
      </c>
      <c r="F120" s="27">
        <v>1600000</v>
      </c>
      <c r="G120" s="27">
        <v>21428978969</v>
      </c>
      <c r="H120" s="27">
        <v>0</v>
      </c>
      <c r="I120" s="27">
        <v>0</v>
      </c>
      <c r="J120" s="27">
        <v>3877911</v>
      </c>
      <c r="K120" s="27">
        <v>13870</v>
      </c>
      <c r="L120" s="27">
        <v>44064054403</v>
      </c>
      <c r="M120" s="27">
        <v>53370854954</v>
      </c>
      <c r="N120" s="28">
        <v>5.6229329479830737E-3</v>
      </c>
    </row>
    <row r="121" spans="1:14" x14ac:dyDescent="0.4">
      <c r="A121" s="27" t="s">
        <v>98</v>
      </c>
      <c r="B121" s="27">
        <v>21785402</v>
      </c>
      <c r="C121" s="27">
        <v>46636645352</v>
      </c>
      <c r="D121" s="27">
        <v>43125916681</v>
      </c>
      <c r="E121" s="27">
        <v>0</v>
      </c>
      <c r="F121" s="27">
        <v>2400000</v>
      </c>
      <c r="G121" s="27">
        <v>6112239713</v>
      </c>
      <c r="H121" s="27">
        <v>0</v>
      </c>
      <c r="I121" s="27">
        <v>0</v>
      </c>
      <c r="J121" s="27">
        <v>24185402</v>
      </c>
      <c r="K121" s="27">
        <v>3457</v>
      </c>
      <c r="L121" s="27">
        <v>52748885065</v>
      </c>
      <c r="M121" s="27">
        <v>82962637649</v>
      </c>
      <c r="N121" s="28">
        <v>8.7406010094874947E-3</v>
      </c>
    </row>
    <row r="122" spans="1:14" x14ac:dyDescent="0.4">
      <c r="A122" s="27" t="s">
        <v>124</v>
      </c>
      <c r="B122" s="27">
        <v>835696</v>
      </c>
      <c r="C122" s="27">
        <v>26487272105</v>
      </c>
      <c r="D122" s="27">
        <v>21510383654</v>
      </c>
      <c r="E122" s="27">
        <v>0</v>
      </c>
      <c r="F122" s="27">
        <v>1400000</v>
      </c>
      <c r="G122" s="27">
        <v>52297990254</v>
      </c>
      <c r="H122" s="27">
        <v>200000</v>
      </c>
      <c r="I122" s="27">
        <v>8217007741</v>
      </c>
      <c r="J122" s="27">
        <v>2035696</v>
      </c>
      <c r="K122" s="27">
        <v>41110</v>
      </c>
      <c r="L122" s="27">
        <v>71737321819</v>
      </c>
      <c r="M122" s="27">
        <v>83040558474</v>
      </c>
      <c r="N122" s="28">
        <v>8.7488104259303111E-3</v>
      </c>
    </row>
    <row r="123" spans="1:14" x14ac:dyDescent="0.4">
      <c r="A123" s="27" t="s">
        <v>186</v>
      </c>
      <c r="B123" s="27">
        <v>200000</v>
      </c>
      <c r="C123" s="27">
        <v>1501990667</v>
      </c>
      <c r="D123" s="27">
        <v>1210569400</v>
      </c>
      <c r="E123" s="27">
        <v>0</v>
      </c>
      <c r="F123" s="27">
        <v>6400000</v>
      </c>
      <c r="G123" s="27">
        <v>50516572338</v>
      </c>
      <c r="H123" s="27">
        <v>0</v>
      </c>
      <c r="I123" s="27">
        <v>0</v>
      </c>
      <c r="J123" s="27">
        <v>6600000</v>
      </c>
      <c r="K123" s="27">
        <v>8520</v>
      </c>
      <c r="L123" s="27">
        <v>52018563005</v>
      </c>
      <c r="M123" s="27">
        <v>55797326640</v>
      </c>
      <c r="N123" s="28">
        <v>5.8785759876592604E-3</v>
      </c>
    </row>
    <row r="124" spans="1:14" x14ac:dyDescent="0.4">
      <c r="A124" s="27" t="s">
        <v>285</v>
      </c>
      <c r="B124" s="27">
        <v>724988</v>
      </c>
      <c r="C124" s="27">
        <v>1764072098</v>
      </c>
      <c r="D124" s="27">
        <v>1478333797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724988</v>
      </c>
      <c r="K124" s="27">
        <v>2251</v>
      </c>
      <c r="L124" s="27">
        <v>1764072098</v>
      </c>
      <c r="M124" s="27">
        <v>1619333030</v>
      </c>
      <c r="N124" s="28">
        <v>1.7060624297647375E-4</v>
      </c>
    </row>
    <row r="125" spans="1:14" x14ac:dyDescent="0.4">
      <c r="A125" s="27" t="s">
        <v>101</v>
      </c>
      <c r="B125" s="27">
        <v>12372652</v>
      </c>
      <c r="C125" s="27">
        <v>36849149471</v>
      </c>
      <c r="D125" s="27">
        <v>33700396293</v>
      </c>
      <c r="E125" s="27">
        <v>0</v>
      </c>
      <c r="F125" s="27">
        <v>3600000</v>
      </c>
      <c r="G125" s="27">
        <v>11952234079</v>
      </c>
      <c r="H125" s="27">
        <v>0</v>
      </c>
      <c r="I125" s="27">
        <v>0</v>
      </c>
      <c r="J125" s="27">
        <v>15972652</v>
      </c>
      <c r="K125" s="27">
        <v>3379</v>
      </c>
      <c r="L125" s="27">
        <v>48801383550</v>
      </c>
      <c r="M125" s="27">
        <v>53554390709</v>
      </c>
      <c r="N125" s="28">
        <v>5.6422695174424145E-3</v>
      </c>
    </row>
    <row r="126" spans="1:14" x14ac:dyDescent="0.4">
      <c r="A126" s="27" t="s">
        <v>302</v>
      </c>
      <c r="B126" s="27">
        <v>0</v>
      </c>
      <c r="C126" s="27">
        <v>0</v>
      </c>
      <c r="D126" s="27">
        <v>0</v>
      </c>
      <c r="E126" s="27">
        <v>0</v>
      </c>
      <c r="F126" s="27">
        <v>13200000</v>
      </c>
      <c r="G126" s="27">
        <v>60391174516</v>
      </c>
      <c r="H126" s="27">
        <v>0</v>
      </c>
      <c r="I126" s="27">
        <v>0</v>
      </c>
      <c r="J126" s="27">
        <v>13200000</v>
      </c>
      <c r="K126" s="27">
        <v>5520</v>
      </c>
      <c r="L126" s="27">
        <v>60391174516</v>
      </c>
      <c r="M126" s="27">
        <v>72300761280</v>
      </c>
      <c r="N126" s="28">
        <v>7.6173097304880555E-3</v>
      </c>
    </row>
    <row r="127" spans="1:14" x14ac:dyDescent="0.4">
      <c r="A127" s="27" t="s">
        <v>224</v>
      </c>
      <c r="B127" s="27">
        <v>1875000</v>
      </c>
      <c r="C127" s="27">
        <v>5911612875</v>
      </c>
      <c r="D127" s="27">
        <v>7157367544</v>
      </c>
      <c r="E127" s="27">
        <v>0</v>
      </c>
      <c r="F127" s="27">
        <v>0</v>
      </c>
      <c r="G127" s="27">
        <v>0</v>
      </c>
      <c r="H127" s="27">
        <v>0</v>
      </c>
      <c r="I127" s="27">
        <v>0</v>
      </c>
      <c r="J127" s="27">
        <v>1875000</v>
      </c>
      <c r="K127" s="27">
        <v>6380</v>
      </c>
      <c r="L127" s="27">
        <v>5911612875</v>
      </c>
      <c r="M127" s="27">
        <v>11870029875</v>
      </c>
      <c r="N127" s="28">
        <v>1.2505773447925362E-3</v>
      </c>
    </row>
    <row r="128" spans="1:14" x14ac:dyDescent="0.4">
      <c r="A128" s="27" t="s">
        <v>187</v>
      </c>
      <c r="B128" s="27">
        <v>23792</v>
      </c>
      <c r="C128" s="27">
        <v>1265552380</v>
      </c>
      <c r="D128" s="27">
        <v>1522721666</v>
      </c>
      <c r="E128" s="27">
        <v>0</v>
      </c>
      <c r="F128" s="27">
        <v>0</v>
      </c>
      <c r="G128" s="27">
        <v>0</v>
      </c>
      <c r="H128" s="27">
        <v>0</v>
      </c>
      <c r="I128" s="27">
        <v>0</v>
      </c>
      <c r="J128" s="27">
        <v>23792</v>
      </c>
      <c r="K128" s="27">
        <v>94500</v>
      </c>
      <c r="L128" s="27">
        <v>1265552380</v>
      </c>
      <c r="M128" s="27">
        <v>2230964301</v>
      </c>
      <c r="N128" s="28">
        <v>2.3504518870231712E-4</v>
      </c>
    </row>
    <row r="129" spans="1:14" x14ac:dyDescent="0.4">
      <c r="A129" s="27" t="s">
        <v>259</v>
      </c>
      <c r="B129" s="27">
        <v>943421</v>
      </c>
      <c r="C129" s="27">
        <v>12470037471</v>
      </c>
      <c r="D129" s="27">
        <v>14921885989</v>
      </c>
      <c r="E129" s="27">
        <v>0</v>
      </c>
      <c r="F129" s="27">
        <v>1900000</v>
      </c>
      <c r="G129" s="27">
        <v>30483905843</v>
      </c>
      <c r="H129" s="27">
        <v>0</v>
      </c>
      <c r="I129" s="27">
        <v>0</v>
      </c>
      <c r="J129" s="27">
        <v>2843421</v>
      </c>
      <c r="K129" s="27">
        <v>17000</v>
      </c>
      <c r="L129" s="27">
        <v>42953943314</v>
      </c>
      <c r="M129" s="27">
        <v>47964503046</v>
      </c>
      <c r="N129" s="28">
        <v>5.0533420299045543E-3</v>
      </c>
    </row>
    <row r="130" spans="1:14" x14ac:dyDescent="0.4">
      <c r="A130" s="27" t="s">
        <v>243</v>
      </c>
      <c r="B130" s="27">
        <v>3733986</v>
      </c>
      <c r="C130" s="27">
        <v>14066948730</v>
      </c>
      <c r="D130" s="27">
        <v>33864817714</v>
      </c>
      <c r="E130" s="27">
        <v>0</v>
      </c>
      <c r="F130" s="27">
        <v>0</v>
      </c>
      <c r="G130" s="27">
        <v>0</v>
      </c>
      <c r="H130" s="27">
        <v>0</v>
      </c>
      <c r="I130" s="27">
        <v>0</v>
      </c>
      <c r="J130" s="27">
        <v>3733986</v>
      </c>
      <c r="K130" s="27">
        <v>16350</v>
      </c>
      <c r="L130" s="27">
        <v>14066948730</v>
      </c>
      <c r="M130" s="27">
        <v>60578749412</v>
      </c>
      <c r="N130" s="28">
        <v>6.3823269518528802E-3</v>
      </c>
    </row>
    <row r="131" spans="1:14" x14ac:dyDescent="0.4">
      <c r="A131" s="27" t="s">
        <v>256</v>
      </c>
      <c r="B131" s="27">
        <v>7083396</v>
      </c>
      <c r="C131" s="27">
        <v>24659993871</v>
      </c>
      <c r="D131" s="27">
        <v>20453346325</v>
      </c>
      <c r="E131" s="27">
        <v>0</v>
      </c>
      <c r="F131" s="27">
        <v>14200000</v>
      </c>
      <c r="G131" s="27">
        <v>49265795255</v>
      </c>
      <c r="H131" s="27">
        <v>0</v>
      </c>
      <c r="I131" s="27">
        <v>0</v>
      </c>
      <c r="J131" s="27">
        <v>21283396</v>
      </c>
      <c r="K131" s="27">
        <v>4387</v>
      </c>
      <c r="L131" s="27">
        <v>73926481428</v>
      </c>
      <c r="M131" s="27">
        <v>92648506156</v>
      </c>
      <c r="N131" s="28">
        <v>9.7610641293828619E-3</v>
      </c>
    </row>
    <row r="132" spans="1:14" x14ac:dyDescent="0.4">
      <c r="A132" s="27" t="s">
        <v>105</v>
      </c>
      <c r="B132" s="27">
        <v>3453452</v>
      </c>
      <c r="C132" s="27">
        <v>22806920809</v>
      </c>
      <c r="D132" s="27">
        <v>21759905782</v>
      </c>
      <c r="E132" s="27">
        <v>0</v>
      </c>
      <c r="F132" s="27">
        <v>3000000</v>
      </c>
      <c r="G132" s="27">
        <v>21365065515</v>
      </c>
      <c r="H132" s="27">
        <v>0</v>
      </c>
      <c r="I132" s="27">
        <v>0</v>
      </c>
      <c r="J132" s="27">
        <v>6453452</v>
      </c>
      <c r="K132" s="27">
        <v>6780</v>
      </c>
      <c r="L132" s="27">
        <v>44171986324</v>
      </c>
      <c r="M132" s="27">
        <v>43416183013</v>
      </c>
      <c r="N132" s="28">
        <v>4.5741498079779983E-3</v>
      </c>
    </row>
    <row r="133" spans="1:14" x14ac:dyDescent="0.4">
      <c r="A133" s="27" t="s">
        <v>189</v>
      </c>
      <c r="B133" s="27">
        <v>6157463</v>
      </c>
      <c r="C133" s="27">
        <v>15675856896</v>
      </c>
      <c r="D133" s="27">
        <v>22875337596</v>
      </c>
      <c r="E133" s="27">
        <v>0</v>
      </c>
      <c r="F133" s="27">
        <v>0</v>
      </c>
      <c r="G133" s="27">
        <v>0</v>
      </c>
      <c r="H133" s="27">
        <v>0</v>
      </c>
      <c r="I133" s="27">
        <v>0</v>
      </c>
      <c r="J133" s="27">
        <v>6157463</v>
      </c>
      <c r="K133" s="27">
        <v>6600</v>
      </c>
      <c r="L133" s="27">
        <v>15675856896</v>
      </c>
      <c r="M133" s="27">
        <v>40325114353</v>
      </c>
      <c r="N133" s="28">
        <v>4.2484875747652775E-3</v>
      </c>
    </row>
    <row r="134" spans="1:14" x14ac:dyDescent="0.4">
      <c r="A134" s="27" t="s">
        <v>313</v>
      </c>
      <c r="B134" s="27">
        <v>16239055</v>
      </c>
      <c r="C134" s="27">
        <v>25741988551</v>
      </c>
      <c r="D134" s="27">
        <v>34756877965</v>
      </c>
      <c r="E134" s="27">
        <v>0</v>
      </c>
      <c r="F134" s="27">
        <v>4800000</v>
      </c>
      <c r="G134" s="27">
        <v>17104597339</v>
      </c>
      <c r="H134" s="27">
        <v>0</v>
      </c>
      <c r="I134" s="27">
        <v>0</v>
      </c>
      <c r="J134" s="27">
        <v>21039055</v>
      </c>
      <c r="K134" s="27">
        <v>3626</v>
      </c>
      <c r="L134" s="27">
        <v>42846585890</v>
      </c>
      <c r="M134" s="27">
        <v>75697910178</v>
      </c>
      <c r="N134" s="28">
        <v>7.9752193139907453E-3</v>
      </c>
    </row>
    <row r="135" spans="1:14" x14ac:dyDescent="0.4">
      <c r="A135" s="27" t="s">
        <v>230</v>
      </c>
      <c r="B135" s="27">
        <v>6494761</v>
      </c>
      <c r="C135" s="27">
        <v>17485089878</v>
      </c>
      <c r="D135" s="27">
        <v>14132912399</v>
      </c>
      <c r="E135" s="27">
        <v>0</v>
      </c>
      <c r="F135" s="27">
        <v>0</v>
      </c>
      <c r="G135" s="27">
        <v>0</v>
      </c>
      <c r="H135" s="27">
        <v>0</v>
      </c>
      <c r="I135" s="27">
        <v>0</v>
      </c>
      <c r="J135" s="27">
        <v>6494761</v>
      </c>
      <c r="K135" s="27">
        <v>3750</v>
      </c>
      <c r="L135" s="27">
        <v>17485089878</v>
      </c>
      <c r="M135" s="27">
        <v>24167086866</v>
      </c>
      <c r="N135" s="28">
        <v>2.5461445036382316E-3</v>
      </c>
    </row>
    <row r="136" spans="1:14" x14ac:dyDescent="0.4">
      <c r="A136" s="27" t="s">
        <v>94</v>
      </c>
      <c r="B136" s="27">
        <v>4980289</v>
      </c>
      <c r="C136" s="27">
        <v>14818851311</v>
      </c>
      <c r="D136" s="27">
        <v>14326253170</v>
      </c>
      <c r="E136" s="27">
        <v>0</v>
      </c>
      <c r="F136" s="27">
        <v>2000000</v>
      </c>
      <c r="G136" s="27">
        <v>6936429530</v>
      </c>
      <c r="H136" s="27">
        <v>1368107</v>
      </c>
      <c r="I136" s="27">
        <v>4941422107</v>
      </c>
      <c r="J136" s="27">
        <v>5612182</v>
      </c>
      <c r="K136" s="27">
        <v>3650</v>
      </c>
      <c r="L136" s="27">
        <v>17491338187</v>
      </c>
      <c r="M136" s="27">
        <v>20326119391</v>
      </c>
      <c r="N136" s="28">
        <v>2.1414760270713189E-3</v>
      </c>
    </row>
    <row r="137" spans="1:14" x14ac:dyDescent="0.4">
      <c r="A137" s="27" t="s">
        <v>249</v>
      </c>
      <c r="B137" s="27">
        <v>6518463</v>
      </c>
      <c r="C137" s="27">
        <v>16130979435</v>
      </c>
      <c r="D137" s="27">
        <v>15730359083</v>
      </c>
      <c r="E137" s="27">
        <v>0</v>
      </c>
      <c r="F137" s="27">
        <v>2800000</v>
      </c>
      <c r="G137" s="27">
        <v>7922491762</v>
      </c>
      <c r="H137" s="27">
        <v>0</v>
      </c>
      <c r="I137" s="27">
        <v>0</v>
      </c>
      <c r="J137" s="27">
        <v>9318463</v>
      </c>
      <c r="K137" s="27">
        <v>4436</v>
      </c>
      <c r="L137" s="27">
        <v>24053471197</v>
      </c>
      <c r="M137" s="27">
        <v>41017169163</v>
      </c>
      <c r="N137" s="28">
        <v>4.3213996125490662E-3</v>
      </c>
    </row>
    <row r="138" spans="1:14" x14ac:dyDescent="0.4">
      <c r="A138" s="27" t="s">
        <v>213</v>
      </c>
      <c r="B138" s="27">
        <v>2338313</v>
      </c>
      <c r="C138" s="27">
        <v>39625402023</v>
      </c>
      <c r="D138" s="27">
        <v>30951972792</v>
      </c>
      <c r="E138" s="27">
        <v>0</v>
      </c>
      <c r="F138" s="27">
        <v>2000000</v>
      </c>
      <c r="G138" s="27">
        <v>28012932699</v>
      </c>
      <c r="H138" s="27">
        <v>0</v>
      </c>
      <c r="I138" s="27">
        <v>0</v>
      </c>
      <c r="J138" s="27">
        <v>4338313</v>
      </c>
      <c r="K138" s="27">
        <v>12890</v>
      </c>
      <c r="L138" s="27">
        <v>67638334722</v>
      </c>
      <c r="M138" s="27">
        <v>55488586364</v>
      </c>
      <c r="N138" s="28">
        <v>5.8460483867470011E-3</v>
      </c>
    </row>
    <row r="139" spans="1:14" x14ac:dyDescent="0.4">
      <c r="A139" s="27" t="s">
        <v>191</v>
      </c>
      <c r="B139" s="27">
        <v>7043843</v>
      </c>
      <c r="C139" s="27">
        <v>17962732742</v>
      </c>
      <c r="D139" s="27">
        <v>24784391456</v>
      </c>
      <c r="E139" s="27">
        <v>0</v>
      </c>
      <c r="F139" s="27">
        <v>0</v>
      </c>
      <c r="G139" s="27">
        <v>0</v>
      </c>
      <c r="H139" s="27">
        <v>0</v>
      </c>
      <c r="I139" s="27">
        <v>0</v>
      </c>
      <c r="J139" s="27">
        <v>7043843</v>
      </c>
      <c r="K139" s="27">
        <v>5330</v>
      </c>
      <c r="L139" s="27">
        <v>17962732742</v>
      </c>
      <c r="M139" s="27">
        <v>37253470519</v>
      </c>
      <c r="N139" s="28">
        <v>3.9248718610287447E-3</v>
      </c>
    </row>
    <row r="140" spans="1:14" x14ac:dyDescent="0.4">
      <c r="A140" s="27" t="s">
        <v>312</v>
      </c>
      <c r="B140" s="27">
        <v>3904663</v>
      </c>
      <c r="C140" s="27">
        <v>9704409400</v>
      </c>
      <c r="D140" s="27">
        <v>15029107745</v>
      </c>
      <c r="E140" s="27">
        <v>0</v>
      </c>
      <c r="F140" s="27">
        <v>0</v>
      </c>
      <c r="G140" s="27">
        <v>0</v>
      </c>
      <c r="H140" s="27">
        <v>0</v>
      </c>
      <c r="I140" s="27">
        <v>0</v>
      </c>
      <c r="J140" s="27">
        <v>3904663</v>
      </c>
      <c r="K140" s="27">
        <v>7840</v>
      </c>
      <c r="L140" s="27">
        <v>9704409400</v>
      </c>
      <c r="M140" s="27">
        <v>30375922847</v>
      </c>
      <c r="N140" s="28">
        <v>3.2002818307670182E-3</v>
      </c>
    </row>
    <row r="141" spans="1:14" x14ac:dyDescent="0.4">
      <c r="A141" s="27" t="s">
        <v>355</v>
      </c>
      <c r="B141" s="27">
        <v>1200163</v>
      </c>
      <c r="C141" s="27">
        <v>16198919272</v>
      </c>
      <c r="D141" s="27">
        <v>7609759879</v>
      </c>
      <c r="E141" s="27">
        <v>0</v>
      </c>
      <c r="F141" s="27">
        <v>0</v>
      </c>
      <c r="G141" s="27">
        <v>0</v>
      </c>
      <c r="H141" s="27">
        <v>0</v>
      </c>
      <c r="I141" s="27">
        <v>0</v>
      </c>
      <c r="J141" s="27">
        <v>1200163</v>
      </c>
      <c r="K141" s="27">
        <v>6390</v>
      </c>
      <c r="L141" s="27">
        <v>16198919272</v>
      </c>
      <c r="M141" s="27">
        <v>7609759879</v>
      </c>
      <c r="N141" s="28">
        <v>8.017328856123534E-4</v>
      </c>
    </row>
    <row r="142" spans="1:14" x14ac:dyDescent="0.4">
      <c r="A142" s="27" t="s">
        <v>121</v>
      </c>
      <c r="B142" s="27">
        <v>2716099</v>
      </c>
      <c r="C142" s="27">
        <v>25389929056</v>
      </c>
      <c r="D142" s="27">
        <v>26924084512</v>
      </c>
      <c r="E142" s="27">
        <v>0</v>
      </c>
      <c r="F142" s="27">
        <v>5822393</v>
      </c>
      <c r="G142" s="27">
        <v>77907800140</v>
      </c>
      <c r="H142" s="27">
        <v>1800000</v>
      </c>
      <c r="I142" s="27">
        <v>25730553497</v>
      </c>
      <c r="J142" s="27">
        <v>6738492</v>
      </c>
      <c r="K142" s="27">
        <v>14430</v>
      </c>
      <c r="L142" s="27">
        <v>81523141436</v>
      </c>
      <c r="M142" s="27">
        <v>96484801882</v>
      </c>
      <c r="N142" s="28">
        <v>1.0165240409761434E-2</v>
      </c>
    </row>
    <row r="143" spans="1:14" x14ac:dyDescent="0.4">
      <c r="A143" s="27" t="s">
        <v>282</v>
      </c>
      <c r="B143" s="27">
        <v>204021</v>
      </c>
      <c r="C143" s="27">
        <v>5210406001</v>
      </c>
      <c r="D143" s="27">
        <v>7030877261</v>
      </c>
      <c r="E143" s="27">
        <v>0</v>
      </c>
      <c r="F143" s="27">
        <v>0</v>
      </c>
      <c r="G143" s="27">
        <v>0</v>
      </c>
      <c r="H143" s="27">
        <v>0</v>
      </c>
      <c r="I143" s="27">
        <v>0</v>
      </c>
      <c r="J143" s="27">
        <v>204021</v>
      </c>
      <c r="K143" s="27">
        <v>60750</v>
      </c>
      <c r="L143" s="27">
        <v>5210406001</v>
      </c>
      <c r="M143" s="27">
        <v>12298467998</v>
      </c>
      <c r="N143" s="28">
        <v>1.2957158167181799E-3</v>
      </c>
    </row>
    <row r="144" spans="1:14" x14ac:dyDescent="0.4">
      <c r="A144" s="27" t="s">
        <v>232</v>
      </c>
      <c r="B144" s="27">
        <v>4967900</v>
      </c>
      <c r="C144" s="27">
        <v>27318914165</v>
      </c>
      <c r="D144" s="27">
        <v>16208189861</v>
      </c>
      <c r="E144" s="27">
        <v>0</v>
      </c>
      <c r="F144" s="27">
        <v>0</v>
      </c>
      <c r="G144" s="27">
        <v>0</v>
      </c>
      <c r="H144" s="27">
        <v>0</v>
      </c>
      <c r="I144" s="27">
        <v>0</v>
      </c>
      <c r="J144" s="27">
        <v>4967900</v>
      </c>
      <c r="K144" s="27">
        <v>4623</v>
      </c>
      <c r="L144" s="27">
        <v>27318914165</v>
      </c>
      <c r="M144" s="27">
        <v>22789069869</v>
      </c>
      <c r="N144" s="28">
        <v>2.4009623216778644E-3</v>
      </c>
    </row>
    <row r="145" spans="1:14" x14ac:dyDescent="0.4">
      <c r="A145" s="27" t="s">
        <v>229</v>
      </c>
      <c r="B145" s="27">
        <v>25021276</v>
      </c>
      <c r="C145" s="27">
        <v>39331346955</v>
      </c>
      <c r="D145" s="27">
        <v>26863746183</v>
      </c>
      <c r="E145" s="27">
        <v>0</v>
      </c>
      <c r="F145" s="27">
        <v>0</v>
      </c>
      <c r="G145" s="27">
        <v>0</v>
      </c>
      <c r="H145" s="27">
        <v>0</v>
      </c>
      <c r="I145" s="27">
        <v>0</v>
      </c>
      <c r="J145" s="27">
        <v>25021276</v>
      </c>
      <c r="K145" s="27">
        <v>1543</v>
      </c>
      <c r="L145" s="27">
        <v>39331346955</v>
      </c>
      <c r="M145" s="27">
        <v>38309390351</v>
      </c>
      <c r="N145" s="28">
        <v>4.0361192153928246E-3</v>
      </c>
    </row>
    <row r="146" spans="1:14" x14ac:dyDescent="0.4">
      <c r="A146" s="27" t="s">
        <v>288</v>
      </c>
      <c r="B146" s="27">
        <v>3915801</v>
      </c>
      <c r="C146" s="27">
        <v>13026834643</v>
      </c>
      <c r="D146" s="27">
        <v>12488099392</v>
      </c>
      <c r="E146" s="27">
        <v>0</v>
      </c>
      <c r="F146" s="27">
        <v>6800000</v>
      </c>
      <c r="G146" s="27">
        <v>24849486498</v>
      </c>
      <c r="H146" s="27">
        <v>0</v>
      </c>
      <c r="I146" s="27">
        <v>0</v>
      </c>
      <c r="J146" s="27">
        <v>10715801</v>
      </c>
      <c r="K146" s="27">
        <v>4190</v>
      </c>
      <c r="L146" s="27">
        <v>37876321141</v>
      </c>
      <c r="M146" s="27">
        <v>44552135326</v>
      </c>
      <c r="N146" s="28">
        <v>4.6938290541435421E-3</v>
      </c>
    </row>
    <row r="147" spans="1:14" x14ac:dyDescent="0.4">
      <c r="A147" s="27" t="s">
        <v>192</v>
      </c>
      <c r="B147" s="27">
        <v>1440400</v>
      </c>
      <c r="C147" s="27">
        <v>8499361036</v>
      </c>
      <c r="D147" s="27">
        <v>9470314581</v>
      </c>
      <c r="E147" s="27">
        <v>0</v>
      </c>
      <c r="F147" s="27">
        <v>1527358</v>
      </c>
      <c r="G147" s="27">
        <v>14985133633</v>
      </c>
      <c r="H147" s="27">
        <v>0</v>
      </c>
      <c r="I147" s="27">
        <v>0</v>
      </c>
      <c r="J147" s="27">
        <v>2967758</v>
      </c>
      <c r="K147" s="27">
        <v>10080</v>
      </c>
      <c r="L147" s="27">
        <v>23484494669</v>
      </c>
      <c r="M147" s="27">
        <v>29683757685</v>
      </c>
      <c r="N147" s="28">
        <v>3.1273581667520733E-3</v>
      </c>
    </row>
    <row r="148" spans="1:14" x14ac:dyDescent="0.4">
      <c r="A148" s="27" t="s">
        <v>341</v>
      </c>
      <c r="B148" s="27">
        <v>8858150</v>
      </c>
      <c r="C148" s="27">
        <v>11344964033</v>
      </c>
      <c r="D148" s="27">
        <v>7031741200</v>
      </c>
      <c r="E148" s="27">
        <v>0</v>
      </c>
      <c r="F148" s="27">
        <v>0</v>
      </c>
      <c r="G148" s="27">
        <v>0</v>
      </c>
      <c r="H148" s="27">
        <v>0</v>
      </c>
      <c r="I148" s="27">
        <v>0</v>
      </c>
      <c r="J148" s="27">
        <v>8858150</v>
      </c>
      <c r="K148" s="27">
        <v>800</v>
      </c>
      <c r="L148" s="27">
        <v>11344964033</v>
      </c>
      <c r="M148" s="27">
        <v>7031741200</v>
      </c>
      <c r="N148" s="28">
        <v>7.4083522381735226E-4</v>
      </c>
    </row>
    <row r="149" spans="1:14" x14ac:dyDescent="0.4">
      <c r="A149" s="27" t="s">
        <v>194</v>
      </c>
      <c r="B149" s="27">
        <v>0</v>
      </c>
      <c r="C149" s="27">
        <v>0</v>
      </c>
      <c r="D149" s="27">
        <v>0</v>
      </c>
      <c r="E149" s="27">
        <v>0</v>
      </c>
      <c r="F149" s="27">
        <v>13000000</v>
      </c>
      <c r="G149" s="27">
        <v>77636851559</v>
      </c>
      <c r="H149" s="27">
        <v>0</v>
      </c>
      <c r="I149" s="27">
        <v>0</v>
      </c>
      <c r="J149" s="27">
        <v>13000000</v>
      </c>
      <c r="K149" s="27">
        <v>5600</v>
      </c>
      <c r="L149" s="27">
        <v>77636851559</v>
      </c>
      <c r="M149" s="27">
        <v>72237256000</v>
      </c>
      <c r="N149" s="28">
        <v>7.610619076354996E-3</v>
      </c>
    </row>
    <row r="150" spans="1:14" x14ac:dyDescent="0.4">
      <c r="A150" s="27" t="s">
        <v>298</v>
      </c>
      <c r="B150" s="27">
        <v>5800000</v>
      </c>
      <c r="C150" s="27">
        <v>21338456733</v>
      </c>
      <c r="D150" s="27">
        <v>23843652738</v>
      </c>
      <c r="E150" s="27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5800000</v>
      </c>
      <c r="K150" s="27">
        <v>5960</v>
      </c>
      <c r="L150" s="27">
        <v>21338456733</v>
      </c>
      <c r="M150" s="27">
        <v>34300789360</v>
      </c>
      <c r="N150" s="28">
        <v>3.6137895636186744E-3</v>
      </c>
    </row>
    <row r="151" spans="1:14" x14ac:dyDescent="0.4">
      <c r="A151" s="27" t="s">
        <v>339</v>
      </c>
      <c r="B151" s="27">
        <v>5729478</v>
      </c>
      <c r="C151" s="27">
        <v>11625693660</v>
      </c>
      <c r="D151" s="27">
        <v>7419171821</v>
      </c>
      <c r="E151" s="27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5729478</v>
      </c>
      <c r="K151" s="27">
        <v>1305</v>
      </c>
      <c r="L151" s="27">
        <v>11625693660</v>
      </c>
      <c r="M151" s="27">
        <v>7419171821</v>
      </c>
      <c r="N151" s="28">
        <v>7.8165331462283169E-4</v>
      </c>
    </row>
    <row r="152" spans="1:14" x14ac:dyDescent="0.4">
      <c r="A152" s="27" t="s">
        <v>196</v>
      </c>
      <c r="B152" s="27">
        <v>23989450</v>
      </c>
      <c r="C152" s="27">
        <v>25066741703</v>
      </c>
      <c r="D152" s="27">
        <v>32135415595</v>
      </c>
      <c r="E152" s="27">
        <v>0</v>
      </c>
      <c r="F152" s="27">
        <v>0</v>
      </c>
      <c r="G152" s="27">
        <v>0</v>
      </c>
      <c r="H152" s="27">
        <v>0</v>
      </c>
      <c r="I152" s="27">
        <v>0</v>
      </c>
      <c r="J152" s="27">
        <v>23989450</v>
      </c>
      <c r="K152" s="27">
        <v>2186</v>
      </c>
      <c r="L152" s="27">
        <v>25066741703</v>
      </c>
      <c r="M152" s="27">
        <v>52035569252</v>
      </c>
      <c r="N152" s="28">
        <v>5.4822527588570457E-3</v>
      </c>
    </row>
    <row r="153" spans="1:14" x14ac:dyDescent="0.4">
      <c r="A153" s="27" t="s">
        <v>294</v>
      </c>
      <c r="B153" s="27">
        <v>19209541</v>
      </c>
      <c r="C153" s="27">
        <v>21405614361</v>
      </c>
      <c r="D153" s="27">
        <v>22625467831</v>
      </c>
      <c r="E153" s="27">
        <v>0</v>
      </c>
      <c r="F153" s="27">
        <v>1600000</v>
      </c>
      <c r="G153" s="27">
        <v>2525911119</v>
      </c>
      <c r="H153" s="27">
        <v>0</v>
      </c>
      <c r="I153" s="27">
        <v>0</v>
      </c>
      <c r="J153" s="27">
        <v>20809541</v>
      </c>
      <c r="K153" s="27">
        <v>1756</v>
      </c>
      <c r="L153" s="27">
        <v>23931525480</v>
      </c>
      <c r="M153" s="27">
        <v>36259087784</v>
      </c>
      <c r="N153" s="28">
        <v>3.8201078011620595E-3</v>
      </c>
    </row>
    <row r="154" spans="1:14" x14ac:dyDescent="0.4">
      <c r="A154" s="27" t="s">
        <v>247</v>
      </c>
      <c r="B154" s="27">
        <v>1447708</v>
      </c>
      <c r="C154" s="27">
        <v>7589659743</v>
      </c>
      <c r="D154" s="27">
        <v>11118643261</v>
      </c>
      <c r="E154" s="27">
        <v>0</v>
      </c>
      <c r="F154" s="27">
        <v>1000000</v>
      </c>
      <c r="G154" s="27">
        <v>11811381870</v>
      </c>
      <c r="H154" s="27">
        <v>0</v>
      </c>
      <c r="I154" s="27">
        <v>0</v>
      </c>
      <c r="J154" s="27">
        <v>2447708</v>
      </c>
      <c r="K154" s="27">
        <v>11640</v>
      </c>
      <c r="L154" s="27">
        <v>19401041613</v>
      </c>
      <c r="M154" s="27">
        <v>28271083208</v>
      </c>
      <c r="N154" s="28">
        <v>2.9785246157747768E-3</v>
      </c>
    </row>
    <row r="155" spans="1:14" x14ac:dyDescent="0.4">
      <c r="A155" s="27" t="s">
        <v>129</v>
      </c>
      <c r="B155" s="27">
        <v>2867583</v>
      </c>
      <c r="C155" s="27">
        <v>27113143892</v>
      </c>
      <c r="D155" s="27">
        <v>39665107173</v>
      </c>
      <c r="E155" s="27">
        <v>0</v>
      </c>
      <c r="F155" s="27">
        <v>500000</v>
      </c>
      <c r="G155" s="27">
        <v>9107992754</v>
      </c>
      <c r="H155" s="27">
        <v>800000</v>
      </c>
      <c r="I155" s="27">
        <v>15387283119</v>
      </c>
      <c r="J155" s="27">
        <v>2567583</v>
      </c>
      <c r="K155" s="27">
        <v>19790</v>
      </c>
      <c r="L155" s="27">
        <v>27616475880</v>
      </c>
      <c r="M155" s="27">
        <v>50419687196</v>
      </c>
      <c r="N155" s="28">
        <v>5.3120100962546161E-3</v>
      </c>
    </row>
    <row r="156" spans="1:14" x14ac:dyDescent="0.4">
      <c r="A156" s="27" t="s">
        <v>117</v>
      </c>
      <c r="B156" s="27">
        <v>5309272</v>
      </c>
      <c r="C156" s="27">
        <v>25391680341</v>
      </c>
      <c r="D156" s="27">
        <v>27268365351</v>
      </c>
      <c r="E156" s="27">
        <v>0</v>
      </c>
      <c r="F156" s="27">
        <v>665244</v>
      </c>
      <c r="G156" s="27">
        <v>4865895594</v>
      </c>
      <c r="H156" s="27">
        <v>1600000</v>
      </c>
      <c r="I156" s="27">
        <v>11964701522</v>
      </c>
      <c r="J156" s="27">
        <v>4374516</v>
      </c>
      <c r="K156" s="27">
        <v>7750</v>
      </c>
      <c r="L156" s="27">
        <v>22219858996</v>
      </c>
      <c r="M156" s="27">
        <v>33640432683</v>
      </c>
      <c r="N156" s="28">
        <v>3.5442171102689156E-3</v>
      </c>
    </row>
    <row r="157" spans="1:14" x14ac:dyDescent="0.4">
      <c r="A157" s="27" t="s">
        <v>278</v>
      </c>
      <c r="B157" s="27">
        <v>241083</v>
      </c>
      <c r="C157" s="27">
        <v>1966102194</v>
      </c>
      <c r="D157" s="27">
        <v>2717532707</v>
      </c>
      <c r="E157" s="27">
        <v>0</v>
      </c>
      <c r="F157" s="27">
        <v>1512000</v>
      </c>
      <c r="G157" s="27">
        <v>21078326319</v>
      </c>
      <c r="H157" s="27">
        <v>0</v>
      </c>
      <c r="I157" s="27">
        <v>0</v>
      </c>
      <c r="J157" s="27">
        <v>1753083</v>
      </c>
      <c r="K157" s="27">
        <v>14610</v>
      </c>
      <c r="L157" s="27">
        <v>23044428513</v>
      </c>
      <c r="M157" s="27">
        <v>25414557675</v>
      </c>
      <c r="N157" s="28">
        <v>2.6775728781624716E-3</v>
      </c>
    </row>
    <row r="158" spans="1:14" x14ac:dyDescent="0.4">
      <c r="A158" s="27" t="s">
        <v>306</v>
      </c>
      <c r="B158" s="27">
        <v>5849737</v>
      </c>
      <c r="C158" s="27">
        <v>21810287212</v>
      </c>
      <c r="D158" s="27">
        <v>19305828641</v>
      </c>
      <c r="E158" s="27">
        <v>2327407</v>
      </c>
      <c r="F158" s="27">
        <v>800000</v>
      </c>
      <c r="G158" s="27">
        <v>3638045894</v>
      </c>
      <c r="H158" s="27">
        <v>0</v>
      </c>
      <c r="I158" s="27">
        <v>0</v>
      </c>
      <c r="J158" s="27">
        <v>8977144</v>
      </c>
      <c r="K158" s="27">
        <v>3568</v>
      </c>
      <c r="L158" s="27">
        <v>25448333106</v>
      </c>
      <c r="M158" s="27">
        <v>31782854415</v>
      </c>
      <c r="N158" s="28">
        <v>3.3485103325604257E-3</v>
      </c>
    </row>
    <row r="159" spans="1:14" x14ac:dyDescent="0.4">
      <c r="A159" s="27" t="s">
        <v>197</v>
      </c>
      <c r="B159" s="27">
        <v>10684873</v>
      </c>
      <c r="C159" s="27">
        <v>20039466760</v>
      </c>
      <c r="D159" s="27">
        <v>27067618113</v>
      </c>
      <c r="E159" s="27">
        <v>0</v>
      </c>
      <c r="F159" s="27">
        <v>0</v>
      </c>
      <c r="G159" s="27">
        <v>0</v>
      </c>
      <c r="H159" s="27">
        <v>0</v>
      </c>
      <c r="I159" s="27">
        <v>0</v>
      </c>
      <c r="J159" s="27">
        <v>10684873</v>
      </c>
      <c r="K159" s="27">
        <v>3940</v>
      </c>
      <c r="L159" s="27">
        <v>20039466760</v>
      </c>
      <c r="M159" s="27">
        <v>41772978991</v>
      </c>
      <c r="N159" s="28">
        <v>4.4010286158306048E-3</v>
      </c>
    </row>
    <row r="160" spans="1:14" x14ac:dyDescent="0.4">
      <c r="A160" s="27" t="s">
        <v>102</v>
      </c>
      <c r="B160" s="27">
        <v>14265640</v>
      </c>
      <c r="C160" s="27">
        <v>56503936361</v>
      </c>
      <c r="D160" s="27">
        <v>53408198192</v>
      </c>
      <c r="E160" s="27">
        <v>0</v>
      </c>
      <c r="F160" s="27">
        <v>5600000</v>
      </c>
      <c r="G160" s="27">
        <v>29056193042</v>
      </c>
      <c r="H160" s="27">
        <v>0</v>
      </c>
      <c r="I160" s="27">
        <v>0</v>
      </c>
      <c r="J160" s="27">
        <v>19865640</v>
      </c>
      <c r="K160" s="27">
        <v>5380</v>
      </c>
      <c r="L160" s="27">
        <v>85560129403</v>
      </c>
      <c r="M160" s="27">
        <v>106050982883</v>
      </c>
      <c r="N160" s="28">
        <v>1.1173093748128487E-2</v>
      </c>
    </row>
    <row r="161" spans="1:14" x14ac:dyDescent="0.4">
      <c r="A161" s="27" t="s">
        <v>260</v>
      </c>
      <c r="B161" s="27">
        <v>21893355</v>
      </c>
      <c r="C161" s="27">
        <v>31647249596</v>
      </c>
      <c r="D161" s="27">
        <v>27763424550</v>
      </c>
      <c r="E161" s="27">
        <v>0</v>
      </c>
      <c r="F161" s="27">
        <v>24400000</v>
      </c>
      <c r="G161" s="27">
        <v>42956714255</v>
      </c>
      <c r="H161" s="27">
        <v>0</v>
      </c>
      <c r="I161" s="27">
        <v>0</v>
      </c>
      <c r="J161" s="27">
        <v>46293355</v>
      </c>
      <c r="K161" s="27">
        <v>1952</v>
      </c>
      <c r="L161" s="27">
        <v>74603963851</v>
      </c>
      <c r="M161" s="27">
        <v>89666110378</v>
      </c>
      <c r="N161" s="28">
        <v>9.4468512223852951E-3</v>
      </c>
    </row>
    <row r="162" spans="1:14" x14ac:dyDescent="0.4">
      <c r="A162" s="27" t="s">
        <v>198</v>
      </c>
      <c r="B162" s="27">
        <v>3340260</v>
      </c>
      <c r="C162" s="27">
        <v>27629910504</v>
      </c>
      <c r="D162" s="27">
        <v>25057164814</v>
      </c>
      <c r="E162" s="27">
        <v>0</v>
      </c>
      <c r="F162" s="27">
        <v>0</v>
      </c>
      <c r="G162" s="27">
        <v>0</v>
      </c>
      <c r="H162" s="27">
        <v>0</v>
      </c>
      <c r="I162" s="27">
        <v>0</v>
      </c>
      <c r="J162" s="27">
        <v>3340260</v>
      </c>
      <c r="K162" s="27">
        <v>11500</v>
      </c>
      <c r="L162" s="27">
        <v>27629910504</v>
      </c>
      <c r="M162" s="27">
        <v>38116057587</v>
      </c>
      <c r="N162" s="28">
        <v>4.0157504735100647E-3</v>
      </c>
    </row>
    <row r="163" spans="1:14" x14ac:dyDescent="0.4">
      <c r="A163" s="27" t="s">
        <v>322</v>
      </c>
      <c r="B163" s="27">
        <v>862852</v>
      </c>
      <c r="C163" s="27">
        <v>7777212626</v>
      </c>
      <c r="D163" s="27">
        <v>11849561012</v>
      </c>
      <c r="E163" s="27">
        <v>0</v>
      </c>
      <c r="F163" s="27">
        <v>1000000</v>
      </c>
      <c r="G163" s="27">
        <v>19630606146</v>
      </c>
      <c r="H163" s="27">
        <v>0</v>
      </c>
      <c r="I163" s="27">
        <v>0</v>
      </c>
      <c r="J163" s="27">
        <v>1862852</v>
      </c>
      <c r="K163" s="27">
        <v>21790</v>
      </c>
      <c r="L163" s="27">
        <v>27407818772</v>
      </c>
      <c r="M163" s="27">
        <v>40277772437</v>
      </c>
      <c r="N163" s="28">
        <v>4.2434998259363241E-3</v>
      </c>
    </row>
    <row r="164" spans="1:14" x14ac:dyDescent="0.4">
      <c r="A164" s="27" t="s">
        <v>199</v>
      </c>
      <c r="B164" s="27">
        <v>3484284</v>
      </c>
      <c r="C164" s="27">
        <v>27100051986</v>
      </c>
      <c r="D164" s="27">
        <v>26967333781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3484284</v>
      </c>
      <c r="K164" s="27">
        <v>9720</v>
      </c>
      <c r="L164" s="27">
        <v>27100051986</v>
      </c>
      <c r="M164" s="27">
        <v>33605446711</v>
      </c>
      <c r="N164" s="28">
        <v>3.5405311326909741E-3</v>
      </c>
    </row>
    <row r="165" spans="1:14" x14ac:dyDescent="0.4">
      <c r="A165" s="27" t="s">
        <v>200</v>
      </c>
      <c r="B165" s="27">
        <v>881085</v>
      </c>
      <c r="C165" s="27">
        <v>4430853957</v>
      </c>
      <c r="D165" s="27">
        <v>4348639935</v>
      </c>
      <c r="E165" s="27">
        <v>1321627</v>
      </c>
      <c r="F165" s="27">
        <v>0</v>
      </c>
      <c r="G165" s="27">
        <v>0</v>
      </c>
      <c r="H165" s="27">
        <v>0</v>
      </c>
      <c r="I165" s="27">
        <v>0</v>
      </c>
      <c r="J165" s="27">
        <v>2202712</v>
      </c>
      <c r="K165" s="27">
        <v>5850</v>
      </c>
      <c r="L165" s="27">
        <v>11077132377</v>
      </c>
      <c r="M165" s="27">
        <v>12786257462</v>
      </c>
      <c r="N165" s="28">
        <v>1.3471073009124767E-3</v>
      </c>
    </row>
    <row r="166" spans="1:14" x14ac:dyDescent="0.4">
      <c r="A166" s="27" t="s">
        <v>356</v>
      </c>
      <c r="B166" s="27">
        <v>1321627</v>
      </c>
      <c r="C166" s="27">
        <v>5324651420</v>
      </c>
      <c r="D166" s="27">
        <v>5211546612</v>
      </c>
      <c r="E166" s="27">
        <v>-1321627</v>
      </c>
      <c r="F166" s="27">
        <v>0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27">
        <v>0</v>
      </c>
      <c r="N166" s="28">
        <v>0</v>
      </c>
    </row>
    <row r="167" spans="1:14" x14ac:dyDescent="0.4">
      <c r="A167" s="27" t="s">
        <v>326</v>
      </c>
      <c r="B167" s="27">
        <v>5168835</v>
      </c>
      <c r="C167" s="27">
        <v>33177875818</v>
      </c>
      <c r="D167" s="27">
        <v>30619413036</v>
      </c>
      <c r="E167" s="27">
        <v>0</v>
      </c>
      <c r="F167" s="27">
        <v>600000</v>
      </c>
      <c r="G167" s="27">
        <v>4325210993</v>
      </c>
      <c r="H167" s="27">
        <v>0</v>
      </c>
      <c r="I167" s="27">
        <v>0</v>
      </c>
      <c r="J167" s="27">
        <v>5768835</v>
      </c>
      <c r="K167" s="27">
        <v>7670</v>
      </c>
      <c r="L167" s="27">
        <v>37503086811</v>
      </c>
      <c r="M167" s="27">
        <v>43904935415</v>
      </c>
      <c r="N167" s="28">
        <v>4.6256427433446958E-3</v>
      </c>
    </row>
    <row r="168" spans="1:14" x14ac:dyDescent="0.4">
      <c r="A168" s="27" t="s">
        <v>301</v>
      </c>
      <c r="B168" s="27">
        <v>1764830</v>
      </c>
      <c r="C168" s="27">
        <v>16756051992</v>
      </c>
      <c r="D168" s="27">
        <v>24866867670</v>
      </c>
      <c r="E168" s="27">
        <v>0</v>
      </c>
      <c r="F168" s="27">
        <v>0</v>
      </c>
      <c r="G168" s="27">
        <v>0</v>
      </c>
      <c r="H168" s="27">
        <v>0</v>
      </c>
      <c r="I168" s="27">
        <v>0</v>
      </c>
      <c r="J168" s="27">
        <v>1764830</v>
      </c>
      <c r="K168" s="27">
        <v>19900</v>
      </c>
      <c r="L168" s="27">
        <v>16756051992</v>
      </c>
      <c r="M168" s="27">
        <v>34848638496</v>
      </c>
      <c r="N168" s="28">
        <v>3.6715086869115944E-3</v>
      </c>
    </row>
    <row r="169" spans="1:14" x14ac:dyDescent="0.4">
      <c r="A169" s="27" t="s">
        <v>239</v>
      </c>
      <c r="B169" s="27">
        <v>3600000</v>
      </c>
      <c r="C169" s="27">
        <v>19417906724</v>
      </c>
      <c r="D169" s="27">
        <v>24040717560</v>
      </c>
      <c r="E169" s="27">
        <v>0</v>
      </c>
      <c r="F169" s="27">
        <v>400000</v>
      </c>
      <c r="G169" s="27">
        <v>3561391478</v>
      </c>
      <c r="H169" s="27">
        <v>0</v>
      </c>
      <c r="I169" s="27">
        <v>0</v>
      </c>
      <c r="J169" s="27">
        <v>4000000</v>
      </c>
      <c r="K169" s="27">
        <v>11710</v>
      </c>
      <c r="L169" s="27">
        <v>22979298202</v>
      </c>
      <c r="M169" s="27">
        <v>46477926800</v>
      </c>
      <c r="N169" s="28">
        <v>4.8967224936328022E-3</v>
      </c>
    </row>
    <row r="170" spans="1:14" x14ac:dyDescent="0.4">
      <c r="A170" s="27" t="s">
        <v>333</v>
      </c>
      <c r="B170" s="27">
        <v>6741110</v>
      </c>
      <c r="C170" s="27">
        <v>29833055813</v>
      </c>
      <c r="D170" s="27">
        <v>37859746904</v>
      </c>
      <c r="E170" s="27">
        <v>0</v>
      </c>
      <c r="F170" s="27">
        <v>1200000</v>
      </c>
      <c r="G170" s="27">
        <v>7784528001</v>
      </c>
      <c r="H170" s="27">
        <v>0</v>
      </c>
      <c r="I170" s="27">
        <v>0</v>
      </c>
      <c r="J170" s="27">
        <v>7941110</v>
      </c>
      <c r="K170" s="27">
        <v>9500</v>
      </c>
      <c r="L170" s="27">
        <v>37617583814</v>
      </c>
      <c r="M170" s="27">
        <v>74857389587</v>
      </c>
      <c r="N170" s="28">
        <v>7.886665534429493E-3</v>
      </c>
    </row>
    <row r="171" spans="1:14" x14ac:dyDescent="0.4">
      <c r="A171" s="27" t="s">
        <v>241</v>
      </c>
      <c r="B171" s="27">
        <v>2141672</v>
      </c>
      <c r="C171" s="27">
        <v>4306799190</v>
      </c>
      <c r="D171" s="27">
        <v>11985659177</v>
      </c>
      <c r="E171" s="27">
        <v>0</v>
      </c>
      <c r="F171" s="27">
        <v>0</v>
      </c>
      <c r="G171" s="27">
        <v>0</v>
      </c>
      <c r="H171" s="27">
        <v>0</v>
      </c>
      <c r="I171" s="27">
        <v>0</v>
      </c>
      <c r="J171" s="27">
        <v>2141672</v>
      </c>
      <c r="K171" s="27">
        <v>7700</v>
      </c>
      <c r="L171" s="27">
        <v>4306799190</v>
      </c>
      <c r="M171" s="27">
        <v>16363399941</v>
      </c>
      <c r="N171" s="28">
        <v>1.7239802650449627E-3</v>
      </c>
    </row>
    <row r="172" spans="1:14" x14ac:dyDescent="0.4">
      <c r="A172" s="27" t="s">
        <v>133</v>
      </c>
      <c r="B172" s="27">
        <v>12516623</v>
      </c>
      <c r="C172" s="27">
        <v>13725153662</v>
      </c>
      <c r="D172" s="27">
        <v>13773635280</v>
      </c>
      <c r="E172" s="27">
        <v>0</v>
      </c>
      <c r="F172" s="27">
        <v>0</v>
      </c>
      <c r="G172" s="27">
        <v>0</v>
      </c>
      <c r="H172" s="27">
        <v>0</v>
      </c>
      <c r="I172" s="27">
        <v>0</v>
      </c>
      <c r="J172" s="27">
        <v>12516623</v>
      </c>
      <c r="K172" s="27">
        <v>1591</v>
      </c>
      <c r="L172" s="27">
        <v>13725153662</v>
      </c>
      <c r="M172" s="27">
        <v>19760012381</v>
      </c>
      <c r="N172" s="28">
        <v>2.0818333295474223E-3</v>
      </c>
    </row>
    <row r="173" spans="1:14" x14ac:dyDescent="0.4">
      <c r="A173" s="27" t="s">
        <v>264</v>
      </c>
      <c r="B173" s="27">
        <v>2451893</v>
      </c>
      <c r="C173" s="27">
        <v>14817650768</v>
      </c>
      <c r="D173" s="27">
        <v>9792582965</v>
      </c>
      <c r="E173" s="27">
        <v>0</v>
      </c>
      <c r="F173" s="27">
        <v>0</v>
      </c>
      <c r="G173" s="27">
        <v>0</v>
      </c>
      <c r="H173" s="27">
        <v>0</v>
      </c>
      <c r="I173" s="27">
        <v>0</v>
      </c>
      <c r="J173" s="27">
        <v>2451893</v>
      </c>
      <c r="K173" s="27">
        <v>4613</v>
      </c>
      <c r="L173" s="27">
        <v>14817650768</v>
      </c>
      <c r="M173" s="27">
        <v>11223151607</v>
      </c>
      <c r="N173" s="28">
        <v>1.1824249209723364E-3</v>
      </c>
    </row>
    <row r="174" spans="1:14" x14ac:dyDescent="0.4">
      <c r="A174" s="27" t="s">
        <v>201</v>
      </c>
      <c r="B174" s="27">
        <v>3667933</v>
      </c>
      <c r="C174" s="27">
        <v>16912333411</v>
      </c>
      <c r="D174" s="27">
        <v>20126876725</v>
      </c>
      <c r="E174" s="27">
        <v>0</v>
      </c>
      <c r="F174" s="27">
        <v>4600000</v>
      </c>
      <c r="G174" s="27">
        <v>26938690907</v>
      </c>
      <c r="H174" s="27">
        <v>0</v>
      </c>
      <c r="I174" s="27">
        <v>0</v>
      </c>
      <c r="J174" s="27">
        <v>8267933</v>
      </c>
      <c r="K174" s="27">
        <v>5850</v>
      </c>
      <c r="L174" s="27">
        <v>43851024318</v>
      </c>
      <c r="M174" s="27">
        <v>47993527986</v>
      </c>
      <c r="N174" s="28">
        <v>5.0563999777597998E-3</v>
      </c>
    </row>
    <row r="175" spans="1:14" x14ac:dyDescent="0.4">
      <c r="A175" s="27" t="s">
        <v>226</v>
      </c>
      <c r="B175" s="27">
        <v>802500</v>
      </c>
      <c r="C175" s="27">
        <v>7375699925</v>
      </c>
      <c r="D175" s="27">
        <v>10046875148</v>
      </c>
      <c r="E175" s="27">
        <v>0</v>
      </c>
      <c r="F175" s="27">
        <v>1350000</v>
      </c>
      <c r="G175" s="27">
        <v>21600381528</v>
      </c>
      <c r="H175" s="27">
        <v>0</v>
      </c>
      <c r="I175" s="27">
        <v>0</v>
      </c>
      <c r="J175" s="27">
        <v>2152500</v>
      </c>
      <c r="K175" s="27">
        <v>15990</v>
      </c>
      <c r="L175" s="27">
        <v>28976081453</v>
      </c>
      <c r="M175" s="27">
        <v>34152420188</v>
      </c>
      <c r="N175" s="28">
        <v>3.5981580001666217E-3</v>
      </c>
    </row>
    <row r="176" spans="1:14" x14ac:dyDescent="0.4">
      <c r="A176" s="27" t="s">
        <v>250</v>
      </c>
      <c r="B176" s="27">
        <v>5118151</v>
      </c>
      <c r="C176" s="27">
        <v>18613367797</v>
      </c>
      <c r="D176" s="27">
        <v>20040107036</v>
      </c>
      <c r="E176" s="27">
        <v>0</v>
      </c>
      <c r="F176" s="27">
        <v>2000000</v>
      </c>
      <c r="G176" s="27">
        <v>8793805830</v>
      </c>
      <c r="H176" s="27">
        <v>0</v>
      </c>
      <c r="I176" s="27">
        <v>0</v>
      </c>
      <c r="J176" s="27">
        <v>7118151</v>
      </c>
      <c r="K176" s="27">
        <v>4843</v>
      </c>
      <c r="L176" s="27">
        <v>27407173627</v>
      </c>
      <c r="M176" s="27">
        <v>34206727416</v>
      </c>
      <c r="N176" s="28">
        <v>3.6038795855131188E-3</v>
      </c>
    </row>
    <row r="177" spans="1:14" x14ac:dyDescent="0.4">
      <c r="A177" s="27" t="s">
        <v>270</v>
      </c>
      <c r="B177" s="27">
        <v>1256499</v>
      </c>
      <c r="C177" s="27">
        <v>8314819804</v>
      </c>
      <c r="D177" s="27">
        <v>7667735516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1256499</v>
      </c>
      <c r="K177" s="27">
        <v>6700</v>
      </c>
      <c r="L177" s="27">
        <v>8314819804</v>
      </c>
      <c r="M177" s="27">
        <v>8353467960</v>
      </c>
      <c r="N177" s="28">
        <v>8.8008689878940377E-4</v>
      </c>
    </row>
    <row r="178" spans="1:14" x14ac:dyDescent="0.4">
      <c r="A178" s="27" t="s">
        <v>335</v>
      </c>
      <c r="B178" s="27">
        <v>700000</v>
      </c>
      <c r="C178" s="27">
        <v>9143294580</v>
      </c>
      <c r="D178" s="27">
        <v>12030281480</v>
      </c>
      <c r="E178" s="27">
        <v>0</v>
      </c>
      <c r="F178" s="27">
        <v>0</v>
      </c>
      <c r="G178" s="27">
        <v>0</v>
      </c>
      <c r="H178" s="27">
        <v>0</v>
      </c>
      <c r="I178" s="27">
        <v>0</v>
      </c>
      <c r="J178" s="27">
        <v>700000</v>
      </c>
      <c r="K178" s="27">
        <v>26700</v>
      </c>
      <c r="L178" s="27">
        <v>9143294580</v>
      </c>
      <c r="M178" s="27">
        <v>18545526300</v>
      </c>
      <c r="N178" s="28">
        <v>1.9538800897949847E-3</v>
      </c>
    </row>
    <row r="179" spans="1:14" x14ac:dyDescent="0.4">
      <c r="A179" s="27" t="s">
        <v>303</v>
      </c>
      <c r="B179" s="27">
        <v>7979362</v>
      </c>
      <c r="C179" s="27">
        <v>38034069803</v>
      </c>
      <c r="D179" s="27">
        <v>26460891679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27">
        <v>7979362</v>
      </c>
      <c r="K179" s="27">
        <v>4860</v>
      </c>
      <c r="L179" s="27">
        <v>38034069803</v>
      </c>
      <c r="M179" s="27">
        <v>38479932244</v>
      </c>
      <c r="N179" s="28">
        <v>4.0540868051941797E-3</v>
      </c>
    </row>
    <row r="180" spans="1:14" x14ac:dyDescent="0.4">
      <c r="A180" s="27" t="s">
        <v>89</v>
      </c>
      <c r="B180" s="27">
        <v>893618</v>
      </c>
      <c r="C180" s="27">
        <v>6257308469</v>
      </c>
      <c r="D180" s="27">
        <v>12617888037</v>
      </c>
      <c r="E180" s="27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893618</v>
      </c>
      <c r="K180" s="27">
        <v>22070</v>
      </c>
      <c r="L180" s="27">
        <v>6257308469</v>
      </c>
      <c r="M180" s="27">
        <v>19569697046</v>
      </c>
      <c r="N180" s="28">
        <v>2.0617824915273031E-3</v>
      </c>
    </row>
    <row r="181" spans="1:14" x14ac:dyDescent="0.4">
      <c r="A181" s="27" t="s">
        <v>357</v>
      </c>
      <c r="B181" s="27">
        <v>8154486</v>
      </c>
      <c r="C181" s="27">
        <v>41564406435</v>
      </c>
      <c r="D181" s="27">
        <v>39971772007</v>
      </c>
      <c r="E181" s="27">
        <v>1630897</v>
      </c>
      <c r="F181" s="27">
        <v>3600000</v>
      </c>
      <c r="G181" s="27">
        <v>20969611548</v>
      </c>
      <c r="H181" s="27">
        <v>0</v>
      </c>
      <c r="I181" s="27">
        <v>0</v>
      </c>
      <c r="J181" s="27">
        <v>13385383</v>
      </c>
      <c r="K181" s="27">
        <v>6230</v>
      </c>
      <c r="L181" s="27">
        <v>62534017983</v>
      </c>
      <c r="M181" s="27">
        <v>82746324154</v>
      </c>
      <c r="N181" s="28">
        <v>8.7178111126575263E-3</v>
      </c>
    </row>
    <row r="182" spans="1:14" x14ac:dyDescent="0.4">
      <c r="A182" s="27" t="s">
        <v>258</v>
      </c>
      <c r="B182" s="27">
        <v>2470314</v>
      </c>
      <c r="C182" s="27">
        <v>12048248970</v>
      </c>
      <c r="D182" s="27">
        <v>21227551974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27">
        <v>2470314</v>
      </c>
      <c r="K182" s="27">
        <v>14490</v>
      </c>
      <c r="L182" s="27">
        <v>12048248970</v>
      </c>
      <c r="M182" s="27">
        <v>35518155671</v>
      </c>
      <c r="N182" s="28">
        <v>3.742046252513509E-3</v>
      </c>
    </row>
    <row r="183" spans="1:14" x14ac:dyDescent="0.4">
      <c r="A183" s="27" t="s">
        <v>245</v>
      </c>
      <c r="B183" s="27">
        <v>1483336</v>
      </c>
      <c r="C183" s="27">
        <v>3088990714</v>
      </c>
      <c r="D183" s="27">
        <v>4592233816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1483336</v>
      </c>
      <c r="K183" s="27">
        <v>2967</v>
      </c>
      <c r="L183" s="27">
        <v>2684204961</v>
      </c>
      <c r="M183" s="27">
        <v>4367037734</v>
      </c>
      <c r="N183" s="28">
        <v>4.6009306728847087E-4</v>
      </c>
    </row>
    <row r="184" spans="1:14" x14ac:dyDescent="0.4">
      <c r="A184" s="27" t="s">
        <v>358</v>
      </c>
      <c r="B184" s="27">
        <v>0</v>
      </c>
      <c r="C184" s="27">
        <v>0</v>
      </c>
      <c r="D184" s="27">
        <v>0</v>
      </c>
      <c r="E184" s="27">
        <v>499999</v>
      </c>
      <c r="F184" s="27">
        <v>0</v>
      </c>
      <c r="G184" s="27">
        <v>0</v>
      </c>
      <c r="H184" s="27">
        <v>0</v>
      </c>
      <c r="I184" s="27">
        <v>0</v>
      </c>
      <c r="J184" s="27">
        <v>499999</v>
      </c>
      <c r="K184" s="27">
        <v>1967</v>
      </c>
      <c r="L184" s="27">
        <v>404785753</v>
      </c>
      <c r="M184" s="27">
        <v>975895593</v>
      </c>
      <c r="N184" s="28">
        <v>1.028163309057112E-4</v>
      </c>
    </row>
    <row r="185" spans="1:14" x14ac:dyDescent="0.4">
      <c r="A185" s="27" t="s">
        <v>359</v>
      </c>
      <c r="B185" s="27">
        <v>1086071</v>
      </c>
      <c r="C185" s="27">
        <v>14201676419</v>
      </c>
      <c r="D185" s="27">
        <v>21628950720</v>
      </c>
      <c r="E185" s="27">
        <v>0</v>
      </c>
      <c r="F185" s="27">
        <v>0</v>
      </c>
      <c r="G185" s="27">
        <v>0</v>
      </c>
      <c r="H185" s="27">
        <v>0</v>
      </c>
      <c r="I185" s="27">
        <v>0</v>
      </c>
      <c r="J185" s="27">
        <v>1086071</v>
      </c>
      <c r="K185" s="27">
        <v>35070</v>
      </c>
      <c r="L185" s="27">
        <v>14201676419</v>
      </c>
      <c r="M185" s="27">
        <v>37794085788</v>
      </c>
      <c r="N185" s="28">
        <v>3.9818288539579917E-3</v>
      </c>
    </row>
    <row r="186" spans="1:14" x14ac:dyDescent="0.4">
      <c r="A186" s="27" t="s">
        <v>203</v>
      </c>
      <c r="B186" s="27">
        <v>12640871</v>
      </c>
      <c r="C186" s="27">
        <v>25390508864</v>
      </c>
      <c r="D186" s="27">
        <v>17736024093</v>
      </c>
      <c r="E186" s="27">
        <v>0</v>
      </c>
      <c r="F186" s="27">
        <v>2000000</v>
      </c>
      <c r="G186" s="27">
        <v>3485441210</v>
      </c>
      <c r="H186" s="27">
        <v>0</v>
      </c>
      <c r="I186" s="27">
        <v>0</v>
      </c>
      <c r="J186" s="27">
        <v>14640871</v>
      </c>
      <c r="K186" s="27">
        <v>1737</v>
      </c>
      <c r="L186" s="27">
        <v>28875950074</v>
      </c>
      <c r="M186" s="27">
        <v>25234609806</v>
      </c>
      <c r="N186" s="28">
        <v>2.6586143135602833E-3</v>
      </c>
    </row>
    <row r="187" spans="1:14" x14ac:dyDescent="0.4">
      <c r="A187" s="27" t="s">
        <v>82</v>
      </c>
      <c r="B187" s="27">
        <v>13580964</v>
      </c>
      <c r="C187" s="27">
        <v>28551643294</v>
      </c>
      <c r="D187" s="27">
        <v>26925014330</v>
      </c>
      <c r="E187" s="27">
        <v>0</v>
      </c>
      <c r="F187" s="27">
        <v>5600000</v>
      </c>
      <c r="G187" s="27">
        <v>13435083664</v>
      </c>
      <c r="H187" s="27">
        <v>400000</v>
      </c>
      <c r="I187" s="27">
        <v>902568808</v>
      </c>
      <c r="J187" s="27">
        <v>18780964</v>
      </c>
      <c r="K187" s="27">
        <v>2495</v>
      </c>
      <c r="L187" s="27">
        <v>41125600731</v>
      </c>
      <c r="M187" s="27">
        <v>46496288935</v>
      </c>
      <c r="N187" s="28">
        <v>4.8986570523723207E-3</v>
      </c>
    </row>
    <row r="188" spans="1:14" x14ac:dyDescent="0.4">
      <c r="A188" s="27" t="s">
        <v>279</v>
      </c>
      <c r="B188" s="27">
        <v>1145414</v>
      </c>
      <c r="C188" s="27">
        <v>14519339942</v>
      </c>
      <c r="D188" s="27">
        <v>14172902574</v>
      </c>
      <c r="E188" s="27">
        <v>0</v>
      </c>
      <c r="F188" s="27">
        <v>1700000</v>
      </c>
      <c r="G188" s="27">
        <v>24464650858</v>
      </c>
      <c r="H188" s="27">
        <v>0</v>
      </c>
      <c r="I188" s="27">
        <v>0</v>
      </c>
      <c r="J188" s="27">
        <v>2845414</v>
      </c>
      <c r="K188" s="27">
        <v>17780</v>
      </c>
      <c r="L188" s="27">
        <v>38983990800</v>
      </c>
      <c r="M188" s="27">
        <v>50200388927</v>
      </c>
      <c r="N188" s="28">
        <v>5.2889057359579985E-3</v>
      </c>
    </row>
    <row r="189" spans="1:14" x14ac:dyDescent="0.4">
      <c r="A189" s="27" t="s">
        <v>274</v>
      </c>
      <c r="B189" s="27">
        <v>594875</v>
      </c>
      <c r="C189" s="27">
        <v>36899261714</v>
      </c>
      <c r="D189" s="27">
        <v>31160702572</v>
      </c>
      <c r="E189" s="27">
        <v>0</v>
      </c>
      <c r="F189" s="27">
        <v>0</v>
      </c>
      <c r="G189" s="27">
        <v>0</v>
      </c>
      <c r="H189" s="27">
        <v>0</v>
      </c>
      <c r="I189" s="27">
        <v>0</v>
      </c>
      <c r="J189" s="27">
        <v>594875</v>
      </c>
      <c r="K189" s="27">
        <v>87090</v>
      </c>
      <c r="L189" s="27">
        <v>36899261714</v>
      </c>
      <c r="M189" s="27">
        <v>51407190509</v>
      </c>
      <c r="N189" s="28">
        <v>5.4160493686195793E-3</v>
      </c>
    </row>
    <row r="190" spans="1:14" x14ac:dyDescent="0.4">
      <c r="A190" s="27" t="s">
        <v>81</v>
      </c>
      <c r="B190" s="27">
        <v>505935</v>
      </c>
      <c r="C190" s="27">
        <v>9766814737</v>
      </c>
      <c r="D190" s="27">
        <v>9177000958</v>
      </c>
      <c r="E190" s="27">
        <v>0</v>
      </c>
      <c r="F190" s="27">
        <v>1650000</v>
      </c>
      <c r="G190" s="27">
        <v>34861991793</v>
      </c>
      <c r="H190" s="27">
        <v>50000</v>
      </c>
      <c r="I190" s="27">
        <v>1024518781</v>
      </c>
      <c r="J190" s="27">
        <v>2105935</v>
      </c>
      <c r="K190" s="27">
        <v>20850</v>
      </c>
      <c r="L190" s="27">
        <v>43593784451</v>
      </c>
      <c r="M190" s="27">
        <v>43569330153</v>
      </c>
      <c r="N190" s="28">
        <v>4.5902847584137294E-3</v>
      </c>
    </row>
    <row r="191" spans="1:14" x14ac:dyDescent="0.4">
      <c r="A191" s="27" t="s">
        <v>254</v>
      </c>
      <c r="B191" s="27">
        <v>2357608</v>
      </c>
      <c r="C191" s="27">
        <v>19397371500</v>
      </c>
      <c r="D191" s="27">
        <v>21454487822</v>
      </c>
      <c r="E191" s="27">
        <v>0</v>
      </c>
      <c r="F191" s="27">
        <v>5300000</v>
      </c>
      <c r="G191" s="27">
        <v>57457663858</v>
      </c>
      <c r="H191" s="27">
        <v>0</v>
      </c>
      <c r="I191" s="27">
        <v>0</v>
      </c>
      <c r="J191" s="27">
        <v>7657608</v>
      </c>
      <c r="K191" s="27">
        <v>10440</v>
      </c>
      <c r="L191" s="27">
        <v>76855035358</v>
      </c>
      <c r="M191" s="27">
        <v>79327449365</v>
      </c>
      <c r="N191" s="28">
        <v>8.3576125789696937E-3</v>
      </c>
    </row>
    <row r="192" spans="1:14" x14ac:dyDescent="0.4">
      <c r="A192" s="27" t="s">
        <v>111</v>
      </c>
      <c r="B192" s="27">
        <v>13587567</v>
      </c>
      <c r="C192" s="27">
        <v>35726047499</v>
      </c>
      <c r="D192" s="27">
        <v>31454754405</v>
      </c>
      <c r="E192" s="27">
        <v>0</v>
      </c>
      <c r="F192" s="27">
        <v>0</v>
      </c>
      <c r="G192" s="27">
        <v>0</v>
      </c>
      <c r="H192" s="27">
        <v>1600000</v>
      </c>
      <c r="I192" s="27">
        <v>3997349180</v>
      </c>
      <c r="J192" s="27">
        <v>11987567</v>
      </c>
      <c r="K192" s="27">
        <v>2700</v>
      </c>
      <c r="L192" s="27">
        <v>31519137167</v>
      </c>
      <c r="M192" s="27">
        <v>32116238389</v>
      </c>
      <c r="N192" s="28">
        <v>3.3836342917578162E-3</v>
      </c>
    </row>
    <row r="193" spans="1:14" x14ac:dyDescent="0.4">
      <c r="A193" s="27" t="s">
        <v>318</v>
      </c>
      <c r="B193" s="27">
        <v>1842980</v>
      </c>
      <c r="C193" s="27">
        <v>33172875317</v>
      </c>
      <c r="D193" s="27">
        <v>28491672052</v>
      </c>
      <c r="E193" s="27">
        <v>0</v>
      </c>
      <c r="F193" s="27">
        <v>400000</v>
      </c>
      <c r="G193" s="27">
        <v>10126704380</v>
      </c>
      <c r="H193" s="27">
        <v>0</v>
      </c>
      <c r="I193" s="27">
        <v>0</v>
      </c>
      <c r="J193" s="27">
        <v>2242980</v>
      </c>
      <c r="K193" s="27">
        <v>26750</v>
      </c>
      <c r="L193" s="27">
        <v>43299579697</v>
      </c>
      <c r="M193" s="27">
        <v>59535917203</v>
      </c>
      <c r="N193" s="28">
        <v>6.2724584554186748E-3</v>
      </c>
    </row>
    <row r="194" spans="1:14" x14ac:dyDescent="0.4">
      <c r="A194" s="27" t="s">
        <v>84</v>
      </c>
      <c r="B194" s="27">
        <v>1234887</v>
      </c>
      <c r="C194" s="27">
        <v>3185792321</v>
      </c>
      <c r="D194" s="27">
        <v>6347268056</v>
      </c>
      <c r="E194" s="27">
        <v>0</v>
      </c>
      <c r="F194" s="27">
        <v>0</v>
      </c>
      <c r="G194" s="27">
        <v>0</v>
      </c>
      <c r="H194" s="27">
        <v>0</v>
      </c>
      <c r="I194" s="27">
        <v>0</v>
      </c>
      <c r="J194" s="27">
        <v>1234887</v>
      </c>
      <c r="K194" s="27">
        <v>9160</v>
      </c>
      <c r="L194" s="27">
        <v>3185792321</v>
      </c>
      <c r="M194" s="27">
        <v>11224126523</v>
      </c>
      <c r="N194" s="28">
        <v>1.1825276340973676E-3</v>
      </c>
    </row>
    <row r="195" spans="1:14" x14ac:dyDescent="0.4">
      <c r="A195" s="27" t="s">
        <v>86</v>
      </c>
      <c r="B195" s="27">
        <v>3665617</v>
      </c>
      <c r="C195" s="27">
        <v>11302718232</v>
      </c>
      <c r="D195" s="27">
        <v>25242735557</v>
      </c>
      <c r="E195" s="27">
        <v>0</v>
      </c>
      <c r="F195" s="27">
        <v>0</v>
      </c>
      <c r="G195" s="27">
        <v>0</v>
      </c>
      <c r="H195" s="27">
        <v>0</v>
      </c>
      <c r="I195" s="27">
        <v>0</v>
      </c>
      <c r="J195" s="27">
        <v>3665617</v>
      </c>
      <c r="K195" s="27">
        <v>11590</v>
      </c>
      <c r="L195" s="27">
        <v>11302718232</v>
      </c>
      <c r="M195" s="27">
        <v>42156095837</v>
      </c>
      <c r="N195" s="28">
        <v>4.4413922251105671E-3</v>
      </c>
    </row>
    <row r="196" spans="1:14" x14ac:dyDescent="0.4">
      <c r="A196" s="27" t="s">
        <v>315</v>
      </c>
      <c r="B196" s="27">
        <v>1726440</v>
      </c>
      <c r="C196" s="27">
        <v>30613372268</v>
      </c>
      <c r="D196" s="27">
        <v>36060641726</v>
      </c>
      <c r="E196" s="27">
        <v>0</v>
      </c>
      <c r="F196" s="27">
        <v>600000</v>
      </c>
      <c r="G196" s="27">
        <v>14453262358</v>
      </c>
      <c r="H196" s="27">
        <v>0</v>
      </c>
      <c r="I196" s="27">
        <v>0</v>
      </c>
      <c r="J196" s="27">
        <v>2326440</v>
      </c>
      <c r="K196" s="27">
        <v>30050</v>
      </c>
      <c r="L196" s="27">
        <v>45066634626</v>
      </c>
      <c r="M196" s="27">
        <v>69369121395</v>
      </c>
      <c r="N196" s="28">
        <v>7.3084442548423008E-3</v>
      </c>
    </row>
    <row r="197" spans="1:14" x14ac:dyDescent="0.4">
      <c r="A197" s="27" t="s">
        <v>92</v>
      </c>
      <c r="B197" s="27">
        <v>635048</v>
      </c>
      <c r="C197" s="27">
        <v>11938739876</v>
      </c>
      <c r="D197" s="27">
        <v>16314300754</v>
      </c>
      <c r="E197" s="27">
        <v>0</v>
      </c>
      <c r="F197" s="27">
        <v>0</v>
      </c>
      <c r="G197" s="27">
        <v>0</v>
      </c>
      <c r="H197" s="27">
        <v>0</v>
      </c>
      <c r="I197" s="27">
        <v>0</v>
      </c>
      <c r="J197" s="27">
        <v>635048</v>
      </c>
      <c r="K197" s="27">
        <v>43580</v>
      </c>
      <c r="L197" s="27">
        <v>11938739876</v>
      </c>
      <c r="M197" s="27">
        <v>27461461061</v>
      </c>
      <c r="N197" s="28">
        <v>2.8932261687158564E-3</v>
      </c>
    </row>
    <row r="198" spans="1:14" x14ac:dyDescent="0.4">
      <c r="A198" s="27" t="s">
        <v>329</v>
      </c>
      <c r="B198" s="27">
        <v>3490646</v>
      </c>
      <c r="C198" s="27">
        <v>25343143786</v>
      </c>
      <c r="D198" s="27">
        <v>28540585645</v>
      </c>
      <c r="E198" s="27">
        <v>0</v>
      </c>
      <c r="F198" s="27">
        <v>0</v>
      </c>
      <c r="G198" s="27">
        <v>0</v>
      </c>
      <c r="H198" s="27">
        <v>0</v>
      </c>
      <c r="I198" s="27">
        <v>0</v>
      </c>
      <c r="J198" s="27">
        <v>3490646</v>
      </c>
      <c r="K198" s="27">
        <v>14780</v>
      </c>
      <c r="L198" s="27">
        <v>25343143786</v>
      </c>
      <c r="M198" s="27">
        <v>51192943669</v>
      </c>
      <c r="N198" s="28">
        <v>5.3934772060286748E-3</v>
      </c>
    </row>
    <row r="199" spans="1:14" x14ac:dyDescent="0.4">
      <c r="A199" s="27" t="s">
        <v>360</v>
      </c>
      <c r="B199" s="27">
        <v>275726</v>
      </c>
      <c r="C199" s="27">
        <v>7715656489</v>
      </c>
      <c r="D199" s="27">
        <v>4143590793</v>
      </c>
      <c r="E199" s="27">
        <v>0</v>
      </c>
      <c r="F199" s="27">
        <v>0</v>
      </c>
      <c r="G199" s="27">
        <v>0</v>
      </c>
      <c r="H199" s="27">
        <v>0</v>
      </c>
      <c r="I199" s="27">
        <v>0</v>
      </c>
      <c r="J199" s="27">
        <v>275726</v>
      </c>
      <c r="K199" s="27">
        <v>15145</v>
      </c>
      <c r="L199" s="27">
        <v>7715656489</v>
      </c>
      <c r="M199" s="27">
        <v>4143590793</v>
      </c>
      <c r="N199" s="28">
        <v>4.3655162003682318E-4</v>
      </c>
    </row>
    <row r="200" spans="1:14" x14ac:dyDescent="0.4">
      <c r="A200" s="27" t="s">
        <v>361</v>
      </c>
      <c r="B200" s="27">
        <v>487887</v>
      </c>
      <c r="C200" s="27">
        <v>9859579712</v>
      </c>
      <c r="D200" s="27">
        <v>10460770608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487887</v>
      </c>
      <c r="K200" s="27">
        <v>28950</v>
      </c>
      <c r="L200" s="27">
        <v>9859579712</v>
      </c>
      <c r="M200" s="27">
        <v>14015147590</v>
      </c>
      <c r="N200" s="28">
        <v>1.4765780915928582E-3</v>
      </c>
    </row>
    <row r="201" spans="1:14" x14ac:dyDescent="0.4">
      <c r="A201" s="27" t="s">
        <v>277</v>
      </c>
      <c r="B201" s="27">
        <v>1667558</v>
      </c>
      <c r="C201" s="27">
        <v>14118247862</v>
      </c>
      <c r="D201" s="27">
        <v>11781234570</v>
      </c>
      <c r="E201" s="27">
        <v>1667558</v>
      </c>
      <c r="F201" s="27">
        <v>0</v>
      </c>
      <c r="G201" s="27">
        <v>0</v>
      </c>
      <c r="H201" s="27">
        <v>0</v>
      </c>
      <c r="I201" s="27">
        <v>0</v>
      </c>
      <c r="J201" s="27">
        <v>3335116</v>
      </c>
      <c r="K201" s="27">
        <v>7330</v>
      </c>
      <c r="L201" s="27">
        <v>14118247862</v>
      </c>
      <c r="M201" s="27">
        <v>24257429606</v>
      </c>
      <c r="N201" s="28">
        <v>2.5556626417642726E-3</v>
      </c>
    </row>
    <row r="202" spans="1:14" x14ac:dyDescent="0.4">
      <c r="A202" s="27" t="s">
        <v>100</v>
      </c>
      <c r="B202" s="27">
        <v>4516431</v>
      </c>
      <c r="C202" s="27">
        <v>32999843480</v>
      </c>
      <c r="D202" s="27">
        <v>20951101271</v>
      </c>
      <c r="E202" s="27">
        <v>0</v>
      </c>
      <c r="F202" s="27">
        <v>5200000</v>
      </c>
      <c r="G202" s="27">
        <v>25825617731</v>
      </c>
      <c r="H202" s="27">
        <v>1000000</v>
      </c>
      <c r="I202" s="27">
        <v>5209417530</v>
      </c>
      <c r="J202" s="27">
        <v>8716431</v>
      </c>
      <c r="K202" s="27">
        <v>6150</v>
      </c>
      <c r="L202" s="27">
        <v>52727235511</v>
      </c>
      <c r="M202" s="27">
        <v>53191675878</v>
      </c>
      <c r="N202" s="28">
        <v>5.6040553802375699E-3</v>
      </c>
    </row>
    <row r="203" spans="1:14" x14ac:dyDescent="0.4">
      <c r="A203" s="27" t="s">
        <v>122</v>
      </c>
      <c r="B203" s="27">
        <v>828772</v>
      </c>
      <c r="C203" s="27">
        <v>16660714616</v>
      </c>
      <c r="D203" s="27">
        <v>12861797866</v>
      </c>
      <c r="E203" s="27">
        <v>0</v>
      </c>
      <c r="F203" s="27">
        <v>3200000</v>
      </c>
      <c r="G203" s="27">
        <v>52917308280</v>
      </c>
      <c r="H203" s="27">
        <v>291304</v>
      </c>
      <c r="I203" s="27">
        <v>4812719554</v>
      </c>
      <c r="J203" s="27">
        <v>3737468</v>
      </c>
      <c r="K203" s="27">
        <v>16520</v>
      </c>
      <c r="L203" s="27">
        <v>64547121077</v>
      </c>
      <c r="M203" s="27">
        <v>61265698191</v>
      </c>
      <c r="N203" s="28">
        <v>6.4547010392896481E-3</v>
      </c>
    </row>
    <row r="204" spans="1:14" x14ac:dyDescent="0.4">
      <c r="A204" s="27" t="s">
        <v>321</v>
      </c>
      <c r="B204" s="27">
        <v>6856686</v>
      </c>
      <c r="C204" s="27">
        <v>14222585282</v>
      </c>
      <c r="D204" s="27">
        <v>14593901788</v>
      </c>
      <c r="E204" s="27">
        <v>0</v>
      </c>
      <c r="F204" s="27">
        <v>3600000</v>
      </c>
      <c r="G204" s="27">
        <v>9100178411</v>
      </c>
      <c r="H204" s="27">
        <v>0</v>
      </c>
      <c r="I204" s="27">
        <v>0</v>
      </c>
      <c r="J204" s="27">
        <v>10456686</v>
      </c>
      <c r="K204" s="27">
        <v>3013</v>
      </c>
      <c r="L204" s="27">
        <v>23322763693</v>
      </c>
      <c r="M204" s="27">
        <v>31262453577</v>
      </c>
      <c r="N204" s="28">
        <v>3.2936830486304559E-3</v>
      </c>
    </row>
    <row r="205" spans="1:14" x14ac:dyDescent="0.4">
      <c r="A205" s="27" t="s">
        <v>308</v>
      </c>
      <c r="B205" s="27">
        <v>2723567</v>
      </c>
      <c r="C205" s="27">
        <v>19009668439</v>
      </c>
      <c r="D205" s="27">
        <v>22268713935</v>
      </c>
      <c r="E205" s="27">
        <v>0</v>
      </c>
      <c r="F205" s="27">
        <v>2900000</v>
      </c>
      <c r="G205" s="27">
        <v>29071870815</v>
      </c>
      <c r="H205" s="27">
        <v>0</v>
      </c>
      <c r="I205" s="27">
        <v>0</v>
      </c>
      <c r="J205" s="27">
        <v>5623567</v>
      </c>
      <c r="K205" s="27">
        <v>11630</v>
      </c>
      <c r="L205" s="27">
        <v>48081539254</v>
      </c>
      <c r="M205" s="27">
        <v>64896526099</v>
      </c>
      <c r="N205" s="28">
        <v>6.837230078592953E-3</v>
      </c>
    </row>
    <row r="206" spans="1:14" x14ac:dyDescent="0.4">
      <c r="A206" s="27" t="s">
        <v>362</v>
      </c>
      <c r="B206" s="27">
        <v>0</v>
      </c>
      <c r="C206" s="27">
        <v>0</v>
      </c>
      <c r="D206" s="27">
        <v>0</v>
      </c>
      <c r="E206" s="27">
        <v>0</v>
      </c>
      <c r="F206" s="27">
        <v>4000000</v>
      </c>
      <c r="G206" s="27">
        <v>24974133237</v>
      </c>
      <c r="H206" s="27">
        <v>0</v>
      </c>
      <c r="I206" s="27">
        <v>0</v>
      </c>
      <c r="J206" s="27">
        <v>4000000</v>
      </c>
      <c r="K206" s="27">
        <v>6870</v>
      </c>
      <c r="L206" s="27">
        <v>24974133237</v>
      </c>
      <c r="M206" s="27">
        <v>27267579600</v>
      </c>
      <c r="N206" s="28">
        <v>2.8727996183823528E-3</v>
      </c>
    </row>
    <row r="207" spans="1:14" x14ac:dyDescent="0.4">
      <c r="A207" s="27" t="s">
        <v>363</v>
      </c>
      <c r="B207" s="27">
        <v>3014987</v>
      </c>
      <c r="C207" s="27">
        <v>14987389690</v>
      </c>
      <c r="D207" s="27">
        <v>15158848390</v>
      </c>
      <c r="E207" s="27">
        <v>0</v>
      </c>
      <c r="F207" s="27">
        <v>5800000</v>
      </c>
      <c r="G207" s="27">
        <v>31617092799</v>
      </c>
      <c r="H207" s="27">
        <v>0</v>
      </c>
      <c r="I207" s="27">
        <v>0</v>
      </c>
      <c r="J207" s="27">
        <v>8814987</v>
      </c>
      <c r="K207" s="27">
        <v>5690</v>
      </c>
      <c r="L207" s="27">
        <v>46605170208</v>
      </c>
      <c r="M207" s="27">
        <v>49769560286</v>
      </c>
      <c r="N207" s="28">
        <v>5.2435154089246084E-3</v>
      </c>
    </row>
    <row r="208" spans="1:14" x14ac:dyDescent="0.4">
      <c r="A208" s="27" t="s">
        <v>127</v>
      </c>
      <c r="B208" s="27">
        <v>4173330</v>
      </c>
      <c r="C208" s="27">
        <v>11616275685</v>
      </c>
      <c r="D208" s="27">
        <v>13305258421</v>
      </c>
      <c r="E208" s="27">
        <v>0</v>
      </c>
      <c r="F208" s="27">
        <v>8000000</v>
      </c>
      <c r="G208" s="27">
        <v>29355459141</v>
      </c>
      <c r="H208" s="27">
        <v>111827</v>
      </c>
      <c r="I208" s="27">
        <v>417663156</v>
      </c>
      <c r="J208" s="27">
        <v>12061503</v>
      </c>
      <c r="K208" s="27">
        <v>3764</v>
      </c>
      <c r="L208" s="27">
        <v>40595359078</v>
      </c>
      <c r="M208" s="27">
        <v>45048559178</v>
      </c>
      <c r="N208" s="28">
        <v>4.7461302218123258E-3</v>
      </c>
    </row>
    <row r="209" spans="1:14" x14ac:dyDescent="0.4">
      <c r="A209" s="27" t="s">
        <v>364</v>
      </c>
      <c r="B209" s="27">
        <v>2586957</v>
      </c>
      <c r="C209" s="27">
        <v>14869302601</v>
      </c>
      <c r="D209" s="27">
        <v>17506665989</v>
      </c>
      <c r="E209" s="27">
        <v>0</v>
      </c>
      <c r="F209" s="27">
        <v>5711510</v>
      </c>
      <c r="G209" s="27">
        <v>48254076112</v>
      </c>
      <c r="H209" s="27">
        <v>0</v>
      </c>
      <c r="I209" s="27">
        <v>0</v>
      </c>
      <c r="J209" s="27">
        <v>8298467</v>
      </c>
      <c r="K209" s="27">
        <v>8180</v>
      </c>
      <c r="L209" s="27">
        <v>63123378713</v>
      </c>
      <c r="M209" s="27">
        <v>67356736374</v>
      </c>
      <c r="N209" s="28">
        <v>7.0964276767237515E-3</v>
      </c>
    </row>
    <row r="210" spans="1:14" x14ac:dyDescent="0.4">
      <c r="A210" s="27" t="s">
        <v>120</v>
      </c>
      <c r="B210" s="27">
        <v>7969322</v>
      </c>
      <c r="C210" s="27">
        <v>26169954207</v>
      </c>
      <c r="D210" s="27">
        <v>19927452235</v>
      </c>
      <c r="E210" s="27">
        <v>0</v>
      </c>
      <c r="F210" s="27">
        <v>1600000</v>
      </c>
      <c r="G210" s="27">
        <v>5420695000</v>
      </c>
      <c r="H210" s="27">
        <v>800000</v>
      </c>
      <c r="I210" s="27">
        <v>2350489194</v>
      </c>
      <c r="J210" s="27">
        <v>8769322</v>
      </c>
      <c r="K210" s="27">
        <v>3751</v>
      </c>
      <c r="L210" s="27">
        <v>28963579631</v>
      </c>
      <c r="M210" s="27">
        <v>32639458314</v>
      </c>
      <c r="N210" s="28">
        <v>3.4387585830561182E-3</v>
      </c>
    </row>
    <row r="211" spans="1:14" x14ac:dyDescent="0.4">
      <c r="A211" s="27" t="s">
        <v>205</v>
      </c>
      <c r="B211" s="27">
        <v>206895</v>
      </c>
      <c r="C211" s="27">
        <v>9467110869</v>
      </c>
      <c r="D211" s="27">
        <v>6680322132</v>
      </c>
      <c r="E211" s="27">
        <v>0</v>
      </c>
      <c r="F211" s="27">
        <v>700000</v>
      </c>
      <c r="G211" s="27">
        <v>37062837361</v>
      </c>
      <c r="H211" s="27">
        <v>0</v>
      </c>
      <c r="I211" s="27">
        <v>0</v>
      </c>
      <c r="J211" s="27">
        <v>906895</v>
      </c>
      <c r="K211" s="27">
        <v>51080</v>
      </c>
      <c r="L211" s="27">
        <v>46529948230</v>
      </c>
      <c r="M211" s="27">
        <v>45966110560</v>
      </c>
      <c r="N211" s="28">
        <v>4.8427996475084662E-3</v>
      </c>
    </row>
    <row r="212" spans="1:14" x14ac:dyDescent="0.4">
      <c r="A212" s="27" t="s">
        <v>207</v>
      </c>
      <c r="B212" s="27">
        <v>21351892</v>
      </c>
      <c r="C212" s="27">
        <v>10573465274</v>
      </c>
      <c r="D212" s="27">
        <v>21165655033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21351892</v>
      </c>
      <c r="K212" s="27">
        <v>1527</v>
      </c>
      <c r="L212" s="27">
        <v>10573465274</v>
      </c>
      <c r="M212" s="27">
        <v>32352307543</v>
      </c>
      <c r="N212" s="28">
        <v>3.4085055632630816E-3</v>
      </c>
    </row>
    <row r="213" spans="1:14" x14ac:dyDescent="0.4">
      <c r="A213" s="27" t="s">
        <v>365</v>
      </c>
      <c r="B213" s="27">
        <v>1032048</v>
      </c>
      <c r="C213" s="27">
        <v>24868059520</v>
      </c>
      <c r="D213" s="27">
        <v>27547490235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1032048</v>
      </c>
      <c r="K213" s="27">
        <v>46500</v>
      </c>
      <c r="L213" s="27">
        <v>24868059520</v>
      </c>
      <c r="M213" s="27">
        <v>47619267507</v>
      </c>
      <c r="N213" s="28">
        <v>5.016969438745373E-3</v>
      </c>
    </row>
    <row r="214" spans="1:14" x14ac:dyDescent="0.4">
      <c r="A214" s="27" t="s">
        <v>223</v>
      </c>
      <c r="B214" s="27">
        <v>938593</v>
      </c>
      <c r="C214" s="27">
        <v>36753852071</v>
      </c>
      <c r="D214" s="27">
        <v>35325638055</v>
      </c>
      <c r="E214" s="27">
        <v>0</v>
      </c>
      <c r="F214" s="27">
        <v>1300000</v>
      </c>
      <c r="G214" s="27">
        <v>74597198835</v>
      </c>
      <c r="H214" s="27">
        <v>0</v>
      </c>
      <c r="I214" s="27">
        <v>0</v>
      </c>
      <c r="J214" s="27">
        <v>2238593</v>
      </c>
      <c r="K214" s="27">
        <v>57230</v>
      </c>
      <c r="L214" s="27">
        <v>111351050906</v>
      </c>
      <c r="M214" s="27">
        <v>127124350934</v>
      </c>
      <c r="N214" s="28">
        <v>1.3393296809163785E-2</v>
      </c>
    </row>
    <row r="215" spans="1:14" x14ac:dyDescent="0.4">
      <c r="A215" s="27" t="s">
        <v>113</v>
      </c>
      <c r="B215" s="27">
        <v>0</v>
      </c>
      <c r="C215" s="27">
        <v>0</v>
      </c>
      <c r="D215" s="27">
        <v>0</v>
      </c>
      <c r="E215" s="27">
        <v>0</v>
      </c>
      <c r="F215" s="27">
        <v>40000000</v>
      </c>
      <c r="G215" s="27">
        <v>514016406400</v>
      </c>
      <c r="H215" s="27">
        <v>25000000</v>
      </c>
      <c r="I215" s="27">
        <v>372263984381</v>
      </c>
      <c r="J215" s="27">
        <v>15000000</v>
      </c>
      <c r="K215" s="27">
        <v>15440</v>
      </c>
      <c r="L215" s="27">
        <v>193086214800</v>
      </c>
      <c r="M215" s="27">
        <v>229809732000</v>
      </c>
      <c r="N215" s="28">
        <v>2.4211804644008478E-2</v>
      </c>
    </row>
    <row r="216" spans="1:14" x14ac:dyDescent="0.4">
      <c r="A216" s="27" t="s">
        <v>366</v>
      </c>
      <c r="B216" s="27">
        <v>795993</v>
      </c>
      <c r="C216" s="27">
        <v>24623887954</v>
      </c>
      <c r="D216" s="27">
        <v>29958630218</v>
      </c>
      <c r="E216" s="27">
        <v>0</v>
      </c>
      <c r="F216" s="27">
        <v>1093943</v>
      </c>
      <c r="G216" s="27">
        <v>54978513122</v>
      </c>
      <c r="H216" s="27">
        <v>0</v>
      </c>
      <c r="I216" s="27">
        <v>0</v>
      </c>
      <c r="J216" s="27">
        <v>1889936</v>
      </c>
      <c r="K216" s="27">
        <v>53980</v>
      </c>
      <c r="L216" s="27">
        <v>79602401076</v>
      </c>
      <c r="M216" s="27">
        <v>101230140379</v>
      </c>
      <c r="N216" s="28">
        <v>1.0665189683707138E-2</v>
      </c>
    </row>
    <row r="217" spans="1:14" x14ac:dyDescent="0.4">
      <c r="A217" s="27" t="s">
        <v>221</v>
      </c>
      <c r="B217" s="27">
        <v>392921</v>
      </c>
      <c r="C217" s="27">
        <v>15618857021</v>
      </c>
      <c r="D217" s="27">
        <v>14222958130</v>
      </c>
      <c r="E217" s="27">
        <v>0</v>
      </c>
      <c r="F217" s="27">
        <v>0</v>
      </c>
      <c r="G217" s="27">
        <v>0</v>
      </c>
      <c r="H217" s="27">
        <v>0</v>
      </c>
      <c r="I217" s="27">
        <v>0</v>
      </c>
      <c r="J217" s="27">
        <v>392921</v>
      </c>
      <c r="K217" s="27">
        <v>58650</v>
      </c>
      <c r="L217" s="27">
        <v>15618857021</v>
      </c>
      <c r="M217" s="27">
        <v>22866680217</v>
      </c>
      <c r="N217" s="28">
        <v>2.4091390275456977E-3</v>
      </c>
    </row>
    <row r="218" spans="1:14" x14ac:dyDescent="0.4">
      <c r="A218" s="27" t="s">
        <v>367</v>
      </c>
      <c r="B218" s="27">
        <v>1881856</v>
      </c>
      <c r="C218" s="27">
        <v>13238121345</v>
      </c>
      <c r="D218" s="27">
        <v>18251080640</v>
      </c>
      <c r="E218" s="27">
        <v>0</v>
      </c>
      <c r="F218" s="27">
        <v>0</v>
      </c>
      <c r="G218" s="27">
        <v>0</v>
      </c>
      <c r="H218" s="27">
        <v>0</v>
      </c>
      <c r="I218" s="27">
        <v>0</v>
      </c>
      <c r="J218" s="27">
        <v>1881856</v>
      </c>
      <c r="K218" s="27">
        <v>12920</v>
      </c>
      <c r="L218" s="27">
        <v>13238121345</v>
      </c>
      <c r="M218" s="27">
        <v>24125635550</v>
      </c>
      <c r="N218" s="28">
        <v>2.5417773641072173E-3</v>
      </c>
    </row>
    <row r="219" spans="1:14" x14ac:dyDescent="0.4">
      <c r="A219" s="27" t="s">
        <v>368</v>
      </c>
      <c r="B219" s="27">
        <v>1036013</v>
      </c>
      <c r="C219" s="27">
        <v>19148983815</v>
      </c>
      <c r="D219" s="27">
        <v>15600998106</v>
      </c>
      <c r="E219" s="27">
        <v>0</v>
      </c>
      <c r="F219" s="27">
        <v>100000</v>
      </c>
      <c r="G219" s="27">
        <v>2281060595</v>
      </c>
      <c r="H219" s="27">
        <v>0</v>
      </c>
      <c r="I219" s="27">
        <v>0</v>
      </c>
      <c r="J219" s="27">
        <v>1136013</v>
      </c>
      <c r="K219" s="27">
        <v>25780</v>
      </c>
      <c r="L219" s="27">
        <v>21430044410</v>
      </c>
      <c r="M219" s="27">
        <v>29060031151</v>
      </c>
      <c r="N219" s="28">
        <v>3.0616449140492136E-3</v>
      </c>
    </row>
    <row r="220" spans="1:14" x14ac:dyDescent="0.4">
      <c r="A220" s="27" t="s">
        <v>369</v>
      </c>
      <c r="B220" s="27">
        <v>5391749</v>
      </c>
      <c r="C220" s="27">
        <v>26565928068</v>
      </c>
      <c r="D220" s="27">
        <v>33116938130</v>
      </c>
      <c r="E220" s="27">
        <v>0</v>
      </c>
      <c r="F220" s="27">
        <v>1200000</v>
      </c>
      <c r="G220" s="27">
        <v>9310552154</v>
      </c>
      <c r="H220" s="27">
        <v>0</v>
      </c>
      <c r="I220" s="27">
        <v>0</v>
      </c>
      <c r="J220" s="27">
        <v>6591749</v>
      </c>
      <c r="K220" s="27">
        <v>10130</v>
      </c>
      <c r="L220" s="27">
        <v>35876480222</v>
      </c>
      <c r="M220" s="27">
        <v>66258251124</v>
      </c>
      <c r="N220" s="28">
        <v>6.9806958056412649E-3</v>
      </c>
    </row>
    <row r="221" spans="1:14" x14ac:dyDescent="0.4">
      <c r="A221" s="27" t="s">
        <v>222</v>
      </c>
      <c r="B221" s="27">
        <v>14595002</v>
      </c>
      <c r="C221" s="27">
        <v>39223501330</v>
      </c>
      <c r="D221" s="27">
        <v>41520417613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14595002</v>
      </c>
      <c r="K221" s="27">
        <v>4868</v>
      </c>
      <c r="L221" s="27">
        <v>39223501330</v>
      </c>
      <c r="M221" s="27">
        <v>70499265065</v>
      </c>
      <c r="N221" s="28">
        <v>7.4275115263610835E-3</v>
      </c>
    </row>
    <row r="222" spans="1:14" x14ac:dyDescent="0.4">
      <c r="A222" s="27" t="s">
        <v>96</v>
      </c>
      <c r="B222" s="27">
        <v>5168712</v>
      </c>
      <c r="C222" s="27">
        <v>47471782117</v>
      </c>
      <c r="D222" s="27">
        <v>53800669912</v>
      </c>
      <c r="E222" s="27">
        <v>0</v>
      </c>
      <c r="F222" s="27">
        <v>800000</v>
      </c>
      <c r="G222" s="27">
        <v>10047695870</v>
      </c>
      <c r="H222" s="27">
        <v>0</v>
      </c>
      <c r="I222" s="27">
        <v>0</v>
      </c>
      <c r="J222" s="27">
        <v>5968712</v>
      </c>
      <c r="K222" s="27">
        <v>16260</v>
      </c>
      <c r="L222" s="27">
        <v>57519477987</v>
      </c>
      <c r="M222" s="27">
        <v>96301050902</v>
      </c>
      <c r="N222" s="28">
        <v>1.0145881165084603E-2</v>
      </c>
    </row>
    <row r="223" spans="1:14" x14ac:dyDescent="0.4">
      <c r="A223" s="27" t="s">
        <v>225</v>
      </c>
      <c r="B223" s="27">
        <v>900000</v>
      </c>
      <c r="C223" s="27">
        <v>2252043000</v>
      </c>
      <c r="D223" s="27">
        <v>4728662685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900000</v>
      </c>
      <c r="K223" s="27">
        <v>7420</v>
      </c>
      <c r="L223" s="27">
        <v>2252043000</v>
      </c>
      <c r="M223" s="27">
        <v>6626379060</v>
      </c>
      <c r="N223" s="28">
        <v>6.9812794219641019E-4</v>
      </c>
    </row>
    <row r="224" spans="1:14" x14ac:dyDescent="0.4">
      <c r="A224" s="27" t="s">
        <v>330</v>
      </c>
      <c r="B224" s="27">
        <v>1405716</v>
      </c>
      <c r="C224" s="27">
        <v>7977806216</v>
      </c>
      <c r="D224" s="27">
        <v>14046137640</v>
      </c>
      <c r="E224" s="27">
        <v>0</v>
      </c>
      <c r="F224" s="27">
        <v>100000</v>
      </c>
      <c r="G224" s="27">
        <v>1381670987</v>
      </c>
      <c r="H224" s="27">
        <v>0</v>
      </c>
      <c r="I224" s="27">
        <v>0</v>
      </c>
      <c r="J224" s="27">
        <v>1505716</v>
      </c>
      <c r="K224" s="27">
        <v>12940</v>
      </c>
      <c r="L224" s="27">
        <v>9359477203</v>
      </c>
      <c r="M224" s="27">
        <v>19333353990</v>
      </c>
      <c r="N224" s="28">
        <v>2.036882362838062E-3</v>
      </c>
    </row>
    <row r="225" spans="1:14" x14ac:dyDescent="0.4">
      <c r="A225" s="27" t="s">
        <v>116</v>
      </c>
      <c r="B225" s="27">
        <v>5658733</v>
      </c>
      <c r="C225" s="27">
        <v>21329982959</v>
      </c>
      <c r="D225" s="27">
        <v>21073061200</v>
      </c>
      <c r="E225" s="27">
        <v>0</v>
      </c>
      <c r="F225" s="27">
        <v>6874619</v>
      </c>
      <c r="G225" s="27">
        <v>34374955260</v>
      </c>
      <c r="H225" s="27">
        <v>800000</v>
      </c>
      <c r="I225" s="27">
        <v>3971331590</v>
      </c>
      <c r="J225" s="27">
        <v>11733352</v>
      </c>
      <c r="K225" s="27">
        <v>5270</v>
      </c>
      <c r="L225" s="27">
        <v>52279942551</v>
      </c>
      <c r="M225" s="27">
        <v>61356782306</v>
      </c>
      <c r="N225" s="28">
        <v>6.4642972856250834E-3</v>
      </c>
    </row>
    <row r="226" spans="1:14" x14ac:dyDescent="0.4">
      <c r="A226" s="27" t="s">
        <v>295</v>
      </c>
      <c r="B226" s="27">
        <v>2024465</v>
      </c>
      <c r="C226" s="27">
        <v>16984113641</v>
      </c>
      <c r="D226" s="27">
        <v>15869645496</v>
      </c>
      <c r="E226" s="27">
        <v>0</v>
      </c>
      <c r="F226" s="27">
        <v>0</v>
      </c>
      <c r="G226" s="27">
        <v>0</v>
      </c>
      <c r="H226" s="27">
        <v>0</v>
      </c>
      <c r="I226" s="27">
        <v>0</v>
      </c>
      <c r="J226" s="27">
        <v>2024465</v>
      </c>
      <c r="K226" s="27">
        <v>14500</v>
      </c>
      <c r="L226" s="27">
        <v>16984113641</v>
      </c>
      <c r="M226" s="27">
        <v>29127830340</v>
      </c>
      <c r="N226" s="28">
        <v>3.0687879567080434E-3</v>
      </c>
    </row>
    <row r="227" spans="1:14" x14ac:dyDescent="0.4">
      <c r="A227" s="27" t="s">
        <v>324</v>
      </c>
      <c r="B227" s="27">
        <v>2192838</v>
      </c>
      <c r="C227" s="27">
        <v>16347830069</v>
      </c>
      <c r="D227" s="27">
        <v>20475100079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2192838</v>
      </c>
      <c r="K227" s="27">
        <v>16800</v>
      </c>
      <c r="L227" s="27">
        <v>16347830069</v>
      </c>
      <c r="M227" s="27">
        <v>36554907686</v>
      </c>
      <c r="N227" s="28">
        <v>3.8512741648086338E-3</v>
      </c>
    </row>
    <row r="228" spans="1:14" x14ac:dyDescent="0.4">
      <c r="A228" s="27" t="s">
        <v>257</v>
      </c>
      <c r="B228" s="27">
        <v>6511043</v>
      </c>
      <c r="C228" s="27">
        <v>26993462798</v>
      </c>
      <c r="D228" s="27">
        <v>27102689515</v>
      </c>
      <c r="E228" s="27">
        <v>0</v>
      </c>
      <c r="F228" s="27">
        <v>3400000</v>
      </c>
      <c r="G228" s="27">
        <v>21240121837</v>
      </c>
      <c r="H228" s="27">
        <v>0</v>
      </c>
      <c r="I228" s="27">
        <v>0</v>
      </c>
      <c r="J228" s="27">
        <v>9911043</v>
      </c>
      <c r="K228" s="27">
        <v>7600</v>
      </c>
      <c r="L228" s="27">
        <v>48233584635</v>
      </c>
      <c r="M228" s="27">
        <v>74741672846</v>
      </c>
      <c r="N228" s="28">
        <v>7.8744740963091371E-3</v>
      </c>
    </row>
    <row r="229" spans="1:14" x14ac:dyDescent="0.4">
      <c r="A229" s="27" t="s">
        <v>208</v>
      </c>
      <c r="B229" s="27">
        <v>14321983</v>
      </c>
      <c r="C229" s="27">
        <v>35430001353</v>
      </c>
      <c r="D229" s="27">
        <v>32330648512</v>
      </c>
      <c r="E229" s="27">
        <v>0</v>
      </c>
      <c r="F229" s="27">
        <v>16000000</v>
      </c>
      <c r="G229" s="27">
        <v>42018602561</v>
      </c>
      <c r="H229" s="27">
        <v>0</v>
      </c>
      <c r="I229" s="27">
        <v>0</v>
      </c>
      <c r="J229" s="27">
        <v>30321983</v>
      </c>
      <c r="K229" s="27">
        <v>2400</v>
      </c>
      <c r="L229" s="27">
        <v>75361810261</v>
      </c>
      <c r="M229" s="27">
        <v>72210225771</v>
      </c>
      <c r="N229" s="28">
        <v>7.6077712830159797E-3</v>
      </c>
    </row>
    <row r="230" spans="1:14" x14ac:dyDescent="0.4">
      <c r="A230" s="27" t="s">
        <v>370</v>
      </c>
      <c r="B230" s="27">
        <v>0</v>
      </c>
      <c r="C230" s="27">
        <v>0</v>
      </c>
      <c r="D230" s="27">
        <v>0</v>
      </c>
      <c r="E230" s="27">
        <v>1571246</v>
      </c>
      <c r="F230" s="27">
        <v>0</v>
      </c>
      <c r="G230" s="27">
        <v>0</v>
      </c>
      <c r="H230" s="27">
        <v>0</v>
      </c>
      <c r="I230" s="27">
        <v>0</v>
      </c>
      <c r="J230" s="27">
        <v>1571246</v>
      </c>
      <c r="K230" s="27">
        <v>1400</v>
      </c>
      <c r="L230" s="27">
        <v>2086793653</v>
      </c>
      <c r="M230" s="27">
        <v>2182740376</v>
      </c>
      <c r="N230" s="28">
        <v>2.2996451504630626E-4</v>
      </c>
    </row>
    <row r="231" spans="1:14" x14ac:dyDescent="0.4">
      <c r="A231" s="27" t="s">
        <v>371</v>
      </c>
      <c r="B231" s="27">
        <v>9752234</v>
      </c>
      <c r="C231" s="27">
        <v>13415884464</v>
      </c>
      <c r="D231" s="27">
        <v>13334698241</v>
      </c>
      <c r="E231" s="27">
        <v>0</v>
      </c>
      <c r="F231" s="27">
        <v>6000000</v>
      </c>
      <c r="G231" s="27">
        <v>10346330398</v>
      </c>
      <c r="H231" s="27">
        <v>0</v>
      </c>
      <c r="I231" s="27">
        <v>0</v>
      </c>
      <c r="J231" s="27">
        <v>15752234</v>
      </c>
      <c r="K231" s="27">
        <v>1715</v>
      </c>
      <c r="L231" s="27">
        <v>23762214862</v>
      </c>
      <c r="M231" s="27">
        <v>26806254731</v>
      </c>
      <c r="N231" s="28">
        <v>2.8241963346639296E-3</v>
      </c>
    </row>
    <row r="232" spans="1:14" x14ac:dyDescent="0.4">
      <c r="A232" s="27" t="s">
        <v>372</v>
      </c>
      <c r="B232" s="27">
        <v>1500000</v>
      </c>
      <c r="C232" s="27">
        <v>12197164260</v>
      </c>
      <c r="D232" s="27">
        <v>13514717400</v>
      </c>
      <c r="E232" s="27">
        <v>0</v>
      </c>
      <c r="F232" s="27">
        <v>0</v>
      </c>
      <c r="G232" s="27">
        <v>0</v>
      </c>
      <c r="H232" s="27">
        <v>0</v>
      </c>
      <c r="I232" s="27">
        <v>0</v>
      </c>
      <c r="J232" s="27">
        <v>1500000</v>
      </c>
      <c r="K232" s="27">
        <v>15320</v>
      </c>
      <c r="L232" s="27">
        <v>12197164260</v>
      </c>
      <c r="M232" s="27">
        <v>22802364600</v>
      </c>
      <c r="N232" s="28">
        <v>2.4023629996516183E-3</v>
      </c>
    </row>
    <row r="233" spans="1:14" x14ac:dyDescent="0.4">
      <c r="A233" s="27" t="s">
        <v>209</v>
      </c>
      <c r="B233" s="27">
        <v>26913216</v>
      </c>
      <c r="C233" s="27">
        <v>34261064503</v>
      </c>
      <c r="D233" s="27">
        <v>26705176840</v>
      </c>
      <c r="E233" s="27">
        <v>0</v>
      </c>
      <c r="F233" s="27">
        <v>4000000</v>
      </c>
      <c r="G233" s="27">
        <v>4985145943</v>
      </c>
      <c r="H233" s="27">
        <v>0</v>
      </c>
      <c r="I233" s="27">
        <v>0</v>
      </c>
      <c r="J233" s="27">
        <v>30913216</v>
      </c>
      <c r="K233" s="27">
        <v>1277</v>
      </c>
      <c r="L233" s="27">
        <v>39246210446</v>
      </c>
      <c r="M233" s="27">
        <v>39171025985</v>
      </c>
      <c r="N233" s="28">
        <v>4.1268975887156934E-3</v>
      </c>
    </row>
    <row r="234" spans="1:14" x14ac:dyDescent="0.4">
      <c r="A234" s="27" t="s">
        <v>268</v>
      </c>
      <c r="B234" s="27">
        <v>5200000</v>
      </c>
      <c r="C234" s="27">
        <v>17798536615</v>
      </c>
      <c r="D234" s="27">
        <v>12032662928</v>
      </c>
      <c r="E234" s="27">
        <v>0</v>
      </c>
      <c r="F234" s="27">
        <v>0</v>
      </c>
      <c r="G234" s="27">
        <v>0</v>
      </c>
      <c r="H234" s="27">
        <v>0</v>
      </c>
      <c r="I234" s="27">
        <v>0</v>
      </c>
      <c r="J234" s="27">
        <v>5200000</v>
      </c>
      <c r="K234" s="27">
        <v>3072</v>
      </c>
      <c r="L234" s="27">
        <v>17798536615</v>
      </c>
      <c r="M234" s="27">
        <v>15850917888</v>
      </c>
      <c r="N234" s="28">
        <v>1.6699872716116105E-3</v>
      </c>
    </row>
    <row r="235" spans="1:14" x14ac:dyDescent="0.4">
      <c r="A235" s="27" t="s">
        <v>210</v>
      </c>
      <c r="B235" s="27">
        <v>11242355</v>
      </c>
      <c r="C235" s="27">
        <v>22867039430</v>
      </c>
      <c r="D235" s="27">
        <v>21206513484</v>
      </c>
      <c r="E235" s="27">
        <v>0</v>
      </c>
      <c r="F235" s="27">
        <v>0</v>
      </c>
      <c r="G235" s="27">
        <v>0</v>
      </c>
      <c r="H235" s="27">
        <v>0</v>
      </c>
      <c r="I235" s="27">
        <v>0</v>
      </c>
      <c r="J235" s="27">
        <v>11242355</v>
      </c>
      <c r="K235" s="27">
        <v>2047</v>
      </c>
      <c r="L235" s="27">
        <v>22867039430</v>
      </c>
      <c r="M235" s="27">
        <v>22835209417</v>
      </c>
      <c r="N235" s="28">
        <v>2.4058233939780525E-3</v>
      </c>
    </row>
    <row r="236" spans="1:14" x14ac:dyDescent="0.4">
      <c r="A236" s="27" t="s">
        <v>373</v>
      </c>
      <c r="B236" s="27">
        <v>1175423</v>
      </c>
      <c r="C236" s="27">
        <v>1215396725</v>
      </c>
      <c r="D236" s="27">
        <v>1050869619</v>
      </c>
      <c r="E236" s="27">
        <v>0</v>
      </c>
      <c r="F236" s="27">
        <v>0</v>
      </c>
      <c r="G236" s="27">
        <v>0</v>
      </c>
      <c r="H236" s="27">
        <v>0</v>
      </c>
      <c r="I236" s="27">
        <v>0</v>
      </c>
      <c r="J236" s="27">
        <v>1175423</v>
      </c>
      <c r="K236" s="27">
        <v>1008</v>
      </c>
      <c r="L236" s="27">
        <v>1215396725</v>
      </c>
      <c r="M236" s="27">
        <v>1175667676</v>
      </c>
      <c r="N236" s="28">
        <v>1.2386349285498254E-4</v>
      </c>
    </row>
    <row r="237" spans="1:14" x14ac:dyDescent="0.4">
      <c r="A237" s="27" t="s">
        <v>115</v>
      </c>
      <c r="B237" s="27">
        <v>8112972</v>
      </c>
      <c r="C237" s="27">
        <v>29111876861</v>
      </c>
      <c r="D237" s="27">
        <v>23297448754</v>
      </c>
      <c r="E237" s="27">
        <v>0</v>
      </c>
      <c r="F237" s="27">
        <v>13723508</v>
      </c>
      <c r="G237" s="27">
        <v>44739133197</v>
      </c>
      <c r="H237" s="27">
        <v>2400000</v>
      </c>
      <c r="I237" s="27">
        <v>7634955917</v>
      </c>
      <c r="J237" s="27">
        <v>19436480</v>
      </c>
      <c r="K237" s="61">
        <v>3848</v>
      </c>
      <c r="L237" s="27">
        <v>65898780375</v>
      </c>
      <c r="M237" s="27">
        <v>74213436165</v>
      </c>
      <c r="N237" s="59">
        <v>7.8188212603092621E-3</v>
      </c>
    </row>
    <row r="238" spans="1:14" ht="16.5" thickBot="1" x14ac:dyDescent="0.45">
      <c r="A238" s="27" t="s">
        <v>2</v>
      </c>
      <c r="B238" s="27"/>
      <c r="C238" s="64">
        <f t="shared" ref="B238:J238" si="0">SUM(C10:C237)</f>
        <v>4022688561365</v>
      </c>
      <c r="D238" s="64">
        <f t="shared" si="0"/>
        <v>4083659632315</v>
      </c>
      <c r="E238" s="27"/>
      <c r="F238" s="27"/>
      <c r="G238" s="64">
        <f t="shared" si="0"/>
        <v>3631794809913</v>
      </c>
      <c r="H238" s="27"/>
      <c r="I238" s="64">
        <f t="shared" si="0"/>
        <v>553517779926</v>
      </c>
      <c r="J238" s="27"/>
      <c r="K238" s="62"/>
      <c r="L238" s="64">
        <f>SUM(L10:L237)</f>
        <v>7185942851710</v>
      </c>
      <c r="M238" s="64">
        <f>SUM(M10:M237)</f>
        <v>9261537681513</v>
      </c>
      <c r="N238" s="28">
        <f>SUM(N10:N237)</f>
        <v>0.97575737587960787</v>
      </c>
    </row>
    <row r="239" spans="1:14" ht="16.5" thickTop="1" x14ac:dyDescent="0.4">
      <c r="M239" s="69"/>
      <c r="N239" s="63"/>
    </row>
    <row r="241" spans="13:13" x14ac:dyDescent="0.4">
      <c r="M241" s="69"/>
    </row>
  </sheetData>
  <mergeCells count="19">
    <mergeCell ref="A1:N1"/>
    <mergeCell ref="A2:N2"/>
    <mergeCell ref="A3:N3"/>
    <mergeCell ref="A4:N4"/>
    <mergeCell ref="A5:N5"/>
    <mergeCell ref="B7:D7"/>
    <mergeCell ref="F7:I7"/>
    <mergeCell ref="J7:N7"/>
    <mergeCell ref="A8:A9"/>
    <mergeCell ref="B8:B9"/>
    <mergeCell ref="C8:C9"/>
    <mergeCell ref="M8:M9"/>
    <mergeCell ref="N8:N9"/>
    <mergeCell ref="H8:I8"/>
    <mergeCell ref="J8:J9"/>
    <mergeCell ref="K8:K9"/>
    <mergeCell ref="L8:L9"/>
    <mergeCell ref="E8:G8"/>
    <mergeCell ref="D8:D9"/>
  </mergeCells>
  <pageMargins left="0.70866141732283472" right="0.70866141732283472" top="0.74803149606299213" bottom="0.74803149606299213" header="0.31496062992125984" footer="0.31496062992125984"/>
  <pageSetup scale="72" fitToHeight="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H23"/>
  <sheetViews>
    <sheetView rightToLeft="1" view="pageBreakPreview" topLeftCell="A2" zoomScale="145" zoomScaleNormal="100" zoomScaleSheetLayoutView="145" workbookViewId="0">
      <selection activeCell="B18" sqref="B18"/>
    </sheetView>
  </sheetViews>
  <sheetFormatPr defaultColWidth="9.140625" defaultRowHeight="15.75" x14ac:dyDescent="0.4"/>
  <cols>
    <col min="1" max="1" width="31.7109375" style="3" customWidth="1"/>
    <col min="2" max="2" width="12" style="3" customWidth="1"/>
    <col min="3" max="3" width="12.140625" style="3" customWidth="1"/>
    <col min="4" max="4" width="13.5703125" style="3" customWidth="1"/>
    <col min="5" max="5" width="10.140625" style="3" customWidth="1"/>
    <col min="6" max="6" width="19.28515625" style="3" customWidth="1"/>
    <col min="7" max="7" width="10.85546875" style="3" customWidth="1"/>
    <col min="8" max="16384" width="9.140625" style="3"/>
  </cols>
  <sheetData>
    <row r="1" spans="1:8" ht="21" x14ac:dyDescent="0.55000000000000004">
      <c r="A1" s="35" t="s">
        <v>70</v>
      </c>
      <c r="B1" s="35"/>
      <c r="C1" s="35"/>
      <c r="D1" s="35"/>
      <c r="E1" s="35"/>
      <c r="F1" s="35"/>
      <c r="G1" s="35"/>
      <c r="H1" s="35"/>
    </row>
    <row r="2" spans="1:8" ht="21" x14ac:dyDescent="0.55000000000000004">
      <c r="A2" s="35" t="s">
        <v>57</v>
      </c>
      <c r="B2" s="35"/>
      <c r="C2" s="35"/>
      <c r="D2" s="35"/>
      <c r="E2" s="35"/>
      <c r="F2" s="35"/>
      <c r="G2" s="35"/>
      <c r="H2" s="35"/>
    </row>
    <row r="3" spans="1:8" ht="21" x14ac:dyDescent="0.55000000000000004">
      <c r="A3" s="35" t="s">
        <v>71</v>
      </c>
      <c r="B3" s="35"/>
      <c r="C3" s="35"/>
      <c r="D3" s="35"/>
      <c r="E3" s="35"/>
      <c r="F3" s="35"/>
      <c r="G3" s="35"/>
      <c r="H3" s="35"/>
    </row>
    <row r="4" spans="1:8" ht="25.5" customHeight="1" x14ac:dyDescent="0.4">
      <c r="A4" s="49" t="s">
        <v>32</v>
      </c>
      <c r="B4" s="49"/>
      <c r="C4" s="49"/>
      <c r="D4" s="49"/>
      <c r="E4" s="49"/>
      <c r="F4" s="49"/>
      <c r="G4" s="49"/>
    </row>
    <row r="5" spans="1:8" x14ac:dyDescent="0.4">
      <c r="A5" s="49" t="s">
        <v>31</v>
      </c>
      <c r="B5" s="49"/>
      <c r="C5" s="49"/>
      <c r="D5" s="49"/>
      <c r="E5" s="49"/>
      <c r="F5" s="49"/>
      <c r="G5" s="49"/>
    </row>
    <row r="6" spans="1:8" ht="19.5" customHeight="1" thickBot="1" x14ac:dyDescent="0.45">
      <c r="B6" s="40" t="s">
        <v>73</v>
      </c>
      <c r="C6" s="40"/>
      <c r="D6" s="40"/>
      <c r="E6" s="40"/>
      <c r="F6" s="40"/>
      <c r="G6" s="40"/>
      <c r="H6" s="40"/>
    </row>
    <row r="7" spans="1:8" ht="31.5" customHeight="1" x14ac:dyDescent="0.4">
      <c r="A7" s="70" t="s">
        <v>10</v>
      </c>
      <c r="B7" s="71" t="s">
        <v>3</v>
      </c>
      <c r="C7" s="72" t="s">
        <v>36</v>
      </c>
      <c r="D7" s="72" t="s">
        <v>35</v>
      </c>
      <c r="E7" s="72" t="s">
        <v>33</v>
      </c>
      <c r="F7" s="72" t="s">
        <v>34</v>
      </c>
      <c r="G7" s="73" t="s">
        <v>9</v>
      </c>
      <c r="H7" s="73"/>
    </row>
    <row r="8" spans="1:8" ht="18" customHeight="1" thickBot="1" x14ac:dyDescent="0.45">
      <c r="A8" s="74"/>
      <c r="B8" s="75"/>
      <c r="C8" s="76"/>
      <c r="D8" s="76"/>
      <c r="E8" s="76"/>
      <c r="F8" s="76"/>
      <c r="G8" s="76"/>
      <c r="H8" s="76"/>
    </row>
    <row r="9" spans="1:8" ht="18.75" x14ac:dyDescent="0.45">
      <c r="A9" s="77" t="s">
        <v>341</v>
      </c>
      <c r="B9" s="81">
        <v>8858150</v>
      </c>
      <c r="C9" s="81">
        <v>2000</v>
      </c>
      <c r="D9" s="81">
        <v>800</v>
      </c>
      <c r="E9" s="82">
        <v>-0.6</v>
      </c>
      <c r="F9" s="81">
        <v>7031741200</v>
      </c>
      <c r="G9" s="79" t="s">
        <v>374</v>
      </c>
      <c r="H9" s="79"/>
    </row>
    <row r="10" spans="1:8" ht="18.75" x14ac:dyDescent="0.45">
      <c r="A10" s="77" t="s">
        <v>339</v>
      </c>
      <c r="B10" s="81">
        <v>5729478</v>
      </c>
      <c r="C10" s="81">
        <v>2610</v>
      </c>
      <c r="D10" s="81">
        <v>1305</v>
      </c>
      <c r="E10" s="82">
        <v>-0.5</v>
      </c>
      <c r="F10" s="81">
        <v>7419171821</v>
      </c>
      <c r="G10" s="80" t="s">
        <v>374</v>
      </c>
      <c r="H10" s="80"/>
    </row>
    <row r="11" spans="1:8" ht="18.75" x14ac:dyDescent="0.45">
      <c r="A11" s="77" t="s">
        <v>264</v>
      </c>
      <c r="B11" s="81">
        <v>2451893</v>
      </c>
      <c r="C11" s="81">
        <v>6590</v>
      </c>
      <c r="D11" s="81">
        <v>4613</v>
      </c>
      <c r="E11" s="82">
        <v>-0.3</v>
      </c>
      <c r="F11" s="81">
        <v>11223151607</v>
      </c>
      <c r="G11" s="80" t="s">
        <v>374</v>
      </c>
      <c r="H11" s="80"/>
    </row>
    <row r="12" spans="1:8" ht="18.75" x14ac:dyDescent="0.45">
      <c r="A12" s="77" t="s">
        <v>355</v>
      </c>
      <c r="B12" s="81">
        <v>1200163</v>
      </c>
      <c r="C12" s="81">
        <v>12780</v>
      </c>
      <c r="D12" s="81">
        <v>6390</v>
      </c>
      <c r="E12" s="82">
        <v>-0.5</v>
      </c>
      <c r="F12" s="81">
        <v>7609759879</v>
      </c>
      <c r="G12" s="80" t="s">
        <v>374</v>
      </c>
      <c r="H12" s="80"/>
    </row>
    <row r="13" spans="1:8" ht="18.75" x14ac:dyDescent="0.45">
      <c r="A13" s="77" t="s">
        <v>360</v>
      </c>
      <c r="B13" s="81">
        <v>275726</v>
      </c>
      <c r="C13" s="81">
        <v>23300</v>
      </c>
      <c r="D13" s="81">
        <v>15145</v>
      </c>
      <c r="E13" s="82">
        <v>-0.35</v>
      </c>
      <c r="F13" s="81">
        <v>4143590793</v>
      </c>
      <c r="G13" s="80" t="s">
        <v>374</v>
      </c>
      <c r="H13" s="80"/>
    </row>
    <row r="23" ht="75.75" customHeight="1" x14ac:dyDescent="0.4"/>
  </sheetData>
  <mergeCells count="18">
    <mergeCell ref="G9:H9"/>
    <mergeCell ref="G10:H10"/>
    <mergeCell ref="G11:H11"/>
    <mergeCell ref="G12:H12"/>
    <mergeCell ref="G13:H13"/>
    <mergeCell ref="A1:H1"/>
    <mergeCell ref="A2:H2"/>
    <mergeCell ref="A3:H3"/>
    <mergeCell ref="A4:G4"/>
    <mergeCell ref="D7:D8"/>
    <mergeCell ref="A7:A8"/>
    <mergeCell ref="A5:G5"/>
    <mergeCell ref="C7:C8"/>
    <mergeCell ref="F7:F8"/>
    <mergeCell ref="E7:E8"/>
    <mergeCell ref="B7:B8"/>
    <mergeCell ref="B6:H6"/>
    <mergeCell ref="G7:H8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N24"/>
  <sheetViews>
    <sheetView rightToLeft="1" view="pageBreakPreview" topLeftCell="A7" zoomScale="90" zoomScaleNormal="100" zoomScaleSheetLayoutView="90" workbookViewId="0">
      <selection activeCell="P23" sqref="P23"/>
    </sheetView>
  </sheetViews>
  <sheetFormatPr defaultColWidth="9.140625" defaultRowHeight="15.75" x14ac:dyDescent="0.4"/>
  <cols>
    <col min="1" max="1" width="10.7109375" style="3" bestFit="1" customWidth="1"/>
    <col min="2" max="2" width="15" style="3" bestFit="1" customWidth="1"/>
    <col min="3" max="3" width="17.7109375" style="3" bestFit="1" customWidth="1"/>
    <col min="4" max="4" width="17.5703125" style="3" bestFit="1" customWidth="1"/>
    <col min="5" max="5" width="14.28515625" style="3" bestFit="1" customWidth="1"/>
    <col min="6" max="6" width="11.5703125" style="3" customWidth="1"/>
    <col min="7" max="7" width="4.28515625" style="3" customWidth="1"/>
    <col min="8" max="8" width="0.42578125" style="3" customWidth="1"/>
    <col min="9" max="9" width="5.28515625" style="3" customWidth="1"/>
    <col min="10" max="10" width="4.28515625" style="3" customWidth="1"/>
    <col min="11" max="11" width="0.42578125" style="3" customWidth="1"/>
    <col min="12" max="12" width="10.5703125" style="3" customWidth="1"/>
    <col min="13" max="13" width="0.5703125" style="3" customWidth="1"/>
    <col min="14" max="14" width="11.5703125" style="3" customWidth="1"/>
    <col min="15" max="16384" width="9.140625" style="3"/>
  </cols>
  <sheetData>
    <row r="1" spans="1:14" ht="21" x14ac:dyDescent="0.55000000000000004">
      <c r="A1" s="35" t="s">
        <v>70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1" x14ac:dyDescent="0.55000000000000004">
      <c r="A2" s="35" t="s">
        <v>57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21" x14ac:dyDescent="0.55000000000000004">
      <c r="A3" s="35" t="s">
        <v>72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4" ht="21" x14ac:dyDescent="0.4">
      <c r="A4" s="34" t="s">
        <v>378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</row>
    <row r="5" spans="1:14" ht="19.5" thickBot="1" x14ac:dyDescent="0.5">
      <c r="A5" s="84"/>
      <c r="B5" s="85"/>
      <c r="C5" s="85"/>
      <c r="D5" s="85"/>
      <c r="E5" s="85"/>
      <c r="F5" s="85"/>
    </row>
    <row r="6" spans="1:14" ht="18.75" customHeight="1" thickBot="1" x14ac:dyDescent="0.5">
      <c r="A6" s="86"/>
      <c r="B6" s="87" t="s">
        <v>74</v>
      </c>
      <c r="C6" s="88" t="s">
        <v>7</v>
      </c>
      <c r="D6" s="88"/>
      <c r="E6" s="89" t="s">
        <v>73</v>
      </c>
      <c r="F6" s="89"/>
    </row>
    <row r="7" spans="1:14" ht="24" customHeight="1" x14ac:dyDescent="0.4">
      <c r="A7" s="72" t="s">
        <v>8</v>
      </c>
      <c r="B7" s="70" t="s">
        <v>6</v>
      </c>
      <c r="C7" s="90" t="s">
        <v>37</v>
      </c>
      <c r="D7" s="90" t="s">
        <v>68</v>
      </c>
      <c r="E7" s="91" t="s">
        <v>6</v>
      </c>
      <c r="F7" s="73" t="s">
        <v>21</v>
      </c>
    </row>
    <row r="8" spans="1:14" ht="29.25" customHeight="1" thickBot="1" x14ac:dyDescent="0.45">
      <c r="A8" s="76"/>
      <c r="B8" s="74"/>
      <c r="C8" s="75"/>
      <c r="D8" s="75"/>
      <c r="E8" s="74"/>
      <c r="F8" s="76"/>
    </row>
    <row r="9" spans="1:14" ht="18.75" x14ac:dyDescent="0.45">
      <c r="A9" s="77" t="s">
        <v>79</v>
      </c>
      <c r="B9" s="77">
        <v>9812</v>
      </c>
      <c r="C9" s="84"/>
      <c r="D9" s="84"/>
      <c r="E9" s="77">
        <v>9812</v>
      </c>
      <c r="F9" s="78">
        <v>1.0337518132914022E-9</v>
      </c>
    </row>
    <row r="10" spans="1:14" ht="18.75" x14ac:dyDescent="0.45">
      <c r="A10" s="77" t="s">
        <v>75</v>
      </c>
      <c r="B10" s="77">
        <v>15429724</v>
      </c>
      <c r="C10" s="77">
        <v>65324</v>
      </c>
      <c r="D10" s="77">
        <v>0</v>
      </c>
      <c r="E10" s="77">
        <v>15495048</v>
      </c>
      <c r="F10" s="78">
        <v>1.6324942893433871E-6</v>
      </c>
    </row>
    <row r="11" spans="1:14" ht="18.75" x14ac:dyDescent="0.45">
      <c r="A11" s="77" t="s">
        <v>76</v>
      </c>
      <c r="B11" s="77">
        <v>7430108</v>
      </c>
      <c r="C11" s="77">
        <v>31419</v>
      </c>
      <c r="D11" s="77">
        <v>18000</v>
      </c>
      <c r="E11" s="77">
        <v>7443527</v>
      </c>
      <c r="F11" s="78">
        <v>7.8421927573721066E-7</v>
      </c>
    </row>
    <row r="12" spans="1:14" ht="18.75" x14ac:dyDescent="0.45">
      <c r="A12" s="77" t="s">
        <v>77</v>
      </c>
      <c r="B12" s="77">
        <v>4404298</v>
      </c>
      <c r="C12" s="77">
        <v>8214324655</v>
      </c>
      <c r="D12" s="77">
        <v>7832079279</v>
      </c>
      <c r="E12" s="77">
        <v>386649674</v>
      </c>
      <c r="F12" s="78">
        <v>4.0735813453529303E-5</v>
      </c>
    </row>
    <row r="13" spans="1:14" ht="18.75" x14ac:dyDescent="0.45">
      <c r="A13" s="77" t="s">
        <v>78</v>
      </c>
      <c r="B13" s="77">
        <v>73431577898</v>
      </c>
      <c r="C13" s="77">
        <v>2816926154206</v>
      </c>
      <c r="D13" s="77">
        <v>2886184093868</v>
      </c>
      <c r="E13" s="77">
        <v>4173638236</v>
      </c>
      <c r="F13" s="78">
        <v>4.3971729458696794E-4</v>
      </c>
    </row>
    <row r="14" spans="1:14" ht="18.75" x14ac:dyDescent="0.45">
      <c r="A14" s="77" t="s">
        <v>80</v>
      </c>
      <c r="B14" s="92">
        <v>346398229</v>
      </c>
      <c r="C14" s="92">
        <v>662391335222</v>
      </c>
      <c r="D14" s="77">
        <v>662734877383</v>
      </c>
      <c r="E14" s="77">
        <v>2856068</v>
      </c>
      <c r="F14" s="93">
        <v>3.0090353382425078E-7</v>
      </c>
    </row>
    <row r="15" spans="1:14" ht="19.5" thickBot="1" x14ac:dyDescent="0.5">
      <c r="A15" s="77" t="s">
        <v>2</v>
      </c>
      <c r="B15" s="94">
        <f>SUM(B9:B14)</f>
        <v>73805250069</v>
      </c>
      <c r="C15" s="77">
        <f>SUM(C9:C14)</f>
        <v>3487531910826</v>
      </c>
      <c r="D15" s="95">
        <f>SUM(D9:D14)</f>
        <v>3556751068530</v>
      </c>
      <c r="E15" s="94">
        <f>SUM(E9:E14)</f>
        <v>4586092365</v>
      </c>
      <c r="F15" s="96">
        <f>SUM(F9:F14)</f>
        <v>4.831717588912154E-4</v>
      </c>
    </row>
    <row r="16" spans="1:14" ht="16.5" thickTop="1" x14ac:dyDescent="0.4">
      <c r="C16" s="63"/>
      <c r="D16" s="63"/>
      <c r="E16" s="69"/>
    </row>
    <row r="21" spans="5:5" x14ac:dyDescent="0.4">
      <c r="E21" s="69"/>
    </row>
    <row r="24" spans="5:5" ht="75.75" customHeight="1" x14ac:dyDescent="0.4"/>
  </sheetData>
  <mergeCells count="12">
    <mergeCell ref="A1:N1"/>
    <mergeCell ref="A2:N2"/>
    <mergeCell ref="A3:N3"/>
    <mergeCell ref="F7:F8"/>
    <mergeCell ref="A4:N4"/>
    <mergeCell ref="E6:F6"/>
    <mergeCell ref="E7:E8"/>
    <mergeCell ref="A7:A8"/>
    <mergeCell ref="B7:B8"/>
    <mergeCell ref="C6:D6"/>
    <mergeCell ref="C7:C8"/>
    <mergeCell ref="D7:D8"/>
  </mergeCells>
  <pageMargins left="0.70866141732283472" right="0.70866141732283472" top="0.74803149606299213" bottom="0.74803149606299213" header="0.31496062992125984" footer="0.31496062992125984"/>
  <pageSetup scale="9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S21"/>
  <sheetViews>
    <sheetView rightToLeft="1" zoomScaleNormal="100" zoomScaleSheetLayoutView="100" workbookViewId="0">
      <selection activeCell="C19" sqref="C19"/>
    </sheetView>
  </sheetViews>
  <sheetFormatPr defaultRowHeight="18" x14ac:dyDescent="0.45"/>
  <cols>
    <col min="1" max="1" width="60.140625" style="30" customWidth="1"/>
    <col min="2" max="2" width="9.140625" style="6"/>
    <col min="3" max="3" width="24.5703125" style="6" customWidth="1"/>
    <col min="4" max="4" width="18.5703125" style="6" bestFit="1" customWidth="1"/>
    <col min="5" max="5" width="19.5703125" style="6" bestFit="1" customWidth="1"/>
    <col min="6" max="16384" width="9.140625" style="6"/>
  </cols>
  <sheetData>
    <row r="1" spans="1:19" ht="21" x14ac:dyDescent="0.45">
      <c r="A1" s="50" t="s">
        <v>69</v>
      </c>
      <c r="B1" s="50"/>
      <c r="C1" s="50"/>
      <c r="D1" s="50"/>
      <c r="E1" s="50"/>
    </row>
    <row r="2" spans="1:19" ht="21" x14ac:dyDescent="0.45">
      <c r="A2" s="50" t="s">
        <v>61</v>
      </c>
      <c r="B2" s="50"/>
      <c r="C2" s="50"/>
      <c r="D2" s="50"/>
      <c r="E2" s="50"/>
    </row>
    <row r="3" spans="1:19" ht="21" x14ac:dyDescent="0.45">
      <c r="A3" s="50" t="s">
        <v>72</v>
      </c>
      <c r="B3" s="50"/>
      <c r="C3" s="50"/>
      <c r="D3" s="50"/>
      <c r="E3" s="50"/>
    </row>
    <row r="4" spans="1:19" ht="24" x14ac:dyDescent="0.45">
      <c r="A4" s="97"/>
      <c r="B4" s="97"/>
      <c r="C4" s="97"/>
      <c r="D4" s="97"/>
      <c r="E4" s="97"/>
    </row>
    <row r="5" spans="1:19" ht="24" x14ac:dyDescent="0.45">
      <c r="A5" s="98" t="s">
        <v>26</v>
      </c>
      <c r="B5" s="98"/>
      <c r="C5" s="98"/>
      <c r="D5" s="98"/>
      <c r="E5" s="9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</row>
    <row r="6" spans="1:19" ht="24" x14ac:dyDescent="0.45">
      <c r="A6" s="99"/>
      <c r="B6" s="99"/>
      <c r="C6" s="99"/>
      <c r="D6" s="99"/>
      <c r="E6" s="9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spans="1:19" ht="23.25" thickBot="1" x14ac:dyDescent="0.6">
      <c r="A7" s="100" t="s">
        <v>38</v>
      </c>
      <c r="B7" s="101" t="s">
        <v>39</v>
      </c>
      <c r="C7" s="101" t="s">
        <v>6</v>
      </c>
      <c r="D7" s="101" t="s">
        <v>18</v>
      </c>
      <c r="E7" s="101" t="s">
        <v>64</v>
      </c>
    </row>
    <row r="8" spans="1:19" ht="24" x14ac:dyDescent="0.55000000000000004">
      <c r="A8" s="102" t="s">
        <v>53</v>
      </c>
      <c r="B8" s="103" t="s">
        <v>58</v>
      </c>
      <c r="C8" s="104">
        <v>2259474732154</v>
      </c>
      <c r="D8" s="105">
        <f t="shared" ref="D8:D10" si="0">C8/2262783717483</f>
        <v>0.99853764842683213</v>
      </c>
      <c r="E8" s="105">
        <f t="shared" ref="E8:E10" si="1">C8/9491639940886</f>
        <v>0.23804893002958649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19" ht="24" x14ac:dyDescent="0.55000000000000004">
      <c r="A9" s="102" t="s">
        <v>54</v>
      </c>
      <c r="B9" s="103" t="s">
        <v>59</v>
      </c>
      <c r="C9" s="104">
        <v>3308983632</v>
      </c>
      <c r="D9" s="105">
        <f t="shared" si="0"/>
        <v>1.4623508232067079E-3</v>
      </c>
      <c r="E9" s="105">
        <f t="shared" si="1"/>
        <v>3.4862085504806052E-4</v>
      </c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9" ht="24" x14ac:dyDescent="0.55000000000000004">
      <c r="A10" s="102" t="s">
        <v>28</v>
      </c>
      <c r="B10" s="103" t="s">
        <v>60</v>
      </c>
      <c r="C10" s="106">
        <v>1697</v>
      </c>
      <c r="D10" s="105">
        <f t="shared" si="0"/>
        <v>7.4996120348950198E-10</v>
      </c>
      <c r="E10" s="107">
        <f t="shared" si="1"/>
        <v>1.7878891430447509E-10</v>
      </c>
      <c r="F10" s="29"/>
      <c r="G10" s="29"/>
    </row>
    <row r="11" spans="1:19" ht="23.25" thickBot="1" x14ac:dyDescent="0.6">
      <c r="A11" s="104" t="s">
        <v>2</v>
      </c>
      <c r="B11" s="108"/>
      <c r="C11" s="109">
        <f>SUM(C8:C10)</f>
        <v>2262783717483</v>
      </c>
      <c r="D11" s="110">
        <f>SUM(D8:D10)</f>
        <v>1</v>
      </c>
      <c r="E11" s="105">
        <f>SUM(E8:E10)</f>
        <v>0.23839755106342347</v>
      </c>
    </row>
    <row r="12" spans="1:19" ht="18.75" thickTop="1" x14ac:dyDescent="0.45">
      <c r="C12" s="83"/>
      <c r="E12" s="66"/>
    </row>
    <row r="14" spans="1:19" x14ac:dyDescent="0.45">
      <c r="B14" s="18"/>
    </row>
    <row r="15" spans="1:19" x14ac:dyDescent="0.45">
      <c r="B15" s="18"/>
    </row>
    <row r="16" spans="1:19" x14ac:dyDescent="0.45">
      <c r="B16" s="18"/>
    </row>
    <row r="17" spans="2:3" x14ac:dyDescent="0.45">
      <c r="B17" s="18"/>
      <c r="C17" s="83"/>
    </row>
    <row r="18" spans="2:3" x14ac:dyDescent="0.45">
      <c r="B18" s="18"/>
    </row>
    <row r="19" spans="2:3" x14ac:dyDescent="0.45">
      <c r="B19" s="18"/>
    </row>
    <row r="20" spans="2:3" x14ac:dyDescent="0.45">
      <c r="B20" s="18"/>
    </row>
    <row r="21" spans="2:3" ht="75.75" customHeight="1" x14ac:dyDescent="0.45">
      <c r="B21" s="18"/>
    </row>
  </sheetData>
  <mergeCells count="4">
    <mergeCell ref="A5:E5"/>
    <mergeCell ref="A3:E3"/>
    <mergeCell ref="A2:E2"/>
    <mergeCell ref="A1:E1"/>
  </mergeCells>
  <pageMargins left="0.70866141732283472" right="0.70866141732283472" top="0.74803149606299213" bottom="0.74803149606299213" header="0.31496062992125984" footer="0.31496062992125984"/>
  <pageSetup scale="92" orientation="landscape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K231"/>
  <sheetViews>
    <sheetView rightToLeft="1" view="pageBreakPreview" topLeftCell="A208" zoomScale="110" zoomScaleNormal="100" zoomScaleSheetLayoutView="110" workbookViewId="0">
      <selection activeCell="F241" sqref="F241"/>
    </sheetView>
  </sheetViews>
  <sheetFormatPr defaultColWidth="9.140625" defaultRowHeight="15.75" x14ac:dyDescent="0.4"/>
  <cols>
    <col min="1" max="1" width="26.140625" style="3" bestFit="1" customWidth="1"/>
    <col min="2" max="2" width="13" style="3" bestFit="1" customWidth="1"/>
    <col min="3" max="3" width="14" style="3" bestFit="1" customWidth="1"/>
    <col min="4" max="4" width="12.140625" style="3" bestFit="1" customWidth="1"/>
    <col min="5" max="5" width="14" style="3" bestFit="1" customWidth="1"/>
    <col min="6" max="6" width="7.5703125" style="3" customWidth="1"/>
    <col min="7" max="7" width="13" style="3" bestFit="1" customWidth="1"/>
    <col min="8" max="8" width="14" style="3" bestFit="1" customWidth="1"/>
    <col min="9" max="9" width="12.140625" style="3" bestFit="1" customWidth="1"/>
    <col min="10" max="10" width="14" style="3" bestFit="1" customWidth="1"/>
    <col min="11" max="11" width="9.140625" style="3" bestFit="1" customWidth="1"/>
    <col min="12" max="16384" width="9.140625" style="3"/>
  </cols>
  <sheetData>
    <row r="1" spans="1:11" ht="21" x14ac:dyDescent="0.55000000000000004">
      <c r="A1" s="35" t="s">
        <v>70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21" x14ac:dyDescent="0.55000000000000004">
      <c r="A2" s="35" t="s">
        <v>61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 ht="21" x14ac:dyDescent="0.55000000000000004">
      <c r="A3" s="35" t="s">
        <v>72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5" spans="1:11" ht="21" x14ac:dyDescent="0.4">
      <c r="A5" s="34" t="s">
        <v>27</v>
      </c>
      <c r="B5" s="34"/>
      <c r="C5" s="34"/>
      <c r="D5" s="34"/>
      <c r="E5" s="34"/>
      <c r="F5" s="34"/>
      <c r="G5" s="34"/>
      <c r="H5" s="34"/>
      <c r="I5" s="34"/>
      <c r="J5" s="34"/>
      <c r="K5" s="34"/>
    </row>
    <row r="7" spans="1:11" ht="19.5" customHeight="1" thickBot="1" x14ac:dyDescent="0.45">
      <c r="A7" s="1"/>
      <c r="B7" s="33" t="s">
        <v>67</v>
      </c>
      <c r="C7" s="33"/>
      <c r="D7" s="33"/>
      <c r="E7" s="33"/>
      <c r="F7" s="33"/>
      <c r="G7" s="33" t="s">
        <v>73</v>
      </c>
      <c r="H7" s="33"/>
      <c r="I7" s="33"/>
      <c r="J7" s="33"/>
      <c r="K7" s="33"/>
    </row>
    <row r="8" spans="1:11" ht="19.5" customHeight="1" x14ac:dyDescent="0.4">
      <c r="A8" s="51" t="s">
        <v>23</v>
      </c>
      <c r="B8" s="53" t="s">
        <v>11</v>
      </c>
      <c r="C8" s="53" t="s">
        <v>12</v>
      </c>
      <c r="D8" s="53" t="s">
        <v>13</v>
      </c>
      <c r="E8" s="53" t="s">
        <v>2</v>
      </c>
      <c r="F8" s="53"/>
      <c r="G8" s="53" t="s">
        <v>11</v>
      </c>
      <c r="H8" s="53" t="s">
        <v>12</v>
      </c>
      <c r="I8" s="53" t="s">
        <v>13</v>
      </c>
      <c r="J8" s="53" t="s">
        <v>2</v>
      </c>
      <c r="K8" s="53"/>
    </row>
    <row r="9" spans="1:11" ht="18.75" customHeight="1" thickBot="1" x14ac:dyDescent="0.45">
      <c r="A9" s="51"/>
      <c r="B9" s="54"/>
      <c r="C9" s="54"/>
      <c r="D9" s="54"/>
      <c r="E9" s="33"/>
      <c r="F9" s="33"/>
      <c r="G9" s="54"/>
      <c r="H9" s="54"/>
      <c r="I9" s="54"/>
      <c r="J9" s="33"/>
      <c r="K9" s="33"/>
    </row>
    <row r="10" spans="1:11" ht="60" customHeight="1" thickBot="1" x14ac:dyDescent="0.45">
      <c r="A10" s="52"/>
      <c r="B10" s="19" t="s">
        <v>63</v>
      </c>
      <c r="C10" s="19" t="s">
        <v>63</v>
      </c>
      <c r="D10" s="19" t="s">
        <v>63</v>
      </c>
      <c r="E10" s="4" t="s">
        <v>6</v>
      </c>
      <c r="F10" s="4" t="s">
        <v>14</v>
      </c>
      <c r="G10" s="19" t="s">
        <v>63</v>
      </c>
      <c r="H10" s="19" t="s">
        <v>63</v>
      </c>
      <c r="I10" s="19" t="s">
        <v>63</v>
      </c>
      <c r="J10" s="4" t="s">
        <v>6</v>
      </c>
      <c r="K10" s="4" t="s">
        <v>14</v>
      </c>
    </row>
    <row r="11" spans="1:11" x14ac:dyDescent="0.4">
      <c r="A11" s="27" t="s">
        <v>212</v>
      </c>
      <c r="B11" s="27">
        <v>0</v>
      </c>
      <c r="C11" s="27">
        <v>1595994273</v>
      </c>
      <c r="D11" s="27">
        <v>0</v>
      </c>
      <c r="E11" s="27">
        <v>1595994273</v>
      </c>
      <c r="F11" s="28">
        <v>7.2260874636911963E-4</v>
      </c>
      <c r="G11" s="27">
        <v>0</v>
      </c>
      <c r="H11" s="27">
        <v>2083716640</v>
      </c>
      <c r="I11" s="27">
        <v>0</v>
      </c>
      <c r="J11" s="27">
        <v>2083716640</v>
      </c>
      <c r="K11" s="28">
        <v>9.2086425401620594E-4</v>
      </c>
    </row>
    <row r="12" spans="1:11" x14ac:dyDescent="0.4">
      <c r="A12" s="27" t="s">
        <v>213</v>
      </c>
      <c r="B12" s="27">
        <v>0</v>
      </c>
      <c r="C12" s="27">
        <v>-3476319127</v>
      </c>
      <c r="D12" s="27">
        <v>0</v>
      </c>
      <c r="E12" s="27">
        <v>-3476319127</v>
      </c>
      <c r="F12" s="28">
        <v>-1.5739521430854549E-3</v>
      </c>
      <c r="G12" s="27">
        <v>0</v>
      </c>
      <c r="H12" s="27">
        <v>-1980772702</v>
      </c>
      <c r="I12" s="27">
        <v>0</v>
      </c>
      <c r="J12" s="27">
        <v>-1980772702</v>
      </c>
      <c r="K12" s="28">
        <v>-8.7536987591695504E-4</v>
      </c>
    </row>
    <row r="13" spans="1:11" x14ac:dyDescent="0.4">
      <c r="A13" s="27" t="s">
        <v>214</v>
      </c>
      <c r="B13" s="27">
        <v>0</v>
      </c>
      <c r="C13" s="27">
        <v>13686057457</v>
      </c>
      <c r="D13" s="27">
        <v>0</v>
      </c>
      <c r="E13" s="27">
        <v>13686057457</v>
      </c>
      <c r="F13" s="28">
        <v>6.1965540785737594E-3</v>
      </c>
      <c r="G13" s="27">
        <v>0</v>
      </c>
      <c r="H13" s="27">
        <v>14513880839</v>
      </c>
      <c r="I13" s="27">
        <v>0</v>
      </c>
      <c r="J13" s="27">
        <v>14513880839</v>
      </c>
      <c r="K13" s="28">
        <v>6.4141706195165963E-3</v>
      </c>
    </row>
    <row r="14" spans="1:11" x14ac:dyDescent="0.4">
      <c r="A14" s="27" t="s">
        <v>208</v>
      </c>
      <c r="B14" s="27">
        <v>2864396600</v>
      </c>
      <c r="C14" s="27">
        <v>43715074</v>
      </c>
      <c r="D14" s="27">
        <v>0</v>
      </c>
      <c r="E14" s="27">
        <v>2908111674</v>
      </c>
      <c r="F14" s="28">
        <v>1.3166882654913775E-3</v>
      </c>
      <c r="G14" s="27">
        <v>2864396600</v>
      </c>
      <c r="H14" s="27">
        <v>42264147</v>
      </c>
      <c r="I14" s="27">
        <v>0</v>
      </c>
      <c r="J14" s="27">
        <v>2906660747</v>
      </c>
      <c r="K14" s="28">
        <v>1.284550849708789E-3</v>
      </c>
    </row>
    <row r="15" spans="1:11" x14ac:dyDescent="0.4">
      <c r="A15" s="27" t="s">
        <v>215</v>
      </c>
      <c r="B15" s="27">
        <v>0</v>
      </c>
      <c r="C15" s="27">
        <v>-1416988172</v>
      </c>
      <c r="D15" s="27">
        <v>0</v>
      </c>
      <c r="E15" s="27">
        <v>-1416988172</v>
      </c>
      <c r="F15" s="28">
        <v>-6.4156122857766072E-4</v>
      </c>
      <c r="G15" s="27">
        <v>0</v>
      </c>
      <c r="H15" s="27">
        <v>-1416988172</v>
      </c>
      <c r="I15" s="27">
        <v>0</v>
      </c>
      <c r="J15" s="27">
        <v>-1416988172</v>
      </c>
      <c r="K15" s="28">
        <v>-6.26214587391579E-4</v>
      </c>
    </row>
    <row r="16" spans="1:11" x14ac:dyDescent="0.4">
      <c r="A16" s="27" t="s">
        <v>86</v>
      </c>
      <c r="B16" s="27">
        <v>0</v>
      </c>
      <c r="C16" s="27">
        <v>16913360280</v>
      </c>
      <c r="D16" s="27">
        <v>0</v>
      </c>
      <c r="E16" s="27">
        <v>16913360280</v>
      </c>
      <c r="F16" s="28">
        <v>7.6577606045207048E-3</v>
      </c>
      <c r="G16" s="27">
        <v>0</v>
      </c>
      <c r="H16" s="27">
        <v>16913360280</v>
      </c>
      <c r="I16" s="27">
        <v>-156353800</v>
      </c>
      <c r="J16" s="27">
        <v>16757006480</v>
      </c>
      <c r="K16" s="28">
        <v>7.4054830563477806E-3</v>
      </c>
    </row>
    <row r="17" spans="1:11" x14ac:dyDescent="0.4">
      <c r="A17" s="27" t="s">
        <v>216</v>
      </c>
      <c r="B17" s="27">
        <v>0</v>
      </c>
      <c r="C17" s="27">
        <v>3554376982</v>
      </c>
      <c r="D17" s="27">
        <v>0</v>
      </c>
      <c r="E17" s="27">
        <v>3554376982</v>
      </c>
      <c r="F17" s="28">
        <v>1.6092939295191788E-3</v>
      </c>
      <c r="G17" s="27">
        <v>0</v>
      </c>
      <c r="H17" s="27">
        <v>939184329</v>
      </c>
      <c r="I17" s="27">
        <v>0</v>
      </c>
      <c r="J17" s="27">
        <v>939184329</v>
      </c>
      <c r="K17" s="28">
        <v>4.1505704753996489E-4</v>
      </c>
    </row>
    <row r="18" spans="1:11" x14ac:dyDescent="0.4">
      <c r="A18" s="27" t="s">
        <v>217</v>
      </c>
      <c r="B18" s="27">
        <v>926433360</v>
      </c>
      <c r="C18" s="27">
        <v>1540858477</v>
      </c>
      <c r="D18" s="27">
        <v>0</v>
      </c>
      <c r="E18" s="27">
        <v>2467291837</v>
      </c>
      <c r="F18" s="28">
        <v>1.1171009140966588E-3</v>
      </c>
      <c r="G18" s="27">
        <v>926433360</v>
      </c>
      <c r="H18" s="27">
        <v>1540858477</v>
      </c>
      <c r="I18" s="27">
        <v>0</v>
      </c>
      <c r="J18" s="27">
        <v>2467291837</v>
      </c>
      <c r="K18" s="28">
        <v>1.0903789955429254E-3</v>
      </c>
    </row>
    <row r="19" spans="1:11" x14ac:dyDescent="0.4">
      <c r="A19" s="27" t="s">
        <v>218</v>
      </c>
      <c r="B19" s="27">
        <v>0</v>
      </c>
      <c r="C19" s="27">
        <v>13619624703</v>
      </c>
      <c r="D19" s="27">
        <v>0</v>
      </c>
      <c r="E19" s="27">
        <v>13619624703</v>
      </c>
      <c r="F19" s="28">
        <v>6.166475719335319E-3</v>
      </c>
      <c r="G19" s="27">
        <v>0</v>
      </c>
      <c r="H19" s="27">
        <v>14557092812</v>
      </c>
      <c r="I19" s="27">
        <v>0</v>
      </c>
      <c r="J19" s="27">
        <v>14557092812</v>
      </c>
      <c r="K19" s="28">
        <v>6.4332674393611658E-3</v>
      </c>
    </row>
    <row r="20" spans="1:11" x14ac:dyDescent="0.4">
      <c r="A20" s="27" t="s">
        <v>132</v>
      </c>
      <c r="B20" s="27">
        <v>0</v>
      </c>
      <c r="C20" s="27">
        <v>9164197877</v>
      </c>
      <c r="D20" s="27">
        <v>0</v>
      </c>
      <c r="E20" s="27">
        <v>9164197877</v>
      </c>
      <c r="F20" s="28">
        <v>4.1492188608733922E-3</v>
      </c>
      <c r="G20" s="27">
        <v>0</v>
      </c>
      <c r="H20" s="27">
        <v>9561579849</v>
      </c>
      <c r="I20" s="27">
        <v>-372</v>
      </c>
      <c r="J20" s="27">
        <v>9561579477</v>
      </c>
      <c r="K20" s="28">
        <v>4.2255825879973152E-3</v>
      </c>
    </row>
    <row r="21" spans="1:11" x14ac:dyDescent="0.4">
      <c r="A21" s="27" t="s">
        <v>219</v>
      </c>
      <c r="B21" s="27">
        <v>0</v>
      </c>
      <c r="C21" s="27">
        <v>13929967239</v>
      </c>
      <c r="D21" s="27">
        <v>0</v>
      </c>
      <c r="E21" s="27">
        <v>13929967239</v>
      </c>
      <c r="F21" s="28">
        <v>6.3069876464003439E-3</v>
      </c>
      <c r="G21" s="27">
        <v>0</v>
      </c>
      <c r="H21" s="27">
        <v>14368375044</v>
      </c>
      <c r="I21" s="27">
        <v>0</v>
      </c>
      <c r="J21" s="27">
        <v>14368375044</v>
      </c>
      <c r="K21" s="28">
        <v>6.349866729632744E-3</v>
      </c>
    </row>
    <row r="22" spans="1:11" x14ac:dyDescent="0.4">
      <c r="A22" s="27" t="s">
        <v>220</v>
      </c>
      <c r="B22" s="27">
        <v>0</v>
      </c>
      <c r="C22" s="27">
        <v>20071777272</v>
      </c>
      <c r="D22" s="27">
        <v>0</v>
      </c>
      <c r="E22" s="27">
        <v>20071777272</v>
      </c>
      <c r="F22" s="28">
        <v>9.0877781062815317E-3</v>
      </c>
      <c r="G22" s="27">
        <v>0</v>
      </c>
      <c r="H22" s="27">
        <v>20993440514</v>
      </c>
      <c r="I22" s="27">
        <v>0</v>
      </c>
      <c r="J22" s="27">
        <v>20993440514</v>
      </c>
      <c r="K22" s="28">
        <v>9.2777053112932887E-3</v>
      </c>
    </row>
    <row r="23" spans="1:11" x14ac:dyDescent="0.4">
      <c r="A23" s="27" t="s">
        <v>221</v>
      </c>
      <c r="B23" s="27">
        <v>0</v>
      </c>
      <c r="C23" s="27">
        <v>8643722087</v>
      </c>
      <c r="D23" s="27">
        <v>0</v>
      </c>
      <c r="E23" s="27">
        <v>8643722087</v>
      </c>
      <c r="F23" s="28">
        <v>3.9135661618067349E-3</v>
      </c>
      <c r="G23" s="27">
        <v>0</v>
      </c>
      <c r="H23" s="27">
        <v>5087982554</v>
      </c>
      <c r="I23" s="27">
        <v>0</v>
      </c>
      <c r="J23" s="27">
        <v>5087982554</v>
      </c>
      <c r="K23" s="28">
        <v>2.2485500999006661E-3</v>
      </c>
    </row>
    <row r="24" spans="1:11" x14ac:dyDescent="0.4">
      <c r="A24" s="27" t="s">
        <v>141</v>
      </c>
      <c r="B24" s="27">
        <v>997500000</v>
      </c>
      <c r="C24" s="27">
        <v>45148285</v>
      </c>
      <c r="D24" s="27">
        <v>0</v>
      </c>
      <c r="E24" s="27">
        <v>1042648285</v>
      </c>
      <c r="F24" s="28">
        <v>4.7207360507098923E-4</v>
      </c>
      <c r="G24" s="27">
        <v>997500000</v>
      </c>
      <c r="H24" s="27">
        <v>97242460</v>
      </c>
      <c r="I24" s="27">
        <v>0</v>
      </c>
      <c r="J24" s="27">
        <v>1094742460</v>
      </c>
      <c r="K24" s="28">
        <v>4.8380340177528463E-4</v>
      </c>
    </row>
    <row r="25" spans="1:11" x14ac:dyDescent="0.4">
      <c r="A25" s="27" t="s">
        <v>222</v>
      </c>
      <c r="B25" s="27">
        <v>0</v>
      </c>
      <c r="C25" s="27">
        <v>28978847452</v>
      </c>
      <c r="D25" s="27">
        <v>0</v>
      </c>
      <c r="E25" s="27">
        <v>28978847452</v>
      </c>
      <c r="F25" s="28">
        <v>1.3120578803299802E-2</v>
      </c>
      <c r="G25" s="27">
        <v>0</v>
      </c>
      <c r="H25" s="27">
        <v>31513229413</v>
      </c>
      <c r="I25" s="27">
        <v>0</v>
      </c>
      <c r="J25" s="27">
        <v>31513229413</v>
      </c>
      <c r="K25" s="28">
        <v>1.3926752773373159E-2</v>
      </c>
    </row>
    <row r="26" spans="1:11" x14ac:dyDescent="0.4">
      <c r="A26" s="27" t="s">
        <v>223</v>
      </c>
      <c r="B26" s="27">
        <v>0</v>
      </c>
      <c r="C26" s="27">
        <v>17201514044</v>
      </c>
      <c r="D26" s="27">
        <v>0</v>
      </c>
      <c r="E26" s="27">
        <v>17201514044</v>
      </c>
      <c r="F26" s="28">
        <v>7.7882262544845902E-3</v>
      </c>
      <c r="G26" s="27">
        <v>0</v>
      </c>
      <c r="H26" s="27">
        <v>19222516801</v>
      </c>
      <c r="I26" s="27">
        <v>0</v>
      </c>
      <c r="J26" s="27">
        <v>19222516801</v>
      </c>
      <c r="K26" s="28">
        <v>8.4950747402328421E-3</v>
      </c>
    </row>
    <row r="27" spans="1:11" x14ac:dyDescent="0.4">
      <c r="A27" s="27" t="s">
        <v>81</v>
      </c>
      <c r="B27" s="27">
        <v>0</v>
      </c>
      <c r="C27" s="27">
        <v>553077783</v>
      </c>
      <c r="D27" s="27">
        <v>9759619</v>
      </c>
      <c r="E27" s="27">
        <v>562837402</v>
      </c>
      <c r="F27" s="28">
        <v>2.5483251183876411E-4</v>
      </c>
      <c r="G27" s="27">
        <v>0</v>
      </c>
      <c r="H27" s="27">
        <v>492834888</v>
      </c>
      <c r="I27" s="27">
        <v>-87302111</v>
      </c>
      <c r="J27" s="27">
        <v>405532777</v>
      </c>
      <c r="K27" s="28">
        <v>1.7921853240622266E-4</v>
      </c>
    </row>
    <row r="28" spans="1:11" x14ac:dyDescent="0.4">
      <c r="A28" s="27" t="s">
        <v>224</v>
      </c>
      <c r="B28" s="27">
        <v>0</v>
      </c>
      <c r="C28" s="27">
        <v>4712662331</v>
      </c>
      <c r="D28" s="27">
        <v>0</v>
      </c>
      <c r="E28" s="27">
        <v>4712662331</v>
      </c>
      <c r="F28" s="28">
        <v>2.1337238338980449E-3</v>
      </c>
      <c r="G28" s="27">
        <v>0</v>
      </c>
      <c r="H28" s="27">
        <v>5283837750</v>
      </c>
      <c r="I28" s="27">
        <v>0</v>
      </c>
      <c r="J28" s="27">
        <v>5283837750</v>
      </c>
      <c r="K28" s="28">
        <v>2.3351050783932013E-3</v>
      </c>
    </row>
    <row r="29" spans="1:11" x14ac:dyDescent="0.4">
      <c r="A29" s="27" t="s">
        <v>225</v>
      </c>
      <c r="B29" s="27">
        <v>0</v>
      </c>
      <c r="C29" s="27">
        <v>1897716375</v>
      </c>
      <c r="D29" s="27">
        <v>0</v>
      </c>
      <c r="E29" s="27">
        <v>1897716375</v>
      </c>
      <c r="F29" s="28">
        <v>8.592176512796924E-4</v>
      </c>
      <c r="G29" s="27">
        <v>0</v>
      </c>
      <c r="H29" s="27">
        <v>1897716375</v>
      </c>
      <c r="I29" s="27">
        <v>0</v>
      </c>
      <c r="J29" s="27">
        <v>1897716375</v>
      </c>
      <c r="K29" s="28">
        <v>8.3866449998629058E-4</v>
      </c>
    </row>
    <row r="30" spans="1:11" x14ac:dyDescent="0.4">
      <c r="A30" s="27" t="s">
        <v>90</v>
      </c>
      <c r="B30" s="27">
        <v>2150547600</v>
      </c>
      <c r="C30" s="27">
        <v>1968156980</v>
      </c>
      <c r="D30" s="27">
        <v>0</v>
      </c>
      <c r="E30" s="27">
        <v>4118704580</v>
      </c>
      <c r="F30" s="28">
        <v>1.8648011484553439E-3</v>
      </c>
      <c r="G30" s="27">
        <v>2150547600</v>
      </c>
      <c r="H30" s="27">
        <v>2026586719</v>
      </c>
      <c r="I30" s="27">
        <v>25166163</v>
      </c>
      <c r="J30" s="27">
        <v>4202300482</v>
      </c>
      <c r="K30" s="28">
        <v>1.8571374937567675E-3</v>
      </c>
    </row>
    <row r="31" spans="1:11" x14ac:dyDescent="0.4">
      <c r="A31" s="27" t="s">
        <v>122</v>
      </c>
      <c r="B31" s="27">
        <v>0</v>
      </c>
      <c r="C31" s="27">
        <v>233295854</v>
      </c>
      <c r="D31" s="27">
        <v>103507791</v>
      </c>
      <c r="E31" s="27">
        <v>336803645</v>
      </c>
      <c r="F31" s="28">
        <v>1.5249256454318117E-4</v>
      </c>
      <c r="G31" s="27">
        <v>0</v>
      </c>
      <c r="H31" s="27">
        <v>364874349</v>
      </c>
      <c r="I31" s="27">
        <v>103507791</v>
      </c>
      <c r="J31" s="27">
        <v>468382140</v>
      </c>
      <c r="K31" s="28">
        <v>2.0699377336911516E-4</v>
      </c>
    </row>
    <row r="32" spans="1:11" x14ac:dyDescent="0.4">
      <c r="A32" s="27" t="s">
        <v>226</v>
      </c>
      <c r="B32" s="27">
        <v>0</v>
      </c>
      <c r="C32" s="27">
        <v>2505163512</v>
      </c>
      <c r="D32" s="27">
        <v>0</v>
      </c>
      <c r="E32" s="27">
        <v>2505163512</v>
      </c>
      <c r="F32" s="28">
        <v>1.1342478450459834E-3</v>
      </c>
      <c r="G32" s="27">
        <v>0</v>
      </c>
      <c r="H32" s="27">
        <v>2505428944</v>
      </c>
      <c r="I32" s="27">
        <v>0</v>
      </c>
      <c r="J32" s="27">
        <v>2505428944</v>
      </c>
      <c r="K32" s="28">
        <v>1.1072330619326294E-3</v>
      </c>
    </row>
    <row r="33" spans="1:11" x14ac:dyDescent="0.4">
      <c r="A33" s="27" t="s">
        <v>105</v>
      </c>
      <c r="B33" s="27">
        <v>0</v>
      </c>
      <c r="C33" s="27">
        <v>291211716</v>
      </c>
      <c r="D33" s="27">
        <v>0</v>
      </c>
      <c r="E33" s="27">
        <v>291211716</v>
      </c>
      <c r="F33" s="28">
        <v>1.3185018053430076E-4</v>
      </c>
      <c r="G33" s="27">
        <v>0</v>
      </c>
      <c r="H33" s="27">
        <v>-1046996543</v>
      </c>
      <c r="I33" s="27">
        <v>-45569364</v>
      </c>
      <c r="J33" s="27">
        <v>-1092565907</v>
      </c>
      <c r="K33" s="28">
        <v>-4.8284151002081282E-4</v>
      </c>
    </row>
    <row r="34" spans="1:11" x14ac:dyDescent="0.4">
      <c r="A34" s="27" t="s">
        <v>227</v>
      </c>
      <c r="B34" s="27">
        <v>0</v>
      </c>
      <c r="C34" s="27">
        <v>3910805328</v>
      </c>
      <c r="D34" s="27">
        <v>0</v>
      </c>
      <c r="E34" s="27">
        <v>3910805328</v>
      </c>
      <c r="F34" s="28">
        <v>1.7706718521287286E-3</v>
      </c>
      <c r="G34" s="27">
        <v>0</v>
      </c>
      <c r="H34" s="27">
        <v>3400737614</v>
      </c>
      <c r="I34" s="27">
        <v>0</v>
      </c>
      <c r="J34" s="27">
        <v>3400737614</v>
      </c>
      <c r="K34" s="28">
        <v>1.5028999845300281E-3</v>
      </c>
    </row>
    <row r="35" spans="1:11" x14ac:dyDescent="0.4">
      <c r="A35" s="27" t="s">
        <v>228</v>
      </c>
      <c r="B35" s="27">
        <v>0</v>
      </c>
      <c r="C35" s="27">
        <v>16292997039</v>
      </c>
      <c r="D35" s="27">
        <v>0</v>
      </c>
      <c r="E35" s="27">
        <v>16292997039</v>
      </c>
      <c r="F35" s="28">
        <v>7.376882463880601E-3</v>
      </c>
      <c r="G35" s="27">
        <v>0</v>
      </c>
      <c r="H35" s="27">
        <v>17951660985</v>
      </c>
      <c r="I35" s="27">
        <v>0</v>
      </c>
      <c r="J35" s="27">
        <v>17951660985</v>
      </c>
      <c r="K35" s="28">
        <v>7.9334409410407418E-3</v>
      </c>
    </row>
    <row r="36" spans="1:11" x14ac:dyDescent="0.4">
      <c r="A36" s="27" t="s">
        <v>167</v>
      </c>
      <c r="B36" s="27">
        <v>2450882868</v>
      </c>
      <c r="C36" s="27">
        <v>3427992589</v>
      </c>
      <c r="D36" s="27">
        <v>0</v>
      </c>
      <c r="E36" s="27">
        <v>5878875457</v>
      </c>
      <c r="F36" s="28">
        <v>2.6617431502794341E-3</v>
      </c>
      <c r="G36" s="27">
        <v>2450882868</v>
      </c>
      <c r="H36" s="27">
        <v>4052948486</v>
      </c>
      <c r="I36" s="27">
        <v>0</v>
      </c>
      <c r="J36" s="27">
        <v>6503831354</v>
      </c>
      <c r="K36" s="28">
        <v>2.874261160600234E-3</v>
      </c>
    </row>
    <row r="37" spans="1:11" x14ac:dyDescent="0.4">
      <c r="A37" s="27" t="s">
        <v>131</v>
      </c>
      <c r="B37" s="27">
        <v>0</v>
      </c>
      <c r="C37" s="27">
        <v>9847805738</v>
      </c>
      <c r="D37" s="27">
        <v>0</v>
      </c>
      <c r="E37" s="27">
        <v>9847805738</v>
      </c>
      <c r="F37" s="28">
        <v>4.4587318884588521E-3</v>
      </c>
      <c r="G37" s="27">
        <v>0</v>
      </c>
      <c r="H37" s="27">
        <v>9849335168</v>
      </c>
      <c r="I37" s="27">
        <v>-6111</v>
      </c>
      <c r="J37" s="27">
        <v>9849329057</v>
      </c>
      <c r="K37" s="28">
        <v>4.3527487761649041E-3</v>
      </c>
    </row>
    <row r="38" spans="1:11" x14ac:dyDescent="0.4">
      <c r="A38" s="27" t="s">
        <v>229</v>
      </c>
      <c r="B38" s="27">
        <v>0</v>
      </c>
      <c r="C38" s="27">
        <v>11445644168</v>
      </c>
      <c r="D38" s="27">
        <v>0</v>
      </c>
      <c r="E38" s="27">
        <v>11445644168</v>
      </c>
      <c r="F38" s="28">
        <v>5.1821756027225453E-3</v>
      </c>
      <c r="G38" s="27">
        <v>0</v>
      </c>
      <c r="H38" s="27">
        <v>12734623371</v>
      </c>
      <c r="I38" s="27">
        <v>0</v>
      </c>
      <c r="J38" s="27">
        <v>12734623371</v>
      </c>
      <c r="K38" s="28">
        <v>5.6278570826757213E-3</v>
      </c>
    </row>
    <row r="39" spans="1:11" x14ac:dyDescent="0.4">
      <c r="A39" s="27" t="s">
        <v>230</v>
      </c>
      <c r="B39" s="27">
        <v>0</v>
      </c>
      <c r="C39" s="27">
        <v>10034174467</v>
      </c>
      <c r="D39" s="27">
        <v>0</v>
      </c>
      <c r="E39" s="27">
        <v>10034174467</v>
      </c>
      <c r="F39" s="28">
        <v>4.5431129391326451E-3</v>
      </c>
      <c r="G39" s="27">
        <v>0</v>
      </c>
      <c r="H39" s="27">
        <v>10469180895</v>
      </c>
      <c r="I39" s="27">
        <v>0</v>
      </c>
      <c r="J39" s="27">
        <v>10469180895</v>
      </c>
      <c r="K39" s="28">
        <v>4.6266820881340608E-3</v>
      </c>
    </row>
    <row r="40" spans="1:11" x14ac:dyDescent="0.4">
      <c r="A40" s="27" t="s">
        <v>183</v>
      </c>
      <c r="B40" s="27">
        <v>2500717640</v>
      </c>
      <c r="C40" s="27">
        <v>3300728762</v>
      </c>
      <c r="D40" s="27">
        <v>0</v>
      </c>
      <c r="E40" s="27">
        <v>5801446402</v>
      </c>
      <c r="F40" s="28">
        <v>2.6266860618470778E-3</v>
      </c>
      <c r="G40" s="27">
        <v>2500717640</v>
      </c>
      <c r="H40" s="27">
        <v>3754620685</v>
      </c>
      <c r="I40" s="27">
        <v>0</v>
      </c>
      <c r="J40" s="27">
        <v>6255338325</v>
      </c>
      <c r="K40" s="28">
        <v>2.7644437586629381E-3</v>
      </c>
    </row>
    <row r="41" spans="1:11" x14ac:dyDescent="0.4">
      <c r="A41" s="27" t="s">
        <v>231</v>
      </c>
      <c r="B41" s="27">
        <v>0</v>
      </c>
      <c r="C41" s="27">
        <v>14284965515</v>
      </c>
      <c r="D41" s="27">
        <v>0</v>
      </c>
      <c r="E41" s="27">
        <v>14284965515</v>
      </c>
      <c r="F41" s="28">
        <v>6.4677180848005814E-3</v>
      </c>
      <c r="G41" s="27">
        <v>0</v>
      </c>
      <c r="H41" s="27">
        <v>16439637896</v>
      </c>
      <c r="I41" s="27">
        <v>0</v>
      </c>
      <c r="J41" s="27">
        <v>16439637896</v>
      </c>
      <c r="K41" s="28">
        <v>7.2652272371336382E-3</v>
      </c>
    </row>
    <row r="42" spans="1:11" x14ac:dyDescent="0.4">
      <c r="A42" s="27" t="s">
        <v>232</v>
      </c>
      <c r="B42" s="27">
        <v>0</v>
      </c>
      <c r="C42" s="27">
        <v>6580880008</v>
      </c>
      <c r="D42" s="27">
        <v>0</v>
      </c>
      <c r="E42" s="27">
        <v>6580880008</v>
      </c>
      <c r="F42" s="28">
        <v>2.9795855367624382E-3</v>
      </c>
      <c r="G42" s="27">
        <v>0</v>
      </c>
      <c r="H42" s="27">
        <v>2528832542</v>
      </c>
      <c r="I42" s="27">
        <v>0</v>
      </c>
      <c r="J42" s="27">
        <v>2528832542</v>
      </c>
      <c r="K42" s="28">
        <v>1.1175758966539403E-3</v>
      </c>
    </row>
    <row r="43" spans="1:11" x14ac:dyDescent="0.4">
      <c r="A43" s="27" t="s">
        <v>233</v>
      </c>
      <c r="B43" s="27">
        <v>0</v>
      </c>
      <c r="C43" s="27">
        <v>3125226092</v>
      </c>
      <c r="D43" s="27">
        <v>0</v>
      </c>
      <c r="E43" s="27">
        <v>3125226092</v>
      </c>
      <c r="F43" s="28">
        <v>1.4149898572099594E-3</v>
      </c>
      <c r="G43" s="27">
        <v>0</v>
      </c>
      <c r="H43" s="27">
        <v>3173610339</v>
      </c>
      <c r="I43" s="27">
        <v>0</v>
      </c>
      <c r="J43" s="27">
        <v>3173610339</v>
      </c>
      <c r="K43" s="28">
        <v>1.4025248257178353E-3</v>
      </c>
    </row>
    <row r="44" spans="1:11" x14ac:dyDescent="0.4">
      <c r="A44" s="27" t="s">
        <v>107</v>
      </c>
      <c r="B44" s="27">
        <v>2367178800</v>
      </c>
      <c r="C44" s="27">
        <v>2647612720</v>
      </c>
      <c r="D44" s="27">
        <v>0</v>
      </c>
      <c r="E44" s="27">
        <v>5014791520</v>
      </c>
      <c r="F44" s="28">
        <v>2.2705170531458992E-3</v>
      </c>
      <c r="G44" s="27">
        <v>2367178800</v>
      </c>
      <c r="H44" s="27">
        <v>2530168695</v>
      </c>
      <c r="I44" s="27">
        <v>-935000</v>
      </c>
      <c r="J44" s="27">
        <v>4896412495</v>
      </c>
      <c r="K44" s="28">
        <v>2.1638888671368503E-3</v>
      </c>
    </row>
    <row r="45" spans="1:11" x14ac:dyDescent="0.4">
      <c r="A45" s="27" t="s">
        <v>164</v>
      </c>
      <c r="B45" s="27">
        <v>0</v>
      </c>
      <c r="C45" s="27">
        <v>9132331729</v>
      </c>
      <c r="D45" s="27">
        <v>0</v>
      </c>
      <c r="E45" s="27">
        <v>9132331729</v>
      </c>
      <c r="F45" s="28">
        <v>4.1347910163331931E-3</v>
      </c>
      <c r="G45" s="27">
        <v>1696622400</v>
      </c>
      <c r="H45" s="27">
        <v>7448824220</v>
      </c>
      <c r="I45" s="27">
        <v>0</v>
      </c>
      <c r="J45" s="27">
        <v>9145446620</v>
      </c>
      <c r="K45" s="28">
        <v>4.041679524799174E-3</v>
      </c>
    </row>
    <row r="46" spans="1:11" x14ac:dyDescent="0.4">
      <c r="A46" s="27" t="s">
        <v>127</v>
      </c>
      <c r="B46" s="27">
        <v>0</v>
      </c>
      <c r="C46" s="27">
        <v>2776004746</v>
      </c>
      <c r="D46" s="27">
        <v>32753698</v>
      </c>
      <c r="E46" s="27">
        <v>2808758444</v>
      </c>
      <c r="F46" s="28">
        <v>1.271704699953218E-3</v>
      </c>
      <c r="G46" s="27">
        <v>0</v>
      </c>
      <c r="H46" s="27">
        <v>3181829621</v>
      </c>
      <c r="I46" s="27">
        <v>32753698</v>
      </c>
      <c r="J46" s="27">
        <v>3214583319</v>
      </c>
      <c r="K46" s="28">
        <v>1.4206321594782073E-3</v>
      </c>
    </row>
    <row r="47" spans="1:11" x14ac:dyDescent="0.4">
      <c r="A47" s="27" t="s">
        <v>196</v>
      </c>
      <c r="B47" s="27">
        <v>2638839500</v>
      </c>
      <c r="C47" s="27">
        <v>19900153657</v>
      </c>
      <c r="D47" s="27">
        <v>0</v>
      </c>
      <c r="E47" s="27">
        <v>22538993157</v>
      </c>
      <c r="F47" s="28">
        <v>1.0204844632047082E-2</v>
      </c>
      <c r="G47" s="27">
        <v>2638839500</v>
      </c>
      <c r="H47" s="27">
        <v>25436781934</v>
      </c>
      <c r="I47" s="27">
        <v>0</v>
      </c>
      <c r="J47" s="27">
        <v>28075621434</v>
      </c>
      <c r="K47" s="28">
        <v>1.2407558538219387E-2</v>
      </c>
    </row>
    <row r="48" spans="1:11" x14ac:dyDescent="0.4">
      <c r="A48" s="27" t="s">
        <v>234</v>
      </c>
      <c r="B48" s="27">
        <v>0</v>
      </c>
      <c r="C48" s="27">
        <v>2992931378</v>
      </c>
      <c r="D48" s="27">
        <v>0</v>
      </c>
      <c r="E48" s="27">
        <v>2992931378</v>
      </c>
      <c r="F48" s="28">
        <v>1.3550915737060303E-3</v>
      </c>
      <c r="G48" s="27">
        <v>0</v>
      </c>
      <c r="H48" s="27">
        <v>3354924798</v>
      </c>
      <c r="I48" s="27">
        <v>0</v>
      </c>
      <c r="J48" s="27">
        <v>3354924798</v>
      </c>
      <c r="K48" s="28">
        <v>1.4826537649527721E-3</v>
      </c>
    </row>
    <row r="49" spans="1:11" x14ac:dyDescent="0.4">
      <c r="A49" s="27" t="s">
        <v>235</v>
      </c>
      <c r="B49" s="27">
        <v>0</v>
      </c>
      <c r="C49" s="27">
        <v>2293446363</v>
      </c>
      <c r="D49" s="27">
        <v>0</v>
      </c>
      <c r="E49" s="27">
        <v>2293446363</v>
      </c>
      <c r="F49" s="28">
        <v>1.0383899424131874E-3</v>
      </c>
      <c r="G49" s="27">
        <v>0</v>
      </c>
      <c r="H49" s="27">
        <v>2293446363</v>
      </c>
      <c r="I49" s="27">
        <v>0</v>
      </c>
      <c r="J49" s="27">
        <v>2293446363</v>
      </c>
      <c r="K49" s="28">
        <v>1.0135508512281093E-3</v>
      </c>
    </row>
    <row r="50" spans="1:11" x14ac:dyDescent="0.4">
      <c r="A50" s="27" t="s">
        <v>236</v>
      </c>
      <c r="B50" s="27">
        <v>0</v>
      </c>
      <c r="C50" s="27">
        <v>15812889458</v>
      </c>
      <c r="D50" s="27">
        <v>0</v>
      </c>
      <c r="E50" s="27">
        <v>15812889458</v>
      </c>
      <c r="F50" s="28">
        <v>7.1595070364759688E-3</v>
      </c>
      <c r="G50" s="27">
        <v>0</v>
      </c>
      <c r="H50" s="27">
        <v>16739755092</v>
      </c>
      <c r="I50" s="27">
        <v>0</v>
      </c>
      <c r="J50" s="27">
        <v>16739755092</v>
      </c>
      <c r="K50" s="28">
        <v>7.3978590895202355E-3</v>
      </c>
    </row>
    <row r="51" spans="1:11" x14ac:dyDescent="0.4">
      <c r="A51" s="27" t="s">
        <v>237</v>
      </c>
      <c r="B51" s="27">
        <v>0</v>
      </c>
      <c r="C51" s="27">
        <v>23958237339</v>
      </c>
      <c r="D51" s="27">
        <v>0</v>
      </c>
      <c r="E51" s="27">
        <v>23958237339</v>
      </c>
      <c r="F51" s="28">
        <v>1.0847427300729809E-2</v>
      </c>
      <c r="G51" s="27">
        <v>0</v>
      </c>
      <c r="H51" s="27">
        <v>26244328688</v>
      </c>
      <c r="I51" s="27">
        <v>0</v>
      </c>
      <c r="J51" s="27">
        <v>26244328688</v>
      </c>
      <c r="K51" s="28">
        <v>1.1598248867193014E-2</v>
      </c>
    </row>
    <row r="52" spans="1:11" x14ac:dyDescent="0.4">
      <c r="A52" s="27" t="s">
        <v>238</v>
      </c>
      <c r="B52" s="27">
        <v>0</v>
      </c>
      <c r="C52" s="27">
        <v>12737954801</v>
      </c>
      <c r="D52" s="27">
        <v>0</v>
      </c>
      <c r="E52" s="27">
        <v>12737954801</v>
      </c>
      <c r="F52" s="28">
        <v>5.767287330395777E-3</v>
      </c>
      <c r="G52" s="27">
        <v>0</v>
      </c>
      <c r="H52" s="27">
        <v>22491588762</v>
      </c>
      <c r="I52" s="27">
        <v>0</v>
      </c>
      <c r="J52" s="27">
        <v>22491588762</v>
      </c>
      <c r="K52" s="28">
        <v>9.9397872577138939E-3</v>
      </c>
    </row>
    <row r="53" spans="1:11" x14ac:dyDescent="0.4">
      <c r="A53" s="27" t="s">
        <v>192</v>
      </c>
      <c r="B53" s="27">
        <v>1858116000</v>
      </c>
      <c r="C53" s="27">
        <v>5228309471</v>
      </c>
      <c r="D53" s="27">
        <v>0</v>
      </c>
      <c r="E53" s="27">
        <v>7086425471</v>
      </c>
      <c r="F53" s="28">
        <v>3.2084783212987808E-3</v>
      </c>
      <c r="G53" s="27">
        <v>1858116000</v>
      </c>
      <c r="H53" s="27">
        <v>5228309471</v>
      </c>
      <c r="I53" s="27">
        <v>0</v>
      </c>
      <c r="J53" s="27">
        <v>7086425471</v>
      </c>
      <c r="K53" s="28">
        <v>3.1317290363404955E-3</v>
      </c>
    </row>
    <row r="54" spans="1:11" x14ac:dyDescent="0.4">
      <c r="A54" s="27" t="s">
        <v>239</v>
      </c>
      <c r="B54" s="27">
        <v>0</v>
      </c>
      <c r="C54" s="27">
        <v>18875817762</v>
      </c>
      <c r="D54" s="27">
        <v>0</v>
      </c>
      <c r="E54" s="27">
        <v>18875817762</v>
      </c>
      <c r="F54" s="28">
        <v>8.5462906981814604E-3</v>
      </c>
      <c r="G54" s="27">
        <v>0</v>
      </c>
      <c r="H54" s="27">
        <v>20268964842</v>
      </c>
      <c r="I54" s="27">
        <v>0</v>
      </c>
      <c r="J54" s="27">
        <v>20268964842</v>
      </c>
      <c r="K54" s="28">
        <v>8.9575352188525185E-3</v>
      </c>
    </row>
    <row r="55" spans="1:11" x14ac:dyDescent="0.4">
      <c r="A55" s="27" t="s">
        <v>240</v>
      </c>
      <c r="B55" s="27">
        <v>0</v>
      </c>
      <c r="C55" s="27">
        <v>7487664165</v>
      </c>
      <c r="D55" s="27">
        <v>0</v>
      </c>
      <c r="E55" s="27">
        <v>7487664165</v>
      </c>
      <c r="F55" s="28">
        <v>3.3901447561796054E-3</v>
      </c>
      <c r="G55" s="27">
        <v>0</v>
      </c>
      <c r="H55" s="27">
        <v>8265951838</v>
      </c>
      <c r="I55" s="27">
        <v>0</v>
      </c>
      <c r="J55" s="27">
        <v>8265951838</v>
      </c>
      <c r="K55" s="28">
        <v>3.6530012895773373E-3</v>
      </c>
    </row>
    <row r="56" spans="1:11" x14ac:dyDescent="0.4">
      <c r="A56" s="27" t="s">
        <v>241</v>
      </c>
      <c r="B56" s="27">
        <v>0</v>
      </c>
      <c r="C56" s="27">
        <v>4377740764</v>
      </c>
      <c r="D56" s="27">
        <v>0</v>
      </c>
      <c r="E56" s="27">
        <v>4377740764</v>
      </c>
      <c r="F56" s="28">
        <v>1.9820834065129708E-3</v>
      </c>
      <c r="G56" s="27">
        <v>0</v>
      </c>
      <c r="H56" s="27">
        <v>5036526995</v>
      </c>
      <c r="I56" s="27">
        <v>0</v>
      </c>
      <c r="J56" s="27">
        <v>5036526995</v>
      </c>
      <c r="K56" s="28">
        <v>2.2258101629802976E-3</v>
      </c>
    </row>
    <row r="57" spans="1:11" x14ac:dyDescent="0.4">
      <c r="A57" s="27" t="s">
        <v>187</v>
      </c>
      <c r="B57" s="27">
        <v>273608000</v>
      </c>
      <c r="C57" s="27">
        <v>708242635</v>
      </c>
      <c r="D57" s="27">
        <v>0</v>
      </c>
      <c r="E57" s="27">
        <v>981850635</v>
      </c>
      <c r="F57" s="28">
        <v>4.4454661804358125E-4</v>
      </c>
      <c r="G57" s="27">
        <v>273608000</v>
      </c>
      <c r="H57" s="27">
        <v>799133774</v>
      </c>
      <c r="I57" s="27">
        <v>0</v>
      </c>
      <c r="J57" s="27">
        <v>1072741774</v>
      </c>
      <c r="K57" s="28">
        <v>4.7408056090895897E-4</v>
      </c>
    </row>
    <row r="58" spans="1:11" x14ac:dyDescent="0.4">
      <c r="A58" s="27" t="s">
        <v>242</v>
      </c>
      <c r="B58" s="27">
        <v>0</v>
      </c>
      <c r="C58" s="27">
        <v>9918725085</v>
      </c>
      <c r="D58" s="27">
        <v>0</v>
      </c>
      <c r="E58" s="27">
        <v>9918725085</v>
      </c>
      <c r="F58" s="28">
        <v>4.4908416154772696E-3</v>
      </c>
      <c r="G58" s="27">
        <v>0</v>
      </c>
      <c r="H58" s="27">
        <v>9918725085</v>
      </c>
      <c r="I58" s="27">
        <v>0</v>
      </c>
      <c r="J58" s="27">
        <v>9918725085</v>
      </c>
      <c r="K58" s="28">
        <v>4.3834172079128542E-3</v>
      </c>
    </row>
    <row r="59" spans="1:11" x14ac:dyDescent="0.4">
      <c r="A59" s="27" t="s">
        <v>243</v>
      </c>
      <c r="B59" s="27">
        <v>0</v>
      </c>
      <c r="C59" s="27">
        <v>26713931698</v>
      </c>
      <c r="D59" s="27">
        <v>0</v>
      </c>
      <c r="E59" s="27">
        <v>26713931698</v>
      </c>
      <c r="F59" s="28">
        <v>1.209510649345674E-2</v>
      </c>
      <c r="G59" s="27">
        <v>0</v>
      </c>
      <c r="H59" s="27">
        <v>28603544065</v>
      </c>
      <c r="I59" s="27">
        <v>0</v>
      </c>
      <c r="J59" s="27">
        <v>28603544065</v>
      </c>
      <c r="K59" s="28">
        <v>1.2640865251062111E-2</v>
      </c>
    </row>
    <row r="60" spans="1:11" x14ac:dyDescent="0.4">
      <c r="A60" s="27" t="s">
        <v>149</v>
      </c>
      <c r="B60" s="27">
        <v>0</v>
      </c>
      <c r="C60" s="27">
        <v>17191354149</v>
      </c>
      <c r="D60" s="27">
        <v>0</v>
      </c>
      <c r="E60" s="27">
        <v>17191354149</v>
      </c>
      <c r="F60" s="28">
        <v>7.7836262198144202E-3</v>
      </c>
      <c r="G60" s="27">
        <v>7357161000</v>
      </c>
      <c r="H60" s="27">
        <v>9891064003</v>
      </c>
      <c r="I60" s="27">
        <v>0</v>
      </c>
      <c r="J60" s="27">
        <v>17248225003</v>
      </c>
      <c r="K60" s="28">
        <v>7.6225689931099586E-3</v>
      </c>
    </row>
    <row r="61" spans="1:11" x14ac:dyDescent="0.4">
      <c r="A61" s="27" t="s">
        <v>244</v>
      </c>
      <c r="B61" s="27">
        <v>0</v>
      </c>
      <c r="C61" s="27">
        <v>25411734008</v>
      </c>
      <c r="D61" s="27">
        <v>0</v>
      </c>
      <c r="E61" s="27">
        <v>25411734008</v>
      </c>
      <c r="F61" s="28">
        <v>1.1505518262336775E-2</v>
      </c>
      <c r="G61" s="27">
        <v>0</v>
      </c>
      <c r="H61" s="27">
        <v>27131885106</v>
      </c>
      <c r="I61" s="27">
        <v>0</v>
      </c>
      <c r="J61" s="27">
        <v>27131885106</v>
      </c>
      <c r="K61" s="28">
        <v>1.1990489809684535E-2</v>
      </c>
    </row>
    <row r="62" spans="1:11" x14ac:dyDescent="0.4">
      <c r="A62" s="27" t="s">
        <v>120</v>
      </c>
      <c r="B62" s="27">
        <v>0</v>
      </c>
      <c r="C62" s="27">
        <v>9283789239</v>
      </c>
      <c r="D62" s="27">
        <v>376321840</v>
      </c>
      <c r="E62" s="27">
        <v>9660111079</v>
      </c>
      <c r="F62" s="28">
        <v>4.3737505044184038E-3</v>
      </c>
      <c r="G62" s="27">
        <v>0</v>
      </c>
      <c r="H62" s="27">
        <v>9362866430</v>
      </c>
      <c r="I62" s="27">
        <v>376321840</v>
      </c>
      <c r="J62" s="27">
        <v>9739188270</v>
      </c>
      <c r="K62" s="28">
        <v>4.3040738691691458E-3</v>
      </c>
    </row>
    <row r="63" spans="1:11" x14ac:dyDescent="0.4">
      <c r="A63" s="27" t="s">
        <v>245</v>
      </c>
      <c r="B63" s="27">
        <v>0</v>
      </c>
      <c r="C63" s="27">
        <v>750699511</v>
      </c>
      <c r="D63" s="27">
        <v>0</v>
      </c>
      <c r="E63" s="27">
        <v>750699511</v>
      </c>
      <c r="F63" s="28">
        <v>3.3988971121052462E-4</v>
      </c>
      <c r="G63" s="27">
        <v>0</v>
      </c>
      <c r="H63" s="27">
        <v>488706685</v>
      </c>
      <c r="I63" s="27">
        <v>0</v>
      </c>
      <c r="J63" s="27">
        <v>488706685</v>
      </c>
      <c r="K63" s="28">
        <v>2.1597587132349144E-4</v>
      </c>
    </row>
    <row r="64" spans="1:11" x14ac:dyDescent="0.4">
      <c r="A64" s="27" t="s">
        <v>246</v>
      </c>
      <c r="B64" s="27">
        <v>0</v>
      </c>
      <c r="C64" s="27">
        <v>5491984106</v>
      </c>
      <c r="D64" s="27">
        <v>0</v>
      </c>
      <c r="E64" s="27">
        <v>5491984106</v>
      </c>
      <c r="F64" s="28">
        <v>2.4865726757628474E-3</v>
      </c>
      <c r="G64" s="27">
        <v>0</v>
      </c>
      <c r="H64" s="27">
        <v>5491312546</v>
      </c>
      <c r="I64" s="27">
        <v>0</v>
      </c>
      <c r="J64" s="27">
        <v>5491312546</v>
      </c>
      <c r="K64" s="28">
        <v>2.4267951477520101E-3</v>
      </c>
    </row>
    <row r="65" spans="1:11" x14ac:dyDescent="0.4">
      <c r="A65" s="27" t="s">
        <v>88</v>
      </c>
      <c r="B65" s="27">
        <v>2875713190</v>
      </c>
      <c r="C65" s="27">
        <v>10487673910</v>
      </c>
      <c r="D65" s="27">
        <v>0</v>
      </c>
      <c r="E65" s="27">
        <v>13363387100</v>
      </c>
      <c r="F65" s="28">
        <v>6.0504605579974197E-3</v>
      </c>
      <c r="G65" s="27">
        <v>2875713190</v>
      </c>
      <c r="H65" s="27">
        <v>14073203452</v>
      </c>
      <c r="I65" s="27">
        <v>453962240</v>
      </c>
      <c r="J65" s="27">
        <v>17402878882</v>
      </c>
      <c r="K65" s="28">
        <v>7.6909157280652674E-3</v>
      </c>
    </row>
    <row r="66" spans="1:11" x14ac:dyDescent="0.4">
      <c r="A66" s="27" t="s">
        <v>92</v>
      </c>
      <c r="B66" s="27">
        <v>0</v>
      </c>
      <c r="C66" s="27">
        <v>11147160307</v>
      </c>
      <c r="D66" s="27">
        <v>0</v>
      </c>
      <c r="E66" s="27">
        <v>11147160307</v>
      </c>
      <c r="F66" s="28">
        <v>5.047032856750659E-3</v>
      </c>
      <c r="G66" s="27">
        <v>0</v>
      </c>
      <c r="H66" s="27">
        <v>11140858916</v>
      </c>
      <c r="I66" s="27">
        <v>-115958600</v>
      </c>
      <c r="J66" s="27">
        <v>11024900316</v>
      </c>
      <c r="K66" s="28">
        <v>4.8722731345545974E-3</v>
      </c>
    </row>
    <row r="67" spans="1:11" x14ac:dyDescent="0.4">
      <c r="A67" s="27" t="s">
        <v>130</v>
      </c>
      <c r="B67" s="27">
        <v>1854451144</v>
      </c>
      <c r="C67" s="27">
        <v>6035694182</v>
      </c>
      <c r="D67" s="27">
        <v>0</v>
      </c>
      <c r="E67" s="27">
        <v>7890145326</v>
      </c>
      <c r="F67" s="28">
        <v>3.5723737353855964E-3</v>
      </c>
      <c r="G67" s="27">
        <v>1854451144</v>
      </c>
      <c r="H67" s="27">
        <v>6029512851</v>
      </c>
      <c r="I67" s="27">
        <v>-1218</v>
      </c>
      <c r="J67" s="27">
        <v>7883962777</v>
      </c>
      <c r="K67" s="28">
        <v>3.484187514735036E-3</v>
      </c>
    </row>
    <row r="68" spans="1:11" x14ac:dyDescent="0.4">
      <c r="A68" s="27" t="s">
        <v>210</v>
      </c>
      <c r="B68" s="27">
        <v>2136047450</v>
      </c>
      <c r="C68" s="27">
        <v>1753493990</v>
      </c>
      <c r="D68" s="27">
        <v>0</v>
      </c>
      <c r="E68" s="27">
        <v>3889541440</v>
      </c>
      <c r="F68" s="28">
        <v>1.7610443292042693E-3</v>
      </c>
      <c r="G68" s="27">
        <v>2136047450</v>
      </c>
      <c r="H68" s="27">
        <v>1755751159</v>
      </c>
      <c r="I68" s="27">
        <v>0</v>
      </c>
      <c r="J68" s="27">
        <v>3891798609</v>
      </c>
      <c r="K68" s="28">
        <v>1.7199163043868061E-3</v>
      </c>
    </row>
    <row r="69" spans="1:11" x14ac:dyDescent="0.4">
      <c r="A69" s="27" t="s">
        <v>126</v>
      </c>
      <c r="B69" s="27">
        <v>0</v>
      </c>
      <c r="C69" s="27">
        <v>9593343189</v>
      </c>
      <c r="D69" s="27">
        <v>1031783707</v>
      </c>
      <c r="E69" s="27">
        <v>10625126896</v>
      </c>
      <c r="F69" s="28">
        <v>4.8106749229740974E-3</v>
      </c>
      <c r="G69" s="27">
        <v>0</v>
      </c>
      <c r="H69" s="27">
        <v>9968257048</v>
      </c>
      <c r="I69" s="27">
        <v>1031783707</v>
      </c>
      <c r="J69" s="27">
        <v>11000040755</v>
      </c>
      <c r="K69" s="28">
        <v>4.8612868609625047E-3</v>
      </c>
    </row>
    <row r="70" spans="1:11" x14ac:dyDescent="0.4">
      <c r="A70" s="27" t="s">
        <v>199</v>
      </c>
      <c r="B70" s="27">
        <v>2926798560</v>
      </c>
      <c r="C70" s="27">
        <v>6638112930</v>
      </c>
      <c r="D70" s="27">
        <v>0</v>
      </c>
      <c r="E70" s="27">
        <v>9564911490</v>
      </c>
      <c r="F70" s="28">
        <v>4.3306475579818629E-3</v>
      </c>
      <c r="G70" s="27">
        <v>2926798560</v>
      </c>
      <c r="H70" s="27">
        <v>5808348814</v>
      </c>
      <c r="I70" s="27">
        <v>0</v>
      </c>
      <c r="J70" s="27">
        <v>8735147374</v>
      </c>
      <c r="K70" s="28">
        <v>3.8603545299134962E-3</v>
      </c>
    </row>
    <row r="71" spans="1:11" x14ac:dyDescent="0.4">
      <c r="A71" s="27" t="s">
        <v>247</v>
      </c>
      <c r="B71" s="27">
        <v>0</v>
      </c>
      <c r="C71" s="27">
        <v>5341058077</v>
      </c>
      <c r="D71" s="27">
        <v>0</v>
      </c>
      <c r="E71" s="27">
        <v>5341058077</v>
      </c>
      <c r="F71" s="28">
        <v>2.4182388036085587E-3</v>
      </c>
      <c r="G71" s="27">
        <v>0</v>
      </c>
      <c r="H71" s="27">
        <v>6059316686</v>
      </c>
      <c r="I71" s="27">
        <v>0</v>
      </c>
      <c r="J71" s="27">
        <v>6059316686</v>
      </c>
      <c r="K71" s="28">
        <v>2.6778152234275669E-3</v>
      </c>
    </row>
    <row r="72" spans="1:11" x14ac:dyDescent="0.4">
      <c r="A72" s="27" t="s">
        <v>112</v>
      </c>
      <c r="B72" s="27">
        <v>0</v>
      </c>
      <c r="C72" s="27">
        <v>6995038096</v>
      </c>
      <c r="D72" s="27">
        <v>-16873074</v>
      </c>
      <c r="E72" s="27">
        <v>6978165022</v>
      </c>
      <c r="F72" s="28">
        <v>3.1594618876832651E-3</v>
      </c>
      <c r="G72" s="27">
        <v>0</v>
      </c>
      <c r="H72" s="27">
        <v>5434465179</v>
      </c>
      <c r="I72" s="27">
        <v>-16873074</v>
      </c>
      <c r="J72" s="27">
        <v>5417592105</v>
      </c>
      <c r="K72" s="28">
        <v>2.3942156128939451E-3</v>
      </c>
    </row>
    <row r="73" spans="1:11" x14ac:dyDescent="0.4">
      <c r="A73" s="27" t="s">
        <v>248</v>
      </c>
      <c r="B73" s="27">
        <v>0</v>
      </c>
      <c r="C73" s="27">
        <v>4347071024</v>
      </c>
      <c r="D73" s="27">
        <v>0</v>
      </c>
      <c r="E73" s="27">
        <v>4347071024</v>
      </c>
      <c r="F73" s="28">
        <v>1.9681972524409961E-3</v>
      </c>
      <c r="G73" s="27">
        <v>0</v>
      </c>
      <c r="H73" s="27">
        <v>4224330090</v>
      </c>
      <c r="I73" s="27">
        <v>-545523643</v>
      </c>
      <c r="J73" s="27">
        <v>3678806447</v>
      </c>
      <c r="K73" s="28">
        <v>1.6257879259853028E-3</v>
      </c>
    </row>
    <row r="74" spans="1:11" x14ac:dyDescent="0.4">
      <c r="A74" s="27" t="s">
        <v>109</v>
      </c>
      <c r="B74" s="27">
        <v>0</v>
      </c>
      <c r="C74" s="27">
        <v>15941441369</v>
      </c>
      <c r="D74" s="27">
        <v>3795411105</v>
      </c>
      <c r="E74" s="27">
        <v>19736852474</v>
      </c>
      <c r="F74" s="28">
        <v>8.9361362160159819E-3</v>
      </c>
      <c r="G74" s="27">
        <v>0</v>
      </c>
      <c r="H74" s="27">
        <v>15931864579</v>
      </c>
      <c r="I74" s="27">
        <v>3795411105</v>
      </c>
      <c r="J74" s="27">
        <v>19727275684</v>
      </c>
      <c r="K74" s="28">
        <v>8.7181446161118618E-3</v>
      </c>
    </row>
    <row r="75" spans="1:11" x14ac:dyDescent="0.4">
      <c r="A75" s="27" t="s">
        <v>249</v>
      </c>
      <c r="B75" s="27">
        <v>0</v>
      </c>
      <c r="C75" s="27">
        <v>17364318318</v>
      </c>
      <c r="D75" s="27">
        <v>0</v>
      </c>
      <c r="E75" s="27">
        <v>17364318318</v>
      </c>
      <c r="F75" s="28">
        <v>7.8619381683234409E-3</v>
      </c>
      <c r="G75" s="27">
        <v>0</v>
      </c>
      <c r="H75" s="27">
        <v>17362327999</v>
      </c>
      <c r="I75" s="27">
        <v>0</v>
      </c>
      <c r="J75" s="27">
        <v>17362327999</v>
      </c>
      <c r="K75" s="28">
        <v>7.6729949331228739E-3</v>
      </c>
    </row>
    <row r="76" spans="1:11" x14ac:dyDescent="0.4">
      <c r="A76" s="27" t="s">
        <v>250</v>
      </c>
      <c r="B76" s="27">
        <v>0</v>
      </c>
      <c r="C76" s="27">
        <v>5372814550</v>
      </c>
      <c r="D76" s="27">
        <v>0</v>
      </c>
      <c r="E76" s="27">
        <v>5372814550</v>
      </c>
      <c r="F76" s="28">
        <v>2.4326169912573777E-3</v>
      </c>
      <c r="G76" s="27">
        <v>0</v>
      </c>
      <c r="H76" s="27">
        <v>5372814550</v>
      </c>
      <c r="I76" s="27">
        <v>0</v>
      </c>
      <c r="J76" s="27">
        <v>5372814550</v>
      </c>
      <c r="K76" s="28">
        <v>2.374426909866769E-3</v>
      </c>
    </row>
    <row r="77" spans="1:11" x14ac:dyDescent="0.4">
      <c r="A77" s="27" t="s">
        <v>97</v>
      </c>
      <c r="B77" s="27">
        <v>5542935000</v>
      </c>
      <c r="C77" s="27">
        <v>17795757768</v>
      </c>
      <c r="D77" s="27">
        <v>0</v>
      </c>
      <c r="E77" s="27">
        <v>23338692768</v>
      </c>
      <c r="F77" s="28">
        <v>1.0566919824391199E-2</v>
      </c>
      <c r="G77" s="27">
        <v>5542935000</v>
      </c>
      <c r="H77" s="27">
        <v>19280215320</v>
      </c>
      <c r="I77" s="27">
        <v>470351280</v>
      </c>
      <c r="J77" s="27">
        <v>25293501600</v>
      </c>
      <c r="K77" s="28">
        <v>1.1178046494048112E-2</v>
      </c>
    </row>
    <row r="78" spans="1:11" x14ac:dyDescent="0.4">
      <c r="A78" s="27" t="s">
        <v>251</v>
      </c>
      <c r="B78" s="27">
        <v>0</v>
      </c>
      <c r="C78" s="27">
        <v>7756310359</v>
      </c>
      <c r="D78" s="27">
        <v>0</v>
      </c>
      <c r="E78" s="27">
        <v>7756310359</v>
      </c>
      <c r="F78" s="28">
        <v>3.5117780807768641E-3</v>
      </c>
      <c r="G78" s="27">
        <v>0</v>
      </c>
      <c r="H78" s="27">
        <v>7756310359</v>
      </c>
      <c r="I78" s="27">
        <v>0</v>
      </c>
      <c r="J78" s="27">
        <v>7756310359</v>
      </c>
      <c r="K78" s="28">
        <v>3.4277736308036132E-3</v>
      </c>
    </row>
    <row r="79" spans="1:11" x14ac:dyDescent="0.4">
      <c r="A79" s="27" t="s">
        <v>252</v>
      </c>
      <c r="B79" s="27">
        <v>0</v>
      </c>
      <c r="C79" s="27">
        <v>3820538660</v>
      </c>
      <c r="D79" s="27">
        <v>0</v>
      </c>
      <c r="E79" s="27">
        <v>3820538660</v>
      </c>
      <c r="F79" s="28">
        <v>1.7298023547214548E-3</v>
      </c>
      <c r="G79" s="27">
        <v>0</v>
      </c>
      <c r="H79" s="27">
        <v>4090521753</v>
      </c>
      <c r="I79" s="27">
        <v>0</v>
      </c>
      <c r="J79" s="27">
        <v>4090521753</v>
      </c>
      <c r="K79" s="28">
        <v>1.8077387252680422E-3</v>
      </c>
    </row>
    <row r="80" spans="1:11" x14ac:dyDescent="0.4">
      <c r="A80" s="27" t="s">
        <v>200</v>
      </c>
      <c r="B80" s="27">
        <v>3066175800</v>
      </c>
      <c r="C80" s="27">
        <v>1904443915</v>
      </c>
      <c r="D80" s="27">
        <v>0</v>
      </c>
      <c r="E80" s="27">
        <v>4970619715</v>
      </c>
      <c r="F80" s="28">
        <v>2.250517650155616E-3</v>
      </c>
      <c r="G80" s="27">
        <v>3066175800</v>
      </c>
      <c r="H80" s="27">
        <v>3058485497</v>
      </c>
      <c r="I80" s="27">
        <v>0</v>
      </c>
      <c r="J80" s="27">
        <v>6124661297</v>
      </c>
      <c r="K80" s="28">
        <v>2.706693198151853E-3</v>
      </c>
    </row>
    <row r="81" spans="1:11" x14ac:dyDescent="0.4">
      <c r="A81" s="27" t="s">
        <v>253</v>
      </c>
      <c r="B81" s="27">
        <v>0</v>
      </c>
      <c r="C81" s="27">
        <v>967562477</v>
      </c>
      <c r="D81" s="27">
        <v>0</v>
      </c>
      <c r="E81" s="27">
        <v>967562477</v>
      </c>
      <c r="F81" s="28">
        <v>4.3807745451651138E-4</v>
      </c>
      <c r="G81" s="27">
        <v>0</v>
      </c>
      <c r="H81" s="27">
        <v>1013752646</v>
      </c>
      <c r="I81" s="27">
        <v>0</v>
      </c>
      <c r="J81" s="27">
        <v>1013752646</v>
      </c>
      <c r="K81" s="28">
        <v>4.4801128723325108E-4</v>
      </c>
    </row>
    <row r="82" spans="1:11" x14ac:dyDescent="0.4">
      <c r="A82" s="27" t="s">
        <v>254</v>
      </c>
      <c r="B82" s="27">
        <v>0</v>
      </c>
      <c r="C82" s="27">
        <v>415297685</v>
      </c>
      <c r="D82" s="27">
        <v>0</v>
      </c>
      <c r="E82" s="27">
        <v>415297685</v>
      </c>
      <c r="F82" s="28">
        <v>1.8803183984097388E-4</v>
      </c>
      <c r="G82" s="27">
        <v>0</v>
      </c>
      <c r="H82" s="27">
        <v>415033203</v>
      </c>
      <c r="I82" s="27">
        <v>0</v>
      </c>
      <c r="J82" s="27">
        <v>415033203</v>
      </c>
      <c r="K82" s="28">
        <v>1.8341708922214661E-4</v>
      </c>
    </row>
    <row r="83" spans="1:11" x14ac:dyDescent="0.4">
      <c r="A83" s="27" t="s">
        <v>110</v>
      </c>
      <c r="B83" s="27">
        <v>0</v>
      </c>
      <c r="C83" s="27">
        <v>2413059480</v>
      </c>
      <c r="D83" s="27">
        <v>-296679920</v>
      </c>
      <c r="E83" s="27">
        <v>2116379560</v>
      </c>
      <c r="F83" s="28">
        <v>9.582204689357486E-4</v>
      </c>
      <c r="G83" s="27">
        <v>0</v>
      </c>
      <c r="H83" s="27">
        <v>2413059480</v>
      </c>
      <c r="I83" s="27">
        <v>-296679920</v>
      </c>
      <c r="J83" s="27">
        <v>2116379560</v>
      </c>
      <c r="K83" s="28">
        <v>9.3529909361118608E-4</v>
      </c>
    </row>
    <row r="84" spans="1:11" x14ac:dyDescent="0.4">
      <c r="A84" s="27" t="s">
        <v>104</v>
      </c>
      <c r="B84" s="27">
        <v>0</v>
      </c>
      <c r="C84" s="27">
        <v>9572467102</v>
      </c>
      <c r="D84" s="27">
        <v>1440284640</v>
      </c>
      <c r="E84" s="27">
        <v>11012751742</v>
      </c>
      <c r="F84" s="28">
        <v>4.9861774976187262E-3</v>
      </c>
      <c r="G84" s="27">
        <v>0</v>
      </c>
      <c r="H84" s="27">
        <v>8645871176</v>
      </c>
      <c r="I84" s="27">
        <v>1269787814</v>
      </c>
      <c r="J84" s="27">
        <v>9915658990</v>
      </c>
      <c r="K84" s="28">
        <v>4.3820621977206245E-3</v>
      </c>
    </row>
    <row r="85" spans="1:11" x14ac:dyDescent="0.4">
      <c r="A85" s="27" t="s">
        <v>115</v>
      </c>
      <c r="B85" s="27">
        <v>0</v>
      </c>
      <c r="C85" s="27">
        <v>13320655053</v>
      </c>
      <c r="D85" s="27">
        <v>550632995</v>
      </c>
      <c r="E85" s="27">
        <v>13871288048</v>
      </c>
      <c r="F85" s="28">
        <v>6.2804198213374371E-3</v>
      </c>
      <c r="G85" s="27">
        <v>324518880</v>
      </c>
      <c r="H85" s="27">
        <v>13674866437</v>
      </c>
      <c r="I85" s="27">
        <v>550632995</v>
      </c>
      <c r="J85" s="27">
        <v>14550018312</v>
      </c>
      <c r="K85" s="28">
        <v>6.4301409805903433E-3</v>
      </c>
    </row>
    <row r="86" spans="1:11" x14ac:dyDescent="0.4">
      <c r="A86" s="27" t="s">
        <v>207</v>
      </c>
      <c r="B86" s="27">
        <v>1281113520</v>
      </c>
      <c r="C86" s="27">
        <v>11186652510</v>
      </c>
      <c r="D86" s="27">
        <v>0</v>
      </c>
      <c r="E86" s="27">
        <v>12467766030</v>
      </c>
      <c r="F86" s="28">
        <v>5.6449555824701859E-3</v>
      </c>
      <c r="G86" s="27">
        <v>1281113520</v>
      </c>
      <c r="H86" s="27">
        <v>11629060940</v>
      </c>
      <c r="I86" s="27">
        <v>0</v>
      </c>
      <c r="J86" s="27">
        <v>12910174460</v>
      </c>
      <c r="K86" s="28">
        <v>5.7054389954514038E-3</v>
      </c>
    </row>
    <row r="87" spans="1:11" x14ac:dyDescent="0.4">
      <c r="A87" s="27" t="s">
        <v>255</v>
      </c>
      <c r="B87" s="27">
        <v>0</v>
      </c>
      <c r="C87" s="27">
        <v>22646736020</v>
      </c>
      <c r="D87" s="27">
        <v>0</v>
      </c>
      <c r="E87" s="27">
        <v>22646736020</v>
      </c>
      <c r="F87" s="28">
        <v>1.0253626721356403E-2</v>
      </c>
      <c r="G87" s="27">
        <v>0</v>
      </c>
      <c r="H87" s="27">
        <v>24456518381</v>
      </c>
      <c r="I87" s="27">
        <v>0</v>
      </c>
      <c r="J87" s="27">
        <v>24456518381</v>
      </c>
      <c r="K87" s="28">
        <v>1.0808155544005826E-2</v>
      </c>
    </row>
    <row r="88" spans="1:11" x14ac:dyDescent="0.4">
      <c r="A88" s="27" t="s">
        <v>256</v>
      </c>
      <c r="B88" s="27">
        <v>0</v>
      </c>
      <c r="C88" s="27">
        <v>22928672274</v>
      </c>
      <c r="D88" s="27">
        <v>0</v>
      </c>
      <c r="E88" s="27">
        <v>22928672274</v>
      </c>
      <c r="F88" s="28">
        <v>1.038127730664077E-2</v>
      </c>
      <c r="G88" s="27">
        <v>0</v>
      </c>
      <c r="H88" s="27">
        <v>23877538856</v>
      </c>
      <c r="I88" s="27">
        <v>0</v>
      </c>
      <c r="J88" s="27">
        <v>23877538856</v>
      </c>
      <c r="K88" s="28">
        <v>1.0552285077674193E-2</v>
      </c>
    </row>
    <row r="89" spans="1:11" x14ac:dyDescent="0.4">
      <c r="A89" s="27" t="s">
        <v>257</v>
      </c>
      <c r="B89" s="27">
        <v>0</v>
      </c>
      <c r="C89" s="27">
        <v>26398861494</v>
      </c>
      <c r="D89" s="27">
        <v>0</v>
      </c>
      <c r="E89" s="27">
        <v>26398861494</v>
      </c>
      <c r="F89" s="28">
        <v>1.1952454048531142E-2</v>
      </c>
      <c r="G89" s="27">
        <v>0</v>
      </c>
      <c r="H89" s="27">
        <v>27187068436</v>
      </c>
      <c r="I89" s="27">
        <v>0</v>
      </c>
      <c r="J89" s="27">
        <v>27187068436</v>
      </c>
      <c r="K89" s="28">
        <v>1.2014877173608728E-2</v>
      </c>
    </row>
    <row r="90" spans="1:11" x14ac:dyDescent="0.4">
      <c r="A90" s="27" t="s">
        <v>98</v>
      </c>
      <c r="B90" s="27">
        <v>0</v>
      </c>
      <c r="C90" s="27">
        <v>33724481255</v>
      </c>
      <c r="D90" s="27">
        <v>0</v>
      </c>
      <c r="E90" s="27">
        <v>33724481255</v>
      </c>
      <c r="F90" s="28">
        <v>1.5269230932650361E-2</v>
      </c>
      <c r="G90" s="27">
        <v>0</v>
      </c>
      <c r="H90" s="27">
        <v>35951032342</v>
      </c>
      <c r="I90" s="27">
        <v>94100128</v>
      </c>
      <c r="J90" s="27">
        <v>36045132470</v>
      </c>
      <c r="K90" s="28">
        <v>1.5929552697194888E-2</v>
      </c>
    </row>
    <row r="91" spans="1:11" x14ac:dyDescent="0.4">
      <c r="A91" s="27" t="s">
        <v>258</v>
      </c>
      <c r="B91" s="27">
        <v>0</v>
      </c>
      <c r="C91" s="27">
        <v>14290603697</v>
      </c>
      <c r="D91" s="27">
        <v>0</v>
      </c>
      <c r="E91" s="27">
        <v>14290603697</v>
      </c>
      <c r="F91" s="28">
        <v>6.4702708506191968E-3</v>
      </c>
      <c r="G91" s="27">
        <v>0</v>
      </c>
      <c r="H91" s="27">
        <v>16153529736</v>
      </c>
      <c r="I91" s="27">
        <v>0</v>
      </c>
      <c r="J91" s="27">
        <v>16153529736</v>
      </c>
      <c r="K91" s="28">
        <v>7.1387864475038407E-3</v>
      </c>
    </row>
    <row r="92" spans="1:11" x14ac:dyDescent="0.4">
      <c r="A92" s="27" t="s">
        <v>259</v>
      </c>
      <c r="B92" s="27">
        <v>0</v>
      </c>
      <c r="C92" s="27">
        <v>2558711214</v>
      </c>
      <c r="D92" s="27">
        <v>0</v>
      </c>
      <c r="E92" s="27">
        <v>2558711214</v>
      </c>
      <c r="F92" s="28">
        <v>1.1584923166382492E-3</v>
      </c>
      <c r="G92" s="27">
        <v>0</v>
      </c>
      <c r="H92" s="27">
        <v>1575776440</v>
      </c>
      <c r="I92" s="27">
        <v>0</v>
      </c>
      <c r="J92" s="27">
        <v>1575776440</v>
      </c>
      <c r="K92" s="28">
        <v>6.96388447479554E-4</v>
      </c>
    </row>
    <row r="93" spans="1:11" x14ac:dyDescent="0.4">
      <c r="A93" s="27" t="s">
        <v>177</v>
      </c>
      <c r="B93" s="27">
        <v>0</v>
      </c>
      <c r="C93" s="27">
        <v>22590348253</v>
      </c>
      <c r="D93" s="27">
        <v>0</v>
      </c>
      <c r="E93" s="27">
        <v>22590348253</v>
      </c>
      <c r="F93" s="28">
        <v>1.0228096370582754E-2</v>
      </c>
      <c r="G93" s="27">
        <v>4876820845</v>
      </c>
      <c r="H93" s="27">
        <v>12853912503</v>
      </c>
      <c r="I93" s="27">
        <v>0</v>
      </c>
      <c r="J93" s="27">
        <v>17730733348</v>
      </c>
      <c r="K93" s="28">
        <v>7.8358056101458622E-3</v>
      </c>
    </row>
    <row r="94" spans="1:11" x14ac:dyDescent="0.4">
      <c r="A94" s="27" t="s">
        <v>186</v>
      </c>
      <c r="B94" s="27">
        <v>70000000</v>
      </c>
      <c r="C94" s="27">
        <v>4070184902</v>
      </c>
      <c r="D94" s="27">
        <v>0</v>
      </c>
      <c r="E94" s="27">
        <v>4140184902</v>
      </c>
      <c r="F94" s="28">
        <v>1.8745266649027484E-3</v>
      </c>
      <c r="G94" s="27">
        <v>70000000</v>
      </c>
      <c r="H94" s="27">
        <v>4070184902</v>
      </c>
      <c r="I94" s="27">
        <v>0</v>
      </c>
      <c r="J94" s="27">
        <v>4140184902</v>
      </c>
      <c r="K94" s="28">
        <v>1.8296865361066505E-3</v>
      </c>
    </row>
    <row r="95" spans="1:11" x14ac:dyDescent="0.4">
      <c r="A95" s="27" t="s">
        <v>260</v>
      </c>
      <c r="B95" s="27">
        <v>0</v>
      </c>
      <c r="C95" s="27">
        <v>18945971573</v>
      </c>
      <c r="D95" s="27">
        <v>0</v>
      </c>
      <c r="E95" s="27">
        <v>18945971573</v>
      </c>
      <c r="F95" s="28">
        <v>8.578053818060604E-3</v>
      </c>
      <c r="G95" s="27">
        <v>0</v>
      </c>
      <c r="H95" s="27">
        <v>20097349900</v>
      </c>
      <c r="I95" s="27">
        <v>0</v>
      </c>
      <c r="J95" s="27">
        <v>20097349900</v>
      </c>
      <c r="K95" s="28">
        <v>8.8816928214222879E-3</v>
      </c>
    </row>
    <row r="96" spans="1:11" x14ac:dyDescent="0.4">
      <c r="A96" s="27" t="s">
        <v>261</v>
      </c>
      <c r="B96" s="27">
        <v>0</v>
      </c>
      <c r="C96" s="27">
        <v>5874554910</v>
      </c>
      <c r="D96" s="27">
        <v>0</v>
      </c>
      <c r="E96" s="27">
        <v>5874554910</v>
      </c>
      <c r="F96" s="28">
        <v>2.6597869621501182E-3</v>
      </c>
      <c r="G96" s="27">
        <v>0</v>
      </c>
      <c r="H96" s="27">
        <v>-209147297</v>
      </c>
      <c r="I96" s="27">
        <v>0</v>
      </c>
      <c r="J96" s="27">
        <v>-209147297</v>
      </c>
      <c r="K96" s="28">
        <v>-9.2429203632702597E-5</v>
      </c>
    </row>
    <row r="97" spans="1:11" x14ac:dyDescent="0.4">
      <c r="A97" s="27" t="s">
        <v>262</v>
      </c>
      <c r="B97" s="27">
        <v>0</v>
      </c>
      <c r="C97" s="27">
        <v>5574711757</v>
      </c>
      <c r="D97" s="27">
        <v>0</v>
      </c>
      <c r="E97" s="27">
        <v>5574711757</v>
      </c>
      <c r="F97" s="28">
        <v>2.5240287776991054E-3</v>
      </c>
      <c r="G97" s="27">
        <v>0</v>
      </c>
      <c r="H97" s="27">
        <v>5195648889</v>
      </c>
      <c r="I97" s="27">
        <v>0</v>
      </c>
      <c r="J97" s="27">
        <v>5195648889</v>
      </c>
      <c r="K97" s="28">
        <v>2.2961314635847577E-3</v>
      </c>
    </row>
    <row r="98" spans="1:11" x14ac:dyDescent="0.4">
      <c r="A98" s="27" t="s">
        <v>263</v>
      </c>
      <c r="B98" s="27">
        <v>0</v>
      </c>
      <c r="C98" s="27">
        <v>7682372143</v>
      </c>
      <c r="D98" s="27">
        <v>0</v>
      </c>
      <c r="E98" s="27">
        <v>7682372143</v>
      </c>
      <c r="F98" s="28">
        <v>3.4783015185633295E-3</v>
      </c>
      <c r="G98" s="27">
        <v>0</v>
      </c>
      <c r="H98" s="27">
        <v>6844961257</v>
      </c>
      <c r="I98" s="27">
        <v>0</v>
      </c>
      <c r="J98" s="27">
        <v>6844961257</v>
      </c>
      <c r="K98" s="28">
        <v>3.0250179034406214E-3</v>
      </c>
    </row>
    <row r="99" spans="1:11" x14ac:dyDescent="0.4">
      <c r="A99" s="27" t="s">
        <v>191</v>
      </c>
      <c r="B99" s="27">
        <v>2183591330</v>
      </c>
      <c r="C99" s="27">
        <v>12469079063</v>
      </c>
      <c r="D99" s="27">
        <v>0</v>
      </c>
      <c r="E99" s="27">
        <v>14652670393</v>
      </c>
      <c r="F99" s="28">
        <v>6.6342016151117143E-3</v>
      </c>
      <c r="G99" s="27">
        <v>2183591330</v>
      </c>
      <c r="H99" s="27">
        <v>13363721507</v>
      </c>
      <c r="I99" s="27">
        <v>0</v>
      </c>
      <c r="J99" s="27">
        <v>15547312837</v>
      </c>
      <c r="K99" s="28">
        <v>6.8708788722830309E-3</v>
      </c>
    </row>
    <row r="100" spans="1:11" x14ac:dyDescent="0.4">
      <c r="A100" s="27" t="s">
        <v>82</v>
      </c>
      <c r="B100" s="27">
        <v>0</v>
      </c>
      <c r="C100" s="27">
        <v>6948151955</v>
      </c>
      <c r="D100" s="27">
        <v>97638986</v>
      </c>
      <c r="E100" s="27">
        <v>7045790941</v>
      </c>
      <c r="F100" s="28">
        <v>3.1900804690762883E-3</v>
      </c>
      <c r="G100" s="27">
        <v>0</v>
      </c>
      <c r="H100" s="27">
        <v>7433287347</v>
      </c>
      <c r="I100" s="27">
        <v>154233242</v>
      </c>
      <c r="J100" s="27">
        <v>7587520589</v>
      </c>
      <c r="K100" s="28">
        <v>3.3531797716133266E-3</v>
      </c>
    </row>
    <row r="101" spans="1:11" x14ac:dyDescent="0.4">
      <c r="A101" s="27" t="s">
        <v>201</v>
      </c>
      <c r="B101" s="27">
        <v>0</v>
      </c>
      <c r="C101" s="27">
        <v>927960354</v>
      </c>
      <c r="D101" s="27">
        <v>0</v>
      </c>
      <c r="E101" s="27">
        <v>927960354</v>
      </c>
      <c r="F101" s="28">
        <v>4.2014703901395797E-4</v>
      </c>
      <c r="G101" s="27">
        <v>2127401140</v>
      </c>
      <c r="H101" s="27">
        <v>-1546953963</v>
      </c>
      <c r="I101" s="27">
        <v>0</v>
      </c>
      <c r="J101" s="27">
        <v>580447177</v>
      </c>
      <c r="K101" s="28">
        <v>2.5651907096346728E-4</v>
      </c>
    </row>
    <row r="102" spans="1:11" x14ac:dyDescent="0.4">
      <c r="A102" s="27" t="s">
        <v>264</v>
      </c>
      <c r="B102" s="27">
        <v>0</v>
      </c>
      <c r="C102" s="27">
        <v>1430568642</v>
      </c>
      <c r="D102" s="27">
        <v>0</v>
      </c>
      <c r="E102" s="27">
        <v>1430568642</v>
      </c>
      <c r="F102" s="28">
        <v>6.4770997645716112E-4</v>
      </c>
      <c r="G102" s="27">
        <v>0</v>
      </c>
      <c r="H102" s="27">
        <v>-2766252629</v>
      </c>
      <c r="I102" s="27">
        <v>0</v>
      </c>
      <c r="J102" s="27">
        <v>-2766252629</v>
      </c>
      <c r="K102" s="28">
        <v>-1.2224997942255976E-3</v>
      </c>
    </row>
    <row r="103" spans="1:11" x14ac:dyDescent="0.4">
      <c r="A103" s="27" t="s">
        <v>154</v>
      </c>
      <c r="B103" s="27">
        <v>1648155000</v>
      </c>
      <c r="C103" s="27">
        <v>3762581441</v>
      </c>
      <c r="D103" s="27">
        <v>0</v>
      </c>
      <c r="E103" s="27">
        <v>5410736441</v>
      </c>
      <c r="F103" s="28">
        <v>2.44978665820358E-3</v>
      </c>
      <c r="G103" s="27">
        <v>1648155000</v>
      </c>
      <c r="H103" s="27">
        <v>4017122074</v>
      </c>
      <c r="I103" s="27">
        <v>0</v>
      </c>
      <c r="J103" s="27">
        <v>5665277074</v>
      </c>
      <c r="K103" s="28">
        <v>2.5036759060215229E-3</v>
      </c>
    </row>
    <row r="104" spans="1:11" x14ac:dyDescent="0.4">
      <c r="A104" s="27" t="s">
        <v>108</v>
      </c>
      <c r="B104" s="27">
        <v>0</v>
      </c>
      <c r="C104" s="27">
        <v>2621215125</v>
      </c>
      <c r="D104" s="27">
        <v>0</v>
      </c>
      <c r="E104" s="27">
        <v>2621215125</v>
      </c>
      <c r="F104" s="28">
        <v>1.1867918372160883E-3</v>
      </c>
      <c r="G104" s="27">
        <v>0</v>
      </c>
      <c r="H104" s="27">
        <v>1756312825</v>
      </c>
      <c r="I104" s="27">
        <v>-179029616</v>
      </c>
      <c r="J104" s="27">
        <v>1577283209</v>
      </c>
      <c r="K104" s="28">
        <v>6.9705433922535279E-4</v>
      </c>
    </row>
    <row r="105" spans="1:11" x14ac:dyDescent="0.4">
      <c r="A105" s="27" t="s">
        <v>265</v>
      </c>
      <c r="B105" s="27">
        <v>0</v>
      </c>
      <c r="C105" s="27">
        <v>20224536751</v>
      </c>
      <c r="D105" s="27">
        <v>0</v>
      </c>
      <c r="E105" s="27">
        <v>20224536751</v>
      </c>
      <c r="F105" s="28">
        <v>9.1569420985862758E-3</v>
      </c>
      <c r="G105" s="27">
        <v>0</v>
      </c>
      <c r="H105" s="27">
        <v>20587509117</v>
      </c>
      <c r="I105" s="27">
        <v>0</v>
      </c>
      <c r="J105" s="27">
        <v>20587509117</v>
      </c>
      <c r="K105" s="28">
        <v>9.0983106153426137E-3</v>
      </c>
    </row>
    <row r="106" spans="1:11" x14ac:dyDescent="0.4">
      <c r="A106" s="27" t="s">
        <v>266</v>
      </c>
      <c r="B106" s="27">
        <v>0</v>
      </c>
      <c r="C106" s="27">
        <v>9575336041</v>
      </c>
      <c r="D106" s="27">
        <v>0</v>
      </c>
      <c r="E106" s="27">
        <v>9575336041</v>
      </c>
      <c r="F106" s="28">
        <v>4.3353674193604454E-3</v>
      </c>
      <c r="G106" s="27">
        <v>0</v>
      </c>
      <c r="H106" s="27">
        <v>10242508621</v>
      </c>
      <c r="I106" s="27">
        <v>0</v>
      </c>
      <c r="J106" s="27">
        <v>10242508621</v>
      </c>
      <c r="K106" s="28">
        <v>4.5265080095207777E-3</v>
      </c>
    </row>
    <row r="107" spans="1:11" x14ac:dyDescent="0.4">
      <c r="A107" s="27" t="s">
        <v>175</v>
      </c>
      <c r="B107" s="27">
        <v>3640000000</v>
      </c>
      <c r="C107" s="27">
        <v>16197815480</v>
      </c>
      <c r="D107" s="27">
        <v>0</v>
      </c>
      <c r="E107" s="27">
        <v>19837815480</v>
      </c>
      <c r="F107" s="28">
        <v>8.9818486301703141E-3</v>
      </c>
      <c r="G107" s="27">
        <v>3640000000</v>
      </c>
      <c r="H107" s="27">
        <v>17309157880</v>
      </c>
      <c r="I107" s="27">
        <v>0</v>
      </c>
      <c r="J107" s="27">
        <v>20949157880</v>
      </c>
      <c r="K107" s="28">
        <v>9.2581353304516112E-3</v>
      </c>
    </row>
    <row r="108" spans="1:11" x14ac:dyDescent="0.4">
      <c r="A108" s="27" t="s">
        <v>161</v>
      </c>
      <c r="B108" s="27">
        <v>0</v>
      </c>
      <c r="C108" s="27">
        <v>22725880468</v>
      </c>
      <c r="D108" s="27">
        <v>0</v>
      </c>
      <c r="E108" s="27">
        <v>22725880468</v>
      </c>
      <c r="F108" s="28">
        <v>1.0289460477980012E-2</v>
      </c>
      <c r="G108" s="27">
        <v>1830403200</v>
      </c>
      <c r="H108" s="27">
        <v>20909626285</v>
      </c>
      <c r="I108" s="27">
        <v>0</v>
      </c>
      <c r="J108" s="27">
        <v>22740029485</v>
      </c>
      <c r="K108" s="28">
        <v>1.0049581543875875E-2</v>
      </c>
    </row>
    <row r="109" spans="1:11" x14ac:dyDescent="0.4">
      <c r="A109" s="27" t="s">
        <v>100</v>
      </c>
      <c r="B109" s="27">
        <v>0</v>
      </c>
      <c r="C109" s="27">
        <v>11149320714</v>
      </c>
      <c r="D109" s="27">
        <v>515636162</v>
      </c>
      <c r="E109" s="27">
        <v>11664956876</v>
      </c>
      <c r="F109" s="28">
        <v>5.2814725010082806E-3</v>
      </c>
      <c r="G109" s="27">
        <v>0</v>
      </c>
      <c r="H109" s="27">
        <v>11261358689</v>
      </c>
      <c r="I109" s="27">
        <v>552202862</v>
      </c>
      <c r="J109" s="27">
        <v>11813561551</v>
      </c>
      <c r="K109" s="28">
        <v>5.2208089795434693E-3</v>
      </c>
    </row>
    <row r="110" spans="1:11" x14ac:dyDescent="0.4">
      <c r="A110" s="27" t="s">
        <v>267</v>
      </c>
      <c r="B110" s="27">
        <v>0</v>
      </c>
      <c r="C110" s="27">
        <v>413032387</v>
      </c>
      <c r="D110" s="27">
        <v>0</v>
      </c>
      <c r="E110" s="27">
        <v>413032387</v>
      </c>
      <c r="F110" s="28">
        <v>1.87006194463904E-4</v>
      </c>
      <c r="G110" s="27">
        <v>0</v>
      </c>
      <c r="H110" s="27">
        <v>318146569</v>
      </c>
      <c r="I110" s="27">
        <v>0</v>
      </c>
      <c r="J110" s="27">
        <v>318146569</v>
      </c>
      <c r="K110" s="28">
        <v>1.4059963687289092E-4</v>
      </c>
    </row>
    <row r="111" spans="1:11" x14ac:dyDescent="0.4">
      <c r="A111" s="27" t="s">
        <v>268</v>
      </c>
      <c r="B111" s="27">
        <v>0</v>
      </c>
      <c r="C111" s="27">
        <v>3818254960</v>
      </c>
      <c r="D111" s="27">
        <v>0</v>
      </c>
      <c r="E111" s="27">
        <v>3818254960</v>
      </c>
      <c r="F111" s="28">
        <v>1.7287683775813105E-3</v>
      </c>
      <c r="G111" s="27">
        <v>0</v>
      </c>
      <c r="H111" s="27">
        <v>815249032</v>
      </c>
      <c r="I111" s="27">
        <v>0</v>
      </c>
      <c r="J111" s="27">
        <v>815249032</v>
      </c>
      <c r="K111" s="28">
        <v>3.6028588402025431E-4</v>
      </c>
    </row>
    <row r="112" spans="1:11" x14ac:dyDescent="0.4">
      <c r="A112" s="27" t="s">
        <v>269</v>
      </c>
      <c r="B112" s="27">
        <v>0</v>
      </c>
      <c r="C112" s="27">
        <v>9287647200</v>
      </c>
      <c r="D112" s="27">
        <v>0</v>
      </c>
      <c r="E112" s="27">
        <v>9287647200</v>
      </c>
      <c r="F112" s="28">
        <v>4.2051122697923772E-3</v>
      </c>
      <c r="G112" s="27">
        <v>0</v>
      </c>
      <c r="H112" s="27">
        <v>9689516550</v>
      </c>
      <c r="I112" s="27">
        <v>0</v>
      </c>
      <c r="J112" s="27">
        <v>9689516550</v>
      </c>
      <c r="K112" s="28">
        <v>4.2821222705182365E-3</v>
      </c>
    </row>
    <row r="113" spans="1:11" x14ac:dyDescent="0.4">
      <c r="A113" s="27" t="s">
        <v>270</v>
      </c>
      <c r="B113" s="27">
        <v>0</v>
      </c>
      <c r="C113" s="27">
        <v>685732444</v>
      </c>
      <c r="D113" s="27">
        <v>0</v>
      </c>
      <c r="E113" s="27">
        <v>685732444</v>
      </c>
      <c r="F113" s="28">
        <v>3.1047496227668014E-4</v>
      </c>
      <c r="G113" s="27">
        <v>0</v>
      </c>
      <c r="H113" s="27">
        <v>723136032</v>
      </c>
      <c r="I113" s="27">
        <v>0</v>
      </c>
      <c r="J113" s="27">
        <v>723136032</v>
      </c>
      <c r="K113" s="28">
        <v>3.195780606042092E-4</v>
      </c>
    </row>
    <row r="114" spans="1:11" x14ac:dyDescent="0.4">
      <c r="A114" s="27" t="s">
        <v>271</v>
      </c>
      <c r="B114" s="27">
        <v>0</v>
      </c>
      <c r="C114" s="27">
        <v>1593005638</v>
      </c>
      <c r="D114" s="27">
        <v>0</v>
      </c>
      <c r="E114" s="27">
        <v>1593005638</v>
      </c>
      <c r="F114" s="28">
        <v>7.2125560004068995E-4</v>
      </c>
      <c r="G114" s="27">
        <v>0</v>
      </c>
      <c r="H114" s="27">
        <v>1656893438</v>
      </c>
      <c r="I114" s="27">
        <v>0</v>
      </c>
      <c r="J114" s="27">
        <v>1656893438</v>
      </c>
      <c r="K114" s="28">
        <v>7.3223676889589784E-4</v>
      </c>
    </row>
    <row r="115" spans="1:11" x14ac:dyDescent="0.4">
      <c r="A115" s="27" t="s">
        <v>272</v>
      </c>
      <c r="B115" s="27">
        <v>0</v>
      </c>
      <c r="C115" s="27">
        <v>8703329631</v>
      </c>
      <c r="D115" s="27">
        <v>0</v>
      </c>
      <c r="E115" s="27">
        <v>8703329631</v>
      </c>
      <c r="F115" s="28">
        <v>3.9405543116846275E-3</v>
      </c>
      <c r="G115" s="27">
        <v>0</v>
      </c>
      <c r="H115" s="27">
        <v>9738535700</v>
      </c>
      <c r="I115" s="27">
        <v>0</v>
      </c>
      <c r="J115" s="27">
        <v>9738535700</v>
      </c>
      <c r="K115" s="28">
        <v>4.30378547660429E-3</v>
      </c>
    </row>
    <row r="116" spans="1:11" x14ac:dyDescent="0.4">
      <c r="A116" s="27" t="s">
        <v>273</v>
      </c>
      <c r="B116" s="27">
        <v>0</v>
      </c>
      <c r="C116" s="27">
        <v>8762557581</v>
      </c>
      <c r="D116" s="27">
        <v>0</v>
      </c>
      <c r="E116" s="27">
        <v>8762557581</v>
      </c>
      <c r="F116" s="28">
        <v>3.9673705950658104E-3</v>
      </c>
      <c r="G116" s="27">
        <v>1489369410</v>
      </c>
      <c r="H116" s="27">
        <v>7284700996</v>
      </c>
      <c r="I116" s="27">
        <v>0</v>
      </c>
      <c r="J116" s="27">
        <v>8774070406</v>
      </c>
      <c r="K116" s="28">
        <v>3.8775559229141917E-3</v>
      </c>
    </row>
    <row r="117" spans="1:11" x14ac:dyDescent="0.4">
      <c r="A117" s="27" t="s">
        <v>274</v>
      </c>
      <c r="B117" s="27">
        <v>0</v>
      </c>
      <c r="C117" s="27">
        <v>20246487937</v>
      </c>
      <c r="D117" s="27">
        <v>0</v>
      </c>
      <c r="E117" s="27">
        <v>20246487937</v>
      </c>
      <c r="F117" s="28">
        <v>9.166880805300405E-3</v>
      </c>
      <c r="G117" s="27">
        <v>0</v>
      </c>
      <c r="H117" s="27">
        <v>21303083080</v>
      </c>
      <c r="I117" s="27">
        <v>0</v>
      </c>
      <c r="J117" s="27">
        <v>21303083080</v>
      </c>
      <c r="K117" s="28">
        <v>9.414546744085827E-3</v>
      </c>
    </row>
    <row r="118" spans="1:11" x14ac:dyDescent="0.4">
      <c r="A118" s="27" t="s">
        <v>275</v>
      </c>
      <c r="B118" s="27">
        <v>0</v>
      </c>
      <c r="C118" s="27">
        <v>-277422931</v>
      </c>
      <c r="D118" s="27">
        <v>0</v>
      </c>
      <c r="E118" s="27">
        <v>-277422931</v>
      </c>
      <c r="F118" s="28">
        <v>-1.2560711512274756E-4</v>
      </c>
      <c r="G118" s="27">
        <v>0</v>
      </c>
      <c r="H118" s="27">
        <v>-277422931</v>
      </c>
      <c r="I118" s="27">
        <v>0</v>
      </c>
      <c r="J118" s="27">
        <v>-277422931</v>
      </c>
      <c r="K118" s="28">
        <v>-1.2260249570320865E-4</v>
      </c>
    </row>
    <row r="119" spans="1:11" x14ac:dyDescent="0.4">
      <c r="A119" s="27" t="s">
        <v>276</v>
      </c>
      <c r="B119" s="27">
        <v>0</v>
      </c>
      <c r="C119" s="27">
        <v>15883478147</v>
      </c>
      <c r="D119" s="27">
        <v>0</v>
      </c>
      <c r="E119" s="27">
        <v>15883478147</v>
      </c>
      <c r="F119" s="28">
        <v>7.1914670534566376E-3</v>
      </c>
      <c r="G119" s="27">
        <v>0</v>
      </c>
      <c r="H119" s="27">
        <v>17233169041</v>
      </c>
      <c r="I119" s="27">
        <v>0</v>
      </c>
      <c r="J119" s="27">
        <v>17233169041</v>
      </c>
      <c r="K119" s="28">
        <v>7.6159152586484308E-3</v>
      </c>
    </row>
    <row r="120" spans="1:11" x14ac:dyDescent="0.4">
      <c r="A120" s="27" t="s">
        <v>277</v>
      </c>
      <c r="B120" s="27">
        <v>0</v>
      </c>
      <c r="C120" s="27">
        <v>12476195036</v>
      </c>
      <c r="D120" s="27">
        <v>0</v>
      </c>
      <c r="E120" s="27">
        <v>12476195036</v>
      </c>
      <c r="F120" s="28">
        <v>5.648771932918204E-3</v>
      </c>
      <c r="G120" s="27">
        <v>0</v>
      </c>
      <c r="H120" s="27">
        <v>12476195036</v>
      </c>
      <c r="I120" s="27">
        <v>0</v>
      </c>
      <c r="J120" s="27">
        <v>12476195036</v>
      </c>
      <c r="K120" s="28">
        <v>5.5136489358681854E-3</v>
      </c>
    </row>
    <row r="121" spans="1:11" x14ac:dyDescent="0.4">
      <c r="A121" s="27" t="s">
        <v>179</v>
      </c>
      <c r="B121" s="27">
        <v>2861984800</v>
      </c>
      <c r="C121" s="27">
        <v>4741739812</v>
      </c>
      <c r="D121" s="27">
        <v>0</v>
      </c>
      <c r="E121" s="27">
        <v>7603724612</v>
      </c>
      <c r="F121" s="28">
        <v>3.4426927480668604E-3</v>
      </c>
      <c r="G121" s="27">
        <v>2861984800</v>
      </c>
      <c r="H121" s="27">
        <v>5463106131</v>
      </c>
      <c r="I121" s="27">
        <v>0</v>
      </c>
      <c r="J121" s="27">
        <v>8325090931</v>
      </c>
      <c r="K121" s="28">
        <v>3.6791368378151436E-3</v>
      </c>
    </row>
    <row r="122" spans="1:11" x14ac:dyDescent="0.4">
      <c r="A122" s="27" t="s">
        <v>278</v>
      </c>
      <c r="B122" s="27">
        <v>0</v>
      </c>
      <c r="C122" s="27">
        <v>1618698649</v>
      </c>
      <c r="D122" s="27">
        <v>0</v>
      </c>
      <c r="E122" s="27">
        <v>1618698649</v>
      </c>
      <c r="F122" s="28">
        <v>7.3288847039821279E-4</v>
      </c>
      <c r="G122" s="27">
        <v>0</v>
      </c>
      <c r="H122" s="27">
        <v>1790936638</v>
      </c>
      <c r="I122" s="27">
        <v>0</v>
      </c>
      <c r="J122" s="27">
        <v>1790936638</v>
      </c>
      <c r="K122" s="28">
        <v>7.9147495368763854E-4</v>
      </c>
    </row>
    <row r="123" spans="1:11" x14ac:dyDescent="0.4">
      <c r="A123" s="27" t="s">
        <v>129</v>
      </c>
      <c r="B123" s="27">
        <v>0</v>
      </c>
      <c r="C123" s="27">
        <v>12455733379</v>
      </c>
      <c r="D123" s="27">
        <v>4698007240</v>
      </c>
      <c r="E123" s="27">
        <v>17153740619</v>
      </c>
      <c r="F123" s="28">
        <v>7.7665961676271237E-3</v>
      </c>
      <c r="G123" s="27">
        <v>0</v>
      </c>
      <c r="H123" s="27">
        <v>15727962450</v>
      </c>
      <c r="I123" s="27">
        <v>4698007240</v>
      </c>
      <c r="J123" s="27">
        <v>20425969690</v>
      </c>
      <c r="K123" s="28">
        <v>9.026920925841184E-3</v>
      </c>
    </row>
    <row r="124" spans="1:11" x14ac:dyDescent="0.4">
      <c r="A124" s="27" t="s">
        <v>279</v>
      </c>
      <c r="B124" s="27">
        <v>0</v>
      </c>
      <c r="C124" s="27">
        <v>11562835495</v>
      </c>
      <c r="D124" s="27">
        <v>0</v>
      </c>
      <c r="E124" s="27">
        <v>11562835495</v>
      </c>
      <c r="F124" s="28">
        <v>5.2352356163588246E-3</v>
      </c>
      <c r="G124" s="27">
        <v>0</v>
      </c>
      <c r="H124" s="27">
        <v>11517373097</v>
      </c>
      <c r="I124" s="27">
        <v>0</v>
      </c>
      <c r="J124" s="27">
        <v>11517373097</v>
      </c>
      <c r="K124" s="28">
        <v>5.0899133699845219E-3</v>
      </c>
    </row>
    <row r="125" spans="1:11" x14ac:dyDescent="0.4">
      <c r="A125" s="27" t="s">
        <v>169</v>
      </c>
      <c r="B125" s="27">
        <v>4411303200</v>
      </c>
      <c r="C125" s="27">
        <v>9082697939</v>
      </c>
      <c r="D125" s="27">
        <v>0</v>
      </c>
      <c r="E125" s="27">
        <v>13494001139</v>
      </c>
      <c r="F125" s="28">
        <v>6.1095978923705468E-3</v>
      </c>
      <c r="G125" s="27">
        <v>4411303200</v>
      </c>
      <c r="H125" s="27">
        <v>10170919446</v>
      </c>
      <c r="I125" s="27">
        <v>0</v>
      </c>
      <c r="J125" s="27">
        <v>14582222646</v>
      </c>
      <c r="K125" s="28">
        <v>6.4443731556547024E-3</v>
      </c>
    </row>
    <row r="126" spans="1:11" x14ac:dyDescent="0.4">
      <c r="A126" s="27" t="s">
        <v>280</v>
      </c>
      <c r="B126" s="27">
        <v>0</v>
      </c>
      <c r="C126" s="27">
        <v>21804940599</v>
      </c>
      <c r="D126" s="27">
        <v>0</v>
      </c>
      <c r="E126" s="27">
        <v>21804940599</v>
      </c>
      <c r="F126" s="28">
        <v>9.8724920618161339E-3</v>
      </c>
      <c r="G126" s="27">
        <v>0</v>
      </c>
      <c r="H126" s="27">
        <v>21804940599</v>
      </c>
      <c r="I126" s="27">
        <v>0</v>
      </c>
      <c r="J126" s="27">
        <v>21804940599</v>
      </c>
      <c r="K126" s="28">
        <v>9.6363344099252464E-3</v>
      </c>
    </row>
    <row r="127" spans="1:11" x14ac:dyDescent="0.4">
      <c r="A127" s="27" t="s">
        <v>171</v>
      </c>
      <c r="B127" s="27">
        <v>3041877200</v>
      </c>
      <c r="C127" s="27">
        <v>8579959646</v>
      </c>
      <c r="D127" s="27">
        <v>0</v>
      </c>
      <c r="E127" s="27">
        <v>11621836846</v>
      </c>
      <c r="F127" s="28">
        <v>5.2619493038710318E-3</v>
      </c>
      <c r="G127" s="27">
        <v>3041877200</v>
      </c>
      <c r="H127" s="27">
        <v>8579959646</v>
      </c>
      <c r="I127" s="27">
        <v>0</v>
      </c>
      <c r="J127" s="27">
        <v>11621836846</v>
      </c>
      <c r="K127" s="28">
        <v>5.136079403526693E-3</v>
      </c>
    </row>
    <row r="128" spans="1:11" x14ac:dyDescent="0.4">
      <c r="A128" s="27" t="s">
        <v>123</v>
      </c>
      <c r="B128" s="27">
        <v>0</v>
      </c>
      <c r="C128" s="27">
        <v>1569721099</v>
      </c>
      <c r="D128" s="27">
        <v>168481962</v>
      </c>
      <c r="E128" s="27">
        <v>1738203061</v>
      </c>
      <c r="F128" s="28">
        <v>7.8699576564469063E-4</v>
      </c>
      <c r="G128" s="27">
        <v>0</v>
      </c>
      <c r="H128" s="27">
        <v>1264895755</v>
      </c>
      <c r="I128" s="27">
        <v>168481962</v>
      </c>
      <c r="J128" s="27">
        <v>1433377717</v>
      </c>
      <c r="K128" s="28">
        <v>6.3345767689826447E-4</v>
      </c>
    </row>
    <row r="129" spans="1:11" x14ac:dyDescent="0.4">
      <c r="A129" s="27" t="s">
        <v>165</v>
      </c>
      <c r="B129" s="27">
        <v>0</v>
      </c>
      <c r="C129" s="27">
        <v>1735417287</v>
      </c>
      <c r="D129" s="27">
        <v>0</v>
      </c>
      <c r="E129" s="27">
        <v>1735417287</v>
      </c>
      <c r="F129" s="28">
        <v>7.8573446747347362E-4</v>
      </c>
      <c r="G129" s="27">
        <v>2127243220</v>
      </c>
      <c r="H129" s="27">
        <v>-374624721</v>
      </c>
      <c r="I129" s="27">
        <v>0</v>
      </c>
      <c r="J129" s="27">
        <v>1752618499</v>
      </c>
      <c r="K129" s="28">
        <v>7.7454088318680298E-4</v>
      </c>
    </row>
    <row r="130" spans="1:11" x14ac:dyDescent="0.4">
      <c r="A130" s="27" t="s">
        <v>281</v>
      </c>
      <c r="B130" s="27">
        <v>0</v>
      </c>
      <c r="C130" s="27">
        <v>4736935358</v>
      </c>
      <c r="D130" s="27">
        <v>0</v>
      </c>
      <c r="E130" s="27">
        <v>4736935358</v>
      </c>
      <c r="F130" s="28">
        <v>2.1447137866239304E-3</v>
      </c>
      <c r="G130" s="27">
        <v>0</v>
      </c>
      <c r="H130" s="27">
        <v>4825956078</v>
      </c>
      <c r="I130" s="27">
        <v>0</v>
      </c>
      <c r="J130" s="27">
        <v>4825956078</v>
      </c>
      <c r="K130" s="28">
        <v>2.132751813933033E-3</v>
      </c>
    </row>
    <row r="131" spans="1:11" x14ac:dyDescent="0.4">
      <c r="A131" s="27" t="s">
        <v>282</v>
      </c>
      <c r="B131" s="27">
        <v>0</v>
      </c>
      <c r="C131" s="27">
        <v>5267590737</v>
      </c>
      <c r="D131" s="27">
        <v>0</v>
      </c>
      <c r="E131" s="27">
        <v>5267590737</v>
      </c>
      <c r="F131" s="28">
        <v>2.3849754370949155E-3</v>
      </c>
      <c r="G131" s="27">
        <v>0</v>
      </c>
      <c r="H131" s="27">
        <v>5721065113</v>
      </c>
      <c r="I131" s="27">
        <v>0</v>
      </c>
      <c r="J131" s="27">
        <v>5721065113</v>
      </c>
      <c r="K131" s="28">
        <v>2.5283305111298078E-3</v>
      </c>
    </row>
    <row r="132" spans="1:11" x14ac:dyDescent="0.4">
      <c r="A132" s="27" t="s">
        <v>153</v>
      </c>
      <c r="B132" s="27">
        <v>0</v>
      </c>
      <c r="C132" s="27">
        <v>1515131316</v>
      </c>
      <c r="D132" s="27">
        <v>0</v>
      </c>
      <c r="E132" s="27">
        <v>1515131316</v>
      </c>
      <c r="F132" s="28">
        <v>6.8599691074164304E-4</v>
      </c>
      <c r="G132" s="27">
        <v>1804618080</v>
      </c>
      <c r="H132" s="27">
        <v>1761348218</v>
      </c>
      <c r="I132" s="27">
        <v>0</v>
      </c>
      <c r="J132" s="27">
        <v>3565966298</v>
      </c>
      <c r="K132" s="28">
        <v>1.5759200804072388E-3</v>
      </c>
    </row>
    <row r="133" spans="1:11" x14ac:dyDescent="0.4">
      <c r="A133" s="27" t="s">
        <v>134</v>
      </c>
      <c r="B133" s="27">
        <v>0</v>
      </c>
      <c r="C133" s="27">
        <v>25582642731</v>
      </c>
      <c r="D133" s="27">
        <v>0</v>
      </c>
      <c r="E133" s="27">
        <v>25582642731</v>
      </c>
      <c r="F133" s="28">
        <v>1.1582899578899042E-2</v>
      </c>
      <c r="G133" s="27">
        <v>0</v>
      </c>
      <c r="H133" s="27">
        <v>25586861447</v>
      </c>
      <c r="I133" s="27">
        <v>-2955</v>
      </c>
      <c r="J133" s="27">
        <v>25586858492</v>
      </c>
      <c r="K133" s="28">
        <v>1.1307690741411847E-2</v>
      </c>
    </row>
    <row r="134" spans="1:11" x14ac:dyDescent="0.4">
      <c r="A134" s="27" t="s">
        <v>118</v>
      </c>
      <c r="B134" s="27">
        <v>0</v>
      </c>
      <c r="C134" s="27">
        <v>8925383634</v>
      </c>
      <c r="D134" s="27">
        <v>162806214</v>
      </c>
      <c r="E134" s="27">
        <v>9088189848</v>
      </c>
      <c r="F134" s="28">
        <v>4.1148051618527587E-3</v>
      </c>
      <c r="G134" s="27">
        <v>0</v>
      </c>
      <c r="H134" s="27">
        <v>8925383634</v>
      </c>
      <c r="I134" s="27">
        <v>162806214</v>
      </c>
      <c r="J134" s="27">
        <v>9088189848</v>
      </c>
      <c r="K134" s="28">
        <v>4.0163758373289067E-3</v>
      </c>
    </row>
    <row r="135" spans="1:11" x14ac:dyDescent="0.4">
      <c r="A135" s="27" t="s">
        <v>194</v>
      </c>
      <c r="B135" s="27">
        <v>8450000000</v>
      </c>
      <c r="C135" s="27">
        <v>-5399595559</v>
      </c>
      <c r="D135" s="27">
        <v>0</v>
      </c>
      <c r="E135" s="27">
        <v>3050404441</v>
      </c>
      <c r="F135" s="28">
        <v>1.3811133074346598E-3</v>
      </c>
      <c r="G135" s="27">
        <v>8450000000</v>
      </c>
      <c r="H135" s="27">
        <v>-5399595559</v>
      </c>
      <c r="I135" s="27">
        <v>0</v>
      </c>
      <c r="J135" s="27">
        <v>3050404441</v>
      </c>
      <c r="K135" s="28">
        <v>1.3480760080742968E-3</v>
      </c>
    </row>
    <row r="136" spans="1:11" x14ac:dyDescent="0.4">
      <c r="A136" s="27" t="s">
        <v>283</v>
      </c>
      <c r="B136" s="27">
        <v>0</v>
      </c>
      <c r="C136" s="27">
        <v>2869072137</v>
      </c>
      <c r="D136" s="27">
        <v>0</v>
      </c>
      <c r="E136" s="27">
        <v>2869072137</v>
      </c>
      <c r="F136" s="28">
        <v>1.2990125686748884E-3</v>
      </c>
      <c r="G136" s="27">
        <v>0</v>
      </c>
      <c r="H136" s="27">
        <v>2229397743</v>
      </c>
      <c r="I136" s="27">
        <v>0</v>
      </c>
      <c r="J136" s="27">
        <v>2229397743</v>
      </c>
      <c r="K136" s="28">
        <v>9.8524561838365314E-4</v>
      </c>
    </row>
    <row r="137" spans="1:11" x14ac:dyDescent="0.4">
      <c r="A137" s="27" t="s">
        <v>284</v>
      </c>
      <c r="B137" s="27">
        <v>333500000</v>
      </c>
      <c r="C137" s="27">
        <v>165461022</v>
      </c>
      <c r="D137" s="27">
        <v>0</v>
      </c>
      <c r="E137" s="27">
        <v>498961022</v>
      </c>
      <c r="F137" s="28">
        <v>2.2591158671060891E-4</v>
      </c>
      <c r="G137" s="27">
        <v>333500000</v>
      </c>
      <c r="H137" s="27">
        <v>-176872128</v>
      </c>
      <c r="I137" s="27">
        <v>0</v>
      </c>
      <c r="J137" s="27">
        <v>156627872</v>
      </c>
      <c r="K137" s="28">
        <v>6.9219108653576712E-5</v>
      </c>
    </row>
    <row r="138" spans="1:11" x14ac:dyDescent="0.4">
      <c r="A138" s="27" t="s">
        <v>285</v>
      </c>
      <c r="B138" s="27">
        <v>0</v>
      </c>
      <c r="C138" s="27">
        <v>140999233</v>
      </c>
      <c r="D138" s="27">
        <v>0</v>
      </c>
      <c r="E138" s="27">
        <v>140999233</v>
      </c>
      <c r="F138" s="28">
        <v>6.3839376319076185E-5</v>
      </c>
      <c r="G138" s="27">
        <v>0</v>
      </c>
      <c r="H138" s="27">
        <v>140874386</v>
      </c>
      <c r="I138" s="27">
        <v>0</v>
      </c>
      <c r="J138" s="27">
        <v>140874386</v>
      </c>
      <c r="K138" s="28">
        <v>6.2257114947203689E-5</v>
      </c>
    </row>
    <row r="139" spans="1:11" x14ac:dyDescent="0.4">
      <c r="A139" s="27" t="s">
        <v>286</v>
      </c>
      <c r="B139" s="27">
        <v>0</v>
      </c>
      <c r="C139" s="27">
        <v>5705350379</v>
      </c>
      <c r="D139" s="27">
        <v>0</v>
      </c>
      <c r="E139" s="27">
        <v>5705350379</v>
      </c>
      <c r="F139" s="28">
        <v>2.5831772423695731E-3</v>
      </c>
      <c r="G139" s="27">
        <v>0</v>
      </c>
      <c r="H139" s="27">
        <v>5702353871</v>
      </c>
      <c r="I139" s="27">
        <v>0</v>
      </c>
      <c r="J139" s="27">
        <v>5702353871</v>
      </c>
      <c r="K139" s="28">
        <v>2.5200613858681088E-3</v>
      </c>
    </row>
    <row r="140" spans="1:11" x14ac:dyDescent="0.4">
      <c r="A140" s="27" t="s">
        <v>287</v>
      </c>
      <c r="B140" s="27">
        <v>0</v>
      </c>
      <c r="C140" s="27">
        <v>11177972450</v>
      </c>
      <c r="D140" s="27">
        <v>0</v>
      </c>
      <c r="E140" s="27">
        <v>11177972450</v>
      </c>
      <c r="F140" s="28">
        <v>5.0609834857741108E-3</v>
      </c>
      <c r="G140" s="27">
        <v>0</v>
      </c>
      <c r="H140" s="27">
        <v>7277722924</v>
      </c>
      <c r="I140" s="27">
        <v>0</v>
      </c>
      <c r="J140" s="27">
        <v>7277722924</v>
      </c>
      <c r="K140" s="28">
        <v>3.2162697953719375E-3</v>
      </c>
    </row>
    <row r="141" spans="1:11" x14ac:dyDescent="0.4">
      <c r="A141" s="27" t="s">
        <v>173</v>
      </c>
      <c r="B141" s="27">
        <v>0</v>
      </c>
      <c r="C141" s="27">
        <v>11492292269</v>
      </c>
      <c r="D141" s="27">
        <v>0</v>
      </c>
      <c r="E141" s="27">
        <v>11492292269</v>
      </c>
      <c r="F141" s="28">
        <v>5.203296183387756E-3</v>
      </c>
      <c r="G141" s="27">
        <v>3806450365</v>
      </c>
      <c r="H141" s="27">
        <v>7715265765</v>
      </c>
      <c r="I141" s="27">
        <v>0</v>
      </c>
      <c r="J141" s="27">
        <v>11521716130</v>
      </c>
      <c r="K141" s="28">
        <v>5.091832701896999E-3</v>
      </c>
    </row>
    <row r="142" spans="1:11" x14ac:dyDescent="0.4">
      <c r="A142" s="27" t="s">
        <v>288</v>
      </c>
      <c r="B142" s="27">
        <v>0</v>
      </c>
      <c r="C142" s="27">
        <v>7214549436</v>
      </c>
      <c r="D142" s="27">
        <v>0</v>
      </c>
      <c r="E142" s="27">
        <v>7214549436</v>
      </c>
      <c r="F142" s="28">
        <v>3.2664882398146296E-3</v>
      </c>
      <c r="G142" s="27">
        <v>0</v>
      </c>
      <c r="H142" s="27">
        <v>7268946882</v>
      </c>
      <c r="I142" s="27">
        <v>0</v>
      </c>
      <c r="J142" s="27">
        <v>7268946882</v>
      </c>
      <c r="K142" s="28">
        <v>3.2123913681355236E-3</v>
      </c>
    </row>
    <row r="143" spans="1:11" x14ac:dyDescent="0.4">
      <c r="A143" s="27" t="s">
        <v>289</v>
      </c>
      <c r="B143" s="27">
        <v>0</v>
      </c>
      <c r="C143" s="27">
        <v>9531559848</v>
      </c>
      <c r="D143" s="27">
        <v>0</v>
      </c>
      <c r="E143" s="27">
        <v>9531559848</v>
      </c>
      <c r="F143" s="28">
        <v>4.3155471352405769E-3</v>
      </c>
      <c r="G143" s="27">
        <v>0</v>
      </c>
      <c r="H143" s="27">
        <v>9988936975</v>
      </c>
      <c r="I143" s="27">
        <v>0</v>
      </c>
      <c r="J143" s="27">
        <v>9988936975</v>
      </c>
      <c r="K143" s="28">
        <v>4.4144461964359376E-3</v>
      </c>
    </row>
    <row r="144" spans="1:11" x14ac:dyDescent="0.4">
      <c r="A144" s="27" t="s">
        <v>119</v>
      </c>
      <c r="B144" s="27">
        <v>1515856860</v>
      </c>
      <c r="C144" s="27">
        <v>41032834361</v>
      </c>
      <c r="D144" s="27">
        <v>330837212</v>
      </c>
      <c r="E144" s="27">
        <v>42879528433</v>
      </c>
      <c r="F144" s="28">
        <v>1.9414306686468388E-2</v>
      </c>
      <c r="G144" s="27">
        <v>1515856860</v>
      </c>
      <c r="H144" s="27">
        <v>41032834361</v>
      </c>
      <c r="I144" s="27">
        <v>330837212</v>
      </c>
      <c r="J144" s="27">
        <v>42879528433</v>
      </c>
      <c r="K144" s="28">
        <v>1.894990144294343E-2</v>
      </c>
    </row>
    <row r="145" spans="1:11" x14ac:dyDescent="0.4">
      <c r="A145" s="27" t="s">
        <v>111</v>
      </c>
      <c r="B145" s="27">
        <v>2038135050</v>
      </c>
      <c r="C145" s="27">
        <v>4365826621</v>
      </c>
      <c r="D145" s="27">
        <v>324146736</v>
      </c>
      <c r="E145" s="27">
        <v>6728108407</v>
      </c>
      <c r="F145" s="28">
        <v>3.0462452551781836E-3</v>
      </c>
      <c r="G145" s="27">
        <v>2038135050</v>
      </c>
      <c r="H145" s="27">
        <v>4362453672</v>
      </c>
      <c r="I145" s="27">
        <v>324146736</v>
      </c>
      <c r="J145" s="27">
        <v>6724735458</v>
      </c>
      <c r="K145" s="28">
        <v>2.9718860914733102E-3</v>
      </c>
    </row>
    <row r="146" spans="1:11" x14ac:dyDescent="0.4">
      <c r="A146" s="27" t="s">
        <v>203</v>
      </c>
      <c r="B146" s="27">
        <v>1522650584</v>
      </c>
      <c r="C146" s="27">
        <v>4013144503</v>
      </c>
      <c r="D146" s="27">
        <v>0</v>
      </c>
      <c r="E146" s="27">
        <v>5535795087</v>
      </c>
      <c r="F146" s="28">
        <v>2.5064087106366462E-3</v>
      </c>
      <c r="G146" s="27">
        <v>1522650584</v>
      </c>
      <c r="H146" s="27">
        <v>4010716023</v>
      </c>
      <c r="I146" s="27">
        <v>0</v>
      </c>
      <c r="J146" s="27">
        <v>5533366607</v>
      </c>
      <c r="K146" s="28">
        <v>2.4453802474568901E-3</v>
      </c>
    </row>
    <row r="147" spans="1:11" x14ac:dyDescent="0.4">
      <c r="A147" s="27" t="s">
        <v>290</v>
      </c>
      <c r="B147" s="27">
        <v>0</v>
      </c>
      <c r="C147" s="27">
        <v>11543910781</v>
      </c>
      <c r="D147" s="27">
        <v>0</v>
      </c>
      <c r="E147" s="27">
        <v>11543910781</v>
      </c>
      <c r="F147" s="28">
        <v>5.2266671872044836E-3</v>
      </c>
      <c r="G147" s="27">
        <v>0</v>
      </c>
      <c r="H147" s="27">
        <v>12249734986</v>
      </c>
      <c r="I147" s="27">
        <v>0</v>
      </c>
      <c r="J147" s="27">
        <v>12249734986</v>
      </c>
      <c r="K147" s="28">
        <v>5.413568646156758E-3</v>
      </c>
    </row>
    <row r="148" spans="1:11" x14ac:dyDescent="0.4">
      <c r="A148" s="27" t="s">
        <v>113</v>
      </c>
      <c r="B148" s="27">
        <v>0</v>
      </c>
      <c r="C148" s="27">
        <v>36723517200</v>
      </c>
      <c r="D148" s="27">
        <v>53353642000</v>
      </c>
      <c r="E148" s="27">
        <v>90077159200</v>
      </c>
      <c r="F148" s="28">
        <v>4.0783694645503035E-2</v>
      </c>
      <c r="G148" s="27">
        <v>0</v>
      </c>
      <c r="H148" s="27">
        <v>36723517200</v>
      </c>
      <c r="I148" s="27">
        <v>53353642000</v>
      </c>
      <c r="J148" s="27">
        <v>90077159200</v>
      </c>
      <c r="K148" s="28">
        <v>3.9808117101088669E-2</v>
      </c>
    </row>
    <row r="149" spans="1:11" x14ac:dyDescent="0.4">
      <c r="A149" s="27" t="s">
        <v>291</v>
      </c>
      <c r="B149" s="27">
        <v>0</v>
      </c>
      <c r="C149" s="27">
        <v>6548019670</v>
      </c>
      <c r="D149" s="27">
        <v>0</v>
      </c>
      <c r="E149" s="27">
        <v>6548019670</v>
      </c>
      <c r="F149" s="28">
        <v>2.9647075587839761E-3</v>
      </c>
      <c r="G149" s="27">
        <v>0</v>
      </c>
      <c r="H149" s="27">
        <v>7586966750</v>
      </c>
      <c r="I149" s="27">
        <v>0</v>
      </c>
      <c r="J149" s="27">
        <v>7586966750</v>
      </c>
      <c r="K149" s="28">
        <v>3.3529350115879997E-3</v>
      </c>
    </row>
    <row r="150" spans="1:11" x14ac:dyDescent="0.4">
      <c r="A150" s="27" t="s">
        <v>292</v>
      </c>
      <c r="B150" s="27">
        <v>0</v>
      </c>
      <c r="C150" s="27">
        <v>15584192636</v>
      </c>
      <c r="D150" s="27">
        <v>0</v>
      </c>
      <c r="E150" s="27">
        <v>15584192636</v>
      </c>
      <c r="F150" s="28">
        <v>7.0559613492264875E-3</v>
      </c>
      <c r="G150" s="27">
        <v>0</v>
      </c>
      <c r="H150" s="27">
        <v>16854895781</v>
      </c>
      <c r="I150" s="27">
        <v>0</v>
      </c>
      <c r="J150" s="27">
        <v>16854895781</v>
      </c>
      <c r="K150" s="28">
        <v>7.4487436208655802E-3</v>
      </c>
    </row>
    <row r="151" spans="1:11" x14ac:dyDescent="0.4">
      <c r="A151" s="27" t="s">
        <v>293</v>
      </c>
      <c r="B151" s="27">
        <v>0</v>
      </c>
      <c r="C151" s="27">
        <v>12883700617</v>
      </c>
      <c r="D151" s="27">
        <v>0</v>
      </c>
      <c r="E151" s="27">
        <v>12883700617</v>
      </c>
      <c r="F151" s="28">
        <v>5.8332757886064316E-3</v>
      </c>
      <c r="G151" s="27">
        <v>0</v>
      </c>
      <c r="H151" s="27">
        <v>13966961454</v>
      </c>
      <c r="I151" s="27">
        <v>0</v>
      </c>
      <c r="J151" s="27">
        <v>13966961454</v>
      </c>
      <c r="K151" s="28">
        <v>6.1724686040856361E-3</v>
      </c>
    </row>
    <row r="152" spans="1:11" x14ac:dyDescent="0.4">
      <c r="A152" s="27" t="s">
        <v>87</v>
      </c>
      <c r="B152" s="27">
        <v>0</v>
      </c>
      <c r="C152" s="27">
        <v>5453168678</v>
      </c>
      <c r="D152" s="27">
        <v>0</v>
      </c>
      <c r="E152" s="27">
        <v>5453168678</v>
      </c>
      <c r="F152" s="28">
        <v>2.4689984474329813E-3</v>
      </c>
      <c r="G152" s="27">
        <v>0</v>
      </c>
      <c r="H152" s="27">
        <v>4964150533</v>
      </c>
      <c r="I152" s="27">
        <v>-411260760</v>
      </c>
      <c r="J152" s="27">
        <v>4552889773</v>
      </c>
      <c r="K152" s="28">
        <v>2.0120746573448001E-3</v>
      </c>
    </row>
    <row r="153" spans="1:11" x14ac:dyDescent="0.4">
      <c r="A153" s="27" t="s">
        <v>117</v>
      </c>
      <c r="B153" s="27">
        <v>0</v>
      </c>
      <c r="C153" s="27">
        <v>9587138961</v>
      </c>
      <c r="D153" s="27">
        <v>3976941057</v>
      </c>
      <c r="E153" s="27">
        <v>13564080018</v>
      </c>
      <c r="F153" s="28">
        <v>6.1413270857378606E-3</v>
      </c>
      <c r="G153" s="27">
        <v>0</v>
      </c>
      <c r="H153" s="27">
        <v>11304582374</v>
      </c>
      <c r="I153" s="27">
        <v>3976941057</v>
      </c>
      <c r="J153" s="27">
        <v>15281523431</v>
      </c>
      <c r="K153" s="28">
        <v>6.7534176213705265E-3</v>
      </c>
    </row>
    <row r="154" spans="1:11" x14ac:dyDescent="0.4">
      <c r="A154" s="27" t="s">
        <v>294</v>
      </c>
      <c r="B154" s="27">
        <v>0</v>
      </c>
      <c r="C154" s="27">
        <v>11107708834</v>
      </c>
      <c r="D154" s="27">
        <v>0</v>
      </c>
      <c r="E154" s="27">
        <v>11107708834</v>
      </c>
      <c r="F154" s="28">
        <v>5.0291706501442669E-3</v>
      </c>
      <c r="G154" s="27">
        <v>0</v>
      </c>
      <c r="H154" s="27">
        <v>12041700345</v>
      </c>
      <c r="I154" s="27">
        <v>0</v>
      </c>
      <c r="J154" s="27">
        <v>12041700345</v>
      </c>
      <c r="K154" s="28">
        <v>5.3216311625198303E-3</v>
      </c>
    </row>
    <row r="155" spans="1:11" x14ac:dyDescent="0.4">
      <c r="A155" s="27" t="s">
        <v>295</v>
      </c>
      <c r="B155" s="27">
        <v>0</v>
      </c>
      <c r="C155" s="27">
        <v>13258184844</v>
      </c>
      <c r="D155" s="27">
        <v>0</v>
      </c>
      <c r="E155" s="27">
        <v>13258184844</v>
      </c>
      <c r="F155" s="28">
        <v>6.0028287640684422E-3</v>
      </c>
      <c r="G155" s="27">
        <v>0</v>
      </c>
      <c r="H155" s="27">
        <v>13720212498</v>
      </c>
      <c r="I155" s="27">
        <v>0</v>
      </c>
      <c r="J155" s="27">
        <v>13720212498</v>
      </c>
      <c r="K155" s="28">
        <v>6.0634219664889724E-3</v>
      </c>
    </row>
    <row r="156" spans="1:11" x14ac:dyDescent="0.4">
      <c r="A156" s="27" t="s">
        <v>296</v>
      </c>
      <c r="B156" s="27">
        <v>1503117000</v>
      </c>
      <c r="C156" s="27">
        <v>13058892773</v>
      </c>
      <c r="D156" s="27">
        <v>0</v>
      </c>
      <c r="E156" s="27">
        <v>14562009773</v>
      </c>
      <c r="F156" s="28">
        <v>6.5931537504222608E-3</v>
      </c>
      <c r="G156" s="27">
        <v>1503117000</v>
      </c>
      <c r="H156" s="27">
        <v>13257759161</v>
      </c>
      <c r="I156" s="27">
        <v>0</v>
      </c>
      <c r="J156" s="27">
        <v>14760876161</v>
      </c>
      <c r="K156" s="28">
        <v>6.5233261345097587E-3</v>
      </c>
    </row>
    <row r="157" spans="1:11" x14ac:dyDescent="0.4">
      <c r="A157" s="27" t="s">
        <v>91</v>
      </c>
      <c r="B157" s="27">
        <v>0</v>
      </c>
      <c r="C157" s="27">
        <v>8315117026</v>
      </c>
      <c r="D157" s="27">
        <v>1878929170</v>
      </c>
      <c r="E157" s="27">
        <v>10194046196</v>
      </c>
      <c r="F157" s="28">
        <v>4.6154971021756626E-3</v>
      </c>
      <c r="G157" s="27">
        <v>0</v>
      </c>
      <c r="H157" s="27">
        <v>8887855270</v>
      </c>
      <c r="I157" s="27">
        <v>1891774875</v>
      </c>
      <c r="J157" s="27">
        <v>10779630145</v>
      </c>
      <c r="K157" s="28">
        <v>4.7638800216357781E-3</v>
      </c>
    </row>
    <row r="158" spans="1:11" x14ac:dyDescent="0.4">
      <c r="A158" s="27" t="s">
        <v>297</v>
      </c>
      <c r="B158" s="27">
        <v>0</v>
      </c>
      <c r="C158" s="27">
        <v>-560786641</v>
      </c>
      <c r="D158" s="27">
        <v>0</v>
      </c>
      <c r="E158" s="27">
        <v>-560786641</v>
      </c>
      <c r="F158" s="28">
        <v>-2.5390400109133698E-4</v>
      </c>
      <c r="G158" s="27">
        <v>0</v>
      </c>
      <c r="H158" s="27">
        <v>-560786641</v>
      </c>
      <c r="I158" s="27">
        <v>0</v>
      </c>
      <c r="J158" s="27">
        <v>-560786641</v>
      </c>
      <c r="K158" s="28">
        <v>-2.4783042085161776E-4</v>
      </c>
    </row>
    <row r="159" spans="1:11" x14ac:dyDescent="0.4">
      <c r="A159" s="27" t="s">
        <v>298</v>
      </c>
      <c r="B159" s="27">
        <v>0</v>
      </c>
      <c r="C159" s="27">
        <v>10457136622</v>
      </c>
      <c r="D159" s="27">
        <v>0</v>
      </c>
      <c r="E159" s="27">
        <v>10457136622</v>
      </c>
      <c r="F159" s="28">
        <v>4.7346149750463612E-3</v>
      </c>
      <c r="G159" s="27">
        <v>0</v>
      </c>
      <c r="H159" s="27">
        <v>9881620022</v>
      </c>
      <c r="I159" s="27">
        <v>0</v>
      </c>
      <c r="J159" s="27">
        <v>9881620022</v>
      </c>
      <c r="K159" s="28">
        <v>4.367019236373058E-3</v>
      </c>
    </row>
    <row r="160" spans="1:11" x14ac:dyDescent="0.4">
      <c r="A160" s="27" t="s">
        <v>299</v>
      </c>
      <c r="B160" s="27">
        <v>0</v>
      </c>
      <c r="C160" s="27">
        <v>17168051295</v>
      </c>
      <c r="D160" s="27">
        <v>0</v>
      </c>
      <c r="E160" s="27">
        <v>17168051295</v>
      </c>
      <c r="F160" s="28">
        <v>7.7730755264938797E-3</v>
      </c>
      <c r="G160" s="27">
        <v>0</v>
      </c>
      <c r="H160" s="27">
        <v>17986942613</v>
      </c>
      <c r="I160" s="27">
        <v>0</v>
      </c>
      <c r="J160" s="27">
        <v>17986942613</v>
      </c>
      <c r="K160" s="28">
        <v>7.9490330755109528E-3</v>
      </c>
    </row>
    <row r="161" spans="1:11" x14ac:dyDescent="0.4">
      <c r="A161" s="27" t="s">
        <v>300</v>
      </c>
      <c r="B161" s="27">
        <v>0</v>
      </c>
      <c r="C161" s="27">
        <v>9813512082</v>
      </c>
      <c r="D161" s="27">
        <v>0</v>
      </c>
      <c r="E161" s="27">
        <v>9813512082</v>
      </c>
      <c r="F161" s="28">
        <v>4.4432049556936155E-3</v>
      </c>
      <c r="G161" s="27">
        <v>0</v>
      </c>
      <c r="H161" s="27">
        <v>10830648319</v>
      </c>
      <c r="I161" s="27">
        <v>0</v>
      </c>
      <c r="J161" s="27">
        <v>10830648319</v>
      </c>
      <c r="K161" s="28">
        <v>4.7864266634583333E-3</v>
      </c>
    </row>
    <row r="162" spans="1:11" x14ac:dyDescent="0.4">
      <c r="A162" s="27" t="s">
        <v>301</v>
      </c>
      <c r="B162" s="27">
        <v>0</v>
      </c>
      <c r="C162" s="27">
        <v>9981770826</v>
      </c>
      <c r="D162" s="27">
        <v>0</v>
      </c>
      <c r="E162" s="27">
        <v>9981770826</v>
      </c>
      <c r="F162" s="28">
        <v>4.5193864571716497E-3</v>
      </c>
      <c r="G162" s="27">
        <v>0</v>
      </c>
      <c r="H162" s="27">
        <v>15883273928</v>
      </c>
      <c r="I162" s="27">
        <v>0</v>
      </c>
      <c r="J162" s="27">
        <v>15883273928</v>
      </c>
      <c r="K162" s="28">
        <v>7.0193513437809725E-3</v>
      </c>
    </row>
    <row r="163" spans="1:11" x14ac:dyDescent="0.4">
      <c r="A163" s="27" t="s">
        <v>160</v>
      </c>
      <c r="B163" s="27">
        <v>7076893570</v>
      </c>
      <c r="C163" s="27">
        <v>5424945644</v>
      </c>
      <c r="D163" s="27">
        <v>0</v>
      </c>
      <c r="E163" s="27">
        <v>12501839214</v>
      </c>
      <c r="F163" s="28">
        <v>5.6603826934514571E-3</v>
      </c>
      <c r="G163" s="27">
        <v>7076893570</v>
      </c>
      <c r="H163" s="27">
        <v>6213679138</v>
      </c>
      <c r="I163" s="27">
        <v>0</v>
      </c>
      <c r="J163" s="27">
        <v>13290572708</v>
      </c>
      <c r="K163" s="28">
        <v>5.8735497366861579E-3</v>
      </c>
    </row>
    <row r="164" spans="1:11" x14ac:dyDescent="0.4">
      <c r="A164" s="27" t="s">
        <v>209</v>
      </c>
      <c r="B164" s="27">
        <v>3902416320</v>
      </c>
      <c r="C164" s="27">
        <v>7480703202</v>
      </c>
      <c r="D164" s="27">
        <v>0</v>
      </c>
      <c r="E164" s="27">
        <v>11383119522</v>
      </c>
      <c r="F164" s="28">
        <v>5.1538666940832267E-3</v>
      </c>
      <c r="G164" s="27">
        <v>3902416320</v>
      </c>
      <c r="H164" s="27">
        <v>7347177317</v>
      </c>
      <c r="I164" s="27">
        <v>0</v>
      </c>
      <c r="J164" s="27">
        <v>11249593637</v>
      </c>
      <c r="K164" s="28">
        <v>4.9715726474792955E-3</v>
      </c>
    </row>
    <row r="165" spans="1:11" x14ac:dyDescent="0.4">
      <c r="A165" s="27" t="s">
        <v>302</v>
      </c>
      <c r="B165" s="27">
        <v>0</v>
      </c>
      <c r="C165" s="27">
        <v>11909586764</v>
      </c>
      <c r="D165" s="27">
        <v>0</v>
      </c>
      <c r="E165" s="27">
        <v>11909586764</v>
      </c>
      <c r="F165" s="28">
        <v>5.3922321069057502E-3</v>
      </c>
      <c r="G165" s="27">
        <v>0</v>
      </c>
      <c r="H165" s="27">
        <v>11909586764</v>
      </c>
      <c r="I165" s="27">
        <v>0</v>
      </c>
      <c r="J165" s="27">
        <v>11909586764</v>
      </c>
      <c r="K165" s="28">
        <v>5.2632457410678162E-3</v>
      </c>
    </row>
    <row r="166" spans="1:11" x14ac:dyDescent="0.4">
      <c r="A166" s="27" t="s">
        <v>303</v>
      </c>
      <c r="B166" s="27">
        <v>0</v>
      </c>
      <c r="C166" s="27">
        <v>12019040565</v>
      </c>
      <c r="D166" s="27">
        <v>0</v>
      </c>
      <c r="E166" s="27">
        <v>12019040565</v>
      </c>
      <c r="F166" s="28">
        <v>5.4417888473427154E-3</v>
      </c>
      <c r="G166" s="27">
        <v>0</v>
      </c>
      <c r="H166" s="27">
        <v>12232817966</v>
      </c>
      <c r="I166" s="27">
        <v>0</v>
      </c>
      <c r="J166" s="27">
        <v>12232817966</v>
      </c>
      <c r="K166" s="28">
        <v>5.4060924477603786E-3</v>
      </c>
    </row>
    <row r="167" spans="1:11" x14ac:dyDescent="0.4">
      <c r="A167" s="27" t="s">
        <v>156</v>
      </c>
      <c r="B167" s="27">
        <v>0</v>
      </c>
      <c r="C167" s="27">
        <v>636045070</v>
      </c>
      <c r="D167" s="27">
        <v>0</v>
      </c>
      <c r="E167" s="27">
        <v>636045070</v>
      </c>
      <c r="F167" s="28">
        <v>2.8797830821975575E-4</v>
      </c>
      <c r="G167" s="27">
        <v>187500000</v>
      </c>
      <c r="H167" s="27">
        <v>508538375</v>
      </c>
      <c r="I167" s="27">
        <v>0</v>
      </c>
      <c r="J167" s="27">
        <v>696038375</v>
      </c>
      <c r="K167" s="28">
        <v>3.0760269734229656E-4</v>
      </c>
    </row>
    <row r="168" spans="1:11" x14ac:dyDescent="0.4">
      <c r="A168" s="27" t="s">
        <v>151</v>
      </c>
      <c r="B168" s="27">
        <v>0</v>
      </c>
      <c r="C168" s="27">
        <v>2055673356</v>
      </c>
      <c r="D168" s="27">
        <v>0</v>
      </c>
      <c r="E168" s="27">
        <v>2055673356</v>
      </c>
      <c r="F168" s="28">
        <v>9.3073488536481804E-4</v>
      </c>
      <c r="G168" s="27">
        <v>1143000000</v>
      </c>
      <c r="H168" s="27">
        <v>921508746</v>
      </c>
      <c r="I168" s="27">
        <v>0</v>
      </c>
      <c r="J168" s="27">
        <v>2064508746</v>
      </c>
      <c r="K168" s="28">
        <v>9.1237564158206405E-4</v>
      </c>
    </row>
    <row r="169" spans="1:11" x14ac:dyDescent="0.4">
      <c r="A169" s="27" t="s">
        <v>304</v>
      </c>
      <c r="B169" s="27">
        <v>0</v>
      </c>
      <c r="C169" s="27">
        <v>503080890</v>
      </c>
      <c r="D169" s="27">
        <v>0</v>
      </c>
      <c r="E169" s="27">
        <v>503080890</v>
      </c>
      <c r="F169" s="28">
        <v>2.2777691461375375E-4</v>
      </c>
      <c r="G169" s="27">
        <v>0</v>
      </c>
      <c r="H169" s="27">
        <v>461157483</v>
      </c>
      <c r="I169" s="27">
        <v>0</v>
      </c>
      <c r="J169" s="27">
        <v>461157483</v>
      </c>
      <c r="K169" s="28">
        <v>2.0380095518495554E-4</v>
      </c>
    </row>
    <row r="170" spans="1:11" x14ac:dyDescent="0.4">
      <c r="A170" s="27" t="s">
        <v>101</v>
      </c>
      <c r="B170" s="27">
        <v>0</v>
      </c>
      <c r="C170" s="27">
        <v>7901760337</v>
      </c>
      <c r="D170" s="27">
        <v>0</v>
      </c>
      <c r="E170" s="27">
        <v>7901760337</v>
      </c>
      <c r="F170" s="28">
        <v>3.5776325941921489E-3</v>
      </c>
      <c r="G170" s="27">
        <v>0</v>
      </c>
      <c r="H170" s="27">
        <v>9424109750</v>
      </c>
      <c r="I170" s="27">
        <v>173112396</v>
      </c>
      <c r="J170" s="27">
        <v>9597222146</v>
      </c>
      <c r="K170" s="28">
        <v>4.2413342785917862E-3</v>
      </c>
    </row>
    <row r="171" spans="1:11" x14ac:dyDescent="0.4">
      <c r="A171" s="27" t="s">
        <v>305</v>
      </c>
      <c r="B171" s="27">
        <v>0</v>
      </c>
      <c r="C171" s="27">
        <v>9915889495</v>
      </c>
      <c r="D171" s="27">
        <v>0</v>
      </c>
      <c r="E171" s="27">
        <v>9915889495</v>
      </c>
      <c r="F171" s="28">
        <v>4.4895577624147736E-3</v>
      </c>
      <c r="G171" s="27">
        <v>0</v>
      </c>
      <c r="H171" s="27">
        <v>9970723907</v>
      </c>
      <c r="I171" s="27">
        <v>0</v>
      </c>
      <c r="J171" s="27">
        <v>9970723907</v>
      </c>
      <c r="K171" s="28">
        <v>4.4063972309695163E-3</v>
      </c>
    </row>
    <row r="172" spans="1:11" x14ac:dyDescent="0.4">
      <c r="A172" s="27" t="s">
        <v>84</v>
      </c>
      <c r="B172" s="27">
        <v>0</v>
      </c>
      <c r="C172" s="27">
        <v>4876858467</v>
      </c>
      <c r="D172" s="27">
        <v>0</v>
      </c>
      <c r="E172" s="27">
        <v>4876858467</v>
      </c>
      <c r="F172" s="28">
        <v>2.2080659327394069E-3</v>
      </c>
      <c r="G172" s="27">
        <v>0</v>
      </c>
      <c r="H172" s="27">
        <v>4894693421</v>
      </c>
      <c r="I172" s="27">
        <v>-293174328</v>
      </c>
      <c r="J172" s="27">
        <v>4601519093</v>
      </c>
      <c r="K172" s="28">
        <v>2.033565584482146E-3</v>
      </c>
    </row>
    <row r="173" spans="1:11" x14ac:dyDescent="0.4">
      <c r="A173" s="27" t="s">
        <v>83</v>
      </c>
      <c r="B173" s="27">
        <v>0</v>
      </c>
      <c r="C173" s="27">
        <v>10692943310</v>
      </c>
      <c r="D173" s="27">
        <v>1039257299</v>
      </c>
      <c r="E173" s="27">
        <v>11732200609</v>
      </c>
      <c r="F173" s="28">
        <v>5.3119180423403141E-3</v>
      </c>
      <c r="G173" s="27">
        <v>0</v>
      </c>
      <c r="H173" s="27">
        <v>12216408390</v>
      </c>
      <c r="I173" s="27">
        <v>1186845563</v>
      </c>
      <c r="J173" s="27">
        <v>13403253953</v>
      </c>
      <c r="K173" s="28">
        <v>5.9233473572582827E-3</v>
      </c>
    </row>
    <row r="174" spans="1:11" x14ac:dyDescent="0.4">
      <c r="A174" s="27" t="s">
        <v>306</v>
      </c>
      <c r="B174" s="27">
        <v>0</v>
      </c>
      <c r="C174" s="27">
        <v>8838979880</v>
      </c>
      <c r="D174" s="27">
        <v>0</v>
      </c>
      <c r="E174" s="27">
        <v>8838979880</v>
      </c>
      <c r="F174" s="28">
        <v>4.0019718606275172E-3</v>
      </c>
      <c r="G174" s="27">
        <v>0</v>
      </c>
      <c r="H174" s="27">
        <v>9825748031</v>
      </c>
      <c r="I174" s="27">
        <v>0</v>
      </c>
      <c r="J174" s="27">
        <v>9825748031</v>
      </c>
      <c r="K174" s="28">
        <v>4.3423275300609101E-3</v>
      </c>
    </row>
    <row r="175" spans="1:11" x14ac:dyDescent="0.4">
      <c r="A175" s="27" t="s">
        <v>307</v>
      </c>
      <c r="B175" s="27">
        <v>0</v>
      </c>
      <c r="C175" s="27">
        <v>23830760840</v>
      </c>
      <c r="D175" s="27">
        <v>0</v>
      </c>
      <c r="E175" s="27">
        <v>23830760840</v>
      </c>
      <c r="F175" s="28">
        <v>1.0789710531508097E-2</v>
      </c>
      <c r="G175" s="27">
        <v>0</v>
      </c>
      <c r="H175" s="27">
        <v>25703285613</v>
      </c>
      <c r="I175" s="27">
        <v>0</v>
      </c>
      <c r="J175" s="27">
        <v>25703285613</v>
      </c>
      <c r="K175" s="28">
        <v>1.1359143790194391E-2</v>
      </c>
    </row>
    <row r="176" spans="1:11" x14ac:dyDescent="0.4">
      <c r="A176" s="27" t="s">
        <v>308</v>
      </c>
      <c r="B176" s="27">
        <v>0</v>
      </c>
      <c r="C176" s="27">
        <v>13555941349</v>
      </c>
      <c r="D176" s="27">
        <v>0</v>
      </c>
      <c r="E176" s="27">
        <v>13555941349</v>
      </c>
      <c r="F176" s="28">
        <v>6.1376421894304648E-3</v>
      </c>
      <c r="G176" s="27">
        <v>0</v>
      </c>
      <c r="H176" s="27">
        <v>13555941349</v>
      </c>
      <c r="I176" s="27">
        <v>0</v>
      </c>
      <c r="J176" s="27">
        <v>13555941349</v>
      </c>
      <c r="K176" s="28">
        <v>5.9908250374361479E-3</v>
      </c>
    </row>
    <row r="177" spans="1:11" x14ac:dyDescent="0.4">
      <c r="A177" s="27" t="s">
        <v>102</v>
      </c>
      <c r="B177" s="27">
        <v>0</v>
      </c>
      <c r="C177" s="27">
        <v>23586591649</v>
      </c>
      <c r="D177" s="27">
        <v>0</v>
      </c>
      <c r="E177" s="27">
        <v>23586591649</v>
      </c>
      <c r="F177" s="28">
        <v>1.0679159512625793E-2</v>
      </c>
      <c r="G177" s="27">
        <v>0</v>
      </c>
      <c r="H177" s="27">
        <v>26856481334</v>
      </c>
      <c r="I177" s="27">
        <v>103351864</v>
      </c>
      <c r="J177" s="27">
        <v>26959833198</v>
      </c>
      <c r="K177" s="28">
        <v>1.1914454302326641E-2</v>
      </c>
    </row>
    <row r="178" spans="1:11" x14ac:dyDescent="0.4">
      <c r="A178" s="27" t="s">
        <v>309</v>
      </c>
      <c r="B178" s="27">
        <v>0</v>
      </c>
      <c r="C178" s="27">
        <v>11060616869</v>
      </c>
      <c r="D178" s="27">
        <v>0</v>
      </c>
      <c r="E178" s="27">
        <v>11060616869</v>
      </c>
      <c r="F178" s="28">
        <v>5.0078491038402541E-3</v>
      </c>
      <c r="G178" s="27">
        <v>0</v>
      </c>
      <c r="H178" s="27">
        <v>12120406070</v>
      </c>
      <c r="I178" s="27">
        <v>0</v>
      </c>
      <c r="J178" s="27">
        <v>12120406070</v>
      </c>
      <c r="K178" s="28">
        <v>5.3564138615431146E-3</v>
      </c>
    </row>
    <row r="179" spans="1:11" x14ac:dyDescent="0.4">
      <c r="A179" s="27" t="s">
        <v>310</v>
      </c>
      <c r="B179" s="27">
        <v>0</v>
      </c>
      <c r="C179" s="27">
        <v>3090632088</v>
      </c>
      <c r="D179" s="27">
        <v>0</v>
      </c>
      <c r="E179" s="27">
        <v>3090632088</v>
      </c>
      <c r="F179" s="28">
        <v>1.399326937683726E-3</v>
      </c>
      <c r="G179" s="27">
        <v>0</v>
      </c>
      <c r="H179" s="27">
        <v>3093049253</v>
      </c>
      <c r="I179" s="27">
        <v>0</v>
      </c>
      <c r="J179" s="27">
        <v>3093049253</v>
      </c>
      <c r="K179" s="28">
        <v>1.3669221804550296E-3</v>
      </c>
    </row>
    <row r="180" spans="1:11" x14ac:dyDescent="0.4">
      <c r="A180" s="27" t="s">
        <v>95</v>
      </c>
      <c r="B180" s="27">
        <v>0</v>
      </c>
      <c r="C180" s="27">
        <v>17960283308</v>
      </c>
      <c r="D180" s="27">
        <v>0</v>
      </c>
      <c r="E180" s="27">
        <v>17960283308</v>
      </c>
      <c r="F180" s="28">
        <v>8.1317696593188882E-3</v>
      </c>
      <c r="G180" s="27">
        <v>0</v>
      </c>
      <c r="H180" s="27">
        <v>17929284524</v>
      </c>
      <c r="I180" s="27">
        <v>-59949824</v>
      </c>
      <c r="J180" s="27">
        <v>17869334700</v>
      </c>
      <c r="K180" s="28">
        <v>7.8970581951495113E-3</v>
      </c>
    </row>
    <row r="181" spans="1:11" x14ac:dyDescent="0.4">
      <c r="A181" s="27" t="s">
        <v>103</v>
      </c>
      <c r="B181" s="27">
        <v>0</v>
      </c>
      <c r="C181" s="27">
        <v>14541924373</v>
      </c>
      <c r="D181" s="27">
        <v>0</v>
      </c>
      <c r="E181" s="27">
        <v>14541924373</v>
      </c>
      <c r="F181" s="28">
        <v>6.5840598044351988E-3</v>
      </c>
      <c r="G181" s="27">
        <v>0</v>
      </c>
      <c r="H181" s="27">
        <v>15938747298</v>
      </c>
      <c r="I181" s="27">
        <v>253806880</v>
      </c>
      <c r="J181" s="27">
        <v>16192554178</v>
      </c>
      <c r="K181" s="28">
        <v>7.1560326569839973E-3</v>
      </c>
    </row>
    <row r="182" spans="1:11" x14ac:dyDescent="0.4">
      <c r="A182" s="27" t="s">
        <v>128</v>
      </c>
      <c r="B182" s="27">
        <v>0</v>
      </c>
      <c r="C182" s="27">
        <v>-2947859610</v>
      </c>
      <c r="D182" s="27">
        <v>-574599632</v>
      </c>
      <c r="E182" s="27">
        <v>-3522459242</v>
      </c>
      <c r="F182" s="28">
        <v>-1.5948427259788417E-3</v>
      </c>
      <c r="G182" s="27">
        <v>0</v>
      </c>
      <c r="H182" s="27">
        <v>-5265930706</v>
      </c>
      <c r="I182" s="27">
        <v>-574599632</v>
      </c>
      <c r="J182" s="27">
        <v>-5840530338</v>
      </c>
      <c r="K182" s="28">
        <v>-2.5811261999430925E-3</v>
      </c>
    </row>
    <row r="183" spans="1:11" x14ac:dyDescent="0.4">
      <c r="A183" s="27" t="s">
        <v>311</v>
      </c>
      <c r="B183" s="27">
        <v>8686541250</v>
      </c>
      <c r="C183" s="27">
        <v>-180133437</v>
      </c>
      <c r="D183" s="27">
        <v>0</v>
      </c>
      <c r="E183" s="27">
        <v>8506407813</v>
      </c>
      <c r="F183" s="28">
        <v>3.8513952022535955E-3</v>
      </c>
      <c r="G183" s="27">
        <v>8686541250</v>
      </c>
      <c r="H183" s="27">
        <v>180284206</v>
      </c>
      <c r="I183" s="27">
        <v>0</v>
      </c>
      <c r="J183" s="27">
        <v>8866825456</v>
      </c>
      <c r="K183" s="28">
        <v>3.9185474897543383E-3</v>
      </c>
    </row>
    <row r="184" spans="1:11" x14ac:dyDescent="0.4">
      <c r="A184" s="27" t="s">
        <v>189</v>
      </c>
      <c r="B184" s="27">
        <v>0</v>
      </c>
      <c r="C184" s="27">
        <v>17449776757</v>
      </c>
      <c r="D184" s="27">
        <v>0</v>
      </c>
      <c r="E184" s="27">
        <v>17449776757</v>
      </c>
      <c r="F184" s="28">
        <v>7.9006306727497713E-3</v>
      </c>
      <c r="G184" s="27">
        <v>2770858350</v>
      </c>
      <c r="H184" s="27">
        <v>14700337142</v>
      </c>
      <c r="I184" s="27">
        <v>0</v>
      </c>
      <c r="J184" s="27">
        <v>17471195492</v>
      </c>
      <c r="K184" s="28">
        <v>7.7211071288041735E-3</v>
      </c>
    </row>
    <row r="185" spans="1:11" x14ac:dyDescent="0.4">
      <c r="A185" s="27" t="s">
        <v>121</v>
      </c>
      <c r="B185" s="27">
        <v>0</v>
      </c>
      <c r="C185" s="27">
        <v>13719667032</v>
      </c>
      <c r="D185" s="27">
        <v>3862206838</v>
      </c>
      <c r="E185" s="27">
        <v>17581873870</v>
      </c>
      <c r="F185" s="28">
        <v>7.9604394896351134E-3</v>
      </c>
      <c r="G185" s="27">
        <v>0</v>
      </c>
      <c r="H185" s="27">
        <v>13867920676</v>
      </c>
      <c r="I185" s="27">
        <v>3862206838</v>
      </c>
      <c r="J185" s="27">
        <v>17730127514</v>
      </c>
      <c r="K185" s="28">
        <v>7.8355378717865475E-3</v>
      </c>
    </row>
    <row r="186" spans="1:11" x14ac:dyDescent="0.4">
      <c r="A186" s="27" t="s">
        <v>133</v>
      </c>
      <c r="B186" s="27">
        <v>0</v>
      </c>
      <c r="C186" s="27">
        <v>5986377101</v>
      </c>
      <c r="D186" s="27">
        <v>0</v>
      </c>
      <c r="E186" s="27">
        <v>5986377101</v>
      </c>
      <c r="F186" s="28">
        <v>2.7104160243101418E-3</v>
      </c>
      <c r="G186" s="27">
        <v>0</v>
      </c>
      <c r="H186" s="27">
        <v>5991583625</v>
      </c>
      <c r="I186" s="27">
        <v>-1100</v>
      </c>
      <c r="J186" s="27">
        <v>5991582525</v>
      </c>
      <c r="K186" s="28">
        <v>2.6478812264323333E-3</v>
      </c>
    </row>
    <row r="187" spans="1:11" x14ac:dyDescent="0.4">
      <c r="A187" s="27" t="s">
        <v>124</v>
      </c>
      <c r="B187" s="27">
        <v>0</v>
      </c>
      <c r="C187" s="27">
        <v>15754788618</v>
      </c>
      <c r="D187" s="27">
        <v>1758415948</v>
      </c>
      <c r="E187" s="27">
        <v>17513204566</v>
      </c>
      <c r="F187" s="28">
        <v>7.9293485010789901E-3</v>
      </c>
      <c r="G187" s="27">
        <v>0</v>
      </c>
      <c r="H187" s="27">
        <v>16650363574</v>
      </c>
      <c r="I187" s="27">
        <v>1758415948</v>
      </c>
      <c r="J187" s="27">
        <v>18408779522</v>
      </c>
      <c r="K187" s="28">
        <v>8.1354569505551096E-3</v>
      </c>
    </row>
    <row r="188" spans="1:11" x14ac:dyDescent="0.4">
      <c r="A188" s="27" t="s">
        <v>145</v>
      </c>
      <c r="B188" s="27">
        <v>0</v>
      </c>
      <c r="C188" s="27">
        <v>3872384073</v>
      </c>
      <c r="D188" s="27">
        <v>0</v>
      </c>
      <c r="E188" s="27">
        <v>3872384073</v>
      </c>
      <c r="F188" s="28">
        <v>1.7532760911418857E-3</v>
      </c>
      <c r="G188" s="27">
        <v>2254263435</v>
      </c>
      <c r="H188" s="27">
        <v>1634985961</v>
      </c>
      <c r="I188" s="27">
        <v>0</v>
      </c>
      <c r="J188" s="27">
        <v>3889249396</v>
      </c>
      <c r="K188" s="28">
        <v>1.7187897216823682E-3</v>
      </c>
    </row>
    <row r="189" spans="1:11" x14ac:dyDescent="0.4">
      <c r="A189" s="27" t="s">
        <v>312</v>
      </c>
      <c r="B189" s="27">
        <v>0</v>
      </c>
      <c r="C189" s="27">
        <v>15346815102</v>
      </c>
      <c r="D189" s="27">
        <v>0</v>
      </c>
      <c r="E189" s="27">
        <v>15346815102</v>
      </c>
      <c r="F189" s="28">
        <v>6.9484853481143367E-3</v>
      </c>
      <c r="G189" s="27">
        <v>0</v>
      </c>
      <c r="H189" s="27">
        <v>15348475593</v>
      </c>
      <c r="I189" s="27">
        <v>0</v>
      </c>
      <c r="J189" s="27">
        <v>15348475593</v>
      </c>
      <c r="K189" s="28">
        <v>6.7830060267858152E-3</v>
      </c>
    </row>
    <row r="190" spans="1:11" x14ac:dyDescent="0.4">
      <c r="A190" s="27" t="s">
        <v>114</v>
      </c>
      <c r="B190" s="27">
        <v>11472972420</v>
      </c>
      <c r="C190" s="27">
        <v>-1396117598</v>
      </c>
      <c r="D190" s="27">
        <v>191695739</v>
      </c>
      <c r="E190" s="27">
        <v>10268550561</v>
      </c>
      <c r="F190" s="28">
        <v>4.6492299962733828E-3</v>
      </c>
      <c r="G190" s="27">
        <v>11472972420</v>
      </c>
      <c r="H190" s="27">
        <v>-552484010</v>
      </c>
      <c r="I190" s="27">
        <v>191695739</v>
      </c>
      <c r="J190" s="27">
        <v>11112184149</v>
      </c>
      <c r="K190" s="28">
        <v>4.9108467871426089E-3</v>
      </c>
    </row>
    <row r="191" spans="1:11" x14ac:dyDescent="0.4">
      <c r="A191" s="27" t="s">
        <v>96</v>
      </c>
      <c r="B191" s="27">
        <v>0</v>
      </c>
      <c r="C191" s="27">
        <v>32452685120</v>
      </c>
      <c r="D191" s="27">
        <v>0</v>
      </c>
      <c r="E191" s="27">
        <v>32452685120</v>
      </c>
      <c r="F191" s="28">
        <v>1.4693407431089813E-2</v>
      </c>
      <c r="G191" s="27">
        <v>0</v>
      </c>
      <c r="H191" s="27">
        <v>34350971236</v>
      </c>
      <c r="I191" s="27">
        <v>89670505</v>
      </c>
      <c r="J191" s="27">
        <v>34440641741</v>
      </c>
      <c r="K191" s="28">
        <v>1.5220474442564018E-2</v>
      </c>
    </row>
    <row r="192" spans="1:11" x14ac:dyDescent="0.4">
      <c r="A192" s="27" t="s">
        <v>313</v>
      </c>
      <c r="B192" s="27">
        <v>0</v>
      </c>
      <c r="C192" s="27">
        <v>23836434874</v>
      </c>
      <c r="D192" s="27">
        <v>0</v>
      </c>
      <c r="E192" s="27">
        <v>23836434874</v>
      </c>
      <c r="F192" s="28">
        <v>1.0792279529821536E-2</v>
      </c>
      <c r="G192" s="27">
        <v>0</v>
      </c>
      <c r="H192" s="27">
        <v>23830251538</v>
      </c>
      <c r="I192" s="27">
        <v>0</v>
      </c>
      <c r="J192" s="27">
        <v>23830251538</v>
      </c>
      <c r="K192" s="28">
        <v>1.053138722622041E-2</v>
      </c>
    </row>
    <row r="193" spans="1:11" x14ac:dyDescent="0.4">
      <c r="A193" s="27" t="s">
        <v>106</v>
      </c>
      <c r="B193" s="27">
        <v>0</v>
      </c>
      <c r="C193" s="27">
        <v>11122908299</v>
      </c>
      <c r="D193" s="27">
        <v>0</v>
      </c>
      <c r="E193" s="27">
        <v>11122908299</v>
      </c>
      <c r="F193" s="28">
        <v>5.0360524206712279E-3</v>
      </c>
      <c r="G193" s="27">
        <v>0</v>
      </c>
      <c r="H193" s="27">
        <v>10811034098</v>
      </c>
      <c r="I193" s="27">
        <v>-383019332</v>
      </c>
      <c r="J193" s="27">
        <v>10428014766</v>
      </c>
      <c r="K193" s="28">
        <v>4.608489395353953E-3</v>
      </c>
    </row>
    <row r="194" spans="1:11" x14ac:dyDescent="0.4">
      <c r="A194" s="27" t="s">
        <v>185</v>
      </c>
      <c r="B194" s="27">
        <v>1733619000</v>
      </c>
      <c r="C194" s="27">
        <v>13899362451</v>
      </c>
      <c r="D194" s="27">
        <v>0</v>
      </c>
      <c r="E194" s="27">
        <v>15632981451</v>
      </c>
      <c r="F194" s="28">
        <v>7.0780511681189547E-3</v>
      </c>
      <c r="G194" s="27">
        <v>1733619000</v>
      </c>
      <c r="H194" s="27">
        <v>15092047018</v>
      </c>
      <c r="I194" s="27">
        <v>0</v>
      </c>
      <c r="J194" s="27">
        <v>16825666018</v>
      </c>
      <c r="K194" s="28">
        <v>7.4358260084688849E-3</v>
      </c>
    </row>
    <row r="195" spans="1:11" x14ac:dyDescent="0.4">
      <c r="A195" s="27" t="s">
        <v>314</v>
      </c>
      <c r="B195" s="27">
        <v>0</v>
      </c>
      <c r="C195" s="27">
        <v>-2432260264</v>
      </c>
      <c r="D195" s="27">
        <v>0</v>
      </c>
      <c r="E195" s="27">
        <v>-2432260264</v>
      </c>
      <c r="F195" s="28">
        <v>-1.1012398790809846E-3</v>
      </c>
      <c r="G195" s="27">
        <v>0</v>
      </c>
      <c r="H195" s="27">
        <v>-2432260264</v>
      </c>
      <c r="I195" s="27">
        <v>0</v>
      </c>
      <c r="J195" s="27">
        <v>-2432260264</v>
      </c>
      <c r="K195" s="28">
        <v>-1.0748973687620118E-3</v>
      </c>
    </row>
    <row r="196" spans="1:11" x14ac:dyDescent="0.4">
      <c r="A196" s="27" t="s">
        <v>315</v>
      </c>
      <c r="B196" s="27">
        <v>0</v>
      </c>
      <c r="C196" s="27">
        <v>18855217311</v>
      </c>
      <c r="D196" s="27">
        <v>0</v>
      </c>
      <c r="E196" s="27">
        <v>18855217311</v>
      </c>
      <c r="F196" s="28">
        <v>8.5369635556449362E-3</v>
      </c>
      <c r="G196" s="27">
        <v>0</v>
      </c>
      <c r="H196" s="27">
        <v>20259954899</v>
      </c>
      <c r="I196" s="27">
        <v>0</v>
      </c>
      <c r="J196" s="27">
        <v>20259954899</v>
      </c>
      <c r="K196" s="28">
        <v>8.9535534229210796E-3</v>
      </c>
    </row>
    <row r="197" spans="1:11" x14ac:dyDescent="0.4">
      <c r="A197" s="27" t="s">
        <v>316</v>
      </c>
      <c r="B197" s="27">
        <v>0</v>
      </c>
      <c r="C197" s="27">
        <v>888761420</v>
      </c>
      <c r="D197" s="27">
        <v>0</v>
      </c>
      <c r="E197" s="27">
        <v>888761420</v>
      </c>
      <c r="F197" s="28">
        <v>4.0239917297462546E-4</v>
      </c>
      <c r="G197" s="27">
        <v>0</v>
      </c>
      <c r="H197" s="27">
        <v>888761420</v>
      </c>
      <c r="I197" s="27">
        <v>0</v>
      </c>
      <c r="J197" s="27">
        <v>888761420</v>
      </c>
      <c r="K197" s="28">
        <v>3.9277347328122499E-4</v>
      </c>
    </row>
    <row r="198" spans="1:11" x14ac:dyDescent="0.4">
      <c r="A198" s="27" t="s">
        <v>317</v>
      </c>
      <c r="B198" s="27">
        <v>0</v>
      </c>
      <c r="C198" s="27">
        <v>6584750825</v>
      </c>
      <c r="D198" s="27">
        <v>0</v>
      </c>
      <c r="E198" s="27">
        <v>6584750825</v>
      </c>
      <c r="F198" s="28">
        <v>2.9813381033393449E-3</v>
      </c>
      <c r="G198" s="27">
        <v>0</v>
      </c>
      <c r="H198" s="27">
        <v>7106007879</v>
      </c>
      <c r="I198" s="27">
        <v>0</v>
      </c>
      <c r="J198" s="27">
        <v>7106007879</v>
      </c>
      <c r="K198" s="28">
        <v>3.1403831590693715E-3</v>
      </c>
    </row>
    <row r="199" spans="1:11" x14ac:dyDescent="0.4">
      <c r="A199" s="27" t="s">
        <v>318</v>
      </c>
      <c r="B199" s="27">
        <v>0</v>
      </c>
      <c r="C199" s="27">
        <v>20917540771</v>
      </c>
      <c r="D199" s="27">
        <v>0</v>
      </c>
      <c r="E199" s="27">
        <v>20917540771</v>
      </c>
      <c r="F199" s="28">
        <v>9.4707093686778286E-3</v>
      </c>
      <c r="G199" s="27">
        <v>0</v>
      </c>
      <c r="H199" s="27">
        <v>21502735575</v>
      </c>
      <c r="I199" s="27">
        <v>0</v>
      </c>
      <c r="J199" s="27">
        <v>21502735575</v>
      </c>
      <c r="K199" s="28">
        <v>9.5027798763367873E-3</v>
      </c>
    </row>
    <row r="200" spans="1:11" x14ac:dyDescent="0.4">
      <c r="A200" s="27" t="s">
        <v>125</v>
      </c>
      <c r="B200" s="27">
        <v>0</v>
      </c>
      <c r="C200" s="27">
        <v>3896546803</v>
      </c>
      <c r="D200" s="27">
        <v>996433461</v>
      </c>
      <c r="E200" s="27">
        <v>4892980264</v>
      </c>
      <c r="F200" s="28">
        <v>2.2153653019893289E-3</v>
      </c>
      <c r="G200" s="27">
        <v>0</v>
      </c>
      <c r="H200" s="27">
        <v>6006420996</v>
      </c>
      <c r="I200" s="27">
        <v>996433461</v>
      </c>
      <c r="J200" s="27">
        <v>7002854457</v>
      </c>
      <c r="K200" s="28">
        <v>3.0947962029661421E-3</v>
      </c>
    </row>
    <row r="201" spans="1:11" x14ac:dyDescent="0.4">
      <c r="A201" s="27" t="s">
        <v>319</v>
      </c>
      <c r="B201" s="27">
        <v>0</v>
      </c>
      <c r="C201" s="27">
        <v>-176779724</v>
      </c>
      <c r="D201" s="27">
        <v>0</v>
      </c>
      <c r="E201" s="27">
        <v>-176779724</v>
      </c>
      <c r="F201" s="28">
        <v>-8.0039494441919574E-5</v>
      </c>
      <c r="G201" s="27">
        <v>0</v>
      </c>
      <c r="H201" s="27">
        <v>450626594</v>
      </c>
      <c r="I201" s="27">
        <v>0</v>
      </c>
      <c r="J201" s="27">
        <v>450626594</v>
      </c>
      <c r="K201" s="28">
        <v>1.9914700221603725E-4</v>
      </c>
    </row>
    <row r="202" spans="1:11" x14ac:dyDescent="0.4">
      <c r="A202" s="27" t="s">
        <v>181</v>
      </c>
      <c r="B202" s="27">
        <v>142948777</v>
      </c>
      <c r="C202" s="27">
        <v>-1526462876</v>
      </c>
      <c r="D202" s="27">
        <v>0</v>
      </c>
      <c r="E202" s="27">
        <v>-1383514099</v>
      </c>
      <c r="F202" s="28">
        <v>-6.2640537348744748E-4</v>
      </c>
      <c r="G202" s="27">
        <v>142948777</v>
      </c>
      <c r="H202" s="27">
        <v>-1487817244</v>
      </c>
      <c r="I202" s="27">
        <v>0</v>
      </c>
      <c r="J202" s="27">
        <v>-1344868467</v>
      </c>
      <c r="K202" s="28">
        <v>-5.9434247144749658E-4</v>
      </c>
    </row>
    <row r="203" spans="1:11" x14ac:dyDescent="0.4">
      <c r="A203" s="27" t="s">
        <v>320</v>
      </c>
      <c r="B203" s="27">
        <v>0</v>
      </c>
      <c r="C203" s="27">
        <v>9017603234</v>
      </c>
      <c r="D203" s="27">
        <v>0</v>
      </c>
      <c r="E203" s="27">
        <v>9017603234</v>
      </c>
      <c r="F203" s="28">
        <v>4.0828460843573841E-3</v>
      </c>
      <c r="G203" s="27">
        <v>0</v>
      </c>
      <c r="H203" s="27">
        <v>9017603234</v>
      </c>
      <c r="I203" s="27">
        <v>0</v>
      </c>
      <c r="J203" s="27">
        <v>9017603234</v>
      </c>
      <c r="K203" s="28">
        <v>3.9851812457050474E-3</v>
      </c>
    </row>
    <row r="204" spans="1:11" x14ac:dyDescent="0.4">
      <c r="A204" s="27" t="s">
        <v>321</v>
      </c>
      <c r="B204" s="27">
        <v>0</v>
      </c>
      <c r="C204" s="27">
        <v>7568373378</v>
      </c>
      <c r="D204" s="27">
        <v>0</v>
      </c>
      <c r="E204" s="27">
        <v>7568373378</v>
      </c>
      <c r="F204" s="28">
        <v>3.4266869820591137E-3</v>
      </c>
      <c r="G204" s="27">
        <v>0</v>
      </c>
      <c r="H204" s="27">
        <v>7566371230</v>
      </c>
      <c r="I204" s="27">
        <v>0</v>
      </c>
      <c r="J204" s="27">
        <v>7566371230</v>
      </c>
      <c r="K204" s="28">
        <v>3.3438331606948403E-3</v>
      </c>
    </row>
    <row r="205" spans="1:11" x14ac:dyDescent="0.4">
      <c r="A205" s="27" t="s">
        <v>322</v>
      </c>
      <c r="B205" s="27">
        <v>0</v>
      </c>
      <c r="C205" s="27">
        <v>8797605279</v>
      </c>
      <c r="D205" s="27">
        <v>0</v>
      </c>
      <c r="E205" s="27">
        <v>8797605279</v>
      </c>
      <c r="F205" s="28">
        <v>3.983238930900938E-3</v>
      </c>
      <c r="G205" s="27">
        <v>0</v>
      </c>
      <c r="H205" s="27">
        <v>9516798288</v>
      </c>
      <c r="I205" s="27">
        <v>0</v>
      </c>
      <c r="J205" s="27">
        <v>9516798288</v>
      </c>
      <c r="K205" s="28">
        <v>4.2057922789836841E-3</v>
      </c>
    </row>
    <row r="206" spans="1:11" x14ac:dyDescent="0.4">
      <c r="A206" s="27" t="s">
        <v>89</v>
      </c>
      <c r="B206" s="27">
        <v>0</v>
      </c>
      <c r="C206" s="27">
        <v>6951809009</v>
      </c>
      <c r="D206" s="27">
        <v>0</v>
      </c>
      <c r="E206" s="27">
        <v>6951809009</v>
      </c>
      <c r="F206" s="28">
        <v>3.1475288338901467E-3</v>
      </c>
      <c r="G206" s="27">
        <v>0</v>
      </c>
      <c r="H206" s="27">
        <v>7421765486</v>
      </c>
      <c r="I206" s="27">
        <v>202360400</v>
      </c>
      <c r="J206" s="27">
        <v>7624125886</v>
      </c>
      <c r="K206" s="28">
        <v>3.3693568797996615E-3</v>
      </c>
    </row>
    <row r="207" spans="1:11" x14ac:dyDescent="0.4">
      <c r="A207" s="27" t="s">
        <v>323</v>
      </c>
      <c r="B207" s="27">
        <v>0</v>
      </c>
      <c r="C207" s="27">
        <v>9272026223</v>
      </c>
      <c r="D207" s="27">
        <v>639008733</v>
      </c>
      <c r="E207" s="27">
        <v>9911034956</v>
      </c>
      <c r="F207" s="28">
        <v>4.4873598019331256E-3</v>
      </c>
      <c r="G207" s="27">
        <v>0</v>
      </c>
      <c r="H207" s="27">
        <v>9844755304</v>
      </c>
      <c r="I207" s="27">
        <v>639008733</v>
      </c>
      <c r="J207" s="27">
        <v>10483764037</v>
      </c>
      <c r="K207" s="28">
        <v>4.6331268675830761E-3</v>
      </c>
    </row>
    <row r="208" spans="1:11" x14ac:dyDescent="0.4">
      <c r="A208" s="27" t="s">
        <v>324</v>
      </c>
      <c r="B208" s="27">
        <v>0</v>
      </c>
      <c r="C208" s="27">
        <v>16079807607</v>
      </c>
      <c r="D208" s="27">
        <v>0</v>
      </c>
      <c r="E208" s="27">
        <v>16079807607</v>
      </c>
      <c r="F208" s="28">
        <v>7.2803579645118839E-3</v>
      </c>
      <c r="G208" s="27">
        <v>0</v>
      </c>
      <c r="H208" s="27">
        <v>16493226206</v>
      </c>
      <c r="I208" s="27">
        <v>0</v>
      </c>
      <c r="J208" s="27">
        <v>16493226206</v>
      </c>
      <c r="K208" s="28">
        <v>7.2889097082359184E-3</v>
      </c>
    </row>
    <row r="209" spans="1:11" x14ac:dyDescent="0.4">
      <c r="A209" s="27" t="s">
        <v>325</v>
      </c>
      <c r="B209" s="27">
        <v>0</v>
      </c>
      <c r="C209" s="27">
        <v>13084845576</v>
      </c>
      <c r="D209" s="27">
        <v>0</v>
      </c>
      <c r="E209" s="27">
        <v>13084845576</v>
      </c>
      <c r="F209" s="28">
        <v>5.92434698423688E-3</v>
      </c>
      <c r="G209" s="27">
        <v>0</v>
      </c>
      <c r="H209" s="27">
        <v>14142617779</v>
      </c>
      <c r="I209" s="27">
        <v>0</v>
      </c>
      <c r="J209" s="27">
        <v>14142617779</v>
      </c>
      <c r="K209" s="28">
        <v>6.2500970241784722E-3</v>
      </c>
    </row>
    <row r="210" spans="1:11" x14ac:dyDescent="0.4">
      <c r="A210" s="27" t="s">
        <v>326</v>
      </c>
      <c r="B210" s="27">
        <v>0</v>
      </c>
      <c r="C210" s="27">
        <v>8960311386</v>
      </c>
      <c r="D210" s="27">
        <v>0</v>
      </c>
      <c r="E210" s="27">
        <v>8960311386</v>
      </c>
      <c r="F210" s="28">
        <v>4.0569063982564858E-3</v>
      </c>
      <c r="G210" s="27">
        <v>0</v>
      </c>
      <c r="H210" s="27">
        <v>7835035797</v>
      </c>
      <c r="I210" s="27">
        <v>0</v>
      </c>
      <c r="J210" s="27">
        <v>7835035797</v>
      </c>
      <c r="K210" s="28">
        <v>3.4625650416626103E-3</v>
      </c>
    </row>
    <row r="211" spans="1:11" x14ac:dyDescent="0.4">
      <c r="A211" s="27" t="s">
        <v>327</v>
      </c>
      <c r="B211" s="27">
        <v>0</v>
      </c>
      <c r="C211" s="27">
        <v>3913401694</v>
      </c>
      <c r="D211" s="27">
        <v>0</v>
      </c>
      <c r="E211" s="27">
        <v>3913401694</v>
      </c>
      <c r="F211" s="28">
        <v>1.7718473931767856E-3</v>
      </c>
      <c r="G211" s="27">
        <v>0</v>
      </c>
      <c r="H211" s="27">
        <v>3913401694</v>
      </c>
      <c r="I211" s="27">
        <v>0</v>
      </c>
      <c r="J211" s="27">
        <v>3913401694</v>
      </c>
      <c r="K211" s="28">
        <v>1.7294634320389488E-3</v>
      </c>
    </row>
    <row r="212" spans="1:11" x14ac:dyDescent="0.4">
      <c r="A212" s="27" t="s">
        <v>85</v>
      </c>
      <c r="B212" s="27">
        <v>0</v>
      </c>
      <c r="C212" s="27">
        <v>10365346162</v>
      </c>
      <c r="D212" s="27">
        <v>0</v>
      </c>
      <c r="E212" s="27">
        <v>10365346162</v>
      </c>
      <c r="F212" s="28">
        <v>4.6930555594824402E-3</v>
      </c>
      <c r="G212" s="27">
        <v>0</v>
      </c>
      <c r="H212" s="27">
        <v>11333687279</v>
      </c>
      <c r="I212" s="27">
        <v>236629705</v>
      </c>
      <c r="J212" s="27">
        <v>11570316984</v>
      </c>
      <c r="K212" s="28">
        <v>5.1133110489544288E-3</v>
      </c>
    </row>
    <row r="213" spans="1:11" x14ac:dyDescent="0.4">
      <c r="A213" s="27" t="s">
        <v>328</v>
      </c>
      <c r="B213" s="27">
        <v>0</v>
      </c>
      <c r="C213" s="27">
        <v>10106183886</v>
      </c>
      <c r="D213" s="27">
        <v>0</v>
      </c>
      <c r="E213" s="27">
        <v>10106183886</v>
      </c>
      <c r="F213" s="28">
        <v>4.5757162115068932E-3</v>
      </c>
      <c r="G213" s="27">
        <v>0</v>
      </c>
      <c r="H213" s="27">
        <v>10735802212</v>
      </c>
      <c r="I213" s="27">
        <v>0</v>
      </c>
      <c r="J213" s="27">
        <v>10735802212</v>
      </c>
      <c r="K213" s="28">
        <v>4.7445109884129508E-3</v>
      </c>
    </row>
    <row r="214" spans="1:11" x14ac:dyDescent="0.4">
      <c r="A214" s="27" t="s">
        <v>329</v>
      </c>
      <c r="B214" s="27">
        <v>0</v>
      </c>
      <c r="C214" s="27">
        <v>22652358024</v>
      </c>
      <c r="D214" s="27">
        <v>0</v>
      </c>
      <c r="E214" s="27">
        <v>22652358024</v>
      </c>
      <c r="F214" s="28">
        <v>1.0256172162359075E-2</v>
      </c>
      <c r="G214" s="27">
        <v>0</v>
      </c>
      <c r="H214" s="27">
        <v>23483637218</v>
      </c>
      <c r="I214" s="27">
        <v>0</v>
      </c>
      <c r="J214" s="27">
        <v>23483637218</v>
      </c>
      <c r="K214" s="28">
        <v>1.0378206735605269E-2</v>
      </c>
    </row>
    <row r="215" spans="1:11" x14ac:dyDescent="0.4">
      <c r="A215" s="27" t="s">
        <v>197</v>
      </c>
      <c r="B215" s="27">
        <v>2778066980</v>
      </c>
      <c r="C215" s="27">
        <v>14705360878</v>
      </c>
      <c r="D215" s="27">
        <v>0</v>
      </c>
      <c r="E215" s="27">
        <v>17483427858</v>
      </c>
      <c r="F215" s="28">
        <v>7.9158666797448617E-3</v>
      </c>
      <c r="G215" s="27">
        <v>2778066980</v>
      </c>
      <c r="H215" s="27">
        <v>16253293602</v>
      </c>
      <c r="I215" s="27">
        <v>0</v>
      </c>
      <c r="J215" s="27">
        <v>19031360582</v>
      </c>
      <c r="K215" s="28">
        <v>8.4105963972418325E-3</v>
      </c>
    </row>
    <row r="216" spans="1:11" x14ac:dyDescent="0.4">
      <c r="A216" s="27" t="s">
        <v>330</v>
      </c>
      <c r="B216" s="27">
        <v>0</v>
      </c>
      <c r="C216" s="27">
        <v>3905545363</v>
      </c>
      <c r="D216" s="27">
        <v>0</v>
      </c>
      <c r="E216" s="27">
        <v>3905545363</v>
      </c>
      <c r="F216" s="28">
        <v>1.7682903293507986E-3</v>
      </c>
      <c r="G216" s="27">
        <v>0</v>
      </c>
      <c r="H216" s="27">
        <v>4700609757</v>
      </c>
      <c r="I216" s="27">
        <v>0</v>
      </c>
      <c r="J216" s="27">
        <v>4700609757</v>
      </c>
      <c r="K216" s="28">
        <v>2.0773570715935273E-3</v>
      </c>
    </row>
    <row r="217" spans="1:11" x14ac:dyDescent="0.4">
      <c r="A217" s="27" t="s">
        <v>331</v>
      </c>
      <c r="B217" s="27">
        <v>3535674660</v>
      </c>
      <c r="C217" s="27">
        <v>3270543576</v>
      </c>
      <c r="D217" s="27">
        <v>772809935</v>
      </c>
      <c r="E217" s="27">
        <v>7579028171</v>
      </c>
      <c r="F217" s="28">
        <v>3.4315110887259128E-3</v>
      </c>
      <c r="G217" s="27">
        <v>3535674660</v>
      </c>
      <c r="H217" s="27">
        <v>3067930130</v>
      </c>
      <c r="I217" s="27">
        <v>325752815</v>
      </c>
      <c r="J217" s="27">
        <v>6929357605</v>
      </c>
      <c r="K217" s="28">
        <v>3.0623154795845218E-3</v>
      </c>
    </row>
    <row r="218" spans="1:11" x14ac:dyDescent="0.4">
      <c r="A218" s="27" t="s">
        <v>332</v>
      </c>
      <c r="B218" s="27">
        <v>0</v>
      </c>
      <c r="C218" s="27">
        <v>16165135068</v>
      </c>
      <c r="D218" s="27">
        <v>0</v>
      </c>
      <c r="E218" s="27">
        <v>16165135068</v>
      </c>
      <c r="F218" s="28">
        <v>7.3189911668154048E-3</v>
      </c>
      <c r="G218" s="27">
        <v>0</v>
      </c>
      <c r="H218" s="27">
        <v>17382908576</v>
      </c>
      <c r="I218" s="27">
        <v>0</v>
      </c>
      <c r="J218" s="27">
        <v>17382908576</v>
      </c>
      <c r="K218" s="28">
        <v>7.682090180203268E-3</v>
      </c>
    </row>
    <row r="219" spans="1:11" x14ac:dyDescent="0.4">
      <c r="A219" s="27" t="s">
        <v>170</v>
      </c>
      <c r="B219" s="27">
        <v>3146846500</v>
      </c>
      <c r="C219" s="27">
        <v>11130405312</v>
      </c>
      <c r="D219" s="27">
        <v>0</v>
      </c>
      <c r="E219" s="27">
        <v>14277251812</v>
      </c>
      <c r="F219" s="28">
        <v>6.4642255977979705E-3</v>
      </c>
      <c r="G219" s="27">
        <v>3146846500</v>
      </c>
      <c r="H219" s="27">
        <v>11999968227</v>
      </c>
      <c r="I219" s="27">
        <v>0</v>
      </c>
      <c r="J219" s="27">
        <v>15146814727</v>
      </c>
      <c r="K219" s="28">
        <v>6.693885328045629E-3</v>
      </c>
    </row>
    <row r="220" spans="1:11" x14ac:dyDescent="0.4">
      <c r="A220" s="27" t="s">
        <v>333</v>
      </c>
      <c r="B220" s="27">
        <v>0</v>
      </c>
      <c r="C220" s="27">
        <v>29213114682</v>
      </c>
      <c r="D220" s="27">
        <v>0</v>
      </c>
      <c r="E220" s="27">
        <v>29213114682</v>
      </c>
      <c r="F220" s="28">
        <v>1.3226646570740762E-2</v>
      </c>
      <c r="G220" s="27">
        <v>0</v>
      </c>
      <c r="H220" s="27">
        <v>30684694951</v>
      </c>
      <c r="I220" s="27">
        <v>0</v>
      </c>
      <c r="J220" s="27">
        <v>30684694951</v>
      </c>
      <c r="K220" s="28">
        <v>1.3560595612351329E-2</v>
      </c>
    </row>
    <row r="221" spans="1:11" x14ac:dyDescent="0.4">
      <c r="A221" s="27" t="s">
        <v>205</v>
      </c>
      <c r="B221" s="27">
        <v>0</v>
      </c>
      <c r="C221" s="27">
        <v>2222951067</v>
      </c>
      <c r="D221" s="27">
        <v>0</v>
      </c>
      <c r="E221" s="27">
        <v>2222951067</v>
      </c>
      <c r="F221" s="28">
        <v>1.0064722104204987E-3</v>
      </c>
      <c r="G221" s="27">
        <v>1406886000</v>
      </c>
      <c r="H221" s="27">
        <v>826940296</v>
      </c>
      <c r="I221" s="27">
        <v>0</v>
      </c>
      <c r="J221" s="27">
        <v>2233826296</v>
      </c>
      <c r="K221" s="28">
        <v>9.8720274445177167E-4</v>
      </c>
    </row>
    <row r="222" spans="1:11" x14ac:dyDescent="0.4">
      <c r="A222" s="27" t="s">
        <v>334</v>
      </c>
      <c r="B222" s="27">
        <v>0</v>
      </c>
      <c r="C222" s="27">
        <v>154221401</v>
      </c>
      <c r="D222" s="27">
        <v>0</v>
      </c>
      <c r="E222" s="27">
        <v>154221401</v>
      </c>
      <c r="F222" s="28">
        <v>6.9825897952892777E-5</v>
      </c>
      <c r="G222" s="27">
        <v>0</v>
      </c>
      <c r="H222" s="27">
        <v>379674254</v>
      </c>
      <c r="I222" s="27">
        <v>0</v>
      </c>
      <c r="J222" s="27">
        <v>379674254</v>
      </c>
      <c r="K222" s="28">
        <v>1.6779078400932167E-4</v>
      </c>
    </row>
    <row r="223" spans="1:11" x14ac:dyDescent="0.4">
      <c r="A223" s="27" t="s">
        <v>335</v>
      </c>
      <c r="B223" s="27">
        <v>0</v>
      </c>
      <c r="C223" s="27">
        <v>6515244820</v>
      </c>
      <c r="D223" s="27">
        <v>0</v>
      </c>
      <c r="E223" s="27">
        <v>6515244820</v>
      </c>
      <c r="F223" s="28">
        <v>2.9498682866940969E-3</v>
      </c>
      <c r="G223" s="27">
        <v>0</v>
      </c>
      <c r="H223" s="27">
        <v>6501353040</v>
      </c>
      <c r="I223" s="27">
        <v>0</v>
      </c>
      <c r="J223" s="27">
        <v>6501353040</v>
      </c>
      <c r="K223" s="28">
        <v>2.8731659105412683E-3</v>
      </c>
    </row>
    <row r="224" spans="1:11" x14ac:dyDescent="0.4">
      <c r="A224" s="27" t="s">
        <v>336</v>
      </c>
      <c r="B224" s="27">
        <v>0</v>
      </c>
      <c r="C224" s="27">
        <v>410312483</v>
      </c>
      <c r="D224" s="27">
        <v>0</v>
      </c>
      <c r="E224" s="27">
        <v>410312483</v>
      </c>
      <c r="F224" s="28">
        <v>1.8577471985717502E-4</v>
      </c>
      <c r="G224" s="27">
        <v>0</v>
      </c>
      <c r="H224" s="27">
        <v>464630836</v>
      </c>
      <c r="I224" s="27">
        <v>0</v>
      </c>
      <c r="J224" s="27">
        <v>464630836</v>
      </c>
      <c r="K224" s="28">
        <v>2.0533594634348465E-4</v>
      </c>
    </row>
    <row r="225" spans="1:11" x14ac:dyDescent="0.4">
      <c r="A225" s="27" t="s">
        <v>337</v>
      </c>
      <c r="B225" s="27">
        <v>0</v>
      </c>
      <c r="C225" s="27">
        <v>0</v>
      </c>
      <c r="D225" s="27">
        <v>0</v>
      </c>
      <c r="E225" s="27">
        <v>0</v>
      </c>
      <c r="F225" s="28">
        <v>0</v>
      </c>
      <c r="G225" s="27">
        <v>0</v>
      </c>
      <c r="H225" s="27">
        <v>-7609759878</v>
      </c>
      <c r="I225" s="27">
        <v>0</v>
      </c>
      <c r="J225" s="27">
        <v>-7609759878</v>
      </c>
      <c r="K225" s="28">
        <v>-3.3630080591461439E-3</v>
      </c>
    </row>
    <row r="226" spans="1:11" x14ac:dyDescent="0.4">
      <c r="A226" s="27" t="s">
        <v>338</v>
      </c>
      <c r="B226" s="27">
        <v>0</v>
      </c>
      <c r="C226" s="27">
        <v>0</v>
      </c>
      <c r="D226" s="27">
        <v>0</v>
      </c>
      <c r="E226" s="27">
        <v>0</v>
      </c>
      <c r="F226" s="28">
        <v>0</v>
      </c>
      <c r="G226" s="27">
        <v>0</v>
      </c>
      <c r="H226" s="27">
        <v>0</v>
      </c>
      <c r="I226" s="27">
        <v>32508649</v>
      </c>
      <c r="J226" s="27">
        <v>32508649</v>
      </c>
      <c r="K226" s="28">
        <v>1.4366662067093575E-5</v>
      </c>
    </row>
    <row r="227" spans="1:11" x14ac:dyDescent="0.4">
      <c r="A227" s="27" t="s">
        <v>339</v>
      </c>
      <c r="B227" s="27">
        <v>0</v>
      </c>
      <c r="C227" s="27">
        <v>0</v>
      </c>
      <c r="D227" s="27">
        <v>0</v>
      </c>
      <c r="E227" s="27">
        <v>0</v>
      </c>
      <c r="F227" s="28">
        <v>0</v>
      </c>
      <c r="G227" s="27">
        <v>0</v>
      </c>
      <c r="H227" s="27">
        <v>-7419613155</v>
      </c>
      <c r="I227" s="27">
        <v>0</v>
      </c>
      <c r="J227" s="27">
        <v>-7419613155</v>
      </c>
      <c r="K227" s="28">
        <v>-3.2789758462877672E-3</v>
      </c>
    </row>
    <row r="228" spans="1:11" x14ac:dyDescent="0.4">
      <c r="A228" s="27" t="s">
        <v>340</v>
      </c>
      <c r="B228" s="27">
        <v>0</v>
      </c>
      <c r="C228" s="27">
        <v>0</v>
      </c>
      <c r="D228" s="27">
        <v>0</v>
      </c>
      <c r="E228" s="27">
        <v>0</v>
      </c>
      <c r="F228" s="28">
        <v>0</v>
      </c>
      <c r="G228" s="27">
        <v>0</v>
      </c>
      <c r="H228" s="27">
        <v>-2231164273</v>
      </c>
      <c r="I228" s="27">
        <v>0</v>
      </c>
      <c r="J228" s="27">
        <v>-2231164273</v>
      </c>
      <c r="K228" s="28">
        <v>-9.8602630722560984E-4</v>
      </c>
    </row>
    <row r="229" spans="1:11" x14ac:dyDescent="0.4">
      <c r="A229" s="27" t="s">
        <v>341</v>
      </c>
      <c r="B229" s="27">
        <v>0</v>
      </c>
      <c r="C229" s="60">
        <v>0</v>
      </c>
      <c r="D229" s="27">
        <v>0</v>
      </c>
      <c r="E229" s="27">
        <v>0</v>
      </c>
      <c r="F229" s="59">
        <v>0</v>
      </c>
      <c r="G229" s="27">
        <v>0</v>
      </c>
      <c r="H229" s="27">
        <v>-10547611801</v>
      </c>
      <c r="I229" s="60">
        <v>0</v>
      </c>
      <c r="J229" s="60">
        <v>-10547611801</v>
      </c>
      <c r="K229" s="28">
        <v>-4.6613433354260655E-3</v>
      </c>
    </row>
    <row r="230" spans="1:11" ht="16.5" thickBot="1" x14ac:dyDescent="0.45">
      <c r="A230" s="27" t="s">
        <v>2</v>
      </c>
      <c r="B230" s="58">
        <f t="shared" ref="B230:K230" si="0">SUM(B11:B229)</f>
        <v>114407605533</v>
      </c>
      <c r="C230" s="27">
        <f t="shared" si="0"/>
        <v>2011962128948</v>
      </c>
      <c r="D230" s="64">
        <f t="shared" si="0"/>
        <v>81219197461</v>
      </c>
      <c r="E230" s="64">
        <f t="shared" si="0"/>
        <v>2207588931942</v>
      </c>
      <c r="F230" s="28">
        <f t="shared" si="0"/>
        <v>0.99951678874787042</v>
      </c>
      <c r="G230" s="58">
        <f t="shared" si="0"/>
        <v>149610721858</v>
      </c>
      <c r="H230" s="64">
        <f t="shared" si="0"/>
        <v>2029161599399</v>
      </c>
      <c r="I230" s="27">
        <f t="shared" si="0"/>
        <v>80702410897</v>
      </c>
      <c r="J230" s="64">
        <f t="shared" si="0"/>
        <v>2259474732154</v>
      </c>
      <c r="K230" s="65">
        <f t="shared" si="0"/>
        <v>0.99853764842683135</v>
      </c>
    </row>
    <row r="231" spans="1:11" ht="16.5" thickTop="1" x14ac:dyDescent="0.4">
      <c r="B231" s="63"/>
      <c r="C231" s="63"/>
      <c r="F231" s="63"/>
      <c r="G231" s="63"/>
      <c r="I231" s="63"/>
    </row>
  </sheetData>
  <mergeCells count="15">
    <mergeCell ref="G7:K7"/>
    <mergeCell ref="B7:F7"/>
    <mergeCell ref="A8:A10"/>
    <mergeCell ref="A1:K1"/>
    <mergeCell ref="A2:K2"/>
    <mergeCell ref="A3:K3"/>
    <mergeCell ref="B8:B9"/>
    <mergeCell ref="C8:C9"/>
    <mergeCell ref="D8:D9"/>
    <mergeCell ref="G8:G9"/>
    <mergeCell ref="H8:H9"/>
    <mergeCell ref="I8:I9"/>
    <mergeCell ref="E8:F9"/>
    <mergeCell ref="J8:K9"/>
    <mergeCell ref="A5:K5"/>
  </mergeCells>
  <pageMargins left="0.70866141732283472" right="0.70866141732283472" top="0.74803149606299213" bottom="0.74803149606299213" header="0.31496062992125984" footer="0.31496062992125984"/>
  <pageSetup scale="81" fitToHeight="6" orientation="landscape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F17"/>
  <sheetViews>
    <sheetView rightToLeft="1" view="pageBreakPreview" zoomScaleNormal="100" zoomScaleSheetLayoutView="100" workbookViewId="0">
      <selection activeCell="L12" sqref="L12"/>
    </sheetView>
  </sheetViews>
  <sheetFormatPr defaultColWidth="9.140625" defaultRowHeight="15.75" x14ac:dyDescent="0.4"/>
  <cols>
    <col min="1" max="1" width="14" style="3" bestFit="1" customWidth="1"/>
    <col min="2" max="2" width="23.28515625" style="3" bestFit="1" customWidth="1"/>
    <col min="3" max="3" width="12.5703125" style="3" customWidth="1"/>
    <col min="4" max="4" width="18.85546875" style="3" bestFit="1" customWidth="1"/>
    <col min="5" max="5" width="10.28515625" style="3" customWidth="1"/>
    <col min="6" max="16384" width="9.140625" style="3"/>
  </cols>
  <sheetData>
    <row r="1" spans="1:6" ht="21" x14ac:dyDescent="0.55000000000000004">
      <c r="A1" s="35" t="s">
        <v>70</v>
      </c>
      <c r="B1" s="35"/>
      <c r="C1" s="35"/>
      <c r="D1" s="35"/>
      <c r="E1" s="35"/>
    </row>
    <row r="2" spans="1:6" ht="21" x14ac:dyDescent="0.55000000000000004">
      <c r="A2" s="35" t="s">
        <v>61</v>
      </c>
      <c r="B2" s="35"/>
      <c r="C2" s="35"/>
      <c r="D2" s="35"/>
      <c r="E2" s="35"/>
    </row>
    <row r="3" spans="1:6" ht="21" x14ac:dyDescent="0.55000000000000004">
      <c r="A3" s="35" t="s">
        <v>72</v>
      </c>
      <c r="B3" s="35"/>
      <c r="C3" s="35"/>
      <c r="D3" s="35"/>
      <c r="E3" s="35"/>
    </row>
    <row r="4" spans="1:6" ht="21" x14ac:dyDescent="0.55000000000000004">
      <c r="A4" s="26"/>
      <c r="B4" s="26"/>
      <c r="C4" s="26"/>
      <c r="D4" s="26"/>
      <c r="E4" s="26"/>
    </row>
    <row r="5" spans="1:6" ht="21" x14ac:dyDescent="0.4">
      <c r="A5" s="34" t="s">
        <v>379</v>
      </c>
      <c r="B5" s="34"/>
      <c r="C5" s="34"/>
      <c r="D5" s="34"/>
      <c r="E5" s="34"/>
    </row>
    <row r="6" spans="1:6" ht="19.5" thickBot="1" x14ac:dyDescent="0.5">
      <c r="A6" s="85"/>
      <c r="B6" s="85"/>
      <c r="C6" s="85"/>
      <c r="D6" s="85"/>
      <c r="E6" s="85"/>
    </row>
    <row r="7" spans="1:6" ht="37.5" customHeight="1" thickBot="1" x14ac:dyDescent="0.45">
      <c r="A7" s="111" t="s">
        <v>19</v>
      </c>
      <c r="B7" s="112" t="s">
        <v>67</v>
      </c>
      <c r="C7" s="112"/>
      <c r="D7" s="113" t="s">
        <v>73</v>
      </c>
      <c r="E7" s="113"/>
      <c r="F7" s="2"/>
    </row>
    <row r="8" spans="1:6" ht="59.25" customHeight="1" x14ac:dyDescent="0.4">
      <c r="A8" s="114" t="s">
        <v>15</v>
      </c>
      <c r="B8" s="115" t="s">
        <v>16</v>
      </c>
      <c r="C8" s="115" t="s">
        <v>17</v>
      </c>
      <c r="D8" s="115" t="s">
        <v>16</v>
      </c>
      <c r="E8" s="115" t="s">
        <v>17</v>
      </c>
      <c r="F8" s="5"/>
    </row>
    <row r="9" spans="1:6" ht="22.5" customHeight="1" thickBot="1" x14ac:dyDescent="0.45">
      <c r="A9" s="116"/>
      <c r="B9" s="117" t="s">
        <v>63</v>
      </c>
      <c r="C9" s="116"/>
      <c r="D9" s="117" t="s">
        <v>63</v>
      </c>
      <c r="E9" s="116"/>
      <c r="F9" s="5"/>
    </row>
    <row r="10" spans="1:6" ht="18.75" x14ac:dyDescent="0.45">
      <c r="A10" s="77" t="s">
        <v>75</v>
      </c>
      <c r="B10" s="77">
        <v>65324</v>
      </c>
      <c r="C10" s="78">
        <f>B10/B16</f>
        <v>6.1208016667417799E-5</v>
      </c>
      <c r="D10" s="77">
        <v>256278</v>
      </c>
      <c r="E10" s="78">
        <f>D10/D16</f>
        <v>7.7449159168279627E-5</v>
      </c>
    </row>
    <row r="11" spans="1:6" ht="18.75" x14ac:dyDescent="0.45">
      <c r="A11" s="77" t="s">
        <v>76</v>
      </c>
      <c r="B11" s="77">
        <v>31419</v>
      </c>
      <c r="C11" s="78">
        <f>B11/B16</f>
        <v>2.943932820515584E-5</v>
      </c>
      <c r="D11" s="77">
        <v>62838</v>
      </c>
      <c r="E11" s="78">
        <f>D11/D16</f>
        <v>1.8990121133364372E-5</v>
      </c>
    </row>
    <row r="12" spans="1:6" ht="18.75" x14ac:dyDescent="0.45">
      <c r="A12" s="77" t="s">
        <v>77</v>
      </c>
      <c r="B12" s="77">
        <v>4655</v>
      </c>
      <c r="C12" s="78">
        <f>B12/B16</f>
        <v>4.3616942867373379E-6</v>
      </c>
      <c r="D12" s="77">
        <v>6821550</v>
      </c>
      <c r="E12" s="78">
        <f>D12/D16</f>
        <v>2.0615242499331891E-3</v>
      </c>
    </row>
    <row r="13" spans="1:6" ht="18.75" x14ac:dyDescent="0.45">
      <c r="A13" s="77" t="s">
        <v>78</v>
      </c>
      <c r="B13" s="77">
        <v>1067144423</v>
      </c>
      <c r="C13" s="78">
        <f>B13/B16</f>
        <v>0.99990499096084073</v>
      </c>
      <c r="D13" s="77">
        <v>3298908319</v>
      </c>
      <c r="E13" s="78">
        <f>D13/D16</f>
        <v>0.99695516384470284</v>
      </c>
    </row>
    <row r="14" spans="1:6" ht="18.75" x14ac:dyDescent="0.45">
      <c r="A14" s="77" t="s">
        <v>79</v>
      </c>
      <c r="B14" s="84"/>
      <c r="C14" s="84"/>
      <c r="D14" s="77">
        <v>3101</v>
      </c>
      <c r="E14" s="78">
        <f>D14/D16</f>
        <v>9.3714576585128303E-7</v>
      </c>
    </row>
    <row r="15" spans="1:6" ht="18.75" x14ac:dyDescent="0.45">
      <c r="A15" s="77" t="s">
        <v>80</v>
      </c>
      <c r="B15" s="118"/>
      <c r="C15" s="118"/>
      <c r="D15" s="92">
        <v>2931546</v>
      </c>
      <c r="E15" s="93">
        <f>D15/D16</f>
        <v>8.8593547929644153E-4</v>
      </c>
    </row>
    <row r="16" spans="1:6" ht="19.5" thickBot="1" x14ac:dyDescent="0.5">
      <c r="A16" s="77" t="s">
        <v>2</v>
      </c>
      <c r="B16" s="77">
        <f>SUM(B10:B15)</f>
        <v>1067245821</v>
      </c>
      <c r="C16" s="78">
        <f>SUM(C10:C15)</f>
        <v>1</v>
      </c>
      <c r="D16" s="77">
        <f>SUM(D10:D15)</f>
        <v>3308983632</v>
      </c>
      <c r="E16" s="96">
        <f>SUM(E10:E15)</f>
        <v>1</v>
      </c>
    </row>
    <row r="17" spans="2:4" ht="16.5" thickTop="1" x14ac:dyDescent="0.4">
      <c r="B17" s="63"/>
      <c r="C17" s="63"/>
      <c r="D17" s="63"/>
    </row>
  </sheetData>
  <mergeCells count="6">
    <mergeCell ref="B7:C7"/>
    <mergeCell ref="A5:E5"/>
    <mergeCell ref="D7:E7"/>
    <mergeCell ref="A1:E1"/>
    <mergeCell ref="A2:E2"/>
    <mergeCell ref="A3:E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C11"/>
  <sheetViews>
    <sheetView rightToLeft="1" view="pageBreakPreview" zoomScaleNormal="100" zoomScaleSheetLayoutView="100" workbookViewId="0">
      <selection activeCell="H17" sqref="H17"/>
    </sheetView>
  </sheetViews>
  <sheetFormatPr defaultRowHeight="18" x14ac:dyDescent="0.45"/>
  <cols>
    <col min="1" max="1" width="27.28515625" style="6" customWidth="1"/>
    <col min="2" max="2" width="13.28515625" style="6" customWidth="1"/>
    <col min="3" max="3" width="13.7109375" style="6" customWidth="1"/>
    <col min="4" max="16384" width="9.140625" style="6"/>
  </cols>
  <sheetData>
    <row r="1" spans="1:3" x14ac:dyDescent="0.45">
      <c r="A1" s="55" t="s">
        <v>70</v>
      </c>
      <c r="B1" s="55"/>
      <c r="C1" s="55"/>
    </row>
    <row r="2" spans="1:3" x14ac:dyDescent="0.45">
      <c r="A2" s="55" t="s">
        <v>61</v>
      </c>
      <c r="B2" s="55"/>
      <c r="C2" s="55"/>
    </row>
    <row r="3" spans="1:3" x14ac:dyDescent="0.45">
      <c r="A3" s="55" t="s">
        <v>72</v>
      </c>
      <c r="B3" s="55"/>
      <c r="C3" s="55"/>
    </row>
    <row r="4" spans="1:3" x14ac:dyDescent="0.45">
      <c r="A4" s="11"/>
      <c r="B4" s="11"/>
      <c r="C4" s="11"/>
    </row>
    <row r="5" spans="1:3" ht="21" x14ac:dyDescent="0.45">
      <c r="A5" s="34" t="s">
        <v>380</v>
      </c>
      <c r="B5" s="34"/>
      <c r="C5" s="34"/>
    </row>
    <row r="6" spans="1:3" ht="21.75" thickBot="1" x14ac:dyDescent="0.5">
      <c r="A6" s="119"/>
      <c r="B6" s="116" t="s">
        <v>67</v>
      </c>
      <c r="C6" s="116" t="s">
        <v>73</v>
      </c>
    </row>
    <row r="7" spans="1:3" ht="16.5" customHeight="1" x14ac:dyDescent="0.45">
      <c r="A7" s="120" t="s">
        <v>28</v>
      </c>
      <c r="B7" s="121" t="s">
        <v>6</v>
      </c>
      <c r="C7" s="121" t="s">
        <v>6</v>
      </c>
    </row>
    <row r="8" spans="1:3" ht="18.75" thickBot="1" x14ac:dyDescent="0.5">
      <c r="A8" s="122"/>
      <c r="B8" s="123"/>
      <c r="C8" s="123"/>
    </row>
    <row r="9" spans="1:3" ht="18.75" x14ac:dyDescent="0.45">
      <c r="A9" s="77" t="s">
        <v>135</v>
      </c>
      <c r="B9" s="77">
        <v>1697</v>
      </c>
      <c r="C9" s="124">
        <v>1697</v>
      </c>
    </row>
    <row r="10" spans="1:3" ht="19.5" thickBot="1" x14ac:dyDescent="0.5">
      <c r="A10" s="77" t="s">
        <v>2</v>
      </c>
      <c r="B10" s="95">
        <f>SUM(B9:B9)</f>
        <v>1697</v>
      </c>
      <c r="C10" s="94">
        <f>SUM(C9:C9)</f>
        <v>1697</v>
      </c>
    </row>
    <row r="11" spans="1:3" ht="19.5" thickTop="1" x14ac:dyDescent="0.45">
      <c r="A11" s="84"/>
      <c r="B11" s="125"/>
      <c r="C11" s="84"/>
    </row>
  </sheetData>
  <mergeCells count="7">
    <mergeCell ref="A1:C1"/>
    <mergeCell ref="A2:C2"/>
    <mergeCell ref="A3:C3"/>
    <mergeCell ref="C7:C8"/>
    <mergeCell ref="B7:B8"/>
    <mergeCell ref="A5:C5"/>
    <mergeCell ref="A7:A8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1:M63"/>
  <sheetViews>
    <sheetView rightToLeft="1" view="pageBreakPreview" topLeftCell="A43" zoomScale="98" zoomScaleNormal="100" zoomScaleSheetLayoutView="98" workbookViewId="0">
      <selection activeCell="C6" sqref="C6"/>
    </sheetView>
  </sheetViews>
  <sheetFormatPr defaultColWidth="9.140625" defaultRowHeight="15.75" x14ac:dyDescent="0.4"/>
  <cols>
    <col min="1" max="1" width="19.85546875" style="3" bestFit="1" customWidth="1"/>
    <col min="2" max="2" width="12.42578125" style="3" bestFit="1" customWidth="1"/>
    <col min="3" max="3" width="10.85546875" style="3" customWidth="1"/>
    <col min="4" max="4" width="14.140625" style="3" bestFit="1" customWidth="1"/>
    <col min="5" max="5" width="14" style="3" bestFit="1" customWidth="1"/>
    <col min="6" max="6" width="12.28515625" style="3" bestFit="1" customWidth="1"/>
    <col min="7" max="7" width="14.5703125" style="3" bestFit="1" customWidth="1"/>
    <col min="8" max="8" width="14" style="3" bestFit="1" customWidth="1"/>
    <col min="9" max="9" width="12.28515625" style="3" bestFit="1" customWidth="1"/>
    <col min="10" max="10" width="14.5703125" style="3" bestFit="1" customWidth="1"/>
    <col min="11" max="16384" width="9.140625" style="3"/>
  </cols>
  <sheetData>
    <row r="1" spans="1:13" ht="21" x14ac:dyDescent="0.55000000000000004">
      <c r="A1" s="35" t="s">
        <v>70</v>
      </c>
      <c r="B1" s="35"/>
      <c r="C1" s="35"/>
      <c r="D1" s="35"/>
      <c r="E1" s="35"/>
      <c r="F1" s="35"/>
      <c r="G1" s="35"/>
      <c r="H1" s="35"/>
      <c r="I1" s="35"/>
      <c r="J1" s="35"/>
    </row>
    <row r="2" spans="1:13" ht="21" x14ac:dyDescent="0.55000000000000004">
      <c r="A2" s="35" t="s">
        <v>61</v>
      </c>
      <c r="B2" s="35"/>
      <c r="C2" s="35"/>
      <c r="D2" s="35"/>
      <c r="E2" s="35"/>
      <c r="F2" s="35"/>
      <c r="G2" s="35"/>
      <c r="H2" s="35"/>
      <c r="I2" s="35"/>
      <c r="J2" s="35"/>
    </row>
    <row r="3" spans="1:13" ht="21" x14ac:dyDescent="0.55000000000000004">
      <c r="A3" s="35" t="s">
        <v>72</v>
      </c>
      <c r="B3" s="35"/>
      <c r="C3" s="35"/>
      <c r="D3" s="35"/>
      <c r="E3" s="35"/>
      <c r="F3" s="35"/>
      <c r="G3" s="35"/>
      <c r="H3" s="35"/>
      <c r="I3" s="35"/>
      <c r="J3" s="35"/>
    </row>
    <row r="4" spans="1:13" ht="21" x14ac:dyDescent="0.4">
      <c r="A4" s="34" t="s">
        <v>11</v>
      </c>
      <c r="B4" s="34"/>
      <c r="C4" s="34"/>
      <c r="D4" s="34"/>
      <c r="E4" s="34"/>
      <c r="F4" s="34"/>
      <c r="G4" s="34"/>
      <c r="H4" s="34"/>
      <c r="I4" s="34"/>
      <c r="J4" s="34"/>
      <c r="K4" s="29"/>
      <c r="L4" s="29"/>
      <c r="M4" s="29"/>
    </row>
    <row r="5" spans="1:13" ht="16.5" customHeight="1" thickBot="1" x14ac:dyDescent="0.45">
      <c r="B5" s="56" t="s">
        <v>46</v>
      </c>
      <c r="C5" s="56"/>
      <c r="D5" s="56"/>
      <c r="E5" s="33" t="s">
        <v>67</v>
      </c>
      <c r="F5" s="33"/>
      <c r="G5" s="33"/>
      <c r="H5" s="33" t="s">
        <v>73</v>
      </c>
      <c r="I5" s="33"/>
      <c r="J5" s="33"/>
      <c r="K5" s="2"/>
      <c r="L5" s="2"/>
      <c r="M5" s="2"/>
    </row>
    <row r="6" spans="1:13" ht="47.25" customHeight="1" thickBot="1" x14ac:dyDescent="0.45">
      <c r="A6" s="22" t="s">
        <v>30</v>
      </c>
      <c r="B6" s="15" t="s">
        <v>40</v>
      </c>
      <c r="C6" s="14" t="s">
        <v>45</v>
      </c>
      <c r="D6" s="14" t="s">
        <v>41</v>
      </c>
      <c r="E6" s="14" t="s">
        <v>42</v>
      </c>
      <c r="F6" s="8" t="s">
        <v>43</v>
      </c>
      <c r="G6" s="14" t="s">
        <v>44</v>
      </c>
      <c r="H6" s="14" t="s">
        <v>42</v>
      </c>
      <c r="I6" s="16" t="s">
        <v>43</v>
      </c>
      <c r="J6" s="14" t="s">
        <v>44</v>
      </c>
    </row>
    <row r="7" spans="1:13" x14ac:dyDescent="0.4">
      <c r="A7" s="27" t="s">
        <v>97</v>
      </c>
      <c r="B7" s="27" t="s">
        <v>136</v>
      </c>
      <c r="C7" s="27">
        <v>5542935</v>
      </c>
      <c r="D7" s="27">
        <v>1000</v>
      </c>
      <c r="E7" s="27">
        <v>5542935000</v>
      </c>
      <c r="F7" s="27">
        <v>-281111138</v>
      </c>
      <c r="G7" s="27">
        <v>5261823862</v>
      </c>
      <c r="H7" s="27">
        <v>5542935000</v>
      </c>
      <c r="I7" s="27">
        <v>-281111138</v>
      </c>
      <c r="J7" s="27">
        <v>5261823862</v>
      </c>
    </row>
    <row r="8" spans="1:13" x14ac:dyDescent="0.4">
      <c r="A8" s="27" t="s">
        <v>137</v>
      </c>
      <c r="B8" s="27" t="s">
        <v>138</v>
      </c>
      <c r="C8" s="27">
        <v>10724125</v>
      </c>
      <c r="D8" s="27">
        <v>810</v>
      </c>
      <c r="E8" s="27">
        <v>8686541250</v>
      </c>
      <c r="F8" s="27">
        <v>-337396928</v>
      </c>
      <c r="G8" s="27">
        <v>8349144322</v>
      </c>
      <c r="H8" s="27">
        <v>8686541250</v>
      </c>
      <c r="I8" s="27">
        <v>-337396928</v>
      </c>
      <c r="J8" s="27">
        <v>8349144322</v>
      </c>
    </row>
    <row r="9" spans="1:13" x14ac:dyDescent="0.4">
      <c r="A9" s="27" t="s">
        <v>119</v>
      </c>
      <c r="B9" s="27" t="s">
        <v>139</v>
      </c>
      <c r="C9" s="27">
        <v>8421427</v>
      </c>
      <c r="D9" s="27">
        <v>180</v>
      </c>
      <c r="E9" s="27">
        <v>1515856860</v>
      </c>
      <c r="F9" s="27">
        <v>-90775717</v>
      </c>
      <c r="G9" s="27">
        <v>1425081143</v>
      </c>
      <c r="H9" s="27">
        <v>1515856860</v>
      </c>
      <c r="I9" s="27">
        <v>-90775717</v>
      </c>
      <c r="J9" s="27">
        <v>1425081143</v>
      </c>
    </row>
    <row r="10" spans="1:13" x14ac:dyDescent="0.4">
      <c r="A10" s="27" t="s">
        <v>88</v>
      </c>
      <c r="B10" s="27" t="s">
        <v>140</v>
      </c>
      <c r="C10" s="27">
        <v>1505609</v>
      </c>
      <c r="D10" s="27">
        <v>1910</v>
      </c>
      <c r="E10" s="27">
        <v>2875713190</v>
      </c>
      <c r="F10" s="27">
        <v>-213353483</v>
      </c>
      <c r="G10" s="27">
        <v>2662359707</v>
      </c>
      <c r="H10" s="27">
        <v>2875713190</v>
      </c>
      <c r="I10" s="27">
        <v>-213353483</v>
      </c>
      <c r="J10" s="27">
        <v>2662359707</v>
      </c>
    </row>
    <row r="11" spans="1:13" x14ac:dyDescent="0.4">
      <c r="A11" s="27" t="s">
        <v>141</v>
      </c>
      <c r="B11" s="27" t="s">
        <v>138</v>
      </c>
      <c r="C11" s="27">
        <v>1750000</v>
      </c>
      <c r="D11" s="27">
        <v>570</v>
      </c>
      <c r="E11" s="27">
        <v>997500000</v>
      </c>
      <c r="F11" s="27">
        <v>-59734385</v>
      </c>
      <c r="G11" s="27">
        <v>937765615</v>
      </c>
      <c r="H11" s="27">
        <v>997500000</v>
      </c>
      <c r="I11" s="27">
        <v>-59734385</v>
      </c>
      <c r="J11" s="27">
        <v>937765615</v>
      </c>
    </row>
    <row r="12" spans="1:13" x14ac:dyDescent="0.4">
      <c r="A12" s="27" t="s">
        <v>142</v>
      </c>
      <c r="B12" s="27" t="s">
        <v>143</v>
      </c>
      <c r="C12" s="27">
        <v>2875000</v>
      </c>
      <c r="D12" s="27">
        <v>116</v>
      </c>
      <c r="E12" s="27">
        <v>333500000</v>
      </c>
      <c r="F12" s="27">
        <v>0</v>
      </c>
      <c r="G12" s="27">
        <v>333500000</v>
      </c>
      <c r="H12" s="27">
        <v>333500000</v>
      </c>
      <c r="I12" s="27">
        <v>0</v>
      </c>
      <c r="J12" s="27">
        <v>333500000</v>
      </c>
    </row>
    <row r="13" spans="1:13" x14ac:dyDescent="0.4">
      <c r="A13" s="27" t="s">
        <v>107</v>
      </c>
      <c r="B13" s="27" t="s">
        <v>144</v>
      </c>
      <c r="C13" s="27">
        <v>9863245</v>
      </c>
      <c r="D13" s="27">
        <v>240</v>
      </c>
      <c r="E13" s="27">
        <v>2367178800</v>
      </c>
      <c r="F13" s="27">
        <v>0</v>
      </c>
      <c r="G13" s="27">
        <v>2367178800</v>
      </c>
      <c r="H13" s="27">
        <v>2367178800</v>
      </c>
      <c r="I13" s="27">
        <v>0</v>
      </c>
      <c r="J13" s="27">
        <v>2367178800</v>
      </c>
    </row>
    <row r="14" spans="1:13" x14ac:dyDescent="0.4">
      <c r="A14" s="27" t="s">
        <v>145</v>
      </c>
      <c r="B14" s="27" t="s">
        <v>146</v>
      </c>
      <c r="C14" s="27">
        <v>3665469</v>
      </c>
      <c r="D14" s="27">
        <v>615</v>
      </c>
      <c r="H14" s="27">
        <v>2254263435</v>
      </c>
      <c r="I14" s="27">
        <v>0</v>
      </c>
      <c r="J14" s="27">
        <v>2254263435</v>
      </c>
    </row>
    <row r="15" spans="1:13" x14ac:dyDescent="0.4">
      <c r="A15" s="27" t="s">
        <v>114</v>
      </c>
      <c r="B15" s="27" t="s">
        <v>144</v>
      </c>
      <c r="C15" s="27">
        <v>29417878</v>
      </c>
      <c r="D15" s="27">
        <v>390</v>
      </c>
      <c r="E15" s="27">
        <v>11472972420</v>
      </c>
      <c r="F15" s="27">
        <v>0</v>
      </c>
      <c r="G15" s="27">
        <v>11472972420</v>
      </c>
      <c r="H15" s="27">
        <v>11472972420</v>
      </c>
      <c r="I15" s="27">
        <v>0</v>
      </c>
      <c r="J15" s="27">
        <v>11472972420</v>
      </c>
    </row>
    <row r="16" spans="1:13" x14ac:dyDescent="0.4">
      <c r="A16" s="27" t="s">
        <v>147</v>
      </c>
      <c r="B16" s="27" t="s">
        <v>148</v>
      </c>
      <c r="C16" s="27">
        <v>5516183</v>
      </c>
      <c r="D16" s="27">
        <v>270</v>
      </c>
      <c r="H16" s="27">
        <v>1489369410</v>
      </c>
      <c r="I16" s="27">
        <v>-55961804</v>
      </c>
      <c r="J16" s="27">
        <v>1433407606</v>
      </c>
    </row>
    <row r="17" spans="1:10" x14ac:dyDescent="0.4">
      <c r="A17" s="27" t="s">
        <v>149</v>
      </c>
      <c r="B17" s="27" t="s">
        <v>150</v>
      </c>
      <c r="C17" s="27">
        <v>7357161</v>
      </c>
      <c r="D17" s="27">
        <v>1000</v>
      </c>
      <c r="H17" s="27">
        <v>7357161000</v>
      </c>
      <c r="I17" s="27">
        <v>-322809291</v>
      </c>
      <c r="J17" s="27">
        <v>7034351709</v>
      </c>
    </row>
    <row r="18" spans="1:10" x14ac:dyDescent="0.4">
      <c r="A18" s="27" t="s">
        <v>151</v>
      </c>
      <c r="B18" s="27" t="s">
        <v>152</v>
      </c>
      <c r="C18" s="27">
        <v>285750</v>
      </c>
      <c r="D18" s="27">
        <v>4000</v>
      </c>
      <c r="H18" s="27">
        <v>1143000000</v>
      </c>
      <c r="I18" s="27">
        <v>-35647644</v>
      </c>
      <c r="J18" s="27">
        <v>1107352356</v>
      </c>
    </row>
    <row r="19" spans="1:10" x14ac:dyDescent="0.4">
      <c r="A19" s="27" t="s">
        <v>153</v>
      </c>
      <c r="B19" s="27" t="s">
        <v>146</v>
      </c>
      <c r="C19" s="27">
        <v>11278863</v>
      </c>
      <c r="D19" s="27">
        <v>160</v>
      </c>
      <c r="H19" s="27">
        <v>1804618080</v>
      </c>
      <c r="I19" s="27">
        <v>-68951152</v>
      </c>
      <c r="J19" s="27">
        <v>1735666928</v>
      </c>
    </row>
    <row r="20" spans="1:10" x14ac:dyDescent="0.4">
      <c r="A20" s="27" t="s">
        <v>154</v>
      </c>
      <c r="B20" s="27" t="s">
        <v>155</v>
      </c>
      <c r="C20" s="27">
        <v>1648155</v>
      </c>
      <c r="D20" s="27">
        <v>1000</v>
      </c>
      <c r="E20" s="27">
        <v>1648155000</v>
      </c>
      <c r="F20" s="27">
        <v>-98698271</v>
      </c>
      <c r="G20" s="27">
        <v>1549456729</v>
      </c>
      <c r="H20" s="27">
        <v>1648155000</v>
      </c>
      <c r="I20" s="27">
        <v>-98698271</v>
      </c>
      <c r="J20" s="27">
        <v>1549456729</v>
      </c>
    </row>
    <row r="21" spans="1:10" x14ac:dyDescent="0.4">
      <c r="A21" s="27" t="s">
        <v>156</v>
      </c>
      <c r="B21" s="27" t="s">
        <v>157</v>
      </c>
      <c r="C21" s="27">
        <v>250000</v>
      </c>
      <c r="D21" s="27">
        <v>750</v>
      </c>
      <c r="H21" s="27">
        <v>187500000</v>
      </c>
      <c r="I21" s="27">
        <v>0</v>
      </c>
      <c r="J21" s="27">
        <v>187500000</v>
      </c>
    </row>
    <row r="22" spans="1:10" x14ac:dyDescent="0.4">
      <c r="A22" s="27" t="s">
        <v>158</v>
      </c>
      <c r="B22" s="27" t="s">
        <v>139</v>
      </c>
      <c r="C22" s="27">
        <v>3860139</v>
      </c>
      <c r="D22" s="27">
        <v>240</v>
      </c>
      <c r="E22" s="27">
        <v>926433360</v>
      </c>
      <c r="F22" s="27">
        <v>-44115874</v>
      </c>
      <c r="G22" s="27">
        <v>882317486</v>
      </c>
      <c r="H22" s="27">
        <v>926433360</v>
      </c>
      <c r="I22" s="27">
        <v>-44115874</v>
      </c>
      <c r="J22" s="27">
        <v>882317486</v>
      </c>
    </row>
    <row r="23" spans="1:10" x14ac:dyDescent="0.4">
      <c r="A23" s="27" t="s">
        <v>90</v>
      </c>
      <c r="B23" s="27" t="s">
        <v>159</v>
      </c>
      <c r="C23" s="27">
        <v>8960615</v>
      </c>
      <c r="D23" s="27">
        <v>240</v>
      </c>
      <c r="E23" s="27">
        <v>2150547600</v>
      </c>
      <c r="F23" s="27">
        <v>-135271929</v>
      </c>
      <c r="G23" s="27">
        <v>2015275671</v>
      </c>
      <c r="H23" s="27">
        <v>2150547600</v>
      </c>
      <c r="I23" s="27">
        <v>-135271929</v>
      </c>
      <c r="J23" s="27">
        <v>2015275671</v>
      </c>
    </row>
    <row r="24" spans="1:10" x14ac:dyDescent="0.4">
      <c r="A24" s="27" t="s">
        <v>160</v>
      </c>
      <c r="B24" s="27" t="s">
        <v>138</v>
      </c>
      <c r="C24" s="27">
        <v>4749593</v>
      </c>
      <c r="D24" s="27">
        <v>1490</v>
      </c>
      <c r="E24" s="27">
        <v>7076893570</v>
      </c>
      <c r="F24" s="27">
        <v>-549878654</v>
      </c>
      <c r="G24" s="27">
        <v>6527014916</v>
      </c>
      <c r="H24" s="27">
        <v>7076893570</v>
      </c>
      <c r="I24" s="27">
        <v>-549878654</v>
      </c>
      <c r="J24" s="27">
        <v>6527014916</v>
      </c>
    </row>
    <row r="25" spans="1:10" x14ac:dyDescent="0.4">
      <c r="A25" s="27" t="s">
        <v>130</v>
      </c>
      <c r="B25" s="27" t="s">
        <v>138</v>
      </c>
      <c r="C25" s="27">
        <v>20378584</v>
      </c>
      <c r="D25" s="27">
        <v>91</v>
      </c>
      <c r="E25" s="27">
        <v>1854451144</v>
      </c>
      <c r="F25" s="27">
        <v>-75542688</v>
      </c>
      <c r="G25" s="27">
        <v>1778908456</v>
      </c>
      <c r="H25" s="27">
        <v>1854451144</v>
      </c>
      <c r="I25" s="27">
        <v>-75542688</v>
      </c>
      <c r="J25" s="27">
        <v>1778908456</v>
      </c>
    </row>
    <row r="26" spans="1:10" x14ac:dyDescent="0.4">
      <c r="A26" s="27" t="s">
        <v>161</v>
      </c>
      <c r="B26" s="27" t="s">
        <v>162</v>
      </c>
      <c r="C26" s="27">
        <v>11440020</v>
      </c>
      <c r="D26" s="27">
        <v>160</v>
      </c>
      <c r="H26" s="27">
        <v>1830403200</v>
      </c>
      <c r="I26" s="27">
        <v>-140087784</v>
      </c>
      <c r="J26" s="27">
        <v>1690315416</v>
      </c>
    </row>
    <row r="27" spans="1:10" x14ac:dyDescent="0.4">
      <c r="A27" s="27" t="s">
        <v>128</v>
      </c>
      <c r="B27" s="27" t="s">
        <v>163</v>
      </c>
      <c r="C27" s="27">
        <v>860136</v>
      </c>
      <c r="D27" s="27">
        <v>1500</v>
      </c>
      <c r="H27" s="27">
        <v>0</v>
      </c>
      <c r="I27" s="27">
        <v>0</v>
      </c>
      <c r="J27" s="27">
        <v>0</v>
      </c>
    </row>
    <row r="28" spans="1:10" x14ac:dyDescent="0.4">
      <c r="A28" s="27" t="s">
        <v>164</v>
      </c>
      <c r="B28" s="27" t="s">
        <v>146</v>
      </c>
      <c r="C28" s="27">
        <v>3534630</v>
      </c>
      <c r="D28" s="27">
        <v>480</v>
      </c>
      <c r="H28" s="27">
        <v>1696622400</v>
      </c>
      <c r="I28" s="27">
        <v>0</v>
      </c>
      <c r="J28" s="27">
        <v>1696622400</v>
      </c>
    </row>
    <row r="29" spans="1:10" x14ac:dyDescent="0.4">
      <c r="A29" s="27" t="s">
        <v>165</v>
      </c>
      <c r="B29" s="27" t="s">
        <v>166</v>
      </c>
      <c r="C29" s="27">
        <v>2874653</v>
      </c>
      <c r="D29" s="27">
        <v>740</v>
      </c>
      <c r="H29" s="27">
        <v>2127243220</v>
      </c>
      <c r="I29" s="27">
        <v>-64975557</v>
      </c>
      <c r="J29" s="27">
        <v>2062267663</v>
      </c>
    </row>
    <row r="30" spans="1:10" x14ac:dyDescent="0.4">
      <c r="A30" s="27" t="s">
        <v>167</v>
      </c>
      <c r="B30" s="27" t="s">
        <v>168</v>
      </c>
      <c r="C30" s="27">
        <v>84882</v>
      </c>
      <c r="D30" s="27">
        <v>28874</v>
      </c>
      <c r="E30" s="27">
        <v>2450882868</v>
      </c>
      <c r="F30" s="27">
        <v>-66946168</v>
      </c>
      <c r="G30" s="27">
        <v>2383936700</v>
      </c>
      <c r="H30" s="27">
        <v>2450882868</v>
      </c>
      <c r="I30" s="27">
        <v>-66946168</v>
      </c>
      <c r="J30" s="27">
        <v>2383936700</v>
      </c>
    </row>
    <row r="31" spans="1:10" x14ac:dyDescent="0.4">
      <c r="A31" s="27" t="s">
        <v>169</v>
      </c>
      <c r="B31" s="27" t="s">
        <v>168</v>
      </c>
      <c r="C31" s="27">
        <v>612681</v>
      </c>
      <c r="D31" s="27">
        <v>7200</v>
      </c>
      <c r="E31" s="27">
        <v>4411303200</v>
      </c>
      <c r="F31" s="27">
        <v>-316895907</v>
      </c>
      <c r="G31" s="27">
        <v>4094407293</v>
      </c>
      <c r="H31" s="27">
        <v>4411303200</v>
      </c>
      <c r="I31" s="27">
        <v>-316895907</v>
      </c>
      <c r="J31" s="27">
        <v>4094407293</v>
      </c>
    </row>
    <row r="32" spans="1:10" x14ac:dyDescent="0.4">
      <c r="A32" s="27" t="s">
        <v>170</v>
      </c>
      <c r="B32" s="27" t="s">
        <v>140</v>
      </c>
      <c r="C32" s="27">
        <v>3983350</v>
      </c>
      <c r="D32" s="27">
        <v>790</v>
      </c>
      <c r="E32" s="27">
        <v>3146846500</v>
      </c>
      <c r="F32" s="27">
        <v>-233469271</v>
      </c>
      <c r="G32" s="27">
        <v>2913377229</v>
      </c>
      <c r="H32" s="27">
        <v>3146846500</v>
      </c>
      <c r="I32" s="27">
        <v>-233469271</v>
      </c>
      <c r="J32" s="27">
        <v>2913377229</v>
      </c>
    </row>
    <row r="33" spans="1:10" x14ac:dyDescent="0.4">
      <c r="A33" s="27" t="s">
        <v>171</v>
      </c>
      <c r="B33" s="27" t="s">
        <v>172</v>
      </c>
      <c r="C33" s="27">
        <v>2001235</v>
      </c>
      <c r="D33" s="27">
        <v>1520</v>
      </c>
      <c r="E33" s="27">
        <v>3041877200</v>
      </c>
      <c r="F33" s="27">
        <v>-152390725</v>
      </c>
      <c r="G33" s="27">
        <v>2889486475</v>
      </c>
      <c r="H33" s="27">
        <v>3041877200</v>
      </c>
      <c r="I33" s="27">
        <v>-152390725</v>
      </c>
      <c r="J33" s="27">
        <v>2889486475</v>
      </c>
    </row>
    <row r="34" spans="1:10" x14ac:dyDescent="0.4">
      <c r="A34" s="27" t="s">
        <v>173</v>
      </c>
      <c r="B34" s="27" t="s">
        <v>174</v>
      </c>
      <c r="C34" s="27">
        <v>5476907</v>
      </c>
      <c r="D34" s="27">
        <v>695</v>
      </c>
      <c r="H34" s="27">
        <v>3806450365</v>
      </c>
      <c r="I34" s="27">
        <v>0</v>
      </c>
      <c r="J34" s="27">
        <v>3806450365</v>
      </c>
    </row>
    <row r="35" spans="1:10" x14ac:dyDescent="0.4">
      <c r="A35" s="27" t="s">
        <v>175</v>
      </c>
      <c r="B35" s="27" t="s">
        <v>176</v>
      </c>
      <c r="C35" s="27">
        <v>2800000</v>
      </c>
      <c r="D35" s="27">
        <v>1300</v>
      </c>
      <c r="E35" s="27">
        <v>3640000000</v>
      </c>
      <c r="F35" s="27">
        <v>-231148172</v>
      </c>
      <c r="G35" s="27">
        <v>3408851828</v>
      </c>
      <c r="H35" s="27">
        <v>3640000000</v>
      </c>
      <c r="I35" s="27">
        <v>-231148172</v>
      </c>
      <c r="J35" s="27">
        <v>3408851828</v>
      </c>
    </row>
    <row r="36" spans="1:10" x14ac:dyDescent="0.4">
      <c r="A36" s="27" t="s">
        <v>177</v>
      </c>
      <c r="B36" s="27" t="s">
        <v>178</v>
      </c>
      <c r="C36" s="27">
        <v>1027781</v>
      </c>
      <c r="D36" s="27">
        <v>4745</v>
      </c>
      <c r="H36" s="27">
        <v>4876820845</v>
      </c>
      <c r="I36" s="27">
        <v>0</v>
      </c>
      <c r="J36" s="27">
        <v>4876820845</v>
      </c>
    </row>
    <row r="37" spans="1:10" x14ac:dyDescent="0.4">
      <c r="A37" s="27" t="s">
        <v>179</v>
      </c>
      <c r="B37" s="27" t="s">
        <v>180</v>
      </c>
      <c r="C37" s="27">
        <v>104452</v>
      </c>
      <c r="D37" s="27">
        <v>27400</v>
      </c>
      <c r="E37" s="27">
        <v>2861984800</v>
      </c>
      <c r="F37" s="27">
        <v>-1958922</v>
      </c>
      <c r="G37" s="27">
        <v>2860025878</v>
      </c>
      <c r="H37" s="27">
        <v>2861984800</v>
      </c>
      <c r="I37" s="27">
        <v>-1958922</v>
      </c>
      <c r="J37" s="27">
        <v>2860025878</v>
      </c>
    </row>
    <row r="38" spans="1:10" x14ac:dyDescent="0.4">
      <c r="A38" s="27" t="s">
        <v>181</v>
      </c>
      <c r="B38" s="27" t="s">
        <v>182</v>
      </c>
      <c r="C38" s="27">
        <v>144247</v>
      </c>
      <c r="D38" s="27">
        <v>991</v>
      </c>
      <c r="E38" s="27">
        <v>142948777</v>
      </c>
      <c r="F38" s="27">
        <v>-9334683</v>
      </c>
      <c r="G38" s="27">
        <v>133614094</v>
      </c>
      <c r="H38" s="27">
        <v>142948777</v>
      </c>
      <c r="I38" s="27">
        <v>-9334683</v>
      </c>
      <c r="J38" s="27">
        <v>133614094</v>
      </c>
    </row>
    <row r="39" spans="1:10" x14ac:dyDescent="0.4">
      <c r="A39" s="27" t="s">
        <v>183</v>
      </c>
      <c r="B39" s="27" t="s">
        <v>184</v>
      </c>
      <c r="C39" s="27">
        <v>336344</v>
      </c>
      <c r="D39" s="27">
        <v>7435</v>
      </c>
      <c r="E39" s="27">
        <v>2500717640</v>
      </c>
      <c r="F39" s="27">
        <v>0</v>
      </c>
      <c r="G39" s="27">
        <v>2500717640</v>
      </c>
      <c r="H39" s="27">
        <v>2500717640</v>
      </c>
      <c r="I39" s="27">
        <v>0</v>
      </c>
      <c r="J39" s="27">
        <v>2500717640</v>
      </c>
    </row>
    <row r="40" spans="1:10" x14ac:dyDescent="0.4">
      <c r="A40" s="27" t="s">
        <v>185</v>
      </c>
      <c r="B40" s="27" t="s">
        <v>138</v>
      </c>
      <c r="C40" s="27">
        <v>1155746</v>
      </c>
      <c r="D40" s="27">
        <v>1500</v>
      </c>
      <c r="E40" s="27">
        <v>1733619000</v>
      </c>
      <c r="F40" s="27">
        <v>-97495057</v>
      </c>
      <c r="G40" s="27">
        <v>1636123943</v>
      </c>
      <c r="H40" s="27">
        <v>1733619000</v>
      </c>
      <c r="I40" s="27">
        <v>-97495057</v>
      </c>
      <c r="J40" s="27">
        <v>1636123943</v>
      </c>
    </row>
    <row r="41" spans="1:10" x14ac:dyDescent="0.4">
      <c r="A41" s="27" t="s">
        <v>186</v>
      </c>
      <c r="B41" s="27" t="s">
        <v>139</v>
      </c>
      <c r="C41" s="27">
        <v>200000</v>
      </c>
      <c r="D41" s="27">
        <v>350</v>
      </c>
      <c r="E41" s="27">
        <v>70000000</v>
      </c>
      <c r="F41" s="27">
        <v>-2763158</v>
      </c>
      <c r="G41" s="27">
        <v>67236842</v>
      </c>
      <c r="H41" s="27">
        <v>70000000</v>
      </c>
      <c r="I41" s="27">
        <v>-2763158</v>
      </c>
      <c r="J41" s="27">
        <v>67236842</v>
      </c>
    </row>
    <row r="42" spans="1:10" x14ac:dyDescent="0.4">
      <c r="A42" s="27" t="s">
        <v>187</v>
      </c>
      <c r="B42" s="27" t="s">
        <v>188</v>
      </c>
      <c r="C42" s="27">
        <v>23792</v>
      </c>
      <c r="D42" s="27">
        <v>11500</v>
      </c>
      <c r="E42" s="27">
        <v>273608000</v>
      </c>
      <c r="F42" s="27">
        <v>-21259497</v>
      </c>
      <c r="G42" s="27">
        <v>252348503</v>
      </c>
      <c r="H42" s="27">
        <v>273608000</v>
      </c>
      <c r="I42" s="27">
        <v>-21259497</v>
      </c>
      <c r="J42" s="27">
        <v>252348503</v>
      </c>
    </row>
    <row r="43" spans="1:10" x14ac:dyDescent="0.4">
      <c r="A43" s="27" t="s">
        <v>189</v>
      </c>
      <c r="B43" s="27" t="s">
        <v>174</v>
      </c>
      <c r="C43" s="27">
        <v>6157463</v>
      </c>
      <c r="D43" s="27">
        <v>450</v>
      </c>
      <c r="H43" s="27">
        <v>2770858350</v>
      </c>
      <c r="I43" s="27">
        <v>0</v>
      </c>
      <c r="J43" s="27">
        <v>2770858350</v>
      </c>
    </row>
    <row r="44" spans="1:10" x14ac:dyDescent="0.4">
      <c r="A44" s="27" t="s">
        <v>94</v>
      </c>
      <c r="B44" s="27" t="s">
        <v>190</v>
      </c>
      <c r="C44" s="27">
        <v>5612182</v>
      </c>
      <c r="D44" s="27">
        <v>630</v>
      </c>
      <c r="E44" s="27">
        <v>3535674660</v>
      </c>
      <c r="F44" s="27">
        <v>-274723931</v>
      </c>
      <c r="G44" s="27">
        <v>3260950729</v>
      </c>
      <c r="H44" s="27">
        <v>3535674660</v>
      </c>
      <c r="I44" s="27">
        <v>-274723931</v>
      </c>
      <c r="J44" s="27">
        <v>3260950729</v>
      </c>
    </row>
    <row r="45" spans="1:10" x14ac:dyDescent="0.4">
      <c r="A45" s="27" t="s">
        <v>191</v>
      </c>
      <c r="B45" s="27" t="s">
        <v>155</v>
      </c>
      <c r="C45" s="27">
        <v>7043843</v>
      </c>
      <c r="D45" s="27">
        <v>310</v>
      </c>
      <c r="E45" s="27">
        <v>2183591330</v>
      </c>
      <c r="F45" s="27">
        <v>-133402686</v>
      </c>
      <c r="G45" s="27">
        <v>2050188644</v>
      </c>
      <c r="H45" s="27">
        <v>2183591330</v>
      </c>
      <c r="I45" s="27">
        <v>-133402686</v>
      </c>
      <c r="J45" s="27">
        <v>2050188644</v>
      </c>
    </row>
    <row r="46" spans="1:10" x14ac:dyDescent="0.4">
      <c r="A46" s="27" t="s">
        <v>192</v>
      </c>
      <c r="B46" s="27" t="s">
        <v>193</v>
      </c>
      <c r="C46" s="27">
        <v>1440400</v>
      </c>
      <c r="D46" s="27">
        <v>1290</v>
      </c>
      <c r="E46" s="27">
        <v>1858116000</v>
      </c>
      <c r="F46" s="27">
        <v>-124665930</v>
      </c>
      <c r="G46" s="27">
        <v>1733450070</v>
      </c>
      <c r="H46" s="27">
        <v>1858116000</v>
      </c>
      <c r="I46" s="27">
        <v>-124665930</v>
      </c>
      <c r="J46" s="27">
        <v>1733450070</v>
      </c>
    </row>
    <row r="47" spans="1:10" x14ac:dyDescent="0.4">
      <c r="A47" s="27" t="s">
        <v>194</v>
      </c>
      <c r="B47" s="27" t="s">
        <v>195</v>
      </c>
      <c r="C47" s="27">
        <v>13000000</v>
      </c>
      <c r="D47" s="27">
        <v>650</v>
      </c>
      <c r="E47" s="27">
        <v>8450000000</v>
      </c>
      <c r="F47" s="27">
        <v>-636827106</v>
      </c>
      <c r="G47" s="27">
        <v>7813172894</v>
      </c>
      <c r="H47" s="27">
        <v>8450000000</v>
      </c>
      <c r="I47" s="27">
        <v>-636827106</v>
      </c>
      <c r="J47" s="27">
        <v>7813172894</v>
      </c>
    </row>
    <row r="48" spans="1:10" x14ac:dyDescent="0.4">
      <c r="A48" s="27" t="s">
        <v>196</v>
      </c>
      <c r="B48" s="27" t="s">
        <v>155</v>
      </c>
      <c r="C48" s="27">
        <v>23989450</v>
      </c>
      <c r="D48" s="27">
        <v>110</v>
      </c>
      <c r="E48" s="27">
        <v>2638839500</v>
      </c>
      <c r="F48" s="27">
        <v>-161215275</v>
      </c>
      <c r="G48" s="27">
        <v>2477624225</v>
      </c>
      <c r="H48" s="27">
        <v>2638839500</v>
      </c>
      <c r="I48" s="27">
        <v>-161215275</v>
      </c>
      <c r="J48" s="27">
        <v>2477624225</v>
      </c>
    </row>
    <row r="49" spans="1:10" x14ac:dyDescent="0.4">
      <c r="A49" s="27" t="s">
        <v>197</v>
      </c>
      <c r="B49" s="27" t="s">
        <v>138</v>
      </c>
      <c r="C49" s="27">
        <v>10684873</v>
      </c>
      <c r="D49" s="27">
        <v>260</v>
      </c>
      <c r="E49" s="27">
        <v>2778066980</v>
      </c>
      <c r="F49" s="27">
        <v>-215857384</v>
      </c>
      <c r="G49" s="27">
        <v>2562209596</v>
      </c>
      <c r="H49" s="27">
        <v>2778066980</v>
      </c>
      <c r="I49" s="27">
        <v>-215857384</v>
      </c>
      <c r="J49" s="27">
        <v>2562209596</v>
      </c>
    </row>
    <row r="50" spans="1:10" x14ac:dyDescent="0.4">
      <c r="A50" s="27" t="s">
        <v>198</v>
      </c>
      <c r="B50" s="27" t="s">
        <v>193</v>
      </c>
      <c r="C50" s="27">
        <v>3340260</v>
      </c>
      <c r="D50" s="27">
        <v>450</v>
      </c>
      <c r="E50" s="27">
        <v>1503117000</v>
      </c>
      <c r="F50" s="27">
        <v>-100848105</v>
      </c>
      <c r="G50" s="27">
        <v>1402268895</v>
      </c>
      <c r="H50" s="27">
        <v>1503117000</v>
      </c>
      <c r="I50" s="27">
        <v>-100848105</v>
      </c>
      <c r="J50" s="27">
        <v>1402268895</v>
      </c>
    </row>
    <row r="51" spans="1:10" x14ac:dyDescent="0.4">
      <c r="A51" s="27" t="s">
        <v>199</v>
      </c>
      <c r="B51" s="27" t="s">
        <v>193</v>
      </c>
      <c r="C51" s="27">
        <v>3484284</v>
      </c>
      <c r="D51" s="27">
        <v>840</v>
      </c>
      <c r="E51" s="27">
        <v>2926798560</v>
      </c>
      <c r="F51" s="27">
        <v>-187615292</v>
      </c>
      <c r="G51" s="27">
        <v>2739183268</v>
      </c>
      <c r="H51" s="27">
        <v>2926798560</v>
      </c>
      <c r="I51" s="27">
        <v>-187615292</v>
      </c>
      <c r="J51" s="27">
        <v>2739183268</v>
      </c>
    </row>
    <row r="52" spans="1:10" x14ac:dyDescent="0.4">
      <c r="A52" s="27" t="s">
        <v>200</v>
      </c>
      <c r="B52" s="27" t="s">
        <v>140</v>
      </c>
      <c r="C52" s="27">
        <v>881085</v>
      </c>
      <c r="D52" s="27">
        <v>3480</v>
      </c>
      <c r="E52" s="27">
        <v>3066175800</v>
      </c>
      <c r="F52" s="27">
        <v>-122969575</v>
      </c>
      <c r="G52" s="27">
        <v>2943206225</v>
      </c>
      <c r="H52" s="27">
        <v>3066175800</v>
      </c>
      <c r="I52" s="27">
        <v>-122969575</v>
      </c>
      <c r="J52" s="27">
        <v>2943206225</v>
      </c>
    </row>
    <row r="53" spans="1:10" x14ac:dyDescent="0.4">
      <c r="A53" s="27" t="s">
        <v>201</v>
      </c>
      <c r="B53" s="27" t="s">
        <v>202</v>
      </c>
      <c r="C53" s="27">
        <v>3667933</v>
      </c>
      <c r="D53" s="27">
        <v>580</v>
      </c>
      <c r="H53" s="27">
        <v>2127401140</v>
      </c>
      <c r="I53" s="27">
        <v>-86661544</v>
      </c>
      <c r="J53" s="27">
        <v>2040739596</v>
      </c>
    </row>
    <row r="54" spans="1:10" x14ac:dyDescent="0.4">
      <c r="A54" s="27" t="s">
        <v>203</v>
      </c>
      <c r="B54" s="27" t="s">
        <v>138</v>
      </c>
      <c r="C54" s="27">
        <v>14640871</v>
      </c>
      <c r="D54" s="27">
        <v>104</v>
      </c>
      <c r="E54" s="27">
        <v>1522650584</v>
      </c>
      <c r="F54" s="27">
        <v>-62026502</v>
      </c>
      <c r="G54" s="27">
        <v>1460624082</v>
      </c>
      <c r="H54" s="27">
        <v>1522650584</v>
      </c>
      <c r="I54" s="27">
        <v>-62026502</v>
      </c>
      <c r="J54" s="27">
        <v>1460624082</v>
      </c>
    </row>
    <row r="55" spans="1:10" x14ac:dyDescent="0.4">
      <c r="A55" s="27" t="s">
        <v>111</v>
      </c>
      <c r="B55" s="27" t="s">
        <v>204</v>
      </c>
      <c r="C55" s="27">
        <v>13587567</v>
      </c>
      <c r="D55" s="27">
        <v>150</v>
      </c>
      <c r="E55" s="27">
        <v>2038135050</v>
      </c>
      <c r="F55" s="27">
        <v>-124516289</v>
      </c>
      <c r="G55" s="27">
        <v>1913618761</v>
      </c>
      <c r="H55" s="27">
        <v>2038135050</v>
      </c>
      <c r="I55" s="27">
        <v>-124516289</v>
      </c>
      <c r="J55" s="27">
        <v>1913618761</v>
      </c>
    </row>
    <row r="56" spans="1:10" x14ac:dyDescent="0.4">
      <c r="A56" s="27" t="s">
        <v>205</v>
      </c>
      <c r="B56" s="27" t="s">
        <v>206</v>
      </c>
      <c r="C56" s="27">
        <v>206895</v>
      </c>
      <c r="D56" s="27">
        <v>6800</v>
      </c>
      <c r="H56" s="27">
        <v>1406886000</v>
      </c>
      <c r="I56" s="27">
        <v>0</v>
      </c>
      <c r="J56" s="27">
        <v>1406886000</v>
      </c>
    </row>
    <row r="57" spans="1:10" x14ac:dyDescent="0.4">
      <c r="A57" s="27" t="s">
        <v>207</v>
      </c>
      <c r="B57" s="27" t="s">
        <v>155</v>
      </c>
      <c r="C57" s="27">
        <v>21351892</v>
      </c>
      <c r="D57" s="27">
        <v>60</v>
      </c>
      <c r="E57" s="27">
        <v>1281113520</v>
      </c>
      <c r="F57" s="27">
        <v>-76718324</v>
      </c>
      <c r="G57" s="27">
        <v>1204395196</v>
      </c>
      <c r="H57" s="27">
        <v>1281113520</v>
      </c>
      <c r="I57" s="27">
        <v>-76718324</v>
      </c>
      <c r="J57" s="27">
        <v>1204395196</v>
      </c>
    </row>
    <row r="58" spans="1:10" x14ac:dyDescent="0.4">
      <c r="A58" s="27" t="s">
        <v>208</v>
      </c>
      <c r="B58" s="27" t="s">
        <v>74</v>
      </c>
      <c r="C58" s="27">
        <v>14321983</v>
      </c>
      <c r="D58" s="27">
        <v>200</v>
      </c>
      <c r="E58" s="27">
        <v>2864396600</v>
      </c>
      <c r="F58" s="27">
        <v>-169796706</v>
      </c>
      <c r="G58" s="27">
        <v>2694599894</v>
      </c>
      <c r="H58" s="27">
        <v>2864396600</v>
      </c>
      <c r="I58" s="27">
        <v>-169796706</v>
      </c>
      <c r="J58" s="27">
        <v>2694599894</v>
      </c>
    </row>
    <row r="59" spans="1:10" x14ac:dyDescent="0.4">
      <c r="A59" s="27" t="s">
        <v>209</v>
      </c>
      <c r="B59" s="27" t="s">
        <v>74</v>
      </c>
      <c r="C59" s="27">
        <v>26913216</v>
      </c>
      <c r="D59" s="27">
        <v>145</v>
      </c>
      <c r="E59" s="27">
        <v>3902416320</v>
      </c>
      <c r="F59" s="27">
        <v>-233692671</v>
      </c>
      <c r="G59" s="27">
        <v>3668723649</v>
      </c>
      <c r="H59" s="27">
        <v>3902416320</v>
      </c>
      <c r="I59" s="27">
        <v>-233692671</v>
      </c>
      <c r="J59" s="27">
        <v>3668723649</v>
      </c>
    </row>
    <row r="60" spans="1:10" x14ac:dyDescent="0.4">
      <c r="A60" s="27" t="s">
        <v>210</v>
      </c>
      <c r="B60" s="27" t="s">
        <v>139</v>
      </c>
      <c r="C60" s="27">
        <v>11242355</v>
      </c>
      <c r="D60" s="27">
        <v>190</v>
      </c>
      <c r="E60" s="27">
        <v>2136047450</v>
      </c>
      <c r="F60" s="27">
        <v>-120126780</v>
      </c>
      <c r="G60" s="27">
        <v>2015920670</v>
      </c>
      <c r="H60" s="27">
        <v>2136047450</v>
      </c>
      <c r="I60" s="27">
        <v>-120126780</v>
      </c>
      <c r="J60" s="27">
        <v>2015920670</v>
      </c>
    </row>
    <row r="61" spans="1:10" x14ac:dyDescent="0.4">
      <c r="A61" s="27" t="s">
        <v>115</v>
      </c>
      <c r="B61" s="27" t="s">
        <v>211</v>
      </c>
      <c r="C61" s="60">
        <v>8112972</v>
      </c>
      <c r="D61" s="60">
        <v>40</v>
      </c>
      <c r="E61" s="67"/>
      <c r="H61" s="27">
        <v>324518880</v>
      </c>
      <c r="I61" s="60">
        <v>-3300192</v>
      </c>
      <c r="J61" s="60">
        <v>321218688</v>
      </c>
    </row>
    <row r="62" spans="1:10" ht="16.5" thickBot="1" x14ac:dyDescent="0.45">
      <c r="A62" s="27" t="s">
        <v>2</v>
      </c>
      <c r="B62" s="27"/>
      <c r="C62" s="64">
        <f t="shared" ref="B62:J62" si="0">SUM(C7:C61)</f>
        <v>364391111</v>
      </c>
      <c r="D62" s="64">
        <f t="shared" si="0"/>
        <v>128991</v>
      </c>
      <c r="E62" s="27">
        <f t="shared" si="0"/>
        <v>114407605533</v>
      </c>
      <c r="F62" s="64">
        <f t="shared" si="0"/>
        <v>-5764543183</v>
      </c>
      <c r="G62" s="64">
        <f t="shared" si="0"/>
        <v>108643062350</v>
      </c>
      <c r="H62" s="64">
        <f t="shared" si="0"/>
        <v>149610721858</v>
      </c>
      <c r="I62" s="64">
        <f t="shared" si="0"/>
        <v>-6542938151</v>
      </c>
      <c r="J62" s="27">
        <f t="shared" si="0"/>
        <v>143067783707</v>
      </c>
    </row>
    <row r="63" spans="1:10" ht="16.5" thickTop="1" x14ac:dyDescent="0.4">
      <c r="E63" s="63"/>
      <c r="J63" s="63"/>
    </row>
  </sheetData>
  <mergeCells count="7">
    <mergeCell ref="B5:D5"/>
    <mergeCell ref="E5:G5"/>
    <mergeCell ref="H5:J5"/>
    <mergeCell ref="A1:J1"/>
    <mergeCell ref="A2:J2"/>
    <mergeCell ref="A3:J3"/>
    <mergeCell ref="A4:J4"/>
  </mergeCells>
  <pageMargins left="0.70866141732283472" right="0.70866141732283472" top="0.74803149606299213" bottom="0.74803149606299213" header="0.31496062992125984" footer="0.31496062992125984"/>
  <pageSetup scale="87" fitToHeight="3" orientation="landscape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G15"/>
  <sheetViews>
    <sheetView rightToLeft="1" view="pageBreakPreview" zoomScale="60" zoomScaleNormal="100" workbookViewId="0">
      <selection activeCell="S33" sqref="S33"/>
    </sheetView>
  </sheetViews>
  <sheetFormatPr defaultRowHeight="18" x14ac:dyDescent="0.45"/>
  <cols>
    <col min="1" max="1" width="15" style="6" customWidth="1"/>
    <col min="2" max="2" width="14.7109375" style="6" bestFit="1" customWidth="1"/>
    <col min="3" max="3" width="9.28515625" style="6" bestFit="1" customWidth="1"/>
    <col min="4" max="4" width="14.7109375" style="6" bestFit="1" customWidth="1"/>
    <col min="5" max="5" width="14.85546875" style="6" bestFit="1" customWidth="1"/>
    <col min="6" max="6" width="6.140625" style="6" bestFit="1" customWidth="1"/>
    <col min="7" max="7" width="14.85546875" style="6" bestFit="1" customWidth="1"/>
    <col min="8" max="16384" width="9.140625" style="6"/>
  </cols>
  <sheetData>
    <row r="1" spans="1:7" ht="19.5" x14ac:dyDescent="0.5">
      <c r="A1" s="57" t="s">
        <v>70</v>
      </c>
      <c r="B1" s="57"/>
      <c r="C1" s="57"/>
      <c r="D1" s="57"/>
      <c r="E1" s="57"/>
      <c r="F1" s="57"/>
      <c r="G1" s="57"/>
    </row>
    <row r="2" spans="1:7" ht="19.5" x14ac:dyDescent="0.5">
      <c r="A2" s="57" t="s">
        <v>61</v>
      </c>
      <c r="B2" s="57"/>
      <c r="C2" s="57"/>
      <c r="D2" s="57"/>
      <c r="E2" s="57"/>
      <c r="F2" s="57"/>
      <c r="G2" s="57"/>
    </row>
    <row r="3" spans="1:7" ht="19.5" x14ac:dyDescent="0.5">
      <c r="A3" s="57" t="s">
        <v>72</v>
      </c>
      <c r="B3" s="57"/>
      <c r="C3" s="57"/>
      <c r="D3" s="57"/>
      <c r="E3" s="57"/>
      <c r="F3" s="57"/>
      <c r="G3" s="57"/>
    </row>
    <row r="4" spans="1:7" ht="19.5" x14ac:dyDescent="0.5">
      <c r="A4" s="31"/>
      <c r="B4" s="31"/>
      <c r="C4" s="31"/>
      <c r="D4" s="31"/>
      <c r="E4" s="31"/>
      <c r="F4" s="31"/>
      <c r="G4" s="31"/>
    </row>
    <row r="5" spans="1:7" ht="21" x14ac:dyDescent="0.45">
      <c r="A5" s="34" t="s">
        <v>65</v>
      </c>
      <c r="B5" s="34"/>
      <c r="C5" s="34"/>
      <c r="D5" s="34"/>
      <c r="E5" s="34"/>
      <c r="F5" s="34"/>
      <c r="G5" s="34"/>
    </row>
    <row r="6" spans="1:7" ht="16.5" customHeight="1" thickBot="1" x14ac:dyDescent="0.5">
      <c r="A6" s="126"/>
      <c r="B6" s="123" t="s">
        <v>67</v>
      </c>
      <c r="C6" s="123"/>
      <c r="D6" s="123"/>
      <c r="E6" s="123" t="s">
        <v>73</v>
      </c>
      <c r="F6" s="123"/>
      <c r="G6" s="123"/>
    </row>
    <row r="7" spans="1:7" ht="38.25" customHeight="1" thickBot="1" x14ac:dyDescent="0.5">
      <c r="A7" s="127" t="s">
        <v>38</v>
      </c>
      <c r="B7" s="128" t="s">
        <v>62</v>
      </c>
      <c r="C7" s="128" t="s">
        <v>43</v>
      </c>
      <c r="D7" s="128" t="s">
        <v>47</v>
      </c>
      <c r="E7" s="128" t="s">
        <v>62</v>
      </c>
      <c r="F7" s="128" t="s">
        <v>43</v>
      </c>
      <c r="G7" s="128" t="s">
        <v>47</v>
      </c>
    </row>
    <row r="8" spans="1:7" ht="18.75" x14ac:dyDescent="0.45">
      <c r="A8" s="77" t="s">
        <v>77</v>
      </c>
      <c r="B8" s="77">
        <v>4655</v>
      </c>
      <c r="C8" s="77">
        <v>0</v>
      </c>
      <c r="D8" s="77">
        <v>4655</v>
      </c>
      <c r="E8" s="77">
        <v>6821550</v>
      </c>
      <c r="F8" s="77">
        <v>0</v>
      </c>
      <c r="G8" s="77">
        <v>6821550</v>
      </c>
    </row>
    <row r="9" spans="1:7" ht="18.75" x14ac:dyDescent="0.45">
      <c r="A9" s="77" t="s">
        <v>75</v>
      </c>
      <c r="B9" s="77">
        <v>65324</v>
      </c>
      <c r="C9" s="77">
        <v>0</v>
      </c>
      <c r="D9" s="77">
        <v>65324</v>
      </c>
      <c r="E9" s="77">
        <v>256278</v>
      </c>
      <c r="F9" s="77">
        <v>0</v>
      </c>
      <c r="G9" s="77">
        <v>256278</v>
      </c>
    </row>
    <row r="10" spans="1:7" ht="18.75" x14ac:dyDescent="0.45">
      <c r="A10" s="77" t="s">
        <v>76</v>
      </c>
      <c r="B10" s="77">
        <v>31419</v>
      </c>
      <c r="C10" s="77">
        <v>0</v>
      </c>
      <c r="D10" s="77">
        <v>31419</v>
      </c>
      <c r="E10" s="77">
        <v>62838</v>
      </c>
      <c r="F10" s="77">
        <v>0</v>
      </c>
      <c r="G10" s="77">
        <v>62838</v>
      </c>
    </row>
    <row r="11" spans="1:7" ht="18.75" x14ac:dyDescent="0.45">
      <c r="A11" s="77" t="s">
        <v>78</v>
      </c>
      <c r="B11" s="77">
        <v>1067144423</v>
      </c>
      <c r="C11" s="77">
        <v>0</v>
      </c>
      <c r="D11" s="77">
        <v>1067144423</v>
      </c>
      <c r="E11" s="77">
        <v>3298908319</v>
      </c>
      <c r="F11" s="77">
        <v>0</v>
      </c>
      <c r="G11" s="77">
        <v>3298908319</v>
      </c>
    </row>
    <row r="12" spans="1:7" ht="18.75" x14ac:dyDescent="0.45">
      <c r="A12" s="77" t="s">
        <v>79</v>
      </c>
      <c r="B12" s="84"/>
      <c r="C12" s="84"/>
      <c r="D12" s="84"/>
      <c r="E12" s="77">
        <v>3101</v>
      </c>
      <c r="F12" s="77">
        <v>0</v>
      </c>
      <c r="G12" s="77">
        <v>3101</v>
      </c>
    </row>
    <row r="13" spans="1:7" ht="18.75" x14ac:dyDescent="0.45">
      <c r="A13" s="77" t="s">
        <v>80</v>
      </c>
      <c r="B13" s="84"/>
      <c r="C13" s="84"/>
      <c r="D13" s="118"/>
      <c r="E13" s="77">
        <v>2931546</v>
      </c>
      <c r="F13" s="77">
        <v>0</v>
      </c>
      <c r="G13" s="77">
        <v>2931546</v>
      </c>
    </row>
    <row r="14" spans="1:7" ht="19.5" thickBot="1" x14ac:dyDescent="0.5">
      <c r="A14" s="77" t="s">
        <v>2</v>
      </c>
      <c r="B14" s="95">
        <f t="shared" ref="B14:G14" si="0">SUM(B8:B13)</f>
        <v>1067245821</v>
      </c>
      <c r="C14" s="95">
        <f t="shared" si="0"/>
        <v>0</v>
      </c>
      <c r="D14" s="94">
        <f t="shared" si="0"/>
        <v>1067245821</v>
      </c>
      <c r="E14" s="94">
        <f t="shared" si="0"/>
        <v>3308983632</v>
      </c>
      <c r="F14" s="94">
        <f t="shared" si="0"/>
        <v>0</v>
      </c>
      <c r="G14" s="94">
        <f t="shared" si="0"/>
        <v>3308983632</v>
      </c>
    </row>
    <row r="15" spans="1:7" ht="19.5" thickTop="1" x14ac:dyDescent="0.45">
      <c r="A15" s="84"/>
      <c r="B15" s="125"/>
      <c r="C15" s="125"/>
      <c r="D15" s="84"/>
      <c r="E15" s="84"/>
      <c r="F15" s="84"/>
      <c r="G15" s="84"/>
    </row>
  </sheetData>
  <mergeCells count="6">
    <mergeCell ref="A1:G1"/>
    <mergeCell ref="A2:G2"/>
    <mergeCell ref="A3:G3"/>
    <mergeCell ref="A5:G5"/>
    <mergeCell ref="B6:D6"/>
    <mergeCell ref="E6:G6"/>
  </mergeCells>
  <pageMargins left="0.7" right="0.7" top="0.75" bottom="0.75" header="0.3" footer="0.3"/>
  <pageSetup orientation="landscape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pageSetUpPr fitToPage="1"/>
  </sheetPr>
  <dimension ref="A1:I62"/>
  <sheetViews>
    <sheetView rightToLeft="1" view="pageBreakPreview" topLeftCell="A28" zoomScale="60" zoomScaleNormal="100" workbookViewId="0">
      <selection activeCell="AA82" sqref="AA82"/>
    </sheetView>
  </sheetViews>
  <sheetFormatPr defaultRowHeight="18" x14ac:dyDescent="0.45"/>
  <cols>
    <col min="1" max="1" width="20.85546875" style="6" bestFit="1" customWidth="1"/>
    <col min="2" max="2" width="9.7109375" style="6" bestFit="1" customWidth="1"/>
    <col min="3" max="3" width="13.42578125" style="6" bestFit="1" customWidth="1"/>
    <col min="4" max="4" width="14" style="6" bestFit="1" customWidth="1"/>
    <col min="5" max="5" width="18.85546875" style="6" bestFit="1" customWidth="1"/>
    <col min="6" max="6" width="9.7109375" style="6" bestFit="1" customWidth="1"/>
    <col min="7" max="7" width="13.85546875" style="6" bestFit="1" customWidth="1"/>
    <col min="8" max="8" width="14" style="6" bestFit="1" customWidth="1"/>
    <col min="9" max="9" width="18.85546875" style="6" bestFit="1" customWidth="1"/>
    <col min="10" max="16384" width="9.140625" style="6"/>
  </cols>
  <sheetData>
    <row r="1" spans="1:9" ht="21" x14ac:dyDescent="0.55000000000000004">
      <c r="A1" s="35" t="s">
        <v>70</v>
      </c>
      <c r="B1" s="35"/>
      <c r="C1" s="35"/>
      <c r="D1" s="35"/>
      <c r="E1" s="35"/>
      <c r="F1" s="35"/>
      <c r="G1" s="35"/>
      <c r="H1" s="35"/>
      <c r="I1" s="35"/>
    </row>
    <row r="2" spans="1:9" ht="21" x14ac:dyDescent="0.55000000000000004">
      <c r="A2" s="35" t="s">
        <v>61</v>
      </c>
      <c r="B2" s="35"/>
      <c r="C2" s="35"/>
      <c r="D2" s="35"/>
      <c r="E2" s="35"/>
      <c r="F2" s="35"/>
      <c r="G2" s="35"/>
      <c r="H2" s="35"/>
      <c r="I2" s="35"/>
    </row>
    <row r="3" spans="1:9" ht="21" x14ac:dyDescent="0.55000000000000004">
      <c r="A3" s="35" t="s">
        <v>72</v>
      </c>
      <c r="B3" s="35"/>
      <c r="C3" s="35"/>
      <c r="D3" s="35"/>
      <c r="E3" s="35"/>
      <c r="F3" s="35"/>
      <c r="G3" s="35"/>
      <c r="H3" s="35"/>
      <c r="I3" s="35"/>
    </row>
    <row r="4" spans="1:9" ht="21" x14ac:dyDescent="0.45">
      <c r="A4" s="34" t="s">
        <v>55</v>
      </c>
      <c r="B4" s="34"/>
      <c r="C4" s="34"/>
      <c r="D4" s="34"/>
      <c r="E4" s="34"/>
      <c r="F4" s="34"/>
      <c r="G4" s="34"/>
      <c r="H4" s="34"/>
      <c r="I4" s="34"/>
    </row>
    <row r="5" spans="1:9" ht="16.5" customHeight="1" thickBot="1" x14ac:dyDescent="0.5">
      <c r="B5" s="33" t="s">
        <v>67</v>
      </c>
      <c r="C5" s="33"/>
      <c r="D5" s="33"/>
      <c r="E5" s="33"/>
      <c r="F5" s="33" t="s">
        <v>73</v>
      </c>
      <c r="G5" s="33"/>
      <c r="H5" s="33"/>
      <c r="I5" s="33"/>
    </row>
    <row r="6" spans="1:9" ht="18.75" thickBot="1" x14ac:dyDescent="0.5">
      <c r="A6" s="21" t="s">
        <v>38</v>
      </c>
      <c r="B6" s="12" t="s">
        <v>3</v>
      </c>
      <c r="C6" s="13" t="s">
        <v>51</v>
      </c>
      <c r="D6" s="12" t="s">
        <v>49</v>
      </c>
      <c r="E6" s="17" t="s">
        <v>52</v>
      </c>
      <c r="F6" s="12" t="s">
        <v>3</v>
      </c>
      <c r="G6" s="13" t="s">
        <v>20</v>
      </c>
      <c r="H6" s="12" t="s">
        <v>49</v>
      </c>
      <c r="I6" s="17" t="s">
        <v>52</v>
      </c>
    </row>
    <row r="7" spans="1:9" x14ac:dyDescent="0.45">
      <c r="A7" s="27" t="s">
        <v>81</v>
      </c>
      <c r="B7" s="27">
        <v>50000</v>
      </c>
      <c r="C7" s="27">
        <v>1024518781</v>
      </c>
      <c r="D7" s="27">
        <v>1014759162</v>
      </c>
      <c r="E7" s="27">
        <v>9759619</v>
      </c>
      <c r="F7" s="27">
        <v>339906</v>
      </c>
      <c r="G7" s="27">
        <v>6180328740</v>
      </c>
      <c r="H7" s="27">
        <v>6267630851</v>
      </c>
      <c r="I7" s="27">
        <v>-87302111</v>
      </c>
    </row>
    <row r="8" spans="1:9" x14ac:dyDescent="0.45">
      <c r="A8" s="27" t="s">
        <v>82</v>
      </c>
      <c r="B8" s="27">
        <v>400000</v>
      </c>
      <c r="C8" s="27">
        <v>902568808</v>
      </c>
      <c r="D8" s="27">
        <v>804929822</v>
      </c>
      <c r="E8" s="27">
        <v>97638986</v>
      </c>
      <c r="F8" s="27">
        <v>1820608</v>
      </c>
      <c r="G8" s="27">
        <v>3703034452</v>
      </c>
      <c r="H8" s="27">
        <v>3548801210</v>
      </c>
      <c r="I8" s="27">
        <v>154233242</v>
      </c>
    </row>
    <row r="9" spans="1:9" x14ac:dyDescent="0.45">
      <c r="A9" s="27" t="s">
        <v>83</v>
      </c>
      <c r="B9" s="27">
        <v>4000000</v>
      </c>
      <c r="C9" s="27">
        <v>5350535644</v>
      </c>
      <c r="D9" s="27">
        <v>4311278345</v>
      </c>
      <c r="E9" s="27">
        <v>1039257299</v>
      </c>
      <c r="F9" s="27">
        <v>6400000</v>
      </c>
      <c r="G9" s="27">
        <v>7559328701</v>
      </c>
      <c r="H9" s="27">
        <v>6372483138</v>
      </c>
      <c r="I9" s="27">
        <v>1186845563</v>
      </c>
    </row>
    <row r="10" spans="1:9" x14ac:dyDescent="0.45">
      <c r="A10" s="27" t="s">
        <v>84</v>
      </c>
      <c r="B10" s="27">
        <v>0</v>
      </c>
      <c r="C10" s="27">
        <v>0</v>
      </c>
      <c r="D10" s="27">
        <v>0</v>
      </c>
      <c r="E10" s="27">
        <v>0</v>
      </c>
      <c r="F10" s="27">
        <v>2400000</v>
      </c>
      <c r="G10" s="27">
        <v>11915241864</v>
      </c>
      <c r="H10" s="27">
        <v>12208416192</v>
      </c>
      <c r="I10" s="27">
        <v>-293174328</v>
      </c>
    </row>
    <row r="11" spans="1:9" x14ac:dyDescent="0.45">
      <c r="A11" s="27" t="s">
        <v>85</v>
      </c>
      <c r="B11" s="27">
        <v>0</v>
      </c>
      <c r="C11" s="27">
        <v>0</v>
      </c>
      <c r="D11" s="27">
        <v>0</v>
      </c>
      <c r="E11" s="27">
        <v>0</v>
      </c>
      <c r="F11" s="27">
        <v>4400000</v>
      </c>
      <c r="G11" s="27">
        <v>10237940328</v>
      </c>
      <c r="H11" s="27">
        <v>10001310623</v>
      </c>
      <c r="I11" s="27">
        <v>236629705</v>
      </c>
    </row>
    <row r="12" spans="1:9" x14ac:dyDescent="0.45">
      <c r="A12" s="27" t="s">
        <v>86</v>
      </c>
      <c r="B12" s="27">
        <v>0</v>
      </c>
      <c r="C12" s="27">
        <v>0</v>
      </c>
      <c r="D12" s="27">
        <v>0</v>
      </c>
      <c r="E12" s="27">
        <v>0</v>
      </c>
      <c r="F12" s="27">
        <v>1000000</v>
      </c>
      <c r="G12" s="27">
        <v>6677977201</v>
      </c>
      <c r="H12" s="27">
        <v>6834331001</v>
      </c>
      <c r="I12" s="27">
        <v>-156353800</v>
      </c>
    </row>
    <row r="13" spans="1:9" x14ac:dyDescent="0.45">
      <c r="A13" s="27" t="s">
        <v>87</v>
      </c>
      <c r="B13" s="27">
        <v>0</v>
      </c>
      <c r="C13" s="27">
        <v>0</v>
      </c>
      <c r="D13" s="27">
        <v>0</v>
      </c>
      <c r="E13" s="27">
        <v>0</v>
      </c>
      <c r="F13" s="27">
        <v>29200000</v>
      </c>
      <c r="G13" s="27">
        <v>13239328445</v>
      </c>
      <c r="H13" s="27">
        <v>13650589205</v>
      </c>
      <c r="I13" s="27">
        <v>-411260760</v>
      </c>
    </row>
    <row r="14" spans="1:9" x14ac:dyDescent="0.45">
      <c r="A14" s="27" t="s">
        <v>88</v>
      </c>
      <c r="B14" s="27">
        <v>0</v>
      </c>
      <c r="C14" s="27">
        <v>0</v>
      </c>
      <c r="D14" s="27">
        <v>0</v>
      </c>
      <c r="E14" s="27">
        <v>0</v>
      </c>
      <c r="F14" s="27">
        <v>200000</v>
      </c>
      <c r="G14" s="27">
        <v>3884737074</v>
      </c>
      <c r="H14" s="27">
        <v>3430774834</v>
      </c>
      <c r="I14" s="27">
        <v>453962240</v>
      </c>
    </row>
    <row r="15" spans="1:9" x14ac:dyDescent="0.45">
      <c r="A15" s="27" t="s">
        <v>89</v>
      </c>
      <c r="B15" s="27">
        <v>0</v>
      </c>
      <c r="C15" s="27">
        <v>0</v>
      </c>
      <c r="D15" s="27">
        <v>0</v>
      </c>
      <c r="E15" s="27">
        <v>0</v>
      </c>
      <c r="F15" s="27">
        <v>400000</v>
      </c>
      <c r="G15" s="27">
        <v>5596402840</v>
      </c>
      <c r="H15" s="27">
        <v>5394042440</v>
      </c>
      <c r="I15" s="27">
        <v>202360400</v>
      </c>
    </row>
    <row r="16" spans="1:9" x14ac:dyDescent="0.45">
      <c r="A16" s="27" t="s">
        <v>90</v>
      </c>
      <c r="B16" s="27">
        <v>0</v>
      </c>
      <c r="C16" s="27">
        <v>0</v>
      </c>
      <c r="D16" s="27">
        <v>0</v>
      </c>
      <c r="E16" s="27">
        <v>0</v>
      </c>
      <c r="F16" s="27">
        <v>2400000</v>
      </c>
      <c r="G16" s="27">
        <v>3942891022</v>
      </c>
      <c r="H16" s="27">
        <v>3917724859</v>
      </c>
      <c r="I16" s="27">
        <v>25166163</v>
      </c>
    </row>
    <row r="17" spans="1:9" x14ac:dyDescent="0.45">
      <c r="A17" s="27" t="s">
        <v>91</v>
      </c>
      <c r="B17" s="27">
        <v>1600000</v>
      </c>
      <c r="C17" s="27">
        <v>6007600834</v>
      </c>
      <c r="D17" s="27">
        <v>4128671664</v>
      </c>
      <c r="E17" s="27">
        <v>1878929170</v>
      </c>
      <c r="F17" s="27">
        <v>2000000</v>
      </c>
      <c r="G17" s="27">
        <v>7056146197</v>
      </c>
      <c r="H17" s="27">
        <v>5164371322</v>
      </c>
      <c r="I17" s="27">
        <v>1891774875</v>
      </c>
    </row>
    <row r="18" spans="1:9" x14ac:dyDescent="0.45">
      <c r="A18" s="27" t="s">
        <v>92</v>
      </c>
      <c r="B18" s="27">
        <v>0</v>
      </c>
      <c r="C18" s="27">
        <v>0</v>
      </c>
      <c r="D18" s="27">
        <v>0</v>
      </c>
      <c r="E18" s="27">
        <v>0</v>
      </c>
      <c r="F18" s="27">
        <v>200000</v>
      </c>
      <c r="G18" s="27">
        <v>4985164492</v>
      </c>
      <c r="H18" s="27">
        <v>5101123092</v>
      </c>
      <c r="I18" s="27">
        <v>-115958600</v>
      </c>
    </row>
    <row r="19" spans="1:9" x14ac:dyDescent="0.45">
      <c r="A19" s="27" t="s">
        <v>93</v>
      </c>
      <c r="B19" s="27">
        <v>0</v>
      </c>
      <c r="C19" s="27">
        <v>0</v>
      </c>
      <c r="D19" s="27">
        <v>0</v>
      </c>
      <c r="E19" s="27">
        <v>0</v>
      </c>
      <c r="F19" s="27">
        <v>2478</v>
      </c>
      <c r="G19" s="27">
        <v>691257663</v>
      </c>
      <c r="H19" s="27">
        <v>658749014</v>
      </c>
      <c r="I19" s="27">
        <v>32508649</v>
      </c>
    </row>
    <row r="20" spans="1:9" x14ac:dyDescent="0.45">
      <c r="A20" s="27" t="s">
        <v>94</v>
      </c>
      <c r="B20" s="27">
        <v>1368107</v>
      </c>
      <c r="C20" s="27">
        <v>4941422107</v>
      </c>
      <c r="D20" s="27">
        <v>4168612172</v>
      </c>
      <c r="E20" s="27">
        <v>772809935</v>
      </c>
      <c r="F20" s="27">
        <v>3768107</v>
      </c>
      <c r="G20" s="27">
        <v>11445156839</v>
      </c>
      <c r="H20" s="27">
        <v>11119404024</v>
      </c>
      <c r="I20" s="27">
        <v>325752815</v>
      </c>
    </row>
    <row r="21" spans="1:9" x14ac:dyDescent="0.45">
      <c r="A21" s="27" t="s">
        <v>95</v>
      </c>
      <c r="B21" s="27">
        <v>0</v>
      </c>
      <c r="C21" s="27">
        <v>0</v>
      </c>
      <c r="D21" s="27">
        <v>0</v>
      </c>
      <c r="E21" s="27">
        <v>0</v>
      </c>
      <c r="F21" s="27">
        <v>2400000</v>
      </c>
      <c r="G21" s="27">
        <v>3574868280</v>
      </c>
      <c r="H21" s="27">
        <v>3634818104</v>
      </c>
      <c r="I21" s="27">
        <v>-59949824</v>
      </c>
    </row>
    <row r="22" spans="1:9" x14ac:dyDescent="0.45">
      <c r="A22" s="27" t="s">
        <v>96</v>
      </c>
      <c r="B22" s="27">
        <v>0</v>
      </c>
      <c r="C22" s="27">
        <v>0</v>
      </c>
      <c r="D22" s="27">
        <v>0</v>
      </c>
      <c r="E22" s="27">
        <v>0</v>
      </c>
      <c r="F22" s="27">
        <v>200000</v>
      </c>
      <c r="G22" s="27">
        <v>2081782486</v>
      </c>
      <c r="H22" s="27">
        <v>1992111981</v>
      </c>
      <c r="I22" s="27">
        <v>89670505</v>
      </c>
    </row>
    <row r="23" spans="1:9" x14ac:dyDescent="0.45">
      <c r="A23" s="27" t="s">
        <v>97</v>
      </c>
      <c r="B23" s="27">
        <v>0</v>
      </c>
      <c r="C23" s="27">
        <v>0</v>
      </c>
      <c r="D23" s="27">
        <v>0</v>
      </c>
      <c r="E23" s="27">
        <v>0</v>
      </c>
      <c r="F23" s="27">
        <v>1400000</v>
      </c>
      <c r="G23" s="27">
        <v>10446618605</v>
      </c>
      <c r="H23" s="27">
        <v>9976267325</v>
      </c>
      <c r="I23" s="27">
        <v>470351280</v>
      </c>
    </row>
    <row r="24" spans="1:9" x14ac:dyDescent="0.45">
      <c r="A24" s="27" t="s">
        <v>98</v>
      </c>
      <c r="B24" s="27">
        <v>0</v>
      </c>
      <c r="C24" s="27">
        <v>0</v>
      </c>
      <c r="D24" s="27">
        <v>0</v>
      </c>
      <c r="E24" s="27">
        <v>0</v>
      </c>
      <c r="F24" s="27">
        <v>800000</v>
      </c>
      <c r="G24" s="27">
        <v>1583662932</v>
      </c>
      <c r="H24" s="27">
        <v>1489562804</v>
      </c>
      <c r="I24" s="27">
        <v>94100128</v>
      </c>
    </row>
    <row r="25" spans="1:9" x14ac:dyDescent="0.45">
      <c r="A25" s="27" t="s">
        <v>99</v>
      </c>
      <c r="B25" s="27">
        <v>0</v>
      </c>
      <c r="C25" s="27">
        <v>0</v>
      </c>
      <c r="D25" s="27">
        <v>0</v>
      </c>
      <c r="E25" s="27">
        <v>0</v>
      </c>
      <c r="F25" s="27">
        <v>11200000</v>
      </c>
      <c r="G25" s="27">
        <v>16330794757</v>
      </c>
      <c r="H25" s="27">
        <v>16876318400</v>
      </c>
      <c r="I25" s="27">
        <v>-545523643</v>
      </c>
    </row>
    <row r="26" spans="1:9" x14ac:dyDescent="0.45">
      <c r="A26" s="27" t="s">
        <v>100</v>
      </c>
      <c r="B26" s="27">
        <v>1000000</v>
      </c>
      <c r="C26" s="27">
        <v>5209417530</v>
      </c>
      <c r="D26" s="27">
        <v>4693781368</v>
      </c>
      <c r="E26" s="27">
        <v>515636162</v>
      </c>
      <c r="F26" s="27">
        <v>1600000</v>
      </c>
      <c r="G26" s="27">
        <v>7992734898</v>
      </c>
      <c r="H26" s="27">
        <v>7440532036</v>
      </c>
      <c r="I26" s="27">
        <v>552202862</v>
      </c>
    </row>
    <row r="27" spans="1:9" x14ac:dyDescent="0.45">
      <c r="A27" s="27" t="s">
        <v>101</v>
      </c>
      <c r="B27" s="27">
        <v>0</v>
      </c>
      <c r="C27" s="27">
        <v>0</v>
      </c>
      <c r="D27" s="27">
        <v>0</v>
      </c>
      <c r="E27" s="27">
        <v>0</v>
      </c>
      <c r="F27" s="27">
        <v>1200000</v>
      </c>
      <c r="G27" s="27">
        <v>3268537398</v>
      </c>
      <c r="H27" s="27">
        <v>3095425002</v>
      </c>
      <c r="I27" s="27">
        <v>173112396</v>
      </c>
    </row>
    <row r="28" spans="1:9" x14ac:dyDescent="0.45">
      <c r="A28" s="27" t="s">
        <v>102</v>
      </c>
      <c r="B28" s="27">
        <v>0</v>
      </c>
      <c r="C28" s="27">
        <v>0</v>
      </c>
      <c r="D28" s="27">
        <v>0</v>
      </c>
      <c r="E28" s="27">
        <v>0</v>
      </c>
      <c r="F28" s="27">
        <v>400000</v>
      </c>
      <c r="G28" s="27">
        <v>1497533890</v>
      </c>
      <c r="H28" s="27">
        <v>1394182026</v>
      </c>
      <c r="I28" s="27">
        <v>103351864</v>
      </c>
    </row>
    <row r="29" spans="1:9" x14ac:dyDescent="0.45">
      <c r="A29" s="27" t="s">
        <v>103</v>
      </c>
      <c r="B29" s="27">
        <v>0</v>
      </c>
      <c r="C29" s="27">
        <v>0</v>
      </c>
      <c r="D29" s="27">
        <v>0</v>
      </c>
      <c r="E29" s="27">
        <v>0</v>
      </c>
      <c r="F29" s="27">
        <v>400000</v>
      </c>
      <c r="G29" s="27">
        <v>4048461610</v>
      </c>
      <c r="H29" s="27">
        <v>3794654730</v>
      </c>
      <c r="I29" s="27">
        <v>253806880</v>
      </c>
    </row>
    <row r="30" spans="1:9" x14ac:dyDescent="0.45">
      <c r="A30" s="27" t="s">
        <v>104</v>
      </c>
      <c r="B30" s="27">
        <v>462720</v>
      </c>
      <c r="C30" s="27">
        <v>6614294361</v>
      </c>
      <c r="D30" s="27">
        <v>5174009721</v>
      </c>
      <c r="E30" s="27">
        <v>1440284640</v>
      </c>
      <c r="F30" s="27">
        <v>862720</v>
      </c>
      <c r="G30" s="27">
        <v>10682601390</v>
      </c>
      <c r="H30" s="27">
        <v>9412813576</v>
      </c>
      <c r="I30" s="27">
        <v>1269787814</v>
      </c>
    </row>
    <row r="31" spans="1:9" x14ac:dyDescent="0.45">
      <c r="A31" s="27" t="s">
        <v>105</v>
      </c>
      <c r="B31" s="27">
        <v>0</v>
      </c>
      <c r="C31" s="27">
        <v>0</v>
      </c>
      <c r="D31" s="27">
        <v>0</v>
      </c>
      <c r="E31" s="27">
        <v>0</v>
      </c>
      <c r="F31" s="27">
        <v>176343</v>
      </c>
      <c r="G31" s="27">
        <v>1125120558</v>
      </c>
      <c r="H31" s="27">
        <v>1170689922</v>
      </c>
      <c r="I31" s="27">
        <v>-45569364</v>
      </c>
    </row>
    <row r="32" spans="1:9" x14ac:dyDescent="0.45">
      <c r="A32" s="27" t="s">
        <v>106</v>
      </c>
      <c r="B32" s="27">
        <v>0</v>
      </c>
      <c r="C32" s="27">
        <v>0</v>
      </c>
      <c r="D32" s="27">
        <v>0</v>
      </c>
      <c r="E32" s="27">
        <v>0</v>
      </c>
      <c r="F32" s="27">
        <v>4400000</v>
      </c>
      <c r="G32" s="27">
        <v>6720481070</v>
      </c>
      <c r="H32" s="27">
        <v>7103500402</v>
      </c>
      <c r="I32" s="27">
        <v>-383019332</v>
      </c>
    </row>
    <row r="33" spans="1:9" x14ac:dyDescent="0.45">
      <c r="A33" s="27" t="s">
        <v>107</v>
      </c>
      <c r="B33" s="27">
        <v>0</v>
      </c>
      <c r="C33" s="27">
        <v>0</v>
      </c>
      <c r="D33" s="27">
        <v>0</v>
      </c>
      <c r="E33" s="27">
        <v>0</v>
      </c>
      <c r="F33" s="27">
        <v>400000</v>
      </c>
      <c r="G33" s="27">
        <v>491372117</v>
      </c>
      <c r="H33" s="27">
        <v>492307117</v>
      </c>
      <c r="I33" s="27">
        <v>-935000</v>
      </c>
    </row>
    <row r="34" spans="1:9" x14ac:dyDescent="0.45">
      <c r="A34" s="27" t="s">
        <v>108</v>
      </c>
      <c r="B34" s="27">
        <v>0</v>
      </c>
      <c r="C34" s="27">
        <v>0</v>
      </c>
      <c r="D34" s="27">
        <v>0</v>
      </c>
      <c r="E34" s="27">
        <v>0</v>
      </c>
      <c r="F34" s="27">
        <v>1600000</v>
      </c>
      <c r="G34" s="27">
        <v>3308625113</v>
      </c>
      <c r="H34" s="27">
        <v>3487654729</v>
      </c>
      <c r="I34" s="27">
        <v>-179029616</v>
      </c>
    </row>
    <row r="35" spans="1:9" x14ac:dyDescent="0.45">
      <c r="A35" s="27" t="s">
        <v>109</v>
      </c>
      <c r="B35" s="27">
        <v>6800000</v>
      </c>
      <c r="C35" s="27">
        <v>13577333901</v>
      </c>
      <c r="D35" s="27">
        <v>9781922796</v>
      </c>
      <c r="E35" s="27">
        <v>3795411105</v>
      </c>
      <c r="F35" s="27">
        <v>6800000</v>
      </c>
      <c r="G35" s="27">
        <v>13577333901</v>
      </c>
      <c r="H35" s="27">
        <v>9781922796</v>
      </c>
      <c r="I35" s="27">
        <v>3795411105</v>
      </c>
    </row>
    <row r="36" spans="1:9" x14ac:dyDescent="0.45">
      <c r="A36" s="27" t="s">
        <v>110</v>
      </c>
      <c r="B36" s="27">
        <v>1000000</v>
      </c>
      <c r="C36" s="27">
        <v>5953669660</v>
      </c>
      <c r="D36" s="27">
        <v>6250349580</v>
      </c>
      <c r="E36" s="27">
        <v>-296679920</v>
      </c>
      <c r="F36" s="27">
        <v>1000000</v>
      </c>
      <c r="G36" s="27">
        <v>5953669660</v>
      </c>
      <c r="H36" s="27">
        <v>6250349580</v>
      </c>
      <c r="I36" s="27">
        <v>-296679920</v>
      </c>
    </row>
    <row r="37" spans="1:9" x14ac:dyDescent="0.45">
      <c r="A37" s="27" t="s">
        <v>111</v>
      </c>
      <c r="B37" s="27">
        <v>1600000</v>
      </c>
      <c r="C37" s="27">
        <v>3997349180</v>
      </c>
      <c r="D37" s="27">
        <v>3673202444</v>
      </c>
      <c r="E37" s="27">
        <v>324146736</v>
      </c>
      <c r="F37" s="27">
        <v>1600000</v>
      </c>
      <c r="G37" s="27">
        <v>3997349180</v>
      </c>
      <c r="H37" s="27">
        <v>3673202444</v>
      </c>
      <c r="I37" s="27">
        <v>324146736</v>
      </c>
    </row>
    <row r="38" spans="1:9" x14ac:dyDescent="0.45">
      <c r="A38" s="27" t="s">
        <v>112</v>
      </c>
      <c r="B38" s="27">
        <v>200000</v>
      </c>
      <c r="C38" s="27">
        <v>1976284192</v>
      </c>
      <c r="D38" s="27">
        <v>1993157266</v>
      </c>
      <c r="E38" s="27">
        <v>-16873074</v>
      </c>
      <c r="F38" s="27">
        <v>200000</v>
      </c>
      <c r="G38" s="27">
        <v>1976284192</v>
      </c>
      <c r="H38" s="27">
        <v>1993157266</v>
      </c>
      <c r="I38" s="27">
        <v>-16873074</v>
      </c>
    </row>
    <row r="39" spans="1:9" x14ac:dyDescent="0.45">
      <c r="A39" s="27" t="s">
        <v>113</v>
      </c>
      <c r="B39" s="27">
        <v>25000000</v>
      </c>
      <c r="C39" s="27">
        <v>372263984381</v>
      </c>
      <c r="D39" s="27">
        <v>318910342381</v>
      </c>
      <c r="E39" s="27">
        <v>53353642000</v>
      </c>
      <c r="F39" s="27">
        <v>25000000</v>
      </c>
      <c r="G39" s="27">
        <v>372263984381</v>
      </c>
      <c r="H39" s="27">
        <v>318910342381</v>
      </c>
      <c r="I39" s="27">
        <v>53353642000</v>
      </c>
    </row>
    <row r="40" spans="1:9" x14ac:dyDescent="0.45">
      <c r="A40" s="27" t="s">
        <v>114</v>
      </c>
      <c r="B40" s="27">
        <v>10800000</v>
      </c>
      <c r="C40" s="27">
        <v>17649714249</v>
      </c>
      <c r="D40" s="27">
        <v>17458018510</v>
      </c>
      <c r="E40" s="27">
        <v>191695739</v>
      </c>
      <c r="F40" s="27">
        <v>10800000</v>
      </c>
      <c r="G40" s="27">
        <v>17649714249</v>
      </c>
      <c r="H40" s="27">
        <v>17458018510</v>
      </c>
      <c r="I40" s="27">
        <v>191695739</v>
      </c>
    </row>
    <row r="41" spans="1:9" x14ac:dyDescent="0.45">
      <c r="A41" s="27" t="s">
        <v>115</v>
      </c>
      <c r="B41" s="27">
        <v>2400000</v>
      </c>
      <c r="C41" s="27">
        <v>7634955917</v>
      </c>
      <c r="D41" s="27">
        <v>7084322922</v>
      </c>
      <c r="E41" s="27">
        <v>550632995</v>
      </c>
      <c r="F41" s="27">
        <v>2400000</v>
      </c>
      <c r="G41" s="27">
        <v>7634955917</v>
      </c>
      <c r="H41" s="27">
        <v>7084322922</v>
      </c>
      <c r="I41" s="27">
        <v>550632995</v>
      </c>
    </row>
    <row r="42" spans="1:9" x14ac:dyDescent="0.45">
      <c r="A42" s="27" t="s">
        <v>116</v>
      </c>
      <c r="B42" s="27">
        <v>800000</v>
      </c>
      <c r="C42" s="27">
        <v>3971331590</v>
      </c>
      <c r="D42" s="27">
        <v>3332322857</v>
      </c>
      <c r="E42" s="27">
        <v>639008733</v>
      </c>
      <c r="F42" s="27">
        <v>800000</v>
      </c>
      <c r="G42" s="27">
        <v>3971331590</v>
      </c>
      <c r="H42" s="27">
        <v>3332322857</v>
      </c>
      <c r="I42" s="27">
        <v>639008733</v>
      </c>
    </row>
    <row r="43" spans="1:9" x14ac:dyDescent="0.45">
      <c r="A43" s="27" t="s">
        <v>117</v>
      </c>
      <c r="B43" s="27">
        <v>1600000</v>
      </c>
      <c r="C43" s="27">
        <v>11964701522</v>
      </c>
      <c r="D43" s="27">
        <v>7987760465</v>
      </c>
      <c r="E43" s="27">
        <v>3976941057</v>
      </c>
      <c r="F43" s="27">
        <v>1600000</v>
      </c>
      <c r="G43" s="27">
        <v>11964701522</v>
      </c>
      <c r="H43" s="27">
        <v>7987760465</v>
      </c>
      <c r="I43" s="27">
        <v>3976941057</v>
      </c>
    </row>
    <row r="44" spans="1:9" x14ac:dyDescent="0.45">
      <c r="A44" s="27" t="s">
        <v>118</v>
      </c>
      <c r="B44" s="27">
        <v>800000</v>
      </c>
      <c r="C44" s="27">
        <v>1587632005</v>
      </c>
      <c r="D44" s="27">
        <v>1424825791</v>
      </c>
      <c r="E44" s="27">
        <v>162806214</v>
      </c>
      <c r="F44" s="27">
        <v>800000</v>
      </c>
      <c r="G44" s="27">
        <v>1587632005</v>
      </c>
      <c r="H44" s="27">
        <v>1424825791</v>
      </c>
      <c r="I44" s="27">
        <v>162806214</v>
      </c>
    </row>
    <row r="45" spans="1:9" x14ac:dyDescent="0.45">
      <c r="A45" s="27" t="s">
        <v>119</v>
      </c>
      <c r="B45" s="27">
        <v>200000</v>
      </c>
      <c r="C45" s="27">
        <v>1113419348</v>
      </c>
      <c r="D45" s="27">
        <v>782582136</v>
      </c>
      <c r="E45" s="27">
        <v>330837212</v>
      </c>
      <c r="F45" s="27">
        <v>200000</v>
      </c>
      <c r="G45" s="27">
        <v>1113419348</v>
      </c>
      <c r="H45" s="27">
        <v>782582136</v>
      </c>
      <c r="I45" s="27">
        <v>330837212</v>
      </c>
    </row>
    <row r="46" spans="1:9" x14ac:dyDescent="0.45">
      <c r="A46" s="27" t="s">
        <v>120</v>
      </c>
      <c r="B46" s="27">
        <v>800000</v>
      </c>
      <c r="C46" s="27">
        <v>2350489194</v>
      </c>
      <c r="D46" s="27">
        <v>1974167354</v>
      </c>
      <c r="E46" s="27">
        <v>376321840</v>
      </c>
      <c r="F46" s="27">
        <v>800000</v>
      </c>
      <c r="G46" s="27">
        <v>2350489194</v>
      </c>
      <c r="H46" s="27">
        <v>1974167354</v>
      </c>
      <c r="I46" s="27">
        <v>376321840</v>
      </c>
    </row>
    <row r="47" spans="1:9" x14ac:dyDescent="0.45">
      <c r="A47" s="27" t="s">
        <v>121</v>
      </c>
      <c r="B47" s="27">
        <v>1800000</v>
      </c>
      <c r="C47" s="27">
        <v>25730553497</v>
      </c>
      <c r="D47" s="27">
        <v>21868346659</v>
      </c>
      <c r="E47" s="27">
        <v>3862206838</v>
      </c>
      <c r="F47" s="27">
        <v>1800000</v>
      </c>
      <c r="G47" s="27">
        <v>25730553497</v>
      </c>
      <c r="H47" s="27">
        <v>21868346659</v>
      </c>
      <c r="I47" s="27">
        <v>3862206838</v>
      </c>
    </row>
    <row r="48" spans="1:9" x14ac:dyDescent="0.45">
      <c r="A48" s="27" t="s">
        <v>122</v>
      </c>
      <c r="B48" s="27">
        <v>291304</v>
      </c>
      <c r="C48" s="27">
        <v>4812719554</v>
      </c>
      <c r="D48" s="27">
        <v>4709211763</v>
      </c>
      <c r="E48" s="27">
        <v>103507791</v>
      </c>
      <c r="F48" s="27">
        <v>291304</v>
      </c>
      <c r="G48" s="27">
        <v>4812719554</v>
      </c>
      <c r="H48" s="27">
        <v>4709211763</v>
      </c>
      <c r="I48" s="27">
        <v>103507791</v>
      </c>
    </row>
    <row r="49" spans="1:9" x14ac:dyDescent="0.45">
      <c r="A49" s="27" t="s">
        <v>123</v>
      </c>
      <c r="B49" s="27">
        <v>7600000</v>
      </c>
      <c r="C49" s="27">
        <v>4349662909</v>
      </c>
      <c r="D49" s="27">
        <v>4181180947</v>
      </c>
      <c r="E49" s="27">
        <v>168481962</v>
      </c>
      <c r="F49" s="27">
        <v>7600000</v>
      </c>
      <c r="G49" s="27">
        <v>4349662909</v>
      </c>
      <c r="H49" s="27">
        <v>4181180947</v>
      </c>
      <c r="I49" s="27">
        <v>168481962</v>
      </c>
    </row>
    <row r="50" spans="1:9" x14ac:dyDescent="0.45">
      <c r="A50" s="27" t="s">
        <v>124</v>
      </c>
      <c r="B50" s="27">
        <v>200000</v>
      </c>
      <c r="C50" s="27">
        <v>8217007741</v>
      </c>
      <c r="D50" s="27">
        <v>6458591793</v>
      </c>
      <c r="E50" s="27">
        <v>1758415948</v>
      </c>
      <c r="F50" s="27">
        <v>200000</v>
      </c>
      <c r="G50" s="27">
        <v>8217007741</v>
      </c>
      <c r="H50" s="27">
        <v>6458591793</v>
      </c>
      <c r="I50" s="27">
        <v>1758415948</v>
      </c>
    </row>
    <row r="51" spans="1:9" x14ac:dyDescent="0.45">
      <c r="A51" s="27" t="s">
        <v>125</v>
      </c>
      <c r="B51" s="27">
        <v>1600000</v>
      </c>
      <c r="C51" s="27">
        <v>7353928946</v>
      </c>
      <c r="D51" s="27">
        <v>6357495485</v>
      </c>
      <c r="E51" s="27">
        <v>996433461</v>
      </c>
      <c r="F51" s="27">
        <v>1600000</v>
      </c>
      <c r="G51" s="27">
        <v>7353928946</v>
      </c>
      <c r="H51" s="27">
        <v>6357495485</v>
      </c>
      <c r="I51" s="27">
        <v>996433461</v>
      </c>
    </row>
    <row r="52" spans="1:9" x14ac:dyDescent="0.45">
      <c r="A52" s="27" t="s">
        <v>126</v>
      </c>
      <c r="B52" s="27">
        <v>160745</v>
      </c>
      <c r="C52" s="27">
        <v>5700617268</v>
      </c>
      <c r="D52" s="27">
        <v>4668833561</v>
      </c>
      <c r="E52" s="27">
        <v>1031783707</v>
      </c>
      <c r="F52" s="27">
        <v>160745</v>
      </c>
      <c r="G52" s="27">
        <v>5700617268</v>
      </c>
      <c r="H52" s="27">
        <v>4668833561</v>
      </c>
      <c r="I52" s="27">
        <v>1031783707</v>
      </c>
    </row>
    <row r="53" spans="1:9" x14ac:dyDescent="0.45">
      <c r="A53" s="27" t="s">
        <v>127</v>
      </c>
      <c r="B53" s="27">
        <v>111827</v>
      </c>
      <c r="C53" s="27">
        <v>417663156</v>
      </c>
      <c r="D53" s="27">
        <v>384909458</v>
      </c>
      <c r="E53" s="27">
        <v>32753698</v>
      </c>
      <c r="F53" s="27">
        <v>111827</v>
      </c>
      <c r="G53" s="27">
        <v>417663156</v>
      </c>
      <c r="H53" s="27">
        <v>384909458</v>
      </c>
      <c r="I53" s="27">
        <v>32753698</v>
      </c>
    </row>
    <row r="54" spans="1:9" x14ac:dyDescent="0.45">
      <c r="A54" s="27" t="s">
        <v>128</v>
      </c>
      <c r="B54" s="27">
        <v>500000</v>
      </c>
      <c r="C54" s="27">
        <v>7457120532</v>
      </c>
      <c r="D54" s="27">
        <v>8031720164</v>
      </c>
      <c r="E54" s="27">
        <v>-574599632</v>
      </c>
      <c r="F54" s="27">
        <v>500000</v>
      </c>
      <c r="G54" s="27">
        <v>7457120532</v>
      </c>
      <c r="H54" s="27">
        <v>8031720164</v>
      </c>
      <c r="I54" s="27">
        <v>-574599632</v>
      </c>
    </row>
    <row r="55" spans="1:9" x14ac:dyDescent="0.45">
      <c r="A55" s="27" t="s">
        <v>129</v>
      </c>
      <c r="B55" s="27">
        <v>800000</v>
      </c>
      <c r="C55" s="27">
        <v>15387283119</v>
      </c>
      <c r="D55" s="27">
        <v>10689275879</v>
      </c>
      <c r="E55" s="27">
        <v>4698007240</v>
      </c>
      <c r="F55" s="27">
        <v>800000</v>
      </c>
      <c r="G55" s="27">
        <v>15387283119</v>
      </c>
      <c r="H55" s="27">
        <v>10689275879</v>
      </c>
      <c r="I55" s="27">
        <v>4698007240</v>
      </c>
    </row>
    <row r="56" spans="1:9" x14ac:dyDescent="0.45">
      <c r="A56" s="27" t="s">
        <v>130</v>
      </c>
      <c r="B56" s="27">
        <v>0</v>
      </c>
      <c r="C56" s="27">
        <v>0</v>
      </c>
      <c r="D56" s="27">
        <v>0</v>
      </c>
      <c r="E56" s="27">
        <v>0</v>
      </c>
      <c r="F56" s="27">
        <v>1</v>
      </c>
      <c r="G56" s="27">
        <v>1</v>
      </c>
      <c r="H56" s="27">
        <v>1219</v>
      </c>
      <c r="I56" s="27">
        <v>-1218</v>
      </c>
    </row>
    <row r="57" spans="1:9" x14ac:dyDescent="0.45">
      <c r="A57" s="27" t="s">
        <v>131</v>
      </c>
      <c r="B57" s="27">
        <v>0</v>
      </c>
      <c r="C57" s="27">
        <v>0</v>
      </c>
      <c r="D57" s="27">
        <v>0</v>
      </c>
      <c r="E57" s="27">
        <v>0</v>
      </c>
      <c r="F57" s="27">
        <v>1</v>
      </c>
      <c r="G57" s="27">
        <v>1</v>
      </c>
      <c r="H57" s="27">
        <v>6112</v>
      </c>
      <c r="I57" s="27">
        <v>-6111</v>
      </c>
    </row>
    <row r="58" spans="1:9" x14ac:dyDescent="0.45">
      <c r="A58" s="27" t="s">
        <v>132</v>
      </c>
      <c r="B58" s="27">
        <v>0</v>
      </c>
      <c r="C58" s="27">
        <v>0</v>
      </c>
      <c r="D58" s="27">
        <v>0</v>
      </c>
      <c r="E58" s="27">
        <v>0</v>
      </c>
      <c r="F58" s="27">
        <v>1</v>
      </c>
      <c r="G58" s="27">
        <v>1</v>
      </c>
      <c r="H58" s="27">
        <v>373</v>
      </c>
      <c r="I58" s="27">
        <v>-372</v>
      </c>
    </row>
    <row r="59" spans="1:9" x14ac:dyDescent="0.45">
      <c r="A59" s="27" t="s">
        <v>133</v>
      </c>
      <c r="B59" s="27">
        <v>0</v>
      </c>
      <c r="C59" s="27">
        <v>0</v>
      </c>
      <c r="D59" s="27">
        <v>0</v>
      </c>
      <c r="E59" s="27">
        <v>0</v>
      </c>
      <c r="F59" s="27">
        <v>1</v>
      </c>
      <c r="G59" s="27">
        <v>1</v>
      </c>
      <c r="H59" s="27">
        <v>1101</v>
      </c>
      <c r="I59" s="27">
        <v>-1100</v>
      </c>
    </row>
    <row r="60" spans="1:9" x14ac:dyDescent="0.45">
      <c r="A60" s="27" t="s">
        <v>134</v>
      </c>
      <c r="B60" s="27">
        <v>0</v>
      </c>
      <c r="C60" s="60">
        <v>0</v>
      </c>
      <c r="D60" s="60">
        <v>0</v>
      </c>
      <c r="E60" s="60">
        <v>0</v>
      </c>
      <c r="F60" s="61">
        <v>1</v>
      </c>
      <c r="G60" s="27">
        <v>1</v>
      </c>
      <c r="H60" s="27">
        <v>2956</v>
      </c>
      <c r="I60" s="27">
        <v>-2955</v>
      </c>
    </row>
    <row r="61" spans="1:9" ht="18.75" thickBot="1" x14ac:dyDescent="0.5">
      <c r="A61" s="27" t="s">
        <v>2</v>
      </c>
      <c r="B61" s="27"/>
      <c r="C61" s="27">
        <f t="shared" ref="B61:I61" si="0">SUM(C7:C60)</f>
        <v>553517779926</v>
      </c>
      <c r="D61" s="64">
        <f t="shared" si="0"/>
        <v>472298582465</v>
      </c>
      <c r="E61" s="27">
        <f t="shared" si="0"/>
        <v>81219197461</v>
      </c>
      <c r="F61" s="27"/>
      <c r="G61" s="58">
        <f t="shared" si="0"/>
        <v>693735552828</v>
      </c>
      <c r="H61" s="58">
        <f t="shared" si="0"/>
        <v>613033141931</v>
      </c>
      <c r="I61" s="64">
        <f t="shared" si="0"/>
        <v>80702410897</v>
      </c>
    </row>
    <row r="62" spans="1:9" ht="18.75" thickTop="1" x14ac:dyDescent="0.45">
      <c r="C62" s="66"/>
      <c r="E62" s="66"/>
      <c r="G62" s="66"/>
      <c r="H62" s="66"/>
    </row>
  </sheetData>
  <mergeCells count="7">
    <mergeCell ref="A1:I1"/>
    <mergeCell ref="A2:I2"/>
    <mergeCell ref="A3:I3"/>
    <mergeCell ref="B5:E5"/>
    <mergeCell ref="F5:I5"/>
    <mergeCell ref="A4:E4"/>
    <mergeCell ref="F4:I4"/>
  </mergeCells>
  <pageMargins left="0.70866141732283472" right="0.70866141732283472" top="0.74803149606299213" bottom="0.74803149606299213" header="0.31496062992125984" footer="0.31496062992125984"/>
  <pageSetup scale="91" fitToHeight="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pageSetUpPr fitToPage="1"/>
  </sheetPr>
  <dimension ref="A1:I236"/>
  <sheetViews>
    <sheetView rightToLeft="1" view="pageBreakPreview" topLeftCell="A228" zoomScaleNormal="100" zoomScaleSheetLayoutView="100" workbookViewId="0">
      <selection activeCell="G251" sqref="G251"/>
    </sheetView>
  </sheetViews>
  <sheetFormatPr defaultRowHeight="18" x14ac:dyDescent="0.45"/>
  <cols>
    <col min="1" max="1" width="22.42578125" style="6" bestFit="1" customWidth="1"/>
    <col min="2" max="2" width="10.85546875" style="6" bestFit="1" customWidth="1"/>
    <col min="3" max="4" width="14" style="6" bestFit="1" customWidth="1"/>
    <col min="5" max="5" width="14.7109375" style="6" bestFit="1" customWidth="1"/>
    <col min="6" max="6" width="10.85546875" style="6" bestFit="1" customWidth="1"/>
    <col min="7" max="8" width="14" style="6" bestFit="1" customWidth="1"/>
    <col min="9" max="9" width="14" style="6" customWidth="1"/>
    <col min="10" max="16384" width="9.140625" style="6"/>
  </cols>
  <sheetData>
    <row r="1" spans="1:9" ht="21" x14ac:dyDescent="0.55000000000000004">
      <c r="A1" s="35" t="s">
        <v>70</v>
      </c>
      <c r="B1" s="35"/>
      <c r="C1" s="35"/>
      <c r="D1" s="35"/>
      <c r="E1" s="35"/>
      <c r="F1" s="35"/>
      <c r="G1" s="35"/>
      <c r="H1" s="35"/>
      <c r="I1" s="35"/>
    </row>
    <row r="2" spans="1:9" ht="21" x14ac:dyDescent="0.55000000000000004">
      <c r="A2" s="35" t="s">
        <v>61</v>
      </c>
      <c r="B2" s="35"/>
      <c r="C2" s="35"/>
      <c r="D2" s="35"/>
      <c r="E2" s="35"/>
      <c r="F2" s="35"/>
      <c r="G2" s="35"/>
      <c r="H2" s="35"/>
      <c r="I2" s="35"/>
    </row>
    <row r="3" spans="1:9" ht="21" x14ac:dyDescent="0.55000000000000004">
      <c r="A3" s="35" t="s">
        <v>72</v>
      </c>
      <c r="B3" s="35"/>
      <c r="C3" s="35"/>
      <c r="D3" s="35"/>
      <c r="E3" s="35"/>
      <c r="F3" s="35"/>
      <c r="G3" s="35"/>
      <c r="H3" s="35"/>
      <c r="I3" s="35"/>
    </row>
    <row r="4" spans="1:9" ht="21" x14ac:dyDescent="0.45">
      <c r="A4" s="34" t="s">
        <v>48</v>
      </c>
      <c r="B4" s="34"/>
      <c r="C4" s="34"/>
      <c r="D4" s="34"/>
    </row>
    <row r="5" spans="1:9" ht="16.5" customHeight="1" thickBot="1" x14ac:dyDescent="0.5">
      <c r="B5" s="32" t="s">
        <v>67</v>
      </c>
      <c r="C5" s="32"/>
      <c r="D5" s="32"/>
      <c r="E5" s="32"/>
      <c r="F5" s="33" t="s">
        <v>73</v>
      </c>
      <c r="G5" s="33"/>
      <c r="H5" s="33"/>
      <c r="I5" s="33"/>
    </row>
    <row r="6" spans="1:9" ht="53.25" customHeight="1" thickBot="1" x14ac:dyDescent="0.5">
      <c r="A6" s="21" t="s">
        <v>38</v>
      </c>
      <c r="B6" s="12" t="s">
        <v>3</v>
      </c>
      <c r="C6" s="13" t="s">
        <v>20</v>
      </c>
      <c r="D6" s="12" t="s">
        <v>49</v>
      </c>
      <c r="E6" s="17" t="s">
        <v>50</v>
      </c>
      <c r="F6" s="12" t="s">
        <v>3</v>
      </c>
      <c r="G6" s="13" t="s">
        <v>20</v>
      </c>
      <c r="H6" s="12" t="s">
        <v>49</v>
      </c>
      <c r="I6" s="17" t="s">
        <v>50</v>
      </c>
    </row>
    <row r="7" spans="1:9" x14ac:dyDescent="0.45">
      <c r="A7" s="27" t="s">
        <v>125</v>
      </c>
      <c r="B7" s="27">
        <v>9027544</v>
      </c>
      <c r="C7" s="27">
        <v>42200012471</v>
      </c>
      <c r="D7" s="27">
        <v>38303465668</v>
      </c>
      <c r="E7" s="27">
        <v>3896546803</v>
      </c>
      <c r="F7" s="27">
        <v>9027544</v>
      </c>
      <c r="G7" s="27">
        <v>42200012471</v>
      </c>
      <c r="H7" s="27">
        <v>36193591475</v>
      </c>
      <c r="I7" s="27">
        <v>6006420996</v>
      </c>
    </row>
    <row r="8" spans="1:9" x14ac:dyDescent="0.45">
      <c r="A8" s="27" t="s">
        <v>97</v>
      </c>
      <c r="B8" s="27">
        <v>5542935</v>
      </c>
      <c r="C8" s="27">
        <v>59510953377</v>
      </c>
      <c r="D8" s="27">
        <v>41715195609</v>
      </c>
      <c r="E8" s="27">
        <v>17795757768</v>
      </c>
      <c r="F8" s="27">
        <v>5542935</v>
      </c>
      <c r="G8" s="27">
        <v>59510953377</v>
      </c>
      <c r="H8" s="27">
        <v>40230738057</v>
      </c>
      <c r="I8" s="27">
        <v>19280215320</v>
      </c>
    </row>
    <row r="9" spans="1:9" x14ac:dyDescent="0.45">
      <c r="A9" s="27" t="s">
        <v>251</v>
      </c>
      <c r="B9" s="27">
        <v>158909</v>
      </c>
      <c r="C9" s="27">
        <v>25228901349</v>
      </c>
      <c r="D9" s="27">
        <v>17472590990</v>
      </c>
      <c r="E9" s="27">
        <v>7756310359</v>
      </c>
      <c r="F9" s="27">
        <v>158909</v>
      </c>
      <c r="G9" s="27">
        <v>25228901349</v>
      </c>
      <c r="H9" s="27">
        <v>17472590990</v>
      </c>
      <c r="I9" s="27">
        <v>7756310359</v>
      </c>
    </row>
    <row r="10" spans="1:9" x14ac:dyDescent="0.45">
      <c r="A10" s="27" t="s">
        <v>218</v>
      </c>
      <c r="B10" s="27">
        <v>4862943</v>
      </c>
      <c r="C10" s="27">
        <v>49170341472</v>
      </c>
      <c r="D10" s="27">
        <v>35550716769</v>
      </c>
      <c r="E10" s="27">
        <v>13619624703</v>
      </c>
      <c r="F10" s="27">
        <v>4862943</v>
      </c>
      <c r="G10" s="27">
        <v>49170341472</v>
      </c>
      <c r="H10" s="27">
        <v>34613248660</v>
      </c>
      <c r="I10" s="27">
        <v>14557092812</v>
      </c>
    </row>
    <row r="11" spans="1:9" x14ac:dyDescent="0.45">
      <c r="A11" s="27" t="s">
        <v>334</v>
      </c>
      <c r="B11" s="27">
        <v>88610</v>
      </c>
      <c r="C11" s="27">
        <v>1314479418</v>
      </c>
      <c r="D11" s="27">
        <v>1165886093</v>
      </c>
      <c r="E11" s="27">
        <v>148593325</v>
      </c>
      <c r="F11" s="27">
        <v>88610</v>
      </c>
      <c r="G11" s="27">
        <v>1314479418</v>
      </c>
      <c r="H11" s="27">
        <v>1035847860</v>
      </c>
      <c r="I11" s="27">
        <v>278631558</v>
      </c>
    </row>
    <row r="12" spans="1:9" x14ac:dyDescent="0.45">
      <c r="A12" s="27" t="s">
        <v>342</v>
      </c>
      <c r="B12" s="27">
        <v>23633</v>
      </c>
      <c r="C12" s="27">
        <v>293128961</v>
      </c>
      <c r="D12" s="27">
        <v>287500885</v>
      </c>
      <c r="E12" s="27">
        <v>5628076</v>
      </c>
      <c r="F12" s="27">
        <v>23633</v>
      </c>
      <c r="G12" s="27">
        <v>293128961</v>
      </c>
      <c r="H12" s="27">
        <v>192086265</v>
      </c>
      <c r="I12" s="27">
        <v>101042696</v>
      </c>
    </row>
    <row r="13" spans="1:9" x14ac:dyDescent="0.45">
      <c r="A13" s="27" t="s">
        <v>283</v>
      </c>
      <c r="B13" s="27">
        <v>3814542</v>
      </c>
      <c r="C13" s="27">
        <v>18081210555</v>
      </c>
      <c r="D13" s="27">
        <v>15212138418</v>
      </c>
      <c r="E13" s="27">
        <v>2869072137</v>
      </c>
      <c r="F13" s="27">
        <v>3814542</v>
      </c>
      <c r="G13" s="27">
        <v>18081210555</v>
      </c>
      <c r="H13" s="27">
        <v>15851812812</v>
      </c>
      <c r="I13" s="27">
        <v>2229397743</v>
      </c>
    </row>
    <row r="14" spans="1:9" x14ac:dyDescent="0.45">
      <c r="A14" s="27" t="s">
        <v>253</v>
      </c>
      <c r="B14" s="27">
        <v>245000</v>
      </c>
      <c r="C14" s="27">
        <v>3539625544</v>
      </c>
      <c r="D14" s="27">
        <v>2572063067</v>
      </c>
      <c r="E14" s="27">
        <v>967562477</v>
      </c>
      <c r="F14" s="27">
        <v>245000</v>
      </c>
      <c r="G14" s="27">
        <v>3539625544</v>
      </c>
      <c r="H14" s="27">
        <v>2525872898</v>
      </c>
      <c r="I14" s="27">
        <v>1013752646</v>
      </c>
    </row>
    <row r="15" spans="1:9" x14ac:dyDescent="0.45">
      <c r="A15" s="27" t="s">
        <v>137</v>
      </c>
      <c r="B15" s="27">
        <v>10724125</v>
      </c>
      <c r="C15" s="27">
        <v>55760032172</v>
      </c>
      <c r="D15" s="27">
        <v>55940165609</v>
      </c>
      <c r="E15" s="27">
        <v>-180133437</v>
      </c>
      <c r="F15" s="27">
        <v>10724125</v>
      </c>
      <c r="G15" s="27">
        <v>55760032172</v>
      </c>
      <c r="H15" s="27">
        <v>55579747966</v>
      </c>
      <c r="I15" s="27">
        <v>180284206</v>
      </c>
    </row>
    <row r="16" spans="1:9" x14ac:dyDescent="0.45">
      <c r="A16" s="27" t="s">
        <v>104</v>
      </c>
      <c r="B16" s="27">
        <v>3135450</v>
      </c>
      <c r="C16" s="27">
        <v>44054775676</v>
      </c>
      <c r="D16" s="27">
        <v>34482308574</v>
      </c>
      <c r="E16" s="27">
        <v>9572467102</v>
      </c>
      <c r="F16" s="27">
        <v>3135450</v>
      </c>
      <c r="G16" s="27">
        <v>44054775676</v>
      </c>
      <c r="H16" s="27">
        <v>35408904500</v>
      </c>
      <c r="I16" s="27">
        <v>8645871176</v>
      </c>
    </row>
    <row r="17" spans="1:9" x14ac:dyDescent="0.45">
      <c r="A17" s="27" t="s">
        <v>293</v>
      </c>
      <c r="B17" s="27">
        <v>8948358</v>
      </c>
      <c r="C17" s="27">
        <v>31938436332</v>
      </c>
      <c r="D17" s="27">
        <v>19054735715</v>
      </c>
      <c r="E17" s="27">
        <v>12883700617</v>
      </c>
      <c r="F17" s="27">
        <v>8948358</v>
      </c>
      <c r="G17" s="27">
        <v>31938436332</v>
      </c>
      <c r="H17" s="27">
        <v>17971474878</v>
      </c>
      <c r="I17" s="27">
        <v>13966961454</v>
      </c>
    </row>
    <row r="18" spans="1:9" x14ac:dyDescent="0.45">
      <c r="A18" s="27" t="s">
        <v>119</v>
      </c>
      <c r="B18" s="27">
        <v>15021427</v>
      </c>
      <c r="C18" s="27">
        <v>100461798629</v>
      </c>
      <c r="D18" s="27">
        <v>59428964268</v>
      </c>
      <c r="E18" s="27">
        <v>41032834361</v>
      </c>
      <c r="F18" s="27">
        <v>15021427</v>
      </c>
      <c r="G18" s="27">
        <v>100461798629</v>
      </c>
      <c r="H18" s="27">
        <v>59428964268</v>
      </c>
      <c r="I18" s="27">
        <v>41032834361</v>
      </c>
    </row>
    <row r="19" spans="1:9" x14ac:dyDescent="0.45">
      <c r="A19" s="27" t="s">
        <v>88</v>
      </c>
      <c r="B19" s="27">
        <v>1505609</v>
      </c>
      <c r="C19" s="27">
        <v>40128051456</v>
      </c>
      <c r="D19" s="27">
        <v>29640377546</v>
      </c>
      <c r="E19" s="27">
        <v>10487673910</v>
      </c>
      <c r="F19" s="27">
        <v>1505609</v>
      </c>
      <c r="G19" s="27">
        <v>40128051456</v>
      </c>
      <c r="H19" s="27">
        <v>26054848004</v>
      </c>
      <c r="I19" s="27">
        <v>14073203452</v>
      </c>
    </row>
    <row r="20" spans="1:9" x14ac:dyDescent="0.45">
      <c r="A20" s="27" t="s">
        <v>108</v>
      </c>
      <c r="B20" s="27">
        <v>10003637</v>
      </c>
      <c r="C20" s="27">
        <v>24071299049</v>
      </c>
      <c r="D20" s="27">
        <v>21450083924</v>
      </c>
      <c r="E20" s="27">
        <v>2621215125</v>
      </c>
      <c r="F20" s="27">
        <v>10003637</v>
      </c>
      <c r="G20" s="27">
        <v>24071299049</v>
      </c>
      <c r="H20" s="27">
        <v>22314986224</v>
      </c>
      <c r="I20" s="27">
        <v>1756312825</v>
      </c>
    </row>
    <row r="21" spans="1:9" x14ac:dyDescent="0.45">
      <c r="A21" s="27" t="s">
        <v>85</v>
      </c>
      <c r="B21" s="27">
        <v>28071939</v>
      </c>
      <c r="C21" s="27">
        <v>83453408963</v>
      </c>
      <c r="D21" s="27">
        <v>73088062801</v>
      </c>
      <c r="E21" s="27">
        <v>10365346162</v>
      </c>
      <c r="F21" s="27">
        <v>28071939</v>
      </c>
      <c r="G21" s="27">
        <v>83453408963</v>
      </c>
      <c r="H21" s="27">
        <v>72119721684</v>
      </c>
      <c r="I21" s="27">
        <v>11333687279</v>
      </c>
    </row>
    <row r="22" spans="1:9" x14ac:dyDescent="0.45">
      <c r="A22" s="27" t="s">
        <v>87</v>
      </c>
      <c r="B22" s="27">
        <v>131507736</v>
      </c>
      <c r="C22" s="27">
        <v>75162920372</v>
      </c>
      <c r="D22" s="27">
        <v>69709751694</v>
      </c>
      <c r="E22" s="27">
        <v>5453168678</v>
      </c>
      <c r="F22" s="27">
        <v>131507736</v>
      </c>
      <c r="G22" s="27">
        <v>75162920372</v>
      </c>
      <c r="H22" s="27">
        <v>70198769839</v>
      </c>
      <c r="I22" s="27">
        <v>4964150533</v>
      </c>
    </row>
    <row r="23" spans="1:9" x14ac:dyDescent="0.45">
      <c r="A23" s="27" t="s">
        <v>141</v>
      </c>
      <c r="B23" s="27">
        <v>1750000</v>
      </c>
      <c r="C23" s="27">
        <v>4652009827</v>
      </c>
      <c r="D23" s="27">
        <v>4606861542</v>
      </c>
      <c r="E23" s="27">
        <v>45148285</v>
      </c>
      <c r="F23" s="27">
        <v>1750000</v>
      </c>
      <c r="G23" s="27">
        <v>4652009827</v>
      </c>
      <c r="H23" s="27">
        <v>4554767367</v>
      </c>
      <c r="I23" s="27">
        <v>97242460</v>
      </c>
    </row>
    <row r="24" spans="1:9" x14ac:dyDescent="0.45">
      <c r="A24" s="27" t="s">
        <v>343</v>
      </c>
      <c r="B24" s="27">
        <v>31353305</v>
      </c>
      <c r="C24" s="27">
        <v>47288634808</v>
      </c>
      <c r="D24" s="27">
        <v>37757074960</v>
      </c>
      <c r="E24" s="27">
        <v>9531559848</v>
      </c>
      <c r="F24" s="27">
        <v>31353305</v>
      </c>
      <c r="G24" s="27">
        <v>47288634808</v>
      </c>
      <c r="H24" s="27">
        <v>37299697833</v>
      </c>
      <c r="I24" s="27">
        <v>9988936975</v>
      </c>
    </row>
    <row r="25" spans="1:9" x14ac:dyDescent="0.45">
      <c r="A25" s="27" t="s">
        <v>132</v>
      </c>
      <c r="B25" s="27">
        <v>36217996</v>
      </c>
      <c r="C25" s="27">
        <v>23072215832</v>
      </c>
      <c r="D25" s="27">
        <v>13908017955</v>
      </c>
      <c r="E25" s="27">
        <v>9164197877</v>
      </c>
      <c r="F25" s="27">
        <v>36217996</v>
      </c>
      <c r="G25" s="27">
        <v>23072215832</v>
      </c>
      <c r="H25" s="27">
        <v>13510635983</v>
      </c>
      <c r="I25" s="27">
        <v>9561579849</v>
      </c>
    </row>
    <row r="26" spans="1:9" x14ac:dyDescent="0.45">
      <c r="A26" s="27" t="s">
        <v>91</v>
      </c>
      <c r="B26" s="27">
        <v>6800000</v>
      </c>
      <c r="C26" s="27">
        <v>31004468420</v>
      </c>
      <c r="D26" s="27">
        <v>22689351394</v>
      </c>
      <c r="E26" s="27">
        <v>8315117026</v>
      </c>
      <c r="F26" s="27">
        <v>6800000</v>
      </c>
      <c r="G26" s="27">
        <v>31004468420</v>
      </c>
      <c r="H26" s="27">
        <v>22116613150</v>
      </c>
      <c r="I26" s="27">
        <v>8887855270</v>
      </c>
    </row>
    <row r="27" spans="1:9" x14ac:dyDescent="0.45">
      <c r="A27" s="27" t="s">
        <v>291</v>
      </c>
      <c r="B27" s="27">
        <v>9075143</v>
      </c>
      <c r="C27" s="27">
        <v>24727708429</v>
      </c>
      <c r="D27" s="27">
        <v>18179688759</v>
      </c>
      <c r="E27" s="27">
        <v>6548019670</v>
      </c>
      <c r="F27" s="27">
        <v>9075143</v>
      </c>
      <c r="G27" s="27">
        <v>24727708429</v>
      </c>
      <c r="H27" s="27">
        <v>17140741679</v>
      </c>
      <c r="I27" s="27">
        <v>7586966750</v>
      </c>
    </row>
    <row r="28" spans="1:9" x14ac:dyDescent="0.45">
      <c r="A28" s="27" t="s">
        <v>328</v>
      </c>
      <c r="B28" s="27">
        <v>62123085</v>
      </c>
      <c r="C28" s="27">
        <v>42841797119</v>
      </c>
      <c r="D28" s="27">
        <v>32735613233</v>
      </c>
      <c r="E28" s="27">
        <v>10106183886</v>
      </c>
      <c r="F28" s="27">
        <v>62123085</v>
      </c>
      <c r="G28" s="27">
        <v>42841797119</v>
      </c>
      <c r="H28" s="27">
        <v>32105994907</v>
      </c>
      <c r="I28" s="27">
        <v>10735802212</v>
      </c>
    </row>
    <row r="29" spans="1:9" x14ac:dyDescent="0.45">
      <c r="A29" s="27" t="s">
        <v>83</v>
      </c>
      <c r="B29" s="27">
        <v>53696139</v>
      </c>
      <c r="C29" s="27">
        <v>70650695963</v>
      </c>
      <c r="D29" s="27">
        <v>59957752653</v>
      </c>
      <c r="E29" s="27">
        <v>10692943310</v>
      </c>
      <c r="F29" s="27">
        <v>53696139</v>
      </c>
      <c r="G29" s="27">
        <v>70650695963</v>
      </c>
      <c r="H29" s="27">
        <v>58434287573</v>
      </c>
      <c r="I29" s="27">
        <v>12216408390</v>
      </c>
    </row>
    <row r="30" spans="1:9" x14ac:dyDescent="0.45">
      <c r="A30" s="27" t="s">
        <v>134</v>
      </c>
      <c r="B30" s="27">
        <v>15303159</v>
      </c>
      <c r="C30" s="27">
        <v>77898360430</v>
      </c>
      <c r="D30" s="27">
        <v>52315717699</v>
      </c>
      <c r="E30" s="27">
        <v>25582642731</v>
      </c>
      <c r="F30" s="27">
        <v>15303159</v>
      </c>
      <c r="G30" s="27">
        <v>77898360430</v>
      </c>
      <c r="H30" s="27">
        <v>52311498983</v>
      </c>
      <c r="I30" s="27">
        <v>25586861447</v>
      </c>
    </row>
    <row r="31" spans="1:9" x14ac:dyDescent="0.45">
      <c r="A31" s="27" t="s">
        <v>99</v>
      </c>
      <c r="B31" s="27">
        <v>16845192</v>
      </c>
      <c r="C31" s="27">
        <v>31273725084</v>
      </c>
      <c r="D31" s="27">
        <v>26926654060</v>
      </c>
      <c r="E31" s="27">
        <v>4347071024</v>
      </c>
      <c r="F31" s="27">
        <v>16845192</v>
      </c>
      <c r="G31" s="27">
        <v>31273725084</v>
      </c>
      <c r="H31" s="27">
        <v>27049394994</v>
      </c>
      <c r="I31" s="27">
        <v>4224330090</v>
      </c>
    </row>
    <row r="32" spans="1:9" x14ac:dyDescent="0.45">
      <c r="A32" s="27" t="s">
        <v>305</v>
      </c>
      <c r="B32" s="27">
        <v>9210264</v>
      </c>
      <c r="C32" s="27">
        <v>27508596664</v>
      </c>
      <c r="D32" s="27">
        <v>17592707169</v>
      </c>
      <c r="E32" s="27">
        <v>9915889495</v>
      </c>
      <c r="F32" s="27">
        <v>9210264</v>
      </c>
      <c r="G32" s="27">
        <v>27508596664</v>
      </c>
      <c r="H32" s="27">
        <v>17537872757</v>
      </c>
      <c r="I32" s="27">
        <v>9970723907</v>
      </c>
    </row>
    <row r="33" spans="1:9" x14ac:dyDescent="0.45">
      <c r="A33" s="27" t="s">
        <v>227</v>
      </c>
      <c r="B33" s="27">
        <v>20851248</v>
      </c>
      <c r="C33" s="27">
        <v>44276745205</v>
      </c>
      <c r="D33" s="27">
        <v>40365939877</v>
      </c>
      <c r="E33" s="27">
        <v>3910805328</v>
      </c>
      <c r="F33" s="27">
        <v>20851248</v>
      </c>
      <c r="G33" s="27">
        <v>44276745205</v>
      </c>
      <c r="H33" s="27">
        <v>40876007591</v>
      </c>
      <c r="I33" s="27">
        <v>3400737614</v>
      </c>
    </row>
    <row r="34" spans="1:9" x14ac:dyDescent="0.45">
      <c r="A34" s="27" t="s">
        <v>142</v>
      </c>
      <c r="B34" s="27">
        <v>2875000</v>
      </c>
      <c r="C34" s="27">
        <v>5491594281</v>
      </c>
      <c r="D34" s="27">
        <v>5326133259</v>
      </c>
      <c r="E34" s="27">
        <v>165461022</v>
      </c>
      <c r="F34" s="27">
        <v>2875000</v>
      </c>
      <c r="G34" s="27">
        <v>5491594281</v>
      </c>
      <c r="H34" s="27">
        <v>5668466409</v>
      </c>
      <c r="I34" s="27">
        <v>-176872128</v>
      </c>
    </row>
    <row r="35" spans="1:9" x14ac:dyDescent="0.45">
      <c r="A35" s="27" t="s">
        <v>344</v>
      </c>
      <c r="B35" s="27">
        <v>6000000</v>
      </c>
      <c r="C35" s="27">
        <v>73229526000</v>
      </c>
      <c r="D35" s="27">
        <v>72340764580</v>
      </c>
      <c r="E35" s="27">
        <v>888761420</v>
      </c>
      <c r="F35" s="27">
        <v>6000000</v>
      </c>
      <c r="G35" s="27">
        <v>73229526000</v>
      </c>
      <c r="H35" s="27">
        <v>72340764580</v>
      </c>
      <c r="I35" s="27">
        <v>888761420</v>
      </c>
    </row>
    <row r="36" spans="1:9" x14ac:dyDescent="0.45">
      <c r="A36" s="27" t="s">
        <v>107</v>
      </c>
      <c r="B36" s="27">
        <v>17463245</v>
      </c>
      <c r="C36" s="27">
        <v>24900701165</v>
      </c>
      <c r="D36" s="27">
        <v>22253088445</v>
      </c>
      <c r="E36" s="27">
        <v>2647612720</v>
      </c>
      <c r="F36" s="27">
        <v>17463245</v>
      </c>
      <c r="G36" s="27">
        <v>24900701165</v>
      </c>
      <c r="H36" s="27">
        <v>22370532470</v>
      </c>
      <c r="I36" s="27">
        <v>2530168695</v>
      </c>
    </row>
    <row r="37" spans="1:9" x14ac:dyDescent="0.45">
      <c r="A37" s="27" t="s">
        <v>145</v>
      </c>
      <c r="B37" s="27">
        <v>4793305</v>
      </c>
      <c r="C37" s="27">
        <v>13117745091</v>
      </c>
      <c r="D37" s="27">
        <v>9233900399</v>
      </c>
      <c r="E37" s="27">
        <v>3883844692</v>
      </c>
      <c r="F37" s="27">
        <v>4793305</v>
      </c>
      <c r="G37" s="27">
        <v>13117745091</v>
      </c>
      <c r="H37" s="27">
        <v>11482759130</v>
      </c>
      <c r="I37" s="27">
        <v>1634985961</v>
      </c>
    </row>
    <row r="38" spans="1:9" x14ac:dyDescent="0.45">
      <c r="A38" s="27" t="s">
        <v>345</v>
      </c>
      <c r="B38" s="27">
        <v>0</v>
      </c>
      <c r="C38" s="27">
        <v>0</v>
      </c>
      <c r="D38" s="27">
        <v>11460619</v>
      </c>
      <c r="E38" s="27">
        <v>-11460619</v>
      </c>
      <c r="F38" s="27">
        <v>0</v>
      </c>
      <c r="G38" s="27">
        <v>0</v>
      </c>
      <c r="H38" s="27">
        <v>0</v>
      </c>
      <c r="I38" s="27">
        <v>0</v>
      </c>
    </row>
    <row r="39" spans="1:9" x14ac:dyDescent="0.45">
      <c r="A39" s="27" t="s">
        <v>114</v>
      </c>
      <c r="B39" s="27">
        <v>18617878</v>
      </c>
      <c r="C39" s="27">
        <v>29780026427</v>
      </c>
      <c r="D39" s="27">
        <v>31176144025</v>
      </c>
      <c r="E39" s="27">
        <v>-1396117598</v>
      </c>
      <c r="F39" s="27">
        <v>18617878</v>
      </c>
      <c r="G39" s="27">
        <v>29780026427</v>
      </c>
      <c r="H39" s="27">
        <v>30332510437</v>
      </c>
      <c r="I39" s="27">
        <v>-552484010</v>
      </c>
    </row>
    <row r="40" spans="1:9" x14ac:dyDescent="0.45">
      <c r="A40" s="27" t="s">
        <v>310</v>
      </c>
      <c r="B40" s="27">
        <v>14092011</v>
      </c>
      <c r="C40" s="27">
        <v>36775499756</v>
      </c>
      <c r="D40" s="27">
        <v>33684867668</v>
      </c>
      <c r="E40" s="27">
        <v>3090632088</v>
      </c>
      <c r="F40" s="27">
        <v>14092011</v>
      </c>
      <c r="G40" s="27">
        <v>36775499756</v>
      </c>
      <c r="H40" s="27">
        <v>33682450503</v>
      </c>
      <c r="I40" s="27">
        <v>3093049253</v>
      </c>
    </row>
    <row r="41" spans="1:9" x14ac:dyDescent="0.45">
      <c r="A41" s="27" t="s">
        <v>131</v>
      </c>
      <c r="B41" s="27">
        <v>5838695</v>
      </c>
      <c r="C41" s="27">
        <v>46174688245</v>
      </c>
      <c r="D41" s="27">
        <v>36326882507</v>
      </c>
      <c r="E41" s="27">
        <v>9847805738</v>
      </c>
      <c r="F41" s="27">
        <v>5838695</v>
      </c>
      <c r="G41" s="27">
        <v>46174688245</v>
      </c>
      <c r="H41" s="27">
        <v>36325353077</v>
      </c>
      <c r="I41" s="27">
        <v>9849335168</v>
      </c>
    </row>
    <row r="42" spans="1:9" x14ac:dyDescent="0.45">
      <c r="A42" s="27" t="s">
        <v>147</v>
      </c>
      <c r="B42" s="27">
        <v>11316183</v>
      </c>
      <c r="C42" s="27">
        <v>62543908603</v>
      </c>
      <c r="D42" s="27">
        <v>53781351022</v>
      </c>
      <c r="E42" s="27">
        <v>8762557581</v>
      </c>
      <c r="F42" s="27">
        <v>11316183</v>
      </c>
      <c r="G42" s="27">
        <v>62543908603</v>
      </c>
      <c r="H42" s="27">
        <v>55259207607</v>
      </c>
      <c r="I42" s="27">
        <v>7284700996</v>
      </c>
    </row>
    <row r="43" spans="1:9" x14ac:dyDescent="0.45">
      <c r="A43" s="27" t="s">
        <v>346</v>
      </c>
      <c r="B43" s="27">
        <v>14328056</v>
      </c>
      <c r="C43" s="27">
        <v>36296767225</v>
      </c>
      <c r="D43" s="27">
        <v>30804783119</v>
      </c>
      <c r="E43" s="27">
        <v>5491984106</v>
      </c>
      <c r="F43" s="27">
        <v>14328056</v>
      </c>
      <c r="G43" s="27">
        <v>36296767225</v>
      </c>
      <c r="H43" s="27">
        <v>30805454679</v>
      </c>
      <c r="I43" s="27">
        <v>5491312546</v>
      </c>
    </row>
    <row r="44" spans="1:9" x14ac:dyDescent="0.45">
      <c r="A44" s="27" t="s">
        <v>265</v>
      </c>
      <c r="B44" s="27">
        <v>13400000</v>
      </c>
      <c r="C44" s="27">
        <v>51005059448</v>
      </c>
      <c r="D44" s="27">
        <v>30780522697</v>
      </c>
      <c r="E44" s="27">
        <v>20224536751</v>
      </c>
      <c r="F44" s="27">
        <v>13400000</v>
      </c>
      <c r="G44" s="27">
        <v>51005059448</v>
      </c>
      <c r="H44" s="27">
        <v>30417550331</v>
      </c>
      <c r="I44" s="27">
        <v>20587509117</v>
      </c>
    </row>
    <row r="45" spans="1:9" x14ac:dyDescent="0.45">
      <c r="A45" s="27" t="s">
        <v>149</v>
      </c>
      <c r="B45" s="27">
        <v>8157161</v>
      </c>
      <c r="C45" s="27">
        <v>42583092431</v>
      </c>
      <c r="D45" s="27">
        <v>25391738282</v>
      </c>
      <c r="E45" s="27">
        <v>17191354149</v>
      </c>
      <c r="F45" s="27">
        <v>8157161</v>
      </c>
      <c r="G45" s="27">
        <v>42583092431</v>
      </c>
      <c r="H45" s="27">
        <v>32692028428</v>
      </c>
      <c r="I45" s="27">
        <v>9891064003</v>
      </c>
    </row>
    <row r="46" spans="1:9" x14ac:dyDescent="0.45">
      <c r="A46" s="27" t="s">
        <v>336</v>
      </c>
      <c r="B46" s="27">
        <v>842177</v>
      </c>
      <c r="C46" s="27">
        <v>3084446793</v>
      </c>
      <c r="D46" s="27">
        <v>2674134310</v>
      </c>
      <c r="E46" s="27">
        <v>410312483</v>
      </c>
      <c r="F46" s="27">
        <v>842177</v>
      </c>
      <c r="G46" s="27">
        <v>3084446793</v>
      </c>
      <c r="H46" s="27">
        <v>2619815957</v>
      </c>
      <c r="I46" s="27">
        <v>464630836</v>
      </c>
    </row>
    <row r="47" spans="1:9" x14ac:dyDescent="0.45">
      <c r="A47" s="27" t="s">
        <v>151</v>
      </c>
      <c r="B47" s="27">
        <v>285750</v>
      </c>
      <c r="C47" s="27">
        <v>15878304540</v>
      </c>
      <c r="D47" s="27">
        <v>13822631184</v>
      </c>
      <c r="E47" s="27">
        <v>2055673356</v>
      </c>
      <c r="F47" s="27">
        <v>285750</v>
      </c>
      <c r="G47" s="27">
        <v>15878304540</v>
      </c>
      <c r="H47" s="27">
        <v>14956795794</v>
      </c>
      <c r="I47" s="27">
        <v>921508746</v>
      </c>
    </row>
    <row r="48" spans="1:9" x14ac:dyDescent="0.45">
      <c r="A48" s="27" t="s">
        <v>153</v>
      </c>
      <c r="B48" s="27">
        <v>11678863</v>
      </c>
      <c r="C48" s="27">
        <v>16780271643</v>
      </c>
      <c r="D48" s="27">
        <v>15265140327</v>
      </c>
      <c r="E48" s="27">
        <v>1515131316</v>
      </c>
      <c r="F48" s="27">
        <v>11678863</v>
      </c>
      <c r="G48" s="27">
        <v>16780271643</v>
      </c>
      <c r="H48" s="27">
        <v>15018923425</v>
      </c>
      <c r="I48" s="27">
        <v>1761348218</v>
      </c>
    </row>
    <row r="49" spans="1:9" x14ac:dyDescent="0.45">
      <c r="A49" s="27" t="s">
        <v>154</v>
      </c>
      <c r="B49" s="27">
        <v>4235616</v>
      </c>
      <c r="C49" s="27">
        <v>30849100212</v>
      </c>
      <c r="D49" s="27">
        <v>27086518771</v>
      </c>
      <c r="E49" s="27">
        <v>3762581441</v>
      </c>
      <c r="F49" s="27">
        <v>4235616</v>
      </c>
      <c r="G49" s="27">
        <v>30849100212</v>
      </c>
      <c r="H49" s="27">
        <v>26831978138</v>
      </c>
      <c r="I49" s="27">
        <v>4017122074</v>
      </c>
    </row>
    <row r="50" spans="1:9" x14ac:dyDescent="0.45">
      <c r="A50" s="27" t="s">
        <v>156</v>
      </c>
      <c r="B50" s="27">
        <v>250000</v>
      </c>
      <c r="C50" s="27">
        <v>1709185075</v>
      </c>
      <c r="D50" s="27">
        <v>1073140005</v>
      </c>
      <c r="E50" s="27">
        <v>636045070</v>
      </c>
      <c r="F50" s="27">
        <v>250000</v>
      </c>
      <c r="G50" s="27">
        <v>1709185075</v>
      </c>
      <c r="H50" s="27">
        <v>1200646700</v>
      </c>
      <c r="I50" s="27">
        <v>508538375</v>
      </c>
    </row>
    <row r="51" spans="1:9" x14ac:dyDescent="0.45">
      <c r="A51" s="27" t="s">
        <v>158</v>
      </c>
      <c r="B51" s="27">
        <v>11060139</v>
      </c>
      <c r="C51" s="27">
        <v>55970685040</v>
      </c>
      <c r="D51" s="27">
        <v>54429826563</v>
      </c>
      <c r="E51" s="27">
        <v>1540858477</v>
      </c>
      <c r="F51" s="27">
        <v>11060139</v>
      </c>
      <c r="G51" s="27">
        <v>55970685040</v>
      </c>
      <c r="H51" s="27">
        <v>54429826563</v>
      </c>
      <c r="I51" s="27">
        <v>1540858477</v>
      </c>
    </row>
    <row r="52" spans="1:9" x14ac:dyDescent="0.45">
      <c r="A52" s="27" t="s">
        <v>266</v>
      </c>
      <c r="B52" s="27">
        <v>189400</v>
      </c>
      <c r="C52" s="27">
        <v>33978817590</v>
      </c>
      <c r="D52" s="27">
        <v>24403481549</v>
      </c>
      <c r="E52" s="27">
        <v>9575336041</v>
      </c>
      <c r="F52" s="27">
        <v>189400</v>
      </c>
      <c r="G52" s="27">
        <v>33978817590</v>
      </c>
      <c r="H52" s="27">
        <v>23736308969</v>
      </c>
      <c r="I52" s="27">
        <v>10242508621</v>
      </c>
    </row>
    <row r="53" spans="1:9" x14ac:dyDescent="0.45">
      <c r="A53" s="27" t="s">
        <v>112</v>
      </c>
      <c r="B53" s="27">
        <v>3535701</v>
      </c>
      <c r="C53" s="27">
        <v>40942678265</v>
      </c>
      <c r="D53" s="27">
        <v>33947640169</v>
      </c>
      <c r="E53" s="27">
        <v>6995038096</v>
      </c>
      <c r="F53" s="27">
        <v>3535701</v>
      </c>
      <c r="G53" s="27">
        <v>40942678265</v>
      </c>
      <c r="H53" s="27">
        <v>35508213086</v>
      </c>
      <c r="I53" s="27">
        <v>5434465179</v>
      </c>
    </row>
    <row r="54" spans="1:9" x14ac:dyDescent="0.45">
      <c r="A54" s="27" t="s">
        <v>317</v>
      </c>
      <c r="B54" s="27">
        <v>7283236</v>
      </c>
      <c r="C54" s="27">
        <v>48998630051</v>
      </c>
      <c r="D54" s="27">
        <v>42413879226</v>
      </c>
      <c r="E54" s="27">
        <v>6584750825</v>
      </c>
      <c r="F54" s="27">
        <v>7283236</v>
      </c>
      <c r="G54" s="27">
        <v>48998630051</v>
      </c>
      <c r="H54" s="27">
        <v>41892622172</v>
      </c>
      <c r="I54" s="27">
        <v>7106007879</v>
      </c>
    </row>
    <row r="55" spans="1:9" x14ac:dyDescent="0.45">
      <c r="A55" s="27" t="s">
        <v>90</v>
      </c>
      <c r="B55" s="27">
        <v>12960615</v>
      </c>
      <c r="C55" s="27">
        <v>25399348156</v>
      </c>
      <c r="D55" s="27">
        <v>23431191176</v>
      </c>
      <c r="E55" s="27">
        <v>1968156980</v>
      </c>
      <c r="F55" s="27">
        <v>12960615</v>
      </c>
      <c r="G55" s="27">
        <v>25399348156</v>
      </c>
      <c r="H55" s="27">
        <v>23372761437</v>
      </c>
      <c r="I55" s="27">
        <v>2026586719</v>
      </c>
    </row>
    <row r="56" spans="1:9" x14ac:dyDescent="0.45">
      <c r="A56" s="27" t="s">
        <v>109</v>
      </c>
      <c r="B56" s="27">
        <v>17327841</v>
      </c>
      <c r="C56" s="27">
        <v>41127801119</v>
      </c>
      <c r="D56" s="27">
        <v>25186359750</v>
      </c>
      <c r="E56" s="27">
        <v>15941441369</v>
      </c>
      <c r="F56" s="27">
        <v>17327841</v>
      </c>
      <c r="G56" s="27">
        <v>41127801119</v>
      </c>
      <c r="H56" s="27">
        <v>25195936540</v>
      </c>
      <c r="I56" s="27">
        <v>15931864579</v>
      </c>
    </row>
    <row r="57" spans="1:9" x14ac:dyDescent="0.45">
      <c r="A57" s="27" t="s">
        <v>219</v>
      </c>
      <c r="B57" s="27">
        <v>18441112</v>
      </c>
      <c r="C57" s="27">
        <v>83349950840</v>
      </c>
      <c r="D57" s="27">
        <v>69419983601</v>
      </c>
      <c r="E57" s="27">
        <v>13929967239</v>
      </c>
      <c r="F57" s="27">
        <v>18441112</v>
      </c>
      <c r="G57" s="27">
        <v>83349950840</v>
      </c>
      <c r="H57" s="27">
        <v>68981575796</v>
      </c>
      <c r="I57" s="27">
        <v>14368375044</v>
      </c>
    </row>
    <row r="58" spans="1:9" x14ac:dyDescent="0.45">
      <c r="A58" s="27" t="s">
        <v>237</v>
      </c>
      <c r="B58" s="27">
        <v>4607801</v>
      </c>
      <c r="C58" s="27">
        <v>61450135465</v>
      </c>
      <c r="D58" s="27">
        <v>37491898126</v>
      </c>
      <c r="E58" s="27">
        <v>23958237339</v>
      </c>
      <c r="F58" s="27">
        <v>4607801</v>
      </c>
      <c r="G58" s="27">
        <v>61450135465</v>
      </c>
      <c r="H58" s="27">
        <v>35205806777</v>
      </c>
      <c r="I58" s="27">
        <v>26244328688</v>
      </c>
    </row>
    <row r="59" spans="1:9" x14ac:dyDescent="0.45">
      <c r="A59" s="27" t="s">
        <v>118</v>
      </c>
      <c r="B59" s="27">
        <v>14065263</v>
      </c>
      <c r="C59" s="27">
        <v>34193519367</v>
      </c>
      <c r="D59" s="27">
        <v>25268135733</v>
      </c>
      <c r="E59" s="27">
        <v>8925383634</v>
      </c>
      <c r="F59" s="27">
        <v>14065263</v>
      </c>
      <c r="G59" s="27">
        <v>34193519367</v>
      </c>
      <c r="H59" s="27">
        <v>25268135733</v>
      </c>
      <c r="I59" s="27">
        <v>8925383634</v>
      </c>
    </row>
    <row r="60" spans="1:9" x14ac:dyDescent="0.45">
      <c r="A60" s="27" t="s">
        <v>126</v>
      </c>
      <c r="B60" s="27">
        <v>1950533</v>
      </c>
      <c r="C60" s="27">
        <v>67160301683</v>
      </c>
      <c r="D60" s="27">
        <v>57566958494</v>
      </c>
      <c r="E60" s="27">
        <v>9593343189</v>
      </c>
      <c r="F60" s="27">
        <v>1950533</v>
      </c>
      <c r="G60" s="27">
        <v>67160301683</v>
      </c>
      <c r="H60" s="27">
        <v>57192044635</v>
      </c>
      <c r="I60" s="27">
        <v>9968257048</v>
      </c>
    </row>
    <row r="61" spans="1:9" x14ac:dyDescent="0.45">
      <c r="A61" s="27" t="s">
        <v>320</v>
      </c>
      <c r="B61" s="27">
        <v>16761008</v>
      </c>
      <c r="C61" s="27">
        <v>65594420690</v>
      </c>
      <c r="D61" s="27">
        <v>51802448164</v>
      </c>
      <c r="E61" s="27">
        <v>13791972526</v>
      </c>
      <c r="F61" s="27">
        <v>16761008</v>
      </c>
      <c r="G61" s="27">
        <v>65594420690</v>
      </c>
      <c r="H61" s="27">
        <v>56576817456</v>
      </c>
      <c r="I61" s="27">
        <v>9017603234</v>
      </c>
    </row>
    <row r="62" spans="1:9" x14ac:dyDescent="0.45">
      <c r="A62" s="27" t="s">
        <v>347</v>
      </c>
      <c r="B62" s="27">
        <v>0</v>
      </c>
      <c r="C62" s="27">
        <v>0</v>
      </c>
      <c r="D62" s="27">
        <v>4774369292</v>
      </c>
      <c r="E62" s="27">
        <v>-4774369292</v>
      </c>
      <c r="F62" s="27">
        <v>0</v>
      </c>
      <c r="G62" s="27">
        <v>0</v>
      </c>
      <c r="H62" s="27">
        <v>0</v>
      </c>
      <c r="I62" s="27">
        <v>0</v>
      </c>
    </row>
    <row r="63" spans="1:9" x14ac:dyDescent="0.45">
      <c r="A63" s="27" t="s">
        <v>231</v>
      </c>
      <c r="B63" s="27">
        <v>1740025</v>
      </c>
      <c r="C63" s="27">
        <v>67353675409</v>
      </c>
      <c r="D63" s="27">
        <v>53068709894</v>
      </c>
      <c r="E63" s="27">
        <v>14284965515</v>
      </c>
      <c r="F63" s="27">
        <v>1740025</v>
      </c>
      <c r="G63" s="27">
        <v>67353675409</v>
      </c>
      <c r="H63" s="27">
        <v>50914037513</v>
      </c>
      <c r="I63" s="27">
        <v>16439637896</v>
      </c>
    </row>
    <row r="64" spans="1:9" x14ac:dyDescent="0.45">
      <c r="A64" s="27" t="s">
        <v>275</v>
      </c>
      <c r="B64" s="27">
        <v>700000</v>
      </c>
      <c r="C64" s="27">
        <v>26533299800</v>
      </c>
      <c r="D64" s="27">
        <v>26810722731</v>
      </c>
      <c r="E64" s="27">
        <v>-277422931</v>
      </c>
      <c r="F64" s="27">
        <v>700000</v>
      </c>
      <c r="G64" s="27">
        <v>26533299800</v>
      </c>
      <c r="H64" s="27">
        <v>26810722731</v>
      </c>
      <c r="I64" s="27">
        <v>-277422931</v>
      </c>
    </row>
    <row r="65" spans="1:9" x14ac:dyDescent="0.45">
      <c r="A65" s="27" t="s">
        <v>214</v>
      </c>
      <c r="B65" s="27">
        <v>8999143</v>
      </c>
      <c r="C65" s="27">
        <v>66525368203</v>
      </c>
      <c r="D65" s="27">
        <v>52839310746</v>
      </c>
      <c r="E65" s="27">
        <v>13686057457</v>
      </c>
      <c r="F65" s="27">
        <v>8999143</v>
      </c>
      <c r="G65" s="27">
        <v>66525368203</v>
      </c>
      <c r="H65" s="27">
        <v>52011487364</v>
      </c>
      <c r="I65" s="27">
        <v>14513880839</v>
      </c>
    </row>
    <row r="66" spans="1:9" x14ac:dyDescent="0.45">
      <c r="A66" s="27" t="s">
        <v>255</v>
      </c>
      <c r="B66" s="27">
        <v>4929408</v>
      </c>
      <c r="C66" s="27">
        <v>54733688136</v>
      </c>
      <c r="D66" s="27">
        <v>32086952116</v>
      </c>
      <c r="E66" s="27">
        <v>22646736020</v>
      </c>
      <c r="F66" s="27">
        <v>4929408</v>
      </c>
      <c r="G66" s="27">
        <v>54733688136</v>
      </c>
      <c r="H66" s="27">
        <v>30277169755</v>
      </c>
      <c r="I66" s="27">
        <v>24456518381</v>
      </c>
    </row>
    <row r="67" spans="1:9" x14ac:dyDescent="0.45">
      <c r="A67" s="27" t="s">
        <v>348</v>
      </c>
      <c r="B67" s="27">
        <v>2650076</v>
      </c>
      <c r="C67" s="27">
        <v>38865353687</v>
      </c>
      <c r="D67" s="27">
        <v>22981875540</v>
      </c>
      <c r="E67" s="27">
        <v>15883478147</v>
      </c>
      <c r="F67" s="27">
        <v>2650076</v>
      </c>
      <c r="G67" s="27">
        <v>38865353687</v>
      </c>
      <c r="H67" s="27">
        <v>21632184646</v>
      </c>
      <c r="I67" s="27">
        <v>17233169041</v>
      </c>
    </row>
    <row r="68" spans="1:9" x14ac:dyDescent="0.45">
      <c r="A68" s="27" t="s">
        <v>160</v>
      </c>
      <c r="B68" s="27">
        <v>4749593</v>
      </c>
      <c r="C68" s="27">
        <v>55706225597</v>
      </c>
      <c r="D68" s="27">
        <v>50281279953</v>
      </c>
      <c r="E68" s="27">
        <v>5424945644</v>
      </c>
      <c r="F68" s="27">
        <v>4749593</v>
      </c>
      <c r="G68" s="27">
        <v>55706225597</v>
      </c>
      <c r="H68" s="27">
        <v>49492546459</v>
      </c>
      <c r="I68" s="27">
        <v>6213679138</v>
      </c>
    </row>
    <row r="69" spans="1:9" x14ac:dyDescent="0.45">
      <c r="A69" s="27" t="s">
        <v>252</v>
      </c>
      <c r="B69" s="27">
        <v>3833693</v>
      </c>
      <c r="C69" s="27">
        <v>62805006712</v>
      </c>
      <c r="D69" s="27">
        <v>58984468052</v>
      </c>
      <c r="E69" s="27">
        <v>3820538660</v>
      </c>
      <c r="F69" s="27">
        <v>3833693</v>
      </c>
      <c r="G69" s="27">
        <v>62805006712</v>
      </c>
      <c r="H69" s="27">
        <v>58714484959</v>
      </c>
      <c r="I69" s="27">
        <v>4090521753</v>
      </c>
    </row>
    <row r="70" spans="1:9" x14ac:dyDescent="0.45">
      <c r="A70" s="27" t="s">
        <v>327</v>
      </c>
      <c r="B70" s="27">
        <v>16854222</v>
      </c>
      <c r="C70" s="27">
        <v>28246732741</v>
      </c>
      <c r="D70" s="27">
        <v>24333331047</v>
      </c>
      <c r="E70" s="27">
        <v>3913401694</v>
      </c>
      <c r="F70" s="27">
        <v>16854222</v>
      </c>
      <c r="G70" s="27">
        <v>28246732741</v>
      </c>
      <c r="H70" s="27">
        <v>24333331047</v>
      </c>
      <c r="I70" s="27">
        <v>3913401694</v>
      </c>
    </row>
    <row r="71" spans="1:9" x14ac:dyDescent="0.45">
      <c r="A71" s="27" t="s">
        <v>110</v>
      </c>
      <c r="B71" s="27">
        <v>8000000</v>
      </c>
      <c r="C71" s="27">
        <v>52788764000</v>
      </c>
      <c r="D71" s="27">
        <v>50375704520</v>
      </c>
      <c r="E71" s="27">
        <v>2413059480</v>
      </c>
      <c r="F71" s="27">
        <v>8000000</v>
      </c>
      <c r="G71" s="27">
        <v>52788764000</v>
      </c>
      <c r="H71" s="27">
        <v>50375704520</v>
      </c>
      <c r="I71" s="27">
        <v>2413059480</v>
      </c>
    </row>
    <row r="72" spans="1:9" x14ac:dyDescent="0.45">
      <c r="A72" s="27" t="s">
        <v>263</v>
      </c>
      <c r="B72" s="27">
        <v>1725246</v>
      </c>
      <c r="C72" s="27">
        <v>29170943817</v>
      </c>
      <c r="D72" s="27">
        <v>21488571674</v>
      </c>
      <c r="E72" s="27">
        <v>7682372143</v>
      </c>
      <c r="F72" s="27">
        <v>1725246</v>
      </c>
      <c r="G72" s="27">
        <v>29170943817</v>
      </c>
      <c r="H72" s="27">
        <v>22325982560</v>
      </c>
      <c r="I72" s="27">
        <v>6844961257</v>
      </c>
    </row>
    <row r="73" spans="1:9" x14ac:dyDescent="0.45">
      <c r="A73" s="27" t="s">
        <v>95</v>
      </c>
      <c r="B73" s="27">
        <v>30820136</v>
      </c>
      <c r="C73" s="27">
        <v>66270969388</v>
      </c>
      <c r="D73" s="27">
        <v>48310686080</v>
      </c>
      <c r="E73" s="27">
        <v>17960283308</v>
      </c>
      <c r="F73" s="27">
        <v>30820136</v>
      </c>
      <c r="G73" s="27">
        <v>66270969388</v>
      </c>
      <c r="H73" s="27">
        <v>48341684864</v>
      </c>
      <c r="I73" s="27">
        <v>17929284524</v>
      </c>
    </row>
    <row r="74" spans="1:9" x14ac:dyDescent="0.45">
      <c r="A74" s="27" t="s">
        <v>130</v>
      </c>
      <c r="B74" s="27">
        <v>20378584</v>
      </c>
      <c r="C74" s="27">
        <v>31484186599</v>
      </c>
      <c r="D74" s="27">
        <v>25448492417</v>
      </c>
      <c r="E74" s="27">
        <v>6035694182</v>
      </c>
      <c r="F74" s="27">
        <v>20378584</v>
      </c>
      <c r="G74" s="27">
        <v>31484186599</v>
      </c>
      <c r="H74" s="27">
        <v>25454673748</v>
      </c>
      <c r="I74" s="27">
        <v>6029512851</v>
      </c>
    </row>
    <row r="75" spans="1:9" x14ac:dyDescent="0.45">
      <c r="A75" s="27" t="s">
        <v>299</v>
      </c>
      <c r="B75" s="27">
        <v>10369674</v>
      </c>
      <c r="C75" s="27">
        <v>51447582100</v>
      </c>
      <c r="D75" s="27">
        <v>34279530805</v>
      </c>
      <c r="E75" s="27">
        <v>17168051295</v>
      </c>
      <c r="F75" s="27">
        <v>10369674</v>
      </c>
      <c r="G75" s="27">
        <v>51447582100</v>
      </c>
      <c r="H75" s="27">
        <v>33460639487</v>
      </c>
      <c r="I75" s="27">
        <v>17986942613</v>
      </c>
    </row>
    <row r="76" spans="1:9" x14ac:dyDescent="0.45">
      <c r="A76" s="27" t="s">
        <v>267</v>
      </c>
      <c r="B76" s="27">
        <v>562500</v>
      </c>
      <c r="C76" s="27">
        <v>4950807131</v>
      </c>
      <c r="D76" s="27">
        <v>4537774744</v>
      </c>
      <c r="E76" s="27">
        <v>413032387</v>
      </c>
      <c r="F76" s="27">
        <v>562500</v>
      </c>
      <c r="G76" s="27">
        <v>4950807131</v>
      </c>
      <c r="H76" s="27">
        <v>4632660562</v>
      </c>
      <c r="I76" s="27">
        <v>318146569</v>
      </c>
    </row>
    <row r="77" spans="1:9" x14ac:dyDescent="0.45">
      <c r="A77" s="27" t="s">
        <v>290</v>
      </c>
      <c r="B77" s="27">
        <v>4773870</v>
      </c>
      <c r="C77" s="27">
        <v>37943113559</v>
      </c>
      <c r="D77" s="27">
        <v>26399202778</v>
      </c>
      <c r="E77" s="27">
        <v>11543910781</v>
      </c>
      <c r="F77" s="27">
        <v>4773870</v>
      </c>
      <c r="G77" s="27">
        <v>37943113559</v>
      </c>
      <c r="H77" s="27">
        <v>25693378573</v>
      </c>
      <c r="I77" s="27">
        <v>12249734986</v>
      </c>
    </row>
    <row r="78" spans="1:9" x14ac:dyDescent="0.45">
      <c r="A78" s="27" t="s">
        <v>123</v>
      </c>
      <c r="B78" s="27">
        <v>115200000</v>
      </c>
      <c r="C78" s="27">
        <v>65156417280</v>
      </c>
      <c r="D78" s="27">
        <v>63586696181</v>
      </c>
      <c r="E78" s="27">
        <v>1569721099</v>
      </c>
      <c r="F78" s="27">
        <v>115200000</v>
      </c>
      <c r="G78" s="27">
        <v>65156417280</v>
      </c>
      <c r="H78" s="27">
        <v>63891521525</v>
      </c>
      <c r="I78" s="27">
        <v>1264895755</v>
      </c>
    </row>
    <row r="79" spans="1:9" x14ac:dyDescent="0.45">
      <c r="A79" s="27" t="s">
        <v>161</v>
      </c>
      <c r="B79" s="27">
        <v>11440020</v>
      </c>
      <c r="C79" s="27">
        <v>54646547739</v>
      </c>
      <c r="D79" s="27">
        <v>31920667271</v>
      </c>
      <c r="E79" s="27">
        <v>22725880468</v>
      </c>
      <c r="F79" s="27">
        <v>11440020</v>
      </c>
      <c r="G79" s="27">
        <v>54646547739</v>
      </c>
      <c r="H79" s="27">
        <v>33736921454</v>
      </c>
      <c r="I79" s="27">
        <v>20909626285</v>
      </c>
    </row>
    <row r="80" spans="1:9" x14ac:dyDescent="0.45">
      <c r="A80" s="27" t="s">
        <v>349</v>
      </c>
      <c r="B80" s="27">
        <v>6400000</v>
      </c>
      <c r="C80" s="27">
        <v>20455050688</v>
      </c>
      <c r="D80" s="27">
        <v>21015837329</v>
      </c>
      <c r="E80" s="27">
        <v>-560786641</v>
      </c>
      <c r="F80" s="27">
        <v>6400000</v>
      </c>
      <c r="G80" s="27">
        <v>20455050688</v>
      </c>
      <c r="H80" s="27">
        <v>21015837329</v>
      </c>
      <c r="I80" s="27">
        <v>-560786641</v>
      </c>
    </row>
    <row r="81" spans="1:9" x14ac:dyDescent="0.45">
      <c r="A81" s="27" t="s">
        <v>262</v>
      </c>
      <c r="B81" s="27">
        <v>16240317</v>
      </c>
      <c r="C81" s="27">
        <v>99105893000</v>
      </c>
      <c r="D81" s="27">
        <v>93531181243</v>
      </c>
      <c r="E81" s="27">
        <v>5574711757</v>
      </c>
      <c r="F81" s="27">
        <v>16240317</v>
      </c>
      <c r="G81" s="27">
        <v>99105893000</v>
      </c>
      <c r="H81" s="27">
        <v>93910244111</v>
      </c>
      <c r="I81" s="27">
        <v>5195648889</v>
      </c>
    </row>
    <row r="82" spans="1:9" x14ac:dyDescent="0.45">
      <c r="A82" s="27" t="s">
        <v>106</v>
      </c>
      <c r="B82" s="27">
        <v>55645457</v>
      </c>
      <c r="C82" s="27">
        <v>113136185798</v>
      </c>
      <c r="D82" s="27">
        <v>102013277499</v>
      </c>
      <c r="E82" s="27">
        <v>11122908299</v>
      </c>
      <c r="F82" s="27">
        <v>55645457</v>
      </c>
      <c r="G82" s="27">
        <v>113136185798</v>
      </c>
      <c r="H82" s="27">
        <v>102325151700</v>
      </c>
      <c r="I82" s="27">
        <v>10811034098</v>
      </c>
    </row>
    <row r="83" spans="1:9" x14ac:dyDescent="0.45">
      <c r="A83" s="27" t="s">
        <v>215</v>
      </c>
      <c r="B83" s="27">
        <v>8380920</v>
      </c>
      <c r="C83" s="27">
        <v>42245968281</v>
      </c>
      <c r="D83" s="27">
        <v>43662956453</v>
      </c>
      <c r="E83" s="27">
        <v>-1416988172</v>
      </c>
      <c r="F83" s="27">
        <v>8380920</v>
      </c>
      <c r="G83" s="27">
        <v>42245968281</v>
      </c>
      <c r="H83" s="27">
        <v>43662956453</v>
      </c>
      <c r="I83" s="27">
        <v>-1416988172</v>
      </c>
    </row>
    <row r="84" spans="1:9" x14ac:dyDescent="0.45">
      <c r="A84" s="27" t="s">
        <v>281</v>
      </c>
      <c r="B84" s="27">
        <v>926418</v>
      </c>
      <c r="C84" s="27">
        <v>13090216673</v>
      </c>
      <c r="D84" s="27">
        <v>9192567889</v>
      </c>
      <c r="E84" s="27">
        <v>3897648784</v>
      </c>
      <c r="F84" s="27">
        <v>926418</v>
      </c>
      <c r="G84" s="27">
        <v>13090216673</v>
      </c>
      <c r="H84" s="27">
        <v>9875714101</v>
      </c>
      <c r="I84" s="27">
        <v>3214502572</v>
      </c>
    </row>
    <row r="85" spans="1:9" x14ac:dyDescent="0.45">
      <c r="A85" s="27" t="s">
        <v>350</v>
      </c>
      <c r="B85" s="27">
        <v>310965</v>
      </c>
      <c r="C85" s="27">
        <v>3616337739</v>
      </c>
      <c r="D85" s="27">
        <v>2777051165</v>
      </c>
      <c r="E85" s="27">
        <v>839286574</v>
      </c>
      <c r="F85" s="27">
        <v>310965</v>
      </c>
      <c r="G85" s="27">
        <v>3616337739</v>
      </c>
      <c r="H85" s="27">
        <v>2004884233</v>
      </c>
      <c r="I85" s="27">
        <v>1611453506</v>
      </c>
    </row>
    <row r="86" spans="1:9" x14ac:dyDescent="0.45">
      <c r="A86" s="27" t="s">
        <v>128</v>
      </c>
      <c r="B86" s="27">
        <v>4160136</v>
      </c>
      <c r="C86" s="27">
        <v>62043511575</v>
      </c>
      <c r="D86" s="27">
        <v>64991371185</v>
      </c>
      <c r="E86" s="27">
        <v>-2947859610</v>
      </c>
      <c r="F86" s="27">
        <v>4160136</v>
      </c>
      <c r="G86" s="27">
        <v>62043511575</v>
      </c>
      <c r="H86" s="27">
        <v>67309442281</v>
      </c>
      <c r="I86" s="27">
        <v>-5265930706</v>
      </c>
    </row>
    <row r="87" spans="1:9" x14ac:dyDescent="0.45">
      <c r="A87" s="27" t="s">
        <v>242</v>
      </c>
      <c r="B87" s="27">
        <v>517391</v>
      </c>
      <c r="C87" s="27">
        <v>26147032536</v>
      </c>
      <c r="D87" s="27">
        <v>16228307451</v>
      </c>
      <c r="E87" s="27">
        <v>9918725085</v>
      </c>
      <c r="F87" s="27">
        <v>517391</v>
      </c>
      <c r="G87" s="27">
        <v>26147032536</v>
      </c>
      <c r="H87" s="27">
        <v>16228307451</v>
      </c>
      <c r="I87" s="27">
        <v>9918725085</v>
      </c>
    </row>
    <row r="88" spans="1:9" x14ac:dyDescent="0.45">
      <c r="A88" s="27" t="s">
        <v>164</v>
      </c>
      <c r="B88" s="27">
        <v>10934630</v>
      </c>
      <c r="C88" s="27">
        <v>66836648710</v>
      </c>
      <c r="D88" s="27">
        <v>57704316981</v>
      </c>
      <c r="E88" s="27">
        <v>9132331729</v>
      </c>
      <c r="F88" s="27">
        <v>10934630</v>
      </c>
      <c r="G88" s="27">
        <v>66836648710</v>
      </c>
      <c r="H88" s="27">
        <v>59387824490</v>
      </c>
      <c r="I88" s="27">
        <v>7448824220</v>
      </c>
    </row>
    <row r="89" spans="1:9" x14ac:dyDescent="0.45">
      <c r="A89" s="27" t="s">
        <v>304</v>
      </c>
      <c r="B89" s="27">
        <v>3250000</v>
      </c>
      <c r="C89" s="27">
        <v>3998848100</v>
      </c>
      <c r="D89" s="27">
        <v>3495767210</v>
      </c>
      <c r="E89" s="27">
        <v>503080890</v>
      </c>
      <c r="F89" s="27">
        <v>3250000</v>
      </c>
      <c r="G89" s="27">
        <v>3998848100</v>
      </c>
      <c r="H89" s="27">
        <v>3537690617</v>
      </c>
      <c r="I89" s="27">
        <v>461157483</v>
      </c>
    </row>
    <row r="90" spans="1:9" x14ac:dyDescent="0.45">
      <c r="A90" s="27" t="s">
        <v>351</v>
      </c>
      <c r="B90" s="27">
        <v>12190487</v>
      </c>
      <c r="C90" s="27">
        <v>58303946861</v>
      </c>
      <c r="D90" s="27">
        <v>58480726585</v>
      </c>
      <c r="E90" s="27">
        <v>-176779724</v>
      </c>
      <c r="F90" s="27">
        <v>12190487</v>
      </c>
      <c r="G90" s="27">
        <v>58303946861</v>
      </c>
      <c r="H90" s="27">
        <v>57853320267</v>
      </c>
      <c r="I90" s="27">
        <v>450626594</v>
      </c>
    </row>
    <row r="91" spans="1:9" x14ac:dyDescent="0.45">
      <c r="A91" s="27" t="s">
        <v>165</v>
      </c>
      <c r="B91" s="27">
        <v>3066296</v>
      </c>
      <c r="C91" s="27">
        <v>15304245466</v>
      </c>
      <c r="D91" s="27">
        <v>13547016830</v>
      </c>
      <c r="E91" s="27">
        <v>1757228636</v>
      </c>
      <c r="F91" s="27">
        <v>3066296</v>
      </c>
      <c r="G91" s="27">
        <v>15304245466</v>
      </c>
      <c r="H91" s="27">
        <v>15657058838</v>
      </c>
      <c r="I91" s="27">
        <v>-352813372</v>
      </c>
    </row>
    <row r="92" spans="1:9" x14ac:dyDescent="0.45">
      <c r="A92" s="27" t="s">
        <v>352</v>
      </c>
      <c r="B92" s="27">
        <v>958217</v>
      </c>
      <c r="C92" s="27">
        <v>3831764230</v>
      </c>
      <c r="D92" s="27">
        <v>3853575579</v>
      </c>
      <c r="E92" s="27">
        <v>-21811349</v>
      </c>
      <c r="F92" s="27">
        <v>958217</v>
      </c>
      <c r="G92" s="27">
        <v>3831764230</v>
      </c>
      <c r="H92" s="27">
        <v>3853575579</v>
      </c>
      <c r="I92" s="27">
        <v>-21811349</v>
      </c>
    </row>
    <row r="93" spans="1:9" x14ac:dyDescent="0.45">
      <c r="A93" s="27" t="s">
        <v>314</v>
      </c>
      <c r="B93" s="27">
        <v>800000</v>
      </c>
      <c r="C93" s="27">
        <v>24806750000</v>
      </c>
      <c r="D93" s="27">
        <v>27239010264</v>
      </c>
      <c r="E93" s="27">
        <v>-2432260264</v>
      </c>
      <c r="F93" s="27">
        <v>800000</v>
      </c>
      <c r="G93" s="27">
        <v>24806750000</v>
      </c>
      <c r="H93" s="27">
        <v>27239010264</v>
      </c>
      <c r="I93" s="27">
        <v>-2432260264</v>
      </c>
    </row>
    <row r="94" spans="1:9" x14ac:dyDescent="0.45">
      <c r="A94" s="27" t="s">
        <v>167</v>
      </c>
      <c r="B94" s="27">
        <v>84882</v>
      </c>
      <c r="C94" s="27">
        <v>14633401288</v>
      </c>
      <c r="D94" s="27">
        <v>11205408699</v>
      </c>
      <c r="E94" s="27">
        <v>3427992589</v>
      </c>
      <c r="F94" s="27">
        <v>84882</v>
      </c>
      <c r="G94" s="27">
        <v>14633401288</v>
      </c>
      <c r="H94" s="27">
        <v>10580452802</v>
      </c>
      <c r="I94" s="27">
        <v>4052948486</v>
      </c>
    </row>
    <row r="95" spans="1:9" x14ac:dyDescent="0.45">
      <c r="A95" s="27" t="s">
        <v>169</v>
      </c>
      <c r="B95" s="27">
        <v>612681</v>
      </c>
      <c r="C95" s="27">
        <v>28695002861</v>
      </c>
      <c r="D95" s="27">
        <v>19612304922</v>
      </c>
      <c r="E95" s="27">
        <v>9082697939</v>
      </c>
      <c r="F95" s="27">
        <v>612681</v>
      </c>
      <c r="G95" s="27">
        <v>28695002861</v>
      </c>
      <c r="H95" s="27">
        <v>18524083415</v>
      </c>
      <c r="I95" s="27">
        <v>10170919446</v>
      </c>
    </row>
    <row r="96" spans="1:9" x14ac:dyDescent="0.45">
      <c r="A96" s="27" t="s">
        <v>170</v>
      </c>
      <c r="B96" s="27">
        <v>3983350</v>
      </c>
      <c r="C96" s="27">
        <v>26442617733</v>
      </c>
      <c r="D96" s="27">
        <v>15312212421</v>
      </c>
      <c r="E96" s="27">
        <v>11130405312</v>
      </c>
      <c r="F96" s="27">
        <v>3983350</v>
      </c>
      <c r="G96" s="27">
        <v>26442617733</v>
      </c>
      <c r="H96" s="27">
        <v>14442649506</v>
      </c>
      <c r="I96" s="27">
        <v>11999968227</v>
      </c>
    </row>
    <row r="97" spans="1:9" x14ac:dyDescent="0.45">
      <c r="A97" s="27" t="s">
        <v>236</v>
      </c>
      <c r="B97" s="27">
        <v>2830564</v>
      </c>
      <c r="C97" s="27">
        <v>39096877665</v>
      </c>
      <c r="D97" s="27">
        <v>23283988207</v>
      </c>
      <c r="E97" s="27">
        <v>15812889458</v>
      </c>
      <c r="F97" s="27">
        <v>2830564</v>
      </c>
      <c r="G97" s="27">
        <v>39096877665</v>
      </c>
      <c r="H97" s="27">
        <v>22357122573</v>
      </c>
      <c r="I97" s="27">
        <v>16739755092</v>
      </c>
    </row>
    <row r="98" spans="1:9" x14ac:dyDescent="0.45">
      <c r="A98" s="27" t="s">
        <v>171</v>
      </c>
      <c r="B98" s="27">
        <v>3101235</v>
      </c>
      <c r="C98" s="27">
        <v>40250592891</v>
      </c>
      <c r="D98" s="27">
        <v>31670633245</v>
      </c>
      <c r="E98" s="27">
        <v>8579959646</v>
      </c>
      <c r="F98" s="27">
        <v>3101235</v>
      </c>
      <c r="G98" s="27">
        <v>40250592891</v>
      </c>
      <c r="H98" s="27">
        <v>31670633245</v>
      </c>
      <c r="I98" s="27">
        <v>8579959646</v>
      </c>
    </row>
    <row r="99" spans="1:9" x14ac:dyDescent="0.45">
      <c r="A99" s="27" t="s">
        <v>173</v>
      </c>
      <c r="B99" s="27">
        <v>12476907</v>
      </c>
      <c r="C99" s="27">
        <v>66111659117</v>
      </c>
      <c r="D99" s="27">
        <v>54619366848</v>
      </c>
      <c r="E99" s="27">
        <v>11492292269</v>
      </c>
      <c r="F99" s="27">
        <v>12476907</v>
      </c>
      <c r="G99" s="27">
        <v>66111659117</v>
      </c>
      <c r="H99" s="27">
        <v>58396393352</v>
      </c>
      <c r="I99" s="27">
        <v>7715265765</v>
      </c>
    </row>
    <row r="100" spans="1:9" x14ac:dyDescent="0.45">
      <c r="A100" s="27" t="s">
        <v>175</v>
      </c>
      <c r="B100" s="27">
        <v>2800000</v>
      </c>
      <c r="C100" s="27">
        <v>38646931960</v>
      </c>
      <c r="D100" s="27">
        <v>22449116480</v>
      </c>
      <c r="E100" s="27">
        <v>16197815480</v>
      </c>
      <c r="F100" s="27">
        <v>2800000</v>
      </c>
      <c r="G100" s="27">
        <v>38646931960</v>
      </c>
      <c r="H100" s="27">
        <v>21337774080</v>
      </c>
      <c r="I100" s="27">
        <v>17309157880</v>
      </c>
    </row>
    <row r="101" spans="1:9" x14ac:dyDescent="0.45">
      <c r="A101" s="27" t="s">
        <v>103</v>
      </c>
      <c r="B101" s="27">
        <v>2513758</v>
      </c>
      <c r="C101" s="27">
        <v>39984056210</v>
      </c>
      <c r="D101" s="27">
        <v>25442131837</v>
      </c>
      <c r="E101" s="27">
        <v>14541924373</v>
      </c>
      <c r="F101" s="27">
        <v>2513758</v>
      </c>
      <c r="G101" s="27">
        <v>39984056210</v>
      </c>
      <c r="H101" s="27">
        <v>24045308912</v>
      </c>
      <c r="I101" s="27">
        <v>15938747298</v>
      </c>
    </row>
    <row r="102" spans="1:9" x14ac:dyDescent="0.45">
      <c r="A102" s="27" t="s">
        <v>177</v>
      </c>
      <c r="B102" s="27">
        <v>3022885</v>
      </c>
      <c r="C102" s="27">
        <v>50151942614</v>
      </c>
      <c r="D102" s="27">
        <v>33705387909</v>
      </c>
      <c r="E102" s="27">
        <v>16446554705</v>
      </c>
      <c r="F102" s="27">
        <v>3022885</v>
      </c>
      <c r="G102" s="27">
        <v>50151942614</v>
      </c>
      <c r="H102" s="27">
        <v>35253139248</v>
      </c>
      <c r="I102" s="27">
        <v>14898803366</v>
      </c>
    </row>
    <row r="103" spans="1:9" x14ac:dyDescent="0.45">
      <c r="A103" s="27" t="s">
        <v>353</v>
      </c>
      <c r="B103" s="27">
        <v>0</v>
      </c>
      <c r="C103" s="27">
        <v>0</v>
      </c>
      <c r="D103" s="27">
        <v>-6143793548</v>
      </c>
      <c r="E103" s="27">
        <v>6143793548</v>
      </c>
      <c r="F103" s="27">
        <v>0</v>
      </c>
      <c r="G103" s="27">
        <v>0</v>
      </c>
      <c r="H103" s="27">
        <v>2044890863</v>
      </c>
      <c r="I103" s="27">
        <v>-2044890863</v>
      </c>
    </row>
    <row r="104" spans="1:9" x14ac:dyDescent="0.45">
      <c r="A104" s="27" t="s">
        <v>179</v>
      </c>
      <c r="B104" s="27">
        <v>104452</v>
      </c>
      <c r="C104" s="27">
        <v>18623895666</v>
      </c>
      <c r="D104" s="27">
        <v>13882155854</v>
      </c>
      <c r="E104" s="27">
        <v>4741739812</v>
      </c>
      <c r="F104" s="27">
        <v>104452</v>
      </c>
      <c r="G104" s="27">
        <v>18623895666</v>
      </c>
      <c r="H104" s="27">
        <v>13160789535</v>
      </c>
      <c r="I104" s="27">
        <v>5463106131</v>
      </c>
    </row>
    <row r="105" spans="1:9" x14ac:dyDescent="0.45">
      <c r="A105" s="27" t="s">
        <v>181</v>
      </c>
      <c r="B105" s="27">
        <v>2856766</v>
      </c>
      <c r="C105" s="27">
        <v>25086946310</v>
      </c>
      <c r="D105" s="27">
        <v>26613409186</v>
      </c>
      <c r="E105" s="27">
        <v>-1526462876</v>
      </c>
      <c r="F105" s="27">
        <v>2856766</v>
      </c>
      <c r="G105" s="27">
        <v>25086946310</v>
      </c>
      <c r="H105" s="27">
        <v>26574763554</v>
      </c>
      <c r="I105" s="27">
        <v>-1487817244</v>
      </c>
    </row>
    <row r="106" spans="1:9" x14ac:dyDescent="0.45">
      <c r="A106" s="27" t="s">
        <v>183</v>
      </c>
      <c r="B106" s="27">
        <v>336344</v>
      </c>
      <c r="C106" s="27">
        <v>14417743430</v>
      </c>
      <c r="D106" s="27">
        <v>11117014668</v>
      </c>
      <c r="E106" s="27">
        <v>3300728762</v>
      </c>
      <c r="F106" s="27">
        <v>336344</v>
      </c>
      <c r="G106" s="27">
        <v>14417743430</v>
      </c>
      <c r="H106" s="27">
        <v>10663122745</v>
      </c>
      <c r="I106" s="27">
        <v>3754620685</v>
      </c>
    </row>
    <row r="107" spans="1:9" x14ac:dyDescent="0.45">
      <c r="A107" s="27" t="s">
        <v>244</v>
      </c>
      <c r="B107" s="27">
        <v>2324791</v>
      </c>
      <c r="C107" s="27">
        <v>66828585991</v>
      </c>
      <c r="D107" s="27">
        <v>41416851983</v>
      </c>
      <c r="E107" s="27">
        <v>25411734008</v>
      </c>
      <c r="F107" s="27">
        <v>2324791</v>
      </c>
      <c r="G107" s="27">
        <v>66828585991</v>
      </c>
      <c r="H107" s="27">
        <v>39696700885</v>
      </c>
      <c r="I107" s="27">
        <v>27131885106</v>
      </c>
    </row>
    <row r="108" spans="1:9" x14ac:dyDescent="0.45">
      <c r="A108" s="27" t="s">
        <v>309</v>
      </c>
      <c r="B108" s="27">
        <v>1504289</v>
      </c>
      <c r="C108" s="27">
        <v>28270996424</v>
      </c>
      <c r="D108" s="27">
        <v>17210379555</v>
      </c>
      <c r="E108" s="27">
        <v>11060616869</v>
      </c>
      <c r="F108" s="27">
        <v>1504289</v>
      </c>
      <c r="G108" s="27">
        <v>28270996424</v>
      </c>
      <c r="H108" s="27">
        <v>16150590354</v>
      </c>
      <c r="I108" s="27">
        <v>12120406070</v>
      </c>
    </row>
    <row r="109" spans="1:9" x14ac:dyDescent="0.45">
      <c r="A109" s="27" t="s">
        <v>325</v>
      </c>
      <c r="B109" s="27">
        <v>512506</v>
      </c>
      <c r="C109" s="27">
        <v>32033207260</v>
      </c>
      <c r="D109" s="27">
        <v>18948361684</v>
      </c>
      <c r="E109" s="27">
        <v>13084845576</v>
      </c>
      <c r="F109" s="27">
        <v>512506</v>
      </c>
      <c r="G109" s="27">
        <v>32033207260</v>
      </c>
      <c r="H109" s="27">
        <v>17890589481</v>
      </c>
      <c r="I109" s="27">
        <v>14142617779</v>
      </c>
    </row>
    <row r="110" spans="1:9" x14ac:dyDescent="0.45">
      <c r="A110" s="27" t="s">
        <v>271</v>
      </c>
      <c r="B110" s="27">
        <v>21110</v>
      </c>
      <c r="C110" s="27">
        <v>3948266045</v>
      </c>
      <c r="D110" s="27">
        <v>2355260407</v>
      </c>
      <c r="E110" s="27">
        <v>1593005638</v>
      </c>
      <c r="F110" s="27">
        <v>21110</v>
      </c>
      <c r="G110" s="27">
        <v>3948266045</v>
      </c>
      <c r="H110" s="27">
        <v>2291372607</v>
      </c>
      <c r="I110" s="27">
        <v>1656893438</v>
      </c>
    </row>
    <row r="111" spans="1:9" x14ac:dyDescent="0.45">
      <c r="A111" s="27" t="s">
        <v>240</v>
      </c>
      <c r="B111" s="27">
        <v>6761644</v>
      </c>
      <c r="C111" s="27">
        <v>21872567364</v>
      </c>
      <c r="D111" s="27">
        <v>14384903199</v>
      </c>
      <c r="E111" s="27">
        <v>7487664165</v>
      </c>
      <c r="F111" s="27">
        <v>6761644</v>
      </c>
      <c r="G111" s="27">
        <v>21872567364</v>
      </c>
      <c r="H111" s="27">
        <v>13606615526</v>
      </c>
      <c r="I111" s="27">
        <v>8265951838</v>
      </c>
    </row>
    <row r="112" spans="1:9" x14ac:dyDescent="0.45">
      <c r="A112" s="27" t="s">
        <v>292</v>
      </c>
      <c r="B112" s="27">
        <v>520570</v>
      </c>
      <c r="C112" s="27">
        <v>37836994053</v>
      </c>
      <c r="D112" s="27">
        <v>22252801417</v>
      </c>
      <c r="E112" s="27">
        <v>15584192636</v>
      </c>
      <c r="F112" s="27">
        <v>520570</v>
      </c>
      <c r="G112" s="27">
        <v>37836994053</v>
      </c>
      <c r="H112" s="27">
        <v>20982098272</v>
      </c>
      <c r="I112" s="27">
        <v>16854895781</v>
      </c>
    </row>
    <row r="113" spans="1:9" x14ac:dyDescent="0.45">
      <c r="A113" s="27" t="s">
        <v>185</v>
      </c>
      <c r="B113" s="27">
        <v>1155746</v>
      </c>
      <c r="C113" s="27">
        <v>30837776923</v>
      </c>
      <c r="D113" s="27">
        <v>16938414472</v>
      </c>
      <c r="E113" s="27">
        <v>13899362451</v>
      </c>
      <c r="F113" s="27">
        <v>1155746</v>
      </c>
      <c r="G113" s="27">
        <v>30837776923</v>
      </c>
      <c r="H113" s="27">
        <v>15745729905</v>
      </c>
      <c r="I113" s="27">
        <v>15092047018</v>
      </c>
    </row>
    <row r="114" spans="1:9" x14ac:dyDescent="0.45">
      <c r="A114" s="27" t="s">
        <v>354</v>
      </c>
      <c r="B114" s="27">
        <v>3019851</v>
      </c>
      <c r="C114" s="27">
        <v>14467138460</v>
      </c>
      <c r="D114" s="27">
        <v>8761788081</v>
      </c>
      <c r="E114" s="27">
        <v>5705350379</v>
      </c>
      <c r="F114" s="27">
        <v>3019851</v>
      </c>
      <c r="G114" s="27">
        <v>14467138460</v>
      </c>
      <c r="H114" s="27">
        <v>8764784589</v>
      </c>
      <c r="I114" s="27">
        <v>5702353871</v>
      </c>
    </row>
    <row r="115" spans="1:9" x14ac:dyDescent="0.45">
      <c r="A115" s="27" t="s">
        <v>272</v>
      </c>
      <c r="B115" s="27">
        <v>5463965</v>
      </c>
      <c r="C115" s="27">
        <v>49012426097</v>
      </c>
      <c r="D115" s="27">
        <v>40309096466</v>
      </c>
      <c r="E115" s="27">
        <v>8703329631</v>
      </c>
      <c r="F115" s="27">
        <v>5463965</v>
      </c>
      <c r="G115" s="27">
        <v>49012426097</v>
      </c>
      <c r="H115" s="27">
        <v>39273890397</v>
      </c>
      <c r="I115" s="27">
        <v>9738535700</v>
      </c>
    </row>
    <row r="116" spans="1:9" x14ac:dyDescent="0.45">
      <c r="A116" s="27" t="s">
        <v>238</v>
      </c>
      <c r="B116" s="27">
        <v>1467107</v>
      </c>
      <c r="C116" s="27">
        <v>47239615231</v>
      </c>
      <c r="D116" s="27">
        <v>34501660430</v>
      </c>
      <c r="E116" s="27">
        <v>12737954801</v>
      </c>
      <c r="F116" s="27">
        <v>1467107</v>
      </c>
      <c r="G116" s="27">
        <v>47239615231</v>
      </c>
      <c r="H116" s="27">
        <v>24748026469</v>
      </c>
      <c r="I116" s="27">
        <v>22491588762</v>
      </c>
    </row>
    <row r="117" spans="1:9" x14ac:dyDescent="0.45">
      <c r="A117" s="27" t="s">
        <v>300</v>
      </c>
      <c r="B117" s="27">
        <v>3877911</v>
      </c>
      <c r="C117" s="27">
        <v>53370854954</v>
      </c>
      <c r="D117" s="27">
        <v>43557342872</v>
      </c>
      <c r="E117" s="27">
        <v>9813512082</v>
      </c>
      <c r="F117" s="27">
        <v>3877911</v>
      </c>
      <c r="G117" s="27">
        <v>53370854954</v>
      </c>
      <c r="H117" s="27">
        <v>42540206635</v>
      </c>
      <c r="I117" s="27">
        <v>10830648319</v>
      </c>
    </row>
    <row r="118" spans="1:9" x14ac:dyDescent="0.45">
      <c r="A118" s="27" t="s">
        <v>98</v>
      </c>
      <c r="B118" s="27">
        <v>24185402</v>
      </c>
      <c r="C118" s="27">
        <v>82962637649</v>
      </c>
      <c r="D118" s="27">
        <v>49238156394</v>
      </c>
      <c r="E118" s="27">
        <v>33724481255</v>
      </c>
      <c r="F118" s="27">
        <v>24185402</v>
      </c>
      <c r="G118" s="27">
        <v>82962637649</v>
      </c>
      <c r="H118" s="27">
        <v>47011605307</v>
      </c>
      <c r="I118" s="27">
        <v>35951032342</v>
      </c>
    </row>
    <row r="119" spans="1:9" x14ac:dyDescent="0.45">
      <c r="A119" s="27" t="s">
        <v>124</v>
      </c>
      <c r="B119" s="27">
        <v>2035696</v>
      </c>
      <c r="C119" s="27">
        <v>83040558474</v>
      </c>
      <c r="D119" s="27">
        <v>67285769856</v>
      </c>
      <c r="E119" s="27">
        <v>15754788618</v>
      </c>
      <c r="F119" s="27">
        <v>2035696</v>
      </c>
      <c r="G119" s="27">
        <v>83040558474</v>
      </c>
      <c r="H119" s="27">
        <v>66390194900</v>
      </c>
      <c r="I119" s="27">
        <v>16650363574</v>
      </c>
    </row>
    <row r="120" spans="1:9" x14ac:dyDescent="0.45">
      <c r="A120" s="27" t="s">
        <v>186</v>
      </c>
      <c r="B120" s="27">
        <v>6600000</v>
      </c>
      <c r="C120" s="27">
        <v>55797326640</v>
      </c>
      <c r="D120" s="27">
        <v>51727141738</v>
      </c>
      <c r="E120" s="27">
        <v>4070184902</v>
      </c>
      <c r="F120" s="27">
        <v>6600000</v>
      </c>
      <c r="G120" s="27">
        <v>55797326640</v>
      </c>
      <c r="H120" s="27">
        <v>51727141738</v>
      </c>
      <c r="I120" s="27">
        <v>4070184902</v>
      </c>
    </row>
    <row r="121" spans="1:9" x14ac:dyDescent="0.45">
      <c r="A121" s="27" t="s">
        <v>285</v>
      </c>
      <c r="B121" s="27">
        <v>724988</v>
      </c>
      <c r="C121" s="27">
        <v>1619333030</v>
      </c>
      <c r="D121" s="27">
        <v>1478333797</v>
      </c>
      <c r="E121" s="27">
        <v>140999233</v>
      </c>
      <c r="F121" s="27">
        <v>724988</v>
      </c>
      <c r="G121" s="27">
        <v>1619333030</v>
      </c>
      <c r="H121" s="27">
        <v>1478458644</v>
      </c>
      <c r="I121" s="27">
        <v>140874386</v>
      </c>
    </row>
    <row r="122" spans="1:9" x14ac:dyDescent="0.45">
      <c r="A122" s="27" t="s">
        <v>101</v>
      </c>
      <c r="B122" s="27">
        <v>15972652</v>
      </c>
      <c r="C122" s="27">
        <v>53554390709</v>
      </c>
      <c r="D122" s="27">
        <v>45652630372</v>
      </c>
      <c r="E122" s="27">
        <v>7901760337</v>
      </c>
      <c r="F122" s="27">
        <v>15972652</v>
      </c>
      <c r="G122" s="27">
        <v>53554390709</v>
      </c>
      <c r="H122" s="27">
        <v>44130280959</v>
      </c>
      <c r="I122" s="27">
        <v>9424109750</v>
      </c>
    </row>
    <row r="123" spans="1:9" x14ac:dyDescent="0.45">
      <c r="A123" s="27" t="s">
        <v>302</v>
      </c>
      <c r="B123" s="27">
        <v>13200000</v>
      </c>
      <c r="C123" s="27">
        <v>72300761280</v>
      </c>
      <c r="D123" s="27">
        <v>60391174516</v>
      </c>
      <c r="E123" s="27">
        <v>11909586764</v>
      </c>
      <c r="F123" s="27">
        <v>13200000</v>
      </c>
      <c r="G123" s="27">
        <v>72300761280</v>
      </c>
      <c r="H123" s="27">
        <v>60391174516</v>
      </c>
      <c r="I123" s="27">
        <v>11909586764</v>
      </c>
    </row>
    <row r="124" spans="1:9" x14ac:dyDescent="0.45">
      <c r="A124" s="27" t="s">
        <v>224</v>
      </c>
      <c r="B124" s="27">
        <v>1875000</v>
      </c>
      <c r="C124" s="27">
        <v>11870029875</v>
      </c>
      <c r="D124" s="27">
        <v>7157367544</v>
      </c>
      <c r="E124" s="27">
        <v>4712662331</v>
      </c>
      <c r="F124" s="27">
        <v>1875000</v>
      </c>
      <c r="G124" s="27">
        <v>11870029875</v>
      </c>
      <c r="H124" s="27">
        <v>6586192125</v>
      </c>
      <c r="I124" s="27">
        <v>5283837750</v>
      </c>
    </row>
    <row r="125" spans="1:9" x14ac:dyDescent="0.45">
      <c r="A125" s="27" t="s">
        <v>187</v>
      </c>
      <c r="B125" s="27">
        <v>23792</v>
      </c>
      <c r="C125" s="27">
        <v>2230964301</v>
      </c>
      <c r="D125" s="27">
        <v>1522721666</v>
      </c>
      <c r="E125" s="27">
        <v>708242635</v>
      </c>
      <c r="F125" s="27">
        <v>23792</v>
      </c>
      <c r="G125" s="27">
        <v>2230964301</v>
      </c>
      <c r="H125" s="27">
        <v>1431830527</v>
      </c>
      <c r="I125" s="27">
        <v>799133774</v>
      </c>
    </row>
    <row r="126" spans="1:9" x14ac:dyDescent="0.45">
      <c r="A126" s="27" t="s">
        <v>259</v>
      </c>
      <c r="B126" s="27">
        <v>2843421</v>
      </c>
      <c r="C126" s="27">
        <v>47964503046</v>
      </c>
      <c r="D126" s="27">
        <v>45405791832</v>
      </c>
      <c r="E126" s="27">
        <v>2558711214</v>
      </c>
      <c r="F126" s="27">
        <v>2843421</v>
      </c>
      <c r="G126" s="27">
        <v>47964503046</v>
      </c>
      <c r="H126" s="27">
        <v>46388726606</v>
      </c>
      <c r="I126" s="27">
        <v>1575776440</v>
      </c>
    </row>
    <row r="127" spans="1:9" x14ac:dyDescent="0.45">
      <c r="A127" s="27" t="s">
        <v>243</v>
      </c>
      <c r="B127" s="27">
        <v>3733986</v>
      </c>
      <c r="C127" s="27">
        <v>60578749412</v>
      </c>
      <c r="D127" s="27">
        <v>33864817714</v>
      </c>
      <c r="E127" s="27">
        <v>26713931698</v>
      </c>
      <c r="F127" s="27">
        <v>3733986</v>
      </c>
      <c r="G127" s="27">
        <v>60578749412</v>
      </c>
      <c r="H127" s="27">
        <v>31975205347</v>
      </c>
      <c r="I127" s="27">
        <v>28603544065</v>
      </c>
    </row>
    <row r="128" spans="1:9" x14ac:dyDescent="0.45">
      <c r="A128" s="27" t="s">
        <v>256</v>
      </c>
      <c r="B128" s="27">
        <v>21283396</v>
      </c>
      <c r="C128" s="27">
        <v>92648506156</v>
      </c>
      <c r="D128" s="27">
        <v>69719833882</v>
      </c>
      <c r="E128" s="27">
        <v>22928672274</v>
      </c>
      <c r="F128" s="27">
        <v>21283396</v>
      </c>
      <c r="G128" s="27">
        <v>92648506156</v>
      </c>
      <c r="H128" s="27">
        <v>68770967300</v>
      </c>
      <c r="I128" s="27">
        <v>23877538856</v>
      </c>
    </row>
    <row r="129" spans="1:9" x14ac:dyDescent="0.45">
      <c r="A129" s="27" t="s">
        <v>105</v>
      </c>
      <c r="B129" s="27">
        <v>6453452</v>
      </c>
      <c r="C129" s="27">
        <v>43416183013</v>
      </c>
      <c r="D129" s="27">
        <v>43124971297</v>
      </c>
      <c r="E129" s="27">
        <v>291211716</v>
      </c>
      <c r="F129" s="27">
        <v>6453452</v>
      </c>
      <c r="G129" s="27">
        <v>43416183013</v>
      </c>
      <c r="H129" s="27">
        <v>44463179556</v>
      </c>
      <c r="I129" s="27">
        <v>-1046996543</v>
      </c>
    </row>
    <row r="130" spans="1:9" x14ac:dyDescent="0.45">
      <c r="A130" s="27" t="s">
        <v>189</v>
      </c>
      <c r="B130" s="27">
        <v>6157463</v>
      </c>
      <c r="C130" s="27">
        <v>40325114353</v>
      </c>
      <c r="D130" s="27">
        <v>22875337596</v>
      </c>
      <c r="E130" s="27">
        <v>17449776757</v>
      </c>
      <c r="F130" s="27">
        <v>6157463</v>
      </c>
      <c r="G130" s="27">
        <v>40325114353</v>
      </c>
      <c r="H130" s="27">
        <v>25624777211</v>
      </c>
      <c r="I130" s="27">
        <v>14700337142</v>
      </c>
    </row>
    <row r="131" spans="1:9" x14ac:dyDescent="0.45">
      <c r="A131" s="27" t="s">
        <v>313</v>
      </c>
      <c r="B131" s="27">
        <v>21039055</v>
      </c>
      <c r="C131" s="27">
        <v>75697910178</v>
      </c>
      <c r="D131" s="27">
        <v>51861475304</v>
      </c>
      <c r="E131" s="27">
        <v>23836434874</v>
      </c>
      <c r="F131" s="27">
        <v>21039055</v>
      </c>
      <c r="G131" s="27">
        <v>75697910178</v>
      </c>
      <c r="H131" s="27">
        <v>51867658640</v>
      </c>
      <c r="I131" s="27">
        <v>23830251538</v>
      </c>
    </row>
    <row r="132" spans="1:9" x14ac:dyDescent="0.45">
      <c r="A132" s="27" t="s">
        <v>230</v>
      </c>
      <c r="B132" s="27">
        <v>6494761</v>
      </c>
      <c r="C132" s="27">
        <v>24167086866</v>
      </c>
      <c r="D132" s="27">
        <v>14132912399</v>
      </c>
      <c r="E132" s="27">
        <v>10034174467</v>
      </c>
      <c r="F132" s="27">
        <v>6494761</v>
      </c>
      <c r="G132" s="27">
        <v>24167086866</v>
      </c>
      <c r="H132" s="27">
        <v>13697905971</v>
      </c>
      <c r="I132" s="27">
        <v>10469180895</v>
      </c>
    </row>
    <row r="133" spans="1:9" x14ac:dyDescent="0.45">
      <c r="A133" s="27" t="s">
        <v>94</v>
      </c>
      <c r="B133" s="27">
        <v>5612182</v>
      </c>
      <c r="C133" s="27">
        <v>20326119391</v>
      </c>
      <c r="D133" s="27">
        <v>17055575815</v>
      </c>
      <c r="E133" s="27">
        <v>3270543576</v>
      </c>
      <c r="F133" s="27">
        <v>5612182</v>
      </c>
      <c r="G133" s="27">
        <v>20326119391</v>
      </c>
      <c r="H133" s="27">
        <v>17258189261</v>
      </c>
      <c r="I133" s="27">
        <v>3067930130</v>
      </c>
    </row>
    <row r="134" spans="1:9" x14ac:dyDescent="0.45">
      <c r="A134" s="27" t="s">
        <v>249</v>
      </c>
      <c r="B134" s="27">
        <v>9318463</v>
      </c>
      <c r="C134" s="27">
        <v>41017169163</v>
      </c>
      <c r="D134" s="27">
        <v>23652850845</v>
      </c>
      <c r="E134" s="27">
        <v>17364318318</v>
      </c>
      <c r="F134" s="27">
        <v>9318463</v>
      </c>
      <c r="G134" s="27">
        <v>41017169163</v>
      </c>
      <c r="H134" s="27">
        <v>23654841164</v>
      </c>
      <c r="I134" s="27">
        <v>17362327999</v>
      </c>
    </row>
    <row r="135" spans="1:9" x14ac:dyDescent="0.45">
      <c r="A135" s="27" t="s">
        <v>213</v>
      </c>
      <c r="B135" s="27">
        <v>4338313</v>
      </c>
      <c r="C135" s="27">
        <v>55488586364</v>
      </c>
      <c r="D135" s="27">
        <v>58964905491</v>
      </c>
      <c r="E135" s="27">
        <v>-3476319127</v>
      </c>
      <c r="F135" s="27">
        <v>4338313</v>
      </c>
      <c r="G135" s="27">
        <v>55488586364</v>
      </c>
      <c r="H135" s="27">
        <v>57469359066</v>
      </c>
      <c r="I135" s="27">
        <v>-1980772702</v>
      </c>
    </row>
    <row r="136" spans="1:9" x14ac:dyDescent="0.45">
      <c r="A136" s="27" t="s">
        <v>191</v>
      </c>
      <c r="B136" s="27">
        <v>7043843</v>
      </c>
      <c r="C136" s="27">
        <v>37253470519</v>
      </c>
      <c r="D136" s="27">
        <v>24784391456</v>
      </c>
      <c r="E136" s="27">
        <v>12469079063</v>
      </c>
      <c r="F136" s="27">
        <v>7043843</v>
      </c>
      <c r="G136" s="27">
        <v>37253470519</v>
      </c>
      <c r="H136" s="27">
        <v>23889749012</v>
      </c>
      <c r="I136" s="27">
        <v>13363721507</v>
      </c>
    </row>
    <row r="137" spans="1:9" x14ac:dyDescent="0.45">
      <c r="A137" s="27" t="s">
        <v>312</v>
      </c>
      <c r="B137" s="27">
        <v>3904663</v>
      </c>
      <c r="C137" s="27">
        <v>30375922847</v>
      </c>
      <c r="D137" s="27">
        <v>15029107745</v>
      </c>
      <c r="E137" s="27">
        <v>15346815102</v>
      </c>
      <c r="F137" s="27">
        <v>3904663</v>
      </c>
      <c r="G137" s="27">
        <v>30375922847</v>
      </c>
      <c r="H137" s="27">
        <v>15027447254</v>
      </c>
      <c r="I137" s="27">
        <v>15348475593</v>
      </c>
    </row>
    <row r="138" spans="1:9" x14ac:dyDescent="0.45">
      <c r="A138" s="27" t="s">
        <v>355</v>
      </c>
      <c r="B138" s="27">
        <v>1200163</v>
      </c>
      <c r="C138" s="27">
        <v>7609759879</v>
      </c>
      <c r="D138" s="27">
        <v>7609759879</v>
      </c>
      <c r="E138" s="27">
        <v>0</v>
      </c>
      <c r="F138" s="27">
        <v>1200163</v>
      </c>
      <c r="G138" s="27">
        <v>7609759879</v>
      </c>
      <c r="H138" s="27">
        <v>15219519757</v>
      </c>
      <c r="I138" s="27">
        <v>-7609759878</v>
      </c>
    </row>
    <row r="139" spans="1:9" x14ac:dyDescent="0.45">
      <c r="A139" s="27" t="s">
        <v>121</v>
      </c>
      <c r="B139" s="27">
        <v>6738492</v>
      </c>
      <c r="C139" s="27">
        <v>96484801882</v>
      </c>
      <c r="D139" s="27">
        <v>82765134850</v>
      </c>
      <c r="E139" s="27">
        <v>13719667032</v>
      </c>
      <c r="F139" s="27">
        <v>6738492</v>
      </c>
      <c r="G139" s="27">
        <v>96484801882</v>
      </c>
      <c r="H139" s="27">
        <v>82616881206</v>
      </c>
      <c r="I139" s="27">
        <v>13867920676</v>
      </c>
    </row>
    <row r="140" spans="1:9" x14ac:dyDescent="0.45">
      <c r="A140" s="27" t="s">
        <v>282</v>
      </c>
      <c r="B140" s="27">
        <v>204021</v>
      </c>
      <c r="C140" s="27">
        <v>12298467998</v>
      </c>
      <c r="D140" s="27">
        <v>7030877261</v>
      </c>
      <c r="E140" s="27">
        <v>5267590737</v>
      </c>
      <c r="F140" s="27">
        <v>204021</v>
      </c>
      <c r="G140" s="27">
        <v>12298467998</v>
      </c>
      <c r="H140" s="27">
        <v>6577402885</v>
      </c>
      <c r="I140" s="27">
        <v>5721065113</v>
      </c>
    </row>
    <row r="141" spans="1:9" x14ac:dyDescent="0.45">
      <c r="A141" s="27" t="s">
        <v>232</v>
      </c>
      <c r="B141" s="27">
        <v>4967900</v>
      </c>
      <c r="C141" s="27">
        <v>22789069869</v>
      </c>
      <c r="D141" s="27">
        <v>16208189861</v>
      </c>
      <c r="E141" s="27">
        <v>6580880008</v>
      </c>
      <c r="F141" s="27">
        <v>4967900</v>
      </c>
      <c r="G141" s="27">
        <v>22789069869</v>
      </c>
      <c r="H141" s="27">
        <v>20260237327</v>
      </c>
      <c r="I141" s="27">
        <v>2528832542</v>
      </c>
    </row>
    <row r="142" spans="1:9" x14ac:dyDescent="0.45">
      <c r="A142" s="27" t="s">
        <v>229</v>
      </c>
      <c r="B142" s="27">
        <v>25021276</v>
      </c>
      <c r="C142" s="27">
        <v>38309390351</v>
      </c>
      <c r="D142" s="27">
        <v>26863746183</v>
      </c>
      <c r="E142" s="27">
        <v>11445644168</v>
      </c>
      <c r="F142" s="27">
        <v>25021276</v>
      </c>
      <c r="G142" s="27">
        <v>38309390351</v>
      </c>
      <c r="H142" s="27">
        <v>25574766980</v>
      </c>
      <c r="I142" s="27">
        <v>12734623371</v>
      </c>
    </row>
    <row r="143" spans="1:9" x14ac:dyDescent="0.45">
      <c r="A143" s="27" t="s">
        <v>288</v>
      </c>
      <c r="B143" s="27">
        <v>10715801</v>
      </c>
      <c r="C143" s="27">
        <v>44552135326</v>
      </c>
      <c r="D143" s="27">
        <v>37337585890</v>
      </c>
      <c r="E143" s="27">
        <v>7214549436</v>
      </c>
      <c r="F143" s="27">
        <v>10715801</v>
      </c>
      <c r="G143" s="27">
        <v>44552135326</v>
      </c>
      <c r="H143" s="27">
        <v>37283188444</v>
      </c>
      <c r="I143" s="27">
        <v>7268946882</v>
      </c>
    </row>
    <row r="144" spans="1:9" x14ac:dyDescent="0.45">
      <c r="A144" s="27" t="s">
        <v>192</v>
      </c>
      <c r="B144" s="27">
        <v>2967758</v>
      </c>
      <c r="C144" s="27">
        <v>29683757685</v>
      </c>
      <c r="D144" s="27">
        <v>24455448214</v>
      </c>
      <c r="E144" s="27">
        <v>5228309471</v>
      </c>
      <c r="F144" s="27">
        <v>2967758</v>
      </c>
      <c r="G144" s="27">
        <v>29683757685</v>
      </c>
      <c r="H144" s="27">
        <v>24455448214</v>
      </c>
      <c r="I144" s="27">
        <v>5228309471</v>
      </c>
    </row>
    <row r="145" spans="1:9" x14ac:dyDescent="0.45">
      <c r="A145" s="27" t="s">
        <v>341</v>
      </c>
      <c r="B145" s="27">
        <v>8858150</v>
      </c>
      <c r="C145" s="27">
        <v>7031741200</v>
      </c>
      <c r="D145" s="27">
        <v>7031741200</v>
      </c>
      <c r="E145" s="27">
        <v>0</v>
      </c>
      <c r="F145" s="27">
        <v>8858150</v>
      </c>
      <c r="G145" s="27">
        <v>7031741200</v>
      </c>
      <c r="H145" s="27">
        <v>17579353001</v>
      </c>
      <c r="I145" s="27">
        <v>-10547611801</v>
      </c>
    </row>
    <row r="146" spans="1:9" x14ac:dyDescent="0.45">
      <c r="A146" s="27" t="s">
        <v>194</v>
      </c>
      <c r="B146" s="27">
        <v>13000000</v>
      </c>
      <c r="C146" s="27">
        <v>72237256000</v>
      </c>
      <c r="D146" s="27">
        <v>77636851559</v>
      </c>
      <c r="E146" s="27">
        <v>-5399595559</v>
      </c>
      <c r="F146" s="27">
        <v>13000000</v>
      </c>
      <c r="G146" s="27">
        <v>72237256000</v>
      </c>
      <c r="H146" s="27">
        <v>77636851559</v>
      </c>
      <c r="I146" s="27">
        <v>-5399595559</v>
      </c>
    </row>
    <row r="147" spans="1:9" x14ac:dyDescent="0.45">
      <c r="A147" s="27" t="s">
        <v>298</v>
      </c>
      <c r="B147" s="27">
        <v>5800000</v>
      </c>
      <c r="C147" s="27">
        <v>34300789360</v>
      </c>
      <c r="D147" s="27">
        <v>23843652738</v>
      </c>
      <c r="E147" s="27">
        <v>10457136622</v>
      </c>
      <c r="F147" s="27">
        <v>5800000</v>
      </c>
      <c r="G147" s="27">
        <v>34300789360</v>
      </c>
      <c r="H147" s="27">
        <v>24419169338</v>
      </c>
      <c r="I147" s="27">
        <v>9881620022</v>
      </c>
    </row>
    <row r="148" spans="1:9" x14ac:dyDescent="0.45">
      <c r="A148" s="27" t="s">
        <v>339</v>
      </c>
      <c r="B148" s="27">
        <v>5729478</v>
      </c>
      <c r="C148" s="27">
        <v>7419171821</v>
      </c>
      <c r="D148" s="27">
        <v>7419171821</v>
      </c>
      <c r="E148" s="27">
        <v>0</v>
      </c>
      <c r="F148" s="27">
        <v>5729478</v>
      </c>
      <c r="G148" s="27">
        <v>7419171821</v>
      </c>
      <c r="H148" s="27">
        <v>14838784976</v>
      </c>
      <c r="I148" s="27">
        <v>-7419613155</v>
      </c>
    </row>
    <row r="149" spans="1:9" x14ac:dyDescent="0.45">
      <c r="A149" s="27" t="s">
        <v>196</v>
      </c>
      <c r="B149" s="27">
        <v>23989450</v>
      </c>
      <c r="C149" s="27">
        <v>52035569252</v>
      </c>
      <c r="D149" s="27">
        <v>32135415595</v>
      </c>
      <c r="E149" s="27">
        <v>19900153657</v>
      </c>
      <c r="F149" s="27">
        <v>23989450</v>
      </c>
      <c r="G149" s="27">
        <v>52035569252</v>
      </c>
      <c r="H149" s="27">
        <v>26598787318</v>
      </c>
      <c r="I149" s="27">
        <v>25436781934</v>
      </c>
    </row>
    <row r="150" spans="1:9" x14ac:dyDescent="0.45">
      <c r="A150" s="27" t="s">
        <v>294</v>
      </c>
      <c r="B150" s="27">
        <v>20809541</v>
      </c>
      <c r="C150" s="27">
        <v>36259087784</v>
      </c>
      <c r="D150" s="27">
        <v>25151378950</v>
      </c>
      <c r="E150" s="27">
        <v>11107708834</v>
      </c>
      <c r="F150" s="27">
        <v>20809541</v>
      </c>
      <c r="G150" s="27">
        <v>36259087784</v>
      </c>
      <c r="H150" s="27">
        <v>24217387439</v>
      </c>
      <c r="I150" s="27">
        <v>12041700345</v>
      </c>
    </row>
    <row r="151" spans="1:9" x14ac:dyDescent="0.45">
      <c r="A151" s="27" t="s">
        <v>247</v>
      </c>
      <c r="B151" s="27">
        <v>2447708</v>
      </c>
      <c r="C151" s="27">
        <v>28271083208</v>
      </c>
      <c r="D151" s="27">
        <v>22930025131</v>
      </c>
      <c r="E151" s="27">
        <v>5341058077</v>
      </c>
      <c r="F151" s="27">
        <v>2447708</v>
      </c>
      <c r="G151" s="27">
        <v>28271083208</v>
      </c>
      <c r="H151" s="27">
        <v>22211766522</v>
      </c>
      <c r="I151" s="27">
        <v>6059316686</v>
      </c>
    </row>
    <row r="152" spans="1:9" x14ac:dyDescent="0.45">
      <c r="A152" s="27" t="s">
        <v>129</v>
      </c>
      <c r="B152" s="27">
        <v>2567583</v>
      </c>
      <c r="C152" s="27">
        <v>50419687196</v>
      </c>
      <c r="D152" s="27">
        <v>37963953817</v>
      </c>
      <c r="E152" s="27">
        <v>12455733379</v>
      </c>
      <c r="F152" s="27">
        <v>2567583</v>
      </c>
      <c r="G152" s="27">
        <v>50419687196</v>
      </c>
      <c r="H152" s="27">
        <v>34691724746</v>
      </c>
      <c r="I152" s="27">
        <v>15727962450</v>
      </c>
    </row>
    <row r="153" spans="1:9" x14ac:dyDescent="0.45">
      <c r="A153" s="27" t="s">
        <v>117</v>
      </c>
      <c r="B153" s="27">
        <v>4374516</v>
      </c>
      <c r="C153" s="27">
        <v>33640432683</v>
      </c>
      <c r="D153" s="27">
        <v>24053293722</v>
      </c>
      <c r="E153" s="27">
        <v>9587138961</v>
      </c>
      <c r="F153" s="27">
        <v>4374516</v>
      </c>
      <c r="G153" s="27">
        <v>33640432683</v>
      </c>
      <c r="H153" s="27">
        <v>22335850309</v>
      </c>
      <c r="I153" s="27">
        <v>11304582374</v>
      </c>
    </row>
    <row r="154" spans="1:9" x14ac:dyDescent="0.45">
      <c r="A154" s="27" t="s">
        <v>278</v>
      </c>
      <c r="B154" s="27">
        <v>1753083</v>
      </c>
      <c r="C154" s="27">
        <v>25414557675</v>
      </c>
      <c r="D154" s="27">
        <v>23795859026</v>
      </c>
      <c r="E154" s="27">
        <v>1618698649</v>
      </c>
      <c r="F154" s="27">
        <v>1753083</v>
      </c>
      <c r="G154" s="27">
        <v>25414557675</v>
      </c>
      <c r="H154" s="27">
        <v>23623621037</v>
      </c>
      <c r="I154" s="27">
        <v>1790936638</v>
      </c>
    </row>
    <row r="155" spans="1:9" x14ac:dyDescent="0.45">
      <c r="A155" s="27" t="s">
        <v>306</v>
      </c>
      <c r="B155" s="27">
        <v>8977144</v>
      </c>
      <c r="C155" s="27">
        <v>31782854415</v>
      </c>
      <c r="D155" s="27">
        <v>22943874535</v>
      </c>
      <c r="E155" s="27">
        <v>8838979880</v>
      </c>
      <c r="F155" s="27">
        <v>8977144</v>
      </c>
      <c r="G155" s="27">
        <v>31782854415</v>
      </c>
      <c r="H155" s="27">
        <v>21957106384</v>
      </c>
      <c r="I155" s="27">
        <v>9825748031</v>
      </c>
    </row>
    <row r="156" spans="1:9" x14ac:dyDescent="0.45">
      <c r="A156" s="27" t="s">
        <v>197</v>
      </c>
      <c r="B156" s="27">
        <v>10684873</v>
      </c>
      <c r="C156" s="27">
        <v>41772978991</v>
      </c>
      <c r="D156" s="27">
        <v>27067618113</v>
      </c>
      <c r="E156" s="27">
        <v>14705360878</v>
      </c>
      <c r="F156" s="27">
        <v>10684873</v>
      </c>
      <c r="G156" s="27">
        <v>41772978991</v>
      </c>
      <c r="H156" s="27">
        <v>25519685389</v>
      </c>
      <c r="I156" s="27">
        <v>16253293602</v>
      </c>
    </row>
    <row r="157" spans="1:9" x14ac:dyDescent="0.45">
      <c r="A157" s="27" t="s">
        <v>102</v>
      </c>
      <c r="B157" s="27">
        <v>19865640</v>
      </c>
      <c r="C157" s="27">
        <v>106050982883</v>
      </c>
      <c r="D157" s="27">
        <v>82464391234</v>
      </c>
      <c r="E157" s="27">
        <v>23586591649</v>
      </c>
      <c r="F157" s="27">
        <v>19865640</v>
      </c>
      <c r="G157" s="27">
        <v>106050982883</v>
      </c>
      <c r="H157" s="27">
        <v>79194501549</v>
      </c>
      <c r="I157" s="27">
        <v>26856481334</v>
      </c>
    </row>
    <row r="158" spans="1:9" x14ac:dyDescent="0.45">
      <c r="A158" s="27" t="s">
        <v>260</v>
      </c>
      <c r="B158" s="27">
        <v>46293355</v>
      </c>
      <c r="C158" s="27">
        <v>89666110378</v>
      </c>
      <c r="D158" s="27">
        <v>70720138805</v>
      </c>
      <c r="E158" s="27">
        <v>18945971573</v>
      </c>
      <c r="F158" s="27">
        <v>46293355</v>
      </c>
      <c r="G158" s="27">
        <v>89666110378</v>
      </c>
      <c r="H158" s="27">
        <v>69568760478</v>
      </c>
      <c r="I158" s="27">
        <v>20097349900</v>
      </c>
    </row>
    <row r="159" spans="1:9" x14ac:dyDescent="0.45">
      <c r="A159" s="27" t="s">
        <v>198</v>
      </c>
      <c r="B159" s="27">
        <v>3340260</v>
      </c>
      <c r="C159" s="27">
        <v>38116057587</v>
      </c>
      <c r="D159" s="27">
        <v>25057164814</v>
      </c>
      <c r="E159" s="27">
        <v>13058892773</v>
      </c>
      <c r="F159" s="27">
        <v>3340260</v>
      </c>
      <c r="G159" s="27">
        <v>38116057587</v>
      </c>
      <c r="H159" s="27">
        <v>24858298426</v>
      </c>
      <c r="I159" s="27">
        <v>13257759161</v>
      </c>
    </row>
    <row r="160" spans="1:9" x14ac:dyDescent="0.45">
      <c r="A160" s="27" t="s">
        <v>322</v>
      </c>
      <c r="B160" s="27">
        <v>1862852</v>
      </c>
      <c r="C160" s="27">
        <v>40277772437</v>
      </c>
      <c r="D160" s="27">
        <v>31480167158</v>
      </c>
      <c r="E160" s="27">
        <v>8797605279</v>
      </c>
      <c r="F160" s="27">
        <v>1862852</v>
      </c>
      <c r="G160" s="27">
        <v>40277772437</v>
      </c>
      <c r="H160" s="27">
        <v>30760974149</v>
      </c>
      <c r="I160" s="27">
        <v>9516798288</v>
      </c>
    </row>
    <row r="161" spans="1:9" x14ac:dyDescent="0.45">
      <c r="A161" s="27" t="s">
        <v>199</v>
      </c>
      <c r="B161" s="27">
        <v>3484284</v>
      </c>
      <c r="C161" s="27">
        <v>33605446711</v>
      </c>
      <c r="D161" s="27">
        <v>26967333781</v>
      </c>
      <c r="E161" s="27">
        <v>6638112930</v>
      </c>
      <c r="F161" s="27">
        <v>3484284</v>
      </c>
      <c r="G161" s="27">
        <v>33605446711</v>
      </c>
      <c r="H161" s="27">
        <v>27797097897</v>
      </c>
      <c r="I161" s="27">
        <v>5808348814</v>
      </c>
    </row>
    <row r="162" spans="1:9" x14ac:dyDescent="0.45">
      <c r="A162" s="27" t="s">
        <v>200</v>
      </c>
      <c r="B162" s="27">
        <v>2202712</v>
      </c>
      <c r="C162" s="27">
        <v>12786257462</v>
      </c>
      <c r="D162" s="27">
        <v>10994918355</v>
      </c>
      <c r="E162" s="27">
        <v>1791339107</v>
      </c>
      <c r="F162" s="27">
        <v>2202712</v>
      </c>
      <c r="G162" s="27">
        <v>12786257462</v>
      </c>
      <c r="H162" s="27">
        <v>10842794642</v>
      </c>
      <c r="I162" s="27">
        <v>1943462820</v>
      </c>
    </row>
    <row r="163" spans="1:9" x14ac:dyDescent="0.45">
      <c r="A163" s="27" t="s">
        <v>356</v>
      </c>
      <c r="B163" s="27">
        <v>0</v>
      </c>
      <c r="C163" s="27">
        <v>0</v>
      </c>
      <c r="D163" s="27">
        <v>-113104808</v>
      </c>
      <c r="E163" s="27">
        <v>113104808</v>
      </c>
      <c r="F163" s="27">
        <v>0</v>
      </c>
      <c r="G163" s="27">
        <v>0</v>
      </c>
      <c r="H163" s="27">
        <v>-1115022677</v>
      </c>
      <c r="I163" s="27">
        <v>1115022677</v>
      </c>
    </row>
    <row r="164" spans="1:9" x14ac:dyDescent="0.45">
      <c r="A164" s="27" t="s">
        <v>326</v>
      </c>
      <c r="B164" s="27">
        <v>5768835</v>
      </c>
      <c r="C164" s="27">
        <v>43904935415</v>
      </c>
      <c r="D164" s="27">
        <v>34944624029</v>
      </c>
      <c r="E164" s="27">
        <v>8960311386</v>
      </c>
      <c r="F164" s="27">
        <v>5768835</v>
      </c>
      <c r="G164" s="27">
        <v>43904935415</v>
      </c>
      <c r="H164" s="27">
        <v>36069899618</v>
      </c>
      <c r="I164" s="27">
        <v>7835035797</v>
      </c>
    </row>
    <row r="165" spans="1:9" x14ac:dyDescent="0.45">
      <c r="A165" s="27" t="s">
        <v>301</v>
      </c>
      <c r="B165" s="27">
        <v>1764830</v>
      </c>
      <c r="C165" s="27">
        <v>34848638496</v>
      </c>
      <c r="D165" s="27">
        <v>24866867670</v>
      </c>
      <c r="E165" s="27">
        <v>9981770826</v>
      </c>
      <c r="F165" s="27">
        <v>1764830</v>
      </c>
      <c r="G165" s="27">
        <v>34848638496</v>
      </c>
      <c r="H165" s="27">
        <v>18965364568</v>
      </c>
      <c r="I165" s="27">
        <v>15883273928</v>
      </c>
    </row>
    <row r="166" spans="1:9" x14ac:dyDescent="0.45">
      <c r="A166" s="27" t="s">
        <v>239</v>
      </c>
      <c r="B166" s="27">
        <v>4000000</v>
      </c>
      <c r="C166" s="27">
        <v>46477926800</v>
      </c>
      <c r="D166" s="27">
        <v>27602109038</v>
      </c>
      <c r="E166" s="27">
        <v>18875817762</v>
      </c>
      <c r="F166" s="27">
        <v>4000000</v>
      </c>
      <c r="G166" s="27">
        <v>46477926800</v>
      </c>
      <c r="H166" s="27">
        <v>26208961958</v>
      </c>
      <c r="I166" s="27">
        <v>20268964842</v>
      </c>
    </row>
    <row r="167" spans="1:9" x14ac:dyDescent="0.45">
      <c r="A167" s="27" t="s">
        <v>333</v>
      </c>
      <c r="B167" s="27">
        <v>7941110</v>
      </c>
      <c r="C167" s="27">
        <v>74857389587</v>
      </c>
      <c r="D167" s="27">
        <v>45644274905</v>
      </c>
      <c r="E167" s="27">
        <v>29213114682</v>
      </c>
      <c r="F167" s="27">
        <v>7941110</v>
      </c>
      <c r="G167" s="27">
        <v>74857389587</v>
      </c>
      <c r="H167" s="27">
        <v>44172694636</v>
      </c>
      <c r="I167" s="27">
        <v>30684694951</v>
      </c>
    </row>
    <row r="168" spans="1:9" x14ac:dyDescent="0.45">
      <c r="A168" s="27" t="s">
        <v>241</v>
      </c>
      <c r="B168" s="27">
        <v>2141672</v>
      </c>
      <c r="C168" s="27">
        <v>16363399941</v>
      </c>
      <c r="D168" s="27">
        <v>11985659177</v>
      </c>
      <c r="E168" s="27">
        <v>4377740764</v>
      </c>
      <c r="F168" s="27">
        <v>2141672</v>
      </c>
      <c r="G168" s="27">
        <v>16363399941</v>
      </c>
      <c r="H168" s="27">
        <v>11326872946</v>
      </c>
      <c r="I168" s="27">
        <v>5036526995</v>
      </c>
    </row>
    <row r="169" spans="1:9" x14ac:dyDescent="0.45">
      <c r="A169" s="27" t="s">
        <v>133</v>
      </c>
      <c r="B169" s="27">
        <v>12516623</v>
      </c>
      <c r="C169" s="27">
        <v>19760012381</v>
      </c>
      <c r="D169" s="27">
        <v>13773635280</v>
      </c>
      <c r="E169" s="27">
        <v>5986377101</v>
      </c>
      <c r="F169" s="27">
        <v>12516623</v>
      </c>
      <c r="G169" s="27">
        <v>19760012381</v>
      </c>
      <c r="H169" s="27">
        <v>13768428756</v>
      </c>
      <c r="I169" s="27">
        <v>5991583625</v>
      </c>
    </row>
    <row r="170" spans="1:9" x14ac:dyDescent="0.45">
      <c r="A170" s="27" t="s">
        <v>264</v>
      </c>
      <c r="B170" s="27">
        <v>2451893</v>
      </c>
      <c r="C170" s="27">
        <v>11223151607</v>
      </c>
      <c r="D170" s="27">
        <v>9792582965</v>
      </c>
      <c r="E170" s="27">
        <v>1430568642</v>
      </c>
      <c r="F170" s="27">
        <v>2451893</v>
      </c>
      <c r="G170" s="27">
        <v>11223151607</v>
      </c>
      <c r="H170" s="27">
        <v>13989404236</v>
      </c>
      <c r="I170" s="27">
        <v>-2766252629</v>
      </c>
    </row>
    <row r="171" spans="1:9" x14ac:dyDescent="0.45">
      <c r="A171" s="27" t="s">
        <v>201</v>
      </c>
      <c r="B171" s="27">
        <v>8267933</v>
      </c>
      <c r="C171" s="27">
        <v>47993527986</v>
      </c>
      <c r="D171" s="27">
        <v>47065567632</v>
      </c>
      <c r="E171" s="27">
        <v>927960354</v>
      </c>
      <c r="F171" s="27">
        <v>8267933</v>
      </c>
      <c r="G171" s="27">
        <v>47993527986</v>
      </c>
      <c r="H171" s="27">
        <v>49540481949</v>
      </c>
      <c r="I171" s="27">
        <v>-1546953963</v>
      </c>
    </row>
    <row r="172" spans="1:9" x14ac:dyDescent="0.45">
      <c r="A172" s="27" t="s">
        <v>226</v>
      </c>
      <c r="B172" s="27">
        <v>2152500</v>
      </c>
      <c r="C172" s="27">
        <v>34152420188</v>
      </c>
      <c r="D172" s="27">
        <v>31647256676</v>
      </c>
      <c r="E172" s="27">
        <v>2505163512</v>
      </c>
      <c r="F172" s="27">
        <v>2152500</v>
      </c>
      <c r="G172" s="27">
        <v>34152420188</v>
      </c>
      <c r="H172" s="27">
        <v>31646991244</v>
      </c>
      <c r="I172" s="27">
        <v>2505428944</v>
      </c>
    </row>
    <row r="173" spans="1:9" x14ac:dyDescent="0.45">
      <c r="A173" s="27" t="s">
        <v>250</v>
      </c>
      <c r="B173" s="27">
        <v>7118151</v>
      </c>
      <c r="C173" s="27">
        <v>34206727416</v>
      </c>
      <c r="D173" s="27">
        <v>28833912866</v>
      </c>
      <c r="E173" s="27">
        <v>5372814550</v>
      </c>
      <c r="F173" s="27">
        <v>7118151</v>
      </c>
      <c r="G173" s="27">
        <v>34206727416</v>
      </c>
      <c r="H173" s="27">
        <v>28833912866</v>
      </c>
      <c r="I173" s="27">
        <v>5372814550</v>
      </c>
    </row>
    <row r="174" spans="1:9" x14ac:dyDescent="0.45">
      <c r="A174" s="27" t="s">
        <v>270</v>
      </c>
      <c r="B174" s="27">
        <v>1256499</v>
      </c>
      <c r="C174" s="27">
        <v>8353467960</v>
      </c>
      <c r="D174" s="27">
        <v>7667735516</v>
      </c>
      <c r="E174" s="27">
        <v>685732444</v>
      </c>
      <c r="F174" s="27">
        <v>1256499</v>
      </c>
      <c r="G174" s="27">
        <v>8353467960</v>
      </c>
      <c r="H174" s="27">
        <v>7630331928</v>
      </c>
      <c r="I174" s="27">
        <v>723136032</v>
      </c>
    </row>
    <row r="175" spans="1:9" x14ac:dyDescent="0.45">
      <c r="A175" s="27" t="s">
        <v>335</v>
      </c>
      <c r="B175" s="27">
        <v>700000</v>
      </c>
      <c r="C175" s="27">
        <v>18545526300</v>
      </c>
      <c r="D175" s="27">
        <v>12030281480</v>
      </c>
      <c r="E175" s="27">
        <v>6515244820</v>
      </c>
      <c r="F175" s="27">
        <v>700000</v>
      </c>
      <c r="G175" s="27">
        <v>18545526300</v>
      </c>
      <c r="H175" s="27">
        <v>12044173260</v>
      </c>
      <c r="I175" s="27">
        <v>6501353040</v>
      </c>
    </row>
    <row r="176" spans="1:9" x14ac:dyDescent="0.45">
      <c r="A176" s="27" t="s">
        <v>303</v>
      </c>
      <c r="B176" s="27">
        <v>7979362</v>
      </c>
      <c r="C176" s="27">
        <v>38479932244</v>
      </c>
      <c r="D176" s="27">
        <v>26460891679</v>
      </c>
      <c r="E176" s="27">
        <v>12019040565</v>
      </c>
      <c r="F176" s="27">
        <v>7979362</v>
      </c>
      <c r="G176" s="27">
        <v>38479932244</v>
      </c>
      <c r="H176" s="27">
        <v>26247114278</v>
      </c>
      <c r="I176" s="27">
        <v>12232817966</v>
      </c>
    </row>
    <row r="177" spans="1:9" x14ac:dyDescent="0.45">
      <c r="A177" s="27" t="s">
        <v>89</v>
      </c>
      <c r="B177" s="27">
        <v>893618</v>
      </c>
      <c r="C177" s="27">
        <v>19569697046</v>
      </c>
      <c r="D177" s="27">
        <v>12617888037</v>
      </c>
      <c r="E177" s="27">
        <v>6951809009</v>
      </c>
      <c r="F177" s="27">
        <v>893618</v>
      </c>
      <c r="G177" s="27">
        <v>19569697046</v>
      </c>
      <c r="H177" s="27">
        <v>12147931560</v>
      </c>
      <c r="I177" s="27">
        <v>7421765486</v>
      </c>
    </row>
    <row r="178" spans="1:9" x14ac:dyDescent="0.45">
      <c r="A178" s="27" t="s">
        <v>357</v>
      </c>
      <c r="B178" s="27">
        <v>13385383</v>
      </c>
      <c r="C178" s="27">
        <v>82746324154</v>
      </c>
      <c r="D178" s="27">
        <v>60941383555</v>
      </c>
      <c r="E178" s="27">
        <v>21804940599</v>
      </c>
      <c r="F178" s="27">
        <v>13385383</v>
      </c>
      <c r="G178" s="27">
        <v>82746324154</v>
      </c>
      <c r="H178" s="27">
        <v>60941383555</v>
      </c>
      <c r="I178" s="27">
        <v>21804940599</v>
      </c>
    </row>
    <row r="179" spans="1:9" x14ac:dyDescent="0.45">
      <c r="A179" s="27" t="s">
        <v>258</v>
      </c>
      <c r="B179" s="27">
        <v>2470314</v>
      </c>
      <c r="C179" s="27">
        <v>35518155671</v>
      </c>
      <c r="D179" s="27">
        <v>21227551974</v>
      </c>
      <c r="E179" s="27">
        <v>14290603697</v>
      </c>
      <c r="F179" s="27">
        <v>2470314</v>
      </c>
      <c r="G179" s="27">
        <v>35518155671</v>
      </c>
      <c r="H179" s="27">
        <v>19364625935</v>
      </c>
      <c r="I179" s="27">
        <v>16153529736</v>
      </c>
    </row>
    <row r="180" spans="1:9" x14ac:dyDescent="0.45">
      <c r="A180" s="27" t="s">
        <v>245</v>
      </c>
      <c r="B180" s="27">
        <v>1483336</v>
      </c>
      <c r="C180" s="27">
        <v>4367037734</v>
      </c>
      <c r="D180" s="27">
        <v>4187448063</v>
      </c>
      <c r="E180" s="27">
        <v>179589671</v>
      </c>
      <c r="F180" s="27">
        <v>1483336</v>
      </c>
      <c r="G180" s="27">
        <v>4367037734</v>
      </c>
      <c r="H180" s="27">
        <v>4449440889</v>
      </c>
      <c r="I180" s="27">
        <v>-82403155</v>
      </c>
    </row>
    <row r="181" spans="1:9" x14ac:dyDescent="0.45">
      <c r="A181" s="27" t="s">
        <v>358</v>
      </c>
      <c r="B181" s="27">
        <v>499999</v>
      </c>
      <c r="C181" s="27">
        <v>975895593</v>
      </c>
      <c r="D181" s="27">
        <v>404785753</v>
      </c>
      <c r="E181" s="27">
        <v>571109840</v>
      </c>
      <c r="F181" s="27">
        <v>499999</v>
      </c>
      <c r="G181" s="27">
        <v>975895593</v>
      </c>
      <c r="H181" s="27">
        <v>404785753</v>
      </c>
      <c r="I181" s="27">
        <v>571109840</v>
      </c>
    </row>
    <row r="182" spans="1:9" x14ac:dyDescent="0.45">
      <c r="A182" s="27" t="s">
        <v>359</v>
      </c>
      <c r="B182" s="27">
        <v>1086071</v>
      </c>
      <c r="C182" s="27">
        <v>37794085788</v>
      </c>
      <c r="D182" s="27">
        <v>21628950720</v>
      </c>
      <c r="E182" s="27">
        <v>16165135068</v>
      </c>
      <c r="F182" s="27">
        <v>1086071</v>
      </c>
      <c r="G182" s="27">
        <v>37794085788</v>
      </c>
      <c r="H182" s="27">
        <v>20411177212</v>
      </c>
      <c r="I182" s="27">
        <v>17382908576</v>
      </c>
    </row>
    <row r="183" spans="1:9" x14ac:dyDescent="0.45">
      <c r="A183" s="27" t="s">
        <v>203</v>
      </c>
      <c r="B183" s="27">
        <v>14640871</v>
      </c>
      <c r="C183" s="27">
        <v>25234609806</v>
      </c>
      <c r="D183" s="27">
        <v>21221465303</v>
      </c>
      <c r="E183" s="27">
        <v>4013144503</v>
      </c>
      <c r="F183" s="27">
        <v>14640871</v>
      </c>
      <c r="G183" s="27">
        <v>25234609806</v>
      </c>
      <c r="H183" s="27">
        <v>21223893783</v>
      </c>
      <c r="I183" s="27">
        <v>4010716023</v>
      </c>
    </row>
    <row r="184" spans="1:9" x14ac:dyDescent="0.45">
      <c r="A184" s="27" t="s">
        <v>82</v>
      </c>
      <c r="B184" s="27">
        <v>18780964</v>
      </c>
      <c r="C184" s="27">
        <v>46496288935</v>
      </c>
      <c r="D184" s="27">
        <v>39548136980</v>
      </c>
      <c r="E184" s="27">
        <v>6948151955</v>
      </c>
      <c r="F184" s="27">
        <v>18780964</v>
      </c>
      <c r="G184" s="27">
        <v>46496288935</v>
      </c>
      <c r="H184" s="27">
        <v>39063001588</v>
      </c>
      <c r="I184" s="27">
        <v>7433287347</v>
      </c>
    </row>
    <row r="185" spans="1:9" x14ac:dyDescent="0.45">
      <c r="A185" s="27" t="s">
        <v>279</v>
      </c>
      <c r="B185" s="27">
        <v>2845414</v>
      </c>
      <c r="C185" s="27">
        <v>50200388927</v>
      </c>
      <c r="D185" s="27">
        <v>38637553432</v>
      </c>
      <c r="E185" s="27">
        <v>11562835495</v>
      </c>
      <c r="F185" s="27">
        <v>2845414</v>
      </c>
      <c r="G185" s="27">
        <v>50200388927</v>
      </c>
      <c r="H185" s="27">
        <v>38683015830</v>
      </c>
      <c r="I185" s="27">
        <v>11517373097</v>
      </c>
    </row>
    <row r="186" spans="1:9" x14ac:dyDescent="0.45">
      <c r="A186" s="27" t="s">
        <v>274</v>
      </c>
      <c r="B186" s="27">
        <v>594875</v>
      </c>
      <c r="C186" s="27">
        <v>51407190509</v>
      </c>
      <c r="D186" s="27">
        <v>31160702572</v>
      </c>
      <c r="E186" s="27">
        <v>20246487937</v>
      </c>
      <c r="F186" s="27">
        <v>594875</v>
      </c>
      <c r="G186" s="27">
        <v>51407190509</v>
      </c>
      <c r="H186" s="27">
        <v>30104107429</v>
      </c>
      <c r="I186" s="27">
        <v>21303083080</v>
      </c>
    </row>
    <row r="187" spans="1:9" x14ac:dyDescent="0.45">
      <c r="A187" s="27" t="s">
        <v>81</v>
      </c>
      <c r="B187" s="27">
        <v>2105935</v>
      </c>
      <c r="C187" s="27">
        <v>43569330153</v>
      </c>
      <c r="D187" s="27">
        <v>43016252370</v>
      </c>
      <c r="E187" s="27">
        <v>553077783</v>
      </c>
      <c r="F187" s="27">
        <v>2105935</v>
      </c>
      <c r="G187" s="27">
        <v>43569330153</v>
      </c>
      <c r="H187" s="27">
        <v>43076495265</v>
      </c>
      <c r="I187" s="27">
        <v>492834888</v>
      </c>
    </row>
    <row r="188" spans="1:9" x14ac:dyDescent="0.45">
      <c r="A188" s="27" t="s">
        <v>254</v>
      </c>
      <c r="B188" s="27">
        <v>7657608</v>
      </c>
      <c r="C188" s="27">
        <v>79327449365</v>
      </c>
      <c r="D188" s="27">
        <v>78912151680</v>
      </c>
      <c r="E188" s="27">
        <v>415297685</v>
      </c>
      <c r="F188" s="27">
        <v>7657608</v>
      </c>
      <c r="G188" s="27">
        <v>79327449365</v>
      </c>
      <c r="H188" s="27">
        <v>78912416162</v>
      </c>
      <c r="I188" s="27">
        <v>415033203</v>
      </c>
    </row>
    <row r="189" spans="1:9" x14ac:dyDescent="0.45">
      <c r="A189" s="27" t="s">
        <v>111</v>
      </c>
      <c r="B189" s="27">
        <v>11987567</v>
      </c>
      <c r="C189" s="27">
        <v>32116238389</v>
      </c>
      <c r="D189" s="27">
        <v>27750411768</v>
      </c>
      <c r="E189" s="27">
        <v>4365826621</v>
      </c>
      <c r="F189" s="27">
        <v>11987567</v>
      </c>
      <c r="G189" s="27">
        <v>32116238389</v>
      </c>
      <c r="H189" s="27">
        <v>27753784717</v>
      </c>
      <c r="I189" s="27">
        <v>4362453672</v>
      </c>
    </row>
    <row r="190" spans="1:9" x14ac:dyDescent="0.45">
      <c r="A190" s="27" t="s">
        <v>318</v>
      </c>
      <c r="B190" s="27">
        <v>2242980</v>
      </c>
      <c r="C190" s="27">
        <v>59535917203</v>
      </c>
      <c r="D190" s="27">
        <v>38618376432</v>
      </c>
      <c r="E190" s="27">
        <v>20917540771</v>
      </c>
      <c r="F190" s="27">
        <v>2242980</v>
      </c>
      <c r="G190" s="27">
        <v>59535917203</v>
      </c>
      <c r="H190" s="27">
        <v>38033181628</v>
      </c>
      <c r="I190" s="27">
        <v>21502735575</v>
      </c>
    </row>
    <row r="191" spans="1:9" x14ac:dyDescent="0.45">
      <c r="A191" s="27" t="s">
        <v>84</v>
      </c>
      <c r="B191" s="27">
        <v>1234887</v>
      </c>
      <c r="C191" s="27">
        <v>11224126523</v>
      </c>
      <c r="D191" s="27">
        <v>6347268056</v>
      </c>
      <c r="E191" s="27">
        <v>4876858467</v>
      </c>
      <c r="F191" s="27">
        <v>1234887</v>
      </c>
      <c r="G191" s="27">
        <v>11224126523</v>
      </c>
      <c r="H191" s="27">
        <v>6329433102</v>
      </c>
      <c r="I191" s="27">
        <v>4894693421</v>
      </c>
    </row>
    <row r="192" spans="1:9" x14ac:dyDescent="0.45">
      <c r="A192" s="27" t="s">
        <v>86</v>
      </c>
      <c r="B192" s="27">
        <v>3665617</v>
      </c>
      <c r="C192" s="27">
        <v>42156095837</v>
      </c>
      <c r="D192" s="27">
        <v>25242735557</v>
      </c>
      <c r="E192" s="27">
        <v>16913360280</v>
      </c>
      <c r="F192" s="27">
        <v>3665617</v>
      </c>
      <c r="G192" s="27">
        <v>42156095837</v>
      </c>
      <c r="H192" s="27">
        <v>25242735557</v>
      </c>
      <c r="I192" s="27">
        <v>16913360280</v>
      </c>
    </row>
    <row r="193" spans="1:9" x14ac:dyDescent="0.45">
      <c r="A193" s="27" t="s">
        <v>315</v>
      </c>
      <c r="B193" s="27">
        <v>2326440</v>
      </c>
      <c r="C193" s="27">
        <v>69369121395</v>
      </c>
      <c r="D193" s="27">
        <v>50513904084</v>
      </c>
      <c r="E193" s="27">
        <v>18855217311</v>
      </c>
      <c r="F193" s="27">
        <v>2326440</v>
      </c>
      <c r="G193" s="27">
        <v>69369121395</v>
      </c>
      <c r="H193" s="27">
        <v>49109166496</v>
      </c>
      <c r="I193" s="27">
        <v>20259954899</v>
      </c>
    </row>
    <row r="194" spans="1:9" x14ac:dyDescent="0.45">
      <c r="A194" s="27" t="s">
        <v>92</v>
      </c>
      <c r="B194" s="27">
        <v>635048</v>
      </c>
      <c r="C194" s="27">
        <v>27461461061</v>
      </c>
      <c r="D194" s="27">
        <v>16314300754</v>
      </c>
      <c r="E194" s="27">
        <v>11147160307</v>
      </c>
      <c r="F194" s="27">
        <v>635048</v>
      </c>
      <c r="G194" s="27">
        <v>27461461061</v>
      </c>
      <c r="H194" s="27">
        <v>16320602145</v>
      </c>
      <c r="I194" s="27">
        <v>11140858916</v>
      </c>
    </row>
    <row r="195" spans="1:9" x14ac:dyDescent="0.45">
      <c r="A195" s="27" t="s">
        <v>329</v>
      </c>
      <c r="B195" s="27">
        <v>3490646</v>
      </c>
      <c r="C195" s="27">
        <v>51192943669</v>
      </c>
      <c r="D195" s="27">
        <v>28540585645</v>
      </c>
      <c r="E195" s="27">
        <v>22652358024</v>
      </c>
      <c r="F195" s="27">
        <v>3490646</v>
      </c>
      <c r="G195" s="27">
        <v>51192943669</v>
      </c>
      <c r="H195" s="27">
        <v>27709306451</v>
      </c>
      <c r="I195" s="27">
        <v>23483637218</v>
      </c>
    </row>
    <row r="196" spans="1:9" x14ac:dyDescent="0.45">
      <c r="A196" s="27" t="s">
        <v>360</v>
      </c>
      <c r="B196" s="27">
        <v>275726</v>
      </c>
      <c r="C196" s="27">
        <v>4143590793</v>
      </c>
      <c r="D196" s="27">
        <v>4143590793</v>
      </c>
      <c r="E196" s="27">
        <v>0</v>
      </c>
      <c r="F196" s="27">
        <v>275726</v>
      </c>
      <c r="G196" s="27">
        <v>4143590793</v>
      </c>
      <c r="H196" s="27">
        <v>6374755066</v>
      </c>
      <c r="I196" s="27">
        <v>-2231164273</v>
      </c>
    </row>
    <row r="197" spans="1:9" x14ac:dyDescent="0.45">
      <c r="A197" s="27" t="s">
        <v>361</v>
      </c>
      <c r="B197" s="27">
        <v>487887</v>
      </c>
      <c r="C197" s="27">
        <v>14015147590</v>
      </c>
      <c r="D197" s="27">
        <v>10460770608</v>
      </c>
      <c r="E197" s="27">
        <v>3554376982</v>
      </c>
      <c r="F197" s="27">
        <v>487887</v>
      </c>
      <c r="G197" s="27">
        <v>14015147590</v>
      </c>
      <c r="H197" s="27">
        <v>13075963261</v>
      </c>
      <c r="I197" s="27">
        <v>939184329</v>
      </c>
    </row>
    <row r="198" spans="1:9" x14ac:dyDescent="0.45">
      <c r="A198" s="27" t="s">
        <v>277</v>
      </c>
      <c r="B198" s="27">
        <v>3335116</v>
      </c>
      <c r="C198" s="27">
        <v>24257429606</v>
      </c>
      <c r="D198" s="27">
        <v>11781234570</v>
      </c>
      <c r="E198" s="27">
        <v>12476195036</v>
      </c>
      <c r="F198" s="27">
        <v>3335116</v>
      </c>
      <c r="G198" s="27">
        <v>24257429606</v>
      </c>
      <c r="H198" s="27">
        <v>11781234570</v>
      </c>
      <c r="I198" s="27">
        <v>12476195036</v>
      </c>
    </row>
    <row r="199" spans="1:9" x14ac:dyDescent="0.45">
      <c r="A199" s="27" t="s">
        <v>100</v>
      </c>
      <c r="B199" s="27">
        <v>8716431</v>
      </c>
      <c r="C199" s="27">
        <v>53191675878</v>
      </c>
      <c r="D199" s="27">
        <v>42042355164</v>
      </c>
      <c r="E199" s="27">
        <v>11149320714</v>
      </c>
      <c r="F199" s="27">
        <v>8716431</v>
      </c>
      <c r="G199" s="27">
        <v>53191675878</v>
      </c>
      <c r="H199" s="27">
        <v>41930317189</v>
      </c>
      <c r="I199" s="27">
        <v>11261358689</v>
      </c>
    </row>
    <row r="200" spans="1:9" x14ac:dyDescent="0.45">
      <c r="A200" s="27" t="s">
        <v>122</v>
      </c>
      <c r="B200" s="27">
        <v>3737468</v>
      </c>
      <c r="C200" s="27">
        <v>61265698191</v>
      </c>
      <c r="D200" s="27">
        <v>61032402337</v>
      </c>
      <c r="E200" s="27">
        <v>233295854</v>
      </c>
      <c r="F200" s="27">
        <v>3737468</v>
      </c>
      <c r="G200" s="27">
        <v>61265698191</v>
      </c>
      <c r="H200" s="27">
        <v>60900823842</v>
      </c>
      <c r="I200" s="27">
        <v>364874349</v>
      </c>
    </row>
    <row r="201" spans="1:9" x14ac:dyDescent="0.45">
      <c r="A201" s="27" t="s">
        <v>321</v>
      </c>
      <c r="B201" s="27">
        <v>10456686</v>
      </c>
      <c r="C201" s="27">
        <v>31262453577</v>
      </c>
      <c r="D201" s="27">
        <v>23694080199</v>
      </c>
      <c r="E201" s="27">
        <v>7568373378</v>
      </c>
      <c r="F201" s="27">
        <v>10456686</v>
      </c>
      <c r="G201" s="27">
        <v>31262453577</v>
      </c>
      <c r="H201" s="27">
        <v>23696082347</v>
      </c>
      <c r="I201" s="27">
        <v>7566371230</v>
      </c>
    </row>
    <row r="202" spans="1:9" x14ac:dyDescent="0.45">
      <c r="A202" s="27" t="s">
        <v>308</v>
      </c>
      <c r="B202" s="27">
        <v>5623567</v>
      </c>
      <c r="C202" s="27">
        <v>64896526099</v>
      </c>
      <c r="D202" s="27">
        <v>51340584750</v>
      </c>
      <c r="E202" s="27">
        <v>13555941349</v>
      </c>
      <c r="F202" s="27">
        <v>5623567</v>
      </c>
      <c r="G202" s="27">
        <v>64896526099</v>
      </c>
      <c r="H202" s="27">
        <v>51340584750</v>
      </c>
      <c r="I202" s="27">
        <v>13555941349</v>
      </c>
    </row>
    <row r="203" spans="1:9" x14ac:dyDescent="0.45">
      <c r="A203" s="27" t="s">
        <v>362</v>
      </c>
      <c r="B203" s="27">
        <v>4000000</v>
      </c>
      <c r="C203" s="27">
        <v>27267579600</v>
      </c>
      <c r="D203" s="27">
        <v>24974133237</v>
      </c>
      <c r="E203" s="27">
        <v>2293446363</v>
      </c>
      <c r="F203" s="27">
        <v>4000000</v>
      </c>
      <c r="G203" s="27">
        <v>27267579600</v>
      </c>
      <c r="H203" s="27">
        <v>24974133237</v>
      </c>
      <c r="I203" s="27">
        <v>2293446363</v>
      </c>
    </row>
    <row r="204" spans="1:9" x14ac:dyDescent="0.45">
      <c r="A204" s="27" t="s">
        <v>363</v>
      </c>
      <c r="B204" s="27">
        <v>8814987</v>
      </c>
      <c r="C204" s="27">
        <v>49769560286</v>
      </c>
      <c r="D204" s="27">
        <v>46776628908</v>
      </c>
      <c r="E204" s="27">
        <v>2992931378</v>
      </c>
      <c r="F204" s="27">
        <v>8814987</v>
      </c>
      <c r="G204" s="27">
        <v>49769560286</v>
      </c>
      <c r="H204" s="27">
        <v>46414635488</v>
      </c>
      <c r="I204" s="27">
        <v>3354924798</v>
      </c>
    </row>
    <row r="205" spans="1:9" x14ac:dyDescent="0.45">
      <c r="A205" s="27" t="s">
        <v>127</v>
      </c>
      <c r="B205" s="27">
        <v>12061503</v>
      </c>
      <c r="C205" s="27">
        <v>45048559178</v>
      </c>
      <c r="D205" s="27">
        <v>42272554432</v>
      </c>
      <c r="E205" s="27">
        <v>2776004746</v>
      </c>
      <c r="F205" s="27">
        <v>12061503</v>
      </c>
      <c r="G205" s="27">
        <v>45048559178</v>
      </c>
      <c r="H205" s="27">
        <v>41866729557</v>
      </c>
      <c r="I205" s="27">
        <v>3181829621</v>
      </c>
    </row>
    <row r="206" spans="1:9" x14ac:dyDescent="0.45">
      <c r="A206" s="27" t="s">
        <v>364</v>
      </c>
      <c r="B206" s="27">
        <v>8298467</v>
      </c>
      <c r="C206" s="27">
        <v>67356736374</v>
      </c>
      <c r="D206" s="27">
        <v>65760742101</v>
      </c>
      <c r="E206" s="27">
        <v>1595994273</v>
      </c>
      <c r="F206" s="27">
        <v>8298467</v>
      </c>
      <c r="G206" s="27">
        <v>67356736374</v>
      </c>
      <c r="H206" s="27">
        <v>65273019734</v>
      </c>
      <c r="I206" s="27">
        <v>2083716640</v>
      </c>
    </row>
    <row r="207" spans="1:9" x14ac:dyDescent="0.45">
      <c r="A207" s="27" t="s">
        <v>120</v>
      </c>
      <c r="B207" s="27">
        <v>8769322</v>
      </c>
      <c r="C207" s="27">
        <v>32639458314</v>
      </c>
      <c r="D207" s="27">
        <v>23355669075</v>
      </c>
      <c r="E207" s="27">
        <v>9283789239</v>
      </c>
      <c r="F207" s="27">
        <v>8769322</v>
      </c>
      <c r="G207" s="27">
        <v>32639458314</v>
      </c>
      <c r="H207" s="27">
        <v>23276591884</v>
      </c>
      <c r="I207" s="27">
        <v>9362866430</v>
      </c>
    </row>
    <row r="208" spans="1:9" x14ac:dyDescent="0.45">
      <c r="A208" s="27" t="s">
        <v>205</v>
      </c>
      <c r="B208" s="27">
        <v>906895</v>
      </c>
      <c r="C208" s="27">
        <v>45966110560</v>
      </c>
      <c r="D208" s="27">
        <v>43743159493</v>
      </c>
      <c r="E208" s="27">
        <v>2222951067</v>
      </c>
      <c r="F208" s="27">
        <v>906895</v>
      </c>
      <c r="G208" s="27">
        <v>45966110560</v>
      </c>
      <c r="H208" s="27">
        <v>45139170264</v>
      </c>
      <c r="I208" s="27">
        <v>826940296</v>
      </c>
    </row>
    <row r="209" spans="1:9" x14ac:dyDescent="0.45">
      <c r="A209" s="27" t="s">
        <v>207</v>
      </c>
      <c r="B209" s="27">
        <v>21351892</v>
      </c>
      <c r="C209" s="27">
        <v>32352307543</v>
      </c>
      <c r="D209" s="27">
        <v>21165655033</v>
      </c>
      <c r="E209" s="27">
        <v>11186652510</v>
      </c>
      <c r="F209" s="27">
        <v>21351892</v>
      </c>
      <c r="G209" s="27">
        <v>32352307543</v>
      </c>
      <c r="H209" s="27">
        <v>20723246603</v>
      </c>
      <c r="I209" s="27">
        <v>11629060940</v>
      </c>
    </row>
    <row r="210" spans="1:9" x14ac:dyDescent="0.45">
      <c r="A210" s="27" t="s">
        <v>365</v>
      </c>
      <c r="B210" s="27">
        <v>1032048</v>
      </c>
      <c r="C210" s="27">
        <v>47619267507</v>
      </c>
      <c r="D210" s="27">
        <v>27547490235</v>
      </c>
      <c r="E210" s="27">
        <v>20071777272</v>
      </c>
      <c r="F210" s="27">
        <v>1032048</v>
      </c>
      <c r="G210" s="27">
        <v>47619267507</v>
      </c>
      <c r="H210" s="27">
        <v>26625826993</v>
      </c>
      <c r="I210" s="27">
        <v>20993440514</v>
      </c>
    </row>
    <row r="211" spans="1:9" x14ac:dyDescent="0.45">
      <c r="A211" s="27" t="s">
        <v>223</v>
      </c>
      <c r="B211" s="27">
        <v>2238593</v>
      </c>
      <c r="C211" s="27">
        <v>127124350934</v>
      </c>
      <c r="D211" s="27">
        <v>109922836890</v>
      </c>
      <c r="E211" s="27">
        <v>17201514044</v>
      </c>
      <c r="F211" s="27">
        <v>2238593</v>
      </c>
      <c r="G211" s="27">
        <v>127124350934</v>
      </c>
      <c r="H211" s="27">
        <v>107901834133</v>
      </c>
      <c r="I211" s="27">
        <v>19222516801</v>
      </c>
    </row>
    <row r="212" spans="1:9" x14ac:dyDescent="0.45">
      <c r="A212" s="27" t="s">
        <v>113</v>
      </c>
      <c r="B212" s="27">
        <v>15000000</v>
      </c>
      <c r="C212" s="27">
        <v>229809732000</v>
      </c>
      <c r="D212" s="27">
        <v>193086214800</v>
      </c>
      <c r="E212" s="27">
        <v>36723517200</v>
      </c>
      <c r="F212" s="27">
        <v>15000000</v>
      </c>
      <c r="G212" s="27">
        <v>229809732000</v>
      </c>
      <c r="H212" s="27">
        <v>193086214800</v>
      </c>
      <c r="I212" s="27">
        <v>36723517200</v>
      </c>
    </row>
    <row r="213" spans="1:9" x14ac:dyDescent="0.45">
      <c r="A213" s="27" t="s">
        <v>366</v>
      </c>
      <c r="B213" s="27">
        <v>1889936</v>
      </c>
      <c r="C213" s="27">
        <v>101230140379</v>
      </c>
      <c r="D213" s="27">
        <v>84937143340</v>
      </c>
      <c r="E213" s="27">
        <v>16292997039</v>
      </c>
      <c r="F213" s="27">
        <v>1889936</v>
      </c>
      <c r="G213" s="27">
        <v>101230140379</v>
      </c>
      <c r="H213" s="27">
        <v>83278479394</v>
      </c>
      <c r="I213" s="27">
        <v>17951660985</v>
      </c>
    </row>
    <row r="214" spans="1:9" x14ac:dyDescent="0.45">
      <c r="A214" s="27" t="s">
        <v>221</v>
      </c>
      <c r="B214" s="27">
        <v>392921</v>
      </c>
      <c r="C214" s="27">
        <v>22866680217</v>
      </c>
      <c r="D214" s="27">
        <v>14222958130</v>
      </c>
      <c r="E214" s="27">
        <v>8643722087</v>
      </c>
      <c r="F214" s="27">
        <v>392921</v>
      </c>
      <c r="G214" s="27">
        <v>22866680217</v>
      </c>
      <c r="H214" s="27">
        <v>17778697663</v>
      </c>
      <c r="I214" s="27">
        <v>5087982554</v>
      </c>
    </row>
    <row r="215" spans="1:9" x14ac:dyDescent="0.45">
      <c r="A215" s="27" t="s">
        <v>367</v>
      </c>
      <c r="B215" s="27">
        <v>1881856</v>
      </c>
      <c r="C215" s="27">
        <v>24125635550</v>
      </c>
      <c r="D215" s="27">
        <v>18251080640</v>
      </c>
      <c r="E215" s="27">
        <v>5874554910</v>
      </c>
      <c r="F215" s="27">
        <v>1881856</v>
      </c>
      <c r="G215" s="27">
        <v>24125635550</v>
      </c>
      <c r="H215" s="27">
        <v>24334782847</v>
      </c>
      <c r="I215" s="27">
        <v>-209147297</v>
      </c>
    </row>
    <row r="216" spans="1:9" x14ac:dyDescent="0.45">
      <c r="A216" s="27" t="s">
        <v>368</v>
      </c>
      <c r="B216" s="27">
        <v>1136013</v>
      </c>
      <c r="C216" s="27">
        <v>29060031151</v>
      </c>
      <c r="D216" s="27">
        <v>17882058701</v>
      </c>
      <c r="E216" s="27">
        <v>11177972450</v>
      </c>
      <c r="F216" s="27">
        <v>1136013</v>
      </c>
      <c r="G216" s="27">
        <v>29060031151</v>
      </c>
      <c r="H216" s="27">
        <v>21782308227</v>
      </c>
      <c r="I216" s="27">
        <v>7277722924</v>
      </c>
    </row>
    <row r="217" spans="1:9" x14ac:dyDescent="0.45">
      <c r="A217" s="27" t="s">
        <v>369</v>
      </c>
      <c r="B217" s="27">
        <v>6591749</v>
      </c>
      <c r="C217" s="27">
        <v>66258251124</v>
      </c>
      <c r="D217" s="27">
        <v>42427490284</v>
      </c>
      <c r="E217" s="27">
        <v>23830760840</v>
      </c>
      <c r="F217" s="27">
        <v>6591749</v>
      </c>
      <c r="G217" s="27">
        <v>66258251124</v>
      </c>
      <c r="H217" s="27">
        <v>40554965511</v>
      </c>
      <c r="I217" s="27">
        <v>25703285613</v>
      </c>
    </row>
    <row r="218" spans="1:9" x14ac:dyDescent="0.45">
      <c r="A218" s="27" t="s">
        <v>222</v>
      </c>
      <c r="B218" s="27">
        <v>14595002</v>
      </c>
      <c r="C218" s="27">
        <v>70499265065</v>
      </c>
      <c r="D218" s="27">
        <v>41520417613</v>
      </c>
      <c r="E218" s="27">
        <v>28978847452</v>
      </c>
      <c r="F218" s="27">
        <v>14595002</v>
      </c>
      <c r="G218" s="27">
        <v>70499265065</v>
      </c>
      <c r="H218" s="27">
        <v>38986035652</v>
      </c>
      <c r="I218" s="27">
        <v>31513229413</v>
      </c>
    </row>
    <row r="219" spans="1:9" x14ac:dyDescent="0.45">
      <c r="A219" s="27" t="s">
        <v>96</v>
      </c>
      <c r="B219" s="27">
        <v>5968712</v>
      </c>
      <c r="C219" s="27">
        <v>96301050902</v>
      </c>
      <c r="D219" s="27">
        <v>63848365782</v>
      </c>
      <c r="E219" s="27">
        <v>32452685120</v>
      </c>
      <c r="F219" s="27">
        <v>5968712</v>
      </c>
      <c r="G219" s="27">
        <v>96301050902</v>
      </c>
      <c r="H219" s="27">
        <v>61950079666</v>
      </c>
      <c r="I219" s="27">
        <v>34350971236</v>
      </c>
    </row>
    <row r="220" spans="1:9" x14ac:dyDescent="0.45">
      <c r="A220" s="27" t="s">
        <v>225</v>
      </c>
      <c r="B220" s="27">
        <v>900000</v>
      </c>
      <c r="C220" s="27">
        <v>6626379060</v>
      </c>
      <c r="D220" s="27">
        <v>4728662685</v>
      </c>
      <c r="E220" s="27">
        <v>1897716375</v>
      </c>
      <c r="F220" s="27">
        <v>900000</v>
      </c>
      <c r="G220" s="27">
        <v>6626379060</v>
      </c>
      <c r="H220" s="27">
        <v>4728662685</v>
      </c>
      <c r="I220" s="27">
        <v>1897716375</v>
      </c>
    </row>
    <row r="221" spans="1:9" x14ac:dyDescent="0.45">
      <c r="A221" s="27" t="s">
        <v>330</v>
      </c>
      <c r="B221" s="27">
        <v>1505716</v>
      </c>
      <c r="C221" s="27">
        <v>19333353990</v>
      </c>
      <c r="D221" s="27">
        <v>15427808627</v>
      </c>
      <c r="E221" s="27">
        <v>3905545363</v>
      </c>
      <c r="F221" s="27">
        <v>1505716</v>
      </c>
      <c r="G221" s="27">
        <v>19333353990</v>
      </c>
      <c r="H221" s="27">
        <v>14632744233</v>
      </c>
      <c r="I221" s="27">
        <v>4700609757</v>
      </c>
    </row>
    <row r="222" spans="1:9" x14ac:dyDescent="0.45">
      <c r="A222" s="27" t="s">
        <v>116</v>
      </c>
      <c r="B222" s="27">
        <v>11733352</v>
      </c>
      <c r="C222" s="27">
        <v>61356782306</v>
      </c>
      <c r="D222" s="27">
        <v>52084756083</v>
      </c>
      <c r="E222" s="27">
        <v>9272026223</v>
      </c>
      <c r="F222" s="27">
        <v>11733352</v>
      </c>
      <c r="G222" s="27">
        <v>61356782306</v>
      </c>
      <c r="H222" s="27">
        <v>51512027002</v>
      </c>
      <c r="I222" s="27">
        <v>9844755304</v>
      </c>
    </row>
    <row r="223" spans="1:9" x14ac:dyDescent="0.45">
      <c r="A223" s="27" t="s">
        <v>295</v>
      </c>
      <c r="B223" s="27">
        <v>2024465</v>
      </c>
      <c r="C223" s="27">
        <v>29127830340</v>
      </c>
      <c r="D223" s="27">
        <v>15869645496</v>
      </c>
      <c r="E223" s="27">
        <v>13258184844</v>
      </c>
      <c r="F223" s="27">
        <v>2024465</v>
      </c>
      <c r="G223" s="27">
        <v>29127830340</v>
      </c>
      <c r="H223" s="27">
        <v>15407617842</v>
      </c>
      <c r="I223" s="27">
        <v>13720212498</v>
      </c>
    </row>
    <row r="224" spans="1:9" x14ac:dyDescent="0.45">
      <c r="A224" s="27" t="s">
        <v>324</v>
      </c>
      <c r="B224" s="27">
        <v>2192838</v>
      </c>
      <c r="C224" s="27">
        <v>36554907686</v>
      </c>
      <c r="D224" s="27">
        <v>20475100079</v>
      </c>
      <c r="E224" s="27">
        <v>16079807607</v>
      </c>
      <c r="F224" s="27">
        <v>2192838</v>
      </c>
      <c r="G224" s="27">
        <v>36554907686</v>
      </c>
      <c r="H224" s="27">
        <v>20061681480</v>
      </c>
      <c r="I224" s="27">
        <v>16493226206</v>
      </c>
    </row>
    <row r="225" spans="1:9" x14ac:dyDescent="0.45">
      <c r="A225" s="27" t="s">
        <v>257</v>
      </c>
      <c r="B225" s="27">
        <v>9911043</v>
      </c>
      <c r="C225" s="27">
        <v>74741672846</v>
      </c>
      <c r="D225" s="27">
        <v>48342811352</v>
      </c>
      <c r="E225" s="27">
        <v>26398861494</v>
      </c>
      <c r="F225" s="27">
        <v>9911043</v>
      </c>
      <c r="G225" s="27">
        <v>74741672846</v>
      </c>
      <c r="H225" s="27">
        <v>47554604410</v>
      </c>
      <c r="I225" s="27">
        <v>27187068436</v>
      </c>
    </row>
    <row r="226" spans="1:9" x14ac:dyDescent="0.45">
      <c r="A226" s="27" t="s">
        <v>208</v>
      </c>
      <c r="B226" s="27">
        <v>30321983</v>
      </c>
      <c r="C226" s="27">
        <v>72210225771</v>
      </c>
      <c r="D226" s="27">
        <v>72262457420</v>
      </c>
      <c r="E226" s="27">
        <v>-52231649</v>
      </c>
      <c r="F226" s="27">
        <v>30321983</v>
      </c>
      <c r="G226" s="27">
        <v>72210225771</v>
      </c>
      <c r="H226" s="27">
        <v>72263908347</v>
      </c>
      <c r="I226" s="27">
        <v>-53682576</v>
      </c>
    </row>
    <row r="227" spans="1:9" x14ac:dyDescent="0.45">
      <c r="A227" s="27" t="s">
        <v>370</v>
      </c>
      <c r="B227" s="27">
        <v>1571246</v>
      </c>
      <c r="C227" s="27">
        <v>2182740376</v>
      </c>
      <c r="D227" s="27">
        <v>2086793653</v>
      </c>
      <c r="E227" s="27">
        <v>95946723</v>
      </c>
      <c r="F227" s="27">
        <v>1571246</v>
      </c>
      <c r="G227" s="27">
        <v>2182740376</v>
      </c>
      <c r="H227" s="27">
        <v>2086793653</v>
      </c>
      <c r="I227" s="27">
        <v>95946723</v>
      </c>
    </row>
    <row r="228" spans="1:9" x14ac:dyDescent="0.45">
      <c r="A228" s="27" t="s">
        <v>371</v>
      </c>
      <c r="B228" s="27">
        <v>15752234</v>
      </c>
      <c r="C228" s="27">
        <v>26806254731</v>
      </c>
      <c r="D228" s="27">
        <v>23681028639</v>
      </c>
      <c r="E228" s="27">
        <v>3125226092</v>
      </c>
      <c r="F228" s="27">
        <v>15752234</v>
      </c>
      <c r="G228" s="27">
        <v>26806254731</v>
      </c>
      <c r="H228" s="27">
        <v>23632644392</v>
      </c>
      <c r="I228" s="27">
        <v>3173610339</v>
      </c>
    </row>
    <row r="229" spans="1:9" x14ac:dyDescent="0.45">
      <c r="A229" s="27" t="s">
        <v>372</v>
      </c>
      <c r="B229" s="27">
        <v>1500000</v>
      </c>
      <c r="C229" s="27">
        <v>22802364600</v>
      </c>
      <c r="D229" s="27">
        <v>13514717400</v>
      </c>
      <c r="E229" s="27">
        <v>9287647200</v>
      </c>
      <c r="F229" s="27">
        <v>1500000</v>
      </c>
      <c r="G229" s="27">
        <v>22802364600</v>
      </c>
      <c r="H229" s="27">
        <v>13112848050</v>
      </c>
      <c r="I229" s="27">
        <v>9689516550</v>
      </c>
    </row>
    <row r="230" spans="1:9" x14ac:dyDescent="0.45">
      <c r="A230" s="27" t="s">
        <v>209</v>
      </c>
      <c r="B230" s="27">
        <v>30913216</v>
      </c>
      <c r="C230" s="27">
        <v>39171025985</v>
      </c>
      <c r="D230" s="27">
        <v>31690322783</v>
      </c>
      <c r="E230" s="27">
        <v>7480703202</v>
      </c>
      <c r="F230" s="27">
        <v>30913216</v>
      </c>
      <c r="G230" s="27">
        <v>39171025985</v>
      </c>
      <c r="H230" s="27">
        <v>31823848668</v>
      </c>
      <c r="I230" s="27">
        <v>7347177317</v>
      </c>
    </row>
    <row r="231" spans="1:9" x14ac:dyDescent="0.45">
      <c r="A231" s="27" t="s">
        <v>268</v>
      </c>
      <c r="B231" s="27">
        <v>5200000</v>
      </c>
      <c r="C231" s="27">
        <v>15850917888</v>
      </c>
      <c r="D231" s="27">
        <v>12032662928</v>
      </c>
      <c r="E231" s="27">
        <v>3818254960</v>
      </c>
      <c r="F231" s="27">
        <v>5200000</v>
      </c>
      <c r="G231" s="27">
        <v>15850917888</v>
      </c>
      <c r="H231" s="27">
        <v>15035668856</v>
      </c>
      <c r="I231" s="27">
        <v>815249032</v>
      </c>
    </row>
    <row r="232" spans="1:9" x14ac:dyDescent="0.45">
      <c r="A232" s="27" t="s">
        <v>210</v>
      </c>
      <c r="B232" s="27">
        <v>11242355</v>
      </c>
      <c r="C232" s="27">
        <v>22835209417</v>
      </c>
      <c r="D232" s="27">
        <v>21206513484</v>
      </c>
      <c r="E232" s="27">
        <v>1628695933</v>
      </c>
      <c r="F232" s="27">
        <v>11242355</v>
      </c>
      <c r="G232" s="27">
        <v>22835209417</v>
      </c>
      <c r="H232" s="27">
        <v>21039729209</v>
      </c>
      <c r="I232" s="27">
        <v>1795480208</v>
      </c>
    </row>
    <row r="233" spans="1:9" x14ac:dyDescent="0.45">
      <c r="A233" s="27" t="s">
        <v>373</v>
      </c>
      <c r="B233" s="27">
        <v>1175423</v>
      </c>
      <c r="C233" s="27">
        <v>1175667676</v>
      </c>
      <c r="D233" s="27">
        <v>1050869619</v>
      </c>
      <c r="E233" s="27">
        <v>124798057</v>
      </c>
      <c r="F233" s="27">
        <v>1175423</v>
      </c>
      <c r="G233" s="27">
        <v>1175667676</v>
      </c>
      <c r="H233" s="27">
        <v>1215396725</v>
      </c>
      <c r="I233" s="27">
        <v>-39729049</v>
      </c>
    </row>
    <row r="234" spans="1:9" x14ac:dyDescent="0.45">
      <c r="A234" s="27" t="s">
        <v>115</v>
      </c>
      <c r="B234" s="27">
        <v>19436480</v>
      </c>
      <c r="C234" s="60">
        <v>74213436165</v>
      </c>
      <c r="D234" s="60">
        <v>60892781112</v>
      </c>
      <c r="E234" s="60">
        <v>13320655053</v>
      </c>
      <c r="F234" s="61">
        <v>19436480</v>
      </c>
      <c r="G234" s="60">
        <v>74213436165</v>
      </c>
      <c r="H234" s="60">
        <v>60538569728</v>
      </c>
      <c r="I234" s="27">
        <v>13674866437</v>
      </c>
    </row>
    <row r="235" spans="1:9" ht="18.75" thickBot="1" x14ac:dyDescent="0.5">
      <c r="A235" s="27" t="s">
        <v>2</v>
      </c>
      <c r="B235" s="61"/>
      <c r="C235" s="64">
        <f t="shared" ref="B235:I235" si="0">SUM(C7:C234)</f>
        <v>9261537681513</v>
      </c>
      <c r="D235" s="27">
        <f t="shared" si="0"/>
        <v>7249575552565</v>
      </c>
      <c r="E235" s="64">
        <f t="shared" si="0"/>
        <v>2011962128948</v>
      </c>
      <c r="F235" s="61"/>
      <c r="G235" s="27">
        <f t="shared" si="0"/>
        <v>9261537681513</v>
      </c>
      <c r="H235" s="64">
        <f t="shared" si="0"/>
        <v>7232376082114</v>
      </c>
      <c r="I235" s="58">
        <f t="shared" si="0"/>
        <v>2029161599399</v>
      </c>
    </row>
    <row r="236" spans="1:9" ht="18.75" thickTop="1" x14ac:dyDescent="0.45">
      <c r="D236" s="66"/>
      <c r="F236" s="68"/>
      <c r="G236" s="66"/>
      <c r="I236" s="66"/>
    </row>
  </sheetData>
  <mergeCells count="6">
    <mergeCell ref="B5:E5"/>
    <mergeCell ref="F5:I5"/>
    <mergeCell ref="A4:D4"/>
    <mergeCell ref="A1:I1"/>
    <mergeCell ref="A2:I2"/>
    <mergeCell ref="A3:I3"/>
  </mergeCells>
  <pageMargins left="0.70866141732283472" right="0.70866141732283472" top="0.74803149606299213" bottom="0.74803149606299213" header="0.31496062992125984" footer="0.31496062992125984"/>
  <pageSetup scale="83" fitToHeight="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1</vt:lpstr>
      <vt:lpstr> سهام</vt:lpstr>
      <vt:lpstr>تعدیل قیمت</vt:lpstr>
      <vt:lpstr>سپرده</vt:lpstr>
      <vt:lpstr>درآمدها</vt:lpstr>
      <vt:lpstr>درآمد سرمایه گذاری در سهام </vt:lpstr>
      <vt:lpstr>درآمد سپرده بانکی</vt:lpstr>
      <vt:lpstr>سایر درآمدها</vt:lpstr>
      <vt:lpstr>درآمد سود سهام</vt:lpstr>
      <vt:lpstr>سود  سپرده بانکی</vt:lpstr>
      <vt:lpstr>درآمد ناشی ازفروش</vt:lpstr>
      <vt:lpstr>درآمد ناشی از تغییر قیمت اوراق </vt:lpstr>
      <vt:lpstr>' سهام'!Print_Area</vt:lpstr>
      <vt:lpstr>'تعدیل قیمت'!Print_Area</vt:lpstr>
      <vt:lpstr>'درآمد ناشی از تغییر قیمت اوراق '!Print_Area</vt:lpstr>
      <vt:lpstr>سپرده!Print_Area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Mostafa Langari</cp:lastModifiedBy>
  <cp:lastPrinted>2026-06-23T05:16:05Z</cp:lastPrinted>
  <dcterms:created xsi:type="dcterms:W3CDTF">2017-11-22T14:26:20Z</dcterms:created>
  <dcterms:modified xsi:type="dcterms:W3CDTF">2026-06-23T05:16:33Z</dcterms:modified>
</cp:coreProperties>
</file>