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zaei\پرتفو\پرتفوی1404.02.31\پرتفوی مشترک 1404.02.31\"/>
    </mc:Choice>
  </mc:AlternateContent>
  <xr:revisionPtr revIDLastSave="0" documentId="13_ncr:1_{95DE713F-42C9-4DED-9135-DBE43EFBB7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7" sheetId="8" r:id="rId7"/>
    <sheet name="8" sheetId="9" r:id="rId8"/>
    <sheet name="9" sheetId="10" r:id="rId9"/>
    <sheet name="10" sheetId="11" r:id="rId10"/>
    <sheet name="11" sheetId="12" r:id="rId11"/>
    <sheet name="12" sheetId="13" r:id="rId12"/>
    <sheet name="13" sheetId="14" r:id="rId13"/>
    <sheet name="14" sheetId="15" r:id="rId14"/>
    <sheet name="15" sheetId="16" r:id="rId15"/>
  </sheets>
  <definedNames>
    <definedName name="_xlnm._FilterDatabase" localSheetId="10" hidden="1">'11'!$A$8:$Q$92</definedName>
    <definedName name="_xlnm.Print_Titles" localSheetId="1">'1'!$1:$10</definedName>
    <definedName name="_xlnm.Print_Titles" localSheetId="10">'11'!$1:$8</definedName>
    <definedName name="_xlnm.Print_Titles" localSheetId="11">'12'!$1:$8</definedName>
  </definedNames>
  <calcPr calcId="191029"/>
</workbook>
</file>

<file path=xl/calcChain.xml><?xml version="1.0" encoding="utf-8"?>
<calcChain xmlns="http://schemas.openxmlformats.org/spreadsheetml/2006/main">
  <c r="U89" i="13" l="1"/>
  <c r="W94" i="2"/>
  <c r="E9" i="16"/>
  <c r="C9" i="16"/>
  <c r="G16" i="15"/>
  <c r="I15" i="15" s="1"/>
  <c r="C16" i="15"/>
  <c r="E14" i="15" s="1"/>
  <c r="I14" i="15"/>
  <c r="I10" i="15"/>
  <c r="I9" i="15"/>
  <c r="Q9" i="14"/>
  <c r="O9" i="14"/>
  <c r="M9" i="14"/>
  <c r="K9" i="14"/>
  <c r="I9" i="14"/>
  <c r="G9" i="14"/>
  <c r="E9" i="14"/>
  <c r="C9" i="14"/>
  <c r="S89" i="13"/>
  <c r="Q89" i="13"/>
  <c r="O89" i="13"/>
  <c r="M89" i="13"/>
  <c r="K89" i="13"/>
  <c r="I89" i="13"/>
  <c r="G89" i="13"/>
  <c r="E89" i="13"/>
  <c r="C89" i="13"/>
  <c r="Q92" i="12"/>
  <c r="O92" i="12"/>
  <c r="M92" i="12"/>
  <c r="K92" i="12"/>
  <c r="I92" i="12"/>
  <c r="G92" i="12"/>
  <c r="E92" i="12"/>
  <c r="C92" i="12"/>
  <c r="Q30" i="11"/>
  <c r="O30" i="11"/>
  <c r="M30" i="11"/>
  <c r="K30" i="11"/>
  <c r="I30" i="11"/>
  <c r="G30" i="11"/>
  <c r="E30" i="11"/>
  <c r="C30" i="11"/>
  <c r="M16" i="10"/>
  <c r="K16" i="10"/>
  <c r="I16" i="10"/>
  <c r="G16" i="10"/>
  <c r="E16" i="10"/>
  <c r="C16" i="10"/>
  <c r="S15" i="9"/>
  <c r="Q15" i="9"/>
  <c r="O15" i="9"/>
  <c r="M15" i="9"/>
  <c r="K15" i="9"/>
  <c r="I15" i="9"/>
  <c r="E13" i="8"/>
  <c r="I16" i="6"/>
  <c r="G16" i="6"/>
  <c r="E16" i="6"/>
  <c r="C16" i="6"/>
  <c r="K10" i="5"/>
  <c r="AI10" i="4"/>
  <c r="AG10" i="4"/>
  <c r="AE10" i="4"/>
  <c r="AC10" i="4"/>
  <c r="AA10" i="4"/>
  <c r="Y10" i="4"/>
  <c r="X10" i="4"/>
  <c r="V10" i="4"/>
  <c r="U10" i="4"/>
  <c r="S10" i="4"/>
  <c r="Q10" i="4"/>
  <c r="O10" i="4"/>
  <c r="U94" i="2"/>
  <c r="S94" i="2"/>
  <c r="Q94" i="2"/>
  <c r="O94" i="2"/>
  <c r="M94" i="2"/>
  <c r="L94" i="2"/>
  <c r="J94" i="2"/>
  <c r="I94" i="2"/>
  <c r="G94" i="2"/>
  <c r="E94" i="2"/>
  <c r="C94" i="2"/>
  <c r="I13" i="15" l="1"/>
  <c r="E11" i="15"/>
  <c r="I11" i="15"/>
  <c r="E10" i="15"/>
  <c r="E12" i="15"/>
  <c r="I12" i="15"/>
  <c r="I16" i="15" s="1"/>
  <c r="E9" i="15"/>
  <c r="E13" i="15"/>
  <c r="G13" i="8"/>
  <c r="I13" i="8"/>
  <c r="K16" i="6"/>
  <c r="E15" i="15"/>
  <c r="E16" i="15" l="1"/>
</calcChain>
</file>

<file path=xl/sharedStrings.xml><?xml version="1.0" encoding="utf-8"?>
<sst xmlns="http://schemas.openxmlformats.org/spreadsheetml/2006/main" count="573" uniqueCount="217">
  <si>
    <t>‫مشترک کاریزما</t>
  </si>
  <si>
    <t>‫صورت وضعیت پورتفوی</t>
  </si>
  <si>
    <t>‫برای ماه منتهی به 1404/02/31</t>
  </si>
  <si>
    <t>‫1- سرمایه گذاری ها</t>
  </si>
  <si>
    <t>‫1-1- سرمایه گذاری در سهام و حق تقدم سهام</t>
  </si>
  <si>
    <t>‫1404/01/31</t>
  </si>
  <si>
    <t>‫تغییرات طی دوره</t>
  </si>
  <si>
    <t>‫1404/02/31</t>
  </si>
  <si>
    <t>‫شرکت</t>
  </si>
  <si>
    <t>‫تعداد</t>
  </si>
  <si>
    <t>‫بهای تمام شده</t>
  </si>
  <si>
    <t>‫خالص ارزش فروش</t>
  </si>
  <si>
    <t>‫خرید طی دوره</t>
  </si>
  <si>
    <t>‫فروش طی دوره</t>
  </si>
  <si>
    <t>‫قیمت بازار هر سهم</t>
  </si>
  <si>
    <t>‫درصد به کل دارایی ها</t>
  </si>
  <si>
    <t>‫مبلغ فروش</t>
  </si>
  <si>
    <t>‫آلوميناي ايران</t>
  </si>
  <si>
    <t>‫آنتي بيوتيك سازي ايران</t>
  </si>
  <si>
    <t>‫اخشان خراسان</t>
  </si>
  <si>
    <t>‫ارتباطات سیار</t>
  </si>
  <si>
    <t>‫افست</t>
  </si>
  <si>
    <t>‫الكتريك خودرو</t>
  </si>
  <si>
    <t>‫املاح ايران</t>
  </si>
  <si>
    <t>‫ايران ترانسفو</t>
  </si>
  <si>
    <t>‫ايران ياسا</t>
  </si>
  <si>
    <t>‫ايمن خودرو شرق</t>
  </si>
  <si>
    <t>‫ایرکا پارت صنعت</t>
  </si>
  <si>
    <t>‫بيمه ايران - معين</t>
  </si>
  <si>
    <t>‫بيمه ايران - معين (تقدم)</t>
  </si>
  <si>
    <t>‫تامين ماسه</t>
  </si>
  <si>
    <t>‫تايدواتر</t>
  </si>
  <si>
    <t xml:space="preserve">‫تراكتور سازي </t>
  </si>
  <si>
    <t>‫توزيع دارو پخش</t>
  </si>
  <si>
    <t>‫توسعه معادن كروميت كاوندگان</t>
  </si>
  <si>
    <t>‫توسعه نيشكر و صنايع جانبي</t>
  </si>
  <si>
    <t>‫توليد انرژي برق شمس پاسارگاد</t>
  </si>
  <si>
    <t>‫توليدات پتروشيمي قائد بصير</t>
  </si>
  <si>
    <t>‫توليدي برنا باطري</t>
  </si>
  <si>
    <t>‫توليدي چدن سازان</t>
  </si>
  <si>
    <t>‫حمل و نقل ريلي پارسيان</t>
  </si>
  <si>
    <t>‫خاك چيني</t>
  </si>
  <si>
    <t>‫داروسازي فارابي</t>
  </si>
  <si>
    <t>‫دارويي و نهاده هاي زاگرس دارو</t>
  </si>
  <si>
    <t>‫دريايي سينا</t>
  </si>
  <si>
    <t>‫رادياتور</t>
  </si>
  <si>
    <t>‫ريخته گري تراكتورسازي</t>
  </si>
  <si>
    <t>‫زامياد</t>
  </si>
  <si>
    <t>‫سبحان_دارو</t>
  </si>
  <si>
    <t>‫سرمايه گذاري پايا تدبيرپارسا</t>
  </si>
  <si>
    <t>‫سيمان آبيك</t>
  </si>
  <si>
    <t>‫سيمان اروميه</t>
  </si>
  <si>
    <t>‫سيمان تهران</t>
  </si>
  <si>
    <t>‫سيمان ساوه</t>
  </si>
  <si>
    <t>‫سيمان سپاهان</t>
  </si>
  <si>
    <t>‫سيمان شمال</t>
  </si>
  <si>
    <t>‫شيشه همدان</t>
  </si>
  <si>
    <t>‫شيشه و گاز</t>
  </si>
  <si>
    <t>‫شیشه قزوین</t>
  </si>
  <si>
    <t>‫صبا فولاد خليج فارس</t>
  </si>
  <si>
    <t>‫صنايع ارتباطي آوا</t>
  </si>
  <si>
    <t>‫صنعتي آما</t>
  </si>
  <si>
    <t>‫صنعتي بارز</t>
  </si>
  <si>
    <t>‫صنعتي بارز (تقدم)</t>
  </si>
  <si>
    <t>‫صنعتي سپاهان</t>
  </si>
  <si>
    <t>‫فن آوران</t>
  </si>
  <si>
    <t>‫قاسم ايران</t>
  </si>
  <si>
    <t>‫قند هكمتان</t>
  </si>
  <si>
    <t>‫قند چهار محال</t>
  </si>
  <si>
    <t>‫كاشي الوند</t>
  </si>
  <si>
    <t>‫كاشي وسراميك سينا</t>
  </si>
  <si>
    <t>‫كاشي پارس</t>
  </si>
  <si>
    <t>‫كاني كربن طبس</t>
  </si>
  <si>
    <t>‫كربن</t>
  </si>
  <si>
    <t>‫كشت و دام قيام اصفهان</t>
  </si>
  <si>
    <t>‫كشت و دامداري فكا</t>
  </si>
  <si>
    <t>‫كوير تاير</t>
  </si>
  <si>
    <t>‫لاستيك سهند</t>
  </si>
  <si>
    <t>‫ليزينگ اقتصاد نوين</t>
  </si>
  <si>
    <t>‫مجتمع صنايع لاستيك يزد</t>
  </si>
  <si>
    <t>‫مديريت نيروگاهي ايرانيان مپنا</t>
  </si>
  <si>
    <t>‫ملي شيمي كشاورز</t>
  </si>
  <si>
    <t>‫مهرام</t>
  </si>
  <si>
    <t>‫مهرمام ميهن</t>
  </si>
  <si>
    <t>‫موتورسازان</t>
  </si>
  <si>
    <t>‫موتوژن</t>
  </si>
  <si>
    <t>‫مگسال</t>
  </si>
  <si>
    <t>‫نساجي هديه البرز مشهد</t>
  </si>
  <si>
    <t>‫نفت اصفهان</t>
  </si>
  <si>
    <t>‫نفت بندر عباس</t>
  </si>
  <si>
    <t>‫نورد قطعات</t>
  </si>
  <si>
    <t>‫نيروترانس</t>
  </si>
  <si>
    <t>‫پارس فولاد سبزوار</t>
  </si>
  <si>
    <t>‫پاکدیس</t>
  </si>
  <si>
    <t>‫پتروشيمی پردیس</t>
  </si>
  <si>
    <t>‫پخش هجرت</t>
  </si>
  <si>
    <t>‫پرتو بار فرابر خليج فارس</t>
  </si>
  <si>
    <t>‫چادرملو</t>
  </si>
  <si>
    <t>‫چادرملو (تقدم)</t>
  </si>
  <si>
    <t>‫گروه انتخاب الكترونيك آرمان</t>
  </si>
  <si>
    <t>‫جمع</t>
  </si>
  <si>
    <t>‫اطلاعات آماری مرتبط با اوراق اختیار فروش تبعی خریداری شده توسط صندوق سرمایه گذاری:</t>
  </si>
  <si>
    <t>‫نام سهام</t>
  </si>
  <si>
    <t>‫تعداد اوراق تبعی</t>
  </si>
  <si>
    <t>‫قیمت اعمال</t>
  </si>
  <si>
    <t>‫تاریخ اعمال</t>
  </si>
  <si>
    <t>‫نرخ سود موثر</t>
  </si>
  <si>
    <t>‫اختيارف ت محتشم-17550-4/11/08</t>
  </si>
  <si>
    <t>‫1404/11/08</t>
  </si>
  <si>
    <t>‫اطلاعات آماری مرتبط با موقعیت‌های اخذ شده در اوراق اختیار معامله توسط صندوق سرمایه گذاری:</t>
  </si>
  <si>
    <t>‫نوع اختیار</t>
  </si>
  <si>
    <t>‫نوع موقعیت</t>
  </si>
  <si>
    <t>‫تعداد اوراق</t>
  </si>
  <si>
    <t>‫اطلاعات آماری مرتبط با قراردادهای آتی توسط صندوق سرمایه گذاری:</t>
  </si>
  <si>
    <t>‫2-1- سرمایه گذاری در اوراق بهادار با درآمد ثابت یا علی الحساب</t>
  </si>
  <si>
    <t>‫اطلاعات اوراق بهادار با درآمد ثابت</t>
  </si>
  <si>
    <t>‫نام اوراق</t>
  </si>
  <si>
    <t>‫دارای مجوز از سازمان</t>
  </si>
  <si>
    <t>‫پذیرفته شده در بورس یا فرابورس</t>
  </si>
  <si>
    <t>‫تاریخ انتشار اوراق</t>
  </si>
  <si>
    <t>‫تاریخ سررسید</t>
  </si>
  <si>
    <t>‫نرخ سود اسمی</t>
  </si>
  <si>
    <t>‫نرخ سود مؤثر</t>
  </si>
  <si>
    <t>‫قیمت بازار هر ورقه</t>
  </si>
  <si>
    <t>‫اوراق بهاداری که ارزش آن‌ها در تاریخ گزارش تعدیل شده</t>
  </si>
  <si>
    <t>‫(بر اساس دستورالعمل نحوه تعیین قیمت خرید و فروش اوراق بهادار در صندوق‌های سرمایه گذاری)</t>
  </si>
  <si>
    <t>‫نام اوراق بهادار</t>
  </si>
  <si>
    <t>‫قیمت پایانی</t>
  </si>
  <si>
    <t>‫قیمت تعدیل شده</t>
  </si>
  <si>
    <t>‫درصد تعدیل</t>
  </si>
  <si>
    <t>‫خالص ارزش فروش تعدیل شده</t>
  </si>
  <si>
    <t>‫دلیل تعدیل</t>
  </si>
  <si>
    <t>‫سپرده‌های بانکی</t>
  </si>
  <si>
    <t>‫مبلغ</t>
  </si>
  <si>
    <t>‫افزایش</t>
  </si>
  <si>
    <t>‫کاهش</t>
  </si>
  <si>
    <t>‫سپرده بانکی نزد بانک آينده</t>
  </si>
  <si>
    <t>‫سپرده بانکی نزد بانک خاورميانه</t>
  </si>
  <si>
    <t>‫سپرده بانکی نزد بانک دي</t>
  </si>
  <si>
    <t>‫سپرده بانکی نزد بانک سامان</t>
  </si>
  <si>
    <t>‫سپرده بانکی نزد بانک سپه</t>
  </si>
  <si>
    <t>‫سپرده بانکی نزد بانک ملت</t>
  </si>
  <si>
    <t>‫سپرده بانکی نزد بانک پاسارگاد</t>
  </si>
  <si>
    <t>‫صورت وضعیت درآمدها</t>
  </si>
  <si>
    <t>‫2- درآمد حاصل از سرمایه گذاری ها</t>
  </si>
  <si>
    <t>‫شرح</t>
  </si>
  <si>
    <t>‫یادداشت</t>
  </si>
  <si>
    <t>‫درصد از کل درآمدها</t>
  </si>
  <si>
    <t>‫درصد از کل دارایی ها</t>
  </si>
  <si>
    <t>‫درآمد حاصل از سرمایه گذاری در سهام و حق تقدم سهام</t>
  </si>
  <si>
    <t>‫درآمد حاصل از سرمایه گذاری در اوراق بهادار با درآمد ثابت</t>
  </si>
  <si>
    <t>‫درآمد حاصل از سرمایه گذاری در سپرده بانکی و گواهی سپرده</t>
  </si>
  <si>
    <t>‫سایر درآمدها</t>
  </si>
  <si>
    <t>‫درآمد سود سهام</t>
  </si>
  <si>
    <t>‫اطلاعات مجمع</t>
  </si>
  <si>
    <t>‫طی دوره</t>
  </si>
  <si>
    <t>‫تاریخ تشکیل مجمع</t>
  </si>
  <si>
    <t>‫تعداد سهام متعلقه در زمان مجمع</t>
  </si>
  <si>
    <t>‫سود متعلق به هر سهم</t>
  </si>
  <si>
    <t>‫جمع درآمد سود سهام</t>
  </si>
  <si>
    <t>‫هزینه تنزیل</t>
  </si>
  <si>
    <t>‫خالص درآمد سود سهام</t>
  </si>
  <si>
    <t>‫1404/02/23</t>
  </si>
  <si>
    <t>‫1404/02/13</t>
  </si>
  <si>
    <t>‫1404/02/30</t>
  </si>
  <si>
    <t>‫1404/02/20</t>
  </si>
  <si>
    <t>‫1404/02/15</t>
  </si>
  <si>
    <t>‫سود اوراق بهادار با درآمد ثابت و سپرده بانکی</t>
  </si>
  <si>
    <t>‫درآمد سود</t>
  </si>
  <si>
    <t>‫خالص درآمد</t>
  </si>
  <si>
    <t>‫سود(زیان) حاصل از فروش اوراق بهادار</t>
  </si>
  <si>
    <t>‫ارزش دفتری</t>
  </si>
  <si>
    <t>‫سود و زیان ناشی از فروش</t>
  </si>
  <si>
    <t>‫ارزش دفتری برابر است با میانگین موزون خالص ارزش فروش هر سهم/ورقه در ابتدای دوره با خرید طی دوره ضربدر تعداد در پایان دوره</t>
  </si>
  <si>
    <t>‫درآمد ناشی از تغییر قیمت اوراق بهادار</t>
  </si>
  <si>
    <t>‫سود و زیان ناشی از تغییر قیمت</t>
  </si>
  <si>
    <t>‫تراكتور سازي</t>
  </si>
  <si>
    <t>‫سبحان_دارو (تقدم)</t>
  </si>
  <si>
    <t>‫1-2- درآمد حاصل از سرمایه گذاری در سهام و حق تقدم سهام:</t>
  </si>
  <si>
    <t>‫سهام</t>
  </si>
  <si>
    <t>‫درآمد تغییر ارزش</t>
  </si>
  <si>
    <t>‫درآمد فروش</t>
  </si>
  <si>
    <t>‫جمع مبلغ</t>
  </si>
  <si>
    <t>‫درصد از کل درآمد ها</t>
  </si>
  <si>
    <t>‫ارتباطات سيار</t>
  </si>
  <si>
    <t>‫ايركا پارت صنعت</t>
  </si>
  <si>
    <t>‫بيمه اتكايي ايران معين</t>
  </si>
  <si>
    <t>‫شيشه قزوين</t>
  </si>
  <si>
    <t>‫پاكديس</t>
  </si>
  <si>
    <t>‫پتروشيمي پرديس</t>
  </si>
  <si>
    <t>‫2-2- درآمد حاصل از سرمایه گذاری در اوراق بهادار با درآمد ثابت:</t>
  </si>
  <si>
    <t>‫درآمد سود اوراق</t>
  </si>
  <si>
    <t>‫3-2- درآمد حاصل از سرمایه گذاری در سپرده بانکی و گواهی سپرده:</t>
  </si>
  <si>
    <t>‫نام سپرده بانکی</t>
  </si>
  <si>
    <t>‫نام سپرده</t>
  </si>
  <si>
    <t>‫سود سپرده بانکی و گواهی سپرده</t>
  </si>
  <si>
    <t>‫درصد سود به میانگین سپرده</t>
  </si>
  <si>
    <t>‫4-2- سایر درآمدها:</t>
  </si>
  <si>
    <t>صندوق سرمایه گذاری  مشترک کاریزما</t>
  </si>
  <si>
    <t>در راستای اجرای ابلاغیه 12020093 مورخ 1396/09/05 و ابلاغیه 12020268 مورخ 1402/12/01 سازمان بورس و اوراق بهادار</t>
  </si>
  <si>
    <t>گزارش افشای پرتفوی ماهانه
برای دوره منتهی به 31 اردیبهشت 1404</t>
  </si>
  <si>
    <t>‫%22</t>
  </si>
  <si>
    <t>‫3-1- سرمایه گذاری در  سپرده بانکی و گواهی سپرده بانکی</t>
  </si>
  <si>
    <t>1-2</t>
  </si>
  <si>
    <t>درآمد حاصل از سرمایه گذاری در واحدهای صندوق های سرمایه گذاری</t>
  </si>
  <si>
    <t>2-2</t>
  </si>
  <si>
    <t>3-2</t>
  </si>
  <si>
    <t>4-2</t>
  </si>
  <si>
    <t>5-2</t>
  </si>
  <si>
    <t>‫سپرده بانکی نزد بانک دی</t>
  </si>
  <si>
    <t>‫سپرده بانکی آينده</t>
  </si>
  <si>
    <t>‫سپرده بانکی خاورميانه</t>
  </si>
  <si>
    <t>‫سپرده بانکی  سامان</t>
  </si>
  <si>
    <t>‫سپرده بانکی دي</t>
  </si>
  <si>
    <t>‫سپرده بانکی سپه</t>
  </si>
  <si>
    <t>‫سپرده بانکی ملت</t>
  </si>
  <si>
    <t>‫سپرده بانکی پاسارگاد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</si>
</sst>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indexed="8"/>
      <name val="Calibri"/>
      <family val="2"/>
      <scheme val="minor"/>
    </font>
    <font>
      <sz val="11"/>
      <name val="Calibri"/>
      <family val="2"/>
    </font>
    <font>
      <sz val="11"/>
      <name val="B Nazanin"/>
      <charset val="178"/>
    </font>
    <font>
      <b/>
      <sz val="48"/>
      <color rgb="FFFF0000"/>
      <name val="B Nazanin"/>
      <charset val="178"/>
    </font>
    <font>
      <b/>
      <sz val="24"/>
      <color rgb="FFFF0000"/>
      <name val="B Nazanin"/>
      <charset val="178"/>
    </font>
    <font>
      <b/>
      <sz val="24"/>
      <name val="B Nazanin"/>
      <charset val="178"/>
    </font>
    <font>
      <b/>
      <sz val="18"/>
      <name val="B Nazanin"/>
      <charset val="178"/>
    </font>
    <font>
      <b/>
      <sz val="15"/>
      <name val="B Nazanin"/>
      <charset val="178"/>
    </font>
    <font>
      <b/>
      <sz val="14"/>
      <name val="B Nazanin"/>
      <charset val="178"/>
    </font>
    <font>
      <sz val="22"/>
      <color rgb="FFFF0000"/>
      <name val="B Nazanin"/>
      <charset val="178"/>
    </font>
    <font>
      <b/>
      <u/>
      <sz val="16"/>
      <name val="B Nazanin"/>
      <charset val="178"/>
    </font>
    <font>
      <sz val="11"/>
      <color indexed="8"/>
      <name val="B Nazanin"/>
      <charset val="178"/>
    </font>
    <font>
      <b/>
      <sz val="12"/>
      <name val="B Nazanin"/>
      <charset val="178"/>
    </font>
    <font>
      <sz val="12"/>
      <name val="B Nazanin"/>
      <charset val="178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theme="8" tint="-0.49998474074526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2" borderId="6"/>
  </cellStyleXfs>
  <cellXfs count="43">
    <xf numFmtId="0" fontId="0" fillId="0" borderId="0" xfId="0"/>
    <xf numFmtId="0" fontId="2" fillId="3" borderId="6" xfId="1" applyFont="1" applyFill="1"/>
    <xf numFmtId="0" fontId="3" fillId="3" borderId="6" xfId="1" applyFont="1" applyFill="1" applyAlignment="1">
      <alignment horizontal="center" vertical="center" wrapText="1"/>
    </xf>
    <xf numFmtId="0" fontId="4" fillId="3" borderId="6" xfId="1" applyFont="1" applyFill="1" applyAlignment="1">
      <alignment horizontal="center" vertical="center" wrapText="1"/>
    </xf>
    <xf numFmtId="0" fontId="5" fillId="3" borderId="6" xfId="1" applyFont="1" applyFill="1" applyAlignment="1">
      <alignment horizontal="center" vertical="center" wrapText="1"/>
    </xf>
    <xf numFmtId="0" fontId="6" fillId="3" borderId="6" xfId="1" applyFont="1" applyFill="1" applyAlignment="1">
      <alignment horizontal="center"/>
    </xf>
    <xf numFmtId="0" fontId="7" fillId="3" borderId="6" xfId="1" applyFont="1" applyFill="1" applyAlignment="1">
      <alignment horizontal="center"/>
    </xf>
    <xf numFmtId="0" fontId="7" fillId="3" borderId="6" xfId="1" applyFont="1" applyFill="1"/>
    <xf numFmtId="0" fontId="8" fillId="3" borderId="6" xfId="1" applyFont="1" applyFill="1" applyAlignment="1">
      <alignment horizontal="center"/>
    </xf>
    <xf numFmtId="0" fontId="9" fillId="3" borderId="6" xfId="1" applyFont="1" applyFill="1" applyAlignment="1">
      <alignment horizontal="center" vertical="center" wrapText="1"/>
    </xf>
    <xf numFmtId="37" fontId="10" fillId="0" borderId="0" xfId="0" applyNumberFormat="1" applyFont="1" applyAlignment="1">
      <alignment horizontal="center" vertical="center"/>
    </xf>
    <xf numFmtId="0" fontId="11" fillId="0" borderId="0" xfId="0" applyFont="1"/>
    <xf numFmtId="0" fontId="11" fillId="0" borderId="0" xfId="0" applyFont="1"/>
    <xf numFmtId="37" fontId="12" fillId="0" borderId="0" xfId="0" applyNumberFormat="1" applyFont="1" applyAlignment="1">
      <alignment horizontal="right" vertical="center"/>
    </xf>
    <xf numFmtId="37" fontId="12" fillId="0" borderId="1" xfId="0" applyNumberFormat="1" applyFont="1" applyBorder="1" applyAlignment="1">
      <alignment horizontal="center" vertical="center"/>
    </xf>
    <xf numFmtId="0" fontId="11" fillId="2" borderId="2" xfId="0" applyFont="1" applyFill="1" applyBorder="1"/>
    <xf numFmtId="0" fontId="13" fillId="0" borderId="0" xfId="0" applyFont="1" applyAlignment="1">
      <alignment horizontal="center" vertical="center"/>
    </xf>
    <xf numFmtId="37" fontId="13" fillId="0" borderId="0" xfId="0" applyNumberFormat="1" applyFont="1" applyAlignment="1">
      <alignment horizontal="center" vertical="center" wrapText="1"/>
    </xf>
    <xf numFmtId="37" fontId="13" fillId="0" borderId="1" xfId="0" applyNumberFormat="1" applyFont="1" applyBorder="1" applyAlignment="1">
      <alignment horizontal="center" vertical="center"/>
    </xf>
    <xf numFmtId="37" fontId="13" fillId="0" borderId="1" xfId="0" applyNumberFormat="1" applyFont="1" applyBorder="1" applyAlignment="1">
      <alignment horizontal="center" vertical="center"/>
    </xf>
    <xf numFmtId="37" fontId="13" fillId="0" borderId="0" xfId="0" applyNumberFormat="1" applyFont="1" applyAlignment="1">
      <alignment horizontal="right" vertical="center" wrapText="1"/>
    </xf>
    <xf numFmtId="37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0" fontId="13" fillId="0" borderId="0" xfId="0" applyNumberFormat="1" applyFont="1" applyAlignment="1">
      <alignment horizontal="center" vertical="center"/>
    </xf>
    <xf numFmtId="37" fontId="13" fillId="0" borderId="3" xfId="0" applyNumberFormat="1" applyFont="1" applyBorder="1" applyAlignment="1">
      <alignment horizontal="center" vertical="center"/>
    </xf>
    <xf numFmtId="10" fontId="13" fillId="0" borderId="3" xfId="0" applyNumberFormat="1" applyFont="1" applyBorder="1" applyAlignment="1">
      <alignment horizontal="center" vertical="center"/>
    </xf>
    <xf numFmtId="37" fontId="13" fillId="0" borderId="4" xfId="0" applyNumberFormat="1" applyFont="1" applyBorder="1" applyAlignment="1">
      <alignment horizontal="center" vertical="center"/>
    </xf>
    <xf numFmtId="37" fontId="12" fillId="0" borderId="1" xfId="0" applyNumberFormat="1" applyFont="1" applyBorder="1" applyAlignment="1">
      <alignment horizontal="center" vertical="center"/>
    </xf>
    <xf numFmtId="37" fontId="12" fillId="0" borderId="1" xfId="0" applyNumberFormat="1" applyFont="1" applyBorder="1" applyAlignment="1">
      <alignment horizontal="center" vertical="center" wrapText="1"/>
    </xf>
    <xf numFmtId="37" fontId="13" fillId="0" borderId="0" xfId="0" applyNumberFormat="1" applyFont="1" applyAlignment="1">
      <alignment horizontal="center" vertical="center" wrapText="1"/>
    </xf>
    <xf numFmtId="37" fontId="12" fillId="0" borderId="0" xfId="0" applyNumberFormat="1" applyFont="1" applyAlignment="1">
      <alignment horizontal="center" vertical="center"/>
    </xf>
    <xf numFmtId="37" fontId="13" fillId="0" borderId="5" xfId="0" applyNumberFormat="1" applyFont="1" applyBorder="1" applyAlignment="1">
      <alignment horizontal="center" vertical="center"/>
    </xf>
    <xf numFmtId="0" fontId="11" fillId="2" borderId="7" xfId="0" applyFont="1" applyFill="1" applyBorder="1"/>
    <xf numFmtId="0" fontId="11" fillId="2" borderId="8" xfId="0" applyFont="1" applyFill="1" applyBorder="1"/>
    <xf numFmtId="37" fontId="12" fillId="0" borderId="0" xfId="0" applyNumberFormat="1" applyFont="1" applyAlignment="1">
      <alignment horizontal="right" vertical="center"/>
    </xf>
    <xf numFmtId="37" fontId="13" fillId="0" borderId="0" xfId="0" applyNumberFormat="1" applyFont="1" applyAlignment="1">
      <alignment horizontal="center" vertical="center"/>
    </xf>
    <xf numFmtId="3" fontId="11" fillId="0" borderId="0" xfId="0" applyNumberFormat="1" applyFont="1"/>
    <xf numFmtId="37" fontId="0" fillId="0" borderId="4" xfId="0" applyNumberFormat="1" applyFont="1" applyBorder="1" applyAlignment="1">
      <alignment horizontal="center" vertical="center"/>
    </xf>
    <xf numFmtId="37" fontId="13" fillId="0" borderId="0" xfId="0" applyNumberFormat="1" applyFont="1" applyFill="1" applyAlignment="1">
      <alignment horizontal="right" vertical="center" wrapText="1"/>
    </xf>
    <xf numFmtId="0" fontId="11" fillId="0" borderId="0" xfId="0" applyFont="1" applyFill="1"/>
    <xf numFmtId="37" fontId="13" fillId="0" borderId="0" xfId="0" applyNumberFormat="1" applyFont="1" applyFill="1" applyAlignment="1">
      <alignment horizontal="center" vertical="center"/>
    </xf>
    <xf numFmtId="37" fontId="0" fillId="0" borderId="0" xfId="0" applyNumberFormat="1" applyFont="1" applyAlignment="1">
      <alignment horizontal="center" vertical="center" wrapText="1"/>
    </xf>
    <xf numFmtId="37" fontId="11" fillId="0" borderId="0" xfId="0" applyNumberFormat="1" applyFont="1" applyAlignment="1">
      <alignment horizontal="center" vertical="center" wrapText="1"/>
    </xf>
  </cellXfs>
  <cellStyles count="2">
    <cellStyle name="Normal" xfId="0" builtinId="0"/>
    <cellStyle name="Normal 2" xfId="1" xr:uid="{BB4B4DB5-3CF6-47A1-B971-11D7AA6B14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2"/>
  <sheetViews>
    <sheetView rightToLeft="1" tabSelected="1" topLeftCell="A7" workbookViewId="0">
      <selection sqref="A1:XFD1048576"/>
    </sheetView>
  </sheetViews>
  <sheetFormatPr defaultRowHeight="15" x14ac:dyDescent="0.25"/>
  <sheetData>
    <row r="1" spans="1:11" ht="18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8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8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" t="s">
        <v>198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46.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3"/>
      <c r="B10" s="4"/>
      <c r="C10" s="4"/>
      <c r="D10" s="4"/>
      <c r="E10" s="4"/>
      <c r="F10" s="4"/>
      <c r="G10" s="4"/>
      <c r="H10" s="4"/>
      <c r="I10" s="4"/>
      <c r="J10" s="4"/>
      <c r="K10" s="3"/>
    </row>
    <row r="11" spans="1:1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30" x14ac:dyDescent="0.75">
      <c r="A13" s="1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ht="25.5" x14ac:dyDescent="0.65">
      <c r="A14" s="1"/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1" ht="15" customHeight="1" x14ac:dyDescent="0.25">
      <c r="A15" s="9" t="s">
        <v>200</v>
      </c>
      <c r="B15" s="9"/>
      <c r="C15" s="9"/>
      <c r="D15" s="9"/>
      <c r="E15" s="9"/>
      <c r="F15" s="9"/>
      <c r="G15" s="9"/>
      <c r="H15" s="9"/>
      <c r="I15" s="9"/>
      <c r="J15" s="9"/>
      <c r="K15" s="9"/>
    </row>
    <row r="16" spans="1:11" ht="15" customHeight="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 ht="15" customHeight="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1" ht="15" customHeight="1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 ht="15" customHeight="1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1" ht="15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 ht="18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39.950000000000003" customHeight="1" x14ac:dyDescent="0.65">
      <c r="A22" s="1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spans="1:11" ht="39.950000000000003" customHeight="1" x14ac:dyDescent="0.6">
      <c r="A23" s="1"/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ht="39.950000000000003" customHeight="1" x14ac:dyDescent="0.65">
      <c r="A24" s="1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spans="1:11" x14ac:dyDescent="0.25">
      <c r="A25" s="9" t="s">
        <v>199</v>
      </c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1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</row>
    <row r="28" spans="1:11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</row>
    <row r="30" spans="1:11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</row>
    <row r="32" spans="1:11" ht="18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</sheetData>
  <mergeCells count="7">
    <mergeCell ref="A25:K31"/>
    <mergeCell ref="A4:K9"/>
    <mergeCell ref="A10:J12"/>
    <mergeCell ref="K10:K12"/>
    <mergeCell ref="B13:K13"/>
    <mergeCell ref="A15:K20"/>
    <mergeCell ref="B23:K23"/>
  </mergeCells>
  <pageMargins left="0.7" right="0.7" top="0.75" bottom="0.75" header="0.3" footer="0.3"/>
  <pageSetup paperSize="9" scale="8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99"/>
  <sheetViews>
    <sheetView rightToLeft="1" view="pageBreakPreview" zoomScale="59" zoomScaleNormal="100" zoomScaleSheetLayoutView="59" workbookViewId="0">
      <selection sqref="A1:XFD1048576"/>
    </sheetView>
  </sheetViews>
  <sheetFormatPr defaultRowHeight="18" x14ac:dyDescent="0.45"/>
  <cols>
    <col min="1" max="1" width="17.5703125" style="12" bestFit="1" customWidth="1"/>
    <col min="2" max="2" width="1.42578125" style="12" customWidth="1"/>
    <col min="3" max="3" width="13.42578125" style="12" bestFit="1" customWidth="1"/>
    <col min="4" max="4" width="1.42578125" style="12" customWidth="1"/>
    <col min="5" max="5" width="19.7109375" style="12" bestFit="1" customWidth="1"/>
    <col min="6" max="6" width="1.42578125" style="12" customWidth="1"/>
    <col min="7" max="7" width="19.85546875" style="12" bestFit="1" customWidth="1"/>
    <col min="8" max="8" width="1.42578125" style="12" customWidth="1"/>
    <col min="9" max="9" width="11.5703125" style="12" bestFit="1" customWidth="1"/>
    <col min="10" max="10" width="16.85546875" style="12" bestFit="1" customWidth="1"/>
    <col min="11" max="11" width="1.42578125" style="12" customWidth="1"/>
    <col min="12" max="12" width="12.28515625" style="12" bestFit="1" customWidth="1"/>
    <col min="13" max="13" width="18" style="12" bestFit="1" customWidth="1"/>
    <col min="14" max="14" width="1.42578125" style="12" customWidth="1"/>
    <col min="15" max="15" width="13.7109375" style="12" bestFit="1" customWidth="1"/>
    <col min="16" max="16" width="1.42578125" style="12" customWidth="1"/>
    <col min="17" max="17" width="14.85546875" style="12" bestFit="1" customWidth="1"/>
    <col min="18" max="18" width="1.42578125" style="12" customWidth="1"/>
    <col min="19" max="19" width="19.140625" style="12" bestFit="1" customWidth="1"/>
    <col min="20" max="20" width="1.42578125" style="12" customWidth="1"/>
    <col min="21" max="21" width="19.7109375" style="12" bestFit="1" customWidth="1"/>
    <col min="22" max="22" width="1.42578125" style="12" customWidth="1"/>
    <col min="23" max="23" width="13.7109375" style="12" customWidth="1"/>
    <col min="24" max="16384" width="9.140625" style="12"/>
  </cols>
  <sheetData>
    <row r="1" spans="1:24" ht="20.100000000000001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4" ht="20.100000000000001" customHeight="1" x14ac:dyDescent="0.4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 spans="1:24" ht="20.100000000000001" customHeight="1" x14ac:dyDescent="0.4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</row>
    <row r="5" spans="1:24" ht="21" x14ac:dyDescent="0.45">
      <c r="A5" s="13" t="s">
        <v>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</row>
    <row r="6" spans="1:24" ht="21" x14ac:dyDescent="0.45">
      <c r="A6" s="13" t="s">
        <v>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</row>
    <row r="8" spans="1:24" ht="21" x14ac:dyDescent="0.45">
      <c r="C8" s="14" t="s">
        <v>5</v>
      </c>
      <c r="D8" s="15"/>
      <c r="E8" s="15"/>
      <c r="F8" s="15"/>
      <c r="G8" s="15"/>
      <c r="I8" s="14" t="s">
        <v>6</v>
      </c>
      <c r="J8" s="15"/>
      <c r="K8" s="15"/>
      <c r="L8" s="15"/>
      <c r="M8" s="15"/>
      <c r="O8" s="14" t="s">
        <v>7</v>
      </c>
      <c r="P8" s="15"/>
      <c r="Q8" s="15"/>
      <c r="R8" s="15"/>
      <c r="S8" s="15"/>
      <c r="T8" s="15"/>
      <c r="U8" s="15"/>
      <c r="V8" s="15"/>
      <c r="W8" s="15"/>
    </row>
    <row r="9" spans="1:24" ht="18.75" x14ac:dyDescent="0.45">
      <c r="A9" s="16" t="s">
        <v>8</v>
      </c>
      <c r="C9" s="16" t="s">
        <v>9</v>
      </c>
      <c r="E9" s="16" t="s">
        <v>10</v>
      </c>
      <c r="G9" s="16" t="s">
        <v>11</v>
      </c>
      <c r="I9" s="16" t="s">
        <v>12</v>
      </c>
      <c r="J9" s="11"/>
      <c r="L9" s="16" t="s">
        <v>13</v>
      </c>
      <c r="M9" s="11"/>
      <c r="O9" s="16" t="s">
        <v>9</v>
      </c>
      <c r="Q9" s="17" t="s">
        <v>14</v>
      </c>
      <c r="S9" s="16" t="s">
        <v>10</v>
      </c>
      <c r="U9" s="16" t="s">
        <v>11</v>
      </c>
      <c r="W9" s="17" t="s">
        <v>15</v>
      </c>
    </row>
    <row r="10" spans="1:24" ht="18.75" x14ac:dyDescent="0.45">
      <c r="A10" s="18"/>
      <c r="C10" s="18"/>
      <c r="E10" s="18"/>
      <c r="G10" s="18"/>
      <c r="I10" s="19" t="s">
        <v>9</v>
      </c>
      <c r="J10" s="19" t="s">
        <v>10</v>
      </c>
      <c r="L10" s="19" t="s">
        <v>9</v>
      </c>
      <c r="M10" s="19" t="s">
        <v>16</v>
      </c>
      <c r="O10" s="18"/>
      <c r="Q10" s="18"/>
      <c r="S10" s="18"/>
      <c r="U10" s="18"/>
      <c r="W10" s="18"/>
    </row>
    <row r="11" spans="1:24" ht="18.75" x14ac:dyDescent="0.45">
      <c r="A11" s="20" t="s">
        <v>17</v>
      </c>
      <c r="C11" s="21">
        <v>75</v>
      </c>
      <c r="E11" s="21">
        <v>4112010</v>
      </c>
      <c r="G11" s="21">
        <v>6258787</v>
      </c>
      <c r="N11" s="22"/>
      <c r="O11" s="21">
        <v>75</v>
      </c>
      <c r="Q11" s="21">
        <v>85040</v>
      </c>
      <c r="S11" s="21">
        <v>4112010</v>
      </c>
      <c r="U11" s="21">
        <v>6340051</v>
      </c>
      <c r="W11" s="23">
        <v>1.868412475729426E-6</v>
      </c>
      <c r="X11" s="36"/>
    </row>
    <row r="12" spans="1:24" ht="37.5" x14ac:dyDescent="0.45">
      <c r="A12" s="20" t="s">
        <v>18</v>
      </c>
      <c r="C12" s="21">
        <v>50000</v>
      </c>
      <c r="E12" s="21">
        <v>1000908000</v>
      </c>
      <c r="G12" s="21">
        <v>1401610500</v>
      </c>
      <c r="N12" s="22"/>
      <c r="O12" s="21">
        <v>50000</v>
      </c>
      <c r="Q12" s="21">
        <v>28200</v>
      </c>
      <c r="S12" s="21">
        <v>1000908000</v>
      </c>
      <c r="U12" s="21">
        <v>1401610500</v>
      </c>
      <c r="W12" s="23">
        <v>4.1305449188237743E-4</v>
      </c>
    </row>
    <row r="13" spans="1:24" ht="18.75" x14ac:dyDescent="0.45">
      <c r="A13" s="20" t="s">
        <v>19</v>
      </c>
      <c r="C13" s="21">
        <v>245000</v>
      </c>
      <c r="E13" s="21">
        <v>1829159370</v>
      </c>
      <c r="G13" s="21">
        <v>1904500395</v>
      </c>
      <c r="N13" s="22"/>
      <c r="O13" s="21">
        <v>245000</v>
      </c>
      <c r="Q13" s="21">
        <v>8940</v>
      </c>
      <c r="S13" s="21">
        <v>1829159370</v>
      </c>
      <c r="U13" s="21">
        <v>2177267715</v>
      </c>
      <c r="W13" s="23">
        <v>6.4164060536877395E-4</v>
      </c>
    </row>
    <row r="14" spans="1:24" ht="18.75" x14ac:dyDescent="0.45">
      <c r="A14" s="20" t="s">
        <v>20</v>
      </c>
      <c r="C14" s="21">
        <v>6847087</v>
      </c>
      <c r="E14" s="21">
        <v>25563268752</v>
      </c>
      <c r="G14" s="21">
        <v>31397677938</v>
      </c>
      <c r="I14" s="21">
        <v>0</v>
      </c>
      <c r="J14" s="21">
        <v>0</v>
      </c>
      <c r="L14" s="21">
        <v>33234</v>
      </c>
      <c r="M14" s="21">
        <v>166191521</v>
      </c>
      <c r="O14" s="21">
        <v>6813853</v>
      </c>
      <c r="Q14" s="21">
        <v>5350</v>
      </c>
      <c r="S14" s="21">
        <v>25439191217</v>
      </c>
      <c r="U14" s="21">
        <v>36237211574</v>
      </c>
      <c r="W14" s="23">
        <v>1.0679103084582184E-2</v>
      </c>
    </row>
    <row r="15" spans="1:24" ht="18.75" x14ac:dyDescent="0.45">
      <c r="A15" s="20" t="s">
        <v>21</v>
      </c>
      <c r="C15" s="21">
        <v>1895580</v>
      </c>
      <c r="E15" s="21">
        <v>18383781995</v>
      </c>
      <c r="G15" s="21">
        <v>17467473042</v>
      </c>
      <c r="N15" s="22"/>
      <c r="O15" s="21">
        <v>1895580</v>
      </c>
      <c r="Q15" s="21">
        <v>10340</v>
      </c>
      <c r="S15" s="21">
        <v>18383781995</v>
      </c>
      <c r="U15" s="21">
        <v>19483675432</v>
      </c>
      <c r="W15" s="23">
        <v>5.7418374473977756E-3</v>
      </c>
    </row>
    <row r="16" spans="1:24" ht="18.75" x14ac:dyDescent="0.45">
      <c r="A16" s="20" t="s">
        <v>22</v>
      </c>
      <c r="C16" s="21">
        <v>15134677</v>
      </c>
      <c r="E16" s="21">
        <v>59852415985</v>
      </c>
      <c r="G16" s="21">
        <v>53333198007</v>
      </c>
      <c r="I16" s="21">
        <v>4000000</v>
      </c>
      <c r="J16" s="21">
        <v>15617686733</v>
      </c>
      <c r="L16" s="21">
        <v>0</v>
      </c>
      <c r="M16" s="21">
        <v>0</v>
      </c>
      <c r="O16" s="21">
        <v>19134677</v>
      </c>
      <c r="Q16" s="21">
        <v>3935</v>
      </c>
      <c r="S16" s="21">
        <v>75470102718</v>
      </c>
      <c r="U16" s="21">
        <v>74846949019</v>
      </c>
      <c r="W16" s="23">
        <v>2.2057389336045393E-2</v>
      </c>
    </row>
    <row r="17" spans="1:23" ht="18.75" x14ac:dyDescent="0.45">
      <c r="A17" s="20" t="s">
        <v>23</v>
      </c>
      <c r="C17" s="21">
        <v>2391471</v>
      </c>
      <c r="E17" s="21">
        <v>33153448591</v>
      </c>
      <c r="G17" s="21">
        <v>38986764660</v>
      </c>
      <c r="I17" s="21">
        <v>0</v>
      </c>
      <c r="J17" s="21">
        <v>0</v>
      </c>
      <c r="L17" s="21">
        <v>100000</v>
      </c>
      <c r="M17" s="21">
        <v>1700169265</v>
      </c>
      <c r="O17" s="21">
        <v>2291471</v>
      </c>
      <c r="Q17" s="21">
        <v>17570</v>
      </c>
      <c r="S17" s="21">
        <v>31767128264</v>
      </c>
      <c r="U17" s="21">
        <v>40021591654</v>
      </c>
      <c r="W17" s="23">
        <v>1.179435956349283E-2</v>
      </c>
    </row>
    <row r="18" spans="1:23" ht="18.75" x14ac:dyDescent="0.45">
      <c r="A18" s="20" t="s">
        <v>24</v>
      </c>
      <c r="C18" s="21">
        <v>14800000</v>
      </c>
      <c r="E18" s="21">
        <v>26960996608</v>
      </c>
      <c r="G18" s="21">
        <v>45077384160</v>
      </c>
      <c r="I18" s="21">
        <v>0</v>
      </c>
      <c r="J18" s="21">
        <v>0</v>
      </c>
      <c r="L18" s="21">
        <v>534050</v>
      </c>
      <c r="M18" s="21">
        <v>1851190504</v>
      </c>
      <c r="O18" s="21">
        <v>14265950</v>
      </c>
      <c r="Q18" s="21">
        <v>3390</v>
      </c>
      <c r="S18" s="21">
        <v>25988123619</v>
      </c>
      <c r="U18" s="21">
        <v>48073819156</v>
      </c>
      <c r="W18" s="23">
        <v>1.4167350304757907E-2</v>
      </c>
    </row>
    <row r="19" spans="1:23" ht="18.75" x14ac:dyDescent="0.45">
      <c r="A19" s="20" t="s">
        <v>25</v>
      </c>
      <c r="C19" s="21">
        <v>500000</v>
      </c>
      <c r="E19" s="21">
        <v>7186663004</v>
      </c>
      <c r="G19" s="21">
        <v>9751630500</v>
      </c>
      <c r="N19" s="22"/>
      <c r="O19" s="21">
        <v>500000</v>
      </c>
      <c r="Q19" s="21">
        <v>18050</v>
      </c>
      <c r="S19" s="21">
        <v>7186663004</v>
      </c>
      <c r="U19" s="21">
        <v>8971301250</v>
      </c>
      <c r="W19" s="23">
        <v>2.6438416944953589E-3</v>
      </c>
    </row>
    <row r="20" spans="1:23" ht="18.75" x14ac:dyDescent="0.45">
      <c r="A20" s="20" t="s">
        <v>26</v>
      </c>
      <c r="C20" s="21">
        <v>1750000</v>
      </c>
      <c r="E20" s="21">
        <v>4291393050</v>
      </c>
      <c r="G20" s="21">
        <v>5103949725</v>
      </c>
      <c r="N20" s="22"/>
      <c r="O20" s="21">
        <v>1750000</v>
      </c>
      <c r="Q20" s="21">
        <v>3894</v>
      </c>
      <c r="S20" s="21">
        <v>4291393050</v>
      </c>
      <c r="U20" s="21">
        <v>6773953725</v>
      </c>
      <c r="W20" s="23">
        <v>1.9962835708740856E-3</v>
      </c>
    </row>
    <row r="21" spans="1:23" ht="18.75" x14ac:dyDescent="0.45">
      <c r="A21" s="20" t="s">
        <v>27</v>
      </c>
      <c r="C21" s="21">
        <v>23109504</v>
      </c>
      <c r="E21" s="21">
        <v>47166686292</v>
      </c>
      <c r="G21" s="21">
        <v>35974155839</v>
      </c>
      <c r="N21" s="22"/>
      <c r="O21" s="21">
        <v>23109504</v>
      </c>
      <c r="Q21" s="21">
        <v>1683</v>
      </c>
      <c r="S21" s="21">
        <v>47166686292</v>
      </c>
      <c r="U21" s="21">
        <v>38661880125</v>
      </c>
      <c r="W21" s="23">
        <v>1.1393652694703172E-2</v>
      </c>
    </row>
    <row r="22" spans="1:23" ht="18.75" x14ac:dyDescent="0.45">
      <c r="A22" s="20" t="s">
        <v>28</v>
      </c>
      <c r="C22" s="21">
        <v>1562500</v>
      </c>
      <c r="E22" s="21">
        <v>3937321845</v>
      </c>
      <c r="G22" s="21">
        <v>5428444922</v>
      </c>
      <c r="N22" s="22"/>
      <c r="O22" s="21">
        <v>1905000</v>
      </c>
      <c r="Q22" s="21">
        <v>2507</v>
      </c>
      <c r="S22" s="21">
        <v>3251634127</v>
      </c>
      <c r="U22" s="21">
        <v>4747418782</v>
      </c>
      <c r="W22" s="23">
        <v>1.399063900243231E-3</v>
      </c>
    </row>
    <row r="23" spans="1:23" ht="37.5" x14ac:dyDescent="0.45">
      <c r="A23" s="20" t="s">
        <v>29</v>
      </c>
      <c r="H23" s="22"/>
      <c r="N23" s="22"/>
      <c r="O23" s="21">
        <v>970000</v>
      </c>
      <c r="Q23" s="21">
        <v>1507</v>
      </c>
      <c r="S23" s="21">
        <v>685687718</v>
      </c>
      <c r="U23" s="21">
        <v>1453092349</v>
      </c>
      <c r="W23" s="23">
        <v>4.282261882843809E-4</v>
      </c>
    </row>
    <row r="24" spans="1:23" ht="18.75" x14ac:dyDescent="0.45">
      <c r="A24" s="20" t="s">
        <v>30</v>
      </c>
      <c r="C24" s="21">
        <v>22718165</v>
      </c>
      <c r="E24" s="21">
        <v>79738050544</v>
      </c>
      <c r="G24" s="21">
        <v>90964291447</v>
      </c>
      <c r="I24" s="21">
        <v>0</v>
      </c>
      <c r="J24" s="21">
        <v>0</v>
      </c>
      <c r="L24" s="21">
        <v>5118165</v>
      </c>
      <c r="M24" s="21">
        <v>26122374939</v>
      </c>
      <c r="O24" s="21">
        <v>17600000</v>
      </c>
      <c r="Q24" s="21">
        <v>5680</v>
      </c>
      <c r="S24" s="21">
        <v>61773901614</v>
      </c>
      <c r="U24" s="21">
        <v>99373190400</v>
      </c>
      <c r="W24" s="23">
        <v>2.9285270528012414E-2</v>
      </c>
    </row>
    <row r="25" spans="1:23" ht="18.75" x14ac:dyDescent="0.45">
      <c r="A25" s="20" t="s">
        <v>31</v>
      </c>
      <c r="C25" s="21">
        <v>21741064</v>
      </c>
      <c r="E25" s="21">
        <v>82729719470</v>
      </c>
      <c r="G25" s="21">
        <v>172245286214</v>
      </c>
      <c r="I25" s="21">
        <v>0</v>
      </c>
      <c r="J25" s="21">
        <v>0</v>
      </c>
      <c r="L25" s="21">
        <v>1316008</v>
      </c>
      <c r="M25" s="21">
        <v>11616723796</v>
      </c>
      <c r="O25" s="21">
        <v>20425056</v>
      </c>
      <c r="Q25" s="21">
        <v>8860</v>
      </c>
      <c r="S25" s="21">
        <v>77722008134</v>
      </c>
      <c r="U25" s="21">
        <v>179889248483</v>
      </c>
      <c r="W25" s="23">
        <v>5.3013345809872499E-2</v>
      </c>
    </row>
    <row r="26" spans="1:23" ht="18.75" x14ac:dyDescent="0.45">
      <c r="A26" s="20" t="s">
        <v>32</v>
      </c>
      <c r="C26" s="21">
        <v>4754687</v>
      </c>
      <c r="E26" s="21">
        <v>17193606879</v>
      </c>
      <c r="G26" s="21">
        <v>23509096750</v>
      </c>
      <c r="N26" s="22"/>
      <c r="O26" s="21">
        <v>4754687</v>
      </c>
      <c r="Q26" s="21">
        <v>5750</v>
      </c>
      <c r="S26" s="21">
        <v>17193606879</v>
      </c>
      <c r="U26" s="21">
        <v>27176780521</v>
      </c>
      <c r="W26" s="23">
        <v>8.0089948449305615E-3</v>
      </c>
    </row>
    <row r="27" spans="1:23" ht="18.75" x14ac:dyDescent="0.45">
      <c r="A27" s="20" t="s">
        <v>33</v>
      </c>
      <c r="C27" s="21">
        <v>12327149</v>
      </c>
      <c r="E27" s="21">
        <v>28093812443</v>
      </c>
      <c r="G27" s="21">
        <v>19483545917</v>
      </c>
      <c r="I27" s="21">
        <v>0</v>
      </c>
      <c r="J27" s="21">
        <v>0</v>
      </c>
      <c r="L27" s="21">
        <v>3200000</v>
      </c>
      <c r="M27" s="21">
        <v>5608032552</v>
      </c>
      <c r="O27" s="21">
        <v>9127149</v>
      </c>
      <c r="Q27" s="21">
        <v>1724</v>
      </c>
      <c r="S27" s="21">
        <v>20800950175</v>
      </c>
      <c r="U27" s="21">
        <v>15641580407</v>
      </c>
      <c r="W27" s="23">
        <v>4.6095723792385513E-3</v>
      </c>
    </row>
    <row r="28" spans="1:23" ht="37.5" x14ac:dyDescent="0.45">
      <c r="A28" s="20" t="s">
        <v>34</v>
      </c>
      <c r="C28" s="21">
        <v>842177</v>
      </c>
      <c r="E28" s="21">
        <v>2001916090</v>
      </c>
      <c r="G28" s="21">
        <v>5039739602</v>
      </c>
      <c r="N28" s="22"/>
      <c r="O28" s="21">
        <v>842177</v>
      </c>
      <c r="Q28" s="21">
        <v>6680</v>
      </c>
      <c r="S28" s="21">
        <v>2001916090</v>
      </c>
      <c r="U28" s="21">
        <v>5592269193</v>
      </c>
      <c r="W28" s="23">
        <v>1.6480412425449779E-3</v>
      </c>
    </row>
    <row r="29" spans="1:23" ht="37.5" x14ac:dyDescent="0.45">
      <c r="A29" s="20" t="s">
        <v>35</v>
      </c>
      <c r="C29" s="21">
        <v>286500</v>
      </c>
      <c r="E29" s="21">
        <v>12155017291</v>
      </c>
      <c r="G29" s="21">
        <v>15293508952</v>
      </c>
      <c r="N29" s="22"/>
      <c r="O29" s="21">
        <v>286500</v>
      </c>
      <c r="Q29" s="21">
        <v>55400</v>
      </c>
      <c r="S29" s="21">
        <v>12155017291</v>
      </c>
      <c r="U29" s="21">
        <v>15777661005</v>
      </c>
      <c r="W29" s="23">
        <v>4.6496753195789239E-3</v>
      </c>
    </row>
    <row r="30" spans="1:23" ht="37.5" x14ac:dyDescent="0.45">
      <c r="A30" s="20" t="s">
        <v>36</v>
      </c>
      <c r="C30" s="21">
        <v>250000</v>
      </c>
      <c r="E30" s="21">
        <v>800726400</v>
      </c>
      <c r="G30" s="21">
        <v>865072012</v>
      </c>
      <c r="N30" s="22"/>
      <c r="O30" s="21">
        <v>250000</v>
      </c>
      <c r="Q30" s="21">
        <v>3868</v>
      </c>
      <c r="S30" s="21">
        <v>800726400</v>
      </c>
      <c r="U30" s="21">
        <v>961246350</v>
      </c>
      <c r="W30" s="23">
        <v>2.8327921535479356E-4</v>
      </c>
    </row>
    <row r="31" spans="1:23" ht="37.5" x14ac:dyDescent="0.45">
      <c r="A31" s="20" t="s">
        <v>37</v>
      </c>
      <c r="C31" s="21">
        <v>6645110</v>
      </c>
      <c r="E31" s="21">
        <v>67281885372</v>
      </c>
      <c r="G31" s="21">
        <v>89175216539</v>
      </c>
      <c r="N31" s="22"/>
      <c r="O31" s="21">
        <v>6645110</v>
      </c>
      <c r="Q31" s="21">
        <v>15430</v>
      </c>
      <c r="S31" s="21">
        <v>67281885372</v>
      </c>
      <c r="U31" s="21">
        <v>101923969719</v>
      </c>
      <c r="W31" s="23">
        <v>3.0036984970443905E-2</v>
      </c>
    </row>
    <row r="32" spans="1:23" ht="18.75" x14ac:dyDescent="0.45">
      <c r="A32" s="20" t="s">
        <v>38</v>
      </c>
      <c r="C32" s="21">
        <v>1000000</v>
      </c>
      <c r="E32" s="21">
        <v>6555947400</v>
      </c>
      <c r="G32" s="21">
        <v>6769480500</v>
      </c>
      <c r="N32" s="22"/>
      <c r="O32" s="21">
        <v>1000000</v>
      </c>
      <c r="Q32" s="21">
        <v>7430</v>
      </c>
      <c r="S32" s="21">
        <v>6555947400</v>
      </c>
      <c r="U32" s="21">
        <v>7385791500</v>
      </c>
      <c r="W32" s="23">
        <v>2.1765921097064286E-3</v>
      </c>
    </row>
    <row r="33" spans="1:23" ht="18.75" x14ac:dyDescent="0.45">
      <c r="A33" s="20" t="s">
        <v>39</v>
      </c>
      <c r="C33" s="21">
        <v>31806527</v>
      </c>
      <c r="E33" s="21">
        <v>59228648705</v>
      </c>
      <c r="G33" s="21">
        <v>61590457864</v>
      </c>
      <c r="N33" s="22"/>
      <c r="O33" s="21">
        <v>31806527</v>
      </c>
      <c r="Q33" s="21">
        <v>2020</v>
      </c>
      <c r="S33" s="21">
        <v>59228648705</v>
      </c>
      <c r="U33" s="21">
        <v>63866901892</v>
      </c>
      <c r="W33" s="23">
        <v>1.8821570407115035E-2</v>
      </c>
    </row>
    <row r="34" spans="1:23" ht="37.5" x14ac:dyDescent="0.45">
      <c r="A34" s="20" t="s">
        <v>40</v>
      </c>
      <c r="C34" s="21">
        <v>7329302</v>
      </c>
      <c r="E34" s="21">
        <v>54397299345</v>
      </c>
      <c r="G34" s="21">
        <v>55881262649</v>
      </c>
      <c r="N34" s="22"/>
      <c r="O34" s="21">
        <v>7329302</v>
      </c>
      <c r="Q34" s="21">
        <v>7950</v>
      </c>
      <c r="S34" s="21">
        <v>54397299345</v>
      </c>
      <c r="U34" s="21">
        <v>57921256592</v>
      </c>
      <c r="W34" s="23">
        <v>1.7069389256713877E-2</v>
      </c>
    </row>
    <row r="35" spans="1:23" ht="18.75" x14ac:dyDescent="0.45">
      <c r="A35" s="20" t="s">
        <v>41</v>
      </c>
      <c r="C35" s="21">
        <v>3036239</v>
      </c>
      <c r="E35" s="21">
        <v>50434043773</v>
      </c>
      <c r="G35" s="21">
        <v>75967423923</v>
      </c>
      <c r="I35" s="21">
        <v>0</v>
      </c>
      <c r="J35" s="21">
        <v>0</v>
      </c>
      <c r="L35" s="21">
        <v>2799492</v>
      </c>
      <c r="M35" s="21">
        <v>73132075910</v>
      </c>
      <c r="O35" s="21">
        <v>236747</v>
      </c>
      <c r="Q35" s="21">
        <v>25740</v>
      </c>
      <c r="S35" s="21">
        <v>3932532505</v>
      </c>
      <c r="U35" s="21">
        <v>6057609267</v>
      </c>
      <c r="W35" s="23">
        <v>1.7851769216930564E-3</v>
      </c>
    </row>
    <row r="36" spans="1:23" ht="18.75" x14ac:dyDescent="0.45">
      <c r="A36" s="20" t="s">
        <v>42</v>
      </c>
      <c r="C36" s="21">
        <v>2773715</v>
      </c>
      <c r="E36" s="21">
        <v>77701541135</v>
      </c>
      <c r="G36" s="21">
        <v>71439347264</v>
      </c>
      <c r="N36" s="22"/>
      <c r="O36" s="21">
        <v>2773715</v>
      </c>
      <c r="Q36" s="21">
        <v>33540</v>
      </c>
      <c r="S36" s="21">
        <v>77701541135</v>
      </c>
      <c r="U36" s="21">
        <v>92476870213</v>
      </c>
      <c r="W36" s="23">
        <v>2.7252925571478865E-2</v>
      </c>
    </row>
    <row r="37" spans="1:23" ht="37.5" x14ac:dyDescent="0.45">
      <c r="A37" s="20" t="s">
        <v>43</v>
      </c>
      <c r="C37" s="21">
        <v>272500</v>
      </c>
      <c r="E37" s="21">
        <v>5103379665</v>
      </c>
      <c r="G37" s="21">
        <v>8613940275</v>
      </c>
      <c r="N37" s="22"/>
      <c r="O37" s="21">
        <v>272500</v>
      </c>
      <c r="Q37" s="21">
        <v>37150</v>
      </c>
      <c r="S37" s="21">
        <v>5103379665</v>
      </c>
      <c r="U37" s="21">
        <v>10063140919</v>
      </c>
      <c r="W37" s="23">
        <v>2.9656067495486839E-3</v>
      </c>
    </row>
    <row r="38" spans="1:23" ht="18.75" x14ac:dyDescent="0.45">
      <c r="A38" s="20" t="s">
        <v>44</v>
      </c>
      <c r="C38" s="21">
        <v>741342</v>
      </c>
      <c r="E38" s="21">
        <v>35385653732</v>
      </c>
      <c r="G38" s="21">
        <v>40236433424</v>
      </c>
      <c r="N38" s="22"/>
      <c r="O38" s="21">
        <v>2672602</v>
      </c>
      <c r="Q38" s="21">
        <v>16540</v>
      </c>
      <c r="S38" s="21">
        <v>35385653732</v>
      </c>
      <c r="U38" s="21">
        <v>43941818299</v>
      </c>
      <c r="W38" s="23">
        <v>1.2949650013239198E-2</v>
      </c>
    </row>
    <row r="39" spans="1:23" ht="18.75" x14ac:dyDescent="0.45">
      <c r="A39" s="20" t="s">
        <v>45</v>
      </c>
      <c r="C39" s="21">
        <v>27844387</v>
      </c>
      <c r="E39" s="21">
        <v>73147788635</v>
      </c>
      <c r="G39" s="21">
        <v>77278966409</v>
      </c>
      <c r="N39" s="22"/>
      <c r="O39" s="21">
        <v>27844387</v>
      </c>
      <c r="Q39" s="21">
        <v>2829</v>
      </c>
      <c r="S39" s="21">
        <v>73147788635</v>
      </c>
      <c r="U39" s="21">
        <v>78303078787</v>
      </c>
      <c r="W39" s="23">
        <v>2.3075910476690956E-2</v>
      </c>
    </row>
    <row r="40" spans="1:23" ht="37.5" x14ac:dyDescent="0.45">
      <c r="A40" s="20" t="s">
        <v>46</v>
      </c>
      <c r="C40" s="21">
        <v>13167887</v>
      </c>
      <c r="E40" s="21">
        <v>36649310457</v>
      </c>
      <c r="G40" s="21">
        <v>44164101456</v>
      </c>
      <c r="I40" s="21">
        <v>2000000</v>
      </c>
      <c r="J40" s="21">
        <v>7534437119</v>
      </c>
      <c r="L40" s="21">
        <v>0</v>
      </c>
      <c r="M40" s="21">
        <v>0</v>
      </c>
      <c r="O40" s="21">
        <v>15167887</v>
      </c>
      <c r="Q40" s="21">
        <v>3863</v>
      </c>
      <c r="S40" s="21">
        <v>44183747576</v>
      </c>
      <c r="U40" s="21">
        <v>58244915873</v>
      </c>
      <c r="W40" s="23">
        <v>1.7164771618544405E-2</v>
      </c>
    </row>
    <row r="41" spans="1:23" ht="18.75" x14ac:dyDescent="0.45">
      <c r="A41" s="20" t="s">
        <v>47</v>
      </c>
      <c r="C41" s="21">
        <v>10258397</v>
      </c>
      <c r="E41" s="21">
        <v>27693957457</v>
      </c>
      <c r="G41" s="21">
        <v>25381227890</v>
      </c>
      <c r="N41" s="22"/>
      <c r="O41" s="21">
        <v>10258397</v>
      </c>
      <c r="Q41" s="21">
        <v>2684</v>
      </c>
      <c r="S41" s="21">
        <v>27693957457</v>
      </c>
      <c r="U41" s="21">
        <v>27369713000</v>
      </c>
      <c r="W41" s="23">
        <v>8.0658520296341234E-3</v>
      </c>
    </row>
    <row r="42" spans="1:23" ht="18.75" x14ac:dyDescent="0.45">
      <c r="A42" s="20" t="s">
        <v>48</v>
      </c>
      <c r="C42" s="21">
        <v>7958319</v>
      </c>
      <c r="E42" s="21">
        <v>26443874760</v>
      </c>
      <c r="G42" s="21">
        <v>18250600873</v>
      </c>
      <c r="I42" s="21">
        <v>0</v>
      </c>
      <c r="J42" s="21">
        <v>0</v>
      </c>
      <c r="L42" s="21">
        <v>2000000</v>
      </c>
      <c r="M42" s="21">
        <v>5608430157</v>
      </c>
      <c r="O42" s="21">
        <v>5958319</v>
      </c>
      <c r="Q42" s="21">
        <v>2859</v>
      </c>
      <c r="S42" s="21">
        <v>19798281699</v>
      </c>
      <c r="U42" s="21">
        <v>16933476759</v>
      </c>
      <c r="W42" s="23">
        <v>4.9902941212917511E-3</v>
      </c>
    </row>
    <row r="43" spans="1:23" ht="37.5" x14ac:dyDescent="0.45">
      <c r="A43" s="20" t="s">
        <v>49</v>
      </c>
      <c r="C43" s="21">
        <v>6500000</v>
      </c>
      <c r="E43" s="21">
        <v>7878647322</v>
      </c>
      <c r="G43" s="21">
        <v>8981241750</v>
      </c>
      <c r="I43" s="21">
        <v>0</v>
      </c>
      <c r="J43" s="21">
        <v>0</v>
      </c>
      <c r="L43" s="21">
        <v>3250000</v>
      </c>
      <c r="M43" s="21">
        <v>4477257642</v>
      </c>
      <c r="O43" s="21">
        <v>3250000</v>
      </c>
      <c r="Q43" s="21">
        <v>1358</v>
      </c>
      <c r="S43" s="21">
        <v>3939323661</v>
      </c>
      <c r="U43" s="21">
        <v>4387239675</v>
      </c>
      <c r="W43" s="23">
        <v>1.2929191488814701E-3</v>
      </c>
    </row>
    <row r="44" spans="1:23" ht="18.75" x14ac:dyDescent="0.45">
      <c r="A44" s="20" t="s">
        <v>50</v>
      </c>
      <c r="C44" s="21">
        <v>1186353</v>
      </c>
      <c r="E44" s="21">
        <v>26013113139</v>
      </c>
      <c r="G44" s="21">
        <v>66016889296</v>
      </c>
      <c r="N44" s="22"/>
      <c r="O44" s="21">
        <v>1186353</v>
      </c>
      <c r="Q44" s="21">
        <v>72980</v>
      </c>
      <c r="S44" s="21">
        <v>26013113139</v>
      </c>
      <c r="U44" s="21">
        <v>86064890690</v>
      </c>
      <c r="W44" s="23">
        <v>2.5363315766306193E-2</v>
      </c>
    </row>
    <row r="45" spans="1:23" ht="18.75" x14ac:dyDescent="0.45">
      <c r="A45" s="20" t="s">
        <v>51</v>
      </c>
      <c r="C45" s="21">
        <v>100000</v>
      </c>
      <c r="E45" s="21">
        <v>9771059100</v>
      </c>
      <c r="G45" s="21">
        <v>11377896300</v>
      </c>
      <c r="N45" s="22"/>
      <c r="O45" s="21">
        <v>100000</v>
      </c>
      <c r="Q45" s="21">
        <v>119040</v>
      </c>
      <c r="S45" s="21">
        <v>9771059100</v>
      </c>
      <c r="U45" s="21">
        <v>11833171200</v>
      </c>
      <c r="W45" s="23">
        <v>3.4872345187005821E-3</v>
      </c>
    </row>
    <row r="46" spans="1:23" ht="18.75" x14ac:dyDescent="0.45">
      <c r="A46" s="20" t="s">
        <v>52</v>
      </c>
      <c r="C46" s="21">
        <v>8163990</v>
      </c>
      <c r="E46" s="21">
        <v>51211299429</v>
      </c>
      <c r="G46" s="21">
        <v>85130695582</v>
      </c>
      <c r="I46" s="21">
        <v>0</v>
      </c>
      <c r="J46" s="21">
        <v>0</v>
      </c>
      <c r="L46" s="21">
        <v>2633426</v>
      </c>
      <c r="M46" s="21">
        <v>30559895055</v>
      </c>
      <c r="O46" s="21">
        <v>5530564</v>
      </c>
      <c r="Q46" s="21">
        <v>12460</v>
      </c>
      <c r="S46" s="21">
        <v>34692272898</v>
      </c>
      <c r="U46" s="21">
        <v>68500808017</v>
      </c>
      <c r="W46" s="23">
        <v>2.0187182137258688E-2</v>
      </c>
    </row>
    <row r="47" spans="1:23" ht="18.75" x14ac:dyDescent="0.45">
      <c r="A47" s="20" t="s">
        <v>53</v>
      </c>
      <c r="C47" s="21">
        <v>6003951</v>
      </c>
      <c r="E47" s="21">
        <v>32931113465</v>
      </c>
      <c r="G47" s="21">
        <v>62666388661</v>
      </c>
      <c r="I47" s="21">
        <v>0</v>
      </c>
      <c r="J47" s="21">
        <v>0</v>
      </c>
      <c r="L47" s="21">
        <v>204159</v>
      </c>
      <c r="M47" s="21">
        <v>2365633293</v>
      </c>
      <c r="O47" s="21">
        <v>5799792</v>
      </c>
      <c r="Q47" s="21">
        <v>10574</v>
      </c>
      <c r="S47" s="21">
        <v>31811320316</v>
      </c>
      <c r="U47" s="21">
        <v>60962104954</v>
      </c>
      <c r="W47" s="23">
        <v>1.7965527003297017E-2</v>
      </c>
    </row>
    <row r="48" spans="1:23" ht="18.75" x14ac:dyDescent="0.45">
      <c r="A48" s="20" t="s">
        <v>54</v>
      </c>
      <c r="C48" s="21">
        <v>5400000</v>
      </c>
      <c r="E48" s="21">
        <v>47083833086</v>
      </c>
      <c r="G48" s="21">
        <v>75794324400</v>
      </c>
      <c r="I48" s="21">
        <v>0</v>
      </c>
      <c r="J48" s="21">
        <v>0</v>
      </c>
      <c r="L48" s="21">
        <v>1700000</v>
      </c>
      <c r="M48" s="21">
        <v>31505506561</v>
      </c>
      <c r="O48" s="21">
        <v>3700000</v>
      </c>
      <c r="Q48" s="21">
        <v>19130</v>
      </c>
      <c r="S48" s="21">
        <v>32261144892</v>
      </c>
      <c r="U48" s="21">
        <v>70359853050</v>
      </c>
      <c r="W48" s="23">
        <v>2.0735042546047203E-2</v>
      </c>
    </row>
    <row r="49" spans="1:23" ht="18.75" x14ac:dyDescent="0.45">
      <c r="A49" s="20" t="s">
        <v>55</v>
      </c>
      <c r="C49" s="21">
        <v>200000</v>
      </c>
      <c r="E49" s="21">
        <v>5506104881</v>
      </c>
      <c r="G49" s="21">
        <v>5689942200</v>
      </c>
      <c r="N49" s="22"/>
      <c r="O49" s="21">
        <v>200000</v>
      </c>
      <c r="Q49" s="21">
        <v>31360</v>
      </c>
      <c r="S49" s="21">
        <v>5506104881</v>
      </c>
      <c r="U49" s="21">
        <v>6234681600</v>
      </c>
      <c r="W49" s="23">
        <v>1.8373601227562207E-3</v>
      </c>
    </row>
    <row r="50" spans="1:23" ht="18.75" x14ac:dyDescent="0.45">
      <c r="A50" s="20" t="s">
        <v>56</v>
      </c>
      <c r="C50" s="21">
        <v>31189045</v>
      </c>
      <c r="E50" s="21">
        <v>76055816573</v>
      </c>
      <c r="G50" s="21">
        <v>55372197745</v>
      </c>
      <c r="I50" s="21">
        <v>0</v>
      </c>
      <c r="J50" s="21">
        <v>0</v>
      </c>
      <c r="L50" s="21">
        <v>9304630</v>
      </c>
      <c r="M50" s="21">
        <v>17440630260</v>
      </c>
      <c r="O50" s="21">
        <v>21884415</v>
      </c>
      <c r="Q50" s="21">
        <v>1880</v>
      </c>
      <c r="S50" s="21">
        <v>53366079438</v>
      </c>
      <c r="U50" s="21">
        <v>40897901134</v>
      </c>
      <c r="W50" s="23">
        <v>1.2052607890680097E-2</v>
      </c>
    </row>
    <row r="51" spans="1:23" ht="18.75" x14ac:dyDescent="0.45">
      <c r="A51" s="20" t="s">
        <v>57</v>
      </c>
      <c r="C51" s="21">
        <v>330974</v>
      </c>
      <c r="E51" s="21">
        <v>10705350134</v>
      </c>
      <c r="G51" s="21">
        <v>10580791303</v>
      </c>
      <c r="N51" s="22"/>
      <c r="O51" s="21">
        <v>330974</v>
      </c>
      <c r="Q51" s="21">
        <v>34680</v>
      </c>
      <c r="S51" s="21">
        <v>10705350134</v>
      </c>
      <c r="U51" s="21">
        <v>11409883159</v>
      </c>
      <c r="W51" s="23">
        <v>3.3624915700032499E-3</v>
      </c>
    </row>
    <row r="52" spans="1:23" ht="18.75" x14ac:dyDescent="0.45">
      <c r="A52" s="20" t="s">
        <v>58</v>
      </c>
      <c r="C52" s="21">
        <v>9448213</v>
      </c>
      <c r="E52" s="21">
        <v>15392047456</v>
      </c>
      <c r="G52" s="21">
        <v>7222445026</v>
      </c>
      <c r="N52" s="22"/>
      <c r="O52" s="21">
        <v>9448213</v>
      </c>
      <c r="Q52" s="21">
        <v>876</v>
      </c>
      <c r="S52" s="21">
        <v>15392047456</v>
      </c>
      <c r="U52" s="21">
        <v>8227388612</v>
      </c>
      <c r="W52" s="23">
        <v>2.4246107050771371E-3</v>
      </c>
    </row>
    <row r="53" spans="1:23" ht="18.75" x14ac:dyDescent="0.45">
      <c r="A53" s="20" t="s">
        <v>59</v>
      </c>
      <c r="C53" s="21">
        <v>10148510</v>
      </c>
      <c r="E53" s="21">
        <v>49005994690</v>
      </c>
      <c r="G53" s="21">
        <v>42117927576</v>
      </c>
      <c r="N53" s="22"/>
      <c r="O53" s="21">
        <v>10148510</v>
      </c>
      <c r="Q53" s="21">
        <v>3104</v>
      </c>
      <c r="S53" s="21">
        <v>49005994690</v>
      </c>
      <c r="U53" s="21">
        <v>31313544239</v>
      </c>
      <c r="W53" s="23">
        <v>9.2280987511698092E-3</v>
      </c>
    </row>
    <row r="54" spans="1:23" ht="18.75" x14ac:dyDescent="0.45">
      <c r="A54" s="20" t="s">
        <v>60</v>
      </c>
      <c r="C54" s="21">
        <v>249996</v>
      </c>
      <c r="E54" s="21">
        <v>1764072098</v>
      </c>
      <c r="G54" s="21">
        <v>1898605122</v>
      </c>
      <c r="N54" s="22"/>
      <c r="O54" s="21">
        <v>249996</v>
      </c>
      <c r="Q54" s="21">
        <v>9160</v>
      </c>
      <c r="S54" s="21">
        <v>1764072098</v>
      </c>
      <c r="U54" s="21">
        <v>2276338078</v>
      </c>
      <c r="W54" s="23">
        <v>6.7083663268846635E-4</v>
      </c>
    </row>
    <row r="55" spans="1:23" ht="18.75" x14ac:dyDescent="0.45">
      <c r="A55" s="20" t="s">
        <v>61</v>
      </c>
      <c r="C55" s="21">
        <v>22396379</v>
      </c>
      <c r="E55" s="21">
        <v>114693325715</v>
      </c>
      <c r="G55" s="21">
        <v>104636666561</v>
      </c>
      <c r="I55" s="21">
        <v>0</v>
      </c>
      <c r="J55" s="21">
        <v>0</v>
      </c>
      <c r="L55" s="21">
        <v>131650</v>
      </c>
      <c r="M55" s="21">
        <v>622663681</v>
      </c>
      <c r="O55" s="21">
        <v>22264729</v>
      </c>
      <c r="Q55" s="21">
        <v>4821</v>
      </c>
      <c r="S55" s="21">
        <v>114019137431</v>
      </c>
      <c r="U55" s="21">
        <v>106699595871</v>
      </c>
      <c r="W55" s="23">
        <v>3.1444361580161478E-2</v>
      </c>
    </row>
    <row r="56" spans="1:23" ht="18.75" x14ac:dyDescent="0.45">
      <c r="A56" s="20" t="s">
        <v>62</v>
      </c>
      <c r="C56" s="21">
        <v>9664654</v>
      </c>
      <c r="E56" s="21">
        <v>62868241940</v>
      </c>
      <c r="G56" s="21">
        <v>80123625235</v>
      </c>
      <c r="N56" s="22"/>
      <c r="O56" s="21">
        <v>9664654</v>
      </c>
      <c r="Q56" s="21">
        <v>9290</v>
      </c>
      <c r="S56" s="21">
        <v>62868241940</v>
      </c>
      <c r="U56" s="21">
        <v>89250417078</v>
      </c>
      <c r="W56" s="23">
        <v>2.6302090114510093E-2</v>
      </c>
    </row>
    <row r="57" spans="1:23" ht="18.75" x14ac:dyDescent="0.45">
      <c r="A57" s="20" t="s">
        <v>63</v>
      </c>
      <c r="C57" s="21">
        <v>3975855</v>
      </c>
      <c r="E57" s="21">
        <v>21886945061</v>
      </c>
      <c r="G57" s="21">
        <v>29009138185</v>
      </c>
      <c r="N57" s="22"/>
      <c r="O57" s="21">
        <v>3975855</v>
      </c>
      <c r="Q57" s="21">
        <v>6960</v>
      </c>
      <c r="S57" s="21">
        <v>21886945061</v>
      </c>
      <c r="U57" s="21">
        <v>27507302693</v>
      </c>
      <c r="W57" s="23">
        <v>8.1063997001391379E-3</v>
      </c>
    </row>
    <row r="58" spans="1:23" ht="18.75" x14ac:dyDescent="0.45">
      <c r="A58" s="20" t="s">
        <v>64</v>
      </c>
      <c r="C58" s="21">
        <v>14021442</v>
      </c>
      <c r="E58" s="21">
        <v>48395249821</v>
      </c>
      <c r="G58" s="21">
        <v>54929714830</v>
      </c>
      <c r="N58" s="22"/>
      <c r="O58" s="21">
        <v>14021442</v>
      </c>
      <c r="Q58" s="21">
        <v>3653</v>
      </c>
      <c r="S58" s="21">
        <v>48395249821</v>
      </c>
      <c r="U58" s="21">
        <v>50915566677</v>
      </c>
      <c r="W58" s="23">
        <v>1.5004813050895054E-2</v>
      </c>
    </row>
    <row r="59" spans="1:23" ht="18.75" x14ac:dyDescent="0.45">
      <c r="A59" s="20" t="s">
        <v>65</v>
      </c>
      <c r="C59" s="21">
        <v>200000</v>
      </c>
      <c r="E59" s="21">
        <v>1227137722</v>
      </c>
      <c r="G59" s="21">
        <v>1212741000</v>
      </c>
      <c r="N59" s="22"/>
      <c r="O59" s="21">
        <v>200000</v>
      </c>
      <c r="Q59" s="21">
        <v>6470</v>
      </c>
      <c r="S59" s="21">
        <v>1227137722</v>
      </c>
      <c r="U59" s="21">
        <v>1286300700</v>
      </c>
      <c r="W59" s="23">
        <v>3.7907270389772791E-4</v>
      </c>
    </row>
    <row r="60" spans="1:23" ht="18.75" x14ac:dyDescent="0.45">
      <c r="A60" s="20" t="s">
        <v>66</v>
      </c>
      <c r="C60" s="21">
        <v>8231319</v>
      </c>
      <c r="E60" s="21">
        <v>42556668634</v>
      </c>
      <c r="G60" s="21">
        <v>25798926382</v>
      </c>
      <c r="N60" s="22"/>
      <c r="O60" s="21">
        <v>8231319</v>
      </c>
      <c r="Q60" s="21">
        <v>4172</v>
      </c>
      <c r="S60" s="21">
        <v>42556668634</v>
      </c>
      <c r="U60" s="21">
        <v>34136733544</v>
      </c>
      <c r="W60" s="23">
        <v>1.0060092392673307E-2</v>
      </c>
    </row>
    <row r="61" spans="1:23" ht="18.75" x14ac:dyDescent="0.45">
      <c r="A61" s="20" t="s">
        <v>67</v>
      </c>
      <c r="C61" s="21">
        <v>6256631</v>
      </c>
      <c r="E61" s="21">
        <v>27157213151</v>
      </c>
      <c r="G61" s="21">
        <v>36445707707</v>
      </c>
      <c r="N61" s="22"/>
      <c r="O61" s="21">
        <v>6256631</v>
      </c>
      <c r="Q61" s="21">
        <v>6390</v>
      </c>
      <c r="S61" s="21">
        <v>27157213151</v>
      </c>
      <c r="U61" s="21">
        <v>39741991851</v>
      </c>
      <c r="W61" s="23">
        <v>1.1711961525979142E-2</v>
      </c>
    </row>
    <row r="62" spans="1:23" ht="18.75" x14ac:dyDescent="0.45">
      <c r="A62" s="20" t="s">
        <v>68</v>
      </c>
      <c r="C62" s="21">
        <v>4666666</v>
      </c>
      <c r="E62" s="21">
        <v>19031233707</v>
      </c>
      <c r="G62" s="21">
        <v>16941260380</v>
      </c>
      <c r="N62" s="22"/>
      <c r="O62" s="21">
        <v>4666666</v>
      </c>
      <c r="Q62" s="21">
        <v>4076</v>
      </c>
      <c r="S62" s="21">
        <v>19031233707</v>
      </c>
      <c r="U62" s="21">
        <v>18908153699</v>
      </c>
      <c r="W62" s="23">
        <v>5.5722312429696691E-3</v>
      </c>
    </row>
    <row r="63" spans="1:23" ht="18.75" x14ac:dyDescent="0.45">
      <c r="A63" s="20" t="s">
        <v>69</v>
      </c>
      <c r="C63" s="21">
        <v>17704932</v>
      </c>
      <c r="E63" s="21">
        <v>89451524844</v>
      </c>
      <c r="G63" s="21">
        <v>117037257903</v>
      </c>
      <c r="I63" s="21">
        <v>0</v>
      </c>
      <c r="J63" s="21">
        <v>0</v>
      </c>
      <c r="L63" s="21">
        <v>1404932</v>
      </c>
      <c r="M63" s="21">
        <v>11340170007</v>
      </c>
      <c r="O63" s="21">
        <v>16300000</v>
      </c>
      <c r="Q63" s="21">
        <v>7330</v>
      </c>
      <c r="S63" s="21">
        <v>82353315729</v>
      </c>
      <c r="U63" s="21">
        <v>118768099950</v>
      </c>
      <c r="W63" s="23">
        <v>3.5000948677740833E-2</v>
      </c>
    </row>
    <row r="64" spans="1:23" ht="18.75" x14ac:dyDescent="0.45">
      <c r="A64" s="20" t="s">
        <v>70</v>
      </c>
      <c r="C64" s="21">
        <v>444699</v>
      </c>
      <c r="E64" s="21">
        <v>5768075770</v>
      </c>
      <c r="G64" s="21">
        <v>5950033931</v>
      </c>
      <c r="N64" s="22"/>
      <c r="O64" s="21">
        <v>444699</v>
      </c>
      <c r="Q64" s="21">
        <v>13460</v>
      </c>
      <c r="S64" s="21">
        <v>5768075770</v>
      </c>
      <c r="U64" s="21">
        <v>5950033931</v>
      </c>
      <c r="W64" s="23">
        <v>1.7534744795733976E-3</v>
      </c>
    </row>
    <row r="65" spans="1:23" ht="18.75" x14ac:dyDescent="0.45">
      <c r="A65" s="20" t="s">
        <v>71</v>
      </c>
      <c r="C65" s="21">
        <v>3682657</v>
      </c>
      <c r="E65" s="21">
        <v>46500232696</v>
      </c>
      <c r="G65" s="21">
        <v>32214557679</v>
      </c>
      <c r="I65" s="21">
        <v>591406</v>
      </c>
      <c r="J65" s="21">
        <v>5469662565</v>
      </c>
      <c r="L65" s="21">
        <v>0</v>
      </c>
      <c r="M65" s="21">
        <v>0</v>
      </c>
      <c r="O65" s="21">
        <v>4274063</v>
      </c>
      <c r="Q65" s="21">
        <v>9300</v>
      </c>
      <c r="S65" s="21">
        <v>51969895261</v>
      </c>
      <c r="U65" s="21">
        <v>39512280624</v>
      </c>
      <c r="W65" s="23">
        <v>1.1644265647453573E-2</v>
      </c>
    </row>
    <row r="66" spans="1:23" ht="18.75" x14ac:dyDescent="0.45">
      <c r="A66" s="20" t="s">
        <v>72</v>
      </c>
      <c r="C66" s="21">
        <v>250000</v>
      </c>
      <c r="E66" s="21">
        <v>3403087200</v>
      </c>
      <c r="G66" s="21">
        <v>3764964375</v>
      </c>
      <c r="N66" s="22"/>
      <c r="O66" s="21">
        <v>250000</v>
      </c>
      <c r="Q66" s="21">
        <v>14770</v>
      </c>
      <c r="S66" s="21">
        <v>3403087200</v>
      </c>
      <c r="U66" s="21">
        <v>3670529625</v>
      </c>
      <c r="W66" s="23">
        <v>1.0817047597699847E-3</v>
      </c>
    </row>
    <row r="67" spans="1:23" ht="18.75" x14ac:dyDescent="0.45">
      <c r="A67" s="20" t="s">
        <v>73</v>
      </c>
      <c r="C67" s="21">
        <v>16300000</v>
      </c>
      <c r="E67" s="21">
        <v>84074552777</v>
      </c>
      <c r="G67" s="21">
        <v>168835416300</v>
      </c>
      <c r="I67" s="21">
        <v>0</v>
      </c>
      <c r="J67" s="21">
        <v>0</v>
      </c>
      <c r="L67" s="21">
        <v>500000</v>
      </c>
      <c r="M67" s="21">
        <v>5188941039</v>
      </c>
      <c r="O67" s="21">
        <v>15800000</v>
      </c>
      <c r="Q67" s="21">
        <v>10160</v>
      </c>
      <c r="S67" s="21">
        <v>81495578765</v>
      </c>
      <c r="U67" s="21">
        <v>159572858400</v>
      </c>
      <c r="W67" s="23">
        <v>4.7026107427584597E-2</v>
      </c>
    </row>
    <row r="68" spans="1:23" ht="37.5" x14ac:dyDescent="0.45">
      <c r="A68" s="20" t="s">
        <v>74</v>
      </c>
      <c r="C68" s="21">
        <v>7868802</v>
      </c>
      <c r="E68" s="21">
        <v>26463181491</v>
      </c>
      <c r="G68" s="21">
        <v>31366150339</v>
      </c>
      <c r="I68" s="21">
        <v>0</v>
      </c>
      <c r="J68" s="21">
        <v>0</v>
      </c>
      <c r="L68" s="21">
        <v>1200000</v>
      </c>
      <c r="M68" s="21">
        <v>6002598298</v>
      </c>
      <c r="O68" s="21">
        <v>6668802</v>
      </c>
      <c r="Q68" s="21">
        <v>4640</v>
      </c>
      <c r="S68" s="21">
        <v>22427520435</v>
      </c>
      <c r="U68" s="21">
        <v>30759128994</v>
      </c>
      <c r="W68" s="23">
        <v>9.064712626911095E-3</v>
      </c>
    </row>
    <row r="69" spans="1:23" ht="18.75" x14ac:dyDescent="0.45">
      <c r="A69" s="20" t="s">
        <v>75</v>
      </c>
      <c r="C69" s="21">
        <v>5155597</v>
      </c>
      <c r="E69" s="21">
        <v>8882657062</v>
      </c>
      <c r="G69" s="21">
        <v>15815506817</v>
      </c>
      <c r="N69" s="22"/>
      <c r="O69" s="21">
        <v>5155597</v>
      </c>
      <c r="Q69" s="21">
        <v>3587</v>
      </c>
      <c r="S69" s="21">
        <v>8882657062</v>
      </c>
      <c r="U69" s="21">
        <v>18383092337</v>
      </c>
      <c r="W69" s="23">
        <v>5.4174957054662198E-3</v>
      </c>
    </row>
    <row r="70" spans="1:23" ht="18.75" x14ac:dyDescent="0.45">
      <c r="A70" s="20" t="s">
        <v>76</v>
      </c>
      <c r="C70" s="21">
        <v>7919951</v>
      </c>
      <c r="E70" s="21">
        <v>28707355997</v>
      </c>
      <c r="G70" s="21">
        <v>48260431297</v>
      </c>
      <c r="I70" s="21">
        <v>2600000</v>
      </c>
      <c r="J70" s="21">
        <v>18283680723</v>
      </c>
      <c r="L70" s="21">
        <v>200000</v>
      </c>
      <c r="M70" s="21">
        <v>1461253530</v>
      </c>
      <c r="O70" s="21">
        <v>10319951</v>
      </c>
      <c r="Q70" s="21">
        <v>7290</v>
      </c>
      <c r="S70" s="21">
        <v>46097666842</v>
      </c>
      <c r="U70" s="21">
        <v>74784809755</v>
      </c>
      <c r="W70" s="23">
        <v>2.2039076900374096E-2</v>
      </c>
    </row>
    <row r="71" spans="1:23" ht="18.75" x14ac:dyDescent="0.45">
      <c r="A71" s="20" t="s">
        <v>77</v>
      </c>
      <c r="C71" s="21">
        <v>1313770</v>
      </c>
      <c r="E71" s="21">
        <v>27105671626</v>
      </c>
      <c r="G71" s="21">
        <v>54275409527</v>
      </c>
      <c r="I71" s="21">
        <v>0</v>
      </c>
      <c r="J71" s="21">
        <v>0</v>
      </c>
      <c r="L71" s="21">
        <v>105859</v>
      </c>
      <c r="M71" s="21">
        <v>4608373962</v>
      </c>
      <c r="O71" s="21">
        <v>1207911</v>
      </c>
      <c r="Q71" s="21">
        <v>36590</v>
      </c>
      <c r="S71" s="21">
        <v>24921591237</v>
      </c>
      <c r="U71" s="21">
        <v>43934488582</v>
      </c>
      <c r="W71" s="23">
        <v>1.2947489946279742E-2</v>
      </c>
    </row>
    <row r="72" spans="1:23" ht="18.75" x14ac:dyDescent="0.45">
      <c r="A72" s="20" t="s">
        <v>78</v>
      </c>
      <c r="H72" s="22"/>
      <c r="I72" s="21">
        <v>411</v>
      </c>
      <c r="J72" s="21">
        <v>999240</v>
      </c>
      <c r="L72" s="21">
        <v>0</v>
      </c>
      <c r="M72" s="21">
        <v>0</v>
      </c>
      <c r="O72" s="21">
        <v>411</v>
      </c>
      <c r="Q72" s="21">
        <v>2429</v>
      </c>
      <c r="S72" s="21">
        <v>999240</v>
      </c>
      <c r="U72" s="21">
        <v>992379</v>
      </c>
      <c r="W72" s="23">
        <v>2.9245400458953596E-7</v>
      </c>
    </row>
    <row r="73" spans="1:23" ht="37.5" x14ac:dyDescent="0.45">
      <c r="A73" s="20" t="s">
        <v>79</v>
      </c>
      <c r="C73" s="21">
        <v>8971553</v>
      </c>
      <c r="E73" s="21">
        <v>30227577878</v>
      </c>
      <c r="G73" s="21">
        <v>33291537045</v>
      </c>
      <c r="N73" s="22"/>
      <c r="O73" s="21">
        <v>8971553</v>
      </c>
      <c r="Q73" s="21">
        <v>3986</v>
      </c>
      <c r="S73" s="21">
        <v>30227577878</v>
      </c>
      <c r="U73" s="21">
        <v>35547834627</v>
      </c>
      <c r="W73" s="23">
        <v>1.047594375853653E-2</v>
      </c>
    </row>
    <row r="74" spans="1:23" ht="37.5" x14ac:dyDescent="0.45">
      <c r="A74" s="20" t="s">
        <v>80</v>
      </c>
      <c r="C74" s="21">
        <v>700000</v>
      </c>
      <c r="E74" s="21">
        <v>9143294580</v>
      </c>
      <c r="G74" s="21">
        <v>9887815350</v>
      </c>
      <c r="N74" s="22"/>
      <c r="O74" s="21">
        <v>700000</v>
      </c>
      <c r="Q74" s="21">
        <v>17730</v>
      </c>
      <c r="S74" s="21">
        <v>9143294580</v>
      </c>
      <c r="U74" s="21">
        <v>12337154550</v>
      </c>
      <c r="W74" s="23">
        <v>3.6357583679093516E-3</v>
      </c>
    </row>
    <row r="75" spans="1:23" ht="18.75" x14ac:dyDescent="0.45">
      <c r="A75" s="20" t="s">
        <v>81</v>
      </c>
      <c r="C75" s="21">
        <v>7700000</v>
      </c>
      <c r="E75" s="21">
        <v>48162624616</v>
      </c>
      <c r="G75" s="21">
        <v>45695484450</v>
      </c>
      <c r="N75" s="22"/>
      <c r="O75" s="21">
        <v>7700000</v>
      </c>
      <c r="Q75" s="21">
        <v>6110</v>
      </c>
      <c r="S75" s="21">
        <v>48162624616</v>
      </c>
      <c r="U75" s="21">
        <v>46767070350</v>
      </c>
      <c r="W75" s="23">
        <v>1.3782251545808659E-2</v>
      </c>
    </row>
    <row r="76" spans="1:23" ht="18.75" x14ac:dyDescent="0.45">
      <c r="A76" s="20" t="s">
        <v>82</v>
      </c>
      <c r="C76" s="21">
        <v>11300000</v>
      </c>
      <c r="E76" s="21">
        <v>86113300137</v>
      </c>
      <c r="G76" s="21">
        <v>111878339400</v>
      </c>
      <c r="I76" s="21">
        <v>0</v>
      </c>
      <c r="J76" s="21">
        <v>0</v>
      </c>
      <c r="L76" s="21">
        <v>800000</v>
      </c>
      <c r="M76" s="21">
        <v>8803306872</v>
      </c>
      <c r="O76" s="21">
        <v>10500000</v>
      </c>
      <c r="Q76" s="21">
        <v>11530</v>
      </c>
      <c r="S76" s="21">
        <v>80016783313</v>
      </c>
      <c r="U76" s="21">
        <v>120344663250</v>
      </c>
      <c r="W76" s="23">
        <v>3.5465561744496471E-2</v>
      </c>
    </row>
    <row r="77" spans="1:23" ht="18.75" x14ac:dyDescent="0.45">
      <c r="A77" s="20" t="s">
        <v>83</v>
      </c>
      <c r="C77" s="21">
        <v>1999999</v>
      </c>
      <c r="E77" s="21">
        <v>6177984518</v>
      </c>
      <c r="G77" s="21">
        <v>8743659428</v>
      </c>
      <c r="N77" s="22"/>
      <c r="O77" s="21">
        <v>1999999</v>
      </c>
      <c r="Q77" s="21">
        <v>5950</v>
      </c>
      <c r="S77" s="21">
        <v>6177984518</v>
      </c>
      <c r="U77" s="21">
        <v>11829189085</v>
      </c>
      <c r="W77" s="23">
        <v>3.4860609897580247E-3</v>
      </c>
    </row>
    <row r="78" spans="1:23" ht="18.75" x14ac:dyDescent="0.45">
      <c r="A78" s="20" t="s">
        <v>84</v>
      </c>
      <c r="C78" s="21">
        <v>18635760</v>
      </c>
      <c r="E78" s="21">
        <v>50117025665</v>
      </c>
      <c r="G78" s="21">
        <v>74118033789</v>
      </c>
      <c r="N78" s="22"/>
      <c r="O78" s="21">
        <v>18635760</v>
      </c>
      <c r="Q78" s="21">
        <v>4731</v>
      </c>
      <c r="S78" s="21">
        <v>50117025665</v>
      </c>
      <c r="U78" s="21">
        <v>87641194166</v>
      </c>
      <c r="W78" s="23">
        <v>2.5827852262951732E-2</v>
      </c>
    </row>
    <row r="79" spans="1:23" ht="18.75" x14ac:dyDescent="0.45">
      <c r="A79" s="20" t="s">
        <v>85</v>
      </c>
      <c r="C79" s="21">
        <v>25703048</v>
      </c>
      <c r="E79" s="21">
        <v>50829222952</v>
      </c>
      <c r="G79" s="21">
        <v>47088861695</v>
      </c>
      <c r="N79" s="22"/>
      <c r="O79" s="21">
        <v>25703048</v>
      </c>
      <c r="Q79" s="21">
        <v>1873</v>
      </c>
      <c r="S79" s="21">
        <v>50829222952</v>
      </c>
      <c r="U79" s="21">
        <v>47855365141</v>
      </c>
      <c r="W79" s="23">
        <v>1.4102971925625122E-2</v>
      </c>
    </row>
    <row r="80" spans="1:23" ht="18.75" x14ac:dyDescent="0.45">
      <c r="A80" s="20" t="s">
        <v>86</v>
      </c>
      <c r="C80" s="21">
        <v>177678</v>
      </c>
      <c r="E80" s="21">
        <v>6687778985</v>
      </c>
      <c r="G80" s="21">
        <v>7995624336</v>
      </c>
      <c r="N80" s="22"/>
      <c r="O80" s="21">
        <v>177678</v>
      </c>
      <c r="Q80" s="21">
        <v>50060</v>
      </c>
      <c r="S80" s="21">
        <v>6687778985</v>
      </c>
      <c r="U80" s="21">
        <v>8841638044</v>
      </c>
      <c r="W80" s="23">
        <v>2.6056299590166577E-3</v>
      </c>
    </row>
    <row r="81" spans="1:23" ht="37.5" x14ac:dyDescent="0.45">
      <c r="A81" s="20" t="s">
        <v>87</v>
      </c>
      <c r="C81" s="21">
        <v>123</v>
      </c>
      <c r="E81" s="21">
        <v>1662161</v>
      </c>
      <c r="G81" s="21">
        <v>3490756</v>
      </c>
      <c r="N81" s="22"/>
      <c r="O81" s="21">
        <v>123</v>
      </c>
      <c r="Q81" s="21">
        <v>38490</v>
      </c>
      <c r="S81" s="21">
        <v>1662161</v>
      </c>
      <c r="U81" s="21">
        <v>4706101</v>
      </c>
      <c r="W81" s="23">
        <v>1.3868875534980283E-6</v>
      </c>
    </row>
    <row r="82" spans="1:23" ht="18.75" x14ac:dyDescent="0.45">
      <c r="A82" s="20" t="s">
        <v>88</v>
      </c>
      <c r="C82" s="21">
        <v>4260000</v>
      </c>
      <c r="E82" s="21">
        <v>15356237176</v>
      </c>
      <c r="G82" s="21">
        <v>15735970548</v>
      </c>
      <c r="N82" s="22"/>
      <c r="O82" s="21">
        <v>4260000</v>
      </c>
      <c r="Q82" s="21">
        <v>4202</v>
      </c>
      <c r="S82" s="21">
        <v>15356237176</v>
      </c>
      <c r="U82" s="21">
        <v>17794011906</v>
      </c>
      <c r="W82" s="23">
        <v>5.2438937539222227E-3</v>
      </c>
    </row>
    <row r="83" spans="1:23" ht="18.75" x14ac:dyDescent="0.45">
      <c r="A83" s="20" t="s">
        <v>89</v>
      </c>
      <c r="C83" s="21">
        <v>3009494</v>
      </c>
      <c r="E83" s="21">
        <v>29761393564</v>
      </c>
      <c r="G83" s="21">
        <v>28719240103</v>
      </c>
      <c r="N83" s="22"/>
      <c r="O83" s="21">
        <v>3009494</v>
      </c>
      <c r="Q83" s="21">
        <v>10500</v>
      </c>
      <c r="S83" s="21">
        <v>29761393564</v>
      </c>
      <c r="U83" s="21">
        <v>31411668862</v>
      </c>
      <c r="W83" s="23">
        <v>9.2570160689941366E-3</v>
      </c>
    </row>
    <row r="84" spans="1:23" ht="18.75" x14ac:dyDescent="0.45">
      <c r="A84" s="20" t="s">
        <v>90</v>
      </c>
      <c r="C84" s="21">
        <v>4613772</v>
      </c>
      <c r="E84" s="21">
        <v>43269803786</v>
      </c>
      <c r="G84" s="21">
        <v>37424371662</v>
      </c>
      <c r="N84" s="22"/>
      <c r="O84" s="21">
        <v>4613772</v>
      </c>
      <c r="Q84" s="21">
        <v>8310</v>
      </c>
      <c r="S84" s="21">
        <v>43269803786</v>
      </c>
      <c r="U84" s="21">
        <v>38112319670</v>
      </c>
      <c r="W84" s="23">
        <v>1.1231697276633264E-2</v>
      </c>
    </row>
    <row r="85" spans="1:23" ht="18.75" x14ac:dyDescent="0.45">
      <c r="A85" s="20" t="s">
        <v>91</v>
      </c>
      <c r="C85" s="21">
        <v>400000</v>
      </c>
      <c r="E85" s="21">
        <v>1251159994</v>
      </c>
      <c r="G85" s="21">
        <v>1245743460</v>
      </c>
      <c r="N85" s="22"/>
      <c r="O85" s="21">
        <v>400000</v>
      </c>
      <c r="Q85" s="21">
        <v>3227</v>
      </c>
      <c r="S85" s="21">
        <v>1251159994</v>
      </c>
      <c r="U85" s="21">
        <v>1283119740</v>
      </c>
      <c r="W85" s="23">
        <v>3.7813527526366861E-4</v>
      </c>
    </row>
    <row r="86" spans="1:23" ht="18.75" x14ac:dyDescent="0.45">
      <c r="A86" s="20" t="s">
        <v>92</v>
      </c>
      <c r="C86" s="21">
        <v>407809</v>
      </c>
      <c r="E86" s="21">
        <v>15540146852</v>
      </c>
      <c r="G86" s="21">
        <v>15996394888</v>
      </c>
      <c r="N86" s="22"/>
      <c r="O86" s="21">
        <v>407809</v>
      </c>
      <c r="Q86" s="21">
        <v>33790</v>
      </c>
      <c r="S86" s="21">
        <v>15540146852</v>
      </c>
      <c r="U86" s="21">
        <v>13697875907</v>
      </c>
      <c r="W86" s="23">
        <v>4.0367628329223736E-3</v>
      </c>
    </row>
    <row r="87" spans="1:23" ht="18.75" x14ac:dyDescent="0.45">
      <c r="A87" s="20" t="s">
        <v>93</v>
      </c>
      <c r="C87" s="21">
        <v>6132725</v>
      </c>
      <c r="E87" s="21">
        <v>94586842051</v>
      </c>
      <c r="G87" s="21">
        <v>137774917469</v>
      </c>
      <c r="I87" s="21">
        <v>0</v>
      </c>
      <c r="J87" s="21">
        <v>0</v>
      </c>
      <c r="L87" s="21">
        <v>1132725</v>
      </c>
      <c r="M87" s="21">
        <v>31077194045</v>
      </c>
      <c r="O87" s="21">
        <v>5000000</v>
      </c>
      <c r="Q87" s="21">
        <v>27700</v>
      </c>
      <c r="S87" s="21">
        <v>77116487411</v>
      </c>
      <c r="U87" s="21">
        <v>137675925000</v>
      </c>
      <c r="W87" s="23">
        <v>4.0573083067878914E-2</v>
      </c>
    </row>
    <row r="88" spans="1:23" ht="18.75" x14ac:dyDescent="0.45">
      <c r="A88" s="20" t="s">
        <v>94</v>
      </c>
      <c r="C88" s="21">
        <v>50000</v>
      </c>
      <c r="E88" s="21">
        <v>10968169018</v>
      </c>
      <c r="G88" s="21">
        <v>14894348175</v>
      </c>
      <c r="N88" s="22"/>
      <c r="O88" s="21">
        <v>50000</v>
      </c>
      <c r="Q88" s="21">
        <v>281110</v>
      </c>
      <c r="S88" s="21">
        <v>10968169018</v>
      </c>
      <c r="U88" s="21">
        <v>13971869775</v>
      </c>
      <c r="W88" s="23">
        <v>4.1175088018813874E-3</v>
      </c>
    </row>
    <row r="89" spans="1:23" ht="18.75" x14ac:dyDescent="0.45">
      <c r="A89" s="20" t="s">
        <v>95</v>
      </c>
      <c r="C89" s="21">
        <v>1947948</v>
      </c>
      <c r="E89" s="21">
        <v>67434598284</v>
      </c>
      <c r="G89" s="21">
        <v>63318897097</v>
      </c>
      <c r="N89" s="22"/>
      <c r="O89" s="21">
        <v>1947948</v>
      </c>
      <c r="Q89" s="21">
        <v>31950</v>
      </c>
      <c r="S89" s="21">
        <v>67434598284</v>
      </c>
      <c r="U89" s="21">
        <v>61866628815</v>
      </c>
      <c r="W89" s="23">
        <v>1.8232090106099715E-2</v>
      </c>
    </row>
    <row r="90" spans="1:23" ht="37.5" x14ac:dyDescent="0.45">
      <c r="A90" s="20" t="s">
        <v>96</v>
      </c>
      <c r="C90" s="21">
        <v>450000</v>
      </c>
      <c r="E90" s="21">
        <v>2252043000</v>
      </c>
      <c r="G90" s="21">
        <v>10422614250</v>
      </c>
      <c r="N90" s="22"/>
      <c r="O90" s="21">
        <v>450000</v>
      </c>
      <c r="Q90" s="21">
        <v>19480</v>
      </c>
      <c r="S90" s="21">
        <v>2252043000</v>
      </c>
      <c r="U90" s="21">
        <v>8713842300</v>
      </c>
      <c r="W90" s="23">
        <v>2.5679685644261845E-3</v>
      </c>
    </row>
    <row r="91" spans="1:23" ht="18.75" x14ac:dyDescent="0.45">
      <c r="A91" s="20" t="s">
        <v>97</v>
      </c>
      <c r="C91" s="21">
        <v>3101480</v>
      </c>
      <c r="E91" s="21">
        <v>9075380333</v>
      </c>
      <c r="G91" s="21">
        <v>8617058212</v>
      </c>
      <c r="N91" s="22"/>
      <c r="O91" s="21">
        <v>3553700</v>
      </c>
      <c r="Q91" s="21">
        <v>2775</v>
      </c>
      <c r="S91" s="21">
        <v>10398641645</v>
      </c>
      <c r="U91" s="21">
        <v>9802841471</v>
      </c>
      <c r="W91" s="23">
        <v>2.8888965249671021E-3</v>
      </c>
    </row>
    <row r="92" spans="1:23" ht="18.75" x14ac:dyDescent="0.45">
      <c r="A92" s="20" t="s">
        <v>98</v>
      </c>
      <c r="C92" s="21">
        <v>452220</v>
      </c>
      <c r="E92" s="21">
        <v>871041312</v>
      </c>
      <c r="G92" s="21">
        <v>806905077</v>
      </c>
      <c r="N92" s="22"/>
      <c r="W92" s="23">
        <v>0</v>
      </c>
    </row>
    <row r="93" spans="1:23" ht="37.5" x14ac:dyDescent="0.45">
      <c r="A93" s="20" t="s">
        <v>99</v>
      </c>
      <c r="C93" s="21">
        <v>21600000</v>
      </c>
      <c r="E93" s="21">
        <v>27959586333</v>
      </c>
      <c r="G93" s="21">
        <v>29716528320</v>
      </c>
      <c r="N93" s="22"/>
      <c r="O93" s="21">
        <v>21600000</v>
      </c>
      <c r="Q93" s="21">
        <v>1376</v>
      </c>
      <c r="S93" s="21">
        <v>27959586333</v>
      </c>
      <c r="U93" s="21">
        <v>29544756480</v>
      </c>
      <c r="W93" s="23">
        <v>8.7068371531427435E-3</v>
      </c>
    </row>
    <row r="94" spans="1:23" ht="18.75" x14ac:dyDescent="0.45">
      <c r="A94" s="24" t="s">
        <v>100</v>
      </c>
      <c r="C94" s="24">
        <f>SUM(C11:$C$93)</f>
        <v>574627356</v>
      </c>
      <c r="E94" s="24">
        <f>SUM(E11:$E$93)</f>
        <v>2569344014837</v>
      </c>
      <c r="G94" s="24">
        <f>SUM(G11:$G$93)</f>
        <v>3110824737354</v>
      </c>
      <c r="I94" s="24">
        <f>SUM(I11:$I$93)</f>
        <v>9191817</v>
      </c>
      <c r="J94" s="24">
        <f>SUM(J11:$J$93)</f>
        <v>46906466380</v>
      </c>
      <c r="L94" s="24">
        <f>SUM(L11:$L$93)</f>
        <v>37668330</v>
      </c>
      <c r="M94" s="24">
        <f>SUM(M11:$M$93)</f>
        <v>281258612889</v>
      </c>
      <c r="O94" s="24">
        <f>SUM(O11:$O$93)</f>
        <v>549394603</v>
      </c>
      <c r="Q94" s="24">
        <f>SUM(Q11:$Q$93)</f>
        <v>1473273</v>
      </c>
      <c r="S94" s="24">
        <f>SUM(S11:$S$93)</f>
        <v>2430685680635</v>
      </c>
      <c r="U94" s="24">
        <f>SUM(U11:$U$93)</f>
        <v>3193050486849</v>
      </c>
      <c r="W94" s="25">
        <f>SUM(W11:$W$93)</f>
        <v>0.94099169947727401</v>
      </c>
    </row>
    <row r="95" spans="1:23" ht="18.75" x14ac:dyDescent="0.45">
      <c r="C95" s="26"/>
      <c r="E95" s="26"/>
      <c r="G95" s="26"/>
      <c r="I95" s="26"/>
      <c r="J95" s="26"/>
      <c r="L95" s="26"/>
      <c r="M95" s="26"/>
      <c r="O95" s="26"/>
      <c r="Q95" s="26"/>
      <c r="S95" s="26"/>
      <c r="U95" s="26"/>
      <c r="W95" s="26"/>
    </row>
    <row r="99" spans="21:21" x14ac:dyDescent="0.45">
      <c r="U99" s="36"/>
    </row>
  </sheetData>
  <mergeCells count="19">
    <mergeCell ref="C8:G8"/>
    <mergeCell ref="I8:M8"/>
    <mergeCell ref="O8:W8"/>
    <mergeCell ref="A9:A10"/>
    <mergeCell ref="C9:C10"/>
    <mergeCell ref="E9:E10"/>
    <mergeCell ref="G9:G10"/>
    <mergeCell ref="I9:J9"/>
    <mergeCell ref="L9:M9"/>
    <mergeCell ref="O9:O10"/>
    <mergeCell ref="Q9:Q10"/>
    <mergeCell ref="S9:S10"/>
    <mergeCell ref="U9:U10"/>
    <mergeCell ref="W9:W10"/>
    <mergeCell ref="A1:W1"/>
    <mergeCell ref="A2:W2"/>
    <mergeCell ref="A3:W3"/>
    <mergeCell ref="A5:W5"/>
    <mergeCell ref="A6:W6"/>
  </mergeCells>
  <pageMargins left="0.7" right="0.7" top="0.75" bottom="0.75" header="0.3" footer="0.3"/>
  <pageSetup paperSize="9" scale="58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22"/>
  <sheetViews>
    <sheetView rightToLeft="1" view="pageBreakPreview" zoomScale="60" zoomScaleNormal="100" workbookViewId="0">
      <selection sqref="A1:XFD1048576"/>
    </sheetView>
  </sheetViews>
  <sheetFormatPr defaultRowHeight="18" x14ac:dyDescent="0.45"/>
  <cols>
    <col min="1" max="1" width="17" style="12" customWidth="1"/>
    <col min="2" max="2" width="1.42578125" style="12" customWidth="1"/>
    <col min="3" max="3" width="12.7109375" style="12" customWidth="1"/>
    <col min="4" max="4" width="1.42578125" style="12" customWidth="1"/>
    <col min="5" max="5" width="17" style="12" customWidth="1"/>
    <col min="6" max="6" width="1.42578125" style="12" customWidth="1"/>
    <col min="7" max="7" width="17" style="12" customWidth="1"/>
    <col min="8" max="8" width="1.42578125" style="12" customWidth="1"/>
    <col min="9" max="9" width="11.42578125" style="12" customWidth="1"/>
    <col min="10" max="10" width="17" style="12" customWidth="1"/>
    <col min="11" max="11" width="1.42578125" style="12" customWidth="1"/>
    <col min="12" max="12" width="11.42578125" style="12" customWidth="1"/>
    <col min="13" max="13" width="17" style="12" customWidth="1"/>
    <col min="14" max="14" width="1.42578125" style="12" customWidth="1"/>
    <col min="15" max="15" width="12.7109375" style="12" customWidth="1"/>
    <col min="16" max="16" width="1.42578125" style="12" customWidth="1"/>
    <col min="17" max="17" width="11.42578125" style="12" customWidth="1"/>
    <col min="18" max="18" width="1.42578125" style="12" customWidth="1"/>
    <col min="19" max="19" width="17" style="12" customWidth="1"/>
    <col min="20" max="20" width="1.42578125" style="12" customWidth="1"/>
    <col min="21" max="21" width="17" style="12" customWidth="1"/>
    <col min="22" max="22" width="1.42578125" style="12" customWidth="1"/>
    <col min="23" max="23" width="8.5703125" style="12" customWidth="1"/>
    <col min="24" max="16384" width="9.140625" style="12"/>
  </cols>
  <sheetData>
    <row r="1" spans="1:24" ht="20.100000000000001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4" ht="20.100000000000001" customHeight="1" x14ac:dyDescent="0.4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 spans="1:24" ht="20.100000000000001" customHeight="1" x14ac:dyDescent="0.4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</row>
    <row r="5" spans="1:24" ht="21" x14ac:dyDescent="0.45">
      <c r="A5" s="13" t="s">
        <v>101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</row>
    <row r="7" spans="1:24" ht="21" x14ac:dyDescent="0.45">
      <c r="A7" s="14" t="s">
        <v>102</v>
      </c>
      <c r="B7" s="15"/>
      <c r="C7" s="15"/>
      <c r="D7" s="15"/>
      <c r="E7" s="15"/>
      <c r="F7" s="15"/>
      <c r="G7" s="15"/>
      <c r="I7" s="14" t="s">
        <v>5</v>
      </c>
      <c r="J7" s="15"/>
      <c r="K7" s="15"/>
      <c r="L7" s="15"/>
      <c r="M7" s="15"/>
      <c r="O7" s="14" t="s">
        <v>7</v>
      </c>
      <c r="P7" s="15"/>
      <c r="Q7" s="15"/>
      <c r="R7" s="15"/>
      <c r="S7" s="15"/>
      <c r="T7" s="15"/>
      <c r="U7" s="15"/>
      <c r="V7" s="15"/>
      <c r="W7" s="15"/>
    </row>
    <row r="8" spans="1:24" x14ac:dyDescent="0.45">
      <c r="A8" s="16"/>
      <c r="B8" s="11"/>
      <c r="C8" s="11"/>
      <c r="D8" s="11"/>
      <c r="E8" s="11"/>
      <c r="F8" s="11"/>
      <c r="G8" s="11"/>
      <c r="I8" s="16" t="s">
        <v>103</v>
      </c>
      <c r="J8" s="16" t="s">
        <v>104</v>
      </c>
      <c r="L8" s="16" t="s">
        <v>105</v>
      </c>
      <c r="M8" s="16" t="s">
        <v>106</v>
      </c>
      <c r="O8" s="16" t="s">
        <v>103</v>
      </c>
      <c r="Q8" s="16" t="s">
        <v>104</v>
      </c>
      <c r="S8" s="17" t="s">
        <v>105</v>
      </c>
      <c r="U8" s="16" t="s">
        <v>106</v>
      </c>
    </row>
    <row r="9" spans="1:24" x14ac:dyDescent="0.45">
      <c r="A9" s="11"/>
      <c r="B9" s="11"/>
      <c r="C9" s="11"/>
      <c r="D9" s="11"/>
      <c r="E9" s="11"/>
      <c r="F9" s="11"/>
      <c r="G9" s="11"/>
      <c r="I9" s="11"/>
      <c r="J9" s="11"/>
      <c r="L9" s="11"/>
      <c r="M9" s="11"/>
      <c r="O9" s="11"/>
      <c r="Q9" s="11"/>
      <c r="S9" s="11"/>
      <c r="U9" s="11"/>
    </row>
    <row r="10" spans="1:24" x14ac:dyDescent="0.45">
      <c r="A10" s="16" t="s">
        <v>107</v>
      </c>
      <c r="B10" s="11"/>
      <c r="C10" s="11"/>
      <c r="D10" s="11"/>
      <c r="E10" s="11"/>
      <c r="F10" s="11"/>
      <c r="G10" s="11"/>
      <c r="I10" s="35">
        <v>123</v>
      </c>
      <c r="J10" s="35">
        <v>17550</v>
      </c>
      <c r="L10" s="16" t="s">
        <v>108</v>
      </c>
      <c r="M10" s="37" t="s">
        <v>201</v>
      </c>
      <c r="O10" s="35">
        <v>123</v>
      </c>
      <c r="Q10" s="35">
        <v>17550</v>
      </c>
      <c r="S10" s="16" t="s">
        <v>108</v>
      </c>
      <c r="U10" s="37" t="s">
        <v>201</v>
      </c>
    </row>
    <row r="11" spans="1:24" x14ac:dyDescent="0.45">
      <c r="A11" s="11"/>
      <c r="B11" s="11"/>
      <c r="C11" s="11"/>
      <c r="D11" s="11"/>
      <c r="E11" s="11"/>
      <c r="F11" s="11"/>
      <c r="G11" s="11"/>
      <c r="I11" s="11"/>
      <c r="J11" s="11"/>
      <c r="L11" s="11"/>
      <c r="M11" s="11"/>
      <c r="O11" s="11"/>
      <c r="Q11" s="11"/>
      <c r="S11" s="11"/>
      <c r="U11" s="11"/>
    </row>
    <row r="13" spans="1:24" ht="21" x14ac:dyDescent="0.45">
      <c r="A13" s="13" t="s">
        <v>109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  <row r="15" spans="1:24" ht="21" x14ac:dyDescent="0.45">
      <c r="A15" s="14" t="s">
        <v>102</v>
      </c>
      <c r="B15" s="15"/>
      <c r="C15" s="15"/>
      <c r="D15" s="15"/>
      <c r="E15" s="15"/>
      <c r="F15" s="15"/>
      <c r="G15" s="15"/>
      <c r="I15" s="14" t="s">
        <v>5</v>
      </c>
      <c r="J15" s="15"/>
      <c r="K15" s="15"/>
      <c r="L15" s="15"/>
      <c r="M15" s="15"/>
      <c r="N15" s="15"/>
      <c r="O15" s="15"/>
      <c r="Q15" s="14" t="s">
        <v>7</v>
      </c>
      <c r="R15" s="15"/>
      <c r="S15" s="15"/>
      <c r="T15" s="15"/>
      <c r="U15" s="15"/>
      <c r="V15" s="15"/>
      <c r="W15" s="15"/>
      <c r="X15" s="15"/>
    </row>
    <row r="16" spans="1:24" x14ac:dyDescent="0.45">
      <c r="A16" s="16"/>
      <c r="B16" s="11"/>
      <c r="C16" s="11"/>
      <c r="D16" s="11"/>
      <c r="E16" s="11"/>
      <c r="F16" s="11"/>
      <c r="G16" s="11"/>
      <c r="I16" s="16" t="s">
        <v>110</v>
      </c>
      <c r="J16" s="16" t="s">
        <v>111</v>
      </c>
      <c r="L16" s="16" t="s">
        <v>112</v>
      </c>
      <c r="M16" s="16" t="s">
        <v>104</v>
      </c>
      <c r="O16" s="16" t="s">
        <v>105</v>
      </c>
      <c r="Q16" s="16" t="s">
        <v>110</v>
      </c>
      <c r="S16" s="16" t="s">
        <v>111</v>
      </c>
      <c r="U16" s="16" t="s">
        <v>112</v>
      </c>
      <c r="W16" s="16" t="s">
        <v>104</v>
      </c>
      <c r="X16" s="16" t="s">
        <v>105</v>
      </c>
    </row>
    <row r="17" spans="1:24" x14ac:dyDescent="0.45">
      <c r="A17" s="11"/>
      <c r="B17" s="11"/>
      <c r="C17" s="11"/>
      <c r="D17" s="11"/>
      <c r="E17" s="11"/>
      <c r="F17" s="11"/>
      <c r="G17" s="11"/>
      <c r="I17" s="11"/>
      <c r="J17" s="11"/>
      <c r="L17" s="11"/>
      <c r="M17" s="11"/>
      <c r="O17" s="11"/>
      <c r="Q17" s="11"/>
      <c r="S17" s="11"/>
      <c r="U17" s="11"/>
      <c r="W17" s="11"/>
      <c r="X17" s="11"/>
    </row>
    <row r="19" spans="1:24" ht="21" x14ac:dyDescent="0.45">
      <c r="A19" s="13" t="s">
        <v>113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 spans="1:24" ht="21" x14ac:dyDescent="0.45">
      <c r="A20" s="14" t="s">
        <v>102</v>
      </c>
      <c r="B20" s="15"/>
      <c r="C20" s="15"/>
      <c r="D20" s="15"/>
      <c r="E20" s="15"/>
      <c r="F20" s="15"/>
      <c r="G20" s="15"/>
      <c r="I20" s="14" t="s">
        <v>5</v>
      </c>
      <c r="J20" s="15"/>
      <c r="K20" s="15"/>
      <c r="L20" s="15"/>
      <c r="M20" s="15"/>
      <c r="O20" s="14" t="s">
        <v>7</v>
      </c>
      <c r="P20" s="15"/>
      <c r="Q20" s="15"/>
      <c r="R20" s="15"/>
      <c r="S20" s="15"/>
      <c r="T20" s="15"/>
      <c r="U20" s="15"/>
      <c r="V20" s="15"/>
      <c r="W20" s="15"/>
    </row>
    <row r="21" spans="1:24" x14ac:dyDescent="0.45">
      <c r="A21" s="16"/>
      <c r="B21" s="11"/>
      <c r="C21" s="11"/>
      <c r="D21" s="11"/>
      <c r="E21" s="11"/>
      <c r="F21" s="11"/>
      <c r="G21" s="11"/>
      <c r="I21" s="16" t="s">
        <v>111</v>
      </c>
      <c r="J21" s="16" t="s">
        <v>112</v>
      </c>
      <c r="L21" s="16" t="s">
        <v>104</v>
      </c>
      <c r="M21" s="16" t="s">
        <v>105</v>
      </c>
      <c r="O21" s="16" t="s">
        <v>111</v>
      </c>
      <c r="Q21" s="16" t="s">
        <v>112</v>
      </c>
      <c r="S21" s="16" t="s">
        <v>104</v>
      </c>
      <c r="U21" s="16" t="s">
        <v>105</v>
      </c>
    </row>
    <row r="22" spans="1:24" x14ac:dyDescent="0.45">
      <c r="A22" s="11"/>
      <c r="B22" s="11"/>
      <c r="C22" s="11"/>
      <c r="D22" s="11"/>
      <c r="E22" s="11"/>
      <c r="F22" s="11"/>
      <c r="G22" s="11"/>
      <c r="I22" s="11"/>
      <c r="J22" s="11"/>
      <c r="L22" s="11"/>
      <c r="M22" s="11"/>
      <c r="O22" s="11"/>
      <c r="Q22" s="11"/>
      <c r="S22" s="11"/>
      <c r="U22" s="11"/>
    </row>
  </sheetData>
  <mergeCells count="53">
    <mergeCell ref="A19:W19"/>
    <mergeCell ref="A20:G20"/>
    <mergeCell ref="I20:M20"/>
    <mergeCell ref="O20:W20"/>
    <mergeCell ref="A21:G22"/>
    <mergeCell ref="I21:I22"/>
    <mergeCell ref="J21:J22"/>
    <mergeCell ref="L21:L22"/>
    <mergeCell ref="M21:M22"/>
    <mergeCell ref="O21:O22"/>
    <mergeCell ref="Q21:Q22"/>
    <mergeCell ref="S21:S22"/>
    <mergeCell ref="U21:U22"/>
    <mergeCell ref="A13:W13"/>
    <mergeCell ref="A15:G15"/>
    <mergeCell ref="I15:O15"/>
    <mergeCell ref="Q15:X15"/>
    <mergeCell ref="A16:G17"/>
    <mergeCell ref="I16:I17"/>
    <mergeCell ref="J16:J17"/>
    <mergeCell ref="L16:L17"/>
    <mergeCell ref="M16:M17"/>
    <mergeCell ref="O16:O17"/>
    <mergeCell ref="Q16:Q17"/>
    <mergeCell ref="S16:S17"/>
    <mergeCell ref="U16:U17"/>
    <mergeCell ref="W16:W17"/>
    <mergeCell ref="X16:X17"/>
    <mergeCell ref="O8:O9"/>
    <mergeCell ref="Q8:Q9"/>
    <mergeCell ref="S8:S9"/>
    <mergeCell ref="U8:U9"/>
    <mergeCell ref="A10:G11"/>
    <mergeCell ref="I10:I11"/>
    <mergeCell ref="J10:J11"/>
    <mergeCell ref="L10:L11"/>
    <mergeCell ref="M10:M11"/>
    <mergeCell ref="O10:O11"/>
    <mergeCell ref="Q10:Q11"/>
    <mergeCell ref="S10:S11"/>
    <mergeCell ref="U10:U11"/>
    <mergeCell ref="A8:G9"/>
    <mergeCell ref="I8:I9"/>
    <mergeCell ref="J8:J9"/>
    <mergeCell ref="L8:L9"/>
    <mergeCell ref="M8:M9"/>
    <mergeCell ref="A1:W1"/>
    <mergeCell ref="A2:W2"/>
    <mergeCell ref="A3:W3"/>
    <mergeCell ref="A5:W5"/>
    <mergeCell ref="A7:G7"/>
    <mergeCell ref="I7:M7"/>
    <mergeCell ref="O7:W7"/>
  </mergeCells>
  <pageMargins left="0.7" right="0.7" top="0.75" bottom="0.75" header="0.3" footer="0.3"/>
  <pageSetup paperSize="9" scale="62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I11"/>
  <sheetViews>
    <sheetView rightToLeft="1" view="pageBreakPreview" zoomScale="60" zoomScaleNormal="100" workbookViewId="0">
      <selection sqref="A1:XFD1048576"/>
    </sheetView>
  </sheetViews>
  <sheetFormatPr defaultRowHeight="18" x14ac:dyDescent="0.45"/>
  <cols>
    <col min="1" max="1" width="17" style="12" customWidth="1"/>
    <col min="2" max="2" width="1.42578125" style="12" customWidth="1"/>
    <col min="3" max="3" width="8.5703125" style="12" customWidth="1"/>
    <col min="4" max="4" width="1.42578125" style="12" customWidth="1"/>
    <col min="5" max="5" width="11.42578125" style="12" customWidth="1"/>
    <col min="6" max="6" width="1.42578125" style="12" customWidth="1"/>
    <col min="7" max="7" width="11.42578125" style="12" customWidth="1"/>
    <col min="8" max="8" width="1.42578125" style="12" customWidth="1"/>
    <col min="9" max="9" width="11.42578125" style="12" customWidth="1"/>
    <col min="10" max="10" width="1.42578125" style="12" customWidth="1"/>
    <col min="11" max="11" width="7.140625" style="12" customWidth="1"/>
    <col min="12" max="12" width="1.42578125" style="12" customWidth="1"/>
    <col min="13" max="13" width="7.140625" style="12" customWidth="1"/>
    <col min="14" max="14" width="1.42578125" style="12" customWidth="1"/>
    <col min="15" max="15" width="11.42578125" style="12" customWidth="1"/>
    <col min="16" max="16" width="1.42578125" style="12" customWidth="1"/>
    <col min="17" max="17" width="18.42578125" style="12" customWidth="1"/>
    <col min="18" max="18" width="1.42578125" style="12" customWidth="1"/>
    <col min="19" max="19" width="18.42578125" style="12" customWidth="1"/>
    <col min="20" max="20" width="1.42578125" style="12" customWidth="1"/>
    <col min="21" max="21" width="11.42578125" style="12" customWidth="1"/>
    <col min="22" max="22" width="18.42578125" style="12" customWidth="1"/>
    <col min="23" max="23" width="1.42578125" style="12" customWidth="1"/>
    <col min="24" max="24" width="11.42578125" style="12" customWidth="1"/>
    <col min="25" max="25" width="18.42578125" style="12" customWidth="1"/>
    <col min="26" max="26" width="1.42578125" style="12" customWidth="1"/>
    <col min="27" max="27" width="11.42578125" style="12" customWidth="1"/>
    <col min="28" max="28" width="1.42578125" style="12" customWidth="1"/>
    <col min="29" max="29" width="11.42578125" style="12" customWidth="1"/>
    <col min="30" max="30" width="1.42578125" style="12" customWidth="1"/>
    <col min="31" max="31" width="18.42578125" style="12" customWidth="1"/>
    <col min="32" max="32" width="1.42578125" style="12" customWidth="1"/>
    <col min="33" max="33" width="18.42578125" style="12" customWidth="1"/>
    <col min="34" max="34" width="1.42578125" style="12" customWidth="1"/>
    <col min="35" max="35" width="8.5703125" style="12" customWidth="1"/>
    <col min="36" max="16384" width="9.140625" style="12"/>
  </cols>
  <sheetData>
    <row r="1" spans="1:35" ht="20.100000000000001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</row>
    <row r="2" spans="1:35" ht="20.100000000000001" customHeight="1" x14ac:dyDescent="0.4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</row>
    <row r="3" spans="1:35" ht="20.100000000000001" customHeight="1" x14ac:dyDescent="0.4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</row>
    <row r="5" spans="1:35" ht="21" x14ac:dyDescent="0.45">
      <c r="A5" s="13" t="s">
        <v>114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</row>
    <row r="7" spans="1:35" ht="21" x14ac:dyDescent="0.45">
      <c r="C7" s="14" t="s">
        <v>115</v>
      </c>
      <c r="D7" s="15"/>
      <c r="E7" s="15"/>
      <c r="F7" s="15"/>
      <c r="G7" s="15"/>
      <c r="H7" s="15"/>
      <c r="I7" s="15"/>
      <c r="J7" s="15"/>
      <c r="K7" s="15"/>
      <c r="L7" s="15"/>
      <c r="M7" s="15"/>
      <c r="O7" s="14" t="s">
        <v>5</v>
      </c>
      <c r="P7" s="15"/>
      <c r="Q7" s="15"/>
      <c r="R7" s="15"/>
      <c r="S7" s="15"/>
      <c r="U7" s="14" t="s">
        <v>6</v>
      </c>
      <c r="V7" s="15"/>
      <c r="W7" s="15"/>
      <c r="X7" s="15"/>
      <c r="Y7" s="15"/>
      <c r="AA7" s="14" t="s">
        <v>7</v>
      </c>
      <c r="AB7" s="15"/>
      <c r="AC7" s="15"/>
      <c r="AD7" s="15"/>
      <c r="AE7" s="15"/>
      <c r="AF7" s="15"/>
      <c r="AG7" s="15"/>
      <c r="AH7" s="15"/>
      <c r="AI7" s="15"/>
    </row>
    <row r="8" spans="1:35" ht="18.75" x14ac:dyDescent="0.45">
      <c r="A8" s="16" t="s">
        <v>116</v>
      </c>
      <c r="C8" s="17" t="s">
        <v>117</v>
      </c>
      <c r="E8" s="17" t="s">
        <v>118</v>
      </c>
      <c r="G8" s="17" t="s">
        <v>119</v>
      </c>
      <c r="I8" s="17" t="s">
        <v>120</v>
      </c>
      <c r="K8" s="17" t="s">
        <v>121</v>
      </c>
      <c r="M8" s="17" t="s">
        <v>122</v>
      </c>
      <c r="O8" s="16" t="s">
        <v>9</v>
      </c>
      <c r="Q8" s="16" t="s">
        <v>10</v>
      </c>
      <c r="S8" s="16" t="s">
        <v>11</v>
      </c>
      <c r="U8" s="16" t="s">
        <v>12</v>
      </c>
      <c r="V8" s="11"/>
      <c r="X8" s="16" t="s">
        <v>13</v>
      </c>
      <c r="Y8" s="11"/>
      <c r="AA8" s="16" t="s">
        <v>9</v>
      </c>
      <c r="AC8" s="17" t="s">
        <v>123</v>
      </c>
      <c r="AE8" s="16" t="s">
        <v>10</v>
      </c>
      <c r="AG8" s="16" t="s">
        <v>11</v>
      </c>
      <c r="AI8" s="17" t="s">
        <v>15</v>
      </c>
    </row>
    <row r="9" spans="1:35" ht="18.75" x14ac:dyDescent="0.45">
      <c r="A9" s="18"/>
      <c r="C9" s="18"/>
      <c r="E9" s="18"/>
      <c r="G9" s="18"/>
      <c r="I9" s="18"/>
      <c r="K9" s="18"/>
      <c r="M9" s="18"/>
      <c r="O9" s="18"/>
      <c r="Q9" s="18"/>
      <c r="S9" s="18"/>
      <c r="U9" s="19" t="s">
        <v>9</v>
      </c>
      <c r="V9" s="19" t="s">
        <v>10</v>
      </c>
      <c r="X9" s="19" t="s">
        <v>9</v>
      </c>
      <c r="Y9" s="19" t="s">
        <v>16</v>
      </c>
      <c r="AA9" s="18"/>
      <c r="AC9" s="18"/>
      <c r="AE9" s="18"/>
      <c r="AG9" s="18"/>
      <c r="AI9" s="18"/>
    </row>
    <row r="10" spans="1:35" ht="18.75" x14ac:dyDescent="0.45">
      <c r="A10" s="24" t="s">
        <v>100</v>
      </c>
      <c r="O10" s="24">
        <f>SUM($O$9)</f>
        <v>0</v>
      </c>
      <c r="Q10" s="24">
        <f>SUM($Q$9)</f>
        <v>0</v>
      </c>
      <c r="S10" s="24">
        <f>SUM($S$9)</f>
        <v>0</v>
      </c>
      <c r="U10" s="24">
        <f>SUM($U$9)</f>
        <v>0</v>
      </c>
      <c r="V10" s="24">
        <f>SUM($V$9)</f>
        <v>0</v>
      </c>
      <c r="X10" s="24">
        <f>SUM($X$9)</f>
        <v>0</v>
      </c>
      <c r="Y10" s="24">
        <f>SUM($Y$9)</f>
        <v>0</v>
      </c>
      <c r="AA10" s="24">
        <f>SUM($AA$9)</f>
        <v>0</v>
      </c>
      <c r="AC10" s="24">
        <f>SUM($AC$9)</f>
        <v>0</v>
      </c>
      <c r="AE10" s="24">
        <f>SUM($AE$9)</f>
        <v>0</v>
      </c>
      <c r="AG10" s="24">
        <f>SUM($AG$9)</f>
        <v>0</v>
      </c>
      <c r="AI10" s="25">
        <f>SUM($AI$9)</f>
        <v>0</v>
      </c>
    </row>
    <row r="11" spans="1:35" ht="18.75" x14ac:dyDescent="0.45">
      <c r="O11" s="26"/>
      <c r="Q11" s="26"/>
      <c r="S11" s="26"/>
      <c r="U11" s="26"/>
      <c r="V11" s="26"/>
      <c r="X11" s="26"/>
      <c r="Y11" s="26"/>
      <c r="AA11" s="26"/>
      <c r="AC11" s="26"/>
      <c r="AE11" s="26"/>
      <c r="AG11" s="26"/>
      <c r="AI11" s="26"/>
    </row>
  </sheetData>
  <mergeCells count="25">
    <mergeCell ref="AG8:AG9"/>
    <mergeCell ref="AI8:AI9"/>
    <mergeCell ref="U8:V8"/>
    <mergeCell ref="X8:Y8"/>
    <mergeCell ref="AA8:AA9"/>
    <mergeCell ref="AC8:AC9"/>
    <mergeCell ref="AE8:AE9"/>
    <mergeCell ref="K8:K9"/>
    <mergeCell ref="M8:M9"/>
    <mergeCell ref="O8:O9"/>
    <mergeCell ref="Q8:Q9"/>
    <mergeCell ref="S8:S9"/>
    <mergeCell ref="A8:A9"/>
    <mergeCell ref="C8:C9"/>
    <mergeCell ref="E8:E9"/>
    <mergeCell ref="G8:G9"/>
    <mergeCell ref="I8:I9"/>
    <mergeCell ref="A1:AI1"/>
    <mergeCell ref="A2:AI2"/>
    <mergeCell ref="A3:AI3"/>
    <mergeCell ref="A5:AI5"/>
    <mergeCell ref="C7:M7"/>
    <mergeCell ref="O7:S7"/>
    <mergeCell ref="U7:Y7"/>
    <mergeCell ref="AA7:AI7"/>
  </mergeCells>
  <pageMargins left="0.7" right="0.7" top="0.75" bottom="0.75" header="0.3" footer="0.3"/>
  <pageSetup paperSize="9" scale="48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11"/>
  <sheetViews>
    <sheetView rightToLeft="1" view="pageBreakPreview" zoomScale="60" zoomScaleNormal="100" workbookViewId="0">
      <selection sqref="A1:XFD1048576"/>
    </sheetView>
  </sheetViews>
  <sheetFormatPr defaultRowHeight="18" x14ac:dyDescent="0.45"/>
  <cols>
    <col min="1" max="1" width="28.42578125" style="12" customWidth="1"/>
    <col min="2" max="2" width="1.42578125" style="12" customWidth="1"/>
    <col min="3" max="3" width="11.42578125" style="12" customWidth="1"/>
    <col min="4" max="4" width="1.42578125" style="12" customWidth="1"/>
    <col min="5" max="5" width="11.42578125" style="12" customWidth="1"/>
    <col min="6" max="6" width="1.42578125" style="12" customWidth="1"/>
    <col min="7" max="7" width="14.140625" style="12" customWidth="1"/>
    <col min="8" max="8" width="1.42578125" style="12" customWidth="1"/>
    <col min="9" max="9" width="8.5703125" style="12" customWidth="1"/>
    <col min="10" max="10" width="1.42578125" style="12" customWidth="1"/>
    <col min="11" max="11" width="21.28515625" style="12" customWidth="1"/>
    <col min="12" max="12" width="1.42578125" style="12" customWidth="1"/>
    <col min="13" max="13" width="28.42578125" style="12" customWidth="1"/>
    <col min="14" max="16384" width="9.140625" style="12"/>
  </cols>
  <sheetData>
    <row r="1" spans="1:13" ht="20.100000000000001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0.100000000000001" customHeight="1" x14ac:dyDescent="0.4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20.100000000000001" customHeight="1" x14ac:dyDescent="0.4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5" spans="1:13" ht="21" x14ac:dyDescent="0.45">
      <c r="A5" s="13" t="s">
        <v>124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21" x14ac:dyDescent="0.45">
      <c r="A6" s="13" t="s">
        <v>125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</row>
    <row r="8" spans="1:13" ht="21" x14ac:dyDescent="0.45">
      <c r="C8" s="14" t="s">
        <v>7</v>
      </c>
      <c r="D8" s="15"/>
      <c r="E8" s="15"/>
      <c r="F8" s="15"/>
      <c r="G8" s="15"/>
      <c r="H8" s="15"/>
      <c r="I8" s="15"/>
      <c r="J8" s="15"/>
      <c r="K8" s="15"/>
      <c r="L8" s="15"/>
      <c r="M8" s="15"/>
    </row>
    <row r="9" spans="1:13" ht="42" x14ac:dyDescent="0.45">
      <c r="A9" s="27" t="s">
        <v>126</v>
      </c>
      <c r="C9" s="27" t="s">
        <v>9</v>
      </c>
      <c r="E9" s="27" t="s">
        <v>127</v>
      </c>
      <c r="G9" s="27" t="s">
        <v>128</v>
      </c>
      <c r="I9" s="27" t="s">
        <v>129</v>
      </c>
      <c r="K9" s="28" t="s">
        <v>130</v>
      </c>
      <c r="M9" s="27" t="s">
        <v>131</v>
      </c>
    </row>
    <row r="10" spans="1:13" ht="18.75" x14ac:dyDescent="0.45">
      <c r="A10" s="24" t="s">
        <v>100</v>
      </c>
      <c r="K10" s="24">
        <f>SUM($K$9)</f>
        <v>0</v>
      </c>
    </row>
    <row r="11" spans="1:13" ht="18.75" x14ac:dyDescent="0.45">
      <c r="K11" s="26"/>
    </row>
  </sheetData>
  <mergeCells count="6">
    <mergeCell ref="C8:M8"/>
    <mergeCell ref="A1:M1"/>
    <mergeCell ref="A2:M2"/>
    <mergeCell ref="A3:M3"/>
    <mergeCell ref="A5:M5"/>
    <mergeCell ref="A6:M6"/>
  </mergeCells>
  <pageMargins left="0.7" right="0.7" top="0.75" bottom="0.75" header="0.3" footer="0.3"/>
  <pageSetup paperSize="9" scale="9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17"/>
  <sheetViews>
    <sheetView rightToLeft="1" view="pageBreakPreview" zoomScale="60" zoomScaleNormal="100" workbookViewId="0">
      <selection sqref="A1:XFD1048576"/>
    </sheetView>
  </sheetViews>
  <sheetFormatPr defaultRowHeight="18" x14ac:dyDescent="0.45"/>
  <cols>
    <col min="1" max="1" width="21.28515625" style="12" customWidth="1"/>
    <col min="2" max="2" width="1.42578125" style="12" customWidth="1"/>
    <col min="3" max="3" width="18.42578125" style="12" customWidth="1"/>
    <col min="4" max="4" width="1.42578125" style="12" customWidth="1"/>
    <col min="5" max="5" width="18.42578125" style="12" customWidth="1"/>
    <col min="6" max="6" width="1.42578125" style="12" customWidth="1"/>
    <col min="7" max="7" width="18.42578125" style="12" customWidth="1"/>
    <col min="8" max="8" width="1.42578125" style="12" customWidth="1"/>
    <col min="9" max="9" width="18.42578125" style="12" customWidth="1"/>
    <col min="10" max="10" width="1.42578125" style="12" customWidth="1"/>
    <col min="11" max="11" width="10.7109375" style="12" customWidth="1"/>
    <col min="12" max="16384" width="9.140625" style="12"/>
  </cols>
  <sheetData>
    <row r="1" spans="1:14" ht="20.100000000000001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4" ht="20.100000000000001" customHeight="1" x14ac:dyDescent="0.4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4" ht="20.100000000000001" customHeight="1" x14ac:dyDescent="0.4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5" spans="1:14" ht="21" x14ac:dyDescent="0.45">
      <c r="A5" s="13" t="s">
        <v>202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7" spans="1:14" ht="21" x14ac:dyDescent="0.45">
      <c r="C7" s="27" t="s">
        <v>5</v>
      </c>
      <c r="E7" s="14" t="s">
        <v>6</v>
      </c>
      <c r="F7" s="15"/>
      <c r="G7" s="15"/>
      <c r="I7" s="14" t="s">
        <v>7</v>
      </c>
      <c r="J7" s="15"/>
      <c r="K7" s="15"/>
      <c r="N7" s="36"/>
    </row>
    <row r="8" spans="1:14" ht="63" x14ac:dyDescent="0.45">
      <c r="A8" s="27" t="s">
        <v>132</v>
      </c>
      <c r="C8" s="27" t="s">
        <v>133</v>
      </c>
      <c r="E8" s="27" t="s">
        <v>134</v>
      </c>
      <c r="G8" s="27" t="s">
        <v>135</v>
      </c>
      <c r="I8" s="27" t="s">
        <v>133</v>
      </c>
      <c r="K8" s="28" t="s">
        <v>15</v>
      </c>
    </row>
    <row r="9" spans="1:14" ht="18.75" x14ac:dyDescent="0.45">
      <c r="A9" s="20" t="s">
        <v>136</v>
      </c>
      <c r="C9" s="21">
        <v>8001462</v>
      </c>
      <c r="E9" s="21">
        <v>33979</v>
      </c>
      <c r="G9" s="21">
        <v>0</v>
      </c>
      <c r="I9" s="21">
        <v>8035441</v>
      </c>
      <c r="K9" s="23">
        <v>2.3680437605924203E-6</v>
      </c>
    </row>
    <row r="10" spans="1:14" ht="37.5" x14ac:dyDescent="0.45">
      <c r="A10" s="20" t="s">
        <v>137</v>
      </c>
      <c r="C10" s="21">
        <v>877645964</v>
      </c>
      <c r="E10" s="21">
        <v>53644930030</v>
      </c>
      <c r="G10" s="21">
        <v>53166903360</v>
      </c>
      <c r="I10" s="21">
        <v>1355672634</v>
      </c>
      <c r="K10" s="23">
        <v>3.9951660678606089E-4</v>
      </c>
    </row>
    <row r="11" spans="1:14" s="39" customFormat="1" ht="18.75" x14ac:dyDescent="0.45">
      <c r="A11" s="38" t="s">
        <v>138</v>
      </c>
      <c r="C11" s="40">
        <v>33385358045</v>
      </c>
      <c r="E11" s="40">
        <v>192388677360</v>
      </c>
      <c r="G11" s="40">
        <v>93101270000</v>
      </c>
      <c r="I11" s="40">
        <v>132672765405</v>
      </c>
      <c r="K11" s="23">
        <v>3.909865237239029E-2</v>
      </c>
    </row>
    <row r="12" spans="1:14" ht="37.5" x14ac:dyDescent="0.45">
      <c r="A12" s="20" t="s">
        <v>139</v>
      </c>
      <c r="C12" s="21">
        <v>720103471</v>
      </c>
      <c r="E12" s="21">
        <v>58158866</v>
      </c>
      <c r="G12" s="21">
        <v>6373179</v>
      </c>
      <c r="I12" s="21">
        <v>771889158</v>
      </c>
      <c r="K12" s="23">
        <v>2.2747566741773562E-4</v>
      </c>
    </row>
    <row r="13" spans="1:14" ht="18.75" x14ac:dyDescent="0.45">
      <c r="A13" s="20" t="s">
        <v>140</v>
      </c>
      <c r="C13" s="21">
        <v>15847295</v>
      </c>
      <c r="E13" s="21">
        <v>67021</v>
      </c>
      <c r="G13" s="21">
        <v>0</v>
      </c>
      <c r="I13" s="21">
        <v>15914316</v>
      </c>
      <c r="K13" s="23">
        <v>4.6899475346650077E-6</v>
      </c>
    </row>
    <row r="14" spans="1:14" ht="18.75" x14ac:dyDescent="0.45">
      <c r="A14" s="20" t="s">
        <v>141</v>
      </c>
      <c r="C14" s="21">
        <v>9651245</v>
      </c>
      <c r="E14" s="21">
        <v>40984</v>
      </c>
      <c r="G14" s="21">
        <v>0</v>
      </c>
      <c r="I14" s="21">
        <v>9692229</v>
      </c>
      <c r="K14" s="23">
        <v>2.8562990394283167E-6</v>
      </c>
    </row>
    <row r="15" spans="1:14" ht="37.5" x14ac:dyDescent="0.45">
      <c r="A15" s="20" t="s">
        <v>142</v>
      </c>
      <c r="C15" s="21">
        <v>7459429182</v>
      </c>
      <c r="E15" s="21">
        <v>208778771030</v>
      </c>
      <c r="G15" s="21">
        <v>213443002930</v>
      </c>
      <c r="I15" s="21">
        <v>2795197282</v>
      </c>
      <c r="K15" s="23">
        <v>8.2374439477123811E-4</v>
      </c>
    </row>
    <row r="16" spans="1:14" ht="19.5" thickBot="1" x14ac:dyDescent="0.5">
      <c r="A16" s="24" t="s">
        <v>100</v>
      </c>
      <c r="C16" s="24">
        <f>SUM(C9:$C$15)</f>
        <v>42476036664</v>
      </c>
      <c r="E16" s="24">
        <f>SUM(E9:$E$15)</f>
        <v>454870679270</v>
      </c>
      <c r="G16" s="24">
        <f>SUM(G9:$G$15)</f>
        <v>359717549469</v>
      </c>
      <c r="I16" s="24">
        <f>SUM(I9:$I$15)</f>
        <v>137629166465</v>
      </c>
      <c r="K16" s="25">
        <f>SUM(K9:$K$15)</f>
        <v>4.0559303331700013E-2</v>
      </c>
    </row>
    <row r="17" spans="3:11" ht="19.5" thickTop="1" x14ac:dyDescent="0.45">
      <c r="C17" s="26"/>
      <c r="E17" s="26"/>
      <c r="G17" s="26"/>
      <c r="I17" s="26"/>
      <c r="K17" s="26"/>
    </row>
  </sheetData>
  <mergeCells count="6">
    <mergeCell ref="A1:K1"/>
    <mergeCell ref="A2:K2"/>
    <mergeCell ref="A3:K3"/>
    <mergeCell ref="A5:K5"/>
    <mergeCell ref="E7:G7"/>
    <mergeCell ref="I7:K7"/>
  </mergeCells>
  <pageMargins left="0.7" right="0.7" top="0.75" bottom="0.75" header="0.3" footer="0.3"/>
  <pageSetup paperSize="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14"/>
  <sheetViews>
    <sheetView rightToLeft="1" view="pageBreakPreview" zoomScale="89" zoomScaleNormal="100" zoomScaleSheetLayoutView="89" workbookViewId="0">
      <selection sqref="A1:XFD1048576"/>
    </sheetView>
  </sheetViews>
  <sheetFormatPr defaultRowHeight="18" x14ac:dyDescent="0.45"/>
  <cols>
    <col min="1" max="1" width="57.5703125" style="12" bestFit="1" customWidth="1"/>
    <col min="2" max="2" width="1.42578125" style="12" customWidth="1"/>
    <col min="3" max="3" width="11.42578125" style="12" customWidth="1"/>
    <col min="4" max="4" width="1.42578125" style="12" customWidth="1"/>
    <col min="5" max="5" width="21.28515625" style="12" customWidth="1"/>
    <col min="6" max="6" width="1.42578125" style="12" customWidth="1"/>
    <col min="7" max="7" width="11.42578125" style="12" customWidth="1"/>
    <col min="8" max="8" width="1.42578125" style="12" customWidth="1"/>
    <col min="9" max="9" width="11.42578125" style="12" customWidth="1"/>
    <col min="10" max="16384" width="9.140625" style="12"/>
  </cols>
  <sheetData>
    <row r="1" spans="1:12" ht="20.100000000000001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</row>
    <row r="2" spans="1:12" ht="20.100000000000001" customHeight="1" x14ac:dyDescent="0.45">
      <c r="A2" s="10" t="s">
        <v>143</v>
      </c>
      <c r="B2" s="11"/>
      <c r="C2" s="11"/>
      <c r="D2" s="11"/>
      <c r="E2" s="11"/>
      <c r="F2" s="11"/>
      <c r="G2" s="11"/>
      <c r="H2" s="11"/>
      <c r="I2" s="11"/>
    </row>
    <row r="3" spans="1:12" ht="20.100000000000001" customHeight="1" x14ac:dyDescent="0.45">
      <c r="A3" s="10" t="s">
        <v>2</v>
      </c>
      <c r="B3" s="11"/>
      <c r="C3" s="11"/>
      <c r="D3" s="11"/>
      <c r="E3" s="11"/>
      <c r="F3" s="11"/>
      <c r="G3" s="11"/>
      <c r="H3" s="11"/>
      <c r="I3" s="11"/>
    </row>
    <row r="5" spans="1:12" ht="21" x14ac:dyDescent="0.45">
      <c r="A5" s="13" t="s">
        <v>144</v>
      </c>
      <c r="B5" s="11"/>
      <c r="C5" s="11"/>
      <c r="D5" s="11"/>
      <c r="E5" s="11"/>
      <c r="F5" s="11"/>
      <c r="G5" s="11"/>
      <c r="H5" s="11"/>
      <c r="I5" s="11"/>
      <c r="L5" s="36"/>
    </row>
    <row r="7" spans="1:12" ht="42" x14ac:dyDescent="0.45">
      <c r="A7" s="27" t="s">
        <v>145</v>
      </c>
      <c r="C7" s="27" t="s">
        <v>146</v>
      </c>
      <c r="E7" s="27" t="s">
        <v>133</v>
      </c>
      <c r="G7" s="28" t="s">
        <v>147</v>
      </c>
      <c r="I7" s="28" t="s">
        <v>148</v>
      </c>
    </row>
    <row r="8" spans="1:12" ht="21" x14ac:dyDescent="0.45">
      <c r="A8" s="34" t="s">
        <v>149</v>
      </c>
      <c r="C8" s="22" t="s">
        <v>203</v>
      </c>
      <c r="E8" s="21">
        <v>748150063596</v>
      </c>
      <c r="G8" s="23">
        <v>0.99854463795874482</v>
      </c>
      <c r="I8" s="23">
        <v>0.22047975837111247</v>
      </c>
    </row>
    <row r="9" spans="1:12" ht="21" x14ac:dyDescent="0.45">
      <c r="A9" s="34" t="s">
        <v>204</v>
      </c>
      <c r="C9" s="22" t="s">
        <v>205</v>
      </c>
      <c r="E9" s="21">
        <v>0</v>
      </c>
      <c r="G9" s="23">
        <v>0</v>
      </c>
      <c r="I9" s="23">
        <v>0</v>
      </c>
    </row>
    <row r="10" spans="1:12" ht="21" x14ac:dyDescent="0.45">
      <c r="A10" s="34" t="s">
        <v>150</v>
      </c>
      <c r="C10" s="22" t="s">
        <v>206</v>
      </c>
      <c r="E10" s="21">
        <v>0</v>
      </c>
      <c r="G10" s="23">
        <v>0</v>
      </c>
      <c r="I10" s="23">
        <v>0</v>
      </c>
    </row>
    <row r="11" spans="1:12" ht="21" x14ac:dyDescent="0.45">
      <c r="A11" s="34" t="s">
        <v>151</v>
      </c>
      <c r="C11" s="22" t="s">
        <v>207</v>
      </c>
      <c r="E11" s="21">
        <v>1090416154</v>
      </c>
      <c r="G11" s="23">
        <v>1.4553620412552195E-3</v>
      </c>
      <c r="I11" s="23">
        <v>3.2134554530720641E-4</v>
      </c>
    </row>
    <row r="12" spans="1:12" ht="21" x14ac:dyDescent="0.45">
      <c r="A12" s="34" t="s">
        <v>152</v>
      </c>
      <c r="C12" s="22" t="s">
        <v>208</v>
      </c>
      <c r="E12" s="21">
        <v>0</v>
      </c>
      <c r="G12" s="23">
        <v>0</v>
      </c>
      <c r="I12" s="23">
        <v>0</v>
      </c>
    </row>
    <row r="13" spans="1:12" ht="21" x14ac:dyDescent="0.45">
      <c r="A13" s="27" t="s">
        <v>100</v>
      </c>
      <c r="E13" s="24">
        <f>SUM(E8:$E$12)</f>
        <v>749240479750</v>
      </c>
      <c r="G13" s="25">
        <f>SUM(G8:$G$12)</f>
        <v>1</v>
      </c>
      <c r="I13" s="25">
        <f>SUM(I8:$I$12)</f>
        <v>0.22080110391641969</v>
      </c>
    </row>
    <row r="14" spans="1:12" ht="18.75" x14ac:dyDescent="0.45">
      <c r="E14" s="26"/>
      <c r="G14" s="26"/>
      <c r="I14" s="26"/>
    </row>
  </sheetData>
  <mergeCells count="4">
    <mergeCell ref="A1:I1"/>
    <mergeCell ref="A2:I2"/>
    <mergeCell ref="A3:I3"/>
    <mergeCell ref="A5:I5"/>
  </mergeCells>
  <pageMargins left="0.7" right="0.7" top="0.75" bottom="0.75" header="0.3" footer="0.3"/>
  <pageSetup paperSize="9" scale="73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S16"/>
  <sheetViews>
    <sheetView rightToLeft="1" view="pageBreakPreview" zoomScale="86" zoomScaleNormal="100" zoomScaleSheetLayoutView="86" workbookViewId="0">
      <selection sqref="A1:XFD1048576"/>
    </sheetView>
  </sheetViews>
  <sheetFormatPr defaultRowHeight="18" x14ac:dyDescent="0.45"/>
  <cols>
    <col min="1" max="1" width="17.5703125" style="12" bestFit="1" customWidth="1"/>
    <col min="2" max="2" width="1.42578125" style="12" customWidth="1"/>
    <col min="3" max="3" width="12.5703125" style="12" bestFit="1" customWidth="1"/>
    <col min="4" max="4" width="1.42578125" style="12" customWidth="1"/>
    <col min="5" max="5" width="17.5703125" style="12" bestFit="1" customWidth="1"/>
    <col min="6" max="6" width="1.42578125" style="12" customWidth="1"/>
    <col min="7" max="7" width="10.5703125" style="12" bestFit="1" customWidth="1"/>
    <col min="8" max="8" width="1.42578125" style="12" customWidth="1"/>
    <col min="9" max="9" width="17" style="12" bestFit="1" customWidth="1"/>
    <col min="10" max="10" width="1.42578125" style="12" customWidth="1"/>
    <col min="11" max="11" width="16.5703125" style="12" bestFit="1" customWidth="1"/>
    <col min="12" max="12" width="1.42578125" style="12" customWidth="1"/>
    <col min="13" max="13" width="16.5703125" style="12" bestFit="1" customWidth="1"/>
    <col min="14" max="14" width="1.42578125" style="12" customWidth="1"/>
    <col min="15" max="15" width="17" style="12" bestFit="1" customWidth="1"/>
    <col min="16" max="16" width="1.42578125" style="12" customWidth="1"/>
    <col min="17" max="17" width="16.5703125" style="12" bestFit="1" customWidth="1"/>
    <col min="18" max="18" width="1.42578125" style="12" customWidth="1"/>
    <col min="19" max="19" width="16.5703125" style="12" bestFit="1" customWidth="1"/>
    <col min="20" max="16384" width="9.140625" style="12"/>
  </cols>
  <sheetData>
    <row r="1" spans="1:19" ht="20.100000000000001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19" ht="20.100000000000001" customHeight="1" x14ac:dyDescent="0.45">
      <c r="A2" s="10" t="s">
        <v>143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19" ht="20.100000000000001" customHeight="1" x14ac:dyDescent="0.4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5" spans="1:19" ht="21" x14ac:dyDescent="0.45">
      <c r="A5" s="13" t="s">
        <v>153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</row>
    <row r="7" spans="1:19" ht="21" x14ac:dyDescent="0.45">
      <c r="C7" s="14" t="s">
        <v>154</v>
      </c>
      <c r="D7" s="15"/>
      <c r="E7" s="15"/>
      <c r="F7" s="15"/>
      <c r="G7" s="15"/>
      <c r="I7" s="14" t="s">
        <v>155</v>
      </c>
      <c r="J7" s="15"/>
      <c r="K7" s="15"/>
      <c r="L7" s="15"/>
      <c r="M7" s="15"/>
      <c r="O7" s="14" t="s">
        <v>7</v>
      </c>
      <c r="P7" s="15"/>
      <c r="Q7" s="15"/>
      <c r="R7" s="15"/>
      <c r="S7" s="15"/>
    </row>
    <row r="8" spans="1:19" ht="63" x14ac:dyDescent="0.45">
      <c r="A8" s="27" t="s">
        <v>102</v>
      </c>
      <c r="C8" s="28" t="s">
        <v>156</v>
      </c>
      <c r="E8" s="28" t="s">
        <v>157</v>
      </c>
      <c r="G8" s="28" t="s">
        <v>158</v>
      </c>
      <c r="I8" s="28" t="s">
        <v>159</v>
      </c>
      <c r="K8" s="28" t="s">
        <v>160</v>
      </c>
      <c r="M8" s="28" t="s">
        <v>161</v>
      </c>
      <c r="O8" s="28" t="s">
        <v>159</v>
      </c>
      <c r="Q8" s="28" t="s">
        <v>160</v>
      </c>
      <c r="S8" s="28" t="s">
        <v>161</v>
      </c>
    </row>
    <row r="9" spans="1:19" ht="37.5" x14ac:dyDescent="0.45">
      <c r="A9" s="29" t="s">
        <v>18</v>
      </c>
      <c r="C9" s="22" t="s">
        <v>162</v>
      </c>
      <c r="E9" s="21">
        <v>50000</v>
      </c>
      <c r="G9" s="21">
        <v>3980</v>
      </c>
      <c r="I9" s="21">
        <v>199000000</v>
      </c>
      <c r="K9" s="21">
        <v>-19099071</v>
      </c>
      <c r="M9" s="21">
        <v>179900929</v>
      </c>
      <c r="O9" s="21">
        <v>199000000</v>
      </c>
      <c r="Q9" s="21">
        <v>-19099071</v>
      </c>
      <c r="S9" s="21">
        <v>179900929</v>
      </c>
    </row>
    <row r="10" spans="1:19" ht="18.75" x14ac:dyDescent="0.45">
      <c r="A10" s="29" t="s">
        <v>51</v>
      </c>
      <c r="C10" s="22" t="s">
        <v>163</v>
      </c>
      <c r="E10" s="21">
        <v>100000</v>
      </c>
      <c r="G10" s="21">
        <v>14500</v>
      </c>
      <c r="I10" s="21">
        <v>1450000000</v>
      </c>
      <c r="K10" s="21">
        <v>-97284345</v>
      </c>
      <c r="M10" s="21">
        <v>1352715655</v>
      </c>
      <c r="O10" s="21">
        <v>1450000000</v>
      </c>
      <c r="Q10" s="21">
        <v>-97284345</v>
      </c>
      <c r="S10" s="21">
        <v>1352715655</v>
      </c>
    </row>
    <row r="11" spans="1:19" ht="18.75" x14ac:dyDescent="0.45">
      <c r="A11" s="29" t="s">
        <v>53</v>
      </c>
      <c r="C11" s="22" t="s">
        <v>164</v>
      </c>
      <c r="E11" s="21">
        <v>5799792</v>
      </c>
      <c r="G11" s="21">
        <v>1076</v>
      </c>
      <c r="I11" s="21">
        <v>6240576192</v>
      </c>
      <c r="K11" s="21">
        <v>-488529954</v>
      </c>
      <c r="M11" s="21">
        <v>5752046238</v>
      </c>
      <c r="O11" s="21">
        <v>6240576192</v>
      </c>
      <c r="Q11" s="21">
        <v>-488529954</v>
      </c>
      <c r="S11" s="21">
        <v>5752046238</v>
      </c>
    </row>
    <row r="12" spans="1:19" ht="18.75" x14ac:dyDescent="0.45">
      <c r="A12" s="29" t="s">
        <v>59</v>
      </c>
      <c r="C12" s="22" t="s">
        <v>5</v>
      </c>
      <c r="E12" s="21">
        <v>10148510</v>
      </c>
      <c r="G12" s="21">
        <v>560</v>
      </c>
      <c r="I12" s="21">
        <v>5683165600</v>
      </c>
      <c r="K12" s="21">
        <v>0</v>
      </c>
      <c r="M12" s="21">
        <v>5683165600</v>
      </c>
      <c r="O12" s="21">
        <v>5683165600</v>
      </c>
      <c r="Q12" s="21">
        <v>0</v>
      </c>
      <c r="S12" s="21">
        <v>5683165600</v>
      </c>
    </row>
    <row r="13" spans="1:19" ht="18.75" x14ac:dyDescent="0.45">
      <c r="A13" s="29" t="s">
        <v>77</v>
      </c>
      <c r="C13" s="22" t="s">
        <v>165</v>
      </c>
      <c r="E13" s="21">
        <v>1207911</v>
      </c>
      <c r="G13" s="21">
        <v>2600</v>
      </c>
      <c r="I13" s="21">
        <v>3140568600</v>
      </c>
      <c r="K13" s="21">
        <v>-221898864</v>
      </c>
      <c r="M13" s="21">
        <v>2918669736</v>
      </c>
      <c r="O13" s="21">
        <v>3140568600</v>
      </c>
      <c r="Q13" s="21">
        <v>-221898864</v>
      </c>
      <c r="S13" s="21">
        <v>2918669736</v>
      </c>
    </row>
    <row r="14" spans="1:19" ht="18.75" x14ac:dyDescent="0.45">
      <c r="A14" s="29" t="s">
        <v>95</v>
      </c>
      <c r="C14" s="22" t="s">
        <v>166</v>
      </c>
      <c r="E14" s="21">
        <v>1947948</v>
      </c>
      <c r="G14" s="21">
        <v>5330</v>
      </c>
      <c r="I14" s="21">
        <v>10382562840</v>
      </c>
      <c r="K14" s="21">
        <v>-1327281032</v>
      </c>
      <c r="M14" s="21">
        <v>9055281808</v>
      </c>
      <c r="O14" s="21">
        <v>10382562840</v>
      </c>
      <c r="Q14" s="21">
        <v>-1327281032</v>
      </c>
      <c r="S14" s="21">
        <v>9055281808</v>
      </c>
    </row>
    <row r="15" spans="1:19" ht="18.75" x14ac:dyDescent="0.45">
      <c r="A15" s="24" t="s">
        <v>100</v>
      </c>
      <c r="I15" s="24">
        <f>SUM(I9:$I$14)</f>
        <v>27095873232</v>
      </c>
      <c r="K15" s="24">
        <f>SUM(K9:$K$14)</f>
        <v>-2154093266</v>
      </c>
      <c r="M15" s="24">
        <f>SUM(M9:$M$14)</f>
        <v>24941779966</v>
      </c>
      <c r="O15" s="24">
        <f>SUM(O9:$O$14)</f>
        <v>27095873232</v>
      </c>
      <c r="Q15" s="24">
        <f>SUM(Q9:$Q$14)</f>
        <v>-2154093266</v>
      </c>
      <c r="S15" s="24">
        <f>SUM(S9:$S$14)</f>
        <v>24941779966</v>
      </c>
    </row>
    <row r="16" spans="1:19" ht="18.75" x14ac:dyDescent="0.45">
      <c r="I16" s="26"/>
      <c r="K16" s="26"/>
      <c r="M16" s="26"/>
      <c r="O16" s="26"/>
      <c r="Q16" s="26"/>
      <c r="S16" s="26"/>
    </row>
  </sheetData>
  <mergeCells count="7">
    <mergeCell ref="A1:S1"/>
    <mergeCell ref="A2:S2"/>
    <mergeCell ref="A3:S3"/>
    <mergeCell ref="A5:S5"/>
    <mergeCell ref="C7:G7"/>
    <mergeCell ref="I7:M7"/>
    <mergeCell ref="O7:S7"/>
  </mergeCells>
  <pageMargins left="0.7" right="0.7" top="0.75" bottom="0.75" header="0.3" footer="0.3"/>
  <pageSetup paperSize="9" scale="76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M17"/>
  <sheetViews>
    <sheetView rightToLeft="1" view="pageBreakPreview" zoomScale="60" zoomScaleNormal="100" workbookViewId="0">
      <selection sqref="A1:XFD1048576"/>
    </sheetView>
  </sheetViews>
  <sheetFormatPr defaultRowHeight="18" x14ac:dyDescent="0.45"/>
  <cols>
    <col min="1" max="1" width="21.28515625" style="12" customWidth="1"/>
    <col min="2" max="2" width="1.42578125" style="12" customWidth="1"/>
    <col min="3" max="3" width="18.42578125" style="12" customWidth="1"/>
    <col min="4" max="4" width="1.42578125" style="12" customWidth="1"/>
    <col min="5" max="5" width="14.140625" style="12" customWidth="1"/>
    <col min="6" max="6" width="1.42578125" style="12" customWidth="1"/>
    <col min="7" max="7" width="18.42578125" style="12" customWidth="1"/>
    <col min="8" max="8" width="1.42578125" style="12" customWidth="1"/>
    <col min="9" max="9" width="18.42578125" style="12" customWidth="1"/>
    <col min="10" max="10" width="1.42578125" style="12" customWidth="1"/>
    <col min="11" max="11" width="14.140625" style="12" customWidth="1"/>
    <col min="12" max="12" width="1.42578125" style="12" customWidth="1"/>
    <col min="13" max="13" width="18.42578125" style="12" customWidth="1"/>
    <col min="14" max="16384" width="9.140625" style="12"/>
  </cols>
  <sheetData>
    <row r="1" spans="1:13" ht="20.100000000000001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0.100000000000001" customHeight="1" x14ac:dyDescent="0.45">
      <c r="A2" s="10" t="s">
        <v>143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20.100000000000001" customHeight="1" x14ac:dyDescent="0.4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5" spans="1:13" ht="21" x14ac:dyDescent="0.45">
      <c r="A5" s="13" t="s">
        <v>167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7" spans="1:13" ht="21" x14ac:dyDescent="0.45">
      <c r="C7" s="14" t="s">
        <v>155</v>
      </c>
      <c r="D7" s="15"/>
      <c r="E7" s="15"/>
      <c r="F7" s="15"/>
      <c r="G7" s="15"/>
      <c r="I7" s="14" t="s">
        <v>7</v>
      </c>
      <c r="J7" s="15"/>
      <c r="K7" s="15"/>
      <c r="L7" s="15"/>
      <c r="M7" s="15"/>
    </row>
    <row r="8" spans="1:13" ht="21" x14ac:dyDescent="0.45">
      <c r="A8" s="30" t="s">
        <v>145</v>
      </c>
      <c r="C8" s="28" t="s">
        <v>168</v>
      </c>
      <c r="E8" s="28" t="s">
        <v>160</v>
      </c>
      <c r="G8" s="28" t="s">
        <v>169</v>
      </c>
      <c r="I8" s="28" t="s">
        <v>168</v>
      </c>
      <c r="K8" s="28" t="s">
        <v>160</v>
      </c>
      <c r="M8" s="28" t="s">
        <v>169</v>
      </c>
    </row>
    <row r="9" spans="1:13" ht="18.75" x14ac:dyDescent="0.45">
      <c r="A9" s="29" t="s">
        <v>136</v>
      </c>
      <c r="C9" s="21">
        <v>33979</v>
      </c>
      <c r="E9" s="21">
        <v>0</v>
      </c>
      <c r="G9" s="21">
        <v>33979</v>
      </c>
      <c r="I9" s="21">
        <v>68730</v>
      </c>
      <c r="K9" s="21">
        <v>0</v>
      </c>
      <c r="M9" s="21">
        <v>68730</v>
      </c>
    </row>
    <row r="10" spans="1:13" ht="18.75" x14ac:dyDescent="0.45">
      <c r="A10" s="29" t="s">
        <v>209</v>
      </c>
      <c r="C10" s="21">
        <v>514175212</v>
      </c>
      <c r="E10" s="21">
        <v>0</v>
      </c>
      <c r="G10" s="21">
        <v>514175212</v>
      </c>
      <c r="I10" s="21">
        <v>1081329565</v>
      </c>
      <c r="K10" s="21">
        <v>0</v>
      </c>
      <c r="M10" s="21">
        <v>1081329565</v>
      </c>
    </row>
    <row r="11" spans="1:13" ht="37.5" x14ac:dyDescent="0.45">
      <c r="A11" s="29" t="s">
        <v>139</v>
      </c>
      <c r="C11" s="21">
        <v>38866</v>
      </c>
      <c r="E11" s="21">
        <v>0</v>
      </c>
      <c r="G11" s="21">
        <v>38866</v>
      </c>
      <c r="I11" s="21">
        <v>76324</v>
      </c>
      <c r="K11" s="21">
        <v>0</v>
      </c>
      <c r="M11" s="21">
        <v>76324</v>
      </c>
    </row>
    <row r="12" spans="1:13" ht="37.5" x14ac:dyDescent="0.45">
      <c r="A12" s="29" t="s">
        <v>142</v>
      </c>
      <c r="C12" s="21">
        <v>593567</v>
      </c>
      <c r="E12" s="21">
        <v>0</v>
      </c>
      <c r="G12" s="21">
        <v>593567</v>
      </c>
      <c r="I12" s="21">
        <v>5948428</v>
      </c>
      <c r="K12" s="21">
        <v>0</v>
      </c>
      <c r="M12" s="21">
        <v>5948428</v>
      </c>
    </row>
    <row r="13" spans="1:13" ht="18.75" x14ac:dyDescent="0.45">
      <c r="A13" s="29" t="s">
        <v>140</v>
      </c>
      <c r="C13" s="21">
        <v>67021</v>
      </c>
      <c r="E13" s="21">
        <v>0</v>
      </c>
      <c r="G13" s="21">
        <v>67021</v>
      </c>
      <c r="I13" s="21">
        <v>131868</v>
      </c>
      <c r="K13" s="21">
        <v>0</v>
      </c>
      <c r="M13" s="21">
        <v>131868</v>
      </c>
    </row>
    <row r="14" spans="1:13" ht="30" x14ac:dyDescent="0.45">
      <c r="A14" s="41" t="s">
        <v>137</v>
      </c>
      <c r="C14" s="21">
        <v>758888</v>
      </c>
      <c r="E14" s="21">
        <v>0</v>
      </c>
      <c r="G14" s="21">
        <v>758888</v>
      </c>
      <c r="I14" s="21">
        <v>2820255</v>
      </c>
      <c r="K14" s="21">
        <v>0</v>
      </c>
      <c r="M14" s="21">
        <v>2820255</v>
      </c>
    </row>
    <row r="15" spans="1:13" ht="18.75" x14ac:dyDescent="0.45">
      <c r="A15" s="41" t="s">
        <v>141</v>
      </c>
      <c r="C15" s="21">
        <v>40984</v>
      </c>
      <c r="E15" s="21">
        <v>0</v>
      </c>
      <c r="G15" s="21">
        <v>40984</v>
      </c>
      <c r="I15" s="21">
        <v>40984</v>
      </c>
      <c r="K15" s="21">
        <v>0</v>
      </c>
      <c r="M15" s="21">
        <v>40984</v>
      </c>
    </row>
    <row r="16" spans="1:13" ht="19.5" thickBot="1" x14ac:dyDescent="0.5">
      <c r="A16" s="24" t="s">
        <v>100</v>
      </c>
      <c r="C16" s="24">
        <f>SUM(C9:$C$15)</f>
        <v>515708517</v>
      </c>
      <c r="E16" s="24">
        <f>SUM(E9:$E$15)</f>
        <v>0</v>
      </c>
      <c r="G16" s="24">
        <f>SUM(G9:$G$15)</f>
        <v>515708517</v>
      </c>
      <c r="I16" s="24">
        <f>SUM(I9:$I$15)</f>
        <v>1090416154</v>
      </c>
      <c r="K16" s="24">
        <f>SUM(K9:$K$15)</f>
        <v>0</v>
      </c>
      <c r="M16" s="24">
        <f>SUM(M9:$M$15)</f>
        <v>1090416154</v>
      </c>
    </row>
    <row r="17" spans="3:13" ht="19.5" thickTop="1" x14ac:dyDescent="0.45">
      <c r="C17" s="26"/>
      <c r="E17" s="26"/>
      <c r="G17" s="26"/>
      <c r="I17" s="26"/>
      <c r="K17" s="26"/>
      <c r="M17" s="26"/>
    </row>
  </sheetData>
  <mergeCells count="6">
    <mergeCell ref="A1:M1"/>
    <mergeCell ref="A2:M2"/>
    <mergeCell ref="A3:M3"/>
    <mergeCell ref="A5:M5"/>
    <mergeCell ref="C7:G7"/>
    <mergeCell ref="I7:M7"/>
  </mergeCells>
  <pageMargins left="0.7" right="0.7" top="0.75" bottom="0.75" header="0.3" footer="0.3"/>
  <pageSetup paperSize="9" scale="9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Q31"/>
  <sheetViews>
    <sheetView rightToLeft="1" view="pageBreakPreview" zoomScale="82" zoomScaleNormal="100" zoomScaleSheetLayoutView="82" workbookViewId="0">
      <selection sqref="A1:XFD1048576"/>
    </sheetView>
  </sheetViews>
  <sheetFormatPr defaultRowHeight="18" x14ac:dyDescent="0.45"/>
  <cols>
    <col min="1" max="1" width="21.85546875" style="12" bestFit="1" customWidth="1"/>
    <col min="2" max="2" width="1.42578125" style="12" customWidth="1"/>
    <col min="3" max="3" width="12.28515625" style="12" bestFit="1" customWidth="1"/>
    <col min="4" max="4" width="1.42578125" style="12" customWidth="1"/>
    <col min="5" max="5" width="18" style="12" bestFit="1" customWidth="1"/>
    <col min="6" max="6" width="1.42578125" style="12" customWidth="1"/>
    <col min="7" max="7" width="17.7109375" style="12" bestFit="1" customWidth="1"/>
    <col min="8" max="8" width="1.42578125" style="12" customWidth="1"/>
    <col min="9" max="9" width="17" style="12" customWidth="1"/>
    <col min="10" max="10" width="1.42578125" style="12" customWidth="1"/>
    <col min="11" max="11" width="12.5703125" style="12" bestFit="1" customWidth="1"/>
    <col min="12" max="12" width="1.42578125" style="12" customWidth="1"/>
    <col min="13" max="13" width="18.28515625" style="12" bestFit="1" customWidth="1"/>
    <col min="14" max="14" width="1.42578125" style="12" customWidth="1"/>
    <col min="15" max="15" width="18" style="12" bestFit="1" customWidth="1"/>
    <col min="16" max="16" width="1.42578125" style="12" customWidth="1"/>
    <col min="17" max="17" width="17" style="12" customWidth="1"/>
    <col min="18" max="16384" width="9.140625" style="12"/>
  </cols>
  <sheetData>
    <row r="1" spans="1:17" ht="20.100000000000001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20.100000000000001" customHeight="1" x14ac:dyDescent="0.45">
      <c r="A2" s="10" t="s">
        <v>143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20.100000000000001" customHeight="1" x14ac:dyDescent="0.4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5" spans="1:17" ht="21" x14ac:dyDescent="0.45">
      <c r="A5" s="13" t="s">
        <v>170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7" spans="1:17" ht="21" x14ac:dyDescent="0.45">
      <c r="C7" s="14" t="s">
        <v>155</v>
      </c>
      <c r="D7" s="15"/>
      <c r="E7" s="15"/>
      <c r="F7" s="15"/>
      <c r="G7" s="15"/>
      <c r="H7" s="15"/>
      <c r="I7" s="15"/>
      <c r="K7" s="14" t="s">
        <v>7</v>
      </c>
      <c r="L7" s="15"/>
      <c r="M7" s="15"/>
      <c r="N7" s="15"/>
      <c r="O7" s="15"/>
      <c r="P7" s="15"/>
      <c r="Q7" s="15"/>
    </row>
    <row r="8" spans="1:17" ht="42" x14ac:dyDescent="0.45">
      <c r="A8" s="30" t="s">
        <v>145</v>
      </c>
      <c r="C8" s="28" t="s">
        <v>9</v>
      </c>
      <c r="E8" s="28" t="s">
        <v>11</v>
      </c>
      <c r="G8" s="28" t="s">
        <v>171</v>
      </c>
      <c r="I8" s="28" t="s">
        <v>172</v>
      </c>
      <c r="K8" s="28" t="s">
        <v>9</v>
      </c>
      <c r="M8" s="28" t="s">
        <v>11</v>
      </c>
      <c r="O8" s="28" t="s">
        <v>171</v>
      </c>
      <c r="Q8" s="28" t="s">
        <v>172</v>
      </c>
    </row>
    <row r="9" spans="1:17" ht="18.75" x14ac:dyDescent="0.45">
      <c r="A9" s="29" t="s">
        <v>20</v>
      </c>
      <c r="C9" s="21">
        <v>33234</v>
      </c>
      <c r="E9" s="21">
        <v>166191521</v>
      </c>
      <c r="G9" s="21">
        <v>141193304</v>
      </c>
      <c r="I9" s="21">
        <v>24998217</v>
      </c>
      <c r="K9" s="21">
        <v>33234</v>
      </c>
      <c r="M9" s="21">
        <v>166191521</v>
      </c>
      <c r="O9" s="21">
        <v>141193304</v>
      </c>
      <c r="Q9" s="21">
        <v>24998217</v>
      </c>
    </row>
    <row r="10" spans="1:17" ht="18.75" x14ac:dyDescent="0.45">
      <c r="A10" s="29" t="s">
        <v>23</v>
      </c>
      <c r="C10" s="21">
        <v>100000</v>
      </c>
      <c r="E10" s="21">
        <v>1700169265</v>
      </c>
      <c r="G10" s="21">
        <v>1559428505</v>
      </c>
      <c r="I10" s="21">
        <v>140740760</v>
      </c>
      <c r="K10" s="21">
        <v>100000</v>
      </c>
      <c r="M10" s="21">
        <v>1700169265</v>
      </c>
      <c r="O10" s="21">
        <v>1559428505</v>
      </c>
      <c r="Q10" s="21">
        <v>140740760</v>
      </c>
    </row>
    <row r="11" spans="1:17" ht="18.75" x14ac:dyDescent="0.45">
      <c r="A11" s="29" t="s">
        <v>24</v>
      </c>
      <c r="C11" s="21">
        <v>534050</v>
      </c>
      <c r="E11" s="21">
        <v>1851190504</v>
      </c>
      <c r="G11" s="21">
        <v>1280532076</v>
      </c>
      <c r="I11" s="21">
        <v>570658428</v>
      </c>
      <c r="K11" s="21">
        <v>534050</v>
      </c>
      <c r="M11" s="21">
        <v>1851190504</v>
      </c>
      <c r="O11" s="21">
        <v>1280532076</v>
      </c>
      <c r="Q11" s="21">
        <v>570658428</v>
      </c>
    </row>
    <row r="12" spans="1:17" ht="18.75" x14ac:dyDescent="0.45">
      <c r="A12" s="29" t="s">
        <v>30</v>
      </c>
      <c r="C12" s="21">
        <v>5118165</v>
      </c>
      <c r="E12" s="21">
        <v>26122374939</v>
      </c>
      <c r="G12" s="21">
        <v>17843966456</v>
      </c>
      <c r="I12" s="21">
        <v>8278408483</v>
      </c>
      <c r="K12" s="21">
        <v>5118165</v>
      </c>
      <c r="M12" s="21">
        <v>26122374939</v>
      </c>
      <c r="O12" s="21">
        <v>17843966456</v>
      </c>
      <c r="Q12" s="21">
        <v>8278408483</v>
      </c>
    </row>
    <row r="13" spans="1:17" ht="18.75" x14ac:dyDescent="0.45">
      <c r="A13" s="29" t="s">
        <v>31</v>
      </c>
      <c r="C13" s="21">
        <v>1316008</v>
      </c>
      <c r="E13" s="21">
        <v>11616723796</v>
      </c>
      <c r="G13" s="21">
        <v>8106577818</v>
      </c>
      <c r="I13" s="21">
        <v>3510145978</v>
      </c>
      <c r="K13" s="21">
        <v>2116008</v>
      </c>
      <c r="M13" s="21">
        <v>17612833425</v>
      </c>
      <c r="O13" s="21">
        <v>13040937447</v>
      </c>
      <c r="Q13" s="21">
        <v>4571895978</v>
      </c>
    </row>
    <row r="14" spans="1:17" ht="18.75" x14ac:dyDescent="0.45">
      <c r="A14" s="29" t="s">
        <v>33</v>
      </c>
      <c r="C14" s="21">
        <v>3200000</v>
      </c>
      <c r="E14" s="21">
        <v>5608032552</v>
      </c>
      <c r="G14" s="21">
        <v>4651987012</v>
      </c>
      <c r="I14" s="21">
        <v>956045540</v>
      </c>
      <c r="K14" s="21">
        <v>3200000</v>
      </c>
      <c r="M14" s="21">
        <v>5608032552</v>
      </c>
      <c r="O14" s="21">
        <v>4651987012</v>
      </c>
      <c r="Q14" s="21">
        <v>956045540</v>
      </c>
    </row>
    <row r="15" spans="1:17" ht="18.75" x14ac:dyDescent="0.45">
      <c r="A15" s="29" t="s">
        <v>41</v>
      </c>
      <c r="C15" s="21">
        <v>2799492</v>
      </c>
      <c r="E15" s="21">
        <v>73132075910</v>
      </c>
      <c r="G15" s="21">
        <v>59727153098</v>
      </c>
      <c r="I15" s="21">
        <v>13404922812</v>
      </c>
      <c r="K15" s="21">
        <v>2799492</v>
      </c>
      <c r="M15" s="21">
        <v>73132075910</v>
      </c>
      <c r="O15" s="21">
        <v>59727153098</v>
      </c>
      <c r="Q15" s="21">
        <v>13404922812</v>
      </c>
    </row>
    <row r="16" spans="1:17" ht="18.75" x14ac:dyDescent="0.45">
      <c r="A16" s="29" t="s">
        <v>48</v>
      </c>
      <c r="C16" s="21">
        <v>2000000</v>
      </c>
      <c r="E16" s="21">
        <v>5608430157</v>
      </c>
      <c r="G16" s="21">
        <v>4790689146</v>
      </c>
      <c r="I16" s="21">
        <v>817741011</v>
      </c>
      <c r="K16" s="21">
        <v>2000000</v>
      </c>
      <c r="M16" s="21">
        <v>5608430157</v>
      </c>
      <c r="O16" s="21">
        <v>4790689146</v>
      </c>
      <c r="Q16" s="21">
        <v>817741011</v>
      </c>
    </row>
    <row r="17" spans="1:17" ht="24" customHeight="1" x14ac:dyDescent="0.45">
      <c r="A17" s="29" t="s">
        <v>49</v>
      </c>
      <c r="C17" s="21">
        <v>3250000</v>
      </c>
      <c r="E17" s="21">
        <v>4477257642</v>
      </c>
      <c r="G17" s="21">
        <v>3912524843</v>
      </c>
      <c r="I17" s="21">
        <v>564732799</v>
      </c>
      <c r="K17" s="21">
        <v>3250000</v>
      </c>
      <c r="M17" s="21">
        <v>4477257642</v>
      </c>
      <c r="O17" s="21">
        <v>3912524843</v>
      </c>
      <c r="Q17" s="21">
        <v>564732799</v>
      </c>
    </row>
    <row r="18" spans="1:17" ht="18.75" x14ac:dyDescent="0.45">
      <c r="A18" s="29" t="s">
        <v>52</v>
      </c>
      <c r="C18" s="21">
        <v>2633426</v>
      </c>
      <c r="E18" s="21">
        <v>30559895055</v>
      </c>
      <c r="G18" s="21">
        <v>21151800984</v>
      </c>
      <c r="I18" s="21">
        <v>9408094071</v>
      </c>
      <c r="K18" s="21">
        <v>2633426</v>
      </c>
      <c r="M18" s="21">
        <v>30559895055</v>
      </c>
      <c r="O18" s="21">
        <v>21151800984</v>
      </c>
      <c r="Q18" s="21">
        <v>9408094071</v>
      </c>
    </row>
    <row r="19" spans="1:17" ht="18.75" x14ac:dyDescent="0.45">
      <c r="A19" s="29" t="s">
        <v>53</v>
      </c>
      <c r="C19" s="21">
        <v>204159</v>
      </c>
      <c r="E19" s="21">
        <v>2365633293</v>
      </c>
      <c r="G19" s="21">
        <v>1680424874</v>
      </c>
      <c r="I19" s="21">
        <v>685208419</v>
      </c>
      <c r="K19" s="21">
        <v>204159</v>
      </c>
      <c r="M19" s="21">
        <v>2365633293</v>
      </c>
      <c r="O19" s="21">
        <v>1680424874</v>
      </c>
      <c r="Q19" s="21">
        <v>685208419</v>
      </c>
    </row>
    <row r="20" spans="1:17" ht="18.75" x14ac:dyDescent="0.45">
      <c r="A20" s="29" t="s">
        <v>54</v>
      </c>
      <c r="C20" s="21">
        <v>1700000</v>
      </c>
      <c r="E20" s="21">
        <v>31505506561</v>
      </c>
      <c r="G20" s="21">
        <v>20428018251</v>
      </c>
      <c r="I20" s="21">
        <v>11077488310</v>
      </c>
      <c r="K20" s="21">
        <v>1700000</v>
      </c>
      <c r="M20" s="21">
        <v>31505506561</v>
      </c>
      <c r="O20" s="21">
        <v>20428018251</v>
      </c>
      <c r="Q20" s="21">
        <v>11077488310</v>
      </c>
    </row>
    <row r="21" spans="1:17" ht="18.75" x14ac:dyDescent="0.45">
      <c r="A21" s="29" t="s">
        <v>56</v>
      </c>
      <c r="C21" s="21">
        <v>9304630</v>
      </c>
      <c r="E21" s="21">
        <v>17440630260</v>
      </c>
      <c r="G21" s="21">
        <v>14518699221</v>
      </c>
      <c r="I21" s="21">
        <v>2921931039</v>
      </c>
      <c r="K21" s="21">
        <v>9304630</v>
      </c>
      <c r="M21" s="21">
        <v>17440630260</v>
      </c>
      <c r="O21" s="21">
        <v>14518699221</v>
      </c>
      <c r="Q21" s="21">
        <v>2921931039</v>
      </c>
    </row>
    <row r="22" spans="1:17" ht="18.75" x14ac:dyDescent="0.45">
      <c r="A22" s="29" t="s">
        <v>61</v>
      </c>
      <c r="C22" s="21">
        <v>131650</v>
      </c>
      <c r="E22" s="21">
        <v>622663681</v>
      </c>
      <c r="G22" s="21">
        <v>580461851</v>
      </c>
      <c r="I22" s="21">
        <v>42201830</v>
      </c>
      <c r="K22" s="21">
        <v>131650</v>
      </c>
      <c r="M22" s="21">
        <v>622663681</v>
      </c>
      <c r="O22" s="21">
        <v>580461851</v>
      </c>
      <c r="Q22" s="21">
        <v>42201830</v>
      </c>
    </row>
    <row r="23" spans="1:17" ht="18.75" x14ac:dyDescent="0.45">
      <c r="A23" s="29" t="s">
        <v>69</v>
      </c>
      <c r="C23" s="21">
        <v>1404932</v>
      </c>
      <c r="E23" s="21">
        <v>11340170007</v>
      </c>
      <c r="G23" s="21">
        <v>7627237494</v>
      </c>
      <c r="I23" s="21">
        <v>3712932513</v>
      </c>
      <c r="K23" s="21">
        <v>1404932</v>
      </c>
      <c r="M23" s="21">
        <v>11340170007</v>
      </c>
      <c r="O23" s="21">
        <v>7627237494</v>
      </c>
      <c r="Q23" s="21">
        <v>3712932513</v>
      </c>
    </row>
    <row r="24" spans="1:17" ht="18.75" x14ac:dyDescent="0.45">
      <c r="A24" s="29" t="s">
        <v>73</v>
      </c>
      <c r="C24" s="21">
        <v>500000</v>
      </c>
      <c r="E24" s="21">
        <v>5188941039</v>
      </c>
      <c r="G24" s="21">
        <v>4531630539</v>
      </c>
      <c r="I24" s="21">
        <v>657310500</v>
      </c>
      <c r="K24" s="21">
        <v>500000</v>
      </c>
      <c r="M24" s="21">
        <v>5188941039</v>
      </c>
      <c r="O24" s="21">
        <v>4531630539</v>
      </c>
      <c r="Q24" s="21">
        <v>657310500</v>
      </c>
    </row>
    <row r="25" spans="1:17" ht="18.75" x14ac:dyDescent="0.45">
      <c r="A25" s="29" t="s">
        <v>74</v>
      </c>
      <c r="C25" s="21">
        <v>1200000</v>
      </c>
      <c r="E25" s="21">
        <v>6002598298</v>
      </c>
      <c r="G25" s="21">
        <v>4086594998</v>
      </c>
      <c r="I25" s="21">
        <v>1916003300</v>
      </c>
      <c r="K25" s="21">
        <v>1200000</v>
      </c>
      <c r="M25" s="21">
        <v>6002598298</v>
      </c>
      <c r="O25" s="21">
        <v>4086594998</v>
      </c>
      <c r="Q25" s="21">
        <v>1916003300</v>
      </c>
    </row>
    <row r="26" spans="1:17" ht="18.75" x14ac:dyDescent="0.45">
      <c r="A26" s="29" t="s">
        <v>76</v>
      </c>
      <c r="C26" s="21">
        <v>200000</v>
      </c>
      <c r="E26" s="21">
        <v>1461253530</v>
      </c>
      <c r="G26" s="21">
        <v>1100695421</v>
      </c>
      <c r="I26" s="21">
        <v>360558109</v>
      </c>
      <c r="K26" s="21">
        <v>200001</v>
      </c>
      <c r="M26" s="21">
        <v>1461253531</v>
      </c>
      <c r="O26" s="21">
        <v>1100700481</v>
      </c>
      <c r="Q26" s="21">
        <v>360553050</v>
      </c>
    </row>
    <row r="27" spans="1:17" ht="18.75" x14ac:dyDescent="0.45">
      <c r="A27" s="29" t="s">
        <v>77</v>
      </c>
      <c r="C27" s="21">
        <v>105859</v>
      </c>
      <c r="E27" s="21">
        <v>4608373962</v>
      </c>
      <c r="G27" s="21">
        <v>3640703866</v>
      </c>
      <c r="I27" s="21">
        <v>967670096</v>
      </c>
      <c r="K27" s="21">
        <v>105859</v>
      </c>
      <c r="M27" s="21">
        <v>4608373962</v>
      </c>
      <c r="O27" s="21">
        <v>3640703866</v>
      </c>
      <c r="Q27" s="21">
        <v>967670096</v>
      </c>
    </row>
    <row r="28" spans="1:17" ht="18.75" x14ac:dyDescent="0.45">
      <c r="A28" s="29" t="s">
        <v>82</v>
      </c>
      <c r="C28" s="21">
        <v>800000</v>
      </c>
      <c r="E28" s="21">
        <v>8803306872</v>
      </c>
      <c r="G28" s="21">
        <v>7112419272</v>
      </c>
      <c r="I28" s="21">
        <v>1690887600</v>
      </c>
      <c r="K28" s="21">
        <v>800000</v>
      </c>
      <c r="M28" s="21">
        <v>8803306872</v>
      </c>
      <c r="O28" s="21">
        <v>7112419272</v>
      </c>
      <c r="Q28" s="21">
        <v>1690887600</v>
      </c>
    </row>
    <row r="29" spans="1:17" ht="18.75" x14ac:dyDescent="0.45">
      <c r="A29" s="29" t="s">
        <v>93</v>
      </c>
      <c r="C29" s="21">
        <v>1132725</v>
      </c>
      <c r="E29" s="21">
        <v>31077194045</v>
      </c>
      <c r="G29" s="21">
        <v>20948727868</v>
      </c>
      <c r="I29" s="21">
        <v>10128466177</v>
      </c>
      <c r="K29" s="21">
        <v>1132725</v>
      </c>
      <c r="M29" s="21">
        <v>31077194045</v>
      </c>
      <c r="O29" s="21">
        <v>20948727868</v>
      </c>
      <c r="Q29" s="21">
        <v>10128466177</v>
      </c>
    </row>
    <row r="30" spans="1:17" ht="18.75" x14ac:dyDescent="0.45">
      <c r="A30" s="24" t="s">
        <v>100</v>
      </c>
      <c r="C30" s="24">
        <f>SUM(C9:$C$29)</f>
        <v>37668330</v>
      </c>
      <c r="E30" s="24">
        <f>SUM(E9:$E$29)</f>
        <v>281258612889</v>
      </c>
      <c r="G30" s="24">
        <f>SUM(G9:$G$29)</f>
        <v>209421466897</v>
      </c>
      <c r="I30" s="24">
        <f>SUM(I9:$I$29)</f>
        <v>71837145992</v>
      </c>
      <c r="K30" s="24">
        <f>SUM(K9:$K$29)</f>
        <v>38468331</v>
      </c>
      <c r="M30" s="24">
        <f>SUM(M9:$M$29)</f>
        <v>287254722519</v>
      </c>
      <c r="O30" s="24">
        <f>SUM(O9:$O$29)</f>
        <v>214355831586</v>
      </c>
      <c r="Q30" s="24">
        <f>SUM(Q9:$Q$29)</f>
        <v>72898890933</v>
      </c>
    </row>
    <row r="31" spans="1:17" ht="18.75" x14ac:dyDescent="0.45">
      <c r="A31" s="31" t="s">
        <v>173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3"/>
    </row>
  </sheetData>
  <mergeCells count="7">
    <mergeCell ref="A31:Q31"/>
    <mergeCell ref="A1:Q1"/>
    <mergeCell ref="A2:Q2"/>
    <mergeCell ref="A3:Q3"/>
    <mergeCell ref="A5:Q5"/>
    <mergeCell ref="C7:I7"/>
    <mergeCell ref="K7:Q7"/>
  </mergeCells>
  <pageMargins left="0.7" right="0.7" top="0.75" bottom="0.75" header="0.3" footer="0.3"/>
  <pageSetup paperSize="9" scale="79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95"/>
  <sheetViews>
    <sheetView rightToLeft="1" view="pageBreakPreview" zoomScale="60" zoomScaleNormal="100" workbookViewId="0">
      <selection sqref="A1:XFD1048576"/>
    </sheetView>
  </sheetViews>
  <sheetFormatPr defaultRowHeight="18" x14ac:dyDescent="0.45"/>
  <cols>
    <col min="1" max="1" width="22.5703125" style="12" bestFit="1" customWidth="1"/>
    <col min="2" max="2" width="1.42578125" style="12" customWidth="1"/>
    <col min="3" max="3" width="14" style="12" bestFit="1" customWidth="1"/>
    <col min="4" max="4" width="1.42578125" style="12" customWidth="1"/>
    <col min="5" max="5" width="19.7109375" style="12" bestFit="1" customWidth="1"/>
    <col min="6" max="6" width="1.42578125" style="12" customWidth="1"/>
    <col min="7" max="7" width="19.7109375" style="12" bestFit="1" customWidth="1"/>
    <col min="8" max="8" width="1.42578125" style="12" customWidth="1"/>
    <col min="9" max="9" width="17.7109375" style="12" bestFit="1" customWidth="1"/>
    <col min="10" max="10" width="1.42578125" style="12" customWidth="1"/>
    <col min="11" max="11" width="13.7109375" style="12" bestFit="1" customWidth="1"/>
    <col min="12" max="12" width="1.42578125" style="12" customWidth="1"/>
    <col min="13" max="13" width="19.7109375" style="12" bestFit="1" customWidth="1"/>
    <col min="14" max="14" width="1.42578125" style="12" customWidth="1"/>
    <col min="15" max="15" width="19.85546875" style="12" bestFit="1" customWidth="1"/>
    <col min="16" max="16" width="1.42578125" style="12" customWidth="1"/>
    <col min="17" max="17" width="18" style="12" bestFit="1" customWidth="1"/>
    <col min="18" max="16384" width="9.140625" style="12"/>
  </cols>
  <sheetData>
    <row r="1" spans="1:17" ht="20.100000000000001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20.100000000000001" customHeight="1" x14ac:dyDescent="0.45">
      <c r="A2" s="10" t="s">
        <v>143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20.100000000000001" customHeight="1" x14ac:dyDescent="0.4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5" spans="1:17" ht="21" x14ac:dyDescent="0.45">
      <c r="A5" s="13" t="s">
        <v>174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7" spans="1:17" ht="21" x14ac:dyDescent="0.45">
      <c r="C7" s="14" t="s">
        <v>155</v>
      </c>
      <c r="D7" s="15"/>
      <c r="E7" s="15"/>
      <c r="F7" s="15"/>
      <c r="G7" s="15"/>
      <c r="H7" s="15"/>
      <c r="I7" s="15"/>
      <c r="K7" s="14" t="s">
        <v>7</v>
      </c>
      <c r="L7" s="15"/>
      <c r="M7" s="15"/>
      <c r="N7" s="15"/>
      <c r="O7" s="15"/>
      <c r="P7" s="15"/>
      <c r="Q7" s="15"/>
    </row>
    <row r="8" spans="1:17" ht="42" x14ac:dyDescent="0.45">
      <c r="A8" s="30" t="s">
        <v>145</v>
      </c>
      <c r="C8" s="28" t="s">
        <v>9</v>
      </c>
      <c r="E8" s="28" t="s">
        <v>11</v>
      </c>
      <c r="G8" s="28" t="s">
        <v>171</v>
      </c>
      <c r="I8" s="28" t="s">
        <v>175</v>
      </c>
      <c r="K8" s="28" t="s">
        <v>9</v>
      </c>
      <c r="M8" s="28" t="s">
        <v>11</v>
      </c>
      <c r="O8" s="28" t="s">
        <v>171</v>
      </c>
      <c r="Q8" s="28" t="s">
        <v>175</v>
      </c>
    </row>
    <row r="9" spans="1:17" ht="18.75" x14ac:dyDescent="0.45">
      <c r="A9" s="29" t="s">
        <v>17</v>
      </c>
      <c r="C9" s="21">
        <v>75</v>
      </c>
      <c r="E9" s="21">
        <v>6340051</v>
      </c>
      <c r="G9" s="21">
        <v>6258787</v>
      </c>
      <c r="I9" s="21">
        <v>81264</v>
      </c>
      <c r="K9" s="21">
        <v>75</v>
      </c>
      <c r="M9" s="21">
        <v>6340051</v>
      </c>
      <c r="O9" s="21">
        <v>4784114</v>
      </c>
      <c r="Q9" s="21">
        <v>1555937</v>
      </c>
    </row>
    <row r="10" spans="1:17" ht="18.75" x14ac:dyDescent="0.45">
      <c r="A10" s="29" t="s">
        <v>18</v>
      </c>
      <c r="J10" s="22"/>
      <c r="K10" s="21">
        <v>50000</v>
      </c>
      <c r="M10" s="21">
        <v>1401610500</v>
      </c>
      <c r="O10" s="21">
        <v>1304690625</v>
      </c>
      <c r="Q10" s="21">
        <v>96919875</v>
      </c>
    </row>
    <row r="11" spans="1:17" ht="18.75" x14ac:dyDescent="0.45">
      <c r="A11" s="29" t="s">
        <v>19</v>
      </c>
      <c r="C11" s="21">
        <v>245000</v>
      </c>
      <c r="E11" s="21">
        <v>2177267715</v>
      </c>
      <c r="G11" s="21">
        <v>1904500395</v>
      </c>
      <c r="I11" s="21">
        <v>272767320</v>
      </c>
      <c r="K11" s="21">
        <v>245000</v>
      </c>
      <c r="M11" s="21">
        <v>2177267715</v>
      </c>
      <c r="O11" s="21">
        <v>1736456242</v>
      </c>
      <c r="Q11" s="21">
        <v>440811473</v>
      </c>
    </row>
    <row r="12" spans="1:17" ht="18.75" x14ac:dyDescent="0.45">
      <c r="A12" s="29" t="s">
        <v>20</v>
      </c>
      <c r="C12" s="21">
        <v>6813853</v>
      </c>
      <c r="E12" s="21">
        <v>36237211574</v>
      </c>
      <c r="G12" s="21">
        <v>31255489885</v>
      </c>
      <c r="I12" s="21">
        <v>4981721689</v>
      </c>
      <c r="K12" s="21">
        <v>6813853</v>
      </c>
      <c r="M12" s="21">
        <v>36237211574</v>
      </c>
      <c r="O12" s="21">
        <v>29152328713</v>
      </c>
      <c r="Q12" s="21">
        <v>7084882861</v>
      </c>
    </row>
    <row r="13" spans="1:17" ht="18.75" x14ac:dyDescent="0.45">
      <c r="A13" s="29" t="s">
        <v>21</v>
      </c>
      <c r="C13" s="21">
        <v>1895580</v>
      </c>
      <c r="E13" s="21">
        <v>19483675432</v>
      </c>
      <c r="G13" s="21">
        <v>17467473042</v>
      </c>
      <c r="I13" s="21">
        <v>2016202390</v>
      </c>
      <c r="K13" s="21">
        <v>1895580</v>
      </c>
      <c r="M13" s="21">
        <v>19483675432</v>
      </c>
      <c r="O13" s="21">
        <v>15715072834</v>
      </c>
      <c r="Q13" s="21">
        <v>3768602598</v>
      </c>
    </row>
    <row r="14" spans="1:17" ht="18.75" x14ac:dyDescent="0.45">
      <c r="A14" s="29" t="s">
        <v>22</v>
      </c>
      <c r="C14" s="21">
        <v>19134677</v>
      </c>
      <c r="E14" s="21">
        <v>74846949019</v>
      </c>
      <c r="G14" s="21">
        <v>68950884740</v>
      </c>
      <c r="I14" s="21">
        <v>5896064279</v>
      </c>
      <c r="K14" s="21">
        <v>19134677</v>
      </c>
      <c r="M14" s="21">
        <v>74846949019</v>
      </c>
      <c r="O14" s="21">
        <v>63399417867</v>
      </c>
      <c r="Q14" s="21">
        <v>11447531152</v>
      </c>
    </row>
    <row r="15" spans="1:17" ht="18.75" x14ac:dyDescent="0.45">
      <c r="A15" s="29" t="s">
        <v>23</v>
      </c>
      <c r="C15" s="21">
        <v>2291471</v>
      </c>
      <c r="E15" s="21">
        <v>40021591654</v>
      </c>
      <c r="G15" s="21">
        <v>37417159710</v>
      </c>
      <c r="I15" s="21">
        <v>2604431944</v>
      </c>
      <c r="K15" s="21">
        <v>2291471</v>
      </c>
      <c r="M15" s="21">
        <v>40021591654</v>
      </c>
      <c r="O15" s="21">
        <v>35967042244</v>
      </c>
      <c r="Q15" s="21">
        <v>4054549410</v>
      </c>
    </row>
    <row r="16" spans="1:17" ht="18.75" x14ac:dyDescent="0.45">
      <c r="A16" s="29" t="s">
        <v>24</v>
      </c>
      <c r="C16" s="21">
        <v>14265950</v>
      </c>
      <c r="E16" s="21">
        <v>48073819156</v>
      </c>
      <c r="G16" s="21">
        <v>43785771605</v>
      </c>
      <c r="I16" s="21">
        <v>4288047551</v>
      </c>
      <c r="K16" s="21">
        <v>14265950</v>
      </c>
      <c r="M16" s="21">
        <v>48073819156</v>
      </c>
      <c r="O16" s="21">
        <v>34502537465</v>
      </c>
      <c r="Q16" s="21">
        <v>13571281691</v>
      </c>
    </row>
    <row r="17" spans="1:17" ht="18.75" x14ac:dyDescent="0.45">
      <c r="A17" s="29" t="s">
        <v>25</v>
      </c>
      <c r="C17" s="21">
        <v>500000</v>
      </c>
      <c r="E17" s="21">
        <v>8971301250</v>
      </c>
      <c r="G17" s="21">
        <v>9751630500</v>
      </c>
      <c r="I17" s="21">
        <v>-780329250</v>
      </c>
      <c r="K17" s="21">
        <v>500000</v>
      </c>
      <c r="M17" s="21">
        <v>8971301250</v>
      </c>
      <c r="O17" s="21">
        <v>8827164000</v>
      </c>
      <c r="Q17" s="21">
        <v>144137250</v>
      </c>
    </row>
    <row r="18" spans="1:17" ht="18.75" x14ac:dyDescent="0.45">
      <c r="A18" s="29" t="s">
        <v>26</v>
      </c>
      <c r="C18" s="21">
        <v>1750000</v>
      </c>
      <c r="E18" s="21">
        <v>6773953725</v>
      </c>
      <c r="G18" s="21">
        <v>5103949725</v>
      </c>
      <c r="I18" s="21">
        <v>1670004000</v>
      </c>
      <c r="K18" s="21">
        <v>1750000</v>
      </c>
      <c r="M18" s="21">
        <v>6773953725</v>
      </c>
      <c r="O18" s="21">
        <v>4695146662</v>
      </c>
      <c r="Q18" s="21">
        <v>2078807063</v>
      </c>
    </row>
    <row r="19" spans="1:17" ht="18.75" x14ac:dyDescent="0.45">
      <c r="A19" s="29" t="s">
        <v>27</v>
      </c>
      <c r="C19" s="21">
        <v>23109504</v>
      </c>
      <c r="E19" s="21">
        <v>38661880125</v>
      </c>
      <c r="G19" s="21">
        <v>35974155839</v>
      </c>
      <c r="I19" s="21">
        <v>2687724286</v>
      </c>
      <c r="K19" s="21">
        <v>23109504</v>
      </c>
      <c r="M19" s="21">
        <v>38661880125</v>
      </c>
      <c r="O19" s="21">
        <v>29587939157</v>
      </c>
      <c r="Q19" s="21">
        <v>9073940968</v>
      </c>
    </row>
    <row r="20" spans="1:17" ht="18.75" x14ac:dyDescent="0.45">
      <c r="A20" s="29" t="s">
        <v>28</v>
      </c>
      <c r="C20" s="21">
        <v>1905000</v>
      </c>
      <c r="E20" s="21">
        <v>4747418782</v>
      </c>
      <c r="G20" s="21">
        <v>4742757204</v>
      </c>
      <c r="I20" s="21">
        <v>4661578</v>
      </c>
      <c r="K20" s="21">
        <v>1905000</v>
      </c>
      <c r="M20" s="21">
        <v>4747418782</v>
      </c>
      <c r="O20" s="21">
        <v>4237966188</v>
      </c>
      <c r="Q20" s="21">
        <v>509452594</v>
      </c>
    </row>
    <row r="21" spans="1:17" ht="18.75" x14ac:dyDescent="0.45">
      <c r="A21" s="29" t="s">
        <v>29</v>
      </c>
      <c r="C21" s="21">
        <v>970000</v>
      </c>
      <c r="E21" s="21">
        <v>1453092349</v>
      </c>
      <c r="G21" s="21">
        <v>685687718</v>
      </c>
      <c r="I21" s="21">
        <v>767404631</v>
      </c>
      <c r="K21" s="21">
        <v>970000</v>
      </c>
      <c r="M21" s="21">
        <v>1453092349</v>
      </c>
      <c r="O21" s="21">
        <v>685687718</v>
      </c>
      <c r="Q21" s="21">
        <v>767404631</v>
      </c>
    </row>
    <row r="22" spans="1:17" ht="18.75" x14ac:dyDescent="0.45">
      <c r="A22" s="29" t="s">
        <v>30</v>
      </c>
      <c r="C22" s="21">
        <v>17600000</v>
      </c>
      <c r="E22" s="21">
        <v>99373190400</v>
      </c>
      <c r="G22" s="21">
        <v>72963966680</v>
      </c>
      <c r="I22" s="21">
        <v>26409223720</v>
      </c>
      <c r="K22" s="21">
        <v>17600000</v>
      </c>
      <c r="M22" s="21">
        <v>99373190400</v>
      </c>
      <c r="O22" s="21">
        <v>61898300640</v>
      </c>
      <c r="Q22" s="21">
        <v>37474889760</v>
      </c>
    </row>
    <row r="23" spans="1:17" ht="18.75" x14ac:dyDescent="0.45">
      <c r="A23" s="29" t="s">
        <v>31</v>
      </c>
      <c r="C23" s="21">
        <v>20425056</v>
      </c>
      <c r="E23" s="21">
        <v>179889248483</v>
      </c>
      <c r="G23" s="21">
        <v>164069175262</v>
      </c>
      <c r="I23" s="21">
        <v>15820073221</v>
      </c>
      <c r="K23" s="21">
        <v>20425056</v>
      </c>
      <c r="M23" s="21">
        <v>179889248483</v>
      </c>
      <c r="O23" s="21">
        <v>126897043230</v>
      </c>
      <c r="Q23" s="21">
        <v>52992205253</v>
      </c>
    </row>
    <row r="24" spans="1:17" ht="18.75" x14ac:dyDescent="0.45">
      <c r="A24" s="29" t="s">
        <v>176</v>
      </c>
      <c r="C24" s="21">
        <v>4754687</v>
      </c>
      <c r="E24" s="21">
        <v>27176780521</v>
      </c>
      <c r="G24" s="21">
        <v>23509096750</v>
      </c>
      <c r="I24" s="21">
        <v>3667683771</v>
      </c>
      <c r="K24" s="21">
        <v>4754687</v>
      </c>
      <c r="M24" s="21">
        <v>27176780521</v>
      </c>
      <c r="O24" s="21">
        <v>21854857936</v>
      </c>
      <c r="Q24" s="21">
        <v>5321922585</v>
      </c>
    </row>
    <row r="25" spans="1:17" ht="18.75" x14ac:dyDescent="0.45">
      <c r="A25" s="29" t="s">
        <v>33</v>
      </c>
      <c r="C25" s="21">
        <v>9127149</v>
      </c>
      <c r="E25" s="21">
        <v>15641580407</v>
      </c>
      <c r="G25" s="21">
        <v>14797991457</v>
      </c>
      <c r="I25" s="21">
        <v>843588950</v>
      </c>
      <c r="K25" s="21">
        <v>9127149</v>
      </c>
      <c r="M25" s="21">
        <v>15641580407</v>
      </c>
      <c r="O25" s="21">
        <v>13364298033</v>
      </c>
      <c r="Q25" s="21">
        <v>2277282374</v>
      </c>
    </row>
    <row r="26" spans="1:17" ht="37.5" x14ac:dyDescent="0.45">
      <c r="A26" s="29" t="s">
        <v>34</v>
      </c>
      <c r="C26" s="21">
        <v>842177</v>
      </c>
      <c r="E26" s="21">
        <v>5592269193</v>
      </c>
      <c r="G26" s="21">
        <v>5039739602</v>
      </c>
      <c r="I26" s="21">
        <v>552529591</v>
      </c>
      <c r="K26" s="21">
        <v>842177</v>
      </c>
      <c r="M26" s="21">
        <v>5592269193</v>
      </c>
      <c r="O26" s="21">
        <v>5324376058</v>
      </c>
      <c r="Q26" s="21">
        <v>267893135</v>
      </c>
    </row>
    <row r="27" spans="1:17" ht="18.75" x14ac:dyDescent="0.45">
      <c r="A27" s="29" t="s">
        <v>35</v>
      </c>
      <c r="C27" s="21">
        <v>286500</v>
      </c>
      <c r="E27" s="21">
        <v>15777661005</v>
      </c>
      <c r="G27" s="21">
        <v>15293508952</v>
      </c>
      <c r="I27" s="21">
        <v>484152053</v>
      </c>
      <c r="K27" s="21">
        <v>286500</v>
      </c>
      <c r="M27" s="21">
        <v>15777661005</v>
      </c>
      <c r="O27" s="21">
        <v>13684415366</v>
      </c>
      <c r="Q27" s="21">
        <v>2093245639</v>
      </c>
    </row>
    <row r="28" spans="1:17" ht="37.5" x14ac:dyDescent="0.45">
      <c r="A28" s="29" t="s">
        <v>36</v>
      </c>
      <c r="C28" s="21">
        <v>250000</v>
      </c>
      <c r="E28" s="21">
        <v>961246350</v>
      </c>
      <c r="G28" s="21">
        <v>865072012</v>
      </c>
      <c r="I28" s="21">
        <v>96174338</v>
      </c>
      <c r="K28" s="21">
        <v>250000</v>
      </c>
      <c r="M28" s="21">
        <v>961246350</v>
      </c>
      <c r="O28" s="21">
        <v>810399262</v>
      </c>
      <c r="Q28" s="21">
        <v>150847088</v>
      </c>
    </row>
    <row r="29" spans="1:17" ht="18.75" x14ac:dyDescent="0.45">
      <c r="A29" s="29" t="s">
        <v>37</v>
      </c>
      <c r="C29" s="21">
        <v>6645110</v>
      </c>
      <c r="E29" s="21">
        <v>101923969719</v>
      </c>
      <c r="G29" s="21">
        <v>89175216539</v>
      </c>
      <c r="I29" s="21">
        <v>12748753180</v>
      </c>
      <c r="K29" s="21">
        <v>6645110</v>
      </c>
      <c r="M29" s="21">
        <v>101923969719</v>
      </c>
      <c r="O29" s="21">
        <v>75831961916</v>
      </c>
      <c r="Q29" s="21">
        <v>26092007803</v>
      </c>
    </row>
    <row r="30" spans="1:17" ht="18.75" x14ac:dyDescent="0.45">
      <c r="A30" s="29" t="s">
        <v>38</v>
      </c>
      <c r="C30" s="21">
        <v>1000000</v>
      </c>
      <c r="E30" s="21">
        <v>7385791500</v>
      </c>
      <c r="G30" s="21">
        <v>6769480500</v>
      </c>
      <c r="I30" s="21">
        <v>616311000</v>
      </c>
      <c r="K30" s="21">
        <v>1000000</v>
      </c>
      <c r="M30" s="21">
        <v>7385791500</v>
      </c>
      <c r="O30" s="21">
        <v>6391741500</v>
      </c>
      <c r="Q30" s="21">
        <v>994050000</v>
      </c>
    </row>
    <row r="31" spans="1:17" ht="18.75" x14ac:dyDescent="0.45">
      <c r="A31" s="29" t="s">
        <v>39</v>
      </c>
      <c r="C31" s="21">
        <v>31806527</v>
      </c>
      <c r="E31" s="21">
        <v>63866901892</v>
      </c>
      <c r="G31" s="21">
        <v>61590457864</v>
      </c>
      <c r="I31" s="21">
        <v>2276444028</v>
      </c>
      <c r="K31" s="21">
        <v>31806527</v>
      </c>
      <c r="M31" s="21">
        <v>63866901892</v>
      </c>
      <c r="O31" s="21">
        <v>55330236788</v>
      </c>
      <c r="Q31" s="21">
        <v>8536665104</v>
      </c>
    </row>
    <row r="32" spans="1:17" ht="18.75" x14ac:dyDescent="0.45">
      <c r="A32" s="29" t="s">
        <v>40</v>
      </c>
      <c r="C32" s="21">
        <v>7329302</v>
      </c>
      <c r="E32" s="21">
        <v>57921256592</v>
      </c>
      <c r="G32" s="21">
        <v>55881262649</v>
      </c>
      <c r="I32" s="21">
        <v>2039993943</v>
      </c>
      <c r="K32" s="21">
        <v>7329302</v>
      </c>
      <c r="M32" s="21">
        <v>57921256592</v>
      </c>
      <c r="O32" s="21">
        <v>48231285364</v>
      </c>
      <c r="Q32" s="21">
        <v>9689971228</v>
      </c>
    </row>
    <row r="33" spans="1:17" ht="18.75" x14ac:dyDescent="0.45">
      <c r="A33" s="29" t="s">
        <v>41</v>
      </c>
      <c r="C33" s="21">
        <v>236747</v>
      </c>
      <c r="E33" s="21">
        <v>6057609267</v>
      </c>
      <c r="G33" s="21">
        <v>15802530735</v>
      </c>
      <c r="I33" s="21">
        <v>-9744921468</v>
      </c>
      <c r="K33" s="21">
        <v>236747</v>
      </c>
      <c r="M33" s="21">
        <v>6057609267</v>
      </c>
      <c r="O33" s="21">
        <v>5088015243</v>
      </c>
      <c r="Q33" s="21">
        <v>969594024</v>
      </c>
    </row>
    <row r="34" spans="1:17" ht="18.75" x14ac:dyDescent="0.45">
      <c r="A34" s="29" t="s">
        <v>42</v>
      </c>
      <c r="C34" s="21">
        <v>2773715</v>
      </c>
      <c r="E34" s="21">
        <v>92476870213</v>
      </c>
      <c r="G34" s="21">
        <v>71439347264</v>
      </c>
      <c r="I34" s="21">
        <v>21037522949</v>
      </c>
      <c r="K34" s="21">
        <v>2773715</v>
      </c>
      <c r="M34" s="21">
        <v>92476870213</v>
      </c>
      <c r="O34" s="21">
        <v>65924924472</v>
      </c>
      <c r="Q34" s="21">
        <v>26551945741</v>
      </c>
    </row>
    <row r="35" spans="1:17" ht="37.5" x14ac:dyDescent="0.45">
      <c r="A35" s="29" t="s">
        <v>43</v>
      </c>
      <c r="C35" s="21">
        <v>272500</v>
      </c>
      <c r="E35" s="21">
        <v>10063140919</v>
      </c>
      <c r="G35" s="21">
        <v>8613940275</v>
      </c>
      <c r="I35" s="21">
        <v>1449200644</v>
      </c>
      <c r="K35" s="21">
        <v>272500</v>
      </c>
      <c r="M35" s="21">
        <v>10063140919</v>
      </c>
      <c r="O35" s="21">
        <v>7367898600</v>
      </c>
      <c r="Q35" s="21">
        <v>2695242319</v>
      </c>
    </row>
    <row r="36" spans="1:17" ht="18.75" x14ac:dyDescent="0.45">
      <c r="A36" s="29" t="s">
        <v>44</v>
      </c>
      <c r="C36" s="21">
        <v>2672602</v>
      </c>
      <c r="E36" s="21">
        <v>43941818299</v>
      </c>
      <c r="G36" s="21">
        <v>40236433424</v>
      </c>
      <c r="I36" s="21">
        <v>3705384875</v>
      </c>
      <c r="K36" s="21">
        <v>2672602</v>
      </c>
      <c r="M36" s="21">
        <v>43941818299</v>
      </c>
      <c r="O36" s="21">
        <v>40236433424</v>
      </c>
      <c r="Q36" s="21">
        <v>3705384875</v>
      </c>
    </row>
    <row r="37" spans="1:17" ht="18.75" x14ac:dyDescent="0.45">
      <c r="A37" s="29" t="s">
        <v>45</v>
      </c>
      <c r="C37" s="21">
        <v>27844387</v>
      </c>
      <c r="E37" s="21">
        <v>78303078787</v>
      </c>
      <c r="G37" s="21">
        <v>77278966409</v>
      </c>
      <c r="I37" s="21">
        <v>1024112378</v>
      </c>
      <c r="K37" s="21">
        <v>27844387</v>
      </c>
      <c r="M37" s="21">
        <v>78303078787</v>
      </c>
      <c r="O37" s="21">
        <v>64795866893</v>
      </c>
      <c r="Q37" s="21">
        <v>13507211894</v>
      </c>
    </row>
    <row r="38" spans="1:17" ht="18.75" x14ac:dyDescent="0.45">
      <c r="A38" s="29" t="s">
        <v>46</v>
      </c>
      <c r="C38" s="21">
        <v>15167887</v>
      </c>
      <c r="E38" s="21">
        <v>58244915873</v>
      </c>
      <c r="G38" s="21">
        <v>51698538575</v>
      </c>
      <c r="I38" s="21">
        <v>6546377298</v>
      </c>
      <c r="K38" s="21">
        <v>15167887</v>
      </c>
      <c r="M38" s="21">
        <v>58244915873</v>
      </c>
      <c r="O38" s="21">
        <v>43923352960</v>
      </c>
      <c r="Q38" s="21">
        <v>14321562913</v>
      </c>
    </row>
    <row r="39" spans="1:17" ht="18.75" x14ac:dyDescent="0.45">
      <c r="A39" s="29" t="s">
        <v>47</v>
      </c>
      <c r="C39" s="21">
        <v>10258397</v>
      </c>
      <c r="E39" s="21">
        <v>27369713000</v>
      </c>
      <c r="G39" s="21">
        <v>25381227890</v>
      </c>
      <c r="I39" s="21">
        <v>1988485110</v>
      </c>
      <c r="K39" s="21">
        <v>10258397</v>
      </c>
      <c r="M39" s="21">
        <v>27369713000</v>
      </c>
      <c r="O39" s="21">
        <v>20435508514</v>
      </c>
      <c r="Q39" s="21">
        <v>6934204486</v>
      </c>
    </row>
    <row r="40" spans="1:17" ht="18.75" x14ac:dyDescent="0.45">
      <c r="A40" s="29" t="s">
        <v>48</v>
      </c>
      <c r="C40" s="21">
        <v>5958319</v>
      </c>
      <c r="E40" s="21">
        <v>16933476759</v>
      </c>
      <c r="G40" s="21">
        <v>13426341884</v>
      </c>
      <c r="I40" s="21">
        <v>3507134875</v>
      </c>
      <c r="K40" s="21">
        <v>5958319</v>
      </c>
      <c r="M40" s="21">
        <v>16933476759</v>
      </c>
      <c r="O40" s="21">
        <v>14372236995</v>
      </c>
      <c r="Q40" s="21">
        <v>2561239764</v>
      </c>
    </row>
    <row r="41" spans="1:17" ht="18.75" x14ac:dyDescent="0.45">
      <c r="A41" s="29" t="s">
        <v>177</v>
      </c>
      <c r="J41" s="22"/>
      <c r="K41" s="21">
        <v>0</v>
      </c>
      <c r="M41" s="21">
        <v>0</v>
      </c>
      <c r="O41" s="21">
        <v>-3981368184</v>
      </c>
      <c r="Q41" s="21">
        <v>3981368184</v>
      </c>
    </row>
    <row r="42" spans="1:17" ht="18.75" x14ac:dyDescent="0.45">
      <c r="A42" s="29" t="s">
        <v>49</v>
      </c>
      <c r="C42" s="21">
        <v>3250000</v>
      </c>
      <c r="E42" s="21">
        <v>4387239675</v>
      </c>
      <c r="G42" s="21">
        <v>5041918089</v>
      </c>
      <c r="I42" s="21">
        <v>-654678414</v>
      </c>
      <c r="K42" s="21">
        <v>3250000</v>
      </c>
      <c r="M42" s="21">
        <v>4387239675</v>
      </c>
      <c r="O42" s="21">
        <v>3939323661</v>
      </c>
      <c r="Q42" s="21">
        <v>447916014</v>
      </c>
    </row>
    <row r="43" spans="1:17" ht="18.75" x14ac:dyDescent="0.45">
      <c r="A43" s="29" t="s">
        <v>50</v>
      </c>
      <c r="C43" s="21">
        <v>1186353</v>
      </c>
      <c r="E43" s="21">
        <v>86064890690</v>
      </c>
      <c r="G43" s="21">
        <v>66016889296</v>
      </c>
      <c r="I43" s="21">
        <v>20048001394</v>
      </c>
      <c r="K43" s="21">
        <v>1186353</v>
      </c>
      <c r="M43" s="21">
        <v>86064890690</v>
      </c>
      <c r="O43" s="21">
        <v>56841980423</v>
      </c>
      <c r="Q43" s="21">
        <v>29222910267</v>
      </c>
    </row>
    <row r="44" spans="1:17" ht="18.75" x14ac:dyDescent="0.45">
      <c r="A44" s="29" t="s">
        <v>51</v>
      </c>
      <c r="C44" s="21">
        <v>100000</v>
      </c>
      <c r="E44" s="21">
        <v>11833171200</v>
      </c>
      <c r="G44" s="21">
        <v>11377896300</v>
      </c>
      <c r="I44" s="21">
        <v>455274900</v>
      </c>
      <c r="K44" s="21">
        <v>100000</v>
      </c>
      <c r="M44" s="21">
        <v>11833171200</v>
      </c>
      <c r="O44" s="21">
        <v>9054801450</v>
      </c>
      <c r="Q44" s="21">
        <v>2778369750</v>
      </c>
    </row>
    <row r="45" spans="1:17" ht="18.75" x14ac:dyDescent="0.45">
      <c r="A45" s="29" t="s">
        <v>52</v>
      </c>
      <c r="C45" s="21">
        <v>5530564</v>
      </c>
      <c r="E45" s="21">
        <v>68500808017</v>
      </c>
      <c r="G45" s="21">
        <v>63795975093</v>
      </c>
      <c r="I45" s="21">
        <v>4704832924</v>
      </c>
      <c r="K45" s="21">
        <v>5530564</v>
      </c>
      <c r="M45" s="21">
        <v>68500808017</v>
      </c>
      <c r="O45" s="21">
        <v>44805905726</v>
      </c>
      <c r="Q45" s="21">
        <v>23694902291</v>
      </c>
    </row>
    <row r="46" spans="1:17" ht="18.75" x14ac:dyDescent="0.45">
      <c r="A46" s="29" t="s">
        <v>53</v>
      </c>
      <c r="C46" s="21">
        <v>5799792</v>
      </c>
      <c r="E46" s="21">
        <v>60962104954</v>
      </c>
      <c r="G46" s="21">
        <v>60971804140</v>
      </c>
      <c r="I46" s="21">
        <v>-9699186</v>
      </c>
      <c r="K46" s="21">
        <v>5799792</v>
      </c>
      <c r="M46" s="21">
        <v>60962104954</v>
      </c>
      <c r="O46" s="21">
        <v>48140115033</v>
      </c>
      <c r="Q46" s="21">
        <v>12821989921</v>
      </c>
    </row>
    <row r="47" spans="1:17" ht="18.75" x14ac:dyDescent="0.45">
      <c r="A47" s="29" t="s">
        <v>54</v>
      </c>
      <c r="C47" s="21">
        <v>3700000</v>
      </c>
      <c r="E47" s="21">
        <v>70359853050</v>
      </c>
      <c r="G47" s="21">
        <v>55177727400</v>
      </c>
      <c r="I47" s="21">
        <v>15182125650</v>
      </c>
      <c r="K47" s="21">
        <v>3700000</v>
      </c>
      <c r="M47" s="21">
        <v>70359853050</v>
      </c>
      <c r="O47" s="21">
        <v>44871417000</v>
      </c>
      <c r="Q47" s="21">
        <v>25488436050</v>
      </c>
    </row>
    <row r="48" spans="1:17" ht="18.75" x14ac:dyDescent="0.45">
      <c r="A48" s="29" t="s">
        <v>55</v>
      </c>
      <c r="C48" s="21">
        <v>200000</v>
      </c>
      <c r="E48" s="21">
        <v>6234681600</v>
      </c>
      <c r="G48" s="21">
        <v>5689942200</v>
      </c>
      <c r="I48" s="21">
        <v>544739400</v>
      </c>
      <c r="K48" s="21">
        <v>200000</v>
      </c>
      <c r="M48" s="21">
        <v>6234681600</v>
      </c>
      <c r="O48" s="21">
        <v>4695892200</v>
      </c>
      <c r="Q48" s="21">
        <v>1538789400</v>
      </c>
    </row>
    <row r="49" spans="1:17" ht="18.75" x14ac:dyDescent="0.45">
      <c r="A49" s="29" t="s">
        <v>56</v>
      </c>
      <c r="C49" s="21">
        <v>21884415</v>
      </c>
      <c r="E49" s="21">
        <v>40897901134</v>
      </c>
      <c r="G49" s="21">
        <v>40749105904</v>
      </c>
      <c r="I49" s="21">
        <v>148795230</v>
      </c>
      <c r="K49" s="21">
        <v>21884415</v>
      </c>
      <c r="M49" s="21">
        <v>40897901134</v>
      </c>
      <c r="O49" s="21">
        <v>34393394517</v>
      </c>
      <c r="Q49" s="21">
        <v>6504506617</v>
      </c>
    </row>
    <row r="50" spans="1:17" ht="18.75" x14ac:dyDescent="0.45">
      <c r="A50" s="29" t="s">
        <v>57</v>
      </c>
      <c r="C50" s="21">
        <v>330974</v>
      </c>
      <c r="E50" s="21">
        <v>11409883159</v>
      </c>
      <c r="G50" s="21">
        <v>10580791303</v>
      </c>
      <c r="I50" s="21">
        <v>829091856</v>
      </c>
      <c r="K50" s="21">
        <v>330974</v>
      </c>
      <c r="M50" s="21">
        <v>11409883159</v>
      </c>
      <c r="O50" s="21">
        <v>9541136436</v>
      </c>
      <c r="Q50" s="21">
        <v>1868746723</v>
      </c>
    </row>
    <row r="51" spans="1:17" ht="18.75" x14ac:dyDescent="0.45">
      <c r="A51" s="29" t="s">
        <v>58</v>
      </c>
      <c r="C51" s="21">
        <v>9448213</v>
      </c>
      <c r="E51" s="21">
        <v>8227388612</v>
      </c>
      <c r="G51" s="21">
        <v>7222445026</v>
      </c>
      <c r="I51" s="21">
        <v>1004943586</v>
      </c>
      <c r="K51" s="21">
        <v>9448213</v>
      </c>
      <c r="M51" s="21">
        <v>8227388612</v>
      </c>
      <c r="O51" s="21">
        <v>7062781092</v>
      </c>
      <c r="Q51" s="21">
        <v>1164607520</v>
      </c>
    </row>
    <row r="52" spans="1:17" ht="18.75" x14ac:dyDescent="0.45">
      <c r="A52" s="29" t="s">
        <v>59</v>
      </c>
      <c r="C52" s="21">
        <v>10148510</v>
      </c>
      <c r="E52" s="21">
        <v>31313544239</v>
      </c>
      <c r="G52" s="21">
        <v>42117927576</v>
      </c>
      <c r="I52" s="21">
        <v>-10804383337</v>
      </c>
      <c r="K52" s="21">
        <v>10148510</v>
      </c>
      <c r="M52" s="21">
        <v>31313544239</v>
      </c>
      <c r="O52" s="21">
        <v>38072588903</v>
      </c>
      <c r="Q52" s="21">
        <v>-6759044664</v>
      </c>
    </row>
    <row r="53" spans="1:17" ht="18.75" x14ac:dyDescent="0.45">
      <c r="A53" s="29" t="s">
        <v>60</v>
      </c>
      <c r="C53" s="21">
        <v>249996</v>
      </c>
      <c r="E53" s="21">
        <v>2276338078</v>
      </c>
      <c r="G53" s="21">
        <v>1898605122</v>
      </c>
      <c r="I53" s="21">
        <v>377732956</v>
      </c>
      <c r="K53" s="21">
        <v>249996</v>
      </c>
      <c r="M53" s="21">
        <v>2276338078</v>
      </c>
      <c r="O53" s="21">
        <v>1732104411</v>
      </c>
      <c r="Q53" s="21">
        <v>544233667</v>
      </c>
    </row>
    <row r="54" spans="1:17" ht="18.75" x14ac:dyDescent="0.45">
      <c r="A54" s="29" t="s">
        <v>61</v>
      </c>
      <c r="C54" s="21">
        <v>22264729</v>
      </c>
      <c r="E54" s="21">
        <v>106699595871</v>
      </c>
      <c r="G54" s="21">
        <v>104052477691</v>
      </c>
      <c r="I54" s="21">
        <v>2647118180</v>
      </c>
      <c r="K54" s="21">
        <v>22264729</v>
      </c>
      <c r="M54" s="21">
        <v>106699595871</v>
      </c>
      <c r="O54" s="21">
        <v>98798381243</v>
      </c>
      <c r="Q54" s="21">
        <v>7901214628</v>
      </c>
    </row>
    <row r="55" spans="1:17" ht="18.75" x14ac:dyDescent="0.45">
      <c r="A55" s="29" t="s">
        <v>62</v>
      </c>
      <c r="C55" s="21">
        <v>9664654</v>
      </c>
      <c r="E55" s="21">
        <v>89250417078</v>
      </c>
      <c r="G55" s="21">
        <v>80123625235</v>
      </c>
      <c r="I55" s="21">
        <v>9126791843</v>
      </c>
      <c r="K55" s="21">
        <v>9664654</v>
      </c>
      <c r="M55" s="21">
        <v>89250417078</v>
      </c>
      <c r="O55" s="21">
        <v>76586335353</v>
      </c>
      <c r="Q55" s="21">
        <v>12664081725</v>
      </c>
    </row>
    <row r="56" spans="1:17" ht="18.75" x14ac:dyDescent="0.45">
      <c r="A56" s="29" t="s">
        <v>63</v>
      </c>
      <c r="C56" s="21">
        <v>3975855</v>
      </c>
      <c r="E56" s="21">
        <v>27507302693</v>
      </c>
      <c r="G56" s="21">
        <v>29009138185</v>
      </c>
      <c r="I56" s="21">
        <v>-1501835492</v>
      </c>
      <c r="K56" s="21">
        <v>3975855</v>
      </c>
      <c r="M56" s="21">
        <v>27507302693</v>
      </c>
      <c r="O56" s="21">
        <v>21886945061</v>
      </c>
      <c r="Q56" s="21">
        <v>5620357632</v>
      </c>
    </row>
    <row r="57" spans="1:17" ht="18.75" x14ac:dyDescent="0.45">
      <c r="A57" s="29" t="s">
        <v>64</v>
      </c>
      <c r="C57" s="21">
        <v>14021442</v>
      </c>
      <c r="E57" s="21">
        <v>50915566677</v>
      </c>
      <c r="G57" s="21">
        <v>54929714830</v>
      </c>
      <c r="I57" s="21">
        <v>-4014148153</v>
      </c>
      <c r="K57" s="21">
        <v>14021442</v>
      </c>
      <c r="M57" s="21">
        <v>50915566677</v>
      </c>
      <c r="O57" s="21">
        <v>51779723571</v>
      </c>
      <c r="Q57" s="21">
        <v>-864156894</v>
      </c>
    </row>
    <row r="58" spans="1:17" ht="18.75" x14ac:dyDescent="0.45">
      <c r="A58" s="29" t="s">
        <v>65</v>
      </c>
      <c r="C58" s="21">
        <v>200000</v>
      </c>
      <c r="E58" s="21">
        <v>1286300700</v>
      </c>
      <c r="G58" s="21">
        <v>1212741000</v>
      </c>
      <c r="I58" s="21">
        <v>73559700</v>
      </c>
      <c r="K58" s="21">
        <v>200000</v>
      </c>
      <c r="M58" s="21">
        <v>1286300700</v>
      </c>
      <c r="O58" s="21">
        <v>1059657300</v>
      </c>
      <c r="Q58" s="21">
        <v>226643400</v>
      </c>
    </row>
    <row r="59" spans="1:17" ht="18.75" x14ac:dyDescent="0.45">
      <c r="A59" s="29" t="s">
        <v>66</v>
      </c>
      <c r="C59" s="21">
        <v>8231319</v>
      </c>
      <c r="E59" s="21">
        <v>34136733544</v>
      </c>
      <c r="G59" s="21">
        <v>25798926382</v>
      </c>
      <c r="I59" s="21">
        <v>8337807162</v>
      </c>
      <c r="K59" s="21">
        <v>8231319</v>
      </c>
      <c r="M59" s="21">
        <v>34136733544</v>
      </c>
      <c r="O59" s="21">
        <v>23663334949</v>
      </c>
      <c r="Q59" s="21">
        <v>10473398595</v>
      </c>
    </row>
    <row r="60" spans="1:17" ht="18.75" x14ac:dyDescent="0.45">
      <c r="A60" s="29" t="s">
        <v>67</v>
      </c>
      <c r="C60" s="21">
        <v>6256631</v>
      </c>
      <c r="E60" s="21">
        <v>39741991851</v>
      </c>
      <c r="G60" s="21">
        <v>36445707707</v>
      </c>
      <c r="I60" s="21">
        <v>3296284144</v>
      </c>
      <c r="K60" s="21">
        <v>6256631</v>
      </c>
      <c r="M60" s="21">
        <v>39741991851</v>
      </c>
      <c r="O60" s="21">
        <v>33025035482</v>
      </c>
      <c r="Q60" s="21">
        <v>6716956369</v>
      </c>
    </row>
    <row r="61" spans="1:17" ht="18.75" x14ac:dyDescent="0.45">
      <c r="A61" s="29" t="s">
        <v>68</v>
      </c>
      <c r="C61" s="21">
        <v>4666666</v>
      </c>
      <c r="E61" s="21">
        <v>18908153699</v>
      </c>
      <c r="G61" s="21">
        <v>16941260380</v>
      </c>
      <c r="I61" s="21">
        <v>1966893319</v>
      </c>
      <c r="K61" s="21">
        <v>4666666</v>
      </c>
      <c r="M61" s="21">
        <v>18908153699</v>
      </c>
      <c r="O61" s="21">
        <v>15215589826</v>
      </c>
      <c r="Q61" s="21">
        <v>3692563873</v>
      </c>
    </row>
    <row r="62" spans="1:17" ht="18.75" x14ac:dyDescent="0.45">
      <c r="A62" s="29" t="s">
        <v>69</v>
      </c>
      <c r="C62" s="21">
        <v>16300000</v>
      </c>
      <c r="E62" s="21">
        <v>118768099950</v>
      </c>
      <c r="G62" s="21">
        <v>109342142576</v>
      </c>
      <c r="I62" s="21">
        <v>9425957374</v>
      </c>
      <c r="K62" s="21">
        <v>16300000</v>
      </c>
      <c r="M62" s="21">
        <v>118768099950</v>
      </c>
      <c r="O62" s="21">
        <v>89278612650</v>
      </c>
      <c r="Q62" s="21">
        <v>29489487300</v>
      </c>
    </row>
    <row r="63" spans="1:17" ht="18.75" x14ac:dyDescent="0.45">
      <c r="A63" s="29" t="s">
        <v>70</v>
      </c>
      <c r="J63" s="22"/>
      <c r="K63" s="21">
        <v>444699</v>
      </c>
      <c r="M63" s="21">
        <v>5950033931</v>
      </c>
      <c r="O63" s="21">
        <v>5720166350</v>
      </c>
      <c r="Q63" s="21">
        <v>229867581</v>
      </c>
    </row>
    <row r="64" spans="1:17" ht="18.75" x14ac:dyDescent="0.45">
      <c r="A64" s="29" t="s">
        <v>71</v>
      </c>
      <c r="C64" s="21">
        <v>4274063</v>
      </c>
      <c r="E64" s="21">
        <v>39512280624</v>
      </c>
      <c r="G64" s="21">
        <v>37684220244</v>
      </c>
      <c r="I64" s="21">
        <v>1828060380</v>
      </c>
      <c r="K64" s="21">
        <v>4274063</v>
      </c>
      <c r="M64" s="21">
        <v>39512280624</v>
      </c>
      <c r="O64" s="21">
        <v>37171715918</v>
      </c>
      <c r="Q64" s="21">
        <v>2340564706</v>
      </c>
    </row>
    <row r="65" spans="1:17" ht="18.75" x14ac:dyDescent="0.45">
      <c r="A65" s="29" t="s">
        <v>72</v>
      </c>
      <c r="C65" s="21">
        <v>250000</v>
      </c>
      <c r="E65" s="21">
        <v>3670529625</v>
      </c>
      <c r="G65" s="21">
        <v>3764964375</v>
      </c>
      <c r="I65" s="21">
        <v>-94434750</v>
      </c>
      <c r="K65" s="21">
        <v>250000</v>
      </c>
      <c r="M65" s="21">
        <v>3670529625</v>
      </c>
      <c r="O65" s="21">
        <v>3484145250</v>
      </c>
      <c r="Q65" s="21">
        <v>186384375</v>
      </c>
    </row>
    <row r="66" spans="1:17" ht="18.75" x14ac:dyDescent="0.45">
      <c r="A66" s="29" t="s">
        <v>73</v>
      </c>
      <c r="C66" s="21">
        <v>15800000</v>
      </c>
      <c r="E66" s="21">
        <v>159572858400</v>
      </c>
      <c r="G66" s="21">
        <v>164272726800</v>
      </c>
      <c r="I66" s="21">
        <v>-4699868400</v>
      </c>
      <c r="K66" s="21">
        <v>15800000</v>
      </c>
      <c r="M66" s="21">
        <v>159572858400</v>
      </c>
      <c r="O66" s="21">
        <v>144180988200</v>
      </c>
      <c r="Q66" s="21">
        <v>15391870200</v>
      </c>
    </row>
    <row r="67" spans="1:17" ht="18.75" x14ac:dyDescent="0.45">
      <c r="A67" s="29" t="s">
        <v>74</v>
      </c>
      <c r="C67" s="21">
        <v>6668802</v>
      </c>
      <c r="E67" s="21">
        <v>30759128994</v>
      </c>
      <c r="G67" s="21">
        <v>27243626179</v>
      </c>
      <c r="I67" s="21">
        <v>3515502815</v>
      </c>
      <c r="K67" s="21">
        <v>6668802</v>
      </c>
      <c r="M67" s="21">
        <v>30759128994</v>
      </c>
      <c r="O67" s="21">
        <v>22910247803</v>
      </c>
      <c r="Q67" s="21">
        <v>7848881191</v>
      </c>
    </row>
    <row r="68" spans="1:17" ht="18.75" x14ac:dyDescent="0.45">
      <c r="A68" s="29" t="s">
        <v>75</v>
      </c>
      <c r="C68" s="21">
        <v>5155597</v>
      </c>
      <c r="E68" s="21">
        <v>18383092337</v>
      </c>
      <c r="G68" s="21">
        <v>15815506817</v>
      </c>
      <c r="I68" s="21">
        <v>2567585520</v>
      </c>
      <c r="K68" s="21">
        <v>5155597</v>
      </c>
      <c r="M68" s="21">
        <v>18383092337</v>
      </c>
      <c r="O68" s="21">
        <v>12371559772</v>
      </c>
      <c r="Q68" s="21">
        <v>6011532565</v>
      </c>
    </row>
    <row r="69" spans="1:17" ht="18.75" x14ac:dyDescent="0.45">
      <c r="A69" s="29" t="s">
        <v>76</v>
      </c>
      <c r="C69" s="21">
        <v>10319951</v>
      </c>
      <c r="E69" s="21">
        <v>74784809755</v>
      </c>
      <c r="G69" s="21">
        <v>65434670129</v>
      </c>
      <c r="I69" s="21">
        <v>9350139626</v>
      </c>
      <c r="K69" s="21">
        <v>10319951</v>
      </c>
      <c r="M69" s="21">
        <v>74784809755</v>
      </c>
      <c r="O69" s="21">
        <v>57246929746</v>
      </c>
      <c r="Q69" s="21">
        <v>17537880009</v>
      </c>
    </row>
    <row r="70" spans="1:17" ht="18.75" x14ac:dyDescent="0.45">
      <c r="A70" s="29" t="s">
        <v>77</v>
      </c>
      <c r="C70" s="21">
        <v>1207911</v>
      </c>
      <c r="E70" s="21">
        <v>43934488582</v>
      </c>
      <c r="G70" s="21">
        <v>50607121743</v>
      </c>
      <c r="I70" s="21">
        <v>-6672633161</v>
      </c>
      <c r="K70" s="21">
        <v>1207911</v>
      </c>
      <c r="M70" s="21">
        <v>43934488582</v>
      </c>
      <c r="O70" s="21">
        <v>41857236184</v>
      </c>
      <c r="Q70" s="21">
        <v>2077252398</v>
      </c>
    </row>
    <row r="71" spans="1:17" ht="18.75" x14ac:dyDescent="0.45">
      <c r="A71" s="29" t="s">
        <v>78</v>
      </c>
      <c r="C71" s="21">
        <v>411</v>
      </c>
      <c r="E71" s="21">
        <v>992379</v>
      </c>
      <c r="G71" s="21">
        <v>999240</v>
      </c>
      <c r="I71" s="21">
        <v>-6861</v>
      </c>
      <c r="K71" s="21">
        <v>411</v>
      </c>
      <c r="M71" s="21">
        <v>992379</v>
      </c>
      <c r="O71" s="21">
        <v>999240</v>
      </c>
      <c r="Q71" s="21">
        <v>-6861</v>
      </c>
    </row>
    <row r="72" spans="1:17" ht="18.75" x14ac:dyDescent="0.45">
      <c r="A72" s="29" t="s">
        <v>79</v>
      </c>
      <c r="C72" s="21">
        <v>8971553</v>
      </c>
      <c r="E72" s="21">
        <v>35547834627</v>
      </c>
      <c r="G72" s="21">
        <v>33291537045</v>
      </c>
      <c r="I72" s="21">
        <v>2256297582</v>
      </c>
      <c r="K72" s="21">
        <v>8971553</v>
      </c>
      <c r="M72" s="21">
        <v>35547834627</v>
      </c>
      <c r="O72" s="21">
        <v>30785530640</v>
      </c>
      <c r="Q72" s="21">
        <v>4762303987</v>
      </c>
    </row>
    <row r="73" spans="1:17" ht="37.5" x14ac:dyDescent="0.45">
      <c r="A73" s="29" t="s">
        <v>80</v>
      </c>
      <c r="C73" s="21">
        <v>700000</v>
      </c>
      <c r="E73" s="21">
        <v>12337154550</v>
      </c>
      <c r="G73" s="21">
        <v>9887815350</v>
      </c>
      <c r="I73" s="21">
        <v>2449339200</v>
      </c>
      <c r="K73" s="21">
        <v>700000</v>
      </c>
      <c r="M73" s="21">
        <v>12337154550</v>
      </c>
      <c r="O73" s="21">
        <v>9581647950</v>
      </c>
      <c r="Q73" s="21">
        <v>2755506600</v>
      </c>
    </row>
    <row r="74" spans="1:17" ht="18.75" x14ac:dyDescent="0.45">
      <c r="A74" s="29" t="s">
        <v>81</v>
      </c>
      <c r="C74" s="21">
        <v>7700000</v>
      </c>
      <c r="E74" s="21">
        <v>46767070350</v>
      </c>
      <c r="G74" s="21">
        <v>45695484450</v>
      </c>
      <c r="I74" s="21">
        <v>1071585900</v>
      </c>
      <c r="K74" s="21">
        <v>7700000</v>
      </c>
      <c r="M74" s="21">
        <v>46767070350</v>
      </c>
      <c r="O74" s="21">
        <v>41638766400</v>
      </c>
      <c r="Q74" s="21">
        <v>5128303950</v>
      </c>
    </row>
    <row r="75" spans="1:17" ht="18.75" x14ac:dyDescent="0.45">
      <c r="A75" s="29" t="s">
        <v>82</v>
      </c>
      <c r="C75" s="21">
        <v>10500000</v>
      </c>
      <c r="E75" s="21">
        <v>120344663250</v>
      </c>
      <c r="G75" s="21">
        <v>104713227000</v>
      </c>
      <c r="I75" s="21">
        <v>15631436250</v>
      </c>
      <c r="K75" s="21">
        <v>10500000</v>
      </c>
      <c r="M75" s="21">
        <v>120344663250</v>
      </c>
      <c r="O75" s="21">
        <v>94042100250</v>
      </c>
      <c r="Q75" s="21">
        <v>26302563000</v>
      </c>
    </row>
    <row r="76" spans="1:17" ht="18.75" x14ac:dyDescent="0.45">
      <c r="A76" s="29" t="s">
        <v>83</v>
      </c>
      <c r="C76" s="21">
        <v>1999999</v>
      </c>
      <c r="E76" s="21">
        <v>11829189085</v>
      </c>
      <c r="G76" s="21">
        <v>8743659428</v>
      </c>
      <c r="I76" s="21">
        <v>3085529657</v>
      </c>
      <c r="K76" s="21">
        <v>1999999</v>
      </c>
      <c r="M76" s="21">
        <v>11829189085</v>
      </c>
      <c r="O76" s="21">
        <v>7151192124</v>
      </c>
      <c r="Q76" s="21">
        <v>4677996961</v>
      </c>
    </row>
    <row r="77" spans="1:17" ht="18.75" x14ac:dyDescent="0.45">
      <c r="A77" s="29" t="s">
        <v>84</v>
      </c>
      <c r="C77" s="21">
        <v>18635760</v>
      </c>
      <c r="E77" s="21">
        <v>87641194166</v>
      </c>
      <c r="G77" s="21">
        <v>74118033789</v>
      </c>
      <c r="I77" s="21">
        <v>13523160377</v>
      </c>
      <c r="K77" s="21">
        <v>18635760</v>
      </c>
      <c r="M77" s="21">
        <v>87641194166</v>
      </c>
      <c r="O77" s="21">
        <v>59261082252</v>
      </c>
      <c r="Q77" s="21">
        <v>28380111914</v>
      </c>
    </row>
    <row r="78" spans="1:17" ht="18.75" x14ac:dyDescent="0.45">
      <c r="A78" s="29" t="s">
        <v>85</v>
      </c>
      <c r="C78" s="21">
        <v>25703048</v>
      </c>
      <c r="E78" s="21">
        <v>47855365141</v>
      </c>
      <c r="G78" s="21">
        <v>47088861695</v>
      </c>
      <c r="I78" s="21">
        <v>766503446</v>
      </c>
      <c r="K78" s="21">
        <v>25703048</v>
      </c>
      <c r="M78" s="21">
        <v>47855365141</v>
      </c>
      <c r="O78" s="21">
        <v>40215880797</v>
      </c>
      <c r="Q78" s="21">
        <v>7639484344</v>
      </c>
    </row>
    <row r="79" spans="1:17" ht="18.75" x14ac:dyDescent="0.45">
      <c r="A79" s="29" t="s">
        <v>86</v>
      </c>
      <c r="C79" s="21">
        <v>177678</v>
      </c>
      <c r="E79" s="21">
        <v>8841638044</v>
      </c>
      <c r="G79" s="21">
        <v>7995624336</v>
      </c>
      <c r="I79" s="21">
        <v>846013708</v>
      </c>
      <c r="K79" s="21">
        <v>177678</v>
      </c>
      <c r="M79" s="21">
        <v>8841638044</v>
      </c>
      <c r="O79" s="21">
        <v>6411335617</v>
      </c>
      <c r="Q79" s="21">
        <v>2430302427</v>
      </c>
    </row>
    <row r="80" spans="1:17" ht="18.75" x14ac:dyDescent="0.45">
      <c r="A80" s="29" t="s">
        <v>87</v>
      </c>
      <c r="C80" s="21">
        <v>123</v>
      </c>
      <c r="E80" s="21">
        <v>4706101</v>
      </c>
      <c r="G80" s="21">
        <v>3490756</v>
      </c>
      <c r="I80" s="21">
        <v>1215345</v>
      </c>
      <c r="K80" s="21">
        <v>123</v>
      </c>
      <c r="M80" s="21">
        <v>4706101</v>
      </c>
      <c r="O80" s="21">
        <v>2749811</v>
      </c>
      <c r="Q80" s="21">
        <v>1956290</v>
      </c>
    </row>
    <row r="81" spans="1:17" ht="18.75" x14ac:dyDescent="0.45">
      <c r="A81" s="29" t="s">
        <v>88</v>
      </c>
      <c r="C81" s="21">
        <v>4260000</v>
      </c>
      <c r="E81" s="21">
        <v>17794011906</v>
      </c>
      <c r="G81" s="21">
        <v>15735970548</v>
      </c>
      <c r="I81" s="21">
        <v>2058041358</v>
      </c>
      <c r="K81" s="21">
        <v>4260000</v>
      </c>
      <c r="M81" s="21">
        <v>17794011906</v>
      </c>
      <c r="O81" s="21">
        <v>14554502361</v>
      </c>
      <c r="Q81" s="21">
        <v>3239509545</v>
      </c>
    </row>
    <row r="82" spans="1:17" ht="18.75" x14ac:dyDescent="0.45">
      <c r="A82" s="29" t="s">
        <v>89</v>
      </c>
      <c r="C82" s="21">
        <v>3009494</v>
      </c>
      <c r="E82" s="21">
        <v>31411668862</v>
      </c>
      <c r="G82" s="21">
        <v>28719240103</v>
      </c>
      <c r="I82" s="21">
        <v>2692428759</v>
      </c>
      <c r="K82" s="21">
        <v>3009494</v>
      </c>
      <c r="M82" s="21">
        <v>31411668862</v>
      </c>
      <c r="O82" s="21">
        <v>27103782847</v>
      </c>
      <c r="Q82" s="21">
        <v>4307886015</v>
      </c>
    </row>
    <row r="83" spans="1:17" ht="18.75" x14ac:dyDescent="0.45">
      <c r="A83" s="29" t="s">
        <v>90</v>
      </c>
      <c r="C83" s="21">
        <v>4613772</v>
      </c>
      <c r="E83" s="21">
        <v>38112319670</v>
      </c>
      <c r="G83" s="21">
        <v>37424371662</v>
      </c>
      <c r="I83" s="21">
        <v>687948008</v>
      </c>
      <c r="K83" s="21">
        <v>4613772</v>
      </c>
      <c r="M83" s="21">
        <v>38112319670</v>
      </c>
      <c r="O83" s="21">
        <v>31141113184</v>
      </c>
      <c r="Q83" s="21">
        <v>6971206486</v>
      </c>
    </row>
    <row r="84" spans="1:17" ht="18.75" x14ac:dyDescent="0.45">
      <c r="A84" s="29" t="s">
        <v>91</v>
      </c>
      <c r="C84" s="21">
        <v>400000</v>
      </c>
      <c r="E84" s="21">
        <v>1283119740</v>
      </c>
      <c r="G84" s="21">
        <v>1245743460</v>
      </c>
      <c r="I84" s="21">
        <v>37376280</v>
      </c>
      <c r="K84" s="21">
        <v>400000</v>
      </c>
      <c r="M84" s="21">
        <v>1283119740</v>
      </c>
      <c r="O84" s="21">
        <v>1047728700</v>
      </c>
      <c r="Q84" s="21">
        <v>235391040</v>
      </c>
    </row>
    <row r="85" spans="1:17" ht="18.75" x14ac:dyDescent="0.45">
      <c r="A85" s="29" t="s">
        <v>92</v>
      </c>
      <c r="C85" s="21">
        <v>407809</v>
      </c>
      <c r="E85" s="21">
        <v>13697875907</v>
      </c>
      <c r="G85" s="21">
        <v>15996394888</v>
      </c>
      <c r="I85" s="21">
        <v>-2298518981</v>
      </c>
      <c r="K85" s="21">
        <v>407809</v>
      </c>
      <c r="M85" s="21">
        <v>13697875907</v>
      </c>
      <c r="O85" s="21">
        <v>14630255740</v>
      </c>
      <c r="Q85" s="21">
        <v>-932379833</v>
      </c>
    </row>
    <row r="86" spans="1:17" ht="18.75" x14ac:dyDescent="0.45">
      <c r="A86" s="29" t="s">
        <v>93</v>
      </c>
      <c r="C86" s="21">
        <v>5000000</v>
      </c>
      <c r="E86" s="21">
        <v>137675925000</v>
      </c>
      <c r="G86" s="21">
        <v>116640173646</v>
      </c>
      <c r="I86" s="21">
        <v>21035751354</v>
      </c>
      <c r="K86" s="21">
        <v>5000000</v>
      </c>
      <c r="M86" s="21">
        <v>137675925000</v>
      </c>
      <c r="O86" s="21">
        <v>93291592500</v>
      </c>
      <c r="Q86" s="21">
        <v>44384332500</v>
      </c>
    </row>
    <row r="87" spans="1:17" ht="18.75" x14ac:dyDescent="0.45">
      <c r="A87" s="29" t="s">
        <v>94</v>
      </c>
      <c r="C87" s="21">
        <v>50000</v>
      </c>
      <c r="E87" s="21">
        <v>13971869775</v>
      </c>
      <c r="G87" s="21">
        <v>14894348175</v>
      </c>
      <c r="I87" s="21">
        <v>-922478400</v>
      </c>
      <c r="K87" s="21">
        <v>50000</v>
      </c>
      <c r="M87" s="21">
        <v>13971869775</v>
      </c>
      <c r="O87" s="21">
        <v>12593619450</v>
      </c>
      <c r="Q87" s="21">
        <v>1378250325</v>
      </c>
    </row>
    <row r="88" spans="1:17" ht="18.75" x14ac:dyDescent="0.45">
      <c r="A88" s="29" t="s">
        <v>95</v>
      </c>
      <c r="C88" s="21">
        <v>1947948</v>
      </c>
      <c r="E88" s="21">
        <v>61866628815</v>
      </c>
      <c r="G88" s="21">
        <v>63318897097</v>
      </c>
      <c r="I88" s="21">
        <v>-1452268282</v>
      </c>
      <c r="K88" s="21">
        <v>1947948</v>
      </c>
      <c r="M88" s="21">
        <v>61866628815</v>
      </c>
      <c r="O88" s="21">
        <v>57897095511</v>
      </c>
      <c r="Q88" s="21">
        <v>3969533304</v>
      </c>
    </row>
    <row r="89" spans="1:17" ht="18.75" x14ac:dyDescent="0.45">
      <c r="A89" s="29" t="s">
        <v>96</v>
      </c>
      <c r="C89" s="21">
        <v>450000</v>
      </c>
      <c r="E89" s="21">
        <v>8713842300</v>
      </c>
      <c r="G89" s="21">
        <v>10422614250</v>
      </c>
      <c r="I89" s="21">
        <v>-1708771950</v>
      </c>
      <c r="K89" s="21">
        <v>450000</v>
      </c>
      <c r="M89" s="21">
        <v>8713842300</v>
      </c>
      <c r="O89" s="21">
        <v>8423082675</v>
      </c>
      <c r="Q89" s="21">
        <v>290759625</v>
      </c>
    </row>
    <row r="90" spans="1:17" ht="18.75" x14ac:dyDescent="0.45">
      <c r="A90" s="29" t="s">
        <v>97</v>
      </c>
      <c r="C90" s="21">
        <v>3553700</v>
      </c>
      <c r="E90" s="21">
        <v>9802841471</v>
      </c>
      <c r="G90" s="21">
        <v>9940319524</v>
      </c>
      <c r="I90" s="21">
        <v>-137478053</v>
      </c>
      <c r="K90" s="21">
        <v>3553700</v>
      </c>
      <c r="M90" s="21">
        <v>9802841471</v>
      </c>
      <c r="O90" s="21">
        <v>9406224780</v>
      </c>
      <c r="Q90" s="21">
        <v>396616691</v>
      </c>
    </row>
    <row r="91" spans="1:17" ht="18.75" x14ac:dyDescent="0.45">
      <c r="A91" s="29" t="s">
        <v>99</v>
      </c>
      <c r="C91" s="21">
        <v>21600000</v>
      </c>
      <c r="E91" s="21">
        <v>29544756480</v>
      </c>
      <c r="G91" s="21">
        <v>29716528320</v>
      </c>
      <c r="I91" s="21">
        <v>-171771840</v>
      </c>
      <c r="K91" s="21">
        <v>21600000</v>
      </c>
      <c r="M91" s="21">
        <v>29544756480</v>
      </c>
      <c r="O91" s="21">
        <v>28728840240</v>
      </c>
      <c r="Q91" s="21">
        <v>815916240</v>
      </c>
    </row>
    <row r="92" spans="1:17" ht="19.5" thickBot="1" x14ac:dyDescent="0.5">
      <c r="A92" s="24" t="s">
        <v>100</v>
      </c>
      <c r="C92" s="24">
        <f>SUM(C9:$C$91)</f>
        <v>548899904</v>
      </c>
      <c r="E92" s="24">
        <f>SUM(E9:$E$91)</f>
        <v>3185698842418</v>
      </c>
      <c r="G92" s="24">
        <f>SUM(G9:$G$91)</f>
        <v>2939790946357</v>
      </c>
      <c r="I92" s="24">
        <f>SUM(I9:$I$91)</f>
        <v>245907896061</v>
      </c>
      <c r="K92" s="24">
        <f>SUM(K9:$K$91)</f>
        <v>549394603</v>
      </c>
      <c r="M92" s="24">
        <f>SUM(M9:$M$91)</f>
        <v>3193050486849</v>
      </c>
      <c r="O92" s="24">
        <f>SUM(O9:$O$91)</f>
        <v>2544895187418</v>
      </c>
      <c r="Q92" s="24">
        <f>SUM(Q9:$Q$91)</f>
        <v>648155299431</v>
      </c>
    </row>
    <row r="93" spans="1:17" ht="19.5" thickTop="1" x14ac:dyDescent="0.45">
      <c r="C93" s="26"/>
      <c r="E93" s="26"/>
      <c r="G93" s="26"/>
      <c r="I93" s="26"/>
      <c r="K93" s="26"/>
      <c r="M93" s="26"/>
      <c r="O93" s="26"/>
      <c r="Q93" s="26"/>
    </row>
    <row r="95" spans="1:17" ht="18.75" x14ac:dyDescent="0.45">
      <c r="A95" s="31" t="s">
        <v>173</v>
      </c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3"/>
    </row>
  </sheetData>
  <mergeCells count="7">
    <mergeCell ref="A95:Q95"/>
    <mergeCell ref="A1:Q1"/>
    <mergeCell ref="A2:Q2"/>
    <mergeCell ref="A3:Q3"/>
    <mergeCell ref="A5:Q5"/>
    <mergeCell ref="C7:I7"/>
    <mergeCell ref="K7:Q7"/>
  </mergeCells>
  <pageMargins left="0.7" right="0.7" top="0.75" bottom="0.75" header="0.3" footer="0.3"/>
  <pageSetup paperSize="9" scale="74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90"/>
  <sheetViews>
    <sheetView rightToLeft="1" view="pageBreakPreview" zoomScale="60" zoomScaleNormal="100" workbookViewId="0">
      <selection sqref="A1:XFD1048576"/>
    </sheetView>
  </sheetViews>
  <sheetFormatPr defaultRowHeight="18" x14ac:dyDescent="0.45"/>
  <cols>
    <col min="1" max="1" width="21.140625" style="12" bestFit="1" customWidth="1"/>
    <col min="2" max="2" width="1.42578125" style="12" customWidth="1"/>
    <col min="3" max="3" width="17" style="12" customWidth="1"/>
    <col min="4" max="4" width="1.42578125" style="12" customWidth="1"/>
    <col min="5" max="5" width="18" style="12" bestFit="1" customWidth="1"/>
    <col min="6" max="6" width="1.42578125" style="12" customWidth="1"/>
    <col min="7" max="7" width="17" style="12" customWidth="1"/>
    <col min="8" max="8" width="1.42578125" style="12" customWidth="1"/>
    <col min="9" max="9" width="18.28515625" style="12" bestFit="1" customWidth="1"/>
    <col min="10" max="10" width="1.42578125" style="12" customWidth="1"/>
    <col min="11" max="11" width="11.5703125" style="12" bestFit="1" customWidth="1"/>
    <col min="12" max="12" width="1.42578125" style="12" customWidth="1"/>
    <col min="13" max="13" width="17" style="12" customWidth="1"/>
    <col min="14" max="14" width="1.42578125" style="12" customWidth="1"/>
    <col min="15" max="15" width="18" style="12" bestFit="1" customWidth="1"/>
    <col min="16" max="16" width="1.42578125" style="12" customWidth="1"/>
    <col min="17" max="17" width="17" style="12" customWidth="1"/>
    <col min="18" max="18" width="1.42578125" style="12" customWidth="1"/>
    <col min="19" max="19" width="17.7109375" style="12" bestFit="1" customWidth="1"/>
    <col min="20" max="20" width="1.42578125" style="12" customWidth="1"/>
    <col min="21" max="21" width="11.5703125" style="12" bestFit="1" customWidth="1"/>
    <col min="22" max="16384" width="9.140625" style="12"/>
  </cols>
  <sheetData>
    <row r="1" spans="1:26" ht="20.100000000000001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spans="1:26" ht="20.100000000000001" customHeight="1" x14ac:dyDescent="0.45">
      <c r="A2" s="10" t="s">
        <v>143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1:26" ht="20.100000000000001" customHeight="1" x14ac:dyDescent="0.4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5" spans="1:26" ht="21" x14ac:dyDescent="0.45">
      <c r="A5" s="13" t="s">
        <v>178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spans="1:26" x14ac:dyDescent="0.45">
      <c r="Z6" s="36"/>
    </row>
    <row r="7" spans="1:26" ht="21" x14ac:dyDescent="0.45">
      <c r="C7" s="14" t="s">
        <v>155</v>
      </c>
      <c r="D7" s="15"/>
      <c r="E7" s="15"/>
      <c r="F7" s="15"/>
      <c r="G7" s="15"/>
      <c r="H7" s="15"/>
      <c r="I7" s="15"/>
      <c r="J7" s="15"/>
      <c r="K7" s="15"/>
      <c r="M7" s="14" t="s">
        <v>7</v>
      </c>
      <c r="N7" s="15"/>
      <c r="O7" s="15"/>
      <c r="P7" s="15"/>
      <c r="Q7" s="15"/>
      <c r="R7" s="15"/>
      <c r="S7" s="15"/>
      <c r="T7" s="15"/>
      <c r="U7" s="15"/>
    </row>
    <row r="8" spans="1:26" ht="42" x14ac:dyDescent="0.45">
      <c r="A8" s="27" t="s">
        <v>179</v>
      </c>
      <c r="C8" s="28" t="s">
        <v>153</v>
      </c>
      <c r="E8" s="28" t="s">
        <v>180</v>
      </c>
      <c r="G8" s="28" t="s">
        <v>181</v>
      </c>
      <c r="I8" s="28" t="s">
        <v>182</v>
      </c>
      <c r="K8" s="28" t="s">
        <v>183</v>
      </c>
      <c r="M8" s="28" t="s">
        <v>153</v>
      </c>
      <c r="O8" s="28" t="s">
        <v>180</v>
      </c>
      <c r="Q8" s="28" t="s">
        <v>181</v>
      </c>
      <c r="S8" s="28" t="s">
        <v>182</v>
      </c>
      <c r="U8" s="28" t="s">
        <v>183</v>
      </c>
    </row>
    <row r="9" spans="1:26" ht="18.75" x14ac:dyDescent="0.45">
      <c r="A9" s="29" t="s">
        <v>17</v>
      </c>
      <c r="C9" s="21">
        <v>0</v>
      </c>
      <c r="E9" s="21">
        <v>81264</v>
      </c>
      <c r="G9" s="21">
        <v>0</v>
      </c>
      <c r="I9" s="21">
        <v>81264</v>
      </c>
      <c r="K9" s="23">
        <v>2.3526090322798013E-7</v>
      </c>
      <c r="M9" s="21">
        <v>0</v>
      </c>
      <c r="O9" s="21">
        <v>1555937</v>
      </c>
      <c r="Q9" s="21">
        <v>0</v>
      </c>
      <c r="S9" s="21">
        <v>1555937</v>
      </c>
      <c r="U9" s="23">
        <v>2.0766857131360167E-6</v>
      </c>
    </row>
    <row r="10" spans="1:26" ht="18.75" x14ac:dyDescent="0.45">
      <c r="A10" s="29" t="s">
        <v>18</v>
      </c>
      <c r="C10" s="21">
        <v>199000000</v>
      </c>
      <c r="E10" s="21">
        <v>0</v>
      </c>
      <c r="G10" s="21">
        <v>0</v>
      </c>
      <c r="I10" s="21">
        <v>199000000</v>
      </c>
      <c r="K10" s="23">
        <v>5.7610897497499557E-4</v>
      </c>
      <c r="M10" s="21">
        <v>199000000</v>
      </c>
      <c r="O10" s="21">
        <v>96919875</v>
      </c>
      <c r="Q10" s="21">
        <v>0</v>
      </c>
      <c r="S10" s="21">
        <v>295919875</v>
      </c>
      <c r="U10" s="23">
        <v>3.9495980662809349E-4</v>
      </c>
    </row>
    <row r="11" spans="1:26" ht="18.75" x14ac:dyDescent="0.45">
      <c r="A11" s="29" t="s">
        <v>19</v>
      </c>
      <c r="C11" s="21">
        <v>0</v>
      </c>
      <c r="E11" s="21">
        <v>272767320</v>
      </c>
      <c r="G11" s="21">
        <v>0</v>
      </c>
      <c r="I11" s="21">
        <v>272767320</v>
      </c>
      <c r="K11" s="23">
        <v>7.8966683985867649E-4</v>
      </c>
      <c r="M11" s="21">
        <v>0</v>
      </c>
      <c r="O11" s="21">
        <v>440811473</v>
      </c>
      <c r="Q11" s="21">
        <v>0</v>
      </c>
      <c r="S11" s="21">
        <v>440811473</v>
      </c>
      <c r="U11" s="23">
        <v>5.8834444335827412E-4</v>
      </c>
    </row>
    <row r="12" spans="1:26" ht="18.75" x14ac:dyDescent="0.45">
      <c r="A12" s="29" t="s">
        <v>184</v>
      </c>
      <c r="C12" s="21">
        <v>0</v>
      </c>
      <c r="E12" s="21">
        <v>4981721689</v>
      </c>
      <c r="G12" s="21">
        <v>24998217</v>
      </c>
      <c r="I12" s="21">
        <v>5006719906</v>
      </c>
      <c r="K12" s="23">
        <v>1.4494554135842042E-2</v>
      </c>
      <c r="M12" s="21">
        <v>0</v>
      </c>
      <c r="O12" s="21">
        <v>7084882861</v>
      </c>
      <c r="Q12" s="21">
        <v>24998217</v>
      </c>
      <c r="S12" s="21">
        <v>7109881078</v>
      </c>
      <c r="U12" s="23">
        <v>9.489451344610161E-3</v>
      </c>
    </row>
    <row r="13" spans="1:26" ht="18.75" x14ac:dyDescent="0.45">
      <c r="A13" s="29" t="s">
        <v>21</v>
      </c>
      <c r="C13" s="21">
        <v>0</v>
      </c>
      <c r="E13" s="21">
        <v>2016202390</v>
      </c>
      <c r="G13" s="21">
        <v>0</v>
      </c>
      <c r="I13" s="21">
        <v>2016202390</v>
      </c>
      <c r="K13" s="23">
        <v>5.8369461921861125E-3</v>
      </c>
      <c r="M13" s="21">
        <v>0</v>
      </c>
      <c r="O13" s="21">
        <v>3768602598</v>
      </c>
      <c r="Q13" s="21">
        <v>0</v>
      </c>
      <c r="S13" s="21">
        <v>3768602598</v>
      </c>
      <c r="U13" s="23">
        <v>5.0298972090475867E-3</v>
      </c>
    </row>
    <row r="14" spans="1:26" ht="18.75" x14ac:dyDescent="0.45">
      <c r="A14" s="29" t="s">
        <v>22</v>
      </c>
      <c r="C14" s="21">
        <v>0</v>
      </c>
      <c r="E14" s="21">
        <v>5896064279</v>
      </c>
      <c r="G14" s="21">
        <v>0</v>
      </c>
      <c r="I14" s="21">
        <v>5896064279</v>
      </c>
      <c r="K14" s="23">
        <v>1.7069223860107421E-2</v>
      </c>
      <c r="M14" s="21">
        <v>0</v>
      </c>
      <c r="O14" s="21">
        <v>11447531152</v>
      </c>
      <c r="Q14" s="21">
        <v>0</v>
      </c>
      <c r="S14" s="21">
        <v>11447531152</v>
      </c>
      <c r="U14" s="23">
        <v>1.5278847661594194E-2</v>
      </c>
    </row>
    <row r="15" spans="1:26" ht="18.75" x14ac:dyDescent="0.45">
      <c r="A15" s="29" t="s">
        <v>23</v>
      </c>
      <c r="C15" s="21">
        <v>0</v>
      </c>
      <c r="E15" s="21">
        <v>2604431944</v>
      </c>
      <c r="G15" s="21">
        <v>140740760</v>
      </c>
      <c r="I15" s="21">
        <v>2745172704</v>
      </c>
      <c r="K15" s="23">
        <v>7.9473298122149597E-3</v>
      </c>
      <c r="M15" s="21">
        <v>0</v>
      </c>
      <c r="O15" s="21">
        <v>4054549410</v>
      </c>
      <c r="Q15" s="21">
        <v>140740760</v>
      </c>
      <c r="S15" s="21">
        <v>4195290170</v>
      </c>
      <c r="U15" s="23">
        <v>5.5993906941598347E-3</v>
      </c>
    </row>
    <row r="16" spans="1:26" ht="18.75" x14ac:dyDescent="0.45">
      <c r="A16" s="29" t="s">
        <v>24</v>
      </c>
      <c r="C16" s="21">
        <v>0</v>
      </c>
      <c r="E16" s="21">
        <v>4288047551</v>
      </c>
      <c r="G16" s="21">
        <v>570658428</v>
      </c>
      <c r="I16" s="21">
        <v>4858705979</v>
      </c>
      <c r="K16" s="23">
        <v>1.4066050860636043E-2</v>
      </c>
      <c r="M16" s="21">
        <v>0</v>
      </c>
      <c r="O16" s="21">
        <v>13571281691</v>
      </c>
      <c r="Q16" s="21">
        <v>570658428</v>
      </c>
      <c r="S16" s="21">
        <v>14141940119</v>
      </c>
      <c r="U16" s="23">
        <v>1.8875034786853425E-2</v>
      </c>
    </row>
    <row r="17" spans="1:21" ht="18.75" x14ac:dyDescent="0.45">
      <c r="A17" s="29" t="s">
        <v>25</v>
      </c>
      <c r="C17" s="21">
        <v>0</v>
      </c>
      <c r="E17" s="21">
        <v>-780329250</v>
      </c>
      <c r="G17" s="21">
        <v>0</v>
      </c>
      <c r="I17" s="21">
        <v>-780329250</v>
      </c>
      <c r="K17" s="23">
        <v>-2.259068765630689E-3</v>
      </c>
      <c r="M17" s="21">
        <v>0</v>
      </c>
      <c r="O17" s="21">
        <v>144137250</v>
      </c>
      <c r="Q17" s="21">
        <v>0</v>
      </c>
      <c r="S17" s="21">
        <v>144137250</v>
      </c>
      <c r="U17" s="23">
        <v>1.9237781979971832E-4</v>
      </c>
    </row>
    <row r="18" spans="1:21" ht="18.75" x14ac:dyDescent="0.45">
      <c r="A18" s="29" t="s">
        <v>185</v>
      </c>
      <c r="C18" s="21">
        <v>0</v>
      </c>
      <c r="E18" s="21">
        <v>2687724286</v>
      </c>
      <c r="G18" s="21">
        <v>0</v>
      </c>
      <c r="I18" s="21">
        <v>2687724286</v>
      </c>
      <c r="K18" s="23">
        <v>7.7810154945872458E-3</v>
      </c>
      <c r="M18" s="21">
        <v>0</v>
      </c>
      <c r="O18" s="21">
        <v>9073940968</v>
      </c>
      <c r="Q18" s="21">
        <v>0</v>
      </c>
      <c r="S18" s="21">
        <v>9073940968</v>
      </c>
      <c r="U18" s="23">
        <v>1.2110852540999537E-2</v>
      </c>
    </row>
    <row r="19" spans="1:21" ht="18.75" x14ac:dyDescent="0.45">
      <c r="A19" s="29" t="s">
        <v>26</v>
      </c>
      <c r="C19" s="21">
        <v>0</v>
      </c>
      <c r="E19" s="21">
        <v>1670004000</v>
      </c>
      <c r="G19" s="21">
        <v>0</v>
      </c>
      <c r="I19" s="21">
        <v>1670004000</v>
      </c>
      <c r="K19" s="23">
        <v>4.8346949379102638E-3</v>
      </c>
      <c r="M19" s="21">
        <v>0</v>
      </c>
      <c r="O19" s="21">
        <v>2078807063</v>
      </c>
      <c r="Q19" s="21">
        <v>0</v>
      </c>
      <c r="S19" s="21">
        <v>2078807063</v>
      </c>
      <c r="U19" s="23">
        <v>2.7745525224339694E-3</v>
      </c>
    </row>
    <row r="20" spans="1:21" ht="18.75" x14ac:dyDescent="0.45">
      <c r="A20" s="29" t="s">
        <v>186</v>
      </c>
      <c r="C20" s="21">
        <v>0</v>
      </c>
      <c r="E20" s="21">
        <v>772066209</v>
      </c>
      <c r="G20" s="21">
        <v>0</v>
      </c>
      <c r="I20" s="21">
        <v>772066209</v>
      </c>
      <c r="K20" s="23">
        <v>2.2351470968835214E-3</v>
      </c>
      <c r="M20" s="21">
        <v>0</v>
      </c>
      <c r="O20" s="21">
        <v>1276857225</v>
      </c>
      <c r="Q20" s="21">
        <v>0</v>
      </c>
      <c r="S20" s="21">
        <v>1276857225</v>
      </c>
      <c r="U20" s="23">
        <v>1.7042021347085392E-3</v>
      </c>
    </row>
    <row r="21" spans="1:21" ht="18.75" x14ac:dyDescent="0.45">
      <c r="A21" s="29" t="s">
        <v>30</v>
      </c>
      <c r="C21" s="21">
        <v>0</v>
      </c>
      <c r="E21" s="21">
        <v>26409223720</v>
      </c>
      <c r="G21" s="21">
        <v>8278408483</v>
      </c>
      <c r="I21" s="21">
        <v>34687632203</v>
      </c>
      <c r="K21" s="23">
        <v>0.100421388104422</v>
      </c>
      <c r="M21" s="21">
        <v>0</v>
      </c>
      <c r="O21" s="21">
        <v>37474889760</v>
      </c>
      <c r="Q21" s="21">
        <v>8278408483</v>
      </c>
      <c r="S21" s="21">
        <v>45753298243</v>
      </c>
      <c r="U21" s="23">
        <v>6.1066239050867298E-2</v>
      </c>
    </row>
    <row r="22" spans="1:21" ht="18.75" x14ac:dyDescent="0.45">
      <c r="A22" s="29" t="s">
        <v>31</v>
      </c>
      <c r="C22" s="21">
        <v>0</v>
      </c>
      <c r="E22" s="21">
        <v>15820073221</v>
      </c>
      <c r="G22" s="21">
        <v>3510145978</v>
      </c>
      <c r="I22" s="21">
        <v>19330219199</v>
      </c>
      <c r="K22" s="23">
        <v>5.5961370697376236E-2</v>
      </c>
      <c r="M22" s="21">
        <v>0</v>
      </c>
      <c r="O22" s="21">
        <v>52992205253</v>
      </c>
      <c r="Q22" s="21">
        <v>4571895978</v>
      </c>
      <c r="S22" s="21">
        <v>57564101231</v>
      </c>
      <c r="U22" s="23">
        <v>7.6829940168485669E-2</v>
      </c>
    </row>
    <row r="23" spans="1:21" ht="18.75" x14ac:dyDescent="0.45">
      <c r="A23" s="29" t="s">
        <v>176</v>
      </c>
      <c r="C23" s="21">
        <v>0</v>
      </c>
      <c r="E23" s="21">
        <v>3667683771</v>
      </c>
      <c r="G23" s="21">
        <v>0</v>
      </c>
      <c r="I23" s="21">
        <v>3667683771</v>
      </c>
      <c r="K23" s="23">
        <v>1.0618017778106717E-2</v>
      </c>
      <c r="M23" s="21">
        <v>0</v>
      </c>
      <c r="O23" s="21">
        <v>5321922585</v>
      </c>
      <c r="Q23" s="21">
        <v>0</v>
      </c>
      <c r="S23" s="21">
        <v>5321922585</v>
      </c>
      <c r="U23" s="23">
        <v>7.1030900342914901E-3</v>
      </c>
    </row>
    <row r="24" spans="1:21" ht="18.75" x14ac:dyDescent="0.45">
      <c r="A24" s="29" t="s">
        <v>33</v>
      </c>
      <c r="C24" s="21">
        <v>0</v>
      </c>
      <c r="E24" s="21">
        <v>843588950</v>
      </c>
      <c r="G24" s="21">
        <v>956045540</v>
      </c>
      <c r="I24" s="21">
        <v>1799634490</v>
      </c>
      <c r="K24" s="23">
        <v>5.209977795796729E-3</v>
      </c>
      <c r="M24" s="21">
        <v>0</v>
      </c>
      <c r="O24" s="21">
        <v>2277282374</v>
      </c>
      <c r="Q24" s="21">
        <v>956045540</v>
      </c>
      <c r="S24" s="21">
        <v>3233327914</v>
      </c>
      <c r="U24" s="23">
        <v>4.3154741386622203E-3</v>
      </c>
    </row>
    <row r="25" spans="1:21" ht="37.5" x14ac:dyDescent="0.45">
      <c r="A25" s="29" t="s">
        <v>34</v>
      </c>
      <c r="C25" s="21">
        <v>0</v>
      </c>
      <c r="E25" s="21">
        <v>552529591</v>
      </c>
      <c r="G25" s="21">
        <v>0</v>
      </c>
      <c r="I25" s="21">
        <v>552529591</v>
      </c>
      <c r="K25" s="23">
        <v>1.5995842025847415E-3</v>
      </c>
      <c r="M25" s="21">
        <v>0</v>
      </c>
      <c r="O25" s="21">
        <v>267893135</v>
      </c>
      <c r="Q25" s="21">
        <v>0</v>
      </c>
      <c r="S25" s="21">
        <v>267893135</v>
      </c>
      <c r="U25" s="23">
        <v>3.575529382627434E-4</v>
      </c>
    </row>
    <row r="26" spans="1:21" ht="37.5" x14ac:dyDescent="0.45">
      <c r="A26" s="29" t="s">
        <v>35</v>
      </c>
      <c r="C26" s="21">
        <v>0</v>
      </c>
      <c r="E26" s="21">
        <v>484152053</v>
      </c>
      <c r="G26" s="21">
        <v>0</v>
      </c>
      <c r="I26" s="21">
        <v>484152053</v>
      </c>
      <c r="K26" s="23">
        <v>1.4016298642506018E-3</v>
      </c>
      <c r="M26" s="21">
        <v>0</v>
      </c>
      <c r="O26" s="21">
        <v>2093245639</v>
      </c>
      <c r="Q26" s="21">
        <v>0</v>
      </c>
      <c r="S26" s="21">
        <v>2093245639</v>
      </c>
      <c r="U26" s="23">
        <v>2.7938234726698906E-3</v>
      </c>
    </row>
    <row r="27" spans="1:21" ht="37.5" x14ac:dyDescent="0.45">
      <c r="A27" s="29" t="s">
        <v>36</v>
      </c>
      <c r="C27" s="21">
        <v>0</v>
      </c>
      <c r="E27" s="21">
        <v>96174338</v>
      </c>
      <c r="G27" s="21">
        <v>0</v>
      </c>
      <c r="I27" s="21">
        <v>96174338</v>
      </c>
      <c r="K27" s="23">
        <v>2.7842662956823502E-4</v>
      </c>
      <c r="M27" s="21">
        <v>0</v>
      </c>
      <c r="O27" s="21">
        <v>150847088</v>
      </c>
      <c r="Q27" s="21">
        <v>0</v>
      </c>
      <c r="S27" s="21">
        <v>150847088</v>
      </c>
      <c r="U27" s="23">
        <v>2.0133333966463389E-4</v>
      </c>
    </row>
    <row r="28" spans="1:21" ht="37.5" x14ac:dyDescent="0.45">
      <c r="A28" s="29" t="s">
        <v>37</v>
      </c>
      <c r="C28" s="21">
        <v>0</v>
      </c>
      <c r="E28" s="21">
        <v>12748753180</v>
      </c>
      <c r="G28" s="21">
        <v>0</v>
      </c>
      <c r="I28" s="21">
        <v>12748753180</v>
      </c>
      <c r="K28" s="23">
        <v>3.6907895109241286E-2</v>
      </c>
      <c r="M28" s="21">
        <v>0</v>
      </c>
      <c r="O28" s="21">
        <v>26092007803</v>
      </c>
      <c r="Q28" s="21">
        <v>0</v>
      </c>
      <c r="S28" s="21">
        <v>26092007803</v>
      </c>
      <c r="U28" s="23">
        <v>3.4824610399729276E-2</v>
      </c>
    </row>
    <row r="29" spans="1:21" ht="18.75" x14ac:dyDescent="0.45">
      <c r="A29" s="29" t="s">
        <v>38</v>
      </c>
      <c r="C29" s="21">
        <v>0</v>
      </c>
      <c r="E29" s="21">
        <v>616311000</v>
      </c>
      <c r="G29" s="21">
        <v>0</v>
      </c>
      <c r="I29" s="21">
        <v>616311000</v>
      </c>
      <c r="K29" s="23">
        <v>1.7842326556573595E-3</v>
      </c>
      <c r="M29" s="21">
        <v>0</v>
      </c>
      <c r="O29" s="21">
        <v>994050000</v>
      </c>
      <c r="Q29" s="21">
        <v>0</v>
      </c>
      <c r="S29" s="21">
        <v>994050000</v>
      </c>
      <c r="U29" s="23">
        <v>1.3267435848256437E-3</v>
      </c>
    </row>
    <row r="30" spans="1:21" ht="18.75" x14ac:dyDescent="0.45">
      <c r="A30" s="29" t="s">
        <v>39</v>
      </c>
      <c r="C30" s="21">
        <v>0</v>
      </c>
      <c r="E30" s="21">
        <v>2276444028</v>
      </c>
      <c r="G30" s="21">
        <v>0</v>
      </c>
      <c r="I30" s="21">
        <v>2276444028</v>
      </c>
      <c r="K30" s="23">
        <v>6.5903509324574385E-3</v>
      </c>
      <c r="M30" s="21">
        <v>0</v>
      </c>
      <c r="O30" s="21">
        <v>8536665104</v>
      </c>
      <c r="Q30" s="21">
        <v>0</v>
      </c>
      <c r="S30" s="21">
        <v>8536665104</v>
      </c>
      <c r="U30" s="23">
        <v>1.1393758525765239E-2</v>
      </c>
    </row>
    <row r="31" spans="1:21" ht="18.75" x14ac:dyDescent="0.45">
      <c r="A31" s="29" t="s">
        <v>40</v>
      </c>
      <c r="C31" s="21">
        <v>0</v>
      </c>
      <c r="E31" s="21">
        <v>2039993943</v>
      </c>
      <c r="G31" s="21">
        <v>0</v>
      </c>
      <c r="I31" s="21">
        <v>2039993943</v>
      </c>
      <c r="K31" s="23">
        <v>5.9058232133514053E-3</v>
      </c>
      <c r="M31" s="21">
        <v>0</v>
      </c>
      <c r="O31" s="21">
        <v>9689971228</v>
      </c>
      <c r="Q31" s="21">
        <v>0</v>
      </c>
      <c r="S31" s="21">
        <v>9689971228</v>
      </c>
      <c r="U31" s="23">
        <v>1.293305886413567E-2</v>
      </c>
    </row>
    <row r="32" spans="1:21" ht="18.75" x14ac:dyDescent="0.45">
      <c r="A32" s="29" t="s">
        <v>41</v>
      </c>
      <c r="C32" s="21">
        <v>0</v>
      </c>
      <c r="E32" s="21">
        <v>-9744921468</v>
      </c>
      <c r="G32" s="21">
        <v>13404922812</v>
      </c>
      <c r="I32" s="21">
        <v>3660001344</v>
      </c>
      <c r="K32" s="23">
        <v>1.0595776998487167E-2</v>
      </c>
      <c r="M32" s="21">
        <v>0</v>
      </c>
      <c r="O32" s="21">
        <v>969594024</v>
      </c>
      <c r="Q32" s="21">
        <v>13404922812</v>
      </c>
      <c r="S32" s="21">
        <v>14374516836</v>
      </c>
      <c r="U32" s="23">
        <v>1.9185451433158501E-2</v>
      </c>
    </row>
    <row r="33" spans="1:21" ht="18.75" x14ac:dyDescent="0.45">
      <c r="A33" s="29" t="s">
        <v>42</v>
      </c>
      <c r="C33" s="21">
        <v>0</v>
      </c>
      <c r="E33" s="21">
        <v>21037522949</v>
      </c>
      <c r="G33" s="21">
        <v>0</v>
      </c>
      <c r="I33" s="21">
        <v>21037522949</v>
      </c>
      <c r="K33" s="23">
        <v>6.0904049156589632E-2</v>
      </c>
      <c r="M33" s="21">
        <v>0</v>
      </c>
      <c r="O33" s="21">
        <v>26551945741</v>
      </c>
      <c r="Q33" s="21">
        <v>0</v>
      </c>
      <c r="S33" s="21">
        <v>26551945741</v>
      </c>
      <c r="U33" s="23">
        <v>3.5438482648267509E-2</v>
      </c>
    </row>
    <row r="34" spans="1:21" ht="37.5" x14ac:dyDescent="0.45">
      <c r="A34" s="29" t="s">
        <v>43</v>
      </c>
      <c r="C34" s="21">
        <v>0</v>
      </c>
      <c r="E34" s="21">
        <v>1449200644</v>
      </c>
      <c r="G34" s="21">
        <v>0</v>
      </c>
      <c r="I34" s="21">
        <v>1449200644</v>
      </c>
      <c r="K34" s="23">
        <v>4.195464811798711E-3</v>
      </c>
      <c r="M34" s="21">
        <v>0</v>
      </c>
      <c r="O34" s="21">
        <v>2695242319</v>
      </c>
      <c r="Q34" s="21">
        <v>0</v>
      </c>
      <c r="S34" s="21">
        <v>2695242319</v>
      </c>
      <c r="U34" s="23">
        <v>3.5972993876403005E-3</v>
      </c>
    </row>
    <row r="35" spans="1:21" ht="18.75" x14ac:dyDescent="0.45">
      <c r="A35" s="29" t="s">
        <v>44</v>
      </c>
      <c r="C35" s="21">
        <v>0</v>
      </c>
      <c r="E35" s="21">
        <v>3705384875</v>
      </c>
      <c r="G35" s="21">
        <v>0</v>
      </c>
      <c r="I35" s="21">
        <v>3705384875</v>
      </c>
      <c r="K35" s="23">
        <v>1.0727163227256795E-2</v>
      </c>
      <c r="M35" s="21">
        <v>0</v>
      </c>
      <c r="O35" s="21">
        <v>3705384875</v>
      </c>
      <c r="Q35" s="21">
        <v>0</v>
      </c>
      <c r="S35" s="21">
        <v>3705384875</v>
      </c>
      <c r="U35" s="23">
        <v>4.9455214649325677E-3</v>
      </c>
    </row>
    <row r="36" spans="1:21" ht="18.75" x14ac:dyDescent="0.45">
      <c r="A36" s="29" t="s">
        <v>45</v>
      </c>
      <c r="C36" s="21">
        <v>0</v>
      </c>
      <c r="E36" s="21">
        <v>1024112378</v>
      </c>
      <c r="G36" s="21">
        <v>0</v>
      </c>
      <c r="I36" s="21">
        <v>1024112378</v>
      </c>
      <c r="K36" s="23">
        <v>2.9648257906974133E-3</v>
      </c>
      <c r="M36" s="21">
        <v>0</v>
      </c>
      <c r="O36" s="21">
        <v>13507211894</v>
      </c>
      <c r="Q36" s="21">
        <v>0</v>
      </c>
      <c r="S36" s="21">
        <v>13507211894</v>
      </c>
      <c r="U36" s="23">
        <v>1.8027872571042835E-2</v>
      </c>
    </row>
    <row r="37" spans="1:21" ht="18.75" x14ac:dyDescent="0.45">
      <c r="A37" s="29" t="s">
        <v>46</v>
      </c>
      <c r="C37" s="21">
        <v>0</v>
      </c>
      <c r="E37" s="21">
        <v>6546377298</v>
      </c>
      <c r="G37" s="21">
        <v>0</v>
      </c>
      <c r="I37" s="21">
        <v>6546377298</v>
      </c>
      <c r="K37" s="23">
        <v>1.8951893039951564E-2</v>
      </c>
      <c r="M37" s="21">
        <v>0</v>
      </c>
      <c r="O37" s="21">
        <v>14321562913</v>
      </c>
      <c r="Q37" s="21">
        <v>0</v>
      </c>
      <c r="S37" s="21">
        <v>14321562913</v>
      </c>
      <c r="U37" s="23">
        <v>1.9114774628539416E-2</v>
      </c>
    </row>
    <row r="38" spans="1:21" ht="18.75" x14ac:dyDescent="0.45">
      <c r="A38" s="29" t="s">
        <v>47</v>
      </c>
      <c r="C38" s="21">
        <v>0</v>
      </c>
      <c r="E38" s="21">
        <v>1988485110</v>
      </c>
      <c r="G38" s="21">
        <v>0</v>
      </c>
      <c r="I38" s="21">
        <v>1988485110</v>
      </c>
      <c r="K38" s="23">
        <v>5.7567041129404093E-3</v>
      </c>
      <c r="M38" s="21">
        <v>0</v>
      </c>
      <c r="O38" s="21">
        <v>6934204486</v>
      </c>
      <c r="Q38" s="21">
        <v>0</v>
      </c>
      <c r="S38" s="21">
        <v>6934204486</v>
      </c>
      <c r="U38" s="23">
        <v>9.2549784393840349E-3</v>
      </c>
    </row>
    <row r="39" spans="1:21" ht="18.75" x14ac:dyDescent="0.45">
      <c r="A39" s="29" t="s">
        <v>48</v>
      </c>
      <c r="C39" s="21">
        <v>0</v>
      </c>
      <c r="E39" s="21">
        <v>3507134875</v>
      </c>
      <c r="G39" s="21">
        <v>817741011</v>
      </c>
      <c r="I39" s="21">
        <v>4324875886</v>
      </c>
      <c r="K39" s="23">
        <v>1.2520602078279075E-2</v>
      </c>
      <c r="M39" s="21">
        <v>0</v>
      </c>
      <c r="O39" s="21">
        <v>6542607948</v>
      </c>
      <c r="Q39" s="21">
        <v>817741011</v>
      </c>
      <c r="S39" s="21">
        <v>7360348959</v>
      </c>
      <c r="U39" s="23">
        <v>9.8237470584290072E-3</v>
      </c>
    </row>
    <row r="40" spans="1:21" ht="37.5" x14ac:dyDescent="0.45">
      <c r="A40" s="29" t="s">
        <v>49</v>
      </c>
      <c r="C40" s="21">
        <v>0</v>
      </c>
      <c r="E40" s="21">
        <v>-654678414</v>
      </c>
      <c r="G40" s="21">
        <v>564732799</v>
      </c>
      <c r="I40" s="21">
        <v>-89945615</v>
      </c>
      <c r="K40" s="23">
        <v>-2.6039435206605822E-4</v>
      </c>
      <c r="M40" s="21">
        <v>0</v>
      </c>
      <c r="O40" s="21">
        <v>447916014</v>
      </c>
      <c r="Q40" s="21">
        <v>564732799</v>
      </c>
      <c r="S40" s="21">
        <v>1012648813</v>
      </c>
      <c r="U40" s="23">
        <v>1.3515671408169134E-3</v>
      </c>
    </row>
    <row r="41" spans="1:21" ht="18.75" x14ac:dyDescent="0.45">
      <c r="A41" s="29" t="s">
        <v>50</v>
      </c>
      <c r="C41" s="21">
        <v>0</v>
      </c>
      <c r="E41" s="21">
        <v>20048001394</v>
      </c>
      <c r="G41" s="21">
        <v>0</v>
      </c>
      <c r="I41" s="21">
        <v>20048001394</v>
      </c>
      <c r="K41" s="23">
        <v>5.8039364489420216E-2</v>
      </c>
      <c r="M41" s="21">
        <v>0</v>
      </c>
      <c r="O41" s="21">
        <v>29222910267</v>
      </c>
      <c r="Q41" s="21">
        <v>0</v>
      </c>
      <c r="S41" s="21">
        <v>29222910267</v>
      </c>
      <c r="U41" s="23">
        <v>3.900337883072047E-2</v>
      </c>
    </row>
    <row r="42" spans="1:21" ht="18.75" x14ac:dyDescent="0.45">
      <c r="A42" s="29" t="s">
        <v>51</v>
      </c>
      <c r="C42" s="21">
        <v>1450000000</v>
      </c>
      <c r="E42" s="21">
        <v>455274900</v>
      </c>
      <c r="G42" s="21">
        <v>0</v>
      </c>
      <c r="I42" s="21">
        <v>1905274900</v>
      </c>
      <c r="K42" s="23">
        <v>5.5158088928873731E-3</v>
      </c>
      <c r="M42" s="21">
        <v>1450000000</v>
      </c>
      <c r="O42" s="21">
        <v>2778369750</v>
      </c>
      <c r="Q42" s="21">
        <v>0</v>
      </c>
      <c r="S42" s="21">
        <v>4228369750</v>
      </c>
      <c r="U42" s="23">
        <v>5.6435415120801875E-3</v>
      </c>
    </row>
    <row r="43" spans="1:21" ht="18.75" x14ac:dyDescent="0.45">
      <c r="A43" s="29" t="s">
        <v>52</v>
      </c>
      <c r="C43" s="21">
        <v>0</v>
      </c>
      <c r="E43" s="21">
        <v>4704832924</v>
      </c>
      <c r="G43" s="21">
        <v>9408094071</v>
      </c>
      <c r="I43" s="21">
        <v>14112926995</v>
      </c>
      <c r="K43" s="23">
        <v>4.0857205552695453E-2</v>
      </c>
      <c r="M43" s="21">
        <v>0</v>
      </c>
      <c r="O43" s="21">
        <v>23694902291</v>
      </c>
      <c r="Q43" s="21">
        <v>9408094071</v>
      </c>
      <c r="S43" s="21">
        <v>33102996362</v>
      </c>
      <c r="U43" s="23">
        <v>4.4182071386540032E-2</v>
      </c>
    </row>
    <row r="44" spans="1:21" ht="18.75" x14ac:dyDescent="0.45">
      <c r="A44" s="29" t="s">
        <v>53</v>
      </c>
      <c r="C44" s="21">
        <v>6240576192</v>
      </c>
      <c r="E44" s="21">
        <v>-9699186</v>
      </c>
      <c r="G44" s="21">
        <v>685208419</v>
      </c>
      <c r="I44" s="21">
        <v>6916085425</v>
      </c>
      <c r="K44" s="23">
        <v>2.0022205452443501E-2</v>
      </c>
      <c r="M44" s="21">
        <v>6240576192</v>
      </c>
      <c r="O44" s="21">
        <v>12821989921</v>
      </c>
      <c r="Q44" s="21">
        <v>685208419</v>
      </c>
      <c r="S44" s="21">
        <v>19747774532</v>
      </c>
      <c r="U44" s="23">
        <v>2.6357057668039058E-2</v>
      </c>
    </row>
    <row r="45" spans="1:21" ht="18.75" x14ac:dyDescent="0.45">
      <c r="A45" s="29" t="s">
        <v>54</v>
      </c>
      <c r="C45" s="21">
        <v>0</v>
      </c>
      <c r="E45" s="21">
        <v>15182125650</v>
      </c>
      <c r="G45" s="21">
        <v>11077488310</v>
      </c>
      <c r="I45" s="21">
        <v>26259613960</v>
      </c>
      <c r="K45" s="23">
        <v>7.6022106943390386E-2</v>
      </c>
      <c r="M45" s="21">
        <v>0</v>
      </c>
      <c r="O45" s="21">
        <v>25488436050</v>
      </c>
      <c r="Q45" s="21">
        <v>11077488310</v>
      </c>
      <c r="S45" s="21">
        <v>36565924360</v>
      </c>
      <c r="U45" s="23">
        <v>4.8803989304209774E-2</v>
      </c>
    </row>
    <row r="46" spans="1:21" ht="18.75" x14ac:dyDescent="0.45">
      <c r="A46" s="29" t="s">
        <v>55</v>
      </c>
      <c r="C46" s="21">
        <v>0</v>
      </c>
      <c r="E46" s="21">
        <v>544739400</v>
      </c>
      <c r="G46" s="21">
        <v>0</v>
      </c>
      <c r="I46" s="21">
        <v>544739400</v>
      </c>
      <c r="K46" s="23">
        <v>1.5770314440326338E-3</v>
      </c>
      <c r="M46" s="21">
        <v>0</v>
      </c>
      <c r="O46" s="21">
        <v>1538789400</v>
      </c>
      <c r="Q46" s="21">
        <v>0</v>
      </c>
      <c r="S46" s="21">
        <v>1538789400</v>
      </c>
      <c r="U46" s="23">
        <v>2.0537990693100961E-3</v>
      </c>
    </row>
    <row r="47" spans="1:21" ht="18.75" x14ac:dyDescent="0.45">
      <c r="A47" s="29" t="s">
        <v>187</v>
      </c>
      <c r="C47" s="21">
        <v>0</v>
      </c>
      <c r="E47" s="21">
        <v>1004943586</v>
      </c>
      <c r="G47" s="21">
        <v>0</v>
      </c>
      <c r="I47" s="21">
        <v>1004943586</v>
      </c>
      <c r="K47" s="23">
        <v>2.9093317549656098E-3</v>
      </c>
      <c r="M47" s="21">
        <v>0</v>
      </c>
      <c r="O47" s="21">
        <v>1164607520</v>
      </c>
      <c r="Q47" s="21">
        <v>0</v>
      </c>
      <c r="S47" s="21">
        <v>1164607520</v>
      </c>
      <c r="U47" s="23">
        <v>1.5543841416424751E-3</v>
      </c>
    </row>
    <row r="48" spans="1:21" ht="18.75" x14ac:dyDescent="0.45">
      <c r="A48" s="29" t="s">
        <v>56</v>
      </c>
      <c r="C48" s="21">
        <v>0</v>
      </c>
      <c r="E48" s="21">
        <v>148795230</v>
      </c>
      <c r="G48" s="21">
        <v>2921931039</v>
      </c>
      <c r="I48" s="21">
        <v>3070726269</v>
      </c>
      <c r="K48" s="23">
        <v>8.8898138857406162E-3</v>
      </c>
      <c r="M48" s="21">
        <v>0</v>
      </c>
      <c r="O48" s="21">
        <v>6504506617</v>
      </c>
      <c r="Q48" s="21">
        <v>2921931039</v>
      </c>
      <c r="S48" s="21">
        <v>9426437656</v>
      </c>
      <c r="U48" s="23">
        <v>1.2581324569042681E-2</v>
      </c>
    </row>
    <row r="49" spans="1:21" ht="18.75" x14ac:dyDescent="0.45">
      <c r="A49" s="29" t="s">
        <v>57</v>
      </c>
      <c r="C49" s="21">
        <v>0</v>
      </c>
      <c r="E49" s="21">
        <v>829091856</v>
      </c>
      <c r="G49" s="21">
        <v>0</v>
      </c>
      <c r="I49" s="21">
        <v>829091856</v>
      </c>
      <c r="K49" s="23">
        <v>2.4002374840214908E-3</v>
      </c>
      <c r="M49" s="21">
        <v>0</v>
      </c>
      <c r="O49" s="21">
        <v>1868746723</v>
      </c>
      <c r="Q49" s="21">
        <v>0</v>
      </c>
      <c r="S49" s="21">
        <v>1868746723</v>
      </c>
      <c r="U49" s="23">
        <v>2.494188145872133E-3</v>
      </c>
    </row>
    <row r="50" spans="1:21" ht="18.75" x14ac:dyDescent="0.45">
      <c r="A50" s="29" t="s">
        <v>59</v>
      </c>
      <c r="C50" s="21">
        <v>5683165600</v>
      </c>
      <c r="E50" s="21">
        <v>-10804383337</v>
      </c>
      <c r="G50" s="21">
        <v>0</v>
      </c>
      <c r="I50" s="21">
        <v>-5121217737</v>
      </c>
      <c r="K50" s="23">
        <v>-1.4826027643652446E-2</v>
      </c>
      <c r="M50" s="21">
        <v>5683165600</v>
      </c>
      <c r="O50" s="21">
        <v>-6759044664</v>
      </c>
      <c r="Q50" s="21">
        <v>0</v>
      </c>
      <c r="S50" s="21">
        <v>-1075879064</v>
      </c>
      <c r="U50" s="23">
        <v>-1.4359596058651153E-3</v>
      </c>
    </row>
    <row r="51" spans="1:21" ht="18.75" x14ac:dyDescent="0.45">
      <c r="A51" s="29" t="s">
        <v>60</v>
      </c>
      <c r="C51" s="21">
        <v>0</v>
      </c>
      <c r="E51" s="21">
        <v>377732956</v>
      </c>
      <c r="G51" s="21">
        <v>0</v>
      </c>
      <c r="I51" s="21">
        <v>377732956</v>
      </c>
      <c r="K51" s="23">
        <v>1.0935444527408801E-3</v>
      </c>
      <c r="M51" s="21">
        <v>0</v>
      </c>
      <c r="O51" s="21">
        <v>544233667</v>
      </c>
      <c r="Q51" s="21">
        <v>0</v>
      </c>
      <c r="S51" s="21">
        <v>544233667</v>
      </c>
      <c r="U51" s="23">
        <v>7.2638049025540517E-4</v>
      </c>
    </row>
    <row r="52" spans="1:21" ht="18.75" x14ac:dyDescent="0.45">
      <c r="A52" s="29" t="s">
        <v>61</v>
      </c>
      <c r="C52" s="21">
        <v>0</v>
      </c>
      <c r="E52" s="21">
        <v>2647118180</v>
      </c>
      <c r="G52" s="21">
        <v>42201830</v>
      </c>
      <c r="I52" s="21">
        <v>2689320010</v>
      </c>
      <c r="K52" s="23">
        <v>7.7856351474414323E-3</v>
      </c>
      <c r="M52" s="21">
        <v>0</v>
      </c>
      <c r="O52" s="21">
        <v>7901214628</v>
      </c>
      <c r="Q52" s="21">
        <v>42201830</v>
      </c>
      <c r="S52" s="21">
        <v>7943416458</v>
      </c>
      <c r="U52" s="23">
        <v>1.0601958480207169E-2</v>
      </c>
    </row>
    <row r="53" spans="1:21" ht="18.75" x14ac:dyDescent="0.45">
      <c r="A53" s="29" t="s">
        <v>62</v>
      </c>
      <c r="C53" s="21">
        <v>0</v>
      </c>
      <c r="E53" s="21">
        <v>7624956351</v>
      </c>
      <c r="G53" s="21">
        <v>0</v>
      </c>
      <c r="I53" s="21">
        <v>7624956351</v>
      </c>
      <c r="K53" s="23">
        <v>2.2074400942732126E-2</v>
      </c>
      <c r="M53" s="21">
        <v>0</v>
      </c>
      <c r="O53" s="21">
        <v>18284439357</v>
      </c>
      <c r="Q53" s="21">
        <v>0</v>
      </c>
      <c r="S53" s="21">
        <v>18284439357</v>
      </c>
      <c r="U53" s="23">
        <v>2.4403966218030548E-2</v>
      </c>
    </row>
    <row r="54" spans="1:21" ht="18.75" x14ac:dyDescent="0.45">
      <c r="A54" s="29" t="s">
        <v>64</v>
      </c>
      <c r="C54" s="21">
        <v>0</v>
      </c>
      <c r="E54" s="21">
        <v>-4014148153</v>
      </c>
      <c r="G54" s="21">
        <v>0</v>
      </c>
      <c r="I54" s="21">
        <v>-4014148153</v>
      </c>
      <c r="K54" s="23">
        <v>-1.1621039084535687E-2</v>
      </c>
      <c r="M54" s="21">
        <v>0</v>
      </c>
      <c r="O54" s="21">
        <v>-864156894</v>
      </c>
      <c r="Q54" s="21">
        <v>0</v>
      </c>
      <c r="S54" s="21">
        <v>-864156894</v>
      </c>
      <c r="U54" s="23">
        <v>-1.1533772097956378E-3</v>
      </c>
    </row>
    <row r="55" spans="1:21" ht="18.75" x14ac:dyDescent="0.45">
      <c r="A55" s="29" t="s">
        <v>65</v>
      </c>
      <c r="C55" s="21">
        <v>0</v>
      </c>
      <c r="E55" s="21">
        <v>73559700</v>
      </c>
      <c r="G55" s="21">
        <v>0</v>
      </c>
      <c r="I55" s="21">
        <v>73559700</v>
      </c>
      <c r="K55" s="23">
        <v>2.1295680083652355E-4</v>
      </c>
      <c r="M55" s="21">
        <v>0</v>
      </c>
      <c r="O55" s="21">
        <v>226643400</v>
      </c>
      <c r="Q55" s="21">
        <v>0</v>
      </c>
      <c r="S55" s="21">
        <v>226643400</v>
      </c>
      <c r="U55" s="23">
        <v>3.0249753734024672E-4</v>
      </c>
    </row>
    <row r="56" spans="1:21" ht="18.75" x14ac:dyDescent="0.45">
      <c r="A56" s="29" t="s">
        <v>66</v>
      </c>
      <c r="C56" s="21">
        <v>0</v>
      </c>
      <c r="E56" s="21">
        <v>8337807162</v>
      </c>
      <c r="G56" s="21">
        <v>0</v>
      </c>
      <c r="I56" s="21">
        <v>8337807162</v>
      </c>
      <c r="K56" s="23">
        <v>2.413811827959295E-2</v>
      </c>
      <c r="M56" s="21">
        <v>0</v>
      </c>
      <c r="O56" s="21">
        <v>10473398595</v>
      </c>
      <c r="Q56" s="21">
        <v>0</v>
      </c>
      <c r="S56" s="21">
        <v>10473398595</v>
      </c>
      <c r="U56" s="23">
        <v>1.3978687588389074E-2</v>
      </c>
    </row>
    <row r="57" spans="1:21" ht="18.75" x14ac:dyDescent="0.45">
      <c r="A57" s="29" t="s">
        <v>67</v>
      </c>
      <c r="C57" s="21">
        <v>0</v>
      </c>
      <c r="E57" s="21">
        <v>3296284144</v>
      </c>
      <c r="G57" s="21">
        <v>0</v>
      </c>
      <c r="I57" s="21">
        <v>3296284144</v>
      </c>
      <c r="K57" s="23">
        <v>9.5428084393274909E-3</v>
      </c>
      <c r="M57" s="21">
        <v>0</v>
      </c>
      <c r="O57" s="21">
        <v>6716956369</v>
      </c>
      <c r="Q57" s="21">
        <v>0</v>
      </c>
      <c r="S57" s="21">
        <v>6716956369</v>
      </c>
      <c r="U57" s="23">
        <v>8.9650206449620219E-3</v>
      </c>
    </row>
    <row r="58" spans="1:21" ht="18.75" x14ac:dyDescent="0.45">
      <c r="A58" s="29" t="s">
        <v>68</v>
      </c>
      <c r="C58" s="21">
        <v>0</v>
      </c>
      <c r="E58" s="21">
        <v>1966893319</v>
      </c>
      <c r="G58" s="21">
        <v>0</v>
      </c>
      <c r="I58" s="21">
        <v>1966893319</v>
      </c>
      <c r="K58" s="23">
        <v>5.6941954467048094E-3</v>
      </c>
      <c r="M58" s="21">
        <v>0</v>
      </c>
      <c r="O58" s="21">
        <v>3692563873</v>
      </c>
      <c r="Q58" s="21">
        <v>0</v>
      </c>
      <c r="S58" s="21">
        <v>3692563873</v>
      </c>
      <c r="U58" s="23">
        <v>4.9284094663866835E-3</v>
      </c>
    </row>
    <row r="59" spans="1:21" ht="18.75" x14ac:dyDescent="0.45">
      <c r="A59" s="29" t="s">
        <v>69</v>
      </c>
      <c r="C59" s="21">
        <v>0</v>
      </c>
      <c r="E59" s="21">
        <v>9425957374</v>
      </c>
      <c r="G59" s="21">
        <v>3712932513</v>
      </c>
      <c r="I59" s="21">
        <v>13138889887</v>
      </c>
      <c r="K59" s="23">
        <v>3.8037348668888978E-2</v>
      </c>
      <c r="M59" s="21">
        <v>0</v>
      </c>
      <c r="O59" s="21">
        <v>29489487300</v>
      </c>
      <c r="Q59" s="21">
        <v>3712932513</v>
      </c>
      <c r="S59" s="21">
        <v>33202419813</v>
      </c>
      <c r="U59" s="23">
        <v>4.4314770371294797E-2</v>
      </c>
    </row>
    <row r="60" spans="1:21" ht="18.75" x14ac:dyDescent="0.45">
      <c r="A60" s="29" t="s">
        <v>70</v>
      </c>
      <c r="C60" s="21">
        <v>0</v>
      </c>
      <c r="E60" s="21">
        <v>0</v>
      </c>
      <c r="G60" s="21">
        <v>0</v>
      </c>
      <c r="I60" s="21">
        <v>0</v>
      </c>
      <c r="K60" s="23">
        <v>0</v>
      </c>
      <c r="M60" s="21">
        <v>0</v>
      </c>
      <c r="O60" s="21">
        <v>229867581</v>
      </c>
      <c r="Q60" s="21">
        <v>0</v>
      </c>
      <c r="S60" s="21">
        <v>229867581</v>
      </c>
      <c r="U60" s="23">
        <v>3.0680080323035964E-4</v>
      </c>
    </row>
    <row r="61" spans="1:21" ht="18.75" x14ac:dyDescent="0.45">
      <c r="A61" s="29" t="s">
        <v>71</v>
      </c>
      <c r="C61" s="21">
        <v>0</v>
      </c>
      <c r="E61" s="21">
        <v>1828060380</v>
      </c>
      <c r="G61" s="21">
        <v>0</v>
      </c>
      <c r="I61" s="21">
        <v>1828060380</v>
      </c>
      <c r="K61" s="23">
        <v>5.2922713151467389E-3</v>
      </c>
      <c r="M61" s="21">
        <v>0</v>
      </c>
      <c r="O61" s="21">
        <v>2340564706</v>
      </c>
      <c r="Q61" s="21">
        <v>0</v>
      </c>
      <c r="S61" s="21">
        <v>2340564706</v>
      </c>
      <c r="U61" s="23">
        <v>3.1239165118000286E-3</v>
      </c>
    </row>
    <row r="62" spans="1:21" ht="18.75" x14ac:dyDescent="0.45">
      <c r="A62" s="29" t="s">
        <v>72</v>
      </c>
      <c r="C62" s="21">
        <v>0</v>
      </c>
      <c r="E62" s="21">
        <v>-94434750</v>
      </c>
      <c r="G62" s="21">
        <v>0</v>
      </c>
      <c r="I62" s="21">
        <v>-94434750</v>
      </c>
      <c r="K62" s="23">
        <v>-2.7339048756040187E-4</v>
      </c>
      <c r="M62" s="21">
        <v>0</v>
      </c>
      <c r="O62" s="21">
        <v>186384375</v>
      </c>
      <c r="Q62" s="21">
        <v>0</v>
      </c>
      <c r="S62" s="21">
        <v>186384375</v>
      </c>
      <c r="U62" s="23">
        <v>2.4876442215480819E-4</v>
      </c>
    </row>
    <row r="63" spans="1:21" ht="18.75" x14ac:dyDescent="0.45">
      <c r="A63" s="29" t="s">
        <v>73</v>
      </c>
      <c r="C63" s="21">
        <v>0</v>
      </c>
      <c r="E63" s="21">
        <v>-4699868400</v>
      </c>
      <c r="G63" s="21">
        <v>657310500</v>
      </c>
      <c r="I63" s="21">
        <v>-4042557900</v>
      </c>
      <c r="K63" s="23">
        <v>-1.1703285869578245E-2</v>
      </c>
      <c r="M63" s="21">
        <v>0</v>
      </c>
      <c r="O63" s="21">
        <v>15391870200</v>
      </c>
      <c r="Q63" s="21">
        <v>657310500</v>
      </c>
      <c r="S63" s="21">
        <v>16049180700</v>
      </c>
      <c r="U63" s="23">
        <v>2.1420600106063611E-2</v>
      </c>
    </row>
    <row r="64" spans="1:21" ht="18.75" x14ac:dyDescent="0.45">
      <c r="A64" s="29" t="s">
        <v>74</v>
      </c>
      <c r="C64" s="21">
        <v>0</v>
      </c>
      <c r="E64" s="21">
        <v>3515502815</v>
      </c>
      <c r="G64" s="21">
        <v>1916003300</v>
      </c>
      <c r="I64" s="21">
        <v>5431506115</v>
      </c>
      <c r="K64" s="23">
        <v>1.5724318695894829E-2</v>
      </c>
      <c r="M64" s="21">
        <v>0</v>
      </c>
      <c r="O64" s="21">
        <v>7848881191</v>
      </c>
      <c r="Q64" s="21">
        <v>1916003300</v>
      </c>
      <c r="S64" s="21">
        <v>9764884491</v>
      </c>
      <c r="U64" s="23">
        <v>1.3033044469591741E-2</v>
      </c>
    </row>
    <row r="65" spans="1:21" ht="18.75" x14ac:dyDescent="0.45">
      <c r="A65" s="29" t="s">
        <v>75</v>
      </c>
      <c r="C65" s="21">
        <v>0</v>
      </c>
      <c r="E65" s="21">
        <v>2567585520</v>
      </c>
      <c r="G65" s="21">
        <v>0</v>
      </c>
      <c r="I65" s="21">
        <v>2567585520</v>
      </c>
      <c r="K65" s="23">
        <v>7.4332113672755835E-3</v>
      </c>
      <c r="M65" s="21">
        <v>0</v>
      </c>
      <c r="O65" s="21">
        <v>6011532565</v>
      </c>
      <c r="Q65" s="21">
        <v>0</v>
      </c>
      <c r="S65" s="21">
        <v>6011532565</v>
      </c>
      <c r="U65" s="23">
        <v>8.0235021030976277E-3</v>
      </c>
    </row>
    <row r="66" spans="1:21" ht="18.75" x14ac:dyDescent="0.45">
      <c r="A66" s="29" t="s">
        <v>76</v>
      </c>
      <c r="C66" s="21">
        <v>0</v>
      </c>
      <c r="E66" s="21">
        <v>9350139626</v>
      </c>
      <c r="G66" s="21">
        <v>360558109</v>
      </c>
      <c r="I66" s="21">
        <v>9710697735</v>
      </c>
      <c r="K66" s="23">
        <v>2.8112663911572168E-2</v>
      </c>
      <c r="M66" s="21">
        <v>0</v>
      </c>
      <c r="O66" s="21">
        <v>17537880009</v>
      </c>
      <c r="Q66" s="21">
        <v>360553050</v>
      </c>
      <c r="S66" s="21">
        <v>17898433059</v>
      </c>
      <c r="U66" s="23">
        <v>2.3888769417493558E-2</v>
      </c>
    </row>
    <row r="67" spans="1:21" ht="18.75" x14ac:dyDescent="0.45">
      <c r="A67" s="29" t="s">
        <v>77</v>
      </c>
      <c r="C67" s="21">
        <v>3140568600</v>
      </c>
      <c r="E67" s="21">
        <v>-6672633161</v>
      </c>
      <c r="G67" s="21">
        <v>967670096</v>
      </c>
      <c r="I67" s="21">
        <v>-2564394465</v>
      </c>
      <c r="K67" s="23">
        <v>-7.4239731993100619E-3</v>
      </c>
      <c r="M67" s="21">
        <v>3140568600</v>
      </c>
      <c r="O67" s="21">
        <v>2077252398</v>
      </c>
      <c r="Q67" s="21">
        <v>967670096</v>
      </c>
      <c r="S67" s="21">
        <v>6185491094</v>
      </c>
      <c r="U67" s="23">
        <v>8.2556819354767386E-3</v>
      </c>
    </row>
    <row r="68" spans="1:21" ht="18.75" x14ac:dyDescent="0.45">
      <c r="A68" s="29" t="s">
        <v>78</v>
      </c>
      <c r="C68" s="21">
        <v>0</v>
      </c>
      <c r="E68" s="21">
        <v>-6861</v>
      </c>
      <c r="G68" s="21">
        <v>0</v>
      </c>
      <c r="I68" s="21">
        <v>-6861</v>
      </c>
      <c r="K68" s="23">
        <v>-1.9862732046750979E-8</v>
      </c>
      <c r="M68" s="21">
        <v>0</v>
      </c>
      <c r="O68" s="21">
        <v>-6861</v>
      </c>
      <c r="Q68" s="21">
        <v>0</v>
      </c>
      <c r="S68" s="21">
        <v>-6861</v>
      </c>
      <c r="U68" s="23">
        <v>-9.1572735128904386E-9</v>
      </c>
    </row>
    <row r="69" spans="1:21" ht="18.75" x14ac:dyDescent="0.45">
      <c r="A69" s="29" t="s">
        <v>79</v>
      </c>
      <c r="C69" s="21">
        <v>0</v>
      </c>
      <c r="E69" s="21">
        <v>2256297582</v>
      </c>
      <c r="G69" s="21">
        <v>0</v>
      </c>
      <c r="I69" s="21">
        <v>2256297582</v>
      </c>
      <c r="K69" s="23">
        <v>6.5320265688672422E-3</v>
      </c>
      <c r="M69" s="21">
        <v>0</v>
      </c>
      <c r="O69" s="21">
        <v>4762303987</v>
      </c>
      <c r="Q69" s="21">
        <v>0</v>
      </c>
      <c r="S69" s="21">
        <v>4762303987</v>
      </c>
      <c r="U69" s="23">
        <v>6.3561755080145214E-3</v>
      </c>
    </row>
    <row r="70" spans="1:21" ht="37.5" x14ac:dyDescent="0.45">
      <c r="A70" s="29" t="s">
        <v>80</v>
      </c>
      <c r="C70" s="21">
        <v>0</v>
      </c>
      <c r="E70" s="21">
        <v>2449339200</v>
      </c>
      <c r="G70" s="21">
        <v>0</v>
      </c>
      <c r="I70" s="21">
        <v>2449339200</v>
      </c>
      <c r="K70" s="23">
        <v>7.0908859089350539E-3</v>
      </c>
      <c r="M70" s="21">
        <v>0</v>
      </c>
      <c r="O70" s="21">
        <v>2755506600</v>
      </c>
      <c r="Q70" s="21">
        <v>0</v>
      </c>
      <c r="S70" s="21">
        <v>2755506600</v>
      </c>
      <c r="U70" s="23">
        <v>3.6777332171366839E-3</v>
      </c>
    </row>
    <row r="71" spans="1:21" ht="18.75" x14ac:dyDescent="0.45">
      <c r="A71" s="29" t="s">
        <v>81</v>
      </c>
      <c r="C71" s="21">
        <v>0</v>
      </c>
      <c r="E71" s="21">
        <v>1071585900</v>
      </c>
      <c r="G71" s="21">
        <v>0</v>
      </c>
      <c r="I71" s="21">
        <v>1071585900</v>
      </c>
      <c r="K71" s="23">
        <v>3.1022625851590863E-3</v>
      </c>
      <c r="M71" s="21">
        <v>0</v>
      </c>
      <c r="O71" s="21">
        <v>5128303950</v>
      </c>
      <c r="Q71" s="21">
        <v>0</v>
      </c>
      <c r="S71" s="21">
        <v>5128303950</v>
      </c>
      <c r="U71" s="23">
        <v>6.8446701541154953E-3</v>
      </c>
    </row>
    <row r="72" spans="1:21" ht="18.75" x14ac:dyDescent="0.45">
      <c r="A72" s="29" t="s">
        <v>82</v>
      </c>
      <c r="C72" s="21">
        <v>0</v>
      </c>
      <c r="E72" s="21">
        <v>15631436250</v>
      </c>
      <c r="G72" s="21">
        <v>1690887600</v>
      </c>
      <c r="I72" s="21">
        <v>17322323850</v>
      </c>
      <c r="K72" s="23">
        <v>5.0148473554816178E-2</v>
      </c>
      <c r="M72" s="21">
        <v>0</v>
      </c>
      <c r="O72" s="21">
        <v>26302563000</v>
      </c>
      <c r="Q72" s="21">
        <v>1690887600</v>
      </c>
      <c r="S72" s="21">
        <v>27993450600</v>
      </c>
      <c r="U72" s="23">
        <v>3.7362437503831357E-2</v>
      </c>
    </row>
    <row r="73" spans="1:21" ht="18.75" x14ac:dyDescent="0.45">
      <c r="A73" s="29" t="s">
        <v>83</v>
      </c>
      <c r="C73" s="21">
        <v>0</v>
      </c>
      <c r="E73" s="21">
        <v>3085529657</v>
      </c>
      <c r="G73" s="21">
        <v>0</v>
      </c>
      <c r="I73" s="21">
        <v>3085529657</v>
      </c>
      <c r="K73" s="23">
        <v>8.9326699896945718E-3</v>
      </c>
      <c r="M73" s="21">
        <v>0</v>
      </c>
      <c r="O73" s="21">
        <v>4677996961</v>
      </c>
      <c r="Q73" s="21">
        <v>0</v>
      </c>
      <c r="S73" s="21">
        <v>4677996961</v>
      </c>
      <c r="U73" s="23">
        <v>6.2436521883613566E-3</v>
      </c>
    </row>
    <row r="74" spans="1:21" ht="18.75" x14ac:dyDescent="0.45">
      <c r="A74" s="29" t="s">
        <v>84</v>
      </c>
      <c r="C74" s="21">
        <v>0</v>
      </c>
      <c r="E74" s="21">
        <v>13523160377</v>
      </c>
      <c r="G74" s="21">
        <v>0</v>
      </c>
      <c r="I74" s="21">
        <v>13523160377</v>
      </c>
      <c r="K74" s="23">
        <v>3.9149819413145451E-2</v>
      </c>
      <c r="M74" s="21">
        <v>0</v>
      </c>
      <c r="O74" s="21">
        <v>28380111914</v>
      </c>
      <c r="Q74" s="21">
        <v>0</v>
      </c>
      <c r="S74" s="21">
        <v>28380111914</v>
      </c>
      <c r="U74" s="23">
        <v>3.787850854437233E-2</v>
      </c>
    </row>
    <row r="75" spans="1:21" ht="18.75" x14ac:dyDescent="0.45">
      <c r="A75" s="29" t="s">
        <v>85</v>
      </c>
      <c r="C75" s="21">
        <v>0</v>
      </c>
      <c r="E75" s="21">
        <v>766503446</v>
      </c>
      <c r="G75" s="21">
        <v>0</v>
      </c>
      <c r="I75" s="21">
        <v>766503446</v>
      </c>
      <c r="K75" s="23">
        <v>2.2190427868837284E-3</v>
      </c>
      <c r="M75" s="21">
        <v>0</v>
      </c>
      <c r="O75" s="21">
        <v>7639484344</v>
      </c>
      <c r="Q75" s="21">
        <v>0</v>
      </c>
      <c r="S75" s="21">
        <v>7639484344</v>
      </c>
      <c r="U75" s="23">
        <v>1.0196304858687128E-2</v>
      </c>
    </row>
    <row r="76" spans="1:21" ht="18.75" x14ac:dyDescent="0.45">
      <c r="A76" s="29" t="s">
        <v>86</v>
      </c>
      <c r="C76" s="21">
        <v>0</v>
      </c>
      <c r="E76" s="21">
        <v>846013708</v>
      </c>
      <c r="G76" s="21">
        <v>0</v>
      </c>
      <c r="I76" s="21">
        <v>846013708</v>
      </c>
      <c r="K76" s="23">
        <v>2.4492265835712322E-3</v>
      </c>
      <c r="M76" s="21">
        <v>0</v>
      </c>
      <c r="O76" s="21">
        <v>2430302427</v>
      </c>
      <c r="Q76" s="21">
        <v>0</v>
      </c>
      <c r="S76" s="21">
        <v>2430302427</v>
      </c>
      <c r="U76" s="23">
        <v>3.2436880983938857E-3</v>
      </c>
    </row>
    <row r="77" spans="1:21" ht="18.75" x14ac:dyDescent="0.45">
      <c r="A77" s="29" t="s">
        <v>87</v>
      </c>
      <c r="C77" s="21">
        <v>0</v>
      </c>
      <c r="E77" s="21">
        <v>1215345</v>
      </c>
      <c r="G77" s="21">
        <v>0</v>
      </c>
      <c r="I77" s="21">
        <v>1215345</v>
      </c>
      <c r="K77" s="23">
        <v>3.5184480512109853E-6</v>
      </c>
      <c r="M77" s="21">
        <v>0</v>
      </c>
      <c r="O77" s="21">
        <v>1956290</v>
      </c>
      <c r="Q77" s="21">
        <v>0</v>
      </c>
      <c r="S77" s="21">
        <v>1956290</v>
      </c>
      <c r="U77" s="23">
        <v>2.6110308410628825E-6</v>
      </c>
    </row>
    <row r="78" spans="1:21" ht="18.75" x14ac:dyDescent="0.45">
      <c r="A78" s="29" t="s">
        <v>88</v>
      </c>
      <c r="C78" s="21">
        <v>0</v>
      </c>
      <c r="E78" s="21">
        <v>2058041358</v>
      </c>
      <c r="G78" s="21">
        <v>0</v>
      </c>
      <c r="I78" s="21">
        <v>2058041358</v>
      </c>
      <c r="K78" s="23">
        <v>5.9580708402689848E-3</v>
      </c>
      <c r="M78" s="21">
        <v>0</v>
      </c>
      <c r="O78" s="21">
        <v>3239509545</v>
      </c>
      <c r="Q78" s="21">
        <v>0</v>
      </c>
      <c r="S78" s="21">
        <v>3239509545</v>
      </c>
      <c r="U78" s="23">
        <v>4.3237246685882899E-3</v>
      </c>
    </row>
    <row r="79" spans="1:21" ht="18.75" x14ac:dyDescent="0.45">
      <c r="A79" s="29" t="s">
        <v>89</v>
      </c>
      <c r="C79" s="21">
        <v>0</v>
      </c>
      <c r="E79" s="21">
        <v>2692428759</v>
      </c>
      <c r="G79" s="21">
        <v>0</v>
      </c>
      <c r="I79" s="21">
        <v>2692428759</v>
      </c>
      <c r="K79" s="23">
        <v>7.7946350378929122E-3</v>
      </c>
      <c r="M79" s="21">
        <v>0</v>
      </c>
      <c r="O79" s="21">
        <v>4307886015</v>
      </c>
      <c r="Q79" s="21">
        <v>0</v>
      </c>
      <c r="S79" s="21">
        <v>4307886015</v>
      </c>
      <c r="U79" s="23">
        <v>5.7496706750780708E-3</v>
      </c>
    </row>
    <row r="80" spans="1:21" ht="18.75" x14ac:dyDescent="0.45">
      <c r="A80" s="29" t="s">
        <v>90</v>
      </c>
      <c r="C80" s="21">
        <v>0</v>
      </c>
      <c r="E80" s="21">
        <v>687948008</v>
      </c>
      <c r="G80" s="21">
        <v>0</v>
      </c>
      <c r="I80" s="21">
        <v>687948008</v>
      </c>
      <c r="K80" s="23">
        <v>1.9916232247485935E-3</v>
      </c>
      <c r="M80" s="21">
        <v>0</v>
      </c>
      <c r="O80" s="21">
        <v>6971206486</v>
      </c>
      <c r="Q80" s="21">
        <v>0</v>
      </c>
      <c r="S80" s="21">
        <v>6971206486</v>
      </c>
      <c r="U80" s="23">
        <v>9.3043644522865232E-3</v>
      </c>
    </row>
    <row r="81" spans="1:21" ht="18.75" x14ac:dyDescent="0.45">
      <c r="A81" s="29" t="s">
        <v>91</v>
      </c>
      <c r="C81" s="21">
        <v>0</v>
      </c>
      <c r="E81" s="21">
        <v>37376280</v>
      </c>
      <c r="G81" s="21">
        <v>0</v>
      </c>
      <c r="I81" s="21">
        <v>37376280</v>
      </c>
      <c r="K81" s="23">
        <v>1.0820507718180115E-4</v>
      </c>
      <c r="M81" s="21">
        <v>0</v>
      </c>
      <c r="O81" s="21">
        <v>235391040</v>
      </c>
      <c r="Q81" s="21">
        <v>0</v>
      </c>
      <c r="S81" s="21">
        <v>235391040</v>
      </c>
      <c r="U81" s="23">
        <v>3.1417288088671241E-4</v>
      </c>
    </row>
    <row r="82" spans="1:21" ht="18.75" x14ac:dyDescent="0.45">
      <c r="A82" s="29" t="s">
        <v>92</v>
      </c>
      <c r="C82" s="21">
        <v>0</v>
      </c>
      <c r="E82" s="21">
        <v>-2298518981</v>
      </c>
      <c r="G82" s="21">
        <v>0</v>
      </c>
      <c r="I82" s="21">
        <v>-2298518981</v>
      </c>
      <c r="K82" s="23">
        <v>-6.6542583623340774E-3</v>
      </c>
      <c r="M82" s="21">
        <v>0</v>
      </c>
      <c r="O82" s="21">
        <v>-932379833</v>
      </c>
      <c r="Q82" s="21">
        <v>0</v>
      </c>
      <c r="S82" s="21">
        <v>-932379833</v>
      </c>
      <c r="U82" s="23">
        <v>-1.2444333404291082E-3</v>
      </c>
    </row>
    <row r="83" spans="1:21" ht="18.75" x14ac:dyDescent="0.45">
      <c r="A83" s="29" t="s">
        <v>188</v>
      </c>
      <c r="C83" s="21">
        <v>0</v>
      </c>
      <c r="E83" s="21">
        <v>21035751354</v>
      </c>
      <c r="G83" s="21">
        <v>10128466177</v>
      </c>
      <c r="I83" s="21">
        <v>31164217531</v>
      </c>
      <c r="K83" s="23">
        <v>9.0221032249659286E-2</v>
      </c>
      <c r="M83" s="21">
        <v>0</v>
      </c>
      <c r="O83" s="21">
        <v>44384332500</v>
      </c>
      <c r="Q83" s="21">
        <v>10128466177</v>
      </c>
      <c r="S83" s="21">
        <v>54512798677</v>
      </c>
      <c r="U83" s="23">
        <v>7.2757412540215866E-2</v>
      </c>
    </row>
    <row r="84" spans="1:21" ht="18.75" x14ac:dyDescent="0.45">
      <c r="A84" s="29" t="s">
        <v>189</v>
      </c>
      <c r="C84" s="21">
        <v>0</v>
      </c>
      <c r="E84" s="21">
        <v>-922478400</v>
      </c>
      <c r="G84" s="21">
        <v>0</v>
      </c>
      <c r="I84" s="21">
        <v>-922478400</v>
      </c>
      <c r="K84" s="23">
        <v>-2.670593394274241E-3</v>
      </c>
      <c r="M84" s="21">
        <v>0</v>
      </c>
      <c r="O84" s="21">
        <v>1378250325</v>
      </c>
      <c r="Q84" s="21">
        <v>0</v>
      </c>
      <c r="S84" s="21">
        <v>1378250325</v>
      </c>
      <c r="U84" s="23">
        <v>1.8395299803607547E-3</v>
      </c>
    </row>
    <row r="85" spans="1:21" ht="18.75" x14ac:dyDescent="0.45">
      <c r="A85" s="29" t="s">
        <v>95</v>
      </c>
      <c r="C85" s="21">
        <v>10382562840</v>
      </c>
      <c r="E85" s="21">
        <v>-1452268282</v>
      </c>
      <c r="G85" s="21">
        <v>0</v>
      </c>
      <c r="I85" s="21">
        <v>8930294558</v>
      </c>
      <c r="K85" s="23">
        <v>2.5853381125799806E-2</v>
      </c>
      <c r="M85" s="21">
        <v>10382562840</v>
      </c>
      <c r="O85" s="21">
        <v>3969533304</v>
      </c>
      <c r="Q85" s="21">
        <v>0</v>
      </c>
      <c r="S85" s="21">
        <v>14352096144</v>
      </c>
      <c r="U85" s="23">
        <v>1.9155526872745694E-2</v>
      </c>
    </row>
    <row r="86" spans="1:21" ht="18.75" x14ac:dyDescent="0.45">
      <c r="A86" s="29" t="s">
        <v>96</v>
      </c>
      <c r="C86" s="21">
        <v>0</v>
      </c>
      <c r="E86" s="21">
        <v>-1708771950</v>
      </c>
      <c r="G86" s="21">
        <v>0</v>
      </c>
      <c r="I86" s="21">
        <v>-1708771950</v>
      </c>
      <c r="K86" s="23">
        <v>-4.9469289275403238E-3</v>
      </c>
      <c r="M86" s="21">
        <v>0</v>
      </c>
      <c r="O86" s="21">
        <v>290759625</v>
      </c>
      <c r="Q86" s="21">
        <v>0</v>
      </c>
      <c r="S86" s="21">
        <v>290759625</v>
      </c>
      <c r="U86" s="23">
        <v>3.8807249856150073E-4</v>
      </c>
    </row>
    <row r="87" spans="1:21" ht="18.75" x14ac:dyDescent="0.45">
      <c r="A87" s="29" t="s">
        <v>97</v>
      </c>
      <c r="C87" s="21">
        <v>0</v>
      </c>
      <c r="E87" s="21">
        <v>-73341818</v>
      </c>
      <c r="G87" s="21">
        <v>0</v>
      </c>
      <c r="I87" s="21">
        <v>-73341818</v>
      </c>
      <c r="K87" s="23">
        <v>-2.1232602809438534E-4</v>
      </c>
      <c r="M87" s="21">
        <v>0</v>
      </c>
      <c r="O87" s="21">
        <v>396616691</v>
      </c>
      <c r="Q87" s="21">
        <v>0</v>
      </c>
      <c r="S87" s="21">
        <v>396616691</v>
      </c>
      <c r="U87" s="23">
        <v>5.2935833249738396E-4</v>
      </c>
    </row>
    <row r="88" spans="1:21" ht="37.5" x14ac:dyDescent="0.45">
      <c r="A88" s="29" t="s">
        <v>99</v>
      </c>
      <c r="C88" s="21">
        <v>0</v>
      </c>
      <c r="E88" s="21">
        <v>-171771840</v>
      </c>
      <c r="G88" s="21">
        <v>0</v>
      </c>
      <c r="I88" s="21">
        <v>-171771840</v>
      </c>
      <c r="K88" s="23">
        <v>-4.9728290789934147E-4</v>
      </c>
      <c r="M88" s="21">
        <v>0</v>
      </c>
      <c r="O88" s="21">
        <v>815916240</v>
      </c>
      <c r="Q88" s="21">
        <v>0</v>
      </c>
      <c r="S88" s="21">
        <v>815916240</v>
      </c>
      <c r="U88" s="23">
        <v>1.0889911344248882E-3</v>
      </c>
    </row>
    <row r="89" spans="1:21" ht="18.75" x14ac:dyDescent="0.45">
      <c r="A89" s="24" t="s">
        <v>100</v>
      </c>
      <c r="C89" s="24">
        <f>SUM(C9:$C$88)</f>
        <v>27095873232</v>
      </c>
      <c r="E89" s="24">
        <f>SUM(E9:$E$88)</f>
        <v>245972032296</v>
      </c>
      <c r="G89" s="24">
        <f>SUM(G9:$G$88)</f>
        <v>71837145992</v>
      </c>
      <c r="I89" s="24">
        <f>SUM(I9:$I$88)</f>
        <v>344905051520</v>
      </c>
      <c r="K89" s="25">
        <f>SUM(K9:$K$88)</f>
        <v>0.99850701354213722</v>
      </c>
      <c r="M89" s="24">
        <f>SUM(M9:$M$88)</f>
        <v>27095873232</v>
      </c>
      <c r="O89" s="24">
        <f>SUM(O9:$O$88)</f>
        <v>648155299431</v>
      </c>
      <c r="Q89" s="24">
        <f>SUM(Q9:$Q$88)</f>
        <v>72898890933</v>
      </c>
      <c r="S89" s="24">
        <f>SUM(S9:$S$88)</f>
        <v>748150063596</v>
      </c>
      <c r="U89" s="25">
        <f>SUM(U9:$U$88)</f>
        <v>0.99854463795874493</v>
      </c>
    </row>
    <row r="90" spans="1:21" ht="18.75" x14ac:dyDescent="0.45">
      <c r="C90" s="26"/>
      <c r="E90" s="26"/>
      <c r="G90" s="26"/>
      <c r="I90" s="26"/>
      <c r="K90" s="26"/>
      <c r="M90" s="26"/>
      <c r="O90" s="26"/>
      <c r="Q90" s="26"/>
      <c r="S90" s="26"/>
      <c r="U90" s="26"/>
    </row>
  </sheetData>
  <mergeCells count="6">
    <mergeCell ref="A1:U1"/>
    <mergeCell ref="A2:U2"/>
    <mergeCell ref="A3:U3"/>
    <mergeCell ref="A5:U5"/>
    <mergeCell ref="C7:K7"/>
    <mergeCell ref="M7:U7"/>
  </mergeCells>
  <pageMargins left="0.7" right="0.7" top="0.75" bottom="0.75" header="0.3" footer="0.3"/>
  <pageSetup paperSize="9" scale="66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Q10"/>
  <sheetViews>
    <sheetView rightToLeft="1" workbookViewId="0">
      <selection sqref="A1:XFD1048576"/>
    </sheetView>
  </sheetViews>
  <sheetFormatPr defaultRowHeight="18" x14ac:dyDescent="0.45"/>
  <cols>
    <col min="1" max="1" width="21.28515625" style="12" customWidth="1"/>
    <col min="2" max="2" width="1.42578125" style="12" customWidth="1"/>
    <col min="3" max="3" width="17" style="12" customWidth="1"/>
    <col min="4" max="4" width="1.42578125" style="12" customWidth="1"/>
    <col min="5" max="5" width="17" style="12" customWidth="1"/>
    <col min="6" max="6" width="1.42578125" style="12" customWidth="1"/>
    <col min="7" max="7" width="17" style="12" customWidth="1"/>
    <col min="8" max="8" width="1.42578125" style="12" customWidth="1"/>
    <col min="9" max="9" width="17" style="12" customWidth="1"/>
    <col min="10" max="10" width="1.42578125" style="12" customWidth="1"/>
    <col min="11" max="11" width="17" style="12" customWidth="1"/>
    <col min="12" max="12" width="1.42578125" style="12" customWidth="1"/>
    <col min="13" max="13" width="17" style="12" customWidth="1"/>
    <col min="14" max="14" width="1.42578125" style="12" customWidth="1"/>
    <col min="15" max="15" width="17" style="12" customWidth="1"/>
    <col min="16" max="16" width="1.42578125" style="12" customWidth="1"/>
    <col min="17" max="17" width="17" style="12" customWidth="1"/>
    <col min="18" max="16384" width="9.140625" style="12"/>
  </cols>
  <sheetData>
    <row r="1" spans="1:17" ht="20.100000000000001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20.100000000000001" customHeight="1" x14ac:dyDescent="0.45">
      <c r="A2" s="10" t="s">
        <v>143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20.100000000000001" customHeight="1" x14ac:dyDescent="0.4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5" spans="1:17" ht="21" x14ac:dyDescent="0.45">
      <c r="A5" s="13" t="s">
        <v>190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7" spans="1:17" ht="21" x14ac:dyDescent="0.45">
      <c r="C7" s="14" t="s">
        <v>155</v>
      </c>
      <c r="D7" s="15"/>
      <c r="E7" s="15"/>
      <c r="F7" s="15"/>
      <c r="G7" s="15"/>
      <c r="H7" s="15"/>
      <c r="I7" s="15"/>
      <c r="J7" s="15"/>
      <c r="K7" s="15"/>
      <c r="M7" s="14" t="s">
        <v>7</v>
      </c>
      <c r="N7" s="15"/>
      <c r="O7" s="15"/>
      <c r="P7" s="15"/>
      <c r="Q7" s="15"/>
    </row>
    <row r="8" spans="1:17" ht="21" x14ac:dyDescent="0.45">
      <c r="C8" s="28" t="s">
        <v>191</v>
      </c>
      <c r="E8" s="28" t="s">
        <v>180</v>
      </c>
      <c r="G8" s="28" t="s">
        <v>181</v>
      </c>
      <c r="I8" s="28" t="s">
        <v>100</v>
      </c>
      <c r="K8" s="28" t="s">
        <v>191</v>
      </c>
      <c r="M8" s="28" t="s">
        <v>180</v>
      </c>
      <c r="O8" s="28" t="s">
        <v>181</v>
      </c>
      <c r="Q8" s="28" t="s">
        <v>100</v>
      </c>
    </row>
    <row r="9" spans="1:17" ht="18.75" x14ac:dyDescent="0.45">
      <c r="A9" s="24" t="s">
        <v>100</v>
      </c>
      <c r="C9" s="24">
        <f>SUM($C$8)</f>
        <v>0</v>
      </c>
      <c r="E9" s="24">
        <f>SUM($E$8)</f>
        <v>0</v>
      </c>
      <c r="G9" s="24">
        <f>SUM($G$8)</f>
        <v>0</v>
      </c>
      <c r="I9" s="24">
        <f>SUM($I$8)</f>
        <v>0</v>
      </c>
      <c r="K9" s="24">
        <f>SUM($K$8)</f>
        <v>0</v>
      </c>
      <c r="M9" s="24">
        <f>SUM($M$8)</f>
        <v>0</v>
      </c>
      <c r="O9" s="24">
        <f>SUM($O$8)</f>
        <v>0</v>
      </c>
      <c r="Q9" s="24">
        <f>SUM($Q$8)</f>
        <v>0</v>
      </c>
    </row>
    <row r="10" spans="1:17" ht="18.75" x14ac:dyDescent="0.45">
      <c r="C10" s="26"/>
      <c r="E10" s="26"/>
      <c r="G10" s="26"/>
      <c r="I10" s="26"/>
      <c r="K10" s="26"/>
      <c r="M10" s="26"/>
      <c r="O10" s="26"/>
      <c r="Q10" s="26"/>
    </row>
  </sheetData>
  <mergeCells count="6">
    <mergeCell ref="A1:Q1"/>
    <mergeCell ref="A2:Q2"/>
    <mergeCell ref="A3:Q3"/>
    <mergeCell ref="A5:Q5"/>
    <mergeCell ref="C7:K7"/>
    <mergeCell ref="M7:Q7"/>
  </mergeCells>
  <pageMargins left="0.7" right="0.7" top="0.75" bottom="0.75" header="0.3" footer="0.3"/>
  <pageSetup paperSize="9" scale="77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I17"/>
  <sheetViews>
    <sheetView rightToLeft="1" view="pageBreakPreview" zoomScale="60" zoomScaleNormal="100" workbookViewId="0">
      <selection sqref="A1:XFD1048576"/>
    </sheetView>
  </sheetViews>
  <sheetFormatPr defaultRowHeight="18" x14ac:dyDescent="0.45"/>
  <cols>
    <col min="1" max="1" width="25.5703125" style="12" customWidth="1"/>
    <col min="2" max="2" width="1.42578125" style="12" customWidth="1"/>
    <col min="3" max="3" width="17" style="12" customWidth="1"/>
    <col min="4" max="4" width="1.42578125" style="12" customWidth="1"/>
    <col min="5" max="5" width="14.140625" style="12" customWidth="1"/>
    <col min="6" max="6" width="1.42578125" style="12" customWidth="1"/>
    <col min="7" max="7" width="17" style="12" customWidth="1"/>
    <col min="8" max="8" width="1.42578125" style="12" customWidth="1"/>
    <col min="9" max="9" width="14.140625" style="12" customWidth="1"/>
    <col min="10" max="16384" width="9.140625" style="12"/>
  </cols>
  <sheetData>
    <row r="1" spans="1:9" ht="20.100000000000001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</row>
    <row r="2" spans="1:9" ht="20.100000000000001" customHeight="1" x14ac:dyDescent="0.45">
      <c r="A2" s="10" t="s">
        <v>143</v>
      </c>
      <c r="B2" s="11"/>
      <c r="C2" s="11"/>
      <c r="D2" s="11"/>
      <c r="E2" s="11"/>
      <c r="F2" s="11"/>
      <c r="G2" s="11"/>
      <c r="H2" s="11"/>
      <c r="I2" s="11"/>
    </row>
    <row r="3" spans="1:9" ht="20.100000000000001" customHeight="1" x14ac:dyDescent="0.45">
      <c r="A3" s="10" t="s">
        <v>2</v>
      </c>
      <c r="B3" s="11"/>
      <c r="C3" s="11"/>
      <c r="D3" s="11"/>
      <c r="E3" s="11"/>
      <c r="F3" s="11"/>
      <c r="G3" s="11"/>
      <c r="H3" s="11"/>
      <c r="I3" s="11"/>
    </row>
    <row r="5" spans="1:9" ht="21" x14ac:dyDescent="0.45">
      <c r="A5" s="13" t="s">
        <v>192</v>
      </c>
      <c r="B5" s="11"/>
      <c r="C5" s="11"/>
      <c r="D5" s="11"/>
      <c r="E5" s="11"/>
      <c r="F5" s="11"/>
      <c r="G5" s="11"/>
      <c r="H5" s="11"/>
      <c r="I5" s="11"/>
    </row>
    <row r="7" spans="1:9" ht="21" x14ac:dyDescent="0.45">
      <c r="A7" s="14" t="s">
        <v>193</v>
      </c>
      <c r="B7" s="15"/>
      <c r="C7" s="14" t="s">
        <v>155</v>
      </c>
      <c r="D7" s="15"/>
      <c r="E7" s="15"/>
      <c r="G7" s="14" t="s">
        <v>7</v>
      </c>
      <c r="H7" s="15"/>
      <c r="I7" s="15"/>
    </row>
    <row r="8" spans="1:9" ht="42" x14ac:dyDescent="0.45">
      <c r="A8" s="28" t="s">
        <v>194</v>
      </c>
      <c r="C8" s="28" t="s">
        <v>195</v>
      </c>
      <c r="E8" s="28" t="s">
        <v>196</v>
      </c>
      <c r="G8" s="28" t="s">
        <v>195</v>
      </c>
      <c r="I8" s="28" t="s">
        <v>196</v>
      </c>
    </row>
    <row r="9" spans="1:9" ht="18.75" x14ac:dyDescent="0.45">
      <c r="A9" s="42" t="s">
        <v>210</v>
      </c>
      <c r="C9" s="21">
        <v>33979</v>
      </c>
      <c r="E9" s="23">
        <f>C9/C16</f>
        <v>6.5887994632440796E-5</v>
      </c>
      <c r="G9" s="21">
        <v>68730</v>
      </c>
      <c r="I9" s="23">
        <f>G9/G16</f>
        <v>6.3030981105586229E-5</v>
      </c>
    </row>
    <row r="10" spans="1:9" ht="18.75" x14ac:dyDescent="0.45">
      <c r="A10" s="42" t="s">
        <v>211</v>
      </c>
      <c r="C10" s="21">
        <v>758888</v>
      </c>
      <c r="E10" s="23">
        <f>C10/C16</f>
        <v>1.4715444383479126E-3</v>
      </c>
      <c r="G10" s="21">
        <v>2820255</v>
      </c>
      <c r="I10" s="23">
        <f>G10/G16</f>
        <v>2.5864024387885214E-3</v>
      </c>
    </row>
    <row r="11" spans="1:9" ht="18.75" x14ac:dyDescent="0.45">
      <c r="A11" s="42" t="s">
        <v>213</v>
      </c>
      <c r="C11" s="21">
        <v>514175212</v>
      </c>
      <c r="E11" s="23">
        <f>C11/C16</f>
        <v>0.99702679915212644</v>
      </c>
      <c r="G11" s="21">
        <v>1081329565</v>
      </c>
      <c r="I11" s="23">
        <f>G11/G16</f>
        <v>0.99166686134769055</v>
      </c>
    </row>
    <row r="12" spans="1:9" ht="18.75" x14ac:dyDescent="0.45">
      <c r="A12" s="42" t="s">
        <v>212</v>
      </c>
      <c r="C12" s="21">
        <v>38866</v>
      </c>
      <c r="E12" s="23">
        <f>C12/C16</f>
        <v>7.5364277918256678E-5</v>
      </c>
      <c r="G12" s="21">
        <v>76324</v>
      </c>
      <c r="I12" s="23">
        <f>G12/G16</f>
        <v>6.9995294658850037E-5</v>
      </c>
    </row>
    <row r="13" spans="1:9" ht="18.75" x14ac:dyDescent="0.45">
      <c r="A13" s="42" t="s">
        <v>214</v>
      </c>
      <c r="C13" s="21">
        <v>67021</v>
      </c>
      <c r="E13" s="23">
        <f>C13/C16</f>
        <v>1.2995907143414502E-4</v>
      </c>
      <c r="G13" s="21">
        <v>131868</v>
      </c>
      <c r="I13" s="23">
        <f>G13/G16</f>
        <v>1.2093364493571139E-4</v>
      </c>
    </row>
    <row r="14" spans="1:9" ht="18.75" x14ac:dyDescent="0.45">
      <c r="A14" s="42" t="s">
        <v>215</v>
      </c>
      <c r="C14" s="21">
        <v>40984</v>
      </c>
      <c r="E14" s="23">
        <f>C14/C16</f>
        <v>7.9471249066068847E-5</v>
      </c>
      <c r="G14" s="21">
        <v>40984</v>
      </c>
      <c r="I14" s="23">
        <f>G14/G16</f>
        <v>3.7585650074659474E-5</v>
      </c>
    </row>
    <row r="15" spans="1:9" ht="18.75" x14ac:dyDescent="0.45">
      <c r="A15" s="42" t="s">
        <v>216</v>
      </c>
      <c r="C15" s="21">
        <v>593567</v>
      </c>
      <c r="E15" s="23">
        <f>C15/C16</f>
        <v>1.1509738164747045E-3</v>
      </c>
      <c r="G15" s="21">
        <v>5948428</v>
      </c>
      <c r="I15" s="23">
        <f>G15/G16</f>
        <v>5.4551906427461085E-3</v>
      </c>
    </row>
    <row r="16" spans="1:9" ht="19.5" thickBot="1" x14ac:dyDescent="0.5">
      <c r="A16" s="24" t="s">
        <v>100</v>
      </c>
      <c r="C16" s="24">
        <f>SUM(C9:$C$15)</f>
        <v>515708517</v>
      </c>
      <c r="E16" s="25">
        <f>SUM(E9:$E$15)</f>
        <v>0.99999999999999978</v>
      </c>
      <c r="G16" s="24">
        <f>SUM(G9:$G$15)</f>
        <v>1090416154</v>
      </c>
      <c r="I16" s="25">
        <f>SUM(I9:$I$15)</f>
        <v>1</v>
      </c>
    </row>
    <row r="17" spans="3:9" ht="19.5" thickTop="1" x14ac:dyDescent="0.45">
      <c r="C17" s="26"/>
      <c r="E17" s="26"/>
      <c r="G17" s="26"/>
      <c r="I17" s="26"/>
    </row>
  </sheetData>
  <mergeCells count="7">
    <mergeCell ref="A1:I1"/>
    <mergeCell ref="A2:I2"/>
    <mergeCell ref="A3:I3"/>
    <mergeCell ref="A5:I5"/>
    <mergeCell ref="A7:B7"/>
    <mergeCell ref="C7:E7"/>
    <mergeCell ref="G7:I7"/>
  </mergeCells>
  <pageMargins left="0.7" right="0.7" top="0.75" bottom="0.75" header="0.3" footer="0.3"/>
  <pageSetup paperSize="9" scale="93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E10"/>
  <sheetViews>
    <sheetView rightToLeft="1" view="pageBreakPreview" zoomScale="60" zoomScaleNormal="100" workbookViewId="0">
      <selection sqref="A1:XFD1048576"/>
    </sheetView>
  </sheetViews>
  <sheetFormatPr defaultRowHeight="18" x14ac:dyDescent="0.45"/>
  <cols>
    <col min="1" max="1" width="25.5703125" style="12" customWidth="1"/>
    <col min="2" max="2" width="1.42578125" style="12" customWidth="1"/>
    <col min="3" max="3" width="18.42578125" style="12" customWidth="1"/>
    <col min="4" max="4" width="1.42578125" style="12" customWidth="1"/>
    <col min="5" max="5" width="18.42578125" style="12" customWidth="1"/>
    <col min="6" max="16384" width="9.140625" style="12"/>
  </cols>
  <sheetData>
    <row r="1" spans="1:5" ht="20.100000000000001" customHeight="1" x14ac:dyDescent="0.45">
      <c r="A1" s="10" t="s">
        <v>0</v>
      </c>
      <c r="B1" s="11"/>
      <c r="C1" s="11"/>
      <c r="D1" s="11"/>
      <c r="E1" s="11"/>
    </row>
    <row r="2" spans="1:5" ht="20.100000000000001" customHeight="1" x14ac:dyDescent="0.45">
      <c r="A2" s="10" t="s">
        <v>143</v>
      </c>
      <c r="B2" s="11"/>
      <c r="C2" s="11"/>
      <c r="D2" s="11"/>
      <c r="E2" s="11"/>
    </row>
    <row r="3" spans="1:5" ht="20.100000000000001" customHeight="1" x14ac:dyDescent="0.45">
      <c r="A3" s="10" t="s">
        <v>2</v>
      </c>
      <c r="B3" s="11"/>
      <c r="C3" s="11"/>
      <c r="D3" s="11"/>
      <c r="E3" s="11"/>
    </row>
    <row r="5" spans="1:5" ht="21" x14ac:dyDescent="0.45">
      <c r="A5" s="13" t="s">
        <v>197</v>
      </c>
      <c r="B5" s="11"/>
      <c r="C5" s="11"/>
      <c r="D5" s="11"/>
      <c r="E5" s="11"/>
    </row>
    <row r="7" spans="1:5" ht="21" x14ac:dyDescent="0.45">
      <c r="C7" s="27" t="s">
        <v>155</v>
      </c>
      <c r="E7" s="27" t="s">
        <v>7</v>
      </c>
    </row>
    <row r="8" spans="1:5" ht="21" x14ac:dyDescent="0.45">
      <c r="A8" s="28" t="s">
        <v>152</v>
      </c>
      <c r="C8" s="28" t="s">
        <v>133</v>
      </c>
      <c r="E8" s="28" t="s">
        <v>133</v>
      </c>
    </row>
    <row r="9" spans="1:5" ht="18.75" x14ac:dyDescent="0.45">
      <c r="A9" s="24" t="s">
        <v>100</v>
      </c>
      <c r="C9" s="24">
        <f>SUM($C$8)</f>
        <v>0</v>
      </c>
      <c r="E9" s="24">
        <f>SUM($E$8)</f>
        <v>0</v>
      </c>
    </row>
    <row r="10" spans="1:5" ht="18.75" x14ac:dyDescent="0.45">
      <c r="C10" s="26"/>
      <c r="E10" s="26"/>
    </row>
  </sheetData>
  <mergeCells count="4">
    <mergeCell ref="A1:E1"/>
    <mergeCell ref="A2:E2"/>
    <mergeCell ref="A3:E3"/>
    <mergeCell ref="A5:E5"/>
  </mergeCells>
  <pageMargins left="0.7" right="0.7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0</vt:lpstr>
      <vt:lpstr>1</vt:lpstr>
      <vt:lpstr>2</vt:lpstr>
      <vt:lpstr>3</vt:lpstr>
      <vt:lpstr>4</vt:lpstr>
      <vt:lpstr>5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'1'!Print_Titles</vt:lpstr>
      <vt:lpstr>'11'!Print_Titles</vt:lpstr>
      <vt:lpstr>'12'!Print_Titles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Fatemeh Rezaei</cp:lastModifiedBy>
  <cp:lastPrinted>2025-05-24T08:24:40Z</cp:lastPrinted>
  <dcterms:created xsi:type="dcterms:W3CDTF">2025-05-24T08:02:05Z</dcterms:created>
  <dcterms:modified xsi:type="dcterms:W3CDTF">2025-05-24T08:24:51Z</dcterms:modified>
</cp:coreProperties>
</file>